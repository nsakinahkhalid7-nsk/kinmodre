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Peptide" sheetId="2" r:id="rId5"/>
    <sheet state="visible" name="EC Number" sheetId="3" r:id="rId6"/>
    <sheet state="visible" name="Metabolites" sheetId="4" r:id="rId7"/>
    <sheet state="visible" name="Enyzme" sheetId="5" r:id="rId8"/>
    <sheet state="visible" name="Reactions" sheetId="6" r:id="rId9"/>
  </sheets>
  <definedNames/>
  <calcPr/>
</workbook>
</file>

<file path=xl/sharedStrings.xml><?xml version="1.0" encoding="utf-8"?>
<sst xmlns="http://schemas.openxmlformats.org/spreadsheetml/2006/main" count="57011" uniqueCount="28956">
  <si>
    <t>Annotation details</t>
  </si>
  <si>
    <t>RefSeq</t>
  </si>
  <si>
    <t>GenBank</t>
  </si>
  <si>
    <t>Provider</t>
  </si>
  <si>
    <t>NCBI RefSeq</t>
  </si>
  <si>
    <t>NCBI</t>
  </si>
  <si>
    <t>Name</t>
  </si>
  <si>
    <t>GCF_045287585.1-RS_2024_11_26</t>
  </si>
  <si>
    <t>NCBI Prokaryotic Genome Annotation Pipeline (PGAP)</t>
  </si>
  <si>
    <t>Date</t>
  </si>
  <si>
    <t>Genes</t>
  </si>
  <si>
    <t>Protein-coding</t>
  </si>
  <si>
    <t>Chromosome</t>
  </si>
  <si>
    <t>Size (bp)</t>
  </si>
  <si>
    <t>GC content (%)</t>
  </si>
  <si>
    <t>chromosome</t>
  </si>
  <si>
    <r>
      <rPr>
        <rFont val="inherit"/>
        <color rgb="FF1155CC"/>
        <u/>
      </rPr>
      <t>CP138336.1</t>
    </r>
  </si>
  <si>
    <r>
      <rPr>
        <rFont val="inherit"/>
        <color rgb="FF1155CC"/>
        <u/>
      </rPr>
      <t>NZ_CP138336.1</t>
    </r>
  </si>
  <si>
    <t xml:space="preserve">Links: </t>
  </si>
  <si>
    <t>https://www.ncbi.nlm.nih.gov/datasets/genome/GCF_045287585.1/</t>
  </si>
  <si>
    <t>https://www.ncbi.nlm.nih.gov/nuccore/NZ_CP138336.1</t>
  </si>
  <si>
    <t>Accession</t>
  </si>
  <si>
    <t>Begin</t>
  </si>
  <si>
    <t>End</t>
  </si>
  <si>
    <t>Orientation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</si>
  <si>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</si>
  <si>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</si>
  <si>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</si>
  <si>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</si>
  <si>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</si>
  <si>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</si>
  <si>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</si>
  <si>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EC number</t>
  </si>
  <si>
    <t>NZ_CP138336.1</t>
  </si>
  <si>
    <t>plus</t>
  </si>
  <si>
    <t>uncharacterized gene</t>
  </si>
  <si>
    <t>pseudogene</t>
  </si>
  <si>
    <t>R8N76_RS00005</t>
  </si>
  <si>
    <t>minus</t>
  </si>
  <si>
    <t>hypothetical protein</t>
  </si>
  <si>
    <t>protein-coding</t>
  </si>
  <si>
    <t>WP_406627544.1</t>
  </si>
  <si>
    <t>R8N76_RS00010</t>
  </si>
  <si>
    <t>WP_406627545.1</t>
  </si>
  <si>
    <t>R8N76_RS00015</t>
  </si>
  <si>
    <t>WP_406627546.1</t>
  </si>
  <si>
    <t>R8N76_RS00020</t>
  </si>
  <si>
    <t>WP_406627547.1</t>
  </si>
  <si>
    <t>R8N76_RS00025</t>
  </si>
  <si>
    <t>WP_406627548.1</t>
  </si>
  <si>
    <t>R8N76_RS00030</t>
  </si>
  <si>
    <t>WP_406627549.1</t>
  </si>
  <si>
    <t>R8N76_RS00035</t>
  </si>
  <si>
    <t>WP_406627550.1</t>
  </si>
  <si>
    <t>R8N76_RS00040</t>
  </si>
  <si>
    <t>tyrosine-type recombinase/integrase</t>
  </si>
  <si>
    <t>WP_406627551.1</t>
  </si>
  <si>
    <t>R8N76_RS00045</t>
  </si>
  <si>
    <t>R8N76_RS00050</t>
  </si>
  <si>
    <t>R8N76_RS00055</t>
  </si>
  <si>
    <t>R8N76_RS00060</t>
  </si>
  <si>
    <t>lepB</t>
  </si>
  <si>
    <t>R8N76_RS00065</t>
  </si>
  <si>
    <t>penicillin-binding protein 2</t>
  </si>
  <si>
    <t>WP_000743777.1</t>
  </si>
  <si>
    <t>R8N76_RS00070</t>
  </si>
  <si>
    <t>ATP-binding protein</t>
  </si>
  <si>
    <t>WP_406627552.1</t>
  </si>
  <si>
    <t>R8N76_RS00075</t>
  </si>
  <si>
    <t>Cof-type HAD-IIB family hydrolase</t>
  </si>
  <si>
    <t>WP_000766394.1</t>
  </si>
  <si>
    <t>R8N76_RS00080</t>
  </si>
  <si>
    <t>cysteine dioxygenase family protein</t>
  </si>
  <si>
    <t>WP_000954442.1</t>
  </si>
  <si>
    <t>R8N76_RS00085</t>
  </si>
  <si>
    <t>R8N76_RS00090</t>
  </si>
  <si>
    <t>RNA-guided endonuclease TnpB family protein</t>
  </si>
  <si>
    <t>WP_000084148.1</t>
  </si>
  <si>
    <t>R8N76_RS00095</t>
  </si>
  <si>
    <t>tnpA</t>
  </si>
  <si>
    <t>R8N76_RS00100</t>
  </si>
  <si>
    <t>R8N76_RS00105</t>
  </si>
  <si>
    <t>DUF1540 domain-containing protein</t>
  </si>
  <si>
    <t>WP_000046095.1</t>
  </si>
  <si>
    <t>R8N76_RS00110</t>
  </si>
  <si>
    <t>Vat family streptogramin A O-acetyltransferase</t>
  </si>
  <si>
    <t>WP_001069204.1</t>
  </si>
  <si>
    <t>R8N76_RS00115</t>
  </si>
  <si>
    <t>MFS transporter</t>
  </si>
  <si>
    <t>WP_000106396.1</t>
  </si>
  <si>
    <t>R8N76_RS00120</t>
  </si>
  <si>
    <t>cytochrome P450</t>
  </si>
  <si>
    <t>WP_000062123.1</t>
  </si>
  <si>
    <t>R8N76_RS00125</t>
  </si>
  <si>
    <t>WP_000282687.1</t>
  </si>
  <si>
    <t>R8N76_RS00130</t>
  </si>
  <si>
    <t>DUF1835 domain-containing protein</t>
  </si>
  <si>
    <t>WP_000565687.1</t>
  </si>
  <si>
    <t>R8N76_RS00135</t>
  </si>
  <si>
    <t>WP_000362067.1</t>
  </si>
  <si>
    <t>R8N76_RS00140</t>
  </si>
  <si>
    <t>WP_000878369.1</t>
  </si>
  <si>
    <t>R8N76_RS00145</t>
  </si>
  <si>
    <t>DUF3995 domain-containing protein</t>
  </si>
  <si>
    <t>WP_000905581.1</t>
  </si>
  <si>
    <t>R8N76_RS00150</t>
  </si>
  <si>
    <t>DUF3959 family protein</t>
  </si>
  <si>
    <t>WP_000732187.1</t>
  </si>
  <si>
    <t>R8N76_RS00155</t>
  </si>
  <si>
    <t>RNaseH domain-containing protein</t>
  </si>
  <si>
    <t>WP_000626130.1</t>
  </si>
  <si>
    <t>R8N76_RS00160</t>
  </si>
  <si>
    <t>DUF6376 family protein</t>
  </si>
  <si>
    <t>WP_000644810.1</t>
  </si>
  <si>
    <t>R8N76_RS00165</t>
  </si>
  <si>
    <t>GH25 family lysozyme</t>
  </si>
  <si>
    <t>WP_000540622.1</t>
  </si>
  <si>
    <t>R8N76_RS00170</t>
  </si>
  <si>
    <t>holin family protein</t>
  </si>
  <si>
    <t>WP_000439566.1</t>
  </si>
  <si>
    <t>R8N76_RS00175</t>
  </si>
  <si>
    <t>BppU family phage baseplate upper protein</t>
  </si>
  <si>
    <t>WP_002196015.1</t>
  </si>
  <si>
    <t>R8N76_RS00180</t>
  </si>
  <si>
    <t>phage tail spike protein</t>
  </si>
  <si>
    <t>WP_000631941.1</t>
  </si>
  <si>
    <t>R8N76_RS00185</t>
  </si>
  <si>
    <t>phage tail family protein</t>
  </si>
  <si>
    <t>WP_000884118.1</t>
  </si>
  <si>
    <t>R8N76_RS00190</t>
  </si>
  <si>
    <t>R8N76_RS00195</t>
  </si>
  <si>
    <t>WP_000113343.1</t>
  </si>
  <si>
    <t>R8N76_RS00200</t>
  </si>
  <si>
    <t>major tail protein</t>
  </si>
  <si>
    <t>WP_000151368.1</t>
  </si>
  <si>
    <t>R8N76_RS00205</t>
  </si>
  <si>
    <t>HK97-gp10 family putative phage morphogenesis protein</t>
  </si>
  <si>
    <t>WP_000157919.1</t>
  </si>
  <si>
    <t>R8N76_RS00210</t>
  </si>
  <si>
    <t>WP_001166632.1</t>
  </si>
  <si>
    <t>R8N76_RS00215</t>
  </si>
  <si>
    <t>WP_001126093.1</t>
  </si>
  <si>
    <t>R8N76_RS00220</t>
  </si>
  <si>
    <t>head-tail connector protein</t>
  </si>
  <si>
    <t>WP_000369282.1</t>
  </si>
  <si>
    <t>R8N76_RS00225</t>
  </si>
  <si>
    <t>phage major capsid protein</t>
  </si>
  <si>
    <t>WP_001049345.1</t>
  </si>
  <si>
    <t>R8N76_RS00230</t>
  </si>
  <si>
    <t>HK97 family phage prohead protease</t>
  </si>
  <si>
    <t>WP_000687908.1</t>
  </si>
  <si>
    <t>R8N76_RS00235</t>
  </si>
  <si>
    <t>R8N76_RS00240</t>
  </si>
  <si>
    <t>WP_000573605.1</t>
  </si>
  <si>
    <t>R8N76_RS00245</t>
  </si>
  <si>
    <t>R8N76_RS00250</t>
  </si>
  <si>
    <t>P27 family phage terminase small subunit</t>
  </si>
  <si>
    <t>WP_000113451.1</t>
  </si>
  <si>
    <t>R8N76_RS00255</t>
  </si>
  <si>
    <t>HNH endonuclease</t>
  </si>
  <si>
    <t>WP_000872553.1</t>
  </si>
  <si>
    <t>R8N76_RS00260</t>
  </si>
  <si>
    <t>Rho termination factor N-terminal domain-containing protein</t>
  </si>
  <si>
    <t>WP_000627242.1</t>
  </si>
  <si>
    <t>R8N76_RS00265</t>
  </si>
  <si>
    <t>WP_001008298.1</t>
  </si>
  <si>
    <t>R8N76_RS00270</t>
  </si>
  <si>
    <t>DUF3942 family protein</t>
  </si>
  <si>
    <t>WP_406627555.1</t>
  </si>
  <si>
    <t>R8N76_RS00275</t>
  </si>
  <si>
    <t>WP_406627601.1</t>
  </si>
  <si>
    <t>R8N76_RS00280</t>
  </si>
  <si>
    <t>WP_000930971.1</t>
  </si>
  <si>
    <t>R8N76_RS00285</t>
  </si>
  <si>
    <t>WP_000394432.1</t>
  </si>
  <si>
    <t>R8N76_RS00290</t>
  </si>
  <si>
    <t>site-specific integrase</t>
  </si>
  <si>
    <t>WP_001012145.1</t>
  </si>
  <si>
    <t>R8N76_RS00295</t>
  </si>
  <si>
    <t>ArpU family phage packaging/lysis transcriptional regulator</t>
  </si>
  <si>
    <t>WP_000166181.1</t>
  </si>
  <si>
    <t>R8N76_RS00300</t>
  </si>
  <si>
    <t>WP_000677453.1</t>
  </si>
  <si>
    <t>R8N76_RS00305</t>
  </si>
  <si>
    <t>WP_001013362.1</t>
  </si>
  <si>
    <t>R8N76_RS00310</t>
  </si>
  <si>
    <t>DUF3983 domain-containing protein</t>
  </si>
  <si>
    <t>WP_000183173.1</t>
  </si>
  <si>
    <t>R8N76_RS00315</t>
  </si>
  <si>
    <t>WP_001113469.1</t>
  </si>
  <si>
    <t>R8N76_RS00320</t>
  </si>
  <si>
    <t>collagen-like protein</t>
  </si>
  <si>
    <t>WP_002196025.1</t>
  </si>
  <si>
    <t>R8N76_RS00325</t>
  </si>
  <si>
    <t>exosporium-associated protein BclF</t>
  </si>
  <si>
    <t>bclF</t>
  </si>
  <si>
    <t>WP_000343919.1</t>
  </si>
  <si>
    <t>R8N76_RS00330</t>
  </si>
  <si>
    <t>WP_000755581.1</t>
  </si>
  <si>
    <t>R8N76_RS00335</t>
  </si>
  <si>
    <t>WP_000811858.1</t>
  </si>
  <si>
    <t>R8N76_RS00340</t>
  </si>
  <si>
    <t>DUF3954 domain-containing protein</t>
  </si>
  <si>
    <t>WP_000805171.1</t>
  </si>
  <si>
    <t>R8N76_RS00345</t>
  </si>
  <si>
    <t>WP_000332463.1</t>
  </si>
  <si>
    <t>R8N76_RS00350</t>
  </si>
  <si>
    <t>WP_406627556.1</t>
  </si>
  <si>
    <t>R8N76_RS00355</t>
  </si>
  <si>
    <t>DnaD domain protein</t>
  </si>
  <si>
    <t>WP_000190248.1</t>
  </si>
  <si>
    <t>R8N76_RS00360</t>
  </si>
  <si>
    <t>WP_001241130.1</t>
  </si>
  <si>
    <t>R8N76_RS00365</t>
  </si>
  <si>
    <t>WP_000390298.1</t>
  </si>
  <si>
    <t>R8N76_RS00370</t>
  </si>
  <si>
    <t>helix-turn-helix domain-containing protein</t>
  </si>
  <si>
    <t>WP_000522024.1</t>
  </si>
  <si>
    <t>R8N76_RS00375</t>
  </si>
  <si>
    <t>R8N76_RS00380</t>
  </si>
  <si>
    <t>helix-turn-helix transcriptional regulator</t>
  </si>
  <si>
    <t>WP_001180928.1</t>
  </si>
  <si>
    <t>R8N76_RS00385</t>
  </si>
  <si>
    <t>WP_000425256.1</t>
  </si>
  <si>
    <t>R8N76_RS00390</t>
  </si>
  <si>
    <t>WP_000791664.1</t>
  </si>
  <si>
    <t>R8N76_RS00395</t>
  </si>
  <si>
    <t>AimR family lysis-lysogeny pheromone receptor</t>
  </si>
  <si>
    <t>WP_001197707.1</t>
  </si>
  <si>
    <t>R8N76_RS00400</t>
  </si>
  <si>
    <t>WP_000675870.1</t>
  </si>
  <si>
    <t>R8N76_RS00405</t>
  </si>
  <si>
    <t>pPIWI_RE module domain-containing protein</t>
  </si>
  <si>
    <t>WP_000736202.1</t>
  </si>
  <si>
    <t>R8N76_RS00410</t>
  </si>
  <si>
    <t>WP_002041181.1</t>
  </si>
  <si>
    <t>R8N76_RS00415</t>
  </si>
  <si>
    <t>heterocycloanthracin/sonorensin family bacteriocin</t>
  </si>
  <si>
    <t>WP_001071366.1</t>
  </si>
  <si>
    <t>R8N76_RS00420</t>
  </si>
  <si>
    <t>DUF3937 domain-containing protein</t>
  </si>
  <si>
    <t>WP_002082716.1</t>
  </si>
  <si>
    <t>R8N76_RS00425</t>
  </si>
  <si>
    <t>thiaminase II</t>
  </si>
  <si>
    <t>tenA</t>
  </si>
  <si>
    <t>WP_000144509.1</t>
  </si>
  <si>
    <t>R8N76_RS00430</t>
  </si>
  <si>
    <t>D-alanine--D-alanine ligase</t>
  </si>
  <si>
    <t>WP_000690435.1</t>
  </si>
  <si>
    <t>R8N76_RS00435</t>
  </si>
  <si>
    <t>PLP-dependent aminotransferase family protein</t>
  </si>
  <si>
    <t>WP_000471646.1</t>
  </si>
  <si>
    <t>R8N76_RS00440</t>
  </si>
  <si>
    <t>homoserine dehydrogenase</t>
  </si>
  <si>
    <t>WP_000701770.1</t>
  </si>
  <si>
    <t>R8N76_RS00445</t>
  </si>
  <si>
    <t>triacylglycerol lipase</t>
  </si>
  <si>
    <t>WP_000517073.1</t>
  </si>
  <si>
    <t>R8N76_RS00450</t>
  </si>
  <si>
    <t>DUF3914 domain-containing protein</t>
  </si>
  <si>
    <t>WP_001165491.1</t>
  </si>
  <si>
    <t>R8N76_RS00455</t>
  </si>
  <si>
    <t>lipoprotein BA_5634 family protein</t>
  </si>
  <si>
    <t>WP_000744466.1</t>
  </si>
  <si>
    <t>R8N76_RS00460</t>
  </si>
  <si>
    <t>ABC transporter permease</t>
  </si>
  <si>
    <t>WP_000144161.1</t>
  </si>
  <si>
    <t>R8N76_RS00465</t>
  </si>
  <si>
    <t>R8N76_RS00470</t>
  </si>
  <si>
    <t>R8N76_RS00475</t>
  </si>
  <si>
    <t>abc-f</t>
  </si>
  <si>
    <t>R8N76_RS00480</t>
  </si>
  <si>
    <t>R8N76_RS00485</t>
  </si>
  <si>
    <t>R8N76_RS00490</t>
  </si>
  <si>
    <t>R8N76_RS00495</t>
  </si>
  <si>
    <t>R8N76_RS00500</t>
  </si>
  <si>
    <t>cell wall hydrolase</t>
  </si>
  <si>
    <t>WP_001128402.1</t>
  </si>
  <si>
    <t>R8N76_RS00505</t>
  </si>
  <si>
    <t>lysine--tRNA ligase</t>
  </si>
  <si>
    <t>lysS</t>
  </si>
  <si>
    <t>WP_000558598.1</t>
  </si>
  <si>
    <t>R8N76_RS00510</t>
  </si>
  <si>
    <t>DUF2197 domain-containing protein</t>
  </si>
  <si>
    <t>WP_000551042.1</t>
  </si>
  <si>
    <t>R8N76_RS00515</t>
  </si>
  <si>
    <t>SMP-30/gluconolactonase/LRE family protein</t>
  </si>
  <si>
    <t>WP_000492432.1</t>
  </si>
  <si>
    <t>R8N76_RS00520</t>
  </si>
  <si>
    <t>class I SAM-dependent methyltransferase</t>
  </si>
  <si>
    <t>WP_001079448.1</t>
  </si>
  <si>
    <t>R8N76_RS00525</t>
  </si>
  <si>
    <t>R8N76_RS00530</t>
  </si>
  <si>
    <t>DUF421 domain-containing protein</t>
  </si>
  <si>
    <t>WP_001021703.1</t>
  </si>
  <si>
    <t>R8N76_RS00535</t>
  </si>
  <si>
    <t>NAD(P)-dependent oxidoreductase</t>
  </si>
  <si>
    <t>WP_000689435.1</t>
  </si>
  <si>
    <t>R8N76_RS00540</t>
  </si>
  <si>
    <t>zinc-binding alcohol dehydrogenase</t>
  </si>
  <si>
    <t>WP_000438854.1</t>
  </si>
  <si>
    <t>R8N76_RS00545</t>
  </si>
  <si>
    <t>WP_002195526.1</t>
  </si>
  <si>
    <t>R8N76_RS00550</t>
  </si>
  <si>
    <t>WP_000290886.1</t>
  </si>
  <si>
    <t>R8N76_RS00555</t>
  </si>
  <si>
    <t>CPBP family intramembrane glutamic endopeptidase</t>
  </si>
  <si>
    <t>WP_000448287.1</t>
  </si>
  <si>
    <t>R8N76_RS00560</t>
  </si>
  <si>
    <t>R8N76_RS00565</t>
  </si>
  <si>
    <t>WP_000280110.1</t>
  </si>
  <si>
    <t>R8N76_RS00570</t>
  </si>
  <si>
    <t>DUF4030 domain-containing protein</t>
  </si>
  <si>
    <t>WP_001225383.1</t>
  </si>
  <si>
    <t>R8N76_RS00575</t>
  </si>
  <si>
    <t>M3 family oligoendopeptidase</t>
  </si>
  <si>
    <t>WP_001190028.1</t>
  </si>
  <si>
    <t>R8N76_RS00580</t>
  </si>
  <si>
    <t>WP_001069556.1</t>
  </si>
  <si>
    <t>R8N76_RS00585</t>
  </si>
  <si>
    <t>WP_002195523.1</t>
  </si>
  <si>
    <t>R8N76_RS00590</t>
  </si>
  <si>
    <t>aminoglycoside phosphotransferase family protein</t>
  </si>
  <si>
    <t>WP_000242836.1</t>
  </si>
  <si>
    <t>R8N76_RS00595</t>
  </si>
  <si>
    <t>R8N76_RS00600</t>
  </si>
  <si>
    <t>alpha/beta fold hydrolase</t>
  </si>
  <si>
    <t>WP_000833447.1</t>
  </si>
  <si>
    <t>R8N76_RS00605</t>
  </si>
  <si>
    <t>WP_001003873.1</t>
  </si>
  <si>
    <t>R8N76_RS00610</t>
  </si>
  <si>
    <t>WP_000365536.1</t>
  </si>
  <si>
    <t>R8N76_RS00615</t>
  </si>
  <si>
    <t>SDR family oxidoreductase</t>
  </si>
  <si>
    <t>WP_000029108.1</t>
  </si>
  <si>
    <t>R8N76_RS00620</t>
  </si>
  <si>
    <t>WP_000673890.1</t>
  </si>
  <si>
    <t>R8N76_RS00625</t>
  </si>
  <si>
    <t>MerR family transcriptional regulator</t>
  </si>
  <si>
    <t>WP_000472635.1</t>
  </si>
  <si>
    <t>R8N76_RS00630</t>
  </si>
  <si>
    <t>excinuclease ABC subunit UvrA</t>
  </si>
  <si>
    <t>WP_000867748.1</t>
  </si>
  <si>
    <t>R8N76_RS00635</t>
  </si>
  <si>
    <t>SRPBCC family protein</t>
  </si>
  <si>
    <t>WP_000559865.1</t>
  </si>
  <si>
    <t>R8N76_RS00640</t>
  </si>
  <si>
    <t>SAM-dependent methyltransferase</t>
  </si>
  <si>
    <t>WP_000225731.1</t>
  </si>
  <si>
    <t>R8N76_RS00645</t>
  </si>
  <si>
    <t>SpaA isopeptide-forming pilin-related protein</t>
  </si>
  <si>
    <t>WP_113732222.1</t>
  </si>
  <si>
    <t>R8N76_RS00650</t>
  </si>
  <si>
    <t>class C sortase</t>
  </si>
  <si>
    <t>WP_000828081.1</t>
  </si>
  <si>
    <t>R8N76_RS00655</t>
  </si>
  <si>
    <t>LPXTG cell wall anchor domain-containing protein</t>
  </si>
  <si>
    <t>WP_000719303.1</t>
  </si>
  <si>
    <t>R8N76_RS00660</t>
  </si>
  <si>
    <t>AraC family transcriptional regulator</t>
  </si>
  <si>
    <t>WP_000162827.1</t>
  </si>
  <si>
    <t>R8N76_RS00665</t>
  </si>
  <si>
    <t>M4 family metallopeptidase</t>
  </si>
  <si>
    <t>WP_000527065.1</t>
  </si>
  <si>
    <t>R8N76_RS00670</t>
  </si>
  <si>
    <t>WP_001059022.1</t>
  </si>
  <si>
    <t>R8N76_RS00675</t>
  </si>
  <si>
    <t>GNAT family N-acetyltransferase</t>
  </si>
  <si>
    <t>WP_000617037.1</t>
  </si>
  <si>
    <t>R8N76_RS00680</t>
  </si>
  <si>
    <t>5'-methylthioadenosine/S-adenosylhomocysteine nucleosidase</t>
  </si>
  <si>
    <t>mtnN</t>
  </si>
  <si>
    <t>WP_000151939.1</t>
  </si>
  <si>
    <t>R8N76_RS00685</t>
  </si>
  <si>
    <t>R8N76_RS00690</t>
  </si>
  <si>
    <t>bis(5'-nucleosyl)-tetraphosphatase (symmetrical) YqeK</t>
  </si>
  <si>
    <t>yqeK</t>
  </si>
  <si>
    <t>WP_000882440.1</t>
  </si>
  <si>
    <t>R8N76_RS00695</t>
  </si>
  <si>
    <t>response regulator transcription factor</t>
  </si>
  <si>
    <t>WP_001038807.1</t>
  </si>
  <si>
    <t>R8N76_RS00700</t>
  </si>
  <si>
    <t>cell wall metabolism sensor histidine kinase WalK</t>
  </si>
  <si>
    <t>WP_001243312.1</t>
  </si>
  <si>
    <t>R8N76_RS00705</t>
  </si>
  <si>
    <t>D-alanyl-D-alanine carboxypeptidase family protein</t>
  </si>
  <si>
    <t>WP_001160045.1</t>
  </si>
  <si>
    <t>R8N76_RS00710</t>
  </si>
  <si>
    <t>R8N76_RS00715</t>
  </si>
  <si>
    <t>DUF3956 domain-containing protein</t>
  </si>
  <si>
    <t>WP_000376554.1</t>
  </si>
  <si>
    <t>R8N76_RS00720</t>
  </si>
  <si>
    <t>WP_000136052.1</t>
  </si>
  <si>
    <t>R8N76_RS00725</t>
  </si>
  <si>
    <t>WP_000990082.1</t>
  </si>
  <si>
    <t>R8N76_RS00730</t>
  </si>
  <si>
    <t>WP_000535577.1</t>
  </si>
  <si>
    <t>R8N76_RS00735</t>
  </si>
  <si>
    <t>WP_172459103.1</t>
  </si>
  <si>
    <t>R8N76_RS00740</t>
  </si>
  <si>
    <t>R8N76_RS00745</t>
  </si>
  <si>
    <t>R8N76_RS00750</t>
  </si>
  <si>
    <t>acyl-CoA carboxylase subunit beta</t>
  </si>
  <si>
    <t>WP_000886744.1</t>
  </si>
  <si>
    <t>R8N76_RS00755</t>
  </si>
  <si>
    <t>enoyl-CoA hydratase</t>
  </si>
  <si>
    <t>WP_000939818.1</t>
  </si>
  <si>
    <t>R8N76_RS00760</t>
  </si>
  <si>
    <t>hydroxymethylglutaryl-CoA lyase</t>
  </si>
  <si>
    <t>mvaB</t>
  </si>
  <si>
    <t>WP_000775436.1</t>
  </si>
  <si>
    <t>R8N76_RS00765</t>
  </si>
  <si>
    <t>acetyl-CoA carboxylase biotin carboxyl carrier protein subunit</t>
  </si>
  <si>
    <t>WP_001987345.1</t>
  </si>
  <si>
    <t>R8N76_RS00770</t>
  </si>
  <si>
    <t>acetyl-CoA carboxylase biotin carboxylase subunit</t>
  </si>
  <si>
    <t>WP_000486761.1</t>
  </si>
  <si>
    <t>R8N76_RS00775</t>
  </si>
  <si>
    <t>acyl-CoA dehydrogenase</t>
  </si>
  <si>
    <t>WP_000397279.1</t>
  </si>
  <si>
    <t>R8N76_RS00780</t>
  </si>
  <si>
    <t>DUF523 and DUF1722 domain-containing protein</t>
  </si>
  <si>
    <t>WP_001248640.1</t>
  </si>
  <si>
    <t>R8N76_RS00785</t>
  </si>
  <si>
    <t>WGxxGxxG family protein</t>
  </si>
  <si>
    <t>WP_000728157.1</t>
  </si>
  <si>
    <t>R8N76_RS00790</t>
  </si>
  <si>
    <t>TetR/AcrR family transcriptional regulator</t>
  </si>
  <si>
    <t>WP_001168185.1</t>
  </si>
  <si>
    <t>R8N76_RS00795</t>
  </si>
  <si>
    <t>WP_001266729.1</t>
  </si>
  <si>
    <t>R8N76_RS00800</t>
  </si>
  <si>
    <t>ABC transporter ATP-binding protein</t>
  </si>
  <si>
    <t>WP_001187071.1</t>
  </si>
  <si>
    <t>R8N76_RS00805</t>
  </si>
  <si>
    <t>WP_000548621.1</t>
  </si>
  <si>
    <t>R8N76_RS00810</t>
  </si>
  <si>
    <t>metallophosphoesterase</t>
  </si>
  <si>
    <t>WP_000037684.1</t>
  </si>
  <si>
    <t>R8N76_RS00815</t>
  </si>
  <si>
    <t>R8N76_RS00820</t>
  </si>
  <si>
    <t>WP_000426600.1</t>
  </si>
  <si>
    <t>R8N76_RS00825</t>
  </si>
  <si>
    <t>class A beta-lactamase Bla1</t>
  </si>
  <si>
    <t>bla</t>
  </si>
  <si>
    <t>WP_033685397.1</t>
  </si>
  <si>
    <t>R8N76_RS00830</t>
  </si>
  <si>
    <t>WP_000662983.1</t>
  </si>
  <si>
    <t>R8N76_RS00835</t>
  </si>
  <si>
    <t>R8N76_RS00840</t>
  </si>
  <si>
    <t>SH3 domain-containing protein</t>
  </si>
  <si>
    <t>WP_001060762.1</t>
  </si>
  <si>
    <t>R8N76_RS00845</t>
  </si>
  <si>
    <t>R8N76_RS00850</t>
  </si>
  <si>
    <t>R8N76_RS00855</t>
  </si>
  <si>
    <t>serine hydrolase</t>
  </si>
  <si>
    <t>WP_001066665.1</t>
  </si>
  <si>
    <t>R8N76_RS00860</t>
  </si>
  <si>
    <t>colA</t>
  </si>
  <si>
    <t>R8N76_RS00865</t>
  </si>
  <si>
    <t>R8N76_RS00870</t>
  </si>
  <si>
    <t>WP_000433519.1</t>
  </si>
  <si>
    <t>R8N76_RS00875</t>
  </si>
  <si>
    <t>R8N76_RS00880</t>
  </si>
  <si>
    <t>R8N76_RS00885</t>
  </si>
  <si>
    <t>R8N76_RS00890</t>
  </si>
  <si>
    <t>WP_002196003.1</t>
  </si>
  <si>
    <t>R8N76_RS00895</t>
  </si>
  <si>
    <t>WP_000470149.1</t>
  </si>
  <si>
    <t>R8N76_RS00900</t>
  </si>
  <si>
    <t>lysozyme family protein</t>
  </si>
  <si>
    <t>WP_000655736.1</t>
  </si>
  <si>
    <t>R8N76_RS00905</t>
  </si>
  <si>
    <t>erythromycin esterase family protein</t>
  </si>
  <si>
    <t>WP_002164540.1</t>
  </si>
  <si>
    <t>R8N76_RS00910</t>
  </si>
  <si>
    <t>WP_033685121.1</t>
  </si>
  <si>
    <t>R8N76_RS00915</t>
  </si>
  <si>
    <t>thioesterase II family protein</t>
  </si>
  <si>
    <t>WP_001172947.1</t>
  </si>
  <si>
    <t>R8N76_RS00920</t>
  </si>
  <si>
    <t>4'-phosphopantetheinyl transferase superfamily protein</t>
  </si>
  <si>
    <t>WP_002195517.1</t>
  </si>
  <si>
    <t>R8N76_RS00925</t>
  </si>
  <si>
    <t>non-ribosomal peptide synthase/polyketide synthase</t>
  </si>
  <si>
    <t>WP_406627603.1</t>
  </si>
  <si>
    <t>R8N76_RS00930</t>
  </si>
  <si>
    <t>R8N76_RS00935</t>
  </si>
  <si>
    <t>R8N76_RS00940</t>
  </si>
  <si>
    <t>WP_000858621.1</t>
  </si>
  <si>
    <t>R8N76_RS00945</t>
  </si>
  <si>
    <t>SGNH/GDSL hydrolase family protein</t>
  </si>
  <si>
    <t>WP_000265880.1</t>
  </si>
  <si>
    <t>R8N76_RS00950</t>
  </si>
  <si>
    <t>R8N76_RS00955</t>
  </si>
  <si>
    <t>R8N76_RS00960</t>
  </si>
  <si>
    <t>CatB-related O-acetyltransferase</t>
  </si>
  <si>
    <t>WP_000876938.1</t>
  </si>
  <si>
    <t>R8N76_RS00965</t>
  </si>
  <si>
    <t>TSUP family transporter</t>
  </si>
  <si>
    <t>WP_000347994.1</t>
  </si>
  <si>
    <t>R8N76_RS00970</t>
  </si>
  <si>
    <t>WP_001032357.1</t>
  </si>
  <si>
    <t>R8N76_RS00975</t>
  </si>
  <si>
    <t>AbrB/MazE/SpoVT family DNA-binding domain-containing protein</t>
  </si>
  <si>
    <t>WP_000842216.1</t>
  </si>
  <si>
    <t>R8N76_RS00980</t>
  </si>
  <si>
    <t>R8N76_RS00985</t>
  </si>
  <si>
    <t>WP_000827560.1</t>
  </si>
  <si>
    <t>R8N76_RS00990</t>
  </si>
  <si>
    <t>WP_000517266.1</t>
  </si>
  <si>
    <t>R8N76_RS00995</t>
  </si>
  <si>
    <t>papain-like cysteine protease family protein</t>
  </si>
  <si>
    <t>WP_000664546.1</t>
  </si>
  <si>
    <t>R8N76_RS01000</t>
  </si>
  <si>
    <t>beta-Ala-His dipeptidase</t>
  </si>
  <si>
    <t>pepD</t>
  </si>
  <si>
    <t>WP_000287556.1</t>
  </si>
  <si>
    <t>R8N76_RS01005</t>
  </si>
  <si>
    <t>YxeA family protein</t>
  </si>
  <si>
    <t>WP_000713863.1</t>
  </si>
  <si>
    <t>R8N76_RS01010</t>
  </si>
  <si>
    <t>stage II sporulation protein SB</t>
  </si>
  <si>
    <t>spoIISB</t>
  </si>
  <si>
    <t>WP_000852629.1</t>
  </si>
  <si>
    <t>R8N76_RS01015</t>
  </si>
  <si>
    <t>R8N76_RS01020</t>
  </si>
  <si>
    <t>type II toxin-antitoxin system SpoIISA family toxin</t>
  </si>
  <si>
    <t>WP_000624977.1</t>
  </si>
  <si>
    <t>R8N76_RS01025</t>
  </si>
  <si>
    <t>2,3-diphosphoglycerate-dependent phosphoglycerate mutase</t>
  </si>
  <si>
    <t>gpmA</t>
  </si>
  <si>
    <t>WP_000594152.1</t>
  </si>
  <si>
    <t>R8N76_RS01030</t>
  </si>
  <si>
    <t>MarR family winged helix-turn-helix transcriptional regulator</t>
  </si>
  <si>
    <t>WP_000191888.1</t>
  </si>
  <si>
    <t>R8N76_RS01035</t>
  </si>
  <si>
    <t>alpha-keto acid decarboxylase family protein</t>
  </si>
  <si>
    <t>WP_002195513.1</t>
  </si>
  <si>
    <t>R8N76_RS01040</t>
  </si>
  <si>
    <t>R8N76_RS01045</t>
  </si>
  <si>
    <t>VOC family protein</t>
  </si>
  <si>
    <t>WP_000063587.1</t>
  </si>
  <si>
    <t>R8N76_RS01050</t>
  </si>
  <si>
    <t>WP_000846112.1</t>
  </si>
  <si>
    <t>R8N76_RS01055</t>
  </si>
  <si>
    <t>R8N76_RS01060</t>
  </si>
  <si>
    <t>WP_000342725.1</t>
  </si>
  <si>
    <t>R8N76_RS01065</t>
  </si>
  <si>
    <t>BC_2427 family protein</t>
  </si>
  <si>
    <t>WP_000795503.1</t>
  </si>
  <si>
    <t>R8N76_RS01070</t>
  </si>
  <si>
    <t>CsxC family protein</t>
  </si>
  <si>
    <t>WP_001294982.1</t>
  </si>
  <si>
    <t>R8N76_RS01075</t>
  </si>
  <si>
    <t>distal tail protein Dit</t>
  </si>
  <si>
    <t>WP_002195510.1</t>
  </si>
  <si>
    <t>R8N76_RS01080</t>
  </si>
  <si>
    <t>R8N76_RS01085</t>
  </si>
  <si>
    <t>R8N76_RS01090</t>
  </si>
  <si>
    <t>YjcZ family sporulation protein</t>
  </si>
  <si>
    <t>WP_000718601.1</t>
  </si>
  <si>
    <t>R8N76_RS01095</t>
  </si>
  <si>
    <t>WP_000718602.1</t>
  </si>
  <si>
    <t>R8N76_RS01100</t>
  </si>
  <si>
    <t>M6 family metalloprotease domain-containing protein</t>
  </si>
  <si>
    <t>WP_001188935.1</t>
  </si>
  <si>
    <t>R8N76_RS01105</t>
  </si>
  <si>
    <t>WP_001012102.1</t>
  </si>
  <si>
    <t>R8N76_RS01110</t>
  </si>
  <si>
    <t>WP_000166128.1</t>
  </si>
  <si>
    <t>R8N76_RS01115</t>
  </si>
  <si>
    <t>WP_001202055.1</t>
  </si>
  <si>
    <t>R8N76_RS01120</t>
  </si>
  <si>
    <t>WP_000682208.1</t>
  </si>
  <si>
    <t>R8N76_RS01125</t>
  </si>
  <si>
    <t>WP_000796389.1</t>
  </si>
  <si>
    <t>R8N76_RS01130</t>
  </si>
  <si>
    <t>WP_000546544.1</t>
  </si>
  <si>
    <t>R8N76_RS01135</t>
  </si>
  <si>
    <t>WP_001010965.1</t>
  </si>
  <si>
    <t>R8N76_RS01140</t>
  </si>
  <si>
    <t>exosporium leader peptide-containing protein</t>
  </si>
  <si>
    <t>WP_000087352.1</t>
  </si>
  <si>
    <t>R8N76_RS01145</t>
  </si>
  <si>
    <t>R8N76_RS01150</t>
  </si>
  <si>
    <t>R8N76_RS01155</t>
  </si>
  <si>
    <t>R8N76_RS01160</t>
  </si>
  <si>
    <t>WP_001111721.1</t>
  </si>
  <si>
    <t>R8N76_RS01165</t>
  </si>
  <si>
    <t>WP_001223578.1</t>
  </si>
  <si>
    <t>R8N76_RS01170</t>
  </si>
  <si>
    <t>WP_000033157.1</t>
  </si>
  <si>
    <t>R8N76_RS01175</t>
  </si>
  <si>
    <t>DEAD/DEAH box helicase</t>
  </si>
  <si>
    <t>WP_002195506.1</t>
  </si>
  <si>
    <t>R8N76_RS01180</t>
  </si>
  <si>
    <t>WP_000535035.1</t>
  </si>
  <si>
    <t>R8N76_RS01185</t>
  </si>
  <si>
    <t>MBL fold metallo-hydrolase</t>
  </si>
  <si>
    <t>WP_000691158.1</t>
  </si>
  <si>
    <t>R8N76_RS01190</t>
  </si>
  <si>
    <t>WP_000513517.1</t>
  </si>
  <si>
    <t>R8N76_RS01195</t>
  </si>
  <si>
    <t>YkvA family protein</t>
  </si>
  <si>
    <t>WP_000415082.1</t>
  </si>
  <si>
    <t>R8N76_RS01200</t>
  </si>
  <si>
    <t>tetracycline resistance MFS efflux pump</t>
  </si>
  <si>
    <t>WP_000021784.1</t>
  </si>
  <si>
    <t>R8N76_RS01205</t>
  </si>
  <si>
    <t>MarR family transcriptional regulator</t>
  </si>
  <si>
    <t>WP_001030904.1</t>
  </si>
  <si>
    <t>R8N76_RS01210</t>
  </si>
  <si>
    <t>bifunctional threonine ammonia-lyase/L-serine ammonia-lyase TdcB</t>
  </si>
  <si>
    <t>tdcB</t>
  </si>
  <si>
    <t>WP_000632959.1</t>
  </si>
  <si>
    <t>R8N76_RS01215</t>
  </si>
  <si>
    <t>R8N76_RS01220</t>
  </si>
  <si>
    <t>glycerol-3-phosphate 1-O-acyltransferase PlsY</t>
  </si>
  <si>
    <t>plsY</t>
  </si>
  <si>
    <t>WP_000610870.1</t>
  </si>
  <si>
    <t>R8N76_RS01225</t>
  </si>
  <si>
    <t>BadF/BadG/BcrA/BcrD ATPase family protein</t>
  </si>
  <si>
    <t>WP_000876587.1</t>
  </si>
  <si>
    <t>R8N76_RS01230</t>
  </si>
  <si>
    <t>anhydro-N-acetylmuramic acid kinase AnmK</t>
  </si>
  <si>
    <t>anmK</t>
  </si>
  <si>
    <t>WP_000274964.1</t>
  </si>
  <si>
    <t>R8N76_RS01235</t>
  </si>
  <si>
    <t>R8N76_RS01240</t>
  </si>
  <si>
    <t>PTS sugar transporter subunit IIC</t>
  </si>
  <si>
    <t>WP_001032280.1</t>
  </si>
  <si>
    <t>R8N76_RS01245</t>
  </si>
  <si>
    <t>PTS sugar transporter subunit IIB</t>
  </si>
  <si>
    <t>WP_000865907.1</t>
  </si>
  <si>
    <t>R8N76_RS01250</t>
  </si>
  <si>
    <t>glycoside hydrolase family 10 protein</t>
  </si>
  <si>
    <t>WP_000636000.1</t>
  </si>
  <si>
    <t>R8N76_RS01255</t>
  </si>
  <si>
    <t>R8N76_RS01260</t>
  </si>
  <si>
    <t>DUF3974 domain-containing protein</t>
  </si>
  <si>
    <t>WP_000008379.1</t>
  </si>
  <si>
    <t>R8N76_RS01265</t>
  </si>
  <si>
    <t>toxic anion resistance protein</t>
  </si>
  <si>
    <t>WP_000137402.1</t>
  </si>
  <si>
    <t>R8N76_RS01270</t>
  </si>
  <si>
    <t>O-methyltransferase</t>
  </si>
  <si>
    <t>WP_033685480.1</t>
  </si>
  <si>
    <t>R8N76_RS01275</t>
  </si>
  <si>
    <t>WP_001100984.1</t>
  </si>
  <si>
    <t>R8N76_RS01280</t>
  </si>
  <si>
    <t>sigma-70 family RNA polymerase sigma factor</t>
  </si>
  <si>
    <t>WP_000447162.1</t>
  </si>
  <si>
    <t>R8N76_RS01285</t>
  </si>
  <si>
    <t>NAD(P)/FAD-dependent oxidoreductase</t>
  </si>
  <si>
    <t>WP_000713010.1</t>
  </si>
  <si>
    <t>R8N76_RS01290</t>
  </si>
  <si>
    <t>luciferase family protein</t>
  </si>
  <si>
    <t>WP_000010320.1</t>
  </si>
  <si>
    <t>R8N76_RS01295</t>
  </si>
  <si>
    <t>R8N76_RS01300</t>
  </si>
  <si>
    <t>exosporium glycoprotein BclB-related protein</t>
  </si>
  <si>
    <t>WP_000203317.1</t>
  </si>
  <si>
    <t>R8N76_RS01305</t>
  </si>
  <si>
    <t>DUF4183 domain-containing protein</t>
  </si>
  <si>
    <t>WP_011110088.1</t>
  </si>
  <si>
    <t>R8N76_RS01310</t>
  </si>
  <si>
    <t>R8N76_RS01315</t>
  </si>
  <si>
    <t>WP_000391295.1</t>
  </si>
  <si>
    <t>R8N76_RS01320</t>
  </si>
  <si>
    <t>LysE family transporter</t>
  </si>
  <si>
    <t>WP_001121273.1</t>
  </si>
  <si>
    <t>R8N76_RS01325</t>
  </si>
  <si>
    <t>R8N76_RS01330</t>
  </si>
  <si>
    <t>WP_000774115.1</t>
  </si>
  <si>
    <t>R8N76_RS01335</t>
  </si>
  <si>
    <t>WP_001123247.1</t>
  </si>
  <si>
    <t>R8N76_RS01340</t>
  </si>
  <si>
    <t>exosporium protein ExsF</t>
  </si>
  <si>
    <t>exsF</t>
  </si>
  <si>
    <t>WP_001257867.1</t>
  </si>
  <si>
    <t>R8N76_RS01345</t>
  </si>
  <si>
    <t>WP_001243554.1</t>
  </si>
  <si>
    <t>R8N76_RS01350</t>
  </si>
  <si>
    <t>WP_000834783.1</t>
  </si>
  <si>
    <t>R8N76_RS01355</t>
  </si>
  <si>
    <t>DUF1349 domain-containing protein</t>
  </si>
  <si>
    <t>WP_001027672.1</t>
  </si>
  <si>
    <t>R8N76_RS01360</t>
  </si>
  <si>
    <t>WP_000528678.1</t>
  </si>
  <si>
    <t>R8N76_RS01365</t>
  </si>
  <si>
    <t>MOSC domain-containing protein</t>
  </si>
  <si>
    <t>WP_001262990.1</t>
  </si>
  <si>
    <t>R8N76_RS01370</t>
  </si>
  <si>
    <t>LysR family transcriptional regulator</t>
  </si>
  <si>
    <t>WP_000612250.1</t>
  </si>
  <si>
    <t>R8N76_RS01375</t>
  </si>
  <si>
    <t>WP_033685113.1</t>
  </si>
  <si>
    <t>R8N76_RS01380</t>
  </si>
  <si>
    <t>C45 family peptidase</t>
  </si>
  <si>
    <t>WP_000285230.1</t>
  </si>
  <si>
    <t>R8N76_RS01385</t>
  </si>
  <si>
    <t>WP_000093107.1</t>
  </si>
  <si>
    <t>R8N76_RS01390</t>
  </si>
  <si>
    <t>aspartate-semialdehyde dehydrogenase</t>
  </si>
  <si>
    <t>WP_000591709.1</t>
  </si>
  <si>
    <t>R8N76_RS01395</t>
  </si>
  <si>
    <t>WP_000425897.1</t>
  </si>
  <si>
    <t>R8N76_RS01400</t>
  </si>
  <si>
    <t>PRK06770 family protein</t>
  </si>
  <si>
    <t>WP_000846980.1</t>
  </si>
  <si>
    <t>R8N76_RS01405</t>
  </si>
  <si>
    <t>AAA family ATPase</t>
  </si>
  <si>
    <t>WP_002195492.1</t>
  </si>
  <si>
    <t>R8N76_RS01410</t>
  </si>
  <si>
    <t>WP_000794819.1</t>
  </si>
  <si>
    <t>R8N76_RS01415</t>
  </si>
  <si>
    <t>cold-shock protein CspD</t>
  </si>
  <si>
    <t>cspD</t>
  </si>
  <si>
    <t>WP_000176366.1</t>
  </si>
  <si>
    <t>R8N76_RS01420</t>
  </si>
  <si>
    <t>cold-shock protein</t>
  </si>
  <si>
    <t>WP_000286203.1</t>
  </si>
  <si>
    <t>R8N76_RS01425</t>
  </si>
  <si>
    <t>WP_000885396.1</t>
  </si>
  <si>
    <t>R8N76_RS01430</t>
  </si>
  <si>
    <t>WP_000275239.1</t>
  </si>
  <si>
    <t>R8N76_RS01435</t>
  </si>
  <si>
    <t>protoporphyrinogen oxidase</t>
  </si>
  <si>
    <t>WP_000860348.1</t>
  </si>
  <si>
    <t>R8N76_RS01440</t>
  </si>
  <si>
    <t>aspartyl-phosphate phosphatase Spo0E family protein</t>
  </si>
  <si>
    <t>WP_000417698.1</t>
  </si>
  <si>
    <t>R8N76_RS01445</t>
  </si>
  <si>
    <t>WP_000415694.1</t>
  </si>
  <si>
    <t>R8N76_RS01450</t>
  </si>
  <si>
    <t>WP_000581032.1</t>
  </si>
  <si>
    <t>R8N76_RS01455</t>
  </si>
  <si>
    <t>DMT family transporter</t>
  </si>
  <si>
    <t>WP_000841810.1</t>
  </si>
  <si>
    <t>R8N76_RS01460</t>
  </si>
  <si>
    <t>WP_000512624.1</t>
  </si>
  <si>
    <t>R8N76_RS01465</t>
  </si>
  <si>
    <t>WP_002025165.1</t>
  </si>
  <si>
    <t>R8N76_RS01470</t>
  </si>
  <si>
    <t>WP_000673968.1</t>
  </si>
  <si>
    <t>R8N76_RS01475</t>
  </si>
  <si>
    <t>R8N76_RS01480</t>
  </si>
  <si>
    <t>IS200/IS605 family transposase</t>
  </si>
  <si>
    <t>WP_000606465.1</t>
  </si>
  <si>
    <t>R8N76_RS01485</t>
  </si>
  <si>
    <t>DUF4021 domain-containing protein</t>
  </si>
  <si>
    <t>WP_001060657.1</t>
  </si>
  <si>
    <t>R8N76_RS01490</t>
  </si>
  <si>
    <t>IS3-like element ISBce18 family transposase</t>
  </si>
  <si>
    <t>WP_113732220.1</t>
  </si>
  <si>
    <t>R8N76_RS01495</t>
  </si>
  <si>
    <t>MMPL family transporter</t>
  </si>
  <si>
    <t>WP_000716596.1</t>
  </si>
  <si>
    <t>R8N76_RS01500</t>
  </si>
  <si>
    <t>WP_000436013.1</t>
  </si>
  <si>
    <t>R8N76_RS01505</t>
  </si>
  <si>
    <t>WP_000401480.1</t>
  </si>
  <si>
    <t>R8N76_RS01510</t>
  </si>
  <si>
    <t>WP_000431726.1</t>
  </si>
  <si>
    <t>R8N76_RS01515</t>
  </si>
  <si>
    <t>WP_001072682.1</t>
  </si>
  <si>
    <t>R8N76_RS01520</t>
  </si>
  <si>
    <t>WP_000579028.1</t>
  </si>
  <si>
    <t>R8N76_RS01525</t>
  </si>
  <si>
    <t>Crp/Fnr family transcriptional regulator</t>
  </si>
  <si>
    <t>WP_000431609.1</t>
  </si>
  <si>
    <t>R8N76_RS01530</t>
  </si>
  <si>
    <t>WP_000676257.1</t>
  </si>
  <si>
    <t>R8N76_RS01535</t>
  </si>
  <si>
    <t>R8N76_RS01540</t>
  </si>
  <si>
    <t>DUF2441 domain-containing protein</t>
  </si>
  <si>
    <t>WP_001005956.1</t>
  </si>
  <si>
    <t>R8N76_RS01545</t>
  </si>
  <si>
    <t>nucleoside hydrolase</t>
  </si>
  <si>
    <t>WP_002195488.1</t>
  </si>
  <si>
    <t>R8N76_RS01550</t>
  </si>
  <si>
    <t>WP_406627559.1</t>
  </si>
  <si>
    <t>R8N76_RS01555</t>
  </si>
  <si>
    <t>R8N76_RS01560</t>
  </si>
  <si>
    <t>R8N76_RS01565</t>
  </si>
  <si>
    <t>R8N76_RS01570</t>
  </si>
  <si>
    <t>ABC transporter permease subunit</t>
  </si>
  <si>
    <t>WP_406627560.1</t>
  </si>
  <si>
    <t>R8N76_RS01575</t>
  </si>
  <si>
    <t>R8N76_RS01580</t>
  </si>
  <si>
    <t>FtsX-like permease family protein</t>
  </si>
  <si>
    <t>WP_000897854.1</t>
  </si>
  <si>
    <t>R8N76_RS01585</t>
  </si>
  <si>
    <t>WP_000106426.1</t>
  </si>
  <si>
    <t>R8N76_RS01590</t>
  </si>
  <si>
    <t>threonine--tRNA ligase</t>
  </si>
  <si>
    <t>thrS</t>
  </si>
  <si>
    <t>WP_000663098.1</t>
  </si>
  <si>
    <t>R8N76_RS01595</t>
  </si>
  <si>
    <t>23S rRNA pseudouridine(2604) synthase RluF</t>
  </si>
  <si>
    <t>rluF</t>
  </si>
  <si>
    <t>WP_001222171.1</t>
  </si>
  <si>
    <t>R8N76_RS01600</t>
  </si>
  <si>
    <t>YdbC family protein</t>
  </si>
  <si>
    <t>WP_000925179.1</t>
  </si>
  <si>
    <t>R8N76_RS01605</t>
  </si>
  <si>
    <t>WP_002197739.1</t>
  </si>
  <si>
    <t>R8N76_RS01610</t>
  </si>
  <si>
    <t>WP_001170889.1</t>
  </si>
  <si>
    <t>R8N76_RS01615</t>
  </si>
  <si>
    <t>sodium:alanine symporter family protein</t>
  </si>
  <si>
    <t>WP_000451037.1</t>
  </si>
  <si>
    <t>R8N76_RS01620</t>
  </si>
  <si>
    <t>S8 family peptidase</t>
  </si>
  <si>
    <t>WP_000790938.1</t>
  </si>
  <si>
    <t>R8N76_RS01625</t>
  </si>
  <si>
    <t>DinB family protein</t>
  </si>
  <si>
    <t>WP_000656267.1</t>
  </si>
  <si>
    <t>R8N76_RS01630</t>
  </si>
  <si>
    <t>DUF3891 family protein</t>
  </si>
  <si>
    <t>WP_000577297.1</t>
  </si>
  <si>
    <t>R8N76_RS01635</t>
  </si>
  <si>
    <t>HU family DNA-binding protein</t>
  </si>
  <si>
    <t>WP_001043905.1</t>
  </si>
  <si>
    <t>R8N76_RS01640</t>
  </si>
  <si>
    <t>WP_000959125.1</t>
  </si>
  <si>
    <t>R8N76_RS01645</t>
  </si>
  <si>
    <t>4'-phosphopantetheinyl transferase Sfp</t>
  </si>
  <si>
    <t>sfp</t>
  </si>
  <si>
    <t>WP_000573004.1</t>
  </si>
  <si>
    <t>R8N76_RS01650</t>
  </si>
  <si>
    <t>MDR family MFS transporter</t>
  </si>
  <si>
    <t>WP_000660195.1</t>
  </si>
  <si>
    <t>R8N76_RS01655</t>
  </si>
  <si>
    <t>MbtH family protein</t>
  </si>
  <si>
    <t>WP_000184055.1</t>
  </si>
  <si>
    <t>R8N76_RS01660</t>
  </si>
  <si>
    <t>non-ribosomal peptide synthetase</t>
  </si>
  <si>
    <t>WP_001133931.1</t>
  </si>
  <si>
    <t>R8N76_RS01665</t>
  </si>
  <si>
    <t>isochorismatase family protein</t>
  </si>
  <si>
    <t>WP_001007255.1</t>
  </si>
  <si>
    <t>R8N76_RS01670</t>
  </si>
  <si>
    <t>(2,3-dihydroxybenzoyl)adenylate synthase</t>
  </si>
  <si>
    <t>WP_000960113.1</t>
  </si>
  <si>
    <t>R8N76_RS01675</t>
  </si>
  <si>
    <t>isochorismate synthase DhbC</t>
  </si>
  <si>
    <t>dhbC</t>
  </si>
  <si>
    <t>WP_001002067.1</t>
  </si>
  <si>
    <t>R8N76_RS01680</t>
  </si>
  <si>
    <t>2,3-dihydro-2,3-dihydroxybenzoate dehydrogenase</t>
  </si>
  <si>
    <t>dhbA</t>
  </si>
  <si>
    <t>WP_001048437.1</t>
  </si>
  <si>
    <t>R8N76_RS01685</t>
  </si>
  <si>
    <t>OFA family MFS transporter</t>
  </si>
  <si>
    <t>WP_000750111.1</t>
  </si>
  <si>
    <t>R8N76_RS01690</t>
  </si>
  <si>
    <t>WP_000627304.1</t>
  </si>
  <si>
    <t>R8N76_RS01695</t>
  </si>
  <si>
    <t>YkvS family protein</t>
  </si>
  <si>
    <t>WP_000646793.1</t>
  </si>
  <si>
    <t>R8N76_RS01700</t>
  </si>
  <si>
    <t>WP_000214801.1</t>
  </si>
  <si>
    <t>R8N76_RS01705</t>
  </si>
  <si>
    <t>WP_001141668.1</t>
  </si>
  <si>
    <t>R8N76_RS01710</t>
  </si>
  <si>
    <t>WP_001247465.1</t>
  </si>
  <si>
    <t>R8N76_RS01715</t>
  </si>
  <si>
    <t>exonuclease SbcCD subunit D</t>
  </si>
  <si>
    <t>WP_000765153.1</t>
  </si>
  <si>
    <t>R8N76_RS01720</t>
  </si>
  <si>
    <t>DUF2584 family protein</t>
  </si>
  <si>
    <t>WP_000667342.1</t>
  </si>
  <si>
    <t>R8N76_RS01725</t>
  </si>
  <si>
    <t>WP_001119404.1</t>
  </si>
  <si>
    <t>R8N76_RS01730</t>
  </si>
  <si>
    <t>enoyl-CoA hydratase/isomerase family protein</t>
  </si>
  <si>
    <t>WP_000139775.1</t>
  </si>
  <si>
    <t>R8N76_RS01735</t>
  </si>
  <si>
    <t>LysE family translocator</t>
  </si>
  <si>
    <t>WP_000572360.1</t>
  </si>
  <si>
    <t>R8N76_RS01740</t>
  </si>
  <si>
    <t>CoA-acylating methylmalonate-semialdehyde dehydrogenase</t>
  </si>
  <si>
    <t>WP_000633344.1</t>
  </si>
  <si>
    <t>R8N76_RS01745</t>
  </si>
  <si>
    <t>WP_000719409.1</t>
  </si>
  <si>
    <t>R8N76_RS01750</t>
  </si>
  <si>
    <t>acyl-CoA dehydrogenase family protein</t>
  </si>
  <si>
    <t>WP_000415995.1</t>
  </si>
  <si>
    <t>R8N76_RS01755</t>
  </si>
  <si>
    <t>methylisocitrate lyase</t>
  </si>
  <si>
    <t>prpB</t>
  </si>
  <si>
    <t>WP_000312639.1</t>
  </si>
  <si>
    <t>R8N76_RS01760</t>
  </si>
  <si>
    <t>2-methylcitrate dehydratase</t>
  </si>
  <si>
    <t>prpD</t>
  </si>
  <si>
    <t>WP_000598123.1</t>
  </si>
  <si>
    <t>R8N76_RS01765</t>
  </si>
  <si>
    <t>mmgD</t>
  </si>
  <si>
    <t>R8N76_RS01770</t>
  </si>
  <si>
    <t>HesB/YadR/YfhF family protein</t>
  </si>
  <si>
    <t>WP_001222842.1</t>
  </si>
  <si>
    <t>R8N76_RS01775</t>
  </si>
  <si>
    <t>WP_000440662.1</t>
  </si>
  <si>
    <t>R8N76_RS01780</t>
  </si>
  <si>
    <t>WP_000270101.1</t>
  </si>
  <si>
    <t>R8N76_RS01785</t>
  </si>
  <si>
    <t>R8N76_RS01790</t>
  </si>
  <si>
    <t>KTSC domain-containing protein</t>
  </si>
  <si>
    <t>WP_000977081.1</t>
  </si>
  <si>
    <t>R8N76_RS01795</t>
  </si>
  <si>
    <t>YqaE/Pmp3 family membrane protein</t>
  </si>
  <si>
    <t>WP_000990233.1</t>
  </si>
  <si>
    <t>R8N76_RS01800</t>
  </si>
  <si>
    <t>DUF6944 family repetitive protein</t>
  </si>
  <si>
    <t>WP_001070035.1</t>
  </si>
  <si>
    <t>R8N76_RS01805</t>
  </si>
  <si>
    <t>WP_000823061.1</t>
  </si>
  <si>
    <t>R8N76_RS01810</t>
  </si>
  <si>
    <t>R8N76_RS01815</t>
  </si>
  <si>
    <t>WP_000651907.1</t>
  </si>
  <si>
    <t>R8N76_RS01820</t>
  </si>
  <si>
    <t>spore germination protein GerPF</t>
  </si>
  <si>
    <t>gerPF</t>
  </si>
  <si>
    <t>WP_001141569.1</t>
  </si>
  <si>
    <t>R8N76_RS01825</t>
  </si>
  <si>
    <t>YolD-like family protein</t>
  </si>
  <si>
    <t>WP_002024004.1</t>
  </si>
  <si>
    <t>R8N76_RS01830</t>
  </si>
  <si>
    <t>WP_000050503.1</t>
  </si>
  <si>
    <t>R8N76_RS01835</t>
  </si>
  <si>
    <t>WP_000864275.1</t>
  </si>
  <si>
    <t>R8N76_RS01840</t>
  </si>
  <si>
    <t>peptidylprolyl isomerase PrsA</t>
  </si>
  <si>
    <t>WP_000727349.1</t>
  </si>
  <si>
    <t>R8N76_RS01845</t>
  </si>
  <si>
    <t>glycoside hydrolase family 25 protein</t>
  </si>
  <si>
    <t>WP_000540652.1</t>
  </si>
  <si>
    <t>R8N76_RS01850</t>
  </si>
  <si>
    <t>WP_000392281.1</t>
  </si>
  <si>
    <t>R8N76_RS01855</t>
  </si>
  <si>
    <t>WP_000412555.1</t>
  </si>
  <si>
    <t>R8N76_RS01860</t>
  </si>
  <si>
    <t>WP_000122943.1</t>
  </si>
  <si>
    <t>R8N76_RS01865</t>
  </si>
  <si>
    <t>C1q-like domain-containing protein</t>
  </si>
  <si>
    <t>WP_002182716.1</t>
  </si>
  <si>
    <t>R8N76_RS01870</t>
  </si>
  <si>
    <t>DUF3947 family protein</t>
  </si>
  <si>
    <t>WP_000500098.1</t>
  </si>
  <si>
    <t>R8N76_RS01875</t>
  </si>
  <si>
    <t>WP_000355695.1</t>
  </si>
  <si>
    <t>R8N76_RS01880</t>
  </si>
  <si>
    <t>R8N76_RS01885</t>
  </si>
  <si>
    <t>WP_000627261.1</t>
  </si>
  <si>
    <t>R8N76_RS01890</t>
  </si>
  <si>
    <t>co-chaperone YbbN</t>
  </si>
  <si>
    <t>WP_000658787.1</t>
  </si>
  <si>
    <t>R8N76_RS01895</t>
  </si>
  <si>
    <t>cation diffusion facilitator family transporter</t>
  </si>
  <si>
    <t>WP_000380385.1</t>
  </si>
  <si>
    <t>R8N76_RS01900</t>
  </si>
  <si>
    <t>phosphatase PAP2 family protein</t>
  </si>
  <si>
    <t>WP_000833370.1</t>
  </si>
  <si>
    <t>R8N76_RS01905</t>
  </si>
  <si>
    <t>sporulation protein</t>
  </si>
  <si>
    <t>WP_000486625.1</t>
  </si>
  <si>
    <t>R8N76_RS01910</t>
  </si>
  <si>
    <t>protein kinase domain-containing protein</t>
  </si>
  <si>
    <t>WP_000872063.1</t>
  </si>
  <si>
    <t>R8N76_RS01915</t>
  </si>
  <si>
    <t>WP_000473371.1</t>
  </si>
  <si>
    <t>R8N76_RS01920</t>
  </si>
  <si>
    <t>YozD family protein</t>
  </si>
  <si>
    <t>WP_000658451.1</t>
  </si>
  <si>
    <t>R8N76_RS01925</t>
  </si>
  <si>
    <t>DUF3930 family protein</t>
  </si>
  <si>
    <t>WP_000431486.1</t>
  </si>
  <si>
    <t>R8N76_RS01930</t>
  </si>
  <si>
    <t>WP_000101499.1</t>
  </si>
  <si>
    <t>R8N76_RS01935</t>
  </si>
  <si>
    <t>YozE family protein</t>
  </si>
  <si>
    <t>WP_000750717.1</t>
  </si>
  <si>
    <t>R8N76_RS01940</t>
  </si>
  <si>
    <t>YokU family protein</t>
  </si>
  <si>
    <t>WP_000995763.1</t>
  </si>
  <si>
    <t>R8N76_RS01945</t>
  </si>
  <si>
    <t>lysine 2,3-aminomutase</t>
  </si>
  <si>
    <t>ablA</t>
  </si>
  <si>
    <t>WP_000902142.1</t>
  </si>
  <si>
    <t>R8N76_RS01950</t>
  </si>
  <si>
    <t>arginine utilization transcriptional regulator RocR</t>
  </si>
  <si>
    <t>rocR</t>
  </si>
  <si>
    <t>WP_011110073.1</t>
  </si>
  <si>
    <t>R8N76_RS01955</t>
  </si>
  <si>
    <t>putative beta-lysine N-acetyltransferase</t>
  </si>
  <si>
    <t>ablB</t>
  </si>
  <si>
    <t>WP_000878594.1</t>
  </si>
  <si>
    <t>R8N76_RS01960</t>
  </si>
  <si>
    <t>peptidase</t>
  </si>
  <si>
    <t>WP_000436698.1</t>
  </si>
  <si>
    <t>R8N76_RS01965</t>
  </si>
  <si>
    <t>CoA transferase subunit B</t>
  </si>
  <si>
    <t>WP_000525293.1</t>
  </si>
  <si>
    <t>R8N76_RS01970</t>
  </si>
  <si>
    <t>acetate CoA-transferase subunit alpha</t>
  </si>
  <si>
    <t>atoD</t>
  </si>
  <si>
    <t>WP_000208102.1</t>
  </si>
  <si>
    <t>R8N76_RS01975</t>
  </si>
  <si>
    <t>aspartate aminotransferase family protein</t>
  </si>
  <si>
    <t>WP_001205882.1</t>
  </si>
  <si>
    <t>R8N76_RS01980</t>
  </si>
  <si>
    <t>DUF4397 domain-containing protein</t>
  </si>
  <si>
    <t>WP_000083284.1</t>
  </si>
  <si>
    <t>R8N76_RS01985</t>
  </si>
  <si>
    <t>BA2291 family sporulation histidine kinase</t>
  </si>
  <si>
    <t>WP_000425084.1</t>
  </si>
  <si>
    <t>R8N76_RS01990</t>
  </si>
  <si>
    <t>YueI family protein</t>
  </si>
  <si>
    <t>WP_000247558.1</t>
  </si>
  <si>
    <t>R8N76_RS01995</t>
  </si>
  <si>
    <t>R8N76_RS02000</t>
  </si>
  <si>
    <t>hemolysin family protein</t>
  </si>
  <si>
    <t>WP_000356252.1</t>
  </si>
  <si>
    <t>R8N76_RS02005</t>
  </si>
  <si>
    <t>chromosome-anchoring protein RacA</t>
  </si>
  <si>
    <t>racA</t>
  </si>
  <si>
    <t>WP_000456023.1</t>
  </si>
  <si>
    <t>R8N76_RS02010</t>
  </si>
  <si>
    <t>WP_000487796.1</t>
  </si>
  <si>
    <t>R8N76_RS02015</t>
  </si>
  <si>
    <t>WP_001178729.1</t>
  </si>
  <si>
    <t>R8N76_RS02020</t>
  </si>
  <si>
    <t>WP_000766187.1</t>
  </si>
  <si>
    <t>R8N76_RS02025</t>
  </si>
  <si>
    <t>WP_000391445.1</t>
  </si>
  <si>
    <t>R8N76_RS02030</t>
  </si>
  <si>
    <t>basic amino acid/polyamine antiporter</t>
  </si>
  <si>
    <t>WP_000129444.1</t>
  </si>
  <si>
    <t>R8N76_RS02035</t>
  </si>
  <si>
    <t>ABC transporter permease/substrate-binding protein</t>
  </si>
  <si>
    <t>WP_000181014.1</t>
  </si>
  <si>
    <t>R8N76_RS02040</t>
  </si>
  <si>
    <t>WP_000614089.1</t>
  </si>
  <si>
    <t>R8N76_RS02045</t>
  </si>
  <si>
    <t>YdcF family protein</t>
  </si>
  <si>
    <t>WP_001045715.1</t>
  </si>
  <si>
    <t>R8N76_RS02050</t>
  </si>
  <si>
    <t>WP_000097166.1</t>
  </si>
  <si>
    <t>R8N76_RS02055</t>
  </si>
  <si>
    <t>NADPH-dependent FMN reductase</t>
  </si>
  <si>
    <t>WP_000780355.1</t>
  </si>
  <si>
    <t>R8N76_RS02060</t>
  </si>
  <si>
    <t>WP_000420428.1</t>
  </si>
  <si>
    <t>R8N76_RS02065</t>
  </si>
  <si>
    <t>glycosyltransferase</t>
  </si>
  <si>
    <t>WP_000526219.1</t>
  </si>
  <si>
    <t>R8N76_RS02070</t>
  </si>
  <si>
    <t>DUF2711 domain-containing protein</t>
  </si>
  <si>
    <t>WP_000888158.1</t>
  </si>
  <si>
    <t>R8N76_RS02075</t>
  </si>
  <si>
    <t>phosphogluconate dehydrogenase (NAD(+)-dependent, decarboxylating)</t>
  </si>
  <si>
    <t>gnd</t>
  </si>
  <si>
    <t>WP_000765995.1</t>
  </si>
  <si>
    <t>R8N76_RS02080</t>
  </si>
  <si>
    <t>GntP family permease</t>
  </si>
  <si>
    <t>WP_000260208.1</t>
  </si>
  <si>
    <t>R8N76_RS02085</t>
  </si>
  <si>
    <t>gluconokinase</t>
  </si>
  <si>
    <t>gntK</t>
  </si>
  <si>
    <t>WP_000450003.1</t>
  </si>
  <si>
    <t>R8N76_RS02090</t>
  </si>
  <si>
    <t>WP_000932683.1</t>
  </si>
  <si>
    <t>R8N76_RS02095</t>
  </si>
  <si>
    <t>WP_000836565.1</t>
  </si>
  <si>
    <t>R8N76_RS02100</t>
  </si>
  <si>
    <t>adhP</t>
  </si>
  <si>
    <t>R8N76_RS02105</t>
  </si>
  <si>
    <t>PhzF family phenazine biosynthesis protein</t>
  </si>
  <si>
    <t>WP_000704350.1</t>
  </si>
  <si>
    <t>R8N76_RS02110</t>
  </si>
  <si>
    <t>MurR/RpiR family transcriptional regulator</t>
  </si>
  <si>
    <t>WP_001119646.1</t>
  </si>
  <si>
    <t>R8N76_RS02115</t>
  </si>
  <si>
    <t>two-component system response regulator CasR</t>
  </si>
  <si>
    <t>casR</t>
  </si>
  <si>
    <t>WP_000694623.1</t>
  </si>
  <si>
    <t>R8N76_RS02120</t>
  </si>
  <si>
    <t>two-component system sensor histidine kinase CasK</t>
  </si>
  <si>
    <t>casK</t>
  </si>
  <si>
    <t>WP_171287445.1</t>
  </si>
  <si>
    <t>R8N76_RS02125</t>
  </si>
  <si>
    <t>mechanosensitive ion channel family protein</t>
  </si>
  <si>
    <t>WP_000055427.1</t>
  </si>
  <si>
    <t>R8N76_RS02130</t>
  </si>
  <si>
    <t>Hsp20/alpha crystallin family protein</t>
  </si>
  <si>
    <t>WP_001245055.1</t>
  </si>
  <si>
    <t>R8N76_RS02135</t>
  </si>
  <si>
    <t>cysteine hydrolase family protein</t>
  </si>
  <si>
    <t>WP_000816763.1</t>
  </si>
  <si>
    <t>R8N76_RS02140</t>
  </si>
  <si>
    <t>WP_011110070.1</t>
  </si>
  <si>
    <t>R8N76_RS02145</t>
  </si>
  <si>
    <t>WP_000713496.1</t>
  </si>
  <si>
    <t>R8N76_RS02150</t>
  </si>
  <si>
    <t>nitroreductase family protein</t>
  </si>
  <si>
    <t>WP_001105288.1</t>
  </si>
  <si>
    <t>R8N76_RS02155</t>
  </si>
  <si>
    <t>D-amino-acid transaminase</t>
  </si>
  <si>
    <t>dat</t>
  </si>
  <si>
    <t>WP_000648386.1</t>
  </si>
  <si>
    <t>R8N76_RS02160</t>
  </si>
  <si>
    <t>ABC transporter substrate-binding protein</t>
  </si>
  <si>
    <t>WP_000581989.1</t>
  </si>
  <si>
    <t>R8N76_RS02165</t>
  </si>
  <si>
    <t>N-acetylmuramoyl-L-alanine amidase</t>
  </si>
  <si>
    <t>WP_000779891.1</t>
  </si>
  <si>
    <t>R8N76_RS02170</t>
  </si>
  <si>
    <t>WP_000200456.1</t>
  </si>
  <si>
    <t>R8N76_RS02175</t>
  </si>
  <si>
    <t>WP_000627520.1</t>
  </si>
  <si>
    <t>R8N76_RS02180</t>
  </si>
  <si>
    <t>asparagine synthase (glutamine-hydrolyzing)</t>
  </si>
  <si>
    <t>asnB</t>
  </si>
  <si>
    <t>WP_000333816.1</t>
  </si>
  <si>
    <t>R8N76_RS02185</t>
  </si>
  <si>
    <t>WP_001288085.1</t>
  </si>
  <si>
    <t>R8N76_RS02190</t>
  </si>
  <si>
    <t>SCO family protein</t>
  </si>
  <si>
    <t>WP_000833331.1</t>
  </si>
  <si>
    <t>R8N76_RS02195</t>
  </si>
  <si>
    <t>WP_001129632.1</t>
  </si>
  <si>
    <t>R8N76_RS02200</t>
  </si>
  <si>
    <t>DegV family protein</t>
  </si>
  <si>
    <t>WP_001169470.1</t>
  </si>
  <si>
    <t>R8N76_RS02205</t>
  </si>
  <si>
    <t>DUF2535 family protein</t>
  </si>
  <si>
    <t>WP_000629012.1</t>
  </si>
  <si>
    <t>R8N76_RS02210</t>
  </si>
  <si>
    <t>twin-arginine translocase subunit TatC</t>
  </si>
  <si>
    <t>tatC</t>
  </si>
  <si>
    <t>WP_000431523.1</t>
  </si>
  <si>
    <t>R8N76_RS02215</t>
  </si>
  <si>
    <t>twin-arginine translocase TatA/TatE family subunit</t>
  </si>
  <si>
    <t>WP_000492443.1</t>
  </si>
  <si>
    <t>R8N76_RS02220</t>
  </si>
  <si>
    <t>hemolysin III family protein</t>
  </si>
  <si>
    <t>WP_000136889.1</t>
  </si>
  <si>
    <t>R8N76_RS02225</t>
  </si>
  <si>
    <t>1-acyl-sn-glycerol-3-phosphate acyltransferase</t>
  </si>
  <si>
    <t>WP_000616577.1</t>
  </si>
  <si>
    <t>R8N76_RS02230</t>
  </si>
  <si>
    <t>FMN-dependent NADH-azoreductase</t>
  </si>
  <si>
    <t>WP_000170025.1</t>
  </si>
  <si>
    <t>R8N76_RS02235</t>
  </si>
  <si>
    <t>penicillin-binding protein 3</t>
  </si>
  <si>
    <t>pbpC</t>
  </si>
  <si>
    <t>WP_001227239.1</t>
  </si>
  <si>
    <t>R8N76_RS02240</t>
  </si>
  <si>
    <t>dihydrofolate reductase</t>
  </si>
  <si>
    <t>WP_000637205.1</t>
  </si>
  <si>
    <t>R8N76_RS02245</t>
  </si>
  <si>
    <t>thymidylate synthase</t>
  </si>
  <si>
    <t>WP_000679609.1</t>
  </si>
  <si>
    <t>R8N76_RS02250</t>
  </si>
  <si>
    <t>WP_000034322.1</t>
  </si>
  <si>
    <t>R8N76_RS02255</t>
  </si>
  <si>
    <t>WP_000692087.1</t>
  </si>
  <si>
    <t>R8N76_RS02260</t>
  </si>
  <si>
    <t>WP_001094664.1</t>
  </si>
  <si>
    <t>R8N76_RS02265</t>
  </si>
  <si>
    <t>HAD family hydrolase</t>
  </si>
  <si>
    <t>WP_025687389.1</t>
  </si>
  <si>
    <t>R8N76_RS02270</t>
  </si>
  <si>
    <t>YpjP family protein</t>
  </si>
  <si>
    <t>WP_001134421.1</t>
  </si>
  <si>
    <t>R8N76_RS02275</t>
  </si>
  <si>
    <t>WP_000595441.1</t>
  </si>
  <si>
    <t>R8N76_RS02280</t>
  </si>
  <si>
    <t>WP_000921912.1</t>
  </si>
  <si>
    <t>R8N76_RS02285</t>
  </si>
  <si>
    <t>WP_000009777.1</t>
  </si>
  <si>
    <t>R8N76_RS02290</t>
  </si>
  <si>
    <t>HAD-IIIA family hydrolase</t>
  </si>
  <si>
    <t>WP_000181785.1</t>
  </si>
  <si>
    <t>R8N76_RS02295</t>
  </si>
  <si>
    <t>WP_000152532.1</t>
  </si>
  <si>
    <t>R8N76_RS02300</t>
  </si>
  <si>
    <t>DUF2975 domain-containing protein</t>
  </si>
  <si>
    <t>WP_001050141.1</t>
  </si>
  <si>
    <t>R8N76_RS02305</t>
  </si>
  <si>
    <t>WP_001223868.1</t>
  </si>
  <si>
    <t>R8N76_RS02310</t>
  </si>
  <si>
    <t>WP_000493258.1</t>
  </si>
  <si>
    <t>R8N76_RS02315</t>
  </si>
  <si>
    <t>aspartate/glutamate racemase family protein</t>
  </si>
  <si>
    <t>WP_000848574.1</t>
  </si>
  <si>
    <t>R8N76_RS02320</t>
  </si>
  <si>
    <t>iron-containing alcohol dehydrogenase</t>
  </si>
  <si>
    <t>WP_001158673.1</t>
  </si>
  <si>
    <t>R8N76_RS02325</t>
  </si>
  <si>
    <t>WP_000424336.1</t>
  </si>
  <si>
    <t>R8N76_RS02330</t>
  </si>
  <si>
    <t>WP_000278484.1</t>
  </si>
  <si>
    <t>R8N76_RS02335</t>
  </si>
  <si>
    <t>lipid II flippase Amj family protein</t>
  </si>
  <si>
    <t>WP_000028915.1</t>
  </si>
  <si>
    <t>R8N76_RS02340</t>
  </si>
  <si>
    <t>nucleotidyltransferase family protein</t>
  </si>
  <si>
    <t>WP_000695362.1</t>
  </si>
  <si>
    <t>R8N76_RS02345</t>
  </si>
  <si>
    <t>WP_001284946.1</t>
  </si>
  <si>
    <t>R8N76_RS02350</t>
  </si>
  <si>
    <t>sodium-dependent transporter</t>
  </si>
  <si>
    <t>WP_000814537.1</t>
  </si>
  <si>
    <t>R8N76_RS02355</t>
  </si>
  <si>
    <t>aspartate--tRNA(Asn) ligase</t>
  </si>
  <si>
    <t>aspS</t>
  </si>
  <si>
    <t>WP_000377334.1</t>
  </si>
  <si>
    <t>R8N76_RS02360</t>
  </si>
  <si>
    <t>WP_001167921.1</t>
  </si>
  <si>
    <t>R8N76_RS02365</t>
  </si>
  <si>
    <t>M36 family metallopeptidase</t>
  </si>
  <si>
    <t>WP_000482276.1</t>
  </si>
  <si>
    <t>R8N76_RS02370</t>
  </si>
  <si>
    <t>WP_000045220.1</t>
  </si>
  <si>
    <t>R8N76_RS02375</t>
  </si>
  <si>
    <t>R8N76_RS02380</t>
  </si>
  <si>
    <t>ileS</t>
  </si>
  <si>
    <t>R8N76_RS02385</t>
  </si>
  <si>
    <t>R8N76_RS02390</t>
  </si>
  <si>
    <t>R8N76_RS02395</t>
  </si>
  <si>
    <t>WP_000498606.1</t>
  </si>
  <si>
    <t>R8N76_RS02400</t>
  </si>
  <si>
    <t>DUF2085 domain-containing protein</t>
  </si>
  <si>
    <t>WP_000621474.1</t>
  </si>
  <si>
    <t>R8N76_RS02405</t>
  </si>
  <si>
    <t>arginine--tRNA ligase</t>
  </si>
  <si>
    <t>argS</t>
  </si>
  <si>
    <t>WP_000384909.1</t>
  </si>
  <si>
    <t>R8N76_RS02410</t>
  </si>
  <si>
    <t>WP_000637459.1</t>
  </si>
  <si>
    <t>R8N76_RS02415</t>
  </si>
  <si>
    <t>BrxA/BrxB family bacilliredoxin</t>
  </si>
  <si>
    <t>WP_000063706.1</t>
  </si>
  <si>
    <t>R8N76_RS02420</t>
  </si>
  <si>
    <t>thiol-disulfide oxidoreductase DCC family protein</t>
  </si>
  <si>
    <t>WP_406627562.1</t>
  </si>
  <si>
    <t>R8N76_RS02425</t>
  </si>
  <si>
    <t>conserved virulence factor C family protein</t>
  </si>
  <si>
    <t>WP_000692564.1</t>
  </si>
  <si>
    <t>R8N76_RS02430</t>
  </si>
  <si>
    <t>single-stranded DNA-binding protein</t>
  </si>
  <si>
    <t>WP_000982017.1</t>
  </si>
  <si>
    <t>R8N76_RS02435</t>
  </si>
  <si>
    <t>DUF4318 domain-containing protein</t>
  </si>
  <si>
    <t>WP_000975138.1</t>
  </si>
  <si>
    <t>R8N76_RS02440</t>
  </si>
  <si>
    <t>Bax inhibitor-1/YccA family protein</t>
  </si>
  <si>
    <t>WP_001260655.1</t>
  </si>
  <si>
    <t>R8N76_RS02445</t>
  </si>
  <si>
    <t>ABC-F family ATP-binding cassette domain-containing protein</t>
  </si>
  <si>
    <t>WP_000783169.1</t>
  </si>
  <si>
    <t>R8N76_RS02450</t>
  </si>
  <si>
    <t>HD domain-containing protein</t>
  </si>
  <si>
    <t>WP_000165965.1</t>
  </si>
  <si>
    <t>R8N76_RS02455</t>
  </si>
  <si>
    <t>WP_000499733.1</t>
  </si>
  <si>
    <t>R8N76_RS02460</t>
  </si>
  <si>
    <t>aspartate phosphatase</t>
  </si>
  <si>
    <t>WP_000709201.1</t>
  </si>
  <si>
    <t>R8N76_RS02465</t>
  </si>
  <si>
    <t>tetratricopeptide repeat protein</t>
  </si>
  <si>
    <t>WP_000109855.1</t>
  </si>
  <si>
    <t>R8N76_RS02470</t>
  </si>
  <si>
    <t>WP_000456178.1</t>
  </si>
  <si>
    <t>R8N76_RS02475</t>
  </si>
  <si>
    <t>WP_001016941.1</t>
  </si>
  <si>
    <t>R8N76_RS02480</t>
  </si>
  <si>
    <t>WP_000966111.1</t>
  </si>
  <si>
    <t>R8N76_RS02485</t>
  </si>
  <si>
    <t>WP_002025705.1</t>
  </si>
  <si>
    <t>R8N76_RS02490</t>
  </si>
  <si>
    <t>stage V sporulation protein S</t>
  </si>
  <si>
    <t>WP_000427799.1</t>
  </si>
  <si>
    <t>R8N76_RS02495</t>
  </si>
  <si>
    <t>WP_000536148.1</t>
  </si>
  <si>
    <t>R8N76_RS02500</t>
  </si>
  <si>
    <t>WP_001238705.1</t>
  </si>
  <si>
    <t>R8N76_RS02505</t>
  </si>
  <si>
    <t>arylamine N-acetyltransferase</t>
  </si>
  <si>
    <t>WP_000988903.1</t>
  </si>
  <si>
    <t>R8N76_RS02510</t>
  </si>
  <si>
    <t>WP_000824197.1</t>
  </si>
  <si>
    <t>R8N76_RS02515</t>
  </si>
  <si>
    <t>exosporium protein ExsG</t>
  </si>
  <si>
    <t>exsG</t>
  </si>
  <si>
    <t>WP_000395679.1</t>
  </si>
  <si>
    <t>R8N76_RS02520</t>
  </si>
  <si>
    <t>excalibur calcium-binding domain-containing protein</t>
  </si>
  <si>
    <t>WP_000154137.1</t>
  </si>
  <si>
    <t>R8N76_RS02525</t>
  </si>
  <si>
    <t>iron-sulfur cluster repair di-iron protein</t>
  </si>
  <si>
    <t>ric</t>
  </si>
  <si>
    <t>WP_000401371.1</t>
  </si>
  <si>
    <t>R8N76_RS02530</t>
  </si>
  <si>
    <t>NADPH-nitrite reductase large subunit</t>
  </si>
  <si>
    <t>nirB</t>
  </si>
  <si>
    <t>WP_000746941.1</t>
  </si>
  <si>
    <t>R8N76_RS02535</t>
  </si>
  <si>
    <t>nitrite reductase small subunit NirD</t>
  </si>
  <si>
    <t>nirD</t>
  </si>
  <si>
    <t>WP_000581982.1</t>
  </si>
  <si>
    <t>R8N76_RS02540</t>
  </si>
  <si>
    <t>uroporphyrin-III C-methyltransferase</t>
  </si>
  <si>
    <t>WP_001014945.1</t>
  </si>
  <si>
    <t>R8N76_RS02545</t>
  </si>
  <si>
    <t>sirohydrochlorin chelatase</t>
  </si>
  <si>
    <t>WP_000676478.1</t>
  </si>
  <si>
    <t>R8N76_RS02550</t>
  </si>
  <si>
    <t>precorrin-2 dehydrogenase</t>
  </si>
  <si>
    <t>WP_000282590.1</t>
  </si>
  <si>
    <t>R8N76_RS02555</t>
  </si>
  <si>
    <t>STAS/SEC14 domain-containing protein</t>
  </si>
  <si>
    <t>WP_073339619.1</t>
  </si>
  <si>
    <t>R8N76_RS02560</t>
  </si>
  <si>
    <t>AEC family transporter</t>
  </si>
  <si>
    <t>WP_000497498.1</t>
  </si>
  <si>
    <t>R8N76_RS02565</t>
  </si>
  <si>
    <t>R8N76_RS02570</t>
  </si>
  <si>
    <t>nitrate transporter NarK</t>
  </si>
  <si>
    <t>narK</t>
  </si>
  <si>
    <t>WP_000841841.1</t>
  </si>
  <si>
    <t>R8N76_RS02575</t>
  </si>
  <si>
    <t>molybdopterin converting factor subunit 1</t>
  </si>
  <si>
    <t>moaD</t>
  </si>
  <si>
    <t>WP_000573688.1</t>
  </si>
  <si>
    <t>R8N76_RS02580</t>
  </si>
  <si>
    <t>molybdopterin synthase catalytic subunit MoaE</t>
  </si>
  <si>
    <t>moaE</t>
  </si>
  <si>
    <t>WP_000149962.1</t>
  </si>
  <si>
    <t>R8N76_RS02585</t>
  </si>
  <si>
    <t>gephyrin-like molybdotransferase Glp</t>
  </si>
  <si>
    <t>glp</t>
  </si>
  <si>
    <t>WP_000880215.1</t>
  </si>
  <si>
    <t>R8N76_RS02590</t>
  </si>
  <si>
    <t>molybdopterin-synthase adenylyltransferase MoeB</t>
  </si>
  <si>
    <t>WP_001158124.1</t>
  </si>
  <si>
    <t>R8N76_RS02595</t>
  </si>
  <si>
    <t>GTP 3',8-cyclase MoaA</t>
  </si>
  <si>
    <t>moaA</t>
  </si>
  <si>
    <t>WP_002197699.1</t>
  </si>
  <si>
    <t>R8N76_RS02600</t>
  </si>
  <si>
    <t>WP_000013857.1</t>
  </si>
  <si>
    <t>R8N76_RS02605</t>
  </si>
  <si>
    <t>respiratory nitrate reductase subunit gamma</t>
  </si>
  <si>
    <t>narI</t>
  </si>
  <si>
    <t>WP_406627563.1</t>
  </si>
  <si>
    <t>R8N76_RS02610</t>
  </si>
  <si>
    <t>nitrate reductase molybdenum cofactor assembly chaperone</t>
  </si>
  <si>
    <t>narJ</t>
  </si>
  <si>
    <t>WP_000814217.1</t>
  </si>
  <si>
    <t>R8N76_RS02615</t>
  </si>
  <si>
    <t>nitrate reductase subunit beta</t>
  </si>
  <si>
    <t>narH</t>
  </si>
  <si>
    <t>WP_000692680.1</t>
  </si>
  <si>
    <t>R8N76_RS02620</t>
  </si>
  <si>
    <t>nitrate reductase subunit alpha</t>
  </si>
  <si>
    <t>WP_000729052.1</t>
  </si>
  <si>
    <t>R8N76_RS02625</t>
  </si>
  <si>
    <t>MoxR family ATPase</t>
  </si>
  <si>
    <t>WP_001135810.1</t>
  </si>
  <si>
    <t>R8N76_RS02630</t>
  </si>
  <si>
    <t>DUF58 domain-containing protein</t>
  </si>
  <si>
    <t>WP_000827532.1</t>
  </si>
  <si>
    <t>R8N76_RS02635</t>
  </si>
  <si>
    <t>transglutaminaseTgpA domain-containing protein</t>
  </si>
  <si>
    <t>WP_000631786.1</t>
  </si>
  <si>
    <t>R8N76_RS02640</t>
  </si>
  <si>
    <t>glutathione peroxidase</t>
  </si>
  <si>
    <t>bsaA</t>
  </si>
  <si>
    <t>WP_000219440.1</t>
  </si>
  <si>
    <t>R8N76_RS02645</t>
  </si>
  <si>
    <t>DUF3925 domain-containing protein</t>
  </si>
  <si>
    <t>WP_000844985.1</t>
  </si>
  <si>
    <t>R8N76_RS02650</t>
  </si>
  <si>
    <t>WP_000754964.1</t>
  </si>
  <si>
    <t>R8N76_RS02655</t>
  </si>
  <si>
    <t>WP_001170914.1</t>
  </si>
  <si>
    <t>R8N76_RS02660</t>
  </si>
  <si>
    <t>AarF/ABC1/UbiB kinase family protein</t>
  </si>
  <si>
    <t>WP_000466006.1</t>
  </si>
  <si>
    <t>R8N76_RS02665</t>
  </si>
  <si>
    <t>DUF3600 domain-containing protein</t>
  </si>
  <si>
    <t>WP_000050673.1</t>
  </si>
  <si>
    <t>R8N76_RS02670</t>
  </si>
  <si>
    <t>WP_000675556.1</t>
  </si>
  <si>
    <t>R8N76_RS02675</t>
  </si>
  <si>
    <t>quinone oxidoreductase</t>
  </si>
  <si>
    <t>WP_000644620.1</t>
  </si>
  <si>
    <t>R8N76_RS02680</t>
  </si>
  <si>
    <t>zinc dependent phospholipase C family protein</t>
  </si>
  <si>
    <t>WP_000535623.1</t>
  </si>
  <si>
    <t>R8N76_RS02685</t>
  </si>
  <si>
    <t>WP_000581478.1</t>
  </si>
  <si>
    <t>R8N76_RS02690</t>
  </si>
  <si>
    <t>sugar phosphate isomerase/epimerase</t>
  </si>
  <si>
    <t>WP_000375206.1</t>
  </si>
  <si>
    <t>R8N76_RS02695</t>
  </si>
  <si>
    <t>WP_000588613.1</t>
  </si>
  <si>
    <t>R8N76_RS02700</t>
  </si>
  <si>
    <t>WP_000460219.1</t>
  </si>
  <si>
    <t>R8N76_RS02705</t>
  </si>
  <si>
    <t>formate--tetrahydrofolate ligase</t>
  </si>
  <si>
    <t>WP_011110057.1</t>
  </si>
  <si>
    <t>R8N76_RS02710</t>
  </si>
  <si>
    <t>WP_000160047.1</t>
  </si>
  <si>
    <t>R8N76_RS02715</t>
  </si>
  <si>
    <t>WP_001253200.1</t>
  </si>
  <si>
    <t>R8N76_RS02720</t>
  </si>
  <si>
    <t>WP_000798747.1</t>
  </si>
  <si>
    <t>R8N76_RS02725</t>
  </si>
  <si>
    <t>WP_000761174.1</t>
  </si>
  <si>
    <t>R8N76_RS02730</t>
  </si>
  <si>
    <t>oxalate:formate antiporter</t>
  </si>
  <si>
    <t>WP_000014087.1</t>
  </si>
  <si>
    <t>R8N76_RS02735</t>
  </si>
  <si>
    <t>GerW family sporulation protein</t>
  </si>
  <si>
    <t>ytfJ</t>
  </si>
  <si>
    <t>WP_000349990.1</t>
  </si>
  <si>
    <t>R8N76_RS02740</t>
  </si>
  <si>
    <t>WP_000984753.1</t>
  </si>
  <si>
    <t>R8N76_RS02745</t>
  </si>
  <si>
    <t>DUF3952 domain-containing protein</t>
  </si>
  <si>
    <t>WP_000768486.1</t>
  </si>
  <si>
    <t>R8N76_RS02750</t>
  </si>
  <si>
    <t>WP_000267161.1</t>
  </si>
  <si>
    <t>R8N76_RS02755</t>
  </si>
  <si>
    <t>WP_117616460.1</t>
  </si>
  <si>
    <t>R8N76_RS02760</t>
  </si>
  <si>
    <t>WP_000044430.1</t>
  </si>
  <si>
    <t>R8N76_RS02765</t>
  </si>
  <si>
    <t>WP_000768457.1</t>
  </si>
  <si>
    <t>R8N76_RS02770</t>
  </si>
  <si>
    <t>WP_000267105.1</t>
  </si>
  <si>
    <t>R8N76_RS02775</t>
  </si>
  <si>
    <t>WP_000473567.1</t>
  </si>
  <si>
    <t>R8N76_RS02780</t>
  </si>
  <si>
    <t>WP_001016544.1</t>
  </si>
  <si>
    <t>R8N76_RS02785</t>
  </si>
  <si>
    <t>R8N76_RS02790</t>
  </si>
  <si>
    <t>WP_000768463.1</t>
  </si>
  <si>
    <t>R8N76_RS02795</t>
  </si>
  <si>
    <t>DUF4176 domain-containing protein</t>
  </si>
  <si>
    <t>WP_000656382.1</t>
  </si>
  <si>
    <t>R8N76_RS02800</t>
  </si>
  <si>
    <t>WP_000363098.1</t>
  </si>
  <si>
    <t>R8N76_RS02805</t>
  </si>
  <si>
    <t>lipase family protein</t>
  </si>
  <si>
    <t>WP_000031236.1</t>
  </si>
  <si>
    <t>R8N76_RS02810</t>
  </si>
  <si>
    <t>WP_000768467.1</t>
  </si>
  <si>
    <t>R8N76_RS02815</t>
  </si>
  <si>
    <t>essC</t>
  </si>
  <si>
    <t>R8N76_RS02820</t>
  </si>
  <si>
    <t>R8N76_RS02825</t>
  </si>
  <si>
    <t>type VII secretion protein EssB</t>
  </si>
  <si>
    <t>essB</t>
  </si>
  <si>
    <t>WP_000136613.1</t>
  </si>
  <si>
    <t>R8N76_RS02830</t>
  </si>
  <si>
    <t>EsaB/YukD family protein</t>
  </si>
  <si>
    <t>WP_001007571.1</t>
  </si>
  <si>
    <t>R8N76_RS02835</t>
  </si>
  <si>
    <t>type VII secretion protein EssA</t>
  </si>
  <si>
    <t>essA</t>
  </si>
  <si>
    <t>WP_000595653.1</t>
  </si>
  <si>
    <t>R8N76_RS02840</t>
  </si>
  <si>
    <t>type VII secretion protein EsaA</t>
  </si>
  <si>
    <t>esaA</t>
  </si>
  <si>
    <t>WP_000713819.1</t>
  </si>
  <si>
    <t>R8N76_RS02845</t>
  </si>
  <si>
    <t>WXG100 family type VII secretion target</t>
  </si>
  <si>
    <t>WP_000918601.1</t>
  </si>
  <si>
    <t>R8N76_RS02850</t>
  </si>
  <si>
    <t>WP_000584245.1</t>
  </si>
  <si>
    <t>R8N76_RS02855</t>
  </si>
  <si>
    <t>cupin</t>
  </si>
  <si>
    <t>WP_000688074.1</t>
  </si>
  <si>
    <t>R8N76_RS02860</t>
  </si>
  <si>
    <t>WP_000221050.1</t>
  </si>
  <si>
    <t>R8N76_RS02865</t>
  </si>
  <si>
    <t>2'-5' RNA ligase family protein</t>
  </si>
  <si>
    <t>WP_000270894.1</t>
  </si>
  <si>
    <t>R8N76_RS02870</t>
  </si>
  <si>
    <t>WP_001181848.1</t>
  </si>
  <si>
    <t>R8N76_RS02875</t>
  </si>
  <si>
    <t>DUF1648 domain-containing protein</t>
  </si>
  <si>
    <t>WP_001065167.1</t>
  </si>
  <si>
    <t>R8N76_RS02880</t>
  </si>
  <si>
    <t>WP_000578574.1</t>
  </si>
  <si>
    <t>R8N76_RS02885</t>
  </si>
  <si>
    <t>WP_001101108.1</t>
  </si>
  <si>
    <t>R8N76_RS02890</t>
  </si>
  <si>
    <t>WP_000348025.1</t>
  </si>
  <si>
    <t>R8N76_RS02895</t>
  </si>
  <si>
    <t>YitT family protein</t>
  </si>
  <si>
    <t>WP_000755128.1</t>
  </si>
  <si>
    <t>R8N76_RS02900</t>
  </si>
  <si>
    <t>macrolide family glycosyltransferase</t>
  </si>
  <si>
    <t>WP_000024498.1</t>
  </si>
  <si>
    <t>R8N76_RS02905</t>
  </si>
  <si>
    <t>WP_000941367.1</t>
  </si>
  <si>
    <t>R8N76_RS02910</t>
  </si>
  <si>
    <t>WP_000354423.1</t>
  </si>
  <si>
    <t>R8N76_RS02915</t>
  </si>
  <si>
    <t>R8N76_RS02920</t>
  </si>
  <si>
    <t>alanine racemase</t>
  </si>
  <si>
    <t>alr</t>
  </si>
  <si>
    <t>WP_002182683.1</t>
  </si>
  <si>
    <t>R8N76_RS02925</t>
  </si>
  <si>
    <t>WP_000497991.1</t>
  </si>
  <si>
    <t>R8N76_RS02930</t>
  </si>
  <si>
    <t>multidrug transporter</t>
  </si>
  <si>
    <t>WP_011110050.1</t>
  </si>
  <si>
    <t>R8N76_RS02935</t>
  </si>
  <si>
    <t>WP_000278977.1</t>
  </si>
  <si>
    <t>R8N76_RS02940</t>
  </si>
  <si>
    <t>histidine phosphatase family protein</t>
  </si>
  <si>
    <t>WP_001166435.1</t>
  </si>
  <si>
    <t>R8N76_RS02945</t>
  </si>
  <si>
    <t>stage II sporulation protein P</t>
  </si>
  <si>
    <t>spoIIP</t>
  </si>
  <si>
    <t>WP_309144609.1</t>
  </si>
  <si>
    <t>R8N76_RS02950</t>
  </si>
  <si>
    <t>SPFH domain-containing protein</t>
  </si>
  <si>
    <t>WP_000226251.1</t>
  </si>
  <si>
    <t>R8N76_RS02955</t>
  </si>
  <si>
    <t>NfeD family protein</t>
  </si>
  <si>
    <t>WP_000741976.1</t>
  </si>
  <si>
    <t>R8N76_RS02960</t>
  </si>
  <si>
    <t>WP_001245231.1</t>
  </si>
  <si>
    <t>R8N76_RS02965</t>
  </si>
  <si>
    <t>amidase family protein</t>
  </si>
  <si>
    <t>WP_000405419.1</t>
  </si>
  <si>
    <t>R8N76_RS02970</t>
  </si>
  <si>
    <t>NUDIX domain-containing protein</t>
  </si>
  <si>
    <t>WP_000178293.1</t>
  </si>
  <si>
    <t>R8N76_RS02975</t>
  </si>
  <si>
    <t>WP_000747649.1</t>
  </si>
  <si>
    <t>R8N76_RS02980</t>
  </si>
  <si>
    <t>R8N76_RS02985</t>
  </si>
  <si>
    <t>WP_001079278.1</t>
  </si>
  <si>
    <t>R8N76_RS02990</t>
  </si>
  <si>
    <t>WP_000770738.1</t>
  </si>
  <si>
    <t>R8N76_RS02995</t>
  </si>
  <si>
    <t>WP_002164560.1</t>
  </si>
  <si>
    <t>R8N76_RS03000</t>
  </si>
  <si>
    <t>DUF1572 domain-containing protein</t>
  </si>
  <si>
    <t>WP_000435830.1</t>
  </si>
  <si>
    <t>R8N76_RS03005</t>
  </si>
  <si>
    <t>chaperone CsaA</t>
  </si>
  <si>
    <t>csaA</t>
  </si>
  <si>
    <t>WP_001263013.1</t>
  </si>
  <si>
    <t>R8N76_RS03010</t>
  </si>
  <si>
    <t>branched-chain amino acid transport system II carrier protein BrnQ4</t>
  </si>
  <si>
    <t>brnQ4</t>
  </si>
  <si>
    <t>WP_011110049.1</t>
  </si>
  <si>
    <t>R8N76_RS03015</t>
  </si>
  <si>
    <t>cyclic di-AMP binding protein CbpA</t>
  </si>
  <si>
    <t>cbpA</t>
  </si>
  <si>
    <t>WP_001220526.1</t>
  </si>
  <si>
    <t>R8N76_RS03020</t>
  </si>
  <si>
    <t>WP_000055268.1</t>
  </si>
  <si>
    <t>R8N76_RS03025</t>
  </si>
  <si>
    <t>WP_000353738.1</t>
  </si>
  <si>
    <t>R8N76_RS03030</t>
  </si>
  <si>
    <t>DUF456 domain-containing protein</t>
  </si>
  <si>
    <t>WP_000217339.1</t>
  </si>
  <si>
    <t>R8N76_RS03035</t>
  </si>
  <si>
    <t>WP_000861643.1</t>
  </si>
  <si>
    <t>R8N76_RS03040</t>
  </si>
  <si>
    <t>WP_001045960.1</t>
  </si>
  <si>
    <t>R8N76_RS03045</t>
  </si>
  <si>
    <t>spore coat protein</t>
  </si>
  <si>
    <t>WP_000340527.1</t>
  </si>
  <si>
    <t>R8N76_RS03050</t>
  </si>
  <si>
    <t>cardiolipin synthase</t>
  </si>
  <si>
    <t>cls</t>
  </si>
  <si>
    <t>WP_002023919.1</t>
  </si>
  <si>
    <t>R8N76_RS03055</t>
  </si>
  <si>
    <t>WP_000505094.1</t>
  </si>
  <si>
    <t>R8N76_RS03060</t>
  </si>
  <si>
    <t>acyl-CoA thioesterase</t>
  </si>
  <si>
    <t>WP_000141164.1</t>
  </si>
  <si>
    <t>R8N76_RS03065</t>
  </si>
  <si>
    <t>TIGR03943 family putative permease subunit</t>
  </si>
  <si>
    <t>WP_000488043.1</t>
  </si>
  <si>
    <t>R8N76_RS03070</t>
  </si>
  <si>
    <t>permease</t>
  </si>
  <si>
    <t>WP_000418716.1</t>
  </si>
  <si>
    <t>R8N76_RS03075</t>
  </si>
  <si>
    <t>magnesium transporter CorA family protein</t>
  </si>
  <si>
    <t>WP_000932389.1</t>
  </si>
  <si>
    <t>R8N76_RS03080</t>
  </si>
  <si>
    <t>polysaccharide biosynthesis protein</t>
  </si>
  <si>
    <t>WP_000678845.1</t>
  </si>
  <si>
    <t>R8N76_RS03085</t>
  </si>
  <si>
    <t>DedA family protein</t>
  </si>
  <si>
    <t>WP_000880691.1</t>
  </si>
  <si>
    <t>R8N76_RS03090</t>
  </si>
  <si>
    <t>NUDIX hydrolase</t>
  </si>
  <si>
    <t>WP_000153584.1</t>
  </si>
  <si>
    <t>R8N76_RS03095</t>
  </si>
  <si>
    <t>spore coat protein CotH</t>
  </si>
  <si>
    <t>cotH</t>
  </si>
  <si>
    <t>WP_000938001.1</t>
  </si>
  <si>
    <t>R8N76_RS03100</t>
  </si>
  <si>
    <t>exosporium protein ExsB</t>
  </si>
  <si>
    <t>exsB</t>
  </si>
  <si>
    <t>WP_000817499.1</t>
  </si>
  <si>
    <t>R8N76_RS03105</t>
  </si>
  <si>
    <t>phosphoserine phosphatase 1</t>
  </si>
  <si>
    <t>WP_000858827.1</t>
  </si>
  <si>
    <t>R8N76_RS03110</t>
  </si>
  <si>
    <t>short-chain dehydrogenase</t>
  </si>
  <si>
    <t>WP_000543121.1</t>
  </si>
  <si>
    <t>R8N76_RS03115</t>
  </si>
  <si>
    <t>FosBx1 family fosfomycin resistance bacillithiol transferase</t>
  </si>
  <si>
    <t>fosB</t>
  </si>
  <si>
    <t>WP_000943772.1</t>
  </si>
  <si>
    <t>R8N76_RS03120</t>
  </si>
  <si>
    <t>peptide ABC transporter substrate-binding protein</t>
  </si>
  <si>
    <t>WP_000824276.1</t>
  </si>
  <si>
    <t>R8N76_RS03125</t>
  </si>
  <si>
    <t>DUF2628 domain-containing protein</t>
  </si>
  <si>
    <t>WP_002195426.1</t>
  </si>
  <si>
    <t>R8N76_RS03130</t>
  </si>
  <si>
    <t>methylated-DNA--[protein]-cysteine S-methyltransferase</t>
  </si>
  <si>
    <t>WP_000283912.1</t>
  </si>
  <si>
    <t>R8N76_RS03135</t>
  </si>
  <si>
    <t>NADPH dehydrogenase NamA</t>
  </si>
  <si>
    <t>namA</t>
  </si>
  <si>
    <t>WP_001086174.1</t>
  </si>
  <si>
    <t>R8N76_RS03140</t>
  </si>
  <si>
    <t>oxidoreductase</t>
  </si>
  <si>
    <t>WP_001042729.1</t>
  </si>
  <si>
    <t>R8N76_RS03145</t>
  </si>
  <si>
    <t>WP_000540932.1</t>
  </si>
  <si>
    <t>R8N76_RS03150</t>
  </si>
  <si>
    <t>metal ABC transporter substrate-binding protein</t>
  </si>
  <si>
    <t>WP_001126148.1</t>
  </si>
  <si>
    <t>R8N76_RS03155</t>
  </si>
  <si>
    <t>WP_001048682.1</t>
  </si>
  <si>
    <t>R8N76_RS03160</t>
  </si>
  <si>
    <t>GTP-binding protein</t>
  </si>
  <si>
    <t>WP_000613422.1</t>
  </si>
  <si>
    <t>R8N76_RS03165</t>
  </si>
  <si>
    <t>aldo/keto reductase family oxidoreductase</t>
  </si>
  <si>
    <t>WP_000442783.1</t>
  </si>
  <si>
    <t>R8N76_RS03170</t>
  </si>
  <si>
    <t>WP_001068750.1</t>
  </si>
  <si>
    <t>R8N76_RS03175</t>
  </si>
  <si>
    <t>FAD-dependent oxidoreductase</t>
  </si>
  <si>
    <t>WP_001168129.1</t>
  </si>
  <si>
    <t>R8N76_RS03180</t>
  </si>
  <si>
    <t>DUF3896 domain-containing protein</t>
  </si>
  <si>
    <t>WP_000683368.1</t>
  </si>
  <si>
    <t>R8N76_RS03185</t>
  </si>
  <si>
    <t>LLM class flavin-dependent oxidoreductase</t>
  </si>
  <si>
    <t>WP_000594045.1</t>
  </si>
  <si>
    <t>R8N76_RS03190</t>
  </si>
  <si>
    <t>alpha/beta hydrolase</t>
  </si>
  <si>
    <t>WP_000798324.1</t>
  </si>
  <si>
    <t>R8N76_RS03195</t>
  </si>
  <si>
    <t>DUF3939 domain-containing protein</t>
  </si>
  <si>
    <t>WP_000488210.1</t>
  </si>
  <si>
    <t>R8N76_RS03200</t>
  </si>
  <si>
    <t>Dps family protein</t>
  </si>
  <si>
    <t>WP_000105199.1</t>
  </si>
  <si>
    <t>R8N76_RS03205</t>
  </si>
  <si>
    <t>GerAB/ArcD/ProY family transporter</t>
  </si>
  <si>
    <t>WP_000370204.1</t>
  </si>
  <si>
    <t>R8N76_RS03210</t>
  </si>
  <si>
    <t>DUF3979 family protein</t>
  </si>
  <si>
    <t>WP_000965068.1</t>
  </si>
  <si>
    <t>R8N76_RS03215</t>
  </si>
  <si>
    <t>WP_000539569.1</t>
  </si>
  <si>
    <t>R8N76_RS03220</t>
  </si>
  <si>
    <t>methyl-accepting chemotaxis protein</t>
  </si>
  <si>
    <t>WP_406566133.1</t>
  </si>
  <si>
    <t>R8N76_RS03225</t>
  </si>
  <si>
    <t>R8N76_RS03230</t>
  </si>
  <si>
    <t>ribosome small subunit-dependent GTPase A</t>
  </si>
  <si>
    <t>rsgA</t>
  </si>
  <si>
    <t>WP_001073045.1</t>
  </si>
  <si>
    <t>R8N76_RS03235</t>
  </si>
  <si>
    <t>WP_000687340.1</t>
  </si>
  <si>
    <t>R8N76_RS03240</t>
  </si>
  <si>
    <t>DUF4257 domain-containing protein</t>
  </si>
  <si>
    <t>WP_000426317.1</t>
  </si>
  <si>
    <t>R8N76_RS03245</t>
  </si>
  <si>
    <t>WP_000162602.1</t>
  </si>
  <si>
    <t>R8N76_RS03250</t>
  </si>
  <si>
    <t>DUF805 domain-containing protein</t>
  </si>
  <si>
    <t>WP_001198796.1</t>
  </si>
  <si>
    <t>R8N76_RS03255</t>
  </si>
  <si>
    <t>WP_001101741.1</t>
  </si>
  <si>
    <t>R8N76_RS03260</t>
  </si>
  <si>
    <t>WP_001082489.1</t>
  </si>
  <si>
    <t>R8N76_RS03265</t>
  </si>
  <si>
    <t>aldo/keto reductase</t>
  </si>
  <si>
    <t>WP_000877963.1</t>
  </si>
  <si>
    <t>R8N76_RS03270</t>
  </si>
  <si>
    <t>WP_001259906.1</t>
  </si>
  <si>
    <t>R8N76_RS03275</t>
  </si>
  <si>
    <t>WP_000099751.1</t>
  </si>
  <si>
    <t>R8N76_RS03280</t>
  </si>
  <si>
    <t>WP_000648324.1</t>
  </si>
  <si>
    <t>R8N76_RS03285</t>
  </si>
  <si>
    <t>WP_001025992.1</t>
  </si>
  <si>
    <t>R8N76_RS03290</t>
  </si>
  <si>
    <t>ammonia-dependent NAD(+) synthetase</t>
  </si>
  <si>
    <t>nadE</t>
  </si>
  <si>
    <t>WP_000174904.1</t>
  </si>
  <si>
    <t>R8N76_RS03295</t>
  </si>
  <si>
    <t>WP_000024999.1</t>
  </si>
  <si>
    <t>R8N76_RS03300</t>
  </si>
  <si>
    <t>DUF4083 domain-containing protein</t>
  </si>
  <si>
    <t>WP_001048104.1</t>
  </si>
  <si>
    <t>R8N76_RS03305</t>
  </si>
  <si>
    <t>transglutaminase domain-containing protein</t>
  </si>
  <si>
    <t>WP_000520865.1</t>
  </si>
  <si>
    <t>R8N76_RS03310</t>
  </si>
  <si>
    <t>YwqG family protein</t>
  </si>
  <si>
    <t>WP_001034844.1</t>
  </si>
  <si>
    <t>R8N76_RS03315</t>
  </si>
  <si>
    <t>WP_000540419.1</t>
  </si>
  <si>
    <t>R8N76_RS03320</t>
  </si>
  <si>
    <t>patatin-like phospholipase family protein</t>
  </si>
  <si>
    <t>WP_000686809.1</t>
  </si>
  <si>
    <t>R8N76_RS03325</t>
  </si>
  <si>
    <t>DUF3933 family protein</t>
  </si>
  <si>
    <t>WP_000816389.1</t>
  </si>
  <si>
    <t>R8N76_RS03330</t>
  </si>
  <si>
    <t>WP_000439403.1</t>
  </si>
  <si>
    <t>R8N76_RS03335</t>
  </si>
  <si>
    <t>LysE/ArgO family amino acid transporter</t>
  </si>
  <si>
    <t>WP_001287303.1</t>
  </si>
  <si>
    <t>R8N76_RS03340</t>
  </si>
  <si>
    <t>WP_002183485.1</t>
  </si>
  <si>
    <t>R8N76_RS03345</t>
  </si>
  <si>
    <t>alpha/beta-type small acid-soluble spore protein</t>
  </si>
  <si>
    <t>WP_000113545.1</t>
  </si>
  <si>
    <t>R8N76_RS03350</t>
  </si>
  <si>
    <t>WP_000877687.1</t>
  </si>
  <si>
    <t>R8N76_RS03355</t>
  </si>
  <si>
    <t>DUF6005 family protein</t>
  </si>
  <si>
    <t>WP_000200731.1</t>
  </si>
  <si>
    <t>R8N76_RS03360</t>
  </si>
  <si>
    <t>petrobactin biosynthesis protein AsbD</t>
  </si>
  <si>
    <t>asbD</t>
  </si>
  <si>
    <t>WP_001250566.1</t>
  </si>
  <si>
    <t>R8N76_RS03365</t>
  </si>
  <si>
    <t>AMP-binding protein</t>
  </si>
  <si>
    <t>WP_000909573.1</t>
  </si>
  <si>
    <t>R8N76_RS03370</t>
  </si>
  <si>
    <t>IucA/IucC family siderophore biosynthesis protein</t>
  </si>
  <si>
    <t>WP_001261814.1</t>
  </si>
  <si>
    <t>R8N76_RS03375</t>
  </si>
  <si>
    <t>WP_001163354.1</t>
  </si>
  <si>
    <t>R8N76_RS03380</t>
  </si>
  <si>
    <t>WP_000511208.1</t>
  </si>
  <si>
    <t>R8N76_RS03385</t>
  </si>
  <si>
    <t>MgtC/SapB family protein</t>
  </si>
  <si>
    <t>WP_000119510.1</t>
  </si>
  <si>
    <t>R8N76_RS03390</t>
  </si>
  <si>
    <t>YkyA family protein</t>
  </si>
  <si>
    <t>WP_000873571.1</t>
  </si>
  <si>
    <t>R8N76_RS03395</t>
  </si>
  <si>
    <t>peptidoglycan-N-acetylglucosamine deacetylase</t>
  </si>
  <si>
    <t>WP_000409484.1</t>
  </si>
  <si>
    <t>R8N76_RS03400</t>
  </si>
  <si>
    <t>WP_033685471.1</t>
  </si>
  <si>
    <t>R8N76_RS03405</t>
  </si>
  <si>
    <t>WP_000036073.1</t>
  </si>
  <si>
    <t>R8N76_RS03410</t>
  </si>
  <si>
    <t>WP_001174862.1</t>
  </si>
  <si>
    <t>R8N76_RS03415</t>
  </si>
  <si>
    <t>LCP family protein</t>
  </si>
  <si>
    <t>WP_002182662.1</t>
  </si>
  <si>
    <t>R8N76_RS03420</t>
  </si>
  <si>
    <t>glycoside hydrolase</t>
  </si>
  <si>
    <t>WP_000738109.1</t>
  </si>
  <si>
    <t>R8N76_RS03425</t>
  </si>
  <si>
    <t>DUF6366 family protein</t>
  </si>
  <si>
    <t>WP_001031479.1</t>
  </si>
  <si>
    <t>R8N76_RS03430</t>
  </si>
  <si>
    <t>homoserine kinase</t>
  </si>
  <si>
    <t>thrB</t>
  </si>
  <si>
    <t>WP_000612682.1</t>
  </si>
  <si>
    <t>R8N76_RS03435</t>
  </si>
  <si>
    <t>threonine synthase</t>
  </si>
  <si>
    <t>thrC</t>
  </si>
  <si>
    <t>WP_000276434.1</t>
  </si>
  <si>
    <t>R8N76_RS03440</t>
  </si>
  <si>
    <t>WP_001066908.1</t>
  </si>
  <si>
    <t>R8N76_RS03445</t>
  </si>
  <si>
    <t>pyridoxamine 5'-phosphate oxidase family protein</t>
  </si>
  <si>
    <t>WP_000510731.1</t>
  </si>
  <si>
    <t>R8N76_RS03450</t>
  </si>
  <si>
    <t>WP_000141357.1</t>
  </si>
  <si>
    <t>R8N76_RS03455</t>
  </si>
  <si>
    <t>SdpI family protein</t>
  </si>
  <si>
    <t>WP_025118474.1</t>
  </si>
  <si>
    <t>R8N76_RS03460</t>
  </si>
  <si>
    <t>WP_000291199.1</t>
  </si>
  <si>
    <t>R8N76_RS03465</t>
  </si>
  <si>
    <t>aminoglycoside 6-adenylyltransferase</t>
  </si>
  <si>
    <t>WP_001258500.1</t>
  </si>
  <si>
    <t>R8N76_RS03470</t>
  </si>
  <si>
    <t>3-ketoacyl-ACP reductase</t>
  </si>
  <si>
    <t>WP_000818985.1</t>
  </si>
  <si>
    <t>R8N76_RS03475</t>
  </si>
  <si>
    <t>envelope stress sensor histidine kinase HitS</t>
  </si>
  <si>
    <t>hitS</t>
  </si>
  <si>
    <t>WP_001231630.1</t>
  </si>
  <si>
    <t>R8N76_RS03480</t>
  </si>
  <si>
    <t>envelope stress response regulator transcription factor HitR</t>
  </si>
  <si>
    <t>hitR</t>
  </si>
  <si>
    <t>WP_000612413.1</t>
  </si>
  <si>
    <t>R8N76_RS03485</t>
  </si>
  <si>
    <t>WP_000453882.1</t>
  </si>
  <si>
    <t>R8N76_RS03490</t>
  </si>
  <si>
    <t>WP_001194309.1</t>
  </si>
  <si>
    <t>R8N76_RS03495</t>
  </si>
  <si>
    <t>enterotoxin EntFM</t>
  </si>
  <si>
    <t>entFM</t>
  </si>
  <si>
    <t>WP_000755498.1</t>
  </si>
  <si>
    <t>R8N76_RS03500</t>
  </si>
  <si>
    <t>WP_001244277.1</t>
  </si>
  <si>
    <t>R8N76_RS03505</t>
  </si>
  <si>
    <t>WP_011110028.1</t>
  </si>
  <si>
    <t>R8N76_RS03510</t>
  </si>
  <si>
    <t>WP_001080871.1</t>
  </si>
  <si>
    <t>R8N76_RS03515</t>
  </si>
  <si>
    <t>S66 peptidase family protein</t>
  </si>
  <si>
    <t>WP_000926333.1</t>
  </si>
  <si>
    <t>R8N76_RS03520</t>
  </si>
  <si>
    <t>EamA family transporter</t>
  </si>
  <si>
    <t>WP_000805125.1</t>
  </si>
  <si>
    <t>R8N76_RS03525</t>
  </si>
  <si>
    <t>WP_001089868.1</t>
  </si>
  <si>
    <t>R8N76_RS03530</t>
  </si>
  <si>
    <t>WP_000695199.1</t>
  </si>
  <si>
    <t>R8N76_RS03535</t>
  </si>
  <si>
    <t>WP_000459099.1</t>
  </si>
  <si>
    <t>R8N76_RS03540</t>
  </si>
  <si>
    <t>acyltransferase</t>
  </si>
  <si>
    <t>WP_001084193.1</t>
  </si>
  <si>
    <t>R8N76_RS03545</t>
  </si>
  <si>
    <t>DegT/DnrJ/EryC1/StrS family aminotransferase</t>
  </si>
  <si>
    <t>WP_000427967.1</t>
  </si>
  <si>
    <t>R8N76_RS03550</t>
  </si>
  <si>
    <t>WP_001260413.1</t>
  </si>
  <si>
    <t>R8N76_RS03555</t>
  </si>
  <si>
    <t>WP_000664266.1</t>
  </si>
  <si>
    <t>R8N76_RS03560</t>
  </si>
  <si>
    <t>thiol reductant ABC exporter subunit CydC</t>
  </si>
  <si>
    <t>cydC</t>
  </si>
  <si>
    <t>WP_000073646.1</t>
  </si>
  <si>
    <t>R8N76_RS03565</t>
  </si>
  <si>
    <t>thiol reductant ABC exporter subunit CydD</t>
  </si>
  <si>
    <t>cydD</t>
  </si>
  <si>
    <t>WP_000824039.1</t>
  </si>
  <si>
    <t>R8N76_RS03570</t>
  </si>
  <si>
    <t>cytochrome d ubiquinol oxidase subunit II</t>
  </si>
  <si>
    <t>cydB</t>
  </si>
  <si>
    <t>WP_000950085.1</t>
  </si>
  <si>
    <t>R8N76_RS03575</t>
  </si>
  <si>
    <t>cytochrome ubiquinol oxidase subunit I</t>
  </si>
  <si>
    <t>cydA</t>
  </si>
  <si>
    <t>WP_000448871.1</t>
  </si>
  <si>
    <t>R8N76_RS03580</t>
  </si>
  <si>
    <t>WP_000417543.1</t>
  </si>
  <si>
    <t>R8N76_RS03585</t>
  </si>
  <si>
    <t>WP_001205510.1</t>
  </si>
  <si>
    <t>R8N76_RS03590</t>
  </si>
  <si>
    <t>DUF4352 domain-containing protein</t>
  </si>
  <si>
    <t>WP_000473156.1</t>
  </si>
  <si>
    <t>R8N76_RS03595</t>
  </si>
  <si>
    <t>WP_000548215.1</t>
  </si>
  <si>
    <t>R8N76_RS03600</t>
  </si>
  <si>
    <t>DUF4865 family protein</t>
  </si>
  <si>
    <t>WP_000579891.1</t>
  </si>
  <si>
    <t>R8N76_RS03605</t>
  </si>
  <si>
    <t>WP_000405005.1</t>
  </si>
  <si>
    <t>R8N76_RS03610</t>
  </si>
  <si>
    <t>branched-chain amino acid ABC transporter permease</t>
  </si>
  <si>
    <t>WP_002040965.1</t>
  </si>
  <si>
    <t>R8N76_RS03615</t>
  </si>
  <si>
    <t>WP_000382787.1</t>
  </si>
  <si>
    <t>R8N76_RS03620</t>
  </si>
  <si>
    <t>WP_001196695.1</t>
  </si>
  <si>
    <t>R8N76_RS03625</t>
  </si>
  <si>
    <t>WP_000149338.1</t>
  </si>
  <si>
    <t>R8N76_RS03630</t>
  </si>
  <si>
    <t>substrate-binding domain-containing protein</t>
  </si>
  <si>
    <t>WP_000061996.1</t>
  </si>
  <si>
    <t>R8N76_RS03635</t>
  </si>
  <si>
    <t>WP_001044939.1</t>
  </si>
  <si>
    <t>R8N76_RS03640</t>
  </si>
  <si>
    <t>flavin monoamine oxidase family protein</t>
  </si>
  <si>
    <t>WP_000528002.1</t>
  </si>
  <si>
    <t>R8N76_RS03645</t>
  </si>
  <si>
    <t>L-lactate dehydrogenase</t>
  </si>
  <si>
    <t>WP_000715321.1</t>
  </si>
  <si>
    <t>R8N76_RS03650</t>
  </si>
  <si>
    <t>AI-2E family transporter</t>
  </si>
  <si>
    <t>WP_001006597.1</t>
  </si>
  <si>
    <t>R8N76_RS03655</t>
  </si>
  <si>
    <t>R8N76_RS03660</t>
  </si>
  <si>
    <t>recombinase family protein</t>
  </si>
  <si>
    <t>WP_000273126.1</t>
  </si>
  <si>
    <t>R8N76_RS03665</t>
  </si>
  <si>
    <t>WP_000200736.1</t>
  </si>
  <si>
    <t>R8N76_RS03670</t>
  </si>
  <si>
    <t>WP_000765496.1</t>
  </si>
  <si>
    <t>R8N76_RS03675</t>
  </si>
  <si>
    <t>WP_001261512.1</t>
  </si>
  <si>
    <t>R8N76_RS03680</t>
  </si>
  <si>
    <t>replication-relaxation family protein</t>
  </si>
  <si>
    <t>WP_011110021.1</t>
  </si>
  <si>
    <t>R8N76_RS03685</t>
  </si>
  <si>
    <t>FtsK/SpoIIIE domain-containing protein</t>
  </si>
  <si>
    <t>WP_000891520.1</t>
  </si>
  <si>
    <t>R8N76_RS03690</t>
  </si>
  <si>
    <t>WP_000170794.1</t>
  </si>
  <si>
    <t>R8N76_RS03695</t>
  </si>
  <si>
    <t>WP_001267619.1</t>
  </si>
  <si>
    <t>R8N76_RS03700</t>
  </si>
  <si>
    <t>WP_001247348.1</t>
  </si>
  <si>
    <t>R8N76_RS03705</t>
  </si>
  <si>
    <t>WP_000669088.1</t>
  </si>
  <si>
    <t>R8N76_RS03710</t>
  </si>
  <si>
    <t>DUF3961 domain-containing protein</t>
  </si>
  <si>
    <t>WP_001169624.1</t>
  </si>
  <si>
    <t>R8N76_RS03715</t>
  </si>
  <si>
    <t>WP_000097410.1</t>
  </si>
  <si>
    <t>R8N76_RS03720</t>
  </si>
  <si>
    <t>WP_000448740.1</t>
  </si>
  <si>
    <t>R8N76_RS03725</t>
  </si>
  <si>
    <t>SIR2 family protein</t>
  </si>
  <si>
    <t>WP_000607109.1</t>
  </si>
  <si>
    <t>R8N76_RS03730</t>
  </si>
  <si>
    <t>WP_000753412.1</t>
  </si>
  <si>
    <t>R8N76_RS03735</t>
  </si>
  <si>
    <t>WP_000462608.1</t>
  </si>
  <si>
    <t>R8N76_RS03740</t>
  </si>
  <si>
    <t>hemolysin XhlA family protein</t>
  </si>
  <si>
    <t>WP_000398730.1</t>
  </si>
  <si>
    <t>R8N76_RS03745</t>
  </si>
  <si>
    <t>WP_001260204.1</t>
  </si>
  <si>
    <t>R8N76_RS03750</t>
  </si>
  <si>
    <t>WP_000959921.1</t>
  </si>
  <si>
    <t>R8N76_RS03755</t>
  </si>
  <si>
    <t>phage tail tape measure protein</t>
  </si>
  <si>
    <t>WP_002195379.1</t>
  </si>
  <si>
    <t>R8N76_RS03760</t>
  </si>
  <si>
    <t>WP_000931845.1</t>
  </si>
  <si>
    <t>R8N76_RS03765</t>
  </si>
  <si>
    <t>tail assembly chaperone</t>
  </si>
  <si>
    <t>WP_000818630.1</t>
  </si>
  <si>
    <t>R8N76_RS03770</t>
  </si>
  <si>
    <t>WP_000762691.1</t>
  </si>
  <si>
    <t>R8N76_RS03775</t>
  </si>
  <si>
    <t>WP_000443958.1</t>
  </si>
  <si>
    <t>R8N76_RS03780</t>
  </si>
  <si>
    <t>phage major tail protein, TP901-1 family</t>
  </si>
  <si>
    <t>WP_000852562.1</t>
  </si>
  <si>
    <t>R8N76_RS03785</t>
  </si>
  <si>
    <t>WP_000930921.1</t>
  </si>
  <si>
    <t>R8N76_RS03790</t>
  </si>
  <si>
    <t>WP_001222697.1</t>
  </si>
  <si>
    <t>R8N76_RS03795</t>
  </si>
  <si>
    <t>WP_000954647.1</t>
  </si>
  <si>
    <t>R8N76_RS03800</t>
  </si>
  <si>
    <t>WP_001285264.1</t>
  </si>
  <si>
    <t>R8N76_RS03805</t>
  </si>
  <si>
    <t>WP_000868476.1</t>
  </si>
  <si>
    <t>R8N76_RS03810</t>
  </si>
  <si>
    <t>head fiber protein</t>
  </si>
  <si>
    <t>WP_000027968.1</t>
  </si>
  <si>
    <t>R8N76_RS03815</t>
  </si>
  <si>
    <t>DUF5309 family protein</t>
  </si>
  <si>
    <t>WP_001145076.1</t>
  </si>
  <si>
    <t>R8N76_RS03820</t>
  </si>
  <si>
    <t>phage scaffolding protein</t>
  </si>
  <si>
    <t>WP_000455457.1</t>
  </si>
  <si>
    <t>R8N76_RS03825</t>
  </si>
  <si>
    <t>phage portal protein</t>
  </si>
  <si>
    <t>WP_001265884.1</t>
  </si>
  <si>
    <t>R8N76_RS03830</t>
  </si>
  <si>
    <t>phage terminase large subunit</t>
  </si>
  <si>
    <t>terL</t>
  </si>
  <si>
    <t>WP_000323343.1</t>
  </si>
  <si>
    <t>R8N76_RS03835</t>
  </si>
  <si>
    <t>phBC6A51 family helix-turn-helix protein</t>
  </si>
  <si>
    <t>WP_001086032.1</t>
  </si>
  <si>
    <t>R8N76_RS03840</t>
  </si>
  <si>
    <t>WP_000196739.1</t>
  </si>
  <si>
    <t>R8N76_RS03845</t>
  </si>
  <si>
    <t>WP_000200016.1</t>
  </si>
  <si>
    <t>R8N76_RS03850</t>
  </si>
  <si>
    <t>WP_000712433.1</t>
  </si>
  <si>
    <t>R8N76_RS03855</t>
  </si>
  <si>
    <t>WP_000865170.1</t>
  </si>
  <si>
    <t>R8N76_RS03860</t>
  </si>
  <si>
    <t>WP_001294615.1</t>
  </si>
  <si>
    <t>R8N76_RS03865</t>
  </si>
  <si>
    <t>WP_000843022.1</t>
  </si>
  <si>
    <t>R8N76_RS03870</t>
  </si>
  <si>
    <t>WP_000659529.1</t>
  </si>
  <si>
    <t>R8N76_RS03875</t>
  </si>
  <si>
    <t>WP_001202994.1</t>
  </si>
  <si>
    <t>R8N76_RS03880</t>
  </si>
  <si>
    <t>BC1881 family protein</t>
  </si>
  <si>
    <t>WP_000790090.1</t>
  </si>
  <si>
    <t>R8N76_RS03885</t>
  </si>
  <si>
    <t>WP_000026878.1</t>
  </si>
  <si>
    <t>R8N76_RS03890</t>
  </si>
  <si>
    <t>transglycosylase</t>
  </si>
  <si>
    <t>WP_000805619.1</t>
  </si>
  <si>
    <t>R8N76_RS03895</t>
  </si>
  <si>
    <t>WP_001057582.1</t>
  </si>
  <si>
    <t>R8N76_RS03900</t>
  </si>
  <si>
    <t>WP_000101076.1</t>
  </si>
  <si>
    <t>R8N76_RS03905</t>
  </si>
  <si>
    <t>WP_000053746.1</t>
  </si>
  <si>
    <t>R8N76_RS03910</t>
  </si>
  <si>
    <t>HNH endonuclease signature motif containing protein</t>
  </si>
  <si>
    <t>WP_000680282.1</t>
  </si>
  <si>
    <t>R8N76_RS03915</t>
  </si>
  <si>
    <t>WP_001246457.1</t>
  </si>
  <si>
    <t>R8N76_RS03920</t>
  </si>
  <si>
    <t>WP_000364356.1</t>
  </si>
  <si>
    <t>R8N76_RS03925</t>
  </si>
  <si>
    <t>WP_000741276.1</t>
  </si>
  <si>
    <t>R8N76_RS03930</t>
  </si>
  <si>
    <t>BC1872 family protein</t>
  </si>
  <si>
    <t>WP_000804493.1</t>
  </si>
  <si>
    <t>R8N76_RS03935</t>
  </si>
  <si>
    <t>YopX family protein</t>
  </si>
  <si>
    <t>WP_000658753.1</t>
  </si>
  <si>
    <t>R8N76_RS03940</t>
  </si>
  <si>
    <t>WP_001233224.1</t>
  </si>
  <si>
    <t>R8N76_RS03945</t>
  </si>
  <si>
    <t>WP_000521059.1</t>
  </si>
  <si>
    <t>R8N76_RS03950</t>
  </si>
  <si>
    <t>dUTP diphosphatase</t>
  </si>
  <si>
    <t>WP_033685087.1</t>
  </si>
  <si>
    <t>R8N76_RS03955</t>
  </si>
  <si>
    <t>dUTPase</t>
  </si>
  <si>
    <t>WP_011110016.1</t>
  </si>
  <si>
    <t>R8N76_RS03960</t>
  </si>
  <si>
    <t>WP_000117787.1</t>
  </si>
  <si>
    <t>R8N76_RS03965</t>
  </si>
  <si>
    <t>WP_000509448.1</t>
  </si>
  <si>
    <t>R8N76_RS03970</t>
  </si>
  <si>
    <t>WP_011110015.1</t>
  </si>
  <si>
    <t>R8N76_RS03975</t>
  </si>
  <si>
    <t>WP_000532404.1</t>
  </si>
  <si>
    <t>R8N76_RS03980</t>
  </si>
  <si>
    <t>bifunctional 3'-5' exonuclease/DNA polymerase</t>
  </si>
  <si>
    <t>WP_000147935.1</t>
  </si>
  <si>
    <t>R8N76_RS03985</t>
  </si>
  <si>
    <t>DNA primase small subunit domain-containing protein</t>
  </si>
  <si>
    <t>WP_001074795.1</t>
  </si>
  <si>
    <t>R8N76_RS03990</t>
  </si>
  <si>
    <t>WP_000191312.1</t>
  </si>
  <si>
    <t>R8N76_RS03995</t>
  </si>
  <si>
    <t>WP_000371577.1</t>
  </si>
  <si>
    <t>R8N76_RS04000</t>
  </si>
  <si>
    <t>WP_002195397.1</t>
  </si>
  <si>
    <t>R8N76_RS04005</t>
  </si>
  <si>
    <t>WP_000371312.1</t>
  </si>
  <si>
    <t>R8N76_RS04010</t>
  </si>
  <si>
    <t>WP_000137803.1</t>
  </si>
  <si>
    <t>R8N76_RS04015</t>
  </si>
  <si>
    <t>WP_000636791.1</t>
  </si>
  <si>
    <t>R8N76_RS04020</t>
  </si>
  <si>
    <t>WP_000670942.1</t>
  </si>
  <si>
    <t>R8N76_RS04025</t>
  </si>
  <si>
    <t>WP_000335907.1</t>
  </si>
  <si>
    <t>R8N76_RS04030</t>
  </si>
  <si>
    <t>chromosome segregation ATPase</t>
  </si>
  <si>
    <t>WP_000273131.1</t>
  </si>
  <si>
    <t>R8N76_RS04035</t>
  </si>
  <si>
    <t>WP_000421151.1</t>
  </si>
  <si>
    <t>R8N76_RS04040</t>
  </si>
  <si>
    <t>WP_000567344.1</t>
  </si>
  <si>
    <t>R8N76_RS04045</t>
  </si>
  <si>
    <t>WP_002195399.1</t>
  </si>
  <si>
    <t>R8N76_RS04050</t>
  </si>
  <si>
    <t>WP_001190216.1</t>
  </si>
  <si>
    <t>R8N76_RS04055</t>
  </si>
  <si>
    <t>WP_000239434.1</t>
  </si>
  <si>
    <t>R8N76_RS04060</t>
  </si>
  <si>
    <t>WP_000454591.1</t>
  </si>
  <si>
    <t>R8N76_RS04065</t>
  </si>
  <si>
    <t>WP_000351123.1</t>
  </si>
  <si>
    <t>R8N76_RS04070</t>
  </si>
  <si>
    <t>WP_000712293.1</t>
  </si>
  <si>
    <t>R8N76_RS04075</t>
  </si>
  <si>
    <t>WP_000713858.1</t>
  </si>
  <si>
    <t>R8N76_RS04080</t>
  </si>
  <si>
    <t>WP_001178605.1</t>
  </si>
  <si>
    <t>R8N76_RS04085</t>
  </si>
  <si>
    <t>WP_001091281.1</t>
  </si>
  <si>
    <t>R8N76_RS04090</t>
  </si>
  <si>
    <t>R8N76_RS04095</t>
  </si>
  <si>
    <t>WP_000997344.1</t>
  </si>
  <si>
    <t>R8N76_RS04100</t>
  </si>
  <si>
    <t>WP_001277021.1</t>
  </si>
  <si>
    <t>R8N76_RS04105</t>
  </si>
  <si>
    <t>DsbA family oxidoreductase</t>
  </si>
  <si>
    <t>WP_000216673.1</t>
  </si>
  <si>
    <t>R8N76_RS04110</t>
  </si>
  <si>
    <t>Rrf2 family transcriptional regulator</t>
  </si>
  <si>
    <t>WP_000704073.1</t>
  </si>
  <si>
    <t>R8N76_RS04115</t>
  </si>
  <si>
    <t>WP_000156743.1</t>
  </si>
  <si>
    <t>R8N76_RS04120</t>
  </si>
  <si>
    <t>WP_000192812.1</t>
  </si>
  <si>
    <t>R8N76_RS04125</t>
  </si>
  <si>
    <t>YcnI family protein</t>
  </si>
  <si>
    <t>WP_000439685.1</t>
  </si>
  <si>
    <t>R8N76_RS04130</t>
  </si>
  <si>
    <t>copper resistance CopC/CopD family protein</t>
  </si>
  <si>
    <t>WP_000114306.1</t>
  </si>
  <si>
    <t>R8N76_RS04135</t>
  </si>
  <si>
    <t>WP_000750850.1</t>
  </si>
  <si>
    <t>R8N76_RS04140</t>
  </si>
  <si>
    <t>branched-chain amino acid transport system II carrier protein</t>
  </si>
  <si>
    <t>brnQ</t>
  </si>
  <si>
    <t>WP_001284786.1</t>
  </si>
  <si>
    <t>R8N76_RS04145</t>
  </si>
  <si>
    <t>WP_000522528.1</t>
  </si>
  <si>
    <t>R8N76_RS04150</t>
  </si>
  <si>
    <t>arsenic resistance protein</t>
  </si>
  <si>
    <t>WP_000103809.1</t>
  </si>
  <si>
    <t>R8N76_RS04155</t>
  </si>
  <si>
    <t>DUF4153 domain-containing protein</t>
  </si>
  <si>
    <t>WP_001024715.1</t>
  </si>
  <si>
    <t>R8N76_RS04160</t>
  </si>
  <si>
    <t>DNA topoisomerase III</t>
  </si>
  <si>
    <t>topB</t>
  </si>
  <si>
    <t>WP_000766754.1</t>
  </si>
  <si>
    <t>R8N76_RS04165</t>
  </si>
  <si>
    <t>WP_000458541.1</t>
  </si>
  <si>
    <t>R8N76_RS04170</t>
  </si>
  <si>
    <t>multicopper oxidase family protein</t>
  </si>
  <si>
    <t>WP_000820031.1</t>
  </si>
  <si>
    <t>R8N76_RS04175</t>
  </si>
  <si>
    <t>pentapeptide repeat-containing protein</t>
  </si>
  <si>
    <t>WP_000687274.1</t>
  </si>
  <si>
    <t>R8N76_RS04180</t>
  </si>
  <si>
    <t>aminopeptidase P family protein</t>
  </si>
  <si>
    <t>WP_000842981.1</t>
  </si>
  <si>
    <t>R8N76_RS04185</t>
  </si>
  <si>
    <t>DUF896 domain-containing protein</t>
  </si>
  <si>
    <t>WP_000789782.1</t>
  </si>
  <si>
    <t>R8N76_RS04190</t>
  </si>
  <si>
    <t>CcdC family protein</t>
  </si>
  <si>
    <t>WP_000561075.1</t>
  </si>
  <si>
    <t>R8N76_RS04195</t>
  </si>
  <si>
    <t>WP_113732219.1</t>
  </si>
  <si>
    <t>R8N76_RS04200</t>
  </si>
  <si>
    <t>cytidine deaminase</t>
  </si>
  <si>
    <t>WP_000358545.1</t>
  </si>
  <si>
    <t>R8N76_RS04205</t>
  </si>
  <si>
    <t>pyrimidine-nucleoside phosphorylase</t>
  </si>
  <si>
    <t>WP_002093946.1</t>
  </si>
  <si>
    <t>R8N76_RS04210</t>
  </si>
  <si>
    <t>NupC/NupG family nucleoside CNT transporter</t>
  </si>
  <si>
    <t>WP_000876187.1</t>
  </si>
  <si>
    <t>R8N76_RS04215</t>
  </si>
  <si>
    <t>deoxyribose-phosphate aldolase</t>
  </si>
  <si>
    <t>deoC</t>
  </si>
  <si>
    <t>WP_001017441.1</t>
  </si>
  <si>
    <t>R8N76_RS04220</t>
  </si>
  <si>
    <t>sugar-binding transcriptional regulator</t>
  </si>
  <si>
    <t>WP_000409781.1</t>
  </si>
  <si>
    <t>R8N76_RS04225</t>
  </si>
  <si>
    <t>WP_000169640.1</t>
  </si>
  <si>
    <t>R8N76_RS04230</t>
  </si>
  <si>
    <t>type II CAAX prenyl endopeptidase Rce1 family protein</t>
  </si>
  <si>
    <t>WP_000008141.1</t>
  </si>
  <si>
    <t>R8N76_RS04235</t>
  </si>
  <si>
    <t>heavy metal-binding domain-containing protein</t>
  </si>
  <si>
    <t>WP_000637504.1</t>
  </si>
  <si>
    <t>R8N76_RS04240</t>
  </si>
  <si>
    <t>N-acetyltransferase</t>
  </si>
  <si>
    <t>WP_001033860.1</t>
  </si>
  <si>
    <t>R8N76_RS04245</t>
  </si>
  <si>
    <t>WP_000710981.1</t>
  </si>
  <si>
    <t>R8N76_RS04250</t>
  </si>
  <si>
    <t>carboxylic ester hydrolase</t>
  </si>
  <si>
    <t>WP_001012297.1</t>
  </si>
  <si>
    <t>R8N76_RS04255</t>
  </si>
  <si>
    <t>aminopeptidase</t>
  </si>
  <si>
    <t>WP_000141969.1</t>
  </si>
  <si>
    <t>R8N76_RS04260</t>
  </si>
  <si>
    <t>WP_257151172.1</t>
  </si>
  <si>
    <t>R8N76_RS04265</t>
  </si>
  <si>
    <t>non-hemolytic enterotoxin NHE subunit C</t>
  </si>
  <si>
    <t>nheC</t>
  </si>
  <si>
    <t>WP_001171994.1</t>
  </si>
  <si>
    <t>R8N76_RS04270</t>
  </si>
  <si>
    <t>non-hemolytic enterotoxin NHE subunit B</t>
  </si>
  <si>
    <t>nheB</t>
  </si>
  <si>
    <t>WP_000162968.1</t>
  </si>
  <si>
    <t>R8N76_RS04275</t>
  </si>
  <si>
    <t>non-hemolytic enterotoxin NHE subunit A</t>
  </si>
  <si>
    <t>nheA</t>
  </si>
  <si>
    <t>WP_000751828.1</t>
  </si>
  <si>
    <t>R8N76_RS04280</t>
  </si>
  <si>
    <t>APC family permease</t>
  </si>
  <si>
    <t>WP_000254889.1</t>
  </si>
  <si>
    <t>R8N76_RS04285</t>
  </si>
  <si>
    <t>WP_000031873.1</t>
  </si>
  <si>
    <t>R8N76_RS04290</t>
  </si>
  <si>
    <t>2-dehydropantoate 2-reductase</t>
  </si>
  <si>
    <t>panE</t>
  </si>
  <si>
    <t>WP_001221911.1</t>
  </si>
  <si>
    <t>R8N76_RS04295</t>
  </si>
  <si>
    <t>WP_000387434.1</t>
  </si>
  <si>
    <t>R8N76_RS04300</t>
  </si>
  <si>
    <t>rhodanese-related sulfurtransferase</t>
  </si>
  <si>
    <t>WP_000246231.1</t>
  </si>
  <si>
    <t>R8N76_RS04305</t>
  </si>
  <si>
    <t>Nramp family divalent metal transporter</t>
  </si>
  <si>
    <t>WP_001030679.1</t>
  </si>
  <si>
    <t>R8N76_RS04310</t>
  </si>
  <si>
    <t>M23 family metallopeptidase</t>
  </si>
  <si>
    <t>WP_000265533.1</t>
  </si>
  <si>
    <t>R8N76_RS04315</t>
  </si>
  <si>
    <t>WP_000466663.1</t>
  </si>
  <si>
    <t>R8N76_RS04320</t>
  </si>
  <si>
    <t>WP_002195348.1</t>
  </si>
  <si>
    <t>R8N76_RS04325</t>
  </si>
  <si>
    <t>WP_000483964.1</t>
  </si>
  <si>
    <t>R8N76_RS04330</t>
  </si>
  <si>
    <t>R8N76_RS04335</t>
  </si>
  <si>
    <t>WP_002025623.1</t>
  </si>
  <si>
    <t>R8N76_RS04340</t>
  </si>
  <si>
    <t>lipoprotein</t>
  </si>
  <si>
    <t>WP_000838922.1</t>
  </si>
  <si>
    <t>R8N76_RS04345</t>
  </si>
  <si>
    <t>R8N76_RS04350</t>
  </si>
  <si>
    <t>WP_000823510.1</t>
  </si>
  <si>
    <t>R8N76_RS04355</t>
  </si>
  <si>
    <t>bifunctional S-methyl-5'-thioadenosine deaminase/S-adenosylhomocysteine deaminase</t>
  </si>
  <si>
    <t>WP_002195350.1</t>
  </si>
  <si>
    <t>R8N76_RS04360</t>
  </si>
  <si>
    <t>WP_000342907.1</t>
  </si>
  <si>
    <t>R8N76_RS04365</t>
  </si>
  <si>
    <t>WP_000701899.1</t>
  </si>
  <si>
    <t>R8N76_RS04370</t>
  </si>
  <si>
    <t>acetyl-CoA hydrolase/transferase family protein</t>
  </si>
  <si>
    <t>WP_000429812.1</t>
  </si>
  <si>
    <t>R8N76_RS04375</t>
  </si>
  <si>
    <t>LytTR family DNA-binding domain-containing protein</t>
  </si>
  <si>
    <t>WP_000390211.1</t>
  </si>
  <si>
    <t>R8N76_RS04380</t>
  </si>
  <si>
    <t>WP_001102581.1</t>
  </si>
  <si>
    <t>R8N76_RS04385</t>
  </si>
  <si>
    <t>class III extradiol ring-cleavage dioxygenase</t>
  </si>
  <si>
    <t>WP_000982899.1</t>
  </si>
  <si>
    <t>R8N76_RS04390</t>
  </si>
  <si>
    <t>multidrug efflux MFS transporter</t>
  </si>
  <si>
    <t>WP_000179295.1</t>
  </si>
  <si>
    <t>R8N76_RS04395</t>
  </si>
  <si>
    <t>WP_000390855.1</t>
  </si>
  <si>
    <t>R8N76_RS04400</t>
  </si>
  <si>
    <t>DUF554 domain-containing protein</t>
  </si>
  <si>
    <t>WP_000236030.1</t>
  </si>
  <si>
    <t>R8N76_RS04405</t>
  </si>
  <si>
    <t>CapA family protein</t>
  </si>
  <si>
    <t>WP_000854536.1</t>
  </si>
  <si>
    <t>R8N76_RS04410</t>
  </si>
  <si>
    <t>R8N76_RS04415</t>
  </si>
  <si>
    <t>threonine ammonia-lyase IlvA</t>
  </si>
  <si>
    <t>ilvA</t>
  </si>
  <si>
    <t>WP_000250317.1</t>
  </si>
  <si>
    <t>R8N76_RS04420</t>
  </si>
  <si>
    <t>dihydroxy-acid dehydratase</t>
  </si>
  <si>
    <t>ilvD</t>
  </si>
  <si>
    <t>WP_001255814.1</t>
  </si>
  <si>
    <t>R8N76_RS04425</t>
  </si>
  <si>
    <t>ketol-acid reductoisomerase</t>
  </si>
  <si>
    <t>ilvC</t>
  </si>
  <si>
    <t>WP_000861143.1</t>
  </si>
  <si>
    <t>R8N76_RS04430</t>
  </si>
  <si>
    <t>ACT domain-containing protein</t>
  </si>
  <si>
    <t>WP_000019909.1</t>
  </si>
  <si>
    <t>R8N76_RS04435</t>
  </si>
  <si>
    <t>acetolactate synthase large subunit</t>
  </si>
  <si>
    <t>ilvB</t>
  </si>
  <si>
    <t>WP_002164572.1</t>
  </si>
  <si>
    <t>R8N76_RS04440</t>
  </si>
  <si>
    <t>branched-chain-amino-acid transaminase</t>
  </si>
  <si>
    <t>ilvE</t>
  </si>
  <si>
    <t>WP_000528162.1</t>
  </si>
  <si>
    <t>R8N76_RS04445</t>
  </si>
  <si>
    <t>WP_000911822.1</t>
  </si>
  <si>
    <t>R8N76_RS04450</t>
  </si>
  <si>
    <t>peptide-methionine (S)-S-oxide reductase MsrA</t>
  </si>
  <si>
    <t>msrA</t>
  </si>
  <si>
    <t>WP_001291883.1</t>
  </si>
  <si>
    <t>R8N76_RS04455</t>
  </si>
  <si>
    <t>WP_000919314.1</t>
  </si>
  <si>
    <t>R8N76_RS04460</t>
  </si>
  <si>
    <t>chromosome condensation regulator</t>
  </si>
  <si>
    <t>WP_000385090.1</t>
  </si>
  <si>
    <t>R8N76_RS04465</t>
  </si>
  <si>
    <t>FusB/FusC family EF-G-binding protein</t>
  </si>
  <si>
    <t>WP_000387072.1</t>
  </si>
  <si>
    <t>R8N76_RS04470</t>
  </si>
  <si>
    <t>WP_001015543.1</t>
  </si>
  <si>
    <t>R8N76_RS04475</t>
  </si>
  <si>
    <t>CD3324 family protein</t>
  </si>
  <si>
    <t>WP_000878325.1</t>
  </si>
  <si>
    <t>R8N76_RS04480</t>
  </si>
  <si>
    <t>polysaccharide deacetylase family protein</t>
  </si>
  <si>
    <t>WP_000726858.1</t>
  </si>
  <si>
    <t>R8N76_RS04485</t>
  </si>
  <si>
    <t>WP_001088187.1</t>
  </si>
  <si>
    <t>R8N76_RS04490</t>
  </si>
  <si>
    <t>WP_000505543.1</t>
  </si>
  <si>
    <t>R8N76_RS04495</t>
  </si>
  <si>
    <t>DUF4037 domain-containing protein</t>
  </si>
  <si>
    <t>WP_000523173.1</t>
  </si>
  <si>
    <t>R8N76_RS04500</t>
  </si>
  <si>
    <t>WP_000771271.1</t>
  </si>
  <si>
    <t>R8N76_RS04505</t>
  </si>
  <si>
    <t>cysteine synthase A</t>
  </si>
  <si>
    <t>cysK</t>
  </si>
  <si>
    <t>WP_000762273.1</t>
  </si>
  <si>
    <t>R8N76_RS04510</t>
  </si>
  <si>
    <t>WP_000543417.1</t>
  </si>
  <si>
    <t>R8N76_RS04515</t>
  </si>
  <si>
    <t>GTPase HflX</t>
  </si>
  <si>
    <t>hflX</t>
  </si>
  <si>
    <t>WP_000393283.1</t>
  </si>
  <si>
    <t>R8N76_RS04520</t>
  </si>
  <si>
    <t>ketoacyl-ACP synthase III</t>
  </si>
  <si>
    <t>WP_000555762.1</t>
  </si>
  <si>
    <t>R8N76_RS04525</t>
  </si>
  <si>
    <t>WP_000884513.1</t>
  </si>
  <si>
    <t>R8N76_RS04530</t>
  </si>
  <si>
    <t>WP_000754353.1</t>
  </si>
  <si>
    <t>R8N76_RS04535</t>
  </si>
  <si>
    <t>WP_000438106.1</t>
  </si>
  <si>
    <t>R8N76_RS04540</t>
  </si>
  <si>
    <t>PadR family transcriptional regulator</t>
  </si>
  <si>
    <t>WP_000678346.1</t>
  </si>
  <si>
    <t>R8N76_RS04545</t>
  </si>
  <si>
    <t>polyphosphate kinase 2 family protein</t>
  </si>
  <si>
    <t>WP_000427312.1</t>
  </si>
  <si>
    <t>R8N76_RS04550</t>
  </si>
  <si>
    <t>WP_000823333.1</t>
  </si>
  <si>
    <t>R8N76_RS04555</t>
  </si>
  <si>
    <t>WP_001161162.1</t>
  </si>
  <si>
    <t>R8N76_RS04560</t>
  </si>
  <si>
    <t>8-oxo-dGTP diphosphatase</t>
  </si>
  <si>
    <t>WP_001134945.1</t>
  </si>
  <si>
    <t>R8N76_RS04565</t>
  </si>
  <si>
    <t>YndJ family protein</t>
  </si>
  <si>
    <t>WP_000789383.1</t>
  </si>
  <si>
    <t>R8N76_RS04570</t>
  </si>
  <si>
    <t>DUF4166 domain-containing protein</t>
  </si>
  <si>
    <t>WP_000002654.1</t>
  </si>
  <si>
    <t>R8N76_RS04575</t>
  </si>
  <si>
    <t>DoxX-like family protein</t>
  </si>
  <si>
    <t>WP_000823951.1</t>
  </si>
  <si>
    <t>R8N76_RS04580</t>
  </si>
  <si>
    <t>aspartate kinase</t>
  </si>
  <si>
    <t>WP_000448037.1</t>
  </si>
  <si>
    <t>R8N76_RS04585</t>
  </si>
  <si>
    <t>WP_001107259.1</t>
  </si>
  <si>
    <t>R8N76_RS04590</t>
  </si>
  <si>
    <t>aspartate--ammonia ligase</t>
  </si>
  <si>
    <t>asnA</t>
  </si>
  <si>
    <t>WP_000284917.1</t>
  </si>
  <si>
    <t>R8N76_RS04595</t>
  </si>
  <si>
    <t>DUF3934 domain-containing protein</t>
  </si>
  <si>
    <t>WP_000047588.1</t>
  </si>
  <si>
    <t>R8N76_RS04600</t>
  </si>
  <si>
    <t>WP_000011040.1</t>
  </si>
  <si>
    <t>R8N76_RS04605</t>
  </si>
  <si>
    <t>response regulator</t>
  </si>
  <si>
    <t>WP_000500302.1</t>
  </si>
  <si>
    <t>R8N76_RS04610</t>
  </si>
  <si>
    <t>sensor histidine kinase</t>
  </si>
  <si>
    <t>WP_002195356.1</t>
  </si>
  <si>
    <t>R8N76_RS04615</t>
  </si>
  <si>
    <t>oxaloacetate-decarboxylating malate dehydrogenase</t>
  </si>
  <si>
    <t>malS</t>
  </si>
  <si>
    <t>WP_002195357.1</t>
  </si>
  <si>
    <t>R8N76_RS04620</t>
  </si>
  <si>
    <t>aspartate ammonia-lyase</t>
  </si>
  <si>
    <t>aspA</t>
  </si>
  <si>
    <t>WP_000224190.1</t>
  </si>
  <si>
    <t>R8N76_RS04625</t>
  </si>
  <si>
    <t>cation:dicarboxylate symporter family transporter</t>
  </si>
  <si>
    <t>WP_000713291.1</t>
  </si>
  <si>
    <t>R8N76_RS04630</t>
  </si>
  <si>
    <t>UMP kinase</t>
  </si>
  <si>
    <t>pyrH</t>
  </si>
  <si>
    <t>WP_001248059.1</t>
  </si>
  <si>
    <t>R8N76_RS04635</t>
  </si>
  <si>
    <t>phosphatidylserine/phosphatidylglycerophosphate/cardiolipin synthase family protein</t>
  </si>
  <si>
    <t>WP_000591900.1</t>
  </si>
  <si>
    <t>R8N76_RS04640</t>
  </si>
  <si>
    <t>WP_000651900.1</t>
  </si>
  <si>
    <t>R8N76_RS04645</t>
  </si>
  <si>
    <t>WP_001020162.1</t>
  </si>
  <si>
    <t>R8N76_RS04650</t>
  </si>
  <si>
    <t>ATP-binding cassette domain-containing protein</t>
  </si>
  <si>
    <t>WP_001093845.1</t>
  </si>
  <si>
    <t>R8N76_RS04655</t>
  </si>
  <si>
    <t>WP_000397690.1</t>
  </si>
  <si>
    <t>R8N76_RS04660</t>
  </si>
  <si>
    <t>WP_000694093.1</t>
  </si>
  <si>
    <t>R8N76_RS04665</t>
  </si>
  <si>
    <t>RNA polymerase sigma factor</t>
  </si>
  <si>
    <t>WP_071740389.1</t>
  </si>
  <si>
    <t>R8N76_RS04670</t>
  </si>
  <si>
    <t>WP_000972341.1</t>
  </si>
  <si>
    <t>R8N76_RS04675</t>
  </si>
  <si>
    <t>WP_001039115.1</t>
  </si>
  <si>
    <t>R8N76_RS04680</t>
  </si>
  <si>
    <t>exosporium protein ExsE</t>
  </si>
  <si>
    <t>exsE</t>
  </si>
  <si>
    <t>WP_001261422.1</t>
  </si>
  <si>
    <t>R8N76_RS04685</t>
  </si>
  <si>
    <t>DUF445 domain-containing protein</t>
  </si>
  <si>
    <t>WP_000058301.1</t>
  </si>
  <si>
    <t>R8N76_RS04690</t>
  </si>
  <si>
    <t>R8N76_RS04695</t>
  </si>
  <si>
    <t>WP_000427638.1</t>
  </si>
  <si>
    <t>R8N76_RS04700</t>
  </si>
  <si>
    <t>prolipoprotein diacylglyceryl transferase family protein</t>
  </si>
  <si>
    <t>WP_000454842.1</t>
  </si>
  <si>
    <t>R8N76_RS04705</t>
  </si>
  <si>
    <t>TlpA disulfide reductase family protein</t>
  </si>
  <si>
    <t>WP_000719879.1</t>
  </si>
  <si>
    <t>R8N76_RS04710</t>
  </si>
  <si>
    <t>cytochrome c-type biogenesis protein CcdA</t>
  </si>
  <si>
    <t>ccdA</t>
  </si>
  <si>
    <t>WP_000990443.1</t>
  </si>
  <si>
    <t>R8N76_RS04715</t>
  </si>
  <si>
    <t>M56 family metallopeptidase</t>
  </si>
  <si>
    <t>WP_000871925.1</t>
  </si>
  <si>
    <t>R8N76_RS04720</t>
  </si>
  <si>
    <t>BlaI/MecI/CopY family transcriptional regulator</t>
  </si>
  <si>
    <t>WP_000495055.1</t>
  </si>
  <si>
    <t>R8N76_RS04725</t>
  </si>
  <si>
    <t>WP_000347525.1</t>
  </si>
  <si>
    <t>R8N76_RS04730</t>
  </si>
  <si>
    <t>peptidase E</t>
  </si>
  <si>
    <t>WP_000762118.1</t>
  </si>
  <si>
    <t>R8N76_RS04735</t>
  </si>
  <si>
    <t>MATE family efflux transporter</t>
  </si>
  <si>
    <t>WP_000804119.1</t>
  </si>
  <si>
    <t>R8N76_RS04740</t>
  </si>
  <si>
    <t>DUF2087 domain-containing protein</t>
  </si>
  <si>
    <t>WP_001280271.1</t>
  </si>
  <si>
    <t>R8N76_RS04745</t>
  </si>
  <si>
    <t>PH domain-containing protein</t>
  </si>
  <si>
    <t>WP_000669069.1</t>
  </si>
  <si>
    <t>R8N76_RS04750</t>
  </si>
  <si>
    <t>class II fumarate hydratase</t>
  </si>
  <si>
    <t>fumC</t>
  </si>
  <si>
    <t>WP_000456610.1</t>
  </si>
  <si>
    <t>R8N76_RS04755</t>
  </si>
  <si>
    <t>SDR family NAD(P)-dependent oxidoreductase</t>
  </si>
  <si>
    <t>WP_000759544.1</t>
  </si>
  <si>
    <t>R8N76_RS04760</t>
  </si>
  <si>
    <t>WP_000291863.1</t>
  </si>
  <si>
    <t>R8N76_RS04765</t>
  </si>
  <si>
    <t>Na+/H+ antiporter NhaC</t>
  </si>
  <si>
    <t>nhaC</t>
  </si>
  <si>
    <t>WP_000843992.1</t>
  </si>
  <si>
    <t>R8N76_RS04770</t>
  </si>
  <si>
    <t>WP_001104669.1</t>
  </si>
  <si>
    <t>R8N76_RS04775</t>
  </si>
  <si>
    <t>WP_000409939.1</t>
  </si>
  <si>
    <t>R8N76_RS04780</t>
  </si>
  <si>
    <t>WP_002195363.1</t>
  </si>
  <si>
    <t>R8N76_RS04785</t>
  </si>
  <si>
    <t>WP_000757677.1</t>
  </si>
  <si>
    <t>R8N76_RS04790</t>
  </si>
  <si>
    <t>DUF3784 domain-containing protein</t>
  </si>
  <si>
    <t>WP_000879373.1</t>
  </si>
  <si>
    <t>R8N76_RS04795</t>
  </si>
  <si>
    <t>WP_000378082.1</t>
  </si>
  <si>
    <t>R8N76_RS04800</t>
  </si>
  <si>
    <t>GntR family transcriptional regulator</t>
  </si>
  <si>
    <t>WP_002040907.1</t>
  </si>
  <si>
    <t>R8N76_RS04805</t>
  </si>
  <si>
    <t>Fur-regulated basic protein FbpA</t>
  </si>
  <si>
    <t>fbpA</t>
  </si>
  <si>
    <t>WP_000098302.1</t>
  </si>
  <si>
    <t>R8N76_RS04810</t>
  </si>
  <si>
    <t>WP_000510034.1</t>
  </si>
  <si>
    <t>R8N76_RS04815</t>
  </si>
  <si>
    <t>glycosyl hydrolase</t>
  </si>
  <si>
    <t>WP_000825317.1</t>
  </si>
  <si>
    <t>R8N76_RS04820</t>
  </si>
  <si>
    <t>DUF4179 domain-containing protein</t>
  </si>
  <si>
    <t>WP_000653138.1</t>
  </si>
  <si>
    <t>R8N76_RS04825</t>
  </si>
  <si>
    <t>WP_000840007.1</t>
  </si>
  <si>
    <t>R8N76_RS04830</t>
  </si>
  <si>
    <t>WP_000333926.1</t>
  </si>
  <si>
    <t>R8N76_RS04835</t>
  </si>
  <si>
    <t>protein phosphatase 2C domain-containing protein</t>
  </si>
  <si>
    <t>WP_002040904.1</t>
  </si>
  <si>
    <t>R8N76_RS04840</t>
  </si>
  <si>
    <t>WP_000282374.1</t>
  </si>
  <si>
    <t>R8N76_RS04845</t>
  </si>
  <si>
    <t>DUF3147 family protein</t>
  </si>
  <si>
    <t>WP_000545616.1</t>
  </si>
  <si>
    <t>R8N76_RS04850</t>
  </si>
  <si>
    <t>WP_063225442.1</t>
  </si>
  <si>
    <t>R8N76_RS04855</t>
  </si>
  <si>
    <t>WP_000461779.1</t>
  </si>
  <si>
    <t>R8N76_RS04860</t>
  </si>
  <si>
    <t>WP_000208265.1</t>
  </si>
  <si>
    <t>R8N76_RS04865</t>
  </si>
  <si>
    <t>WP_001214666.1</t>
  </si>
  <si>
    <t>R8N76_RS04870</t>
  </si>
  <si>
    <t>WP_000108701.1</t>
  </si>
  <si>
    <t>R8N76_RS04875</t>
  </si>
  <si>
    <t>WP_001987133.1</t>
  </si>
  <si>
    <t>R8N76_RS04880</t>
  </si>
  <si>
    <t>YfmQ family protein</t>
  </si>
  <si>
    <t>WP_000214569.1</t>
  </si>
  <si>
    <t>R8N76_RS04885</t>
  </si>
  <si>
    <t>WP_000755315.1</t>
  </si>
  <si>
    <t>R8N76_RS04890</t>
  </si>
  <si>
    <t>WP_033685076.1</t>
  </si>
  <si>
    <t>R8N76_RS04895</t>
  </si>
  <si>
    <t>iron ABC transporter permease</t>
  </si>
  <si>
    <t>WP_000248163.1</t>
  </si>
  <si>
    <t>R8N76_RS04900</t>
  </si>
  <si>
    <t>WP_000714679.1</t>
  </si>
  <si>
    <t>R8N76_RS04905</t>
  </si>
  <si>
    <t>WP_000351829.1</t>
  </si>
  <si>
    <t>R8N76_RS04910</t>
  </si>
  <si>
    <t>WP_001050612.1</t>
  </si>
  <si>
    <t>R8N76_RS04915</t>
  </si>
  <si>
    <t>DUF4398 domain-containing protein</t>
  </si>
  <si>
    <t>WP_000736438.1</t>
  </si>
  <si>
    <t>R8N76_RS04920</t>
  </si>
  <si>
    <t>WP_000502468.1</t>
  </si>
  <si>
    <t>R8N76_RS04925</t>
  </si>
  <si>
    <t>WP_000212348.1</t>
  </si>
  <si>
    <t>R8N76_RS04930</t>
  </si>
  <si>
    <t>H-type small acid-soluble spore protein</t>
  </si>
  <si>
    <t>WP_001025739.1</t>
  </si>
  <si>
    <t>R8N76_RS04935</t>
  </si>
  <si>
    <t>antibiotic biosynthesis monooxygenase family protein</t>
  </si>
  <si>
    <t>WP_406627604.1</t>
  </si>
  <si>
    <t>R8N76_RS04940</t>
  </si>
  <si>
    <t>dienelactone hydrolase family protein</t>
  </si>
  <si>
    <t>WP_000660122.1</t>
  </si>
  <si>
    <t>R8N76_RS04945</t>
  </si>
  <si>
    <t>WP_011109988.1</t>
  </si>
  <si>
    <t>R8N76_RS04950</t>
  </si>
  <si>
    <t>DUF3951 domain-containing protein</t>
  </si>
  <si>
    <t>WP_000602247.1</t>
  </si>
  <si>
    <t>R8N76_RS04955</t>
  </si>
  <si>
    <t>AzlD domain-containing protein</t>
  </si>
  <si>
    <t>WP_000425954.1</t>
  </si>
  <si>
    <t>R8N76_RS04960</t>
  </si>
  <si>
    <t>AzlC family ABC transporter permease</t>
  </si>
  <si>
    <t>WP_000029975.1</t>
  </si>
  <si>
    <t>R8N76_RS04965</t>
  </si>
  <si>
    <t>TrmB family transcriptional regulator</t>
  </si>
  <si>
    <t>WP_000357819.1</t>
  </si>
  <si>
    <t>R8N76_RS04970</t>
  </si>
  <si>
    <t>alanyl-tRNA editing protein</t>
  </si>
  <si>
    <t>WP_000205380.1</t>
  </si>
  <si>
    <t>R8N76_RS04975</t>
  </si>
  <si>
    <t>flagellar basal-body rod protein FlgG</t>
  </si>
  <si>
    <t>WP_001013934.1</t>
  </si>
  <si>
    <t>R8N76_RS04980</t>
  </si>
  <si>
    <t>flagellar biosynthesis protein FlhF</t>
  </si>
  <si>
    <t>flhF</t>
  </si>
  <si>
    <t>WP_000446171.1</t>
  </si>
  <si>
    <t>R8N76_RS04985</t>
  </si>
  <si>
    <t>flagellar biosynthesis protein FlhA</t>
  </si>
  <si>
    <t>flhA</t>
  </si>
  <si>
    <t>WP_000472537.1</t>
  </si>
  <si>
    <t>R8N76_RS04990</t>
  </si>
  <si>
    <t>flagellar type III secretion system protein FlhB</t>
  </si>
  <si>
    <t>flhB</t>
  </si>
  <si>
    <t>WP_001030109.1</t>
  </si>
  <si>
    <t>R8N76_RS04995</t>
  </si>
  <si>
    <t>flagellar biosynthetic protein FliR</t>
  </si>
  <si>
    <t>WP_001055706.1</t>
  </si>
  <si>
    <t>R8N76_RS05000</t>
  </si>
  <si>
    <t>flagellar biosynthetic protein FliQ</t>
  </si>
  <si>
    <t>WP_001098085.1</t>
  </si>
  <si>
    <t>R8N76_RS05005</t>
  </si>
  <si>
    <t>flagellar type III secretion system pore protein FliP</t>
  </si>
  <si>
    <t>WP_001220582.1</t>
  </si>
  <si>
    <t>R8N76_RS05010</t>
  </si>
  <si>
    <t>WP_000121176.1</t>
  </si>
  <si>
    <t>R8N76_RS05015</t>
  </si>
  <si>
    <t>flagellar motor switch protein FliN</t>
  </si>
  <si>
    <t>fliN</t>
  </si>
  <si>
    <t>WP_000680010.1</t>
  </si>
  <si>
    <t>R8N76_RS05020</t>
  </si>
  <si>
    <t>flagellar motor switch protein FliM</t>
  </si>
  <si>
    <t>fliM</t>
  </si>
  <si>
    <t>WP_000012360.1</t>
  </si>
  <si>
    <t>R8N76_RS05025</t>
  </si>
  <si>
    <t>WP_000775712.1</t>
  </si>
  <si>
    <t>R8N76_RS05030</t>
  </si>
  <si>
    <t>lytic transglycosylase domain-containing protein</t>
  </si>
  <si>
    <t>WP_000635225.1</t>
  </si>
  <si>
    <t>R8N76_RS05035</t>
  </si>
  <si>
    <t>flagellin</t>
  </si>
  <si>
    <t>WP_001222377.1</t>
  </si>
  <si>
    <t>R8N76_RS05040</t>
  </si>
  <si>
    <t>WP_001222373.1</t>
  </si>
  <si>
    <t>R8N76_RS05045</t>
  </si>
  <si>
    <t>WP_001222376.1</t>
  </si>
  <si>
    <t>R8N76_RS05050</t>
  </si>
  <si>
    <t>WP_001219677.1</t>
  </si>
  <si>
    <t>R8N76_RS05055</t>
  </si>
  <si>
    <t>DNA-binding domain-containing protein</t>
  </si>
  <si>
    <t>WP_000274687.1</t>
  </si>
  <si>
    <t>R8N76_RS05060</t>
  </si>
  <si>
    <t>chemotaxis protein</t>
  </si>
  <si>
    <t>WP_000075943.1</t>
  </si>
  <si>
    <t>R8N76_RS05065</t>
  </si>
  <si>
    <t>WP_000068304.1</t>
  </si>
  <si>
    <t>R8N76_RS05070</t>
  </si>
  <si>
    <t>DUF3964 family protein</t>
  </si>
  <si>
    <t>WP_000198175.1</t>
  </si>
  <si>
    <t>R8N76_RS05075</t>
  </si>
  <si>
    <t>flagellar hook protein FlgE</t>
  </si>
  <si>
    <t>flgE</t>
  </si>
  <si>
    <t>WP_000588310.1</t>
  </si>
  <si>
    <t>R8N76_RS05080</t>
  </si>
  <si>
    <t>flagellar hook assembly protein FlgD</t>
  </si>
  <si>
    <t>WP_001143477.1</t>
  </si>
  <si>
    <t>R8N76_RS05085</t>
  </si>
  <si>
    <t>flagellar hook-length control protein FliK</t>
  </si>
  <si>
    <t>WP_000616456.1</t>
  </si>
  <si>
    <t>R8N76_RS05090</t>
  </si>
  <si>
    <t>WP_000360855.1</t>
  </si>
  <si>
    <t>R8N76_RS05095</t>
  </si>
  <si>
    <t>flagellar protein export ATPase FliI</t>
  </si>
  <si>
    <t>fliI</t>
  </si>
  <si>
    <t>WP_000088693.1</t>
  </si>
  <si>
    <t>R8N76_RS05100</t>
  </si>
  <si>
    <t>FliH/SctL family protein</t>
  </si>
  <si>
    <t>WP_000051695.1</t>
  </si>
  <si>
    <t>R8N76_RS05105</t>
  </si>
  <si>
    <t>flagellar motor switch protein FliG</t>
  </si>
  <si>
    <t>fliG</t>
  </si>
  <si>
    <t>WP_000883356.1</t>
  </si>
  <si>
    <t>R8N76_RS05110</t>
  </si>
  <si>
    <t>flagellar M-ring protein FliF C-terminal domain-containing protein</t>
  </si>
  <si>
    <t>WP_000413931.1</t>
  </si>
  <si>
    <t>R8N76_RS05115</t>
  </si>
  <si>
    <t>flagellar hook-basal body complex protein FliE</t>
  </si>
  <si>
    <t>fliE</t>
  </si>
  <si>
    <t>WP_000701672.1</t>
  </si>
  <si>
    <t>R8N76_RS05120</t>
  </si>
  <si>
    <t>flagellar basal body rod protein FlgC</t>
  </si>
  <si>
    <t>flgC</t>
  </si>
  <si>
    <t>WP_000484680.1</t>
  </si>
  <si>
    <t>R8N76_RS05125</t>
  </si>
  <si>
    <t>flagellar basal body rod protein FlgB</t>
  </si>
  <si>
    <t>flgB</t>
  </si>
  <si>
    <t>WP_370445031.1</t>
  </si>
  <si>
    <t>R8N76_RS05130</t>
  </si>
  <si>
    <t>WP_001058084.1</t>
  </si>
  <si>
    <t>R8N76_RS05135</t>
  </si>
  <si>
    <t>flagellar export chaperone FliS</t>
  </si>
  <si>
    <t>fliS</t>
  </si>
  <si>
    <t>WP_001149504.1</t>
  </si>
  <si>
    <t>R8N76_RS05140</t>
  </si>
  <si>
    <t>flagellar hook-associated protein 2</t>
  </si>
  <si>
    <t>WP_000929220.1</t>
  </si>
  <si>
    <t>R8N76_RS05145</t>
  </si>
  <si>
    <t>flagellar hook-associated protein 3</t>
  </si>
  <si>
    <t>WP_001266408.1</t>
  </si>
  <si>
    <t>R8N76_RS05150</t>
  </si>
  <si>
    <t>flagellar hook-associated protein FlgK</t>
  </si>
  <si>
    <t>flgK</t>
  </si>
  <si>
    <t>WP_001239697.1</t>
  </si>
  <si>
    <t>R8N76_RS05155</t>
  </si>
  <si>
    <t>WP_000275880.1</t>
  </si>
  <si>
    <t>R8N76_RS05160</t>
  </si>
  <si>
    <t>YaaR family protein</t>
  </si>
  <si>
    <t>WP_000946323.1</t>
  </si>
  <si>
    <t>R8N76_RS05165</t>
  </si>
  <si>
    <t>WP_001020110.1</t>
  </si>
  <si>
    <t>R8N76_RS05170</t>
  </si>
  <si>
    <t>protein-glutamate O-methyltransferase CheR</t>
  </si>
  <si>
    <t>cheR</t>
  </si>
  <si>
    <t>WP_000582882.1</t>
  </si>
  <si>
    <t>R8N76_RS05175</t>
  </si>
  <si>
    <t>WP_000403954.1</t>
  </si>
  <si>
    <t>R8N76_RS05180</t>
  </si>
  <si>
    <t>WP_000800085.1</t>
  </si>
  <si>
    <t>R8N76_RS05185</t>
  </si>
  <si>
    <t>flagellar motor switch protein</t>
  </si>
  <si>
    <t>WP_001115005.1</t>
  </si>
  <si>
    <t>R8N76_RS05190</t>
  </si>
  <si>
    <t>chemotaxis protein CheA</t>
  </si>
  <si>
    <t>WP_001192618.1</t>
  </si>
  <si>
    <t>R8N76_RS05195</t>
  </si>
  <si>
    <t>WP_000940568.1</t>
  </si>
  <si>
    <t>R8N76_RS05200</t>
  </si>
  <si>
    <t>OmpA family protein</t>
  </si>
  <si>
    <t>WP_000033625.1</t>
  </si>
  <si>
    <t>R8N76_RS05205</t>
  </si>
  <si>
    <t>flagellar motor protein MotP</t>
  </si>
  <si>
    <t>WP_000504191.1</t>
  </si>
  <si>
    <t>R8N76_RS05210</t>
  </si>
  <si>
    <t>WP_000400779.1</t>
  </si>
  <si>
    <t>R8N76_RS05215</t>
  </si>
  <si>
    <t>RNA chaperone Hfq</t>
  </si>
  <si>
    <t>hfq</t>
  </si>
  <si>
    <t>WP_000400663.1</t>
  </si>
  <si>
    <t>R8N76_RS05220</t>
  </si>
  <si>
    <t>WP_000291687.1</t>
  </si>
  <si>
    <t>R8N76_RS05225</t>
  </si>
  <si>
    <t>WP_000120179.1</t>
  </si>
  <si>
    <t>R8N76_RS05230</t>
  </si>
  <si>
    <t>WP_000117066.1</t>
  </si>
  <si>
    <t>R8N76_RS05235</t>
  </si>
  <si>
    <t>sulfite exporter TauE/SafE family protein</t>
  </si>
  <si>
    <t>WP_000513090.1</t>
  </si>
  <si>
    <t>R8N76_RS05240</t>
  </si>
  <si>
    <t>oxygen-insensitive NADPH nitroreductase</t>
  </si>
  <si>
    <t>nfsA</t>
  </si>
  <si>
    <t>WP_001002387.1</t>
  </si>
  <si>
    <t>R8N76_RS05245</t>
  </si>
  <si>
    <t>DUF4870 domain-containing protein</t>
  </si>
  <si>
    <t>WP_000678055.1</t>
  </si>
  <si>
    <t>R8N76_RS05250</t>
  </si>
  <si>
    <t>WP_000727393.1</t>
  </si>
  <si>
    <t>R8N76_RS05255</t>
  </si>
  <si>
    <t>WP_000923927.1</t>
  </si>
  <si>
    <t>R8N76_RS05260</t>
  </si>
  <si>
    <t>WP_000388389.1</t>
  </si>
  <si>
    <t>R8N76_RS05265</t>
  </si>
  <si>
    <t>WP_000925933.1</t>
  </si>
  <si>
    <t>R8N76_RS05270</t>
  </si>
  <si>
    <t>ribonuclease J</t>
  </si>
  <si>
    <t>WP_000645621.1</t>
  </si>
  <si>
    <t>R8N76_RS05275</t>
  </si>
  <si>
    <t>cation:proton antiporter</t>
  </si>
  <si>
    <t>WP_000393893.1</t>
  </si>
  <si>
    <t>R8N76_RS05280</t>
  </si>
  <si>
    <t>DUF3986 family protein</t>
  </si>
  <si>
    <t>WP_000417068.1</t>
  </si>
  <si>
    <t>R8N76_RS05285</t>
  </si>
  <si>
    <t>WP_000850957.1</t>
  </si>
  <si>
    <t>R8N76_RS05290</t>
  </si>
  <si>
    <t>cation acetate symporter</t>
  </si>
  <si>
    <t>WP_001098240.1</t>
  </si>
  <si>
    <t>R8N76_RS05295</t>
  </si>
  <si>
    <t>DUF485 domain-containing protein</t>
  </si>
  <si>
    <t>WP_000817366.1</t>
  </si>
  <si>
    <t>R8N76_RS05300</t>
  </si>
  <si>
    <t>sterol desaturase family protein</t>
  </si>
  <si>
    <t>WP_000755401.1</t>
  </si>
  <si>
    <t>R8N76_RS05305</t>
  </si>
  <si>
    <t>WP_000286361.1</t>
  </si>
  <si>
    <t>R8N76_RS05310</t>
  </si>
  <si>
    <t>WP_001196841.1</t>
  </si>
  <si>
    <t>R8N76_RS05315</t>
  </si>
  <si>
    <t>YqcI/YcgG family protein</t>
  </si>
  <si>
    <t>WP_001043766.1</t>
  </si>
  <si>
    <t>R8N76_RS05320</t>
  </si>
  <si>
    <t>cold shock-like protein CspB</t>
  </si>
  <si>
    <t>cspB</t>
  </si>
  <si>
    <t>WP_001161731.1</t>
  </si>
  <si>
    <t>R8N76_RS05325</t>
  </si>
  <si>
    <t>DUF2564 family protein</t>
  </si>
  <si>
    <t>WP_000534392.1</t>
  </si>
  <si>
    <t>R8N76_RS05330</t>
  </si>
  <si>
    <t>zinc-finger domain-containing protein</t>
  </si>
  <si>
    <t>WP_000358801.1</t>
  </si>
  <si>
    <t>R8N76_RS05335</t>
  </si>
  <si>
    <t>ribonuclease H family protein</t>
  </si>
  <si>
    <t>WP_000875548.1</t>
  </si>
  <si>
    <t>R8N76_RS05340</t>
  </si>
  <si>
    <t>QueT transporter family protein</t>
  </si>
  <si>
    <t>WP_001026480.1</t>
  </si>
  <si>
    <t>R8N76_RS05345</t>
  </si>
  <si>
    <t>aldose 1-epimerase family protein</t>
  </si>
  <si>
    <t>WP_000127403.1</t>
  </si>
  <si>
    <t>R8N76_RS05350</t>
  </si>
  <si>
    <t>reverse transcriptase-like protein</t>
  </si>
  <si>
    <t>WP_000573880.1</t>
  </si>
  <si>
    <t>R8N76_RS05355</t>
  </si>
  <si>
    <t>WP_000712605.1</t>
  </si>
  <si>
    <t>R8N76_RS05360</t>
  </si>
  <si>
    <t>DUF6123 family protein</t>
  </si>
  <si>
    <t>WP_001195212.1</t>
  </si>
  <si>
    <t>R8N76_RS05365</t>
  </si>
  <si>
    <t>WP_000806318.1</t>
  </si>
  <si>
    <t>R8N76_RS05370</t>
  </si>
  <si>
    <t>WP_000570994.1</t>
  </si>
  <si>
    <t>R8N76_RS05375</t>
  </si>
  <si>
    <t>DUF11 domain-containing protein</t>
  </si>
  <si>
    <t>WP_113732215.1</t>
  </si>
  <si>
    <t>R8N76_RS05380</t>
  </si>
  <si>
    <t>WP_000006056.1</t>
  </si>
  <si>
    <t>R8N76_RS05385</t>
  </si>
  <si>
    <t>glycosyltransferase family 4 protein</t>
  </si>
  <si>
    <t>WP_001023682.1</t>
  </si>
  <si>
    <t>R8N76_RS05390</t>
  </si>
  <si>
    <t>WP_000237695.1</t>
  </si>
  <si>
    <t>R8N76_RS05395</t>
  </si>
  <si>
    <t>O-antigen ligase</t>
  </si>
  <si>
    <t>WP_000429870.1</t>
  </si>
  <si>
    <t>R8N76_RS05400</t>
  </si>
  <si>
    <t>oligosaccharide flippase family protein</t>
  </si>
  <si>
    <t>WP_000533742.1</t>
  </si>
  <si>
    <t>R8N76_RS05405</t>
  </si>
  <si>
    <t>sugar transferase</t>
  </si>
  <si>
    <t>WP_000617648.1</t>
  </si>
  <si>
    <t>R8N76_RS05410</t>
  </si>
  <si>
    <t>CpsD/CapB family tyrosine-protein kinase</t>
  </si>
  <si>
    <t>WP_002100874.1</t>
  </si>
  <si>
    <t>R8N76_RS05415</t>
  </si>
  <si>
    <t>YveK family protein</t>
  </si>
  <si>
    <t>WP_000807054.1</t>
  </si>
  <si>
    <t>R8N76_RS05420</t>
  </si>
  <si>
    <t>WP_000833042.1</t>
  </si>
  <si>
    <t>R8N76_RS05425</t>
  </si>
  <si>
    <t>FbpB family small basic protein</t>
  </si>
  <si>
    <t>WP_001228048.1</t>
  </si>
  <si>
    <t>R8N76_RS05430</t>
  </si>
  <si>
    <t>5'-3' exonuclease</t>
  </si>
  <si>
    <t>WP_000757073.1</t>
  </si>
  <si>
    <t>R8N76_RS05435</t>
  </si>
  <si>
    <t>cation-transporting P-type ATPase</t>
  </si>
  <si>
    <t>WP_000964949.1</t>
  </si>
  <si>
    <t>R8N76_RS05440</t>
  </si>
  <si>
    <t>DUF350 domain-containing protein</t>
  </si>
  <si>
    <t>WP_000606870.1</t>
  </si>
  <si>
    <t>R8N76_RS05445</t>
  </si>
  <si>
    <t>glutathionylspermidine synthase family protein</t>
  </si>
  <si>
    <t>WP_000084933.1</t>
  </si>
  <si>
    <t>R8N76_RS05450</t>
  </si>
  <si>
    <t>WP_000169030.1</t>
  </si>
  <si>
    <t>R8N76_RS05455</t>
  </si>
  <si>
    <t>WP_001235523.1</t>
  </si>
  <si>
    <t>R8N76_RS05460</t>
  </si>
  <si>
    <t>6S RNA</t>
  </si>
  <si>
    <t>ssrS</t>
  </si>
  <si>
    <t>ncRNA</t>
  </si>
  <si>
    <t>R8N76_RS05465</t>
  </si>
  <si>
    <t>R8N76_RS05470</t>
  </si>
  <si>
    <t>sulfurtransferase</t>
  </si>
  <si>
    <t>WP_000637560.1</t>
  </si>
  <si>
    <t>R8N76_RS05475</t>
  </si>
  <si>
    <t>YpbS family protein</t>
  </si>
  <si>
    <t>WP_000451819.1</t>
  </si>
  <si>
    <t>R8N76_RS05480</t>
  </si>
  <si>
    <t>WP_000117689.1</t>
  </si>
  <si>
    <t>R8N76_RS05485</t>
  </si>
  <si>
    <t>DUF3931 domain-containing protein</t>
  </si>
  <si>
    <t>WP_000369740.1</t>
  </si>
  <si>
    <t>R8N76_RS05490</t>
  </si>
  <si>
    <t>dynamin family protein</t>
  </si>
  <si>
    <t>WP_000182111.1</t>
  </si>
  <si>
    <t>R8N76_RS05495</t>
  </si>
  <si>
    <t>WP_157405304.1</t>
  </si>
  <si>
    <t>R8N76_RS05500</t>
  </si>
  <si>
    <t>DUF418 domain-containing protein</t>
  </si>
  <si>
    <t>WP_000193190.1</t>
  </si>
  <si>
    <t>R8N76_RS05505</t>
  </si>
  <si>
    <t>xanthine permease PbuX</t>
  </si>
  <si>
    <t>pbuX</t>
  </si>
  <si>
    <t>WP_000809213.1</t>
  </si>
  <si>
    <t>R8N76_RS05510</t>
  </si>
  <si>
    <t>xanthine phosphoribosyltransferase</t>
  </si>
  <si>
    <t>WP_000866483.1</t>
  </si>
  <si>
    <t>R8N76_RS05515</t>
  </si>
  <si>
    <t>type I methionyl aminopeptidase</t>
  </si>
  <si>
    <t>WP_000022488.1</t>
  </si>
  <si>
    <t>R8N76_RS05520</t>
  </si>
  <si>
    <t>WP_000386780.1</t>
  </si>
  <si>
    <t>R8N76_RS05525</t>
  </si>
  <si>
    <t>carboxypeptidase</t>
  </si>
  <si>
    <t>ypwA</t>
  </si>
  <si>
    <t>WP_000215080.1</t>
  </si>
  <si>
    <t>R8N76_RS05530</t>
  </si>
  <si>
    <t>ATP-dependent DNA helicase</t>
  </si>
  <si>
    <t>WP_000493709.1</t>
  </si>
  <si>
    <t>R8N76_RS05535</t>
  </si>
  <si>
    <t>DUF3921 domain-containing protein</t>
  </si>
  <si>
    <t>WP_000368570.1</t>
  </si>
  <si>
    <t>R8N76_RS05540</t>
  </si>
  <si>
    <t>class I SAM-dependent RNA methyltransferase</t>
  </si>
  <si>
    <t>WP_000521224.1</t>
  </si>
  <si>
    <t>R8N76_RS05545</t>
  </si>
  <si>
    <t>RNase P RNA component class B</t>
  </si>
  <si>
    <t>rnpB</t>
  </si>
  <si>
    <t>RNase_P_RNA</t>
  </si>
  <si>
    <t>R8N76_RS05550</t>
  </si>
  <si>
    <t>cell division regulator GpsB</t>
  </si>
  <si>
    <t>gpsB</t>
  </si>
  <si>
    <t>WP_000622431.1</t>
  </si>
  <si>
    <t>R8N76_RS05555</t>
  </si>
  <si>
    <t>DUF1273 domain-containing protein</t>
  </si>
  <si>
    <t>WP_000862908.1</t>
  </si>
  <si>
    <t>R8N76_RS05560</t>
  </si>
  <si>
    <t>CotD family spore coat protein</t>
  </si>
  <si>
    <t>WP_000546270.1</t>
  </si>
  <si>
    <t>R8N76_RS05565</t>
  </si>
  <si>
    <t>YppG family protein</t>
  </si>
  <si>
    <t>WP_000487610.1</t>
  </si>
  <si>
    <t>R8N76_RS05570</t>
  </si>
  <si>
    <t>YppF family protein</t>
  </si>
  <si>
    <t>WP_000242652.1</t>
  </si>
  <si>
    <t>R8N76_RS05575</t>
  </si>
  <si>
    <t>YppE family protein</t>
  </si>
  <si>
    <t>WP_000786939.1</t>
  </si>
  <si>
    <t>R8N76_RS05580</t>
  </si>
  <si>
    <t>WP_001252036.1</t>
  </si>
  <si>
    <t>R8N76_RS05585</t>
  </si>
  <si>
    <t>WP_001987054.1</t>
  </si>
  <si>
    <t>R8N76_RS05590</t>
  </si>
  <si>
    <t>DUF2515 domain-containing protein</t>
  </si>
  <si>
    <t>WP_000495658.1</t>
  </si>
  <si>
    <t>R8N76_RS05595</t>
  </si>
  <si>
    <t>Holliday junction resolvase RecU</t>
  </si>
  <si>
    <t>recU</t>
  </si>
  <si>
    <t>WP_000155598.1</t>
  </si>
  <si>
    <t>R8N76_RS05600</t>
  </si>
  <si>
    <t>R8N76_RS05605</t>
  </si>
  <si>
    <t>R8N76_RS05610</t>
  </si>
  <si>
    <t>R8N76_RS05615</t>
  </si>
  <si>
    <t>R8N76_RS05620</t>
  </si>
  <si>
    <t>YpoC family protein</t>
  </si>
  <si>
    <t>WP_000442652.1</t>
  </si>
  <si>
    <t>R8N76_RS05625</t>
  </si>
  <si>
    <t>endonuclease III</t>
  </si>
  <si>
    <t>nth</t>
  </si>
  <si>
    <t>WP_000933034.1</t>
  </si>
  <si>
    <t>R8N76_RS05630</t>
  </si>
  <si>
    <t>DNA replication protein DnaD</t>
  </si>
  <si>
    <t>dnaD</t>
  </si>
  <si>
    <t>WP_000728552.1</t>
  </si>
  <si>
    <t>R8N76_RS05635</t>
  </si>
  <si>
    <t>aspartate transaminase AspB</t>
  </si>
  <si>
    <t>aspB</t>
  </si>
  <si>
    <t>WP_000761572.1</t>
  </si>
  <si>
    <t>R8N76_RS05640</t>
  </si>
  <si>
    <t>DUF5590 domain-containing protein</t>
  </si>
  <si>
    <t>WP_000758739.1</t>
  </si>
  <si>
    <t>R8N76_RS05645</t>
  </si>
  <si>
    <t>YpmA family protein</t>
  </si>
  <si>
    <t>WP_000358352.1</t>
  </si>
  <si>
    <t>R8N76_RS05650</t>
  </si>
  <si>
    <t>ATP-dependent DNA helicase DinG</t>
  </si>
  <si>
    <t>dinG</t>
  </si>
  <si>
    <t>WP_000044960.1</t>
  </si>
  <si>
    <t>R8N76_RS05655</t>
  </si>
  <si>
    <t>aspartate 1-decarboxylase</t>
  </si>
  <si>
    <t>panD</t>
  </si>
  <si>
    <t>WP_000490184.1</t>
  </si>
  <si>
    <t>R8N76_RS05660</t>
  </si>
  <si>
    <t>pantoate--beta-alanine ligase</t>
  </si>
  <si>
    <t>panC</t>
  </si>
  <si>
    <t>WP_000707029.1</t>
  </si>
  <si>
    <t>R8N76_RS05665</t>
  </si>
  <si>
    <t>3-methyl-2-oxobutanoate hydroxymethyltransferase</t>
  </si>
  <si>
    <t>panB</t>
  </si>
  <si>
    <t>WP_000851108.1</t>
  </si>
  <si>
    <t>R8N76_RS05670</t>
  </si>
  <si>
    <t>cupredoxin domain-containing protein</t>
  </si>
  <si>
    <t>WP_000062387.1</t>
  </si>
  <si>
    <t>R8N76_RS05675</t>
  </si>
  <si>
    <t>biotin--[acetyl-CoA-carboxylase] ligase</t>
  </si>
  <si>
    <t>WP_001192063.1</t>
  </si>
  <si>
    <t>R8N76_RS05680</t>
  </si>
  <si>
    <t>CCA tRNA nucleotidyltransferase</t>
  </si>
  <si>
    <t>WP_000439321.1</t>
  </si>
  <si>
    <t>R8N76_RS05685</t>
  </si>
  <si>
    <t>N-acetyl-alpha-D-glucosaminyl L-malate synthase BshA</t>
  </si>
  <si>
    <t>bshA</t>
  </si>
  <si>
    <t>WP_000768305.1</t>
  </si>
  <si>
    <t>R8N76_RS05690</t>
  </si>
  <si>
    <t>bacillithiol biosynthesis deacetylase BshB1</t>
  </si>
  <si>
    <t>bshB1</t>
  </si>
  <si>
    <t>WP_000015673.1</t>
  </si>
  <si>
    <t>R8N76_RS05695</t>
  </si>
  <si>
    <t>methylglyoxal synthase</t>
  </si>
  <si>
    <t>mgsA</t>
  </si>
  <si>
    <t>WP_000684761.1</t>
  </si>
  <si>
    <t>R8N76_RS05700</t>
  </si>
  <si>
    <t>dihydrodipicolinate reductase</t>
  </si>
  <si>
    <t>dapB</t>
  </si>
  <si>
    <t>WP_000658813.1</t>
  </si>
  <si>
    <t>R8N76_RS05705</t>
  </si>
  <si>
    <t>nucleotide pyrophosphohydrolase</t>
  </si>
  <si>
    <t>WP_002108639.1</t>
  </si>
  <si>
    <t>R8N76_RS05710</t>
  </si>
  <si>
    <t>WP_000202121.1</t>
  </si>
  <si>
    <t>R8N76_RS05715</t>
  </si>
  <si>
    <t>uracil-DNA glycosylase</t>
  </si>
  <si>
    <t>WP_000876878.1</t>
  </si>
  <si>
    <t>R8N76_RS05720</t>
  </si>
  <si>
    <t>zinc metallopeptidase</t>
  </si>
  <si>
    <t>WP_011109966.1</t>
  </si>
  <si>
    <t>R8N76_RS05725</t>
  </si>
  <si>
    <t>sporulation protein YpjB</t>
  </si>
  <si>
    <t>ypjB</t>
  </si>
  <si>
    <t>WP_000831584.1</t>
  </si>
  <si>
    <t>R8N76_RS05730</t>
  </si>
  <si>
    <t>TIGR01906 family membrane protein</t>
  </si>
  <si>
    <t>WP_000414368.1</t>
  </si>
  <si>
    <t>R8N76_RS05735</t>
  </si>
  <si>
    <t>DUF1405 domain-containing protein</t>
  </si>
  <si>
    <t>WP_025709269.1</t>
  </si>
  <si>
    <t>R8N76_RS05740</t>
  </si>
  <si>
    <t>menaquinol-cytochrome c reductase cytochrome b/c subunit</t>
  </si>
  <si>
    <t>qcrC</t>
  </si>
  <si>
    <t>WP_000554603.1</t>
  </si>
  <si>
    <t>R8N76_RS05745</t>
  </si>
  <si>
    <t>menaquinol-cytochrome c reductase cytochrome b subunit</t>
  </si>
  <si>
    <t>qcrB</t>
  </si>
  <si>
    <t>WP_000932700.1</t>
  </si>
  <si>
    <t>R8N76_RS05750</t>
  </si>
  <si>
    <t>menaquinol-cytochrome c reductase iron-sulfur subunit</t>
  </si>
  <si>
    <t>qcrA</t>
  </si>
  <si>
    <t>WP_001290418.1</t>
  </si>
  <si>
    <t>R8N76_RS05755</t>
  </si>
  <si>
    <t>YpiF family protein</t>
  </si>
  <si>
    <t>WP_000871313.1</t>
  </si>
  <si>
    <t>R8N76_RS05760</t>
  </si>
  <si>
    <t>ReoY family proteolytic degradation factor</t>
  </si>
  <si>
    <t>WP_001095925.1</t>
  </si>
  <si>
    <t>R8N76_RS05765</t>
  </si>
  <si>
    <t>WP_001168671.1</t>
  </si>
  <si>
    <t>R8N76_RS05770</t>
  </si>
  <si>
    <t>histidinol-phosphate transaminase</t>
  </si>
  <si>
    <t>hisC</t>
  </si>
  <si>
    <t>WP_001264019.1</t>
  </si>
  <si>
    <t>R8N76_RS05775</t>
  </si>
  <si>
    <t>3-dehydroquinate synthase</t>
  </si>
  <si>
    <t>aroB</t>
  </si>
  <si>
    <t>WP_000526818.1</t>
  </si>
  <si>
    <t>R8N76_RS05780</t>
  </si>
  <si>
    <t>chorismate synthase</t>
  </si>
  <si>
    <t>aroC</t>
  </si>
  <si>
    <t>WP_001269384.1</t>
  </si>
  <si>
    <t>R8N76_RS05785</t>
  </si>
  <si>
    <t>nucleoside-diphosphate kinase</t>
  </si>
  <si>
    <t>ndk</t>
  </si>
  <si>
    <t>WP_000415883.1</t>
  </si>
  <si>
    <t>R8N76_RS05790</t>
  </si>
  <si>
    <t>heptaprenyl diphosphate synthase component II</t>
  </si>
  <si>
    <t>hepT</t>
  </si>
  <si>
    <t>WP_000776077.1</t>
  </si>
  <si>
    <t>R8N76_RS05795</t>
  </si>
  <si>
    <t>2-heptaprenyl-1,4-naphthoquinone methyltransferase</t>
  </si>
  <si>
    <t>menG</t>
  </si>
  <si>
    <t>WP_001187674.1</t>
  </si>
  <si>
    <t>R8N76_RS05800</t>
  </si>
  <si>
    <t>heptaprenyl diphosphate synthase component 1</t>
  </si>
  <si>
    <t>WP_000332860.1</t>
  </si>
  <si>
    <t>R8N76_RS05805</t>
  </si>
  <si>
    <t>GTP cyclohydrolase I FolE</t>
  </si>
  <si>
    <t>folE</t>
  </si>
  <si>
    <t>WP_001151482.1</t>
  </si>
  <si>
    <t>R8N76_RS05810</t>
  </si>
  <si>
    <t>WP_001043860.1</t>
  </si>
  <si>
    <t>R8N76_RS05815</t>
  </si>
  <si>
    <t>stage IV sporulation protein A</t>
  </si>
  <si>
    <t>spoIVA</t>
  </si>
  <si>
    <t>WP_000416519.1</t>
  </si>
  <si>
    <t>R8N76_RS05820</t>
  </si>
  <si>
    <t>WP_000713407.1</t>
  </si>
  <si>
    <t>R8N76_RS05825</t>
  </si>
  <si>
    <t>DUF2768 domain-containing protein</t>
  </si>
  <si>
    <t>WP_001289008.1</t>
  </si>
  <si>
    <t>R8N76_RS05830</t>
  </si>
  <si>
    <t>stage VI sporulation protein F</t>
  </si>
  <si>
    <t>WP_000369754.1</t>
  </si>
  <si>
    <t>R8N76_RS05835</t>
  </si>
  <si>
    <t>NAD(P)H-dependent glycerol-3-phosphate dehydrogenase</t>
  </si>
  <si>
    <t>WP_000161763.1</t>
  </si>
  <si>
    <t>R8N76_RS05840</t>
  </si>
  <si>
    <t>ribosome-associated GTPase EngA</t>
  </si>
  <si>
    <t>engA</t>
  </si>
  <si>
    <t>WP_001125893.1</t>
  </si>
  <si>
    <t>R8N76_RS05845</t>
  </si>
  <si>
    <t>capping complex subunit for YIEGIA</t>
  </si>
  <si>
    <t>WP_000979059.1</t>
  </si>
  <si>
    <t>R8N76_RS05850</t>
  </si>
  <si>
    <t>YIEGIA family protein</t>
  </si>
  <si>
    <t>WP_000141596.1</t>
  </si>
  <si>
    <t>R8N76_RS05855</t>
  </si>
  <si>
    <t>WP_000349103.1</t>
  </si>
  <si>
    <t>R8N76_RS05860</t>
  </si>
  <si>
    <t>YpzI family protein</t>
  </si>
  <si>
    <t>WP_000513900.1</t>
  </si>
  <si>
    <t>R8N76_RS05865</t>
  </si>
  <si>
    <t>type 2 isopentenyl-diphosphate Delta-isomerase</t>
  </si>
  <si>
    <t>WP_000251036.1</t>
  </si>
  <si>
    <t>R8N76_RS05870</t>
  </si>
  <si>
    <t>30S ribosomal protein S1</t>
  </si>
  <si>
    <t>rpsA</t>
  </si>
  <si>
    <t>WP_000229552.1</t>
  </si>
  <si>
    <t>R8N76_RS05875</t>
  </si>
  <si>
    <t>(d)CMP kinase</t>
  </si>
  <si>
    <t>cmk</t>
  </si>
  <si>
    <t>WP_000361252.1</t>
  </si>
  <si>
    <t>R8N76_RS05880</t>
  </si>
  <si>
    <t>YpfB family protein</t>
  </si>
  <si>
    <t>WP_000738057.1</t>
  </si>
  <si>
    <t>R8N76_RS05885</t>
  </si>
  <si>
    <t>asparaginase</t>
  </si>
  <si>
    <t>ansA</t>
  </si>
  <si>
    <t>WP_000822010.1</t>
  </si>
  <si>
    <t>R8N76_RS05890</t>
  </si>
  <si>
    <t>YpdA family putative bacillithiol disulfide reductase</t>
  </si>
  <si>
    <t>WP_001168521.1</t>
  </si>
  <si>
    <t>R8N76_RS05895</t>
  </si>
  <si>
    <t>N-acetylmuramoyl-L-alanine amidase family protein</t>
  </si>
  <si>
    <t>WP_001240655.1</t>
  </si>
  <si>
    <t>R8N76_RS05900</t>
  </si>
  <si>
    <t>WP_001983018.1</t>
  </si>
  <si>
    <t>R8N76_RS05905</t>
  </si>
  <si>
    <t>WP_000426763.1</t>
  </si>
  <si>
    <t>R8N76_RS05910</t>
  </si>
  <si>
    <t>NAD-specific glutamate dehydrogenase</t>
  </si>
  <si>
    <t>gudB</t>
  </si>
  <si>
    <t>WP_000225173.1</t>
  </si>
  <si>
    <t>R8N76_RS05915</t>
  </si>
  <si>
    <t>genetic competence negative regulator</t>
  </si>
  <si>
    <t>WP_001235402.1</t>
  </si>
  <si>
    <t>R8N76_RS05920</t>
  </si>
  <si>
    <t>WP_001142719.1</t>
  </si>
  <si>
    <t>R8N76_RS05925</t>
  </si>
  <si>
    <t>WP_000637791.1</t>
  </si>
  <si>
    <t>R8N76_RS05930</t>
  </si>
  <si>
    <t>LysM peptidoglycan-binding domain-containing protein</t>
  </si>
  <si>
    <t>WP_001231553.1</t>
  </si>
  <si>
    <t>R8N76_RS05935</t>
  </si>
  <si>
    <t>WP_001025780.1</t>
  </si>
  <si>
    <t>R8N76_RS05940</t>
  </si>
  <si>
    <t>ATP-dependent DNA helicase RecQ</t>
  </si>
  <si>
    <t>recQ</t>
  </si>
  <si>
    <t>WP_000762966.1</t>
  </si>
  <si>
    <t>R8N76_RS05945</t>
  </si>
  <si>
    <t>WP_001167018.1</t>
  </si>
  <si>
    <t>R8N76_RS05950</t>
  </si>
  <si>
    <t>ferredoxin</t>
  </si>
  <si>
    <t>WP_001151993.1</t>
  </si>
  <si>
    <t>R8N76_RS05955</t>
  </si>
  <si>
    <t>ECF transporter S component</t>
  </si>
  <si>
    <t>WP_000810855.1</t>
  </si>
  <si>
    <t>R8N76_RS05960</t>
  </si>
  <si>
    <t>WP_000710837.1</t>
  </si>
  <si>
    <t>R8N76_RS05965</t>
  </si>
  <si>
    <t>peptidoglycan DD-metalloendopeptidase family protein</t>
  </si>
  <si>
    <t>WP_000866117.1</t>
  </si>
  <si>
    <t>R8N76_RS05970</t>
  </si>
  <si>
    <t>cob(I)yrinic acid a,c-diamide adenosyltransferase</t>
  </si>
  <si>
    <t>WP_000781269.1</t>
  </si>
  <si>
    <t>R8N76_RS05975</t>
  </si>
  <si>
    <t>sensor histidine kinase ResE</t>
  </si>
  <si>
    <t>resE</t>
  </si>
  <si>
    <t>WP_000964677.1</t>
  </si>
  <si>
    <t>R8N76_RS05980</t>
  </si>
  <si>
    <t>DNA-binding response regulator ResD</t>
  </si>
  <si>
    <t>resD</t>
  </si>
  <si>
    <t>WP_000426861.1</t>
  </si>
  <si>
    <t>R8N76_RS05985</t>
  </si>
  <si>
    <t>cytochrome c biogenesis protein ResC</t>
  </si>
  <si>
    <t>resC</t>
  </si>
  <si>
    <t>WP_000250086.1</t>
  </si>
  <si>
    <t>R8N76_RS05990</t>
  </si>
  <si>
    <t>cytochrome c biogenesis protein ResB</t>
  </si>
  <si>
    <t>resB</t>
  </si>
  <si>
    <t>WP_000910524.1</t>
  </si>
  <si>
    <t>R8N76_RS05995</t>
  </si>
  <si>
    <t>thiol-disulfide oxidoreductase ResA</t>
  </si>
  <si>
    <t>resA</t>
  </si>
  <si>
    <t>WP_000742192.1</t>
  </si>
  <si>
    <t>R8N76_RS06000</t>
  </si>
  <si>
    <t>23S rRNA pseudouridine(2605) synthase RluB</t>
  </si>
  <si>
    <t>rluB</t>
  </si>
  <si>
    <t>WP_000440556.1</t>
  </si>
  <si>
    <t>R8N76_RS06005</t>
  </si>
  <si>
    <t>spore maturation protein SpmB</t>
  </si>
  <si>
    <t>spmB</t>
  </si>
  <si>
    <t>WP_000029514.1</t>
  </si>
  <si>
    <t>R8N76_RS06010</t>
  </si>
  <si>
    <t>spore maturation protein SpmA</t>
  </si>
  <si>
    <t>spmA</t>
  </si>
  <si>
    <t>WP_000247811.1</t>
  </si>
  <si>
    <t>R8N76_RS06015</t>
  </si>
  <si>
    <t>D-alanyl-D-alanine carboxypeptidase DacB</t>
  </si>
  <si>
    <t>dacB</t>
  </si>
  <si>
    <t>WP_001252638.1</t>
  </si>
  <si>
    <t>R8N76_RS06020</t>
  </si>
  <si>
    <t>superoxide dismutase</t>
  </si>
  <si>
    <t>WP_001075741.1</t>
  </si>
  <si>
    <t>R8N76_RS06025</t>
  </si>
  <si>
    <t>YpuI family protein</t>
  </si>
  <si>
    <t>WP_000064519.1</t>
  </si>
  <si>
    <t>R8N76_RS06030</t>
  </si>
  <si>
    <t>WP_000584367.1</t>
  </si>
  <si>
    <t>R8N76_RS06035</t>
  </si>
  <si>
    <t>bifunctional lysylphosphatidylglycerol flippase/synthetase MprF</t>
  </si>
  <si>
    <t>mprF</t>
  </si>
  <si>
    <t>WP_000010848.1</t>
  </si>
  <si>
    <t>R8N76_RS06040</t>
  </si>
  <si>
    <t>WP_000232610.1</t>
  </si>
  <si>
    <t>R8N76_RS06045</t>
  </si>
  <si>
    <t>purine-nucleoside phosphorylase</t>
  </si>
  <si>
    <t>deoD</t>
  </si>
  <si>
    <t>WP_000110703.1</t>
  </si>
  <si>
    <t>R8N76_RS06050</t>
  </si>
  <si>
    <t>WP_000797519.1</t>
  </si>
  <si>
    <t>R8N76_RS06055</t>
  </si>
  <si>
    <t>WP_000806236.1</t>
  </si>
  <si>
    <t>R8N76_RS06060</t>
  </si>
  <si>
    <t>DUF3924 domain-containing protein</t>
  </si>
  <si>
    <t>WP_001094860.1</t>
  </si>
  <si>
    <t>R8N76_RS06065</t>
  </si>
  <si>
    <t>DUF72 domain-containing protein</t>
  </si>
  <si>
    <t>WP_000897361.1</t>
  </si>
  <si>
    <t>R8N76_RS06070</t>
  </si>
  <si>
    <t>WP_000937244.1</t>
  </si>
  <si>
    <t>R8N76_RS06075</t>
  </si>
  <si>
    <t>WP_002182597.1</t>
  </si>
  <si>
    <t>R8N76_RS06080</t>
  </si>
  <si>
    <t>WP_001265561.1</t>
  </si>
  <si>
    <t>R8N76_RS06085</t>
  </si>
  <si>
    <t>transglycosylase domain-containing protein</t>
  </si>
  <si>
    <t>WP_000769254.1</t>
  </si>
  <si>
    <t>R8N76_RS06090</t>
  </si>
  <si>
    <t>DUF47 domain-containing protein</t>
  </si>
  <si>
    <t>WP_000231449.1</t>
  </si>
  <si>
    <t>R8N76_RS06095</t>
  </si>
  <si>
    <t>inorganic phosphate transporter</t>
  </si>
  <si>
    <t>WP_000380272.1</t>
  </si>
  <si>
    <t>R8N76_RS06100</t>
  </si>
  <si>
    <t>WP_000455762.1</t>
  </si>
  <si>
    <t>R8N76_RS06105</t>
  </si>
  <si>
    <t>WP_000883008.1</t>
  </si>
  <si>
    <t>R8N76_RS06110</t>
  </si>
  <si>
    <t>WP_000600589.1</t>
  </si>
  <si>
    <t>R8N76_RS06115</t>
  </si>
  <si>
    <t>NO-inducible flavohemoprotein</t>
  </si>
  <si>
    <t>hmpA</t>
  </si>
  <si>
    <t>WP_000947336.1</t>
  </si>
  <si>
    <t>R8N76_RS06120</t>
  </si>
  <si>
    <t>WP_000735224.1</t>
  </si>
  <si>
    <t>R8N76_RS06125</t>
  </si>
  <si>
    <t>site-2 protease family protein</t>
  </si>
  <si>
    <t>WP_000794504.1</t>
  </si>
  <si>
    <t>R8N76_RS06130</t>
  </si>
  <si>
    <t>WP_001053356.1</t>
  </si>
  <si>
    <t>R8N76_RS06135</t>
  </si>
  <si>
    <t>WP_000677061.1</t>
  </si>
  <si>
    <t>R8N76_RS06140</t>
  </si>
  <si>
    <t>WP_000026281.1</t>
  </si>
  <si>
    <t>R8N76_RS06145</t>
  </si>
  <si>
    <t>WP_000880630.1</t>
  </si>
  <si>
    <t>R8N76_RS06150</t>
  </si>
  <si>
    <t>branched-chain amino acid transport system II carrier protein BrnQ3</t>
  </si>
  <si>
    <t>brnQ3</t>
  </si>
  <si>
    <t>WP_001099135.1</t>
  </si>
  <si>
    <t>R8N76_RS06155</t>
  </si>
  <si>
    <t>DUF3922 domain-containing protein</t>
  </si>
  <si>
    <t>WP_113732216.1</t>
  </si>
  <si>
    <t>R8N76_RS06160</t>
  </si>
  <si>
    <t>WP_000598707.1</t>
  </si>
  <si>
    <t>R8N76_RS06165</t>
  </si>
  <si>
    <t>WP_000744326.1</t>
  </si>
  <si>
    <t>R8N76_RS06170</t>
  </si>
  <si>
    <t>cell wall-active antibiotics response protein LiaF</t>
  </si>
  <si>
    <t>liaF</t>
  </si>
  <si>
    <t>WP_000716095.1</t>
  </si>
  <si>
    <t>R8N76_RS06175</t>
  </si>
  <si>
    <t>PspA/IM30 family protein</t>
  </si>
  <si>
    <t>WP_000814124.1</t>
  </si>
  <si>
    <t>R8N76_RS06180</t>
  </si>
  <si>
    <t>WP_000808640.1</t>
  </si>
  <si>
    <t>R8N76_RS06185</t>
  </si>
  <si>
    <t>Na+/H+ antiporter NhaC family protein</t>
  </si>
  <si>
    <t>WP_000665496.1</t>
  </si>
  <si>
    <t>R8N76_RS06190</t>
  </si>
  <si>
    <t>DUF402 domain-containing protein</t>
  </si>
  <si>
    <t>WP_000824657.1</t>
  </si>
  <si>
    <t>R8N76_RS06195</t>
  </si>
  <si>
    <t>glutamate/aspartate:proton symporter GltP</t>
  </si>
  <si>
    <t>gltP</t>
  </si>
  <si>
    <t>WP_000821134.1</t>
  </si>
  <si>
    <t>R8N76_RS06200</t>
  </si>
  <si>
    <t>murein hydrolase activator EnvC</t>
  </si>
  <si>
    <t>WP_000726078.1</t>
  </si>
  <si>
    <t>R8N76_RS06205</t>
  </si>
  <si>
    <t>WP_001096001.1</t>
  </si>
  <si>
    <t>R8N76_RS06210</t>
  </si>
  <si>
    <t>WP_000665430.1</t>
  </si>
  <si>
    <t>R8N76_RS06215</t>
  </si>
  <si>
    <t>NAD(P)-binding protein</t>
  </si>
  <si>
    <t>WP_000283356.1</t>
  </si>
  <si>
    <t>R8N76_RS06220</t>
  </si>
  <si>
    <t>WP_000648880.1</t>
  </si>
  <si>
    <t>R8N76_RS06225</t>
  </si>
  <si>
    <t>uroporphyrinogen-III C-methyltransferase</t>
  </si>
  <si>
    <t>cobA</t>
  </si>
  <si>
    <t>WP_000521262.1</t>
  </si>
  <si>
    <t>R8N76_RS06230</t>
  </si>
  <si>
    <t>DUF3906 family protein</t>
  </si>
  <si>
    <t>WP_000366914.1</t>
  </si>
  <si>
    <t>R8N76_RS06235</t>
  </si>
  <si>
    <t>nitrite/sulfite reductase</t>
  </si>
  <si>
    <t>WP_000119621.1</t>
  </si>
  <si>
    <t>R8N76_RS06240</t>
  </si>
  <si>
    <t>adenylyl-sulfate kinase</t>
  </si>
  <si>
    <t>cysC</t>
  </si>
  <si>
    <t>WP_000380499.1</t>
  </si>
  <si>
    <t>R8N76_RS06245</t>
  </si>
  <si>
    <t>sulfate adenylyltransferase</t>
  </si>
  <si>
    <t>sat</t>
  </si>
  <si>
    <t>WP_000029491.1</t>
  </si>
  <si>
    <t>R8N76_RS06250</t>
  </si>
  <si>
    <t>phosphoadenylyl-sulfate reductase</t>
  </si>
  <si>
    <t>WP_000959022.1</t>
  </si>
  <si>
    <t>R8N76_RS06255</t>
  </si>
  <si>
    <t>YezD family protein</t>
  </si>
  <si>
    <t>WP_000116158.1</t>
  </si>
  <si>
    <t>R8N76_RS06260</t>
  </si>
  <si>
    <t>diaminopimelate decarboxylase</t>
  </si>
  <si>
    <t>lysA</t>
  </si>
  <si>
    <t>WP_000280679.1</t>
  </si>
  <si>
    <t>R8N76_RS06265</t>
  </si>
  <si>
    <t>DUF3888 domain-containing protein</t>
  </si>
  <si>
    <t>WP_001228823.1</t>
  </si>
  <si>
    <t>R8N76_RS06270</t>
  </si>
  <si>
    <t>LTA synthase family protein</t>
  </si>
  <si>
    <t>WP_000939077.1</t>
  </si>
  <si>
    <t>R8N76_RS06275</t>
  </si>
  <si>
    <t>CDP-diacylglycerol--serine O-phosphatidyltransferase</t>
  </si>
  <si>
    <t>pssA</t>
  </si>
  <si>
    <t>WP_000285417.1</t>
  </si>
  <si>
    <t>R8N76_RS06280</t>
  </si>
  <si>
    <t>WP_001062858.1</t>
  </si>
  <si>
    <t>R8N76_RS06285</t>
  </si>
  <si>
    <t>YozQ family protein</t>
  </si>
  <si>
    <t>WP_001118878.1</t>
  </si>
  <si>
    <t>R8N76_RS06290</t>
  </si>
  <si>
    <t>histidinol phosphate phosphatase domain-containing protein</t>
  </si>
  <si>
    <t>WP_000861836.1</t>
  </si>
  <si>
    <t>R8N76_RS06295</t>
  </si>
  <si>
    <t>phosphoribosyl-ATP diphosphatase</t>
  </si>
  <si>
    <t>hisE</t>
  </si>
  <si>
    <t>WP_000426358.1</t>
  </si>
  <si>
    <t>R8N76_RS06300</t>
  </si>
  <si>
    <t>phosphoribosyl-AMP cyclohydrolase</t>
  </si>
  <si>
    <t>hisI</t>
  </si>
  <si>
    <t>WP_000803957.1</t>
  </si>
  <si>
    <t>R8N76_RS06305</t>
  </si>
  <si>
    <t>imidazoleglycerol phosphate synthase cyclase subunit</t>
  </si>
  <si>
    <t>hisF</t>
  </si>
  <si>
    <t>WP_000880108.1</t>
  </si>
  <si>
    <t>R8N76_RS06310</t>
  </si>
  <si>
    <t>1-(5-phosphoribosyl)-5-[(5-phosphoribosylamino)methylideneamino]imidazole-4-carboxamide isomerase</t>
  </si>
  <si>
    <t>hisA</t>
  </si>
  <si>
    <t>WP_000402298.1</t>
  </si>
  <si>
    <t>R8N76_RS06315</t>
  </si>
  <si>
    <t>imidazole glycerol phosphate synthase subunit HisH</t>
  </si>
  <si>
    <t>hisH</t>
  </si>
  <si>
    <t>WP_000560360.1</t>
  </si>
  <si>
    <t>R8N76_RS06320</t>
  </si>
  <si>
    <t>imidazoleglycerol-phosphate dehydratase HisB</t>
  </si>
  <si>
    <t>hisB</t>
  </si>
  <si>
    <t>WP_001249949.1</t>
  </si>
  <si>
    <t>R8N76_RS06325</t>
  </si>
  <si>
    <t>histidinol dehydrogenase</t>
  </si>
  <si>
    <t>hisD</t>
  </si>
  <si>
    <t>WP_000402931.1</t>
  </si>
  <si>
    <t>R8N76_RS06330</t>
  </si>
  <si>
    <t>ATP phosphoribosyltransferase</t>
  </si>
  <si>
    <t>hisG</t>
  </si>
  <si>
    <t>WP_001244493.1</t>
  </si>
  <si>
    <t>R8N76_RS06335</t>
  </si>
  <si>
    <t>ATP phosphoribosyltransferase regulatory subunit</t>
  </si>
  <si>
    <t>WP_000170297.1</t>
  </si>
  <si>
    <t>R8N76_RS06340</t>
  </si>
  <si>
    <t>3-isopropylmalate dehydratase small subunit</t>
  </si>
  <si>
    <t>leuD</t>
  </si>
  <si>
    <t>WP_000433189.1</t>
  </si>
  <si>
    <t>R8N76_RS06345</t>
  </si>
  <si>
    <t>3-isopropylmalate dehydratase large subunit</t>
  </si>
  <si>
    <t>leuC</t>
  </si>
  <si>
    <t>WP_000518111.1</t>
  </si>
  <si>
    <t>R8N76_RS06350</t>
  </si>
  <si>
    <t>3-isopropylmalate dehydrogenase</t>
  </si>
  <si>
    <t>leuB</t>
  </si>
  <si>
    <t>WP_000415384.1</t>
  </si>
  <si>
    <t>R8N76_RS06355</t>
  </si>
  <si>
    <t>2-isopropylmalate synthase</t>
  </si>
  <si>
    <t>leuA</t>
  </si>
  <si>
    <t>WP_000815750.1</t>
  </si>
  <si>
    <t>R8N76_RS06360</t>
  </si>
  <si>
    <t>WP_001151741.1</t>
  </si>
  <si>
    <t>R8N76_RS06365</t>
  </si>
  <si>
    <t>acetolactate synthase small subunit</t>
  </si>
  <si>
    <t>ilvN</t>
  </si>
  <si>
    <t>WP_000822952.1</t>
  </si>
  <si>
    <t>R8N76_RS06370</t>
  </si>
  <si>
    <t>WP_000095876.1</t>
  </si>
  <si>
    <t>R8N76_RS06375</t>
  </si>
  <si>
    <t>WP_001005486.1</t>
  </si>
  <si>
    <t>R8N76_RS06380</t>
  </si>
  <si>
    <t>DUF3911 family protein</t>
  </si>
  <si>
    <t>WP_000752513.1</t>
  </si>
  <si>
    <t>R8N76_RS06385</t>
  </si>
  <si>
    <t>YkuS family protein</t>
  </si>
  <si>
    <t>WP_000101022.1</t>
  </si>
  <si>
    <t>R8N76_RS06390</t>
  </si>
  <si>
    <t>WP_000608227.1</t>
  </si>
  <si>
    <t>R8N76_RS06395</t>
  </si>
  <si>
    <t>WP_000204234.1</t>
  </si>
  <si>
    <t>R8N76_RS06400</t>
  </si>
  <si>
    <t>WP_000136541.1</t>
  </si>
  <si>
    <t>R8N76_RS06405</t>
  </si>
  <si>
    <t>TrkH family potassium uptake protein</t>
  </si>
  <si>
    <t>WP_000383526.1</t>
  </si>
  <si>
    <t>R8N76_RS06410</t>
  </si>
  <si>
    <t>dicarboxylate/amino acid:cation symporter</t>
  </si>
  <si>
    <t>WP_000814809.1</t>
  </si>
  <si>
    <t>R8N76_RS06415</t>
  </si>
  <si>
    <t>WP_000184935.1</t>
  </si>
  <si>
    <t>R8N76_RS06420</t>
  </si>
  <si>
    <t>WP_000081432.1</t>
  </si>
  <si>
    <t>R8N76_RS06425</t>
  </si>
  <si>
    <t>regulatory YrvL family protein</t>
  </si>
  <si>
    <t>WP_000544069.1</t>
  </si>
  <si>
    <t>R8N76_RS06430</t>
  </si>
  <si>
    <t>thioredoxin family protein</t>
  </si>
  <si>
    <t>WP_002023667.1</t>
  </si>
  <si>
    <t>R8N76_RS06435</t>
  </si>
  <si>
    <t>bacitracin resistance undecaprenyl-diphosphatase</t>
  </si>
  <si>
    <t>uppP</t>
  </si>
  <si>
    <t>WP_000796255.1</t>
  </si>
  <si>
    <t>R8N76_RS06440</t>
  </si>
  <si>
    <t>WP_000665546.1</t>
  </si>
  <si>
    <t>R8N76_RS06445</t>
  </si>
  <si>
    <t>WP_000341062.1</t>
  </si>
  <si>
    <t>R8N76_RS06450</t>
  </si>
  <si>
    <t>WP_000743742.1</t>
  </si>
  <si>
    <t>R8N76_RS06455</t>
  </si>
  <si>
    <t>WP_000715254.1</t>
  </si>
  <si>
    <t>R8N76_RS06460</t>
  </si>
  <si>
    <t>WP_000378982.1</t>
  </si>
  <si>
    <t>R8N76_RS06465</t>
  </si>
  <si>
    <t>WP_000651086.1</t>
  </si>
  <si>
    <t>R8N76_RS06470</t>
  </si>
  <si>
    <t>WP_000544574.1</t>
  </si>
  <si>
    <t>R8N76_RS06475</t>
  </si>
  <si>
    <t>flavodoxin</t>
  </si>
  <si>
    <t>WP_000041153.1</t>
  </si>
  <si>
    <t>R8N76_RS06480</t>
  </si>
  <si>
    <t>WP_000929023.1</t>
  </si>
  <si>
    <t>R8N76_RS06485</t>
  </si>
  <si>
    <t>N-acyl-aliphatic-L-amino acid amidohydrolase</t>
  </si>
  <si>
    <t>amaA</t>
  </si>
  <si>
    <t>WP_001082781.1</t>
  </si>
  <si>
    <t>R8N76_RS06490</t>
  </si>
  <si>
    <t>teichoic acid D-Ala incorporation-associated protein DltX</t>
  </si>
  <si>
    <t>WP_000440293.1</t>
  </si>
  <si>
    <t>R8N76_RS06495</t>
  </si>
  <si>
    <t>D-alanine--poly(phosphoribitol) ligase subunit DltA</t>
  </si>
  <si>
    <t>dltA</t>
  </si>
  <si>
    <t>WP_000770505.1</t>
  </si>
  <si>
    <t>R8N76_RS06500</t>
  </si>
  <si>
    <t>D-alanyl-lipoteichoic acid biosynthesis protein DltB</t>
  </si>
  <si>
    <t>dltB</t>
  </si>
  <si>
    <t>WP_000127958.1</t>
  </si>
  <si>
    <t>R8N76_RS06505</t>
  </si>
  <si>
    <t>D-alanine--poly(phosphoribitol) ligase subunit DltC</t>
  </si>
  <si>
    <t>dltC</t>
  </si>
  <si>
    <t>WP_000807310.1</t>
  </si>
  <si>
    <t>R8N76_RS06510</t>
  </si>
  <si>
    <t>D-alanyl-lipoteichoic acid biosynthesis protein DltD</t>
  </si>
  <si>
    <t>dltD</t>
  </si>
  <si>
    <t>WP_001030273.1</t>
  </si>
  <si>
    <t>R8N76_RS06515</t>
  </si>
  <si>
    <t>nitronate monooxygenase family protein</t>
  </si>
  <si>
    <t>WP_000633255.1</t>
  </si>
  <si>
    <t>R8N76_RS06520</t>
  </si>
  <si>
    <t>LD-carboxypeptidase</t>
  </si>
  <si>
    <t>WP_000640062.1</t>
  </si>
  <si>
    <t>R8N76_RS06525</t>
  </si>
  <si>
    <t>SseB family protein</t>
  </si>
  <si>
    <t>WP_000435265.1</t>
  </si>
  <si>
    <t>R8N76_RS06530</t>
  </si>
  <si>
    <t>WP_000184428.1</t>
  </si>
  <si>
    <t>R8N76_RS06535</t>
  </si>
  <si>
    <t>carboxymuconolactone decarboxylase family protein</t>
  </si>
  <si>
    <t>WP_000439759.1</t>
  </si>
  <si>
    <t>R8N76_RS06540</t>
  </si>
  <si>
    <t>Lrp/AsnC family transcriptional regulator</t>
  </si>
  <si>
    <t>WP_001175505.1</t>
  </si>
  <si>
    <t>R8N76_RS06545</t>
  </si>
  <si>
    <t>DUF3913 family protein</t>
  </si>
  <si>
    <t>WP_000707107.1</t>
  </si>
  <si>
    <t>R8N76_RS06550</t>
  </si>
  <si>
    <t>WP_000558806.1</t>
  </si>
  <si>
    <t>R8N76_RS06555</t>
  </si>
  <si>
    <t>WP_000475455.1</t>
  </si>
  <si>
    <t>R8N76_RS06560</t>
  </si>
  <si>
    <t>WP_000528788.1</t>
  </si>
  <si>
    <t>R8N76_RS06565</t>
  </si>
  <si>
    <t>WP_000080432.1</t>
  </si>
  <si>
    <t>R8N76_RS06570</t>
  </si>
  <si>
    <t>WP_000137738.1</t>
  </si>
  <si>
    <t>R8N76_RS06575</t>
  </si>
  <si>
    <t>WP_000687512.1</t>
  </si>
  <si>
    <t>R8N76_RS06580</t>
  </si>
  <si>
    <t>class 1b ribonucleoside-diphosphate reductase subunit beta</t>
  </si>
  <si>
    <t>nrdF</t>
  </si>
  <si>
    <t>WP_001203029.1</t>
  </si>
  <si>
    <t>R8N76_RS06585</t>
  </si>
  <si>
    <t>class 1b ribonucleoside-diphosphate reductase subunit alpha</t>
  </si>
  <si>
    <t>nrdE</t>
  </si>
  <si>
    <t>WP_001215839.1</t>
  </si>
  <si>
    <t>R8N76_RS06590</t>
  </si>
  <si>
    <t>class Ib ribonucleoside-diphosphate reductase assembly flavoprotein NrdI</t>
  </si>
  <si>
    <t>nrdI</t>
  </si>
  <si>
    <t>WP_000959447.1</t>
  </si>
  <si>
    <t>R8N76_RS06595</t>
  </si>
  <si>
    <t>WP_170953017.1</t>
  </si>
  <si>
    <t>R8N76_RS06600</t>
  </si>
  <si>
    <t>WP_000502205.1</t>
  </si>
  <si>
    <t>R8N76_RS06605</t>
  </si>
  <si>
    <t>WP_000356684.1</t>
  </si>
  <si>
    <t>R8N76_RS06610</t>
  </si>
  <si>
    <t>WP_000619543.1</t>
  </si>
  <si>
    <t>R8N76_RS06615</t>
  </si>
  <si>
    <t>WP_000703102.1</t>
  </si>
  <si>
    <t>R8N76_RS06620</t>
  </si>
  <si>
    <t>WP_002023607.1</t>
  </si>
  <si>
    <t>R8N76_RS06625</t>
  </si>
  <si>
    <t>DUF2187 family protein</t>
  </si>
  <si>
    <t>WP_001165082.1</t>
  </si>
  <si>
    <t>R8N76_RS06630</t>
  </si>
  <si>
    <t>preQ(1) synthase</t>
  </si>
  <si>
    <t>queF</t>
  </si>
  <si>
    <t>WP_001986050.1</t>
  </si>
  <si>
    <t>R8N76_RS06635</t>
  </si>
  <si>
    <t>7-carboxy-7-deazaguanine synthase QueE</t>
  </si>
  <si>
    <t>queE</t>
  </si>
  <si>
    <t>WP_000036294.1</t>
  </si>
  <si>
    <t>R8N76_RS06640</t>
  </si>
  <si>
    <t>6-carboxytetrahydropterin synthase QueD</t>
  </si>
  <si>
    <t>queD</t>
  </si>
  <si>
    <t>WP_000368414.1</t>
  </si>
  <si>
    <t>R8N76_RS06645</t>
  </si>
  <si>
    <t>7-cyano-7-deazaguanine synthase QueC</t>
  </si>
  <si>
    <t>queC</t>
  </si>
  <si>
    <t>WP_000711595.1</t>
  </si>
  <si>
    <t>R8N76_RS06650</t>
  </si>
  <si>
    <t>sporulation sensor histidine kinase KinB</t>
  </si>
  <si>
    <t>kinB</t>
  </si>
  <si>
    <t>WP_000964151.1</t>
  </si>
  <si>
    <t>R8N76_RS06655</t>
  </si>
  <si>
    <t>DUF6254 family protein</t>
  </si>
  <si>
    <t>WP_000038355.1</t>
  </si>
  <si>
    <t>R8N76_RS06660</t>
  </si>
  <si>
    <t>WP_000941961.1</t>
  </si>
  <si>
    <t>R8N76_RS06665</t>
  </si>
  <si>
    <t>WP_000008577.1</t>
  </si>
  <si>
    <t>R8N76_RS06670</t>
  </si>
  <si>
    <t>WP_000203336.1</t>
  </si>
  <si>
    <t>R8N76_RS06675</t>
  </si>
  <si>
    <t>DUF3149 domain-containing protein</t>
  </si>
  <si>
    <t>WP_000865066.1</t>
  </si>
  <si>
    <t>R8N76_RS06680</t>
  </si>
  <si>
    <t>WP_000495536.1</t>
  </si>
  <si>
    <t>R8N76_RS06685</t>
  </si>
  <si>
    <t>divergent polysaccharide deacetylase family protein</t>
  </si>
  <si>
    <t>WP_001234107.1</t>
  </si>
  <si>
    <t>R8N76_RS06690</t>
  </si>
  <si>
    <t>WP_001264208.1</t>
  </si>
  <si>
    <t>R8N76_RS06695</t>
  </si>
  <si>
    <t>R8N76_RS06700</t>
  </si>
  <si>
    <t>NEAT domain-containing leucine-rich repeat protein</t>
  </si>
  <si>
    <t>WP_002195301.1</t>
  </si>
  <si>
    <t>R8N76_RS06705</t>
  </si>
  <si>
    <t>DeoR/GlpR family DNA-binding transcription regulator</t>
  </si>
  <si>
    <t>WP_000117668.1</t>
  </si>
  <si>
    <t>R8N76_RS06710</t>
  </si>
  <si>
    <t>saccharopine dehydrogenase family protein</t>
  </si>
  <si>
    <t>WP_000862165.1</t>
  </si>
  <si>
    <t>R8N76_RS06715</t>
  </si>
  <si>
    <t>2-aminoethylphosphonate--pyruvate transaminase</t>
  </si>
  <si>
    <t>phnW</t>
  </si>
  <si>
    <t>WP_001004774.1</t>
  </si>
  <si>
    <t>R8N76_RS06720</t>
  </si>
  <si>
    <t>phosphonoacetaldehyde hydrolase</t>
  </si>
  <si>
    <t>phnX</t>
  </si>
  <si>
    <t>WP_000687400.1</t>
  </si>
  <si>
    <t>R8N76_RS06725</t>
  </si>
  <si>
    <t>putative 2-aminoethylphosphonate ABC transporter permease subunit</t>
  </si>
  <si>
    <t>WP_000425523.1</t>
  </si>
  <si>
    <t>R8N76_RS06730</t>
  </si>
  <si>
    <t>putative 2-aminoethylphosphonate ABC transporter ATP-binding protein</t>
  </si>
  <si>
    <t>WP_000006189.1</t>
  </si>
  <si>
    <t>R8N76_RS06735</t>
  </si>
  <si>
    <t>putative 2-aminoethylphosphonate ABC transporter substrate-binding protein</t>
  </si>
  <si>
    <t>WP_000750893.1</t>
  </si>
  <si>
    <t>R8N76_RS06740</t>
  </si>
  <si>
    <t>WP_000240799.1</t>
  </si>
  <si>
    <t>R8N76_RS06745</t>
  </si>
  <si>
    <t>DUF3905 domain-containing protein</t>
  </si>
  <si>
    <t>WP_000726024.1</t>
  </si>
  <si>
    <t>R8N76_RS06750</t>
  </si>
  <si>
    <t>WP_001204707.1</t>
  </si>
  <si>
    <t>R8N76_RS06755</t>
  </si>
  <si>
    <t>FAD-binding oxidoreductase</t>
  </si>
  <si>
    <t>WP_000772572.1</t>
  </si>
  <si>
    <t>R8N76_RS06760</t>
  </si>
  <si>
    <t>class III poly(R)-hydroxyalkanoic acid synthase subunit PhaC</t>
  </si>
  <si>
    <t>phaC</t>
  </si>
  <si>
    <t>WP_000206336.1</t>
  </si>
  <si>
    <t>R8N76_RS06765</t>
  </si>
  <si>
    <t>acetoacetyl-CoA reductase</t>
  </si>
  <si>
    <t>WP_000250407.1</t>
  </si>
  <si>
    <t>R8N76_RS06770</t>
  </si>
  <si>
    <t>polyhydroxyalkanoic acid synthase subunit PhaR</t>
  </si>
  <si>
    <t>phaR</t>
  </si>
  <si>
    <t>WP_000566942.1</t>
  </si>
  <si>
    <t>R8N76_RS06775</t>
  </si>
  <si>
    <t>poly-beta-hydroxybutyrate-responsive repressor</t>
  </si>
  <si>
    <t>phaQ</t>
  </si>
  <si>
    <t>WP_000939956.1</t>
  </si>
  <si>
    <t>R8N76_RS06780</t>
  </si>
  <si>
    <t>polyhydroxyalkanoic acid inclusion protein PhaP</t>
  </si>
  <si>
    <t>phaP</t>
  </si>
  <si>
    <t>WP_000448594.1</t>
  </si>
  <si>
    <t>R8N76_RS06785</t>
  </si>
  <si>
    <t>MaoC family dehydratase</t>
  </si>
  <si>
    <t>WP_001067916.1</t>
  </si>
  <si>
    <t>R8N76_RS06790</t>
  </si>
  <si>
    <t>WP_000241209.1</t>
  </si>
  <si>
    <t>R8N76_RS06795</t>
  </si>
  <si>
    <t>WP_000822361.1</t>
  </si>
  <si>
    <t>R8N76_RS06800</t>
  </si>
  <si>
    <t>TerC family protein</t>
  </si>
  <si>
    <t>WP_000383329.1</t>
  </si>
  <si>
    <t>R8N76_RS06805</t>
  </si>
  <si>
    <t>formate/nitrite transporter family protein</t>
  </si>
  <si>
    <t>WP_000893026.1</t>
  </si>
  <si>
    <t>R8N76_RS06810</t>
  </si>
  <si>
    <t>cyclic-phosphate processing receiver domain-containing protein</t>
  </si>
  <si>
    <t>WP_001103771.1</t>
  </si>
  <si>
    <t>R8N76_RS06815</t>
  </si>
  <si>
    <t>A24 family peptidase</t>
  </si>
  <si>
    <t>WP_000495725.1</t>
  </si>
  <si>
    <t>R8N76_RS06820</t>
  </si>
  <si>
    <t>lactate utilization protein C</t>
  </si>
  <si>
    <t>WP_000147185.1</t>
  </si>
  <si>
    <t>R8N76_RS06825</t>
  </si>
  <si>
    <t>LutB/LldF family L-lactate oxidation iron-sulfur protein</t>
  </si>
  <si>
    <t>WP_000061930.1</t>
  </si>
  <si>
    <t>R8N76_RS06830</t>
  </si>
  <si>
    <t>(Fe-S)-binding protein</t>
  </si>
  <si>
    <t>WP_000869148.1</t>
  </si>
  <si>
    <t>R8N76_RS06835</t>
  </si>
  <si>
    <t>FadR/GntR family transcriptional regulator</t>
  </si>
  <si>
    <t>WP_254904515.1</t>
  </si>
  <si>
    <t>R8N76_RS06840</t>
  </si>
  <si>
    <t>WP_000494796.1</t>
  </si>
  <si>
    <t>R8N76_RS06845</t>
  </si>
  <si>
    <t>WP_001046397.1</t>
  </si>
  <si>
    <t>R8N76_RS06850</t>
  </si>
  <si>
    <t>YncE family protein</t>
  </si>
  <si>
    <t>WP_001234152.1</t>
  </si>
  <si>
    <t>R8N76_RS06855</t>
  </si>
  <si>
    <t>sugar diacid recognition domain-containing protein</t>
  </si>
  <si>
    <t>WP_002023601.1</t>
  </si>
  <si>
    <t>R8N76_RS06860</t>
  </si>
  <si>
    <t>glycolate oxidase subunit GlcD</t>
  </si>
  <si>
    <t>glcD</t>
  </si>
  <si>
    <t>WP_000890752.1</t>
  </si>
  <si>
    <t>R8N76_RS06865</t>
  </si>
  <si>
    <t>WP_000209608.1</t>
  </si>
  <si>
    <t>R8N76_RS06870</t>
  </si>
  <si>
    <t>CAP domain-containing protein</t>
  </si>
  <si>
    <t>WP_000747596.1</t>
  </si>
  <si>
    <t>R8N76_RS06875</t>
  </si>
  <si>
    <t>WP_000599004.1</t>
  </si>
  <si>
    <t>R8N76_RS06880</t>
  </si>
  <si>
    <t>RluA family pseudouridine synthase</t>
  </si>
  <si>
    <t>WP_000448350.1</t>
  </si>
  <si>
    <t>R8N76_RS06885</t>
  </si>
  <si>
    <t>WP_000490301.1</t>
  </si>
  <si>
    <t>R8N76_RS06890</t>
  </si>
  <si>
    <t>WP_000856405.1</t>
  </si>
  <si>
    <t>R8N76_RS06895</t>
  </si>
  <si>
    <t>WP_000727792.1</t>
  </si>
  <si>
    <t>R8N76_RS06900</t>
  </si>
  <si>
    <t>spermidine/putrescine ABC transporter substrate-binding protein PotD</t>
  </si>
  <si>
    <t>potD</t>
  </si>
  <si>
    <t>WP_000772485.1</t>
  </si>
  <si>
    <t>R8N76_RS06905</t>
  </si>
  <si>
    <t>spermidine/putrescine ABC transporter permease PotC</t>
  </si>
  <si>
    <t>potC</t>
  </si>
  <si>
    <t>WP_000714192.1</t>
  </si>
  <si>
    <t>R8N76_RS06910</t>
  </si>
  <si>
    <t>spermidine/putrescine ABC transporter permease PotB</t>
  </si>
  <si>
    <t>potB</t>
  </si>
  <si>
    <t>WP_000715500.1</t>
  </si>
  <si>
    <t>R8N76_RS06915</t>
  </si>
  <si>
    <t>spermidine/putrescine ABC transporter ATP-binding protein PotA</t>
  </si>
  <si>
    <t>potA</t>
  </si>
  <si>
    <t>WP_000720333.1</t>
  </si>
  <si>
    <t>R8N76_RS06920</t>
  </si>
  <si>
    <t>aldehyde dehydrogenase</t>
  </si>
  <si>
    <t>WP_000028370.1</t>
  </si>
  <si>
    <t>R8N76_RS06925</t>
  </si>
  <si>
    <t>M6 family metalloprotease immune inhibitor InhA1</t>
  </si>
  <si>
    <t>inhA1</t>
  </si>
  <si>
    <t>WP_001035936.1</t>
  </si>
  <si>
    <t>R8N76_RS06930</t>
  </si>
  <si>
    <t>anti-repressor SinI family protein</t>
  </si>
  <si>
    <t>WP_000276219.1</t>
  </si>
  <si>
    <t>R8N76_RS06935</t>
  </si>
  <si>
    <t>WP_000578885.1</t>
  </si>
  <si>
    <t>R8N76_RS06940</t>
  </si>
  <si>
    <t>biofilm matrix protein CalY</t>
  </si>
  <si>
    <t>calY</t>
  </si>
  <si>
    <t>WP_000053713.1</t>
  </si>
  <si>
    <t>R8N76_RS06945</t>
  </si>
  <si>
    <t>DUF4047 domain-containing protein</t>
  </si>
  <si>
    <t>WP_000919949.1</t>
  </si>
  <si>
    <t>R8N76_RS06950</t>
  </si>
  <si>
    <t>CalY family protein</t>
  </si>
  <si>
    <t>WP_000172856.1</t>
  </si>
  <si>
    <t>R8N76_RS06955</t>
  </si>
  <si>
    <t>signal peptidase I SipW</t>
  </si>
  <si>
    <t>sipW</t>
  </si>
  <si>
    <t>WP_000767792.1</t>
  </si>
  <si>
    <t>R8N76_RS06960</t>
  </si>
  <si>
    <t>WP_000245996.1</t>
  </si>
  <si>
    <t>R8N76_RS06965</t>
  </si>
  <si>
    <t>WP_000251856.1</t>
  </si>
  <si>
    <t>R8N76_RS06970</t>
  </si>
  <si>
    <t>WP_000858661.1</t>
  </si>
  <si>
    <t>R8N76_RS06975</t>
  </si>
  <si>
    <t>WP_000090221.1</t>
  </si>
  <si>
    <t>R8N76_RS06980</t>
  </si>
  <si>
    <t>WP_000642904.1</t>
  </si>
  <si>
    <t>R8N76_RS06985</t>
  </si>
  <si>
    <t>tRNA-Val</t>
  </si>
  <si>
    <t>tRNA</t>
  </si>
  <si>
    <t>R8N76_RS06990</t>
  </si>
  <si>
    <t>WP_000678909.1</t>
  </si>
  <si>
    <t>R8N76_RS06995</t>
  </si>
  <si>
    <t>WP_283746132.1</t>
  </si>
  <si>
    <t>R8N76_RS07000</t>
  </si>
  <si>
    <t>WP_000996452.1</t>
  </si>
  <si>
    <t>R8N76_RS07005</t>
  </si>
  <si>
    <t>endonuclease NucS domain-containing protein</t>
  </si>
  <si>
    <t>WP_001058568.1</t>
  </si>
  <si>
    <t>R8N76_RS07010</t>
  </si>
  <si>
    <t>R8N76_RS07015</t>
  </si>
  <si>
    <t>WP_002195290.1</t>
  </si>
  <si>
    <t>R8N76_RS07020</t>
  </si>
  <si>
    <t>WP_000915151.1</t>
  </si>
  <si>
    <t>R8N76_RS07025</t>
  </si>
  <si>
    <t>DEAD/DEAH box helicase family protein</t>
  </si>
  <si>
    <t>WP_000170169.1</t>
  </si>
  <si>
    <t>R8N76_RS07030</t>
  </si>
  <si>
    <t>DUF4435 domain-containing protein</t>
  </si>
  <si>
    <t>WP_000599571.1</t>
  </si>
  <si>
    <t>R8N76_RS07035</t>
  </si>
  <si>
    <t>WP_000924694.1</t>
  </si>
  <si>
    <t>R8N76_RS07040</t>
  </si>
  <si>
    <t>WP_001169480.1</t>
  </si>
  <si>
    <t>R8N76_RS07045</t>
  </si>
  <si>
    <t>R8N76_RS07050</t>
  </si>
  <si>
    <t>WP_002023584.1</t>
  </si>
  <si>
    <t>R8N76_RS07055</t>
  </si>
  <si>
    <t>WP_001036588.1</t>
  </si>
  <si>
    <t>R8N76_RS07060</t>
  </si>
  <si>
    <t>DUF3976 domain-containing protein</t>
  </si>
  <si>
    <t>WP_001178303.1</t>
  </si>
  <si>
    <t>R8N76_RS07065</t>
  </si>
  <si>
    <t>WP_001109895.1</t>
  </si>
  <si>
    <t>R8N76_RS07070</t>
  </si>
  <si>
    <t>WP_000428513.1</t>
  </si>
  <si>
    <t>R8N76_RS07075</t>
  </si>
  <si>
    <t>2-oxoglutarate dehydrogenase E1 component</t>
  </si>
  <si>
    <t>odhA</t>
  </si>
  <si>
    <t>WP_000197160.1</t>
  </si>
  <si>
    <t>R8N76_RS07080</t>
  </si>
  <si>
    <t>2-oxoglutarate dehydrogenase complex dihydrolipoyllysine-residue succinyltransferase</t>
  </si>
  <si>
    <t>odhB</t>
  </si>
  <si>
    <t>WP_000569903.1</t>
  </si>
  <si>
    <t>R8N76_RS07085</t>
  </si>
  <si>
    <t>putative thiazole-containing bacteriocin maturation protein</t>
  </si>
  <si>
    <t>WP_001061553.1</t>
  </si>
  <si>
    <t>R8N76_RS07090</t>
  </si>
  <si>
    <t>TOMM precursor leader peptide-binding protein</t>
  </si>
  <si>
    <t>WP_000192983.1</t>
  </si>
  <si>
    <t>R8N76_RS07095</t>
  </si>
  <si>
    <t>SagB family peptide dehydrogenase</t>
  </si>
  <si>
    <t>WP_001176762.1</t>
  </si>
  <si>
    <t>R8N76_RS07100</t>
  </si>
  <si>
    <t>DUF3908 family protein</t>
  </si>
  <si>
    <t>WP_000996782.1</t>
  </si>
  <si>
    <t>R8N76_RS07105</t>
  </si>
  <si>
    <t>WP_001110199.1</t>
  </si>
  <si>
    <t>R8N76_RS07110</t>
  </si>
  <si>
    <t>WP_000332407.1</t>
  </si>
  <si>
    <t>R8N76_RS07115</t>
  </si>
  <si>
    <t>TcaA 3rd/4th domain-containing protein</t>
  </si>
  <si>
    <t>WP_001099910.1</t>
  </si>
  <si>
    <t>R8N76_RS07120</t>
  </si>
  <si>
    <t>zinc ribbon domain-containing protein</t>
  </si>
  <si>
    <t>WP_000650103.1</t>
  </si>
  <si>
    <t>R8N76_RS07125</t>
  </si>
  <si>
    <t>WP_000424526.1</t>
  </si>
  <si>
    <t>R8N76_RS07130</t>
  </si>
  <si>
    <t>DUF2278 family protein</t>
  </si>
  <si>
    <t>WP_000172949.1</t>
  </si>
  <si>
    <t>R8N76_RS07135</t>
  </si>
  <si>
    <t>L-lactate permease</t>
  </si>
  <si>
    <t>WP_000996262.1</t>
  </si>
  <si>
    <t>R8N76_RS07140</t>
  </si>
  <si>
    <t>DUF4029 domain-containing protein</t>
  </si>
  <si>
    <t>WP_000946131.1</t>
  </si>
  <si>
    <t>R8N76_RS07145</t>
  </si>
  <si>
    <t>tryptophan synthase subunit alpha</t>
  </si>
  <si>
    <t>trpA</t>
  </si>
  <si>
    <t>WP_000537825.1</t>
  </si>
  <si>
    <t>R8N76_RS07150</t>
  </si>
  <si>
    <t>tryptophan synthase subunit beta</t>
  </si>
  <si>
    <t>trpB</t>
  </si>
  <si>
    <t>WP_001105014.1</t>
  </si>
  <si>
    <t>R8N76_RS07155</t>
  </si>
  <si>
    <t>phosphoribosylanthranilate isomerase</t>
  </si>
  <si>
    <t>WP_000865141.1</t>
  </si>
  <si>
    <t>R8N76_RS07160</t>
  </si>
  <si>
    <t>indole-3-glycerol phosphate synthase TrpC</t>
  </si>
  <si>
    <t>trpC</t>
  </si>
  <si>
    <t>WP_000536703.1</t>
  </si>
  <si>
    <t>R8N76_RS07165</t>
  </si>
  <si>
    <t>anthranilate phosphoribosyltransferase</t>
  </si>
  <si>
    <t>trpD</t>
  </si>
  <si>
    <t>WP_001089853.1</t>
  </si>
  <si>
    <t>R8N76_RS07170</t>
  </si>
  <si>
    <t>aminodeoxychorismate/anthranilate synthase component II</t>
  </si>
  <si>
    <t>WP_000636315.1</t>
  </si>
  <si>
    <t>R8N76_RS07175</t>
  </si>
  <si>
    <t>anthranilate synthase component I</t>
  </si>
  <si>
    <t>trpE</t>
  </si>
  <si>
    <t>WP_033685036.1</t>
  </si>
  <si>
    <t>R8N76_RS07180</t>
  </si>
  <si>
    <t>sodium/proline symporter PutP</t>
  </si>
  <si>
    <t>putP</t>
  </si>
  <si>
    <t>WP_000107208.1</t>
  </si>
  <si>
    <t>R8N76_RS07185</t>
  </si>
  <si>
    <t>Ig-like domain-containing protein</t>
  </si>
  <si>
    <t>WP_000878734.1</t>
  </si>
  <si>
    <t>R8N76_RS07190</t>
  </si>
  <si>
    <t>R8N76_RS07195</t>
  </si>
  <si>
    <t>WP_000806942.1</t>
  </si>
  <si>
    <t>R8N76_RS07200</t>
  </si>
  <si>
    <t>esterase family protein</t>
  </si>
  <si>
    <t>WP_000084007.1</t>
  </si>
  <si>
    <t>R8N76_RS07205</t>
  </si>
  <si>
    <t>YjcG family protein</t>
  </si>
  <si>
    <t>WP_000765863.1</t>
  </si>
  <si>
    <t>R8N76_RS07210</t>
  </si>
  <si>
    <t>WP_000543296.1</t>
  </si>
  <si>
    <t>R8N76_RS07215</t>
  </si>
  <si>
    <t>ATP-dependent helicase</t>
  </si>
  <si>
    <t>WP_000191201.1</t>
  </si>
  <si>
    <t>R8N76_RS07220</t>
  </si>
  <si>
    <t>spore coat protein CotY</t>
  </si>
  <si>
    <t>cotY</t>
  </si>
  <si>
    <t>WP_011109914.1</t>
  </si>
  <si>
    <t>R8N76_RS07225</t>
  </si>
  <si>
    <t>WP_000492933.1</t>
  </si>
  <si>
    <t>R8N76_RS07230</t>
  </si>
  <si>
    <t>WP_014894818.1</t>
  </si>
  <si>
    <t>R8N76_RS07235</t>
  </si>
  <si>
    <t>DUF1360 domain-containing protein</t>
  </si>
  <si>
    <t>WP_000899662.1</t>
  </si>
  <si>
    <t>R8N76_RS07240</t>
  </si>
  <si>
    <t>exosporium assembly protein ExsY</t>
  </si>
  <si>
    <t>exsY</t>
  </si>
  <si>
    <t>WP_001277735.1</t>
  </si>
  <si>
    <t>R8N76_RS07245</t>
  </si>
  <si>
    <t>spore coat CotO family protein</t>
  </si>
  <si>
    <t>WP_002195273.1</t>
  </si>
  <si>
    <t>R8N76_RS07250</t>
  </si>
  <si>
    <t>enoyl-ACP reductase FabI</t>
  </si>
  <si>
    <t>fabI</t>
  </si>
  <si>
    <t>WP_000421886.1</t>
  </si>
  <si>
    <t>R8N76_RS07255</t>
  </si>
  <si>
    <t>dTDP-4-dehydrorhamnose reductase</t>
  </si>
  <si>
    <t>rfbD</t>
  </si>
  <si>
    <t>WP_000664653.1</t>
  </si>
  <si>
    <t>R8N76_RS07260</t>
  </si>
  <si>
    <t>dTDP-glucose 4,6-dehydratase</t>
  </si>
  <si>
    <t>rfbB</t>
  </si>
  <si>
    <t>WP_001024161.1</t>
  </si>
  <si>
    <t>R8N76_RS07265</t>
  </si>
  <si>
    <t>dTDP-4-dehydrorhamnose 3,5-epimerase</t>
  </si>
  <si>
    <t>rfbC</t>
  </si>
  <si>
    <t>WP_000869415.1</t>
  </si>
  <si>
    <t>R8N76_RS07270</t>
  </si>
  <si>
    <t>sugar phosphate nucleotidyltransferase</t>
  </si>
  <si>
    <t>WP_000676157.1</t>
  </si>
  <si>
    <t>R8N76_RS07275</t>
  </si>
  <si>
    <t>glycosyltransferase family protein</t>
  </si>
  <si>
    <t>WP_000651524.1</t>
  </si>
  <si>
    <t>R8N76_RS07280</t>
  </si>
  <si>
    <t>WP_001271188.1</t>
  </si>
  <si>
    <t>R8N76_RS07285</t>
  </si>
  <si>
    <t>bifunctional 2-polyprenyl-6-hydroxyphenol methylase/3-demethylubiquinol 3-O-methyltransferase UbiG</t>
  </si>
  <si>
    <t>WP_001078432.1</t>
  </si>
  <si>
    <t>R8N76_RS07290</t>
  </si>
  <si>
    <t>glycosyltransferase family 2 protein</t>
  </si>
  <si>
    <t>WP_000932913.1</t>
  </si>
  <si>
    <t>R8N76_RS07295</t>
  </si>
  <si>
    <t>BclA C-terminal domain-containing protein</t>
  </si>
  <si>
    <t>WP_078223926.1</t>
  </si>
  <si>
    <t>R8N76_RS07300</t>
  </si>
  <si>
    <t>TylF/MycF family methyltransferase</t>
  </si>
  <si>
    <t>WP_000444381.1</t>
  </si>
  <si>
    <t>R8N76_RS07305</t>
  </si>
  <si>
    <t>WP_001292843.1</t>
  </si>
  <si>
    <t>R8N76_RS07310</t>
  </si>
  <si>
    <t>WP_000980807.1</t>
  </si>
  <si>
    <t>R8N76_RS07315</t>
  </si>
  <si>
    <t>FtsW/RodA/SpoVE family cell cycle protein</t>
  </si>
  <si>
    <t>WP_000654702.1</t>
  </si>
  <si>
    <t>R8N76_RS07320</t>
  </si>
  <si>
    <t>bis(5'-nucleosyl)-tetraphosphatase PrpE</t>
  </si>
  <si>
    <t>prpE</t>
  </si>
  <si>
    <t>WP_000872698.1</t>
  </si>
  <si>
    <t>R8N76_RS07325</t>
  </si>
  <si>
    <t>peptidase G2 autoproteolytic cleavage domain-containing protein</t>
  </si>
  <si>
    <t>WP_000730517.1</t>
  </si>
  <si>
    <t>R8N76_RS07330</t>
  </si>
  <si>
    <t>WP_001079143.1</t>
  </si>
  <si>
    <t>R8N76_RS07335</t>
  </si>
  <si>
    <t>NAD kinase</t>
  </si>
  <si>
    <t>WP_000673190.1</t>
  </si>
  <si>
    <t>R8N76_RS07340</t>
  </si>
  <si>
    <t>GTP pyrophosphokinase family protein</t>
  </si>
  <si>
    <t>WP_001081482.1</t>
  </si>
  <si>
    <t>R8N76_RS07345</t>
  </si>
  <si>
    <t>WP_001180003.1</t>
  </si>
  <si>
    <t>R8N76_RS07350</t>
  </si>
  <si>
    <t>CYTH domain-containing protein</t>
  </si>
  <si>
    <t>WP_000191121.1</t>
  </si>
  <si>
    <t>R8N76_RS07355</t>
  </si>
  <si>
    <t>WP_000043386.1</t>
  </si>
  <si>
    <t>R8N76_RS07360</t>
  </si>
  <si>
    <t>ClpXP adapter SpxH family protein</t>
  </si>
  <si>
    <t>WP_000360645.1</t>
  </si>
  <si>
    <t>R8N76_RS07365</t>
  </si>
  <si>
    <t>WP_000750355.1</t>
  </si>
  <si>
    <t>R8N76_RS07370</t>
  </si>
  <si>
    <t>oligoendopeptidase F</t>
  </si>
  <si>
    <t>pepF</t>
  </si>
  <si>
    <t>WP_000003348.1</t>
  </si>
  <si>
    <t>R8N76_RS07375</t>
  </si>
  <si>
    <t>competence protein CoiA</t>
  </si>
  <si>
    <t>WP_000628316.1</t>
  </si>
  <si>
    <t>R8N76_RS07380</t>
  </si>
  <si>
    <t>WP_000799194.1</t>
  </si>
  <si>
    <t>R8N76_RS07385</t>
  </si>
  <si>
    <t>adaptor protein MecA</t>
  </si>
  <si>
    <t>mecA</t>
  </si>
  <si>
    <t>WP_000350713.1</t>
  </si>
  <si>
    <t>R8N76_RS07390</t>
  </si>
  <si>
    <t>WP_000362607.1</t>
  </si>
  <si>
    <t>R8N76_RS07395</t>
  </si>
  <si>
    <t>transcriptional regulator Spx</t>
  </si>
  <si>
    <t>spx</t>
  </si>
  <si>
    <t>WP_000258267.1</t>
  </si>
  <si>
    <t>R8N76_RS07400</t>
  </si>
  <si>
    <t>WP_000559971.1</t>
  </si>
  <si>
    <t>R8N76_RS07405</t>
  </si>
  <si>
    <t>WP_000728609.1</t>
  </si>
  <si>
    <t>R8N76_RS07410</t>
  </si>
  <si>
    <t>WP_002182545.1</t>
  </si>
  <si>
    <t>R8N76_RS07415</t>
  </si>
  <si>
    <t>WP_000166348.1</t>
  </si>
  <si>
    <t>R8N76_RS07420</t>
  </si>
  <si>
    <t>WP_000854337.1</t>
  </si>
  <si>
    <t>R8N76_RS07425</t>
  </si>
  <si>
    <t>oligopeptide ABC transporter permease</t>
  </si>
  <si>
    <t>opp3C</t>
  </si>
  <si>
    <t>WP_000974106.1</t>
  </si>
  <si>
    <t>R8N76_RS07430</t>
  </si>
  <si>
    <t>opp3b</t>
  </si>
  <si>
    <t>WP_000534167.1</t>
  </si>
  <si>
    <t>R8N76_RS07435</t>
  </si>
  <si>
    <t>WP_000727217.1</t>
  </si>
  <si>
    <t>R8N76_RS07440</t>
  </si>
  <si>
    <t>DUF3899 domain-containing protein</t>
  </si>
  <si>
    <t>WP_001044997.1</t>
  </si>
  <si>
    <t>R8N76_RS07445</t>
  </si>
  <si>
    <t>tryptophan--tRNA ligase</t>
  </si>
  <si>
    <t>trpS</t>
  </si>
  <si>
    <t>WP_000110982.1</t>
  </si>
  <si>
    <t>R8N76_RS07450</t>
  </si>
  <si>
    <t>WP_001233403.1</t>
  </si>
  <si>
    <t>R8N76_RS07455</t>
  </si>
  <si>
    <t>YjbA family protein</t>
  </si>
  <si>
    <t>WP_000966127.1</t>
  </si>
  <si>
    <t>R8N76_RS07460</t>
  </si>
  <si>
    <t>DUF2268 domain-containing protein</t>
  </si>
  <si>
    <t>WP_000513272.1</t>
  </si>
  <si>
    <t>R8N76_RS07465</t>
  </si>
  <si>
    <t>beta-ketoacyl-ACP synthase II</t>
  </si>
  <si>
    <t>fabF</t>
  </si>
  <si>
    <t>WP_000412656.1</t>
  </si>
  <si>
    <t>R8N76_RS07470</t>
  </si>
  <si>
    <t>beta-ketoacyl-ACP synthase III</t>
  </si>
  <si>
    <t>fabH</t>
  </si>
  <si>
    <t>WP_001100547.1</t>
  </si>
  <si>
    <t>R8N76_RS07475</t>
  </si>
  <si>
    <t>ComZ family protein</t>
  </si>
  <si>
    <t>WP_001986215.1</t>
  </si>
  <si>
    <t>R8N76_RS07480</t>
  </si>
  <si>
    <t>WP_002164601.1</t>
  </si>
  <si>
    <t>R8N76_RS07485</t>
  </si>
  <si>
    <t>hydrolase</t>
  </si>
  <si>
    <t>WP_000028712.1</t>
  </si>
  <si>
    <t>R8N76_RS07490</t>
  </si>
  <si>
    <t>YjzD family protein</t>
  </si>
  <si>
    <t>WP_001211116.1</t>
  </si>
  <si>
    <t>R8N76_RS07495</t>
  </si>
  <si>
    <t>ATP-dependent chaperone ClpB</t>
  </si>
  <si>
    <t>clpB</t>
  </si>
  <si>
    <t>WP_000365401.1</t>
  </si>
  <si>
    <t>R8N76_RS07500</t>
  </si>
  <si>
    <t>YjzC family protein</t>
  </si>
  <si>
    <t>WP_000531421.1</t>
  </si>
  <si>
    <t>R8N76_RS07505</t>
  </si>
  <si>
    <t>WP_001041232.1</t>
  </si>
  <si>
    <t>R8N76_RS07510</t>
  </si>
  <si>
    <t>WP_000516816.1</t>
  </si>
  <si>
    <t>R8N76_RS07515</t>
  </si>
  <si>
    <t>DUF3813 domain-containing protein</t>
  </si>
  <si>
    <t>WP_000527407.1</t>
  </si>
  <si>
    <t>R8N76_RS07520</t>
  </si>
  <si>
    <t>WP_000364431.1</t>
  </si>
  <si>
    <t>R8N76_RS07525</t>
  </si>
  <si>
    <t>DUF3941 domain-containing protein</t>
  </si>
  <si>
    <t>WP_001120851.1</t>
  </si>
  <si>
    <t>R8N76_RS07530</t>
  </si>
  <si>
    <t>prsA</t>
  </si>
  <si>
    <t>WP_001214214.1</t>
  </si>
  <si>
    <t>R8N76_RS07535</t>
  </si>
  <si>
    <t>S1 RNA-binding domain-containing protein</t>
  </si>
  <si>
    <t>WP_000281264.1</t>
  </si>
  <si>
    <t>R8N76_RS07540</t>
  </si>
  <si>
    <t>YajQ family cyclic di-GMP-binding protein</t>
  </si>
  <si>
    <t>WP_001040149.1</t>
  </si>
  <si>
    <t>R8N76_RS07545</t>
  </si>
  <si>
    <t>WP_000397889.1</t>
  </si>
  <si>
    <t>R8N76_RS07550</t>
  </si>
  <si>
    <t>alpha-amylase family glycosyl hydrolase</t>
  </si>
  <si>
    <t>WP_013141814.1</t>
  </si>
  <si>
    <t>R8N76_RS07555</t>
  </si>
  <si>
    <t>ammonium transporter</t>
  </si>
  <si>
    <t>WP_001055852.1</t>
  </si>
  <si>
    <t>R8N76_RS07560</t>
  </si>
  <si>
    <t>catalase KatB</t>
  </si>
  <si>
    <t>katB</t>
  </si>
  <si>
    <t>WP_001069177.1</t>
  </si>
  <si>
    <t>R8N76_RS07565</t>
  </si>
  <si>
    <t>ferrochelatase</t>
  </si>
  <si>
    <t>hemH</t>
  </si>
  <si>
    <t>WP_000727378.1</t>
  </si>
  <si>
    <t>R8N76_RS07570</t>
  </si>
  <si>
    <t>WP_000333983.1</t>
  </si>
  <si>
    <t>R8N76_RS07575</t>
  </si>
  <si>
    <t>DUF2777 domain-containing protein</t>
  </si>
  <si>
    <t>WP_000616046.1</t>
  </si>
  <si>
    <t>R8N76_RS07580</t>
  </si>
  <si>
    <t>YisL family protein</t>
  </si>
  <si>
    <t>WP_000233494.1</t>
  </si>
  <si>
    <t>R8N76_RS07585</t>
  </si>
  <si>
    <t>ornithine aminotransferase</t>
  </si>
  <si>
    <t>rocD</t>
  </si>
  <si>
    <t>WP_000616658.1</t>
  </si>
  <si>
    <t>R8N76_RS07590</t>
  </si>
  <si>
    <t>WP_000926857.1</t>
  </si>
  <si>
    <t>R8N76_RS07595</t>
  </si>
  <si>
    <t>fumarylacetoacetate hydrolase family protein</t>
  </si>
  <si>
    <t>WP_001213071.1</t>
  </si>
  <si>
    <t>R8N76_RS07600</t>
  </si>
  <si>
    <t>WP_000462841.1</t>
  </si>
  <si>
    <t>R8N76_RS07605</t>
  </si>
  <si>
    <t>spore germination protein GerPA</t>
  </si>
  <si>
    <t>gerPA</t>
  </si>
  <si>
    <t>WP_001111187.1</t>
  </si>
  <si>
    <t>R8N76_RS07610</t>
  </si>
  <si>
    <t>spore germination protein GerPB</t>
  </si>
  <si>
    <t>gerPB</t>
  </si>
  <si>
    <t>WP_001012508.1</t>
  </si>
  <si>
    <t>R8N76_RS07615</t>
  </si>
  <si>
    <t>spore germination protein GerPC</t>
  </si>
  <si>
    <t>gerPC</t>
  </si>
  <si>
    <t>WP_001070760.1</t>
  </si>
  <si>
    <t>R8N76_RS07620</t>
  </si>
  <si>
    <t>spore germination protein GerPD</t>
  </si>
  <si>
    <t>gerPD</t>
  </si>
  <si>
    <t>WP_001052807.1</t>
  </si>
  <si>
    <t>R8N76_RS07625</t>
  </si>
  <si>
    <t>spore germination protein GerPE</t>
  </si>
  <si>
    <t>WP_000902333.1</t>
  </si>
  <si>
    <t>R8N76_RS07630</t>
  </si>
  <si>
    <t>WP_001141566.1</t>
  </si>
  <si>
    <t>R8N76_RS07635</t>
  </si>
  <si>
    <t>RNA polymerase alpha subunit C-terminal domain-containing protein</t>
  </si>
  <si>
    <t>WP_000255730.1</t>
  </si>
  <si>
    <t>R8N76_RS07640</t>
  </si>
  <si>
    <t>helicase-exonuclease AddAB subunit AddA</t>
  </si>
  <si>
    <t>addA</t>
  </si>
  <si>
    <t>WP_000572298.1</t>
  </si>
  <si>
    <t>R8N76_RS07645</t>
  </si>
  <si>
    <t>helicase-exonuclease AddAB subunit AddB</t>
  </si>
  <si>
    <t>addB</t>
  </si>
  <si>
    <t>WP_000058592.1</t>
  </si>
  <si>
    <t>R8N76_RS07650</t>
  </si>
  <si>
    <t>signal peptidase I</t>
  </si>
  <si>
    <t>WP_000751917.1</t>
  </si>
  <si>
    <t>R8N76_RS07655</t>
  </si>
  <si>
    <t>TVP38/TMEM64 family protein</t>
  </si>
  <si>
    <t>WP_000347517.1</t>
  </si>
  <si>
    <t>R8N76_RS07660</t>
  </si>
  <si>
    <t>competence protein ComK</t>
  </si>
  <si>
    <t>WP_000444443.1</t>
  </si>
  <si>
    <t>R8N76_RS07665</t>
  </si>
  <si>
    <t>WP_000391373.1</t>
  </si>
  <si>
    <t>R8N76_RS07670</t>
  </si>
  <si>
    <t>WP_000356916.1</t>
  </si>
  <si>
    <t>R8N76_RS07675</t>
  </si>
  <si>
    <t>RNA chaperone/antiterminator CspA</t>
  </si>
  <si>
    <t>cspA</t>
  </si>
  <si>
    <t>WP_000301519.1</t>
  </si>
  <si>
    <t>R8N76_RS07680</t>
  </si>
  <si>
    <t>DUF6584 family protein</t>
  </si>
  <si>
    <t>WP_000182396.1</t>
  </si>
  <si>
    <t>R8N76_RS07685</t>
  </si>
  <si>
    <t>phosphotransferase</t>
  </si>
  <si>
    <t>WP_000073799.1</t>
  </si>
  <si>
    <t>R8N76_RS07690</t>
  </si>
  <si>
    <t>isocitrate lyase</t>
  </si>
  <si>
    <t>aceA</t>
  </si>
  <si>
    <t>WP_000787342.1</t>
  </si>
  <si>
    <t>R8N76_RS07695</t>
  </si>
  <si>
    <t>malate synthase A</t>
  </si>
  <si>
    <t>aceB</t>
  </si>
  <si>
    <t>WP_000107315.1</t>
  </si>
  <si>
    <t>R8N76_RS07700</t>
  </si>
  <si>
    <t>S-layer homology domain-containing protein</t>
  </si>
  <si>
    <t>WP_113304420.1</t>
  </si>
  <si>
    <t>R8N76_RS07705</t>
  </si>
  <si>
    <t>WP_000727092.1</t>
  </si>
  <si>
    <t>R8N76_RS07710</t>
  </si>
  <si>
    <t>WP_406627605.1</t>
  </si>
  <si>
    <t>R8N76_RS07715</t>
  </si>
  <si>
    <t>R8N76_RS07720</t>
  </si>
  <si>
    <t>M48 family metallopeptidase</t>
  </si>
  <si>
    <t>WP_001233328.1</t>
  </si>
  <si>
    <t>R8N76_RS07725</t>
  </si>
  <si>
    <t>DUF2101 family protein</t>
  </si>
  <si>
    <t>WP_001006050.1</t>
  </si>
  <si>
    <t>R8N76_RS07730</t>
  </si>
  <si>
    <t>R8N76_RS07735</t>
  </si>
  <si>
    <t>WP_001067985.1</t>
  </si>
  <si>
    <t>R8N76_RS07740</t>
  </si>
  <si>
    <t>WP_000283871.1</t>
  </si>
  <si>
    <t>R8N76_RS07745</t>
  </si>
  <si>
    <t>sensor histidine kinase KdpD</t>
  </si>
  <si>
    <t>WP_001010447.1</t>
  </si>
  <si>
    <t>R8N76_RS07750</t>
  </si>
  <si>
    <t>WP_000394942.1</t>
  </si>
  <si>
    <t>R8N76_RS07755</t>
  </si>
  <si>
    <t>WP_000473628.1</t>
  </si>
  <si>
    <t>R8N76_RS07760</t>
  </si>
  <si>
    <t>WP_000446856.1</t>
  </si>
  <si>
    <t>R8N76_RS07765</t>
  </si>
  <si>
    <t>WP_000824008.1</t>
  </si>
  <si>
    <t>R8N76_RS07770</t>
  </si>
  <si>
    <t>anti-sigma factor</t>
  </si>
  <si>
    <t>WP_000501940.1</t>
  </si>
  <si>
    <t>R8N76_RS07775</t>
  </si>
  <si>
    <t>WP_000587069.1</t>
  </si>
  <si>
    <t>R8N76_RS07780</t>
  </si>
  <si>
    <t>WP_000793731.1</t>
  </si>
  <si>
    <t>R8N76_RS07785</t>
  </si>
  <si>
    <t>R8N76_RS07790</t>
  </si>
  <si>
    <t>beta-channel forming cytolysin CytK2</t>
  </si>
  <si>
    <t>cytK2</t>
  </si>
  <si>
    <t>WP_000830632.1</t>
  </si>
  <si>
    <t>R8N76_RS07795</t>
  </si>
  <si>
    <t>WP_001005735.1</t>
  </si>
  <si>
    <t>R8N76_RS07800</t>
  </si>
  <si>
    <t>WP_000652087.1</t>
  </si>
  <si>
    <t>R8N76_RS07805</t>
  </si>
  <si>
    <t>suppressor of fused domain protein</t>
  </si>
  <si>
    <t>WP_001008994.1</t>
  </si>
  <si>
    <t>R8N76_RS07810</t>
  </si>
  <si>
    <t>WP_011109898.1</t>
  </si>
  <si>
    <t>R8N76_RS07815</t>
  </si>
  <si>
    <t>DUF6882 domain-containing protein</t>
  </si>
  <si>
    <t>WP_001240467.1</t>
  </si>
  <si>
    <t>R8N76_RS07820</t>
  </si>
  <si>
    <t>ribonuclease E inhibitor RraB</t>
  </si>
  <si>
    <t>WP_000671654.1</t>
  </si>
  <si>
    <t>R8N76_RS07825</t>
  </si>
  <si>
    <t>WP_000904360.1</t>
  </si>
  <si>
    <t>R8N76_RS07830</t>
  </si>
  <si>
    <t>WP_000229075.1</t>
  </si>
  <si>
    <t>R8N76_RS07835</t>
  </si>
  <si>
    <t>R8N76_RS07840</t>
  </si>
  <si>
    <t>WP_000383678.1</t>
  </si>
  <si>
    <t>R8N76_RS07845</t>
  </si>
  <si>
    <t>internalin</t>
  </si>
  <si>
    <t>WP_000483956.1</t>
  </si>
  <si>
    <t>R8N76_RS07850</t>
  </si>
  <si>
    <t>Imm44 family immunity protein</t>
  </si>
  <si>
    <t>WP_001210416.1</t>
  </si>
  <si>
    <t>R8N76_RS07855</t>
  </si>
  <si>
    <t>WP_000397227.1</t>
  </si>
  <si>
    <t>R8N76_RS07860</t>
  </si>
  <si>
    <t>WP_001009368.1</t>
  </si>
  <si>
    <t>R8N76_RS07865</t>
  </si>
  <si>
    <t>WP_000411162.1</t>
  </si>
  <si>
    <t>R8N76_RS07870</t>
  </si>
  <si>
    <t>WP_000475565.1</t>
  </si>
  <si>
    <t>R8N76_RS07875</t>
  </si>
  <si>
    <t>WP_000566764.1</t>
  </si>
  <si>
    <t>R8N76_RS07880</t>
  </si>
  <si>
    <t>sulfate/molybdate ABC transporter ATP-binding protein</t>
  </si>
  <si>
    <t>WP_000027092.1</t>
  </si>
  <si>
    <t>R8N76_RS07885</t>
  </si>
  <si>
    <t>sulfate ABC transporter permease subunit CysW</t>
  </si>
  <si>
    <t>cysW</t>
  </si>
  <si>
    <t>WP_000433825.1</t>
  </si>
  <si>
    <t>R8N76_RS07890</t>
  </si>
  <si>
    <t>sulfate ABC transporter permease subunit CysT</t>
  </si>
  <si>
    <t>cysT</t>
  </si>
  <si>
    <t>WP_001227879.1</t>
  </si>
  <si>
    <t>R8N76_RS07895</t>
  </si>
  <si>
    <t>sulfate ABC transporter substrate-binding protein</t>
  </si>
  <si>
    <t>WP_000758702.1</t>
  </si>
  <si>
    <t>R8N76_RS07900</t>
  </si>
  <si>
    <t>WP_002195255.1</t>
  </si>
  <si>
    <t>R8N76_RS07905</t>
  </si>
  <si>
    <t>fatty acid--CoA ligase family protein</t>
  </si>
  <si>
    <t>WP_001055172.1</t>
  </si>
  <si>
    <t>R8N76_RS07910</t>
  </si>
  <si>
    <t>WP_000832608.1</t>
  </si>
  <si>
    <t>R8N76_RS07915</t>
  </si>
  <si>
    <t>lipoate--protein ligase</t>
  </si>
  <si>
    <t>WP_000897285.1</t>
  </si>
  <si>
    <t>R8N76_RS07920</t>
  </si>
  <si>
    <t>WP_000784668.1</t>
  </si>
  <si>
    <t>R8N76_RS07925</t>
  </si>
  <si>
    <t>protein YhfH</t>
  </si>
  <si>
    <t>yhfH</t>
  </si>
  <si>
    <t>WP_000567010.1</t>
  </si>
  <si>
    <t>R8N76_RS07930</t>
  </si>
  <si>
    <t>LacI family DNA-binding transcriptional regulator</t>
  </si>
  <si>
    <t>WP_000103715.1</t>
  </si>
  <si>
    <t>R8N76_RS07935</t>
  </si>
  <si>
    <t>WP_000620469.1</t>
  </si>
  <si>
    <t>R8N76_RS07940</t>
  </si>
  <si>
    <t>WP_001068220.1</t>
  </si>
  <si>
    <t>R8N76_RS07945</t>
  </si>
  <si>
    <t>WP_000140291.1</t>
  </si>
  <si>
    <t>R8N76_RS07950</t>
  </si>
  <si>
    <t>WP_001986098.1</t>
  </si>
  <si>
    <t>R8N76_RS07955</t>
  </si>
  <si>
    <t>YhgE/Pip family protein</t>
  </si>
  <si>
    <t>WP_000678077.1</t>
  </si>
  <si>
    <t>R8N76_RS07960</t>
  </si>
  <si>
    <t>WP_000963381.1</t>
  </si>
  <si>
    <t>R8N76_RS07965</t>
  </si>
  <si>
    <t>R8N76_RS07970</t>
  </si>
  <si>
    <t>WP_000184510.1</t>
  </si>
  <si>
    <t>R8N76_RS07975</t>
  </si>
  <si>
    <t>membrane protein</t>
  </si>
  <si>
    <t>WP_000984146.1</t>
  </si>
  <si>
    <t>R8N76_RS07980</t>
  </si>
  <si>
    <t>WP_001176851.1</t>
  </si>
  <si>
    <t>R8N76_RS07985</t>
  </si>
  <si>
    <t>DUF6359 domain-containing protein</t>
  </si>
  <si>
    <t>WP_000279277.1</t>
  </si>
  <si>
    <t>R8N76_RS07990</t>
  </si>
  <si>
    <t>DUF4026 domain-containing protein</t>
  </si>
  <si>
    <t>WP_000453703.1</t>
  </si>
  <si>
    <t>R8N76_RS07995</t>
  </si>
  <si>
    <t>hemY</t>
  </si>
  <si>
    <t>WP_001228070.1</t>
  </si>
  <si>
    <t>R8N76_RS08000</t>
  </si>
  <si>
    <t>WP_000726775.1</t>
  </si>
  <si>
    <t>R8N76_RS08005</t>
  </si>
  <si>
    <t>uroporphyrinogen decarboxylase</t>
  </si>
  <si>
    <t>hemE</t>
  </si>
  <si>
    <t>WP_000252605.1</t>
  </si>
  <si>
    <t>R8N76_RS08010</t>
  </si>
  <si>
    <t>WP_000756285.1</t>
  </si>
  <si>
    <t>R8N76_RS08015</t>
  </si>
  <si>
    <t>heme-degrading monooxygenase HmoB</t>
  </si>
  <si>
    <t>hmoB</t>
  </si>
  <si>
    <t>WP_000644067.1</t>
  </si>
  <si>
    <t>R8N76_RS08020</t>
  </si>
  <si>
    <t>WP_000278133.1</t>
  </si>
  <si>
    <t>R8N76_RS08025</t>
  </si>
  <si>
    <t>WP_001182728.1</t>
  </si>
  <si>
    <t>R8N76_RS08030</t>
  </si>
  <si>
    <t>WP_000939625.1</t>
  </si>
  <si>
    <t>R8N76_RS08035</t>
  </si>
  <si>
    <t>WP_001208947.1</t>
  </si>
  <si>
    <t>R8N76_RS08040</t>
  </si>
  <si>
    <t>2OG-Fe dioxygenase family protein</t>
  </si>
  <si>
    <t>WP_000144813.1</t>
  </si>
  <si>
    <t>R8N76_RS08045</t>
  </si>
  <si>
    <t>WP_001178115.1</t>
  </si>
  <si>
    <t>R8N76_RS08050</t>
  </si>
  <si>
    <t>WP_000028020.1</t>
  </si>
  <si>
    <t>R8N76_RS08055</t>
  </si>
  <si>
    <t>CPCC family cysteine-rich protein</t>
  </si>
  <si>
    <t>WP_000877836.1</t>
  </si>
  <si>
    <t>R8N76_RS08060</t>
  </si>
  <si>
    <t>WP_002195230.1</t>
  </si>
  <si>
    <t>R8N76_RS08065</t>
  </si>
  <si>
    <t>WP_000278208.1</t>
  </si>
  <si>
    <t>R8N76_RS08070</t>
  </si>
  <si>
    <t>WP_000377669.1</t>
  </si>
  <si>
    <t>R8N76_RS08075</t>
  </si>
  <si>
    <t>WP_000783808.1</t>
  </si>
  <si>
    <t>R8N76_RS08080</t>
  </si>
  <si>
    <t>WP_000164837.1</t>
  </si>
  <si>
    <t>R8N76_RS08085</t>
  </si>
  <si>
    <t>WP_000522754.1</t>
  </si>
  <si>
    <t>R8N76_RS08090</t>
  </si>
  <si>
    <t>ecs operon protein EcsC</t>
  </si>
  <si>
    <t>ecsC</t>
  </si>
  <si>
    <t>WP_000634142.1</t>
  </si>
  <si>
    <t>R8N76_RS08095</t>
  </si>
  <si>
    <t>ABC transporter permease EcsB</t>
  </si>
  <si>
    <t>ecsB</t>
  </si>
  <si>
    <t>WP_001089155.1</t>
  </si>
  <si>
    <t>R8N76_RS08100</t>
  </si>
  <si>
    <t>ABC transporter ATP-binding protein EcsA</t>
  </si>
  <si>
    <t>ecsA</t>
  </si>
  <si>
    <t>WP_001292603.1</t>
  </si>
  <si>
    <t>R8N76_RS08105</t>
  </si>
  <si>
    <t>HIT family protein</t>
  </si>
  <si>
    <t>WP_001016841.1</t>
  </si>
  <si>
    <t>R8N76_RS08110</t>
  </si>
  <si>
    <t>YtxH domain-containing protein</t>
  </si>
  <si>
    <t>WP_000030302.1</t>
  </si>
  <si>
    <t>R8N76_RS08115</t>
  </si>
  <si>
    <t>HTH-type transcriptional regulator Hpr</t>
  </si>
  <si>
    <t>WP_000834924.1</t>
  </si>
  <si>
    <t>R8N76_RS08120</t>
  </si>
  <si>
    <t>YhaI family protein</t>
  </si>
  <si>
    <t>WP_000383653.1</t>
  </si>
  <si>
    <t>R8N76_RS08125</t>
  </si>
  <si>
    <t>WP_000172690.1</t>
  </si>
  <si>
    <t>R8N76_RS08130</t>
  </si>
  <si>
    <t>WP_000710058.1</t>
  </si>
  <si>
    <t>R8N76_RS08135</t>
  </si>
  <si>
    <t>WP_001174908.1</t>
  </si>
  <si>
    <t>R8N76_RS08140</t>
  </si>
  <si>
    <t>RNA polymerase recycling motor HelD</t>
  </si>
  <si>
    <t>helD</t>
  </si>
  <si>
    <t>WP_001035427.1</t>
  </si>
  <si>
    <t>R8N76_RS08145</t>
  </si>
  <si>
    <t>WP_001017097.1</t>
  </si>
  <si>
    <t>R8N76_RS08150</t>
  </si>
  <si>
    <t>WP_000561154.1</t>
  </si>
  <si>
    <t>R8N76_RS08155</t>
  </si>
  <si>
    <t>VanZ family protein</t>
  </si>
  <si>
    <t>WP_001288375.1</t>
  </si>
  <si>
    <t>R8N76_RS08160</t>
  </si>
  <si>
    <t>WP_000356630.1</t>
  </si>
  <si>
    <t>R8N76_RS08165</t>
  </si>
  <si>
    <t>aerobic glycerol-3-phosphate dehydrogenase</t>
  </si>
  <si>
    <t>glpD</t>
  </si>
  <si>
    <t>WP_000672833.1</t>
  </si>
  <si>
    <t>R8N76_RS08170</t>
  </si>
  <si>
    <t>glycerol kinase GlpK</t>
  </si>
  <si>
    <t>glpK</t>
  </si>
  <si>
    <t>WP_000760011.1</t>
  </si>
  <si>
    <t>R8N76_RS08175</t>
  </si>
  <si>
    <t>glycerol uptake facilitator protein GlpF</t>
  </si>
  <si>
    <t>glpF</t>
  </si>
  <si>
    <t>WP_001272200.1</t>
  </si>
  <si>
    <t>R8N76_RS08180</t>
  </si>
  <si>
    <t>glycerol uptake operon antiterminator GlpP</t>
  </si>
  <si>
    <t>glpP</t>
  </si>
  <si>
    <t>WP_000394285.1</t>
  </si>
  <si>
    <t>R8N76_RS08185</t>
  </si>
  <si>
    <t>WP_000577652.1</t>
  </si>
  <si>
    <t>R8N76_RS08190</t>
  </si>
  <si>
    <t>oxalate decarboxylase family bicupin</t>
  </si>
  <si>
    <t>WP_000747527.1</t>
  </si>
  <si>
    <t>R8N76_RS08195</t>
  </si>
  <si>
    <t>WP_162840104.1</t>
  </si>
  <si>
    <t>R8N76_RS08200</t>
  </si>
  <si>
    <t>DUF7018 domain-containing (lipo)protein</t>
  </si>
  <si>
    <t>WP_000644846.1</t>
  </si>
  <si>
    <t>R8N76_RS08205</t>
  </si>
  <si>
    <t>DUF2935 domain-containing protein</t>
  </si>
  <si>
    <t>WP_000554479.1</t>
  </si>
  <si>
    <t>R8N76_RS08210</t>
  </si>
  <si>
    <t>sporulation YhaL family protein</t>
  </si>
  <si>
    <t>WP_000449223.1</t>
  </si>
  <si>
    <t>R8N76_RS08215</t>
  </si>
  <si>
    <t>WP_000919241.1</t>
  </si>
  <si>
    <t>R8N76_RS08220</t>
  </si>
  <si>
    <t>WP_000758182.1</t>
  </si>
  <si>
    <t>R8N76_RS08225</t>
  </si>
  <si>
    <t>WP_000633311.1</t>
  </si>
  <si>
    <t>R8N76_RS08230</t>
  </si>
  <si>
    <t>ring-cleaving dioxygenase</t>
  </si>
  <si>
    <t>WP_001072569.1</t>
  </si>
  <si>
    <t>R8N76_RS08235</t>
  </si>
  <si>
    <t>WP_000272976.1</t>
  </si>
  <si>
    <t>R8N76_RS08240</t>
  </si>
  <si>
    <t>WP_000433008.1</t>
  </si>
  <si>
    <t>R8N76_RS08245</t>
  </si>
  <si>
    <t>DUF1904 family protein</t>
  </si>
  <si>
    <t>WP_001120259.1</t>
  </si>
  <si>
    <t>R8N76_RS08250</t>
  </si>
  <si>
    <t>3'-5' exoribonuclease YhaM</t>
  </si>
  <si>
    <t>yhaM</t>
  </si>
  <si>
    <t>WP_000726638.1</t>
  </si>
  <si>
    <t>R8N76_RS08255</t>
  </si>
  <si>
    <t>WP_001217618.1</t>
  </si>
  <si>
    <t>R8N76_RS08260</t>
  </si>
  <si>
    <t>DNA repair exonuclease</t>
  </si>
  <si>
    <t>WP_000815696.1</t>
  </si>
  <si>
    <t>R8N76_RS08265</t>
  </si>
  <si>
    <t>YhzD family protein</t>
  </si>
  <si>
    <t>WP_000539552.1</t>
  </si>
  <si>
    <t>R8N76_RS08270</t>
  </si>
  <si>
    <t>WP_000582785.1</t>
  </si>
  <si>
    <t>R8N76_RS08275</t>
  </si>
  <si>
    <t>YflJ family protein</t>
  </si>
  <si>
    <t>WP_000273537.1</t>
  </si>
  <si>
    <t>R8N76_RS08280</t>
  </si>
  <si>
    <t>choloylglycine hydrolase</t>
  </si>
  <si>
    <t>bsh</t>
  </si>
  <si>
    <t>WP_000337598.1</t>
  </si>
  <si>
    <t>R8N76_RS08285</t>
  </si>
  <si>
    <t>zinc-dependent alcohol dehydrogenase family protein</t>
  </si>
  <si>
    <t>WP_001214234.1</t>
  </si>
  <si>
    <t>R8N76_RS08290</t>
  </si>
  <si>
    <t>WP_000266569.1</t>
  </si>
  <si>
    <t>R8N76_RS08295</t>
  </si>
  <si>
    <t>WP_000498628.1</t>
  </si>
  <si>
    <t>R8N76_RS08300</t>
  </si>
  <si>
    <t>WP_000637511.1</t>
  </si>
  <si>
    <t>R8N76_RS08305</t>
  </si>
  <si>
    <t>DUF4028 family protein</t>
  </si>
  <si>
    <t>WP_002023439.1</t>
  </si>
  <si>
    <t>R8N76_RS08310</t>
  </si>
  <si>
    <t>general stress protein</t>
  </si>
  <si>
    <t>WP_001100102.1</t>
  </si>
  <si>
    <t>R8N76_RS08315</t>
  </si>
  <si>
    <t>WP_001004569.1</t>
  </si>
  <si>
    <t>R8N76_RS08320</t>
  </si>
  <si>
    <t>WP_000991349.1</t>
  </si>
  <si>
    <t>R8N76_RS08325</t>
  </si>
  <si>
    <t>WP_001084970.1</t>
  </si>
  <si>
    <t>R8N76_RS08330</t>
  </si>
  <si>
    <t>WP_000429044.1</t>
  </si>
  <si>
    <t>R8N76_RS08335</t>
  </si>
  <si>
    <t>fused response regulator/phosphatase</t>
  </si>
  <si>
    <t>WP_000025517.1</t>
  </si>
  <si>
    <t>R8N76_RS08340</t>
  </si>
  <si>
    <t>ferritin-like domain-containing protein</t>
  </si>
  <si>
    <t>WP_000017755.1</t>
  </si>
  <si>
    <t>R8N76_RS08345</t>
  </si>
  <si>
    <t>RNA polymerase sigma factor SigB</t>
  </si>
  <si>
    <t>sigB</t>
  </si>
  <si>
    <t>WP_002164611.1</t>
  </si>
  <si>
    <t>R8N76_RS08350</t>
  </si>
  <si>
    <t>anti-sigma B factor RsbW</t>
  </si>
  <si>
    <t>rsbW</t>
  </si>
  <si>
    <t>WP_000970576.1</t>
  </si>
  <si>
    <t>R8N76_RS08355</t>
  </si>
  <si>
    <t>anti sigma b factor antagonist RsbV</t>
  </si>
  <si>
    <t>rsbV</t>
  </si>
  <si>
    <t>WP_002195245.1</t>
  </si>
  <si>
    <t>R8N76_RS08360</t>
  </si>
  <si>
    <t>WP_000391011.1</t>
  </si>
  <si>
    <t>R8N76_RS08365</t>
  </si>
  <si>
    <t>GlsB/YeaQ/YmgE family stress response membrane protein</t>
  </si>
  <si>
    <t>WP_000522903.1</t>
  </si>
  <si>
    <t>R8N76_RS08370</t>
  </si>
  <si>
    <t>CsbD family protein</t>
  </si>
  <si>
    <t>WP_000004257.1</t>
  </si>
  <si>
    <t>R8N76_RS08375</t>
  </si>
  <si>
    <t>WP_000448799.1</t>
  </si>
  <si>
    <t>R8N76_RS08380</t>
  </si>
  <si>
    <t>WP_000720856.1</t>
  </si>
  <si>
    <t>R8N76_RS08385</t>
  </si>
  <si>
    <t>WP_000120216.1</t>
  </si>
  <si>
    <t>R8N76_RS08390</t>
  </si>
  <si>
    <t>DUF2798 domain-containing protein</t>
  </si>
  <si>
    <t>WP_000700224.1</t>
  </si>
  <si>
    <t>R8N76_RS08395</t>
  </si>
  <si>
    <t>DUF2812 domain-containing protein</t>
  </si>
  <si>
    <t>WP_002195227.1</t>
  </si>
  <si>
    <t>R8N76_RS08400</t>
  </si>
  <si>
    <t>WP_001090719.1</t>
  </si>
  <si>
    <t>R8N76_RS08405</t>
  </si>
  <si>
    <t>WP_001035208.1</t>
  </si>
  <si>
    <t>R8N76_RS08410</t>
  </si>
  <si>
    <t>WP_000288216.1</t>
  </si>
  <si>
    <t>R8N76_RS08415</t>
  </si>
  <si>
    <t>WP_000473820.1</t>
  </si>
  <si>
    <t>R8N76_RS08420</t>
  </si>
  <si>
    <t>WP_000395468.1</t>
  </si>
  <si>
    <t>R8N76_RS08425</t>
  </si>
  <si>
    <t>R8N76_RS08430</t>
  </si>
  <si>
    <t>WP_000940664.1</t>
  </si>
  <si>
    <t>R8N76_RS08435</t>
  </si>
  <si>
    <t>WP_000737557.1</t>
  </si>
  <si>
    <t>R8N76_RS08440</t>
  </si>
  <si>
    <t>WP_000106147.1</t>
  </si>
  <si>
    <t>R8N76_RS08445</t>
  </si>
  <si>
    <t>WP_000464477.1</t>
  </si>
  <si>
    <t>R8N76_RS08450</t>
  </si>
  <si>
    <t>R8N76_RS08455</t>
  </si>
  <si>
    <t>R8N76_RS08460</t>
  </si>
  <si>
    <t>WP_000717610.1</t>
  </si>
  <si>
    <t>R8N76_RS08465</t>
  </si>
  <si>
    <t>dihydroxyacetone kinase subunit DhaK</t>
  </si>
  <si>
    <t>dhaK</t>
  </si>
  <si>
    <t>WP_000720705.1</t>
  </si>
  <si>
    <t>R8N76_RS08470</t>
  </si>
  <si>
    <t>dihydroxyacetone kinase transcriptional activator DhaS</t>
  </si>
  <si>
    <t>dhaS</t>
  </si>
  <si>
    <t>WP_000204220.1</t>
  </si>
  <si>
    <t>R8N76_RS08475</t>
  </si>
  <si>
    <t>DhaKLM operon coactivator DhaQ</t>
  </si>
  <si>
    <t>dhaQ</t>
  </si>
  <si>
    <t>WP_000723364.1</t>
  </si>
  <si>
    <t>R8N76_RS08480</t>
  </si>
  <si>
    <t>WP_000556719.1</t>
  </si>
  <si>
    <t>R8N76_RS08485</t>
  </si>
  <si>
    <t>ATP synthase subunit I</t>
  </si>
  <si>
    <t>WP_000620610.1</t>
  </si>
  <si>
    <t>R8N76_RS08490</t>
  </si>
  <si>
    <t>WP_000008333.1</t>
  </si>
  <si>
    <t>R8N76_RS08495</t>
  </si>
  <si>
    <t>WP_000198939.1</t>
  </si>
  <si>
    <t>R8N76_RS08500</t>
  </si>
  <si>
    <t>YmzC family protein</t>
  </si>
  <si>
    <t>WP_000400965.1</t>
  </si>
  <si>
    <t>R8N76_RS08505</t>
  </si>
  <si>
    <t>HPP family protein</t>
  </si>
  <si>
    <t>WP_000368844.1</t>
  </si>
  <si>
    <t>R8N76_RS08510</t>
  </si>
  <si>
    <t>CGNR zinc finger domain-containing protein</t>
  </si>
  <si>
    <t>WP_001158435.1</t>
  </si>
  <si>
    <t>R8N76_RS08515</t>
  </si>
  <si>
    <t>WP_000889688.1</t>
  </si>
  <si>
    <t>R8N76_RS08520</t>
  </si>
  <si>
    <t>WP_000013691.1</t>
  </si>
  <si>
    <t>R8N76_RS08525</t>
  </si>
  <si>
    <t>WP_000540377.1</t>
  </si>
  <si>
    <t>R8N76_RS08530</t>
  </si>
  <si>
    <t>WP_255289172.1</t>
  </si>
  <si>
    <t>R8N76_RS08535</t>
  </si>
  <si>
    <t>WP_001035274.1</t>
  </si>
  <si>
    <t>R8N76_RS08540</t>
  </si>
  <si>
    <t>WP_000631591.1</t>
  </si>
  <si>
    <t>R8N76_RS08545</t>
  </si>
  <si>
    <t>R8N76_RS08550</t>
  </si>
  <si>
    <t>class D sortase</t>
  </si>
  <si>
    <t>WP_001036110.1</t>
  </si>
  <si>
    <t>R8N76_RS08555</t>
  </si>
  <si>
    <t>WP_000734536.1</t>
  </si>
  <si>
    <t>R8N76_RS08560</t>
  </si>
  <si>
    <t>WP_165450345.1</t>
  </si>
  <si>
    <t>R8N76_RS08565</t>
  </si>
  <si>
    <t>WP_000779766.1</t>
  </si>
  <si>
    <t>R8N76_RS08570</t>
  </si>
  <si>
    <t>WP_000540375.1</t>
  </si>
  <si>
    <t>R8N76_RS08575</t>
  </si>
  <si>
    <t>WP_001198456.1</t>
  </si>
  <si>
    <t>R8N76_RS08580</t>
  </si>
  <si>
    <t>WP_000358635.1</t>
  </si>
  <si>
    <t>R8N76_RS08585</t>
  </si>
  <si>
    <t>WP_001057522.1</t>
  </si>
  <si>
    <t>R8N76_RS08590</t>
  </si>
  <si>
    <t>WP_000999314.1</t>
  </si>
  <si>
    <t>R8N76_RS08595</t>
  </si>
  <si>
    <t>WP_000394757.1</t>
  </si>
  <si>
    <t>R8N76_RS08600</t>
  </si>
  <si>
    <t>WP_000366895.1</t>
  </si>
  <si>
    <t>R8N76_RS08605</t>
  </si>
  <si>
    <t>WP_000455776.1</t>
  </si>
  <si>
    <t>R8N76_RS08610</t>
  </si>
  <si>
    <t>WP_000169783.1</t>
  </si>
  <si>
    <t>R8N76_RS08615</t>
  </si>
  <si>
    <t>replicative DNA helicase</t>
  </si>
  <si>
    <t>dnaB</t>
  </si>
  <si>
    <t>WP_000027311.1</t>
  </si>
  <si>
    <t>R8N76_RS08620</t>
  </si>
  <si>
    <t>DnaD domain-containing protein</t>
  </si>
  <si>
    <t>WP_000312067.1</t>
  </si>
  <si>
    <t>R8N76_RS08625</t>
  </si>
  <si>
    <t>R8N76_RS08630</t>
  </si>
  <si>
    <t>WP_001093925.1</t>
  </si>
  <si>
    <t>R8N76_RS08635</t>
  </si>
  <si>
    <t>WP_000312394.1</t>
  </si>
  <si>
    <t>R8N76_RS08640</t>
  </si>
  <si>
    <t>WP_000808339.1</t>
  </si>
  <si>
    <t>R8N76_RS08645</t>
  </si>
  <si>
    <t>WP_000858884.1</t>
  </si>
  <si>
    <t>R8N76_RS08650</t>
  </si>
  <si>
    <t>CopG family transcriptional regulator</t>
  </si>
  <si>
    <t>WP_000049356.1</t>
  </si>
  <si>
    <t>R8N76_RS08655</t>
  </si>
  <si>
    <t>WP_232288811.1</t>
  </si>
  <si>
    <t>R8N76_RS08660</t>
  </si>
  <si>
    <t>DUF6063 family protein</t>
  </si>
  <si>
    <t>WP_000455271.1</t>
  </si>
  <si>
    <t>R8N76_RS08665</t>
  </si>
  <si>
    <t>WP_241764405.1</t>
  </si>
  <si>
    <t>R8N76_RS08670</t>
  </si>
  <si>
    <t>Wadjet anti-phage system protein JetD domain-containing protein</t>
  </si>
  <si>
    <t>WP_001233576.1</t>
  </si>
  <si>
    <t>R8N76_RS08675</t>
  </si>
  <si>
    <t>R8N76_RS08680</t>
  </si>
  <si>
    <t>DUF262 domain-containing protein</t>
  </si>
  <si>
    <t>WP_001051765.1</t>
  </si>
  <si>
    <t>R8N76_RS08685</t>
  </si>
  <si>
    <t>WP_002195203.1</t>
  </si>
  <si>
    <t>R8N76_RS08690</t>
  </si>
  <si>
    <t>WP_000579824.1</t>
  </si>
  <si>
    <t>R8N76_RS08695</t>
  </si>
  <si>
    <t>WP_011109869.1</t>
  </si>
  <si>
    <t>R8N76_RS08700</t>
  </si>
  <si>
    <t>R8N76_RS08705</t>
  </si>
  <si>
    <t>DNA cytosine methyltransferase</t>
  </si>
  <si>
    <t>WP_000251833.1</t>
  </si>
  <si>
    <t>R8N76_RS08710</t>
  </si>
  <si>
    <t>LlaJI family restriction endonuclease</t>
  </si>
  <si>
    <t>WP_001059984.1</t>
  </si>
  <si>
    <t>R8N76_RS08715</t>
  </si>
  <si>
    <t>WP_002195205.1</t>
  </si>
  <si>
    <t>R8N76_RS08720</t>
  </si>
  <si>
    <t>tripartite tricarboxylate transporter substrate binding protein</t>
  </si>
  <si>
    <t>WP_000746671.1</t>
  </si>
  <si>
    <t>R8N76_RS08725</t>
  </si>
  <si>
    <t>WP_000921565.1</t>
  </si>
  <si>
    <t>R8N76_RS08730</t>
  </si>
  <si>
    <t>WP_000749654.1</t>
  </si>
  <si>
    <t>R8N76_RS08735</t>
  </si>
  <si>
    <t>WP_000079859.1</t>
  </si>
  <si>
    <t>R8N76_RS08740</t>
  </si>
  <si>
    <t>WP_000084806.1</t>
  </si>
  <si>
    <t>R8N76_RS08745</t>
  </si>
  <si>
    <t>WP_001045662.1</t>
  </si>
  <si>
    <t>R8N76_RS08750</t>
  </si>
  <si>
    <t>AHH domain-containing protein</t>
  </si>
  <si>
    <t>WP_002195209.1</t>
  </si>
  <si>
    <t>R8N76_RS08755</t>
  </si>
  <si>
    <t>WP_312037235.1</t>
  </si>
  <si>
    <t>R8N76_RS08760</t>
  </si>
  <si>
    <t>WP_001147552.1</t>
  </si>
  <si>
    <t>R8N76_RS08765</t>
  </si>
  <si>
    <t>R8N76_RS08770</t>
  </si>
  <si>
    <t>R8N76_RS08775</t>
  </si>
  <si>
    <t>immunity 50 family protein</t>
  </si>
  <si>
    <t>WP_000566919.1</t>
  </si>
  <si>
    <t>R8N76_RS08780</t>
  </si>
  <si>
    <t>HNH/endonuclease VII fold putative polymorphic toxin</t>
  </si>
  <si>
    <t>WP_000249013.1</t>
  </si>
  <si>
    <t>R8N76_RS08785</t>
  </si>
  <si>
    <t>SMI1/KNR4 family protein</t>
  </si>
  <si>
    <t>WP_001060032.1</t>
  </si>
  <si>
    <t>R8N76_RS08790</t>
  </si>
  <si>
    <t>R8N76_RS08795</t>
  </si>
  <si>
    <t>R8N76_RS08800</t>
  </si>
  <si>
    <t>WP_078223928.1</t>
  </si>
  <si>
    <t>R8N76_RS08805</t>
  </si>
  <si>
    <t>WP_098343272.1</t>
  </si>
  <si>
    <t>R8N76_RS08810</t>
  </si>
  <si>
    <t>R8N76_RS08815</t>
  </si>
  <si>
    <t>type II toxin-antitoxin system toxin</t>
  </si>
  <si>
    <t>WP_000877046.1</t>
  </si>
  <si>
    <t>R8N76_RS08820</t>
  </si>
  <si>
    <t>ribonuclease</t>
  </si>
  <si>
    <t>WP_000056051.1</t>
  </si>
  <si>
    <t>R8N76_RS08825</t>
  </si>
  <si>
    <t>DUF3958 family protein</t>
  </si>
  <si>
    <t>WP_000076122.1</t>
  </si>
  <si>
    <t>R8N76_RS08830</t>
  </si>
  <si>
    <t>TIGR04197 family type VII secretion effector</t>
  </si>
  <si>
    <t>WP_000529655.1</t>
  </si>
  <si>
    <t>R8N76_RS08835</t>
  </si>
  <si>
    <t>WP_000918587.1</t>
  </si>
  <si>
    <t>R8N76_RS08840</t>
  </si>
  <si>
    <t>ornithine cyclodeaminase</t>
  </si>
  <si>
    <t>WP_230641402.1</t>
  </si>
  <si>
    <t>R8N76_RS08845</t>
  </si>
  <si>
    <t>R8N76_RS08850</t>
  </si>
  <si>
    <t>ester cyclase</t>
  </si>
  <si>
    <t>WP_000764211.1</t>
  </si>
  <si>
    <t>R8N76_RS08855</t>
  </si>
  <si>
    <t>nuclear transport factor 2 family protein</t>
  </si>
  <si>
    <t>WP_001046379.1</t>
  </si>
  <si>
    <t>R8N76_RS08860</t>
  </si>
  <si>
    <t>WP_000477274.1</t>
  </si>
  <si>
    <t>R8N76_RS08865</t>
  </si>
  <si>
    <t>DsbA family protein</t>
  </si>
  <si>
    <t>WP_000448622.1</t>
  </si>
  <si>
    <t>R8N76_RS08870</t>
  </si>
  <si>
    <t>WP_000544129.1</t>
  </si>
  <si>
    <t>R8N76_RS08875</t>
  </si>
  <si>
    <t>WP_001291145.1</t>
  </si>
  <si>
    <t>R8N76_RS08880</t>
  </si>
  <si>
    <t>WP_001065285.1</t>
  </si>
  <si>
    <t>R8N76_RS08885</t>
  </si>
  <si>
    <t>WP_000278778.1</t>
  </si>
  <si>
    <t>R8N76_RS08890</t>
  </si>
  <si>
    <t>WP_000732927.1</t>
  </si>
  <si>
    <t>R8N76_RS08895</t>
  </si>
  <si>
    <t>ornithine cyclodeaminase family protein</t>
  </si>
  <si>
    <t>WP_000960316.1</t>
  </si>
  <si>
    <t>R8N76_RS08900</t>
  </si>
  <si>
    <t>proline racemase family protein</t>
  </si>
  <si>
    <t>WP_000868678.1</t>
  </si>
  <si>
    <t>R8N76_RS08905</t>
  </si>
  <si>
    <t>WP_113732248.1</t>
  </si>
  <si>
    <t>R8N76_RS08910</t>
  </si>
  <si>
    <t>TRM11 family methyltransferase</t>
  </si>
  <si>
    <t>WP_001059319.1</t>
  </si>
  <si>
    <t>R8N76_RS08915</t>
  </si>
  <si>
    <t>WP_000875341.1</t>
  </si>
  <si>
    <t>R8N76_RS08920</t>
  </si>
  <si>
    <t>M42 family metallopeptidase</t>
  </si>
  <si>
    <t>WP_000930085.1</t>
  </si>
  <si>
    <t>R8N76_RS08925</t>
  </si>
  <si>
    <t>nucleoside triphosphate pyrophosphohydrolase</t>
  </si>
  <si>
    <t>WP_001277350.1</t>
  </si>
  <si>
    <t>R8N76_RS08930</t>
  </si>
  <si>
    <t>WP_000738198.1</t>
  </si>
  <si>
    <t>R8N76_RS08935</t>
  </si>
  <si>
    <t>WP_002195190.1</t>
  </si>
  <si>
    <t>R8N76_RS08940</t>
  </si>
  <si>
    <t>O-antigen ligase family protein</t>
  </si>
  <si>
    <t>WP_000247526.1</t>
  </si>
  <si>
    <t>R8N76_RS08945</t>
  </si>
  <si>
    <t>WP_000847509.1</t>
  </si>
  <si>
    <t>R8N76_RS08950</t>
  </si>
  <si>
    <t>polysaccharide pyruvyl transferase CsaB</t>
  </si>
  <si>
    <t>csaB</t>
  </si>
  <si>
    <t>WP_001241591.1</t>
  </si>
  <si>
    <t>R8N76_RS08955</t>
  </si>
  <si>
    <t>WP_001044001.1</t>
  </si>
  <si>
    <t>R8N76_RS08960</t>
  </si>
  <si>
    <t>SulP family inorganic anion transporter</t>
  </si>
  <si>
    <t>WP_000486659.1</t>
  </si>
  <si>
    <t>R8N76_RS08965</t>
  </si>
  <si>
    <t>WP_000954998.1</t>
  </si>
  <si>
    <t>R8N76_RS08970</t>
  </si>
  <si>
    <t>WP_001098262.1</t>
  </si>
  <si>
    <t>R8N76_RS08975</t>
  </si>
  <si>
    <t>fatty acid--CoA ligase</t>
  </si>
  <si>
    <t>WP_000281991.1</t>
  </si>
  <si>
    <t>R8N76_RS08980</t>
  </si>
  <si>
    <t>coproporphyrinogen III oxidase</t>
  </si>
  <si>
    <t>WP_002025370.1</t>
  </si>
  <si>
    <t>R8N76_RS08985</t>
  </si>
  <si>
    <t>WP_033685442.1</t>
  </si>
  <si>
    <t>R8N76_RS08990</t>
  </si>
  <si>
    <t>WP_001232021.1</t>
  </si>
  <si>
    <t>R8N76_RS08995</t>
  </si>
  <si>
    <t>WP_000640431.1</t>
  </si>
  <si>
    <t>R8N76_RS09000</t>
  </si>
  <si>
    <t>DNA-3-methyladenine glycosylase</t>
  </si>
  <si>
    <t>WP_001148797.1</t>
  </si>
  <si>
    <t>R8N76_RS09005</t>
  </si>
  <si>
    <t>alpha-acetolactate decarboxylase</t>
  </si>
  <si>
    <t>alsD</t>
  </si>
  <si>
    <t>WP_000215022.1</t>
  </si>
  <si>
    <t>R8N76_RS09010</t>
  </si>
  <si>
    <t>acetolactate synthase AlsS</t>
  </si>
  <si>
    <t>alsS</t>
  </si>
  <si>
    <t>WP_000103533.1</t>
  </si>
  <si>
    <t>R8N76_RS09015</t>
  </si>
  <si>
    <t>WP_000626498.1</t>
  </si>
  <si>
    <t>R8N76_RS09020</t>
  </si>
  <si>
    <t>WP_000621686.1</t>
  </si>
  <si>
    <t>R8N76_RS09025</t>
  </si>
  <si>
    <t>YlbF/YmcA family competence regulator</t>
  </si>
  <si>
    <t>WP_000164614.1</t>
  </si>
  <si>
    <t>R8N76_RS09030</t>
  </si>
  <si>
    <t>WP_002195186.1</t>
  </si>
  <si>
    <t>R8N76_RS09035</t>
  </si>
  <si>
    <t>YheC/YheD family protein</t>
  </si>
  <si>
    <t>WP_000242825.1</t>
  </si>
  <si>
    <t>R8N76_RS09040</t>
  </si>
  <si>
    <t>WP_000658062.1</t>
  </si>
  <si>
    <t>R8N76_RS09045</t>
  </si>
  <si>
    <t>WP_000510476.1</t>
  </si>
  <si>
    <t>R8N76_RS09050</t>
  </si>
  <si>
    <t>small acid-soluble spore protein, SasP family</t>
  </si>
  <si>
    <t>sasP</t>
  </si>
  <si>
    <t>WP_000013338.1</t>
  </si>
  <si>
    <t>R8N76_RS09055</t>
  </si>
  <si>
    <t>amino acid ABC transporter ATP-binding protein</t>
  </si>
  <si>
    <t>WP_000623610.1</t>
  </si>
  <si>
    <t>R8N76_RS09060</t>
  </si>
  <si>
    <t>amino acid ABC transporter permease</t>
  </si>
  <si>
    <t>WP_000281501.1</t>
  </si>
  <si>
    <t>R8N76_RS09065</t>
  </si>
  <si>
    <t>amino acid ABC transporter substrate-binding protein</t>
  </si>
  <si>
    <t>WP_000732840.1</t>
  </si>
  <si>
    <t>R8N76_RS09070</t>
  </si>
  <si>
    <t>WP_000116641.1</t>
  </si>
  <si>
    <t>R8N76_RS09075</t>
  </si>
  <si>
    <t>WP_000953783.1</t>
  </si>
  <si>
    <t>R8N76_RS09080</t>
  </si>
  <si>
    <t>NADP-dependent glyceraldehyde-3-phosphate dehydrogenase</t>
  </si>
  <si>
    <t>gapN</t>
  </si>
  <si>
    <t>WP_000213634.1</t>
  </si>
  <si>
    <t>R8N76_RS09085</t>
  </si>
  <si>
    <t>DUF3626 domain-containing protein</t>
  </si>
  <si>
    <t>WP_000423684.1</t>
  </si>
  <si>
    <t>R8N76_RS09090</t>
  </si>
  <si>
    <t>glutamate racemase</t>
  </si>
  <si>
    <t>racE</t>
  </si>
  <si>
    <t>WP_000109674.1</t>
  </si>
  <si>
    <t>R8N76_RS09095</t>
  </si>
  <si>
    <t>amino acid permease</t>
  </si>
  <si>
    <t>WP_001186301.1</t>
  </si>
  <si>
    <t>R8N76_RS09100</t>
  </si>
  <si>
    <t>WP_000021368.1</t>
  </si>
  <si>
    <t>R8N76_RS09105</t>
  </si>
  <si>
    <t>catalase</t>
  </si>
  <si>
    <t>WP_001035777.1</t>
  </si>
  <si>
    <t>R8N76_RS09110</t>
  </si>
  <si>
    <t>type 1 glutamine amidotransferase domain-containing protein</t>
  </si>
  <si>
    <t>WP_000037531.1</t>
  </si>
  <si>
    <t>R8N76_RS09115</t>
  </si>
  <si>
    <t>WP_162840102.1</t>
  </si>
  <si>
    <t>R8N76_RS09120</t>
  </si>
  <si>
    <t>WP_001063856.1</t>
  </si>
  <si>
    <t>R8N76_RS09125</t>
  </si>
  <si>
    <t>WP_000508232.1</t>
  </si>
  <si>
    <t>R8N76_RS09130</t>
  </si>
  <si>
    <t>SgrR family transcriptional regulator</t>
  </si>
  <si>
    <t>WP_000569512.1</t>
  </si>
  <si>
    <t>R8N76_RS09135</t>
  </si>
  <si>
    <t>NAD(P)H-dependent oxidoreductase</t>
  </si>
  <si>
    <t>WP_000789193.1</t>
  </si>
  <si>
    <t>R8N76_RS09140</t>
  </si>
  <si>
    <t>WP_000511551.1</t>
  </si>
  <si>
    <t>R8N76_RS09145</t>
  </si>
  <si>
    <t>WP_001059470.1</t>
  </si>
  <si>
    <t>R8N76_RS09150</t>
  </si>
  <si>
    <t>WP_000742953.1</t>
  </si>
  <si>
    <t>R8N76_RS09155</t>
  </si>
  <si>
    <t>TetR family transcriptional regulator</t>
  </si>
  <si>
    <t>WP_002025356.1</t>
  </si>
  <si>
    <t>R8N76_RS09160</t>
  </si>
  <si>
    <t>multidrug efflux SMR transporter</t>
  </si>
  <si>
    <t>WP_000539671.1</t>
  </si>
  <si>
    <t>R8N76_RS09165</t>
  </si>
  <si>
    <t>WP_000796022.1</t>
  </si>
  <si>
    <t>R8N76_RS09170</t>
  </si>
  <si>
    <t>WP_000288073.1</t>
  </si>
  <si>
    <t>R8N76_RS09175</t>
  </si>
  <si>
    <t>WP_000878068.1</t>
  </si>
  <si>
    <t>R8N76_RS09180</t>
  </si>
  <si>
    <t>WP_000686664.1</t>
  </si>
  <si>
    <t>R8N76_RS09185</t>
  </si>
  <si>
    <t>WP_000446112.1</t>
  </si>
  <si>
    <t>R8N76_RS09190</t>
  </si>
  <si>
    <t>WP_001146242.1</t>
  </si>
  <si>
    <t>R8N76_RS09195</t>
  </si>
  <si>
    <t>WP_000897995.1</t>
  </si>
  <si>
    <t>R8N76_RS09200</t>
  </si>
  <si>
    <t>WP_001126699.1</t>
  </si>
  <si>
    <t>R8N76_RS09205</t>
  </si>
  <si>
    <t>DoxX family protein</t>
  </si>
  <si>
    <t>WP_001077751.1</t>
  </si>
  <si>
    <t>R8N76_RS09210</t>
  </si>
  <si>
    <t>DUF871 domain-containing protein</t>
  </si>
  <si>
    <t>WP_000580622.1</t>
  </si>
  <si>
    <t>R8N76_RS09215</t>
  </si>
  <si>
    <t>PTS transporter subunit EIIC</t>
  </si>
  <si>
    <t>WP_000711301.1</t>
  </si>
  <si>
    <t>R8N76_RS09220</t>
  </si>
  <si>
    <t>N-acetylmuramic acid 6-phosphate etherase</t>
  </si>
  <si>
    <t>murQ</t>
  </si>
  <si>
    <t>WP_000892350.1</t>
  </si>
  <si>
    <t>R8N76_RS09225</t>
  </si>
  <si>
    <t>WP_000648169.1</t>
  </si>
  <si>
    <t>R8N76_RS09230</t>
  </si>
  <si>
    <t>WP_000704958.1</t>
  </si>
  <si>
    <t>R8N76_RS09235</t>
  </si>
  <si>
    <t>WP_060852387.1</t>
  </si>
  <si>
    <t>R8N76_RS09240</t>
  </si>
  <si>
    <t>R8N76_RS09245</t>
  </si>
  <si>
    <t>WP_001174832.1</t>
  </si>
  <si>
    <t>R8N76_RS09250</t>
  </si>
  <si>
    <t>WP_000435797.1</t>
  </si>
  <si>
    <t>R8N76_RS09255</t>
  </si>
  <si>
    <t>LamG-like jellyroll fold domain-containing protein</t>
  </si>
  <si>
    <t>WP_000375658.1</t>
  </si>
  <si>
    <t>R8N76_RS09260</t>
  </si>
  <si>
    <t>S-Ena type endospore appendage</t>
  </si>
  <si>
    <t>WP_002204845.1</t>
  </si>
  <si>
    <t>R8N76_RS09265</t>
  </si>
  <si>
    <t>DUF3992 domain-containing protein</t>
  </si>
  <si>
    <t>WP_000525819.1</t>
  </si>
  <si>
    <t>R8N76_RS09270</t>
  </si>
  <si>
    <t>WP_001277540.1</t>
  </si>
  <si>
    <t>R8N76_RS09275</t>
  </si>
  <si>
    <t>WP_000435023.1</t>
  </si>
  <si>
    <t>R8N76_RS09280</t>
  </si>
  <si>
    <t>WP_000733846.1</t>
  </si>
  <si>
    <t>R8N76_RS09285</t>
  </si>
  <si>
    <t>Ku protein</t>
  </si>
  <si>
    <t>WP_000557759.1</t>
  </si>
  <si>
    <t>R8N76_RS09290</t>
  </si>
  <si>
    <t>WP_000440988.1</t>
  </si>
  <si>
    <t>R8N76_RS09295</t>
  </si>
  <si>
    <t>WP_162837398.1</t>
  </si>
  <si>
    <t>R8N76_RS09300</t>
  </si>
  <si>
    <t>spore coat associated protein CotJA</t>
  </si>
  <si>
    <t>WP_000362187.1</t>
  </si>
  <si>
    <t>R8N76_RS09305</t>
  </si>
  <si>
    <t>spore coat protein CotJB</t>
  </si>
  <si>
    <t>cotJB</t>
  </si>
  <si>
    <t>WP_001075543.1</t>
  </si>
  <si>
    <t>R8N76_RS09310</t>
  </si>
  <si>
    <t>spore coat protein CotJC</t>
  </si>
  <si>
    <t>cotJC</t>
  </si>
  <si>
    <t>WP_000265278.1</t>
  </si>
  <si>
    <t>R8N76_RS09315</t>
  </si>
  <si>
    <t>branched-chain amino acid transport system II carrier protein BrnQ2</t>
  </si>
  <si>
    <t>brnQ2</t>
  </si>
  <si>
    <t>WP_001260938.1</t>
  </si>
  <si>
    <t>R8N76_RS09320</t>
  </si>
  <si>
    <t>WP_000269972.1</t>
  </si>
  <si>
    <t>R8N76_RS09325</t>
  </si>
  <si>
    <t>WP_000239670.1</t>
  </si>
  <si>
    <t>R8N76_RS09330</t>
  </si>
  <si>
    <t>TIGR02206 family membrane protein</t>
  </si>
  <si>
    <t>WP_000388698.1</t>
  </si>
  <si>
    <t>R8N76_RS09335</t>
  </si>
  <si>
    <t>efflux RND transporter periplasmic adaptor subunit</t>
  </si>
  <si>
    <t>WP_000728834.1</t>
  </si>
  <si>
    <t>R8N76_RS09340</t>
  </si>
  <si>
    <t>WP_000609100.1</t>
  </si>
  <si>
    <t>R8N76_RS09345</t>
  </si>
  <si>
    <t>WP_001986269.1</t>
  </si>
  <si>
    <t>R8N76_RS09350</t>
  </si>
  <si>
    <t>cell wall-binding protein EntC</t>
  </si>
  <si>
    <t>entC</t>
  </si>
  <si>
    <t>WP_033685022.1</t>
  </si>
  <si>
    <t>R8N76_RS09355</t>
  </si>
  <si>
    <t>HEAT repeat domain-containing protein</t>
  </si>
  <si>
    <t>WP_000393374.1</t>
  </si>
  <si>
    <t>R8N76_RS09360</t>
  </si>
  <si>
    <t>WP_000440054.1</t>
  </si>
  <si>
    <t>R8N76_RS09365</t>
  </si>
  <si>
    <t>WP_000900048.1</t>
  </si>
  <si>
    <t>R8N76_RS09370</t>
  </si>
  <si>
    <t>WP_001013053.1</t>
  </si>
  <si>
    <t>R8N76_RS09375</t>
  </si>
  <si>
    <t>WP_000275642.1</t>
  </si>
  <si>
    <t>R8N76_RS09380</t>
  </si>
  <si>
    <t>PTS lactose/cellobiose transporter subunit IIA</t>
  </si>
  <si>
    <t>WP_000774631.1</t>
  </si>
  <si>
    <t>R8N76_RS09385</t>
  </si>
  <si>
    <t>BglG family transcription antiterminator</t>
  </si>
  <si>
    <t>WP_000169798.1</t>
  </si>
  <si>
    <t>R8N76_RS09390</t>
  </si>
  <si>
    <t>WP_001253349.1</t>
  </si>
  <si>
    <t>R8N76_RS09395</t>
  </si>
  <si>
    <t>WP_000503245.1</t>
  </si>
  <si>
    <t>R8N76_RS09400</t>
  </si>
  <si>
    <t>Na/Pi cotransporter family protein</t>
  </si>
  <si>
    <t>WP_000456278.1</t>
  </si>
  <si>
    <t>R8N76_RS09405</t>
  </si>
  <si>
    <t>YhdH/YhfP family quinone oxidoreductase</t>
  </si>
  <si>
    <t>WP_001016967.1</t>
  </si>
  <si>
    <t>R8N76_RS09410</t>
  </si>
  <si>
    <t>WP_000437391.1</t>
  </si>
  <si>
    <t>R8N76_RS09415</t>
  </si>
  <si>
    <t>WP_000642362.1</t>
  </si>
  <si>
    <t>R8N76_RS09420</t>
  </si>
  <si>
    <t>WP_000017250.1</t>
  </si>
  <si>
    <t>R8N76_RS09425</t>
  </si>
  <si>
    <t>DsrE/DsrF/DrsH-like family protein</t>
  </si>
  <si>
    <t>WP_000437747.1</t>
  </si>
  <si>
    <t>R8N76_RS09430</t>
  </si>
  <si>
    <t>rhodanese-like domain-containing protein</t>
  </si>
  <si>
    <t>WP_000661811.1</t>
  </si>
  <si>
    <t>R8N76_RS09435</t>
  </si>
  <si>
    <t>WP_001021480.1</t>
  </si>
  <si>
    <t>R8N76_RS09440</t>
  </si>
  <si>
    <t>sulfurtransferase TusA family protein</t>
  </si>
  <si>
    <t>WP_002093886.1</t>
  </si>
  <si>
    <t>R8N76_RS09445</t>
  </si>
  <si>
    <t>WP_001101329.1</t>
  </si>
  <si>
    <t>R8N76_RS09450</t>
  </si>
  <si>
    <t>WP_000023947.1</t>
  </si>
  <si>
    <t>R8N76_RS09455</t>
  </si>
  <si>
    <t>metal-sensitive transcriptional regulator</t>
  </si>
  <si>
    <t>WP_000456206.1</t>
  </si>
  <si>
    <t>R8N76_RS09460</t>
  </si>
  <si>
    <t>CoA-disulfide reductase</t>
  </si>
  <si>
    <t>cdr</t>
  </si>
  <si>
    <t>WP_000087584.1</t>
  </si>
  <si>
    <t>R8N76_RS09465</t>
  </si>
  <si>
    <t>YbfJ family protein</t>
  </si>
  <si>
    <t>WP_000478588.1</t>
  </si>
  <si>
    <t>R8N76_RS09470</t>
  </si>
  <si>
    <t>serine protease</t>
  </si>
  <si>
    <t>WP_000887285.1</t>
  </si>
  <si>
    <t>R8N76_RS09475</t>
  </si>
  <si>
    <t>neutral/alkaline non-lysosomal ceramidase N-terminal domain-containing protein</t>
  </si>
  <si>
    <t>WP_000048639.1</t>
  </si>
  <si>
    <t>R8N76_RS09480</t>
  </si>
  <si>
    <t>stage V sporulation protein SpoVR</t>
  </si>
  <si>
    <t>spoVR</t>
  </si>
  <si>
    <t>WP_001202693.1</t>
  </si>
  <si>
    <t>R8N76_RS09485</t>
  </si>
  <si>
    <t>nitroreductase</t>
  </si>
  <si>
    <t>WP_000214821.1</t>
  </si>
  <si>
    <t>R8N76_RS09490</t>
  </si>
  <si>
    <t>WP_000276964.1</t>
  </si>
  <si>
    <t>R8N76_RS09495</t>
  </si>
  <si>
    <t>spore germination protein</t>
  </si>
  <si>
    <t>WP_000467497.1</t>
  </si>
  <si>
    <t>R8N76_RS09500</t>
  </si>
  <si>
    <t>Ger(x)C family spore germination protein</t>
  </si>
  <si>
    <t>WP_000722252.1</t>
  </si>
  <si>
    <t>R8N76_RS09505</t>
  </si>
  <si>
    <t>WP_001095034.1</t>
  </si>
  <si>
    <t>R8N76_RS09510</t>
  </si>
  <si>
    <t>PCYCGC domain-containing protein</t>
  </si>
  <si>
    <t>WP_000761026.1</t>
  </si>
  <si>
    <t>R8N76_RS09515</t>
  </si>
  <si>
    <t>YhdB family protein</t>
  </si>
  <si>
    <t>WP_001195459.1</t>
  </si>
  <si>
    <t>R8N76_RS09520</t>
  </si>
  <si>
    <t>disulfide oxidoreductase</t>
  </si>
  <si>
    <t>WP_000532263.1</t>
  </si>
  <si>
    <t>R8N76_RS09525</t>
  </si>
  <si>
    <t>WP_000738450.1</t>
  </si>
  <si>
    <t>R8N76_RS09530</t>
  </si>
  <si>
    <t>WP_001115477.1</t>
  </si>
  <si>
    <t>R8N76_RS09535</t>
  </si>
  <si>
    <t>WP_001140402.1</t>
  </si>
  <si>
    <t>R8N76_RS09540</t>
  </si>
  <si>
    <t>sucrose-specific PTS transporter subunit IIBC</t>
  </si>
  <si>
    <t>WP_000367320.1</t>
  </si>
  <si>
    <t>R8N76_RS09545</t>
  </si>
  <si>
    <t>beta-fructofuranosidase</t>
  </si>
  <si>
    <t>scrB</t>
  </si>
  <si>
    <t>WP_000049750.1</t>
  </si>
  <si>
    <t>R8N76_RS09550</t>
  </si>
  <si>
    <t>carbohydrate kinase</t>
  </si>
  <si>
    <t>WP_001246640.1</t>
  </si>
  <si>
    <t>R8N76_RS09555</t>
  </si>
  <si>
    <t>WP_000834195.1</t>
  </si>
  <si>
    <t>R8N76_RS09560</t>
  </si>
  <si>
    <t>L,D-transpeptidase</t>
  </si>
  <si>
    <t>WP_025921749.1</t>
  </si>
  <si>
    <t>R8N76_RS09565</t>
  </si>
  <si>
    <t>WP_001136261.1</t>
  </si>
  <si>
    <t>R8N76_RS09570</t>
  </si>
  <si>
    <t>NCS2 family permease</t>
  </si>
  <si>
    <t>WP_000482713.1</t>
  </si>
  <si>
    <t>R8N76_RS09575</t>
  </si>
  <si>
    <t>sugar ABC transporter substrate-binding protein</t>
  </si>
  <si>
    <t>WP_000732065.1</t>
  </si>
  <si>
    <t>R8N76_RS09580</t>
  </si>
  <si>
    <t>sugar ABC transporter ATP-binding protein</t>
  </si>
  <si>
    <t>WP_002164630.1</t>
  </si>
  <si>
    <t>R8N76_RS09585</t>
  </si>
  <si>
    <t>WP_001054980.1</t>
  </si>
  <si>
    <t>R8N76_RS09590</t>
  </si>
  <si>
    <t>WP_000576483.1</t>
  </si>
  <si>
    <t>R8N76_RS09595</t>
  </si>
  <si>
    <t>WP_002195168.1</t>
  </si>
  <si>
    <t>R8N76_RS09600</t>
  </si>
  <si>
    <t>WP_000615281.1</t>
  </si>
  <si>
    <t>R8N76_RS09605</t>
  </si>
  <si>
    <t>WP_000465078.1</t>
  </si>
  <si>
    <t>R8N76_RS09610</t>
  </si>
  <si>
    <t>WP_000280225.1</t>
  </si>
  <si>
    <t>R8N76_RS09615</t>
  </si>
  <si>
    <t>WP_000676983.1</t>
  </si>
  <si>
    <t>R8N76_RS09620</t>
  </si>
  <si>
    <t>patatin family protein</t>
  </si>
  <si>
    <t>WP_000892675.1</t>
  </si>
  <si>
    <t>R8N76_RS09625</t>
  </si>
  <si>
    <t>WP_000683326.1</t>
  </si>
  <si>
    <t>R8N76_RS09630</t>
  </si>
  <si>
    <t>WP_000748725.1</t>
  </si>
  <si>
    <t>R8N76_RS09635</t>
  </si>
  <si>
    <t>KdpD-like non-kinase potassium sensor</t>
  </si>
  <si>
    <t>kdpDN</t>
  </si>
  <si>
    <t>WP_002195165.1</t>
  </si>
  <si>
    <t>R8N76_RS09640</t>
  </si>
  <si>
    <t>K(+)-transporting ATPase subunit C</t>
  </si>
  <si>
    <t>kdpC</t>
  </si>
  <si>
    <t>WP_000412605.1</t>
  </si>
  <si>
    <t>R8N76_RS09645</t>
  </si>
  <si>
    <t>potassium-transporting ATPase subunit KdpB</t>
  </si>
  <si>
    <t>kdpB</t>
  </si>
  <si>
    <t>WP_001248004.1</t>
  </si>
  <si>
    <t>R8N76_RS09650</t>
  </si>
  <si>
    <t>potassium-transporting ATPase subunit KdpA</t>
  </si>
  <si>
    <t>kdpA</t>
  </si>
  <si>
    <t>WP_000638330.1</t>
  </si>
  <si>
    <t>R8N76_RS09655</t>
  </si>
  <si>
    <t>K(+)-transporting ATPase subunit F</t>
  </si>
  <si>
    <t>kdpF</t>
  </si>
  <si>
    <t>WP_000973728.1</t>
  </si>
  <si>
    <t>R8N76_RS09660</t>
  </si>
  <si>
    <t>SipW-dependent-type signal peptide-containing protein</t>
  </si>
  <si>
    <t>WP_000887894.1</t>
  </si>
  <si>
    <t>R8N76_RS09665</t>
  </si>
  <si>
    <t>WP_001985933.1</t>
  </si>
  <si>
    <t>R8N76_RS09670</t>
  </si>
  <si>
    <t>WP_000424090.1</t>
  </si>
  <si>
    <t>R8N76_RS09675</t>
  </si>
  <si>
    <t>bifunctional hydroxymethylpyrimidine kinase/phosphomethylpyrimidine kinase</t>
  </si>
  <si>
    <t>thiD</t>
  </si>
  <si>
    <t>WP_000867388.1</t>
  </si>
  <si>
    <t>R8N76_RS09680</t>
  </si>
  <si>
    <t>thiazole biosynthesis adenylyltransferase ThiF</t>
  </si>
  <si>
    <t>thiF</t>
  </si>
  <si>
    <t>WP_001065417.1</t>
  </si>
  <si>
    <t>R8N76_RS09685</t>
  </si>
  <si>
    <t>thiazole synthase</t>
  </si>
  <si>
    <t>thiG</t>
  </si>
  <si>
    <t>WP_000931982.1</t>
  </si>
  <si>
    <t>R8N76_RS09690</t>
  </si>
  <si>
    <t>sulfur carrier protein ThiS</t>
  </si>
  <si>
    <t>thiS</t>
  </si>
  <si>
    <t>WP_001049502.1</t>
  </si>
  <si>
    <t>R8N76_RS09695</t>
  </si>
  <si>
    <t>glycine oxidase ThiO</t>
  </si>
  <si>
    <t>thiO</t>
  </si>
  <si>
    <t>WP_000333314.1</t>
  </si>
  <si>
    <t>R8N76_RS09700</t>
  </si>
  <si>
    <t>thiazole tautomerase TenI</t>
  </si>
  <si>
    <t>tenI</t>
  </si>
  <si>
    <t>WP_000787170.1</t>
  </si>
  <si>
    <t>R8N76_RS09705</t>
  </si>
  <si>
    <t>WP_000670416.1</t>
  </si>
  <si>
    <t>R8N76_RS09710</t>
  </si>
  <si>
    <t>WP_001080855.1</t>
  </si>
  <si>
    <t>R8N76_RS09715</t>
  </si>
  <si>
    <t>WP_001256797.1</t>
  </si>
  <si>
    <t>R8N76_RS09720</t>
  </si>
  <si>
    <t>WP_000666827.1</t>
  </si>
  <si>
    <t>R8N76_RS09725</t>
  </si>
  <si>
    <t>WP_001056030.1</t>
  </si>
  <si>
    <t>R8N76_RS09730</t>
  </si>
  <si>
    <t>WP_001137823.1</t>
  </si>
  <si>
    <t>R8N76_RS09735</t>
  </si>
  <si>
    <t>DUF3965 domain-containing protein</t>
  </si>
  <si>
    <t>WP_000648912.1</t>
  </si>
  <si>
    <t>R8N76_RS09740</t>
  </si>
  <si>
    <t>CBS domain-containing protein</t>
  </si>
  <si>
    <t>WP_000199006.1</t>
  </si>
  <si>
    <t>R8N76_RS09745</t>
  </si>
  <si>
    <t>tRNA-Glu</t>
  </si>
  <si>
    <t>R8N76_RS09750</t>
  </si>
  <si>
    <t>tRNA-Asn</t>
  </si>
  <si>
    <t>R8N76_RS09755</t>
  </si>
  <si>
    <t>tRNA-Ile</t>
  </si>
  <si>
    <t>R8N76_RS09760</t>
  </si>
  <si>
    <t>tRNA-Trp</t>
  </si>
  <si>
    <t>R8N76_RS09765</t>
  </si>
  <si>
    <t>tRNA-Thr</t>
  </si>
  <si>
    <t>R8N76_RS09770</t>
  </si>
  <si>
    <t>tRNA-Phe</t>
  </si>
  <si>
    <t>R8N76_RS09775</t>
  </si>
  <si>
    <t>tRNA-Asp</t>
  </si>
  <si>
    <t>R8N76_RS09780</t>
  </si>
  <si>
    <t>tRNA-Met</t>
  </si>
  <si>
    <t>R8N76_RS09785</t>
  </si>
  <si>
    <t>tRNA-Ser</t>
  </si>
  <si>
    <t>R8N76_RS09790</t>
  </si>
  <si>
    <t>R8N76_RS09795</t>
  </si>
  <si>
    <t>tRNA-Ala</t>
  </si>
  <si>
    <t>R8N76_RS09800</t>
  </si>
  <si>
    <t>tRNA-Pro</t>
  </si>
  <si>
    <t>R8N76_RS09805</t>
  </si>
  <si>
    <t>tRNA-Arg</t>
  </si>
  <si>
    <t>R8N76_RS09810</t>
  </si>
  <si>
    <t>tRNA-Leu</t>
  </si>
  <si>
    <t>R8N76_RS09815</t>
  </si>
  <si>
    <t>tRNA-Gly</t>
  </si>
  <si>
    <t>R8N76_RS09820</t>
  </si>
  <si>
    <t>R8N76_RS09825</t>
  </si>
  <si>
    <t>tRNA-Lys</t>
  </si>
  <si>
    <t>R8N76_RS09830</t>
  </si>
  <si>
    <t>tRNA-Gln</t>
  </si>
  <si>
    <t>R8N76_RS09835</t>
  </si>
  <si>
    <t>tRNA-Tyr</t>
  </si>
  <si>
    <t>R8N76_RS09840</t>
  </si>
  <si>
    <t>R8N76_RS09845</t>
  </si>
  <si>
    <t>5S ribosomal RNA</t>
  </si>
  <si>
    <t>rrf</t>
  </si>
  <si>
    <t>rRNA</t>
  </si>
  <si>
    <t>R8N76_RS09850</t>
  </si>
  <si>
    <t>23S ribosomal RNA</t>
  </si>
  <si>
    <t>R8N76_RS09855</t>
  </si>
  <si>
    <t>16S ribosomal RNA</t>
  </si>
  <si>
    <t>R8N76_RS09860</t>
  </si>
  <si>
    <t>efflux RND transporter permease subunit</t>
  </si>
  <si>
    <t>WP_000375537.1</t>
  </si>
  <si>
    <t>R8N76_RS09865</t>
  </si>
  <si>
    <t>WP_000465755.1</t>
  </si>
  <si>
    <t>R8N76_RS09870</t>
  </si>
  <si>
    <t>phosphate ABC transporter permease PstA</t>
  </si>
  <si>
    <t>pstA</t>
  </si>
  <si>
    <t>WP_000994148.1</t>
  </si>
  <si>
    <t>R8N76_RS09875</t>
  </si>
  <si>
    <t>phosphate ABC transporter permease subunit PstC</t>
  </si>
  <si>
    <t>pstC</t>
  </si>
  <si>
    <t>WP_000676677.1</t>
  </si>
  <si>
    <t>R8N76_RS09880</t>
  </si>
  <si>
    <t>phosphate ABC transporter substrate-binding protein PstS family protein</t>
  </si>
  <si>
    <t>WP_000245108.1</t>
  </si>
  <si>
    <t>R8N76_RS09885</t>
  </si>
  <si>
    <t>FeoA family protein</t>
  </si>
  <si>
    <t>WP_000252982.1</t>
  </si>
  <si>
    <t>R8N76_RS09890</t>
  </si>
  <si>
    <t>FeoB small GTPase domain-containing protein</t>
  </si>
  <si>
    <t>WP_000033865.1</t>
  </si>
  <si>
    <t>R8N76_RS09895</t>
  </si>
  <si>
    <t>nucleoside recognition domain-containing protein</t>
  </si>
  <si>
    <t>WP_000443605.1</t>
  </si>
  <si>
    <t>R8N76_RS09900</t>
  </si>
  <si>
    <t>WP_000493991.1</t>
  </si>
  <si>
    <t>R8N76_RS09905</t>
  </si>
  <si>
    <t>spore germination protein GerLC</t>
  </si>
  <si>
    <t>gerLC</t>
  </si>
  <si>
    <t>WP_000681629.1</t>
  </si>
  <si>
    <t>R8N76_RS09910</t>
  </si>
  <si>
    <t>spore germination protein GerLB</t>
  </si>
  <si>
    <t>gerLB</t>
  </si>
  <si>
    <t>WP_000802005.1</t>
  </si>
  <si>
    <t>R8N76_RS09915</t>
  </si>
  <si>
    <t>spore germination protein GerLA</t>
  </si>
  <si>
    <t>gerLA</t>
  </si>
  <si>
    <t>WP_002023287.1</t>
  </si>
  <si>
    <t>R8N76_RS09920</t>
  </si>
  <si>
    <t>sodium:solute symporter</t>
  </si>
  <si>
    <t>WP_000125939.1</t>
  </si>
  <si>
    <t>R8N76_RS09925</t>
  </si>
  <si>
    <t>DUF3311 domain-containing protein</t>
  </si>
  <si>
    <t>WP_000719833.1</t>
  </si>
  <si>
    <t>R8N76_RS09930</t>
  </si>
  <si>
    <t>amidohydrolase</t>
  </si>
  <si>
    <t>WP_000382128.1</t>
  </si>
  <si>
    <t>R8N76_RS09935</t>
  </si>
  <si>
    <t>C39 family peptidase</t>
  </si>
  <si>
    <t>WP_000734488.1</t>
  </si>
  <si>
    <t>R8N76_RS09940</t>
  </si>
  <si>
    <t>WP_001075759.1</t>
  </si>
  <si>
    <t>R8N76_RS09945</t>
  </si>
  <si>
    <t>cytochrome aa3 quinol oxidase subunit II</t>
  </si>
  <si>
    <t>WP_001176165.1</t>
  </si>
  <si>
    <t>R8N76_RS09950</t>
  </si>
  <si>
    <t>cytochrome aa3 quinol oxidase subunit I</t>
  </si>
  <si>
    <t>qoxB</t>
  </si>
  <si>
    <t>WP_000762366.1</t>
  </si>
  <si>
    <t>R8N76_RS09955</t>
  </si>
  <si>
    <t>cytochrome aa3 quinol oxidase subunit III</t>
  </si>
  <si>
    <t>qoxC</t>
  </si>
  <si>
    <t>WP_000729317.1</t>
  </si>
  <si>
    <t>R8N76_RS09960</t>
  </si>
  <si>
    <t>cytochrome aa3 quinol oxidase subunit IV</t>
  </si>
  <si>
    <t>qoxD</t>
  </si>
  <si>
    <t>WP_000068425.1</t>
  </si>
  <si>
    <t>R8N76_RS09965</t>
  </si>
  <si>
    <t>monovalent cation:proton antiporter family protein</t>
  </si>
  <si>
    <t>WP_000399967.1</t>
  </si>
  <si>
    <t>R8N76_RS09970</t>
  </si>
  <si>
    <t>DUF4022 family protein</t>
  </si>
  <si>
    <t>WP_000926991.1</t>
  </si>
  <si>
    <t>R8N76_RS09975</t>
  </si>
  <si>
    <t>WP_000633769.1</t>
  </si>
  <si>
    <t>R8N76_RS09980</t>
  </si>
  <si>
    <t>WP_000706637.1</t>
  </si>
  <si>
    <t>R8N76_RS09985</t>
  </si>
  <si>
    <t>WP_000301182.1</t>
  </si>
  <si>
    <t>R8N76_RS09990</t>
  </si>
  <si>
    <t>WP_000487192.1</t>
  </si>
  <si>
    <t>R8N76_RS09995</t>
  </si>
  <si>
    <t>WP_001164897.1</t>
  </si>
  <si>
    <t>R8N76_RS10000</t>
  </si>
  <si>
    <t>WP_000791522.1</t>
  </si>
  <si>
    <t>R8N76_RS10005</t>
  </si>
  <si>
    <t>DUF2339 domain-containing protein</t>
  </si>
  <si>
    <t>WP_000710918.1</t>
  </si>
  <si>
    <t>R8N76_RS10010</t>
  </si>
  <si>
    <t>branched-chain amino acid transport system II carrier protein BrnQ1</t>
  </si>
  <si>
    <t>brnQ1</t>
  </si>
  <si>
    <t>WP_000771689.1</t>
  </si>
  <si>
    <t>R8N76_RS10015</t>
  </si>
  <si>
    <t>peptide MFS transporter</t>
  </si>
  <si>
    <t>WP_000443143.1</t>
  </si>
  <si>
    <t>R8N76_RS10020</t>
  </si>
  <si>
    <t>YHYH domain-containing protein</t>
  </si>
  <si>
    <t>WP_001249819.1</t>
  </si>
  <si>
    <t>R8N76_RS10025</t>
  </si>
  <si>
    <t>class A sortase</t>
  </si>
  <si>
    <t>WP_001041726.1</t>
  </si>
  <si>
    <t>R8N76_RS10030</t>
  </si>
  <si>
    <t>WP_001080038.1</t>
  </si>
  <si>
    <t>R8N76_RS10035</t>
  </si>
  <si>
    <t>WP_011109823.1</t>
  </si>
  <si>
    <t>R8N76_RS10040</t>
  </si>
  <si>
    <t>3D domain-containing protein</t>
  </si>
  <si>
    <t>WP_001105776.1</t>
  </si>
  <si>
    <t>R8N76_RS10045</t>
  </si>
  <si>
    <t>WP_000939456.1</t>
  </si>
  <si>
    <t>R8N76_RS10050</t>
  </si>
  <si>
    <t>undecaprenyl-diphosphate phosphatase</t>
  </si>
  <si>
    <t>WP_000434794.1</t>
  </si>
  <si>
    <t>R8N76_RS10055</t>
  </si>
  <si>
    <t>WP_000471238.1</t>
  </si>
  <si>
    <t>R8N76_RS10060</t>
  </si>
  <si>
    <t>WP_001268332.1</t>
  </si>
  <si>
    <t>R8N76_RS10065</t>
  </si>
  <si>
    <t>WP_000128021.1</t>
  </si>
  <si>
    <t>R8N76_RS10070</t>
  </si>
  <si>
    <t>D-arabinono-1,4-lactone oxidase</t>
  </si>
  <si>
    <t>WP_000948912.1</t>
  </si>
  <si>
    <t>R8N76_RS10075</t>
  </si>
  <si>
    <t>amino acid deaminase/aldolase</t>
  </si>
  <si>
    <t>WP_000373755.1</t>
  </si>
  <si>
    <t>R8N76_RS10080</t>
  </si>
  <si>
    <t>sphingomyelinase C</t>
  </si>
  <si>
    <t>sph</t>
  </si>
  <si>
    <t>WP_000676803.1</t>
  </si>
  <si>
    <t>R8N76_RS10085</t>
  </si>
  <si>
    <t>phospholipase CerA</t>
  </si>
  <si>
    <t>cerA</t>
  </si>
  <si>
    <t>WP_000730997.1</t>
  </si>
  <si>
    <t>R8N76_RS10090</t>
  </si>
  <si>
    <t>potassium channel family protein</t>
  </si>
  <si>
    <t>WP_000948210.1</t>
  </si>
  <si>
    <t>R8N76_RS10095</t>
  </si>
  <si>
    <t>(R,R)-butanediol dehydrogenase</t>
  </si>
  <si>
    <t>bdhA</t>
  </si>
  <si>
    <t>WP_000645827.1</t>
  </si>
  <si>
    <t>R8N76_RS10100</t>
  </si>
  <si>
    <t>WP_000873272.1</t>
  </si>
  <si>
    <t>R8N76_RS10105</t>
  </si>
  <si>
    <t>R8N76_RS10110</t>
  </si>
  <si>
    <t>M6 family metalloprotease immune inhibitor InhA2</t>
  </si>
  <si>
    <t>inhA2</t>
  </si>
  <si>
    <t>WP_001252988.1</t>
  </si>
  <si>
    <t>R8N76_RS10115</t>
  </si>
  <si>
    <t>fructose-6-phosphate aldolase</t>
  </si>
  <si>
    <t>fsa</t>
  </si>
  <si>
    <t>WP_000667670.1</t>
  </si>
  <si>
    <t>R8N76_RS10120</t>
  </si>
  <si>
    <t>ribose ABC transporter substrate-binding protein RbsB</t>
  </si>
  <si>
    <t>rbsB</t>
  </si>
  <si>
    <t>WP_000758976.1</t>
  </si>
  <si>
    <t>R8N76_RS10125</t>
  </si>
  <si>
    <t>WP_001074641.1</t>
  </si>
  <si>
    <t>R8N76_RS10130</t>
  </si>
  <si>
    <t>ribose ABC transporter ATP-binding protein RbsA</t>
  </si>
  <si>
    <t>rbsA</t>
  </si>
  <si>
    <t>WP_000546778.1</t>
  </si>
  <si>
    <t>R8N76_RS10135</t>
  </si>
  <si>
    <t>D-ribose pyranase</t>
  </si>
  <si>
    <t>rbsD</t>
  </si>
  <si>
    <t>WP_000716152.1</t>
  </si>
  <si>
    <t>R8N76_RS10140</t>
  </si>
  <si>
    <t>ribokinase</t>
  </si>
  <si>
    <t>rbsK</t>
  </si>
  <si>
    <t>WP_001132865.1</t>
  </si>
  <si>
    <t>R8N76_RS10145</t>
  </si>
  <si>
    <t>ribose operon transcriptional repressor RbsR</t>
  </si>
  <si>
    <t>rbsR</t>
  </si>
  <si>
    <t>WP_000104051.1</t>
  </si>
  <si>
    <t>R8N76_RS10150</t>
  </si>
  <si>
    <t>WP_000437647.1</t>
  </si>
  <si>
    <t>R8N76_RS10155</t>
  </si>
  <si>
    <t>WP_001132365.1</t>
  </si>
  <si>
    <t>R8N76_RS10160</t>
  </si>
  <si>
    <t>glycerol-3-phosphate transporter</t>
  </si>
  <si>
    <t>glpT</t>
  </si>
  <si>
    <t>WP_000466385.1</t>
  </si>
  <si>
    <t>R8N76_RS10165</t>
  </si>
  <si>
    <t>DUF4027 family protein</t>
  </si>
  <si>
    <t>WP_000834733.1</t>
  </si>
  <si>
    <t>R8N76_RS10170</t>
  </si>
  <si>
    <t>universal stress protein</t>
  </si>
  <si>
    <t>WP_000277999.1</t>
  </si>
  <si>
    <t>R8N76_RS10175</t>
  </si>
  <si>
    <t>WP_000487894.1</t>
  </si>
  <si>
    <t>R8N76_RS10180</t>
  </si>
  <si>
    <t>WP_000738877.1</t>
  </si>
  <si>
    <t>R8N76_RS10185</t>
  </si>
  <si>
    <t>WP_000565469.1</t>
  </si>
  <si>
    <t>R8N76_RS10190</t>
  </si>
  <si>
    <t>HAMP domain-containing sensor histidine kinase</t>
  </si>
  <si>
    <t>WP_000822525.1</t>
  </si>
  <si>
    <t>R8N76_RS10195</t>
  </si>
  <si>
    <t>dihydrofolate reductase family protein</t>
  </si>
  <si>
    <t>WP_000085781.1</t>
  </si>
  <si>
    <t>R8N76_RS10200</t>
  </si>
  <si>
    <t>YafY family protein</t>
  </si>
  <si>
    <t>WP_113732210.1</t>
  </si>
  <si>
    <t>R8N76_RS10205</t>
  </si>
  <si>
    <t>DUF4367 domain-containing protein</t>
  </si>
  <si>
    <t>WP_000185137.1</t>
  </si>
  <si>
    <t>R8N76_RS10210</t>
  </si>
  <si>
    <t>WP_000869257.1</t>
  </si>
  <si>
    <t>R8N76_RS10215</t>
  </si>
  <si>
    <t>R8N76_RS10220</t>
  </si>
  <si>
    <t>OsmC family protein</t>
  </si>
  <si>
    <t>WP_000778831.1</t>
  </si>
  <si>
    <t>R8N76_RS10225</t>
  </si>
  <si>
    <t>WP_001187104.1</t>
  </si>
  <si>
    <t>R8N76_RS10230</t>
  </si>
  <si>
    <t>WP_000345960.1</t>
  </si>
  <si>
    <t>R8N76_RS10235</t>
  </si>
  <si>
    <t>WP_001112672.1</t>
  </si>
  <si>
    <t>R8N76_RS10240</t>
  </si>
  <si>
    <t>glutamine ABC transporter substrate-binding protein GlnH</t>
  </si>
  <si>
    <t>glnH</t>
  </si>
  <si>
    <t>WP_000916486.1</t>
  </si>
  <si>
    <t>R8N76_RS10245</t>
  </si>
  <si>
    <t>WP_153018810.1</t>
  </si>
  <si>
    <t>R8N76_RS10250</t>
  </si>
  <si>
    <t>WP_000387162.1</t>
  </si>
  <si>
    <t>R8N76_RS10255</t>
  </si>
  <si>
    <t>phosphotransferase enzyme family protein</t>
  </si>
  <si>
    <t>WP_000401659.1</t>
  </si>
  <si>
    <t>R8N76_RS10260</t>
  </si>
  <si>
    <t>WP_000175183.1</t>
  </si>
  <si>
    <t>R8N76_RS10265</t>
  </si>
  <si>
    <t>spore germination protein GerKA</t>
  </si>
  <si>
    <t>gerKA</t>
  </si>
  <si>
    <t>WP_001208313.1</t>
  </si>
  <si>
    <t>R8N76_RS10270</t>
  </si>
  <si>
    <t>WP_000185799.1</t>
  </si>
  <si>
    <t>R8N76_RS10275</t>
  </si>
  <si>
    <t>spore germination protein GerKC</t>
  </si>
  <si>
    <t>gerKC</t>
  </si>
  <si>
    <t>WP_000474043.1</t>
  </si>
  <si>
    <t>R8N76_RS10280</t>
  </si>
  <si>
    <t>alpha,alpha-phosphotrehalase</t>
  </si>
  <si>
    <t>treC</t>
  </si>
  <si>
    <t>WP_000656142.1</t>
  </si>
  <si>
    <t>R8N76_RS10285</t>
  </si>
  <si>
    <t>PTS system trehalose-specific EIIBC component</t>
  </si>
  <si>
    <t>treP</t>
  </si>
  <si>
    <t>WP_000513942.1</t>
  </si>
  <si>
    <t>R8N76_RS10290</t>
  </si>
  <si>
    <t>trehalose operon repressor</t>
  </si>
  <si>
    <t>treR</t>
  </si>
  <si>
    <t>WP_000987240.1</t>
  </si>
  <si>
    <t>R8N76_RS10295</t>
  </si>
  <si>
    <t>WP_000448441.1</t>
  </si>
  <si>
    <t>R8N76_RS10300</t>
  </si>
  <si>
    <t>bifunctional diguanylate cyclase/phosphodiesterase</t>
  </si>
  <si>
    <t>WP_000893345.1</t>
  </si>
  <si>
    <t>R8N76_RS10305</t>
  </si>
  <si>
    <t>WP_001106379.1</t>
  </si>
  <si>
    <t>R8N76_RS10310</t>
  </si>
  <si>
    <t>WP_000743034.1</t>
  </si>
  <si>
    <t>R8N76_RS10315</t>
  </si>
  <si>
    <t>WP_000892973.1</t>
  </si>
  <si>
    <t>R8N76_RS10320</t>
  </si>
  <si>
    <t>nitric oxide reductase activation protein NorD</t>
  </si>
  <si>
    <t>WP_001248875.1</t>
  </si>
  <si>
    <t>R8N76_RS10325</t>
  </si>
  <si>
    <t>WP_001189941.1</t>
  </si>
  <si>
    <t>R8N76_RS10330</t>
  </si>
  <si>
    <t>L-threonine 3-dehydrogenase</t>
  </si>
  <si>
    <t>WP_000723125.1</t>
  </si>
  <si>
    <t>R8N76_RS10335</t>
  </si>
  <si>
    <t>glycine C-acetyltransferase</t>
  </si>
  <si>
    <t>WP_000095905.1</t>
  </si>
  <si>
    <t>R8N76_RS10340</t>
  </si>
  <si>
    <t>WP_000885971.1</t>
  </si>
  <si>
    <t>R8N76_RS10345</t>
  </si>
  <si>
    <t>WP_001167962.1</t>
  </si>
  <si>
    <t>R8N76_RS10350</t>
  </si>
  <si>
    <t>WP_000760056.1</t>
  </si>
  <si>
    <t>R8N76_RS10355</t>
  </si>
  <si>
    <t>WP_000925232.1</t>
  </si>
  <si>
    <t>R8N76_RS10360</t>
  </si>
  <si>
    <t>WP_001010276.1</t>
  </si>
  <si>
    <t>R8N76_RS10365</t>
  </si>
  <si>
    <t>WP_000338317.1</t>
  </si>
  <si>
    <t>R8N76_RS10370</t>
  </si>
  <si>
    <t>acid-soluble spore protein H</t>
  </si>
  <si>
    <t>WP_000382679.1</t>
  </si>
  <si>
    <t>R8N76_RS10375</t>
  </si>
  <si>
    <t>WP_000081428.1</t>
  </si>
  <si>
    <t>R8N76_RS10380</t>
  </si>
  <si>
    <t>WP_000109096.1</t>
  </si>
  <si>
    <t>R8N76_RS10385</t>
  </si>
  <si>
    <t>WP_000562128.1</t>
  </si>
  <si>
    <t>R8N76_RS10390</t>
  </si>
  <si>
    <t>WP_000353313.1</t>
  </si>
  <si>
    <t>R8N76_RS10395</t>
  </si>
  <si>
    <t>WP_001017671.1</t>
  </si>
  <si>
    <t>R8N76_RS10400</t>
  </si>
  <si>
    <t>WP_000668866.1</t>
  </si>
  <si>
    <t>R8N76_RS10405</t>
  </si>
  <si>
    <t>WP_002163841.1</t>
  </si>
  <si>
    <t>R8N76_RS10410</t>
  </si>
  <si>
    <t>VanW family protein</t>
  </si>
  <si>
    <t>WP_000777354.1</t>
  </si>
  <si>
    <t>R8N76_RS10415</t>
  </si>
  <si>
    <t>WP_000288803.1</t>
  </si>
  <si>
    <t>R8N76_RS10420</t>
  </si>
  <si>
    <t>RNase A-like domain-containing lipoprotein</t>
  </si>
  <si>
    <t>WP_000822694.1</t>
  </si>
  <si>
    <t>R8N76_RS10425</t>
  </si>
  <si>
    <t>WP_000852222.1</t>
  </si>
  <si>
    <t>R8N76_RS10430</t>
  </si>
  <si>
    <t>WP_000730383.1</t>
  </si>
  <si>
    <t>R8N76_RS10435</t>
  </si>
  <si>
    <t>quorum-signaling peptide NprX</t>
  </si>
  <si>
    <t>nprX</t>
  </si>
  <si>
    <t>WP_000738910.1</t>
  </si>
  <si>
    <t>R8N76_RS10440</t>
  </si>
  <si>
    <t>R8N76_RS10445</t>
  </si>
  <si>
    <t>R8N76_RS10450</t>
  </si>
  <si>
    <t>R8N76_RS10455</t>
  </si>
  <si>
    <t>R8N76_RS10460</t>
  </si>
  <si>
    <t>nicotinate phosphoribosyltransferase</t>
  </si>
  <si>
    <t>WP_000150184.1</t>
  </si>
  <si>
    <t>R8N76_RS10465</t>
  </si>
  <si>
    <t>heavy metal translocating P-type ATPase</t>
  </si>
  <si>
    <t>WP_000796568.1</t>
  </si>
  <si>
    <t>R8N76_RS10470</t>
  </si>
  <si>
    <t>metalloregulator ArsR/SmtB family transcription factor</t>
  </si>
  <si>
    <t>WP_000918378.1</t>
  </si>
  <si>
    <t>R8N76_RS10475</t>
  </si>
  <si>
    <t>WP_001284889.1</t>
  </si>
  <si>
    <t>R8N76_RS10480</t>
  </si>
  <si>
    <t>alanine dehydrogenase</t>
  </si>
  <si>
    <t>ald</t>
  </si>
  <si>
    <t>WP_001219742.1</t>
  </si>
  <si>
    <t>R8N76_RS10485</t>
  </si>
  <si>
    <t>glycerophosphodiester phosphodiesterase</t>
  </si>
  <si>
    <t>WP_001164717.1</t>
  </si>
  <si>
    <t>R8N76_RS10490</t>
  </si>
  <si>
    <t>DUF1641 domain-containing protein</t>
  </si>
  <si>
    <t>WP_001040540.1</t>
  </si>
  <si>
    <t>R8N76_RS10495</t>
  </si>
  <si>
    <t>formate dehydrogenase subunit alpha</t>
  </si>
  <si>
    <t>fdhF</t>
  </si>
  <si>
    <t>WP_000840679.1</t>
  </si>
  <si>
    <t>R8N76_RS10500</t>
  </si>
  <si>
    <t>formate dehydrogenase accessory sulfurtransferase FdhD</t>
  </si>
  <si>
    <t>fdhD</t>
  </si>
  <si>
    <t>WP_000529239.1</t>
  </si>
  <si>
    <t>R8N76_RS10505</t>
  </si>
  <si>
    <t>WP_000405875.1</t>
  </si>
  <si>
    <t>R8N76_RS10510</t>
  </si>
  <si>
    <t>WP_001085006.1</t>
  </si>
  <si>
    <t>R8N76_RS10515</t>
  </si>
  <si>
    <t>WP_000238957.1</t>
  </si>
  <si>
    <t>R8N76_RS10520</t>
  </si>
  <si>
    <t>WP_000041022.1</t>
  </si>
  <si>
    <t>R8N76_RS10525</t>
  </si>
  <si>
    <t>WP_000351212.1</t>
  </si>
  <si>
    <t>R8N76_RS10530</t>
  </si>
  <si>
    <t>WP_000891874.1</t>
  </si>
  <si>
    <t>R8N76_RS10535</t>
  </si>
  <si>
    <t>WP_001059054.1</t>
  </si>
  <si>
    <t>R8N76_RS10540</t>
  </si>
  <si>
    <t>DUF4871 domain-containing protein</t>
  </si>
  <si>
    <t>WP_000719694.1</t>
  </si>
  <si>
    <t>R8N76_RS10545</t>
  </si>
  <si>
    <t>NADP-dependent malic enzyme</t>
  </si>
  <si>
    <t>WP_000880780.1</t>
  </si>
  <si>
    <t>R8N76_RS10550</t>
  </si>
  <si>
    <t>2-hydroxycarboxylate transporter family protein</t>
  </si>
  <si>
    <t>WP_000512722.1</t>
  </si>
  <si>
    <t>R8N76_RS10555</t>
  </si>
  <si>
    <t>WP_000598666.1</t>
  </si>
  <si>
    <t>R8N76_RS10560</t>
  </si>
  <si>
    <t>WP_000746421.1</t>
  </si>
  <si>
    <t>R8N76_RS10565</t>
  </si>
  <si>
    <t>WP_001169211.1</t>
  </si>
  <si>
    <t>R8N76_RS10570</t>
  </si>
  <si>
    <t>WP_002195147.1</t>
  </si>
  <si>
    <t>R8N76_RS10575</t>
  </si>
  <si>
    <t>WP_000728585.1</t>
  </si>
  <si>
    <t>R8N76_RS10580</t>
  </si>
  <si>
    <t>WP_000715835.1</t>
  </si>
  <si>
    <t>R8N76_RS10585</t>
  </si>
  <si>
    <t>WP_001238621.1</t>
  </si>
  <si>
    <t>R8N76_RS10590</t>
  </si>
  <si>
    <t>metallophosphoesterase family protein</t>
  </si>
  <si>
    <t>WP_000821952.1</t>
  </si>
  <si>
    <t>R8N76_RS10595</t>
  </si>
  <si>
    <t>WP_000060609.1</t>
  </si>
  <si>
    <t>R8N76_RS10600</t>
  </si>
  <si>
    <t>carbohydrate ABC transporter permease</t>
  </si>
  <si>
    <t>WP_000635946.1</t>
  </si>
  <si>
    <t>R8N76_RS10605</t>
  </si>
  <si>
    <t>WP_000573797.1</t>
  </si>
  <si>
    <t>R8N76_RS10610</t>
  </si>
  <si>
    <t>WP_000571379.1</t>
  </si>
  <si>
    <t>R8N76_RS10615</t>
  </si>
  <si>
    <t>glycerol-3-phosphate responsive antiterminator</t>
  </si>
  <si>
    <t>WP_000472003.1</t>
  </si>
  <si>
    <t>R8N76_RS10620</t>
  </si>
  <si>
    <t>ankyrin repeat domain-containing protein</t>
  </si>
  <si>
    <t>WP_000287336.1</t>
  </si>
  <si>
    <t>R8N76_RS10625</t>
  </si>
  <si>
    <t>nitrous oxide reductase accessory protein NosL</t>
  </si>
  <si>
    <t>WP_000865665.1</t>
  </si>
  <si>
    <t>R8N76_RS10630</t>
  </si>
  <si>
    <t>WP_000857376.1</t>
  </si>
  <si>
    <t>R8N76_RS10635</t>
  </si>
  <si>
    <t>CitMHS family transporter</t>
  </si>
  <si>
    <t>WP_000880464.1</t>
  </si>
  <si>
    <t>R8N76_RS10640</t>
  </si>
  <si>
    <t>WP_000343064.1</t>
  </si>
  <si>
    <t>R8N76_RS10645</t>
  </si>
  <si>
    <t>WP_002025277.1</t>
  </si>
  <si>
    <t>R8N76_RS10650</t>
  </si>
  <si>
    <t>WP_370445030.1</t>
  </si>
  <si>
    <t>R8N76_RS10655</t>
  </si>
  <si>
    <t>R8N76_RS10660</t>
  </si>
  <si>
    <t>flotillin family protein</t>
  </si>
  <si>
    <t>WP_000155021.1</t>
  </si>
  <si>
    <t>R8N76_RS10665</t>
  </si>
  <si>
    <t>WP_000242443.1</t>
  </si>
  <si>
    <t>R8N76_RS10670</t>
  </si>
  <si>
    <t>collagenase ColA</t>
  </si>
  <si>
    <t>WP_001036407.1</t>
  </si>
  <si>
    <t>R8N76_RS10675</t>
  </si>
  <si>
    <t>glycine betaine transporter OpuD</t>
  </si>
  <si>
    <t>opuD</t>
  </si>
  <si>
    <t>WP_000591565.1</t>
  </si>
  <si>
    <t>R8N76_RS10680</t>
  </si>
  <si>
    <t>R8N76_RS10685</t>
  </si>
  <si>
    <t>leucine-rich repeat domain-containing protein</t>
  </si>
  <si>
    <t>WP_000812460.1</t>
  </si>
  <si>
    <t>R8N76_RS10690</t>
  </si>
  <si>
    <t>sporulation protein YhbH</t>
  </si>
  <si>
    <t>yhbH</t>
  </si>
  <si>
    <t>WP_000503517.1</t>
  </si>
  <si>
    <t>R8N76_RS10695</t>
  </si>
  <si>
    <t>PrkA family serine protein kinase</t>
  </si>
  <si>
    <t>WP_000353273.1</t>
  </si>
  <si>
    <t>R8N76_RS10700</t>
  </si>
  <si>
    <t>EAL domain-containing protein</t>
  </si>
  <si>
    <t>WP_000657172.1</t>
  </si>
  <si>
    <t>R8N76_RS10705</t>
  </si>
  <si>
    <t>tRNA (uridine(34)/cytosine(34)/5-carboxymethylaminomethyluridine(34)-2'-O)-methyltransferase TrmL</t>
  </si>
  <si>
    <t>trmL</t>
  </si>
  <si>
    <t>WP_000538147.1</t>
  </si>
  <si>
    <t>R8N76_RS10710</t>
  </si>
  <si>
    <t>amidase domain-containing protein</t>
  </si>
  <si>
    <t>WP_000260591.1</t>
  </si>
  <si>
    <t>R8N76_RS10715</t>
  </si>
  <si>
    <t>tRNA epoxyqueuosine(34) reductase QueG</t>
  </si>
  <si>
    <t>queG</t>
  </si>
  <si>
    <t>WP_000345215.1</t>
  </si>
  <si>
    <t>R8N76_RS10720</t>
  </si>
  <si>
    <t>R8N76_RS10725</t>
  </si>
  <si>
    <t>thioredoxin domain-containing protein</t>
  </si>
  <si>
    <t>WP_000841307.1</t>
  </si>
  <si>
    <t>R8N76_RS10730</t>
  </si>
  <si>
    <t>WP_000664715.1</t>
  </si>
  <si>
    <t>R8N76_RS10735</t>
  </si>
  <si>
    <t>WP_000400455.1</t>
  </si>
  <si>
    <t>R8N76_RS10740</t>
  </si>
  <si>
    <t>YebC/PmpR family DNA-binding transcriptional regulator</t>
  </si>
  <si>
    <t>WP_000532952.1</t>
  </si>
  <si>
    <t>R8N76_RS10745</t>
  </si>
  <si>
    <t>DUF3884 family protein</t>
  </si>
  <si>
    <t>WP_000149743.1</t>
  </si>
  <si>
    <t>R8N76_RS10750</t>
  </si>
  <si>
    <t>R8N76_RS10755</t>
  </si>
  <si>
    <t>tRNA-Cys</t>
  </si>
  <si>
    <t>R8N76_RS10760</t>
  </si>
  <si>
    <t>R8N76_RS10765</t>
  </si>
  <si>
    <t>R8N76_RS10770</t>
  </si>
  <si>
    <t>tRNA-His</t>
  </si>
  <si>
    <t>R8N76_RS10775</t>
  </si>
  <si>
    <t>R8N76_RS10780</t>
  </si>
  <si>
    <t>R8N76_RS10785</t>
  </si>
  <si>
    <t>R8N76_RS10790</t>
  </si>
  <si>
    <t>R8N76_RS10795</t>
  </si>
  <si>
    <t>R8N76_RS10800</t>
  </si>
  <si>
    <t>R8N76_RS10805</t>
  </si>
  <si>
    <t>R8N76_RS10810</t>
  </si>
  <si>
    <t>R8N76_RS10815</t>
  </si>
  <si>
    <t>R8N76_RS10820</t>
  </si>
  <si>
    <t>R8N76_RS10825</t>
  </si>
  <si>
    <t>R8N76_RS10830</t>
  </si>
  <si>
    <t>R8N76_RS10835</t>
  </si>
  <si>
    <t>R8N76_RS10840</t>
  </si>
  <si>
    <t>YgzB family protein</t>
  </si>
  <si>
    <t>WP_000025058.1</t>
  </si>
  <si>
    <t>R8N76_RS10845</t>
  </si>
  <si>
    <t>WP_000759735.1</t>
  </si>
  <si>
    <t>R8N76_RS10850</t>
  </si>
  <si>
    <t>peroxide-responsive transcriptional repressor PerR</t>
  </si>
  <si>
    <t>perR</t>
  </si>
  <si>
    <t>WP_000237829.1</t>
  </si>
  <si>
    <t>R8N76_RS10855</t>
  </si>
  <si>
    <t>thioredoxin-dependent thiol peroxidase</t>
  </si>
  <si>
    <t>bcp</t>
  </si>
  <si>
    <t>WP_000633710.1</t>
  </si>
  <si>
    <t>R8N76_RS10860</t>
  </si>
  <si>
    <t>WP_000964343.1</t>
  </si>
  <si>
    <t>R8N76_RS10865</t>
  </si>
  <si>
    <t>WP_000965773.1</t>
  </si>
  <si>
    <t>R8N76_RS10870</t>
  </si>
  <si>
    <t>ABC-2 family transporter protein</t>
  </si>
  <si>
    <t>WP_000521519.1</t>
  </si>
  <si>
    <t>R8N76_RS10875</t>
  </si>
  <si>
    <t>WP_000843655.1</t>
  </si>
  <si>
    <t>R8N76_RS10880</t>
  </si>
  <si>
    <t>glutamate-1-semialdehyde-2,1-aminomutase</t>
  </si>
  <si>
    <t>hemL</t>
  </si>
  <si>
    <t>WP_001011863.1</t>
  </si>
  <si>
    <t>R8N76_RS10885</t>
  </si>
  <si>
    <t>glutamate synthase-related protein</t>
  </si>
  <si>
    <t>WP_000932762.1</t>
  </si>
  <si>
    <t>R8N76_RS10890</t>
  </si>
  <si>
    <t>aromatic acid exporter family protein</t>
  </si>
  <si>
    <t>WP_000765787.1</t>
  </si>
  <si>
    <t>R8N76_RS10895</t>
  </si>
  <si>
    <t>WP_001161599.1</t>
  </si>
  <si>
    <t>R8N76_RS10900</t>
  </si>
  <si>
    <t>WP_000506622.1</t>
  </si>
  <si>
    <t>R8N76_RS10905</t>
  </si>
  <si>
    <t>YgaB family protein</t>
  </si>
  <si>
    <t>WP_000997575.1</t>
  </si>
  <si>
    <t>R8N76_RS10910</t>
  </si>
  <si>
    <t>gamma-type small acid-soluble spore protein</t>
  </si>
  <si>
    <t>WP_000039035.1</t>
  </si>
  <si>
    <t>R8N76_RS10915</t>
  </si>
  <si>
    <t>WP_000275436.1</t>
  </si>
  <si>
    <t>R8N76_RS10920</t>
  </si>
  <si>
    <t>A/G-specific adenine glycosylase</t>
  </si>
  <si>
    <t>mutY</t>
  </si>
  <si>
    <t>WP_000171397.1</t>
  </si>
  <si>
    <t>R8N76_RS10925</t>
  </si>
  <si>
    <t>metal-dependent hydrolase</t>
  </si>
  <si>
    <t>WP_000379111.1</t>
  </si>
  <si>
    <t>R8N76_RS10930</t>
  </si>
  <si>
    <t>YfhJ family protein</t>
  </si>
  <si>
    <t>WP_000998166.1</t>
  </si>
  <si>
    <t>R8N76_RS10935</t>
  </si>
  <si>
    <t>small, acid-soluble spore protein K</t>
  </si>
  <si>
    <t>WP_000517891.1</t>
  </si>
  <si>
    <t>R8N76_RS10940</t>
  </si>
  <si>
    <t>YpzG family protein</t>
  </si>
  <si>
    <t>WP_000122093.1</t>
  </si>
  <si>
    <t>R8N76_RS10945</t>
  </si>
  <si>
    <t>YfhH family protein</t>
  </si>
  <si>
    <t>WP_001057020.1</t>
  </si>
  <si>
    <t>R8N76_RS10950</t>
  </si>
  <si>
    <t>recombination regulator RecX</t>
  </si>
  <si>
    <t>recX</t>
  </si>
  <si>
    <t>WP_000268502.1</t>
  </si>
  <si>
    <t>R8N76_RS10955</t>
  </si>
  <si>
    <t>TIGR01777 family oxidoreductase</t>
  </si>
  <si>
    <t>WP_000684382.1</t>
  </si>
  <si>
    <t>R8N76_RS10960</t>
  </si>
  <si>
    <t>WP_000698319.1</t>
  </si>
  <si>
    <t>R8N76_RS10965</t>
  </si>
  <si>
    <t>WP_000914737.1</t>
  </si>
  <si>
    <t>R8N76_RS10970</t>
  </si>
  <si>
    <t>YfhE family protein</t>
  </si>
  <si>
    <t>WP_000358482.1</t>
  </si>
  <si>
    <t>R8N76_RS10975</t>
  </si>
  <si>
    <t>diglucosyl diacylglycerol synthase</t>
  </si>
  <si>
    <t>WP_000594691.1</t>
  </si>
  <si>
    <t>R8N76_RS10980</t>
  </si>
  <si>
    <t>pyruvate formate-lyase-activating protein</t>
  </si>
  <si>
    <t>pflA</t>
  </si>
  <si>
    <t>WP_000238461.1</t>
  </si>
  <si>
    <t>R8N76_RS10985</t>
  </si>
  <si>
    <t>formate C-acetyltransferase</t>
  </si>
  <si>
    <t>pflB</t>
  </si>
  <si>
    <t>WP_000195472.1</t>
  </si>
  <si>
    <t>R8N76_RS10990</t>
  </si>
  <si>
    <t>WP_002094217.1</t>
  </si>
  <si>
    <t>R8N76_RS10995</t>
  </si>
  <si>
    <t>WP_013141734.1</t>
  </si>
  <si>
    <t>R8N76_RS11000</t>
  </si>
  <si>
    <t>WP_000037020.1</t>
  </si>
  <si>
    <t>R8N76_RS11005</t>
  </si>
  <si>
    <t>nucleotide sugar dehydrogenase</t>
  </si>
  <si>
    <t>WP_001088925.1</t>
  </si>
  <si>
    <t>R8N76_RS11010</t>
  </si>
  <si>
    <t>WP_001266466.1</t>
  </si>
  <si>
    <t>R8N76_RS11015</t>
  </si>
  <si>
    <t>WP_000899469.1</t>
  </si>
  <si>
    <t>R8N76_RS11020</t>
  </si>
  <si>
    <t>WP_000335530.1</t>
  </si>
  <si>
    <t>R8N76_RS11025</t>
  </si>
  <si>
    <t>WP_000371812.1</t>
  </si>
  <si>
    <t>R8N76_RS11030</t>
  </si>
  <si>
    <t>N-acetylglucosamine-specific PTS transporter subunit IIBC</t>
  </si>
  <si>
    <t>nagE</t>
  </si>
  <si>
    <t>WP_000938900.1</t>
  </si>
  <si>
    <t>R8N76_RS11035</t>
  </si>
  <si>
    <t>R8N76_RS11040</t>
  </si>
  <si>
    <t>glutaminase A</t>
  </si>
  <si>
    <t>glsA</t>
  </si>
  <si>
    <t>WP_001149861.1</t>
  </si>
  <si>
    <t>R8N76_RS11045</t>
  </si>
  <si>
    <t>DUF3969 family protein</t>
  </si>
  <si>
    <t>WP_000766604.1</t>
  </si>
  <si>
    <t>R8N76_RS11050</t>
  </si>
  <si>
    <t>WP_000532409.1</t>
  </si>
  <si>
    <t>R8N76_RS11055</t>
  </si>
  <si>
    <t>manganese efflux pump</t>
  </si>
  <si>
    <t>WP_000100722.1</t>
  </si>
  <si>
    <t>R8N76_RS11060</t>
  </si>
  <si>
    <t>WP_001123715.1</t>
  </si>
  <si>
    <t>R8N76_RS11065</t>
  </si>
  <si>
    <t>acetylornithine deacetylase</t>
  </si>
  <si>
    <t>WP_100655091.1</t>
  </si>
  <si>
    <t>R8N76_RS11070</t>
  </si>
  <si>
    <t>WP_000981867.1</t>
  </si>
  <si>
    <t>R8N76_RS11075</t>
  </si>
  <si>
    <t>biotin/lipoyl-containing protein</t>
  </si>
  <si>
    <t>WP_000859480.1</t>
  </si>
  <si>
    <t>R8N76_RS11080</t>
  </si>
  <si>
    <t>sigma-54-dependent Fis family transcriptional regulator</t>
  </si>
  <si>
    <t>WP_001258445.1</t>
  </si>
  <si>
    <t>R8N76_RS11085</t>
  </si>
  <si>
    <t>WP_000063864.1</t>
  </si>
  <si>
    <t>R8N76_RS11090</t>
  </si>
  <si>
    <t>tRNA pseudouridine(38-40) synthase TruA</t>
  </si>
  <si>
    <t>truA</t>
  </si>
  <si>
    <t>WP_000553118.1</t>
  </si>
  <si>
    <t>R8N76_RS11095</t>
  </si>
  <si>
    <t>S-layer protein</t>
  </si>
  <si>
    <t>WP_000758930.1</t>
  </si>
  <si>
    <t>R8N76_RS11100</t>
  </si>
  <si>
    <t>23S rRNA (uracil(1939)-C(5))-methyltransferase RlmD</t>
  </si>
  <si>
    <t>rlmD</t>
  </si>
  <si>
    <t>WP_000615208.1</t>
  </si>
  <si>
    <t>R8N76_RS11105</t>
  </si>
  <si>
    <t>WP_000269422.1</t>
  </si>
  <si>
    <t>R8N76_RS11110</t>
  </si>
  <si>
    <t>delta-lactam-biosynthetic de-N-acetylase</t>
  </si>
  <si>
    <t>pdaA</t>
  </si>
  <si>
    <t>WP_000875972.1</t>
  </si>
  <si>
    <t>R8N76_RS11115</t>
  </si>
  <si>
    <t>class I fumarate hydratase</t>
  </si>
  <si>
    <t>fumA</t>
  </si>
  <si>
    <t>WP_000413523.1</t>
  </si>
  <si>
    <t>R8N76_RS11120</t>
  </si>
  <si>
    <t>SE1561 family protein</t>
  </si>
  <si>
    <t>WP_000513558.1</t>
  </si>
  <si>
    <t>R8N76_RS11125</t>
  </si>
  <si>
    <t>radical SAM/CxCxxxxC motif protein YfkAB</t>
  </si>
  <si>
    <t>yfkAB</t>
  </si>
  <si>
    <t>WP_000156016.1</t>
  </si>
  <si>
    <t>R8N76_RS11130</t>
  </si>
  <si>
    <t>YfkD famly protein</t>
  </si>
  <si>
    <t>WP_002083605.1</t>
  </si>
  <si>
    <t>R8N76_RS11135</t>
  </si>
  <si>
    <t>calcium/proton exchanger</t>
  </si>
  <si>
    <t>cax</t>
  </si>
  <si>
    <t>WP_000482137.1</t>
  </si>
  <si>
    <t>R8N76_RS11140</t>
  </si>
  <si>
    <t>WP_000550220.1</t>
  </si>
  <si>
    <t>R8N76_RS11145</t>
  </si>
  <si>
    <t>BH0509 family protein</t>
  </si>
  <si>
    <t>WP_000817786.1</t>
  </si>
  <si>
    <t>R8N76_RS11150</t>
  </si>
  <si>
    <t>WP_000100295.1</t>
  </si>
  <si>
    <t>R8N76_RS11155</t>
  </si>
  <si>
    <t>WP_000434872.1</t>
  </si>
  <si>
    <t>R8N76_RS11160</t>
  </si>
  <si>
    <t>lipopolysaccharide assembly protein LapB</t>
  </si>
  <si>
    <t>WP_000151416.1</t>
  </si>
  <si>
    <t>R8N76_RS11165</t>
  </si>
  <si>
    <t>WP_000983306.1</t>
  </si>
  <si>
    <t>R8N76_RS11170</t>
  </si>
  <si>
    <t>lysoplasmalogenase</t>
  </si>
  <si>
    <t>WP_001051080.1</t>
  </si>
  <si>
    <t>R8N76_RS11175</t>
  </si>
  <si>
    <t>WP_000845702.1</t>
  </si>
  <si>
    <t>R8N76_RS11180</t>
  </si>
  <si>
    <t>WP_001083755.1</t>
  </si>
  <si>
    <t>R8N76_RS11185</t>
  </si>
  <si>
    <t>YihY/virulence factor BrkB family protein</t>
  </si>
  <si>
    <t>WP_001226536.1</t>
  </si>
  <si>
    <t>R8N76_RS11190</t>
  </si>
  <si>
    <t>DUF4075 domain-containing protein</t>
  </si>
  <si>
    <t>WP_001085389.1</t>
  </si>
  <si>
    <t>R8N76_RS11195</t>
  </si>
  <si>
    <t>low molecular weight protein-tyrosine-phosphatase</t>
  </si>
  <si>
    <t>WP_000250917.1</t>
  </si>
  <si>
    <t>R8N76_RS11200</t>
  </si>
  <si>
    <t>DUF1128 domain-containing protein</t>
  </si>
  <si>
    <t>WP_000366196.1</t>
  </si>
  <si>
    <t>R8N76_RS11205</t>
  </si>
  <si>
    <t>cation-translocating P-type ATPase</t>
  </si>
  <si>
    <t>WP_000073726.1</t>
  </si>
  <si>
    <t>R8N76_RS11210</t>
  </si>
  <si>
    <t>WP_001064409.1</t>
  </si>
  <si>
    <t>R8N76_RS11215</t>
  </si>
  <si>
    <t>YceG family protein</t>
  </si>
  <si>
    <t>WP_000492858.1</t>
  </si>
  <si>
    <t>R8N76_RS11220</t>
  </si>
  <si>
    <t>WP_000025704.1</t>
  </si>
  <si>
    <t>R8N76_RS11225</t>
  </si>
  <si>
    <t>TerD family protein</t>
  </si>
  <si>
    <t>WP_000236643.1</t>
  </si>
  <si>
    <t>R8N76_RS11230</t>
  </si>
  <si>
    <t>WP_000146726.1</t>
  </si>
  <si>
    <t>R8N76_RS11235</t>
  </si>
  <si>
    <t>WP_001121595.1</t>
  </si>
  <si>
    <t>R8N76_RS11240</t>
  </si>
  <si>
    <t>ROK family protein</t>
  </si>
  <si>
    <t>WP_000666119.1</t>
  </si>
  <si>
    <t>R8N76_RS11245</t>
  </si>
  <si>
    <t>WP_113732211.1</t>
  </si>
  <si>
    <t>R8N76_RS11250</t>
  </si>
  <si>
    <t>proline--tRNA ligase</t>
  </si>
  <si>
    <t>proS</t>
  </si>
  <si>
    <t>WP_001040972.1</t>
  </si>
  <si>
    <t>R8N76_RS11255</t>
  </si>
  <si>
    <t>YesK-like family protein</t>
  </si>
  <si>
    <t>WP_000383850.1</t>
  </si>
  <si>
    <t>R8N76_RS11260</t>
  </si>
  <si>
    <t>ectonucleotide pyrophosphatase/phosphodiesterase</t>
  </si>
  <si>
    <t>WP_000356410.1</t>
  </si>
  <si>
    <t>R8N76_RS11265</t>
  </si>
  <si>
    <t>WP_000738812.1</t>
  </si>
  <si>
    <t>R8N76_RS11270</t>
  </si>
  <si>
    <t>WP_002023181.1</t>
  </si>
  <si>
    <t>R8N76_RS11275</t>
  </si>
  <si>
    <t>WP_000992579.1</t>
  </si>
  <si>
    <t>R8N76_RS11280</t>
  </si>
  <si>
    <t>WP_001254439.1</t>
  </si>
  <si>
    <t>R8N76_RS11285</t>
  </si>
  <si>
    <t>WP_000817981.1</t>
  </si>
  <si>
    <t>R8N76_RS11290</t>
  </si>
  <si>
    <t>WP_000505774.1</t>
  </si>
  <si>
    <t>R8N76_RS11295</t>
  </si>
  <si>
    <t>WP_000206515.1</t>
  </si>
  <si>
    <t>R8N76_RS11300</t>
  </si>
  <si>
    <t>DUF1992 domain-containing protein</t>
  </si>
  <si>
    <t>WP_000382376.1</t>
  </si>
  <si>
    <t>R8N76_RS11305</t>
  </si>
  <si>
    <t>glycosyl hydrolase family 18 protein</t>
  </si>
  <si>
    <t>WP_001257485.1</t>
  </si>
  <si>
    <t>R8N76_RS11310</t>
  </si>
  <si>
    <t>R8N76_RS11315</t>
  </si>
  <si>
    <t>WP_000016088.1</t>
  </si>
  <si>
    <t>R8N76_RS11320</t>
  </si>
  <si>
    <t>WP_000715573.1</t>
  </si>
  <si>
    <t>R8N76_RS11325</t>
  </si>
  <si>
    <t>WP_001057163.1</t>
  </si>
  <si>
    <t>R8N76_RS11330</t>
  </si>
  <si>
    <t>MTH1187 family thiamine-binding protein</t>
  </si>
  <si>
    <t>WP_000082906.1</t>
  </si>
  <si>
    <t>R8N76_RS11335</t>
  </si>
  <si>
    <t>WP_000761478.1</t>
  </si>
  <si>
    <t>R8N76_RS11340</t>
  </si>
  <si>
    <t>WP_000761079.1</t>
  </si>
  <si>
    <t>R8N76_RS11345</t>
  </si>
  <si>
    <t>anaerobic C4-dicarboxylate transporter family protein</t>
  </si>
  <si>
    <t>WP_000498700.1</t>
  </si>
  <si>
    <t>R8N76_RS11350</t>
  </si>
  <si>
    <t>thiamine phosphate synthase</t>
  </si>
  <si>
    <t>thiE</t>
  </si>
  <si>
    <t>WP_000090962.1</t>
  </si>
  <si>
    <t>R8N76_RS11355</t>
  </si>
  <si>
    <t>hydroxyethylthiazole kinase</t>
  </si>
  <si>
    <t>thiM</t>
  </si>
  <si>
    <t>WP_001056115.1</t>
  </si>
  <si>
    <t>R8N76_RS11360</t>
  </si>
  <si>
    <t>WP_000047293.1</t>
  </si>
  <si>
    <t>R8N76_RS11365</t>
  </si>
  <si>
    <t>YhgE/Pip domain-containing protein</t>
  </si>
  <si>
    <t>WP_000810081.1</t>
  </si>
  <si>
    <t>R8N76_RS11370</t>
  </si>
  <si>
    <t>endonuclease/exonuclease/phosphatase family protein</t>
  </si>
  <si>
    <t>WP_000771997.1</t>
  </si>
  <si>
    <t>R8N76_RS11375</t>
  </si>
  <si>
    <t>PTS transporter subunit IIBC</t>
  </si>
  <si>
    <t>WP_000705560.1</t>
  </si>
  <si>
    <t>R8N76_RS11380</t>
  </si>
  <si>
    <t>alpha-glucosidase</t>
  </si>
  <si>
    <t>WP_138920151.1</t>
  </si>
  <si>
    <t>R8N76_RS11385</t>
  </si>
  <si>
    <t>WP_000814899.1</t>
  </si>
  <si>
    <t>R8N76_RS11390</t>
  </si>
  <si>
    <t>WP_000619189.1</t>
  </si>
  <si>
    <t>R8N76_RS11395</t>
  </si>
  <si>
    <t>WP_001081905.1</t>
  </si>
  <si>
    <t>R8N76_RS11400</t>
  </si>
  <si>
    <t>carbamate kinase</t>
  </si>
  <si>
    <t>arcC</t>
  </si>
  <si>
    <t>WP_000113951.1</t>
  </si>
  <si>
    <t>R8N76_RS11405</t>
  </si>
  <si>
    <t>arginine-ornithine antiporter</t>
  </si>
  <si>
    <t>arcD</t>
  </si>
  <si>
    <t>WP_000503412.1</t>
  </si>
  <si>
    <t>R8N76_RS11410</t>
  </si>
  <si>
    <t>ornithine carbamoyltransferase</t>
  </si>
  <si>
    <t>argF</t>
  </si>
  <si>
    <t>WP_000930289.1</t>
  </si>
  <si>
    <t>R8N76_RS11415</t>
  </si>
  <si>
    <t>arginine deiminase</t>
  </si>
  <si>
    <t>arcA</t>
  </si>
  <si>
    <t>WP_000682331.1</t>
  </si>
  <si>
    <t>R8N76_RS11420</t>
  </si>
  <si>
    <t>arginine repressor</t>
  </si>
  <si>
    <t>argR</t>
  </si>
  <si>
    <t>WP_000711826.1</t>
  </si>
  <si>
    <t>R8N76_RS11425</t>
  </si>
  <si>
    <t>R8N76_RS11430</t>
  </si>
  <si>
    <t>R8N76_RS11435</t>
  </si>
  <si>
    <t>WP_000616927.1</t>
  </si>
  <si>
    <t>R8N76_RS11440</t>
  </si>
  <si>
    <t>WP_000823765.1</t>
  </si>
  <si>
    <t>R8N76_RS11445</t>
  </si>
  <si>
    <t>WP_002025246.1</t>
  </si>
  <si>
    <t>R8N76_RS11450</t>
  </si>
  <si>
    <t>acyl-CoA desaturase</t>
  </si>
  <si>
    <t>WP_000661226.1</t>
  </si>
  <si>
    <t>R8N76_RS11455</t>
  </si>
  <si>
    <t>WP_000199987.1</t>
  </si>
  <si>
    <t>R8N76_RS11460</t>
  </si>
  <si>
    <t>aromatic acid/H+ symport family MFS transporter</t>
  </si>
  <si>
    <t>WP_001183086.1</t>
  </si>
  <si>
    <t>R8N76_RS11465</t>
  </si>
  <si>
    <t>nucleotidyltransferase domain-containing protein</t>
  </si>
  <si>
    <t>WP_001208237.1</t>
  </si>
  <si>
    <t>R8N76_RS11470</t>
  </si>
  <si>
    <t>PRK06851 family protein</t>
  </si>
  <si>
    <t>WP_000147460.1</t>
  </si>
  <si>
    <t>R8N76_RS11475</t>
  </si>
  <si>
    <t>cyclase family protein</t>
  </si>
  <si>
    <t>WP_000862987.1</t>
  </si>
  <si>
    <t>R8N76_RS11480</t>
  </si>
  <si>
    <t>WP_000424116.1</t>
  </si>
  <si>
    <t>R8N76_RS11485</t>
  </si>
  <si>
    <t>WP_001046103.1</t>
  </si>
  <si>
    <t>R8N76_RS11490</t>
  </si>
  <si>
    <t>WP_000434719.1</t>
  </si>
  <si>
    <t>R8N76_RS11495</t>
  </si>
  <si>
    <t>WP_001004284.1</t>
  </si>
  <si>
    <t>R8N76_RS11500</t>
  </si>
  <si>
    <t>spore coat protein B</t>
  </si>
  <si>
    <t>WP_000432509.1</t>
  </si>
  <si>
    <t>R8N76_RS11505</t>
  </si>
  <si>
    <t>WP_000051525.1</t>
  </si>
  <si>
    <t>R8N76_RS11510</t>
  </si>
  <si>
    <t>WP_002025240.1</t>
  </si>
  <si>
    <t>R8N76_RS11515</t>
  </si>
  <si>
    <t>WP_000235476.1</t>
  </si>
  <si>
    <t>R8N76_RS11520</t>
  </si>
  <si>
    <t>WP_001078299.1</t>
  </si>
  <si>
    <t>R8N76_RS11525</t>
  </si>
  <si>
    <t>iron-hydroxamate ABC transporter substrate-binding protein</t>
  </si>
  <si>
    <t>WP_000732597.1</t>
  </si>
  <si>
    <t>R8N76_RS11530</t>
  </si>
  <si>
    <t>WP_002025239.1</t>
  </si>
  <si>
    <t>R8N76_RS11535</t>
  </si>
  <si>
    <t>WP_000983751.1</t>
  </si>
  <si>
    <t>R8N76_RS11540</t>
  </si>
  <si>
    <t>L-fuculose-phosphate aldolase</t>
  </si>
  <si>
    <t>WP_000926557.1</t>
  </si>
  <si>
    <t>R8N76_RS11545</t>
  </si>
  <si>
    <t>S-methyl-5-thioribose-1-phosphate isomerase</t>
  </si>
  <si>
    <t>mtnA</t>
  </si>
  <si>
    <t>WP_002025237.1</t>
  </si>
  <si>
    <t>R8N76_RS11550</t>
  </si>
  <si>
    <t>S-methyl-5-thioribose kinase</t>
  </si>
  <si>
    <t>mtnK</t>
  </si>
  <si>
    <t>WP_000033222.1</t>
  </si>
  <si>
    <t>R8N76_RS11555</t>
  </si>
  <si>
    <t>alkyl hydroperoxide reductase subunit C</t>
  </si>
  <si>
    <t>ahpC</t>
  </si>
  <si>
    <t>WP_000924420.1</t>
  </si>
  <si>
    <t>R8N76_RS11560</t>
  </si>
  <si>
    <t>alkyl hydroperoxide reductase subunit F</t>
  </si>
  <si>
    <t>ahpF</t>
  </si>
  <si>
    <t>WP_000599501.1</t>
  </si>
  <si>
    <t>R8N76_RS11565</t>
  </si>
  <si>
    <t>cyclopropane-fatty-acyl-phospholipid synthase family protein</t>
  </si>
  <si>
    <t>WP_001005627.1</t>
  </si>
  <si>
    <t>R8N76_RS11570</t>
  </si>
  <si>
    <t>M20 peptidase aminoacylase family protein</t>
  </si>
  <si>
    <t>WP_000853516.1</t>
  </si>
  <si>
    <t>R8N76_RS11575</t>
  </si>
  <si>
    <t>WP_000711525.1</t>
  </si>
  <si>
    <t>R8N76_RS11580</t>
  </si>
  <si>
    <t>WP_000972814.1</t>
  </si>
  <si>
    <t>R8N76_RS11585</t>
  </si>
  <si>
    <t>mandelate racemase/muconate lactonizing enzyme family protein</t>
  </si>
  <si>
    <t>WP_000704492.1</t>
  </si>
  <si>
    <t>R8N76_RS11590</t>
  </si>
  <si>
    <t>WP_000217578.1</t>
  </si>
  <si>
    <t>R8N76_RS11595</t>
  </si>
  <si>
    <t>WP_000233742.1</t>
  </si>
  <si>
    <t>R8N76_RS11600</t>
  </si>
  <si>
    <t>DUF1456 family protein</t>
  </si>
  <si>
    <t>WP_001251731.1</t>
  </si>
  <si>
    <t>R8N76_RS11605</t>
  </si>
  <si>
    <t>WP_000995851.1</t>
  </si>
  <si>
    <t>R8N76_RS11610</t>
  </si>
  <si>
    <t>WP_000756602.1</t>
  </si>
  <si>
    <t>R8N76_RS11615</t>
  </si>
  <si>
    <t>tRNA-dihydrouridine synthase</t>
  </si>
  <si>
    <t>WP_000566703.1</t>
  </si>
  <si>
    <t>R8N76_RS11620</t>
  </si>
  <si>
    <t>WP_000105019.1</t>
  </si>
  <si>
    <t>R8N76_RS11625</t>
  </si>
  <si>
    <t>WP_001200484.1</t>
  </si>
  <si>
    <t>R8N76_RS11630</t>
  </si>
  <si>
    <t>WP_000875593.1</t>
  </si>
  <si>
    <t>R8N76_RS11635</t>
  </si>
  <si>
    <t>WP_000643592.1</t>
  </si>
  <si>
    <t>R8N76_RS11640</t>
  </si>
  <si>
    <t>WP_001233729.1</t>
  </si>
  <si>
    <t>R8N76_RS11645</t>
  </si>
  <si>
    <t>WP_000007349.1</t>
  </si>
  <si>
    <t>R8N76_RS11650</t>
  </si>
  <si>
    <t>WP_000915110.1</t>
  </si>
  <si>
    <t>R8N76_RS11655</t>
  </si>
  <si>
    <t>WP_000263262.1</t>
  </si>
  <si>
    <t>R8N76_RS11660</t>
  </si>
  <si>
    <t>NADP-dependent succinate-semialdehyde dehydrogenase</t>
  </si>
  <si>
    <t>gabD</t>
  </si>
  <si>
    <t>WP_000358132.1</t>
  </si>
  <si>
    <t>R8N76_RS11665</t>
  </si>
  <si>
    <t>WP_000225134.1</t>
  </si>
  <si>
    <t>R8N76_RS11670</t>
  </si>
  <si>
    <t>4-aminobutyrate--2-oxoglutarate transaminase</t>
  </si>
  <si>
    <t>gabT</t>
  </si>
  <si>
    <t>WP_033685433.1</t>
  </si>
  <si>
    <t>R8N76_RS11675</t>
  </si>
  <si>
    <t>WP_000416671.1</t>
  </si>
  <si>
    <t>R8N76_RS11680</t>
  </si>
  <si>
    <t>diacylglycerol kinase</t>
  </si>
  <si>
    <t>WP_000977679.1</t>
  </si>
  <si>
    <t>R8N76_RS11685</t>
  </si>
  <si>
    <t>Asp-tRNA(Asn)/Glu-tRNA(Gln) amidotransferase subunit GatB</t>
  </si>
  <si>
    <t>gatB</t>
  </si>
  <si>
    <t>WP_001047685.1</t>
  </si>
  <si>
    <t>R8N76_RS11690</t>
  </si>
  <si>
    <t>Asp-tRNA(Asn)/Glu-tRNA(Gln) amidotransferase subunit GatA</t>
  </si>
  <si>
    <t>gatA</t>
  </si>
  <si>
    <t>WP_000051433.1</t>
  </si>
  <si>
    <t>R8N76_RS11695</t>
  </si>
  <si>
    <t>Asp-tRNA(Asn)/Glu-tRNA(Gln) amidotransferase subunit GatC</t>
  </si>
  <si>
    <t>gatC</t>
  </si>
  <si>
    <t>WP_000086999.1</t>
  </si>
  <si>
    <t>R8N76_RS11700</t>
  </si>
  <si>
    <t>YiaA/YiaB family inner membrane protein</t>
  </si>
  <si>
    <t>WP_001254393.1</t>
  </si>
  <si>
    <t>R8N76_RS11705</t>
  </si>
  <si>
    <t>MetQ/NlpA family ABC transporter substrate-binding protein</t>
  </si>
  <si>
    <t>WP_033685432.1</t>
  </si>
  <si>
    <t>R8N76_RS11710</t>
  </si>
  <si>
    <t>methionine ABC transporter permease</t>
  </si>
  <si>
    <t>WP_001261865.1</t>
  </si>
  <si>
    <t>R8N76_RS11715</t>
  </si>
  <si>
    <t>methionine ABC transporter ATP-binding protein</t>
  </si>
  <si>
    <t>WP_000622962.1</t>
  </si>
  <si>
    <t>R8N76_RS11720</t>
  </si>
  <si>
    <t>R8N76_RS11725</t>
  </si>
  <si>
    <t>L-glutamate gamma-semialdehyde dehydrogenase</t>
  </si>
  <si>
    <t>pruA</t>
  </si>
  <si>
    <t>WP_000259555.1</t>
  </si>
  <si>
    <t>R8N76_RS11730</t>
  </si>
  <si>
    <t>WP_000391974.1</t>
  </si>
  <si>
    <t>R8N76_RS11735</t>
  </si>
  <si>
    <t>CamS family sex pheromone protein</t>
  </si>
  <si>
    <t>WP_000717031.1</t>
  </si>
  <si>
    <t>R8N76_RS11740</t>
  </si>
  <si>
    <t>NAD-dependent DNA ligase LigA</t>
  </si>
  <si>
    <t>ligA</t>
  </si>
  <si>
    <t>WP_000031450.1</t>
  </si>
  <si>
    <t>R8N76_RS11745</t>
  </si>
  <si>
    <t>DNA helicase PcrA</t>
  </si>
  <si>
    <t>pcrA</t>
  </si>
  <si>
    <t>WP_002164784.1</t>
  </si>
  <si>
    <t>R8N76_RS11750</t>
  </si>
  <si>
    <t>heptaprenylglyceryl phosphate synthase</t>
  </si>
  <si>
    <t>WP_000272099.1</t>
  </si>
  <si>
    <t>R8N76_RS11755</t>
  </si>
  <si>
    <t>DUF2892 domain-containing protein</t>
  </si>
  <si>
    <t>WP_000812346.1</t>
  </si>
  <si>
    <t>R8N76_RS11760</t>
  </si>
  <si>
    <t>WP_000660669.1</t>
  </si>
  <si>
    <t>R8N76_RS11765</t>
  </si>
  <si>
    <t>toxin-antitoxin system HicB family antitoxin</t>
  </si>
  <si>
    <t>WP_001085171.1</t>
  </si>
  <si>
    <t>R8N76_RS11770</t>
  </si>
  <si>
    <t>phosphoribosylamine--glycine ligase</t>
  </si>
  <si>
    <t>purD</t>
  </si>
  <si>
    <t>WP_001101962.1</t>
  </si>
  <si>
    <t>R8N76_RS11775</t>
  </si>
  <si>
    <t>bifunctional phosphoribosylaminoimidazolecarboxamide formyltransferase/IMP cyclohydrolase</t>
  </si>
  <si>
    <t>purH</t>
  </si>
  <si>
    <t>WP_000745439.1</t>
  </si>
  <si>
    <t>R8N76_RS11780</t>
  </si>
  <si>
    <t>phosphoribosylglycinamide formyltransferase</t>
  </si>
  <si>
    <t>purN</t>
  </si>
  <si>
    <t>WP_000088589.1</t>
  </si>
  <si>
    <t>R8N76_RS11785</t>
  </si>
  <si>
    <t>phosphoribosylformylglycinamidine cyclo-ligase</t>
  </si>
  <si>
    <t>purM</t>
  </si>
  <si>
    <t>WP_001262439.1</t>
  </si>
  <si>
    <t>R8N76_RS11790</t>
  </si>
  <si>
    <t>amidophosphoribosyltransferase</t>
  </si>
  <si>
    <t>purF</t>
  </si>
  <si>
    <t>WP_000879025.1</t>
  </si>
  <si>
    <t>R8N76_RS11795</t>
  </si>
  <si>
    <t>phosphoribosylformylglycinamidine synthase II</t>
  </si>
  <si>
    <t>purL</t>
  </si>
  <si>
    <t>WP_000055555.1</t>
  </si>
  <si>
    <t>R8N76_RS11800</t>
  </si>
  <si>
    <t>phosphoribosylformylglycinamidine synthase subunit PurQ</t>
  </si>
  <si>
    <t>purQ</t>
  </si>
  <si>
    <t>WP_000666774.1</t>
  </si>
  <si>
    <t>R8N76_RS11805</t>
  </si>
  <si>
    <t>phosphoribosylformylglycinamidine synthase subunit PurS</t>
  </si>
  <si>
    <t>purS</t>
  </si>
  <si>
    <t>WP_000278823.1</t>
  </si>
  <si>
    <t>R8N76_RS11810</t>
  </si>
  <si>
    <t>phosphoribosylaminoimidazolesuccinocarboxamide synthase</t>
  </si>
  <si>
    <t>purC</t>
  </si>
  <si>
    <t>WP_001170544.1</t>
  </si>
  <si>
    <t>R8N76_RS11815</t>
  </si>
  <si>
    <t>adenylosuccinate lyase</t>
  </si>
  <si>
    <t>purB</t>
  </si>
  <si>
    <t>WP_000625682.1</t>
  </si>
  <si>
    <t>R8N76_RS11820</t>
  </si>
  <si>
    <t>5-(carboxyamino)imidazole ribonucleotide synthase</t>
  </si>
  <si>
    <t>purK</t>
  </si>
  <si>
    <t>WP_000196775.1</t>
  </si>
  <si>
    <t>R8N76_RS11825</t>
  </si>
  <si>
    <t>5-(carboxyamino)imidazole ribonucleotide mutase</t>
  </si>
  <si>
    <t>purE</t>
  </si>
  <si>
    <t>WP_000839365.1</t>
  </si>
  <si>
    <t>R8N76_RS11830</t>
  </si>
  <si>
    <t>WP_078214846.1</t>
  </si>
  <si>
    <t>R8N76_RS11835</t>
  </si>
  <si>
    <t>R8N76_RS11840</t>
  </si>
  <si>
    <t>R8N76_RS11845</t>
  </si>
  <si>
    <t>R8N76_RS11850</t>
  </si>
  <si>
    <t>sulfotransferase family 2 domain-containing protein</t>
  </si>
  <si>
    <t>WP_000483018.1</t>
  </si>
  <si>
    <t>R8N76_RS11855</t>
  </si>
  <si>
    <t>WP_000658271.1</t>
  </si>
  <si>
    <t>R8N76_RS11860</t>
  </si>
  <si>
    <t>R8N76_RS11865</t>
  </si>
  <si>
    <t>R8N76_RS11870</t>
  </si>
  <si>
    <t>R8N76_RS11875</t>
  </si>
  <si>
    <t>WP_000558370.1</t>
  </si>
  <si>
    <t>R8N76_RS11880</t>
  </si>
  <si>
    <t>WP_000651232.1</t>
  </si>
  <si>
    <t>R8N76_RS11885</t>
  </si>
  <si>
    <t>NAD-dependent epimerase/dehydratase family protein</t>
  </si>
  <si>
    <t>WP_001230819.1</t>
  </si>
  <si>
    <t>R8N76_RS11890</t>
  </si>
  <si>
    <t>WP_000790044.1</t>
  </si>
  <si>
    <t>R8N76_RS11895</t>
  </si>
  <si>
    <t>WP_000405125.1</t>
  </si>
  <si>
    <t>R8N76_RS11900</t>
  </si>
  <si>
    <t>WP_001031897.1</t>
  </si>
  <si>
    <t>R8N76_RS11905</t>
  </si>
  <si>
    <t>glycoside hydrolase family 99-like domain-containing protein</t>
  </si>
  <si>
    <t>WP_000690976.1</t>
  </si>
  <si>
    <t>R8N76_RS11910</t>
  </si>
  <si>
    <t>R8N76_RS11915</t>
  </si>
  <si>
    <t>R8N76_RS11920</t>
  </si>
  <si>
    <t>R8N76_RS11925</t>
  </si>
  <si>
    <t>WP_000687954.1</t>
  </si>
  <si>
    <t>R8N76_RS11930</t>
  </si>
  <si>
    <t>WP_000723973.1</t>
  </si>
  <si>
    <t>R8N76_RS11935</t>
  </si>
  <si>
    <t>R8N76_RS11940</t>
  </si>
  <si>
    <t>R8N76_RS11945</t>
  </si>
  <si>
    <t>R8N76_RS11950</t>
  </si>
  <si>
    <t>ampS</t>
  </si>
  <si>
    <t>R8N76_RS11955</t>
  </si>
  <si>
    <t>R8N76_RS11960</t>
  </si>
  <si>
    <t>glutamine-hydrolyzing GMP synthase</t>
  </si>
  <si>
    <t>guaA</t>
  </si>
  <si>
    <t>WP_000743924.1</t>
  </si>
  <si>
    <t>R8N76_RS11965</t>
  </si>
  <si>
    <t>chaperonin GroEL</t>
  </si>
  <si>
    <t>groL</t>
  </si>
  <si>
    <t>WP_001029993.1</t>
  </si>
  <si>
    <t>R8N76_RS11970</t>
  </si>
  <si>
    <t>co-chaperone GroES</t>
  </si>
  <si>
    <t>groES</t>
  </si>
  <si>
    <t>WP_000917311.1</t>
  </si>
  <si>
    <t>R8N76_RS11975</t>
  </si>
  <si>
    <t>WP_000745324.1</t>
  </si>
  <si>
    <t>R8N76_RS11980</t>
  </si>
  <si>
    <t>YdiK family protein</t>
  </si>
  <si>
    <t>WP_001246201.1</t>
  </si>
  <si>
    <t>R8N76_RS11985</t>
  </si>
  <si>
    <t>redox-sensing transcriptional repressor Rex</t>
  </si>
  <si>
    <t>WP_000372699.1</t>
  </si>
  <si>
    <t>R8N76_RS11990</t>
  </si>
  <si>
    <t>WP_000602153.1</t>
  </si>
  <si>
    <t>R8N76_RS11995</t>
  </si>
  <si>
    <t>tRNA (adenosine(37)-N6)-threonylcarbamoyltransferase complex transferase subunit TsaD</t>
  </si>
  <si>
    <t>tsaD</t>
  </si>
  <si>
    <t>WP_000414585.1</t>
  </si>
  <si>
    <t>R8N76_RS12000</t>
  </si>
  <si>
    <t>ribosomal protein S18-alanine N-acetyltransferase</t>
  </si>
  <si>
    <t>rimI</t>
  </si>
  <si>
    <t>WP_000367190.1</t>
  </si>
  <si>
    <t>R8N76_RS12005</t>
  </si>
  <si>
    <t>tRNA (adenosine(37)-N6)-threonylcarbamoyltransferase complex dimerization subunit type 1 TsaB</t>
  </si>
  <si>
    <t>tsaB</t>
  </si>
  <si>
    <t>WP_000865740.1</t>
  </si>
  <si>
    <t>R8N76_RS12010</t>
  </si>
  <si>
    <t>tRNA (adenosine(37)-N6)-threonylcarbamoyltransferase complex ATPase subunit type 1 TsaE</t>
  </si>
  <si>
    <t>tsaE</t>
  </si>
  <si>
    <t>WP_000049642.1</t>
  </si>
  <si>
    <t>R8N76_RS12015</t>
  </si>
  <si>
    <t>R8N76_RS12020</t>
  </si>
  <si>
    <t>R8N76_RS12025</t>
  </si>
  <si>
    <t>R8N76_RS12030</t>
  </si>
  <si>
    <t>R8N76_RS12035</t>
  </si>
  <si>
    <t>R8N76_RS12040</t>
  </si>
  <si>
    <t>R8N76_RS12045</t>
  </si>
  <si>
    <t>R8N76_RS12050</t>
  </si>
  <si>
    <t>R8N76_RS12055</t>
  </si>
  <si>
    <t>R8N76_RS12060</t>
  </si>
  <si>
    <t>R8N76_RS12065</t>
  </si>
  <si>
    <t>R8N76_RS12070</t>
  </si>
  <si>
    <t>R8N76_RS12075</t>
  </si>
  <si>
    <t>R8N76_RS12080</t>
  </si>
  <si>
    <t>R8N76_RS12085</t>
  </si>
  <si>
    <t>R8N76_RS12090</t>
  </si>
  <si>
    <t>R8N76_RS12095</t>
  </si>
  <si>
    <t>R8N76_RS12100</t>
  </si>
  <si>
    <t>SprT family protein</t>
  </si>
  <si>
    <t>WP_000344231.1</t>
  </si>
  <si>
    <t>R8N76_RS12105</t>
  </si>
  <si>
    <t>cortex morphogenetic protein CmpA</t>
  </si>
  <si>
    <t>cmpA</t>
  </si>
  <si>
    <t>WP_001143642.1</t>
  </si>
  <si>
    <t>R8N76_RS12110</t>
  </si>
  <si>
    <t>Tex family protein</t>
  </si>
  <si>
    <t>WP_000426242.1</t>
  </si>
  <si>
    <t>R8N76_RS12115</t>
  </si>
  <si>
    <t>type II toxin-antitoxin system endoribonuclease NdoA</t>
  </si>
  <si>
    <t>ndoA</t>
  </si>
  <si>
    <t>WP_000635963.1</t>
  </si>
  <si>
    <t>R8N76_RS12120</t>
  </si>
  <si>
    <t>antitoxin EndoAI</t>
  </si>
  <si>
    <t>WP_000004570.1</t>
  </si>
  <si>
    <t>R8N76_RS12125</t>
  </si>
  <si>
    <t>WP_000390615.1</t>
  </si>
  <si>
    <t>R8N76_RS12130</t>
  </si>
  <si>
    <t>outer membrane lipoprotein carrier protein LolA</t>
  </si>
  <si>
    <t>WP_002004297.1</t>
  </si>
  <si>
    <t>R8N76_RS12135</t>
  </si>
  <si>
    <t>holo-ACP synthase</t>
  </si>
  <si>
    <t>acpS</t>
  </si>
  <si>
    <t>WP_000583416.1</t>
  </si>
  <si>
    <t>R8N76_RS12140</t>
  </si>
  <si>
    <t>rhomboid family intramembrane serine protease</t>
  </si>
  <si>
    <t>WP_000908523.1</t>
  </si>
  <si>
    <t>R8N76_RS12145</t>
  </si>
  <si>
    <t>UV DNA damage repair endonuclease UvsE</t>
  </si>
  <si>
    <t>uvsE</t>
  </si>
  <si>
    <t>WP_000961166.1</t>
  </si>
  <si>
    <t>R8N76_RS12150</t>
  </si>
  <si>
    <t>WP_000206592.1</t>
  </si>
  <si>
    <t>R8N76_RS12155</t>
  </si>
  <si>
    <t>UDP-N-acetylmuramoyl-tripeptide--D-alanyl-D-alanine ligase</t>
  </si>
  <si>
    <t>murF</t>
  </si>
  <si>
    <t>WP_000595957.1</t>
  </si>
  <si>
    <t>R8N76_RS12160</t>
  </si>
  <si>
    <t>WP_000161427.1</t>
  </si>
  <si>
    <t>R8N76_RS12165</t>
  </si>
  <si>
    <t>WP_000799718.1</t>
  </si>
  <si>
    <t>R8N76_RS12170</t>
  </si>
  <si>
    <t>WP_000809372.1</t>
  </si>
  <si>
    <t>R8N76_RS12175</t>
  </si>
  <si>
    <t>homogentisate 1,2-dioxygenase</t>
  </si>
  <si>
    <t>WP_013141710.1</t>
  </si>
  <si>
    <t>R8N76_RS12180</t>
  </si>
  <si>
    <t>WP_000674004.1</t>
  </si>
  <si>
    <t>R8N76_RS12185</t>
  </si>
  <si>
    <t>4-hydroxyphenylpyruvate dioxygenase</t>
  </si>
  <si>
    <t>hppD</t>
  </si>
  <si>
    <t>WP_000810922.1</t>
  </si>
  <si>
    <t>R8N76_RS12190</t>
  </si>
  <si>
    <t>DUF3948 family protein</t>
  </si>
  <si>
    <t>WP_001083692.1</t>
  </si>
  <si>
    <t>R8N76_RS12195</t>
  </si>
  <si>
    <t>WP_000664237.1</t>
  </si>
  <si>
    <t>R8N76_RS12200</t>
  </si>
  <si>
    <t>WP_000654250.1</t>
  </si>
  <si>
    <t>R8N76_RS12205</t>
  </si>
  <si>
    <t>R8N76_RS12210</t>
  </si>
  <si>
    <t>R8N76_RS12215</t>
  </si>
  <si>
    <t>WP_000766420.1</t>
  </si>
  <si>
    <t>R8N76_RS12220</t>
  </si>
  <si>
    <t>WP_001294518.1</t>
  </si>
  <si>
    <t>R8N76_RS12225</t>
  </si>
  <si>
    <t>WP_000030789.1</t>
  </si>
  <si>
    <t>R8N76_RS12230</t>
  </si>
  <si>
    <t>opp4C</t>
  </si>
  <si>
    <t>WP_000451077.1</t>
  </si>
  <si>
    <t>R8N76_RS12235</t>
  </si>
  <si>
    <t>WP_000860749.1</t>
  </si>
  <si>
    <t>R8N76_RS12240</t>
  </si>
  <si>
    <t>WP_000730693.1</t>
  </si>
  <si>
    <t>R8N76_RS12245</t>
  </si>
  <si>
    <t>WP_000369254.1</t>
  </si>
  <si>
    <t>R8N76_RS12250</t>
  </si>
  <si>
    <t>ribosomal protection-like ABC-F family protein</t>
  </si>
  <si>
    <t>WP_002195117.1</t>
  </si>
  <si>
    <t>R8N76_RS12255</t>
  </si>
  <si>
    <t>RAxF-45 family protein</t>
  </si>
  <si>
    <t>WP_000830643.1</t>
  </si>
  <si>
    <t>R8N76_RS12260</t>
  </si>
  <si>
    <t>WP_002023099.1</t>
  </si>
  <si>
    <t>R8N76_RS12265</t>
  </si>
  <si>
    <t>DUF4931 domain-containing protein</t>
  </si>
  <si>
    <t>WP_000381025.1</t>
  </si>
  <si>
    <t>R8N76_RS12270</t>
  </si>
  <si>
    <t>transglycosylase SLT domain-containing protein</t>
  </si>
  <si>
    <t>WP_000713249.1</t>
  </si>
  <si>
    <t>R8N76_RS12275</t>
  </si>
  <si>
    <t>DUF2334 domain-containing protein</t>
  </si>
  <si>
    <t>WP_000710601.1</t>
  </si>
  <si>
    <t>R8N76_RS12280</t>
  </si>
  <si>
    <t>TatD family hydrolase</t>
  </si>
  <si>
    <t>WP_000871102.1</t>
  </si>
  <si>
    <t>R8N76_RS12285</t>
  </si>
  <si>
    <t>WP_000728422.1</t>
  </si>
  <si>
    <t>R8N76_RS12290</t>
  </si>
  <si>
    <t>WP_000248045.1</t>
  </si>
  <si>
    <t>R8N76_RS12295</t>
  </si>
  <si>
    <t>WP_001004246.1</t>
  </si>
  <si>
    <t>R8N76_RS12300</t>
  </si>
  <si>
    <t>WP_001273903.1</t>
  </si>
  <si>
    <t>R8N76_RS12305</t>
  </si>
  <si>
    <t>WP_001059999.1</t>
  </si>
  <si>
    <t>R8N76_RS12310</t>
  </si>
  <si>
    <t>WP_000277778.1</t>
  </si>
  <si>
    <t>R8N76_RS12315</t>
  </si>
  <si>
    <t>WP_001060007.1</t>
  </si>
  <si>
    <t>R8N76_RS12320</t>
  </si>
  <si>
    <t>YrzO family protein</t>
  </si>
  <si>
    <t>WP_000894065.1</t>
  </si>
  <si>
    <t>R8N76_RS12325</t>
  </si>
  <si>
    <t>WP_002182372.1</t>
  </si>
  <si>
    <t>R8N76_RS12330</t>
  </si>
  <si>
    <t>WP_000423031.1</t>
  </si>
  <si>
    <t>R8N76_RS12335</t>
  </si>
  <si>
    <t>WP_001060017.1</t>
  </si>
  <si>
    <t>R8N76_RS12340</t>
  </si>
  <si>
    <t>WP_033685430.1</t>
  </si>
  <si>
    <t>R8N76_RS12345</t>
  </si>
  <si>
    <t>molybdate ABC transporter substrate-binding protein</t>
  </si>
  <si>
    <t>modA</t>
  </si>
  <si>
    <t>WP_001031846.1</t>
  </si>
  <si>
    <t>R8N76_RS12350</t>
  </si>
  <si>
    <t>molybdate ABC transporter permease subunit</t>
  </si>
  <si>
    <t>modB</t>
  </si>
  <si>
    <t>WP_000020526.1</t>
  </si>
  <si>
    <t>R8N76_RS12355</t>
  </si>
  <si>
    <t>GRP family sugar transporter</t>
  </si>
  <si>
    <t>WP_000353544.1</t>
  </si>
  <si>
    <t>R8N76_RS12360</t>
  </si>
  <si>
    <t>pyrroline-5-carboxylate reductase</t>
  </si>
  <si>
    <t>proC</t>
  </si>
  <si>
    <t>WP_000956251.1</t>
  </si>
  <si>
    <t>R8N76_RS12365</t>
  </si>
  <si>
    <t>WP_000604155.1</t>
  </si>
  <si>
    <t>R8N76_RS12370</t>
  </si>
  <si>
    <t>WP_000726483.1</t>
  </si>
  <si>
    <t>R8N76_RS12375</t>
  </si>
  <si>
    <t>WP_000731086.1</t>
  </si>
  <si>
    <t>R8N76_RS12380</t>
  </si>
  <si>
    <t>WP_000156944.1</t>
  </si>
  <si>
    <t>R8N76_RS12385</t>
  </si>
  <si>
    <t>WP_000922547.1</t>
  </si>
  <si>
    <t>R8N76_RS12390</t>
  </si>
  <si>
    <t>WP_000544202.1</t>
  </si>
  <si>
    <t>R8N76_RS12395</t>
  </si>
  <si>
    <t>YusW family protein</t>
  </si>
  <si>
    <t>WP_001221552.1</t>
  </si>
  <si>
    <t>R8N76_RS12400</t>
  </si>
  <si>
    <t>WP_000714117.1</t>
  </si>
  <si>
    <t>R8N76_RS12405</t>
  </si>
  <si>
    <t>WP_000205674.1</t>
  </si>
  <si>
    <t>R8N76_RS12410</t>
  </si>
  <si>
    <t>WP_000531262.1</t>
  </si>
  <si>
    <t>R8N76_RS12415</t>
  </si>
  <si>
    <t>WP_000501525.1</t>
  </si>
  <si>
    <t>R8N76_RS12420</t>
  </si>
  <si>
    <t>WP_000289311.1</t>
  </si>
  <si>
    <t>R8N76_RS12425</t>
  </si>
  <si>
    <t>WP_000371388.1</t>
  </si>
  <si>
    <t>R8N76_RS12430</t>
  </si>
  <si>
    <t>WP_000756525.1</t>
  </si>
  <si>
    <t>R8N76_RS12435</t>
  </si>
  <si>
    <t>WP_000282859.1</t>
  </si>
  <si>
    <t>R8N76_RS12440</t>
  </si>
  <si>
    <t>multidrug effflux MFS transporter</t>
  </si>
  <si>
    <t>WP_224200803.1</t>
  </si>
  <si>
    <t>R8N76_RS12445</t>
  </si>
  <si>
    <t>DUF3981 domain-containing protein</t>
  </si>
  <si>
    <t>WP_000674040.1</t>
  </si>
  <si>
    <t>R8N76_RS12450</t>
  </si>
  <si>
    <t>WP_000222361.1</t>
  </si>
  <si>
    <t>R8N76_RS12455</t>
  </si>
  <si>
    <t>WP_000746311.1</t>
  </si>
  <si>
    <t>R8N76_RS12460</t>
  </si>
  <si>
    <t>DUF6612 family protein</t>
  </si>
  <si>
    <t>WP_000720580.1</t>
  </si>
  <si>
    <t>R8N76_RS12465</t>
  </si>
  <si>
    <t>NAD(P)-dependent alcohol dehydrogenase</t>
  </si>
  <si>
    <t>WP_000643856.1</t>
  </si>
  <si>
    <t>R8N76_RS12470</t>
  </si>
  <si>
    <t>WP_000756995.1</t>
  </si>
  <si>
    <t>R8N76_RS12475</t>
  </si>
  <si>
    <t>WP_000571370.1</t>
  </si>
  <si>
    <t>R8N76_RS12480</t>
  </si>
  <si>
    <t>WP_000527135.1</t>
  </si>
  <si>
    <t>R8N76_RS12485</t>
  </si>
  <si>
    <t>WP_033684235.1</t>
  </si>
  <si>
    <t>R8N76_RS12490</t>
  </si>
  <si>
    <t>DoxX family membrane protein</t>
  </si>
  <si>
    <t>WP_000236362.1</t>
  </si>
  <si>
    <t>R8N76_RS12495</t>
  </si>
  <si>
    <t>DUF4256 domain-containing protein</t>
  </si>
  <si>
    <t>WP_000147394.1</t>
  </si>
  <si>
    <t>R8N76_RS12500</t>
  </si>
  <si>
    <t>S9 family peptidase</t>
  </si>
  <si>
    <t>WP_000867229.1</t>
  </si>
  <si>
    <t>R8N76_RS12505</t>
  </si>
  <si>
    <t>DUF3994 domain-containing protein</t>
  </si>
  <si>
    <t>WP_011109777.1</t>
  </si>
  <si>
    <t>R8N76_RS12510</t>
  </si>
  <si>
    <t>glutamine--fructose-6-phosphate transaminase (isomerizing)</t>
  </si>
  <si>
    <t>glmS</t>
  </si>
  <si>
    <t>WP_000334164.1</t>
  </si>
  <si>
    <t>R8N76_RS12515</t>
  </si>
  <si>
    <t>WP_001206405.1</t>
  </si>
  <si>
    <t>R8N76_RS12520</t>
  </si>
  <si>
    <t>phosphoglucosamine mutase</t>
  </si>
  <si>
    <t>glmM</t>
  </si>
  <si>
    <t>WP_000521476.1</t>
  </si>
  <si>
    <t>R8N76_RS12525</t>
  </si>
  <si>
    <t>YbbR-like domain-containing protein</t>
  </si>
  <si>
    <t>WP_000359601.1</t>
  </si>
  <si>
    <t>R8N76_RS12530</t>
  </si>
  <si>
    <t>diadenylate cyclase CdaA</t>
  </si>
  <si>
    <t>cdaA</t>
  </si>
  <si>
    <t>WP_001115697.1</t>
  </si>
  <si>
    <t>R8N76_RS12535</t>
  </si>
  <si>
    <t>arginase</t>
  </si>
  <si>
    <t>rocF</t>
  </si>
  <si>
    <t>WP_000711563.1</t>
  </si>
  <si>
    <t>R8N76_RS12540</t>
  </si>
  <si>
    <t>glycerate kinase</t>
  </si>
  <si>
    <t>WP_000869588.1</t>
  </si>
  <si>
    <t>R8N76_RS12545</t>
  </si>
  <si>
    <t>R8N76_RS12550</t>
  </si>
  <si>
    <t>R8N76_RS12555</t>
  </si>
  <si>
    <t>R8N76_RS12560</t>
  </si>
  <si>
    <t>R8N76_RS12565</t>
  </si>
  <si>
    <t>R8N76_RS12570</t>
  </si>
  <si>
    <t>R8N76_RS12575</t>
  </si>
  <si>
    <t>R8N76_RS12580</t>
  </si>
  <si>
    <t>R8N76_RS12585</t>
  </si>
  <si>
    <t>R8N76_RS12590</t>
  </si>
  <si>
    <t>R8N76_RS12595</t>
  </si>
  <si>
    <t>R8N76_RS12600</t>
  </si>
  <si>
    <t>R8N76_RS12605</t>
  </si>
  <si>
    <t>WP_000901147.1</t>
  </si>
  <si>
    <t>R8N76_RS12610</t>
  </si>
  <si>
    <t>polysaccharide deacetylase family sporulation protein PdaB</t>
  </si>
  <si>
    <t>pdaB</t>
  </si>
  <si>
    <t>WP_000464703.1</t>
  </si>
  <si>
    <t>R8N76_RS12615</t>
  </si>
  <si>
    <t>KinB signaling pathway activation protein KbaA</t>
  </si>
  <si>
    <t>kbaA</t>
  </si>
  <si>
    <t>WP_001088527.1</t>
  </si>
  <si>
    <t>R8N76_RS12620</t>
  </si>
  <si>
    <t>spore germination lipoprotein GerD</t>
  </si>
  <si>
    <t>gerD</t>
  </si>
  <si>
    <t>WP_000827295.1</t>
  </si>
  <si>
    <t>R8N76_RS12625</t>
  </si>
  <si>
    <t>Mrp/NBP35 family ATP-binding protein</t>
  </si>
  <si>
    <t>WP_000256628.1</t>
  </si>
  <si>
    <t>R8N76_RS12630</t>
  </si>
  <si>
    <t>N-acetylmuramoyl-L-alanine amidase CwlD</t>
  </si>
  <si>
    <t>cwlD</t>
  </si>
  <si>
    <t>WP_000822439.1</t>
  </si>
  <si>
    <t>R8N76_RS12635</t>
  </si>
  <si>
    <t>DUF2521 family protein</t>
  </si>
  <si>
    <t>WP_001101005.1</t>
  </si>
  <si>
    <t>R8N76_RS12640</t>
  </si>
  <si>
    <t>30S ribosomal protein S9</t>
  </si>
  <si>
    <t>rpsI</t>
  </si>
  <si>
    <t>WP_000079986.1</t>
  </si>
  <si>
    <t>R8N76_RS12645</t>
  </si>
  <si>
    <t>50S ribosomal protein L13</t>
  </si>
  <si>
    <t>rplM</t>
  </si>
  <si>
    <t>WP_001260793.1</t>
  </si>
  <si>
    <t>R8N76_RS12650</t>
  </si>
  <si>
    <t>WP_002164804.1</t>
  </si>
  <si>
    <t>R8N76_RS12655</t>
  </si>
  <si>
    <t>energy-coupling factor transporter transmembrane protein EcfT</t>
  </si>
  <si>
    <t>WP_001186526.1</t>
  </si>
  <si>
    <t>R8N76_RS12660</t>
  </si>
  <si>
    <t>energy-coupling factor ABC transporter ATP-binding protein</t>
  </si>
  <si>
    <t>WP_000406535.1</t>
  </si>
  <si>
    <t>R8N76_RS12665</t>
  </si>
  <si>
    <t>WP_000711757.1</t>
  </si>
  <si>
    <t>R8N76_RS12670</t>
  </si>
  <si>
    <t>50S ribosomal protein L17</t>
  </si>
  <si>
    <t>rplQ</t>
  </si>
  <si>
    <t>WP_000331490.1</t>
  </si>
  <si>
    <t>R8N76_RS12675</t>
  </si>
  <si>
    <t>DNA-directed RNA polymerase subunit alpha</t>
  </si>
  <si>
    <t>WP_000569643.1</t>
  </si>
  <si>
    <t>R8N76_RS12680</t>
  </si>
  <si>
    <t>30S ribosomal protein S11</t>
  </si>
  <si>
    <t>rpsK</t>
  </si>
  <si>
    <t>WP_000101798.1</t>
  </si>
  <si>
    <t>R8N76_RS12685</t>
  </si>
  <si>
    <t>30S ribosomal protein S13</t>
  </si>
  <si>
    <t>rpsM</t>
  </si>
  <si>
    <t>WP_000090788.1</t>
  </si>
  <si>
    <t>R8N76_RS12690</t>
  </si>
  <si>
    <t>50S ribosomal protein L36</t>
  </si>
  <si>
    <t>rpmJ</t>
  </si>
  <si>
    <t>WP_000868344.1</t>
  </si>
  <si>
    <t>R8N76_RS12695</t>
  </si>
  <si>
    <t>translation initiation factor IF-1</t>
  </si>
  <si>
    <t>infA</t>
  </si>
  <si>
    <t>WP_001029884.1</t>
  </si>
  <si>
    <t>R8N76_RS12700</t>
  </si>
  <si>
    <t>map</t>
  </si>
  <si>
    <t>WP_000582539.1</t>
  </si>
  <si>
    <t>R8N76_RS12705</t>
  </si>
  <si>
    <t>adenylate kinase</t>
  </si>
  <si>
    <t>WP_001048989.1</t>
  </si>
  <si>
    <t>R8N76_RS12710</t>
  </si>
  <si>
    <t>preprotein translocase subunit SecY</t>
  </si>
  <si>
    <t>secY</t>
  </si>
  <si>
    <t>WP_000490117.1</t>
  </si>
  <si>
    <t>R8N76_RS12715</t>
  </si>
  <si>
    <t>50S ribosomal protein L15</t>
  </si>
  <si>
    <t>rplO</t>
  </si>
  <si>
    <t>WP_000766081.1</t>
  </si>
  <si>
    <t>R8N76_RS12720</t>
  </si>
  <si>
    <t>50S ribosomal protein L30</t>
  </si>
  <si>
    <t>rpmD</t>
  </si>
  <si>
    <t>WP_001085234.1</t>
  </si>
  <si>
    <t>R8N76_RS12725</t>
  </si>
  <si>
    <t>30S ribosomal protein S5</t>
  </si>
  <si>
    <t>rpsE</t>
  </si>
  <si>
    <t>WP_000554646.1</t>
  </si>
  <si>
    <t>R8N76_RS12730</t>
  </si>
  <si>
    <t>50S ribosomal protein L18</t>
  </si>
  <si>
    <t>rplR</t>
  </si>
  <si>
    <t>WP_000628816.1</t>
  </si>
  <si>
    <t>R8N76_RS12735</t>
  </si>
  <si>
    <t>50S ribosomal protein L6</t>
  </si>
  <si>
    <t>rplF</t>
  </si>
  <si>
    <t>WP_000086558.1</t>
  </si>
  <si>
    <t>R8N76_RS12740</t>
  </si>
  <si>
    <t>30S ribosomal protein S8</t>
  </si>
  <si>
    <t>rpsH</t>
  </si>
  <si>
    <t>WP_000245511.1</t>
  </si>
  <si>
    <t>R8N76_RS12745</t>
  </si>
  <si>
    <t>30S ribosomal protein S14</t>
  </si>
  <si>
    <t>rpsN</t>
  </si>
  <si>
    <t>WP_001085700.1</t>
  </si>
  <si>
    <t>R8N76_RS12750</t>
  </si>
  <si>
    <t>50S ribosomal protein L5</t>
  </si>
  <si>
    <t>rplE</t>
  </si>
  <si>
    <t>WP_001080831.1</t>
  </si>
  <si>
    <t>R8N76_RS12755</t>
  </si>
  <si>
    <t>50S ribosomal protein L24</t>
  </si>
  <si>
    <t>rplX</t>
  </si>
  <si>
    <t>WP_000558200.1</t>
  </si>
  <si>
    <t>R8N76_RS12760</t>
  </si>
  <si>
    <t>50S ribosomal protein L14</t>
  </si>
  <si>
    <t>rplN</t>
  </si>
  <si>
    <t>WP_000615912.1</t>
  </si>
  <si>
    <t>R8N76_RS12765</t>
  </si>
  <si>
    <t>30S ribosomal protein S17</t>
  </si>
  <si>
    <t>rpsQ</t>
  </si>
  <si>
    <t>WP_000004106.1</t>
  </si>
  <si>
    <t>R8N76_RS12770</t>
  </si>
  <si>
    <t>50S ribosomal protein L29</t>
  </si>
  <si>
    <t>rpmC</t>
  </si>
  <si>
    <t>WP_000855718.1</t>
  </si>
  <si>
    <t>R8N76_RS12775</t>
  </si>
  <si>
    <t>50S ribosomal protein L16</t>
  </si>
  <si>
    <t>rplP</t>
  </si>
  <si>
    <t>WP_000928969.1</t>
  </si>
  <si>
    <t>R8N76_RS12780</t>
  </si>
  <si>
    <t>30S ribosomal protein S3</t>
  </si>
  <si>
    <t>rpsC</t>
  </si>
  <si>
    <t>WP_000529956.1</t>
  </si>
  <si>
    <t>R8N76_RS12785</t>
  </si>
  <si>
    <t>50S ribosomal protein L22</t>
  </si>
  <si>
    <t>rplV</t>
  </si>
  <si>
    <t>WP_001148024.1</t>
  </si>
  <si>
    <t>R8N76_RS12790</t>
  </si>
  <si>
    <t>30S ribosomal protein S19</t>
  </si>
  <si>
    <t>rpsS</t>
  </si>
  <si>
    <t>WP_000124454.1</t>
  </si>
  <si>
    <t>R8N76_RS12795</t>
  </si>
  <si>
    <t>50S ribosomal protein L2</t>
  </si>
  <si>
    <t>rplB</t>
  </si>
  <si>
    <t>WP_000511583.1</t>
  </si>
  <si>
    <t>R8N76_RS12800</t>
  </si>
  <si>
    <t>50S ribosomal protein L23</t>
  </si>
  <si>
    <t>rplW</t>
  </si>
  <si>
    <t>WP_001205558.1</t>
  </si>
  <si>
    <t>R8N76_RS12805</t>
  </si>
  <si>
    <t>50S ribosomal protein L4</t>
  </si>
  <si>
    <t>rplD</t>
  </si>
  <si>
    <t>WP_001127258.1</t>
  </si>
  <si>
    <t>R8N76_RS12810</t>
  </si>
  <si>
    <t>50S ribosomal protein L3</t>
  </si>
  <si>
    <t>rplC</t>
  </si>
  <si>
    <t>WP_000160207.1</t>
  </si>
  <si>
    <t>R8N76_RS12815</t>
  </si>
  <si>
    <t>30S ribosomal protein S10</t>
  </si>
  <si>
    <t>rpsJ</t>
  </si>
  <si>
    <t>WP_001040596.1</t>
  </si>
  <si>
    <t>R8N76_RS12820</t>
  </si>
  <si>
    <t>elongation factor Tu</t>
  </si>
  <si>
    <t>tuf</t>
  </si>
  <si>
    <t>WP_001029614.1</t>
  </si>
  <si>
    <t>R8N76_RS12825</t>
  </si>
  <si>
    <t>elongation factor G</t>
  </si>
  <si>
    <t>fusA</t>
  </si>
  <si>
    <t>WP_000090370.1</t>
  </si>
  <si>
    <t>R8N76_RS12830</t>
  </si>
  <si>
    <t>30S ribosomal protein S7</t>
  </si>
  <si>
    <t>rpsG</t>
  </si>
  <si>
    <t>WP_001137491.1</t>
  </si>
  <si>
    <t>R8N76_RS12835</t>
  </si>
  <si>
    <t>30S ribosomal protein S12</t>
  </si>
  <si>
    <t>rpsL</t>
  </si>
  <si>
    <t>WP_001142341.1</t>
  </si>
  <si>
    <t>R8N76_RS12840</t>
  </si>
  <si>
    <t>50S ribosomal protein L7ae-like protein</t>
  </si>
  <si>
    <t>WP_000121836.1</t>
  </si>
  <si>
    <t>R8N76_RS12845</t>
  </si>
  <si>
    <t>DNA-directed RNA polymerase subunit beta'</t>
  </si>
  <si>
    <t>rpoC</t>
  </si>
  <si>
    <t>WP_000567939.1</t>
  </si>
  <si>
    <t>R8N76_RS12850</t>
  </si>
  <si>
    <t>DNA-directed RNA polymerase subunit beta</t>
  </si>
  <si>
    <t>rpoB</t>
  </si>
  <si>
    <t>WP_000147553.1</t>
  </si>
  <si>
    <t>R8N76_RS12855</t>
  </si>
  <si>
    <t>WP_000763267.1</t>
  </si>
  <si>
    <t>R8N76_RS12860</t>
  </si>
  <si>
    <t>50S ribosomal protein L7/L12</t>
  </si>
  <si>
    <t>rplL</t>
  </si>
  <si>
    <t>WP_000159736.1</t>
  </si>
  <si>
    <t>R8N76_RS12865</t>
  </si>
  <si>
    <t>50S ribosomal protein L10</t>
  </si>
  <si>
    <t>rplJ</t>
  </si>
  <si>
    <t>WP_000048982.1</t>
  </si>
  <si>
    <t>R8N76_RS12870</t>
  </si>
  <si>
    <t>50S ribosomal protein L1</t>
  </si>
  <si>
    <t>rplA</t>
  </si>
  <si>
    <t>WP_001987630.1</t>
  </si>
  <si>
    <t>R8N76_RS12875</t>
  </si>
  <si>
    <t>50S ribosomal protein L11</t>
  </si>
  <si>
    <t>rplK</t>
  </si>
  <si>
    <t>WP_001085871.1</t>
  </si>
  <si>
    <t>R8N76_RS12880</t>
  </si>
  <si>
    <t>transcription termination/antitermination protein NusG</t>
  </si>
  <si>
    <t>nusG</t>
  </si>
  <si>
    <t>WP_000415794.1</t>
  </si>
  <si>
    <t>R8N76_RS12885</t>
  </si>
  <si>
    <t>preprotein translocase subunit SecE</t>
  </si>
  <si>
    <t>secE</t>
  </si>
  <si>
    <t>WP_001241323.1</t>
  </si>
  <si>
    <t>R8N76_RS12890</t>
  </si>
  <si>
    <t>50S ribosomal protein L33</t>
  </si>
  <si>
    <t>rpmG</t>
  </si>
  <si>
    <t>WP_014481927.1</t>
  </si>
  <si>
    <t>R8N76_RS12895</t>
  </si>
  <si>
    <t>RNA polymerase sporulation sigma factor SigH</t>
  </si>
  <si>
    <t>WP_000387193.1</t>
  </si>
  <si>
    <t>R8N76_RS12900</t>
  </si>
  <si>
    <t>NYN domain-containing protein</t>
  </si>
  <si>
    <t>WP_000997886.1</t>
  </si>
  <si>
    <t>R8N76_RS12905</t>
  </si>
  <si>
    <t>23S rRNA (guanosine(2251)-2'-O)-methyltransferase RlmB</t>
  </si>
  <si>
    <t>rlmB</t>
  </si>
  <si>
    <t>WP_000200237.1</t>
  </si>
  <si>
    <t>R8N76_RS12910</t>
  </si>
  <si>
    <t>Mini-ribonuclease 3</t>
  </si>
  <si>
    <t>WP_000564262.1</t>
  </si>
  <si>
    <t>R8N76_RS12915</t>
  </si>
  <si>
    <t>cysteine--tRNA ligase</t>
  </si>
  <si>
    <t>cysS</t>
  </si>
  <si>
    <t>WP_000152276.1</t>
  </si>
  <si>
    <t>R8N76_RS12920</t>
  </si>
  <si>
    <t>serine O-acetyltransferase</t>
  </si>
  <si>
    <t>cysE</t>
  </si>
  <si>
    <t>WP_000476494.1</t>
  </si>
  <si>
    <t>R8N76_RS12925</t>
  </si>
  <si>
    <t>glutamate--tRNA ligase</t>
  </si>
  <si>
    <t>gltX</t>
  </si>
  <si>
    <t>WP_000415147.1</t>
  </si>
  <si>
    <t>R8N76_RS12930</t>
  </si>
  <si>
    <t>2-C-methyl-D-erythritol 2,4-cyclodiphosphate synthase</t>
  </si>
  <si>
    <t>ispF</t>
  </si>
  <si>
    <t>WP_000488386.1</t>
  </si>
  <si>
    <t>R8N76_RS12935</t>
  </si>
  <si>
    <t>2-C-methyl-D-erythritol 4-phosphate cytidylyltransferase</t>
  </si>
  <si>
    <t>ispD</t>
  </si>
  <si>
    <t>WP_000288284.1</t>
  </si>
  <si>
    <t>R8N76_RS12940</t>
  </si>
  <si>
    <t>PIN/TRAM domain-containing protein</t>
  </si>
  <si>
    <t>WP_000919677.1</t>
  </si>
  <si>
    <t>R8N76_RS12945</t>
  </si>
  <si>
    <t>DNA integrity scanning diadenylate cyclase DisA</t>
  </si>
  <si>
    <t>disA</t>
  </si>
  <si>
    <t>WP_000392163.1</t>
  </si>
  <si>
    <t>R8N76_RS12950</t>
  </si>
  <si>
    <t>DNA repair protein RadA</t>
  </si>
  <si>
    <t>radA</t>
  </si>
  <si>
    <t>WP_001085202.1</t>
  </si>
  <si>
    <t>R8N76_RS12955</t>
  </si>
  <si>
    <t>ATP-dependent protease ATP-binding subunit ClpC</t>
  </si>
  <si>
    <t>clpC</t>
  </si>
  <si>
    <t>WP_000971183.1</t>
  </si>
  <si>
    <t>R8N76_RS12960</t>
  </si>
  <si>
    <t>protein arginine kinase</t>
  </si>
  <si>
    <t>WP_000050842.1</t>
  </si>
  <si>
    <t>R8N76_RS12965</t>
  </si>
  <si>
    <t>UvrB/UvrC motif-containing protein</t>
  </si>
  <si>
    <t>WP_000128399.1</t>
  </si>
  <si>
    <t>R8N76_RS12970</t>
  </si>
  <si>
    <t>transcriptional regulator CtsR</t>
  </si>
  <si>
    <t>ctsR</t>
  </si>
  <si>
    <t>WP_001244565.1</t>
  </si>
  <si>
    <t>R8N76_RS12975</t>
  </si>
  <si>
    <t>R8N76_RS12980</t>
  </si>
  <si>
    <t>R8N76_RS12985</t>
  </si>
  <si>
    <t>R8N76_RS12990</t>
  </si>
  <si>
    <t>R8N76_RS12995</t>
  </si>
  <si>
    <t>R8N76_RS13000</t>
  </si>
  <si>
    <t>R8N76_RS13005</t>
  </si>
  <si>
    <t>R8N76_RS13010</t>
  </si>
  <si>
    <t>R8N76_RS13015</t>
  </si>
  <si>
    <t>R8N76_RS13020</t>
  </si>
  <si>
    <t>R8N76_RS13025</t>
  </si>
  <si>
    <t>R8N76_RS13030</t>
  </si>
  <si>
    <t>R8N76_RS13035</t>
  </si>
  <si>
    <t>R8N76_RS13040</t>
  </si>
  <si>
    <t>R8N76_RS13045</t>
  </si>
  <si>
    <t>R8N76_RS13050</t>
  </si>
  <si>
    <t>WP_000369668.1</t>
  </si>
  <si>
    <t>R8N76_RS13055</t>
  </si>
  <si>
    <t>tRNA dihydrouridine synthase DusB</t>
  </si>
  <si>
    <t>dusB</t>
  </si>
  <si>
    <t>WP_000912251.1</t>
  </si>
  <si>
    <t>R8N76_RS13060</t>
  </si>
  <si>
    <t>WP_000387031.1</t>
  </si>
  <si>
    <t>R8N76_RS13065</t>
  </si>
  <si>
    <t>2-amino-4-hydroxy-6-hydroxymethyldihydropteridine diphosphokinase</t>
  </si>
  <si>
    <t>folK</t>
  </si>
  <si>
    <t>WP_001059449.1</t>
  </si>
  <si>
    <t>R8N76_RS13070</t>
  </si>
  <si>
    <t>dihydroneopterin aldolase</t>
  </si>
  <si>
    <t>folB</t>
  </si>
  <si>
    <t>WP_000358062.1</t>
  </si>
  <si>
    <t>R8N76_RS13075</t>
  </si>
  <si>
    <t>dihydropteroate synthase</t>
  </si>
  <si>
    <t>folP</t>
  </si>
  <si>
    <t>WP_002164656.1</t>
  </si>
  <si>
    <t>R8N76_RS13080</t>
  </si>
  <si>
    <t>aminodeoxychorismate lyase</t>
  </si>
  <si>
    <t>pabC</t>
  </si>
  <si>
    <t>WP_000909884.1</t>
  </si>
  <si>
    <t>R8N76_RS13085</t>
  </si>
  <si>
    <t>pabA</t>
  </si>
  <si>
    <t>WP_000602293.1</t>
  </si>
  <si>
    <t>R8N76_RS13090</t>
  </si>
  <si>
    <t>aminodeoxychorismate synthase component I</t>
  </si>
  <si>
    <t>pabB</t>
  </si>
  <si>
    <t>WP_001189724.1</t>
  </si>
  <si>
    <t>R8N76_RS13095</t>
  </si>
  <si>
    <t>WP_001261712.1</t>
  </si>
  <si>
    <t>R8N76_RS13100</t>
  </si>
  <si>
    <t>redox-regulated molecular chaperone HslO</t>
  </si>
  <si>
    <t>hslO</t>
  </si>
  <si>
    <t>WP_000656372.1</t>
  </si>
  <si>
    <t>R8N76_RS13105</t>
  </si>
  <si>
    <t>type III pantothenate kinase</t>
  </si>
  <si>
    <t>WP_000578368.1</t>
  </si>
  <si>
    <t>R8N76_RS13110</t>
  </si>
  <si>
    <t>ATP-dependent zinc metalloprotease FtsH</t>
  </si>
  <si>
    <t>ftsH</t>
  </si>
  <si>
    <t>WP_001079674.1</t>
  </si>
  <si>
    <t>R8N76_RS13115</t>
  </si>
  <si>
    <t>hypoxanthine phosphoribosyltransferase</t>
  </si>
  <si>
    <t>hpt</t>
  </si>
  <si>
    <t>WP_000981842.1</t>
  </si>
  <si>
    <t>R8N76_RS13120</t>
  </si>
  <si>
    <t>tRNA lysidine(34) synthetase TilS</t>
  </si>
  <si>
    <t>tilS</t>
  </si>
  <si>
    <t>WP_000655465.1</t>
  </si>
  <si>
    <t>R8N76_RS13125</t>
  </si>
  <si>
    <t>stage II sporulation protein E</t>
  </si>
  <si>
    <t>spoIIE</t>
  </si>
  <si>
    <t>WP_001123541.1</t>
  </si>
  <si>
    <t>R8N76_RS13130</t>
  </si>
  <si>
    <t>R8N76_RS13135</t>
  </si>
  <si>
    <t>R8N76_RS13140</t>
  </si>
  <si>
    <t>S1 domain-containing RNA-binding protein</t>
  </si>
  <si>
    <t>WP_000021451.1</t>
  </si>
  <si>
    <t>R8N76_RS13145</t>
  </si>
  <si>
    <t>cell division protein DivIC</t>
  </si>
  <si>
    <t>divIC</t>
  </si>
  <si>
    <t>WP_001208739.1</t>
  </si>
  <si>
    <t>R8N76_RS13150</t>
  </si>
  <si>
    <t>spore cortex biosynthesis protein YabQ</t>
  </si>
  <si>
    <t>yabQ</t>
  </si>
  <si>
    <t>WP_000059772.1</t>
  </si>
  <si>
    <t>R8N76_RS13155</t>
  </si>
  <si>
    <t>sporulation protein YabP</t>
  </si>
  <si>
    <t>yabP</t>
  </si>
  <si>
    <t>WP_001059104.1</t>
  </si>
  <si>
    <t>R8N76_RS13160</t>
  </si>
  <si>
    <t>RNA-binding S4 domain-containing protein</t>
  </si>
  <si>
    <t>WP_001234876.1</t>
  </si>
  <si>
    <t>R8N76_RS13165</t>
  </si>
  <si>
    <t>mazG</t>
  </si>
  <si>
    <t>WP_000014237.1</t>
  </si>
  <si>
    <t>R8N76_RS13170</t>
  </si>
  <si>
    <t>WP_000387599.1</t>
  </si>
  <si>
    <t>R8N76_RS13175</t>
  </si>
  <si>
    <t>stage V sporulation protein T</t>
  </si>
  <si>
    <t>spoVT</t>
  </si>
  <si>
    <t>WP_000648302.1</t>
  </si>
  <si>
    <t>R8N76_RS13180</t>
  </si>
  <si>
    <t>transcription-repair coupling factor</t>
  </si>
  <si>
    <t>mfd</t>
  </si>
  <si>
    <t>WP_000579687.1</t>
  </si>
  <si>
    <t>R8N76_RS13185</t>
  </si>
  <si>
    <t>anti-sigma-F factor Fin family protein</t>
  </si>
  <si>
    <t>WP_000399438.1</t>
  </si>
  <si>
    <t>R8N76_RS13190</t>
  </si>
  <si>
    <t>aminoacyl-tRNA hydrolase</t>
  </si>
  <si>
    <t>pth</t>
  </si>
  <si>
    <t>WP_000767702.1</t>
  </si>
  <si>
    <t>R8N76_RS13195</t>
  </si>
  <si>
    <t>ribose-phosphate diphosphokinase</t>
  </si>
  <si>
    <t>WP_000107420.1</t>
  </si>
  <si>
    <t>R8N76_RS13200</t>
  </si>
  <si>
    <t>bifunctional UDP-N-acetylglucosamine diphosphorylase/glucosamine-1-phosphate N-acetyltransferase GlmU</t>
  </si>
  <si>
    <t>glmU</t>
  </si>
  <si>
    <t>WP_000071041.1</t>
  </si>
  <si>
    <t>R8N76_RS13205</t>
  </si>
  <si>
    <t>septation regulator SpoVG</t>
  </si>
  <si>
    <t>spoVG</t>
  </si>
  <si>
    <t>WP_000454041.1</t>
  </si>
  <si>
    <t>R8N76_RS13210</t>
  </si>
  <si>
    <t>RidA family protein</t>
  </si>
  <si>
    <t>WP_000869815.1</t>
  </si>
  <si>
    <t>R8N76_RS13215</t>
  </si>
  <si>
    <t>pur operon repressor</t>
  </si>
  <si>
    <t>purR</t>
  </si>
  <si>
    <t>WP_000702465.1</t>
  </si>
  <si>
    <t>R8N76_RS13220</t>
  </si>
  <si>
    <t>4-(cytidine 5'-diphospho)-2-C-methyl-D-erythritol kinase</t>
  </si>
  <si>
    <t>ispE</t>
  </si>
  <si>
    <t>WP_000772104.1</t>
  </si>
  <si>
    <t>R8N76_RS13225</t>
  </si>
  <si>
    <t>acid-soluble spore protein SspF</t>
  </si>
  <si>
    <t>sspF</t>
  </si>
  <si>
    <t>WP_002094215.1</t>
  </si>
  <si>
    <t>R8N76_RS13230</t>
  </si>
  <si>
    <t>biofilm formation stimulator Veg</t>
  </si>
  <si>
    <t>veg</t>
  </si>
  <si>
    <t>WP_000044347.1</t>
  </si>
  <si>
    <t>R8N76_RS13235</t>
  </si>
  <si>
    <t>sporulation peptidase YabG</t>
  </si>
  <si>
    <t>yabG</t>
  </si>
  <si>
    <t>WP_000242868.1</t>
  </si>
  <si>
    <t>R8N76_RS13240</t>
  </si>
  <si>
    <t>16S rRNA (adenine(1518)-N(6)/adenine(1519)-N(6))-dimethyltransferase RsmA</t>
  </si>
  <si>
    <t>rsmA</t>
  </si>
  <si>
    <t>WP_000651548.1</t>
  </si>
  <si>
    <t>R8N76_RS13245</t>
  </si>
  <si>
    <t>ribonuclease M5</t>
  </si>
  <si>
    <t>rnmV</t>
  </si>
  <si>
    <t>WP_000692835.1</t>
  </si>
  <si>
    <t>R8N76_RS13250</t>
  </si>
  <si>
    <t>WP_000895851.1</t>
  </si>
  <si>
    <t>R8N76_RS13255</t>
  </si>
  <si>
    <t>methionine--tRNA ligase</t>
  </si>
  <si>
    <t>metG</t>
  </si>
  <si>
    <t>WP_000134141.1</t>
  </si>
  <si>
    <t>R8N76_RS13260</t>
  </si>
  <si>
    <t>WP_000843036.1</t>
  </si>
  <si>
    <t>R8N76_RS13265</t>
  </si>
  <si>
    <t>16S rRNA (cytidine(1402)-2'-O)-methyltransferase</t>
  </si>
  <si>
    <t>rsmI</t>
  </si>
  <si>
    <t>WP_000267819.1</t>
  </si>
  <si>
    <t>R8N76_RS13270</t>
  </si>
  <si>
    <t>GIY-YIG nuclease family protein</t>
  </si>
  <si>
    <t>WP_000414350.1</t>
  </si>
  <si>
    <t>R8N76_RS13275</t>
  </si>
  <si>
    <t>tRNA1(Val) (adenine(37)-N6)-methyltransferase</t>
  </si>
  <si>
    <t>WP_001055366.1</t>
  </si>
  <si>
    <t>R8N76_RS13280</t>
  </si>
  <si>
    <t>DNA replication initiation control protein YabA</t>
  </si>
  <si>
    <t>yabA</t>
  </si>
  <si>
    <t>WP_000412063.1</t>
  </si>
  <si>
    <t>R8N76_RS13285</t>
  </si>
  <si>
    <t>stage 0 sporulation family protein</t>
  </si>
  <si>
    <t>WP_000272429.1</t>
  </si>
  <si>
    <t>R8N76_RS13290</t>
  </si>
  <si>
    <t>DNA polymerase III subunit delta'</t>
  </si>
  <si>
    <t>holB</t>
  </si>
  <si>
    <t>WP_000169561.1</t>
  </si>
  <si>
    <t>R8N76_RS13295</t>
  </si>
  <si>
    <t>dTMP kinase</t>
  </si>
  <si>
    <t>tmk</t>
  </si>
  <si>
    <t>WP_000677216.1</t>
  </si>
  <si>
    <t>R8N76_RS13300</t>
  </si>
  <si>
    <t>aminotransferase class I/II-fold pyridoxal phosphate-dependent enzyme</t>
  </si>
  <si>
    <t>WP_001075300.1</t>
  </si>
  <si>
    <t>R8N76_RS13305</t>
  </si>
  <si>
    <t>sigma factor G inhibitor Gin</t>
  </si>
  <si>
    <t>WP_000776278.1</t>
  </si>
  <si>
    <t>R8N76_RS13310</t>
  </si>
  <si>
    <t>R8N76_RS13315</t>
  </si>
  <si>
    <t>R8N76_RS13320</t>
  </si>
  <si>
    <t>R8N76_RS13325</t>
  </si>
  <si>
    <t>R8N76_RS13330</t>
  </si>
  <si>
    <t>R8N76_RS13335</t>
  </si>
  <si>
    <t>pro-sigmaK processing inhibitor BofA family protein</t>
  </si>
  <si>
    <t>WP_001089273.1</t>
  </si>
  <si>
    <t>R8N76_RS13340</t>
  </si>
  <si>
    <t>YaaL family protein</t>
  </si>
  <si>
    <t>WP_000466019.1</t>
  </si>
  <si>
    <t>R8N76_RS13345</t>
  </si>
  <si>
    <t>recombination protein RecR</t>
  </si>
  <si>
    <t>recR</t>
  </si>
  <si>
    <t>WP_000559169.1</t>
  </si>
  <si>
    <t>R8N76_RS13350</t>
  </si>
  <si>
    <t>YbaB/EbfC family nucleoid-associated protein</t>
  </si>
  <si>
    <t>WP_014894853.1</t>
  </si>
  <si>
    <t>R8N76_RS13355</t>
  </si>
  <si>
    <t>DNA polymerase III subunit gamma/tau</t>
  </si>
  <si>
    <t>dnaX</t>
  </si>
  <si>
    <t>WP_000121588.1</t>
  </si>
  <si>
    <t>R8N76_RS13360</t>
  </si>
  <si>
    <t>signal recognition particle sRNA large type</t>
  </si>
  <si>
    <t>ffs</t>
  </si>
  <si>
    <t>other</t>
  </si>
  <si>
    <t>R8N76_RS13365</t>
  </si>
  <si>
    <t>tRNA adenosine(34) deaminase TadA</t>
  </si>
  <si>
    <t>tadA</t>
  </si>
  <si>
    <t>WP_000434328.1</t>
  </si>
  <si>
    <t>R8N76_RS13370</t>
  </si>
  <si>
    <t>isochorismatase family cysteine hydrolase</t>
  </si>
  <si>
    <t>WP_000798724.1</t>
  </si>
  <si>
    <t>R8N76_RS13375</t>
  </si>
  <si>
    <t>deoxynucleoside kinase</t>
  </si>
  <si>
    <t>WP_000148218.1</t>
  </si>
  <si>
    <t>R8N76_RS13380</t>
  </si>
  <si>
    <t>WP_001053585.1</t>
  </si>
  <si>
    <t>R8N76_RS13385</t>
  </si>
  <si>
    <t>DUF3797 domain-containing protein</t>
  </si>
  <si>
    <t>WP_000364193.1</t>
  </si>
  <si>
    <t>R8N76_RS13390</t>
  </si>
  <si>
    <t>R8N76_RS13395</t>
  </si>
  <si>
    <t>serine--tRNA ligase</t>
  </si>
  <si>
    <t>serS</t>
  </si>
  <si>
    <t>WP_000884187.1</t>
  </si>
  <si>
    <t>R8N76_RS13400</t>
  </si>
  <si>
    <t>pyridoxal 5'-phosphate synthase glutaminase subunit PdxT</t>
  </si>
  <si>
    <t>pdxT</t>
  </si>
  <si>
    <t>WP_000238787.1</t>
  </si>
  <si>
    <t>R8N76_RS13405</t>
  </si>
  <si>
    <t>pyridoxal 5'-phosphate synthase lyase subunit PdxS</t>
  </si>
  <si>
    <t>pdxS</t>
  </si>
  <si>
    <t>WP_000186165.1</t>
  </si>
  <si>
    <t>R8N76_RS13410</t>
  </si>
  <si>
    <t>D-alanyl-D-alanine carboxypeptidase DacA</t>
  </si>
  <si>
    <t>dacA</t>
  </si>
  <si>
    <t>WP_124749816.1</t>
  </si>
  <si>
    <t>R8N76_RS13415</t>
  </si>
  <si>
    <t>IMP dehydrogenase</t>
  </si>
  <si>
    <t>guaB</t>
  </si>
  <si>
    <t>WP_000264088.1</t>
  </si>
  <si>
    <t>R8N76_RS13420</t>
  </si>
  <si>
    <t>YaaC family protein</t>
  </si>
  <si>
    <t>WP_000554292.1</t>
  </si>
  <si>
    <t>R8N76_RS13425</t>
  </si>
  <si>
    <t>R8N76_RS13430</t>
  </si>
  <si>
    <t>R8N76_RS13435</t>
  </si>
  <si>
    <t>R8N76_RS13440</t>
  </si>
  <si>
    <t>R8N76_RS13445</t>
  </si>
  <si>
    <t>R8N76_RS13450</t>
  </si>
  <si>
    <t>DNA gyrase subunit A</t>
  </si>
  <si>
    <t>gyrA</t>
  </si>
  <si>
    <t>WP_001282864.1</t>
  </si>
  <si>
    <t>R8N76_RS13455</t>
  </si>
  <si>
    <t>DNA topoisomerase (ATP-hydrolyzing) subunit B</t>
  </si>
  <si>
    <t>gyrB</t>
  </si>
  <si>
    <t>WP_000435982.1</t>
  </si>
  <si>
    <t>R8N76_RS13460</t>
  </si>
  <si>
    <t>DNA replication/repair protein RecF</t>
  </si>
  <si>
    <t>recF</t>
  </si>
  <si>
    <t>WP_000470745.1</t>
  </si>
  <si>
    <t>R8N76_RS13465</t>
  </si>
  <si>
    <t>S4 domain-containing protein YaaA</t>
  </si>
  <si>
    <t>yaaA</t>
  </si>
  <si>
    <t>WP_000821364.1</t>
  </si>
  <si>
    <t>R8N76_RS13470</t>
  </si>
  <si>
    <t>DNA polymerase III subunit beta</t>
  </si>
  <si>
    <t>dnaN</t>
  </si>
  <si>
    <t>WP_001212886.1</t>
  </si>
  <si>
    <t>R8N76_RS13475</t>
  </si>
  <si>
    <t>chromosomal replication initiator protein DnaA</t>
  </si>
  <si>
    <t>dnaA</t>
  </si>
  <si>
    <t>WP_000428017.1</t>
  </si>
  <si>
    <t>R8N76_RS13480</t>
  </si>
  <si>
    <t>50S ribosomal protein L34</t>
  </si>
  <si>
    <t>rpmH</t>
  </si>
  <si>
    <t>WP_000831901.1</t>
  </si>
  <si>
    <t>R8N76_RS13485</t>
  </si>
  <si>
    <t>ribonuclease P protein component</t>
  </si>
  <si>
    <t>rnpA</t>
  </si>
  <si>
    <t>WP_000726619.1</t>
  </si>
  <si>
    <t>R8N76_RS13490</t>
  </si>
  <si>
    <t>YidC family membrane integrase SpoIIIJ</t>
  </si>
  <si>
    <t>spoIIIJ</t>
  </si>
  <si>
    <t>WP_000727738.1</t>
  </si>
  <si>
    <t>R8N76_RS13495</t>
  </si>
  <si>
    <t>RNA-binding cell elongation regulator Jag/EloR</t>
  </si>
  <si>
    <t>jag</t>
  </si>
  <si>
    <t>WP_000111516.1</t>
  </si>
  <si>
    <t>R8N76_RS13500</t>
  </si>
  <si>
    <t>tRNA uridine-5-carboxymethylaminomethyl(34) synthesis GTPase MnmE</t>
  </si>
  <si>
    <t>mnmE</t>
  </si>
  <si>
    <t>WP_000393757.1</t>
  </si>
  <si>
    <t>R8N76_RS13505</t>
  </si>
  <si>
    <t>tRNA uridine-5-carboxymethylaminomethyl(34) synthesis enzyme MnmG</t>
  </si>
  <si>
    <t>mnmG</t>
  </si>
  <si>
    <t>WP_000541029.1</t>
  </si>
  <si>
    <t>R8N76_RS13510</t>
  </si>
  <si>
    <t>16S rRNA (guanine(527)-N(7))-methyltransferase RsmG</t>
  </si>
  <si>
    <t>rsmG</t>
  </si>
  <si>
    <t>WP_001019628.1</t>
  </si>
  <si>
    <t>R8N76_RS13515</t>
  </si>
  <si>
    <t>nucleoid occlusion protein</t>
  </si>
  <si>
    <t>noc</t>
  </si>
  <si>
    <t>WP_000799016.1</t>
  </si>
  <si>
    <t>R8N76_RS13520</t>
  </si>
  <si>
    <t>sporulation initiation inhibitor protein Soj</t>
  </si>
  <si>
    <t>soj</t>
  </si>
  <si>
    <t>WP_000516114.1</t>
  </si>
  <si>
    <t>R8N76_RS13525</t>
  </si>
  <si>
    <t>stage 0 sporulation protein Spo0J</t>
  </si>
  <si>
    <t>spo0J</t>
  </si>
  <si>
    <t>WP_001051832.1</t>
  </si>
  <si>
    <t>R8N76_RS13530</t>
  </si>
  <si>
    <t>spore protease YyaC</t>
  </si>
  <si>
    <t>yyaC</t>
  </si>
  <si>
    <t>WP_001020714.1</t>
  </si>
  <si>
    <t>R8N76_RS13535</t>
  </si>
  <si>
    <t>WP_000364814.1</t>
  </si>
  <si>
    <t>R8N76_RS13540</t>
  </si>
  <si>
    <t>DUF951 domain-containing protein</t>
  </si>
  <si>
    <t>WP_000435485.1</t>
  </si>
  <si>
    <t>R8N76_RS13545</t>
  </si>
  <si>
    <t>redox-regulated ATPase YchF</t>
  </si>
  <si>
    <t>ychF</t>
  </si>
  <si>
    <t>WP_000524657.1</t>
  </si>
  <si>
    <t>R8N76_RS13550</t>
  </si>
  <si>
    <t>30S ribosomal protein S6</t>
  </si>
  <si>
    <t>rpsF</t>
  </si>
  <si>
    <t>WP_001233778.1</t>
  </si>
  <si>
    <t>R8N76_RS13555</t>
  </si>
  <si>
    <t>ssb</t>
  </si>
  <si>
    <t>WP_000981966.1</t>
  </si>
  <si>
    <t>R8N76_RS13560</t>
  </si>
  <si>
    <t>30S ribosomal protein S18</t>
  </si>
  <si>
    <t>rpsR</t>
  </si>
  <si>
    <t>WP_000918873.1</t>
  </si>
  <si>
    <t>R8N76_RS13565</t>
  </si>
  <si>
    <t>YybS family protein</t>
  </si>
  <si>
    <t>WP_000814840.1</t>
  </si>
  <si>
    <t>R8N76_RS13570</t>
  </si>
  <si>
    <t>DHH family phosphoesterase</t>
  </si>
  <si>
    <t>WP_001113785.1</t>
  </si>
  <si>
    <t>R8N76_RS13575</t>
  </si>
  <si>
    <t>50S ribosomal protein L9</t>
  </si>
  <si>
    <t>rplI</t>
  </si>
  <si>
    <t>WP_000864228.1</t>
  </si>
  <si>
    <t>R8N76_RS13580</t>
  </si>
  <si>
    <t>WP_001286148.1</t>
  </si>
  <si>
    <t>R8N76_RS13585</t>
  </si>
  <si>
    <t>adenylosuccinate synthase</t>
  </si>
  <si>
    <t>WP_000100238.1</t>
  </si>
  <si>
    <t>R8N76_RS13590</t>
  </si>
  <si>
    <t>R8N76_RS13595</t>
  </si>
  <si>
    <t>R8N76_RS13600</t>
  </si>
  <si>
    <t>R8N76_RS13605</t>
  </si>
  <si>
    <t>R8N76_RS13610</t>
  </si>
  <si>
    <t>cell wall metabolism DNA-binding response regulator WalR</t>
  </si>
  <si>
    <t>walR</t>
  </si>
  <si>
    <t>WP_000971865.1</t>
  </si>
  <si>
    <t>R8N76_RS13615</t>
  </si>
  <si>
    <t>walK</t>
  </si>
  <si>
    <t>WP_000755367.1</t>
  </si>
  <si>
    <t>R8N76_RS13620</t>
  </si>
  <si>
    <t>YycH family regulatory protein</t>
  </si>
  <si>
    <t>WP_000061560.1</t>
  </si>
  <si>
    <t>R8N76_RS13625</t>
  </si>
  <si>
    <t>two-component system regulatory protein YycI</t>
  </si>
  <si>
    <t>WP_000383740.1</t>
  </si>
  <si>
    <t>R8N76_RS13630</t>
  </si>
  <si>
    <t>WP_000522837.1</t>
  </si>
  <si>
    <t>R8N76_RS13635</t>
  </si>
  <si>
    <t>S1C family serine protease</t>
  </si>
  <si>
    <t>WP_000008031.1</t>
  </si>
  <si>
    <t>R8N76_RS13640</t>
  </si>
  <si>
    <t>CxxH/CxxC protein</t>
  </si>
  <si>
    <t>WP_002183021.1</t>
  </si>
  <si>
    <t>R8N76_RS13645</t>
  </si>
  <si>
    <t>23S rRNA (pseudouridine(1915)-N(3))-methyltransferase RlmH</t>
  </si>
  <si>
    <t>rlmH</t>
  </si>
  <si>
    <t>WP_001027000.1</t>
  </si>
  <si>
    <t>R8N76_RS13650</t>
  </si>
  <si>
    <t>WP_000253119.1</t>
  </si>
  <si>
    <t>R8N76_RS13655</t>
  </si>
  <si>
    <t>radical SAM/SPASM domain-containing protein</t>
  </si>
  <si>
    <t>WP_000713630.1</t>
  </si>
  <si>
    <t>R8N76_RS13660</t>
  </si>
  <si>
    <t>WP_000800003.1</t>
  </si>
  <si>
    <t>R8N76_RS13665</t>
  </si>
  <si>
    <t>GMP reductase</t>
  </si>
  <si>
    <t>guaC</t>
  </si>
  <si>
    <t>WP_000432447.1</t>
  </si>
  <si>
    <t>R8N76_RS13670</t>
  </si>
  <si>
    <t>WP_000039351.1</t>
  </si>
  <si>
    <t>R8N76_RS13675</t>
  </si>
  <si>
    <t>DUF1836 domain-containing protein</t>
  </si>
  <si>
    <t>WP_000427879.1</t>
  </si>
  <si>
    <t>R8N76_RS13680</t>
  </si>
  <si>
    <t>WP_000995363.1</t>
  </si>
  <si>
    <t>R8N76_RS13685</t>
  </si>
  <si>
    <t>UDP-glucose 4-epimerase GalE</t>
  </si>
  <si>
    <t>galE</t>
  </si>
  <si>
    <t>WP_000996539.1</t>
  </si>
  <si>
    <t>R8N76_RS13690</t>
  </si>
  <si>
    <t>AmiS/UreI family transporter</t>
  </si>
  <si>
    <t>WP_000542569.1</t>
  </si>
  <si>
    <t>R8N76_RS13695</t>
  </si>
  <si>
    <t>WP_002195968.1</t>
  </si>
  <si>
    <t>R8N76_RS13700</t>
  </si>
  <si>
    <t>superoxide dismutase [Mn]</t>
  </si>
  <si>
    <t>sodA</t>
  </si>
  <si>
    <t>WP_000094042.1</t>
  </si>
  <si>
    <t>R8N76_RS13705</t>
  </si>
  <si>
    <t>nitric oxide synthase oxygenase</t>
  </si>
  <si>
    <t>WP_000047627.1</t>
  </si>
  <si>
    <t>R8N76_RS13710</t>
  </si>
  <si>
    <t>BCCT family transporter</t>
  </si>
  <si>
    <t>WP_001242442.1</t>
  </si>
  <si>
    <t>R8N76_RS13715</t>
  </si>
  <si>
    <t>WP_001103412.1</t>
  </si>
  <si>
    <t>R8N76_RS13720</t>
  </si>
  <si>
    <t>two-component system sensor histidine kinase LytS</t>
  </si>
  <si>
    <t>lytS</t>
  </si>
  <si>
    <t>WP_000933565.1</t>
  </si>
  <si>
    <t>R8N76_RS13725</t>
  </si>
  <si>
    <t>WP_000921843.1</t>
  </si>
  <si>
    <t>R8N76_RS13730</t>
  </si>
  <si>
    <t>antiholin-like murein hydrolase modulator LrgA</t>
  </si>
  <si>
    <t>lrgA</t>
  </si>
  <si>
    <t>WP_000104891.1</t>
  </si>
  <si>
    <t>R8N76_RS13735</t>
  </si>
  <si>
    <t>antiholin-like protein LrgB</t>
  </si>
  <si>
    <t>lrgB</t>
  </si>
  <si>
    <t>WP_000168869.1</t>
  </si>
  <si>
    <t>R8N76_RS13740</t>
  </si>
  <si>
    <t>WP_001166010.1</t>
  </si>
  <si>
    <t>R8N76_RS13745</t>
  </si>
  <si>
    <t>R8N76_RS13750</t>
  </si>
  <si>
    <t>peptide-methionine (R)-S-oxide reductase MsrB</t>
  </si>
  <si>
    <t>msrB</t>
  </si>
  <si>
    <t>WP_227599596.1</t>
  </si>
  <si>
    <t>R8N76_RS13755</t>
  </si>
  <si>
    <t>WP_001033498.1</t>
  </si>
  <si>
    <t>R8N76_RS13760</t>
  </si>
  <si>
    <t>WP_000659648.1</t>
  </si>
  <si>
    <t>R8N76_RS13765</t>
  </si>
  <si>
    <t>WP_000055410.1</t>
  </si>
  <si>
    <t>R8N76_RS13770</t>
  </si>
  <si>
    <t>WP_000175826.1</t>
  </si>
  <si>
    <t>R8N76_RS13775</t>
  </si>
  <si>
    <t>YfhO family protein</t>
  </si>
  <si>
    <t>WP_000200226.1</t>
  </si>
  <si>
    <t>R8N76_RS13780</t>
  </si>
  <si>
    <t>WP_000856149.1</t>
  </si>
  <si>
    <t>R8N76_RS13785</t>
  </si>
  <si>
    <t>WP_000970524.1</t>
  </si>
  <si>
    <t>R8N76_RS13790</t>
  </si>
  <si>
    <t>glycosyltransferase family 39 protein</t>
  </si>
  <si>
    <t>WP_000946116.1</t>
  </si>
  <si>
    <t>R8N76_RS13795</t>
  </si>
  <si>
    <t>DUF2304 domain-containing protein</t>
  </si>
  <si>
    <t>WP_000547570.1</t>
  </si>
  <si>
    <t>R8N76_RS13800</t>
  </si>
  <si>
    <t>WP_000021473.1</t>
  </si>
  <si>
    <t>R8N76_RS13805</t>
  </si>
  <si>
    <t>WP_000412124.1</t>
  </si>
  <si>
    <t>R8N76_RS13810</t>
  </si>
  <si>
    <t>WP_001015618.1</t>
  </si>
  <si>
    <t>R8N76_RS13815</t>
  </si>
  <si>
    <t>WP_370445139.1</t>
  </si>
  <si>
    <t>R8N76_RS13820</t>
  </si>
  <si>
    <t>R8N76_RS13825</t>
  </si>
  <si>
    <t>trimeric intracellular cation channel family protein</t>
  </si>
  <si>
    <t>WP_000924371.1</t>
  </si>
  <si>
    <t>R8N76_RS13830</t>
  </si>
  <si>
    <t>WP_000880756.1</t>
  </si>
  <si>
    <t>R8N76_RS13835</t>
  </si>
  <si>
    <t>WP_001221227.1</t>
  </si>
  <si>
    <t>R8N76_RS13840</t>
  </si>
  <si>
    <t>WecB/TagA/CpsF family glycosyltransferase</t>
  </si>
  <si>
    <t>WP_000290748.1</t>
  </si>
  <si>
    <t>R8N76_RS13845</t>
  </si>
  <si>
    <t>WP_000521075.1</t>
  </si>
  <si>
    <t>R8N76_RS13850</t>
  </si>
  <si>
    <t>WP_000698256.1</t>
  </si>
  <si>
    <t>R8N76_RS13855</t>
  </si>
  <si>
    <t>carbon starvation protein CstA</t>
  </si>
  <si>
    <t>cstA</t>
  </si>
  <si>
    <t>WP_000854314.1</t>
  </si>
  <si>
    <t>R8N76_RS13860</t>
  </si>
  <si>
    <t>YbdD/YjiX family protein</t>
  </si>
  <si>
    <t>WP_000914500.1</t>
  </si>
  <si>
    <t>R8N76_RS13865</t>
  </si>
  <si>
    <t>diguanylate cyclase</t>
  </si>
  <si>
    <t>WP_000942915.1</t>
  </si>
  <si>
    <t>R8N76_RS13870</t>
  </si>
  <si>
    <t>pyridoxine/pyridoxal/pyridoxamine kinase</t>
  </si>
  <si>
    <t>pdxK</t>
  </si>
  <si>
    <t>WP_000174260.1</t>
  </si>
  <si>
    <t>R8N76_RS13875</t>
  </si>
  <si>
    <t>GAF domain-containing sensor histidine kinase</t>
  </si>
  <si>
    <t>WP_000488138.1</t>
  </si>
  <si>
    <t>R8N76_RS13880</t>
  </si>
  <si>
    <t>WP_000695801.1</t>
  </si>
  <si>
    <t>R8N76_RS13885</t>
  </si>
  <si>
    <t>WP_000246741.1</t>
  </si>
  <si>
    <t>R8N76_RS13890</t>
  </si>
  <si>
    <t>transcriptional regulator YeiL</t>
  </si>
  <si>
    <t>WP_000703313.1</t>
  </si>
  <si>
    <t>R8N76_RS13895</t>
  </si>
  <si>
    <t>YjjG family noncanonical pyrimidine nucleotidase</t>
  </si>
  <si>
    <t>WP_000760196.1</t>
  </si>
  <si>
    <t>R8N76_RS13900</t>
  </si>
  <si>
    <t>chloride channel protein</t>
  </si>
  <si>
    <t>WP_000182456.1</t>
  </si>
  <si>
    <t>R8N76_RS13905</t>
  </si>
  <si>
    <t>bifunctional O-acetylhomoserine aminocarboxypropyltransferase/cysteine synthase</t>
  </si>
  <si>
    <t>WP_000504788.1</t>
  </si>
  <si>
    <t>R8N76_RS13910</t>
  </si>
  <si>
    <t>homoserine O-succinyltransferase</t>
  </si>
  <si>
    <t>metA</t>
  </si>
  <si>
    <t>WP_001121536.1</t>
  </si>
  <si>
    <t>R8N76_RS13915</t>
  </si>
  <si>
    <t>WP_000659109.1</t>
  </si>
  <si>
    <t>R8N76_RS13920</t>
  </si>
  <si>
    <t>WP_000943403.1</t>
  </si>
  <si>
    <t>R8N76_RS13925</t>
  </si>
  <si>
    <t>WP_000181976.1</t>
  </si>
  <si>
    <t>R8N76_RS13930</t>
  </si>
  <si>
    <t>WP_002180592.1</t>
  </si>
  <si>
    <t>R8N76_RS13935</t>
  </si>
  <si>
    <t>WP_000207717.1</t>
  </si>
  <si>
    <t>R8N76_RS13940</t>
  </si>
  <si>
    <t>WP_001206500.1</t>
  </si>
  <si>
    <t>R8N76_RS13945</t>
  </si>
  <si>
    <t>WP_000432519.1</t>
  </si>
  <si>
    <t>R8N76_RS13950</t>
  </si>
  <si>
    <t>DUF3817 domain-containing protein</t>
  </si>
  <si>
    <t>WP_000953396.1</t>
  </si>
  <si>
    <t>R8N76_RS13955</t>
  </si>
  <si>
    <t>WP_000221373.1</t>
  </si>
  <si>
    <t>R8N76_RS13960</t>
  </si>
  <si>
    <t>purine/pyrimidine permease</t>
  </si>
  <si>
    <t>WP_000847046.1</t>
  </si>
  <si>
    <t>R8N76_RS13965</t>
  </si>
  <si>
    <t>TrkA family potassium uptake protein</t>
  </si>
  <si>
    <t>WP_000993980.1</t>
  </si>
  <si>
    <t>R8N76_RS13970</t>
  </si>
  <si>
    <t>YwdI family protein</t>
  </si>
  <si>
    <t>WP_001167347.1</t>
  </si>
  <si>
    <t>R8N76_RS13975</t>
  </si>
  <si>
    <t>DUF423 domain-containing protein</t>
  </si>
  <si>
    <t>WP_000688316.1</t>
  </si>
  <si>
    <t>R8N76_RS13980</t>
  </si>
  <si>
    <t>spore coat protein GerQ</t>
  </si>
  <si>
    <t>gerQ</t>
  </si>
  <si>
    <t>WP_000068652.1</t>
  </si>
  <si>
    <t>R8N76_RS13985</t>
  </si>
  <si>
    <t>cell wall hydrolase CwlJ</t>
  </si>
  <si>
    <t>cwlJ</t>
  </si>
  <si>
    <t>WP_000538169.1</t>
  </si>
  <si>
    <t>R8N76_RS13990</t>
  </si>
  <si>
    <t>WP_000722869.1</t>
  </si>
  <si>
    <t>R8N76_RS13995</t>
  </si>
  <si>
    <t>hydrogen peroxide-dependent heme synthase</t>
  </si>
  <si>
    <t>hemQ</t>
  </si>
  <si>
    <t>WP_001287595.1</t>
  </si>
  <si>
    <t>R8N76_RS14000</t>
  </si>
  <si>
    <t>phosphate acetyltransferase</t>
  </si>
  <si>
    <t>pta</t>
  </si>
  <si>
    <t>WP_000067215.1</t>
  </si>
  <si>
    <t>R8N76_RS14005</t>
  </si>
  <si>
    <t>biotin/lipoate A/B protein ligase family protein</t>
  </si>
  <si>
    <t>WP_000071943.1</t>
  </si>
  <si>
    <t>R8N76_RS14010</t>
  </si>
  <si>
    <t>RsfA family transcriptional regulator</t>
  </si>
  <si>
    <t>WP_000868358.1</t>
  </si>
  <si>
    <t>R8N76_RS14015</t>
  </si>
  <si>
    <t>DUF1450 domain-containing protein</t>
  </si>
  <si>
    <t>WP_000526071.1</t>
  </si>
  <si>
    <t>R8N76_RS14020</t>
  </si>
  <si>
    <t>WP_000388291.1</t>
  </si>
  <si>
    <t>R8N76_RS14025</t>
  </si>
  <si>
    <t>WP_001260757.1</t>
  </si>
  <si>
    <t>R8N76_RS14030</t>
  </si>
  <si>
    <t>WP_000212068.1</t>
  </si>
  <si>
    <t>R8N76_RS14035</t>
  </si>
  <si>
    <t>WP_000787724.1</t>
  </si>
  <si>
    <t>R8N76_RS14040</t>
  </si>
  <si>
    <t>WP_000262741.1</t>
  </si>
  <si>
    <t>R8N76_RS14045</t>
  </si>
  <si>
    <t>2-hydroxymuconate tautomerase</t>
  </si>
  <si>
    <t>WP_001147171.1</t>
  </si>
  <si>
    <t>R8N76_RS14050</t>
  </si>
  <si>
    <t>WP_000372441.1</t>
  </si>
  <si>
    <t>R8N76_RS14055</t>
  </si>
  <si>
    <t>YwhD family protein</t>
  </si>
  <si>
    <t>WP_000136678.1</t>
  </si>
  <si>
    <t>R8N76_RS14060</t>
  </si>
  <si>
    <t>WP_000372958.1</t>
  </si>
  <si>
    <t>R8N76_RS14065</t>
  </si>
  <si>
    <t>WP_000042779.1</t>
  </si>
  <si>
    <t>R8N76_RS14070</t>
  </si>
  <si>
    <t>WP_000276560.1</t>
  </si>
  <si>
    <t>R8N76_RS14075</t>
  </si>
  <si>
    <t>WP_000444228.1</t>
  </si>
  <si>
    <t>R8N76_RS14080</t>
  </si>
  <si>
    <t>polyamine aminopropyltransferase</t>
  </si>
  <si>
    <t>speE</t>
  </si>
  <si>
    <t>WP_000424695.1</t>
  </si>
  <si>
    <t>R8N76_RS14085</t>
  </si>
  <si>
    <t>agmatinase</t>
  </si>
  <si>
    <t>speB</t>
  </si>
  <si>
    <t>WP_001209831.1</t>
  </si>
  <si>
    <t>R8N76_RS14090</t>
  </si>
  <si>
    <t>WP_000996320.1</t>
  </si>
  <si>
    <t>R8N76_RS14095</t>
  </si>
  <si>
    <t>WP_000779921.1</t>
  </si>
  <si>
    <t>R8N76_RS14100</t>
  </si>
  <si>
    <t>WP_000613224.1</t>
  </si>
  <si>
    <t>R8N76_RS14105</t>
  </si>
  <si>
    <t>DUF1934 domain-containing protein</t>
  </si>
  <si>
    <t>WP_000414867.1</t>
  </si>
  <si>
    <t>R8N76_RS14110</t>
  </si>
  <si>
    <t>WP_001086456.1</t>
  </si>
  <si>
    <t>R8N76_RS14115</t>
  </si>
  <si>
    <t>WP_000391642.1</t>
  </si>
  <si>
    <t>R8N76_RS14120</t>
  </si>
  <si>
    <t>ECF-type sigma factor negative effector</t>
  </si>
  <si>
    <t>WP_000656684.1</t>
  </si>
  <si>
    <t>R8N76_RS14125</t>
  </si>
  <si>
    <t>WP_001001596.1</t>
  </si>
  <si>
    <t>R8N76_RS14130</t>
  </si>
  <si>
    <t>WP_000738221.1</t>
  </si>
  <si>
    <t>R8N76_RS14135</t>
  </si>
  <si>
    <t>M28 family metallopeptidase</t>
  </si>
  <si>
    <t>WP_001232212.1</t>
  </si>
  <si>
    <t>R8N76_RS14140</t>
  </si>
  <si>
    <t>WP_000719259.1</t>
  </si>
  <si>
    <t>R8N76_RS14145</t>
  </si>
  <si>
    <t>WP_003313889.1</t>
  </si>
  <si>
    <t>R8N76_RS14150</t>
  </si>
  <si>
    <t>WP_000411125.1</t>
  </si>
  <si>
    <t>R8N76_RS14155</t>
  </si>
  <si>
    <t>WP_001202429.1</t>
  </si>
  <si>
    <t>R8N76_RS14160</t>
  </si>
  <si>
    <t>WP_000570606.1</t>
  </si>
  <si>
    <t>R8N76_RS14165</t>
  </si>
  <si>
    <t>R8N76_RS14170</t>
  </si>
  <si>
    <t>WP_001109507.1</t>
  </si>
  <si>
    <t>R8N76_RS14175</t>
  </si>
  <si>
    <t>transcriptional regulator PlcR</t>
  </si>
  <si>
    <t>plcR</t>
  </si>
  <si>
    <t>WP_000542912.1</t>
  </si>
  <si>
    <t>R8N76_RS14180</t>
  </si>
  <si>
    <t>quorum-sensing peptide PapR</t>
  </si>
  <si>
    <t>WP_000734730.1</t>
  </si>
  <si>
    <t>R8N76_RS14185</t>
  </si>
  <si>
    <t>DUF4084 domain-containing protein</t>
  </si>
  <si>
    <t>WP_002184091.1</t>
  </si>
  <si>
    <t>R8N76_RS14190</t>
  </si>
  <si>
    <t>WP_011110499.1</t>
  </si>
  <si>
    <t>R8N76_RS14195</t>
  </si>
  <si>
    <t>WP_000966421.1</t>
  </si>
  <si>
    <t>R8N76_RS14200</t>
  </si>
  <si>
    <t>WP_001086770.1</t>
  </si>
  <si>
    <t>R8N76_RS14205</t>
  </si>
  <si>
    <t>acetyl-CoA C-acetyltransferase</t>
  </si>
  <si>
    <t>WP_002195957.1</t>
  </si>
  <si>
    <t>R8N76_RS14210</t>
  </si>
  <si>
    <t>3-hydroxybutyryl-CoA dehydrogenase</t>
  </si>
  <si>
    <t>WP_000538873.1</t>
  </si>
  <si>
    <t>R8N76_RS14215</t>
  </si>
  <si>
    <t>WP_001011179.1</t>
  </si>
  <si>
    <t>R8N76_RS14220</t>
  </si>
  <si>
    <t>acyl-CoA dehydrogenase AcdA</t>
  </si>
  <si>
    <t>acdA</t>
  </si>
  <si>
    <t>WP_000545544.1</t>
  </si>
  <si>
    <t>R8N76_RS14225</t>
  </si>
  <si>
    <t>WP_000238605.1</t>
  </si>
  <si>
    <t>R8N76_RS14230</t>
  </si>
  <si>
    <t>DNA-directed RNA polymerase subunit delta</t>
  </si>
  <si>
    <t>rpoE</t>
  </si>
  <si>
    <t>WP_000346278.1</t>
  </si>
  <si>
    <t>R8N76_RS14235</t>
  </si>
  <si>
    <t>CTP synthase</t>
  </si>
  <si>
    <t>pyrG</t>
  </si>
  <si>
    <t>WP_000170460.1</t>
  </si>
  <si>
    <t>R8N76_RS14240</t>
  </si>
  <si>
    <t>DUF2529 domain-containing protein</t>
  </si>
  <si>
    <t>WP_000912402.1</t>
  </si>
  <si>
    <t>R8N76_RS14245</t>
  </si>
  <si>
    <t>sporulation initiation phosphotransferase Spo0F</t>
  </si>
  <si>
    <t>spo0F</t>
  </si>
  <si>
    <t>WP_000398594.1</t>
  </si>
  <si>
    <t>R8N76_RS14250</t>
  </si>
  <si>
    <t>class II fructose-bisphosphate aldolase</t>
  </si>
  <si>
    <t>WP_001131855.1</t>
  </si>
  <si>
    <t>R8N76_RS14255</t>
  </si>
  <si>
    <t>UDP-N-acetylglucosamine 1-carboxyvinyltransferase</t>
  </si>
  <si>
    <t>murA</t>
  </si>
  <si>
    <t>WP_000413268.1</t>
  </si>
  <si>
    <t>R8N76_RS14260</t>
  </si>
  <si>
    <t>class II fructose-bisphosphatase</t>
  </si>
  <si>
    <t>glpX</t>
  </si>
  <si>
    <t>WP_000442341.1</t>
  </si>
  <si>
    <t>R8N76_RS14265</t>
  </si>
  <si>
    <t>transcription termination factor Rho</t>
  </si>
  <si>
    <t>rho</t>
  </si>
  <si>
    <t>WP_001053903.1</t>
  </si>
  <si>
    <t>R8N76_RS14270</t>
  </si>
  <si>
    <t>type B 50S ribosomal protein L31</t>
  </si>
  <si>
    <t>WP_000643433.1</t>
  </si>
  <si>
    <t>R8N76_RS14275</t>
  </si>
  <si>
    <t>thymidine kinase</t>
  </si>
  <si>
    <t>WP_000280859.1</t>
  </si>
  <si>
    <t>R8N76_RS14280</t>
  </si>
  <si>
    <t>peptide chain release factor 1</t>
  </si>
  <si>
    <t>prfA</t>
  </si>
  <si>
    <t>WP_000887064.1</t>
  </si>
  <si>
    <t>R8N76_RS14285</t>
  </si>
  <si>
    <t>peptide chain release factor N(5)-glutamine methyltransferase</t>
  </si>
  <si>
    <t>prmC</t>
  </si>
  <si>
    <t>WP_001267061.1</t>
  </si>
  <si>
    <t>R8N76_RS14290</t>
  </si>
  <si>
    <t>stage II sporulation protein R</t>
  </si>
  <si>
    <t>spoIIR</t>
  </si>
  <si>
    <t>WP_000745065.1</t>
  </si>
  <si>
    <t>R8N76_RS14295</t>
  </si>
  <si>
    <t>mechanosensitive ion channel protein</t>
  </si>
  <si>
    <t>WP_000758437.1</t>
  </si>
  <si>
    <t>R8N76_RS14300</t>
  </si>
  <si>
    <t>L-threonylcarbamoyladenylate synthase</t>
  </si>
  <si>
    <t>WP_000557353.1</t>
  </si>
  <si>
    <t>R8N76_RS14305</t>
  </si>
  <si>
    <t>manganese efflux pump MntP family protein</t>
  </si>
  <si>
    <t>WP_000142475.1</t>
  </si>
  <si>
    <t>R8N76_RS14310</t>
  </si>
  <si>
    <t>WP_001037634.1</t>
  </si>
  <si>
    <t>R8N76_RS14315</t>
  </si>
  <si>
    <t>DUF3935 domain-containing protein</t>
  </si>
  <si>
    <t>WP_000197472.1</t>
  </si>
  <si>
    <t>R8N76_RS14320</t>
  </si>
  <si>
    <t>flavin reductase family protein</t>
  </si>
  <si>
    <t>WP_000949054.1</t>
  </si>
  <si>
    <t>R8N76_RS14325</t>
  </si>
  <si>
    <t>WP_000968616.1</t>
  </si>
  <si>
    <t>R8N76_RS14330</t>
  </si>
  <si>
    <t>PTS glucose transporter subunit IIA</t>
  </si>
  <si>
    <t>WP_000473665.1</t>
  </si>
  <si>
    <t>R8N76_RS14335</t>
  </si>
  <si>
    <t>low molecular weight protein arginine phosphatase</t>
  </si>
  <si>
    <t>WP_000832373.1</t>
  </si>
  <si>
    <t>R8N76_RS14340</t>
  </si>
  <si>
    <t>ribose 5-phosphate isomerase B</t>
  </si>
  <si>
    <t>rpiB</t>
  </si>
  <si>
    <t>WP_000869538.1</t>
  </si>
  <si>
    <t>R8N76_RS14345</t>
  </si>
  <si>
    <t>TIGR01440 family protein</t>
  </si>
  <si>
    <t>WP_000136374.1</t>
  </si>
  <si>
    <t>R8N76_RS14350</t>
  </si>
  <si>
    <t>serine hydroxymethyltransferase</t>
  </si>
  <si>
    <t>glyA</t>
  </si>
  <si>
    <t>WP_000349805.1</t>
  </si>
  <si>
    <t>R8N76_RS14355</t>
  </si>
  <si>
    <t>uracil phosphoribosyltransferase</t>
  </si>
  <si>
    <t>upp</t>
  </si>
  <si>
    <t>WP_000517539.1</t>
  </si>
  <si>
    <t>R8N76_RS14360</t>
  </si>
  <si>
    <t>DUF4024 domain-containing protein</t>
  </si>
  <si>
    <t>WP_000232962.1</t>
  </si>
  <si>
    <t>R8N76_RS14365</t>
  </si>
  <si>
    <t>AtpZ/AtpI family protein</t>
  </si>
  <si>
    <t>WP_001171223.1</t>
  </si>
  <si>
    <t>R8N76_RS14370</t>
  </si>
  <si>
    <t>WP_000567600.1</t>
  </si>
  <si>
    <t>R8N76_RS14375</t>
  </si>
  <si>
    <t>F0F1 ATP synthase subunit A</t>
  </si>
  <si>
    <t>atpB</t>
  </si>
  <si>
    <t>WP_000399871.1</t>
  </si>
  <si>
    <t>R8N76_RS14380</t>
  </si>
  <si>
    <t>F0F1 ATP synthase subunit C</t>
  </si>
  <si>
    <t>atpE</t>
  </si>
  <si>
    <t>WP_000052064.1</t>
  </si>
  <si>
    <t>R8N76_RS14385</t>
  </si>
  <si>
    <t>F0F1 ATP synthase subunit B</t>
  </si>
  <si>
    <t>atpF</t>
  </si>
  <si>
    <t>WP_001142624.1</t>
  </si>
  <si>
    <t>R8N76_RS14390</t>
  </si>
  <si>
    <t>F0F1 ATP synthase subunit delta</t>
  </si>
  <si>
    <t>atpH</t>
  </si>
  <si>
    <t>WP_000064683.1</t>
  </si>
  <si>
    <t>R8N76_RS14395</t>
  </si>
  <si>
    <t>F0F1 ATP synthase subunit alpha</t>
  </si>
  <si>
    <t>atpA</t>
  </si>
  <si>
    <t>WP_000027518.1</t>
  </si>
  <si>
    <t>R8N76_RS14400</t>
  </si>
  <si>
    <t>F0F1 ATP synthase subunit gamma</t>
  </si>
  <si>
    <t>atpG</t>
  </si>
  <si>
    <t>WP_000157696.1</t>
  </si>
  <si>
    <t>R8N76_RS14405</t>
  </si>
  <si>
    <t>F0F1 ATP synthase subunit beta</t>
  </si>
  <si>
    <t>atpD</t>
  </si>
  <si>
    <t>WP_001032595.1</t>
  </si>
  <si>
    <t>R8N76_RS14410</t>
  </si>
  <si>
    <t>F0F1 ATP synthase subunit epsilon</t>
  </si>
  <si>
    <t>atpC</t>
  </si>
  <si>
    <t>WP_000847211.1</t>
  </si>
  <si>
    <t>R8N76_RS14415</t>
  </si>
  <si>
    <t>DUF975 family protein</t>
  </si>
  <si>
    <t>WP_000578820.1</t>
  </si>
  <si>
    <t>R8N76_RS14420</t>
  </si>
  <si>
    <t>WP_000622462.1</t>
  </si>
  <si>
    <t>R8N76_RS14425</t>
  </si>
  <si>
    <t>WP_000745011.1</t>
  </si>
  <si>
    <t>R8N76_RS14430</t>
  </si>
  <si>
    <t>NADH-quinone oxidoreductase subunit NuoA</t>
  </si>
  <si>
    <t>nuoA</t>
  </si>
  <si>
    <t>WP_000179273.1</t>
  </si>
  <si>
    <t>R8N76_RS14435</t>
  </si>
  <si>
    <t>NADH-quinone oxidoreductase subunit NuoB</t>
  </si>
  <si>
    <t>nuoB</t>
  </si>
  <si>
    <t>WP_000236331.1</t>
  </si>
  <si>
    <t>R8N76_RS14440</t>
  </si>
  <si>
    <t>NADH-quinone oxidoreductase subunit C</t>
  </si>
  <si>
    <t>WP_000070263.1</t>
  </si>
  <si>
    <t>R8N76_RS14445</t>
  </si>
  <si>
    <t>NADH-quinone oxidoreductase subunit NuoD</t>
  </si>
  <si>
    <t>nuoD</t>
  </si>
  <si>
    <t>WP_000621434.1</t>
  </si>
  <si>
    <t>R8N76_RS14450</t>
  </si>
  <si>
    <t>NADH-quinone oxidoreductase subunit NuoH</t>
  </si>
  <si>
    <t>nuoH</t>
  </si>
  <si>
    <t>WP_000573426.1</t>
  </si>
  <si>
    <t>R8N76_RS14455</t>
  </si>
  <si>
    <t>NADH-quinone oxidoreductase subunit NuoI</t>
  </si>
  <si>
    <t>nuoI</t>
  </si>
  <si>
    <t>WP_000677191.1</t>
  </si>
  <si>
    <t>R8N76_RS14460</t>
  </si>
  <si>
    <t>NADH-quinone oxidoreductase subunit J</t>
  </si>
  <si>
    <t>WP_001012812.1</t>
  </si>
  <si>
    <t>R8N76_RS14465</t>
  </si>
  <si>
    <t>NADH-quinone oxidoreductase subunit NuoK</t>
  </si>
  <si>
    <t>nuoK</t>
  </si>
  <si>
    <t>WP_000100077.1</t>
  </si>
  <si>
    <t>R8N76_RS14470</t>
  </si>
  <si>
    <t>NADH-quinone oxidoreductase subunit L</t>
  </si>
  <si>
    <t>nuoL</t>
  </si>
  <si>
    <t>WP_000568230.1</t>
  </si>
  <si>
    <t>R8N76_RS14475</t>
  </si>
  <si>
    <t>NADH-quinone oxidoreductase subunit M</t>
  </si>
  <si>
    <t>WP_000998926.1</t>
  </si>
  <si>
    <t>R8N76_RS14480</t>
  </si>
  <si>
    <t>NADH-quinone oxidoreductase subunit NuoN</t>
  </si>
  <si>
    <t>nuoN</t>
  </si>
  <si>
    <t>WP_016125743.1</t>
  </si>
  <si>
    <t>R8N76_RS14485</t>
  </si>
  <si>
    <t>DUF1146 family protein</t>
  </si>
  <si>
    <t>WP_000057889.1</t>
  </si>
  <si>
    <t>R8N76_RS14490</t>
  </si>
  <si>
    <t>YwmB family TATA-box binding protein</t>
  </si>
  <si>
    <t>WP_000767916.1</t>
  </si>
  <si>
    <t>R8N76_RS14495</t>
  </si>
  <si>
    <t>WP_000411274.1</t>
  </si>
  <si>
    <t>R8N76_RS14500</t>
  </si>
  <si>
    <t>stage II sporulation protein D</t>
  </si>
  <si>
    <t>spoIID</t>
  </si>
  <si>
    <t>WP_000672662.1</t>
  </si>
  <si>
    <t>R8N76_RS14505</t>
  </si>
  <si>
    <t>LytTR family transcriptional regulator DNA-binding domain-containing protein</t>
  </si>
  <si>
    <t>WP_001185912.1</t>
  </si>
  <si>
    <t>R8N76_RS14510</t>
  </si>
  <si>
    <t>WP_000170865.1</t>
  </si>
  <si>
    <t>R8N76_RS14515</t>
  </si>
  <si>
    <t>WP_000144450.1</t>
  </si>
  <si>
    <t>R8N76_RS14520</t>
  </si>
  <si>
    <t>WP_001214926.1</t>
  </si>
  <si>
    <t>R8N76_RS14525</t>
  </si>
  <si>
    <t>WP_000008901.1</t>
  </si>
  <si>
    <t>R8N76_RS14530</t>
  </si>
  <si>
    <t>sporulation transcriptional regulator SpoIIID</t>
  </si>
  <si>
    <t>spoIIID</t>
  </si>
  <si>
    <t>WP_000544012.1</t>
  </si>
  <si>
    <t>R8N76_RS14535</t>
  </si>
  <si>
    <t>rod shape-determining protein</t>
  </si>
  <si>
    <t>WP_000457978.1</t>
  </si>
  <si>
    <t>R8N76_RS14540</t>
  </si>
  <si>
    <t>3-hydroxyacyl-ACP dehydratase FabZ</t>
  </si>
  <si>
    <t>fabZ</t>
  </si>
  <si>
    <t>WP_000931959.1</t>
  </si>
  <si>
    <t>R8N76_RS14545</t>
  </si>
  <si>
    <t>WP_000467955.1</t>
  </si>
  <si>
    <t>R8N76_RS14550</t>
  </si>
  <si>
    <t>WP_000393128.1</t>
  </si>
  <si>
    <t>R8N76_RS14555</t>
  </si>
  <si>
    <t>WP_001207193.1</t>
  </si>
  <si>
    <t>R8N76_RS14560</t>
  </si>
  <si>
    <t>tyrosine-protein phosphatase</t>
  </si>
  <si>
    <t>WP_011110492.1</t>
  </si>
  <si>
    <t>R8N76_RS14565</t>
  </si>
  <si>
    <t>UTP--glucose-1-phosphate uridylyltransferase BpsC</t>
  </si>
  <si>
    <t>bpsC</t>
  </si>
  <si>
    <t>WP_000757832.1</t>
  </si>
  <si>
    <t>R8N76_RS14570</t>
  </si>
  <si>
    <t>nucleoside-diphosphate sugar epimerase/dehydratase</t>
  </si>
  <si>
    <t>WP_033685340.1</t>
  </si>
  <si>
    <t>R8N76_RS14575</t>
  </si>
  <si>
    <t>DegT/DnrJ/EryC1/StrS aminotransferase family protein</t>
  </si>
  <si>
    <t>WP_000609547.1</t>
  </si>
  <si>
    <t>R8N76_RS14580</t>
  </si>
  <si>
    <t>acetyl-CoA carboxylase biotin carboxylase subunit family protein</t>
  </si>
  <si>
    <t>WP_000747555.1</t>
  </si>
  <si>
    <t>R8N76_RS14585</t>
  </si>
  <si>
    <t>WP_000686358.1</t>
  </si>
  <si>
    <t>R8N76_RS14590</t>
  </si>
  <si>
    <t>WP_000286451.1</t>
  </si>
  <si>
    <t>R8N76_RS14595</t>
  </si>
  <si>
    <t>WP_001057959.1</t>
  </si>
  <si>
    <t>R8N76_RS14600</t>
  </si>
  <si>
    <t>O-antigen polysaccharide polymerase Wzy family protein</t>
  </si>
  <si>
    <t>WP_001169436.1</t>
  </si>
  <si>
    <t>R8N76_RS14605</t>
  </si>
  <si>
    <t>WP_000908873.1</t>
  </si>
  <si>
    <t>R8N76_RS14610</t>
  </si>
  <si>
    <t>lipopolysaccharide biosynthesis protein</t>
  </si>
  <si>
    <t>WP_001108298.1</t>
  </si>
  <si>
    <t>R8N76_RS14615</t>
  </si>
  <si>
    <t>LytR family transcriptional regulator</t>
  </si>
  <si>
    <t>WP_000727039.1</t>
  </si>
  <si>
    <t>R8N76_RS14620</t>
  </si>
  <si>
    <t>WP_001034173.1</t>
  </si>
  <si>
    <t>R8N76_RS14625</t>
  </si>
  <si>
    <t>WP_001084657.1</t>
  </si>
  <si>
    <t>R8N76_RS14630</t>
  </si>
  <si>
    <t>WP_000699553.1</t>
  </si>
  <si>
    <t>R8N76_RS14635</t>
  </si>
  <si>
    <t>WP_000054029.1</t>
  </si>
  <si>
    <t>R8N76_RS14640</t>
  </si>
  <si>
    <t>DUF3919 family protein</t>
  </si>
  <si>
    <t>WP_000826618.1</t>
  </si>
  <si>
    <t>R8N76_RS14645</t>
  </si>
  <si>
    <t>WP_001225643.1</t>
  </si>
  <si>
    <t>R8N76_RS14650</t>
  </si>
  <si>
    <t>WP_000477575.1</t>
  </si>
  <si>
    <t>R8N76_RS14655</t>
  </si>
  <si>
    <t>DUF3278 domain-containing protein</t>
  </si>
  <si>
    <t>WP_000975592.1</t>
  </si>
  <si>
    <t>R8N76_RS14660</t>
  </si>
  <si>
    <t>WP_001067011.1</t>
  </si>
  <si>
    <t>R8N76_RS14665</t>
  </si>
  <si>
    <t>WP_000937330.1</t>
  </si>
  <si>
    <t>R8N76_RS14670</t>
  </si>
  <si>
    <t>WP_000631603.1</t>
  </si>
  <si>
    <t>R8N76_RS14675</t>
  </si>
  <si>
    <t>WP_000054370.1</t>
  </si>
  <si>
    <t>R8N76_RS14680</t>
  </si>
  <si>
    <t>Yip1 family protein</t>
  </si>
  <si>
    <t>WP_000387932.1</t>
  </si>
  <si>
    <t>R8N76_RS14685</t>
  </si>
  <si>
    <t>WP_002025078.1</t>
  </si>
  <si>
    <t>R8N76_RS14690</t>
  </si>
  <si>
    <t>WP_000997461.1</t>
  </si>
  <si>
    <t>R8N76_RS14695</t>
  </si>
  <si>
    <t>DUF4359 domain-containing protein</t>
  </si>
  <si>
    <t>WP_000731405.1</t>
  </si>
  <si>
    <t>R8N76_RS14700</t>
  </si>
  <si>
    <t>DUF2922 domain-containing protein</t>
  </si>
  <si>
    <t>WP_001197593.1</t>
  </si>
  <si>
    <t>R8N76_RS14705</t>
  </si>
  <si>
    <t>DUF1659 domain-containing protein</t>
  </si>
  <si>
    <t>WP_000963857.1</t>
  </si>
  <si>
    <t>R8N76_RS14710</t>
  </si>
  <si>
    <t>WP_001080707.1</t>
  </si>
  <si>
    <t>R8N76_RS14715</t>
  </si>
  <si>
    <t>WP_000610098.1</t>
  </si>
  <si>
    <t>R8N76_RS14720</t>
  </si>
  <si>
    <t>SWIM zinc finger domain-containing protein</t>
  </si>
  <si>
    <t>WP_000939143.1</t>
  </si>
  <si>
    <t>R8N76_RS14725</t>
  </si>
  <si>
    <t>WP_001281394.1</t>
  </si>
  <si>
    <t>R8N76_RS14730</t>
  </si>
  <si>
    <t>WP_000271651.1</t>
  </si>
  <si>
    <t>R8N76_RS14735</t>
  </si>
  <si>
    <t>WP_000666879.1</t>
  </si>
  <si>
    <t>R8N76_RS14740</t>
  </si>
  <si>
    <t>DUF3910 family protein</t>
  </si>
  <si>
    <t>WP_001102539.1</t>
  </si>
  <si>
    <t>R8N76_RS14745</t>
  </si>
  <si>
    <t>cell wall-binding protein EntA</t>
  </si>
  <si>
    <t>WP_000733326.1</t>
  </si>
  <si>
    <t>R8N76_RS14750</t>
  </si>
  <si>
    <t>WP_001229103.1</t>
  </si>
  <si>
    <t>R8N76_RS14755</t>
  </si>
  <si>
    <t>WP_000988751.1</t>
  </si>
  <si>
    <t>R8N76_RS14760</t>
  </si>
  <si>
    <t>diguanylate cyclase domain-containing protein</t>
  </si>
  <si>
    <t>WP_000653222.1</t>
  </si>
  <si>
    <t>R8N76_RS14765</t>
  </si>
  <si>
    <t>WP_001051019.1</t>
  </si>
  <si>
    <t>R8N76_RS14770</t>
  </si>
  <si>
    <t>WP_000760278.1</t>
  </si>
  <si>
    <t>R8N76_RS14775</t>
  </si>
  <si>
    <t>WP_002195934.1</t>
  </si>
  <si>
    <t>R8N76_RS14780</t>
  </si>
  <si>
    <t>WP_000665358.1</t>
  </si>
  <si>
    <t>R8N76_RS14785</t>
  </si>
  <si>
    <t>WP_000810367.1</t>
  </si>
  <si>
    <t>R8N76_RS14790</t>
  </si>
  <si>
    <t>metal-binding protein</t>
  </si>
  <si>
    <t>WP_001139056.1</t>
  </si>
  <si>
    <t>R8N76_RS14795</t>
  </si>
  <si>
    <t>WP_001014096.1</t>
  </si>
  <si>
    <t>R8N76_RS14800</t>
  </si>
  <si>
    <t>lldP</t>
  </si>
  <si>
    <t>WP_001099335.1</t>
  </si>
  <si>
    <t>R8N76_RS14805</t>
  </si>
  <si>
    <t>phosphomethylpyrimidine synthase ThiC</t>
  </si>
  <si>
    <t>thiC</t>
  </si>
  <si>
    <t>WP_000814482.1</t>
  </si>
  <si>
    <t>R8N76_RS14810</t>
  </si>
  <si>
    <t>arsenic transporter</t>
  </si>
  <si>
    <t>WP_000021127.1</t>
  </si>
  <si>
    <t>R8N76_RS14815</t>
  </si>
  <si>
    <t>WP_000544187.1</t>
  </si>
  <si>
    <t>R8N76_RS14820</t>
  </si>
  <si>
    <t>WP_000381978.1</t>
  </si>
  <si>
    <t>R8N76_RS14825</t>
  </si>
  <si>
    <t>WP_000283180.1</t>
  </si>
  <si>
    <t>R8N76_RS14830</t>
  </si>
  <si>
    <t>WP_001231659.1</t>
  </si>
  <si>
    <t>R8N76_RS14835</t>
  </si>
  <si>
    <t>WP_000421915.1</t>
  </si>
  <si>
    <t>R8N76_RS14840</t>
  </si>
  <si>
    <t>WP_000676339.1</t>
  </si>
  <si>
    <t>R8N76_RS14845</t>
  </si>
  <si>
    <t>WP_000610162.1</t>
  </si>
  <si>
    <t>R8N76_RS14850</t>
  </si>
  <si>
    <t>WP_000194332.1</t>
  </si>
  <si>
    <t>R8N76_RS14855</t>
  </si>
  <si>
    <t>WP_000649362.1</t>
  </si>
  <si>
    <t>R8N76_RS14860</t>
  </si>
  <si>
    <t>WP_001023543.1</t>
  </si>
  <si>
    <t>R8N76_RS14865</t>
  </si>
  <si>
    <t>PTS cellobiose transporter subunit IIC</t>
  </si>
  <si>
    <t>celB</t>
  </si>
  <si>
    <t>WP_000617789.1</t>
  </si>
  <si>
    <t>R8N76_RS14870</t>
  </si>
  <si>
    <t>WP_000379645.1</t>
  </si>
  <si>
    <t>R8N76_RS14875</t>
  </si>
  <si>
    <t>adenosylmethionine decarboxylase</t>
  </si>
  <si>
    <t>speD</t>
  </si>
  <si>
    <t>WP_000456821.1</t>
  </si>
  <si>
    <t>R8N76_RS14880</t>
  </si>
  <si>
    <t>WP_001123965.1</t>
  </si>
  <si>
    <t>R8N76_RS14885</t>
  </si>
  <si>
    <t>WP_001023569.1</t>
  </si>
  <si>
    <t>R8N76_RS14890</t>
  </si>
  <si>
    <t>WP_001168822.1</t>
  </si>
  <si>
    <t>R8N76_RS14895</t>
  </si>
  <si>
    <t>WP_000989059.1</t>
  </si>
  <si>
    <t>R8N76_RS14900</t>
  </si>
  <si>
    <t>6-phospho-beta-glucosidase</t>
  </si>
  <si>
    <t>celF</t>
  </si>
  <si>
    <t>WP_000145750.1</t>
  </si>
  <si>
    <t>R8N76_RS14905</t>
  </si>
  <si>
    <t>chitin disaccharide deacetylase</t>
  </si>
  <si>
    <t>chbG</t>
  </si>
  <si>
    <t>WP_000593496.1</t>
  </si>
  <si>
    <t>R8N76_RS14910</t>
  </si>
  <si>
    <t>chromate transporter</t>
  </si>
  <si>
    <t>WP_000739648.1</t>
  </si>
  <si>
    <t>R8N76_RS14915</t>
  </si>
  <si>
    <t>exosporium regulatory protein ExsM</t>
  </si>
  <si>
    <t>exsM</t>
  </si>
  <si>
    <t>WP_000207046.1</t>
  </si>
  <si>
    <t>R8N76_RS14920</t>
  </si>
  <si>
    <t>PRD domain-containing protein</t>
  </si>
  <si>
    <t>WP_000820973.1</t>
  </si>
  <si>
    <t>R8N76_RS14925</t>
  </si>
  <si>
    <t>WP_000597149.1</t>
  </si>
  <si>
    <t>R8N76_RS14930</t>
  </si>
  <si>
    <t>WP_000378318.1</t>
  </si>
  <si>
    <t>R8N76_RS14935</t>
  </si>
  <si>
    <t>UDP-glucose/GDP-mannose dehydrogenase family protein</t>
  </si>
  <si>
    <t>WP_000704931.1</t>
  </si>
  <si>
    <t>R8N76_RS14940</t>
  </si>
  <si>
    <t>non-hydrolyzing UDP-N-acetylglucosamine 2-epimerase</t>
  </si>
  <si>
    <t>wecB</t>
  </si>
  <si>
    <t>WP_000140145.1</t>
  </si>
  <si>
    <t>R8N76_RS14945</t>
  </si>
  <si>
    <t>WP_000392794.1</t>
  </si>
  <si>
    <t>R8N76_RS14950</t>
  </si>
  <si>
    <t>YigZ family protein</t>
  </si>
  <si>
    <t>WP_000926669.1</t>
  </si>
  <si>
    <t>R8N76_RS14955</t>
  </si>
  <si>
    <t>WP_000684725.1</t>
  </si>
  <si>
    <t>R8N76_RS14960</t>
  </si>
  <si>
    <t>WP_000400857.1</t>
  </si>
  <si>
    <t>R8N76_RS14965</t>
  </si>
  <si>
    <t>NlpC/P60 family protein</t>
  </si>
  <si>
    <t>WP_000499481.1</t>
  </si>
  <si>
    <t>R8N76_RS14970</t>
  </si>
  <si>
    <t>R8N76_RS14975</t>
  </si>
  <si>
    <t>R8N76_RS14980</t>
  </si>
  <si>
    <t>ATP-dependent helicase ComFA</t>
  </si>
  <si>
    <t>comFA</t>
  </si>
  <si>
    <t>WP_000225360.1</t>
  </si>
  <si>
    <t>R8N76_RS14985</t>
  </si>
  <si>
    <t>ComF family protein</t>
  </si>
  <si>
    <t>WP_011110483.1</t>
  </si>
  <si>
    <t>R8N76_RS14990</t>
  </si>
  <si>
    <t>cold shock protein CspC</t>
  </si>
  <si>
    <t>cspC</t>
  </si>
  <si>
    <t>WP_001990088.1</t>
  </si>
  <si>
    <t>R8N76_RS14995</t>
  </si>
  <si>
    <t>ribosome hibernation-promoting factor, HPF/YfiA family</t>
  </si>
  <si>
    <t>hpf</t>
  </si>
  <si>
    <t>WP_000671185.1</t>
  </si>
  <si>
    <t>R8N76_RS15000</t>
  </si>
  <si>
    <t>preprotein translocase subunit SecA</t>
  </si>
  <si>
    <t>secA</t>
  </si>
  <si>
    <t>WP_000579386.1</t>
  </si>
  <si>
    <t>R8N76_RS15005</t>
  </si>
  <si>
    <t>peptide chain release factor 2</t>
  </si>
  <si>
    <t>prfB</t>
  </si>
  <si>
    <t>WP_096001716.1</t>
  </si>
  <si>
    <t>R8N76_RS15010</t>
  </si>
  <si>
    <t>cytochrome c551</t>
  </si>
  <si>
    <t>cccB</t>
  </si>
  <si>
    <t>WP_000727971.1</t>
  </si>
  <si>
    <t>R8N76_RS15015</t>
  </si>
  <si>
    <t>cell division ATP-binding protein FtsE</t>
  </si>
  <si>
    <t>ftsE</t>
  </si>
  <si>
    <t>WP_000594321.1</t>
  </si>
  <si>
    <t>R8N76_RS15020</t>
  </si>
  <si>
    <t>permease-like cell division protein FtsX</t>
  </si>
  <si>
    <t>ftsX</t>
  </si>
  <si>
    <t>WP_000645027.1</t>
  </si>
  <si>
    <t>R8N76_RS15025</t>
  </si>
  <si>
    <t>S41 family peptidase</t>
  </si>
  <si>
    <t>WP_002042002.1</t>
  </si>
  <si>
    <t>R8N76_RS15030</t>
  </si>
  <si>
    <t>PDZ domain-containing protein</t>
  </si>
  <si>
    <t>WP_000388621.1</t>
  </si>
  <si>
    <t>R8N76_RS15035</t>
  </si>
  <si>
    <t>WP_000944620.1</t>
  </si>
  <si>
    <t>R8N76_RS15040</t>
  </si>
  <si>
    <t>WP_000637521.1</t>
  </si>
  <si>
    <t>R8N76_RS15045</t>
  </si>
  <si>
    <t>R8N76_RS15050</t>
  </si>
  <si>
    <t>WP_000153757.1</t>
  </si>
  <si>
    <t>R8N76_RS15055</t>
  </si>
  <si>
    <t>flavodoxin family protein</t>
  </si>
  <si>
    <t>WP_000497611.1</t>
  </si>
  <si>
    <t>R8N76_RS15060</t>
  </si>
  <si>
    <t>WP_001219204.1</t>
  </si>
  <si>
    <t>R8N76_RS15065</t>
  </si>
  <si>
    <t>WP_001100009.1</t>
  </si>
  <si>
    <t>R8N76_RS15070</t>
  </si>
  <si>
    <t>YeiH family protein</t>
  </si>
  <si>
    <t>WP_000438415.1</t>
  </si>
  <si>
    <t>R8N76_RS15075</t>
  </si>
  <si>
    <t>WP_000538370.1</t>
  </si>
  <si>
    <t>R8N76_RS15080</t>
  </si>
  <si>
    <t>WP_000524139.1</t>
  </si>
  <si>
    <t>R8N76_RS15085</t>
  </si>
  <si>
    <t>WP_000260344.1</t>
  </si>
  <si>
    <t>R8N76_RS15090</t>
  </si>
  <si>
    <t>WP_000025210.1</t>
  </si>
  <si>
    <t>R8N76_RS15095</t>
  </si>
  <si>
    <t>DUF4362 domain-containing protein</t>
  </si>
  <si>
    <t>WP_000151272.1</t>
  </si>
  <si>
    <t>R8N76_RS15100</t>
  </si>
  <si>
    <t>excinuclease ABC subunit B</t>
  </si>
  <si>
    <t>uvrB</t>
  </si>
  <si>
    <t>WP_000441064.1</t>
  </si>
  <si>
    <t>R8N76_RS15105</t>
  </si>
  <si>
    <t>uvrA</t>
  </si>
  <si>
    <t>WP_000045572.1</t>
  </si>
  <si>
    <t>R8N76_RS15110</t>
  </si>
  <si>
    <t>DUF4275 family protein</t>
  </si>
  <si>
    <t>WP_000394739.1</t>
  </si>
  <si>
    <t>R8N76_RS15115</t>
  </si>
  <si>
    <t>phage holin family protein</t>
  </si>
  <si>
    <t>WP_001267308.1</t>
  </si>
  <si>
    <t>R8N76_RS15120</t>
  </si>
  <si>
    <t>HPr(Ser) kinase/phosphatase</t>
  </si>
  <si>
    <t>hprK</t>
  </si>
  <si>
    <t>WP_001127250.1</t>
  </si>
  <si>
    <t>R8N76_RS15125</t>
  </si>
  <si>
    <t>prolipoprotein diacylglyceryl transferase</t>
  </si>
  <si>
    <t>lgt</t>
  </si>
  <si>
    <t>WP_000922849.1</t>
  </si>
  <si>
    <t>R8N76_RS15130</t>
  </si>
  <si>
    <t>pyrophosphatase PpaX</t>
  </si>
  <si>
    <t>ppaX</t>
  </si>
  <si>
    <t>WP_001222403.1</t>
  </si>
  <si>
    <t>R8N76_RS15135</t>
  </si>
  <si>
    <t>DapH/DapD/GlmU-related protein</t>
  </si>
  <si>
    <t>WP_001255055.1</t>
  </si>
  <si>
    <t>R8N76_RS15140</t>
  </si>
  <si>
    <t>WP_000517741.1</t>
  </si>
  <si>
    <t>R8N76_RS15145</t>
  </si>
  <si>
    <t>thioredoxin-disulfide reductase</t>
  </si>
  <si>
    <t>trxB</t>
  </si>
  <si>
    <t>WP_001288078.1</t>
  </si>
  <si>
    <t>R8N76_RS15150</t>
  </si>
  <si>
    <t>DUF368 domain-containing protein</t>
  </si>
  <si>
    <t>WP_000455196.1</t>
  </si>
  <si>
    <t>R8N76_RS15155</t>
  </si>
  <si>
    <t>WP_001190080.1</t>
  </si>
  <si>
    <t>R8N76_RS15160</t>
  </si>
  <si>
    <t>RNase adapter RapZ</t>
  </si>
  <si>
    <t>rapZ</t>
  </si>
  <si>
    <t>WP_000138459.1</t>
  </si>
  <si>
    <t>R8N76_RS15165</t>
  </si>
  <si>
    <t>YvcK family protein</t>
  </si>
  <si>
    <t>yvcK</t>
  </si>
  <si>
    <t>WP_000712188.1</t>
  </si>
  <si>
    <t>R8N76_RS15170</t>
  </si>
  <si>
    <t>DNA-binding protein WhiA</t>
  </si>
  <si>
    <t>whiA</t>
  </si>
  <si>
    <t>WP_000006558.1</t>
  </si>
  <si>
    <t>R8N76_RS15175</t>
  </si>
  <si>
    <t>HPr family phosphocarrier protein</t>
  </si>
  <si>
    <t>WP_000250307.1</t>
  </si>
  <si>
    <t>R8N76_RS15180</t>
  </si>
  <si>
    <t>ATP-dependent Clp endopeptidase proteolytic subunit ClpP</t>
  </si>
  <si>
    <t>clpP</t>
  </si>
  <si>
    <t>WP_001049162.1</t>
  </si>
  <si>
    <t>R8N76_RS15185</t>
  </si>
  <si>
    <t>WP_000018922.1</t>
  </si>
  <si>
    <t>R8N76_RS15190</t>
  </si>
  <si>
    <t>DUF1657 domain-containing protein</t>
  </si>
  <si>
    <t>WP_000215909.1</t>
  </si>
  <si>
    <t>R8N76_RS15195</t>
  </si>
  <si>
    <t>stage V sporulation protein AE</t>
  </si>
  <si>
    <t>spoVAE</t>
  </si>
  <si>
    <t>WP_000575919.1</t>
  </si>
  <si>
    <t>R8N76_RS15200</t>
  </si>
  <si>
    <t>stage V sporulation protein AD</t>
  </si>
  <si>
    <t>spoVAD</t>
  </si>
  <si>
    <t>WP_000938970.1</t>
  </si>
  <si>
    <t>R8N76_RS15205</t>
  </si>
  <si>
    <t>stage V sporulation protein AC</t>
  </si>
  <si>
    <t>spoVAC</t>
  </si>
  <si>
    <t>WP_000146953.1</t>
  </si>
  <si>
    <t>R8N76_RS15210</t>
  </si>
  <si>
    <t>YhcN/YlaJ family sporulation lipoprotein</t>
  </si>
  <si>
    <t>WP_001228545.1</t>
  </si>
  <si>
    <t>R8N76_RS15215</t>
  </si>
  <si>
    <t>WP_000216166.1</t>
  </si>
  <si>
    <t>R8N76_RS15220</t>
  </si>
  <si>
    <t>R8N76_RS15225</t>
  </si>
  <si>
    <t>RNA polymerase factor sigma-54</t>
  </si>
  <si>
    <t>rpoN</t>
  </si>
  <si>
    <t>WP_000647959.1</t>
  </si>
  <si>
    <t>R8N76_RS15230</t>
  </si>
  <si>
    <t>glutaredoxin family protein</t>
  </si>
  <si>
    <t>WP_000869730.1</t>
  </si>
  <si>
    <t>R8N76_RS15235</t>
  </si>
  <si>
    <t>gapA transcriptional regulator CggR</t>
  </si>
  <si>
    <t>cggR</t>
  </si>
  <si>
    <t>WP_001258185.1</t>
  </si>
  <si>
    <t>R8N76_RS15240</t>
  </si>
  <si>
    <t>type I glyceraldehyde-3-phosphate dehydrogenase</t>
  </si>
  <si>
    <t>gap</t>
  </si>
  <si>
    <t>WP_000161236.1</t>
  </si>
  <si>
    <t>R8N76_RS15245</t>
  </si>
  <si>
    <t>phosphoglycerate kinase</t>
  </si>
  <si>
    <t>WP_001036350.1</t>
  </si>
  <si>
    <t>R8N76_RS15250</t>
  </si>
  <si>
    <t>triose-phosphate isomerase</t>
  </si>
  <si>
    <t>tpiA</t>
  </si>
  <si>
    <t>WP_001231038.1</t>
  </si>
  <si>
    <t>R8N76_RS15255</t>
  </si>
  <si>
    <t>2,3-bisphosphoglycerate-independent phosphoglycerate mutase</t>
  </si>
  <si>
    <t>gpmI</t>
  </si>
  <si>
    <t>WP_001231152.1</t>
  </si>
  <si>
    <t>R8N76_RS15260</t>
  </si>
  <si>
    <t>phosphopyruvate hydratase</t>
  </si>
  <si>
    <t>eno</t>
  </si>
  <si>
    <t>WP_000103955.1</t>
  </si>
  <si>
    <t>R8N76_RS15265</t>
  </si>
  <si>
    <t>WP_001125051.1</t>
  </si>
  <si>
    <t>R8N76_RS15270</t>
  </si>
  <si>
    <t>CidA/LrgA family holin-like protein</t>
  </si>
  <si>
    <t>WP_000673222.1</t>
  </si>
  <si>
    <t>R8N76_RS15275</t>
  </si>
  <si>
    <t>LrgB family protein</t>
  </si>
  <si>
    <t>WP_000078309.1</t>
  </si>
  <si>
    <t>R8N76_RS15280</t>
  </si>
  <si>
    <t>preprotein translocase subunit SecG</t>
  </si>
  <si>
    <t>secG</t>
  </si>
  <si>
    <t>WP_000557264.1</t>
  </si>
  <si>
    <t>R8N76_RS15285</t>
  </si>
  <si>
    <t>carboxylesterase</t>
  </si>
  <si>
    <t>estA</t>
  </si>
  <si>
    <t>WP_000761986.1</t>
  </si>
  <si>
    <t>R8N76_RS15290</t>
  </si>
  <si>
    <t>ribonuclease R</t>
  </si>
  <si>
    <t>rnr</t>
  </si>
  <si>
    <t>WP_000391087.1</t>
  </si>
  <si>
    <t>R8N76_RS15295</t>
  </si>
  <si>
    <t>SsrA-binding protein</t>
  </si>
  <si>
    <t>smpB</t>
  </si>
  <si>
    <t>WP_001123919.1</t>
  </si>
  <si>
    <t>R8N76_RS15300</t>
  </si>
  <si>
    <t>transfer-messenger RNA</t>
  </si>
  <si>
    <t>ssrA</t>
  </si>
  <si>
    <t>R8N76_RS15305</t>
  </si>
  <si>
    <t>R8N76_RS15310</t>
  </si>
  <si>
    <t>WP_000700654.1</t>
  </si>
  <si>
    <t>R8N76_RS15315</t>
  </si>
  <si>
    <t>WP_001004205.1</t>
  </si>
  <si>
    <t>R8N76_RS15320</t>
  </si>
  <si>
    <t>thiopeptide-type bacteriocin biosynthesis protein</t>
  </si>
  <si>
    <t>WP_000269750.1</t>
  </si>
  <si>
    <t>R8N76_RS15325</t>
  </si>
  <si>
    <t>YcaO-like family protein</t>
  </si>
  <si>
    <t>WP_000417516.1</t>
  </si>
  <si>
    <t>R8N76_RS15330</t>
  </si>
  <si>
    <t>WP_001105870.1</t>
  </si>
  <si>
    <t>R8N76_RS15335</t>
  </si>
  <si>
    <t>WP_000054739.1</t>
  </si>
  <si>
    <t>R8N76_RS15340</t>
  </si>
  <si>
    <t>WP_000276249.1</t>
  </si>
  <si>
    <t>R8N76_RS15345</t>
  </si>
  <si>
    <t>WP_000424293.1</t>
  </si>
  <si>
    <t>R8N76_RS15350</t>
  </si>
  <si>
    <t>WP_227944893.1</t>
  </si>
  <si>
    <t>R8N76_RS15355</t>
  </si>
  <si>
    <t>thiocillin family RiPP</t>
  </si>
  <si>
    <t>WP_000040984.1</t>
  </si>
  <si>
    <t>R8N76_RS15360</t>
  </si>
  <si>
    <t>WP_000391899.1</t>
  </si>
  <si>
    <t>R8N76_RS15365</t>
  </si>
  <si>
    <t>WP_001030755.1</t>
  </si>
  <si>
    <t>R8N76_RS15370</t>
  </si>
  <si>
    <t>R8N76_RS15375</t>
  </si>
  <si>
    <t>WP_011110471.1</t>
  </si>
  <si>
    <t>R8N76_RS15380</t>
  </si>
  <si>
    <t>WP_000459052.1</t>
  </si>
  <si>
    <t>R8N76_RS15385</t>
  </si>
  <si>
    <t>WP_000730191.1</t>
  </si>
  <si>
    <t>R8N76_RS15390</t>
  </si>
  <si>
    <t>TnsA endonuclease N-terminal domain-containing protein</t>
  </si>
  <si>
    <t>WP_002195918.1</t>
  </si>
  <si>
    <t>R8N76_RS15395</t>
  </si>
  <si>
    <t>WP_000085739.1</t>
  </si>
  <si>
    <t>R8N76_RS15400</t>
  </si>
  <si>
    <t>WP_000389487.1</t>
  </si>
  <si>
    <t>R8N76_RS15405</t>
  </si>
  <si>
    <t>R8N76_RS15410</t>
  </si>
  <si>
    <t>WP_001122872.1</t>
  </si>
  <si>
    <t>R8N76_RS15415</t>
  </si>
  <si>
    <t>WP_000815816.1</t>
  </si>
  <si>
    <t>R8N76_RS15420</t>
  </si>
  <si>
    <t>siderophore ABC transporter substrate-binding protein</t>
  </si>
  <si>
    <t>WP_000749449.1</t>
  </si>
  <si>
    <t>R8N76_RS15425</t>
  </si>
  <si>
    <t>WP_000042077.1</t>
  </si>
  <si>
    <t>R8N76_RS15430</t>
  </si>
  <si>
    <t>iron chelate uptake ABC transporter family permease subunit</t>
  </si>
  <si>
    <t>WP_000631245.1</t>
  </si>
  <si>
    <t>R8N76_RS15435</t>
  </si>
  <si>
    <t>WP_000590071.1</t>
  </si>
  <si>
    <t>R8N76_RS15440</t>
  </si>
  <si>
    <t>anthrolysin O/cereolysin O family cholesterol-dependent cytolysin Alo</t>
  </si>
  <si>
    <t>alo</t>
  </si>
  <si>
    <t>WP_000576723.1</t>
  </si>
  <si>
    <t>R8N76_RS15445</t>
  </si>
  <si>
    <t>WP_002164645.1</t>
  </si>
  <si>
    <t>R8N76_RS15450</t>
  </si>
  <si>
    <t>WP_000222859.1</t>
  </si>
  <si>
    <t>R8N76_RS15455</t>
  </si>
  <si>
    <t>DUF4822 domain-containing protein</t>
  </si>
  <si>
    <t>WP_001034139.1</t>
  </si>
  <si>
    <t>R8N76_RS15460</t>
  </si>
  <si>
    <t>R8N76_RS15465</t>
  </si>
  <si>
    <t>R8N76_RS15470</t>
  </si>
  <si>
    <t>R8N76_RS15475</t>
  </si>
  <si>
    <t>WP_000588818.1</t>
  </si>
  <si>
    <t>R8N76_RS15480</t>
  </si>
  <si>
    <t>phytanoyl-CoA dioxygenase family protein</t>
  </si>
  <si>
    <t>WP_000954677.1</t>
  </si>
  <si>
    <t>R8N76_RS15485</t>
  </si>
  <si>
    <t>thiocillin/thiostrepton family thiazolyl peptide</t>
  </si>
  <si>
    <t>WP_001289699.1</t>
  </si>
  <si>
    <t>R8N76_RS15490</t>
  </si>
  <si>
    <t>R8N76_RS15495</t>
  </si>
  <si>
    <t>R8N76_RS15500</t>
  </si>
  <si>
    <t>R8N76_RS15505</t>
  </si>
  <si>
    <t>WP_033695905.1</t>
  </si>
  <si>
    <t>R8N76_RS15510</t>
  </si>
  <si>
    <t>WP_001031656.1</t>
  </si>
  <si>
    <t>R8N76_RS15515</t>
  </si>
  <si>
    <t>lantibiotic dehydratase</t>
  </si>
  <si>
    <t>WP_000802628.1</t>
  </si>
  <si>
    <t>R8N76_RS15520</t>
  </si>
  <si>
    <t>WP_001004937.1</t>
  </si>
  <si>
    <t>R8N76_RS15525</t>
  </si>
  <si>
    <t>lantibiotic dehydratase C-terminal domain-containing protein</t>
  </si>
  <si>
    <t>WP_000438834.1</t>
  </si>
  <si>
    <t>R8N76_RS15530</t>
  </si>
  <si>
    <t>WP_000921487.1</t>
  </si>
  <si>
    <t>R8N76_RS15535</t>
  </si>
  <si>
    <t>WP_000273176.1</t>
  </si>
  <si>
    <t>R8N76_RS15540</t>
  </si>
  <si>
    <t>WP_001084626.1</t>
  </si>
  <si>
    <t>R8N76_RS15545</t>
  </si>
  <si>
    <t>WP_001085924.1</t>
  </si>
  <si>
    <t>R8N76_RS15550</t>
  </si>
  <si>
    <t>WP_001217106.1</t>
  </si>
  <si>
    <t>R8N76_RS15555</t>
  </si>
  <si>
    <t>WP_000758327.1</t>
  </si>
  <si>
    <t>R8N76_RS15560</t>
  </si>
  <si>
    <t>R8N76_RS15565</t>
  </si>
  <si>
    <t>WP_002195877.1</t>
  </si>
  <si>
    <t>R8N76_RS15570</t>
  </si>
  <si>
    <t>spermidine N1-acetyltransferase</t>
  </si>
  <si>
    <t>speG</t>
  </si>
  <si>
    <t>WP_001071095.1</t>
  </si>
  <si>
    <t>R8N76_RS15575</t>
  </si>
  <si>
    <t>WP_000054873.1</t>
  </si>
  <si>
    <t>R8N76_RS15580</t>
  </si>
  <si>
    <t>WP_001293769.1</t>
  </si>
  <si>
    <t>R8N76_RS15585</t>
  </si>
  <si>
    <t>DUF3955 domain-containing protein</t>
  </si>
  <si>
    <t>WP_000086296.1</t>
  </si>
  <si>
    <t>R8N76_RS15590</t>
  </si>
  <si>
    <t>WP_000980930.1</t>
  </si>
  <si>
    <t>R8N76_RS15595</t>
  </si>
  <si>
    <t>fluoride efflux transporter CrcB</t>
  </si>
  <si>
    <t>crcB</t>
  </si>
  <si>
    <t>WP_000568587.1</t>
  </si>
  <si>
    <t>R8N76_RS15600</t>
  </si>
  <si>
    <t>WP_000639315.1</t>
  </si>
  <si>
    <t>R8N76_RS15605</t>
  </si>
  <si>
    <t>WP_000714050.1</t>
  </si>
  <si>
    <t>R8N76_RS15610</t>
  </si>
  <si>
    <t>DUF4077 domain-containing protein</t>
  </si>
  <si>
    <t>WP_000455081.1</t>
  </si>
  <si>
    <t>R8N76_RS15615</t>
  </si>
  <si>
    <t>SET domain-containing protein</t>
  </si>
  <si>
    <t>WP_000573649.1</t>
  </si>
  <si>
    <t>R8N76_RS15620</t>
  </si>
  <si>
    <t>UDP-N-acetylmuramate dehydrogenase</t>
  </si>
  <si>
    <t>murB</t>
  </si>
  <si>
    <t>WP_001057102.1</t>
  </si>
  <si>
    <t>R8N76_RS15625</t>
  </si>
  <si>
    <t>tyrosine--tRNA ligase</t>
  </si>
  <si>
    <t>tyrS</t>
  </si>
  <si>
    <t>WP_001021100.1</t>
  </si>
  <si>
    <t>R8N76_RS15630</t>
  </si>
  <si>
    <t>WP_000043202.1</t>
  </si>
  <si>
    <t>R8N76_RS15635</t>
  </si>
  <si>
    <t>WP_001115309.1</t>
  </si>
  <si>
    <t>R8N76_RS15640</t>
  </si>
  <si>
    <t>WP_000760481.1</t>
  </si>
  <si>
    <t>R8N76_RS15645</t>
  </si>
  <si>
    <t>WP_002195880.1</t>
  </si>
  <si>
    <t>R8N76_RS15650</t>
  </si>
  <si>
    <t>WP_000793532.1</t>
  </si>
  <si>
    <t>R8N76_RS15655</t>
  </si>
  <si>
    <t>thioester domain-containing protein</t>
  </si>
  <si>
    <t>WP_001022531.1</t>
  </si>
  <si>
    <t>R8N76_RS15660</t>
  </si>
  <si>
    <t>putative mucin/carbohydrate-binding domain-containing protein</t>
  </si>
  <si>
    <t>WP_000038266.1</t>
  </si>
  <si>
    <t>R8N76_RS15665</t>
  </si>
  <si>
    <t>WP_000689902.1</t>
  </si>
  <si>
    <t>R8N76_RS15670</t>
  </si>
  <si>
    <t>WP_001022930.1</t>
  </si>
  <si>
    <t>R8N76_RS15675</t>
  </si>
  <si>
    <t>WP_000346373.1</t>
  </si>
  <si>
    <t>R8N76_RS15680</t>
  </si>
  <si>
    <t>WP_000673841.1</t>
  </si>
  <si>
    <t>R8N76_RS15685</t>
  </si>
  <si>
    <t>WP_000673874.1</t>
  </si>
  <si>
    <t>R8N76_RS15690</t>
  </si>
  <si>
    <t>WP_001076347.1</t>
  </si>
  <si>
    <t>R8N76_RS15695</t>
  </si>
  <si>
    <t>ferritin</t>
  </si>
  <si>
    <t>WP_000949403.1</t>
  </si>
  <si>
    <t>R8N76_RS15700</t>
  </si>
  <si>
    <t>MazG nucleotide pyrophosphohydrolase domain-containing protein</t>
  </si>
  <si>
    <t>WP_000355744.1</t>
  </si>
  <si>
    <t>R8N76_RS15705</t>
  </si>
  <si>
    <t>TIGR00730 family Rossman fold protein</t>
  </si>
  <si>
    <t>WP_002026558.1</t>
  </si>
  <si>
    <t>R8N76_RS15710</t>
  </si>
  <si>
    <t>WP_000390911.1</t>
  </si>
  <si>
    <t>R8N76_RS15715</t>
  </si>
  <si>
    <t>WP_000656312.1</t>
  </si>
  <si>
    <t>R8N76_RS15720</t>
  </si>
  <si>
    <t>WP_001041894.1</t>
  </si>
  <si>
    <t>R8N76_RS15725</t>
  </si>
  <si>
    <t>WP_000227591.1</t>
  </si>
  <si>
    <t>R8N76_RS15730</t>
  </si>
  <si>
    <t>cation:proton antiporter regulatory subunit</t>
  </si>
  <si>
    <t>WP_001026075.1</t>
  </si>
  <si>
    <t>R8N76_RS15735</t>
  </si>
  <si>
    <t>WP_000380225.1</t>
  </si>
  <si>
    <t>R8N76_RS15740</t>
  </si>
  <si>
    <t>WP_000900214.1</t>
  </si>
  <si>
    <t>R8N76_RS15745</t>
  </si>
  <si>
    <t>DUF3920 family protein</t>
  </si>
  <si>
    <t>WP_000422807.1</t>
  </si>
  <si>
    <t>R8N76_RS15750</t>
  </si>
  <si>
    <t>WP_000845489.1</t>
  </si>
  <si>
    <t>R8N76_RS15755</t>
  </si>
  <si>
    <t>pirin family protein</t>
  </si>
  <si>
    <t>WP_000488927.1</t>
  </si>
  <si>
    <t>R8N76_RS15760</t>
  </si>
  <si>
    <t>neutral protease NprB</t>
  </si>
  <si>
    <t>nprB</t>
  </si>
  <si>
    <t>WP_000745123.1</t>
  </si>
  <si>
    <t>R8N76_RS15765</t>
  </si>
  <si>
    <t>metal-sulfur cluster assembly factor</t>
  </si>
  <si>
    <t>WP_000076422.1</t>
  </si>
  <si>
    <t>R8N76_RS15770</t>
  </si>
  <si>
    <t>WP_001012209.1</t>
  </si>
  <si>
    <t>R8N76_RS15775</t>
  </si>
  <si>
    <t>WP_000878436.1</t>
  </si>
  <si>
    <t>R8N76_RS15780</t>
  </si>
  <si>
    <t>WP_001072260.1</t>
  </si>
  <si>
    <t>R8N76_RS15785</t>
  </si>
  <si>
    <t>WP_000021600.1</t>
  </si>
  <si>
    <t>R8N76_RS15790</t>
  </si>
  <si>
    <t>WP_000154129.1</t>
  </si>
  <si>
    <t>R8N76_RS15795</t>
  </si>
  <si>
    <t>WP_000410481.1</t>
  </si>
  <si>
    <t>R8N76_RS15800</t>
  </si>
  <si>
    <t>WP_000201964.1</t>
  </si>
  <si>
    <t>R8N76_RS15805</t>
  </si>
  <si>
    <t>WP_000148833.1</t>
  </si>
  <si>
    <t>R8N76_RS15810</t>
  </si>
  <si>
    <t>WP_000735063.1</t>
  </si>
  <si>
    <t>R8N76_RS15815</t>
  </si>
  <si>
    <t>DUF3978 family protein</t>
  </si>
  <si>
    <t>WP_000388769.1</t>
  </si>
  <si>
    <t>R8N76_RS15820</t>
  </si>
  <si>
    <t>WP_000454754.1</t>
  </si>
  <si>
    <t>R8N76_RS15825</t>
  </si>
  <si>
    <t>WP_000776168.1</t>
  </si>
  <si>
    <t>R8N76_RS15830</t>
  </si>
  <si>
    <t>DUF3169 family protein</t>
  </si>
  <si>
    <t>WP_000837720.1</t>
  </si>
  <si>
    <t>R8N76_RS15835</t>
  </si>
  <si>
    <t>cytochrome c oxidase subunit II</t>
  </si>
  <si>
    <t>WP_033685529.1</t>
  </si>
  <si>
    <t>R8N76_RS15840</t>
  </si>
  <si>
    <t>DUF3985 family protein</t>
  </si>
  <si>
    <t>WP_000404784.1</t>
  </si>
  <si>
    <t>R8N76_RS15845</t>
  </si>
  <si>
    <t>DUF3938 domain-containing protein</t>
  </si>
  <si>
    <t>WP_001077773.1</t>
  </si>
  <si>
    <t>R8N76_RS15850</t>
  </si>
  <si>
    <t>WP_000397308.1</t>
  </si>
  <si>
    <t>R8N76_RS15855</t>
  </si>
  <si>
    <t>WP_000530044.1</t>
  </si>
  <si>
    <t>R8N76_RS15860</t>
  </si>
  <si>
    <t>WP_000394926.1</t>
  </si>
  <si>
    <t>R8N76_RS15865</t>
  </si>
  <si>
    <t>membrane protein insertase YidC</t>
  </si>
  <si>
    <t>yidC</t>
  </si>
  <si>
    <t>WP_000920524.1</t>
  </si>
  <si>
    <t>R8N76_RS15870</t>
  </si>
  <si>
    <t>WP_000730850.1</t>
  </si>
  <si>
    <t>R8N76_RS15875</t>
  </si>
  <si>
    <t>WP_000562231.1</t>
  </si>
  <si>
    <t>R8N76_RS15880</t>
  </si>
  <si>
    <t>WP_000546299.1</t>
  </si>
  <si>
    <t>R8N76_RS15885</t>
  </si>
  <si>
    <t>WP_113732254.1</t>
  </si>
  <si>
    <t>R8N76_RS15890</t>
  </si>
  <si>
    <t>WP_000386584.1</t>
  </si>
  <si>
    <t>R8N76_RS15895</t>
  </si>
  <si>
    <t>WP_000939479.1</t>
  </si>
  <si>
    <t>R8N76_RS15900</t>
  </si>
  <si>
    <t>R8N76_RS15905</t>
  </si>
  <si>
    <t>WP_406627606.1</t>
  </si>
  <si>
    <t>R8N76_RS15910</t>
  </si>
  <si>
    <t>WP_001018860.1</t>
  </si>
  <si>
    <t>R8N76_RS15915</t>
  </si>
  <si>
    <t>YusU family protein</t>
  </si>
  <si>
    <t>WP_001290594.1</t>
  </si>
  <si>
    <t>R8N76_RS15920</t>
  </si>
  <si>
    <t>proline dehydrogenase family protein</t>
  </si>
  <si>
    <t>WP_000436783.1</t>
  </si>
  <si>
    <t>R8N76_RS15925</t>
  </si>
  <si>
    <t>WP_000831463.1</t>
  </si>
  <si>
    <t>R8N76_RS15930</t>
  </si>
  <si>
    <t>YuzL family protein</t>
  </si>
  <si>
    <t>WP_001096344.1</t>
  </si>
  <si>
    <t>R8N76_RS15935</t>
  </si>
  <si>
    <t>3-hydroxyacyl-CoA dehydrogenase/enoyl-CoA hydratase family protein</t>
  </si>
  <si>
    <t>WP_000486377.1</t>
  </si>
  <si>
    <t>R8N76_RS15940</t>
  </si>
  <si>
    <t>WP_001206324.1</t>
  </si>
  <si>
    <t>R8N76_RS15945</t>
  </si>
  <si>
    <t>WP_002025016.1</t>
  </si>
  <si>
    <t>R8N76_RS15950</t>
  </si>
  <si>
    <t>WP_001242338.1</t>
  </si>
  <si>
    <t>R8N76_RS15955</t>
  </si>
  <si>
    <t>WP_000074925.1</t>
  </si>
  <si>
    <t>R8N76_RS15960</t>
  </si>
  <si>
    <t>WP_001232992.1</t>
  </si>
  <si>
    <t>R8N76_RS15965</t>
  </si>
  <si>
    <t>WP_001180555.1</t>
  </si>
  <si>
    <t>R8N76_RS15970</t>
  </si>
  <si>
    <t>WP_001002981.1</t>
  </si>
  <si>
    <t>R8N76_RS15975</t>
  </si>
  <si>
    <t>WP_000820649.1</t>
  </si>
  <si>
    <t>R8N76_RS15980</t>
  </si>
  <si>
    <t>PTS transporter subunit IIC</t>
  </si>
  <si>
    <t>WP_000666157.1</t>
  </si>
  <si>
    <t>R8N76_RS15985</t>
  </si>
  <si>
    <t>WP_000713769.1</t>
  </si>
  <si>
    <t>R8N76_RS15990</t>
  </si>
  <si>
    <t>WP_000826872.1</t>
  </si>
  <si>
    <t>R8N76_RS15995</t>
  </si>
  <si>
    <t>arsenate reductase family protein</t>
  </si>
  <si>
    <t>WP_000218968.1</t>
  </si>
  <si>
    <t>R8N76_RS16000</t>
  </si>
  <si>
    <t>glycine cleavage system protein GcvH</t>
  </si>
  <si>
    <t>gcvH</t>
  </si>
  <si>
    <t>WP_000026897.1</t>
  </si>
  <si>
    <t>R8N76_RS16005</t>
  </si>
  <si>
    <t>toprim domain-containing protein</t>
  </si>
  <si>
    <t>WP_000640870.1</t>
  </si>
  <si>
    <t>R8N76_RS16010</t>
  </si>
  <si>
    <t>WP_002008881.1</t>
  </si>
  <si>
    <t>R8N76_RS16015</t>
  </si>
  <si>
    <t>WP_001242136.1</t>
  </si>
  <si>
    <t>R8N76_RS16020</t>
  </si>
  <si>
    <t>WP_000601775.1</t>
  </si>
  <si>
    <t>R8N76_RS16025</t>
  </si>
  <si>
    <t>WP_000359557.1</t>
  </si>
  <si>
    <t>R8N76_RS16030</t>
  </si>
  <si>
    <t>methionine ABC transporter substrate-binding lipoprotein MetQ</t>
  </si>
  <si>
    <t>metQ</t>
  </si>
  <si>
    <t>WP_000735103.1</t>
  </si>
  <si>
    <t>R8N76_RS16035</t>
  </si>
  <si>
    <t>WP_000757012.1</t>
  </si>
  <si>
    <t>R8N76_RS16040</t>
  </si>
  <si>
    <t>Fe-S cluster assembly ATPase SufC</t>
  </si>
  <si>
    <t>sufC</t>
  </si>
  <si>
    <t>WP_000929160.1</t>
  </si>
  <si>
    <t>R8N76_RS16045</t>
  </si>
  <si>
    <t>Fe-S cluster assembly protein SufD</t>
  </si>
  <si>
    <t>sufD</t>
  </si>
  <si>
    <t>WP_000152167.1</t>
  </si>
  <si>
    <t>R8N76_RS16050</t>
  </si>
  <si>
    <t>cysteine desulfurase SufS</t>
  </si>
  <si>
    <t>sufS</t>
  </si>
  <si>
    <t>WP_001020767.1</t>
  </si>
  <si>
    <t>R8N76_RS16055</t>
  </si>
  <si>
    <t>Fe-S cluster assembly sulfur transfer protein SufU</t>
  </si>
  <si>
    <t>sufU</t>
  </si>
  <si>
    <t>WP_000009523.1</t>
  </si>
  <si>
    <t>R8N76_RS16060</t>
  </si>
  <si>
    <t>Fe-S cluster assembly protein SufB</t>
  </si>
  <si>
    <t>sufB</t>
  </si>
  <si>
    <t>WP_001118827.1</t>
  </si>
  <si>
    <t>R8N76_RS16065</t>
  </si>
  <si>
    <t>bifunctional UDP-sugar hydrolase/5'-nucleotidase</t>
  </si>
  <si>
    <t>WP_078214821.1</t>
  </si>
  <si>
    <t>R8N76_RS16070</t>
  </si>
  <si>
    <t>YunC family protein</t>
  </si>
  <si>
    <t>WP_000248466.1</t>
  </si>
  <si>
    <t>R8N76_RS16075</t>
  </si>
  <si>
    <t>sporulation protein YunB</t>
  </si>
  <si>
    <t>yunB</t>
  </si>
  <si>
    <t>WP_000021806.1</t>
  </si>
  <si>
    <t>R8N76_RS16080</t>
  </si>
  <si>
    <t>WP_000944665.1</t>
  </si>
  <si>
    <t>R8N76_RS16085</t>
  </si>
  <si>
    <t>lipoyl synthase</t>
  </si>
  <si>
    <t>lipA</t>
  </si>
  <si>
    <t>WP_000166372.1</t>
  </si>
  <si>
    <t>R8N76_RS16090</t>
  </si>
  <si>
    <t>YbaK/EbsC family protein</t>
  </si>
  <si>
    <t>WP_000272746.1</t>
  </si>
  <si>
    <t>R8N76_RS16095</t>
  </si>
  <si>
    <t>WP_000720176.1</t>
  </si>
  <si>
    <t>R8N76_RS16100</t>
  </si>
  <si>
    <t>WP_001038431.1</t>
  </si>
  <si>
    <t>R8N76_RS16105</t>
  </si>
  <si>
    <t>YhfC family intramembrane metalloprotease</t>
  </si>
  <si>
    <t>WP_002195895.1</t>
  </si>
  <si>
    <t>R8N76_RS16110</t>
  </si>
  <si>
    <t>WP_001132220.1</t>
  </si>
  <si>
    <t>R8N76_RS16115</t>
  </si>
  <si>
    <t>WP_000744132.1</t>
  </si>
  <si>
    <t>R8N76_RS16120</t>
  </si>
  <si>
    <t>YutD family protein</t>
  </si>
  <si>
    <t>WP_000435943.1</t>
  </si>
  <si>
    <t>R8N76_RS16125</t>
  </si>
  <si>
    <t>WP_001174567.1</t>
  </si>
  <si>
    <t>R8N76_RS16130</t>
  </si>
  <si>
    <t>DUF3055 domain-containing protein</t>
  </si>
  <si>
    <t>WP_000392606.1</t>
  </si>
  <si>
    <t>R8N76_RS16135</t>
  </si>
  <si>
    <t>WP_000439090.1</t>
  </si>
  <si>
    <t>R8N76_RS16140</t>
  </si>
  <si>
    <t>DUF86 domain-containing protein</t>
  </si>
  <si>
    <t>WP_000274006.1</t>
  </si>
  <si>
    <t>R8N76_RS16145</t>
  </si>
  <si>
    <t>WP_000503345.1</t>
  </si>
  <si>
    <t>R8N76_RS16150</t>
  </si>
  <si>
    <t>TIGR01457 family HAD-type hydrolase</t>
  </si>
  <si>
    <t>WP_000276467.1</t>
  </si>
  <si>
    <t>R8N76_RS16155</t>
  </si>
  <si>
    <t>WP_000683439.1</t>
  </si>
  <si>
    <t>R8N76_RS16160</t>
  </si>
  <si>
    <t>WP_000351221.1</t>
  </si>
  <si>
    <t>R8N76_RS16165</t>
  </si>
  <si>
    <t>phosphatidylglycerophosphatase A</t>
  </si>
  <si>
    <t>WP_000665103.1</t>
  </si>
  <si>
    <t>R8N76_RS16170</t>
  </si>
  <si>
    <t>spore coat putative kinase YutH</t>
  </si>
  <si>
    <t>yutH</t>
  </si>
  <si>
    <t>WP_000614215.1</t>
  </si>
  <si>
    <t>R8N76_RS16175</t>
  </si>
  <si>
    <t>WP_001125507.1</t>
  </si>
  <si>
    <t>R8N76_RS16180</t>
  </si>
  <si>
    <t>NifU family protein</t>
  </si>
  <si>
    <t>WP_000431159.1</t>
  </si>
  <si>
    <t>R8N76_RS16185</t>
  </si>
  <si>
    <t>YuzD family protein</t>
  </si>
  <si>
    <t>WP_000248587.1</t>
  </si>
  <si>
    <t>R8N76_RS16190</t>
  </si>
  <si>
    <t>WP_000788486.1</t>
  </si>
  <si>
    <t>R8N76_RS16195</t>
  </si>
  <si>
    <t>WP_000049695.1</t>
  </si>
  <si>
    <t>R8N76_RS16200</t>
  </si>
  <si>
    <t>WP_000483943.1</t>
  </si>
  <si>
    <t>R8N76_RS16205</t>
  </si>
  <si>
    <t>DUF4304 domain-containing protein</t>
  </si>
  <si>
    <t>WP_033685532.1</t>
  </si>
  <si>
    <t>R8N76_RS16210</t>
  </si>
  <si>
    <t>WP_002195901.1</t>
  </si>
  <si>
    <t>R8N76_RS16215</t>
  </si>
  <si>
    <t>PQQ-binding-like beta-propeller repeat protein</t>
  </si>
  <si>
    <t>WP_000714475.1</t>
  </si>
  <si>
    <t>R8N76_RS16220</t>
  </si>
  <si>
    <t>WP_002026505.1</t>
  </si>
  <si>
    <t>R8N76_RS16225</t>
  </si>
  <si>
    <t>WP_000622367.1</t>
  </si>
  <si>
    <t>R8N76_RS16230</t>
  </si>
  <si>
    <t>alkylphosphonate utilization operon protein PhnA</t>
  </si>
  <si>
    <t>phnA</t>
  </si>
  <si>
    <t>WP_000212737.1</t>
  </si>
  <si>
    <t>R8N76_RS16235</t>
  </si>
  <si>
    <t>WP_000679254.1</t>
  </si>
  <si>
    <t>R8N76_RS16240</t>
  </si>
  <si>
    <t>WP_000470311.1</t>
  </si>
  <si>
    <t>R8N76_RS16245</t>
  </si>
  <si>
    <t>WP_001054091.1</t>
  </si>
  <si>
    <t>R8N76_RS16250</t>
  </si>
  <si>
    <t>WP_000682068.1</t>
  </si>
  <si>
    <t>R8N76_RS16255</t>
  </si>
  <si>
    <t>YuzB family protein</t>
  </si>
  <si>
    <t>WP_000595026.1</t>
  </si>
  <si>
    <t>R8N76_RS16260</t>
  </si>
  <si>
    <t>diaminopimelate epimerase</t>
  </si>
  <si>
    <t>dapF</t>
  </si>
  <si>
    <t>WP_000077401.1</t>
  </si>
  <si>
    <t>R8N76_RS16265</t>
  </si>
  <si>
    <t>iron-sulfur cluster assembly accessory protein</t>
  </si>
  <si>
    <t>WP_000573822.1</t>
  </si>
  <si>
    <t>R8N76_RS16270</t>
  </si>
  <si>
    <t>WP_000765219.1</t>
  </si>
  <si>
    <t>R8N76_RS16275</t>
  </si>
  <si>
    <t>R8N76_RS16280</t>
  </si>
  <si>
    <t>R8N76_RS16285</t>
  </si>
  <si>
    <t>WP_000833152.1</t>
  </si>
  <si>
    <t>R8N76_RS16290</t>
  </si>
  <si>
    <t>DUF523 domain-containing protein</t>
  </si>
  <si>
    <t>WP_000635494.1</t>
  </si>
  <si>
    <t>R8N76_RS16295</t>
  </si>
  <si>
    <t>WP_000535235.1</t>
  </si>
  <si>
    <t>R8N76_RS16300</t>
  </si>
  <si>
    <t>WP_000391935.1</t>
  </si>
  <si>
    <t>R8N76_RS16305</t>
  </si>
  <si>
    <t>GyrI-like domain-containing protein</t>
  </si>
  <si>
    <t>WP_000606669.1</t>
  </si>
  <si>
    <t>R8N76_RS16310</t>
  </si>
  <si>
    <t>isopeptide-forming domain-containing fimbrial protein</t>
  </si>
  <si>
    <t>WP_138920157.1</t>
  </si>
  <si>
    <t>R8N76_RS16315</t>
  </si>
  <si>
    <t>WP_000829785.1</t>
  </si>
  <si>
    <t>R8N76_RS16320</t>
  </si>
  <si>
    <t>WP_000856612.1</t>
  </si>
  <si>
    <t>R8N76_RS16325</t>
  </si>
  <si>
    <t>WP_000415315.1</t>
  </si>
  <si>
    <t>R8N76_RS16330</t>
  </si>
  <si>
    <t>YuiB family protein</t>
  </si>
  <si>
    <t>WP_000027016.1</t>
  </si>
  <si>
    <t>R8N76_RS16335</t>
  </si>
  <si>
    <t>WP_000920103.1</t>
  </si>
  <si>
    <t>R8N76_RS16340</t>
  </si>
  <si>
    <t>cytosol aminopeptidase</t>
  </si>
  <si>
    <t>pepA</t>
  </si>
  <si>
    <t>WP_000487943.1</t>
  </si>
  <si>
    <t>R8N76_RS16345</t>
  </si>
  <si>
    <t>sporulation-specific diadenylate cyclase CdaS</t>
  </si>
  <si>
    <t>cdaS</t>
  </si>
  <si>
    <t>WP_000545252.1</t>
  </si>
  <si>
    <t>R8N76_RS16350</t>
  </si>
  <si>
    <t>phospho-sugar mutase</t>
  </si>
  <si>
    <t>WP_001104219.1</t>
  </si>
  <si>
    <t>R8N76_RS16355</t>
  </si>
  <si>
    <t>UTP--glucose-1-phosphate uridylyltransferase GalU</t>
  </si>
  <si>
    <t>galU</t>
  </si>
  <si>
    <t>WP_002097988.1</t>
  </si>
  <si>
    <t>R8N76_RS16360</t>
  </si>
  <si>
    <t>biotin transporter BioY</t>
  </si>
  <si>
    <t>WP_001252150.1</t>
  </si>
  <si>
    <t>R8N76_RS16365</t>
  </si>
  <si>
    <t>DUF3298 and DUF4163 domain-containing protein</t>
  </si>
  <si>
    <t>WP_000810326.1</t>
  </si>
  <si>
    <t>R8N76_RS16370</t>
  </si>
  <si>
    <t>hotdog fold thioesterase</t>
  </si>
  <si>
    <t>WP_001140612.1</t>
  </si>
  <si>
    <t>R8N76_RS16375</t>
  </si>
  <si>
    <t>glycine--tRNA ligase</t>
  </si>
  <si>
    <t>WP_000287147.1</t>
  </si>
  <si>
    <t>R8N76_RS16380</t>
  </si>
  <si>
    <t>DNA alkylation repair protein</t>
  </si>
  <si>
    <t>WP_000553305.1</t>
  </si>
  <si>
    <t>R8N76_RS16385</t>
  </si>
  <si>
    <t>WP_000390061.1</t>
  </si>
  <si>
    <t>R8N76_RS16390</t>
  </si>
  <si>
    <t>ArsB/NhaD family transporter</t>
  </si>
  <si>
    <t>WP_000545209.1</t>
  </si>
  <si>
    <t>R8N76_RS16395</t>
  </si>
  <si>
    <t>3'-5' exonuclease KapD</t>
  </si>
  <si>
    <t>kapD</t>
  </si>
  <si>
    <t>WP_000344356.1</t>
  </si>
  <si>
    <t>R8N76_RS16400</t>
  </si>
  <si>
    <t>kinase-associated lipoprotein B</t>
  </si>
  <si>
    <t>WP_001209350.1</t>
  </si>
  <si>
    <t>R8N76_RS16405</t>
  </si>
  <si>
    <t>WP_000982757.1</t>
  </si>
  <si>
    <t>R8N76_RS16410</t>
  </si>
  <si>
    <t>superoxide dismutase [Cu-Zn]</t>
  </si>
  <si>
    <t>sodC</t>
  </si>
  <si>
    <t>WP_000746520.1</t>
  </si>
  <si>
    <t>R8N76_RS16415</t>
  </si>
  <si>
    <t>MalY/PatB family protein</t>
  </si>
  <si>
    <t>WP_001175827.1</t>
  </si>
  <si>
    <t>R8N76_RS16420</t>
  </si>
  <si>
    <t>YugE family protein</t>
  </si>
  <si>
    <t>WP_000537641.1</t>
  </si>
  <si>
    <t>R8N76_RS16425</t>
  </si>
  <si>
    <t>WP_001015860.1</t>
  </si>
  <si>
    <t>R8N76_RS16430</t>
  </si>
  <si>
    <t>D-glycerate dehydrogenase</t>
  </si>
  <si>
    <t>WP_002195874.1</t>
  </si>
  <si>
    <t>R8N76_RS16435</t>
  </si>
  <si>
    <t>WP_000255696.1</t>
  </si>
  <si>
    <t>R8N76_RS16440</t>
  </si>
  <si>
    <t>aminotransferase</t>
  </si>
  <si>
    <t>WP_000808537.1</t>
  </si>
  <si>
    <t>R8N76_RS16445</t>
  </si>
  <si>
    <t>S1 domain-containing post-transcriptional regulator GSP13</t>
  </si>
  <si>
    <t>yugI</t>
  </si>
  <si>
    <t>WP_000003764.1</t>
  </si>
  <si>
    <t>R8N76_RS16450</t>
  </si>
  <si>
    <t>DUF378 domain-containing protein</t>
  </si>
  <si>
    <t>WP_000105788.1</t>
  </si>
  <si>
    <t>R8N76_RS16455</t>
  </si>
  <si>
    <t>glucose-6-phosphate isomerase</t>
  </si>
  <si>
    <t>WP_000103654.1</t>
  </si>
  <si>
    <t>R8N76_RS16460</t>
  </si>
  <si>
    <t>YugN-like family protein</t>
  </si>
  <si>
    <t>WP_000612334.1</t>
  </si>
  <si>
    <t>R8N76_RS16465</t>
  </si>
  <si>
    <t>WP_000842320.1</t>
  </si>
  <si>
    <t>R8N76_RS16470</t>
  </si>
  <si>
    <t>WP_000386676.1</t>
  </si>
  <si>
    <t>R8N76_RS16475</t>
  </si>
  <si>
    <t>R8N76_RS16480</t>
  </si>
  <si>
    <t>R8N76_RS16485</t>
  </si>
  <si>
    <t>R8N76_RS16490</t>
  </si>
  <si>
    <t>R8N76_RS16495</t>
  </si>
  <si>
    <t>R8N76_RS16500</t>
  </si>
  <si>
    <t>R8N76_RS16505</t>
  </si>
  <si>
    <t>R8N76_RS16510</t>
  </si>
  <si>
    <t>R8N76_RS16515</t>
  </si>
  <si>
    <t>R8N76_RS16520</t>
  </si>
  <si>
    <t>R8N76_RS16525</t>
  </si>
  <si>
    <t>R8N76_RS16530</t>
  </si>
  <si>
    <t>R8N76_RS16535</t>
  </si>
  <si>
    <t>R8N76_RS16540</t>
  </si>
  <si>
    <t>R8N76_RS16545</t>
  </si>
  <si>
    <t>R8N76_RS16550</t>
  </si>
  <si>
    <t>R8N76_RS16555</t>
  </si>
  <si>
    <t>R8N76_RS16560</t>
  </si>
  <si>
    <t>R8N76_RS16565</t>
  </si>
  <si>
    <t>R8N76_RS16570</t>
  </si>
  <si>
    <t>R8N76_RS16575</t>
  </si>
  <si>
    <t>R8N76_RS16580</t>
  </si>
  <si>
    <t>R8N76_RS16585</t>
  </si>
  <si>
    <t>R8N76_RS16590</t>
  </si>
  <si>
    <t>R8N76_RS16595</t>
  </si>
  <si>
    <t>R8N76_RS16600</t>
  </si>
  <si>
    <t>WP_000715338.1</t>
  </si>
  <si>
    <t>R8N76_RS16605</t>
  </si>
  <si>
    <t>S8 family serine peptidase</t>
  </si>
  <si>
    <t>WP_000728853.1</t>
  </si>
  <si>
    <t>R8N76_RS16610</t>
  </si>
  <si>
    <t>WP_000053926.1</t>
  </si>
  <si>
    <t>R8N76_RS16615</t>
  </si>
  <si>
    <t>1,4-alpha-glucan branching protein GlgB</t>
  </si>
  <si>
    <t>glgB</t>
  </si>
  <si>
    <t>WP_001100880.1</t>
  </si>
  <si>
    <t>R8N76_RS16620</t>
  </si>
  <si>
    <t>glucose-1-phosphate adenylyltransferase</t>
  </si>
  <si>
    <t>glgC</t>
  </si>
  <si>
    <t>WP_000057619.1</t>
  </si>
  <si>
    <t>R8N76_RS16625</t>
  </si>
  <si>
    <t>glucose-1-phosphate adenylyltransferase subunit GlgD</t>
  </si>
  <si>
    <t>glgD</t>
  </si>
  <si>
    <t>WP_000504168.1</t>
  </si>
  <si>
    <t>R8N76_RS16630</t>
  </si>
  <si>
    <t>glycogen synthase GlgA</t>
  </si>
  <si>
    <t>glgA</t>
  </si>
  <si>
    <t>WP_011110443.1</t>
  </si>
  <si>
    <t>R8N76_RS16635</t>
  </si>
  <si>
    <t>glycogen phosphorylase</t>
  </si>
  <si>
    <t>glgP</t>
  </si>
  <si>
    <t>WP_000494109.1</t>
  </si>
  <si>
    <t>R8N76_RS16640</t>
  </si>
  <si>
    <t>WP_000911075.1</t>
  </si>
  <si>
    <t>R8N76_RS16645</t>
  </si>
  <si>
    <t>WP_001260111.1</t>
  </si>
  <si>
    <t>R8N76_RS16650</t>
  </si>
  <si>
    <t>WP_000521639.1</t>
  </si>
  <si>
    <t>R8N76_RS16655</t>
  </si>
  <si>
    <t>TIGR00266 family protein</t>
  </si>
  <si>
    <t>WP_001201257.1</t>
  </si>
  <si>
    <t>R8N76_RS16660</t>
  </si>
  <si>
    <t>WP_001193054.1</t>
  </si>
  <si>
    <t>R8N76_RS16665</t>
  </si>
  <si>
    <t>yteA family sporulation protein</t>
  </si>
  <si>
    <t>WP_000957397.1</t>
  </si>
  <si>
    <t>R8N76_RS16670</t>
  </si>
  <si>
    <t>1,4-dihydroxy-2-naphthoate polyprenyltransferase</t>
  </si>
  <si>
    <t>WP_000425766.1</t>
  </si>
  <si>
    <t>R8N76_RS16675</t>
  </si>
  <si>
    <t>isochorismate synthase MenF</t>
  </si>
  <si>
    <t>WP_000616740.1</t>
  </si>
  <si>
    <t>R8N76_RS16680</t>
  </si>
  <si>
    <t>2-succinyl-5-enolpyruvyl-6-hydroxy-3-cyclohexene-1-carboxylic-acid synthase</t>
  </si>
  <si>
    <t>menD</t>
  </si>
  <si>
    <t>WP_001059191.1</t>
  </si>
  <si>
    <t>R8N76_RS16685</t>
  </si>
  <si>
    <t>2-succinyl-6-hydroxy-2,4-cyclohexadiene-1-carboxylate synthase</t>
  </si>
  <si>
    <t>menH</t>
  </si>
  <si>
    <t>WP_000869224.1</t>
  </si>
  <si>
    <t>R8N76_RS16690</t>
  </si>
  <si>
    <t>1,4-dihydroxy-2-naphthoyl-CoA synthase</t>
  </si>
  <si>
    <t>menB</t>
  </si>
  <si>
    <t>WP_000963885.1</t>
  </si>
  <si>
    <t>R8N76_RS16695</t>
  </si>
  <si>
    <t>o-succinylbenzoate--CoA ligase</t>
  </si>
  <si>
    <t>WP_000449573.1</t>
  </si>
  <si>
    <t>R8N76_RS16700</t>
  </si>
  <si>
    <t>o-succinylbenzoate synthase</t>
  </si>
  <si>
    <t>menC</t>
  </si>
  <si>
    <t>WP_000403318.1</t>
  </si>
  <si>
    <t>R8N76_RS16705</t>
  </si>
  <si>
    <t>WP_000822489.1</t>
  </si>
  <si>
    <t>R8N76_RS16710</t>
  </si>
  <si>
    <t>WP_000002596.1</t>
  </si>
  <si>
    <t>R8N76_RS16715</t>
  </si>
  <si>
    <t>D-Ala-D-Ala carboxypeptidase VanY</t>
  </si>
  <si>
    <t>WP_000759406.1</t>
  </si>
  <si>
    <t>R8N76_RS16720</t>
  </si>
  <si>
    <t>amidohydrolase/deacetylase family metallohydrolase</t>
  </si>
  <si>
    <t>WP_000139971.1</t>
  </si>
  <si>
    <t>R8N76_RS16725</t>
  </si>
  <si>
    <t>DgaE family pyridoxal phosphate-dependent ammonia lyase</t>
  </si>
  <si>
    <t>WP_000510099.1</t>
  </si>
  <si>
    <t>R8N76_RS16730</t>
  </si>
  <si>
    <t>2-dehydro-3-deoxy-phosphogluconate aldolase</t>
  </si>
  <si>
    <t>dagF</t>
  </si>
  <si>
    <t>WP_000181906.1</t>
  </si>
  <si>
    <t>R8N76_RS16735</t>
  </si>
  <si>
    <t>sugar kinase</t>
  </si>
  <si>
    <t>WP_001227516.1</t>
  </si>
  <si>
    <t>R8N76_RS16740</t>
  </si>
  <si>
    <t>WP_000539275.1</t>
  </si>
  <si>
    <t>R8N76_RS16745</t>
  </si>
  <si>
    <t>gluconate permease GntP</t>
  </si>
  <si>
    <t>gntP</t>
  </si>
  <si>
    <t>WP_000356166.1</t>
  </si>
  <si>
    <t>R8N76_RS16750</t>
  </si>
  <si>
    <t>WP_001290392.1</t>
  </si>
  <si>
    <t>R8N76_RS16755</t>
  </si>
  <si>
    <t>WP_000144952.1</t>
  </si>
  <si>
    <t>R8N76_RS16760</t>
  </si>
  <si>
    <t>WP_000393250.1</t>
  </si>
  <si>
    <t>R8N76_RS16765</t>
  </si>
  <si>
    <t>WP_000145005.1</t>
  </si>
  <si>
    <t>R8N76_RS16770</t>
  </si>
  <si>
    <t>WP_000145051.1</t>
  </si>
  <si>
    <t>R8N76_RS16775</t>
  </si>
  <si>
    <t>WP_000765340.1</t>
  </si>
  <si>
    <t>R8N76_RS16780</t>
  </si>
  <si>
    <t>WP_000276738.1</t>
  </si>
  <si>
    <t>R8N76_RS16785</t>
  </si>
  <si>
    <t>autorepressor SdpR family transcription factor</t>
  </si>
  <si>
    <t>WP_001070523.1</t>
  </si>
  <si>
    <t>R8N76_RS16790</t>
  </si>
  <si>
    <t>WP_000716356.1</t>
  </si>
  <si>
    <t>R8N76_RS16795</t>
  </si>
  <si>
    <t>WP_000377714.1</t>
  </si>
  <si>
    <t>R8N76_RS16800</t>
  </si>
  <si>
    <t>WP_000859655.1</t>
  </si>
  <si>
    <t>R8N76_RS16805</t>
  </si>
  <si>
    <t>WP_000176150.1</t>
  </si>
  <si>
    <t>R8N76_RS16810</t>
  </si>
  <si>
    <t>WP_001176066.1</t>
  </si>
  <si>
    <t>R8N76_RS16815</t>
  </si>
  <si>
    <t>WP_000418943.1</t>
  </si>
  <si>
    <t>R8N76_RS16820</t>
  </si>
  <si>
    <t>WP_000819387.1</t>
  </si>
  <si>
    <t>R8N76_RS16825</t>
  </si>
  <si>
    <t>WP_000924676.1</t>
  </si>
  <si>
    <t>R8N76_RS16830</t>
  </si>
  <si>
    <t>WP_000855634.1</t>
  </si>
  <si>
    <t>R8N76_RS16835</t>
  </si>
  <si>
    <t>WP_000059437.1</t>
  </si>
  <si>
    <t>R8N76_RS16840</t>
  </si>
  <si>
    <t>R8N76_RS16845</t>
  </si>
  <si>
    <t>WP_001144124.1</t>
  </si>
  <si>
    <t>R8N76_RS16850</t>
  </si>
  <si>
    <t>DUF4261 domain-containing protein</t>
  </si>
  <si>
    <t>WP_000449847.1</t>
  </si>
  <si>
    <t>R8N76_RS16855</t>
  </si>
  <si>
    <t>DUF4262 domain-containing protein</t>
  </si>
  <si>
    <t>WP_000417362.1</t>
  </si>
  <si>
    <t>R8N76_RS16860</t>
  </si>
  <si>
    <t>Rpn family recombination-promoting nuclease/putative transposase</t>
  </si>
  <si>
    <t>WP_000483126.1</t>
  </si>
  <si>
    <t>R8N76_RS16865</t>
  </si>
  <si>
    <t>DUF7003 family protein</t>
  </si>
  <si>
    <t>WP_001168100.1</t>
  </si>
  <si>
    <t>R8N76_RS16870</t>
  </si>
  <si>
    <t>DUF2199 domain-containing protein</t>
  </si>
  <si>
    <t>WP_000830214.1</t>
  </si>
  <si>
    <t>R8N76_RS16875</t>
  </si>
  <si>
    <t>diacylglycerol kinase family protein</t>
  </si>
  <si>
    <t>WP_000167893.1</t>
  </si>
  <si>
    <t>R8N76_RS16880</t>
  </si>
  <si>
    <t>WP_001019295.1</t>
  </si>
  <si>
    <t>R8N76_RS16885</t>
  </si>
  <si>
    <t>WP_002001286.1</t>
  </si>
  <si>
    <t>R8N76_RS16890</t>
  </si>
  <si>
    <t>WP_000415613.1</t>
  </si>
  <si>
    <t>R8N76_RS16895</t>
  </si>
  <si>
    <t>WP_000746705.1</t>
  </si>
  <si>
    <t>R8N76_RS16900</t>
  </si>
  <si>
    <t>WP_000771592.1</t>
  </si>
  <si>
    <t>R8N76_RS16905</t>
  </si>
  <si>
    <t>WP_000041856.1</t>
  </si>
  <si>
    <t>R8N76_RS16910</t>
  </si>
  <si>
    <t>WP_001225342.1</t>
  </si>
  <si>
    <t>R8N76_RS16915</t>
  </si>
  <si>
    <t>energy-coupled thiamine transporter ThiT</t>
  </si>
  <si>
    <t>thiT</t>
  </si>
  <si>
    <t>WP_001246588.1</t>
  </si>
  <si>
    <t>R8N76_RS16920</t>
  </si>
  <si>
    <t>WP_000060512.1</t>
  </si>
  <si>
    <t>R8N76_RS16925</t>
  </si>
  <si>
    <t>ferrous iron transport protein B</t>
  </si>
  <si>
    <t>feoB</t>
  </si>
  <si>
    <t>WP_001044839.1</t>
  </si>
  <si>
    <t>R8N76_RS16930</t>
  </si>
  <si>
    <t>FeoB-associated Cys-rich membrane protein</t>
  </si>
  <si>
    <t>WP_000989598.1</t>
  </si>
  <si>
    <t>R8N76_RS16935</t>
  </si>
  <si>
    <t>R8N76_RS16940</t>
  </si>
  <si>
    <t>R8N76_RS16945</t>
  </si>
  <si>
    <t>WP_000737468.1</t>
  </si>
  <si>
    <t>R8N76_RS16950</t>
  </si>
  <si>
    <t>WP_000110280.1</t>
  </si>
  <si>
    <t>R8N76_RS16955</t>
  </si>
  <si>
    <t>WP_000220322.1</t>
  </si>
  <si>
    <t>R8N76_RS16960</t>
  </si>
  <si>
    <t>DUF4178 domain-containing protein</t>
  </si>
  <si>
    <t>WP_000051758.1</t>
  </si>
  <si>
    <t>R8N76_RS16965</t>
  </si>
  <si>
    <t>DUF4247 domain-containing protein</t>
  </si>
  <si>
    <t>WP_000071211.1</t>
  </si>
  <si>
    <t>R8N76_RS16970</t>
  </si>
  <si>
    <t>WP_000180104.1</t>
  </si>
  <si>
    <t>R8N76_RS16975</t>
  </si>
  <si>
    <t>WP_000411240.1</t>
  </si>
  <si>
    <t>R8N76_RS16980</t>
  </si>
  <si>
    <t>WP_000990093.1</t>
  </si>
  <si>
    <t>R8N76_RS16985</t>
  </si>
  <si>
    <t>WP_002001299.1</t>
  </si>
  <si>
    <t>R8N76_RS16990</t>
  </si>
  <si>
    <t>WP_000017662.1</t>
  </si>
  <si>
    <t>R8N76_RS16995</t>
  </si>
  <si>
    <t>WP_001286188.1</t>
  </si>
  <si>
    <t>R8N76_RS17000</t>
  </si>
  <si>
    <t>carbonic anhydrase</t>
  </si>
  <si>
    <t>WP_000838169.1</t>
  </si>
  <si>
    <t>R8N76_RS17005</t>
  </si>
  <si>
    <t>membrane protein insertion efficiency factor YidD</t>
  </si>
  <si>
    <t>yidD</t>
  </si>
  <si>
    <t>WP_000809334.1</t>
  </si>
  <si>
    <t>R8N76_RS17010</t>
  </si>
  <si>
    <t>S-ribosylhomocysteine lyase LuxS</t>
  </si>
  <si>
    <t>luxS</t>
  </si>
  <si>
    <t>WP_001141371.1</t>
  </si>
  <si>
    <t>R8N76_RS17015</t>
  </si>
  <si>
    <t>YczI family protein</t>
  </si>
  <si>
    <t>WP_000916668.1</t>
  </si>
  <si>
    <t>R8N76_RS17020</t>
  </si>
  <si>
    <t>DUF3953 domain-containing protein</t>
  </si>
  <si>
    <t>WP_000922253.1</t>
  </si>
  <si>
    <t>R8N76_RS17025</t>
  </si>
  <si>
    <t>WP_000944458.1</t>
  </si>
  <si>
    <t>R8N76_RS17030</t>
  </si>
  <si>
    <t>YtzI protein</t>
  </si>
  <si>
    <t>ytzI</t>
  </si>
  <si>
    <t>WP_000472794.1</t>
  </si>
  <si>
    <t>R8N76_RS17035</t>
  </si>
  <si>
    <t>WP_000448409.1</t>
  </si>
  <si>
    <t>R8N76_RS17040</t>
  </si>
  <si>
    <t>antimutator 8-oxo-(dGTP/GTP)ase</t>
  </si>
  <si>
    <t>mutTA</t>
  </si>
  <si>
    <t>WP_000276385.1</t>
  </si>
  <si>
    <t>R8N76_RS17045</t>
  </si>
  <si>
    <t>DUF3267 domain-containing protein</t>
  </si>
  <si>
    <t>WP_000361294.1</t>
  </si>
  <si>
    <t>R8N76_RS17050</t>
  </si>
  <si>
    <t>WP_000617263.1</t>
  </si>
  <si>
    <t>R8N76_RS17055</t>
  </si>
  <si>
    <t>WP_000737818.1</t>
  </si>
  <si>
    <t>R8N76_RS17060</t>
  </si>
  <si>
    <t>WP_000849112.1</t>
  </si>
  <si>
    <t>R8N76_RS17065</t>
  </si>
  <si>
    <t>WP_000368771.1</t>
  </si>
  <si>
    <t>R8N76_RS17070</t>
  </si>
  <si>
    <t>WP_000009036.1</t>
  </si>
  <si>
    <t>R8N76_RS17075</t>
  </si>
  <si>
    <t>WP_000733143.1</t>
  </si>
  <si>
    <t>R8N76_RS17080</t>
  </si>
  <si>
    <t>WP_000455579.1</t>
  </si>
  <si>
    <t>R8N76_RS17085</t>
  </si>
  <si>
    <t>WP_000578982.1</t>
  </si>
  <si>
    <t>R8N76_RS17090</t>
  </si>
  <si>
    <t>WP_000873616.1</t>
  </si>
  <si>
    <t>R8N76_RS17095</t>
  </si>
  <si>
    <t>WP_000498278.1</t>
  </si>
  <si>
    <t>R8N76_RS17100</t>
  </si>
  <si>
    <t>R8N76_RS17105</t>
  </si>
  <si>
    <t>WP_000348760.1</t>
  </si>
  <si>
    <t>R8N76_RS17110</t>
  </si>
  <si>
    <t>WP_000664890.1</t>
  </si>
  <si>
    <t>R8N76_RS17115</t>
  </si>
  <si>
    <t>WP_001032628.1</t>
  </si>
  <si>
    <t>R8N76_RS17120</t>
  </si>
  <si>
    <t>WP_078223902.1</t>
  </si>
  <si>
    <t>R8N76_RS17125</t>
  </si>
  <si>
    <t>Nif3-like dinuclear metal center hexameric protein</t>
  </si>
  <si>
    <t>WP_001111125.1</t>
  </si>
  <si>
    <t>R8N76_RS17130</t>
  </si>
  <si>
    <t>iron-sulfur cluster biosynthesis family protein</t>
  </si>
  <si>
    <t>WP_000289570.1</t>
  </si>
  <si>
    <t>R8N76_RS17135</t>
  </si>
  <si>
    <t>WP_001255411.1</t>
  </si>
  <si>
    <t>R8N76_RS17140</t>
  </si>
  <si>
    <t>WP_000639042.1</t>
  </si>
  <si>
    <t>R8N76_RS17145</t>
  </si>
  <si>
    <t>WP_000624926.1</t>
  </si>
  <si>
    <t>R8N76_RS17150</t>
  </si>
  <si>
    <t>phosphoenolpyruvate carboxykinase (ATP)</t>
  </si>
  <si>
    <t>pckA</t>
  </si>
  <si>
    <t>WP_000108802.1</t>
  </si>
  <si>
    <t>R8N76_RS17155</t>
  </si>
  <si>
    <t>methionine adenosyltransferase</t>
  </si>
  <si>
    <t>metK</t>
  </si>
  <si>
    <t>WP_000163123.1</t>
  </si>
  <si>
    <t>R8N76_RS17160</t>
  </si>
  <si>
    <t>WP_000464126.1</t>
  </si>
  <si>
    <t>R8N76_RS17165</t>
  </si>
  <si>
    <t>WP_000424797.1</t>
  </si>
  <si>
    <t>R8N76_RS17170</t>
  </si>
  <si>
    <t>molybdenum cofactor biosynthesis protein B</t>
  </si>
  <si>
    <t>WP_000117124.1</t>
  </si>
  <si>
    <t>R8N76_RS17175</t>
  </si>
  <si>
    <t>molybdenum cofactor guanylyltransferase</t>
  </si>
  <si>
    <t>WP_000049593.1</t>
  </si>
  <si>
    <t>R8N76_RS17180</t>
  </si>
  <si>
    <t>glycosyltransferase family 1 protein</t>
  </si>
  <si>
    <t>WP_001261602.1</t>
  </si>
  <si>
    <t>R8N76_RS17185</t>
  </si>
  <si>
    <t>WP_000868582.1</t>
  </si>
  <si>
    <t>R8N76_RS17190</t>
  </si>
  <si>
    <t>gamma carbonic anhydrase family protein</t>
  </si>
  <si>
    <t>WP_000640188.1</t>
  </si>
  <si>
    <t>R8N76_RS17195</t>
  </si>
  <si>
    <t>WP_000267421.1</t>
  </si>
  <si>
    <t>R8N76_RS17200</t>
  </si>
  <si>
    <t>tetraprenyl-beta-curcumene synthase family protein</t>
  </si>
  <si>
    <t>WP_001102461.1</t>
  </si>
  <si>
    <t>R8N76_RS17205</t>
  </si>
  <si>
    <t>PepSY domain-containing protein</t>
  </si>
  <si>
    <t>WP_000867835.1</t>
  </si>
  <si>
    <t>R8N76_RS17210</t>
  </si>
  <si>
    <t>WP_000579289.1</t>
  </si>
  <si>
    <t>R8N76_RS17215</t>
  </si>
  <si>
    <t>WP_000457766.1</t>
  </si>
  <si>
    <t>R8N76_RS17220</t>
  </si>
  <si>
    <t>WP_000959720.1</t>
  </si>
  <si>
    <t>R8N76_RS17225</t>
  </si>
  <si>
    <t>WP_000764471.1</t>
  </si>
  <si>
    <t>R8N76_RS17230</t>
  </si>
  <si>
    <t>TIGR01212 family radical SAM protein</t>
  </si>
  <si>
    <t>WP_000868031.1</t>
  </si>
  <si>
    <t>R8N76_RS17235</t>
  </si>
  <si>
    <t>YtzC family protein</t>
  </si>
  <si>
    <t>WP_000840865.1</t>
  </si>
  <si>
    <t>R8N76_RS17240</t>
  </si>
  <si>
    <t>WP_001129340.1</t>
  </si>
  <si>
    <t>R8N76_RS17245</t>
  </si>
  <si>
    <t>WP_000527690.1</t>
  </si>
  <si>
    <t>R8N76_RS17250</t>
  </si>
  <si>
    <t>WP_000165844.1</t>
  </si>
  <si>
    <t>R8N76_RS17255</t>
  </si>
  <si>
    <t>WP_000897763.1</t>
  </si>
  <si>
    <t>R8N76_RS17260</t>
  </si>
  <si>
    <t>WP_000454210.1</t>
  </si>
  <si>
    <t>R8N76_RS17265</t>
  </si>
  <si>
    <t>WP_001026053.1</t>
  </si>
  <si>
    <t>R8N76_RS17270</t>
  </si>
  <si>
    <t>WP_000380178.1</t>
  </si>
  <si>
    <t>R8N76_RS17275</t>
  </si>
  <si>
    <t>WP_001137561.1</t>
  </si>
  <si>
    <t>R8N76_RS17280</t>
  </si>
  <si>
    <t>leucine--tRNA ligase</t>
  </si>
  <si>
    <t>leuS</t>
  </si>
  <si>
    <t>WP_000009461.1</t>
  </si>
  <si>
    <t>R8N76_RS17285</t>
  </si>
  <si>
    <t>protein VrrB</t>
  </si>
  <si>
    <t>WP_000677604.1</t>
  </si>
  <si>
    <t>R8N76_RS17290</t>
  </si>
  <si>
    <t>WP_000180554.1</t>
  </si>
  <si>
    <t>R8N76_RS17295</t>
  </si>
  <si>
    <t>WP_000038781.1</t>
  </si>
  <si>
    <t>R8N76_RS17300</t>
  </si>
  <si>
    <t>spore germination protein GerHC</t>
  </si>
  <si>
    <t>gerHC</t>
  </si>
  <si>
    <t>WP_000411389.1</t>
  </si>
  <si>
    <t>R8N76_RS17305</t>
  </si>
  <si>
    <t>WP_000049051.1</t>
  </si>
  <si>
    <t>R8N76_RS17310</t>
  </si>
  <si>
    <t>WP_000638066.1</t>
  </si>
  <si>
    <t>R8N76_RS17315</t>
  </si>
  <si>
    <t>homoserine O-acetyltransferase</t>
  </si>
  <si>
    <t>WP_001167641.1</t>
  </si>
  <si>
    <t>R8N76_RS17320</t>
  </si>
  <si>
    <t>WP_000175905.1</t>
  </si>
  <si>
    <t>R8N76_RS17325</t>
  </si>
  <si>
    <t>WP_000141207.1</t>
  </si>
  <si>
    <t>R8N76_RS17330</t>
  </si>
  <si>
    <t>WP_000512469.1</t>
  </si>
  <si>
    <t>R8N76_RS17335</t>
  </si>
  <si>
    <t>WP_001110858.1</t>
  </si>
  <si>
    <t>R8N76_RS17340</t>
  </si>
  <si>
    <t>BclA-related collagen-like exosporium protein</t>
  </si>
  <si>
    <t>WP_063225576.1</t>
  </si>
  <si>
    <t>R8N76_RS17345</t>
  </si>
  <si>
    <t>WP_001157119.1</t>
  </si>
  <si>
    <t>R8N76_RS17350</t>
  </si>
  <si>
    <t>WP_001158098.1</t>
  </si>
  <si>
    <t>R8N76_RS17355</t>
  </si>
  <si>
    <t>cyclic pyranopterin monophosphate synthase MoaC</t>
  </si>
  <si>
    <t>moaC</t>
  </si>
  <si>
    <t>WP_000094146.1</t>
  </si>
  <si>
    <t>R8N76_RS17360</t>
  </si>
  <si>
    <t>molybdopterin molybdotransferase MoeA</t>
  </si>
  <si>
    <t>moeA</t>
  </si>
  <si>
    <t>WP_000229690.1</t>
  </si>
  <si>
    <t>R8N76_RS17365</t>
  </si>
  <si>
    <t>molybdopterin-guanine dinucleotide biosynthesis protein B</t>
  </si>
  <si>
    <t>mobB</t>
  </si>
  <si>
    <t>WP_000503325.1</t>
  </si>
  <si>
    <t>R8N76_RS17370</t>
  </si>
  <si>
    <t>WP_000185942.1</t>
  </si>
  <si>
    <t>R8N76_RS17375</t>
  </si>
  <si>
    <t>WP_000621778.1</t>
  </si>
  <si>
    <t>R8N76_RS17380</t>
  </si>
  <si>
    <t>WP_000717683.1</t>
  </si>
  <si>
    <t>R8N76_RS17385</t>
  </si>
  <si>
    <t>glucose uptake protein GlcU</t>
  </si>
  <si>
    <t>glcU</t>
  </si>
  <si>
    <t>WP_000350861.1</t>
  </si>
  <si>
    <t>R8N76_RS17390</t>
  </si>
  <si>
    <t>glucose 1-dehydrogenase</t>
  </si>
  <si>
    <t>WP_000286674.1</t>
  </si>
  <si>
    <t>R8N76_RS17395</t>
  </si>
  <si>
    <t>CarD family transcriptional regulator</t>
  </si>
  <si>
    <t>WP_000451443.1</t>
  </si>
  <si>
    <t>R8N76_RS17400</t>
  </si>
  <si>
    <t>DUF2553 family protein</t>
  </si>
  <si>
    <t>WP_000533806.1</t>
  </si>
  <si>
    <t>R8N76_RS17405</t>
  </si>
  <si>
    <t>sporulation protein Cse60</t>
  </si>
  <si>
    <t>WP_000621751.1</t>
  </si>
  <si>
    <t>R8N76_RS17410</t>
  </si>
  <si>
    <t>DUF3973 domain-containing protein</t>
  </si>
  <si>
    <t>WP_000498989.1</t>
  </si>
  <si>
    <t>R8N76_RS17415</t>
  </si>
  <si>
    <t>SRPBCC domain-containing protein</t>
  </si>
  <si>
    <t>WP_000437765.1</t>
  </si>
  <si>
    <t>R8N76_RS17420</t>
  </si>
  <si>
    <t>WP_000098837.1</t>
  </si>
  <si>
    <t>R8N76_RS17425</t>
  </si>
  <si>
    <t>WP_001228021.1</t>
  </si>
  <si>
    <t>R8N76_RS17430</t>
  </si>
  <si>
    <t>WP_000558859.1</t>
  </si>
  <si>
    <t>R8N76_RS17435</t>
  </si>
  <si>
    <t>WP_001284028.1</t>
  </si>
  <si>
    <t>R8N76_RS17440</t>
  </si>
  <si>
    <t>pseudouridine synthase</t>
  </si>
  <si>
    <t>WP_001234947.1</t>
  </si>
  <si>
    <t>R8N76_RS17445</t>
  </si>
  <si>
    <t>DeoR family transcriptional regulator</t>
  </si>
  <si>
    <t>WP_000805512.1</t>
  </si>
  <si>
    <t>R8N76_RS17450</t>
  </si>
  <si>
    <t>dipeptidase PepV</t>
  </si>
  <si>
    <t>pepV</t>
  </si>
  <si>
    <t>WP_001274260.1</t>
  </si>
  <si>
    <t>R8N76_RS17455</t>
  </si>
  <si>
    <t>RNA 2',3'-cyclic phosphodiesterase</t>
  </si>
  <si>
    <t>thpR</t>
  </si>
  <si>
    <t>WP_000418986.1</t>
  </si>
  <si>
    <t>R8N76_RS17460</t>
  </si>
  <si>
    <t>type I pullulanase</t>
  </si>
  <si>
    <t>pulA</t>
  </si>
  <si>
    <t>WP_000921754.1</t>
  </si>
  <si>
    <t>R8N76_RS17465</t>
  </si>
  <si>
    <t>phosphotransferase family protein</t>
  </si>
  <si>
    <t>WP_001986674.1</t>
  </si>
  <si>
    <t>R8N76_RS17470</t>
  </si>
  <si>
    <t>YtzH-like family protein</t>
  </si>
  <si>
    <t>WP_001122235.1</t>
  </si>
  <si>
    <t>R8N76_RS17475</t>
  </si>
  <si>
    <t>tRNA (guanosine(46)-N7)-methyltransferase TrmB</t>
  </si>
  <si>
    <t>trmB</t>
  </si>
  <si>
    <t>WP_001239385.1</t>
  </si>
  <si>
    <t>R8N76_RS17480</t>
  </si>
  <si>
    <t>WP_000436855.1</t>
  </si>
  <si>
    <t>R8N76_RS17485</t>
  </si>
  <si>
    <t>WP_000118543.1</t>
  </si>
  <si>
    <t>R8N76_RS17490</t>
  </si>
  <si>
    <t>WP_001031514.1</t>
  </si>
  <si>
    <t>R8N76_RS17495</t>
  </si>
  <si>
    <t>DUF84 family protein</t>
  </si>
  <si>
    <t>WP_000869940.1</t>
  </si>
  <si>
    <t>R8N76_RS17500</t>
  </si>
  <si>
    <t>WP_000838193.1</t>
  </si>
  <si>
    <t>R8N76_RS17505</t>
  </si>
  <si>
    <t>DUF1444 domain-containing protein</t>
  </si>
  <si>
    <t>WP_000784588.1</t>
  </si>
  <si>
    <t>R8N76_RS17510</t>
  </si>
  <si>
    <t>YtpR family tRNA-binding protein</t>
  </si>
  <si>
    <t>ytpR</t>
  </si>
  <si>
    <t>WP_001006770.1</t>
  </si>
  <si>
    <t>R8N76_RS17515</t>
  </si>
  <si>
    <t>WP_000813166.1</t>
  </si>
  <si>
    <t>R8N76_RS17520</t>
  </si>
  <si>
    <t>WP_000874046.1</t>
  </si>
  <si>
    <t>R8N76_RS17525</t>
  </si>
  <si>
    <t>DNA translocase FtsK</t>
  </si>
  <si>
    <t>WP_113732204.1</t>
  </si>
  <si>
    <t>R8N76_RS17530</t>
  </si>
  <si>
    <t>WP_000658370.1</t>
  </si>
  <si>
    <t>R8N76_RS17535</t>
  </si>
  <si>
    <t>UDP-N-acetylmuramate--L-alanine ligase</t>
  </si>
  <si>
    <t>murC</t>
  </si>
  <si>
    <t>WP_000219468.1</t>
  </si>
  <si>
    <t>R8N76_RS17540</t>
  </si>
  <si>
    <t>WP_000494663.1</t>
  </si>
  <si>
    <t>R8N76_RS17545</t>
  </si>
  <si>
    <t>WP_001003091.1</t>
  </si>
  <si>
    <t>R8N76_RS17550</t>
  </si>
  <si>
    <t>WP_001010641.1</t>
  </si>
  <si>
    <t>R8N76_RS17555</t>
  </si>
  <si>
    <t>WP_000878324.1</t>
  </si>
  <si>
    <t>R8N76_RS17560</t>
  </si>
  <si>
    <t>WP_000709855.1</t>
  </si>
  <si>
    <t>R8N76_RS17565</t>
  </si>
  <si>
    <t>WP_000654729.1</t>
  </si>
  <si>
    <t>R8N76_RS17570</t>
  </si>
  <si>
    <t>DUF948 domain-containing protein</t>
  </si>
  <si>
    <t>WP_001197720.1</t>
  </si>
  <si>
    <t>R8N76_RS17575</t>
  </si>
  <si>
    <t>bacillithiol system redox-active protein YtxJ</t>
  </si>
  <si>
    <t>ytxJ</t>
  </si>
  <si>
    <t>WP_001057469.1</t>
  </si>
  <si>
    <t>R8N76_RS17580</t>
  </si>
  <si>
    <t>WP_000738025.1</t>
  </si>
  <si>
    <t>R8N76_RS17585</t>
  </si>
  <si>
    <t>bifunctional 3-deoxy-7-phosphoheptulonate synthase/chorismate mutase</t>
  </si>
  <si>
    <t>WP_000168209.1</t>
  </si>
  <si>
    <t>R8N76_RS17590</t>
  </si>
  <si>
    <t>catabolite control protein A</t>
  </si>
  <si>
    <t>ccpA</t>
  </si>
  <si>
    <t>WP_001103297.1</t>
  </si>
  <si>
    <t>R8N76_RS17595</t>
  </si>
  <si>
    <t>WP_002195827.1</t>
  </si>
  <si>
    <t>R8N76_RS17600</t>
  </si>
  <si>
    <t>DUF3917 domain-containing protein</t>
  </si>
  <si>
    <t>WP_000636589.1</t>
  </si>
  <si>
    <t>R8N76_RS17605</t>
  </si>
  <si>
    <t>large conductance mechanosensitive channel protein MscL</t>
  </si>
  <si>
    <t>mscL</t>
  </si>
  <si>
    <t>WP_000267011.1</t>
  </si>
  <si>
    <t>R8N76_RS17610</t>
  </si>
  <si>
    <t>Gfo/Idh/MocA family protein</t>
  </si>
  <si>
    <t>WP_001039694.1</t>
  </si>
  <si>
    <t>R8N76_RS17615</t>
  </si>
  <si>
    <t>WP_000474106.1</t>
  </si>
  <si>
    <t>R8N76_RS17620</t>
  </si>
  <si>
    <t>WP_000023877.1</t>
  </si>
  <si>
    <t>R8N76_RS17625</t>
  </si>
  <si>
    <t>WP_002195828.1</t>
  </si>
  <si>
    <t>R8N76_RS17630</t>
  </si>
  <si>
    <t>WP_000900162.1</t>
  </si>
  <si>
    <t>R8N76_RS17635</t>
  </si>
  <si>
    <t>WP_002041890.1</t>
  </si>
  <si>
    <t>R8N76_RS17640</t>
  </si>
  <si>
    <t>acetoin utilization protein AcuC</t>
  </si>
  <si>
    <t>acuC</t>
  </si>
  <si>
    <t>WP_000092830.1</t>
  </si>
  <si>
    <t>R8N76_RS17645</t>
  </si>
  <si>
    <t>acetoin utilization AcuB family protein</t>
  </si>
  <si>
    <t>WP_000634583.1</t>
  </si>
  <si>
    <t>R8N76_RS17650</t>
  </si>
  <si>
    <t>acetoin utilization protein acetyltransferase AcuA</t>
  </si>
  <si>
    <t>acuA</t>
  </si>
  <si>
    <t>WP_000581388.1</t>
  </si>
  <si>
    <t>R8N76_RS17655</t>
  </si>
  <si>
    <t>acetate--CoA ligase</t>
  </si>
  <si>
    <t>acsA</t>
  </si>
  <si>
    <t>WP_000862049.1</t>
  </si>
  <si>
    <t>R8N76_RS17660</t>
  </si>
  <si>
    <t>maltose acetyltransferase domain-containing protein</t>
  </si>
  <si>
    <t>WP_002026426.1</t>
  </si>
  <si>
    <t>R8N76_RS17665</t>
  </si>
  <si>
    <t>WP_000512076.1</t>
  </si>
  <si>
    <t>R8N76_RS17670</t>
  </si>
  <si>
    <t>YjdJ family protein</t>
  </si>
  <si>
    <t>WP_000994181.1</t>
  </si>
  <si>
    <t>R8N76_RS17675</t>
  </si>
  <si>
    <t>WP_000050944.1</t>
  </si>
  <si>
    <t>R8N76_RS17680</t>
  </si>
  <si>
    <t>30S ribosomal protein S4</t>
  </si>
  <si>
    <t>rpsD</t>
  </si>
  <si>
    <t>WP_000135317.1</t>
  </si>
  <si>
    <t>R8N76_RS17685</t>
  </si>
  <si>
    <t>methionine gamma-lyase</t>
  </si>
  <si>
    <t>megL</t>
  </si>
  <si>
    <t>WP_000726562.1</t>
  </si>
  <si>
    <t>R8N76_RS17690</t>
  </si>
  <si>
    <t>GAF domain-containing protein</t>
  </si>
  <si>
    <t>WP_000494340.1</t>
  </si>
  <si>
    <t>R8N76_RS17695</t>
  </si>
  <si>
    <t>forespore capture DNA-binding protein RefZ</t>
  </si>
  <si>
    <t>refZ</t>
  </si>
  <si>
    <t>WP_000814923.1</t>
  </si>
  <si>
    <t>R8N76_RS17700</t>
  </si>
  <si>
    <t>WP_016123448.1</t>
  </si>
  <si>
    <t>R8N76_RS17705</t>
  </si>
  <si>
    <t>WP_000362529.1</t>
  </si>
  <si>
    <t>R8N76_RS17710</t>
  </si>
  <si>
    <t>septation ring formation regulator EzrA</t>
  </si>
  <si>
    <t>ezrA</t>
  </si>
  <si>
    <t>WP_000377303.1</t>
  </si>
  <si>
    <t>R8N76_RS17715</t>
  </si>
  <si>
    <t>cysteine desulfurase family protein</t>
  </si>
  <si>
    <t>WP_000638992.1</t>
  </si>
  <si>
    <t>R8N76_RS17720</t>
  </si>
  <si>
    <t>tRNA uracil 4-sulfurtransferase ThiI</t>
  </si>
  <si>
    <t>thiI</t>
  </si>
  <si>
    <t>WP_000922339.1</t>
  </si>
  <si>
    <t>R8N76_RS17725</t>
  </si>
  <si>
    <t>WP_000091640.1</t>
  </si>
  <si>
    <t>R8N76_RS17730</t>
  </si>
  <si>
    <t>acyl-CoA synthetase MbcS</t>
  </si>
  <si>
    <t>mbcS</t>
  </si>
  <si>
    <t>WP_000817766.1</t>
  </si>
  <si>
    <t>R8N76_RS17735</t>
  </si>
  <si>
    <t>WP_000600350.1</t>
  </si>
  <si>
    <t>R8N76_RS17740</t>
  </si>
  <si>
    <t>WP_000504021.1</t>
  </si>
  <si>
    <t>R8N76_RS17745</t>
  </si>
  <si>
    <t>WP_000785177.1</t>
  </si>
  <si>
    <t>R8N76_RS17750</t>
  </si>
  <si>
    <t>DUF2953 domain-containing protein</t>
  </si>
  <si>
    <t>WP_002164419.1</t>
  </si>
  <si>
    <t>R8N76_RS17755</t>
  </si>
  <si>
    <t>WP_000350003.1</t>
  </si>
  <si>
    <t>R8N76_RS17760</t>
  </si>
  <si>
    <t>thiol peroxidase</t>
  </si>
  <si>
    <t>tpx</t>
  </si>
  <si>
    <t>WP_000024529.1</t>
  </si>
  <si>
    <t>R8N76_RS17765</t>
  </si>
  <si>
    <t>WP_000084366.1</t>
  </si>
  <si>
    <t>R8N76_RS17770</t>
  </si>
  <si>
    <t>acetate kinase</t>
  </si>
  <si>
    <t>ackA</t>
  </si>
  <si>
    <t>WP_000034575.1</t>
  </si>
  <si>
    <t>R8N76_RS17775</t>
  </si>
  <si>
    <t>WP_000283500.1</t>
  </si>
  <si>
    <t>R8N76_RS17780</t>
  </si>
  <si>
    <t>DUF1796 family putative cysteine peptidase</t>
  </si>
  <si>
    <t>WP_001053729.1</t>
  </si>
  <si>
    <t>R8N76_RS17785</t>
  </si>
  <si>
    <t>EcsC family protein</t>
  </si>
  <si>
    <t>WP_001256850.1</t>
  </si>
  <si>
    <t>R8N76_RS17790</t>
  </si>
  <si>
    <t>WP_001244515.1</t>
  </si>
  <si>
    <t>R8N76_RS17795</t>
  </si>
  <si>
    <t>WP_000910274.1</t>
  </si>
  <si>
    <t>R8N76_RS17800</t>
  </si>
  <si>
    <t>WP_000417218.1</t>
  </si>
  <si>
    <t>R8N76_RS17805</t>
  </si>
  <si>
    <t>argininosuccinate synthase</t>
  </si>
  <si>
    <t>WP_000412315.1</t>
  </si>
  <si>
    <t>R8N76_RS17810</t>
  </si>
  <si>
    <t>argininosuccinate lyase</t>
  </si>
  <si>
    <t>argH</t>
  </si>
  <si>
    <t>WP_000041296.1</t>
  </si>
  <si>
    <t>R8N76_RS17815</t>
  </si>
  <si>
    <t>DUF3139 domain-containing protein</t>
  </si>
  <si>
    <t>WP_000725030.1</t>
  </si>
  <si>
    <t>R8N76_RS17820</t>
  </si>
  <si>
    <t>WP_000342760.1</t>
  </si>
  <si>
    <t>R8N76_RS17825</t>
  </si>
  <si>
    <t>WP_001252880.1</t>
  </si>
  <si>
    <t>R8N76_RS17830</t>
  </si>
  <si>
    <t>WP_001066673.1</t>
  </si>
  <si>
    <t>R8N76_RS17835</t>
  </si>
  <si>
    <t>WP_002024902.1</t>
  </si>
  <si>
    <t>R8N76_RS17840</t>
  </si>
  <si>
    <t>WP_001219410.1</t>
  </si>
  <si>
    <t>R8N76_RS17845</t>
  </si>
  <si>
    <t>WP_000534945.1</t>
  </si>
  <si>
    <t>R8N76_RS17850</t>
  </si>
  <si>
    <t>cupin domain-containing protein</t>
  </si>
  <si>
    <t>WP_000450925.1</t>
  </si>
  <si>
    <t>R8N76_RS17855</t>
  </si>
  <si>
    <t>WP_000736744.1</t>
  </si>
  <si>
    <t>R8N76_RS17860</t>
  </si>
  <si>
    <t>DUF6176 family protein</t>
  </si>
  <si>
    <t>WP_001100217.1</t>
  </si>
  <si>
    <t>R8N76_RS17865</t>
  </si>
  <si>
    <t>R8N76_RS17870</t>
  </si>
  <si>
    <t>WP_001248908.1</t>
  </si>
  <si>
    <t>R8N76_RS17875</t>
  </si>
  <si>
    <t>DUF2785 domain-containing protein</t>
  </si>
  <si>
    <t>WP_000941475.1</t>
  </si>
  <si>
    <t>R8N76_RS17880</t>
  </si>
  <si>
    <t>WP_000816717.1</t>
  </si>
  <si>
    <t>R8N76_RS17885</t>
  </si>
  <si>
    <t>DUF3221 domain-containing protein</t>
  </si>
  <si>
    <t>WP_001079377.1</t>
  </si>
  <si>
    <t>R8N76_RS17890</t>
  </si>
  <si>
    <t>Xaa-Pro dipeptidase</t>
  </si>
  <si>
    <t>pepQ</t>
  </si>
  <si>
    <t>WP_000994025.1</t>
  </si>
  <si>
    <t>R8N76_RS17895</t>
  </si>
  <si>
    <t>WP_000868927.1</t>
  </si>
  <si>
    <t>R8N76_RS17900</t>
  </si>
  <si>
    <t>WP_000976303.1</t>
  </si>
  <si>
    <t>R8N76_RS17905</t>
  </si>
  <si>
    <t>WP_000201572.1</t>
  </si>
  <si>
    <t>R8N76_RS17910</t>
  </si>
  <si>
    <t>DUF3949 domain-containing protein</t>
  </si>
  <si>
    <t>WP_000093045.1</t>
  </si>
  <si>
    <t>R8N76_RS17915</t>
  </si>
  <si>
    <t>YtpI family protein</t>
  </si>
  <si>
    <t>WP_001144776.1</t>
  </si>
  <si>
    <t>R8N76_RS17920</t>
  </si>
  <si>
    <t>bifunctional oligoribonuclease/PAP phosphatase NrnA</t>
  </si>
  <si>
    <t>WP_000545136.1</t>
  </si>
  <si>
    <t>R8N76_RS17925</t>
  </si>
  <si>
    <t>sporulation membrane protein YtrI</t>
  </si>
  <si>
    <t>ytrI</t>
  </si>
  <si>
    <t>WP_001265736.1</t>
  </si>
  <si>
    <t>R8N76_RS17930</t>
  </si>
  <si>
    <t>YtrH family sporulation protein</t>
  </si>
  <si>
    <t>WP_002005839.1</t>
  </si>
  <si>
    <t>R8N76_RS17935</t>
  </si>
  <si>
    <t>DNA polymerase III subunit alpha</t>
  </si>
  <si>
    <t>dnaE</t>
  </si>
  <si>
    <t>WP_000673724.1</t>
  </si>
  <si>
    <t>R8N76_RS17940</t>
  </si>
  <si>
    <t>WP_161508111.1</t>
  </si>
  <si>
    <t>R8N76_RS17945</t>
  </si>
  <si>
    <t>WP_000204448.1</t>
  </si>
  <si>
    <t>R8N76_RS17950</t>
  </si>
  <si>
    <t>acetyl-CoA carboxylase, carboxyltransferase subunit beta</t>
  </si>
  <si>
    <t>accD</t>
  </si>
  <si>
    <t>WP_000942856.1</t>
  </si>
  <si>
    <t>R8N76_RS17955</t>
  </si>
  <si>
    <t>acetyl-CoA carboxylase carboxyl transferase subunit alpha</t>
  </si>
  <si>
    <t>accA</t>
  </si>
  <si>
    <t>WP_000818803.1</t>
  </si>
  <si>
    <t>R8N76_RS17960</t>
  </si>
  <si>
    <t>6-phosphofructokinase</t>
  </si>
  <si>
    <t>pfkA</t>
  </si>
  <si>
    <t>WP_000821157.1</t>
  </si>
  <si>
    <t>R8N76_RS17965</t>
  </si>
  <si>
    <t>pyruvate kinase</t>
  </si>
  <si>
    <t>pyk</t>
  </si>
  <si>
    <t>WP_001232673.1</t>
  </si>
  <si>
    <t>R8N76_RS17970</t>
  </si>
  <si>
    <t>FxsA family protein</t>
  </si>
  <si>
    <t>WP_000871622.1</t>
  </si>
  <si>
    <t>R8N76_RS17975</t>
  </si>
  <si>
    <t>sporulation integral membrane protein YtvI</t>
  </si>
  <si>
    <t>ytvI</t>
  </si>
  <si>
    <t>WP_001081388.1</t>
  </si>
  <si>
    <t>R8N76_RS17980</t>
  </si>
  <si>
    <t>DUF441 domain-containing protein</t>
  </si>
  <si>
    <t>WP_000625507.1</t>
  </si>
  <si>
    <t>R8N76_RS17985</t>
  </si>
  <si>
    <t>citrate synthase</t>
  </si>
  <si>
    <t>citZ</t>
  </si>
  <si>
    <t>WP_000503652.1</t>
  </si>
  <si>
    <t>R8N76_RS17990</t>
  </si>
  <si>
    <t>NADP-dependent isocitrate dehydrogenase</t>
  </si>
  <si>
    <t>icd</t>
  </si>
  <si>
    <t>WP_000206898.1</t>
  </si>
  <si>
    <t>R8N76_RS17995</t>
  </si>
  <si>
    <t>malate dehydrogenase</t>
  </si>
  <si>
    <t>mdh</t>
  </si>
  <si>
    <t>WP_000153230.1</t>
  </si>
  <si>
    <t>R8N76_RS18000</t>
  </si>
  <si>
    <t>MaoC/PaaZ C-terminal domain-containing protein</t>
  </si>
  <si>
    <t>WP_000914180.1</t>
  </si>
  <si>
    <t>R8N76_RS18005</t>
  </si>
  <si>
    <t>WP_001237022.1</t>
  </si>
  <si>
    <t>R8N76_RS18010</t>
  </si>
  <si>
    <t>WP_001267383.1</t>
  </si>
  <si>
    <t>R8N76_RS18015</t>
  </si>
  <si>
    <t>two-component system response regulator PhoP</t>
  </si>
  <si>
    <t>phoP</t>
  </si>
  <si>
    <t>WP_001065220.1</t>
  </si>
  <si>
    <t>R8N76_RS18020</t>
  </si>
  <si>
    <t>sensory box histidine kinase PhoR</t>
  </si>
  <si>
    <t>phoR</t>
  </si>
  <si>
    <t>WP_001032106.1</t>
  </si>
  <si>
    <t>R8N76_RS18025</t>
  </si>
  <si>
    <t>DNA polymerase I</t>
  </si>
  <si>
    <t>polA</t>
  </si>
  <si>
    <t>WP_000412825.1</t>
  </si>
  <si>
    <t>R8N76_RS18030</t>
  </si>
  <si>
    <t>DNA-formamidopyrimidine glycosylase</t>
  </si>
  <si>
    <t>mutM</t>
  </si>
  <si>
    <t>WP_001114478.1</t>
  </si>
  <si>
    <t>R8N76_RS18035</t>
  </si>
  <si>
    <t>sporulation membrane protein YtaF</t>
  </si>
  <si>
    <t>ytaF</t>
  </si>
  <si>
    <t>WP_000281747.1</t>
  </si>
  <si>
    <t>R8N76_RS18040</t>
  </si>
  <si>
    <t>dephospho-CoA kinase</t>
  </si>
  <si>
    <t>coaE</t>
  </si>
  <si>
    <t>WP_000219314.1</t>
  </si>
  <si>
    <t>R8N76_RS18045</t>
  </si>
  <si>
    <t>glyceraldehyde-3-phosphate dehydrogenase</t>
  </si>
  <si>
    <t>WP_000198974.1</t>
  </si>
  <si>
    <t>R8N76_RS18050</t>
  </si>
  <si>
    <t>WP_002003660.1</t>
  </si>
  <si>
    <t>R8N76_RS18055</t>
  </si>
  <si>
    <t>transcriptional regulator NrdR</t>
  </si>
  <si>
    <t>nrdR</t>
  </si>
  <si>
    <t>WP_001203687.1</t>
  </si>
  <si>
    <t>R8N76_RS18060</t>
  </si>
  <si>
    <t>replication initiation and membrane attachment family protein</t>
  </si>
  <si>
    <t>WP_000415049.1</t>
  </si>
  <si>
    <t>R8N76_RS18065</t>
  </si>
  <si>
    <t>primosomal protein DnaI</t>
  </si>
  <si>
    <t>dnaI</t>
  </si>
  <si>
    <t>WP_000400104.1</t>
  </si>
  <si>
    <t>R8N76_RS18070</t>
  </si>
  <si>
    <t>DUF4177 domain-containing protein</t>
  </si>
  <si>
    <t>WP_000464456.1</t>
  </si>
  <si>
    <t>R8N76_RS18075</t>
  </si>
  <si>
    <t>putative sporulation protein YtxC</t>
  </si>
  <si>
    <t>ytxC</t>
  </si>
  <si>
    <t>WP_000569629.1</t>
  </si>
  <si>
    <t>R8N76_RS18080</t>
  </si>
  <si>
    <t>WP_000786083.1</t>
  </si>
  <si>
    <t>R8N76_RS18085</t>
  </si>
  <si>
    <t>translation initiation factor IF-3</t>
  </si>
  <si>
    <t>infC</t>
  </si>
  <si>
    <t>WP_000973215.1</t>
  </si>
  <si>
    <t>R8N76_RS18090</t>
  </si>
  <si>
    <t>50S ribosomal protein L35</t>
  </si>
  <si>
    <t>rpmI</t>
  </si>
  <si>
    <t>WP_001125945.1</t>
  </si>
  <si>
    <t>R8N76_RS18095</t>
  </si>
  <si>
    <t>50S ribosomal protein L20</t>
  </si>
  <si>
    <t>rplT</t>
  </si>
  <si>
    <t>WP_001138362.1</t>
  </si>
  <si>
    <t>R8N76_RS18100</t>
  </si>
  <si>
    <t>WP_000365050.1</t>
  </si>
  <si>
    <t>R8N76_RS18105</t>
  </si>
  <si>
    <t>WP_000163555.1</t>
  </si>
  <si>
    <t>R8N76_RS18110</t>
  </si>
  <si>
    <t>WP_000023672.1</t>
  </si>
  <si>
    <t>R8N76_RS18115</t>
  </si>
  <si>
    <t>HlyD family secretion protein</t>
  </si>
  <si>
    <t>WP_001071419.1</t>
  </si>
  <si>
    <t>R8N76_RS18120</t>
  </si>
  <si>
    <t>DHA2 family efflux MFS transporter permease subunit</t>
  </si>
  <si>
    <t>WP_000095291.1</t>
  </si>
  <si>
    <t>R8N76_RS18125</t>
  </si>
  <si>
    <t>WP_000467057.1</t>
  </si>
  <si>
    <t>R8N76_RS18130</t>
  </si>
  <si>
    <t>WP_000491395.1</t>
  </si>
  <si>
    <t>R8N76_RS18135</t>
  </si>
  <si>
    <t>WP_001182110.1</t>
  </si>
  <si>
    <t>R8N76_RS18140</t>
  </si>
  <si>
    <t>WP_000554786.1</t>
  </si>
  <si>
    <t>R8N76_RS18145</t>
  </si>
  <si>
    <t>small acid-soluble spore protein SspI</t>
  </si>
  <si>
    <t>sspI</t>
  </si>
  <si>
    <t>WP_000009509.1</t>
  </si>
  <si>
    <t>R8N76_RS18150</t>
  </si>
  <si>
    <t>RNA methyltransferase</t>
  </si>
  <si>
    <t>WP_002026395.1</t>
  </si>
  <si>
    <t>R8N76_RS18155</t>
  </si>
  <si>
    <t>phenylalanine--tRNA ligase subunit alpha</t>
  </si>
  <si>
    <t>pheS</t>
  </si>
  <si>
    <t>WP_000388219.1</t>
  </si>
  <si>
    <t>R8N76_RS18160</t>
  </si>
  <si>
    <t>phenylalanine--tRNA ligase subunit beta</t>
  </si>
  <si>
    <t>pheT</t>
  </si>
  <si>
    <t>WP_000498186.1</t>
  </si>
  <si>
    <t>R8N76_RS18165</t>
  </si>
  <si>
    <t>asparagine--tRNA ligase</t>
  </si>
  <si>
    <t>asnS</t>
  </si>
  <si>
    <t>WP_000432177.1</t>
  </si>
  <si>
    <t>R8N76_RS18170</t>
  </si>
  <si>
    <t>WP_000039588.1</t>
  </si>
  <si>
    <t>R8N76_RS18175</t>
  </si>
  <si>
    <t>R8N76_RS18180</t>
  </si>
  <si>
    <t>WP_000925539.1</t>
  </si>
  <si>
    <t>R8N76_RS18185</t>
  </si>
  <si>
    <t>ribonuclease HIII</t>
  </si>
  <si>
    <t>rnhC</t>
  </si>
  <si>
    <t>WP_000071591.1</t>
  </si>
  <si>
    <t>R8N76_RS18190</t>
  </si>
  <si>
    <t>cell division protein ZapA</t>
  </si>
  <si>
    <t>zapA</t>
  </si>
  <si>
    <t>WP_000082701.1</t>
  </si>
  <si>
    <t>R8N76_RS18195</t>
  </si>
  <si>
    <t>CvpA family protein</t>
  </si>
  <si>
    <t>WP_000565409.1</t>
  </si>
  <si>
    <t>R8N76_RS18200</t>
  </si>
  <si>
    <t>DNA polymerase/3'-5' exonuclease PolX</t>
  </si>
  <si>
    <t>polX</t>
  </si>
  <si>
    <t>WP_000867519.1</t>
  </si>
  <si>
    <t>R8N76_RS18205</t>
  </si>
  <si>
    <t>endonuclease MutS2</t>
  </si>
  <si>
    <t>WP_000893715.1</t>
  </si>
  <si>
    <t>R8N76_RS18210</t>
  </si>
  <si>
    <t>WP_000700716.1</t>
  </si>
  <si>
    <t>R8N76_RS18215</t>
  </si>
  <si>
    <t>branched-chain amino acid transport system II carrier protein BrnQ6</t>
  </si>
  <si>
    <t>brnQ6</t>
  </si>
  <si>
    <t>WP_000842634.1</t>
  </si>
  <si>
    <t>R8N76_RS18220</t>
  </si>
  <si>
    <t>heme uptake protein IsdC</t>
  </si>
  <si>
    <t>isdC</t>
  </si>
  <si>
    <t>WP_000757944.1</t>
  </si>
  <si>
    <t>R8N76_RS18225</t>
  </si>
  <si>
    <t>NEAT domain-containing protein</t>
  </si>
  <si>
    <t>WP_000476164.1</t>
  </si>
  <si>
    <t>R8N76_RS18230</t>
  </si>
  <si>
    <t>WP_001083193.1</t>
  </si>
  <si>
    <t>R8N76_RS18235</t>
  </si>
  <si>
    <t>heme ABC transporter substrate-binding protein IsdE</t>
  </si>
  <si>
    <t>isdE</t>
  </si>
  <si>
    <t>WP_033685303.1</t>
  </si>
  <si>
    <t>R8N76_RS18240</t>
  </si>
  <si>
    <t>WP_001036831.1</t>
  </si>
  <si>
    <t>R8N76_RS18245</t>
  </si>
  <si>
    <t>WP_000403758.1</t>
  </si>
  <si>
    <t>R8N76_RS18250</t>
  </si>
  <si>
    <t>class B sortase</t>
  </si>
  <si>
    <t>srtB</t>
  </si>
  <si>
    <t>WP_001086126.1</t>
  </si>
  <si>
    <t>R8N76_RS18255</t>
  </si>
  <si>
    <t>heme oxygenase</t>
  </si>
  <si>
    <t>isdG</t>
  </si>
  <si>
    <t>WP_000587818.1</t>
  </si>
  <si>
    <t>R8N76_RS18260</t>
  </si>
  <si>
    <t>class I SAM-dependent rRNA methyltransferase</t>
  </si>
  <si>
    <t>WP_001235507.1</t>
  </si>
  <si>
    <t>R8N76_RS18265</t>
  </si>
  <si>
    <t>YwbE family protein</t>
  </si>
  <si>
    <t>WP_001014310.1</t>
  </si>
  <si>
    <t>R8N76_RS18270</t>
  </si>
  <si>
    <t>WP_001293578.1</t>
  </si>
  <si>
    <t>R8N76_RS18275</t>
  </si>
  <si>
    <t>WP_000018035.1</t>
  </si>
  <si>
    <t>R8N76_RS18280</t>
  </si>
  <si>
    <t>HAMP domain-containing histidine kinase</t>
  </si>
  <si>
    <t>WP_000247675.1</t>
  </si>
  <si>
    <t>R8N76_RS18285</t>
  </si>
  <si>
    <t>WP_000221070.1</t>
  </si>
  <si>
    <t>R8N76_RS18290</t>
  </si>
  <si>
    <t>WP_000931816.1</t>
  </si>
  <si>
    <t>R8N76_RS18295</t>
  </si>
  <si>
    <t>WP_000475536.1</t>
  </si>
  <si>
    <t>R8N76_RS18300</t>
  </si>
  <si>
    <t>DUF4097 family beta strand repeat-containing protein</t>
  </si>
  <si>
    <t>WP_000738281.1</t>
  </si>
  <si>
    <t>R8N76_RS18305</t>
  </si>
  <si>
    <t>WP_000902926.1</t>
  </si>
  <si>
    <t>R8N76_RS18310</t>
  </si>
  <si>
    <t>WP_001093296.1</t>
  </si>
  <si>
    <t>R8N76_RS18315</t>
  </si>
  <si>
    <t>WP_000284980.1</t>
  </si>
  <si>
    <t>R8N76_RS18320</t>
  </si>
  <si>
    <t>WP_000825576.1</t>
  </si>
  <si>
    <t>R8N76_RS18325</t>
  </si>
  <si>
    <t>Fe(3+)-hydroxamate ABC transporter permease FhuB</t>
  </si>
  <si>
    <t>fhuB</t>
  </si>
  <si>
    <t>WP_001087086.1</t>
  </si>
  <si>
    <t>R8N76_RS18330</t>
  </si>
  <si>
    <t>WP_000722821.1</t>
  </si>
  <si>
    <t>R8N76_RS18335</t>
  </si>
  <si>
    <t>WP_002195845.1</t>
  </si>
  <si>
    <t>R8N76_RS18340</t>
  </si>
  <si>
    <t>long-chain-fatty-acid--CoA ligase</t>
  </si>
  <si>
    <t>WP_000414746.1</t>
  </si>
  <si>
    <t>R8N76_RS18345</t>
  </si>
  <si>
    <t>WP_002001012.1</t>
  </si>
  <si>
    <t>R8N76_RS18350</t>
  </si>
  <si>
    <t>WP_033685304.1</t>
  </si>
  <si>
    <t>R8N76_RS18355</t>
  </si>
  <si>
    <t>electron transfer flavoprotein subunit beta</t>
  </si>
  <si>
    <t>etfB</t>
  </si>
  <si>
    <t>WP_001029028.1</t>
  </si>
  <si>
    <t>R8N76_RS18360</t>
  </si>
  <si>
    <t>electron transfer flavoprotein subunit alpha</t>
  </si>
  <si>
    <t>etfA</t>
  </si>
  <si>
    <t>WP_000101950.1</t>
  </si>
  <si>
    <t>R8N76_RS18365</t>
  </si>
  <si>
    <t>thioredoxin</t>
  </si>
  <si>
    <t>trxA</t>
  </si>
  <si>
    <t>WP_001018943.1</t>
  </si>
  <si>
    <t>R8N76_RS18370</t>
  </si>
  <si>
    <t>excinuclease ABC subunit C</t>
  </si>
  <si>
    <t>uvrC</t>
  </si>
  <si>
    <t>WP_000544296.1</t>
  </si>
  <si>
    <t>R8N76_RS18375</t>
  </si>
  <si>
    <t>YslB family protein</t>
  </si>
  <si>
    <t>WP_000042226.1</t>
  </si>
  <si>
    <t>R8N76_RS18380</t>
  </si>
  <si>
    <t>succinate dehydrogenase cytochrome B558</t>
  </si>
  <si>
    <t>sdhC</t>
  </si>
  <si>
    <t>WP_000678354.1</t>
  </si>
  <si>
    <t>R8N76_RS18385</t>
  </si>
  <si>
    <t>succinate dehydrogenase flavoprotein subunit</t>
  </si>
  <si>
    <t>sdhA</t>
  </si>
  <si>
    <t>WP_000676750.1</t>
  </si>
  <si>
    <t>R8N76_RS18390</t>
  </si>
  <si>
    <t>succinate dehydrogenase iron-sulfur subunit</t>
  </si>
  <si>
    <t>sdhB</t>
  </si>
  <si>
    <t>WP_001291827.1</t>
  </si>
  <si>
    <t>R8N76_RS18395</t>
  </si>
  <si>
    <t>thioesterase family protein</t>
  </si>
  <si>
    <t>WP_000822735.1</t>
  </si>
  <si>
    <t>R8N76_RS18400</t>
  </si>
  <si>
    <t>WP_000720201.1</t>
  </si>
  <si>
    <t>R8N76_RS18405</t>
  </si>
  <si>
    <t>flagellar motor stator protein MotA</t>
  </si>
  <si>
    <t>motA</t>
  </si>
  <si>
    <t>WP_000344853.1</t>
  </si>
  <si>
    <t>R8N76_RS18410</t>
  </si>
  <si>
    <t>flagellar motor protein MotB</t>
  </si>
  <si>
    <t>motB</t>
  </si>
  <si>
    <t>WP_001256734.1</t>
  </si>
  <si>
    <t>R8N76_RS18415</t>
  </si>
  <si>
    <t>5'-nucleotidase, lipoprotein e(P4) family</t>
  </si>
  <si>
    <t>WP_000782763.1</t>
  </si>
  <si>
    <t>R8N76_RS18420</t>
  </si>
  <si>
    <t>WP_000058115.1</t>
  </si>
  <si>
    <t>R8N76_RS18425</t>
  </si>
  <si>
    <t>WP_001224970.1</t>
  </si>
  <si>
    <t>R8N76_RS18430</t>
  </si>
  <si>
    <t>WP_000512998.1</t>
  </si>
  <si>
    <t>R8N76_RS18435</t>
  </si>
  <si>
    <t>aquaporin</t>
  </si>
  <si>
    <t>WP_000913210.1</t>
  </si>
  <si>
    <t>R8N76_RS18440</t>
  </si>
  <si>
    <t>multidrug resistance efflux transporter family protein</t>
  </si>
  <si>
    <t>WP_001201621.1</t>
  </si>
  <si>
    <t>R8N76_RS18445</t>
  </si>
  <si>
    <t>WP_000661920.1</t>
  </si>
  <si>
    <t>R8N76_RS18450</t>
  </si>
  <si>
    <t>PspC domain-containing protein</t>
  </si>
  <si>
    <t>WP_000044334.1</t>
  </si>
  <si>
    <t>R8N76_RS18455</t>
  </si>
  <si>
    <t>amidohydrolase family protein</t>
  </si>
  <si>
    <t>WP_000219567.1</t>
  </si>
  <si>
    <t>R8N76_RS18460</t>
  </si>
  <si>
    <t>WP_000732140.1</t>
  </si>
  <si>
    <t>R8N76_RS18465</t>
  </si>
  <si>
    <t>spore germination transcription factor GerE</t>
  </si>
  <si>
    <t>gerE</t>
  </si>
  <si>
    <t>WP_000659484.1</t>
  </si>
  <si>
    <t>R8N76_RS18470</t>
  </si>
  <si>
    <t>WP_000919607.1</t>
  </si>
  <si>
    <t>R8N76_RS18475</t>
  </si>
  <si>
    <t>WP_001233008.1</t>
  </si>
  <si>
    <t>R8N76_RS18480</t>
  </si>
  <si>
    <t>WP_000823847.1</t>
  </si>
  <si>
    <t>R8N76_RS18485</t>
  </si>
  <si>
    <t>WP_000513857.1</t>
  </si>
  <si>
    <t>R8N76_RS18490</t>
  </si>
  <si>
    <t>WP_000774005.1</t>
  </si>
  <si>
    <t>R8N76_RS18495</t>
  </si>
  <si>
    <t>spore germination protein GerM</t>
  </si>
  <si>
    <t>gerM</t>
  </si>
  <si>
    <t>WP_001126748.1</t>
  </si>
  <si>
    <t>R8N76_RS18500</t>
  </si>
  <si>
    <t>ribonuclease PH</t>
  </si>
  <si>
    <t>rph</t>
  </si>
  <si>
    <t>WP_001261765.1</t>
  </si>
  <si>
    <t>R8N76_RS18505</t>
  </si>
  <si>
    <t>XTP/dITP diphosphatase</t>
  </si>
  <si>
    <t>WP_000815939.1</t>
  </si>
  <si>
    <t>R8N76_RS18510</t>
  </si>
  <si>
    <t>WP_000645488.1</t>
  </si>
  <si>
    <t>R8N76_RS18515</t>
  </si>
  <si>
    <t>R8N76_RS18520</t>
  </si>
  <si>
    <t>R8N76_RS18525</t>
  </si>
  <si>
    <t>WP_000124460.1</t>
  </si>
  <si>
    <t>R8N76_RS18530</t>
  </si>
  <si>
    <t>DUF6977 family protein</t>
  </si>
  <si>
    <t>WP_001007824.1</t>
  </si>
  <si>
    <t>R8N76_RS18535</t>
  </si>
  <si>
    <t>3'-5' exonuclease</t>
  </si>
  <si>
    <t>WP_001207706.1</t>
  </si>
  <si>
    <t>R8N76_RS18540</t>
  </si>
  <si>
    <t>DUF4433 domain-containing protein</t>
  </si>
  <si>
    <t>WP_001209081.1</t>
  </si>
  <si>
    <t>R8N76_RS18545</t>
  </si>
  <si>
    <t>ADP-ribosylglycohydrolase family protein</t>
  </si>
  <si>
    <t>WP_000283454.1</t>
  </si>
  <si>
    <t>R8N76_RS18550</t>
  </si>
  <si>
    <t>WP_000473863.1</t>
  </si>
  <si>
    <t>R8N76_RS18555</t>
  </si>
  <si>
    <t>WP_001983650.1</t>
  </si>
  <si>
    <t>R8N76_RS18560</t>
  </si>
  <si>
    <t>WP_000358277.1</t>
  </si>
  <si>
    <t>R8N76_RS18565</t>
  </si>
  <si>
    <t>trigger factor</t>
  </si>
  <si>
    <t>tig</t>
  </si>
  <si>
    <t>WP_000105215.1</t>
  </si>
  <si>
    <t>R8N76_RS18570</t>
  </si>
  <si>
    <t>ATP-dependent protease ATP-binding subunit ClpX</t>
  </si>
  <si>
    <t>clpX</t>
  </si>
  <si>
    <t>WP_000472289.1</t>
  </si>
  <si>
    <t>R8N76_RS18575</t>
  </si>
  <si>
    <t>ATP-dependent protease LonB</t>
  </si>
  <si>
    <t>lonB</t>
  </si>
  <si>
    <t>WP_000119176.1</t>
  </si>
  <si>
    <t>R8N76_RS18580</t>
  </si>
  <si>
    <t>endopeptidase La</t>
  </si>
  <si>
    <t>lon</t>
  </si>
  <si>
    <t>WP_000097289.1</t>
  </si>
  <si>
    <t>R8N76_RS18585</t>
  </si>
  <si>
    <t>ribosome biogenesis GTP-binding protein YsxC</t>
  </si>
  <si>
    <t>ysxC</t>
  </si>
  <si>
    <t>WP_000869116.1</t>
  </si>
  <si>
    <t>R8N76_RS18590</t>
  </si>
  <si>
    <t>organic hydroperoxide resistance protein</t>
  </si>
  <si>
    <t>WP_000359781.1</t>
  </si>
  <si>
    <t>R8N76_RS18595</t>
  </si>
  <si>
    <t>WP_000133916.1</t>
  </si>
  <si>
    <t>R8N76_RS18600</t>
  </si>
  <si>
    <t>glutamyl-tRNA reductase</t>
  </si>
  <si>
    <t>hemA</t>
  </si>
  <si>
    <t>WP_000547868.1</t>
  </si>
  <si>
    <t>R8N76_RS18605</t>
  </si>
  <si>
    <t>cytochrome c biogenesis protein</t>
  </si>
  <si>
    <t>WP_000007721.1</t>
  </si>
  <si>
    <t>R8N76_RS18610</t>
  </si>
  <si>
    <t>hydroxymethylbilane synthase</t>
  </si>
  <si>
    <t>hemC</t>
  </si>
  <si>
    <t>WP_001226407.1</t>
  </si>
  <si>
    <t>R8N76_RS18615</t>
  </si>
  <si>
    <t>uroporphyrinogen-III synthase</t>
  </si>
  <si>
    <t>hemD</t>
  </si>
  <si>
    <t>WP_000992353.1</t>
  </si>
  <si>
    <t>R8N76_RS18620</t>
  </si>
  <si>
    <t>porphobilinogen synthase</t>
  </si>
  <si>
    <t>hemB</t>
  </si>
  <si>
    <t>WP_001087065.1</t>
  </si>
  <si>
    <t>R8N76_RS18625</t>
  </si>
  <si>
    <t>glutamate-1-semialdehyde 2,1-aminomutase</t>
  </si>
  <si>
    <t>WP_000712943.1</t>
  </si>
  <si>
    <t>R8N76_RS18630</t>
  </si>
  <si>
    <t>stage VI sporulation protein D</t>
  </si>
  <si>
    <t>spoVID</t>
  </si>
  <si>
    <t>WP_002195820.1</t>
  </si>
  <si>
    <t>R8N76_RS18635</t>
  </si>
  <si>
    <t>spore coat protein YsxE</t>
  </si>
  <si>
    <t>ysxE</t>
  </si>
  <si>
    <t>WP_000350658.1</t>
  </si>
  <si>
    <t>R8N76_RS18640</t>
  </si>
  <si>
    <t>valine--tRNA ligase</t>
  </si>
  <si>
    <t>WP_000072244.1</t>
  </si>
  <si>
    <t>R8N76_RS18645</t>
  </si>
  <si>
    <t>bifunctional tetrahydrofolate synthase/dihydrofolate synthase</t>
  </si>
  <si>
    <t>folC</t>
  </si>
  <si>
    <t>WP_000582039.1</t>
  </si>
  <si>
    <t>R8N76_RS18650</t>
  </si>
  <si>
    <t>stage II sporulation protein B</t>
  </si>
  <si>
    <t>WP_000361009.1</t>
  </si>
  <si>
    <t>R8N76_RS18655</t>
  </si>
  <si>
    <t>nucleoside triphosphate pyrophosphatase</t>
  </si>
  <si>
    <t>WP_001226290.1</t>
  </si>
  <si>
    <t>R8N76_RS18660</t>
  </si>
  <si>
    <t>DNA repair protein RadC</t>
  </si>
  <si>
    <t>radC</t>
  </si>
  <si>
    <t>WP_001013395.1</t>
  </si>
  <si>
    <t>R8N76_RS18665</t>
  </si>
  <si>
    <t>restriction endonuclease subunit S</t>
  </si>
  <si>
    <t>WP_000762853.1</t>
  </si>
  <si>
    <t>R8N76_RS18670</t>
  </si>
  <si>
    <t>type I restriction-modification system subunit M</t>
  </si>
  <si>
    <t>WP_000819034.1</t>
  </si>
  <si>
    <t>R8N76_RS18675</t>
  </si>
  <si>
    <t>WP_000794333.1</t>
  </si>
  <si>
    <t>R8N76_RS18680</t>
  </si>
  <si>
    <t>type I restriction endonuclease subunit R</t>
  </si>
  <si>
    <t>WP_000192146.1</t>
  </si>
  <si>
    <t>R8N76_RS18685</t>
  </si>
  <si>
    <t>WP_000215932.1</t>
  </si>
  <si>
    <t>R8N76_RS18690</t>
  </si>
  <si>
    <t>TIR domain-containing protein</t>
  </si>
  <si>
    <t>WP_000537095.1</t>
  </si>
  <si>
    <t>R8N76_RS18695</t>
  </si>
  <si>
    <t>WP_000700766.1</t>
  </si>
  <si>
    <t>R8N76_RS18700</t>
  </si>
  <si>
    <t>WP_001037288.1</t>
  </si>
  <si>
    <t>R8N76_RS18705</t>
  </si>
  <si>
    <t>WP_001021385.1</t>
  </si>
  <si>
    <t>R8N76_RS18710</t>
  </si>
  <si>
    <t>WP_000710988.1</t>
  </si>
  <si>
    <t>R8N76_RS18715</t>
  </si>
  <si>
    <t>WP_001087647.1</t>
  </si>
  <si>
    <t>R8N76_RS18720</t>
  </si>
  <si>
    <t>R8N76_RS18725</t>
  </si>
  <si>
    <t>cell shape-determining protein MreB</t>
  </si>
  <si>
    <t>mreB</t>
  </si>
  <si>
    <t>WP_000466736.1</t>
  </si>
  <si>
    <t>R8N76_RS18730</t>
  </si>
  <si>
    <t>rod shape-determining protein MreC</t>
  </si>
  <si>
    <t>mreC</t>
  </si>
  <si>
    <t>WP_001135485.1</t>
  </si>
  <si>
    <t>R8N76_RS18735</t>
  </si>
  <si>
    <t>rod shape-determining protein MreD</t>
  </si>
  <si>
    <t>mreD</t>
  </si>
  <si>
    <t>WP_000975766.1</t>
  </si>
  <si>
    <t>R8N76_RS18740</t>
  </si>
  <si>
    <t>septum site-determining protein MinC</t>
  </si>
  <si>
    <t>minC</t>
  </si>
  <si>
    <t>WP_000391521.1</t>
  </si>
  <si>
    <t>R8N76_RS18745</t>
  </si>
  <si>
    <t>septum site-determining protein MinD</t>
  </si>
  <si>
    <t>minD</t>
  </si>
  <si>
    <t>WP_000503309.1</t>
  </si>
  <si>
    <t>R8N76_RS18750</t>
  </si>
  <si>
    <t>stage IV sporulation protein SpoIVFA</t>
  </si>
  <si>
    <t>spoIVFA</t>
  </si>
  <si>
    <t>WP_000797471.1</t>
  </si>
  <si>
    <t>R8N76_RS18755</t>
  </si>
  <si>
    <t>stage IV sporulation intramembrane metalloprotease SpoIVFB</t>
  </si>
  <si>
    <t>spoIVFB</t>
  </si>
  <si>
    <t>WP_000599058.1</t>
  </si>
  <si>
    <t>R8N76_RS18760</t>
  </si>
  <si>
    <t>Rne/Rng family ribonuclease</t>
  </si>
  <si>
    <t>WP_000855491.1</t>
  </si>
  <si>
    <t>R8N76_RS18765</t>
  </si>
  <si>
    <t>50S ribosomal protein L21</t>
  </si>
  <si>
    <t>rplU</t>
  </si>
  <si>
    <t>WP_000270907.1</t>
  </si>
  <si>
    <t>R8N76_RS18770</t>
  </si>
  <si>
    <t>ribosomal-processing cysteine protease Prp</t>
  </si>
  <si>
    <t>WP_001973720.1</t>
  </si>
  <si>
    <t>R8N76_RS18775</t>
  </si>
  <si>
    <t>50S ribosomal protein L27</t>
  </si>
  <si>
    <t>rpmA</t>
  </si>
  <si>
    <t>WP_000944958.1</t>
  </si>
  <si>
    <t>R8N76_RS18780</t>
  </si>
  <si>
    <t>sporulation initiation phosphotransferase B</t>
  </si>
  <si>
    <t>WP_001003584.1</t>
  </si>
  <si>
    <t>R8N76_RS18785</t>
  </si>
  <si>
    <t>GTPase ObgE</t>
  </si>
  <si>
    <t>obgE</t>
  </si>
  <si>
    <t>WP_000497128.1</t>
  </si>
  <si>
    <t>R8N76_RS18790</t>
  </si>
  <si>
    <t>WP_000276723.1</t>
  </si>
  <si>
    <t>R8N76_RS18795</t>
  </si>
  <si>
    <t>WP_000865181.1</t>
  </si>
  <si>
    <t>R8N76_RS18800</t>
  </si>
  <si>
    <t>WP_000114529.1</t>
  </si>
  <si>
    <t>R8N76_RS18805</t>
  </si>
  <si>
    <t>WP_001011413.1</t>
  </si>
  <si>
    <t>R8N76_RS18810</t>
  </si>
  <si>
    <t>WP_001028685.1</t>
  </si>
  <si>
    <t>R8N76_RS18815</t>
  </si>
  <si>
    <t>prephenate dehydratase</t>
  </si>
  <si>
    <t>pheA</t>
  </si>
  <si>
    <t>WP_000621705.1</t>
  </si>
  <si>
    <t>R8N76_RS18820</t>
  </si>
  <si>
    <t>WP_000510666.1</t>
  </si>
  <si>
    <t>R8N76_RS18825</t>
  </si>
  <si>
    <t>transcription repressor NadR</t>
  </si>
  <si>
    <t>WP_000812275.1</t>
  </si>
  <si>
    <t>R8N76_RS18830</t>
  </si>
  <si>
    <t>IscS subfamily cysteine desulfurase</t>
  </si>
  <si>
    <t>WP_000973777.1</t>
  </si>
  <si>
    <t>R8N76_RS18835</t>
  </si>
  <si>
    <t>L-aspartate oxidase</t>
  </si>
  <si>
    <t>nadB</t>
  </si>
  <si>
    <t>WP_001138531.1</t>
  </si>
  <si>
    <t>R8N76_RS18840</t>
  </si>
  <si>
    <t>carboxylating nicotinate-nucleotide diphosphorylase</t>
  </si>
  <si>
    <t>nadC</t>
  </si>
  <si>
    <t>WP_001092226.1</t>
  </si>
  <si>
    <t>R8N76_RS18845</t>
  </si>
  <si>
    <t>quinolinate synthase NadA</t>
  </si>
  <si>
    <t>nadA</t>
  </si>
  <si>
    <t>WP_000025341.1</t>
  </si>
  <si>
    <t>R8N76_RS18850</t>
  </si>
  <si>
    <t>safA</t>
  </si>
  <si>
    <t>R8N76_RS18855</t>
  </si>
  <si>
    <t>WP_001093536.1</t>
  </si>
  <si>
    <t>R8N76_RS18860</t>
  </si>
  <si>
    <t>WP_000721223.1</t>
  </si>
  <si>
    <t>R8N76_RS18865</t>
  </si>
  <si>
    <t>BofC C-terminal domain-containing protein</t>
  </si>
  <si>
    <t>WP_000871192.1</t>
  </si>
  <si>
    <t>R8N76_RS18870</t>
  </si>
  <si>
    <t>WP_000823606.1</t>
  </si>
  <si>
    <t>R8N76_RS18875</t>
  </si>
  <si>
    <t>Holliday junction DNA helicase RuvA</t>
  </si>
  <si>
    <t>ruvA</t>
  </si>
  <si>
    <t>WP_000464511.1</t>
  </si>
  <si>
    <t>R8N76_RS18880</t>
  </si>
  <si>
    <t>Holliday junction branch migration DNA helicase RuvB</t>
  </si>
  <si>
    <t>ruvB</t>
  </si>
  <si>
    <t>WP_000344463.1</t>
  </si>
  <si>
    <t>R8N76_RS18885</t>
  </si>
  <si>
    <t>DUF2905 domain-containing protein</t>
  </si>
  <si>
    <t>WP_000138162.1</t>
  </si>
  <si>
    <t>R8N76_RS18890</t>
  </si>
  <si>
    <t>tRNA preQ1(34) S-adenosylmethionine ribosyltransferase-isomerase QueA</t>
  </si>
  <si>
    <t>queA</t>
  </si>
  <si>
    <t>WP_000354017.1</t>
  </si>
  <si>
    <t>R8N76_RS18895</t>
  </si>
  <si>
    <t>tRNA guanosine(34) transglycosylase Tgt</t>
  </si>
  <si>
    <t>tgt</t>
  </si>
  <si>
    <t>WP_000125365.1</t>
  </si>
  <si>
    <t>R8N76_RS18900</t>
  </si>
  <si>
    <t>preprotein translocase subunit YajC</t>
  </si>
  <si>
    <t>yajC</t>
  </si>
  <si>
    <t>WP_000991115.1</t>
  </si>
  <si>
    <t>R8N76_RS18905</t>
  </si>
  <si>
    <t>TIGR04086 family membrane protein</t>
  </si>
  <si>
    <t>WP_000349148.1</t>
  </si>
  <si>
    <t>R8N76_RS18910</t>
  </si>
  <si>
    <t>WP_000454833.1</t>
  </si>
  <si>
    <t>R8N76_RS18915</t>
  </si>
  <si>
    <t>stage V sporulation protein B</t>
  </si>
  <si>
    <t>spoVB</t>
  </si>
  <si>
    <t>WP_000198301.1</t>
  </si>
  <si>
    <t>R8N76_RS18920</t>
  </si>
  <si>
    <t>post-transcriptional regulator</t>
  </si>
  <si>
    <t>WP_000886980.1</t>
  </si>
  <si>
    <t>R8N76_RS18925</t>
  </si>
  <si>
    <t>protein translocase subunit SecDF</t>
  </si>
  <si>
    <t>secDF</t>
  </si>
  <si>
    <t>WP_001119067.1</t>
  </si>
  <si>
    <t>R8N76_RS18930</t>
  </si>
  <si>
    <t>WP_000409743.1</t>
  </si>
  <si>
    <t>R8N76_RS18935</t>
  </si>
  <si>
    <t>single-stranded-DNA-specific exonuclease RecJ</t>
  </si>
  <si>
    <t>recJ</t>
  </si>
  <si>
    <t>WP_000941229.1</t>
  </si>
  <si>
    <t>R8N76_RS18940</t>
  </si>
  <si>
    <t>adenine phosphoribosyltransferase</t>
  </si>
  <si>
    <t>WP_000346215.1</t>
  </si>
  <si>
    <t>R8N76_RS18945</t>
  </si>
  <si>
    <t>GTP diphosphokinase</t>
  </si>
  <si>
    <t>relA</t>
  </si>
  <si>
    <t>WP_001262795.1</t>
  </si>
  <si>
    <t>R8N76_RS18950</t>
  </si>
  <si>
    <t>D-tyrosyl-tRNA(Tyr) deacylase</t>
  </si>
  <si>
    <t>WP_001266965.1</t>
  </si>
  <si>
    <t>R8N76_RS18955</t>
  </si>
  <si>
    <t>WP_001242605.1</t>
  </si>
  <si>
    <t>R8N76_RS18960</t>
  </si>
  <si>
    <t>histidine--tRNA ligase</t>
  </si>
  <si>
    <t>hisS</t>
  </si>
  <si>
    <t>WP_000027084.1</t>
  </si>
  <si>
    <t>R8N76_RS18965</t>
  </si>
  <si>
    <t>aspartate--tRNA ligase</t>
  </si>
  <si>
    <t>WP_000840891.1</t>
  </si>
  <si>
    <t>R8N76_RS18970</t>
  </si>
  <si>
    <t>ThiF family adenylyltransferase</t>
  </si>
  <si>
    <t>WP_000903177.1</t>
  </si>
  <si>
    <t>R8N76_RS18975</t>
  </si>
  <si>
    <t>WP_000857708.1</t>
  </si>
  <si>
    <t>R8N76_RS18980</t>
  </si>
  <si>
    <t>replication-associated recombination protein A</t>
  </si>
  <si>
    <t>WP_000812943.1</t>
  </si>
  <si>
    <t>R8N76_RS18985</t>
  </si>
  <si>
    <t>cysteine metabolism transcriptional regulator CymR</t>
  </si>
  <si>
    <t>cymR</t>
  </si>
  <si>
    <t>WP_000704116.1</t>
  </si>
  <si>
    <t>R8N76_RS18990</t>
  </si>
  <si>
    <t>WP_000439884.1</t>
  </si>
  <si>
    <t>R8N76_RS18995</t>
  </si>
  <si>
    <t>tRNA 2-thiouridine(34) synthase MnmA</t>
  </si>
  <si>
    <t>mnmA</t>
  </si>
  <si>
    <t>WP_001038010.1</t>
  </si>
  <si>
    <t>R8N76_RS19000</t>
  </si>
  <si>
    <t>WP_000066409.1</t>
  </si>
  <si>
    <t>R8N76_RS19005</t>
  </si>
  <si>
    <t>ATP-dependent RecD-like DNA helicase</t>
  </si>
  <si>
    <t>WP_000528083.1</t>
  </si>
  <si>
    <t>R8N76_RS19010</t>
  </si>
  <si>
    <t>WP_000469281.1</t>
  </si>
  <si>
    <t>R8N76_RS19015</t>
  </si>
  <si>
    <t>YrzQ family protein</t>
  </si>
  <si>
    <t>WP_001053553.1</t>
  </si>
  <si>
    <t>R8N76_RS19020</t>
  </si>
  <si>
    <t>WP_000242533.1</t>
  </si>
  <si>
    <t>R8N76_RS19025</t>
  </si>
  <si>
    <t>WP_000793128.1</t>
  </si>
  <si>
    <t>R8N76_RS19030</t>
  </si>
  <si>
    <t>WP_000209577.1</t>
  </si>
  <si>
    <t>R8N76_RS19035</t>
  </si>
  <si>
    <t>alanine--tRNA ligase</t>
  </si>
  <si>
    <t>alaS</t>
  </si>
  <si>
    <t>WP_000811825.1</t>
  </si>
  <si>
    <t>R8N76_RS19040</t>
  </si>
  <si>
    <t>IreB family regulatory phosphoprotein</t>
  </si>
  <si>
    <t>WP_000348590.1</t>
  </si>
  <si>
    <t>R8N76_RS19045</t>
  </si>
  <si>
    <t>Holliday junction resolvase RuvX</t>
  </si>
  <si>
    <t>ruvX</t>
  </si>
  <si>
    <t>WP_001221192.1</t>
  </si>
  <si>
    <t>R8N76_RS19050</t>
  </si>
  <si>
    <t>DUF1292 domain-containing protein</t>
  </si>
  <si>
    <t>WP_000392730.1</t>
  </si>
  <si>
    <t>R8N76_RS19055</t>
  </si>
  <si>
    <t>endolytic transglycosylase MltG</t>
  </si>
  <si>
    <t>mltG</t>
  </si>
  <si>
    <t>WP_000572131.1</t>
  </si>
  <si>
    <t>R8N76_RS19060</t>
  </si>
  <si>
    <t>WP_000389102.1</t>
  </si>
  <si>
    <t>R8N76_RS19065</t>
  </si>
  <si>
    <t>peptidase U32 family protein</t>
  </si>
  <si>
    <t>WP_000742806.1</t>
  </si>
  <si>
    <t>R8N76_RS19070</t>
  </si>
  <si>
    <t>U32 family peptidase</t>
  </si>
  <si>
    <t>WP_000217974.1</t>
  </si>
  <si>
    <t>R8N76_RS19075</t>
  </si>
  <si>
    <t>uridine kinase</t>
  </si>
  <si>
    <t>udk</t>
  </si>
  <si>
    <t>WP_000537078.1</t>
  </si>
  <si>
    <t>R8N76_RS19080</t>
  </si>
  <si>
    <t>transcription elongation factor GreA</t>
  </si>
  <si>
    <t>greA</t>
  </si>
  <si>
    <t>WP_000102591.1</t>
  </si>
  <si>
    <t>R8N76_RS19085</t>
  </si>
  <si>
    <t>WP_000680872.1</t>
  </si>
  <si>
    <t>R8N76_RS19090</t>
  </si>
  <si>
    <t>WP_000695148.1</t>
  </si>
  <si>
    <t>R8N76_RS19095</t>
  </si>
  <si>
    <t>YrrS family protein</t>
  </si>
  <si>
    <t>WP_000897098.1</t>
  </si>
  <si>
    <t>R8N76_RS19100</t>
  </si>
  <si>
    <t>YrzA family protein</t>
  </si>
  <si>
    <t>WP_000010984.1</t>
  </si>
  <si>
    <t>R8N76_RS19105</t>
  </si>
  <si>
    <t>WP_000536320.1</t>
  </si>
  <si>
    <t>R8N76_RS19110</t>
  </si>
  <si>
    <t>WP_001217024.1</t>
  </si>
  <si>
    <t>R8N76_RS19115</t>
  </si>
  <si>
    <t>O-acetylserine dependent cystathionine beta-synthase</t>
  </si>
  <si>
    <t>WP_001103874.1</t>
  </si>
  <si>
    <t>R8N76_RS19120</t>
  </si>
  <si>
    <t>bifunctional cystathionine gamma-lyase/homocysteine desulfhydrase</t>
  </si>
  <si>
    <t>WP_001201908.1</t>
  </si>
  <si>
    <t>R8N76_RS19125</t>
  </si>
  <si>
    <t>bifunctional acetaldehyde-CoA/alcohol dehydrogenase</t>
  </si>
  <si>
    <t>adhE</t>
  </si>
  <si>
    <t>WP_000260509.1</t>
  </si>
  <si>
    <t>R8N76_RS19130</t>
  </si>
  <si>
    <t>YrhC family protein</t>
  </si>
  <si>
    <t>WP_000661264.1</t>
  </si>
  <si>
    <t>R8N76_RS19135</t>
  </si>
  <si>
    <t>WP_000748460.1</t>
  </si>
  <si>
    <t>R8N76_RS19140</t>
  </si>
  <si>
    <t>WP_002041831.1</t>
  </si>
  <si>
    <t>R8N76_RS19145</t>
  </si>
  <si>
    <t>WP_000626552.1</t>
  </si>
  <si>
    <t>R8N76_RS19150</t>
  </si>
  <si>
    <t>WP_001192766.1</t>
  </si>
  <si>
    <t>R8N76_RS19155</t>
  </si>
  <si>
    <t>WP_004408018.1</t>
  </si>
  <si>
    <t>R8N76_RS19160</t>
  </si>
  <si>
    <t>WP_000276126.1</t>
  </si>
  <si>
    <t>R8N76_RS19165</t>
  </si>
  <si>
    <t>WP_000111564.1</t>
  </si>
  <si>
    <t>R8N76_RS19170</t>
  </si>
  <si>
    <t>WP_001020693.1</t>
  </si>
  <si>
    <t>R8N76_RS19175</t>
  </si>
  <si>
    <t>WP_001071553.1</t>
  </si>
  <si>
    <t>R8N76_RS19180</t>
  </si>
  <si>
    <t>WP_000009839.1</t>
  </si>
  <si>
    <t>R8N76_RS19185</t>
  </si>
  <si>
    <t>4a-hydroxytetrahydrobiopterin dehydratase</t>
  </si>
  <si>
    <t>WP_000979537.1</t>
  </si>
  <si>
    <t>R8N76_RS19190</t>
  </si>
  <si>
    <t>aromatic amino acid hydroxylase</t>
  </si>
  <si>
    <t>WP_000163187.1</t>
  </si>
  <si>
    <t>R8N76_RS19195</t>
  </si>
  <si>
    <t>WP_000754151.1</t>
  </si>
  <si>
    <t>R8N76_RS19200</t>
  </si>
  <si>
    <t>eIF2A-related protein</t>
  </si>
  <si>
    <t>WP_000825732.1</t>
  </si>
  <si>
    <t>R8N76_RS19205</t>
  </si>
  <si>
    <t>DUF4023 domain-containing protein</t>
  </si>
  <si>
    <t>WP_000071866.1</t>
  </si>
  <si>
    <t>R8N76_RS19210</t>
  </si>
  <si>
    <t>WP_002164427.1</t>
  </si>
  <si>
    <t>R8N76_RS19215</t>
  </si>
  <si>
    <t>WP_000706237.1</t>
  </si>
  <si>
    <t>R8N76_RS19220</t>
  </si>
  <si>
    <t>WP_000931931.1</t>
  </si>
  <si>
    <t>R8N76_RS19225</t>
  </si>
  <si>
    <t>WP_000236612.1</t>
  </si>
  <si>
    <t>R8N76_RS19230</t>
  </si>
  <si>
    <t>WP_000819814.1</t>
  </si>
  <si>
    <t>R8N76_RS19235</t>
  </si>
  <si>
    <t>WP_000706693.1</t>
  </si>
  <si>
    <t>R8N76_RS19240</t>
  </si>
  <si>
    <t>alkaline phosphatase</t>
  </si>
  <si>
    <t>WP_000714913.1</t>
  </si>
  <si>
    <t>R8N76_RS19245</t>
  </si>
  <si>
    <t>WP_000732795.1</t>
  </si>
  <si>
    <t>R8N76_RS19250</t>
  </si>
  <si>
    <t>WP_000456219.1</t>
  </si>
  <si>
    <t>R8N76_RS19255</t>
  </si>
  <si>
    <t>WP_000245977.1</t>
  </si>
  <si>
    <t>R8N76_RS19260</t>
  </si>
  <si>
    <t>WP_001265617.1</t>
  </si>
  <si>
    <t>R8N76_RS19265</t>
  </si>
  <si>
    <t>YcdB/YcdC domain-containing protein</t>
  </si>
  <si>
    <t>WP_001072094.1</t>
  </si>
  <si>
    <t>R8N76_RS19270</t>
  </si>
  <si>
    <t>WP_002024823.1</t>
  </si>
  <si>
    <t>R8N76_RS19275</t>
  </si>
  <si>
    <t>RNA polymerase sporulation sigma factor SigK</t>
  </si>
  <si>
    <t>sigK</t>
  </si>
  <si>
    <t>WP_000051382.1</t>
  </si>
  <si>
    <t>R8N76_RS19280</t>
  </si>
  <si>
    <t>phosphatidylserine decarboxylase</t>
  </si>
  <si>
    <t>WP_001255000.1</t>
  </si>
  <si>
    <t>R8N76_RS19285</t>
  </si>
  <si>
    <t>sporulation histidine kinase inhibitor Sda</t>
  </si>
  <si>
    <t>WP_000850094.1</t>
  </si>
  <si>
    <t>R8N76_RS19290</t>
  </si>
  <si>
    <t>YqeG family HAD IIIA-type phosphatase</t>
  </si>
  <si>
    <t>WP_000765314.1</t>
  </si>
  <si>
    <t>R8N76_RS19295</t>
  </si>
  <si>
    <t>ribosome biogenesis GTPase YqeH</t>
  </si>
  <si>
    <t>yqeH</t>
  </si>
  <si>
    <t>WP_000140799.1</t>
  </si>
  <si>
    <t>R8N76_RS19300</t>
  </si>
  <si>
    <t>shikimate dehydrogenase</t>
  </si>
  <si>
    <t>aroE</t>
  </si>
  <si>
    <t>WP_000812076.1</t>
  </si>
  <si>
    <t>R8N76_RS19305</t>
  </si>
  <si>
    <t>ribosome assembly RNA-binding protein YhbY</t>
  </si>
  <si>
    <t>yhbY</t>
  </si>
  <si>
    <t>WP_000955224.1</t>
  </si>
  <si>
    <t>R8N76_RS19310</t>
  </si>
  <si>
    <t>nicotinate-nucleotide adenylyltransferase</t>
  </si>
  <si>
    <t>nadD</t>
  </si>
  <si>
    <t>WP_001226048.1</t>
  </si>
  <si>
    <t>R8N76_RS19315</t>
  </si>
  <si>
    <t>WP_001078477.1</t>
  </si>
  <si>
    <t>R8N76_RS19320</t>
  </si>
  <si>
    <t>ribosome silencing factor</t>
  </si>
  <si>
    <t>rsfS</t>
  </si>
  <si>
    <t>WP_000998173.1</t>
  </si>
  <si>
    <t>R8N76_RS19325</t>
  </si>
  <si>
    <t>WP_000873069.1</t>
  </si>
  <si>
    <t>R8N76_RS19330</t>
  </si>
  <si>
    <t>late competence protein ComER</t>
  </si>
  <si>
    <t>comER</t>
  </si>
  <si>
    <t>WP_001020554.1</t>
  </si>
  <si>
    <t>R8N76_RS19335</t>
  </si>
  <si>
    <t>helix-hairpin-helix domain-containing protein</t>
  </si>
  <si>
    <t>WP_000989944.1</t>
  </si>
  <si>
    <t>R8N76_RS19340</t>
  </si>
  <si>
    <t>ComE operon protein 2</t>
  </si>
  <si>
    <t>WP_000439769.1</t>
  </si>
  <si>
    <t>R8N76_RS19345</t>
  </si>
  <si>
    <t>DNA internalization-related competence protein ComEC/Rec2</t>
  </si>
  <si>
    <t>WP_001157831.1</t>
  </si>
  <si>
    <t>R8N76_RS19350</t>
  </si>
  <si>
    <t>YqzM family protein</t>
  </si>
  <si>
    <t>WP_000997609.1</t>
  </si>
  <si>
    <t>R8N76_RS19355</t>
  </si>
  <si>
    <t>DNA polymerase III subunit delta</t>
  </si>
  <si>
    <t>holA</t>
  </si>
  <si>
    <t>WP_001279916.1</t>
  </si>
  <si>
    <t>R8N76_RS19360</t>
  </si>
  <si>
    <t>30S ribosomal protein S20</t>
  </si>
  <si>
    <t>rpsT</t>
  </si>
  <si>
    <t>WP_001274011.1</t>
  </si>
  <si>
    <t>R8N76_RS19365</t>
  </si>
  <si>
    <t>GPR endopeptidase</t>
  </si>
  <si>
    <t>gpr</t>
  </si>
  <si>
    <t>WP_000662616.1</t>
  </si>
  <si>
    <t>R8N76_RS19370</t>
  </si>
  <si>
    <t>YqxA family protein</t>
  </si>
  <si>
    <t>WP_001215037.1</t>
  </si>
  <si>
    <t>R8N76_RS19375</t>
  </si>
  <si>
    <t>elongation factor 4</t>
  </si>
  <si>
    <t>lepA</t>
  </si>
  <si>
    <t>WP_001030949.1</t>
  </si>
  <si>
    <t>R8N76_RS19380</t>
  </si>
  <si>
    <t>WP_001293539.1</t>
  </si>
  <si>
    <t>R8N76_RS19385</t>
  </si>
  <si>
    <t>radical SAM family heme chaperone HemW</t>
  </si>
  <si>
    <t>hemW</t>
  </si>
  <si>
    <t>WP_000249433.1</t>
  </si>
  <si>
    <t>R8N76_RS19390</t>
  </si>
  <si>
    <t>heat-inducible transcriptional repressor HrcA</t>
  </si>
  <si>
    <t>hrcA</t>
  </si>
  <si>
    <t>WP_000954941.1</t>
  </si>
  <si>
    <t>R8N76_RS19395</t>
  </si>
  <si>
    <t>nucleotide exchange factor GrpE</t>
  </si>
  <si>
    <t>grpE</t>
  </si>
  <si>
    <t>WP_000392711.1</t>
  </si>
  <si>
    <t>R8N76_RS19400</t>
  </si>
  <si>
    <t>chaperone protein DnaK</t>
  </si>
  <si>
    <t>dnaK</t>
  </si>
  <si>
    <t>WP_000034700.1</t>
  </si>
  <si>
    <t>R8N76_RS19405</t>
  </si>
  <si>
    <t>chaperone protein DnaJ</t>
  </si>
  <si>
    <t>dnaJ</t>
  </si>
  <si>
    <t>WP_000043947.1</t>
  </si>
  <si>
    <t>R8N76_RS19410</t>
  </si>
  <si>
    <t>50S ribosomal protein L11 methyltransferase</t>
  </si>
  <si>
    <t>prmA</t>
  </si>
  <si>
    <t>WP_000872101.1</t>
  </si>
  <si>
    <t>R8N76_RS19415</t>
  </si>
  <si>
    <t>16S rRNA (uracil(1498)-N(3))-methyltransferase</t>
  </si>
  <si>
    <t>WP_001190156.1</t>
  </si>
  <si>
    <t>R8N76_RS19420</t>
  </si>
  <si>
    <t>tRNA (N(6)-L-threonylcarbamoyladenosine(37)-C(2))-methylthiotransferase MtaB</t>
  </si>
  <si>
    <t>mtaB</t>
  </si>
  <si>
    <t>WP_000108679.1</t>
  </si>
  <si>
    <t>R8N76_RS19425</t>
  </si>
  <si>
    <t>30S ribosomal protein S21</t>
  </si>
  <si>
    <t>rpsU</t>
  </si>
  <si>
    <t>WP_000048061.1</t>
  </si>
  <si>
    <t>R8N76_RS19430</t>
  </si>
  <si>
    <t>GatB/YqeY domain-containing protein</t>
  </si>
  <si>
    <t>WP_000054562.1</t>
  </si>
  <si>
    <t>R8N76_RS19435</t>
  </si>
  <si>
    <t>DUF4253 domain-containing protein</t>
  </si>
  <si>
    <t>WP_001009615.1</t>
  </si>
  <si>
    <t>R8N76_RS19440</t>
  </si>
  <si>
    <t>sporulation protein YqfC</t>
  </si>
  <si>
    <t>yqfC</t>
  </si>
  <si>
    <t>WP_000732269.1</t>
  </si>
  <si>
    <t>R8N76_RS19445</t>
  </si>
  <si>
    <t>sporulation protein YqfD</t>
  </si>
  <si>
    <t>yqfD</t>
  </si>
  <si>
    <t>WP_000792498.1</t>
  </si>
  <si>
    <t>R8N76_RS19450</t>
  </si>
  <si>
    <t>PhoH family protein</t>
  </si>
  <si>
    <t>WP_000840501.1</t>
  </si>
  <si>
    <t>R8N76_RS19455</t>
  </si>
  <si>
    <t>HD family phosphohydrolase</t>
  </si>
  <si>
    <t>WP_000091509.1</t>
  </si>
  <si>
    <t>R8N76_RS19460</t>
  </si>
  <si>
    <t>rRNA maturation RNase YbeY</t>
  </si>
  <si>
    <t>ybeY</t>
  </si>
  <si>
    <t>WP_000054684.1</t>
  </si>
  <si>
    <t>R8N76_RS19465</t>
  </si>
  <si>
    <t>WP_000715466.1</t>
  </si>
  <si>
    <t>R8N76_RS19470</t>
  </si>
  <si>
    <t>WP_001086285.1</t>
  </si>
  <si>
    <t>R8N76_RS19475</t>
  </si>
  <si>
    <t>GTPase Era</t>
  </si>
  <si>
    <t>era</t>
  </si>
  <si>
    <t>WP_001080230.1</t>
  </si>
  <si>
    <t>R8N76_RS19480</t>
  </si>
  <si>
    <t>YqzL family protein</t>
  </si>
  <si>
    <t>WP_000883924.1</t>
  </si>
  <si>
    <t>R8N76_RS19485</t>
  </si>
  <si>
    <t>DNA repair protein RecO</t>
  </si>
  <si>
    <t>recO</t>
  </si>
  <si>
    <t>WP_000487015.1</t>
  </si>
  <si>
    <t>R8N76_RS19490</t>
  </si>
  <si>
    <t>WP_000583756.1</t>
  </si>
  <si>
    <t>R8N76_RS19495</t>
  </si>
  <si>
    <t>pyruvate, water dikinase regulatory protein</t>
  </si>
  <si>
    <t>WP_000368945.1</t>
  </si>
  <si>
    <t>R8N76_RS19500</t>
  </si>
  <si>
    <t>WP_000479734.1</t>
  </si>
  <si>
    <t>R8N76_RS19505</t>
  </si>
  <si>
    <t>DNA primase</t>
  </si>
  <si>
    <t>dnaG</t>
  </si>
  <si>
    <t>WP_000528223.1</t>
  </si>
  <si>
    <t>R8N76_RS19510</t>
  </si>
  <si>
    <t>RNA polymerase sigma factor RpoD</t>
  </si>
  <si>
    <t>rpoD</t>
  </si>
  <si>
    <t>WP_000764065.1</t>
  </si>
  <si>
    <t>R8N76_RS19515</t>
  </si>
  <si>
    <t>cytochrome c550</t>
  </si>
  <si>
    <t>cccA</t>
  </si>
  <si>
    <t>WP_000828141.1</t>
  </si>
  <si>
    <t>R8N76_RS19520</t>
  </si>
  <si>
    <t>tRNA (adenine(22)-N(1))-methyltransferase TrmK</t>
  </si>
  <si>
    <t>WP_001006542.1</t>
  </si>
  <si>
    <t>R8N76_RS19525</t>
  </si>
  <si>
    <t>WP_000036241.1</t>
  </si>
  <si>
    <t>R8N76_RS19530</t>
  </si>
  <si>
    <t>4-hydroxy-3-methylbut-2-enyl diphosphate reductase</t>
  </si>
  <si>
    <t>WP_000706662.1</t>
  </si>
  <si>
    <t>R8N76_RS19535</t>
  </si>
  <si>
    <t>VrrA/YqfQ family protein</t>
  </si>
  <si>
    <t>vrrA</t>
  </si>
  <si>
    <t>WP_000484166.1</t>
  </si>
  <si>
    <t>R8N76_RS19540</t>
  </si>
  <si>
    <t>WP_000194017.1</t>
  </si>
  <si>
    <t>R8N76_RS19545</t>
  </si>
  <si>
    <t>deoxyribonuclease IV</t>
  </si>
  <si>
    <t>WP_000912460.1</t>
  </si>
  <si>
    <t>R8N76_RS19550</t>
  </si>
  <si>
    <t>DUF2624 domain-containing protein</t>
  </si>
  <si>
    <t>WP_001048954.1</t>
  </si>
  <si>
    <t>R8N76_RS19555</t>
  </si>
  <si>
    <t>WP_000435963.1</t>
  </si>
  <si>
    <t>R8N76_RS19560</t>
  </si>
  <si>
    <t>metal ABC transporter ATP-binding protein</t>
  </si>
  <si>
    <t>WP_001059661.1</t>
  </si>
  <si>
    <t>R8N76_RS19565</t>
  </si>
  <si>
    <t>metal ABC transporter permease</t>
  </si>
  <si>
    <t>WP_000613815.1</t>
  </si>
  <si>
    <t>R8N76_RS19570</t>
  </si>
  <si>
    <t>Fur family transcriptional regulator</t>
  </si>
  <si>
    <t>WP_001054516.1</t>
  </si>
  <si>
    <t>R8N76_RS19575</t>
  </si>
  <si>
    <t>flavodoxin-dependent (E)-4-hydroxy-3-methylbut-2-enyl-diphosphate synthase</t>
  </si>
  <si>
    <t>ispG</t>
  </si>
  <si>
    <t>WP_153577907.1</t>
  </si>
  <si>
    <t>R8N76_RS19580</t>
  </si>
  <si>
    <t>protein YqfZ</t>
  </si>
  <si>
    <t>yqfZ</t>
  </si>
  <si>
    <t>WP_000825414.1</t>
  </si>
  <si>
    <t>R8N76_RS19585</t>
  </si>
  <si>
    <t>protein YqgB</t>
  </si>
  <si>
    <t>yqgB</t>
  </si>
  <si>
    <t>WP_000021897.1</t>
  </si>
  <si>
    <t>R8N76_RS19590</t>
  </si>
  <si>
    <t>R8N76_RS19595</t>
  </si>
  <si>
    <t>WP_001052031.1</t>
  </si>
  <si>
    <t>R8N76_RS19600</t>
  </si>
  <si>
    <t>WP_000871382.1</t>
  </si>
  <si>
    <t>R8N76_RS19605</t>
  </si>
  <si>
    <t>WP_000038977.1</t>
  </si>
  <si>
    <t>R8N76_RS19610</t>
  </si>
  <si>
    <t>PstS family phosphate ABC transporter substrate-binding protein</t>
  </si>
  <si>
    <t>WP_000871827.1</t>
  </si>
  <si>
    <t>R8N76_RS19615</t>
  </si>
  <si>
    <t>WP_000940918.1</t>
  </si>
  <si>
    <t>R8N76_RS19620</t>
  </si>
  <si>
    <t>WP_001242555.1</t>
  </si>
  <si>
    <t>R8N76_RS19625</t>
  </si>
  <si>
    <t>phosphate ABC transporter ATP-binding protein</t>
  </si>
  <si>
    <t>pstB</t>
  </si>
  <si>
    <t>WP_000226686.1</t>
  </si>
  <si>
    <t>R8N76_RS19630</t>
  </si>
  <si>
    <t>phosphate signaling complex protein PhoU</t>
  </si>
  <si>
    <t>phoU</t>
  </si>
  <si>
    <t>WP_000251240.1</t>
  </si>
  <si>
    <t>R8N76_RS19635</t>
  </si>
  <si>
    <t>WP_000679337.1</t>
  </si>
  <si>
    <t>R8N76_RS19640</t>
  </si>
  <si>
    <t>WP_001265616.1</t>
  </si>
  <si>
    <t>R8N76_RS19645</t>
  </si>
  <si>
    <t>5-formyltetrahydrofolate cyclo-ligase</t>
  </si>
  <si>
    <t>WP_000642751.1</t>
  </si>
  <si>
    <t>R8N76_RS19650</t>
  </si>
  <si>
    <t>YqgQ family protein</t>
  </si>
  <si>
    <t>WP_000253699.1</t>
  </si>
  <si>
    <t>R8N76_RS19655</t>
  </si>
  <si>
    <t>glucokinase</t>
  </si>
  <si>
    <t>glcK</t>
  </si>
  <si>
    <t>WP_000391701.1</t>
  </si>
  <si>
    <t>R8N76_RS19660</t>
  </si>
  <si>
    <t>DUF2759 domain-containing protein</t>
  </si>
  <si>
    <t>WP_000524852.1</t>
  </si>
  <si>
    <t>R8N76_RS19665</t>
  </si>
  <si>
    <t>WP_000871236.1</t>
  </si>
  <si>
    <t>R8N76_RS19670</t>
  </si>
  <si>
    <t>WP_000525152.1</t>
  </si>
  <si>
    <t>R8N76_RS19675</t>
  </si>
  <si>
    <t>WP_000894377.1</t>
  </si>
  <si>
    <t>R8N76_RS19680</t>
  </si>
  <si>
    <t>WP_000379157.1</t>
  </si>
  <si>
    <t>R8N76_RS19685</t>
  </si>
  <si>
    <t>cystathionine beta-lyase</t>
  </si>
  <si>
    <t>metC</t>
  </si>
  <si>
    <t>WP_000122299.1</t>
  </si>
  <si>
    <t>R8N76_RS19690</t>
  </si>
  <si>
    <t>cystathionine gamma-synthase/O-acetylhomoserine thiolyase</t>
  </si>
  <si>
    <t>metI</t>
  </si>
  <si>
    <t>WP_000103897.1</t>
  </si>
  <si>
    <t>R8N76_RS19695</t>
  </si>
  <si>
    <t>bifunctional homocysteine S-methyltransferase/methylenetetrahydrofolate reductase</t>
  </si>
  <si>
    <t>WP_000770352.1</t>
  </si>
  <si>
    <t>R8N76_RS19700</t>
  </si>
  <si>
    <t>methionine synthase</t>
  </si>
  <si>
    <t>metH</t>
  </si>
  <si>
    <t>WP_000649676.1</t>
  </si>
  <si>
    <t>R8N76_RS19705</t>
  </si>
  <si>
    <t>undecaprenyldiphospho-muramoylpentapeptide beta-N-acetylglucosaminyltransferase</t>
  </si>
  <si>
    <t>murG</t>
  </si>
  <si>
    <t>WP_000724779.1</t>
  </si>
  <si>
    <t>R8N76_RS19710</t>
  </si>
  <si>
    <t>DUF3966 domain-containing protein</t>
  </si>
  <si>
    <t>WP_001250699.1</t>
  </si>
  <si>
    <t>R8N76_RS19715</t>
  </si>
  <si>
    <t>nucleoside 2-deoxyribosyltransferase</t>
  </si>
  <si>
    <t>WP_001012344.1</t>
  </si>
  <si>
    <t>R8N76_RS19720</t>
  </si>
  <si>
    <t>WP_000764267.1</t>
  </si>
  <si>
    <t>R8N76_RS19725</t>
  </si>
  <si>
    <t>WP_001093237.1</t>
  </si>
  <si>
    <t>R8N76_RS19730</t>
  </si>
  <si>
    <t>DUF3912 family protein</t>
  </si>
  <si>
    <t>WP_001008327.1</t>
  </si>
  <si>
    <t>R8N76_RS19735</t>
  </si>
  <si>
    <t>WP_000875399.1</t>
  </si>
  <si>
    <t>R8N76_RS19740</t>
  </si>
  <si>
    <t>L-cystine transporter</t>
  </si>
  <si>
    <t>WP_001094344.1</t>
  </si>
  <si>
    <t>R8N76_RS19745</t>
  </si>
  <si>
    <t>DUF2626 domain-containing protein</t>
  </si>
  <si>
    <t>WP_000440716.1</t>
  </si>
  <si>
    <t>R8N76_RS19750</t>
  </si>
  <si>
    <t>WP_000434125.1</t>
  </si>
  <si>
    <t>R8N76_RS19755</t>
  </si>
  <si>
    <t>competence type IV pilus ATPase ComGA</t>
  </si>
  <si>
    <t>comGA</t>
  </si>
  <si>
    <t>WP_001013170.1</t>
  </si>
  <si>
    <t>R8N76_RS19760</t>
  </si>
  <si>
    <t>competence type IV pilus assembly protein ComGB</t>
  </si>
  <si>
    <t>comGB</t>
  </si>
  <si>
    <t>WP_011110378.1</t>
  </si>
  <si>
    <t>R8N76_RS19765</t>
  </si>
  <si>
    <t>competence type IV pilus major pilin ComGC</t>
  </si>
  <si>
    <t>comGC</t>
  </si>
  <si>
    <t>WP_001178687.1</t>
  </si>
  <si>
    <t>R8N76_RS19770</t>
  </si>
  <si>
    <t>competence type IV pilus minor pilin ComGD</t>
  </si>
  <si>
    <t>comGD</t>
  </si>
  <si>
    <t>WP_000813141.1</t>
  </si>
  <si>
    <t>R8N76_RS19775</t>
  </si>
  <si>
    <t>WP_000829469.1</t>
  </si>
  <si>
    <t>R8N76_RS19780</t>
  </si>
  <si>
    <t>competence type IV pilus minor pilin ComGF</t>
  </si>
  <si>
    <t>comGF</t>
  </si>
  <si>
    <t>WP_033685282.1</t>
  </si>
  <si>
    <t>R8N76_RS19785</t>
  </si>
  <si>
    <t>competence type IV pilus minor pilin ComGG</t>
  </si>
  <si>
    <t>comGG</t>
  </si>
  <si>
    <t>WP_001231316.1</t>
  </si>
  <si>
    <t>R8N76_RS19790</t>
  </si>
  <si>
    <t>2OG-Fe(II) oxygenase</t>
  </si>
  <si>
    <t>WP_000183861.1</t>
  </si>
  <si>
    <t>R8N76_RS19795</t>
  </si>
  <si>
    <t>shikimate kinase</t>
  </si>
  <si>
    <t>WP_000836663.1</t>
  </si>
  <si>
    <t>R8N76_RS19800</t>
  </si>
  <si>
    <t>YqzE family protein</t>
  </si>
  <si>
    <t>WP_000106083.1</t>
  </si>
  <si>
    <t>R8N76_RS19805</t>
  </si>
  <si>
    <t>VC0807 family protein</t>
  </si>
  <si>
    <t>WP_001073111.1</t>
  </si>
  <si>
    <t>R8N76_RS19810</t>
  </si>
  <si>
    <t>WP_001987222.1</t>
  </si>
  <si>
    <t>R8N76_RS19815</t>
  </si>
  <si>
    <t>WP_000032702.1</t>
  </si>
  <si>
    <t>R8N76_RS19820</t>
  </si>
  <si>
    <t>WP_000064668.1</t>
  </si>
  <si>
    <t>R8N76_RS19825</t>
  </si>
  <si>
    <t>YqhG family protein</t>
  </si>
  <si>
    <t>WP_001183964.1</t>
  </si>
  <si>
    <t>R8N76_RS19830</t>
  </si>
  <si>
    <t>WP_001100037.1</t>
  </si>
  <si>
    <t>R8N76_RS19835</t>
  </si>
  <si>
    <t>glycine cleavage system aminomethyltransferase GcvT</t>
  </si>
  <si>
    <t>gcvT</t>
  </si>
  <si>
    <t>WP_000631769.1</t>
  </si>
  <si>
    <t>R8N76_RS19840</t>
  </si>
  <si>
    <t>aminomethyl-transferring glycine dehydrogenase subunit 1</t>
  </si>
  <si>
    <t>gcvPA</t>
  </si>
  <si>
    <t>WP_000903240.1</t>
  </si>
  <si>
    <t>R8N76_RS19845</t>
  </si>
  <si>
    <t>aminomethyl-transferring glycine dehydrogenase subunit 2</t>
  </si>
  <si>
    <t>gcvPB</t>
  </si>
  <si>
    <t>WP_000795703.1</t>
  </si>
  <si>
    <t>R8N76_RS19850</t>
  </si>
  <si>
    <t>DUF3929 family protein</t>
  </si>
  <si>
    <t>WP_000262496.1</t>
  </si>
  <si>
    <t>R8N76_RS19855</t>
  </si>
  <si>
    <t>WP_000535933.1</t>
  </si>
  <si>
    <t>R8N76_RS19860</t>
  </si>
  <si>
    <t>WP_001021349.1</t>
  </si>
  <si>
    <t>R8N76_RS19865</t>
  </si>
  <si>
    <t>WP_000891312.1</t>
  </si>
  <si>
    <t>R8N76_RS19870</t>
  </si>
  <si>
    <t>ABC-2 transporter permease</t>
  </si>
  <si>
    <t>WP_001249549.1</t>
  </si>
  <si>
    <t>R8N76_RS19875</t>
  </si>
  <si>
    <t>WP_001186580.1</t>
  </si>
  <si>
    <t>R8N76_RS19880</t>
  </si>
  <si>
    <t>WP_000595375.1</t>
  </si>
  <si>
    <t>R8N76_RS19885</t>
  </si>
  <si>
    <t>WP_000811452.1</t>
  </si>
  <si>
    <t>R8N76_RS19890</t>
  </si>
  <si>
    <t>R8N76_RS19895</t>
  </si>
  <si>
    <t>DUF3975 family protein</t>
  </si>
  <si>
    <t>WP_000265429.1</t>
  </si>
  <si>
    <t>R8N76_RS19900</t>
  </si>
  <si>
    <t>WP_000312623.1</t>
  </si>
  <si>
    <t>R8N76_RS19905</t>
  </si>
  <si>
    <t>WP_000312339.1</t>
  </si>
  <si>
    <t>R8N76_RS19910</t>
  </si>
  <si>
    <t>WP_002005730.1</t>
  </si>
  <si>
    <t>R8N76_RS19915</t>
  </si>
  <si>
    <t>WP_001273985.1</t>
  </si>
  <si>
    <t>R8N76_RS19920</t>
  </si>
  <si>
    <t>WP_033666640.1</t>
  </si>
  <si>
    <t>R8N76_RS19925</t>
  </si>
  <si>
    <t>WP_000108653.1</t>
  </si>
  <si>
    <t>R8N76_RS19930</t>
  </si>
  <si>
    <t>WP_000514081.1</t>
  </si>
  <si>
    <t>R8N76_RS19935</t>
  </si>
  <si>
    <t>WP_000111898.1</t>
  </si>
  <si>
    <t>R8N76_RS19940</t>
  </si>
  <si>
    <t>DUF1129 family protein</t>
  </si>
  <si>
    <t>WP_000993579.1</t>
  </si>
  <si>
    <t>R8N76_RS19945</t>
  </si>
  <si>
    <t>WP_000556078.1</t>
  </si>
  <si>
    <t>R8N76_RS19950</t>
  </si>
  <si>
    <t>spore photoproduct lyase</t>
  </si>
  <si>
    <t>splB</t>
  </si>
  <si>
    <t>WP_000802127.1</t>
  </si>
  <si>
    <t>R8N76_RS19955</t>
  </si>
  <si>
    <t>transcriptional regulator MntR</t>
  </si>
  <si>
    <t>mntR</t>
  </si>
  <si>
    <t>WP_001143085.1</t>
  </si>
  <si>
    <t>R8N76_RS19960</t>
  </si>
  <si>
    <t>WP_025687934.1</t>
  </si>
  <si>
    <t>R8N76_RS19965</t>
  </si>
  <si>
    <t>SA1362 family protein</t>
  </si>
  <si>
    <t>WP_001014463.1</t>
  </si>
  <si>
    <t>R8N76_RS19970</t>
  </si>
  <si>
    <t>DUF1385 domain-containing protein</t>
  </si>
  <si>
    <t>WP_000807121.1</t>
  </si>
  <si>
    <t>R8N76_RS19975</t>
  </si>
  <si>
    <t>YqhR family membrane protein</t>
  </si>
  <si>
    <t>WP_000076881.1</t>
  </si>
  <si>
    <t>R8N76_RS19980</t>
  </si>
  <si>
    <t>type II 3-dehydroquinate dehydratase</t>
  </si>
  <si>
    <t>aroQ</t>
  </si>
  <si>
    <t>WP_000735140.1</t>
  </si>
  <si>
    <t>R8N76_RS19985</t>
  </si>
  <si>
    <t>WP_000411039.1</t>
  </si>
  <si>
    <t>R8N76_RS19990</t>
  </si>
  <si>
    <t>elongation factor P</t>
  </si>
  <si>
    <t>efp</t>
  </si>
  <si>
    <t>WP_000626516.1</t>
  </si>
  <si>
    <t>R8N76_RS19995</t>
  </si>
  <si>
    <t>WP_000645571.1</t>
  </si>
  <si>
    <t>R8N76_RS20000</t>
  </si>
  <si>
    <t>WP_001164981.1</t>
  </si>
  <si>
    <t>R8N76_RS20005</t>
  </si>
  <si>
    <t>YqhV family protein</t>
  </si>
  <si>
    <t>WP_000816050.1</t>
  </si>
  <si>
    <t>R8N76_RS20010</t>
  </si>
  <si>
    <t>stage III sporulation protein AA</t>
  </si>
  <si>
    <t>spoIIIAA</t>
  </si>
  <si>
    <t>WP_000665905.1</t>
  </si>
  <si>
    <t>R8N76_RS20015</t>
  </si>
  <si>
    <t>stage III sporulation protein SpoIIIAB</t>
  </si>
  <si>
    <t>spoIIIAB</t>
  </si>
  <si>
    <t>WP_000238702.1</t>
  </si>
  <si>
    <t>R8N76_RS20020</t>
  </si>
  <si>
    <t>stage III sporulation protein AC</t>
  </si>
  <si>
    <t>spoIIIAC</t>
  </si>
  <si>
    <t>WP_000020914.1</t>
  </si>
  <si>
    <t>R8N76_RS20025</t>
  </si>
  <si>
    <t>stage III sporulation protein AD</t>
  </si>
  <si>
    <t>spoIIIAD</t>
  </si>
  <si>
    <t>WP_077393170.1</t>
  </si>
  <si>
    <t>R8N76_RS20030</t>
  </si>
  <si>
    <t>stage III sporulation protein AE</t>
  </si>
  <si>
    <t>spoIIIAE</t>
  </si>
  <si>
    <t>WP_000946110.1</t>
  </si>
  <si>
    <t>R8N76_RS20035</t>
  </si>
  <si>
    <t>stage III sporulation protein AF</t>
  </si>
  <si>
    <t>spoIIIAF</t>
  </si>
  <si>
    <t>WP_001161052.1</t>
  </si>
  <si>
    <t>R8N76_RS20040</t>
  </si>
  <si>
    <t>stage III sporulation protein AG</t>
  </si>
  <si>
    <t>spoIIIAG</t>
  </si>
  <si>
    <t>WP_000368881.1</t>
  </si>
  <si>
    <t>R8N76_RS20045</t>
  </si>
  <si>
    <t>SpoIIIAH-like family protein</t>
  </si>
  <si>
    <t>WP_000914709.1</t>
  </si>
  <si>
    <t>R8N76_RS20050</t>
  </si>
  <si>
    <t>WP_000638000.1</t>
  </si>
  <si>
    <t>R8N76_RS20055</t>
  </si>
  <si>
    <t>acetyl-CoA carboxylase biotin carboxyl carrier protein</t>
  </si>
  <si>
    <t>accB</t>
  </si>
  <si>
    <t>WP_000472859.1</t>
  </si>
  <si>
    <t>R8N76_RS20060</t>
  </si>
  <si>
    <t>accC</t>
  </si>
  <si>
    <t>WP_000592870.1</t>
  </si>
  <si>
    <t>R8N76_RS20065</t>
  </si>
  <si>
    <t>Asp23/Gls24 family envelope stress response protein</t>
  </si>
  <si>
    <t>WP_000807630.1</t>
  </si>
  <si>
    <t>R8N76_RS20070</t>
  </si>
  <si>
    <t>N utilization substance protein NusB</t>
  </si>
  <si>
    <t>nusB</t>
  </si>
  <si>
    <t>WP_000830247.1</t>
  </si>
  <si>
    <t>R8N76_RS20075</t>
  </si>
  <si>
    <t>bifunctional methylenetetrahydrofolate dehydrogenase/methenyltetrahydrofolate cyclohydrolase FolD</t>
  </si>
  <si>
    <t>folD</t>
  </si>
  <si>
    <t>WP_000226732.1</t>
  </si>
  <si>
    <t>R8N76_RS20080</t>
  </si>
  <si>
    <t>exodeoxyribonuclease VII large subunit</t>
  </si>
  <si>
    <t>xseA</t>
  </si>
  <si>
    <t>WP_000415249.1</t>
  </si>
  <si>
    <t>R8N76_RS20085</t>
  </si>
  <si>
    <t>exodeoxyribonuclease VII small subunit</t>
  </si>
  <si>
    <t>xseB</t>
  </si>
  <si>
    <t>WP_000428423.1</t>
  </si>
  <si>
    <t>R8N76_RS20090</t>
  </si>
  <si>
    <t>(2E,6E)-farnesyl diphosphate synthase</t>
  </si>
  <si>
    <t>ispA</t>
  </si>
  <si>
    <t>WP_000150380.1</t>
  </si>
  <si>
    <t>R8N76_RS20095</t>
  </si>
  <si>
    <t>1-deoxy-D-xylulose-5-phosphate synthase</t>
  </si>
  <si>
    <t>dxs</t>
  </si>
  <si>
    <t>WP_000366452.1</t>
  </si>
  <si>
    <t>R8N76_RS20100</t>
  </si>
  <si>
    <t>TlyA family rRNA (cytidine-2'-O)-methyltransferase</t>
  </si>
  <si>
    <t>WP_000111875.1</t>
  </si>
  <si>
    <t>R8N76_RS20105</t>
  </si>
  <si>
    <t>arginine repressor ArgR</t>
  </si>
  <si>
    <t>WP_001032580.1</t>
  </si>
  <si>
    <t>R8N76_RS20110</t>
  </si>
  <si>
    <t>DNA repair protein RecN</t>
  </si>
  <si>
    <t>recN</t>
  </si>
  <si>
    <t>WP_000947767.1</t>
  </si>
  <si>
    <t>R8N76_RS20115</t>
  </si>
  <si>
    <t>SpoIVB peptidase</t>
  </si>
  <si>
    <t>spoIVB</t>
  </si>
  <si>
    <t>WP_002024767.1</t>
  </si>
  <si>
    <t>R8N76_RS20120</t>
  </si>
  <si>
    <t>sporulation transcription factor Spo0A</t>
  </si>
  <si>
    <t>spo0A</t>
  </si>
  <si>
    <t>WP_011110369.1</t>
  </si>
  <si>
    <t>R8N76_RS20125</t>
  </si>
  <si>
    <t>WP_000428230.1</t>
  </si>
  <si>
    <t>R8N76_RS20130</t>
  </si>
  <si>
    <t>YycC family protein</t>
  </si>
  <si>
    <t>WP_001247671.1</t>
  </si>
  <si>
    <t>R8N76_RS20135</t>
  </si>
  <si>
    <t>WP_000172583.1</t>
  </si>
  <si>
    <t>R8N76_RS20140</t>
  </si>
  <si>
    <t>DUF2627 domain-containing protein</t>
  </si>
  <si>
    <t>WP_001190211.1</t>
  </si>
  <si>
    <t>R8N76_RS20145</t>
  </si>
  <si>
    <t>WP_033666632.1</t>
  </si>
  <si>
    <t>R8N76_RS20150</t>
  </si>
  <si>
    <t>phosphate butyryltransferase</t>
  </si>
  <si>
    <t>yqiS</t>
  </si>
  <si>
    <t>WP_000764677.1</t>
  </si>
  <si>
    <t>R8N76_RS20155</t>
  </si>
  <si>
    <t>leucine dehydrogenase</t>
  </si>
  <si>
    <t>WP_000171355.1</t>
  </si>
  <si>
    <t>R8N76_RS20160</t>
  </si>
  <si>
    <t>butyrate kinase</t>
  </si>
  <si>
    <t>buk</t>
  </si>
  <si>
    <t>WP_000115781.1</t>
  </si>
  <si>
    <t>R8N76_RS20165</t>
  </si>
  <si>
    <t>dihydrolipoyl dehydrogenase</t>
  </si>
  <si>
    <t>lpdA</t>
  </si>
  <si>
    <t>WP_001051289.1</t>
  </si>
  <si>
    <t>R8N76_RS20170</t>
  </si>
  <si>
    <t>3-methyl-2-oxobutanoate dehydrogenase subunit alpha</t>
  </si>
  <si>
    <t>bfmBAA</t>
  </si>
  <si>
    <t>WP_000852551.1</t>
  </si>
  <si>
    <t>R8N76_RS20175</t>
  </si>
  <si>
    <t>3-methyl-2-oxobutanoate dehydrogenase subunit beta</t>
  </si>
  <si>
    <t>bfmBAB</t>
  </si>
  <si>
    <t>WP_000290071.1</t>
  </si>
  <si>
    <t>R8N76_RS20180</t>
  </si>
  <si>
    <t>dihydrolipoamide acetyltransferase family protein</t>
  </si>
  <si>
    <t>WP_000257660.1</t>
  </si>
  <si>
    <t>R8N76_RS20185</t>
  </si>
  <si>
    <t>WP_000831181.1</t>
  </si>
  <si>
    <t>R8N76_RS20190</t>
  </si>
  <si>
    <t>WP_000550961.1</t>
  </si>
  <si>
    <t>R8N76_RS20195</t>
  </si>
  <si>
    <t>WP_000542549.1</t>
  </si>
  <si>
    <t>R8N76_RS20200</t>
  </si>
  <si>
    <t>YjdF family protein</t>
  </si>
  <si>
    <t>WP_000366599.1</t>
  </si>
  <si>
    <t>R8N76_RS20205</t>
  </si>
  <si>
    <t>WP_001979317.1</t>
  </si>
  <si>
    <t>R8N76_RS20210</t>
  </si>
  <si>
    <t>transporter substrate-binding domain-containing protein</t>
  </si>
  <si>
    <t>WP_000737662.1</t>
  </si>
  <si>
    <t>R8N76_RS20215</t>
  </si>
  <si>
    <t>WP_001046916.1</t>
  </si>
  <si>
    <t>R8N76_RS20220</t>
  </si>
  <si>
    <t>WP_000590206.1</t>
  </si>
  <si>
    <t>R8N76_RS20225</t>
  </si>
  <si>
    <t>WP_000472671.1</t>
  </si>
  <si>
    <t>R8N76_RS20230</t>
  </si>
  <si>
    <t>WP_001146566.1</t>
  </si>
  <si>
    <t>R8N76_RS20235</t>
  </si>
  <si>
    <t>DUF3894 domain-containing protein</t>
  </si>
  <si>
    <t>WP_000281167.1</t>
  </si>
  <si>
    <t>R8N76_RS20240</t>
  </si>
  <si>
    <t>stressosome-associated protein Prli42</t>
  </si>
  <si>
    <t>prli42</t>
  </si>
  <si>
    <t>WP_000549040.1</t>
  </si>
  <si>
    <t>R8N76_RS20245</t>
  </si>
  <si>
    <t>WP_001987197.1</t>
  </si>
  <si>
    <t>R8N76_RS20250</t>
  </si>
  <si>
    <t>tripeptidase T</t>
  </si>
  <si>
    <t>WP_000609803.1</t>
  </si>
  <si>
    <t>R8N76_RS20255</t>
  </si>
  <si>
    <t>DNA polymerase IV</t>
  </si>
  <si>
    <t>WP_001208858.1</t>
  </si>
  <si>
    <t>R8N76_RS20260</t>
  </si>
  <si>
    <t>WP_000262342.1</t>
  </si>
  <si>
    <t>R8N76_RS20265</t>
  </si>
  <si>
    <t>magnesium-translocating P-type ATPase</t>
  </si>
  <si>
    <t>mgtA</t>
  </si>
  <si>
    <t>WP_000482698.1</t>
  </si>
  <si>
    <t>R8N76_RS20270</t>
  </si>
  <si>
    <t>WP_000529165.1</t>
  </si>
  <si>
    <t>R8N76_RS20275</t>
  </si>
  <si>
    <t>DUF3932 family protein</t>
  </si>
  <si>
    <t>WP_000665709.1</t>
  </si>
  <si>
    <t>R8N76_RS20280</t>
  </si>
  <si>
    <t>ribonuclease Z</t>
  </si>
  <si>
    <t>rnz</t>
  </si>
  <si>
    <t>WP_000397455.1</t>
  </si>
  <si>
    <t>R8N76_RS20285</t>
  </si>
  <si>
    <t>WP_370685670.1</t>
  </si>
  <si>
    <t>R8N76_RS20290</t>
  </si>
  <si>
    <t>L-serine ammonia-lyase, iron-sulfur-dependent subunit beta</t>
  </si>
  <si>
    <t>sdaAB</t>
  </si>
  <si>
    <t>WP_000877445.1</t>
  </si>
  <si>
    <t>R8N76_RS20295</t>
  </si>
  <si>
    <t>L-serine ammonia-lyase, iron-sulfur-dependent, subunit alpha</t>
  </si>
  <si>
    <t>sdaAA</t>
  </si>
  <si>
    <t>WP_000489461.1</t>
  </si>
  <si>
    <t>R8N76_RS20300</t>
  </si>
  <si>
    <t>pyrroline-5-carboxylate reductase ProI</t>
  </si>
  <si>
    <t>proI</t>
  </si>
  <si>
    <t>WP_000027249.1</t>
  </si>
  <si>
    <t>R8N76_RS20305</t>
  </si>
  <si>
    <t>WP_000125119.1</t>
  </si>
  <si>
    <t>R8N76_RS20310</t>
  </si>
  <si>
    <t>WP_000147794.1</t>
  </si>
  <si>
    <t>R8N76_RS20315</t>
  </si>
  <si>
    <t>YqzH family protein</t>
  </si>
  <si>
    <t>WP_001003222.1</t>
  </si>
  <si>
    <t>R8N76_RS20320</t>
  </si>
  <si>
    <t>N-acetyl-gamma-glutamyl-phosphate reductase</t>
  </si>
  <si>
    <t>argC</t>
  </si>
  <si>
    <t>WP_000861258.1</t>
  </si>
  <si>
    <t>R8N76_RS20325</t>
  </si>
  <si>
    <t>bifunctional glutamate N-acetyltransferase/amino-acid acetyltransferase ArgJ</t>
  </si>
  <si>
    <t>argJ</t>
  </si>
  <si>
    <t>WP_000598402.1</t>
  </si>
  <si>
    <t>R8N76_RS20330</t>
  </si>
  <si>
    <t>acetylglutamate kinase</t>
  </si>
  <si>
    <t>argB</t>
  </si>
  <si>
    <t>WP_001286797.1</t>
  </si>
  <si>
    <t>R8N76_RS20335</t>
  </si>
  <si>
    <t>acetylornithine transaminase</t>
  </si>
  <si>
    <t>WP_000200540.1</t>
  </si>
  <si>
    <t>R8N76_RS20340</t>
  </si>
  <si>
    <t>WP_000108862.1</t>
  </si>
  <si>
    <t>R8N76_RS20345</t>
  </si>
  <si>
    <t>DUF2062 domain-containing protein</t>
  </si>
  <si>
    <t>WP_002005691.1</t>
  </si>
  <si>
    <t>R8N76_RS20350</t>
  </si>
  <si>
    <t>WP_000291956.1</t>
  </si>
  <si>
    <t>R8N76_RS20355</t>
  </si>
  <si>
    <t>WP_000445819.1</t>
  </si>
  <si>
    <t>R8N76_RS20360</t>
  </si>
  <si>
    <t>GDSL-type esterase/lipase family protein</t>
  </si>
  <si>
    <t>WP_000755851.1</t>
  </si>
  <si>
    <t>R8N76_RS20365</t>
  </si>
  <si>
    <t>bifunctional 2',3'-cyclic-nucleotide 2'-phosphodiesterase/3'-nucleotidase</t>
  </si>
  <si>
    <t>cpdB</t>
  </si>
  <si>
    <t>WP_000748670.1</t>
  </si>
  <si>
    <t>R8N76_RS20370</t>
  </si>
  <si>
    <t>WP_000253731.1</t>
  </si>
  <si>
    <t>R8N76_RS20375</t>
  </si>
  <si>
    <t>WP_000726896.1</t>
  </si>
  <si>
    <t>R8N76_RS20380</t>
  </si>
  <si>
    <t>adenosylmethionine--8-amino-7-oxononanoate transaminase</t>
  </si>
  <si>
    <t>bioA</t>
  </si>
  <si>
    <t>WP_002195789.1</t>
  </si>
  <si>
    <t>R8N76_RS20385</t>
  </si>
  <si>
    <t>dethiobiotin synthase</t>
  </si>
  <si>
    <t>bioD</t>
  </si>
  <si>
    <t>WP_000012476.1</t>
  </si>
  <si>
    <t>R8N76_RS20390</t>
  </si>
  <si>
    <t>8-amino-7-oxononanoate synthase</t>
  </si>
  <si>
    <t>bioF</t>
  </si>
  <si>
    <t>WP_001077285.1</t>
  </si>
  <si>
    <t>R8N76_RS20395</t>
  </si>
  <si>
    <t>WP_001004171.1</t>
  </si>
  <si>
    <t>R8N76_RS20400</t>
  </si>
  <si>
    <t>malonyl-ACP O-methyltransferase BioC</t>
  </si>
  <si>
    <t>bioC</t>
  </si>
  <si>
    <t>WP_000608914.1</t>
  </si>
  <si>
    <t>R8N76_RS20405</t>
  </si>
  <si>
    <t>biotin synthase</t>
  </si>
  <si>
    <t>bioB</t>
  </si>
  <si>
    <t>WP_000815856.1</t>
  </si>
  <si>
    <t>R8N76_RS20410</t>
  </si>
  <si>
    <t>WP_000280032.1</t>
  </si>
  <si>
    <t>R8N76_RS20415</t>
  </si>
  <si>
    <t>6,7-dimethyl-8-ribityllumazine synthase</t>
  </si>
  <si>
    <t>ribH</t>
  </si>
  <si>
    <t>WP_000230895.1</t>
  </si>
  <si>
    <t>R8N76_RS20420</t>
  </si>
  <si>
    <t>bifunctional 3,4-dihydroxy-2-butanone 4-phosphate synthase/GTP cyclohydrolase II</t>
  </si>
  <si>
    <t>ribBA</t>
  </si>
  <si>
    <t>WP_000468974.1</t>
  </si>
  <si>
    <t>R8N76_RS20425</t>
  </si>
  <si>
    <t>riboflavin synthase subunit alpha</t>
  </si>
  <si>
    <t>ribE</t>
  </si>
  <si>
    <t>WP_000493908.1</t>
  </si>
  <si>
    <t>R8N76_RS20430</t>
  </si>
  <si>
    <t>bifunctional diaminohydroxyphosphoribosylaminopyrimidine deaminase/5-amino-6-(5-phosphoribosylamino)uracil reductase RibD</t>
  </si>
  <si>
    <t>ribD</t>
  </si>
  <si>
    <t>WP_000131986.1</t>
  </si>
  <si>
    <t>R8N76_RS20435</t>
  </si>
  <si>
    <t>CDGSH iron-sulfur domain-containing protein</t>
  </si>
  <si>
    <t>WP_001151582.1</t>
  </si>
  <si>
    <t>R8N76_RS20440</t>
  </si>
  <si>
    <t>DUF2552 family protein</t>
  </si>
  <si>
    <t>WP_000360793.1</t>
  </si>
  <si>
    <t>R8N76_RS20445</t>
  </si>
  <si>
    <t>WP_000819234.1</t>
  </si>
  <si>
    <t>R8N76_RS20450</t>
  </si>
  <si>
    <t>WP_000902435.1</t>
  </si>
  <si>
    <t>R8N76_RS20455</t>
  </si>
  <si>
    <t>WP_000201364.1</t>
  </si>
  <si>
    <t>R8N76_RS20460</t>
  </si>
  <si>
    <t>Na+/H+ antiporter family protein</t>
  </si>
  <si>
    <t>WP_000994817.1</t>
  </si>
  <si>
    <t>R8N76_RS20465</t>
  </si>
  <si>
    <t>WP_000898962.1</t>
  </si>
  <si>
    <t>R8N76_RS20470</t>
  </si>
  <si>
    <t>ribbon-helix-helix domain-containing protein</t>
  </si>
  <si>
    <t>WP_000151931.1</t>
  </si>
  <si>
    <t>R8N76_RS20475</t>
  </si>
  <si>
    <t>WP_000265553.1</t>
  </si>
  <si>
    <t>R8N76_RS20480</t>
  </si>
  <si>
    <t>YqkE family protein</t>
  </si>
  <si>
    <t>WP_000727561.1</t>
  </si>
  <si>
    <t>R8N76_RS20485</t>
  </si>
  <si>
    <t>GrpB family protein</t>
  </si>
  <si>
    <t>WP_001227186.1</t>
  </si>
  <si>
    <t>R8N76_RS20490</t>
  </si>
  <si>
    <t>WP_000547992.1</t>
  </si>
  <si>
    <t>R8N76_RS20495</t>
  </si>
  <si>
    <t>WP_000747210.1</t>
  </si>
  <si>
    <t>R8N76_RS20500</t>
  </si>
  <si>
    <t>Z-ring formation inhibitor MciZ</t>
  </si>
  <si>
    <t>mciZ</t>
  </si>
  <si>
    <t>WP_000870302.1</t>
  </si>
  <si>
    <t>R8N76_RS20505</t>
  </si>
  <si>
    <t>WP_000067042.1</t>
  </si>
  <si>
    <t>R8N76_RS20510</t>
  </si>
  <si>
    <t>WP_000803479.1</t>
  </si>
  <si>
    <t>R8N76_RS20515</t>
  </si>
  <si>
    <t>stage II sporulation protein M</t>
  </si>
  <si>
    <t>spoIIM</t>
  </si>
  <si>
    <t>WP_013142149.1</t>
  </si>
  <si>
    <t>R8N76_RS20520</t>
  </si>
  <si>
    <t>WP_000392657.1</t>
  </si>
  <si>
    <t>R8N76_RS20525</t>
  </si>
  <si>
    <t>YqzK family protein</t>
  </si>
  <si>
    <t>WP_001250432.1</t>
  </si>
  <si>
    <t>R8N76_RS20530</t>
  </si>
  <si>
    <t>site-specific tyrosine recombinase XerD</t>
  </si>
  <si>
    <t>xerD</t>
  </si>
  <si>
    <t>WP_000390088.1</t>
  </si>
  <si>
    <t>R8N76_RS20535</t>
  </si>
  <si>
    <t>FixH family protein</t>
  </si>
  <si>
    <t>WP_000733456.1</t>
  </si>
  <si>
    <t>R8N76_RS20540</t>
  </si>
  <si>
    <t>phosphopentomutase</t>
  </si>
  <si>
    <t>deoB</t>
  </si>
  <si>
    <t>WP_001046079.1</t>
  </si>
  <si>
    <t>R8N76_RS20545</t>
  </si>
  <si>
    <t>WP_001078446.1</t>
  </si>
  <si>
    <t>R8N76_RS20550</t>
  </si>
  <si>
    <t>WP_001243069.1</t>
  </si>
  <si>
    <t>R8N76_RS20555</t>
  </si>
  <si>
    <t>magnesium/cobalt transporter CorA</t>
  </si>
  <si>
    <t>corA</t>
  </si>
  <si>
    <t>WP_002026281.1</t>
  </si>
  <si>
    <t>R8N76_RS20560</t>
  </si>
  <si>
    <t>WP_000676247.1</t>
  </si>
  <si>
    <t>R8N76_RS20565</t>
  </si>
  <si>
    <t>SIMPL domain-containing protein</t>
  </si>
  <si>
    <t>WP_001161449.1</t>
  </si>
  <si>
    <t>R8N76_RS20570</t>
  </si>
  <si>
    <t>WP_001003307.1</t>
  </si>
  <si>
    <t>R8N76_RS20575</t>
  </si>
  <si>
    <t>WP_000873773.1</t>
  </si>
  <si>
    <t>R8N76_RS20580</t>
  </si>
  <si>
    <t>WP_000486559.1</t>
  </si>
  <si>
    <t>R8N76_RS20585</t>
  </si>
  <si>
    <t>WP_000468525.1</t>
  </si>
  <si>
    <t>R8N76_RS20590</t>
  </si>
  <si>
    <t>WP_000922164.1</t>
  </si>
  <si>
    <t>R8N76_RS20595</t>
  </si>
  <si>
    <t>WP_000548045.1</t>
  </si>
  <si>
    <t>R8N76_RS20600</t>
  </si>
  <si>
    <t>serine-type D-Ala-D-Ala carboxypeptidase DacF</t>
  </si>
  <si>
    <t>dacF</t>
  </si>
  <si>
    <t>WP_000831998.1</t>
  </si>
  <si>
    <t>R8N76_RS20605</t>
  </si>
  <si>
    <t>anti-sigma F factor antagonist</t>
  </si>
  <si>
    <t>spoIIAA</t>
  </si>
  <si>
    <t>WP_000059135.1</t>
  </si>
  <si>
    <t>R8N76_RS20610</t>
  </si>
  <si>
    <t>anti-sigma F factor</t>
  </si>
  <si>
    <t>spoIIAB</t>
  </si>
  <si>
    <t>WP_001243398.1</t>
  </si>
  <si>
    <t>R8N76_RS20615</t>
  </si>
  <si>
    <t>RNA polymerase sporulation sigma factor SigF</t>
  </si>
  <si>
    <t>sigF</t>
  </si>
  <si>
    <t>WP_000350729.1</t>
  </si>
  <si>
    <t>R8N76_RS20620</t>
  </si>
  <si>
    <t>WP_000450088.1</t>
  </si>
  <si>
    <t>R8N76_RS20625</t>
  </si>
  <si>
    <t>methionine/alanine import family NSS transporter small subunit</t>
  </si>
  <si>
    <t>WP_000016828.1</t>
  </si>
  <si>
    <t>R8N76_RS20630</t>
  </si>
  <si>
    <t>stage V sporulation protein AA</t>
  </si>
  <si>
    <t>WP_000438369.1</t>
  </si>
  <si>
    <t>R8N76_RS20635</t>
  </si>
  <si>
    <t>stage V sporulation protein SpoVAB</t>
  </si>
  <si>
    <t>spoVAB</t>
  </si>
  <si>
    <t>WP_000572936.1</t>
  </si>
  <si>
    <t>R8N76_RS20640</t>
  </si>
  <si>
    <t>WP_000203810.1</t>
  </si>
  <si>
    <t>R8N76_RS20645</t>
  </si>
  <si>
    <t>WP_001241166.1</t>
  </si>
  <si>
    <t>R8N76_RS20650</t>
  </si>
  <si>
    <t>WP_000345916.1</t>
  </si>
  <si>
    <t>R8N76_RS20655</t>
  </si>
  <si>
    <t>WP_001254415.1</t>
  </si>
  <si>
    <t>R8N76_RS20660</t>
  </si>
  <si>
    <t>spore germination protein SpoVAF</t>
  </si>
  <si>
    <t>spoVAF</t>
  </si>
  <si>
    <t>WP_000165595.1</t>
  </si>
  <si>
    <t>R8N76_RS20665</t>
  </si>
  <si>
    <t>WP_002026273.1</t>
  </si>
  <si>
    <t>R8N76_RS20670</t>
  </si>
  <si>
    <t>DUF1002 domain-containing protein</t>
  </si>
  <si>
    <t>WP_000850515.1</t>
  </si>
  <si>
    <t>R8N76_RS20675</t>
  </si>
  <si>
    <t>peptidylprolyl isomerase</t>
  </si>
  <si>
    <t>WP_000853782.1</t>
  </si>
  <si>
    <t>R8N76_RS20680</t>
  </si>
  <si>
    <t>GNAT family N-acetyltransferase RibT</t>
  </si>
  <si>
    <t>ribT</t>
  </si>
  <si>
    <t>WP_000908401.1</t>
  </si>
  <si>
    <t>R8N76_RS20685</t>
  </si>
  <si>
    <t>DUF309 domain-containing protein</t>
  </si>
  <si>
    <t>WP_000283597.1</t>
  </si>
  <si>
    <t>R8N76_RS20690</t>
  </si>
  <si>
    <t>WP_000510194.1</t>
  </si>
  <si>
    <t>R8N76_RS20695</t>
  </si>
  <si>
    <t>segregation/condensation protein A</t>
  </si>
  <si>
    <t>scpA</t>
  </si>
  <si>
    <t>WP_001199753.1</t>
  </si>
  <si>
    <t>R8N76_RS20700</t>
  </si>
  <si>
    <t>segregation/condensation protein ScpB</t>
  </si>
  <si>
    <t>scpB</t>
  </si>
  <si>
    <t>WP_000375168.1</t>
  </si>
  <si>
    <t>R8N76_RS20705</t>
  </si>
  <si>
    <t>ComEC/Rec2 family competence protein</t>
  </si>
  <si>
    <t>WP_001214826.1</t>
  </si>
  <si>
    <t>R8N76_RS20710</t>
  </si>
  <si>
    <t>N-acetylglucosamine-6-phosphate deacetylase</t>
  </si>
  <si>
    <t>nagA</t>
  </si>
  <si>
    <t>WP_002179749.1</t>
  </si>
  <si>
    <t>R8N76_RS20715</t>
  </si>
  <si>
    <t>glucosamine-6-phosphate deaminase</t>
  </si>
  <si>
    <t>nagB</t>
  </si>
  <si>
    <t>WP_001024210.1</t>
  </si>
  <si>
    <t>R8N76_RS20720</t>
  </si>
  <si>
    <t>WP_014894892.1</t>
  </si>
  <si>
    <t>R8N76_RS20725</t>
  </si>
  <si>
    <t>WP_000594240.1</t>
  </si>
  <si>
    <t>R8N76_RS20730</t>
  </si>
  <si>
    <t>glucose PTS transporter transcription antiterminator GlcT</t>
  </si>
  <si>
    <t>glcT</t>
  </si>
  <si>
    <t>WP_000073860.1</t>
  </si>
  <si>
    <t>R8N76_RS20735</t>
  </si>
  <si>
    <t>PTS glucose transporter subunit IIABC</t>
  </si>
  <si>
    <t>ptsG</t>
  </si>
  <si>
    <t>WP_000473177.1</t>
  </si>
  <si>
    <t>R8N76_RS20740</t>
  </si>
  <si>
    <t>phosphocarrier protein HPr</t>
  </si>
  <si>
    <t>ptsH</t>
  </si>
  <si>
    <t>WP_000411080.1</t>
  </si>
  <si>
    <t>R8N76_RS20745</t>
  </si>
  <si>
    <t>phosphoenolpyruvate--protein phosphotransferase</t>
  </si>
  <si>
    <t>ptsP</t>
  </si>
  <si>
    <t>WP_000174207.1</t>
  </si>
  <si>
    <t>R8N76_RS20750</t>
  </si>
  <si>
    <t>DUF3915 domain-containing protein</t>
  </si>
  <si>
    <t>WP_000468041.1</t>
  </si>
  <si>
    <t>R8N76_RS20755</t>
  </si>
  <si>
    <t>WP_000100485.1</t>
  </si>
  <si>
    <t>R8N76_RS20760</t>
  </si>
  <si>
    <t>WP_000180387.1</t>
  </si>
  <si>
    <t>R8N76_RS20765</t>
  </si>
  <si>
    <t>GGDEF domain-containing protein</t>
  </si>
  <si>
    <t>WP_001023185.1</t>
  </si>
  <si>
    <t>R8N76_RS20770</t>
  </si>
  <si>
    <t>WP_000592910.1</t>
  </si>
  <si>
    <t>R8N76_RS20775</t>
  </si>
  <si>
    <t>WP_000400429.1</t>
  </si>
  <si>
    <t>R8N76_RS20780</t>
  </si>
  <si>
    <t>DUF3909 family protein</t>
  </si>
  <si>
    <t>WP_000365619.1</t>
  </si>
  <si>
    <t>R8N76_RS20785</t>
  </si>
  <si>
    <t>WP_000054659.1</t>
  </si>
  <si>
    <t>R8N76_RS20790</t>
  </si>
  <si>
    <t>acireductone dioxygenase</t>
  </si>
  <si>
    <t>WP_000057314.1</t>
  </si>
  <si>
    <t>R8N76_RS20795</t>
  </si>
  <si>
    <t>methylthioribulose 1-phosphate dehydratase</t>
  </si>
  <si>
    <t>WP_000811341.1</t>
  </si>
  <si>
    <t>R8N76_RS20800</t>
  </si>
  <si>
    <t>2-hydroxy-3-keto-5-methylthiopentenyl-1-phosphate phosphatase</t>
  </si>
  <si>
    <t>WP_000027461.1</t>
  </si>
  <si>
    <t>R8N76_RS20805</t>
  </si>
  <si>
    <t>2,3-diketo-5-methylthiopentyl-1-phosphate enolase</t>
  </si>
  <si>
    <t>mtnW</t>
  </si>
  <si>
    <t>WP_000014181.1</t>
  </si>
  <si>
    <t>R8N76_RS20810</t>
  </si>
  <si>
    <t>pyridoxal phosphate-dependent aminotransferase</t>
  </si>
  <si>
    <t>WP_000765511.1</t>
  </si>
  <si>
    <t>R8N76_RS20815</t>
  </si>
  <si>
    <t>carbon-nitrogen family hydrolase</t>
  </si>
  <si>
    <t>WP_002204714.1</t>
  </si>
  <si>
    <t>R8N76_RS20820</t>
  </si>
  <si>
    <t>WP_000542687.1</t>
  </si>
  <si>
    <t>R8N76_RS20825</t>
  </si>
  <si>
    <t>WP_000104604.1</t>
  </si>
  <si>
    <t>R8N76_RS20830</t>
  </si>
  <si>
    <t>YvrJ family protein</t>
  </si>
  <si>
    <t>WP_000393335.1</t>
  </si>
  <si>
    <t>R8N76_RS20835</t>
  </si>
  <si>
    <t>3-hydroxybutyrate dehydrogenase</t>
  </si>
  <si>
    <t>WP_000258428.1</t>
  </si>
  <si>
    <t>R8N76_RS20840</t>
  </si>
  <si>
    <t>WP_000107982.1</t>
  </si>
  <si>
    <t>R8N76_RS20845</t>
  </si>
  <si>
    <t>DUF1129 domain-containing protein</t>
  </si>
  <si>
    <t>WP_000952885.1</t>
  </si>
  <si>
    <t>R8N76_RS20850</t>
  </si>
  <si>
    <t>WP_002183912.1</t>
  </si>
  <si>
    <t>R8N76_RS20855</t>
  </si>
  <si>
    <t>R8N76_RS20860</t>
  </si>
  <si>
    <t>ImmA/IrrE family metallo-endopeptidase</t>
  </si>
  <si>
    <t>WP_000371608.1</t>
  </si>
  <si>
    <t>R8N76_RS20865</t>
  </si>
  <si>
    <t>DUF3928 family protein</t>
  </si>
  <si>
    <t>WP_000288330.1</t>
  </si>
  <si>
    <t>R8N76_RS20870</t>
  </si>
  <si>
    <t>WP_000540529.1</t>
  </si>
  <si>
    <t>R8N76_RS20875</t>
  </si>
  <si>
    <t>WP_000552081.1</t>
  </si>
  <si>
    <t>R8N76_RS20880</t>
  </si>
  <si>
    <t>WP_000568006.1</t>
  </si>
  <si>
    <t>R8N76_RS20885</t>
  </si>
  <si>
    <t>DUF4184 family protein</t>
  </si>
  <si>
    <t>WP_001116856.1</t>
  </si>
  <si>
    <t>R8N76_RS20890</t>
  </si>
  <si>
    <t>WP_000973899.1</t>
  </si>
  <si>
    <t>R8N76_RS20895</t>
  </si>
  <si>
    <t>DUF3997 domain-containing protein</t>
  </si>
  <si>
    <t>WP_000758789.1</t>
  </si>
  <si>
    <t>R8N76_RS20900</t>
  </si>
  <si>
    <t>RDD family protein</t>
  </si>
  <si>
    <t>WP_000769080.1</t>
  </si>
  <si>
    <t>R8N76_RS20905</t>
  </si>
  <si>
    <t>WP_000145638.1</t>
  </si>
  <si>
    <t>R8N76_RS20910</t>
  </si>
  <si>
    <t>WP_000218413.1</t>
  </si>
  <si>
    <t>R8N76_RS20915</t>
  </si>
  <si>
    <t>WP_000818931.1</t>
  </si>
  <si>
    <t>R8N76_RS20920</t>
  </si>
  <si>
    <t>oligo-1,6-glucosidase</t>
  </si>
  <si>
    <t>malL</t>
  </si>
  <si>
    <t>WP_000415176.1</t>
  </si>
  <si>
    <t>R8N76_RS20925</t>
  </si>
  <si>
    <t>alpha-glycosidase</t>
  </si>
  <si>
    <t>WP_000471779.1</t>
  </si>
  <si>
    <t>R8N76_RS20930</t>
  </si>
  <si>
    <t>extracellular solute-binding protein</t>
  </si>
  <si>
    <t>WP_000709910.1</t>
  </si>
  <si>
    <t>R8N76_RS20935</t>
  </si>
  <si>
    <t>maltosaccharide ABC transporter permease MalC</t>
  </si>
  <si>
    <t>malC</t>
  </si>
  <si>
    <t>WP_001194993.1</t>
  </si>
  <si>
    <t>R8N76_RS20940</t>
  </si>
  <si>
    <t>maltosaccharide ABC transporter permease MalD</t>
  </si>
  <si>
    <t>malD</t>
  </si>
  <si>
    <t>WP_001022608.1</t>
  </si>
  <si>
    <t>R8N76_RS20945</t>
  </si>
  <si>
    <t>maltose operon transcriptional repressor MalR</t>
  </si>
  <si>
    <t>malR</t>
  </si>
  <si>
    <t>WP_000219053.1</t>
  </si>
  <si>
    <t>R8N76_RS20950</t>
  </si>
  <si>
    <t>aminotransferase A</t>
  </si>
  <si>
    <t>WP_000434582.1</t>
  </si>
  <si>
    <t>R8N76_RS20955</t>
  </si>
  <si>
    <t>WP_000929278.1</t>
  </si>
  <si>
    <t>R8N76_RS20960</t>
  </si>
  <si>
    <t>WP_000420370.1</t>
  </si>
  <si>
    <t>R8N76_RS20965</t>
  </si>
  <si>
    <t>DUF3967 domain-containing protein</t>
  </si>
  <si>
    <t>WP_000388471.1</t>
  </si>
  <si>
    <t>R8N76_RS20970</t>
  </si>
  <si>
    <t>DNA-entry nuclease</t>
  </si>
  <si>
    <t>nucA</t>
  </si>
  <si>
    <t>WP_000811494.1</t>
  </si>
  <si>
    <t>R8N76_RS20975</t>
  </si>
  <si>
    <t>competence protein ComJ</t>
  </si>
  <si>
    <t>comJ</t>
  </si>
  <si>
    <t>WP_000424030.1</t>
  </si>
  <si>
    <t>R8N76_RS20980</t>
  </si>
  <si>
    <t>5-methyltetrahydropteroyltriglutamate--homocysteine S-methyltransferase</t>
  </si>
  <si>
    <t>metE</t>
  </si>
  <si>
    <t>WP_001007608.1</t>
  </si>
  <si>
    <t>R8N76_RS20985</t>
  </si>
  <si>
    <t>WP_000062059.1</t>
  </si>
  <si>
    <t>R8N76_RS20990</t>
  </si>
  <si>
    <t>WP_000449912.1</t>
  </si>
  <si>
    <t>R8N76_RS20995</t>
  </si>
  <si>
    <t>WP_000708120.1</t>
  </si>
  <si>
    <t>R8N76_RS21000</t>
  </si>
  <si>
    <t>SPP1 phage holin family protein</t>
  </si>
  <si>
    <t>WP_000939448.1</t>
  </si>
  <si>
    <t>R8N76_RS21005</t>
  </si>
  <si>
    <t>WP_000680820.1</t>
  </si>
  <si>
    <t>R8N76_RS21010</t>
  </si>
  <si>
    <t>WP_000922498.1</t>
  </si>
  <si>
    <t>R8N76_RS21015</t>
  </si>
  <si>
    <t>YkyB family protein</t>
  </si>
  <si>
    <t>WP_000804864.1</t>
  </si>
  <si>
    <t>R8N76_RS21020</t>
  </si>
  <si>
    <t>Ppx/GppA family phosphatase</t>
  </si>
  <si>
    <t>WP_002195772.1</t>
  </si>
  <si>
    <t>R8N76_RS21025</t>
  </si>
  <si>
    <t>polyphosphate kinase</t>
  </si>
  <si>
    <t>WP_000421678.1</t>
  </si>
  <si>
    <t>R8N76_RS21030</t>
  </si>
  <si>
    <t>WP_000283738.1</t>
  </si>
  <si>
    <t>R8N76_RS21035</t>
  </si>
  <si>
    <t>WP_002026257.1</t>
  </si>
  <si>
    <t>R8N76_RS21040</t>
  </si>
  <si>
    <t>2,4-dienoyl-CoA reductase</t>
  </si>
  <si>
    <t>fadH</t>
  </si>
  <si>
    <t>WP_000660913.1</t>
  </si>
  <si>
    <t>R8N76_RS21045</t>
  </si>
  <si>
    <t>EAL-associated domain-containing protein</t>
  </si>
  <si>
    <t>WP_000564306.1</t>
  </si>
  <si>
    <t>R8N76_RS21050</t>
  </si>
  <si>
    <t>DUF3993 domain-containing protein</t>
  </si>
  <si>
    <t>WP_001233804.1</t>
  </si>
  <si>
    <t>R8N76_RS21055</t>
  </si>
  <si>
    <t>WP_000717875.1</t>
  </si>
  <si>
    <t>R8N76_RS21060</t>
  </si>
  <si>
    <t>YkuJ family protein</t>
  </si>
  <si>
    <t>WP_000055151.1</t>
  </si>
  <si>
    <t>R8N76_RS21065</t>
  </si>
  <si>
    <t>WP_000440540.1</t>
  </si>
  <si>
    <t>R8N76_RS21070</t>
  </si>
  <si>
    <t>ribonuclease H-like YkuK family protein</t>
  </si>
  <si>
    <t>WP_000348489.1</t>
  </si>
  <si>
    <t>R8N76_RS21075</t>
  </si>
  <si>
    <t>antirepressor AbbA</t>
  </si>
  <si>
    <t>abbA</t>
  </si>
  <si>
    <t>WP_001188692.1</t>
  </si>
  <si>
    <t>R8N76_RS21080</t>
  </si>
  <si>
    <t>cyclic-di-AMP-binding protein CbpB</t>
  </si>
  <si>
    <t>cbpB</t>
  </si>
  <si>
    <t>WP_000623579.1</t>
  </si>
  <si>
    <t>R8N76_RS21085</t>
  </si>
  <si>
    <t>WP_002026259.1</t>
  </si>
  <si>
    <t>R8N76_RS21090</t>
  </si>
  <si>
    <t>2,3,4,5-tetrahydropyridine-2,6-dicarboxylate N-acetyltransferase</t>
  </si>
  <si>
    <t>dapD</t>
  </si>
  <si>
    <t>WP_000783241.1</t>
  </si>
  <si>
    <t>R8N76_RS21095</t>
  </si>
  <si>
    <t>N-acetyldiaminopimelate deacetylase</t>
  </si>
  <si>
    <t>WP_000218674.1</t>
  </si>
  <si>
    <t>R8N76_RS21100</t>
  </si>
  <si>
    <t>cytochrome c oxidase assembly protein</t>
  </si>
  <si>
    <t>WP_001167324.1</t>
  </si>
  <si>
    <t>R8N76_RS21105</t>
  </si>
  <si>
    <t>WP_000504032.1</t>
  </si>
  <si>
    <t>R8N76_RS21110</t>
  </si>
  <si>
    <t>ribonuclease J1</t>
  </si>
  <si>
    <t>rnjA</t>
  </si>
  <si>
    <t>WP_000670377.1</t>
  </si>
  <si>
    <t>R8N76_RS21115</t>
  </si>
  <si>
    <t>DNA-dependent RNA polymerase subunit epsilon</t>
  </si>
  <si>
    <t>WP_000576435.1</t>
  </si>
  <si>
    <t>R8N76_RS21120</t>
  </si>
  <si>
    <t>WP_000998268.1</t>
  </si>
  <si>
    <t>R8N76_RS21125</t>
  </si>
  <si>
    <t>peptide deformylase</t>
  </si>
  <si>
    <t>def</t>
  </si>
  <si>
    <t>WP_000957048.1</t>
  </si>
  <si>
    <t>R8N76_RS21130</t>
  </si>
  <si>
    <t>WP_000274562.1</t>
  </si>
  <si>
    <t>R8N76_RS21135</t>
  </si>
  <si>
    <t>pyruvate dehydrogenase E1 component subunit alpha</t>
  </si>
  <si>
    <t>pdhA</t>
  </si>
  <si>
    <t>WP_000536895.1</t>
  </si>
  <si>
    <t>R8N76_RS21140</t>
  </si>
  <si>
    <t>pyruvate dehydrogenase complex E1 component subunit beta</t>
  </si>
  <si>
    <t>pdhB</t>
  </si>
  <si>
    <t>WP_000068168.1</t>
  </si>
  <si>
    <t>R8N76_RS21145</t>
  </si>
  <si>
    <t>pyruvate dehydrogenase complex dihydrolipoyllysine-residue acetyltransferase</t>
  </si>
  <si>
    <t>pdhC</t>
  </si>
  <si>
    <t>WP_000863419.1</t>
  </si>
  <si>
    <t>R8N76_RS21150</t>
  </si>
  <si>
    <t>WP_000260104.1</t>
  </si>
  <si>
    <t>R8N76_RS21155</t>
  </si>
  <si>
    <t>WP_000697469.1</t>
  </si>
  <si>
    <t>R8N76_RS21160</t>
  </si>
  <si>
    <t>DUF1885 family protein</t>
  </si>
  <si>
    <t>WP_001163299.1</t>
  </si>
  <si>
    <t>R8N76_RS21165</t>
  </si>
  <si>
    <t>WP_000462038.1</t>
  </si>
  <si>
    <t>R8N76_RS21170</t>
  </si>
  <si>
    <t>GapA-binding peptide SR1P</t>
  </si>
  <si>
    <t>WP_000536778.1</t>
  </si>
  <si>
    <t>R8N76_RS21175</t>
  </si>
  <si>
    <t>WP_000536803.1</t>
  </si>
  <si>
    <t>R8N76_RS21180</t>
  </si>
  <si>
    <t>WP_000536796.1</t>
  </si>
  <si>
    <t>R8N76_RS21185</t>
  </si>
  <si>
    <t>protein-glutamine gamma-glutamyltransferase</t>
  </si>
  <si>
    <t>WP_000635337.1</t>
  </si>
  <si>
    <t>R8N76_RS21190</t>
  </si>
  <si>
    <t>arginine decarboxylase</t>
  </si>
  <si>
    <t>speA</t>
  </si>
  <si>
    <t>WP_000084899.1</t>
  </si>
  <si>
    <t>R8N76_RS21195</t>
  </si>
  <si>
    <t>UPF0223 family protein</t>
  </si>
  <si>
    <t>WP_000456562.1</t>
  </si>
  <si>
    <t>R8N76_RS21200</t>
  </si>
  <si>
    <t>YktB family protein</t>
  </si>
  <si>
    <t>WP_000155317.1</t>
  </si>
  <si>
    <t>R8N76_RS21205</t>
  </si>
  <si>
    <t>WP_001250165.1</t>
  </si>
  <si>
    <t>R8N76_RS21210</t>
  </si>
  <si>
    <t>inositol monophosphatase family protein</t>
  </si>
  <si>
    <t>WP_001158701.1</t>
  </si>
  <si>
    <t>R8N76_RS21215</t>
  </si>
  <si>
    <t>DUF5325 family protein</t>
  </si>
  <si>
    <t>WP_000400127.1</t>
  </si>
  <si>
    <t>R8N76_RS21220</t>
  </si>
  <si>
    <t>translational GTPase TypA</t>
  </si>
  <si>
    <t>typA</t>
  </si>
  <si>
    <t>WP_000914762.1</t>
  </si>
  <si>
    <t>R8N76_RS21225</t>
  </si>
  <si>
    <t>YlaH-like family protein</t>
  </si>
  <si>
    <t>WP_000893662.1</t>
  </si>
  <si>
    <t>R8N76_RS21230</t>
  </si>
  <si>
    <t>WP_001258151.1</t>
  </si>
  <si>
    <t>R8N76_RS21235</t>
  </si>
  <si>
    <t>YlaI family protein</t>
  </si>
  <si>
    <t>WP_002082250.1</t>
  </si>
  <si>
    <t>R8N76_RS21240</t>
  </si>
  <si>
    <t>WP_000024593.1</t>
  </si>
  <si>
    <t>R8N76_RS21245</t>
  </si>
  <si>
    <t>WP_000358083.1</t>
  </si>
  <si>
    <t>R8N76_RS21250</t>
  </si>
  <si>
    <t>WP_001289809.1</t>
  </si>
  <si>
    <t>R8N76_RS21255</t>
  </si>
  <si>
    <t>YlaN family protein</t>
  </si>
  <si>
    <t>WP_000135694.1</t>
  </si>
  <si>
    <t>R8N76_RS21260</t>
  </si>
  <si>
    <t>WP_000758411.1</t>
  </si>
  <si>
    <t>R8N76_RS21265</t>
  </si>
  <si>
    <t>pyruvate carboxylase</t>
  </si>
  <si>
    <t>pyc</t>
  </si>
  <si>
    <t>WP_000164087.1</t>
  </si>
  <si>
    <t>R8N76_RS21270</t>
  </si>
  <si>
    <t>heme A synthase</t>
  </si>
  <si>
    <t>ctaA</t>
  </si>
  <si>
    <t>WP_001188743.1</t>
  </si>
  <si>
    <t>R8N76_RS21275</t>
  </si>
  <si>
    <t>protoheme IX farnesyltransferase</t>
  </si>
  <si>
    <t>ctaB</t>
  </si>
  <si>
    <t>WP_001015058.1</t>
  </si>
  <si>
    <t>R8N76_RS21280</t>
  </si>
  <si>
    <t>coxB</t>
  </si>
  <si>
    <t>WP_000745268.1</t>
  </si>
  <si>
    <t>R8N76_RS21285</t>
  </si>
  <si>
    <t>cytochrome c oxidase subunit I</t>
  </si>
  <si>
    <t>ctaD</t>
  </si>
  <si>
    <t>WP_153579316.1</t>
  </si>
  <si>
    <t>R8N76_RS21290</t>
  </si>
  <si>
    <t>cytochrome c oxidase subunit III</t>
  </si>
  <si>
    <t>ctaE</t>
  </si>
  <si>
    <t>WP_000557861.1</t>
  </si>
  <si>
    <t>R8N76_RS21295</t>
  </si>
  <si>
    <t>cytochrome c oxidase subunit IVB</t>
  </si>
  <si>
    <t>ctaF</t>
  </si>
  <si>
    <t>WP_000985706.1</t>
  </si>
  <si>
    <t>R8N76_RS21300</t>
  </si>
  <si>
    <t>cytochrome c oxidase assembly factor CtaG</t>
  </si>
  <si>
    <t>ctaG</t>
  </si>
  <si>
    <t>WP_000069023.1</t>
  </si>
  <si>
    <t>R8N76_RS21305</t>
  </si>
  <si>
    <t>formamidase</t>
  </si>
  <si>
    <t>WP_000535802.1</t>
  </si>
  <si>
    <t>R8N76_RS21310</t>
  </si>
  <si>
    <t>YugN family protein</t>
  </si>
  <si>
    <t>WP_001160952.1</t>
  </si>
  <si>
    <t>R8N76_RS21315</t>
  </si>
  <si>
    <t>WP_000735376.1</t>
  </si>
  <si>
    <t>R8N76_RS21320</t>
  </si>
  <si>
    <t>YlbD family protein</t>
  </si>
  <si>
    <t>WP_001143346.1</t>
  </si>
  <si>
    <t>R8N76_RS21325</t>
  </si>
  <si>
    <t>YlbE-like family protein</t>
  </si>
  <si>
    <t>WP_001200990.1</t>
  </si>
  <si>
    <t>R8N76_RS21330</t>
  </si>
  <si>
    <t>WP_000134946.1</t>
  </si>
  <si>
    <t>R8N76_RS21335</t>
  </si>
  <si>
    <t>YlbF family regulator</t>
  </si>
  <si>
    <t>WP_000634366.1</t>
  </si>
  <si>
    <t>R8N76_RS21340</t>
  </si>
  <si>
    <t>YlbG family protein</t>
  </si>
  <si>
    <t>WP_002082261.1</t>
  </si>
  <si>
    <t>R8N76_RS21345</t>
  </si>
  <si>
    <t>WP_000616017.1</t>
  </si>
  <si>
    <t>R8N76_RS21350</t>
  </si>
  <si>
    <t>16S rRNA (guanine(966)-N(2))-methyltransferase RsmD</t>
  </si>
  <si>
    <t>rsmD</t>
  </si>
  <si>
    <t>WP_001266978.1</t>
  </si>
  <si>
    <t>R8N76_RS21355</t>
  </si>
  <si>
    <t>pantetheine-phosphate adenylyltransferase</t>
  </si>
  <si>
    <t>coaD</t>
  </si>
  <si>
    <t>WP_000200601.1</t>
  </si>
  <si>
    <t>R8N76_RS21360</t>
  </si>
  <si>
    <t>sporulation integral membrane protein YlbJ</t>
  </si>
  <si>
    <t>ylbJ</t>
  </si>
  <si>
    <t>WP_000273082.1</t>
  </si>
  <si>
    <t>R8N76_RS21365</t>
  </si>
  <si>
    <t>WP_000662588.1</t>
  </si>
  <si>
    <t>R8N76_RS21370</t>
  </si>
  <si>
    <t>SepM family pheromone-processing serine protease</t>
  </si>
  <si>
    <t>WP_000476281.1</t>
  </si>
  <si>
    <t>R8N76_RS21375</t>
  </si>
  <si>
    <t>nucleotidyltransferase</t>
  </si>
  <si>
    <t>WP_033685264.1</t>
  </si>
  <si>
    <t>R8N76_RS21380</t>
  </si>
  <si>
    <t>DUF177 domain-containing protein</t>
  </si>
  <si>
    <t>WP_000872149.1</t>
  </si>
  <si>
    <t>R8N76_RS21385</t>
  </si>
  <si>
    <t>50S ribosomal protein L32</t>
  </si>
  <si>
    <t>rpmF</t>
  </si>
  <si>
    <t>WP_001984764.1</t>
  </si>
  <si>
    <t>R8N76_RS21390</t>
  </si>
  <si>
    <t>WP_000246467.1</t>
  </si>
  <si>
    <t>R8N76_RS21395</t>
  </si>
  <si>
    <t>WP_000506694.1</t>
  </si>
  <si>
    <t>R8N76_RS21400</t>
  </si>
  <si>
    <t>WP_002164452.1</t>
  </si>
  <si>
    <t>R8N76_RS21405</t>
  </si>
  <si>
    <t>bacillithiol biosynthesis cysteine-adding enzyme BshC</t>
  </si>
  <si>
    <t>bshC</t>
  </si>
  <si>
    <t>WP_000403038.1</t>
  </si>
  <si>
    <t>R8N76_RS21410</t>
  </si>
  <si>
    <t>16S rRNA (cytosine(1402)-N(4))-methyltransferase RsmH</t>
  </si>
  <si>
    <t>rsmH</t>
  </si>
  <si>
    <t>WP_000472508.1</t>
  </si>
  <si>
    <t>R8N76_RS21415</t>
  </si>
  <si>
    <t>cell division protein FtsL</t>
  </si>
  <si>
    <t>ftsL</t>
  </si>
  <si>
    <t>WP_000182804.1</t>
  </si>
  <si>
    <t>R8N76_RS21420</t>
  </si>
  <si>
    <t>penicillin-binding protein</t>
  </si>
  <si>
    <t>WP_033685514.1</t>
  </si>
  <si>
    <t>R8N76_RS21425</t>
  </si>
  <si>
    <t>stage V sporulation protein D</t>
  </si>
  <si>
    <t>WP_001266234.1</t>
  </si>
  <si>
    <t>R8N76_RS21430</t>
  </si>
  <si>
    <t>UDP-N-acetylmuramoyl-L-alanyl-D-glutamate--2,6-diaminopimelate ligase</t>
  </si>
  <si>
    <t>murE</t>
  </si>
  <si>
    <t>WP_000766313.1</t>
  </si>
  <si>
    <t>R8N76_RS21435</t>
  </si>
  <si>
    <t>phospho-N-acetylmuramoyl-pentapeptide-transferase</t>
  </si>
  <si>
    <t>mraY</t>
  </si>
  <si>
    <t>WP_000893060.1</t>
  </si>
  <si>
    <t>R8N76_RS21440</t>
  </si>
  <si>
    <t>UDP-N-acetylmuramoyl-L-alanine--D-glutamate ligase</t>
  </si>
  <si>
    <t>murD</t>
  </si>
  <si>
    <t>WP_000860115.1</t>
  </si>
  <si>
    <t>R8N76_RS21445</t>
  </si>
  <si>
    <t>stage V sporulation protein E</t>
  </si>
  <si>
    <t>spoVE</t>
  </si>
  <si>
    <t>WP_000753520.1</t>
  </si>
  <si>
    <t>R8N76_RS21450</t>
  </si>
  <si>
    <t>WP_011110342.1</t>
  </si>
  <si>
    <t>R8N76_RS21455</t>
  </si>
  <si>
    <t>WP_000437020.1</t>
  </si>
  <si>
    <t>R8N76_RS21460</t>
  </si>
  <si>
    <t>cell division protein DivIB</t>
  </si>
  <si>
    <t>divIB</t>
  </si>
  <si>
    <t>WP_001065793.1</t>
  </si>
  <si>
    <t>R8N76_RS21465</t>
  </si>
  <si>
    <t>cell division protein FtsA</t>
  </si>
  <si>
    <t>ftsA</t>
  </si>
  <si>
    <t>WP_001087558.1</t>
  </si>
  <si>
    <t>R8N76_RS21470</t>
  </si>
  <si>
    <t>cell division protein FtsZ</t>
  </si>
  <si>
    <t>ftsZ</t>
  </si>
  <si>
    <t>WP_000888984.1</t>
  </si>
  <si>
    <t>R8N76_RS21475</t>
  </si>
  <si>
    <t>sigma-E processing peptidase SpoIIGA</t>
  </si>
  <si>
    <t>spoIIGA</t>
  </si>
  <si>
    <t>WP_000261975.1</t>
  </si>
  <si>
    <t>R8N76_RS21480</t>
  </si>
  <si>
    <t>RNA polymerase sporulation sigma factor SigE</t>
  </si>
  <si>
    <t>sigE</t>
  </si>
  <si>
    <t>WP_000976948.1</t>
  </si>
  <si>
    <t>R8N76_RS21485</t>
  </si>
  <si>
    <t>RNA polymerase sporulation sigma factor SigG</t>
  </si>
  <si>
    <t>sigG</t>
  </si>
  <si>
    <t>WP_000197755.1</t>
  </si>
  <si>
    <t>R8N76_RS21490</t>
  </si>
  <si>
    <t>YlmC/YmxH family sporulation protein</t>
  </si>
  <si>
    <t>WP_000236745.1</t>
  </si>
  <si>
    <t>R8N76_RS21495</t>
  </si>
  <si>
    <t>peptidoglycan editing factor PgeF</t>
  </si>
  <si>
    <t>pgeF</t>
  </si>
  <si>
    <t>WP_001209008.1</t>
  </si>
  <si>
    <t>R8N76_RS21500</t>
  </si>
  <si>
    <t>YggS family pyridoxal phosphate-dependent enzyme</t>
  </si>
  <si>
    <t>WP_000218005.1</t>
  </si>
  <si>
    <t>R8N76_RS21505</t>
  </si>
  <si>
    <t>cell division protein SepF</t>
  </si>
  <si>
    <t>WP_000119129.1</t>
  </si>
  <si>
    <t>R8N76_RS21510</t>
  </si>
  <si>
    <t>YggT family protein</t>
  </si>
  <si>
    <t>WP_000214233.1</t>
  </si>
  <si>
    <t>R8N76_RS21515</t>
  </si>
  <si>
    <t>RNA-binding protein</t>
  </si>
  <si>
    <t>WP_002164454.1</t>
  </si>
  <si>
    <t>R8N76_RS21520</t>
  </si>
  <si>
    <t>septum site-determining protein DivIVA</t>
  </si>
  <si>
    <t>divIVA</t>
  </si>
  <si>
    <t>WP_001131611.1</t>
  </si>
  <si>
    <t>R8N76_RS21525</t>
  </si>
  <si>
    <t>isoleucine--tRNA ligase</t>
  </si>
  <si>
    <t>ileS2</t>
  </si>
  <si>
    <t>WP_000455951.1</t>
  </si>
  <si>
    <t>R8N76_RS21530</t>
  </si>
  <si>
    <t>molecular chaperone DnaK</t>
  </si>
  <si>
    <t>WP_001002956.1</t>
  </si>
  <si>
    <t>R8N76_RS21535</t>
  </si>
  <si>
    <t>lipoprotein signal peptidase LspA</t>
  </si>
  <si>
    <t>lspA</t>
  </si>
  <si>
    <t>WP_000642185.1</t>
  </si>
  <si>
    <t>R8N76_RS21540</t>
  </si>
  <si>
    <t>WP_000005831.1</t>
  </si>
  <si>
    <t>R8N76_RS21545</t>
  </si>
  <si>
    <t>bifunctional pyrimidine operon transcriptional regulator/uracil phosphoribosyltransferase</t>
  </si>
  <si>
    <t>pyrR</t>
  </si>
  <si>
    <t>WP_001156491.1</t>
  </si>
  <si>
    <t>R8N76_RS21550</t>
  </si>
  <si>
    <t>uracil permease</t>
  </si>
  <si>
    <t>uraA</t>
  </si>
  <si>
    <t>WP_000435928.1</t>
  </si>
  <si>
    <t>R8N76_RS21555</t>
  </si>
  <si>
    <t>aspartate carbamoyltransferase</t>
  </si>
  <si>
    <t>pyrB</t>
  </si>
  <si>
    <t>WP_000018849.1</t>
  </si>
  <si>
    <t>R8N76_RS21560</t>
  </si>
  <si>
    <t>dihydroorotase</t>
  </si>
  <si>
    <t>pyrC</t>
  </si>
  <si>
    <t>WP_001108367.1</t>
  </si>
  <si>
    <t>R8N76_RS21565</t>
  </si>
  <si>
    <t>carbamoyl phosphate synthase small subunit</t>
  </si>
  <si>
    <t>WP_000828686.1</t>
  </si>
  <si>
    <t>R8N76_RS21570</t>
  </si>
  <si>
    <t>carbamoyl-phosphate synthase large subunit</t>
  </si>
  <si>
    <t>carB</t>
  </si>
  <si>
    <t>WP_001126101.1</t>
  </si>
  <si>
    <t>R8N76_RS21575</t>
  </si>
  <si>
    <t>dihydroorotate oxidase B electron transfer subunit</t>
  </si>
  <si>
    <t>pyrK</t>
  </si>
  <si>
    <t>WP_000983359.1</t>
  </si>
  <si>
    <t>R8N76_RS21580</t>
  </si>
  <si>
    <t>dihydroorotate oxidase B catalytic subunit</t>
  </si>
  <si>
    <t>pyrD</t>
  </si>
  <si>
    <t>WP_001081049.1</t>
  </si>
  <si>
    <t>R8N76_RS21585</t>
  </si>
  <si>
    <t>orotidine-5'-phosphate decarboxylase</t>
  </si>
  <si>
    <t>pyrF</t>
  </si>
  <si>
    <t>WP_000083510.1</t>
  </si>
  <si>
    <t>R8N76_RS21590</t>
  </si>
  <si>
    <t>orotate phosphoribosyltransferase</t>
  </si>
  <si>
    <t>pyrE</t>
  </si>
  <si>
    <t>WP_000711440.1</t>
  </si>
  <si>
    <t>R8N76_RS21595</t>
  </si>
  <si>
    <t>R8N76_RS21600</t>
  </si>
  <si>
    <t>YbeF family protein</t>
  </si>
  <si>
    <t>WP_001003915.1</t>
  </si>
  <si>
    <t>R8N76_RS21605</t>
  </si>
  <si>
    <t>WP_000537861.1</t>
  </si>
  <si>
    <t>R8N76_RS21610</t>
  </si>
  <si>
    <t>R8N76_RS21615</t>
  </si>
  <si>
    <t>YoqO family protein</t>
  </si>
  <si>
    <t>WP_001208249.1</t>
  </si>
  <si>
    <t>R8N76_RS21620</t>
  </si>
  <si>
    <t>WP_001012056.1</t>
  </si>
  <si>
    <t>R8N76_RS21625</t>
  </si>
  <si>
    <t>Xaa-Pro peptidase family protein</t>
  </si>
  <si>
    <t>WP_001102862.1</t>
  </si>
  <si>
    <t>R8N76_RS21630</t>
  </si>
  <si>
    <t>lysozyme inhibitor LprI family protein</t>
  </si>
  <si>
    <t>WP_000736520.1</t>
  </si>
  <si>
    <t>R8N76_RS21635</t>
  </si>
  <si>
    <t>NFACT family protein</t>
  </si>
  <si>
    <t>WP_000863284.1</t>
  </si>
  <si>
    <t>R8N76_RS21640</t>
  </si>
  <si>
    <t>calcium-translocating P-type ATPase, SERCA-type</t>
  </si>
  <si>
    <t>WP_001104778.1</t>
  </si>
  <si>
    <t>R8N76_RS21645</t>
  </si>
  <si>
    <t>YicC/YloC family endoribonuclease</t>
  </si>
  <si>
    <t>WP_000625866.1</t>
  </si>
  <si>
    <t>R8N76_RS21650</t>
  </si>
  <si>
    <t>extracellular matrix/biofilm regulator RemA</t>
  </si>
  <si>
    <t>remA</t>
  </si>
  <si>
    <t>WP_001251456.1</t>
  </si>
  <si>
    <t>R8N76_RS21655</t>
  </si>
  <si>
    <t>guanylate kinase</t>
  </si>
  <si>
    <t>gmk</t>
  </si>
  <si>
    <t>WP_001257741.1</t>
  </si>
  <si>
    <t>R8N76_RS21660</t>
  </si>
  <si>
    <t>DNA-directed RNA polymerase subunit omega</t>
  </si>
  <si>
    <t>rpoZ</t>
  </si>
  <si>
    <t>WP_000933960.1</t>
  </si>
  <si>
    <t>R8N76_RS21665</t>
  </si>
  <si>
    <t>bifunctional phosphopantothenoylcysteine decarboxylase/phosphopantothenate--cysteine ligase CoaBC</t>
  </si>
  <si>
    <t>coaBC</t>
  </si>
  <si>
    <t>WP_000911762.1</t>
  </si>
  <si>
    <t>R8N76_RS21670</t>
  </si>
  <si>
    <t>primosomal protein N'</t>
  </si>
  <si>
    <t>priA</t>
  </si>
  <si>
    <t>WP_000666720.1</t>
  </si>
  <si>
    <t>R8N76_RS21675</t>
  </si>
  <si>
    <t>WP_000279455.1</t>
  </si>
  <si>
    <t>R8N76_RS21680</t>
  </si>
  <si>
    <t>methionyl-tRNA formyltransferase</t>
  </si>
  <si>
    <t>fmt</t>
  </si>
  <si>
    <t>WP_000598804.1</t>
  </si>
  <si>
    <t>R8N76_RS21685</t>
  </si>
  <si>
    <t>16S rRNA (cytosine(967)-C(5))-methyltransferase RsmB</t>
  </si>
  <si>
    <t>rsmB</t>
  </si>
  <si>
    <t>WP_001249665.1</t>
  </si>
  <si>
    <t>R8N76_RS21690</t>
  </si>
  <si>
    <t>23S rRNA (adenine(2503)-C(2))-methyltransferase RlmN</t>
  </si>
  <si>
    <t>rlmN</t>
  </si>
  <si>
    <t>WP_000450540.1</t>
  </si>
  <si>
    <t>R8N76_RS21695</t>
  </si>
  <si>
    <t>Stp1/IreP family PP2C-type Ser/Thr phosphatase</t>
  </si>
  <si>
    <t>WP_000648703.1</t>
  </si>
  <si>
    <t>R8N76_RS21700</t>
  </si>
  <si>
    <t>Stk1 family PASTA domain-containing Ser/Thr kinase</t>
  </si>
  <si>
    <t>pknB</t>
  </si>
  <si>
    <t>WP_000904747.1</t>
  </si>
  <si>
    <t>R8N76_RS21705</t>
  </si>
  <si>
    <t>WP_001113932.1</t>
  </si>
  <si>
    <t>R8N76_RS21710</t>
  </si>
  <si>
    <t>ribulose-phosphate 3-epimerase</t>
  </si>
  <si>
    <t>rpe</t>
  </si>
  <si>
    <t>WP_000589959.1</t>
  </si>
  <si>
    <t>R8N76_RS21715</t>
  </si>
  <si>
    <t>thiamine diphosphokinase</t>
  </si>
  <si>
    <t>WP_002026234.1</t>
  </si>
  <si>
    <t>R8N76_RS21720</t>
  </si>
  <si>
    <t>stage V sporulation protein SpoVM</t>
  </si>
  <si>
    <t>spoVM</t>
  </si>
  <si>
    <t>WP_001213599.1</t>
  </si>
  <si>
    <t>R8N76_RS21725</t>
  </si>
  <si>
    <t>50S ribosomal protein L28</t>
  </si>
  <si>
    <t>rpmB</t>
  </si>
  <si>
    <t>WP_000124776.1</t>
  </si>
  <si>
    <t>R8N76_RS21730</t>
  </si>
  <si>
    <t>WP_000021109.1</t>
  </si>
  <si>
    <t>R8N76_RS21735</t>
  </si>
  <si>
    <t>DAK2 domain-containing protein</t>
  </si>
  <si>
    <t>WP_000027130.1</t>
  </si>
  <si>
    <t>R8N76_RS21740</t>
  </si>
  <si>
    <t>ATP-dependent DNA helicase RecG</t>
  </si>
  <si>
    <t>recG</t>
  </si>
  <si>
    <t>WP_001000816.1</t>
  </si>
  <si>
    <t>R8N76_RS21745</t>
  </si>
  <si>
    <t>transcription factor FapR</t>
  </si>
  <si>
    <t>fapR</t>
  </si>
  <si>
    <t>WP_000747348.1</t>
  </si>
  <si>
    <t>R8N76_RS21750</t>
  </si>
  <si>
    <t>phosphate acyltransferase PlsX</t>
  </si>
  <si>
    <t>plsX</t>
  </si>
  <si>
    <t>WP_000684092.1</t>
  </si>
  <si>
    <t>R8N76_RS21755</t>
  </si>
  <si>
    <t>ACP S-malonyltransferase</t>
  </si>
  <si>
    <t>fabD</t>
  </si>
  <si>
    <t>WP_000515899.1</t>
  </si>
  <si>
    <t>R8N76_RS21760</t>
  </si>
  <si>
    <t>3-oxoacyl-[acyl-carrier-protein] reductase</t>
  </si>
  <si>
    <t>fabG</t>
  </si>
  <si>
    <t>WP_000911773.1</t>
  </si>
  <si>
    <t>R8N76_RS21765</t>
  </si>
  <si>
    <t>acyl carrier protein</t>
  </si>
  <si>
    <t>acpP</t>
  </si>
  <si>
    <t>WP_000786062.1</t>
  </si>
  <si>
    <t>R8N76_RS21770</t>
  </si>
  <si>
    <t>ribonuclease III</t>
  </si>
  <si>
    <t>rncS</t>
  </si>
  <si>
    <t>WP_001146875.1</t>
  </si>
  <si>
    <t>R8N76_RS21775</t>
  </si>
  <si>
    <t>chromosome segregation protein SMC</t>
  </si>
  <si>
    <t>smc</t>
  </si>
  <si>
    <t>WP_000478972.1</t>
  </si>
  <si>
    <t>R8N76_RS21780</t>
  </si>
  <si>
    <t>signal recognition particle-docking protein FtsY</t>
  </si>
  <si>
    <t>ftsY</t>
  </si>
  <si>
    <t>WP_000007656.1</t>
  </si>
  <si>
    <t>R8N76_RS21785</t>
  </si>
  <si>
    <t>putative DNA-binding protein</t>
  </si>
  <si>
    <t>WP_000891062.1</t>
  </si>
  <si>
    <t>R8N76_RS21790</t>
  </si>
  <si>
    <t>signal recognition particle protein</t>
  </si>
  <si>
    <t>ffh</t>
  </si>
  <si>
    <t>WP_000863460.1</t>
  </si>
  <si>
    <t>R8N76_RS21795</t>
  </si>
  <si>
    <t>30S ribosomal protein S16</t>
  </si>
  <si>
    <t>rpsP</t>
  </si>
  <si>
    <t>WP_000268750.1</t>
  </si>
  <si>
    <t>R8N76_RS21800</t>
  </si>
  <si>
    <t>KH domain-containing protein</t>
  </si>
  <si>
    <t>WP_000737401.1</t>
  </si>
  <si>
    <t>R8N76_RS21805</t>
  </si>
  <si>
    <t>ribosome maturation factor RimM</t>
  </si>
  <si>
    <t>rimM</t>
  </si>
  <si>
    <t>WP_000170278.1</t>
  </si>
  <si>
    <t>R8N76_RS21810</t>
  </si>
  <si>
    <t>tRNA (guanosine(37)-N1)-methyltransferase TrmD</t>
  </si>
  <si>
    <t>trmD</t>
  </si>
  <si>
    <t>WP_000686903.1</t>
  </si>
  <si>
    <t>R8N76_RS21815</t>
  </si>
  <si>
    <t>50S ribosomal protein L19</t>
  </si>
  <si>
    <t>rplS</t>
  </si>
  <si>
    <t>WP_001186516.1</t>
  </si>
  <si>
    <t>R8N76_RS21820</t>
  </si>
  <si>
    <t>WP_000711853.1</t>
  </si>
  <si>
    <t>R8N76_RS21825</t>
  </si>
  <si>
    <t>ribosome biogenesis GTPase YlqF</t>
  </si>
  <si>
    <t>ylqF</t>
  </si>
  <si>
    <t>WP_000236704.1</t>
  </si>
  <si>
    <t>R8N76_RS21830</t>
  </si>
  <si>
    <t>ribonuclease HII</t>
  </si>
  <si>
    <t>WP_001194268.1</t>
  </si>
  <si>
    <t>R8N76_RS21835</t>
  </si>
  <si>
    <t>ADP-forming succinate--CoA ligase subunit beta</t>
  </si>
  <si>
    <t>sucC</t>
  </si>
  <si>
    <t>WP_001020791.1</t>
  </si>
  <si>
    <t>R8N76_RS21840</t>
  </si>
  <si>
    <t>succinate--CoA ligase subunit alpha</t>
  </si>
  <si>
    <t>sucD</t>
  </si>
  <si>
    <t>WP_000115178.1</t>
  </si>
  <si>
    <t>R8N76_RS21845</t>
  </si>
  <si>
    <t>DNA-processing protein DprA</t>
  </si>
  <si>
    <t>dprA</t>
  </si>
  <si>
    <t>WP_000818060.1</t>
  </si>
  <si>
    <t>R8N76_RS21850</t>
  </si>
  <si>
    <t>type I DNA topoisomerase</t>
  </si>
  <si>
    <t>topA</t>
  </si>
  <si>
    <t>WP_001286963.1</t>
  </si>
  <si>
    <t>R8N76_RS21855</t>
  </si>
  <si>
    <t>FADH(2)-oxidizing methylenetetrahydrofolate--tRNA-(uracil(54)-C(5))-methyltransferase TrmFO</t>
  </si>
  <si>
    <t>trmFO</t>
  </si>
  <si>
    <t>WP_000213003.1</t>
  </si>
  <si>
    <t>R8N76_RS21860</t>
  </si>
  <si>
    <t>tyrosine recombinase XerC</t>
  </si>
  <si>
    <t>xerC</t>
  </si>
  <si>
    <t>WP_001101243.1</t>
  </si>
  <si>
    <t>R8N76_RS21865</t>
  </si>
  <si>
    <t>ATP-dependent protease proteolytic subunit HslV</t>
  </si>
  <si>
    <t>hslV</t>
  </si>
  <si>
    <t>WP_000526272.1</t>
  </si>
  <si>
    <t>R8N76_RS21870</t>
  </si>
  <si>
    <t>ATP-dependent protease ATPase subunit HslU</t>
  </si>
  <si>
    <t>hslU</t>
  </si>
  <si>
    <t>WP_000550078.1</t>
  </si>
  <si>
    <t>R8N76_RS21875</t>
  </si>
  <si>
    <t>GTP-sensing pleiotropic transcriptional regulator CodY</t>
  </si>
  <si>
    <t>codY</t>
  </si>
  <si>
    <t>WP_000421290.1</t>
  </si>
  <si>
    <t>R8N76_RS21880</t>
  </si>
  <si>
    <t>30S ribosomal protein S2</t>
  </si>
  <si>
    <t>rpsB</t>
  </si>
  <si>
    <t>WP_000111485.1</t>
  </si>
  <si>
    <t>R8N76_RS21885</t>
  </si>
  <si>
    <t>translation elongation factor Ts</t>
  </si>
  <si>
    <t>tsf</t>
  </si>
  <si>
    <t>WP_001018578.1</t>
  </si>
  <si>
    <t>R8N76_RS21890</t>
  </si>
  <si>
    <t>WP_000042668.1</t>
  </si>
  <si>
    <t>R8N76_RS21895</t>
  </si>
  <si>
    <t>ribosome recycling factor</t>
  </si>
  <si>
    <t>frr</t>
  </si>
  <si>
    <t>WP_000531501.1</t>
  </si>
  <si>
    <t>R8N76_RS21900</t>
  </si>
  <si>
    <t>isoprenyl transferase</t>
  </si>
  <si>
    <t>uppS</t>
  </si>
  <si>
    <t>WP_000971296.1</t>
  </si>
  <si>
    <t>R8N76_RS21905</t>
  </si>
  <si>
    <t>phosphatidate cytidylyltransferase</t>
  </si>
  <si>
    <t>cdsA</t>
  </si>
  <si>
    <t>WP_000813592.1</t>
  </si>
  <si>
    <t>R8N76_RS21910</t>
  </si>
  <si>
    <t>1-deoxy-D-xylulose-5-phosphate reductoisomerase</t>
  </si>
  <si>
    <t>dxr</t>
  </si>
  <si>
    <t>WP_000790373.1</t>
  </si>
  <si>
    <t>R8N76_RS21915</t>
  </si>
  <si>
    <t>RIP metalloprotease RseP</t>
  </si>
  <si>
    <t>rseP</t>
  </si>
  <si>
    <t>WP_001090244.1</t>
  </si>
  <si>
    <t>R8N76_RS21920</t>
  </si>
  <si>
    <t>WP_000814302.1</t>
  </si>
  <si>
    <t>R8N76_RS21925</t>
  </si>
  <si>
    <t>PolC-type DNA polymerase III</t>
  </si>
  <si>
    <t>WP_000060005.1</t>
  </si>
  <si>
    <t>R8N76_RS21930</t>
  </si>
  <si>
    <t>ribosome maturation factor RimP</t>
  </si>
  <si>
    <t>rimP</t>
  </si>
  <si>
    <t>WP_000359096.1</t>
  </si>
  <si>
    <t>R8N76_RS21935</t>
  </si>
  <si>
    <t>transcription termination factor NusA</t>
  </si>
  <si>
    <t>nusA</t>
  </si>
  <si>
    <t>WP_000102602.1</t>
  </si>
  <si>
    <t>R8N76_RS21940</t>
  </si>
  <si>
    <t>RNase P modulator RnpM</t>
  </si>
  <si>
    <t>rnpM</t>
  </si>
  <si>
    <t>WP_000071127.1</t>
  </si>
  <si>
    <t>R8N76_RS21945</t>
  </si>
  <si>
    <t>YlxQ family RNA-binding protein</t>
  </si>
  <si>
    <t>WP_001286523.1</t>
  </si>
  <si>
    <t>R8N76_RS21950</t>
  </si>
  <si>
    <t>translation initiation factor IF-2</t>
  </si>
  <si>
    <t>infB</t>
  </si>
  <si>
    <t>WP_000036343.1</t>
  </si>
  <si>
    <t>R8N76_RS21955</t>
  </si>
  <si>
    <t>DUF503 domain-containing protein</t>
  </si>
  <si>
    <t>WP_000582363.1</t>
  </si>
  <si>
    <t>R8N76_RS21960</t>
  </si>
  <si>
    <t>30S ribosome-binding factor RbfA</t>
  </si>
  <si>
    <t>rbfA</t>
  </si>
  <si>
    <t>WP_000776437.1</t>
  </si>
  <si>
    <t>R8N76_RS21965</t>
  </si>
  <si>
    <t>tRNA pseudouridine(55) synthase TruB</t>
  </si>
  <si>
    <t>truB</t>
  </si>
  <si>
    <t>WP_000399352.1</t>
  </si>
  <si>
    <t>R8N76_RS21970</t>
  </si>
  <si>
    <t>bifunctional riboflavin kinase/FAD synthetase</t>
  </si>
  <si>
    <t>ribF</t>
  </si>
  <si>
    <t>WP_000766706.1</t>
  </si>
  <si>
    <t>R8N76_RS21975</t>
  </si>
  <si>
    <t>30S ribosomal protein S15</t>
  </si>
  <si>
    <t>rpsO</t>
  </si>
  <si>
    <t>WP_001229392.1</t>
  </si>
  <si>
    <t>R8N76_RS21980</t>
  </si>
  <si>
    <t>polyribonucleotide nucleotidyltransferase</t>
  </si>
  <si>
    <t>pnp</t>
  </si>
  <si>
    <t>WP_000076737.1</t>
  </si>
  <si>
    <t>R8N76_RS21985</t>
  </si>
  <si>
    <t>WP_000868217.1</t>
  </si>
  <si>
    <t>R8N76_RS21990</t>
  </si>
  <si>
    <t>pitrilysin family protein</t>
  </si>
  <si>
    <t>WP_000592996.1</t>
  </si>
  <si>
    <t>R8N76_RS21995</t>
  </si>
  <si>
    <t>WP_001239759.1</t>
  </si>
  <si>
    <t>R8N76_RS22000</t>
  </si>
  <si>
    <t>dipicolinic acid synthetase subunit A</t>
  </si>
  <si>
    <t>dpaA</t>
  </si>
  <si>
    <t>WP_000954735.1</t>
  </si>
  <si>
    <t>R8N76_RS22005</t>
  </si>
  <si>
    <t>dipicolinate synthase subunit B</t>
  </si>
  <si>
    <t>dpaB</t>
  </si>
  <si>
    <t>WP_000053596.1</t>
  </si>
  <si>
    <t>R8N76_RS22010</t>
  </si>
  <si>
    <t>asd</t>
  </si>
  <si>
    <t>WP_000414846.1</t>
  </si>
  <si>
    <t>R8N76_RS22015</t>
  </si>
  <si>
    <t>dapG</t>
  </si>
  <si>
    <t>WP_000692451.1</t>
  </si>
  <si>
    <t>R8N76_RS22020</t>
  </si>
  <si>
    <t>4-hydroxy-tetrahydrodipicolinate synthase</t>
  </si>
  <si>
    <t>dapA</t>
  </si>
  <si>
    <t>WP_000564763.1</t>
  </si>
  <si>
    <t>R8N76_RS22025</t>
  </si>
  <si>
    <t>WP_000823096.1</t>
  </si>
  <si>
    <t>R8N76_RS22030</t>
  </si>
  <si>
    <t>translocation-enhancing protein TepA</t>
  </si>
  <si>
    <t>tepA</t>
  </si>
  <si>
    <t>WP_000139806.1</t>
  </si>
  <si>
    <t>R8N76_RS22035</t>
  </si>
  <si>
    <t>YlzJ-like family protein</t>
  </si>
  <si>
    <t>WP_000605036.1</t>
  </si>
  <si>
    <t>R8N76_RS22040</t>
  </si>
  <si>
    <t>WP_001118782.1</t>
  </si>
  <si>
    <t>R8N76_RS22045</t>
  </si>
  <si>
    <t>WP_000114182.1</t>
  </si>
  <si>
    <t>R8N76_RS22050</t>
  </si>
  <si>
    <t>BMP family protein</t>
  </si>
  <si>
    <t>WP_000725771.1</t>
  </si>
  <si>
    <t>R8N76_RS22055</t>
  </si>
  <si>
    <t>WP_000456914.1</t>
  </si>
  <si>
    <t>R8N76_RS22060</t>
  </si>
  <si>
    <t>WP_001085254.1</t>
  </si>
  <si>
    <t>R8N76_RS22065</t>
  </si>
  <si>
    <t>WP_000008856.1</t>
  </si>
  <si>
    <t>R8N76_RS22070</t>
  </si>
  <si>
    <t>EF-P 5-aminopentanol modification-associated protein YfmF</t>
  </si>
  <si>
    <t>yfmF</t>
  </si>
  <si>
    <t>WP_000772418.1</t>
  </si>
  <si>
    <t>R8N76_RS22075</t>
  </si>
  <si>
    <t>EF-P 5-aminopentanol modification-associated protein YfmH</t>
  </si>
  <si>
    <t>yfmH</t>
  </si>
  <si>
    <t>WP_000411976.1</t>
  </si>
  <si>
    <t>R8N76_RS22080</t>
  </si>
  <si>
    <t>elongation factor P 5-aminopentanone reductase</t>
  </si>
  <si>
    <t>ymfI</t>
  </si>
  <si>
    <t>WP_000759609.1</t>
  </si>
  <si>
    <t>R8N76_RS22085</t>
  </si>
  <si>
    <t>DUF3243 domain-containing protein</t>
  </si>
  <si>
    <t>WP_000114450.1</t>
  </si>
  <si>
    <t>R8N76_RS22090</t>
  </si>
  <si>
    <t>DUF3388 domain-containing protein</t>
  </si>
  <si>
    <t>WP_000574107.1</t>
  </si>
  <si>
    <t>R8N76_RS22095</t>
  </si>
  <si>
    <t>RodZ domain-containing protein</t>
  </si>
  <si>
    <t>WP_000137461.1</t>
  </si>
  <si>
    <t>R8N76_RS22100</t>
  </si>
  <si>
    <t>CDP-diacylglycerol--glycerol-3-phosphate 3-phosphatidyltransferase</t>
  </si>
  <si>
    <t>pgsA</t>
  </si>
  <si>
    <t>WP_001052967.1</t>
  </si>
  <si>
    <t>R8N76_RS22105</t>
  </si>
  <si>
    <t>competence/damage-inducible protein CinA</t>
  </si>
  <si>
    <t>cinA</t>
  </si>
  <si>
    <t>WP_000990690.1</t>
  </si>
  <si>
    <t>R8N76_RS22110</t>
  </si>
  <si>
    <t>recombinase RecA</t>
  </si>
  <si>
    <t>recA</t>
  </si>
  <si>
    <t>WP_001283860.1</t>
  </si>
  <si>
    <t>R8N76_RS22115</t>
  </si>
  <si>
    <t>ribonuclease Y</t>
  </si>
  <si>
    <t>rny</t>
  </si>
  <si>
    <t>WP_000204911.1</t>
  </si>
  <si>
    <t>R8N76_RS22120</t>
  </si>
  <si>
    <t>TIGR00282 family metallophosphoesterase</t>
  </si>
  <si>
    <t>WP_001221095.1</t>
  </si>
  <si>
    <t>R8N76_RS22125</t>
  </si>
  <si>
    <t>stage V sporulation protein SpoVS</t>
  </si>
  <si>
    <t>spoVS</t>
  </si>
  <si>
    <t>WP_000404341.1</t>
  </si>
  <si>
    <t>R8N76_RS22130</t>
  </si>
  <si>
    <t>dipeptidase</t>
  </si>
  <si>
    <t>WP_000688045.1</t>
  </si>
  <si>
    <t>R8N76_RS22135</t>
  </si>
  <si>
    <t>2-oxoacid:acceptor oxidoreductase subunit alpha</t>
  </si>
  <si>
    <t>WP_000625418.1</t>
  </si>
  <si>
    <t>R8N76_RS22140</t>
  </si>
  <si>
    <t>2-oxoacid:ferredoxin oxidoreductase subunit beta</t>
  </si>
  <si>
    <t>WP_000190155.1</t>
  </si>
  <si>
    <t>R8N76_RS22145</t>
  </si>
  <si>
    <t>tRNA (N6-isopentenyl adenosine(37)-C2)-methylthiotransferase MiaB</t>
  </si>
  <si>
    <t>miaB</t>
  </si>
  <si>
    <t>WP_001005386.1</t>
  </si>
  <si>
    <t>R8N76_RS22150</t>
  </si>
  <si>
    <t>RicAFT regulatory complex protein RicA family protein</t>
  </si>
  <si>
    <t>WP_000870461.1</t>
  </si>
  <si>
    <t>R8N76_RS22155</t>
  </si>
  <si>
    <t>outer spore coat protein CotE</t>
  </si>
  <si>
    <t>cotE</t>
  </si>
  <si>
    <t>WP_001288799.1</t>
  </si>
  <si>
    <t>R8N76_RS22160</t>
  </si>
  <si>
    <t>DNA mismatch repair protein MutS</t>
  </si>
  <si>
    <t>mutS</t>
  </si>
  <si>
    <t>WP_000196021.1</t>
  </si>
  <si>
    <t>R8N76_RS22165</t>
  </si>
  <si>
    <t>DNA mismatch repair endonuclease MutL</t>
  </si>
  <si>
    <t>mutL</t>
  </si>
  <si>
    <t>WP_000516465.1</t>
  </si>
  <si>
    <t>R8N76_RS22170</t>
  </si>
  <si>
    <t>WP_000461138.1</t>
  </si>
  <si>
    <t>R8N76_RS22175</t>
  </si>
  <si>
    <t>WP_001235309.1</t>
  </si>
  <si>
    <t>R8N76_RS22180</t>
  </si>
  <si>
    <t>WP_000791027.1</t>
  </si>
  <si>
    <t>R8N76_RS22185</t>
  </si>
  <si>
    <t>WP_000272405.1</t>
  </si>
  <si>
    <t>R8N76_RS22190</t>
  </si>
  <si>
    <t>WP_000771009.1</t>
  </si>
  <si>
    <t>R8N76_RS22195</t>
  </si>
  <si>
    <t>WP_000689195.1</t>
  </si>
  <si>
    <t>R8N76_RS22200</t>
  </si>
  <si>
    <t>phosphatidylinositol diacylglycerol-lyase</t>
  </si>
  <si>
    <t>plcA</t>
  </si>
  <si>
    <t>WP_000066288.1</t>
  </si>
  <si>
    <t>R8N76_RS22205</t>
  </si>
  <si>
    <t>glycoside hydrolase family 1 protein</t>
  </si>
  <si>
    <t>WP_000671629.1</t>
  </si>
  <si>
    <t>R8N76_RS22210</t>
  </si>
  <si>
    <t>WP_001274903.1</t>
  </si>
  <si>
    <t>R8N76_RS22215</t>
  </si>
  <si>
    <t>WP_000006458.1</t>
  </si>
  <si>
    <t>R8N76_RS22220</t>
  </si>
  <si>
    <t>WP_000454965.1</t>
  </si>
  <si>
    <t>R8N76_RS22225</t>
  </si>
  <si>
    <t>WP_000878488.1</t>
  </si>
  <si>
    <t>R8N76_RS22230</t>
  </si>
  <si>
    <t>WP_000242943.1</t>
  </si>
  <si>
    <t>R8N76_RS22235</t>
  </si>
  <si>
    <t>WP_000214646.1</t>
  </si>
  <si>
    <t>R8N76_RS22240</t>
  </si>
  <si>
    <t>CBO0543 family protein</t>
  </si>
  <si>
    <t>WP_033666325.1</t>
  </si>
  <si>
    <t>R8N76_RS22245</t>
  </si>
  <si>
    <t>WP_000376159.1</t>
  </si>
  <si>
    <t>R8N76_RS22250</t>
  </si>
  <si>
    <t>UDP-N-acetylglucosamine 4,6-dehydratase family protein</t>
  </si>
  <si>
    <t>WP_000932614.1</t>
  </si>
  <si>
    <t>R8N76_RS22255</t>
  </si>
  <si>
    <t>WP_000739077.1</t>
  </si>
  <si>
    <t>R8N76_RS22260</t>
  </si>
  <si>
    <t>DUF6572 domain-containing protein</t>
  </si>
  <si>
    <t>WP_002164458.1</t>
  </si>
  <si>
    <t>R8N76_RS22265</t>
  </si>
  <si>
    <t>WP_000047551.1</t>
  </si>
  <si>
    <t>R8N76_RS22270</t>
  </si>
  <si>
    <t>WP_000773561.1</t>
  </si>
  <si>
    <t>R8N76_RS22275</t>
  </si>
  <si>
    <t>WP_000640334.1</t>
  </si>
  <si>
    <t>R8N76_RS22280</t>
  </si>
  <si>
    <t>WP_000109179.1</t>
  </si>
  <si>
    <t>R8N76_RS22285</t>
  </si>
  <si>
    <t>WP_000809495.1</t>
  </si>
  <si>
    <t>R8N76_RS22290</t>
  </si>
  <si>
    <t>peptidase T</t>
  </si>
  <si>
    <t>pepT</t>
  </si>
  <si>
    <t>WP_002164459.1</t>
  </si>
  <si>
    <t>R8N76_RS22295</t>
  </si>
  <si>
    <t>DNA glycosylase</t>
  </si>
  <si>
    <t>WP_000123503.1</t>
  </si>
  <si>
    <t>R8N76_RS22300</t>
  </si>
  <si>
    <t>WP_001089842.1</t>
  </si>
  <si>
    <t>R8N76_RS22305</t>
  </si>
  <si>
    <t>bifunctional transcriptional activator/DNA repair enzyme AdaA</t>
  </si>
  <si>
    <t>WP_000551322.1</t>
  </si>
  <si>
    <t>R8N76_RS22310</t>
  </si>
  <si>
    <t>exodeoxyribonuclease III</t>
  </si>
  <si>
    <t>WP_000767618.1</t>
  </si>
  <si>
    <t>R8N76_RS22315</t>
  </si>
  <si>
    <t>WP_001035506.1</t>
  </si>
  <si>
    <t>R8N76_RS22320</t>
  </si>
  <si>
    <t>WP_001173042.1</t>
  </si>
  <si>
    <t>R8N76_RS22325</t>
  </si>
  <si>
    <t>WP_000920450.1</t>
  </si>
  <si>
    <t>R8N76_RS22330</t>
  </si>
  <si>
    <t>WP_000025766.1</t>
  </si>
  <si>
    <t>R8N76_RS22335</t>
  </si>
  <si>
    <t>WP_001098699.1</t>
  </si>
  <si>
    <t>R8N76_RS22340</t>
  </si>
  <si>
    <t>WP_000849103.1</t>
  </si>
  <si>
    <t>R8N76_RS22345</t>
  </si>
  <si>
    <t>metal-sensing transcriptional repressor</t>
  </si>
  <si>
    <t>WP_000349637.1</t>
  </si>
  <si>
    <t>R8N76_RS22350</t>
  </si>
  <si>
    <t>copper chaperone CopZ</t>
  </si>
  <si>
    <t>copZ</t>
  </si>
  <si>
    <t>WP_000436973.1</t>
  </si>
  <si>
    <t>R8N76_RS22355</t>
  </si>
  <si>
    <t>WP_001003180.1</t>
  </si>
  <si>
    <t>R8N76_RS22360</t>
  </si>
  <si>
    <t>WP_000910168.1</t>
  </si>
  <si>
    <t>R8N76_RS22365</t>
  </si>
  <si>
    <t>WP_001043904.1</t>
  </si>
  <si>
    <t>R8N76_RS22370</t>
  </si>
  <si>
    <t>WP_000110544.1</t>
  </si>
  <si>
    <t>R8N76_RS22375</t>
  </si>
  <si>
    <t>WP_001095336.1</t>
  </si>
  <si>
    <t>R8N76_RS22380</t>
  </si>
  <si>
    <t>chitinase</t>
  </si>
  <si>
    <t>WP_000932437.1</t>
  </si>
  <si>
    <t>R8N76_RS22385</t>
  </si>
  <si>
    <t>GABA permease</t>
  </si>
  <si>
    <t>gabP</t>
  </si>
  <si>
    <t>WP_000360113.1</t>
  </si>
  <si>
    <t>R8N76_RS22390</t>
  </si>
  <si>
    <t>WP_002195769.1</t>
  </si>
  <si>
    <t>R8N76_RS22395</t>
  </si>
  <si>
    <t>DUF420 domain-containing protein</t>
  </si>
  <si>
    <t>WP_000228315.1</t>
  </si>
  <si>
    <t>R8N76_RS22400</t>
  </si>
  <si>
    <t>WP_001179093.1</t>
  </si>
  <si>
    <t>R8N76_RS22405</t>
  </si>
  <si>
    <t>WP_000957279.1</t>
  </si>
  <si>
    <t>R8N76_RS22410</t>
  </si>
  <si>
    <t>1-phosphofructokinase</t>
  </si>
  <si>
    <t>pfkB</t>
  </si>
  <si>
    <t>WP_000640859.1</t>
  </si>
  <si>
    <t>R8N76_RS22415</t>
  </si>
  <si>
    <t>PTS fructose transporter subunit IIABC</t>
  </si>
  <si>
    <t>WP_000704606.1</t>
  </si>
  <si>
    <t>R8N76_RS22420</t>
  </si>
  <si>
    <t>cell wall-binding protein EntD</t>
  </si>
  <si>
    <t>entD</t>
  </si>
  <si>
    <t>WP_000734610.1</t>
  </si>
  <si>
    <t>R8N76_RS22425</t>
  </si>
  <si>
    <t>WP_000814429.1</t>
  </si>
  <si>
    <t>R8N76_RS22430</t>
  </si>
  <si>
    <t>tRNA (adenosine(37)-N6)-dimethylallyltransferase MiaA</t>
  </si>
  <si>
    <t>miaA</t>
  </si>
  <si>
    <t>WP_000504926.1</t>
  </si>
  <si>
    <t>R8N76_RS22435</t>
  </si>
  <si>
    <t>WP_000813896.1</t>
  </si>
  <si>
    <t>R8N76_RS22440</t>
  </si>
  <si>
    <t>Gly-Xaa-Xaa repeat protein</t>
  </si>
  <si>
    <t>WP_406627534.1</t>
  </si>
  <si>
    <t>R8N76_RS22445</t>
  </si>
  <si>
    <t>WP_000450326.1</t>
  </si>
  <si>
    <t>R8N76_RS22450</t>
  </si>
  <si>
    <t>stage V sporulation protein K</t>
  </si>
  <si>
    <t>spoVK</t>
  </si>
  <si>
    <t>WP_000438178.1</t>
  </si>
  <si>
    <t>R8N76_RS22455</t>
  </si>
  <si>
    <t>WP_000181500.1</t>
  </si>
  <si>
    <t>R8N76_RS22460</t>
  </si>
  <si>
    <t>WP_000312258.1</t>
  </si>
  <si>
    <t>R8N76_RS22465</t>
  </si>
  <si>
    <t>WP_000391393.1</t>
  </si>
  <si>
    <t>R8N76_RS22470</t>
  </si>
  <si>
    <t>methionine gamma-lyase family protein</t>
  </si>
  <si>
    <t>WP_000460302.1</t>
  </si>
  <si>
    <t>R8N76_RS22475</t>
  </si>
  <si>
    <t>transcriptional repressor GlnR</t>
  </si>
  <si>
    <t>glnR</t>
  </si>
  <si>
    <t>WP_000656783.1</t>
  </si>
  <si>
    <t>R8N76_RS22480</t>
  </si>
  <si>
    <t>type I glutamate--ammonia ligase</t>
  </si>
  <si>
    <t>glnA</t>
  </si>
  <si>
    <t>WP_000092763.1</t>
  </si>
  <si>
    <t>R8N76_RS22485</t>
  </si>
  <si>
    <t>LexA family transcriptional regulator</t>
  </si>
  <si>
    <t>WP_011110319.1</t>
  </si>
  <si>
    <t>R8N76_RS22490</t>
  </si>
  <si>
    <t>WP_000283431.1</t>
  </si>
  <si>
    <t>R8N76_RS22495</t>
  </si>
  <si>
    <t>phage regulatory protein</t>
  </si>
  <si>
    <t>WP_000531223.1</t>
  </si>
  <si>
    <t>R8N76_RS22500</t>
  </si>
  <si>
    <t>WP_001189065.1</t>
  </si>
  <si>
    <t>R8N76_RS22505</t>
  </si>
  <si>
    <t>WP_000511414.1</t>
  </si>
  <si>
    <t>R8N76_RS22510</t>
  </si>
  <si>
    <t>DUF1492 domain-containing protein</t>
  </si>
  <si>
    <t>WP_000464425.1</t>
  </si>
  <si>
    <t>R8N76_RS22515</t>
  </si>
  <si>
    <t>WP_025921790.1</t>
  </si>
  <si>
    <t>R8N76_RS22520</t>
  </si>
  <si>
    <t>WP_001051360.1</t>
  </si>
  <si>
    <t>R8N76_RS22525</t>
  </si>
  <si>
    <t>WP_002026207.1</t>
  </si>
  <si>
    <t>R8N76_RS22530</t>
  </si>
  <si>
    <t>WP_000348875.1</t>
  </si>
  <si>
    <t>R8N76_RS22535</t>
  </si>
  <si>
    <t>holin</t>
  </si>
  <si>
    <t>WP_000570187.1</t>
  </si>
  <si>
    <t>R8N76_RS22540</t>
  </si>
  <si>
    <t>WP_000725955.1</t>
  </si>
  <si>
    <t>R8N76_RS22545</t>
  </si>
  <si>
    <t>WP_001102628.1</t>
  </si>
  <si>
    <t>R8N76_RS22550</t>
  </si>
  <si>
    <t>DUF1700 domain-containing protein</t>
  </si>
  <si>
    <t>WP_000031387.1</t>
  </si>
  <si>
    <t>R8N76_RS22555</t>
  </si>
  <si>
    <t>WP_000976237.1</t>
  </si>
  <si>
    <t>R8N76_RS22560</t>
  </si>
  <si>
    <t>transcriptional repressor LexA</t>
  </si>
  <si>
    <t>lexA</t>
  </si>
  <si>
    <t>WP_000413738.1</t>
  </si>
  <si>
    <t>R8N76_RS22565</t>
  </si>
  <si>
    <t>WP_000991469.1</t>
  </si>
  <si>
    <t>R8N76_RS22570</t>
  </si>
  <si>
    <t>WP_000607016.1</t>
  </si>
  <si>
    <t>R8N76_RS22575</t>
  </si>
  <si>
    <t>WP_000437455.1</t>
  </si>
  <si>
    <t>R8N76_RS22580</t>
  </si>
  <si>
    <t>phosphate/phosphite/phosphonate ABC transporter substrate-binding protein</t>
  </si>
  <si>
    <t>WP_000915065.1</t>
  </si>
  <si>
    <t>R8N76_RS22585</t>
  </si>
  <si>
    <t>phosphonate ABC transporter ATP-binding protein</t>
  </si>
  <si>
    <t>phnC</t>
  </si>
  <si>
    <t>WP_000569240.1</t>
  </si>
  <si>
    <t>R8N76_RS22590</t>
  </si>
  <si>
    <t>phosphonate ABC transporter, permease protein PhnE</t>
  </si>
  <si>
    <t>phnE</t>
  </si>
  <si>
    <t>WP_001000763.1</t>
  </si>
  <si>
    <t>R8N76_RS22595</t>
  </si>
  <si>
    <t>WP_000047894.1</t>
  </si>
  <si>
    <t>R8N76_RS22600</t>
  </si>
  <si>
    <t>transketolase</t>
  </si>
  <si>
    <t>tkt</t>
  </si>
  <si>
    <t>WP_000019766.1</t>
  </si>
  <si>
    <t>R8N76_RS22605</t>
  </si>
  <si>
    <t>sporulation inhibitor of replication protein SirA</t>
  </si>
  <si>
    <t>sirA</t>
  </si>
  <si>
    <t>WP_000860636.1</t>
  </si>
  <si>
    <t>R8N76_RS22610</t>
  </si>
  <si>
    <t>YneF family protein</t>
  </si>
  <si>
    <t>WP_001123317.1</t>
  </si>
  <si>
    <t>R8N76_RS22615</t>
  </si>
  <si>
    <t>WP_000862454.1</t>
  </si>
  <si>
    <t>R8N76_RS22620</t>
  </si>
  <si>
    <t>WP_000229520.1</t>
  </si>
  <si>
    <t>R8N76_RS22625</t>
  </si>
  <si>
    <t>WP_001181398.1</t>
  </si>
  <si>
    <t>R8N76_RS22630</t>
  </si>
  <si>
    <t>NERD domain-containing protein</t>
  </si>
  <si>
    <t>WP_001110276.1</t>
  </si>
  <si>
    <t>R8N76_RS22635</t>
  </si>
  <si>
    <t>WP_000943753.1</t>
  </si>
  <si>
    <t>R8N76_RS22640</t>
  </si>
  <si>
    <t>WP_000644411.1</t>
  </si>
  <si>
    <t>R8N76_RS22645</t>
  </si>
  <si>
    <t>WP_000974659.1</t>
  </si>
  <si>
    <t>R8N76_RS22650</t>
  </si>
  <si>
    <t>DUF3903 domain-containing protein</t>
  </si>
  <si>
    <t>WP_000625222.1</t>
  </si>
  <si>
    <t>R8N76_RS22655</t>
  </si>
  <si>
    <t>WP_000442981.1</t>
  </si>
  <si>
    <t>R8N76_RS22660</t>
  </si>
  <si>
    <t>WP_000578954.1</t>
  </si>
  <si>
    <t>R8N76_RS22665</t>
  </si>
  <si>
    <t>WP_000872365.1</t>
  </si>
  <si>
    <t>R8N76_RS22670</t>
  </si>
  <si>
    <t>acetoin biosynthesis transcriptional regulator AlsR</t>
  </si>
  <si>
    <t>alsR</t>
  </si>
  <si>
    <t>WP_000423234.1</t>
  </si>
  <si>
    <t>R8N76_RS22675</t>
  </si>
  <si>
    <t>WP_001220612.1</t>
  </si>
  <si>
    <t>R8N76_RS22680</t>
  </si>
  <si>
    <t>WP_000050617.1</t>
  </si>
  <si>
    <t>R8N76_RS22685</t>
  </si>
  <si>
    <t>WP_000180622.1</t>
  </si>
  <si>
    <t>R8N76_RS22690</t>
  </si>
  <si>
    <t>WP_000482759.1</t>
  </si>
  <si>
    <t>R8N76_RS22695</t>
  </si>
  <si>
    <t>WP_000253674.1</t>
  </si>
  <si>
    <t>R8N76_RS22700</t>
  </si>
  <si>
    <t>WP_000947043.1</t>
  </si>
  <si>
    <t>R8N76_RS22705</t>
  </si>
  <si>
    <t>WP_071732505.1</t>
  </si>
  <si>
    <t>R8N76_RS22710</t>
  </si>
  <si>
    <t>WP_001152676.1</t>
  </si>
  <si>
    <t>R8N76_RS22715</t>
  </si>
  <si>
    <t>WP_001028439.1</t>
  </si>
  <si>
    <t>R8N76_RS22720</t>
  </si>
  <si>
    <t>DUF2621 domain-containing protein</t>
  </si>
  <si>
    <t>WP_000889373.1</t>
  </si>
  <si>
    <t>R8N76_RS22725</t>
  </si>
  <si>
    <t>WP_000262407.1</t>
  </si>
  <si>
    <t>R8N76_RS22730</t>
  </si>
  <si>
    <t>R8N76_RS22735</t>
  </si>
  <si>
    <t>DJ-1/PfpI family protein</t>
  </si>
  <si>
    <t>WP_000722200.1</t>
  </si>
  <si>
    <t>R8N76_RS22740</t>
  </si>
  <si>
    <t>WP_000166758.1</t>
  </si>
  <si>
    <t>R8N76_RS22745</t>
  </si>
  <si>
    <t>hut operon transcriptional regulator HutP</t>
  </si>
  <si>
    <t>hutP</t>
  </si>
  <si>
    <t>WP_000926516.1</t>
  </si>
  <si>
    <t>R8N76_RS22750</t>
  </si>
  <si>
    <t>histidine ammonia-lyase</t>
  </si>
  <si>
    <t>hutH</t>
  </si>
  <si>
    <t>WP_000631874.1</t>
  </si>
  <si>
    <t>R8N76_RS22755</t>
  </si>
  <si>
    <t>urocanate hydratase</t>
  </si>
  <si>
    <t>hutU</t>
  </si>
  <si>
    <t>WP_000416948.1</t>
  </si>
  <si>
    <t>R8N76_RS22760</t>
  </si>
  <si>
    <t>imidazolonepropionase</t>
  </si>
  <si>
    <t>hutI</t>
  </si>
  <si>
    <t>WP_000887560.1</t>
  </si>
  <si>
    <t>R8N76_RS22765</t>
  </si>
  <si>
    <t>formimidoylglutamase</t>
  </si>
  <si>
    <t>hutG</t>
  </si>
  <si>
    <t>WP_000399851.1</t>
  </si>
  <si>
    <t>R8N76_RS22770</t>
  </si>
  <si>
    <t>WP_170317877.1</t>
  </si>
  <si>
    <t>R8N76_RS22775</t>
  </si>
  <si>
    <t>alkene reductase</t>
  </si>
  <si>
    <t>WP_000204580.1</t>
  </si>
  <si>
    <t>R8N76_RS22780</t>
  </si>
  <si>
    <t>FMN-binding glutamate synthase family protein</t>
  </si>
  <si>
    <t>WP_000005166.1</t>
  </si>
  <si>
    <t>R8N76_RS22785</t>
  </si>
  <si>
    <t>cytochrome c biogenesis protein CcdC</t>
  </si>
  <si>
    <t>WP_001183920.1</t>
  </si>
  <si>
    <t>R8N76_RS22790</t>
  </si>
  <si>
    <t>WP_000687595.1</t>
  </si>
  <si>
    <t>R8N76_RS22795</t>
  </si>
  <si>
    <t>WP_000412739.1</t>
  </si>
  <si>
    <t>R8N76_RS22800</t>
  </si>
  <si>
    <t>WP_000975492.1</t>
  </si>
  <si>
    <t>R8N76_RS22805</t>
  </si>
  <si>
    <t>BA3702 family sensor histidine kinase</t>
  </si>
  <si>
    <t>WP_000087648.1</t>
  </si>
  <si>
    <t>R8N76_RS22810</t>
  </si>
  <si>
    <t>WP_000800772.1</t>
  </si>
  <si>
    <t>R8N76_RS22815</t>
  </si>
  <si>
    <t>WP_000251344.1</t>
  </si>
  <si>
    <t>R8N76_RS22820</t>
  </si>
  <si>
    <t>WP_002195735.1</t>
  </si>
  <si>
    <t>R8N76_RS22825</t>
  </si>
  <si>
    <t>peptidoglycan recognition family protein</t>
  </si>
  <si>
    <t>WP_000404000.1</t>
  </si>
  <si>
    <t>R8N76_RS22830</t>
  </si>
  <si>
    <t>DUF2164 domain-containing protein</t>
  </si>
  <si>
    <t>WP_000981066.1</t>
  </si>
  <si>
    <t>R8N76_RS22835</t>
  </si>
  <si>
    <t>WP_000160421.1</t>
  </si>
  <si>
    <t>R8N76_RS22840</t>
  </si>
  <si>
    <t>WP_000214343.1</t>
  </si>
  <si>
    <t>R8N76_RS22845</t>
  </si>
  <si>
    <t>WP_000810948.1</t>
  </si>
  <si>
    <t>R8N76_RS22850</t>
  </si>
  <si>
    <t>WP_000582845.1</t>
  </si>
  <si>
    <t>R8N76_RS22855</t>
  </si>
  <si>
    <t>R8N76_RS22860</t>
  </si>
  <si>
    <t>long-chain fatty acid--CoA ligase</t>
  </si>
  <si>
    <t>WP_000980172.1</t>
  </si>
  <si>
    <t>R8N76_RS22865</t>
  </si>
  <si>
    <t>WP_001093334.1</t>
  </si>
  <si>
    <t>R8N76_RS22870</t>
  </si>
  <si>
    <t>acyl-CoA synthetase</t>
  </si>
  <si>
    <t>WP_000513152.1</t>
  </si>
  <si>
    <t>R8N76_RS22875</t>
  </si>
  <si>
    <t>acetyl-CoA C-acyltransferase</t>
  </si>
  <si>
    <t>WP_001078007.1</t>
  </si>
  <si>
    <t>R8N76_RS22880</t>
  </si>
  <si>
    <t>DUF6434 domain-containing protein</t>
  </si>
  <si>
    <t>WP_001247747.1</t>
  </si>
  <si>
    <t>R8N76_RS22885</t>
  </si>
  <si>
    <t>WP_000432567.1</t>
  </si>
  <si>
    <t>R8N76_RS22890</t>
  </si>
  <si>
    <t>serine-tRNA(Ala) deacylase AlaX</t>
  </si>
  <si>
    <t>WP_000400370.1</t>
  </si>
  <si>
    <t>R8N76_RS22895</t>
  </si>
  <si>
    <t>WP_000965149.1</t>
  </si>
  <si>
    <t>R8N76_RS22900</t>
  </si>
  <si>
    <t>WP_000676812.1</t>
  </si>
  <si>
    <t>R8N76_RS22905</t>
  </si>
  <si>
    <t>Hsp20 family protein</t>
  </si>
  <si>
    <t>WP_000516748.1</t>
  </si>
  <si>
    <t>R8N76_RS22910</t>
  </si>
  <si>
    <t>small acid-soluble spore protein P</t>
  </si>
  <si>
    <t>WP_000517649.1</t>
  </si>
  <si>
    <t>R8N76_RS22915</t>
  </si>
  <si>
    <t>WP_001146296.1</t>
  </si>
  <si>
    <t>R8N76_RS22920</t>
  </si>
  <si>
    <t>WP_061665781.1</t>
  </si>
  <si>
    <t>R8N76_RS22925</t>
  </si>
  <si>
    <t>small acid-soluble spore protein O</t>
  </si>
  <si>
    <t>sspO</t>
  </si>
  <si>
    <t>WP_000518056.1</t>
  </si>
  <si>
    <t>R8N76_RS22930</t>
  </si>
  <si>
    <t>aconitate hydratase AcnA</t>
  </si>
  <si>
    <t>acnA</t>
  </si>
  <si>
    <t>WP_000238564.1</t>
  </si>
  <si>
    <t>R8N76_RS22935</t>
  </si>
  <si>
    <t>R8N76_RS22940</t>
  </si>
  <si>
    <t>WP_074555548.1</t>
  </si>
  <si>
    <t>R8N76_RS22945</t>
  </si>
  <si>
    <t>WP_001047912.1</t>
  </si>
  <si>
    <t>R8N76_RS22950</t>
  </si>
  <si>
    <t>redoxin domain-containing protein</t>
  </si>
  <si>
    <t>WP_000269085.1</t>
  </si>
  <si>
    <t>R8N76_RS22955</t>
  </si>
  <si>
    <t>WP_000528765.1</t>
  </si>
  <si>
    <t>R8N76_RS22960</t>
  </si>
  <si>
    <t>WP_001254703.1</t>
  </si>
  <si>
    <t>R8N76_RS22965</t>
  </si>
  <si>
    <t>acid-soluble spore protein SspN</t>
  </si>
  <si>
    <t>sspN</t>
  </si>
  <si>
    <t>WP_000527987.1</t>
  </si>
  <si>
    <t>R8N76_RS22970</t>
  </si>
  <si>
    <t>small acid-soluble spore protein Tlp</t>
  </si>
  <si>
    <t>tlp</t>
  </si>
  <si>
    <t>WP_001133511.1</t>
  </si>
  <si>
    <t>R8N76_RS22975</t>
  </si>
  <si>
    <t>R8N76_RS22980</t>
  </si>
  <si>
    <t>WP_000495817.1</t>
  </si>
  <si>
    <t>R8N76_RS22985</t>
  </si>
  <si>
    <t>WP_001054455.1</t>
  </si>
  <si>
    <t>R8N76_RS22990</t>
  </si>
  <si>
    <t>WP_000258974.1</t>
  </si>
  <si>
    <t>R8N76_RS22995</t>
  </si>
  <si>
    <t>anaerobic ribonucleoside triphosphate reductase</t>
  </si>
  <si>
    <t>WP_000940078.1</t>
  </si>
  <si>
    <t>R8N76_RS23000</t>
  </si>
  <si>
    <t>anaerobic ribonucleoside-triphosphate reductase activating protein</t>
  </si>
  <si>
    <t>nrdG</t>
  </si>
  <si>
    <t>WP_000867076.1</t>
  </si>
  <si>
    <t>R8N76_RS23005</t>
  </si>
  <si>
    <t>WP_001044679.1</t>
  </si>
  <si>
    <t>R8N76_RS23010</t>
  </si>
  <si>
    <t>WP_000542646.1</t>
  </si>
  <si>
    <t>R8N76_RS23015</t>
  </si>
  <si>
    <t>CoA-binding protein</t>
  </si>
  <si>
    <t>WP_000151389.1</t>
  </si>
  <si>
    <t>R8N76_RS23020</t>
  </si>
  <si>
    <t>DNA topoisomerase IV subunit B</t>
  </si>
  <si>
    <t>parE</t>
  </si>
  <si>
    <t>WP_001062193.1</t>
  </si>
  <si>
    <t>R8N76_RS23025</t>
  </si>
  <si>
    <t>DNA topoisomerase IV subunit A</t>
  </si>
  <si>
    <t>parC</t>
  </si>
  <si>
    <t>WP_001147466.1</t>
  </si>
  <si>
    <t>R8N76_RS23030</t>
  </si>
  <si>
    <t>WP_000719749.1</t>
  </si>
  <si>
    <t>R8N76_RS23035</t>
  </si>
  <si>
    <t>WP_000171342.1</t>
  </si>
  <si>
    <t>R8N76_RS23040</t>
  </si>
  <si>
    <t>WP_002041615.1</t>
  </si>
  <si>
    <t>R8N76_RS23045</t>
  </si>
  <si>
    <t>WP_002041614.1</t>
  </si>
  <si>
    <t>R8N76_RS23050</t>
  </si>
  <si>
    <t>WP_000626569.1</t>
  </si>
  <si>
    <t>R8N76_RS23055</t>
  </si>
  <si>
    <t>WP_001041432.1</t>
  </si>
  <si>
    <t>R8N76_RS23060</t>
  </si>
  <si>
    <t>WP_000864729.1</t>
  </si>
  <si>
    <t>R8N76_RS23065</t>
  </si>
  <si>
    <t>WP_000368254.1</t>
  </si>
  <si>
    <t>R8N76_RS23070</t>
  </si>
  <si>
    <t>WP_000526730.1</t>
  </si>
  <si>
    <t>R8N76_RS23075</t>
  </si>
  <si>
    <t>WP_000730166.1</t>
  </si>
  <si>
    <t>R8N76_RS23080</t>
  </si>
  <si>
    <t>WP_000823465.1</t>
  </si>
  <si>
    <t>R8N76_RS23085</t>
  </si>
  <si>
    <t>WP_000823440.1</t>
  </si>
  <si>
    <t>R8N76_RS23090</t>
  </si>
  <si>
    <t>WP_000828243.1</t>
  </si>
  <si>
    <t>R8N76_RS23095</t>
  </si>
  <si>
    <t>WP_000555000.1</t>
  </si>
  <si>
    <t>R8N76_RS23100</t>
  </si>
  <si>
    <t>WP_000842881.1</t>
  </si>
  <si>
    <t>R8N76_RS23105</t>
  </si>
  <si>
    <t>WP_000511515.1</t>
  </si>
  <si>
    <t>R8N76_RS23110</t>
  </si>
  <si>
    <t>vWA domain-containing protein</t>
  </si>
  <si>
    <t>WP_000702089.1</t>
  </si>
  <si>
    <t>R8N76_RS23115</t>
  </si>
  <si>
    <t>tubulin-like doman-containing protein</t>
  </si>
  <si>
    <t>WP_000175103.1</t>
  </si>
  <si>
    <t>R8N76_RS23120</t>
  </si>
  <si>
    <t>WP_001116195.1</t>
  </si>
  <si>
    <t>R8N76_RS23125</t>
  </si>
  <si>
    <t>WP_000051656.1</t>
  </si>
  <si>
    <t>R8N76_RS23130</t>
  </si>
  <si>
    <t>spore germination protein GerSC</t>
  </si>
  <si>
    <t>gerSC</t>
  </si>
  <si>
    <t>WP_001252213.1</t>
  </si>
  <si>
    <t>R8N76_RS23135</t>
  </si>
  <si>
    <t>endospore germination permease</t>
  </si>
  <si>
    <t>WP_000166517.1</t>
  </si>
  <si>
    <t>R8N76_RS23140</t>
  </si>
  <si>
    <t>WP_000534525.1</t>
  </si>
  <si>
    <t>R8N76_RS23145</t>
  </si>
  <si>
    <t>WP_001063637.1</t>
  </si>
  <si>
    <t>R8N76_RS23150</t>
  </si>
  <si>
    <t>WP_000729898.1</t>
  </si>
  <si>
    <t>R8N76_RS23155</t>
  </si>
  <si>
    <t>DUF2294 domain-containing protein</t>
  </si>
  <si>
    <t>WP_000039582.1</t>
  </si>
  <si>
    <t>R8N76_RS23160</t>
  </si>
  <si>
    <t>WP_000802695.1</t>
  </si>
  <si>
    <t>R8N76_RS23165</t>
  </si>
  <si>
    <t>WP_000844124.1</t>
  </si>
  <si>
    <t>R8N76_RS23170</t>
  </si>
  <si>
    <t>WP_000863998.1</t>
  </si>
  <si>
    <t>R8N76_RS23175</t>
  </si>
  <si>
    <t>WP_000785261.1</t>
  </si>
  <si>
    <t>R8N76_RS23180</t>
  </si>
  <si>
    <t>WP_000442200.1</t>
  </si>
  <si>
    <t>R8N76_RS23185</t>
  </si>
  <si>
    <t>WP_000531881.1</t>
  </si>
  <si>
    <t>R8N76_RS23190</t>
  </si>
  <si>
    <t>WP_000628500.1</t>
  </si>
  <si>
    <t>R8N76_RS23195</t>
  </si>
  <si>
    <t>P-loop NTPase</t>
  </si>
  <si>
    <t>WP_000957508.1</t>
  </si>
  <si>
    <t>R8N76_RS23200</t>
  </si>
  <si>
    <t>WP_000752375.1</t>
  </si>
  <si>
    <t>R8N76_RS23205</t>
  </si>
  <si>
    <t>WP_000367303.1</t>
  </si>
  <si>
    <t>R8N76_RS23210</t>
  </si>
  <si>
    <t>DUF1294 domain-containing protein</t>
  </si>
  <si>
    <t>WP_000871349.1</t>
  </si>
  <si>
    <t>R8N76_RS23215</t>
  </si>
  <si>
    <t>EamA family transporter RarD</t>
  </si>
  <si>
    <t>rarD</t>
  </si>
  <si>
    <t>WP_000535539.1</t>
  </si>
  <si>
    <t>R8N76_RS23220</t>
  </si>
  <si>
    <t>divergent PAP2 family protein</t>
  </si>
  <si>
    <t>WP_000447820.1</t>
  </si>
  <si>
    <t>R8N76_RS23225</t>
  </si>
  <si>
    <t>prenyltransferase/squalene oxidase repeat-containing protein</t>
  </si>
  <si>
    <t>WP_000928147.1</t>
  </si>
  <si>
    <t>R8N76_RS23230</t>
  </si>
  <si>
    <t>YfhD family protein</t>
  </si>
  <si>
    <t>WP_001035815.1</t>
  </si>
  <si>
    <t>R8N76_RS23235</t>
  </si>
  <si>
    <t>3-oxoacyl-ACP reductase FabG</t>
  </si>
  <si>
    <t>WP_000395038.1</t>
  </si>
  <si>
    <t>R8N76_RS23240</t>
  </si>
  <si>
    <t>aldehyde dehydrogenase DhaS</t>
  </si>
  <si>
    <t>WP_000080281.1</t>
  </si>
  <si>
    <t>R8N76_RS23245</t>
  </si>
  <si>
    <t>YhdT family protein</t>
  </si>
  <si>
    <t>WP_000656239.1</t>
  </si>
  <si>
    <t>R8N76_RS23250</t>
  </si>
  <si>
    <t>sodium/pantothenate symporter</t>
  </si>
  <si>
    <t>panF</t>
  </si>
  <si>
    <t>WP_001104812.1</t>
  </si>
  <si>
    <t>R8N76_RS23255</t>
  </si>
  <si>
    <t>WP_000756458.1</t>
  </si>
  <si>
    <t>R8N76_RS23260</t>
  </si>
  <si>
    <t>WP_000751368.1</t>
  </si>
  <si>
    <t>R8N76_RS23265</t>
  </si>
  <si>
    <t>WP_000813966.1</t>
  </si>
  <si>
    <t>R8N76_RS23270</t>
  </si>
  <si>
    <t>WP_000615381.1</t>
  </si>
  <si>
    <t>R8N76_RS23275</t>
  </si>
  <si>
    <t>(S)-benzoin forming benzil reductase</t>
  </si>
  <si>
    <t>WP_001271070.1</t>
  </si>
  <si>
    <t>R8N76_RS23280</t>
  </si>
  <si>
    <t>WP_001115926.1</t>
  </si>
  <si>
    <t>R8N76_RS23285</t>
  </si>
  <si>
    <t>WP_000966303.1</t>
  </si>
  <si>
    <t>R8N76_RS23290</t>
  </si>
  <si>
    <t>ASCH domain-containing protein</t>
  </si>
  <si>
    <t>WP_001268367.1</t>
  </si>
  <si>
    <t>R8N76_RS23295</t>
  </si>
  <si>
    <t>WP_000620822.1</t>
  </si>
  <si>
    <t>R8N76_RS23300</t>
  </si>
  <si>
    <t>acetate uptake transporter</t>
  </si>
  <si>
    <t>WP_000070938.1</t>
  </si>
  <si>
    <t>R8N76_RS23305</t>
  </si>
  <si>
    <t>WP_001062752.1</t>
  </si>
  <si>
    <t>R8N76_RS23310</t>
  </si>
  <si>
    <t>WP_000449496.1</t>
  </si>
  <si>
    <t>R8N76_RS23315</t>
  </si>
  <si>
    <t>WP_001179150.1</t>
  </si>
  <si>
    <t>R8N76_RS23320</t>
  </si>
  <si>
    <t>exonuclease</t>
  </si>
  <si>
    <t>WP_000786417.1</t>
  </si>
  <si>
    <t>R8N76_RS23325</t>
  </si>
  <si>
    <t>WP_000227983.1</t>
  </si>
  <si>
    <t>R8N76_RS23330</t>
  </si>
  <si>
    <t>DUF3900 domain-containing protein</t>
  </si>
  <si>
    <t>WP_000345046.1</t>
  </si>
  <si>
    <t>R8N76_RS23335</t>
  </si>
  <si>
    <t>WP_000283715.1</t>
  </si>
  <si>
    <t>R8N76_RS23340</t>
  </si>
  <si>
    <t>WP_000488973.1</t>
  </si>
  <si>
    <t>R8N76_RS23345</t>
  </si>
  <si>
    <t>WP_002195728.1</t>
  </si>
  <si>
    <t>R8N76_RS23350</t>
  </si>
  <si>
    <t>WP_001103118.1</t>
  </si>
  <si>
    <t>R8N76_RS23355</t>
  </si>
  <si>
    <t>WP_000109727.1</t>
  </si>
  <si>
    <t>R8N76_RS23360</t>
  </si>
  <si>
    <t>WP_000844552.1</t>
  </si>
  <si>
    <t>R8N76_RS23365</t>
  </si>
  <si>
    <t>WP_000513014.1</t>
  </si>
  <si>
    <t>R8N76_RS23370</t>
  </si>
  <si>
    <t>WP_000773522.1</t>
  </si>
  <si>
    <t>R8N76_RS23375</t>
  </si>
  <si>
    <t>WP_000473483.1</t>
  </si>
  <si>
    <t>R8N76_RS23380</t>
  </si>
  <si>
    <t>VaFE repeat-containing surface-anchored protein</t>
  </si>
  <si>
    <t>WP_000516926.1</t>
  </si>
  <si>
    <t>R8N76_RS23385</t>
  </si>
  <si>
    <t>WP_000900695.1</t>
  </si>
  <si>
    <t>R8N76_RS23390</t>
  </si>
  <si>
    <t>WP_000875660.1</t>
  </si>
  <si>
    <t>R8N76_RS23395</t>
  </si>
  <si>
    <t>hemolysin II HlyII</t>
  </si>
  <si>
    <t>hlyII</t>
  </si>
  <si>
    <t>WP_000709367.1</t>
  </si>
  <si>
    <t>R8N76_RS23400</t>
  </si>
  <si>
    <t>hemolysin II regulator HlyIIR</t>
  </si>
  <si>
    <t>hlyIIR</t>
  </si>
  <si>
    <t>WP_000520483.1</t>
  </si>
  <si>
    <t>R8N76_RS23405</t>
  </si>
  <si>
    <t>WP_000524431.1</t>
  </si>
  <si>
    <t>R8N76_RS23410</t>
  </si>
  <si>
    <t>WP_000088972.1</t>
  </si>
  <si>
    <t>R8N76_RS23415</t>
  </si>
  <si>
    <t>R8N76_RS23420</t>
  </si>
  <si>
    <t>WP_000481858.1</t>
  </si>
  <si>
    <t>R8N76_RS23425</t>
  </si>
  <si>
    <t>WP_000724107.1</t>
  </si>
  <si>
    <t>R8N76_RS23430</t>
  </si>
  <si>
    <t>Rap family tetratricopeptide repeat protein</t>
  </si>
  <si>
    <t>WP_000116953.1</t>
  </si>
  <si>
    <t>R8N76_RS23435</t>
  </si>
  <si>
    <t>CDP-glucose 4,6-dehydratase</t>
  </si>
  <si>
    <t>rfbG</t>
  </si>
  <si>
    <t>WP_000934346.1</t>
  </si>
  <si>
    <t>R8N76_RS23440</t>
  </si>
  <si>
    <t>WP_000561952.1</t>
  </si>
  <si>
    <t>R8N76_RS23445</t>
  </si>
  <si>
    <t>glycosyl transferase</t>
  </si>
  <si>
    <t>WP_001087533.1</t>
  </si>
  <si>
    <t>R8N76_RS23450</t>
  </si>
  <si>
    <t>WP_000864434.1</t>
  </si>
  <si>
    <t>R8N76_RS23455</t>
  </si>
  <si>
    <t>papain-like cysteine peptidase</t>
  </si>
  <si>
    <t>WP_001047147.1</t>
  </si>
  <si>
    <t>R8N76_RS23460</t>
  </si>
  <si>
    <t>FAD/NAD(P)-binding oxidoreductase</t>
  </si>
  <si>
    <t>WP_000857310.1</t>
  </si>
  <si>
    <t>R8N76_RS23465</t>
  </si>
  <si>
    <t>WP_000925326.1</t>
  </si>
  <si>
    <t>R8N76_RS23470</t>
  </si>
  <si>
    <t>WP_000483080.1</t>
  </si>
  <si>
    <t>R8N76_RS23475</t>
  </si>
  <si>
    <t>DUF5065 family protein</t>
  </si>
  <si>
    <t>WP_002000399.1</t>
  </si>
  <si>
    <t>R8N76_RS23480</t>
  </si>
  <si>
    <t>WP_000437513.1</t>
  </si>
  <si>
    <t>R8N76_RS23485</t>
  </si>
  <si>
    <t>WP_000636204.1</t>
  </si>
  <si>
    <t>R8N76_RS23490</t>
  </si>
  <si>
    <t>DUF2871 family protein</t>
  </si>
  <si>
    <t>WP_000737896.1</t>
  </si>
  <si>
    <t>R8N76_RS23495</t>
  </si>
  <si>
    <t>WP_000406585.1</t>
  </si>
  <si>
    <t>R8N76_RS23500</t>
  </si>
  <si>
    <t>transporter</t>
  </si>
  <si>
    <t>WP_000545391.1</t>
  </si>
  <si>
    <t>R8N76_RS23505</t>
  </si>
  <si>
    <t>DUF4260 domain-containing protein</t>
  </si>
  <si>
    <t>WP_001172064.1</t>
  </si>
  <si>
    <t>R8N76_RS23510</t>
  </si>
  <si>
    <t>WP_001025508.1</t>
  </si>
  <si>
    <t>R8N76_RS23515</t>
  </si>
  <si>
    <t>WP_000229167.1</t>
  </si>
  <si>
    <t>R8N76_RS23520</t>
  </si>
  <si>
    <t>YdiU family protein</t>
  </si>
  <si>
    <t>WP_000164930.1</t>
  </si>
  <si>
    <t>R8N76_RS23525</t>
  </si>
  <si>
    <t>NADP-dependent oxidoreductase</t>
  </si>
  <si>
    <t>WP_000646436.1</t>
  </si>
  <si>
    <t>R8N76_RS23530</t>
  </si>
  <si>
    <t>WP_000571870.1</t>
  </si>
  <si>
    <t>R8N76_RS23535</t>
  </si>
  <si>
    <t>WP_001227549.1</t>
  </si>
  <si>
    <t>R8N76_RS23540</t>
  </si>
  <si>
    <t>FAD-dependent monooxygenase</t>
  </si>
  <si>
    <t>WP_000841669.1</t>
  </si>
  <si>
    <t>R8N76_RS23545</t>
  </si>
  <si>
    <t>WP_001226340.1</t>
  </si>
  <si>
    <t>R8N76_RS23550</t>
  </si>
  <si>
    <t>DUF3916 domain-containing protein</t>
  </si>
  <si>
    <t>WP_001208350.1</t>
  </si>
  <si>
    <t>R8N76_RS23555</t>
  </si>
  <si>
    <t>WP_000351696.1</t>
  </si>
  <si>
    <t>R8N76_RS23560</t>
  </si>
  <si>
    <t>WP_002195716.1</t>
  </si>
  <si>
    <t>R8N76_RS23565</t>
  </si>
  <si>
    <t>WP_000798786.1</t>
  </si>
  <si>
    <t>R8N76_RS23570</t>
  </si>
  <si>
    <t>WP_000915203.1</t>
  </si>
  <si>
    <t>R8N76_RS23575</t>
  </si>
  <si>
    <t>agmatine/peptidylarginine deiminase</t>
  </si>
  <si>
    <t>WP_000709181.1</t>
  </si>
  <si>
    <t>R8N76_RS23580</t>
  </si>
  <si>
    <t>phosphate-starvation-inducible protein PsiE</t>
  </si>
  <si>
    <t>psiE</t>
  </si>
  <si>
    <t>WP_000916575.1</t>
  </si>
  <si>
    <t>R8N76_RS23585</t>
  </si>
  <si>
    <t>R8N76_RS23590</t>
  </si>
  <si>
    <t>agmatine deiminase family protein</t>
  </si>
  <si>
    <t>WP_000435528.1</t>
  </si>
  <si>
    <t>R8N76_RS23595</t>
  </si>
  <si>
    <t>WP_000287979.1</t>
  </si>
  <si>
    <t>R8N76_RS23600</t>
  </si>
  <si>
    <t>R8N76_RS23605</t>
  </si>
  <si>
    <t>WP_000137534.1</t>
  </si>
  <si>
    <t>R8N76_RS23610</t>
  </si>
  <si>
    <t>WP_000129191.1</t>
  </si>
  <si>
    <t>R8N76_RS23615</t>
  </si>
  <si>
    <t>alpha-amylase</t>
  </si>
  <si>
    <t>amyS</t>
  </si>
  <si>
    <t>WP_000476408.1</t>
  </si>
  <si>
    <t>R8N76_RS23620</t>
  </si>
  <si>
    <t>WP_011110275.1</t>
  </si>
  <si>
    <t>R8N76_RS23625</t>
  </si>
  <si>
    <t>WP_001095202.1</t>
  </si>
  <si>
    <t>R8N76_RS23630</t>
  </si>
  <si>
    <t>WP_000256461.1</t>
  </si>
  <si>
    <t>R8N76_RS23635</t>
  </si>
  <si>
    <t>WP_001042046.1</t>
  </si>
  <si>
    <t>R8N76_RS23640</t>
  </si>
  <si>
    <t>WP_000645267.1</t>
  </si>
  <si>
    <t>R8N76_RS23645</t>
  </si>
  <si>
    <t>WP_000403897.1</t>
  </si>
  <si>
    <t>R8N76_RS23650</t>
  </si>
  <si>
    <t>YjfA family protein</t>
  </si>
  <si>
    <t>WP_000473741.1</t>
  </si>
  <si>
    <t>R8N76_RS23655</t>
  </si>
  <si>
    <t>DUF2690 domain-containing protein</t>
  </si>
  <si>
    <t>WP_000771162.1</t>
  </si>
  <si>
    <t>R8N76_RS23660</t>
  </si>
  <si>
    <t>WP_001235430.1</t>
  </si>
  <si>
    <t>R8N76_RS23665</t>
  </si>
  <si>
    <t>WP_000902391.1</t>
  </si>
  <si>
    <t>R8N76_RS23670</t>
  </si>
  <si>
    <t>WP_001080055.1</t>
  </si>
  <si>
    <t>R8N76_RS23675</t>
  </si>
  <si>
    <t>DUF4003 domain-containing protein</t>
  </si>
  <si>
    <t>WP_002195661.1</t>
  </si>
  <si>
    <t>R8N76_RS23680</t>
  </si>
  <si>
    <t>DUF817 domain-containing protein</t>
  </si>
  <si>
    <t>WP_000499399.1</t>
  </si>
  <si>
    <t>R8N76_RS23685</t>
  </si>
  <si>
    <t>WP_000902739.1</t>
  </si>
  <si>
    <t>R8N76_RS23690</t>
  </si>
  <si>
    <t>WP_000653828.1</t>
  </si>
  <si>
    <t>R8N76_RS23695</t>
  </si>
  <si>
    <t>WP_000728223.1</t>
  </si>
  <si>
    <t>R8N76_RS23700</t>
  </si>
  <si>
    <t>WP_000178501.1</t>
  </si>
  <si>
    <t>R8N76_RS23705</t>
  </si>
  <si>
    <t>WP_001047304.1</t>
  </si>
  <si>
    <t>R8N76_RS23710</t>
  </si>
  <si>
    <t>WP_000437988.1</t>
  </si>
  <si>
    <t>R8N76_RS23715</t>
  </si>
  <si>
    <t>YojF family protein</t>
  </si>
  <si>
    <t>WP_000407045.1</t>
  </si>
  <si>
    <t>R8N76_RS23720</t>
  </si>
  <si>
    <t>bacillithiol biosynthesis deacetylase BshB2</t>
  </si>
  <si>
    <t>bshB2</t>
  </si>
  <si>
    <t>WP_000439483.1</t>
  </si>
  <si>
    <t>R8N76_RS23725</t>
  </si>
  <si>
    <t>WP_000768018.1</t>
  </si>
  <si>
    <t>R8N76_RS23730</t>
  </si>
  <si>
    <t>WP_000865005.1</t>
  </si>
  <si>
    <t>R8N76_RS23735</t>
  </si>
  <si>
    <t>WP_000390461.1</t>
  </si>
  <si>
    <t>R8N76_RS23740</t>
  </si>
  <si>
    <t>DUF5823 family protein</t>
  </si>
  <si>
    <t>WP_000570037.1</t>
  </si>
  <si>
    <t>R8N76_RS23745</t>
  </si>
  <si>
    <t>WP_000758015.1</t>
  </si>
  <si>
    <t>R8N76_RS23750</t>
  </si>
  <si>
    <t>WP_001284404.1</t>
  </si>
  <si>
    <t>R8N76_RS23755</t>
  </si>
  <si>
    <t>N-acyl homoserine lactonase AiiA</t>
  </si>
  <si>
    <t>aiiA</t>
  </si>
  <si>
    <t>WP_000216574.1</t>
  </si>
  <si>
    <t>R8N76_RS23760</t>
  </si>
  <si>
    <t>WP_000901702.1</t>
  </si>
  <si>
    <t>R8N76_RS23765</t>
  </si>
  <si>
    <t>WP_000965811.1</t>
  </si>
  <si>
    <t>R8N76_RS23770</t>
  </si>
  <si>
    <t>WP_002195666.1</t>
  </si>
  <si>
    <t>R8N76_RS23775</t>
  </si>
  <si>
    <t>yeiL</t>
  </si>
  <si>
    <t>WP_000754835.1</t>
  </si>
  <si>
    <t>R8N76_RS23780</t>
  </si>
  <si>
    <t>glyoxalase superfamily protein</t>
  </si>
  <si>
    <t>WP_000632403.1</t>
  </si>
  <si>
    <t>R8N76_RS23785</t>
  </si>
  <si>
    <t>WP_000653868.1</t>
  </si>
  <si>
    <t>R8N76_RS23790</t>
  </si>
  <si>
    <t>WP_000666948.1</t>
  </si>
  <si>
    <t>R8N76_RS23795</t>
  </si>
  <si>
    <t>WP_000819661.1</t>
  </si>
  <si>
    <t>R8N76_RS23800</t>
  </si>
  <si>
    <t>WP_000397720.1</t>
  </si>
  <si>
    <t>R8N76_RS23805</t>
  </si>
  <si>
    <t>WP_000171774.1</t>
  </si>
  <si>
    <t>R8N76_RS23810</t>
  </si>
  <si>
    <t>WP_001028115.1</t>
  </si>
  <si>
    <t>R8N76_RS23815</t>
  </si>
  <si>
    <t>WP_000727665.1</t>
  </si>
  <si>
    <t>R8N76_RS23820</t>
  </si>
  <si>
    <t>BcII family subclass B1 metallo-beta-lactamase</t>
  </si>
  <si>
    <t>bla2</t>
  </si>
  <si>
    <t>WP_000742477.1</t>
  </si>
  <si>
    <t>R8N76_RS23825</t>
  </si>
  <si>
    <t>hydroxylamine reductase</t>
  </si>
  <si>
    <t>hcp</t>
  </si>
  <si>
    <t>WP_011110272.1</t>
  </si>
  <si>
    <t>R8N76_RS23830</t>
  </si>
  <si>
    <t>WP_000429487.1</t>
  </si>
  <si>
    <t>R8N76_RS23835</t>
  </si>
  <si>
    <t>DUF1048 domain-containing protein</t>
  </si>
  <si>
    <t>WP_000891986.1</t>
  </si>
  <si>
    <t>R8N76_RS23840</t>
  </si>
  <si>
    <t>WP_000017474.1</t>
  </si>
  <si>
    <t>R8N76_RS23845</t>
  </si>
  <si>
    <t>WP_000837817.1</t>
  </si>
  <si>
    <t>R8N76_RS23850</t>
  </si>
  <si>
    <t>WP_000755022.1</t>
  </si>
  <si>
    <t>R8N76_RS23855</t>
  </si>
  <si>
    <t>WP_002195671.1</t>
  </si>
  <si>
    <t>R8N76_RS23860</t>
  </si>
  <si>
    <t>DUF3963 domain-containing protein</t>
  </si>
  <si>
    <t>WP_001036203.1</t>
  </si>
  <si>
    <t>R8N76_RS23865</t>
  </si>
  <si>
    <t>R8N76_RS23870</t>
  </si>
  <si>
    <t>WP_011110271.1</t>
  </si>
  <si>
    <t>R8N76_RS23875</t>
  </si>
  <si>
    <t>R8N76_RS23880</t>
  </si>
  <si>
    <t>WP_000254112.1</t>
  </si>
  <si>
    <t>R8N76_RS23885</t>
  </si>
  <si>
    <t>WP_000141006.1</t>
  </si>
  <si>
    <t>R8N76_RS23890</t>
  </si>
  <si>
    <t>RNA polymerase sigma factor SigI</t>
  </si>
  <si>
    <t>sigI</t>
  </si>
  <si>
    <t>WP_002082432.1</t>
  </si>
  <si>
    <t>R8N76_RS23895</t>
  </si>
  <si>
    <t>anti-sigma factor domain-containing protein</t>
  </si>
  <si>
    <t>WP_000981223.1</t>
  </si>
  <si>
    <t>R8N76_RS23900</t>
  </si>
  <si>
    <t>WP_000414281.1</t>
  </si>
  <si>
    <t>R8N76_RS23905</t>
  </si>
  <si>
    <t>WP_000660066.1</t>
  </si>
  <si>
    <t>R8N76_RS23910</t>
  </si>
  <si>
    <t>WP_001121201.1</t>
  </si>
  <si>
    <t>R8N76_RS23915</t>
  </si>
  <si>
    <t>WP_001072981.1</t>
  </si>
  <si>
    <t>R8N76_RS23920</t>
  </si>
  <si>
    <t>WP_025921899.1</t>
  </si>
  <si>
    <t>R8N76_RS23925</t>
  </si>
  <si>
    <t>class I adenylate-forming enzyme family protein</t>
  </si>
  <si>
    <t>WP_002195674.1</t>
  </si>
  <si>
    <t>R8N76_RS23930</t>
  </si>
  <si>
    <t>R8N76_RS23935</t>
  </si>
  <si>
    <t>PhzF family phenazine biosynthesis isomerase</t>
  </si>
  <si>
    <t>WP_000849327.1</t>
  </si>
  <si>
    <t>R8N76_RS23940</t>
  </si>
  <si>
    <t>WP_000801653.1</t>
  </si>
  <si>
    <t>R8N76_RS23945</t>
  </si>
  <si>
    <t>WP_001022442.1</t>
  </si>
  <si>
    <t>R8N76_RS23950</t>
  </si>
  <si>
    <t>WP_002195676.1</t>
  </si>
  <si>
    <t>R8N76_RS23955</t>
  </si>
  <si>
    <t>WP_011110268.1</t>
  </si>
  <si>
    <t>R8N76_RS23960</t>
  </si>
  <si>
    <t>WP_000855217.1</t>
  </si>
  <si>
    <t>R8N76_RS23965</t>
  </si>
  <si>
    <t>WP_000713609.1</t>
  </si>
  <si>
    <t>R8N76_RS23970</t>
  </si>
  <si>
    <t>WP_000951521.1</t>
  </si>
  <si>
    <t>R8N76_RS23975</t>
  </si>
  <si>
    <t>WP_000040542.1</t>
  </si>
  <si>
    <t>R8N76_RS23980</t>
  </si>
  <si>
    <t>WP_000860820.1</t>
  </si>
  <si>
    <t>R8N76_RS23985</t>
  </si>
  <si>
    <t>WP_000816339.1</t>
  </si>
  <si>
    <t>R8N76_RS23990</t>
  </si>
  <si>
    <t>cyclopropane-fatty-acyl-phospholipid synthase</t>
  </si>
  <si>
    <t>WP_000229037.1</t>
  </si>
  <si>
    <t>R8N76_RS23995</t>
  </si>
  <si>
    <t>WP_000176601.1</t>
  </si>
  <si>
    <t>R8N76_RS24000</t>
  </si>
  <si>
    <t>R8N76_RS24005</t>
  </si>
  <si>
    <t>WP_000860832.1</t>
  </si>
  <si>
    <t>R8N76_RS24010</t>
  </si>
  <si>
    <t>transcriptional regulator SpxA</t>
  </si>
  <si>
    <t>spxA</t>
  </si>
  <si>
    <t>WP_000236189.1</t>
  </si>
  <si>
    <t>R8N76_RS24015</t>
  </si>
  <si>
    <t>BA3454 family stress response protein</t>
  </si>
  <si>
    <t>WP_000573515.1</t>
  </si>
  <si>
    <t>R8N76_RS24020</t>
  </si>
  <si>
    <t>WP_000573538.1</t>
  </si>
  <si>
    <t>R8N76_RS24025</t>
  </si>
  <si>
    <t>Rrf2-family transcriptional regulator SaiR</t>
  </si>
  <si>
    <t>saiR</t>
  </si>
  <si>
    <t>WP_001083465.1</t>
  </si>
  <si>
    <t>R8N76_RS24030</t>
  </si>
  <si>
    <t>IDEAL domain-containing protein</t>
  </si>
  <si>
    <t>WP_000987462.1</t>
  </si>
  <si>
    <t>R8N76_RS24035</t>
  </si>
  <si>
    <t>aromatic amino acid transport family protein</t>
  </si>
  <si>
    <t>WP_001014168.1</t>
  </si>
  <si>
    <t>R8N76_RS24040</t>
  </si>
  <si>
    <t>R8N76_RS24045</t>
  </si>
  <si>
    <t>DUF1304 domain-containing protein</t>
  </si>
  <si>
    <t>WP_000402472.1</t>
  </si>
  <si>
    <t>R8N76_RS24050</t>
  </si>
  <si>
    <t>heme-degrading domain-containing protein</t>
  </si>
  <si>
    <t>WP_002195678.1</t>
  </si>
  <si>
    <t>R8N76_RS24055</t>
  </si>
  <si>
    <t>tautomerase family protein</t>
  </si>
  <si>
    <t>WP_001128308.1</t>
  </si>
  <si>
    <t>R8N76_RS24060</t>
  </si>
  <si>
    <t>WP_001089891.1</t>
  </si>
  <si>
    <t>R8N76_RS24065</t>
  </si>
  <si>
    <t>WP_000793567.1</t>
  </si>
  <si>
    <t>R8N76_RS24070</t>
  </si>
  <si>
    <t>WP_000410434.1</t>
  </si>
  <si>
    <t>R8N76_RS24075</t>
  </si>
  <si>
    <t>WP_000158941.1</t>
  </si>
  <si>
    <t>R8N76_RS24080</t>
  </si>
  <si>
    <t>WP_001000104.1</t>
  </si>
  <si>
    <t>R8N76_RS24085</t>
  </si>
  <si>
    <t>GTP cyclohydrolase II</t>
  </si>
  <si>
    <t>WP_000258858.1</t>
  </si>
  <si>
    <t>R8N76_RS24090</t>
  </si>
  <si>
    <t>WP_000889437.1</t>
  </si>
  <si>
    <t>R8N76_RS24095</t>
  </si>
  <si>
    <t>5' nucleotidase, NT5C type</t>
  </si>
  <si>
    <t>WP_000668224.1</t>
  </si>
  <si>
    <t>R8N76_RS24100</t>
  </si>
  <si>
    <t>WP_000422016.1</t>
  </si>
  <si>
    <t>R8N76_RS24105</t>
  </si>
  <si>
    <t>WP_000826227.1</t>
  </si>
  <si>
    <t>R8N76_RS24110</t>
  </si>
  <si>
    <t>WP_001058941.1</t>
  </si>
  <si>
    <t>R8N76_RS24115</t>
  </si>
  <si>
    <t>WP_000551095.1</t>
  </si>
  <si>
    <t>R8N76_RS24120</t>
  </si>
  <si>
    <t>WP_000647271.1</t>
  </si>
  <si>
    <t>R8N76_RS24125</t>
  </si>
  <si>
    <t>WP_000534222.1</t>
  </si>
  <si>
    <t>R8N76_RS24130</t>
  </si>
  <si>
    <t>LLM class oxidoreductase</t>
  </si>
  <si>
    <t>WP_002195683.1</t>
  </si>
  <si>
    <t>R8N76_RS24135</t>
  </si>
  <si>
    <t>WP_000643798.1</t>
  </si>
  <si>
    <t>R8N76_RS24140</t>
  </si>
  <si>
    <t>R8N76_RS24145</t>
  </si>
  <si>
    <t>glucose-6-phosphate dehydrogenase</t>
  </si>
  <si>
    <t>zwf</t>
  </si>
  <si>
    <t>WP_000445365.1</t>
  </si>
  <si>
    <t>R8N76_RS24150</t>
  </si>
  <si>
    <t>WP_000193012.1</t>
  </si>
  <si>
    <t>R8N76_RS24155</t>
  </si>
  <si>
    <t>WP_001195924.1</t>
  </si>
  <si>
    <t>R8N76_RS24160</t>
  </si>
  <si>
    <t>WP_000667692.1</t>
  </si>
  <si>
    <t>R8N76_RS24165</t>
  </si>
  <si>
    <t>WP_001057631.1</t>
  </si>
  <si>
    <t>R8N76_RS24170</t>
  </si>
  <si>
    <t>WP_000255195.1</t>
  </si>
  <si>
    <t>R8N76_RS24175</t>
  </si>
  <si>
    <t>lactonase family protein</t>
  </si>
  <si>
    <t>WP_000782642.1</t>
  </si>
  <si>
    <t>R8N76_RS24180</t>
  </si>
  <si>
    <t>DUF1272 domain-containing protein</t>
  </si>
  <si>
    <t>WP_001162789.1</t>
  </si>
  <si>
    <t>R8N76_RS24185</t>
  </si>
  <si>
    <t>WP_000181430.1</t>
  </si>
  <si>
    <t>R8N76_RS24190</t>
  </si>
  <si>
    <t>WP_000350940.1</t>
  </si>
  <si>
    <t>R8N76_RS24195</t>
  </si>
  <si>
    <t>WP_000814734.1</t>
  </si>
  <si>
    <t>R8N76_RS24200</t>
  </si>
  <si>
    <t>WP_000875287.1</t>
  </si>
  <si>
    <t>R8N76_RS24205</t>
  </si>
  <si>
    <t>WP_075678122.1</t>
  </si>
  <si>
    <t>R8N76_RS24210</t>
  </si>
  <si>
    <t>WP_000758377.1</t>
  </si>
  <si>
    <t>R8N76_RS24215</t>
  </si>
  <si>
    <t>WP_000435778.1</t>
  </si>
  <si>
    <t>R8N76_RS24220</t>
  </si>
  <si>
    <t>WP_000168660.1</t>
  </si>
  <si>
    <t>R8N76_RS24225</t>
  </si>
  <si>
    <t>glucose-1-phosphate cytidylyltransferase</t>
  </si>
  <si>
    <t>rfbF</t>
  </si>
  <si>
    <t>WP_000648803.1</t>
  </si>
  <si>
    <t>R8N76_RS24230</t>
  </si>
  <si>
    <t>WP_000750973.1</t>
  </si>
  <si>
    <t>R8N76_RS24235</t>
  </si>
  <si>
    <t>WP_000285639.1</t>
  </si>
  <si>
    <t>R8N76_RS24240</t>
  </si>
  <si>
    <t>WP_000402273.1</t>
  </si>
  <si>
    <t>R8N76_RS24245</t>
  </si>
  <si>
    <t>WP_000613883.1</t>
  </si>
  <si>
    <t>R8N76_RS24250</t>
  </si>
  <si>
    <t>DUF2179 domain-containing protein</t>
  </si>
  <si>
    <t>WP_000938438.1</t>
  </si>
  <si>
    <t>R8N76_RS24255</t>
  </si>
  <si>
    <t>DUF3923 family protein</t>
  </si>
  <si>
    <t>WP_000747681.1</t>
  </si>
  <si>
    <t>R8N76_RS24260</t>
  </si>
  <si>
    <t>WP_000728046.1</t>
  </si>
  <si>
    <t>R8N76_RS24265</t>
  </si>
  <si>
    <t>WP_001024472.1</t>
  </si>
  <si>
    <t>R8N76_RS24270</t>
  </si>
  <si>
    <t>WP_000834865.1</t>
  </si>
  <si>
    <t>R8N76_RS24275</t>
  </si>
  <si>
    <t>WP_001072930.1</t>
  </si>
  <si>
    <t>R8N76_RS24280</t>
  </si>
  <si>
    <t>R8N76_RS24285</t>
  </si>
  <si>
    <t>WP_001215813.1</t>
  </si>
  <si>
    <t>R8N76_RS24290</t>
  </si>
  <si>
    <t>BC_3345 family exosporium-associated protein</t>
  </si>
  <si>
    <t>WP_002195688.1</t>
  </si>
  <si>
    <t>R8N76_RS24295</t>
  </si>
  <si>
    <t>WP_000945243.1</t>
  </si>
  <si>
    <t>R8N76_RS24300</t>
  </si>
  <si>
    <t>WP_000601230.1</t>
  </si>
  <si>
    <t>R8N76_RS24305</t>
  </si>
  <si>
    <t>WP_000539732.1</t>
  </si>
  <si>
    <t>R8N76_RS24310</t>
  </si>
  <si>
    <t>WP_000411484.1</t>
  </si>
  <si>
    <t>R8N76_RS24315</t>
  </si>
  <si>
    <t>WP_000241785.1</t>
  </si>
  <si>
    <t>R8N76_RS24320</t>
  </si>
  <si>
    <t>WP_001290900.1</t>
  </si>
  <si>
    <t>R8N76_RS24325</t>
  </si>
  <si>
    <t>WP_000540457.1</t>
  </si>
  <si>
    <t>R8N76_RS24330</t>
  </si>
  <si>
    <t>WP_000355451.1</t>
  </si>
  <si>
    <t>R8N76_RS24335</t>
  </si>
  <si>
    <t>WP_000207417.1</t>
  </si>
  <si>
    <t>R8N76_RS24340</t>
  </si>
  <si>
    <t>WP_011110255.1</t>
  </si>
  <si>
    <t>R8N76_RS24345</t>
  </si>
  <si>
    <t>WP_000531489.1</t>
  </si>
  <si>
    <t>R8N76_RS24350</t>
  </si>
  <si>
    <t>WP_000875906.1</t>
  </si>
  <si>
    <t>R8N76_RS24355</t>
  </si>
  <si>
    <t>WP_000955098.1</t>
  </si>
  <si>
    <t>R8N76_RS24360</t>
  </si>
  <si>
    <t>WP_000896323.1</t>
  </si>
  <si>
    <t>R8N76_RS24365</t>
  </si>
  <si>
    <t>DUF3796 domain-containing protein</t>
  </si>
  <si>
    <t>WP_000859226.1</t>
  </si>
  <si>
    <t>R8N76_RS24370</t>
  </si>
  <si>
    <t>WP_000958863.1</t>
  </si>
  <si>
    <t>R8N76_RS24375</t>
  </si>
  <si>
    <t>WP_000570206.1</t>
  </si>
  <si>
    <t>R8N76_RS24380</t>
  </si>
  <si>
    <t>putative ABC transporter permease subunit</t>
  </si>
  <si>
    <t>WP_000036886.1</t>
  </si>
  <si>
    <t>R8N76_RS24385</t>
  </si>
  <si>
    <t>WP_000716965.1</t>
  </si>
  <si>
    <t>R8N76_RS24390</t>
  </si>
  <si>
    <t>WP_000782544.1</t>
  </si>
  <si>
    <t>R8N76_RS24395</t>
  </si>
  <si>
    <t>WP_000810154.1</t>
  </si>
  <si>
    <t>R8N76_RS24400</t>
  </si>
  <si>
    <t>WP_001056358.1</t>
  </si>
  <si>
    <t>R8N76_RS24405</t>
  </si>
  <si>
    <t>WP_000151079.1</t>
  </si>
  <si>
    <t>R8N76_RS24410</t>
  </si>
  <si>
    <t>WP_002026117.1</t>
  </si>
  <si>
    <t>R8N76_RS24415</t>
  </si>
  <si>
    <t>WP_000185713.1</t>
  </si>
  <si>
    <t>R8N76_RS24420</t>
  </si>
  <si>
    <t>WP_000340579.1</t>
  </si>
  <si>
    <t>R8N76_RS24425</t>
  </si>
  <si>
    <t>WP_000914420.1</t>
  </si>
  <si>
    <t>R8N76_RS24430</t>
  </si>
  <si>
    <t>WP_000860726.1</t>
  </si>
  <si>
    <t>R8N76_RS24435</t>
  </si>
  <si>
    <t>WP_000425988.1</t>
  </si>
  <si>
    <t>R8N76_RS24440</t>
  </si>
  <si>
    <t>Cys-tRNA(Pro) deacylase</t>
  </si>
  <si>
    <t>ybaK</t>
  </si>
  <si>
    <t>WP_000710860.1</t>
  </si>
  <si>
    <t>R8N76_RS24445</t>
  </si>
  <si>
    <t>WP_001156925.1</t>
  </si>
  <si>
    <t>R8N76_RS24450</t>
  </si>
  <si>
    <t>R8N76_RS24455</t>
  </si>
  <si>
    <t>WP_001190318.1</t>
  </si>
  <si>
    <t>R8N76_RS24460</t>
  </si>
  <si>
    <t>WP_000343680.1</t>
  </si>
  <si>
    <t>R8N76_RS24465</t>
  </si>
  <si>
    <t>WP_000594876.1</t>
  </si>
  <si>
    <t>R8N76_RS24470</t>
  </si>
  <si>
    <t>WP_000549500.1</t>
  </si>
  <si>
    <t>R8N76_RS24475</t>
  </si>
  <si>
    <t>WP_000062798.1</t>
  </si>
  <si>
    <t>R8N76_RS24480</t>
  </si>
  <si>
    <t>NETI motif-containing protein</t>
  </si>
  <si>
    <t>WP_000166303.1</t>
  </si>
  <si>
    <t>R8N76_RS24485</t>
  </si>
  <si>
    <t>WP_000887601.1</t>
  </si>
  <si>
    <t>R8N76_RS24490</t>
  </si>
  <si>
    <t>M15 family metallopeptidase</t>
  </si>
  <si>
    <t>WP_000241986.1</t>
  </si>
  <si>
    <t>R8N76_RS24495</t>
  </si>
  <si>
    <t>WP_000883465.1</t>
  </si>
  <si>
    <t>R8N76_RS24500</t>
  </si>
  <si>
    <t>WP_000014536.1</t>
  </si>
  <si>
    <t>R8N76_RS24505</t>
  </si>
  <si>
    <t>DUF5081 family protein</t>
  </si>
  <si>
    <t>WP_000514124.1</t>
  </si>
  <si>
    <t>R8N76_RS24510</t>
  </si>
  <si>
    <t>WP_001198201.1</t>
  </si>
  <si>
    <t>R8N76_RS24515</t>
  </si>
  <si>
    <t>WP_000382736.1</t>
  </si>
  <si>
    <t>R8N76_RS24520</t>
  </si>
  <si>
    <t>WP_000804110.1</t>
  </si>
  <si>
    <t>R8N76_RS24525</t>
  </si>
  <si>
    <t>WP_000343661.1</t>
  </si>
  <si>
    <t>R8N76_RS24530</t>
  </si>
  <si>
    <t>WP_000887069.1</t>
  </si>
  <si>
    <t>R8N76_RS24535</t>
  </si>
  <si>
    <t>WP_001052204.1</t>
  </si>
  <si>
    <t>R8N76_RS24540</t>
  </si>
  <si>
    <t>WP_001112758.1</t>
  </si>
  <si>
    <t>R8N76_RS24545</t>
  </si>
  <si>
    <t>DUF6985 domain-containing protein</t>
  </si>
  <si>
    <t>WP_000154327.1</t>
  </si>
  <si>
    <t>R8N76_RS24550</t>
  </si>
  <si>
    <t>R8N76_RS24555</t>
  </si>
  <si>
    <t>antitoxin YezG family protein</t>
  </si>
  <si>
    <t>WP_000997349.1</t>
  </si>
  <si>
    <t>R8N76_RS24560</t>
  </si>
  <si>
    <t>WP_000981111.1</t>
  </si>
  <si>
    <t>R8N76_RS24565</t>
  </si>
  <si>
    <t>immunity 22 family protein</t>
  </si>
  <si>
    <t>WP_000445621.1</t>
  </si>
  <si>
    <t>R8N76_RS24570</t>
  </si>
  <si>
    <t>WP_000152601.1</t>
  </si>
  <si>
    <t>R8N76_RS24575</t>
  </si>
  <si>
    <t>R8N76_RS24580</t>
  </si>
  <si>
    <t>WP_000609233.1</t>
  </si>
  <si>
    <t>R8N76_RS24585</t>
  </si>
  <si>
    <t>DUF2004 domain-containing protein</t>
  </si>
  <si>
    <t>WP_000586115.1</t>
  </si>
  <si>
    <t>R8N76_RS24590</t>
  </si>
  <si>
    <t>immunity protein YezG family protein</t>
  </si>
  <si>
    <t>WP_000657445.1</t>
  </si>
  <si>
    <t>R8N76_RS24595</t>
  </si>
  <si>
    <t>WP_000415780.1</t>
  </si>
  <si>
    <t>R8N76_RS24600</t>
  </si>
  <si>
    <t>Imm30 family immunity protein</t>
  </si>
  <si>
    <t>WP_001211429.1</t>
  </si>
  <si>
    <t>R8N76_RS24605</t>
  </si>
  <si>
    <t>WP_000439597.1</t>
  </si>
  <si>
    <t>R8N76_RS24610</t>
  </si>
  <si>
    <t>WP_000513840.1</t>
  </si>
  <si>
    <t>R8N76_RS24615</t>
  </si>
  <si>
    <t>R8N76_RS24620</t>
  </si>
  <si>
    <t>WP_000900616.1</t>
  </si>
  <si>
    <t>R8N76_RS24625</t>
  </si>
  <si>
    <t>DUF3895 domain-containing protein</t>
  </si>
  <si>
    <t>WP_001071930.1</t>
  </si>
  <si>
    <t>R8N76_RS24630</t>
  </si>
  <si>
    <t>Imm3 family immunity protein</t>
  </si>
  <si>
    <t>WP_000656085.1</t>
  </si>
  <si>
    <t>R8N76_RS24635</t>
  </si>
  <si>
    <t>DUF1433 domain-containing protein</t>
  </si>
  <si>
    <t>WP_000755747.1</t>
  </si>
  <si>
    <t>R8N76_RS24640</t>
  </si>
  <si>
    <t>WP_000728330.1</t>
  </si>
  <si>
    <t>R8N76_RS24645</t>
  </si>
  <si>
    <t>WP_001288653.1</t>
  </si>
  <si>
    <t>R8N76_RS24650</t>
  </si>
  <si>
    <t>WP_000968639.1</t>
  </si>
  <si>
    <t>R8N76_RS24655</t>
  </si>
  <si>
    <t>toxin-antitoxin system YwqK family antitoxin</t>
  </si>
  <si>
    <t>WP_000930907.1</t>
  </si>
  <si>
    <t>R8N76_RS24660</t>
  </si>
  <si>
    <t>R8N76_RS24665</t>
  </si>
  <si>
    <t>WP_000804106.1</t>
  </si>
  <si>
    <t>R8N76_RS24670</t>
  </si>
  <si>
    <t>DUF4241 domain-containing protein</t>
  </si>
  <si>
    <t>WP_000040618.1</t>
  </si>
  <si>
    <t>R8N76_RS24675</t>
  </si>
  <si>
    <t>WP_000836243.1</t>
  </si>
  <si>
    <t>R8N76_RS24680</t>
  </si>
  <si>
    <t>DUF2262 domain-containing protein</t>
  </si>
  <si>
    <t>WP_000677950.1</t>
  </si>
  <si>
    <t>R8N76_RS24685</t>
  </si>
  <si>
    <t>R8N76_RS24690</t>
  </si>
  <si>
    <t>SecY-interacting protein Syd</t>
  </si>
  <si>
    <t>WP_172459104.1</t>
  </si>
  <si>
    <t>R8N76_RS24695</t>
  </si>
  <si>
    <t>WP_002195702.1</t>
  </si>
  <si>
    <t>R8N76_RS24700</t>
  </si>
  <si>
    <t>WP_000543095.1</t>
  </si>
  <si>
    <t>R8N76_RS24705</t>
  </si>
  <si>
    <t>WP_001265696.1</t>
  </si>
  <si>
    <t>R8N76_RS24710</t>
  </si>
  <si>
    <t>WP_000346313.1</t>
  </si>
  <si>
    <t>R8N76_RS24715</t>
  </si>
  <si>
    <t>WP_000403546.1</t>
  </si>
  <si>
    <t>R8N76_RS24720</t>
  </si>
  <si>
    <t>WP_000451794.1</t>
  </si>
  <si>
    <t>R8N76_RS24725</t>
  </si>
  <si>
    <t>DUF4064 domain-containing protein</t>
  </si>
  <si>
    <t>WP_000198846.1</t>
  </si>
  <si>
    <t>R8N76_RS24730</t>
  </si>
  <si>
    <t>WP_000587853.1</t>
  </si>
  <si>
    <t>R8N76_RS24735</t>
  </si>
  <si>
    <t>WP_000992203.1</t>
  </si>
  <si>
    <t>R8N76_RS24740</t>
  </si>
  <si>
    <t>WP_000591632.1</t>
  </si>
  <si>
    <t>R8N76_RS24745</t>
  </si>
  <si>
    <t>WP_002195707.1</t>
  </si>
  <si>
    <t>R8N76_RS24750</t>
  </si>
  <si>
    <t>WP_106403839.1</t>
  </si>
  <si>
    <t>R8N76_RS24755</t>
  </si>
  <si>
    <t>DUF4132 domain-containing protein</t>
  </si>
  <si>
    <t>WP_000213800.1</t>
  </si>
  <si>
    <t>R8N76_RS24760</t>
  </si>
  <si>
    <t>penicillin acylase family protein</t>
  </si>
  <si>
    <t>WP_000454317.1</t>
  </si>
  <si>
    <t>R8N76_RS24765</t>
  </si>
  <si>
    <t>WP_106403835.1</t>
  </si>
  <si>
    <t>R8N76_RS24770</t>
  </si>
  <si>
    <t>WP_000762819.1</t>
  </si>
  <si>
    <t>R8N76_RS24775</t>
  </si>
  <si>
    <t>WP_000997182.1</t>
  </si>
  <si>
    <t>R8N76_RS24780</t>
  </si>
  <si>
    <t>glycoside hydrolase family 113</t>
  </si>
  <si>
    <t>WP_000739792.1</t>
  </si>
  <si>
    <t>R8N76_RS24785</t>
  </si>
  <si>
    <t>WP_000670804.1</t>
  </si>
  <si>
    <t>R8N76_RS24790</t>
  </si>
  <si>
    <t>3-phosphoserine/phosphohydroxythreonine transaminase</t>
  </si>
  <si>
    <t>serC</t>
  </si>
  <si>
    <t>WP_000442921.1</t>
  </si>
  <si>
    <t>R8N76_RS24795</t>
  </si>
  <si>
    <t>3-phosphoglycerate dehydrogenase family protein</t>
  </si>
  <si>
    <t>WP_000490229.1</t>
  </si>
  <si>
    <t>R8N76_RS24800</t>
  </si>
  <si>
    <t>DUF1015 domain-containing protein</t>
  </si>
  <si>
    <t>WP_001063072.1</t>
  </si>
  <si>
    <t>R8N76_RS24805</t>
  </si>
  <si>
    <t>DUF4303 domain-containing protein</t>
  </si>
  <si>
    <t>WP_000783835.1</t>
  </si>
  <si>
    <t>R8N76_RS24810</t>
  </si>
  <si>
    <t>R8N76_RS24815</t>
  </si>
  <si>
    <t>WP_000193978.1</t>
  </si>
  <si>
    <t>R8N76_RS24820</t>
  </si>
  <si>
    <t>WP_000342842.1</t>
  </si>
  <si>
    <t>R8N76_RS24825</t>
  </si>
  <si>
    <t>WP_000872526.1</t>
  </si>
  <si>
    <t>R8N76_RS24830</t>
  </si>
  <si>
    <t>hydrogenase expression/formation protein HypE</t>
  </si>
  <si>
    <t>hypE</t>
  </si>
  <si>
    <t>WP_000778917.1</t>
  </si>
  <si>
    <t>R8N76_RS24835</t>
  </si>
  <si>
    <t>carbamoyltransferase HypF</t>
  </si>
  <si>
    <t>hypF</t>
  </si>
  <si>
    <t>WP_002195710.1</t>
  </si>
  <si>
    <t>R8N76_RS24840</t>
  </si>
  <si>
    <t>WP_232288814.1</t>
  </si>
  <si>
    <t>R8N76_RS24845</t>
  </si>
  <si>
    <t>SAR2788 family putative toxin</t>
  </si>
  <si>
    <t>WP_227944855.1</t>
  </si>
  <si>
    <t>R8N76_RS24850</t>
  </si>
  <si>
    <t>DUF4279 domain-containing protein</t>
  </si>
  <si>
    <t>WP_000105603.1</t>
  </si>
  <si>
    <t>R8N76_RS24855</t>
  </si>
  <si>
    <t>R8N76_RS24860</t>
  </si>
  <si>
    <t>R8N76_RS24865</t>
  </si>
  <si>
    <t>R8N76_RS24870</t>
  </si>
  <si>
    <t>DUF2164 family protein</t>
  </si>
  <si>
    <t>WP_000403243.1</t>
  </si>
  <si>
    <t>R8N76_RS24875</t>
  </si>
  <si>
    <t>R8N76_RS24880</t>
  </si>
  <si>
    <t>WP_000905873.1</t>
  </si>
  <si>
    <t>R8N76_RS24885</t>
  </si>
  <si>
    <t>WP_000525483.1</t>
  </si>
  <si>
    <t>R8N76_RS24890</t>
  </si>
  <si>
    <t>WP_000747503.1</t>
  </si>
  <si>
    <t>R8N76_RS24895</t>
  </si>
  <si>
    <t>WP_000781961.1</t>
  </si>
  <si>
    <t>R8N76_RS24900</t>
  </si>
  <si>
    <t>WP_000839519.1</t>
  </si>
  <si>
    <t>R8N76_RS24905</t>
  </si>
  <si>
    <t>WP_000821005.1</t>
  </si>
  <si>
    <t>R8N76_RS24910</t>
  </si>
  <si>
    <t>WP_000353378.1</t>
  </si>
  <si>
    <t>R8N76_RS24915</t>
  </si>
  <si>
    <t>ArsR family transcriptional regulator</t>
  </si>
  <si>
    <t>WP_000805797.1</t>
  </si>
  <si>
    <t>R8N76_RS24920</t>
  </si>
  <si>
    <t>WP_000477770.1</t>
  </si>
  <si>
    <t>R8N76_RS24925</t>
  </si>
  <si>
    <t>WP_000202612.1</t>
  </si>
  <si>
    <t>R8N76_RS24930</t>
  </si>
  <si>
    <t>WP_000851032.1</t>
  </si>
  <si>
    <t>R8N76_RS24935</t>
  </si>
  <si>
    <t>WP_000819859.1</t>
  </si>
  <si>
    <t>R8N76_RS24940</t>
  </si>
  <si>
    <t>WP_011110235.1</t>
  </si>
  <si>
    <t>R8N76_RS24945</t>
  </si>
  <si>
    <t>R8N76_RS24950</t>
  </si>
  <si>
    <t>DUF4073 domain-containing protein</t>
  </si>
  <si>
    <t>WP_000754291.1</t>
  </si>
  <si>
    <t>R8N76_RS24955</t>
  </si>
  <si>
    <t>D-cysteine desulfhydrase</t>
  </si>
  <si>
    <t>WP_001046622.1</t>
  </si>
  <si>
    <t>R8N76_RS24960</t>
  </si>
  <si>
    <t>WP_001201796.1</t>
  </si>
  <si>
    <t>R8N76_RS24965</t>
  </si>
  <si>
    <t>WP_000554416.1</t>
  </si>
  <si>
    <t>R8N76_RS24970</t>
  </si>
  <si>
    <t>WP_000243463.1</t>
  </si>
  <si>
    <t>R8N76_RS24975</t>
  </si>
  <si>
    <t>WP_000005110.1</t>
  </si>
  <si>
    <t>R8N76_RS24980</t>
  </si>
  <si>
    <t>bifunctional P-450/NADPH--P450 reductase</t>
  </si>
  <si>
    <t>cypD</t>
  </si>
  <si>
    <t>WP_000412768.1</t>
  </si>
  <si>
    <t>R8N76_RS24985</t>
  </si>
  <si>
    <t>R8N76_RS24990</t>
  </si>
  <si>
    <t>DUF5412 domain-containing protein</t>
  </si>
  <si>
    <t>WP_000022545.1</t>
  </si>
  <si>
    <t>R8N76_RS24995</t>
  </si>
  <si>
    <t>hybrid sensor histidine kinase/response regulator transcription factor</t>
  </si>
  <si>
    <t>WP_000886428.1</t>
  </si>
  <si>
    <t>R8N76_RS25000</t>
  </si>
  <si>
    <t>sensor domain-containing protein</t>
  </si>
  <si>
    <t>WP_000842190.1</t>
  </si>
  <si>
    <t>R8N76_RS25005</t>
  </si>
  <si>
    <t>WP_001036232.1</t>
  </si>
  <si>
    <t>R8N76_RS25010</t>
  </si>
  <si>
    <t>WP_000924278.1</t>
  </si>
  <si>
    <t>R8N76_RS25015</t>
  </si>
  <si>
    <t>L,D-transpeptidase family protein</t>
  </si>
  <si>
    <t>WP_001064065.1</t>
  </si>
  <si>
    <t>R8N76_RS25020</t>
  </si>
  <si>
    <t>WP_001104102.1</t>
  </si>
  <si>
    <t>R8N76_RS25025</t>
  </si>
  <si>
    <t>WP_011110230.1</t>
  </si>
  <si>
    <t>R8N76_RS25030</t>
  </si>
  <si>
    <t>WP_001264517.1</t>
  </si>
  <si>
    <t>R8N76_RS25035</t>
  </si>
  <si>
    <t>WP_000521305.1</t>
  </si>
  <si>
    <t>R8N76_RS25040</t>
  </si>
  <si>
    <t>WP_000922396.1</t>
  </si>
  <si>
    <t>R8N76_RS25045</t>
  </si>
  <si>
    <t>WP_000655286.1</t>
  </si>
  <si>
    <t>R8N76_RS25050</t>
  </si>
  <si>
    <t>WP_000278930.1</t>
  </si>
  <si>
    <t>R8N76_RS25055</t>
  </si>
  <si>
    <t>WP_000441006.1</t>
  </si>
  <si>
    <t>R8N76_RS25060</t>
  </si>
  <si>
    <t>DUF1259 domain-containing protein</t>
  </si>
  <si>
    <t>WP_002204749.1</t>
  </si>
  <si>
    <t>R8N76_RS25065</t>
  </si>
  <si>
    <t>WP_001048563.1</t>
  </si>
  <si>
    <t>R8N76_RS25070</t>
  </si>
  <si>
    <t>WP_033685496.1</t>
  </si>
  <si>
    <t>R8N76_RS25075</t>
  </si>
  <si>
    <t>monooxygenase</t>
  </si>
  <si>
    <t>WP_000323757.1</t>
  </si>
  <si>
    <t>R8N76_RS25080</t>
  </si>
  <si>
    <t>R8N76_RS25085</t>
  </si>
  <si>
    <t>WP_000802592.1</t>
  </si>
  <si>
    <t>R8N76_RS25090</t>
  </si>
  <si>
    <t>WP_000059810.1</t>
  </si>
  <si>
    <t>R8N76_RS25095</t>
  </si>
  <si>
    <t>WP_001014149.1</t>
  </si>
  <si>
    <t>R8N76_RS25100</t>
  </si>
  <si>
    <t>WP_000716613.1</t>
  </si>
  <si>
    <t>R8N76_RS25105</t>
  </si>
  <si>
    <t>WP_000791781.1</t>
  </si>
  <si>
    <t>R8N76_RS25110</t>
  </si>
  <si>
    <t>WP_002164503.1</t>
  </si>
  <si>
    <t>R8N76_RS25115</t>
  </si>
  <si>
    <t>WP_000532026.1</t>
  </si>
  <si>
    <t>R8N76_RS25120</t>
  </si>
  <si>
    <t>R8N76_RS25125</t>
  </si>
  <si>
    <t>R8N76_RS25130</t>
  </si>
  <si>
    <t>WP_000498961.1</t>
  </si>
  <si>
    <t>R8N76_RS25135</t>
  </si>
  <si>
    <t>R8N76_RS25140</t>
  </si>
  <si>
    <t>R8N76_RS25145</t>
  </si>
  <si>
    <t>low temperature requirement protein A</t>
  </si>
  <si>
    <t>WP_000391548.1</t>
  </si>
  <si>
    <t>R8N76_RS25150</t>
  </si>
  <si>
    <t>R8N76_RS25155</t>
  </si>
  <si>
    <t>WP_001145269.1</t>
  </si>
  <si>
    <t>R8N76_RS25160</t>
  </si>
  <si>
    <t>AAA domain-containing protein</t>
  </si>
  <si>
    <t>WP_002195651.1</t>
  </si>
  <si>
    <t>R8N76_RS25165</t>
  </si>
  <si>
    <t>M20 family metallopeptidase</t>
  </si>
  <si>
    <t>WP_000501370.1</t>
  </si>
  <si>
    <t>R8N76_RS25170</t>
  </si>
  <si>
    <t>WP_001178565.1</t>
  </si>
  <si>
    <t>R8N76_RS25175</t>
  </si>
  <si>
    <t>WP_000792651.1</t>
  </si>
  <si>
    <t>R8N76_RS25180</t>
  </si>
  <si>
    <t>WP_000577091.1</t>
  </si>
  <si>
    <t>R8N76_RS25185</t>
  </si>
  <si>
    <t>WP_000651403.1</t>
  </si>
  <si>
    <t>R8N76_RS25190</t>
  </si>
  <si>
    <t>R8N76_RS25195</t>
  </si>
  <si>
    <t>WP_002195654.1</t>
  </si>
  <si>
    <t>R8N76_RS25200</t>
  </si>
  <si>
    <t>R8N76_RS25205</t>
  </si>
  <si>
    <t>xanthine dehydrogenase family protein molybdopterin-binding subunit</t>
  </si>
  <si>
    <t>WP_000084919.1</t>
  </si>
  <si>
    <t>R8N76_RS25210</t>
  </si>
  <si>
    <t>xanthine dehydrogenase family protein subunit M</t>
  </si>
  <si>
    <t>WP_000611958.1</t>
  </si>
  <si>
    <t>R8N76_RS25215</t>
  </si>
  <si>
    <t>(2Fe-2S)-binding protein</t>
  </si>
  <si>
    <t>WP_000592341.1</t>
  </si>
  <si>
    <t>R8N76_RS25220</t>
  </si>
  <si>
    <t>XdhC family protein</t>
  </si>
  <si>
    <t>WP_000227607.1</t>
  </si>
  <si>
    <t>R8N76_RS25225</t>
  </si>
  <si>
    <t>xanthine dehydrogenase accessory protein PucB</t>
  </si>
  <si>
    <t>pucB</t>
  </si>
  <si>
    <t>WP_000706287.1</t>
  </si>
  <si>
    <t>R8N76_RS25230</t>
  </si>
  <si>
    <t>WP_001190900.1</t>
  </si>
  <si>
    <t>R8N76_RS25235</t>
  </si>
  <si>
    <t>WP_000064481.1</t>
  </si>
  <si>
    <t>R8N76_RS25240</t>
  </si>
  <si>
    <t>R8N76_RS25245</t>
  </si>
  <si>
    <t>WP_001039012.1</t>
  </si>
  <si>
    <t>R8N76_RS25250</t>
  </si>
  <si>
    <t>WP_001072323.1</t>
  </si>
  <si>
    <t>R8N76_RS25255</t>
  </si>
  <si>
    <t>WP_001261126.1</t>
  </si>
  <si>
    <t>R8N76_RS25260</t>
  </si>
  <si>
    <t>WP_000529753.1</t>
  </si>
  <si>
    <t>R8N76_RS25265</t>
  </si>
  <si>
    <t>WP_001076326.1</t>
  </si>
  <si>
    <t>R8N76_RS25270</t>
  </si>
  <si>
    <t>arsenical resistance operon transcriptional regulator ArsR</t>
  </si>
  <si>
    <t>arsR</t>
  </si>
  <si>
    <t>WP_002026021.1</t>
  </si>
  <si>
    <t>R8N76_RS25275</t>
  </si>
  <si>
    <t>ArsI/CadI family heavy metal resistance metalloenzyme</t>
  </si>
  <si>
    <t>WP_001271013.1</t>
  </si>
  <si>
    <t>R8N76_RS25280</t>
  </si>
  <si>
    <t>ACR3 family arsenite efflux transporter</t>
  </si>
  <si>
    <t>arsB</t>
  </si>
  <si>
    <t>WP_000826549.1</t>
  </si>
  <si>
    <t>R8N76_RS25285</t>
  </si>
  <si>
    <t>arsenate reductase (thioredoxin)</t>
  </si>
  <si>
    <t>arsC</t>
  </si>
  <si>
    <t>WP_000428363.1</t>
  </si>
  <si>
    <t>R8N76_RS25290</t>
  </si>
  <si>
    <t>WP_000562830.1</t>
  </si>
  <si>
    <t>R8N76_RS25295</t>
  </si>
  <si>
    <t>WP_000701573.1</t>
  </si>
  <si>
    <t>R8N76_RS25300</t>
  </si>
  <si>
    <t>menA</t>
  </si>
  <si>
    <t>WP_000536365.1</t>
  </si>
  <si>
    <t>R8N76_RS25305</t>
  </si>
  <si>
    <t>streptothricin N-acetyltransferase SatA</t>
  </si>
  <si>
    <t>satA</t>
  </si>
  <si>
    <t>WP_001055000.1</t>
  </si>
  <si>
    <t>R8N76_RS25310</t>
  </si>
  <si>
    <t>WP_000665154.1</t>
  </si>
  <si>
    <t>R8N76_RS25315</t>
  </si>
  <si>
    <t>WP_000798158.1</t>
  </si>
  <si>
    <t>R8N76_RS25320</t>
  </si>
  <si>
    <t>NADH dehydrogenase subunit 5</t>
  </si>
  <si>
    <t>WP_000908940.1</t>
  </si>
  <si>
    <t>R8N76_RS25325</t>
  </si>
  <si>
    <t>DUF2309 domain-containing protein</t>
  </si>
  <si>
    <t>WP_000026971.1</t>
  </si>
  <si>
    <t>R8N76_RS25330</t>
  </si>
  <si>
    <t>WP_001086255.1</t>
  </si>
  <si>
    <t>R8N76_RS25335</t>
  </si>
  <si>
    <t>WP_000365630.1</t>
  </si>
  <si>
    <t>R8N76_RS25340</t>
  </si>
  <si>
    <t>DUF3841 domain-containing protein</t>
  </si>
  <si>
    <t>WP_000743893.1</t>
  </si>
  <si>
    <t>R8N76_RS25345</t>
  </si>
  <si>
    <t>deoxyribodipyrimidine photo-lyase</t>
  </si>
  <si>
    <t>WP_001179969.1</t>
  </si>
  <si>
    <t>R8N76_RS25350</t>
  </si>
  <si>
    <t>TspO/MBR family protein</t>
  </si>
  <si>
    <t>WP_000749726.1</t>
  </si>
  <si>
    <t>R8N76_RS25355</t>
  </si>
  <si>
    <t>WP_000758846.1</t>
  </si>
  <si>
    <t>R8N76_RS25360</t>
  </si>
  <si>
    <t>WP_000714948.1</t>
  </si>
  <si>
    <t>R8N76_RS25365</t>
  </si>
  <si>
    <t>DUF3887 domain-containing protein</t>
  </si>
  <si>
    <t>WP_000358952.1</t>
  </si>
  <si>
    <t>R8N76_RS25370</t>
  </si>
  <si>
    <t>WP_000557321.1</t>
  </si>
  <si>
    <t>R8N76_RS25375</t>
  </si>
  <si>
    <t>WP_000683216.1</t>
  </si>
  <si>
    <t>R8N76_RS25380</t>
  </si>
  <si>
    <t>ParM/StbA family protein</t>
  </si>
  <si>
    <t>WP_000839441.1</t>
  </si>
  <si>
    <t>R8N76_RS25385</t>
  </si>
  <si>
    <t>WP_000388925.1</t>
  </si>
  <si>
    <t>R8N76_RS25390</t>
  </si>
  <si>
    <t>WP_000111426.1</t>
  </si>
  <si>
    <t>R8N76_RS25395</t>
  </si>
  <si>
    <t>WP_000423188.1</t>
  </si>
  <si>
    <t>R8N76_RS25400</t>
  </si>
  <si>
    <t>WP_001102413.1</t>
  </si>
  <si>
    <t>R8N76_RS25405</t>
  </si>
  <si>
    <t>antibiotic biosynthesis monooxygenase</t>
  </si>
  <si>
    <t>WP_000806862.1</t>
  </si>
  <si>
    <t>R8N76_RS25410</t>
  </si>
  <si>
    <t>WP_000067162.1</t>
  </si>
  <si>
    <t>R8N76_RS25415</t>
  </si>
  <si>
    <t>isochorismate family cysteine hydrolase YcaC</t>
  </si>
  <si>
    <t>ycaC</t>
  </si>
  <si>
    <t>WP_000131214.1</t>
  </si>
  <si>
    <t>R8N76_RS25420</t>
  </si>
  <si>
    <t>bromoperoxidase</t>
  </si>
  <si>
    <t>WP_001074323.1</t>
  </si>
  <si>
    <t>R8N76_RS25425</t>
  </si>
  <si>
    <t>WP_000913782.1</t>
  </si>
  <si>
    <t>R8N76_RS25430</t>
  </si>
  <si>
    <t>WP_000726836.1</t>
  </si>
  <si>
    <t>R8N76_RS25435</t>
  </si>
  <si>
    <t>WP_000857806.1</t>
  </si>
  <si>
    <t>R8N76_RS25440</t>
  </si>
  <si>
    <t>WP_002041425.1</t>
  </si>
  <si>
    <t>R8N76_RS25445</t>
  </si>
  <si>
    <t>R8N76_RS25450</t>
  </si>
  <si>
    <t>WP_000439275.1</t>
  </si>
  <si>
    <t>R8N76_RS25455</t>
  </si>
  <si>
    <t>glutaminase GlsA</t>
  </si>
  <si>
    <t>WP_000588648.1</t>
  </si>
  <si>
    <t>R8N76_RS25460</t>
  </si>
  <si>
    <t>WP_000584807.1</t>
  </si>
  <si>
    <t>R8N76_RS25465</t>
  </si>
  <si>
    <t>WP_000274087.1</t>
  </si>
  <si>
    <t>R8N76_RS25470</t>
  </si>
  <si>
    <t>WP_000119231.1</t>
  </si>
  <si>
    <t>R8N76_RS25475</t>
  </si>
  <si>
    <t>WP_000628605.1</t>
  </si>
  <si>
    <t>R8N76_RS25480</t>
  </si>
  <si>
    <t>WP_000680791.1</t>
  </si>
  <si>
    <t>R8N76_RS25485</t>
  </si>
  <si>
    <t>WP_001041291.1</t>
  </si>
  <si>
    <t>R8N76_RS25490</t>
  </si>
  <si>
    <t>WP_000067451.1</t>
  </si>
  <si>
    <t>R8N76_RS25495</t>
  </si>
  <si>
    <t>WP_001292165.1</t>
  </si>
  <si>
    <t>R8N76_RS25500</t>
  </si>
  <si>
    <t>WP_000897399.1</t>
  </si>
  <si>
    <t>R8N76_RS25505</t>
  </si>
  <si>
    <t>WP_000939298.1</t>
  </si>
  <si>
    <t>R8N76_RS25510</t>
  </si>
  <si>
    <t>WP_001097917.1</t>
  </si>
  <si>
    <t>R8N76_RS25515</t>
  </si>
  <si>
    <t>hemolytic enterotoxin HBL lytic component L2</t>
  </si>
  <si>
    <t>hblC</t>
  </si>
  <si>
    <t>WP_000850151.1</t>
  </si>
  <si>
    <t>R8N76_RS25520</t>
  </si>
  <si>
    <t>hemolytic enterotoxin HBL lytic component L1</t>
  </si>
  <si>
    <t>hblD</t>
  </si>
  <si>
    <t>WP_000714434.1</t>
  </si>
  <si>
    <t>R8N76_RS25525</t>
  </si>
  <si>
    <t>hemolytic enterotoxin HBL binding subunit HblB</t>
  </si>
  <si>
    <t>hblB</t>
  </si>
  <si>
    <t>WP_000591972.1</t>
  </si>
  <si>
    <t>R8N76_RS25530</t>
  </si>
  <si>
    <t>hemolytic enterotoxin HBL binding subunit HblA</t>
  </si>
  <si>
    <t>hblA</t>
  </si>
  <si>
    <t>WP_000976151.1</t>
  </si>
  <si>
    <t>R8N76_RS25535</t>
  </si>
  <si>
    <t>PAS domain S-box protein</t>
  </si>
  <si>
    <t>WP_000584284.1</t>
  </si>
  <si>
    <t>R8N76_RS25540</t>
  </si>
  <si>
    <t>WP_000802296.1</t>
  </si>
  <si>
    <t>R8N76_RS25545</t>
  </si>
  <si>
    <t>WP_000809697.1</t>
  </si>
  <si>
    <t>R8N76_RS25550</t>
  </si>
  <si>
    <t>WP_000832874.1</t>
  </si>
  <si>
    <t>R8N76_RS25555</t>
  </si>
  <si>
    <t>R8N76_RS25560</t>
  </si>
  <si>
    <t>R8N76_RS25565</t>
  </si>
  <si>
    <t>R8N76_RS25570</t>
  </si>
  <si>
    <t>HTH-type transcriptional regulator AnsR</t>
  </si>
  <si>
    <t>ansR</t>
  </si>
  <si>
    <t>WP_000893569.1</t>
  </si>
  <si>
    <t>R8N76_RS25575</t>
  </si>
  <si>
    <t>WP_000722299.1</t>
  </si>
  <si>
    <t>R8N76_RS25580</t>
  </si>
  <si>
    <t>WP_001251924.1</t>
  </si>
  <si>
    <t>R8N76_RS25585</t>
  </si>
  <si>
    <t>zinc-dependent alcohol dehydrogenase</t>
  </si>
  <si>
    <t>WP_000649088.1</t>
  </si>
  <si>
    <t>R8N76_RS25590</t>
  </si>
  <si>
    <t>WP_000517671.1</t>
  </si>
  <si>
    <t>R8N76_RS25595</t>
  </si>
  <si>
    <t>DUF3231 family protein</t>
  </si>
  <si>
    <t>WP_001986359.1</t>
  </si>
  <si>
    <t>R8N76_RS25600</t>
  </si>
  <si>
    <t>YndM family protein</t>
  </si>
  <si>
    <t>WP_000680661.1</t>
  </si>
  <si>
    <t>R8N76_RS25605</t>
  </si>
  <si>
    <t>WP_000368288.1</t>
  </si>
  <si>
    <t>R8N76_RS25610</t>
  </si>
  <si>
    <t>phosphoenolpyruvate synthase</t>
  </si>
  <si>
    <t>ppsA</t>
  </si>
  <si>
    <t>WP_000094181.1</t>
  </si>
  <si>
    <t>R8N76_RS25615</t>
  </si>
  <si>
    <t>immune inhibitor A domain-containing protein</t>
  </si>
  <si>
    <t>WP_000728990.1</t>
  </si>
  <si>
    <t>R8N76_RS25620</t>
  </si>
  <si>
    <t>WP_001205505.1</t>
  </si>
  <si>
    <t>R8N76_RS25625</t>
  </si>
  <si>
    <t>R8N76_RS25630</t>
  </si>
  <si>
    <t>WP_001139523.1</t>
  </si>
  <si>
    <t>R8N76_RS25635</t>
  </si>
  <si>
    <t>WP_000282831.1</t>
  </si>
  <si>
    <t>R8N76_RS25640</t>
  </si>
  <si>
    <t>DUF2691 family protein</t>
  </si>
  <si>
    <t>WP_000820297.1</t>
  </si>
  <si>
    <t>R8N76_RS25645</t>
  </si>
  <si>
    <t>WP_000440749.1</t>
  </si>
  <si>
    <t>R8N76_RS25650</t>
  </si>
  <si>
    <t>WP_000553375.1</t>
  </si>
  <si>
    <t>R8N76_RS25655</t>
  </si>
  <si>
    <t>YjiH family protein</t>
  </si>
  <si>
    <t>WP_001289416.1</t>
  </si>
  <si>
    <t>R8N76_RS25660</t>
  </si>
  <si>
    <t>WP_000402586.1</t>
  </si>
  <si>
    <t>R8N76_RS25665</t>
  </si>
  <si>
    <t>WP_000662215.1</t>
  </si>
  <si>
    <t>R8N76_RS25670</t>
  </si>
  <si>
    <t>WP_001218362.1</t>
  </si>
  <si>
    <t>R8N76_RS25675</t>
  </si>
  <si>
    <t>WP_000991272.1</t>
  </si>
  <si>
    <t>R8N76_RS25680</t>
  </si>
  <si>
    <t>WP_001103807.1</t>
  </si>
  <si>
    <t>R8N76_RS25685</t>
  </si>
  <si>
    <t>copper homeostasis protein CutC</t>
  </si>
  <si>
    <t>WP_000895121.1</t>
  </si>
  <si>
    <t>R8N76_RS25690</t>
  </si>
  <si>
    <t>WP_000662501.1</t>
  </si>
  <si>
    <t>R8N76_RS25695</t>
  </si>
  <si>
    <t>IclR family transcriptional regulator</t>
  </si>
  <si>
    <t>WP_000026361.1</t>
  </si>
  <si>
    <t>R8N76_RS25700</t>
  </si>
  <si>
    <t>5-oxoprolinase subunit PxpB</t>
  </si>
  <si>
    <t>pxpB</t>
  </si>
  <si>
    <t>WP_000672280.1</t>
  </si>
  <si>
    <t>R8N76_RS25705</t>
  </si>
  <si>
    <t>biotin-dependent carboxyltransferase family protein</t>
  </si>
  <si>
    <t>WP_000382245.1</t>
  </si>
  <si>
    <t>R8N76_RS25710</t>
  </si>
  <si>
    <t>5-oxoprolinase subunit PxpA</t>
  </si>
  <si>
    <t>pxpA</t>
  </si>
  <si>
    <t>WP_000207320.1</t>
  </si>
  <si>
    <t>R8N76_RS25715</t>
  </si>
  <si>
    <t>DUF969 domain-containing protein</t>
  </si>
  <si>
    <t>WP_000593392.1</t>
  </si>
  <si>
    <t>R8N76_RS25720</t>
  </si>
  <si>
    <t>DUF979 domain-containing protein</t>
  </si>
  <si>
    <t>WP_001021642.1</t>
  </si>
  <si>
    <t>R8N76_RS25725</t>
  </si>
  <si>
    <t>pyroglutamyl-peptidase I</t>
  </si>
  <si>
    <t>pcp</t>
  </si>
  <si>
    <t>WP_000859710.1</t>
  </si>
  <si>
    <t>R8N76_RS25730</t>
  </si>
  <si>
    <t>NAD-dependent protein deacylase</t>
  </si>
  <si>
    <t>WP_001183803.1</t>
  </si>
  <si>
    <t>R8N76_RS25735</t>
  </si>
  <si>
    <t>WP_001249191.1</t>
  </si>
  <si>
    <t>R8N76_RS25740</t>
  </si>
  <si>
    <t>WP_002094069.1</t>
  </si>
  <si>
    <t>R8N76_RS25745</t>
  </si>
  <si>
    <t>cephalosporin hydroxylase family protein</t>
  </si>
  <si>
    <t>WP_265736937.1</t>
  </si>
  <si>
    <t>R8N76_RS25750</t>
  </si>
  <si>
    <t>WP_002182860.1</t>
  </si>
  <si>
    <t>R8N76_RS25755</t>
  </si>
  <si>
    <t>WP_000817566.1</t>
  </si>
  <si>
    <t>R8N76_RS25760</t>
  </si>
  <si>
    <t>WP_000714730.1</t>
  </si>
  <si>
    <t>R8N76_RS25765</t>
  </si>
  <si>
    <t>WP_000827149.1</t>
  </si>
  <si>
    <t>R8N76_RS25770</t>
  </si>
  <si>
    <t>WP_000521698.1</t>
  </si>
  <si>
    <t>R8N76_RS25775</t>
  </si>
  <si>
    <t>WP_001026167.1</t>
  </si>
  <si>
    <t>R8N76_RS25780</t>
  </si>
  <si>
    <t>WP_001083376.1</t>
  </si>
  <si>
    <t>R8N76_RS25785</t>
  </si>
  <si>
    <t>WP_000764601.1</t>
  </si>
  <si>
    <t>R8N76_RS25790</t>
  </si>
  <si>
    <t>WP_002024365.1</t>
  </si>
  <si>
    <t>R8N76_RS25795</t>
  </si>
  <si>
    <t>WP_000943353.1</t>
  </si>
  <si>
    <t>R8N76_RS25800</t>
  </si>
  <si>
    <t>WP_000392077.1</t>
  </si>
  <si>
    <t>R8N76_RS25805</t>
  </si>
  <si>
    <t>WP_000357656.1</t>
  </si>
  <si>
    <t>R8N76_RS25810</t>
  </si>
  <si>
    <t>WP_001080568.1</t>
  </si>
  <si>
    <t>R8N76_RS25815</t>
  </si>
  <si>
    <t>WP_001006686.1</t>
  </si>
  <si>
    <t>R8N76_RS25820</t>
  </si>
  <si>
    <t>WP_000734905.1</t>
  </si>
  <si>
    <t>R8N76_RS25825</t>
  </si>
  <si>
    <t>WP_000870354.1</t>
  </si>
  <si>
    <t>R8N76_RS25830</t>
  </si>
  <si>
    <t>WP_001049577.1</t>
  </si>
  <si>
    <t>R8N76_RS25835</t>
  </si>
  <si>
    <t>DUF3892 domain-containing protein</t>
  </si>
  <si>
    <t>WP_000358161.1</t>
  </si>
  <si>
    <t>R8N76_RS25840</t>
  </si>
  <si>
    <t>YaiI/YqxD family protein</t>
  </si>
  <si>
    <t>WP_000708761.1</t>
  </si>
  <si>
    <t>R8N76_RS25845</t>
  </si>
  <si>
    <t>WP_000454916.1</t>
  </si>
  <si>
    <t>R8N76_RS25850</t>
  </si>
  <si>
    <t>WP_000832962.1</t>
  </si>
  <si>
    <t>R8N76_RS25855</t>
  </si>
  <si>
    <t>WP_000623963.1</t>
  </si>
  <si>
    <t>R8N76_RS25860</t>
  </si>
  <si>
    <t>DUF3980 domain-containing protein</t>
  </si>
  <si>
    <t>WP_000610487.1</t>
  </si>
  <si>
    <t>R8N76_RS25865</t>
  </si>
  <si>
    <t>WP_001266071.1</t>
  </si>
  <si>
    <t>R8N76_RS25870</t>
  </si>
  <si>
    <t>nucleoside deaminase</t>
  </si>
  <si>
    <t>WP_001008618.1</t>
  </si>
  <si>
    <t>R8N76_RS25875</t>
  </si>
  <si>
    <t>WP_000444280.1</t>
  </si>
  <si>
    <t>R8N76_RS25880</t>
  </si>
  <si>
    <t>WP_000844656.1</t>
  </si>
  <si>
    <t>R8N76_RS25885</t>
  </si>
  <si>
    <t>WP_000697701.1</t>
  </si>
  <si>
    <t>R8N76_RS25890</t>
  </si>
  <si>
    <t>WP_000265342.1</t>
  </si>
  <si>
    <t>R8N76_RS25895</t>
  </si>
  <si>
    <t>DUF4240 domain-containing protein</t>
  </si>
  <si>
    <t>WP_000449124.1</t>
  </si>
  <si>
    <t>R8N76_RS25900</t>
  </si>
  <si>
    <t>WP_000366244.1</t>
  </si>
  <si>
    <t>R8N76_RS25905</t>
  </si>
  <si>
    <t>WP_000676199.1</t>
  </si>
  <si>
    <t>R8N76_RS25910</t>
  </si>
  <si>
    <t>R8N76_RS25915</t>
  </si>
  <si>
    <t>WP_000204162.1</t>
  </si>
  <si>
    <t>R8N76_RS25920</t>
  </si>
  <si>
    <t>WP_000185393.1</t>
  </si>
  <si>
    <t>R8N76_RS25925</t>
  </si>
  <si>
    <t>putative quinol monooxygenase</t>
  </si>
  <si>
    <t>WP_000583804.1</t>
  </si>
  <si>
    <t>R8N76_RS25930</t>
  </si>
  <si>
    <t>WP_000503635.1</t>
  </si>
  <si>
    <t>R8N76_RS25935</t>
  </si>
  <si>
    <t>WP_000076584.1</t>
  </si>
  <si>
    <t>R8N76_RS25940</t>
  </si>
  <si>
    <t>T7SS effector LXG polymorphic toxin</t>
  </si>
  <si>
    <t>WP_000056125.1</t>
  </si>
  <si>
    <t>R8N76_RS25945</t>
  </si>
  <si>
    <t>PoNi-like cognate immunity protein</t>
  </si>
  <si>
    <t>WP_001204628.1</t>
  </si>
  <si>
    <t>R8N76_RS25950</t>
  </si>
  <si>
    <t>WP_000105663.1</t>
  </si>
  <si>
    <t>R8N76_RS25955</t>
  </si>
  <si>
    <t>WP_001075939.1</t>
  </si>
  <si>
    <t>R8N76_RS25960</t>
  </si>
  <si>
    <t>WP_000247503.1</t>
  </si>
  <si>
    <t>R8N76_RS25965</t>
  </si>
  <si>
    <t>DUF3902 family protein</t>
  </si>
  <si>
    <t>WP_000843831.1</t>
  </si>
  <si>
    <t>R8N76_RS25970</t>
  </si>
  <si>
    <t>WP_000710628.1</t>
  </si>
  <si>
    <t>R8N76_RS25975</t>
  </si>
  <si>
    <t>adenine deaminase C-terminal domain-containing protein</t>
  </si>
  <si>
    <t>WP_000517627.1</t>
  </si>
  <si>
    <t>R8N76_RS25980</t>
  </si>
  <si>
    <t>WP_000719373.1</t>
  </si>
  <si>
    <t>R8N76_RS25985</t>
  </si>
  <si>
    <t>WP_000241879.1</t>
  </si>
  <si>
    <t>R8N76_RS25990</t>
  </si>
  <si>
    <t>WP_001003614.1</t>
  </si>
  <si>
    <t>R8N76_RS25995</t>
  </si>
  <si>
    <t>WP_000887931.1</t>
  </si>
  <si>
    <t>R8N76_RS26000</t>
  </si>
  <si>
    <t>WP_000429608.1</t>
  </si>
  <si>
    <t>R8N76_RS26005</t>
  </si>
  <si>
    <t>WP_000839313.1</t>
  </si>
  <si>
    <t>R8N76_RS26010</t>
  </si>
  <si>
    <t>WP_002195602.1</t>
  </si>
  <si>
    <t>R8N76_RS26015</t>
  </si>
  <si>
    <t>WP_001277646.1</t>
  </si>
  <si>
    <t>R8N76_RS26020</t>
  </si>
  <si>
    <t>WP_000752474.1</t>
  </si>
  <si>
    <t>R8N76_RS26025</t>
  </si>
  <si>
    <t>WP_000335241.1</t>
  </si>
  <si>
    <t>R8N76_RS26030</t>
  </si>
  <si>
    <t>WP_000889737.1</t>
  </si>
  <si>
    <t>R8N76_RS26035</t>
  </si>
  <si>
    <t>WP_001186921.1</t>
  </si>
  <si>
    <t>R8N76_RS26040</t>
  </si>
  <si>
    <t>DUF4018 domain-containing protein</t>
  </si>
  <si>
    <t>WP_000860478.1</t>
  </si>
  <si>
    <t>R8N76_RS26045</t>
  </si>
  <si>
    <t>WP_001014397.1</t>
  </si>
  <si>
    <t>R8N76_RS26050</t>
  </si>
  <si>
    <t>WP_000608784.1</t>
  </si>
  <si>
    <t>R8N76_RS26055</t>
  </si>
  <si>
    <t>WP_000991882.1</t>
  </si>
  <si>
    <t>R8N76_RS26060</t>
  </si>
  <si>
    <t>WP_000448311.1</t>
  </si>
  <si>
    <t>R8N76_RS26065</t>
  </si>
  <si>
    <t>WP_000602672.1</t>
  </si>
  <si>
    <t>R8N76_RS26070</t>
  </si>
  <si>
    <t>WP_000433609.1</t>
  </si>
  <si>
    <t>R8N76_RS26075</t>
  </si>
  <si>
    <t>WP_000364499.1</t>
  </si>
  <si>
    <t>R8N76_RS26080</t>
  </si>
  <si>
    <t>WP_000506639.1</t>
  </si>
  <si>
    <t>R8N76_RS26085</t>
  </si>
  <si>
    <t>kinase</t>
  </si>
  <si>
    <t>WP_000106106.1</t>
  </si>
  <si>
    <t>R8N76_RS26090</t>
  </si>
  <si>
    <t>HAD-IA family hydrolase</t>
  </si>
  <si>
    <t>WP_001024248.1</t>
  </si>
  <si>
    <t>R8N76_RS26095</t>
  </si>
  <si>
    <t>WP_000845555.1</t>
  </si>
  <si>
    <t>R8N76_RS26100</t>
  </si>
  <si>
    <t>WP_000974619.1</t>
  </si>
  <si>
    <t>R8N76_RS26105</t>
  </si>
  <si>
    <t>WP_000809113.1</t>
  </si>
  <si>
    <t>R8N76_RS26110</t>
  </si>
  <si>
    <t>WP_000935911.1</t>
  </si>
  <si>
    <t>R8N76_RS26115</t>
  </si>
  <si>
    <t>WP_001028237.1</t>
  </si>
  <si>
    <t>R8N76_RS26120</t>
  </si>
  <si>
    <t>WP_000727444.1</t>
  </si>
  <si>
    <t>R8N76_RS26125</t>
  </si>
  <si>
    <t>fatty acid desaturase</t>
  </si>
  <si>
    <t>WP_000171504.1</t>
  </si>
  <si>
    <t>R8N76_RS26130</t>
  </si>
  <si>
    <t>WP_025687456.1</t>
  </si>
  <si>
    <t>R8N76_RS26135</t>
  </si>
  <si>
    <t>WP_000079993.1</t>
  </si>
  <si>
    <t>R8N76_RS26140</t>
  </si>
  <si>
    <t>WP_000250758.1</t>
  </si>
  <si>
    <t>R8N76_RS26145</t>
  </si>
  <si>
    <t>M20/M25/M40 family metallo-hydrolase</t>
  </si>
  <si>
    <t>WP_000049572.1</t>
  </si>
  <si>
    <t>R8N76_RS26150</t>
  </si>
  <si>
    <t>WP_000360723.1</t>
  </si>
  <si>
    <t>R8N76_RS26155</t>
  </si>
  <si>
    <t>glutamate 5-kinase</t>
  </si>
  <si>
    <t>proB</t>
  </si>
  <si>
    <t>WP_000744804.1</t>
  </si>
  <si>
    <t>R8N76_RS26160</t>
  </si>
  <si>
    <t>glutamate-5-semialdehyde dehydrogenase</t>
  </si>
  <si>
    <t>WP_001006614.1</t>
  </si>
  <si>
    <t>R8N76_RS26165</t>
  </si>
  <si>
    <t>WP_000273596.1</t>
  </si>
  <si>
    <t>R8N76_RS26170</t>
  </si>
  <si>
    <t>WP_000532735.1</t>
  </si>
  <si>
    <t>R8N76_RS26175</t>
  </si>
  <si>
    <t>WP_000454564.1</t>
  </si>
  <si>
    <t>R8N76_RS26180</t>
  </si>
  <si>
    <t>WP_000769364.1</t>
  </si>
  <si>
    <t>R8N76_RS26185</t>
  </si>
  <si>
    <t>heme-degrading monooxygenase HmoA</t>
  </si>
  <si>
    <t>hmoA</t>
  </si>
  <si>
    <t>WP_000469496.1</t>
  </si>
  <si>
    <t>R8N76_RS26190</t>
  </si>
  <si>
    <t>WP_000773075.1</t>
  </si>
  <si>
    <t>R8N76_RS26195</t>
  </si>
  <si>
    <t>3-hydroxy-5-phosphonooxypentane-2,4-dione thiolase</t>
  </si>
  <si>
    <t>lsrF</t>
  </si>
  <si>
    <t>WP_000219772.1</t>
  </si>
  <si>
    <t>R8N76_RS26200</t>
  </si>
  <si>
    <t>WP_000909986.1</t>
  </si>
  <si>
    <t>R8N76_RS26205</t>
  </si>
  <si>
    <t>autoinducer-2 kinase</t>
  </si>
  <si>
    <t>lsrK</t>
  </si>
  <si>
    <t>WP_000018810.1</t>
  </si>
  <si>
    <t>R8N76_RS26210</t>
  </si>
  <si>
    <t>WP_000192708.1</t>
  </si>
  <si>
    <t>R8N76_RS26215</t>
  </si>
  <si>
    <t>WP_000432615.1</t>
  </si>
  <si>
    <t>R8N76_RS26220</t>
  </si>
  <si>
    <t>WP_000682144.1</t>
  </si>
  <si>
    <t>R8N76_RS26225</t>
  </si>
  <si>
    <t>WP_406627537.1</t>
  </si>
  <si>
    <t>R8N76_RS26230</t>
  </si>
  <si>
    <t>autoinducer 2 ABC transporter substrate-binding protein LsrB</t>
  </si>
  <si>
    <t>lsrB</t>
  </si>
  <si>
    <t>WP_000823665.1</t>
  </si>
  <si>
    <t>R8N76_RS26235</t>
  </si>
  <si>
    <t>malate:quinone oxidoreductase</t>
  </si>
  <si>
    <t>WP_000069140.1</t>
  </si>
  <si>
    <t>R8N76_RS26240</t>
  </si>
  <si>
    <t>DUF2332 domain-containing protein</t>
  </si>
  <si>
    <t>WP_000337441.1</t>
  </si>
  <si>
    <t>R8N76_RS26245</t>
  </si>
  <si>
    <t>WP_001999997.1</t>
  </si>
  <si>
    <t>R8N76_RS26250</t>
  </si>
  <si>
    <t>R8N76_RS26255</t>
  </si>
  <si>
    <t>R8N76_RS26260</t>
  </si>
  <si>
    <t>WP_000687535.1</t>
  </si>
  <si>
    <t>R8N76_RS26265</t>
  </si>
  <si>
    <t>WP_001071242.1</t>
  </si>
  <si>
    <t>R8N76_RS26270</t>
  </si>
  <si>
    <t>cell wall-binding protein EntB</t>
  </si>
  <si>
    <t>entB</t>
  </si>
  <si>
    <t>WP_078223940.1</t>
  </si>
  <si>
    <t>R8N76_RS26275</t>
  </si>
  <si>
    <t>R8N76_RS26280</t>
  </si>
  <si>
    <t>WP_000070150.1</t>
  </si>
  <si>
    <t>R8N76_RS26285</t>
  </si>
  <si>
    <t>YfzA family protein</t>
  </si>
  <si>
    <t>WP_000502345.1</t>
  </si>
  <si>
    <t>R8N76_RS26290</t>
  </si>
  <si>
    <t>R8N76_RS26295</t>
  </si>
  <si>
    <t>WP_000898772.1</t>
  </si>
  <si>
    <t>R8N76_RS26300</t>
  </si>
  <si>
    <t>WP_000709539.1</t>
  </si>
  <si>
    <t>R8N76_RS26305</t>
  </si>
  <si>
    <t>WP_000997702.1</t>
  </si>
  <si>
    <t>R8N76_RS26310</t>
  </si>
  <si>
    <t>DUF4020 domain-containing protein</t>
  </si>
  <si>
    <t>WP_000265216.1</t>
  </si>
  <si>
    <t>R8N76_RS26315</t>
  </si>
  <si>
    <t>WP_001273575.1</t>
  </si>
  <si>
    <t>R8N76_RS26320</t>
  </si>
  <si>
    <t>WP_001269425.1</t>
  </si>
  <si>
    <t>R8N76_RS26325</t>
  </si>
  <si>
    <t>WP_001197251.1</t>
  </si>
  <si>
    <t>R8N76_RS26330</t>
  </si>
  <si>
    <t>prephenate dehydrogenase</t>
  </si>
  <si>
    <t>tyrA</t>
  </si>
  <si>
    <t>WP_001228138.1</t>
  </si>
  <si>
    <t>R8N76_RS26335</t>
  </si>
  <si>
    <t>3-phosphoshikimate 1-carboxyvinyltransferase</t>
  </si>
  <si>
    <t>aroA</t>
  </si>
  <si>
    <t>WP_000664630.1</t>
  </si>
  <si>
    <t>R8N76_RS26340</t>
  </si>
  <si>
    <t>enhanced intracellular survival protein Eis</t>
  </si>
  <si>
    <t>eis</t>
  </si>
  <si>
    <t>WP_001100925.1</t>
  </si>
  <si>
    <t>R8N76_RS26345</t>
  </si>
  <si>
    <t>WP_001107299.1</t>
  </si>
  <si>
    <t>R8N76_RS26350</t>
  </si>
  <si>
    <t>WP_000040230.1</t>
  </si>
  <si>
    <t>R8N76_RS26355</t>
  </si>
  <si>
    <t>WP_001093196.1</t>
  </si>
  <si>
    <t>R8N76_RS26360</t>
  </si>
  <si>
    <t>WP_000633864.1</t>
  </si>
  <si>
    <t>R8N76_RS26365</t>
  </si>
  <si>
    <t>WP_000808769.1</t>
  </si>
  <si>
    <t>R8N76_RS26370</t>
  </si>
  <si>
    <t>WP_000346930.1</t>
  </si>
  <si>
    <t>R8N76_RS26375</t>
  </si>
  <si>
    <t>WP_000637702.1</t>
  </si>
  <si>
    <t>R8N76_RS26380</t>
  </si>
  <si>
    <t>WP_000551452.1</t>
  </si>
  <si>
    <t>R8N76_RS26385</t>
  </si>
  <si>
    <t>WP_000371021.1</t>
  </si>
  <si>
    <t>R8N76_RS26390</t>
  </si>
  <si>
    <t>WP_000800667.1</t>
  </si>
  <si>
    <t>R8N76_RS26395</t>
  </si>
  <si>
    <t>WP_000923472.1</t>
  </si>
  <si>
    <t>R8N76_RS26400</t>
  </si>
  <si>
    <t>R8N76_RS26405</t>
  </si>
  <si>
    <t>WP_001102490.1</t>
  </si>
  <si>
    <t>R8N76_RS26410</t>
  </si>
  <si>
    <t>WP_000620314.1</t>
  </si>
  <si>
    <t>R8N76_RS26415</t>
  </si>
  <si>
    <t>R8N76_RS26420</t>
  </si>
  <si>
    <t>WP_000644594.1</t>
  </si>
  <si>
    <t>R8N76_RS26425</t>
  </si>
  <si>
    <t>WP_001053116.1</t>
  </si>
  <si>
    <t>R8N76_RS26430</t>
  </si>
  <si>
    <t>aminoglycoside N(3)-acetyltransferase</t>
  </si>
  <si>
    <t>WP_000783346.1</t>
  </si>
  <si>
    <t>R8N76_RS26435</t>
  </si>
  <si>
    <t>phosphopantothenoylcysteine decarboxylase</t>
  </si>
  <si>
    <t>WP_000676726.1</t>
  </si>
  <si>
    <t>R8N76_RS26440</t>
  </si>
  <si>
    <t>WP_000400636.1</t>
  </si>
  <si>
    <t>R8N76_RS26445</t>
  </si>
  <si>
    <t>WP_000869230.1</t>
  </si>
  <si>
    <t>R8N76_RS26450</t>
  </si>
  <si>
    <t>WP_001037883.1</t>
  </si>
  <si>
    <t>R8N76_RS26455</t>
  </si>
  <si>
    <t>WP_000822620.1</t>
  </si>
  <si>
    <t>R8N76_RS26460</t>
  </si>
  <si>
    <t>WP_000691336.1</t>
  </si>
  <si>
    <t>R8N76_RS26465</t>
  </si>
  <si>
    <t>WP_000218576.1</t>
  </si>
  <si>
    <t>R8N76_RS26470</t>
  </si>
  <si>
    <t>aliphatic sulfonate ABC transporter substrate-binding protein</t>
  </si>
  <si>
    <t>WP_000276908.1</t>
  </si>
  <si>
    <t>R8N76_RS26475</t>
  </si>
  <si>
    <t>WP_000432128.1</t>
  </si>
  <si>
    <t>R8N76_RS26480</t>
  </si>
  <si>
    <t>FMNH2-dependent alkanesulfonate monooxygenase</t>
  </si>
  <si>
    <t>ssuD</t>
  </si>
  <si>
    <t>WP_000422255.1</t>
  </si>
  <si>
    <t>R8N76_RS26485</t>
  </si>
  <si>
    <t>putative holin-like toxin</t>
  </si>
  <si>
    <t>WP_001289320.1</t>
  </si>
  <si>
    <t>R8N76_RS26490</t>
  </si>
  <si>
    <t>WP_000189709.1</t>
  </si>
  <si>
    <t>R8N76_RS26495</t>
  </si>
  <si>
    <t>WP_000837892.1</t>
  </si>
  <si>
    <t>R8N76_RS26500</t>
  </si>
  <si>
    <t>YrzI family small protein</t>
  </si>
  <si>
    <t>WP_000668485.1</t>
  </si>
  <si>
    <t>R8N76_RS26505</t>
  </si>
  <si>
    <t>WP_000669806.1</t>
  </si>
  <si>
    <t>R8N76_RS26510</t>
  </si>
  <si>
    <t>WP_000669805.1</t>
  </si>
  <si>
    <t>R8N76_RS26515</t>
  </si>
  <si>
    <t>WP_000668965.1</t>
  </si>
  <si>
    <t>R8N76_RS26520</t>
  </si>
  <si>
    <t>WP_000142712.1</t>
  </si>
  <si>
    <t>R8N76_RS26525</t>
  </si>
  <si>
    <t>WP_000156193.1</t>
  </si>
  <si>
    <t>R8N76_RS26530</t>
  </si>
  <si>
    <t>DUF4825 domain-containing protein</t>
  </si>
  <si>
    <t>WP_000876526.1</t>
  </si>
  <si>
    <t>R8N76_RS26535</t>
  </si>
  <si>
    <t>WP_000424637.1</t>
  </si>
  <si>
    <t>R8N76_RS26540</t>
  </si>
  <si>
    <t>WP_000805185.1</t>
  </si>
  <si>
    <t>R8N76_RS26545</t>
  </si>
  <si>
    <t>WP_000560921.1</t>
  </si>
  <si>
    <t>R8N76_RS26550</t>
  </si>
  <si>
    <t>DUF4052 domain-containing protein</t>
  </si>
  <si>
    <t>WP_000178199.1</t>
  </si>
  <si>
    <t>R8N76_RS26555</t>
  </si>
  <si>
    <t>WP_000502970.1</t>
  </si>
  <si>
    <t>R8N76_RS26560</t>
  </si>
  <si>
    <t>WP_001259199.1</t>
  </si>
  <si>
    <t>R8N76_RS26565</t>
  </si>
  <si>
    <t>type II pantothenate kinase</t>
  </si>
  <si>
    <t>coaW</t>
  </si>
  <si>
    <t>WP_000442504.1</t>
  </si>
  <si>
    <t>R8N76_RS26570</t>
  </si>
  <si>
    <t>3-hydroxyacyl-ACP dehydratase FabZ family protein</t>
  </si>
  <si>
    <t>WP_000547649.1</t>
  </si>
  <si>
    <t>R8N76_RS26575</t>
  </si>
  <si>
    <t>LL-diaminopimelate aminotransferase</t>
  </si>
  <si>
    <t>WP_000222693.1</t>
  </si>
  <si>
    <t>R8N76_RS26580</t>
  </si>
  <si>
    <t>WP_000757022.1</t>
  </si>
  <si>
    <t>R8N76_RS26585</t>
  </si>
  <si>
    <t>WP_001279463.1</t>
  </si>
  <si>
    <t>R8N76_RS26590</t>
  </si>
  <si>
    <t>R8N76_RS26595</t>
  </si>
  <si>
    <t>exosporium protein ExsC</t>
  </si>
  <si>
    <t>exsC</t>
  </si>
  <si>
    <t>WP_000148808.1</t>
  </si>
  <si>
    <t>R8N76_RS26600</t>
  </si>
  <si>
    <t>YqbF domain-containing protein</t>
  </si>
  <si>
    <t>WP_000291905.1</t>
  </si>
  <si>
    <t>R8N76_RS26605</t>
  </si>
  <si>
    <t>WP_000071475.1</t>
  </si>
  <si>
    <t>R8N76_RS26610</t>
  </si>
  <si>
    <t>WP_000031317.1</t>
  </si>
  <si>
    <t>R8N76_RS26615</t>
  </si>
  <si>
    <t>DUF3970 family protein</t>
  </si>
  <si>
    <t>WP_000621877.1</t>
  </si>
  <si>
    <t>R8N76_RS26620</t>
  </si>
  <si>
    <t>WP_001223682.1</t>
  </si>
  <si>
    <t>R8N76_RS26625</t>
  </si>
  <si>
    <t>WP_000638306.1</t>
  </si>
  <si>
    <t>R8N76_RS26630</t>
  </si>
  <si>
    <t>WP_000834883.1</t>
  </si>
  <si>
    <t>R8N76_RS26635</t>
  </si>
  <si>
    <t>WP_000959548.1</t>
  </si>
  <si>
    <t>R8N76_RS26640</t>
  </si>
  <si>
    <t>YjgB family protein</t>
  </si>
  <si>
    <t>WP_011110177.1</t>
  </si>
  <si>
    <t>R8N76_RS26645</t>
  </si>
  <si>
    <t>WP_001108464.1</t>
  </si>
  <si>
    <t>R8N76_RS26650</t>
  </si>
  <si>
    <t>WP_000470210.1</t>
  </si>
  <si>
    <t>R8N76_RS26655</t>
  </si>
  <si>
    <t>YhbD family protein</t>
  </si>
  <si>
    <t>WP_000102257.1</t>
  </si>
  <si>
    <t>R8N76_RS26660</t>
  </si>
  <si>
    <t>polymer-forming cytoskeletal protein</t>
  </si>
  <si>
    <t>WP_001258384.1</t>
  </si>
  <si>
    <t>R8N76_RS26665</t>
  </si>
  <si>
    <t>WP_000400906.1</t>
  </si>
  <si>
    <t>R8N76_RS26670</t>
  </si>
  <si>
    <t>WP_000229651.1</t>
  </si>
  <si>
    <t>R8N76_RS26675</t>
  </si>
  <si>
    <t>WP_001062733.1</t>
  </si>
  <si>
    <t>R8N76_RS26680</t>
  </si>
  <si>
    <t>BC_2878 family exosporium-associated protein</t>
  </si>
  <si>
    <t>WP_000501707.1</t>
  </si>
  <si>
    <t>R8N76_RS26685</t>
  </si>
  <si>
    <t>WP_000638727.1</t>
  </si>
  <si>
    <t>R8N76_RS26690</t>
  </si>
  <si>
    <t>WP_000027166.1</t>
  </si>
  <si>
    <t>R8N76_RS26695</t>
  </si>
  <si>
    <t>WP_000333030.1</t>
  </si>
  <si>
    <t>R8N76_RS26700</t>
  </si>
  <si>
    <t>spore coat protein W</t>
  </si>
  <si>
    <t>WP_000342253.1</t>
  </si>
  <si>
    <t>R8N76_RS26705</t>
  </si>
  <si>
    <t>WP_000361676.1</t>
  </si>
  <si>
    <t>R8N76_RS26710</t>
  </si>
  <si>
    <t>WP_000538278.1</t>
  </si>
  <si>
    <t>R8N76_RS26715</t>
  </si>
  <si>
    <t>M3 family metallopeptidase</t>
  </si>
  <si>
    <t>WP_001158171.1</t>
  </si>
  <si>
    <t>R8N76_RS26720</t>
  </si>
  <si>
    <t>WP_000372664.1</t>
  </si>
  <si>
    <t>R8N76_RS26725</t>
  </si>
  <si>
    <t>5'-methylthioadenosine/adenosylhomocysteine nucleosidase</t>
  </si>
  <si>
    <t>WP_001082284.1</t>
  </si>
  <si>
    <t>R8N76_RS26730</t>
  </si>
  <si>
    <t>HAD hydrolase-like protein</t>
  </si>
  <si>
    <t>WP_000938422.1</t>
  </si>
  <si>
    <t>R8N76_RS26735</t>
  </si>
  <si>
    <t>WP_000916629.1</t>
  </si>
  <si>
    <t>R8N76_RS26740</t>
  </si>
  <si>
    <t>WP_002195629.1</t>
  </si>
  <si>
    <t>R8N76_RS26745</t>
  </si>
  <si>
    <t>WP_000591778.1</t>
  </si>
  <si>
    <t>R8N76_RS26750</t>
  </si>
  <si>
    <t>WP_000865977.1</t>
  </si>
  <si>
    <t>R8N76_RS26755</t>
  </si>
  <si>
    <t>WP_001037254.1</t>
  </si>
  <si>
    <t>R8N76_RS26760</t>
  </si>
  <si>
    <t>WP_000823432.1</t>
  </si>
  <si>
    <t>R8N76_RS26765</t>
  </si>
  <si>
    <t>Xaa-Pro dipeptidyl-peptidase</t>
  </si>
  <si>
    <t>WP_000038291.1</t>
  </si>
  <si>
    <t>R8N76_RS26770</t>
  </si>
  <si>
    <t>WP_000490911.1</t>
  </si>
  <si>
    <t>R8N76_RS26775</t>
  </si>
  <si>
    <t>WP_000767065.1</t>
  </si>
  <si>
    <t>R8N76_RS26780</t>
  </si>
  <si>
    <t>WP_000432421.1</t>
  </si>
  <si>
    <t>R8N76_RS26785</t>
  </si>
  <si>
    <t>WP_000789031.1</t>
  </si>
  <si>
    <t>R8N76_RS26790</t>
  </si>
  <si>
    <t>WP_000400680.1</t>
  </si>
  <si>
    <t>R8N76_RS26795</t>
  </si>
  <si>
    <t>WP_000981424.1</t>
  </si>
  <si>
    <t>R8N76_RS26800</t>
  </si>
  <si>
    <t>WP_000559349.1</t>
  </si>
  <si>
    <t>R8N76_RS26805</t>
  </si>
  <si>
    <t>septum formation initiator family protein</t>
  </si>
  <si>
    <t>WP_001228738.1</t>
  </si>
  <si>
    <t>R8N76_RS26810</t>
  </si>
  <si>
    <t>DUF3870 domain-containing protein</t>
  </si>
  <si>
    <t>WP_000271313.1</t>
  </si>
  <si>
    <t>R8N76_RS26815</t>
  </si>
  <si>
    <t>dipeptide epimerase</t>
  </si>
  <si>
    <t>WP_001038463.1</t>
  </si>
  <si>
    <t>R8N76_RS26820</t>
  </si>
  <si>
    <t>C40 family peptidase</t>
  </si>
  <si>
    <t>WP_000755419.1</t>
  </si>
  <si>
    <t>R8N76_RS26825</t>
  </si>
  <si>
    <t>WP_000755972.1</t>
  </si>
  <si>
    <t>R8N76_RS26830</t>
  </si>
  <si>
    <t>WP_000061616.1</t>
  </si>
  <si>
    <t>R8N76_RS26835</t>
  </si>
  <si>
    <t>WP_000782307.1</t>
  </si>
  <si>
    <t>R8N76_RS26840</t>
  </si>
  <si>
    <t>WP_000289920.1</t>
  </si>
  <si>
    <t>R8N76_RS26845</t>
  </si>
  <si>
    <t>WP_000952920.1</t>
  </si>
  <si>
    <t>R8N76_RS26850</t>
  </si>
  <si>
    <t>WP_000447231.1</t>
  </si>
  <si>
    <t>R8N76_RS26855</t>
  </si>
  <si>
    <t>WP_000914478.1</t>
  </si>
  <si>
    <t>R8N76_RS26860</t>
  </si>
  <si>
    <t>YxcD family protein</t>
  </si>
  <si>
    <t>WP_000447746.1</t>
  </si>
  <si>
    <t>R8N76_RS26865</t>
  </si>
  <si>
    <t>WP_001286089.1</t>
  </si>
  <si>
    <t>R8N76_RS26870</t>
  </si>
  <si>
    <t>WP_000087065.1</t>
  </si>
  <si>
    <t>R8N76_RS26875</t>
  </si>
  <si>
    <t>WP_000182617.1</t>
  </si>
  <si>
    <t>R8N76_RS26880</t>
  </si>
  <si>
    <t>WP_000885732.1</t>
  </si>
  <si>
    <t>R8N76_RS26885</t>
  </si>
  <si>
    <t>WP_001215235.1</t>
  </si>
  <si>
    <t>R8N76_RS26890</t>
  </si>
  <si>
    <t>WP_001257541.1</t>
  </si>
  <si>
    <t>R8N76_RS26895</t>
  </si>
  <si>
    <t>WP_001025560.1</t>
  </si>
  <si>
    <t>R8N76_RS26900</t>
  </si>
  <si>
    <t>WP_001169452.1</t>
  </si>
  <si>
    <t>R8N76_RS26905</t>
  </si>
  <si>
    <t>aldehyde dehydrogenase family protein</t>
  </si>
  <si>
    <t>WP_000920973.1</t>
  </si>
  <si>
    <t>R8N76_RS26910</t>
  </si>
  <si>
    <t>WP_000429527.1</t>
  </si>
  <si>
    <t>R8N76_RS26915</t>
  </si>
  <si>
    <t>WP_001999958.1</t>
  </si>
  <si>
    <t>R8N76_RS26920</t>
  </si>
  <si>
    <t>WP_000875112.1</t>
  </si>
  <si>
    <t>R8N76_RS26925</t>
  </si>
  <si>
    <t>WP_001245258.1</t>
  </si>
  <si>
    <t>R8N76_RS26930</t>
  </si>
  <si>
    <t>lytic polysaccharide monooxygenase</t>
  </si>
  <si>
    <t>WP_000742279.1</t>
  </si>
  <si>
    <t>R8N76_RS26935</t>
  </si>
  <si>
    <t>manganese-dependent inorganic pyrophosphatase</t>
  </si>
  <si>
    <t>ppaC</t>
  </si>
  <si>
    <t>WP_000416873.1</t>
  </si>
  <si>
    <t>R8N76_RS26940</t>
  </si>
  <si>
    <t>WP_000481363.1</t>
  </si>
  <si>
    <t>R8N76_RS26945</t>
  </si>
  <si>
    <t>DUF4017 family protein</t>
  </si>
  <si>
    <t>WP_000789485.1</t>
  </si>
  <si>
    <t>R8N76_RS26950</t>
  </si>
  <si>
    <t>DUF6884 domain-containing protein</t>
  </si>
  <si>
    <t>WP_000820906.1</t>
  </si>
  <si>
    <t>R8N76_RS26955</t>
  </si>
  <si>
    <t>WP_000135290.1</t>
  </si>
  <si>
    <t>R8N76_RS26960</t>
  </si>
  <si>
    <t>WP_000540607.1</t>
  </si>
  <si>
    <t>R8N76_RS26965</t>
  </si>
  <si>
    <t>WP_000503003.1</t>
  </si>
  <si>
    <t>R8N76_RS26970</t>
  </si>
  <si>
    <t>IS3-like element ISBce19 family transposase</t>
  </si>
  <si>
    <t>WP_085964692.1</t>
  </si>
  <si>
    <t>R8N76_RS26975</t>
  </si>
  <si>
    <t>WP_000877569.1</t>
  </si>
  <si>
    <t>R8N76_RS26980</t>
  </si>
  <si>
    <t>WP_000606231.1</t>
  </si>
  <si>
    <t>R8N76_RS26985</t>
  </si>
  <si>
    <t>WP_000287730.1</t>
  </si>
  <si>
    <t>R8N76_RS26990</t>
  </si>
  <si>
    <t>DNA helicase RecQ</t>
  </si>
  <si>
    <t>WP_000494262.1</t>
  </si>
  <si>
    <t>R8N76_RS26995</t>
  </si>
  <si>
    <t>gamma-glutamylcyclotransferase</t>
  </si>
  <si>
    <t>WP_000274908.1</t>
  </si>
  <si>
    <t>R8N76_RS27000</t>
  </si>
  <si>
    <t>WP_001099768.1</t>
  </si>
  <si>
    <t>R8N76_RS27005</t>
  </si>
  <si>
    <t>R8N76_RS27010</t>
  </si>
  <si>
    <t>R8N76_RS27015</t>
  </si>
  <si>
    <t>WP_000380304.1</t>
  </si>
  <si>
    <t>R8N76_RS27020</t>
  </si>
  <si>
    <t>HAAS signaling domain-containing protein</t>
  </si>
  <si>
    <t>WP_000052351.1</t>
  </si>
  <si>
    <t>R8N76_RS27025</t>
  </si>
  <si>
    <t>WP_000617516.1</t>
  </si>
  <si>
    <t>R8N76_RS27030</t>
  </si>
  <si>
    <t>WP_000450748.1</t>
  </si>
  <si>
    <t>R8N76_RS27035</t>
  </si>
  <si>
    <t>WP_000827995.1</t>
  </si>
  <si>
    <t>R8N76_RS27040</t>
  </si>
  <si>
    <t>WP_000680410.1</t>
  </si>
  <si>
    <t>R8N76_RS27045</t>
  </si>
  <si>
    <t>R8N76_RS27050</t>
  </si>
  <si>
    <t>MmcQ/YjbR family DNA-binding protein</t>
  </si>
  <si>
    <t>WP_000994620.1</t>
  </si>
  <si>
    <t>R8N76_RS27055</t>
  </si>
  <si>
    <t>WP_000655263.1</t>
  </si>
  <si>
    <t>R8N76_RS27060</t>
  </si>
  <si>
    <t>DUF2809 domain-containing protein</t>
  </si>
  <si>
    <t>WP_001093464.1</t>
  </si>
  <si>
    <t>R8N76_RS27065</t>
  </si>
  <si>
    <t>DNA topology modulation protein</t>
  </si>
  <si>
    <t>WP_000720561.1</t>
  </si>
  <si>
    <t>R8N76_RS27070</t>
  </si>
  <si>
    <t>SUMF1/EgtB/PvdO family nonheme iron enzyme</t>
  </si>
  <si>
    <t>WP_000180345.1</t>
  </si>
  <si>
    <t>R8N76_RS27075</t>
  </si>
  <si>
    <t>WP_000124880.1</t>
  </si>
  <si>
    <t>R8N76_RS27080</t>
  </si>
  <si>
    <t>WP_001065157.1</t>
  </si>
  <si>
    <t>R8N76_RS27085</t>
  </si>
  <si>
    <t>WP_001190882.1</t>
  </si>
  <si>
    <t>R8N76_RS27090</t>
  </si>
  <si>
    <t>ribose 5-phosphate isomerase A</t>
  </si>
  <si>
    <t>rpiA</t>
  </si>
  <si>
    <t>WP_001049992.1</t>
  </si>
  <si>
    <t>R8N76_RS27095</t>
  </si>
  <si>
    <t>2Fe-2S iron-sulfur cluster-binding protein</t>
  </si>
  <si>
    <t>WP_001125388.1</t>
  </si>
  <si>
    <t>R8N76_RS27100</t>
  </si>
  <si>
    <t>RNA polymerase subunit sigma-70</t>
  </si>
  <si>
    <t>WP_000337509.1</t>
  </si>
  <si>
    <t>R8N76_RS27105</t>
  </si>
  <si>
    <t>WP_001092372.1</t>
  </si>
  <si>
    <t>R8N76_RS27110</t>
  </si>
  <si>
    <t>glycine betaine ABC transporter substrate-binding protein</t>
  </si>
  <si>
    <t>WP_001227625.1</t>
  </si>
  <si>
    <t>R8N76_RS27115</t>
  </si>
  <si>
    <t>glycine betaine/L-proline ABC transporter ATP-binding protein</t>
  </si>
  <si>
    <t>WP_000370606.1</t>
  </si>
  <si>
    <t>R8N76_RS27120</t>
  </si>
  <si>
    <t>proline/glycine betaine ABC transporter permease</t>
  </si>
  <si>
    <t>WP_001084759.1</t>
  </si>
  <si>
    <t>R8N76_RS27125</t>
  </si>
  <si>
    <t>WP_000283219.1</t>
  </si>
  <si>
    <t>R8N76_RS27130</t>
  </si>
  <si>
    <t>WP_000508397.1</t>
  </si>
  <si>
    <t>R8N76_RS27135</t>
  </si>
  <si>
    <t>WP_002195555.1</t>
  </si>
  <si>
    <t>R8N76_RS27140</t>
  </si>
  <si>
    <t>PP2C family serine/threonine-protein phosphatase</t>
  </si>
  <si>
    <t>WP_000557576.1</t>
  </si>
  <si>
    <t>R8N76_RS27145</t>
  </si>
  <si>
    <t>DUF4181 domain-containing protein</t>
  </si>
  <si>
    <t>WP_078214853.1</t>
  </si>
  <si>
    <t>R8N76_RS27150</t>
  </si>
  <si>
    <t>WP_000795351.1</t>
  </si>
  <si>
    <t>R8N76_RS27155</t>
  </si>
  <si>
    <t>WP_000501285.1</t>
  </si>
  <si>
    <t>R8N76_RS27160</t>
  </si>
  <si>
    <t>WP_000901214.1</t>
  </si>
  <si>
    <t>R8N76_RS27165</t>
  </si>
  <si>
    <t>WP_001034812.1</t>
  </si>
  <si>
    <t>R8N76_RS27170</t>
  </si>
  <si>
    <t>WP_000233792.1</t>
  </si>
  <si>
    <t>R8N76_RS27175</t>
  </si>
  <si>
    <t>acetoin:2,6-dichlorophenolindophenol oxidoreductase subunit alpha</t>
  </si>
  <si>
    <t>acoA</t>
  </si>
  <si>
    <t>WP_000921272.1</t>
  </si>
  <si>
    <t>R8N76_RS27180</t>
  </si>
  <si>
    <t>acetoin:2,6-dichlorophenolindophenol oxidoreductase subunit beta</t>
  </si>
  <si>
    <t>acoB</t>
  </si>
  <si>
    <t>WP_000198892.1</t>
  </si>
  <si>
    <t>R8N76_RS27185</t>
  </si>
  <si>
    <t>WP_000257743.1</t>
  </si>
  <si>
    <t>R8N76_RS27190</t>
  </si>
  <si>
    <t>WP_000041217.1</t>
  </si>
  <si>
    <t>R8N76_RS27195</t>
  </si>
  <si>
    <t>WP_000914443.1</t>
  </si>
  <si>
    <t>R8N76_RS27200</t>
  </si>
  <si>
    <t>DUF4085 domain-containing protein</t>
  </si>
  <si>
    <t>WP_000873443.1</t>
  </si>
  <si>
    <t>R8N76_RS27205</t>
  </si>
  <si>
    <t>WP_000877650.1</t>
  </si>
  <si>
    <t>R8N76_RS27210</t>
  </si>
  <si>
    <t>WP_002041261.1</t>
  </si>
  <si>
    <t>R8N76_RS27215</t>
  </si>
  <si>
    <t>WP_000803253.1</t>
  </si>
  <si>
    <t>R8N76_RS27220</t>
  </si>
  <si>
    <t>WP_000493645.1</t>
  </si>
  <si>
    <t>R8N76_RS27225</t>
  </si>
  <si>
    <t>WP_000635682.1</t>
  </si>
  <si>
    <t>R8N76_RS27230</t>
  </si>
  <si>
    <t>NIPSNAP family protein</t>
  </si>
  <si>
    <t>WP_000499991.1</t>
  </si>
  <si>
    <t>R8N76_RS27235</t>
  </si>
  <si>
    <t>R8N76_RS27240</t>
  </si>
  <si>
    <t>DUF3977 family protein</t>
  </si>
  <si>
    <t>WP_000873828.1</t>
  </si>
  <si>
    <t>R8N76_RS27245</t>
  </si>
  <si>
    <t>WP_001079916.1</t>
  </si>
  <si>
    <t>R8N76_RS27250</t>
  </si>
  <si>
    <t>WP_000006415.1</t>
  </si>
  <si>
    <t>R8N76_RS27255</t>
  </si>
  <si>
    <t>WP_000195528.1</t>
  </si>
  <si>
    <t>R8N76_RS27260</t>
  </si>
  <si>
    <t>R8N76_RS27265</t>
  </si>
  <si>
    <t>WP_000798541.1</t>
  </si>
  <si>
    <t>R8N76_RS27270</t>
  </si>
  <si>
    <t>kynureninase</t>
  </si>
  <si>
    <t>kynU</t>
  </si>
  <si>
    <t>WP_000276298.1</t>
  </si>
  <si>
    <t>R8N76_RS27275</t>
  </si>
  <si>
    <t>arylformamidase</t>
  </si>
  <si>
    <t>kynB</t>
  </si>
  <si>
    <t>WP_000858074.1</t>
  </si>
  <si>
    <t>R8N76_RS27280</t>
  </si>
  <si>
    <t>tryptophan 2,3-dioxygenase</t>
  </si>
  <si>
    <t>kynA</t>
  </si>
  <si>
    <t>WP_000661957.1</t>
  </si>
  <si>
    <t>R8N76_RS27285</t>
  </si>
  <si>
    <t>WP_000346255.1</t>
  </si>
  <si>
    <t>R8N76_RS27290</t>
  </si>
  <si>
    <t>Pr6Pr family membrane protein</t>
  </si>
  <si>
    <t>WP_000650958.1</t>
  </si>
  <si>
    <t>R8N76_RS27295</t>
  </si>
  <si>
    <t>YqzG/YhdC family protein</t>
  </si>
  <si>
    <t>WP_000793369.1</t>
  </si>
  <si>
    <t>R8N76_RS27300</t>
  </si>
  <si>
    <t>spore cortex-lytic enzyme</t>
  </si>
  <si>
    <t>sleB</t>
  </si>
  <si>
    <t>WP_001249053.1</t>
  </si>
  <si>
    <t>R8N76_RS27305</t>
  </si>
  <si>
    <t>germination protein YpeB</t>
  </si>
  <si>
    <t>ypeB</t>
  </si>
  <si>
    <t>WP_000943727.1</t>
  </si>
  <si>
    <t>R8N76_RS27310</t>
  </si>
  <si>
    <t>WP_000854053.1</t>
  </si>
  <si>
    <t>R8N76_RS27315</t>
  </si>
  <si>
    <t>WP_000976444.1</t>
  </si>
  <si>
    <t>R8N76_RS27320</t>
  </si>
  <si>
    <t>WP_002025890.1</t>
  </si>
  <si>
    <t>R8N76_RS27325</t>
  </si>
  <si>
    <t>WP_001070829.1</t>
  </si>
  <si>
    <t>R8N76_RS27330</t>
  </si>
  <si>
    <t>DUF1697 domain-containing protein</t>
  </si>
  <si>
    <t>WP_000145144.1</t>
  </si>
  <si>
    <t>R8N76_RS27335</t>
  </si>
  <si>
    <t>WP_001093141.1</t>
  </si>
  <si>
    <t>R8N76_RS27340</t>
  </si>
  <si>
    <t>WP_000025622.1</t>
  </si>
  <si>
    <t>R8N76_RS27345</t>
  </si>
  <si>
    <t>WP_001257760.1</t>
  </si>
  <si>
    <t>R8N76_RS27350</t>
  </si>
  <si>
    <t>WP_001290782.1</t>
  </si>
  <si>
    <t>R8N76_RS27355</t>
  </si>
  <si>
    <t>WP_000706780.1</t>
  </si>
  <si>
    <t>R8N76_RS27360</t>
  </si>
  <si>
    <t>WP_000234337.1</t>
  </si>
  <si>
    <t>R8N76_RS27365</t>
  </si>
  <si>
    <t>WP_000490130.1</t>
  </si>
  <si>
    <t>R8N76_RS27370</t>
  </si>
  <si>
    <t>WP_000589640.1</t>
  </si>
  <si>
    <t>R8N76_RS27375</t>
  </si>
  <si>
    <t>WP_000869608.1</t>
  </si>
  <si>
    <t>R8N76_RS27380</t>
  </si>
  <si>
    <t>WP_000379366.1</t>
  </si>
  <si>
    <t>R8N76_RS27385</t>
  </si>
  <si>
    <t>WP_001171071.1</t>
  </si>
  <si>
    <t>R8N76_RS27390</t>
  </si>
  <si>
    <t>WP_000791446.1</t>
  </si>
  <si>
    <t>R8N76_RS27395</t>
  </si>
  <si>
    <t>WP_001167516.1</t>
  </si>
  <si>
    <t>R8N76_RS27400</t>
  </si>
  <si>
    <t>WP_000577694.1</t>
  </si>
  <si>
    <t>R8N76_RS27405</t>
  </si>
  <si>
    <t>WP_000273240.1</t>
  </si>
  <si>
    <t>R8N76_RS27410</t>
  </si>
  <si>
    <t>WP_001167131.1</t>
  </si>
  <si>
    <t>R8N76_RS27415</t>
  </si>
  <si>
    <t>WP_000540712.1</t>
  </si>
  <si>
    <t>R8N76_RS27420</t>
  </si>
  <si>
    <t>R8N76_RS27425</t>
  </si>
  <si>
    <t>DUF4180 domain-containing protein</t>
  </si>
  <si>
    <t>WP_000403456.1</t>
  </si>
  <si>
    <t>R8N76_RS27430</t>
  </si>
  <si>
    <t>MepB family protein</t>
  </si>
  <si>
    <t>WP_001058786.1</t>
  </si>
  <si>
    <t>R8N76_RS27435</t>
  </si>
  <si>
    <t>WP_000202746.1</t>
  </si>
  <si>
    <t>R8N76_RS27440</t>
  </si>
  <si>
    <t>WP_001147158.1</t>
  </si>
  <si>
    <t>R8N76_RS27445</t>
  </si>
  <si>
    <t>YdeI/OmpD-associated family protein</t>
  </si>
  <si>
    <t>WP_000110844.1</t>
  </si>
  <si>
    <t>R8N76_RS27450</t>
  </si>
  <si>
    <t>WP_000844385.1</t>
  </si>
  <si>
    <t>R8N76_RS27455</t>
  </si>
  <si>
    <t>NUDIX pyrophosphatase</t>
  </si>
  <si>
    <t>WP_001202590.1</t>
  </si>
  <si>
    <t>R8N76_RS27460</t>
  </si>
  <si>
    <t>serine/threonine protein kinase</t>
  </si>
  <si>
    <t>WP_000026539.1</t>
  </si>
  <si>
    <t>R8N76_RS27465</t>
  </si>
  <si>
    <t>WP_000964514.1</t>
  </si>
  <si>
    <t>R8N76_RS27470</t>
  </si>
  <si>
    <t>WP_011110150.1</t>
  </si>
  <si>
    <t>R8N76_RS27475</t>
  </si>
  <si>
    <t>WP_000026314.1</t>
  </si>
  <si>
    <t>R8N76_RS27480</t>
  </si>
  <si>
    <t>WP_000587699.1</t>
  </si>
  <si>
    <t>R8N76_RS27485</t>
  </si>
  <si>
    <t>sorbosone dehydrogenase family protein</t>
  </si>
  <si>
    <t>WP_000169990.1</t>
  </si>
  <si>
    <t>R8N76_RS27490</t>
  </si>
  <si>
    <t>WP_001103998.1</t>
  </si>
  <si>
    <t>R8N76_RS27495</t>
  </si>
  <si>
    <t>WP_000185966.1</t>
  </si>
  <si>
    <t>R8N76_RS27500</t>
  </si>
  <si>
    <t>nucleotide excision repair endonuclease</t>
  </si>
  <si>
    <t>WP_001048941.1</t>
  </si>
  <si>
    <t>R8N76_RS27505</t>
  </si>
  <si>
    <t>WP_000265476.1</t>
  </si>
  <si>
    <t>R8N76_RS27510</t>
  </si>
  <si>
    <t>WP_001104295.1</t>
  </si>
  <si>
    <t>R8N76_RS27515</t>
  </si>
  <si>
    <t>WP_000482062.1</t>
  </si>
  <si>
    <t>R8N76_RS27520</t>
  </si>
  <si>
    <t>WP_000409241.1</t>
  </si>
  <si>
    <t>R8N76_RS27525</t>
  </si>
  <si>
    <t>YfiT family bacillithiol transferase</t>
  </si>
  <si>
    <t>WP_000999070.1</t>
  </si>
  <si>
    <t>R8N76_RS27530</t>
  </si>
  <si>
    <t>R8N76_RS27535</t>
  </si>
  <si>
    <t>WP_000522472.1</t>
  </si>
  <si>
    <t>R8N76_RS27540</t>
  </si>
  <si>
    <t>WP_000789277.1</t>
  </si>
  <si>
    <t>R8N76_RS27545</t>
  </si>
  <si>
    <t>YxiJ-like family protein</t>
  </si>
  <si>
    <t>WP_000924178.1</t>
  </si>
  <si>
    <t>R8N76_RS27550</t>
  </si>
  <si>
    <t>WP_000800301.1</t>
  </si>
  <si>
    <t>R8N76_RS27555</t>
  </si>
  <si>
    <t>R8N76_RS27560</t>
  </si>
  <si>
    <t>WP_000799803.1</t>
  </si>
  <si>
    <t>R8N76_RS27565</t>
  </si>
  <si>
    <t>WP_001169716.1</t>
  </si>
  <si>
    <t>R8N76_RS27570</t>
  </si>
  <si>
    <t>LAGLIDADG family homing endonuclease</t>
  </si>
  <si>
    <t>WP_001165409.1</t>
  </si>
  <si>
    <t>R8N76_RS27575</t>
  </si>
  <si>
    <t>WP_001037063.1</t>
  </si>
  <si>
    <t>R8N76_RS27580</t>
  </si>
  <si>
    <t>WP_000721085.1</t>
  </si>
  <si>
    <t>R8N76_RS27585</t>
  </si>
  <si>
    <t>WP_000394467.1</t>
  </si>
  <si>
    <t>R8N76_RS27590</t>
  </si>
  <si>
    <t>WP_000757603.1</t>
  </si>
  <si>
    <t>R8N76_RS27595</t>
  </si>
  <si>
    <t>WP_000706722.1</t>
  </si>
  <si>
    <t>R8N76_RS27600</t>
  </si>
  <si>
    <t>cadmium resistance transporter</t>
  </si>
  <si>
    <t>WP_000633409.1</t>
  </si>
  <si>
    <t>R8N76_RS27605</t>
  </si>
  <si>
    <t>WP_000815164.1</t>
  </si>
  <si>
    <t>R8N76_RS27610</t>
  </si>
  <si>
    <t>WP_000653680.1</t>
  </si>
  <si>
    <t>R8N76_RS27615</t>
  </si>
  <si>
    <t>WP_000288895.1</t>
  </si>
  <si>
    <t>R8N76_RS27620</t>
  </si>
  <si>
    <t>WP_001071389.1</t>
  </si>
  <si>
    <t>R8N76_RS27625</t>
  </si>
  <si>
    <t>R8N76_RS27630</t>
  </si>
  <si>
    <t>divalent cation tolerance protein CutA</t>
  </si>
  <si>
    <t>cutA</t>
  </si>
  <si>
    <t>WP_001160791.1</t>
  </si>
  <si>
    <t>R8N76_RS27635</t>
  </si>
  <si>
    <t>WP_001102671.1</t>
  </si>
  <si>
    <t>R8N76_RS27640</t>
  </si>
  <si>
    <t>R8N76_RS27645</t>
  </si>
  <si>
    <t>glycosyl hydrolase family 8</t>
  </si>
  <si>
    <t>WP_001013588.1</t>
  </si>
  <si>
    <t>R8N76_RS27650</t>
  </si>
  <si>
    <t>R8N76_RS27655</t>
  </si>
  <si>
    <t>WP_000205592.1</t>
  </si>
  <si>
    <t>R8N76_RS27660</t>
  </si>
  <si>
    <t>DUF4269 domain-containing protein</t>
  </si>
  <si>
    <t>WP_000495197.1</t>
  </si>
  <si>
    <t>R8N76_RS27665</t>
  </si>
  <si>
    <t>DUF2306 domain-containing protein</t>
  </si>
  <si>
    <t>WP_000021744.1</t>
  </si>
  <si>
    <t>R8N76_RS27670</t>
  </si>
  <si>
    <t>WP_000873739.1</t>
  </si>
  <si>
    <t>R8N76_RS27675</t>
  </si>
  <si>
    <t>WP_000725652.1</t>
  </si>
  <si>
    <t>R8N76_RS27680</t>
  </si>
  <si>
    <t>WP_001107063.1</t>
  </si>
  <si>
    <t>R8N76_RS27685</t>
  </si>
  <si>
    <t>WP_000035355.1</t>
  </si>
  <si>
    <t>R8N76_RS27690</t>
  </si>
  <si>
    <t>WP_000535184.1</t>
  </si>
  <si>
    <t>R8N76_RS27695</t>
  </si>
  <si>
    <t>methyltransferase domain-containing protein</t>
  </si>
  <si>
    <t>WP_000690082.1</t>
  </si>
  <si>
    <t>R8N76_RS27700</t>
  </si>
  <si>
    <t>type 1 glutamine amidotransferase family protein</t>
  </si>
  <si>
    <t>WP_016124677.1</t>
  </si>
  <si>
    <t>R8N76_RS27705</t>
  </si>
  <si>
    <t>WP_001124128.1</t>
  </si>
  <si>
    <t>R8N76_RS27710</t>
  </si>
  <si>
    <t>R8N76_RS27715</t>
  </si>
  <si>
    <t>WP_000831929.1</t>
  </si>
  <si>
    <t>R8N76_RS27720</t>
  </si>
  <si>
    <t>DUF3189 family protein</t>
  </si>
  <si>
    <t>WP_000639421.1</t>
  </si>
  <si>
    <t>R8N76_RS27725</t>
  </si>
  <si>
    <t>WP_000353713.1</t>
  </si>
  <si>
    <t>R8N76_RS27730</t>
  </si>
  <si>
    <t>WP_000281843.1</t>
  </si>
  <si>
    <t>R8N76_RS27735</t>
  </si>
  <si>
    <t>WP_000598049.1</t>
  </si>
  <si>
    <t>R8N76_RS27740</t>
  </si>
  <si>
    <t>WP_000793342.1</t>
  </si>
  <si>
    <t>R8N76_RS27745</t>
  </si>
  <si>
    <t>WP_001170947.1</t>
  </si>
  <si>
    <t>R8N76_RS27750</t>
  </si>
  <si>
    <t>undecaprenyl-diphosphatase</t>
  </si>
  <si>
    <t>WP_001110125.1</t>
  </si>
  <si>
    <t>R8N76_RS27755</t>
  </si>
  <si>
    <t>zinc-binding dehydrogenase</t>
  </si>
  <si>
    <t>WP_000644512.1</t>
  </si>
  <si>
    <t>R8N76_RS27760</t>
  </si>
  <si>
    <t>WP_000372695.1</t>
  </si>
  <si>
    <t>R8N76_RS27765</t>
  </si>
  <si>
    <t>WP_000654538.1</t>
  </si>
  <si>
    <t>R8N76_RS27770</t>
  </si>
  <si>
    <t>LytS/YhcK type 5TM receptor domain-containing protein</t>
  </si>
  <si>
    <t>WP_033685136.1</t>
  </si>
  <si>
    <t>R8N76_RS27775</t>
  </si>
  <si>
    <t>WP_000120182.1</t>
  </si>
  <si>
    <t>R8N76_RS27780</t>
  </si>
  <si>
    <t>WP_000556372.1</t>
  </si>
  <si>
    <t>R8N76_RS27785</t>
  </si>
  <si>
    <t>WP_001182509.1</t>
  </si>
  <si>
    <t>R8N76_RS27790</t>
  </si>
  <si>
    <t>R8N76_RS27795</t>
  </si>
  <si>
    <t>WP_029438503.1</t>
  </si>
  <si>
    <t>R8N76_RS27800</t>
  </si>
  <si>
    <t>WP_000267784.1</t>
  </si>
  <si>
    <t>R8N76_RS27805</t>
  </si>
  <si>
    <t>WP_000022212.1</t>
  </si>
  <si>
    <t>R8N76_RS27810</t>
  </si>
  <si>
    <t>WP_001124982.1</t>
  </si>
  <si>
    <t>R8N76_RS27815</t>
  </si>
  <si>
    <t>WP_001279278.1</t>
  </si>
  <si>
    <t>R8N76_RS27820</t>
  </si>
  <si>
    <t>inositol-3-phosphate synthase</t>
  </si>
  <si>
    <t>WP_000231158.1</t>
  </si>
  <si>
    <t>R8N76_RS27825</t>
  </si>
  <si>
    <t>WP_000601800.1</t>
  </si>
  <si>
    <t>R8N76_RS27830</t>
  </si>
  <si>
    <t>group II intron reverse transcriptase/maturase</t>
  </si>
  <si>
    <t>ltrA</t>
  </si>
  <si>
    <t>WP_001097733.1</t>
  </si>
  <si>
    <t>R8N76_RS27835</t>
  </si>
  <si>
    <t>WP_001101141.1</t>
  </si>
  <si>
    <t>R8N76_RS27840</t>
  </si>
  <si>
    <t>R8N76_RS27845</t>
  </si>
  <si>
    <t>WP_000588496.1</t>
  </si>
  <si>
    <t>R8N76_RS27850</t>
  </si>
  <si>
    <t>IS4 family transposase</t>
  </si>
  <si>
    <t>WP_000395870.1</t>
  </si>
  <si>
    <t>R8N76_RS27855</t>
  </si>
  <si>
    <t>WP_000877140.1</t>
  </si>
  <si>
    <t>R8N76_RS27860</t>
  </si>
  <si>
    <t>WP_000997500.1</t>
  </si>
  <si>
    <t>R8N76_RS27865</t>
  </si>
  <si>
    <t>R8N76_RS27870</t>
  </si>
  <si>
    <t>DUF6440 family protein</t>
  </si>
  <si>
    <t>WP_002025869.1</t>
  </si>
  <si>
    <t>R8N76_RS27875</t>
  </si>
  <si>
    <t>WP_000589749.1</t>
  </si>
  <si>
    <t>R8N76_RS27880</t>
  </si>
  <si>
    <t>WP_113732224.1</t>
  </si>
  <si>
    <t>R8N76_RS27885</t>
  </si>
  <si>
    <t>WP_000649886.1</t>
  </si>
  <si>
    <t>R8N76_RS27890</t>
  </si>
  <si>
    <t>WP_000459802.1</t>
  </si>
  <si>
    <t>R8N76_RS27895</t>
  </si>
  <si>
    <t>R8N76_RS27900</t>
  </si>
  <si>
    <t>WP_000943882.1</t>
  </si>
  <si>
    <t>R8N76_RS27905</t>
  </si>
  <si>
    <t>WP_000410780.1</t>
  </si>
  <si>
    <t>R8N76_RS27910</t>
  </si>
  <si>
    <t>WP_000383874.1</t>
  </si>
  <si>
    <t>R8N76_RS27915</t>
  </si>
  <si>
    <t>WP_002026792.1</t>
  </si>
  <si>
    <t>R8N76_RS27920</t>
  </si>
  <si>
    <t>WP_000917709.1</t>
  </si>
  <si>
    <t>R8N76_RS27925</t>
  </si>
  <si>
    <t>WP_000615896.1</t>
  </si>
  <si>
    <t>R8N76_RS27930</t>
  </si>
  <si>
    <t>WP_000439131.1</t>
  </si>
  <si>
    <t>R8N76_RS27935</t>
  </si>
  <si>
    <t>WP_406627539.1</t>
  </si>
  <si>
    <t>R8N76_RS27940</t>
  </si>
  <si>
    <t>WP_406627541.1</t>
  </si>
  <si>
    <t>R8N76_RS27945</t>
  </si>
  <si>
    <t>WP_406627542.1</t>
  </si>
  <si>
    <t>R8N76_RS27950</t>
  </si>
  <si>
    <t>WP_406627543.1</t>
  </si>
  <si>
    <t>R8N76_RS27955</t>
  </si>
  <si>
    <t>WP_000375121.1</t>
  </si>
  <si>
    <t>R8N76_RS27960</t>
  </si>
  <si>
    <t>R8N76_RS27965</t>
  </si>
  <si>
    <t>WP_000864400.1</t>
  </si>
  <si>
    <t>R8N76_RS27970</t>
  </si>
  <si>
    <t>R8N76_RS27975</t>
  </si>
  <si>
    <t>R8N76_RS27980</t>
  </si>
  <si>
    <t>R8N76_RS27985</t>
  </si>
  <si>
    <t>R8N76_RS27990</t>
  </si>
  <si>
    <t>NZ_CP138337.1</t>
  </si>
  <si>
    <t>unnamed</t>
  </si>
  <si>
    <t>WP_011109758.1</t>
  </si>
  <si>
    <t>R8N76_RS27995</t>
  </si>
  <si>
    <t>WP_000185743.1</t>
  </si>
  <si>
    <t>R8N76_RS28000</t>
  </si>
  <si>
    <t>cytoplasmic protein</t>
  </si>
  <si>
    <t>WP_113732235.1</t>
  </si>
  <si>
    <t>R8N76_RS28005</t>
  </si>
  <si>
    <t>WP_001284675.1</t>
  </si>
  <si>
    <t>R8N76_RS28010</t>
  </si>
  <si>
    <t>DNA polymerase</t>
  </si>
  <si>
    <t>WP_000039472.1</t>
  </si>
  <si>
    <t>R8N76_RS28015</t>
  </si>
  <si>
    <t>WP_244297837.1</t>
  </si>
  <si>
    <t>R8N76_RS28020</t>
  </si>
  <si>
    <t>WP_165450346.1</t>
  </si>
  <si>
    <t>R8N76_RS28025</t>
  </si>
  <si>
    <t>WP_164928354.1</t>
  </si>
  <si>
    <t>R8N76_RS28030</t>
  </si>
  <si>
    <t>WP_406627607.1</t>
  </si>
  <si>
    <t>R8N76_RS28035</t>
  </si>
  <si>
    <t>WP_000060307.1</t>
  </si>
  <si>
    <t>R8N76_RS28040</t>
  </si>
  <si>
    <t>WP_000398582.1</t>
  </si>
  <si>
    <t>R8N76_RS28045</t>
  </si>
  <si>
    <t>WP_165450347.1</t>
  </si>
  <si>
    <t>R8N76_RS28050</t>
  </si>
  <si>
    <t>WP_000852326.1</t>
  </si>
  <si>
    <t>R8N76_RS28055</t>
  </si>
  <si>
    <t>WP_000157490.1</t>
  </si>
  <si>
    <t>R8N76_RS28060</t>
  </si>
  <si>
    <t>WP_011109762.1</t>
  </si>
  <si>
    <t>R8N76_RS28065</t>
  </si>
  <si>
    <t>WP_001057982.1</t>
  </si>
  <si>
    <t>R8N76_RS28070</t>
  </si>
  <si>
    <t>WP_001082420.1</t>
  </si>
  <si>
    <t>R8N76_RS28075</t>
  </si>
  <si>
    <t>WP_000801967.1</t>
  </si>
  <si>
    <t>R8N76_RS28080</t>
  </si>
  <si>
    <t>WP_001290296.1</t>
  </si>
  <si>
    <t>R8N76_RS28085</t>
  </si>
  <si>
    <t>glycoside hydrolase family 73 protein</t>
  </si>
  <si>
    <t>WP_011109763.1</t>
  </si>
  <si>
    <t>R8N76_RS28090</t>
  </si>
  <si>
    <t>D-Ala-D-Ala carboxypeptidase family metallohydrolase</t>
  </si>
  <si>
    <t>WP_011109764.1</t>
  </si>
  <si>
    <t>R8N76_RS28095</t>
  </si>
  <si>
    <t>WP_000032648.1</t>
  </si>
  <si>
    <t>R8N76_RS28100</t>
  </si>
  <si>
    <t>WP_000450149.1</t>
  </si>
  <si>
    <t>R8N76_RS28105</t>
  </si>
  <si>
    <t>WP_001207867.1</t>
  </si>
  <si>
    <t>R8N76_RS28110</t>
  </si>
  <si>
    <t>WP_000215889.1</t>
  </si>
  <si>
    <t>R8N76_RS28115</t>
  </si>
  <si>
    <t>Protein Accession</t>
  </si>
  <si>
    <t>Locus Tag</t>
  </si>
  <si>
    <t>EC Number</t>
  </si>
  <si>
    <t>KEGG Enzyme URL</t>
  </si>
  <si>
    <t>Reaction URL</t>
  </si>
  <si>
    <t>Reactants</t>
  </si>
  <si>
    <t>Products</t>
  </si>
  <si>
    <t>1.1.1.1</t>
  </si>
  <si>
    <t>https://www.kegg.jp/entry/ec:1.1.1.1</t>
  </si>
  <si>
    <t>https://www.kegg.jp/entry/R00623</t>
  </si>
  <si>
    <t>C00226, C00003</t>
  </si>
  <si>
    <t>C00071, C00004, C00080</t>
  </si>
  <si>
    <t>https://www.kegg.jp/entry/R00624</t>
  </si>
  <si>
    <t>C01612, C00003</t>
  </si>
  <si>
    <t>C01450, C00004, C00080</t>
  </si>
  <si>
    <t>https://www.kegg.jp/entry/R00754</t>
  </si>
  <si>
    <t>C00469, C00003</t>
  </si>
  <si>
    <t>C00084, C00004, C00080</t>
  </si>
  <si>
    <t>https://www.kegg.jp/entry/R02124</t>
  </si>
  <si>
    <t>C00473, C00003</t>
  </si>
  <si>
    <t>C00376, C00004, C00080</t>
  </si>
  <si>
    <t>https://www.kegg.jp/entry/R02246</t>
  </si>
  <si>
    <t>C00418, C00003</t>
  </si>
  <si>
    <t>C00772, C00004, C00080</t>
  </si>
  <si>
    <t>https://www.kegg.jp/entry/R02878</t>
  </si>
  <si>
    <t>C00756, C00003</t>
  </si>
  <si>
    <t>C01545, C00004, C00080</t>
  </si>
  <si>
    <t>https://www.kegg.jp/entry/R04805</t>
  </si>
  <si>
    <t>C05444, C00003</t>
  </si>
  <si>
    <t>C05445, C00004, C00080</t>
  </si>
  <si>
    <t>https://www.kegg.jp/entry/R04880</t>
  </si>
  <si>
    <t>C05576, C00003</t>
  </si>
  <si>
    <t>C05577, C00004, C00080</t>
  </si>
  <si>
    <t>https://www.kegg.jp/entry/R05233</t>
  </si>
  <si>
    <t>C06611, C00003</t>
  </si>
  <si>
    <t>C06613, C00004, C00080</t>
  </si>
  <si>
    <t>https://www.kegg.jp/entry/R05234</t>
  </si>
  <si>
    <t>C06612, C00003</t>
  </si>
  <si>
    <t>C16348, C00004, C00080</t>
  </si>
  <si>
    <t>https://www.kegg.jp/entry/R06917</t>
  </si>
  <si>
    <t>C14089, C00003</t>
  </si>
  <si>
    <t>C14090, C00004, C00080</t>
  </si>
  <si>
    <t>https://www.kegg.jp/entry/R06927</t>
  </si>
  <si>
    <t>C02909, C00003</t>
  </si>
  <si>
    <t>C14099, C00004, C00080</t>
  </si>
  <si>
    <t>https://www.kegg.jp/entry/R07105</t>
  </si>
  <si>
    <t>C06899, C00004, C00080</t>
  </si>
  <si>
    <t>C07490, C00003, C00001</t>
  </si>
  <si>
    <t>https://www.kegg.jp/entry/R08281</t>
  </si>
  <si>
    <t>C07645, C00004, C00080</t>
  </si>
  <si>
    <t>C16551, C00003</t>
  </si>
  <si>
    <t>https://www.kegg.jp/entry/R08306</t>
  </si>
  <si>
    <t>C16586, C00003</t>
  </si>
  <si>
    <t>C16587, C00004, C00080</t>
  </si>
  <si>
    <t>https://www.kegg.jp/entry/R08310</t>
  </si>
  <si>
    <t>C16595, C00003</t>
  </si>
  <si>
    <t>C16596, C00004, C00080</t>
  </si>
  <si>
    <t>https://www.kegg.jp/entry/R08557</t>
  </si>
  <si>
    <t>C00114, C00003</t>
  </si>
  <si>
    <t>C00576, C00004, C00080</t>
  </si>
  <si>
    <t>https://www.kegg.jp/entry/R08558</t>
  </si>
  <si>
    <t>C00114, C00006</t>
  </si>
  <si>
    <t>C00576, C00005, C00080</t>
  </si>
  <si>
    <t>https://www.kegg.jp/entry/R10783</t>
  </si>
  <si>
    <t>C16310, C00004, C00080</t>
  </si>
  <si>
    <t>C08492, C00003</t>
  </si>
  <si>
    <t>1.1.1.100</t>
  </si>
  <si>
    <t>https://www.kegg.jp/entry/ec:1.1.1.100</t>
  </si>
  <si>
    <t>https://www.kegg.jp/entry/R02767</t>
  </si>
  <si>
    <t>C01271, C00006</t>
  </si>
  <si>
    <t>C00685, C00005, C00080</t>
  </si>
  <si>
    <t>https://www.kegg.jp/entry/R04533</t>
  </si>
  <si>
    <t>C04618, C00006</t>
  </si>
  <si>
    <t>C05744, C00005, C00080</t>
  </si>
  <si>
    <t>https://www.kegg.jp/entry/R04534</t>
  </si>
  <si>
    <t>C04619, C00006</t>
  </si>
  <si>
    <t>C05753, C00005</t>
  </si>
  <si>
    <t>https://www.kegg.jp/entry/R04536</t>
  </si>
  <si>
    <t>C04620, C00006</t>
  </si>
  <si>
    <t>C05750, C00005, C00080</t>
  </si>
  <si>
    <t>https://www.kegg.jp/entry/R04543</t>
  </si>
  <si>
    <t>C04633, C00006</t>
  </si>
  <si>
    <t>C05762, C00005, C00080</t>
  </si>
  <si>
    <t>https://www.kegg.jp/entry/R04566</t>
  </si>
  <si>
    <t>C04688, C00006</t>
  </si>
  <si>
    <t>C05759, C00005, C00080</t>
  </si>
  <si>
    <t>https://www.kegg.jp/entry/R04953</t>
  </si>
  <si>
    <t>C05747, C00006</t>
  </si>
  <si>
    <t>C05746, C00005, C00080</t>
  </si>
  <si>
    <t>https://www.kegg.jp/entry/R04964</t>
  </si>
  <si>
    <t>C05757, C00006</t>
  </si>
  <si>
    <t>C05756, C00005, C00080</t>
  </si>
  <si>
    <t>https://www.kegg.jp/entry/R07763</t>
  </si>
  <si>
    <t>C16219, C00005, C00080</t>
  </si>
  <si>
    <t>C16220, C00006</t>
  </si>
  <si>
    <t>https://www.kegg.jp/entry/R10116</t>
  </si>
  <si>
    <t>C20372, C00005, C00080</t>
  </si>
  <si>
    <t>C20373, C00006</t>
  </si>
  <si>
    <t>https://www.kegg.jp/entry/R10120</t>
  </si>
  <si>
    <t>C20376, C00005, C00080</t>
  </si>
  <si>
    <t>C20377, C00006</t>
  </si>
  <si>
    <t>1.1.1.133</t>
  </si>
  <si>
    <t>https://www.kegg.jp/entry/ec:1.1.1.133</t>
  </si>
  <si>
    <t>https://www.kegg.jp/entry/R02777</t>
  </si>
  <si>
    <t>C03319, C00006</t>
  </si>
  <si>
    <t>C00688, C00005, C00080</t>
  </si>
  <si>
    <t>1.1.1.157</t>
  </si>
  <si>
    <t>https://www.kegg.jp/entry/ec:1.1.1.157</t>
  </si>
  <si>
    <t>https://www.kegg.jp/entry/R01976</t>
  </si>
  <si>
    <t>C01144, C00006</t>
  </si>
  <si>
    <t>C00332, C00005, C00080</t>
  </si>
  <si>
    <t>https://www.kegg.jp/entry/R05576</t>
  </si>
  <si>
    <t>C05116, C00006</t>
  </si>
  <si>
    <t>https://www.kegg.jp/entry/R06941</t>
  </si>
  <si>
    <t>C14145, C00003</t>
  </si>
  <si>
    <t>C02232, C00004, C00080</t>
  </si>
  <si>
    <t>1.1.1.169</t>
  </si>
  <si>
    <t>https://www.kegg.jp/entry/ec:1.1.1.169</t>
  </si>
  <si>
    <t>https://www.kegg.jp/entry/R02472</t>
  </si>
  <si>
    <t>C00522, C00006</t>
  </si>
  <si>
    <t>C00966, C00005, C00080</t>
  </si>
  <si>
    <t>1.1.1.193</t>
  </si>
  <si>
    <t>https://www.kegg.jp/entry/ec:1.1.1.193</t>
  </si>
  <si>
    <t>https://www.kegg.jp/entry/R03458</t>
  </si>
  <si>
    <t>C04454, C00006</t>
  </si>
  <si>
    <t>C01268, C00005, C00080</t>
  </si>
  <si>
    <t>1.1.1.205</t>
  </si>
  <si>
    <t>https://www.kegg.jp/entry/ec:1.1.1.205</t>
  </si>
  <si>
    <t>https://www.kegg.jp/entry/R01130</t>
  </si>
  <si>
    <t>C00130, C00003, C00001</t>
  </si>
  <si>
    <t>C00655, C00004, C00080</t>
  </si>
  <si>
    <t>https://www.kegg.jp/entry/R08240</t>
  </si>
  <si>
    <t>C04646, C00003, C00001</t>
  </si>
  <si>
    <t>C16618, C00004, C00080</t>
  </si>
  <si>
    <t>1.1.1.23</t>
  </si>
  <si>
    <t>https://www.kegg.jp/entry/ec:1.1.1.23</t>
  </si>
  <si>
    <t>https://www.kegg.jp/entry/R01158</t>
  </si>
  <si>
    <t>C00860, C00003, C00001</t>
  </si>
  <si>
    <t>C00135, C00004, C00080</t>
  </si>
  <si>
    <t>https://www.kegg.jp/entry/R01163</t>
  </si>
  <si>
    <t>C01929, C00001, C00003</t>
  </si>
  <si>
    <t>https://www.kegg.jp/entry/R03012</t>
  </si>
  <si>
    <t>C00860, C00003</t>
  </si>
  <si>
    <t>C01929, C00004, C00080</t>
  </si>
  <si>
    <t>1.1.1.25</t>
  </si>
  <si>
    <t>https://www.kegg.jp/entry/ec:1.1.1.25</t>
  </si>
  <si>
    <t>https://www.kegg.jp/entry/R02413</t>
  </si>
  <si>
    <t>C00493, C00006</t>
  </si>
  <si>
    <t>C02637, C00005, C00080</t>
  </si>
  <si>
    <t>https://www.kegg.jp/entry/R12885</t>
  </si>
  <si>
    <t>C02637, C00006</t>
  </si>
  <si>
    <t>C22438, C00005, C00080</t>
  </si>
  <si>
    <t>1.1.1.267</t>
  </si>
  <si>
    <t>https://www.kegg.jp/entry/ec:1.1.1.267</t>
  </si>
  <si>
    <t>https://www.kegg.jp/entry/R05688</t>
  </si>
  <si>
    <t>C11434, C00006</t>
  </si>
  <si>
    <t>C11437, C00005, C00080</t>
  </si>
  <si>
    <t>1.1.1.27</t>
  </si>
  <si>
    <t>https://www.kegg.jp/entry/ec:1.1.1.27</t>
  </si>
  <si>
    <t>https://www.kegg.jp/entry/R00703</t>
  </si>
  <si>
    <t>C00186, C00003</t>
  </si>
  <si>
    <t>C00022, C00004, C00080</t>
  </si>
  <si>
    <t>https://www.kegg.jp/entry/R01000</t>
  </si>
  <si>
    <t>C05984, C00003</t>
  </si>
  <si>
    <t>C00109, C00004, C00080</t>
  </si>
  <si>
    <t>https://www.kegg.jp/entry/R03104</t>
  </si>
  <si>
    <t>C05823, C00003</t>
  </si>
  <si>
    <t>C00957, C00004, C00080</t>
  </si>
  <si>
    <t>1.1.1.3</t>
  </si>
  <si>
    <t>https://www.kegg.jp/entry/ec:1.1.1.3</t>
  </si>
  <si>
    <t>https://www.kegg.jp/entry/R01773</t>
  </si>
  <si>
    <t>C00263, C00003</t>
  </si>
  <si>
    <t>C00441, C00004, C00080</t>
  </si>
  <si>
    <t>https://www.kegg.jp/entry/R01775</t>
  </si>
  <si>
    <t>C00263, C00006</t>
  </si>
  <si>
    <t>C00441, C00005, C00080</t>
  </si>
  <si>
    <t>1.1.1.320</t>
  </si>
  <si>
    <t>https://www.kegg.jp/entry/ec:1.1.1.320</t>
  </si>
  <si>
    <t>https://www.kegg.jp/entry/R09932</t>
  </si>
  <si>
    <t>C20227, C00006</t>
  </si>
  <si>
    <t>C20226, C00005, C00080</t>
  </si>
  <si>
    <t>1.1.1.37</t>
  </si>
  <si>
    <t>https://www.kegg.jp/entry/ec:1.1.1.37</t>
  </si>
  <si>
    <t>https://www.kegg.jp/entry/R00342</t>
  </si>
  <si>
    <t>C00149, C00003</t>
  </si>
  <si>
    <t>C00036, C00004, C00080</t>
  </si>
  <si>
    <t>https://www.kegg.jp/entry/R07136</t>
  </si>
  <si>
    <t>C11537, C00003</t>
  </si>
  <si>
    <t>C05528, C00004, C00080</t>
  </si>
  <si>
    <t>1.1.1.4</t>
  </si>
  <si>
    <t>https://www.kegg.jp/entry/ec:1.1.1.4</t>
  </si>
  <si>
    <t>https://www.kegg.jp/entry/R02946</t>
  </si>
  <si>
    <t>C03044, C00003</t>
  </si>
  <si>
    <t>C00810, C00004, C00080</t>
  </si>
  <si>
    <t>1.1.1.85</t>
  </si>
  <si>
    <t>https://www.kegg.jp/entry/ec:1.1.1.85</t>
  </si>
  <si>
    <t>https://www.kegg.jp/entry/R00994</t>
  </si>
  <si>
    <t>C00109, C00011, C00004, C00080</t>
  </si>
  <si>
    <t>C06032, C00003</t>
  </si>
  <si>
    <t>https://www.kegg.jp/entry/R01652</t>
  </si>
  <si>
    <t>C00233, C00011</t>
  </si>
  <si>
    <t>C04236</t>
  </si>
  <si>
    <t>https://www.kegg.jp/entry/R04426</t>
  </si>
  <si>
    <t>C04411, C00003</t>
  </si>
  <si>
    <t>C04236, C00004, C00080</t>
  </si>
  <si>
    <t>https://www.kegg.jp/entry/R10052</t>
  </si>
  <si>
    <t>C00233, C00011, C00004, C00080</t>
  </si>
  <si>
    <t>1.1.1.86</t>
  </si>
  <si>
    <t>https://www.kegg.jp/entry/ec:1.1.1.86</t>
  </si>
  <si>
    <t>https://www.kegg.jp/entry/R03051</t>
  </si>
  <si>
    <t>C00900, C00005, C00080</t>
  </si>
  <si>
    <t>C04039, C00006</t>
  </si>
  <si>
    <t>https://www.kegg.jp/entry/R04439</t>
  </si>
  <si>
    <t>C04272, C00006</t>
  </si>
  <si>
    <t>C06010, C00005, C00080</t>
  </si>
  <si>
    <t>https://www.kegg.jp/entry/R04440</t>
  </si>
  <si>
    <t>C04181, C00005, C00080</t>
  </si>
  <si>
    <t>https://www.kegg.jp/entry/R05068</t>
  </si>
  <si>
    <t>C06007, C00006</t>
  </si>
  <si>
    <t>C14463, C00005, C00080</t>
  </si>
  <si>
    <t>https://www.kegg.jp/entry/R05069</t>
  </si>
  <si>
    <t>C06006</t>
  </si>
  <si>
    <t>C14463</t>
  </si>
  <si>
    <t>https://www.kegg.jp/entry/R05071</t>
  </si>
  <si>
    <t>C06010</t>
  </si>
  <si>
    <t>C04181</t>
  </si>
  <si>
    <t>1.1.1.94</t>
  </si>
  <si>
    <t>https://www.kegg.jp/entry/ec:1.1.1.94</t>
  </si>
  <si>
    <t>https://www.kegg.jp/entry/R00842</t>
  </si>
  <si>
    <t>C00093, C00003</t>
  </si>
  <si>
    <t>C00111, C00004, C00080</t>
  </si>
  <si>
    <t>https://www.kegg.jp/entry/R00844</t>
  </si>
  <si>
    <t>C00093, C00006</t>
  </si>
  <si>
    <t>C00111, C00005, C00080</t>
  </si>
  <si>
    <t>1.1.5.3</t>
  </si>
  <si>
    <t>https://www.kegg.jp/entry/ec:1.1.5.3</t>
  </si>
  <si>
    <t>https://www.kegg.jp/entry/R00848</t>
  </si>
  <si>
    <t>C00093, C00016</t>
  </si>
  <si>
    <t>C00111, C01352</t>
  </si>
  <si>
    <t>https://www.kegg.jp/entry/R00849</t>
  </si>
  <si>
    <t>C00093, C15602</t>
  </si>
  <si>
    <t>C00111, C15603</t>
  </si>
  <si>
    <t>https://www.kegg.jp/entry/R08657</t>
  </si>
  <si>
    <t>C00093, C00399</t>
  </si>
  <si>
    <t>C00111, C00390</t>
  </si>
  <si>
    <t>1.1.5.4</t>
  </si>
  <si>
    <t>https://www.kegg.jp/entry/ec:1.1.5.4</t>
  </si>
  <si>
    <t>https://www.kegg.jp/entry/R00360</t>
  </si>
  <si>
    <t>C00149, C00007</t>
  </si>
  <si>
    <t>C00036, C00027</t>
  </si>
  <si>
    <t>https://www.kegg.jp/entry/R00361</t>
  </si>
  <si>
    <t>C00149, C15602</t>
  </si>
  <si>
    <t>C00036, C15603</t>
  </si>
  <si>
    <t>https://www.kegg.jp/entry/R01257</t>
  </si>
  <si>
    <t>C00149, C00016</t>
  </si>
  <si>
    <t>C00036, C01352</t>
  </si>
  <si>
    <t>1.1.99.14</t>
  </si>
  <si>
    <t>https://www.kegg.jp/entry/ec:1.1.99.14</t>
  </si>
  <si>
    <t>https://www.kegg.jp/entry/R00476</t>
  </si>
  <si>
    <t>C00160, C00028</t>
  </si>
  <si>
    <t>C00048, C00030</t>
  </si>
  <si>
    <t>1.11.1.10</t>
  </si>
  <si>
    <t>https://www.kegg.jp/entry/ec:1.11.1.10</t>
  </si>
  <si>
    <t>https://www.kegg.jp/entry/R00052</t>
  </si>
  <si>
    <t>C00027, C01371, C01327</t>
  </si>
  <si>
    <t>C01334, C00001</t>
  </si>
  <si>
    <t>1.11.1.24</t>
  </si>
  <si>
    <t>https://www.kegg.jp/entry/ec:1.11.1.24</t>
  </si>
  <si>
    <t>https://www.kegg.jp/entry/R12570</t>
  </si>
  <si>
    <t>C00342, C15498</t>
  </si>
  <si>
    <t>C00343, C00001, C01335</t>
  </si>
  <si>
    <t>1.11.1.26</t>
  </si>
  <si>
    <t>https://www.kegg.jp/entry/ec:1.11.1.26</t>
  </si>
  <si>
    <t>https://www.kegg.jp/entry/R12579</t>
  </si>
  <si>
    <t>C00004, C15498, C00080</t>
  </si>
  <si>
    <t>C00003, C00001, C01335</t>
  </si>
  <si>
    <t>1.11.1.6</t>
  </si>
  <si>
    <t>https://www.kegg.jp/entry/ec:1.11.1.6</t>
  </si>
  <si>
    <t>https://www.kegg.jp/entry/R00009</t>
  </si>
  <si>
    <t>C00027</t>
  </si>
  <si>
    <t>C00007, C00001</t>
  </si>
  <si>
    <t>https://www.kegg.jp/entry/R00602</t>
  </si>
  <si>
    <t>C00132, C00027</t>
  </si>
  <si>
    <t>C00067, C00001</t>
  </si>
  <si>
    <t>https://www.kegg.jp/entry/R02670</t>
  </si>
  <si>
    <t>C00632, C00007</t>
  </si>
  <si>
    <t>C05640, C00704, C00027, C00080</t>
  </si>
  <si>
    <t>1.11.1.9</t>
  </si>
  <si>
    <t>https://www.kegg.jp/entry/ec:1.11.1.9</t>
  </si>
  <si>
    <t>https://www.kegg.jp/entry/R00274</t>
  </si>
  <si>
    <t>C00027, C00051</t>
  </si>
  <si>
    <t>C00127, C00001</t>
  </si>
  <si>
    <t>1.13.11.11</t>
  </si>
  <si>
    <t>https://www.kegg.jp/entry/ec:1.13.11.11</t>
  </si>
  <si>
    <t>https://www.kegg.jp/entry/R00678</t>
  </si>
  <si>
    <t>C00078, C00007</t>
  </si>
  <si>
    <t>C02700</t>
  </si>
  <si>
    <t>1.13.11.27</t>
  </si>
  <si>
    <t>https://www.kegg.jp/entry/ec:1.13.11.27</t>
  </si>
  <si>
    <t>https://www.kegg.jp/entry/R01372</t>
  </si>
  <si>
    <t>C00166, C00007</t>
  </si>
  <si>
    <t>C05852, C00011</t>
  </si>
  <si>
    <t>https://www.kegg.jp/entry/R02521</t>
  </si>
  <si>
    <t>C01179, C00007</t>
  </si>
  <si>
    <t>C00544, C00011</t>
  </si>
  <si>
    <t>1.14.12.17</t>
  </si>
  <si>
    <t>https://www.kegg.jp/entry/ec:1.14.12.17</t>
  </si>
  <si>
    <t>https://www.kegg.jp/entry/R05724</t>
  </si>
  <si>
    <t>C00533, C00007, C00004, C00080</t>
  </si>
  <si>
    <t>C00244, C00003</t>
  </si>
  <si>
    <t>https://www.kegg.jp/entry/R05725</t>
  </si>
  <si>
    <t>C00533, C00007, C00005, C00080</t>
  </si>
  <si>
    <t>C00244, C00006</t>
  </si>
  <si>
    <t>1.14.14.1</t>
  </si>
  <si>
    <t>https://www.kegg.jp/entry/ec:1.14.14.1</t>
  </si>
  <si>
    <t>https://www.kegg.jp/entry/R01842</t>
  </si>
  <si>
    <t>C00280, C03024, C00007</t>
  </si>
  <si>
    <t>C05296, C03161, C00001</t>
  </si>
  <si>
    <t>https://www.kegg.jp/entry/R02354</t>
  </si>
  <si>
    <t>C00468, C00080, C00007, C00004</t>
  </si>
  <si>
    <t>C05298, C00003, C00001</t>
  </si>
  <si>
    <t>https://www.kegg.jp/entry/R02355</t>
  </si>
  <si>
    <t>C00468, C00080, C00007, C00005</t>
  </si>
  <si>
    <t>C05298, C00006, C00001</t>
  </si>
  <si>
    <t>https://www.kegg.jp/entry/R02356</t>
  </si>
  <si>
    <t>C05300, C00006, C00001</t>
  </si>
  <si>
    <t>https://www.kegg.jp/entry/R02503</t>
  </si>
  <si>
    <t>C00535, C03024, C00007</t>
  </si>
  <si>
    <t>C05291, C03161, C00001</t>
  </si>
  <si>
    <t>https://www.kegg.jp/entry/R03088</t>
  </si>
  <si>
    <t>C00951, C00080, C00007, C00004</t>
  </si>
  <si>
    <t>C05301, C00003, C00001</t>
  </si>
  <si>
    <t>https://www.kegg.jp/entry/R03089</t>
  </si>
  <si>
    <t>C00951, C00080, C00007, C00005</t>
  </si>
  <si>
    <t>C05141, C00006, C00001</t>
  </si>
  <si>
    <t>https://www.kegg.jp/entry/R03090</t>
  </si>
  <si>
    <t>C05301, C00006, C00001</t>
  </si>
  <si>
    <t>https://www.kegg.jp/entry/R03408</t>
  </si>
  <si>
    <t>C01227, C00080, C00007, C00005</t>
  </si>
  <si>
    <t>C05139, C00006, C00001</t>
  </si>
  <si>
    <t>https://www.kegg.jp/entry/R03629</t>
  </si>
  <si>
    <t>C01598, C03024, C00007</t>
  </si>
  <si>
    <t>C05643, C03161, C00001</t>
  </si>
  <si>
    <t>https://www.kegg.jp/entry/R03697</t>
  </si>
  <si>
    <t>C01516, C03161, C00067, C00001</t>
  </si>
  <si>
    <t>C06174, C03024, C00007</t>
  </si>
  <si>
    <t>https://www.kegg.jp/entry/R04121</t>
  </si>
  <si>
    <t>C03024, C00162, C00007</t>
  </si>
  <si>
    <t>C05102, C03161, C00001</t>
  </si>
  <si>
    <t>https://www.kegg.jp/entry/R04122</t>
  </si>
  <si>
    <t>C03024, C01371, C00007</t>
  </si>
  <si>
    <t>C03161, C01335, C00001</t>
  </si>
  <si>
    <t>https://www.kegg.jp/entry/R05259</t>
  </si>
  <si>
    <t>C06604, C03024, C00007</t>
  </si>
  <si>
    <t>C06606, C03161, C00087, C00001</t>
  </si>
  <si>
    <t>https://www.kegg.jp/entry/R07000</t>
  </si>
  <si>
    <t>C00829, C00005, C00007, C00080</t>
  </si>
  <si>
    <t>C14786, C00006, C00001</t>
  </si>
  <si>
    <t>https://www.kegg.jp/entry/R07001</t>
  </si>
  <si>
    <t>C14787, C00006, C00001</t>
  </si>
  <si>
    <t>https://www.kegg.jp/entry/R07021</t>
  </si>
  <si>
    <t>C14040, C00005, C00007, C00080</t>
  </si>
  <si>
    <t>C14802, C00006, C00001</t>
  </si>
  <si>
    <t>https://www.kegg.jp/entry/R07022</t>
  </si>
  <si>
    <t>C14800, C00006, C00001</t>
  </si>
  <si>
    <t>https://www.kegg.jp/entry/R07042</t>
  </si>
  <si>
    <t>C05966</t>
  </si>
  <si>
    <t>C14781</t>
  </si>
  <si>
    <t>https://www.kegg.jp/entry/R07043</t>
  </si>
  <si>
    <t>C14813</t>
  </si>
  <si>
    <t>https://www.kegg.jp/entry/R07044</t>
  </si>
  <si>
    <t>C14781, C00001</t>
  </si>
  <si>
    <t>C14782</t>
  </si>
  <si>
    <t>https://www.kegg.jp/entry/R07045</t>
  </si>
  <si>
    <t>C14813, C00001</t>
  </si>
  <si>
    <t>C14814</t>
  </si>
  <si>
    <t>https://www.kegg.jp/entry/R07046</t>
  </si>
  <si>
    <t>C00219, C03024, C00007</t>
  </si>
  <si>
    <t>C14749, C03161, C00001</t>
  </si>
  <si>
    <t>https://www.kegg.jp/entry/R07048</t>
  </si>
  <si>
    <t>C00219, C00007, C00005, C00080</t>
  </si>
  <si>
    <t>C14771, C00006, C00001</t>
  </si>
  <si>
    <t>https://www.kegg.jp/entry/R07050</t>
  </si>
  <si>
    <t>C14770, C00006, C00001</t>
  </si>
  <si>
    <t>https://www.kegg.jp/entry/R07051</t>
  </si>
  <si>
    <t>C14769, C00006, C00001</t>
  </si>
  <si>
    <t>https://www.kegg.jp/entry/R07052</t>
  </si>
  <si>
    <t>C14768, C00006, C00001</t>
  </si>
  <si>
    <t>https://www.kegg.jp/entry/R07054</t>
  </si>
  <si>
    <t>C14778, C00006, C00001</t>
  </si>
  <si>
    <t>https://www.kegg.jp/entry/R07055</t>
  </si>
  <si>
    <t>C01595, C00007, C00005, C00080</t>
  </si>
  <si>
    <t>C14825, C00006, C00001</t>
  </si>
  <si>
    <t>https://www.kegg.jp/entry/R07056</t>
  </si>
  <si>
    <t>C14826, C00006, C00001</t>
  </si>
  <si>
    <t>https://www.kegg.jp/entry/R07079</t>
  </si>
  <si>
    <t>C07535, C00005, C00007, C00080</t>
  </si>
  <si>
    <t>C14849, C00006, C00001</t>
  </si>
  <si>
    <t>https://www.kegg.jp/entry/R07080</t>
  </si>
  <si>
    <t>C14850, C00006, C00001</t>
  </si>
  <si>
    <t>https://www.kegg.jp/entry/R07081</t>
  </si>
  <si>
    <t>C14851, C00006, C00001</t>
  </si>
  <si>
    <t>https://www.kegg.jp/entry/R07085</t>
  </si>
  <si>
    <t>C14852, C00005, C00007, C00080</t>
  </si>
  <si>
    <t>C14853, C00006, C00001</t>
  </si>
  <si>
    <t>https://www.kegg.jp/entry/R07087</t>
  </si>
  <si>
    <t>C14556, C00005, C00007, C00080</t>
  </si>
  <si>
    <t>C14854, C00006, C00001</t>
  </si>
  <si>
    <t>https://www.kegg.jp/entry/R07098</t>
  </si>
  <si>
    <t>C06790, C00005, C00007, C00080</t>
  </si>
  <si>
    <t>C11148, C00006, C00001</t>
  </si>
  <si>
    <t>https://www.kegg.jp/entry/R07099</t>
  </si>
  <si>
    <t>C14866, C00006, C00001</t>
  </si>
  <si>
    <t>https://www.kegg.jp/entry/R07939</t>
  </si>
  <si>
    <t>C07481, C00005, C00007, C00080</t>
  </si>
  <si>
    <t>C13747, C00006, C00067, C00001</t>
  </si>
  <si>
    <t>https://www.kegg.jp/entry/R07943</t>
  </si>
  <si>
    <t>C13747</t>
  </si>
  <si>
    <t>C16358</t>
  </si>
  <si>
    <t>https://www.kegg.jp/entry/R07945</t>
  </si>
  <si>
    <t>C16356</t>
  </si>
  <si>
    <t>https://www.kegg.jp/entry/R08265</t>
  </si>
  <si>
    <t>C01516, C03024, C00007</t>
  </si>
  <si>
    <t>C11785, C00067, C03161, C00001</t>
  </si>
  <si>
    <t>https://www.kegg.jp/entry/R08267</t>
  </si>
  <si>
    <t>C07108, C00005, C00007, C00080</t>
  </si>
  <si>
    <t>C05011, C00006, C00001</t>
  </si>
  <si>
    <t>https://www.kegg.jp/entry/R08270</t>
  </si>
  <si>
    <t>C16546, C00005, C00007, C00080</t>
  </si>
  <si>
    <t>C16547, C00006, C00001</t>
  </si>
  <si>
    <t>https://www.kegg.jp/entry/R08286</t>
  </si>
  <si>
    <t>C07047</t>
  </si>
  <si>
    <t>C16550, C06754</t>
  </si>
  <si>
    <t>https://www.kegg.jp/entry/R08287</t>
  </si>
  <si>
    <t>C16555, C06754</t>
  </si>
  <si>
    <t>https://www.kegg.jp/entry/R08293</t>
  </si>
  <si>
    <t>C07073</t>
  </si>
  <si>
    <t>C16561</t>
  </si>
  <si>
    <t>https://www.kegg.jp/entry/R08294</t>
  </si>
  <si>
    <t>C07073, C00005, C00007, C00080</t>
  </si>
  <si>
    <t>C16560, C00006, C00001</t>
  </si>
  <si>
    <t>https://www.kegg.jp/entry/R08312</t>
  </si>
  <si>
    <t>C06868, C00005, C00080, C00007</t>
  </si>
  <si>
    <t>C07496, C00006, C00001</t>
  </si>
  <si>
    <t>https://www.kegg.jp/entry/R08343</t>
  </si>
  <si>
    <t>C07572</t>
  </si>
  <si>
    <t>C16608</t>
  </si>
  <si>
    <t>https://www.kegg.jp/entry/R08344</t>
  </si>
  <si>
    <t>C16607</t>
  </si>
  <si>
    <t>https://www.kegg.jp/entry/R08345</t>
  </si>
  <si>
    <t>C16609</t>
  </si>
  <si>
    <t>https://www.kegg.jp/entry/R08390</t>
  </si>
  <si>
    <t>C00777, C03024, C00007</t>
  </si>
  <si>
    <t>C16679, C03161, C00001</t>
  </si>
  <si>
    <t>https://www.kegg.jp/entry/R08391</t>
  </si>
  <si>
    <t>C00777, C00005, C00080, C00007</t>
  </si>
  <si>
    <t>C16680, C00006, C00001</t>
  </si>
  <si>
    <t>https://www.kegg.jp/entry/R08392</t>
  </si>
  <si>
    <t>C16677, C03161, C00001</t>
  </si>
  <si>
    <t>https://www.kegg.jp/entry/R09404</t>
  </si>
  <si>
    <t>C06800, C00007, C00005, C00080</t>
  </si>
  <si>
    <t>C19585, C00001, C00006</t>
  </si>
  <si>
    <t>https://www.kegg.jp/entry/R09405</t>
  </si>
  <si>
    <t>C16756, C00001, C00006</t>
  </si>
  <si>
    <t>https://www.kegg.jp/entry/R09406</t>
  </si>
  <si>
    <t>C16756, C00007, C00005, C00080</t>
  </si>
  <si>
    <t>C19594, C00001, C00006</t>
  </si>
  <si>
    <t>https://www.kegg.jp/entry/R09407</t>
  </si>
  <si>
    <t>C19595, C00001, C00006</t>
  </si>
  <si>
    <t>https://www.kegg.jp/entry/R09408</t>
  </si>
  <si>
    <t>C19586, C00001, C00006</t>
  </si>
  <si>
    <t>https://www.kegg.jp/entry/R09416</t>
  </si>
  <si>
    <t>C19488, C00007, C00005, C00080</t>
  </si>
  <si>
    <t>C19489, C00001, C00006</t>
  </si>
  <si>
    <t>https://www.kegg.jp/entry/R09418</t>
  </si>
  <si>
    <t>C19490, C00007, C00005, C00080</t>
  </si>
  <si>
    <t>C19559, C00001, C00006</t>
  </si>
  <si>
    <t>https://www.kegg.jp/entry/R09421</t>
  </si>
  <si>
    <t>C16453, C00007, C00005, C00080</t>
  </si>
  <si>
    <t>C19563, C00001, C00006</t>
  </si>
  <si>
    <t>https://www.kegg.jp/entry/R09423</t>
  </si>
  <si>
    <t>C19566, C00001, C00006</t>
  </si>
  <si>
    <t>https://www.kegg.jp/entry/R09424</t>
  </si>
  <si>
    <t>C19574, C00007, C00005, C00080</t>
  </si>
  <si>
    <t>C19577, C00001, C00006</t>
  </si>
  <si>
    <t>https://www.kegg.jp/entry/R09425</t>
  </si>
  <si>
    <t>C19580, C00001, C00006</t>
  </si>
  <si>
    <t>https://www.kegg.jp/entry/R09442</t>
  </si>
  <si>
    <t>C19604, C00001, C00006</t>
  </si>
  <si>
    <t>1.14.14.18</t>
  </si>
  <si>
    <t>https://www.kegg.jp/entry/ec:1.14.14.18</t>
  </si>
  <si>
    <t>https://www.kegg.jp/entry/R00311</t>
  </si>
  <si>
    <t>C00032, C03024, C00007</t>
  </si>
  <si>
    <t>C00500, C00237, C14818, C03161, C00001</t>
  </si>
  <si>
    <t>1.15.1.1</t>
  </si>
  <si>
    <t>https://www.kegg.jp/entry/ec:1.15.1.1</t>
  </si>
  <si>
    <t>https://www.kegg.jp/entry/R00275</t>
  </si>
  <si>
    <t>C00704, C00080</t>
  </si>
  <si>
    <t>C00027, C00007</t>
  </si>
  <si>
    <t>1.17.1.8</t>
  </si>
  <si>
    <t>https://www.kegg.jp/entry/ec:1.17.1.8</t>
  </si>
  <si>
    <t>https://www.kegg.jp/entry/R04198</t>
  </si>
  <si>
    <t>C03972, C00003, C00001</t>
  </si>
  <si>
    <t>C20258, C00004, C00080</t>
  </si>
  <si>
    <t>https://www.kegg.jp/entry/R04199</t>
  </si>
  <si>
    <t>C03972, C00006, C00001</t>
  </si>
  <si>
    <t>C20258, C00005, C00080</t>
  </si>
  <si>
    <t>1.17.1.9</t>
  </si>
  <si>
    <t>https://www.kegg.jp/entry/ec:1.17.1.9</t>
  </si>
  <si>
    <t>https://www.kegg.jp/entry/R00519</t>
  </si>
  <si>
    <t>C00058, C00003</t>
  </si>
  <si>
    <t>C00080, C00011, C00004</t>
  </si>
  <si>
    <t>1.17.4.1</t>
  </si>
  <si>
    <t>https://www.kegg.jp/entry/ec:1.17.4.1</t>
  </si>
  <si>
    <t>https://www.kegg.jp/entry/R02017</t>
  </si>
  <si>
    <t>C00206, C00343, C00001</t>
  </si>
  <si>
    <t>C00342, C00008</t>
  </si>
  <si>
    <t>https://www.kegg.jp/entry/R02018</t>
  </si>
  <si>
    <t>C01346, C00343, C00001</t>
  </si>
  <si>
    <t>C00342, C00015</t>
  </si>
  <si>
    <t>https://www.kegg.jp/entry/R02019</t>
  </si>
  <si>
    <t>C00361, C00343, C00001</t>
  </si>
  <si>
    <t>C00035, C00342</t>
  </si>
  <si>
    <t>https://www.kegg.jp/entry/R02024</t>
  </si>
  <si>
    <t>C00705, C00343, C00001</t>
  </si>
  <si>
    <t>C00342, C00112</t>
  </si>
  <si>
    <t>https://www.kegg.jp/entry/R04294</t>
  </si>
  <si>
    <t>C04232, C00343, C00001</t>
  </si>
  <si>
    <t>C03723, C00342</t>
  </si>
  <si>
    <t>https://www.kegg.jp/entry/R08363</t>
  </si>
  <si>
    <t>C04232, C16664, C00001</t>
  </si>
  <si>
    <t>C03723, C16663</t>
  </si>
  <si>
    <t>https://www.kegg.jp/entry/R08364</t>
  </si>
  <si>
    <t>C04232, C03170, C00001</t>
  </si>
  <si>
    <t>C03723, C02090</t>
  </si>
  <si>
    <t>https://www.kegg.jp/entry/R11893</t>
  </si>
  <si>
    <t>C21750, C00343, C00001</t>
  </si>
  <si>
    <t>C21748, C00342</t>
  </si>
  <si>
    <t>1.17.7.3</t>
  </si>
  <si>
    <t>https://www.kegg.jp/entry/ec:1.17.7.3</t>
  </si>
  <si>
    <t>https://www.kegg.jp/entry/R10859</t>
  </si>
  <si>
    <t>C11811, C00001, C02869</t>
  </si>
  <si>
    <t>C11453, C02745</t>
  </si>
  <si>
    <t>1.17.7.4</t>
  </si>
  <si>
    <t>https://www.kegg.jp/entry/ec:1.17.7.4</t>
  </si>
  <si>
    <t>https://www.kegg.jp/entry/R05884</t>
  </si>
  <si>
    <t>C11811, C00138, C00080</t>
  </si>
  <si>
    <t>C00129, C00139, C00001</t>
  </si>
  <si>
    <t>https://www.kegg.jp/entry/R08210</t>
  </si>
  <si>
    <t>C00235, C00139, C00001</t>
  </si>
  <si>
    <t>1.17.99.6</t>
  </si>
  <si>
    <t>https://www.kegg.jp/entry/ec:1.17.99.6</t>
  </si>
  <si>
    <t>https://www.kegg.jp/entry/R12500</t>
  </si>
  <si>
    <t>C01978, C00028, C00001</t>
  </si>
  <si>
    <t>C19647, C00030</t>
  </si>
  <si>
    <t>1.2.1.10</t>
  </si>
  <si>
    <t>https://www.kegg.jp/entry/ec:1.2.1.10</t>
  </si>
  <si>
    <t>https://www.kegg.jp/entry/R00228</t>
  </si>
  <si>
    <t>C00084, C00010, C00003</t>
  </si>
  <si>
    <t>C00024, C00004, C00080</t>
  </si>
  <si>
    <t>https://www.kegg.jp/entry/R01172</t>
  </si>
  <si>
    <t>C01412, C00010, C00003</t>
  </si>
  <si>
    <t>C00136, C00004, C00080</t>
  </si>
  <si>
    <t>1.2.1.11</t>
  </si>
  <si>
    <t>https://www.kegg.jp/entry/ec:1.2.1.11</t>
  </si>
  <si>
    <t>https://www.kegg.jp/entry/R02291</t>
  </si>
  <si>
    <t>C00441, C00009, C00006</t>
  </si>
  <si>
    <t>C03082, C00005, C00080</t>
  </si>
  <si>
    <t>1.2.1.3</t>
  </si>
  <si>
    <t>https://www.kegg.jp/entry/ec:1.2.1.3</t>
  </si>
  <si>
    <t>https://www.kegg.jp/entry/R00264</t>
  </si>
  <si>
    <t>C00433, C00006, C00001</t>
  </si>
  <si>
    <t>C00026, C00005, C00080</t>
  </si>
  <si>
    <t>https://www.kegg.jp/entry/R00538</t>
  </si>
  <si>
    <t>C00071, C00003, C00001</t>
  </si>
  <si>
    <t>C00060, C00004, C00080</t>
  </si>
  <si>
    <t>https://www.kegg.jp/entry/R00631</t>
  </si>
  <si>
    <t>C00162, C00004, C00080</t>
  </si>
  <si>
    <t>https://www.kegg.jp/entry/R00710</t>
  </si>
  <si>
    <t>C00084, C00003, C00001</t>
  </si>
  <si>
    <t>C00033, C00004, C00080</t>
  </si>
  <si>
    <t>https://www.kegg.jp/entry/R00904</t>
  </si>
  <si>
    <t>C05665, C00003, C00001</t>
  </si>
  <si>
    <t>C00099, C00004, C00080</t>
  </si>
  <si>
    <t>https://www.kegg.jp/entry/R01752</t>
  </si>
  <si>
    <t>C00577, C00003, C00001</t>
  </si>
  <si>
    <t>C00258, C00004, C00080</t>
  </si>
  <si>
    <t>https://www.kegg.jp/entry/R01986</t>
  </si>
  <si>
    <t>C00555, C00006, C00001</t>
  </si>
  <si>
    <t>C00334, C00005, C00080</t>
  </si>
  <si>
    <t>https://www.kegg.jp/entry/R02549</t>
  </si>
  <si>
    <t>C00555, C00003, C00001</t>
  </si>
  <si>
    <t>C00334, C00004, C00080</t>
  </si>
  <si>
    <t>https://www.kegg.jp/entry/R02678</t>
  </si>
  <si>
    <t>C00637, C00003, C00001</t>
  </si>
  <si>
    <t>C00954, C00004, C00080</t>
  </si>
  <si>
    <t>https://www.kegg.jp/entry/R02940</t>
  </si>
  <si>
    <t>C05985, C00003, C00001</t>
  </si>
  <si>
    <t>C00804, C00004, C00080</t>
  </si>
  <si>
    <t>https://www.kegg.jp/entry/R02957</t>
  </si>
  <si>
    <t>C02670, C00003, C00001</t>
  </si>
  <si>
    <t>C00818, C00004, C00080</t>
  </si>
  <si>
    <t>https://www.kegg.jp/entry/R03283</t>
  </si>
  <si>
    <t>C01149, C00003, C00001</t>
  </si>
  <si>
    <t>C01181, C00004, C00080</t>
  </si>
  <si>
    <t>https://www.kegg.jp/entry/R03869</t>
  </si>
  <si>
    <t>C06002, C00003, C00001</t>
  </si>
  <si>
    <t>C02170, C00004, C00080</t>
  </si>
  <si>
    <t>https://www.kegg.jp/entry/R04065</t>
  </si>
  <si>
    <t>C05130, C00003, C00001</t>
  </si>
  <si>
    <t>C02835, C00004, C00080</t>
  </si>
  <si>
    <t>https://www.kegg.jp/entry/R04506</t>
  </si>
  <si>
    <t>C05445, C00003, C00001</t>
  </si>
  <si>
    <t>C04554, C00004, C00080</t>
  </si>
  <si>
    <t>https://www.kegg.jp/entry/R04903</t>
  </si>
  <si>
    <t>C05634, C00003, C00001</t>
  </si>
  <si>
    <t>C05635, C00080, C00004</t>
  </si>
  <si>
    <t>https://www.kegg.jp/entry/R05050</t>
  </si>
  <si>
    <t>C05936, C00003, C00001</t>
  </si>
  <si>
    <t>C02946, C00004, C00080</t>
  </si>
  <si>
    <t>https://www.kegg.jp/entry/R05237</t>
  </si>
  <si>
    <t>C06613, C00001</t>
  </si>
  <si>
    <t>C06614, C00080</t>
  </si>
  <si>
    <t>https://www.kegg.jp/entry/R05238</t>
  </si>
  <si>
    <t>C16348, C00001</t>
  </si>
  <si>
    <t>C06615, C00080</t>
  </si>
  <si>
    <t>https://www.kegg.jp/entry/R05286</t>
  </si>
  <si>
    <t>C06754, C00003, C00001</t>
  </si>
  <si>
    <t>C06755, C00004, C00080</t>
  </si>
  <si>
    <t>https://www.kegg.jp/entry/R06366</t>
  </si>
  <si>
    <t>C02576, C00001, C00003</t>
  </si>
  <si>
    <t>C11924, C00004, C00080</t>
  </si>
  <si>
    <t>https://www.kegg.jp/entry/R08146</t>
  </si>
  <si>
    <t>C03461, C00003, C00001</t>
  </si>
  <si>
    <t>C16502, C00004, C00080</t>
  </si>
  <si>
    <t>1.2.1.38</t>
  </si>
  <si>
    <t>https://www.kegg.jp/entry/ec:1.2.1.38</t>
  </si>
  <si>
    <t>https://www.kegg.jp/entry/R03443</t>
  </si>
  <si>
    <t>C01250, C00009, C00006</t>
  </si>
  <si>
    <t>C04133, C00005, C00080</t>
  </si>
  <si>
    <t>1.2.1.41</t>
  </si>
  <si>
    <t>https://www.kegg.jp/entry/ec:1.2.1.41</t>
  </si>
  <si>
    <t>https://www.kegg.jp/entry/R03313</t>
  </si>
  <si>
    <t>C01165, C00009, C00006</t>
  </si>
  <si>
    <t>C03287, C00005, C00080</t>
  </si>
  <si>
    <t>1.2.1.70</t>
  </si>
  <si>
    <t>https://www.kegg.jp/entry/ec:1.2.1.70</t>
  </si>
  <si>
    <t>https://www.kegg.jp/entry/R04109</t>
  </si>
  <si>
    <t>C02987, C00005, C00080</t>
  </si>
  <si>
    <t>C03741, C01641, C00006</t>
  </si>
  <si>
    <t>1.2.1.79</t>
  </si>
  <si>
    <t>https://www.kegg.jp/entry/ec:1.2.1.79</t>
  </si>
  <si>
    <t>https://www.kegg.jp/entry/R00714</t>
  </si>
  <si>
    <t>C00232, C00006, C00001</t>
  </si>
  <si>
    <t>C00042, C00005, C00080</t>
  </si>
  <si>
    <t>1.2.1.88</t>
  </si>
  <si>
    <t>https://www.kegg.jp/entry/ec:1.2.1.88</t>
  </si>
  <si>
    <t>https://www.kegg.jp/entry/R00245</t>
  </si>
  <si>
    <t>C01165, C00003, C00001</t>
  </si>
  <si>
    <t>C00025, C00004, C00080</t>
  </si>
  <si>
    <t>https://www.kegg.jp/entry/R00707</t>
  </si>
  <si>
    <t>C03912, C00003, C00001</t>
  </si>
  <si>
    <t>https://www.kegg.jp/entry/R00708</t>
  </si>
  <si>
    <t>C03912, C00006, C00001</t>
  </si>
  <si>
    <t>C00025, C00005, C00080</t>
  </si>
  <si>
    <t>https://www.kegg.jp/entry/R04444</t>
  </si>
  <si>
    <t>C04281, C00003, C00001</t>
  </si>
  <si>
    <t>C05947, C00004, C00080</t>
  </si>
  <si>
    <t>https://www.kegg.jp/entry/R04445</t>
  </si>
  <si>
    <t>C04281, C00006, C00001</t>
  </si>
  <si>
    <t>C05947, C00005, C00080</t>
  </si>
  <si>
    <t>https://www.kegg.jp/entry/R05051</t>
  </si>
  <si>
    <t>C05938, C00003, C00001</t>
  </si>
  <si>
    <t>https://www.kegg.jp/entry/R13148</t>
  </si>
  <si>
    <t>C01165, C00006, C00001</t>
  </si>
  <si>
    <t>1.2.1.9</t>
  </si>
  <si>
    <t>https://www.kegg.jp/entry/ec:1.2.1.9</t>
  </si>
  <si>
    <t>https://www.kegg.jp/entry/R01058</t>
  </si>
  <si>
    <t>C00118, C00006, C00001</t>
  </si>
  <si>
    <t>C00197, C00005, C00080</t>
  </si>
  <si>
    <t>1.2.4.1</t>
  </si>
  <si>
    <t>https://www.kegg.jp/entry/ec:1.2.4.1</t>
  </si>
  <si>
    <t>https://www.kegg.jp/entry/R00014</t>
  </si>
  <si>
    <t>C00022, C00068</t>
  </si>
  <si>
    <t>C05125, C00011</t>
  </si>
  <si>
    <t>https://www.kegg.jp/entry/R01699</t>
  </si>
  <si>
    <t>C00022, C15972</t>
  </si>
  <si>
    <t>C16255, C00011</t>
  </si>
  <si>
    <t>https://www.kegg.jp/entry/R03270</t>
  </si>
  <si>
    <t>C05125, C15972</t>
  </si>
  <si>
    <t>C16255, C00068</t>
  </si>
  <si>
    <t>1.2.4.2</t>
  </si>
  <si>
    <t>https://www.kegg.jp/entry/ec:1.2.4.2</t>
  </si>
  <si>
    <t>https://www.kegg.jp/entry/R00621</t>
  </si>
  <si>
    <t>C00026, C00068</t>
  </si>
  <si>
    <t>C05381, C00011</t>
  </si>
  <si>
    <t>https://www.kegg.jp/entry/R01700</t>
  </si>
  <si>
    <t>C00026, C15972</t>
  </si>
  <si>
    <t>C16254, C00011</t>
  </si>
  <si>
    <t>https://www.kegg.jp/entry/R03316</t>
  </si>
  <si>
    <t>C05381, C15972</t>
  </si>
  <si>
    <t>C16254, C00068</t>
  </si>
  <si>
    <t>1.2.4.4</t>
  </si>
  <si>
    <t>https://www.kegg.jp/entry/ec:1.2.4.4</t>
  </si>
  <si>
    <t>https://www.kegg.jp/entry/R01701</t>
  </si>
  <si>
    <t>C00141, C15972</t>
  </si>
  <si>
    <t>C15977, C00011</t>
  </si>
  <si>
    <t>https://www.kegg.jp/entry/R01702</t>
  </si>
  <si>
    <t>C00233, C15972</t>
  </si>
  <si>
    <t>C15975, C00011</t>
  </si>
  <si>
    <t>https://www.kegg.jp/entry/R04225</t>
  </si>
  <si>
    <t>C00671, C15972</t>
  </si>
  <si>
    <t>C15979, C00011</t>
  </si>
  <si>
    <t>https://www.kegg.jp/entry/R07599</t>
  </si>
  <si>
    <t>C00141, C00068</t>
  </si>
  <si>
    <t>C15976, C00011</t>
  </si>
  <si>
    <t>https://www.kegg.jp/entry/R07600</t>
  </si>
  <si>
    <t>C15976, C15972</t>
  </si>
  <si>
    <t>C15977, C00068</t>
  </si>
  <si>
    <t>https://www.kegg.jp/entry/R07601</t>
  </si>
  <si>
    <t>C00233, C00068</t>
  </si>
  <si>
    <t>C15974, C00011</t>
  </si>
  <si>
    <t>https://www.kegg.jp/entry/R07602</t>
  </si>
  <si>
    <t>C15974, C15972</t>
  </si>
  <si>
    <t>C15975, C00068</t>
  </si>
  <si>
    <t>https://www.kegg.jp/entry/R07603</t>
  </si>
  <si>
    <t>C00671, C00068</t>
  </si>
  <si>
    <t>C15978, C00011</t>
  </si>
  <si>
    <t>https://www.kegg.jp/entry/R07604</t>
  </si>
  <si>
    <t>C15978, C15972</t>
  </si>
  <si>
    <t>C15979, C00068</t>
  </si>
  <si>
    <t>https://www.kegg.jp/entry/R10996</t>
  </si>
  <si>
    <t>C00109, C00068</t>
  </si>
  <si>
    <t>C21017, C00011</t>
  </si>
  <si>
    <t>https://www.kegg.jp/entry/R10997</t>
  </si>
  <si>
    <t>C21017, C15972</t>
  </si>
  <si>
    <t>C21018, C00068</t>
  </si>
  <si>
    <t>1.20.4.4</t>
  </si>
  <si>
    <t>https://www.kegg.jp/entry/ec:1.20.4.4</t>
  </si>
  <si>
    <t>https://www.kegg.jp/entry/R10927</t>
  </si>
  <si>
    <t>C11215, C00342</t>
  </si>
  <si>
    <t>C06697, C00343, C00001</t>
  </si>
  <si>
    <t>1.3.1.12</t>
  </si>
  <si>
    <t>https://www.kegg.jp/entry/ec:1.3.1.12</t>
  </si>
  <si>
    <t>https://www.kegg.jp/entry/R01728</t>
  </si>
  <si>
    <t>C00254, C00003</t>
  </si>
  <si>
    <t>C01179, C00011, C00004, C00080</t>
  </si>
  <si>
    <t>1.3.1.14</t>
  </si>
  <si>
    <t>https://www.kegg.jp/entry/ec:1.3.1.14</t>
  </si>
  <si>
    <t>https://www.kegg.jp/entry/R01869</t>
  </si>
  <si>
    <t>C00337, C00003</t>
  </si>
  <si>
    <t>C00295, C00080, C00004</t>
  </si>
  <si>
    <t>1.3.1.28</t>
  </si>
  <si>
    <t>https://www.kegg.jp/entry/ec:1.3.1.28</t>
  </si>
  <si>
    <t>https://www.kegg.jp/entry/R01505</t>
  </si>
  <si>
    <t>C04171, C00003</t>
  </si>
  <si>
    <t>C00196, C00004, C00080</t>
  </si>
  <si>
    <t>1.3.1.34</t>
  </si>
  <si>
    <t>https://www.kegg.jp/entry/ec:1.3.1.34</t>
  </si>
  <si>
    <t>https://www.kegg.jp/entry/R04319</t>
  </si>
  <si>
    <t>C00658, C00006</t>
  </si>
  <si>
    <t>C04512, C00005, C00080</t>
  </si>
  <si>
    <t>https://www.kegg.jp/entry/R12620</t>
  </si>
  <si>
    <t>C22258, C00005, C00080</t>
  </si>
  <si>
    <t>1.3.1.9</t>
  </si>
  <si>
    <t>https://www.kegg.jp/entry/ec:1.3.1.9</t>
  </si>
  <si>
    <t>https://www.kegg.jp/entry/R01403</t>
  </si>
  <si>
    <t>C00173, C00003</t>
  </si>
  <si>
    <t>C00693, C00004, C00080</t>
  </si>
  <si>
    <t>https://www.kegg.jp/entry/R04429</t>
  </si>
  <si>
    <t>C05745, C00003</t>
  </si>
  <si>
    <t>C04246, C00004, C00080</t>
  </si>
  <si>
    <t>https://www.kegg.jp/entry/R04724</t>
  </si>
  <si>
    <t>C05223, C00003</t>
  </si>
  <si>
    <t>C05758, C00004, C00080</t>
  </si>
  <si>
    <t>https://www.kegg.jp/entry/R04955</t>
  </si>
  <si>
    <t>C05749, C00003</t>
  </si>
  <si>
    <t>C05748, C00004, C00080</t>
  </si>
  <si>
    <t>https://www.kegg.jp/entry/R04958</t>
  </si>
  <si>
    <t>C05752, C00003</t>
  </si>
  <si>
    <t>C05751, C00004, C00080</t>
  </si>
  <si>
    <t>https://www.kegg.jp/entry/R04961</t>
  </si>
  <si>
    <t>C05755, C00003</t>
  </si>
  <si>
    <t>C05754, C00004, C00080</t>
  </si>
  <si>
    <t>https://www.kegg.jp/entry/R04966</t>
  </si>
  <si>
    <t>C05761, C00003</t>
  </si>
  <si>
    <t>C05760, C00004, C00080</t>
  </si>
  <si>
    <t>https://www.kegg.jp/entry/R04969</t>
  </si>
  <si>
    <t>C05764, C00003</t>
  </si>
  <si>
    <t>C05763, C00004, C00080</t>
  </si>
  <si>
    <t>https://www.kegg.jp/entry/R07765</t>
  </si>
  <si>
    <t>C16221, C00004, C00080</t>
  </si>
  <si>
    <t>C04088, C00003</t>
  </si>
  <si>
    <t>1.3.1.98</t>
  </si>
  <si>
    <t>https://www.kegg.jp/entry/ec:1.3.1.98</t>
  </si>
  <si>
    <t>https://www.kegg.jp/entry/R03191</t>
  </si>
  <si>
    <t>C01050, C00003</t>
  </si>
  <si>
    <t>C04631, C00004, C00080</t>
  </si>
  <si>
    <t>https://www.kegg.jp/entry/R03192</t>
  </si>
  <si>
    <t>C01050, C00006</t>
  </si>
  <si>
    <t>C04631, C00005, C00080</t>
  </si>
  <si>
    <t>1.3.3.4</t>
  </si>
  <si>
    <t>https://www.kegg.jp/entry/ec:1.3.3.4</t>
  </si>
  <si>
    <t>https://www.kegg.jp/entry/R03222</t>
  </si>
  <si>
    <t>C01079, C00007</t>
  </si>
  <si>
    <t>C02191, C00027</t>
  </si>
  <si>
    <t>1.3.98.5</t>
  </si>
  <si>
    <t>https://www.kegg.jp/entry/ec:1.3.98.5</t>
  </si>
  <si>
    <t>https://www.kegg.jp/entry/R11522</t>
  </si>
  <si>
    <t>C21284, C00027</t>
  </si>
  <si>
    <t>C00032, C00011, C00001</t>
  </si>
  <si>
    <t>https://www.kegg.jp/entry/R12454</t>
  </si>
  <si>
    <t>C22173, C00011, C00001</t>
  </si>
  <si>
    <t>https://www.kegg.jp/entry/R12455</t>
  </si>
  <si>
    <t>C22173, C00027</t>
  </si>
  <si>
    <t>1.4.1.1</t>
  </si>
  <si>
    <t>https://www.kegg.jp/entry/ec:1.4.1.1</t>
  </si>
  <si>
    <t>https://www.kegg.jp/entry/R00145</t>
  </si>
  <si>
    <t>C05167, C00001, C00003</t>
  </si>
  <si>
    <t>C00161, C00014, C00004, C00080</t>
  </si>
  <si>
    <t>https://www.kegg.jp/entry/R00146</t>
  </si>
  <si>
    <t>C05167, C00001, C00006</t>
  </si>
  <si>
    <t>C00161, C00014, C00005, C00080</t>
  </si>
  <si>
    <t>https://www.kegg.jp/entry/R00365</t>
  </si>
  <si>
    <t>C00037, C00001, C00003</t>
  </si>
  <si>
    <t>C00048, C00014, C00004, C00080</t>
  </si>
  <si>
    <t>https://www.kegg.jp/entry/R00396</t>
  </si>
  <si>
    <t>C00041, C00003, C00001</t>
  </si>
  <si>
    <t>C00022, C00014, C00004, C00080</t>
  </si>
  <si>
    <t>1.4.1.2</t>
  </si>
  <si>
    <t>https://www.kegg.jp/entry/ec:1.4.1.2</t>
  </si>
  <si>
    <t>https://www.kegg.jp/entry/R00243</t>
  </si>
  <si>
    <t>C00025, C00003, C00001</t>
  </si>
  <si>
    <t>C00026, C00014, C00004, C00080</t>
  </si>
  <si>
    <t>1.4.1.9</t>
  </si>
  <si>
    <t>https://www.kegg.jp/entry/ec:1.4.1.9</t>
  </si>
  <si>
    <t>https://www.kegg.jp/entry/R01088</t>
  </si>
  <si>
    <t>C00123, C00001, C00003</t>
  </si>
  <si>
    <t>C00233, C00014, C00004, C00080</t>
  </si>
  <si>
    <t>https://www.kegg.jp/entry/R01434</t>
  </si>
  <si>
    <t>C00183, C00001, C00003</t>
  </si>
  <si>
    <t>C00141, C00014, C00004, C00080</t>
  </si>
  <si>
    <t>https://www.kegg.jp/entry/R02196</t>
  </si>
  <si>
    <t>C00407, C00003, C00001</t>
  </si>
  <si>
    <t>C00671, C00014, C00004, C00080</t>
  </si>
  <si>
    <t>1.4.3.16</t>
  </si>
  <si>
    <t>https://www.kegg.jp/entry/ec:1.4.3.16</t>
  </si>
  <si>
    <t>https://www.kegg.jp/entry/R00357</t>
  </si>
  <si>
    <t>C00049, C00001, C00007</t>
  </si>
  <si>
    <t>C00036, C00014, C00027</t>
  </si>
  <si>
    <t>https://www.kegg.jp/entry/R00481</t>
  </si>
  <si>
    <t>C00049, C00007</t>
  </si>
  <si>
    <t>C05840, C00027</t>
  </si>
  <si>
    <t>1.4.3.19</t>
  </si>
  <si>
    <t>https://www.kegg.jp/entry/ec:1.4.3.19</t>
  </si>
  <si>
    <t>https://www.kegg.jp/entry/R00366</t>
  </si>
  <si>
    <t>C00037, C00001, C00007</t>
  </si>
  <si>
    <t>C00048, C00014, C00027</t>
  </si>
  <si>
    <t>https://www.kegg.jp/entry/R05861</t>
  </si>
  <si>
    <t>C00133, C00001, C00007</t>
  </si>
  <si>
    <t>C00022, C00014, C00027</t>
  </si>
  <si>
    <t>https://www.kegg.jp/entry/R05862</t>
  </si>
  <si>
    <t>C00213, C00001, C00007</t>
  </si>
  <si>
    <t>C00048, C00218, C00027</t>
  </si>
  <si>
    <t>https://www.kegg.jp/entry/R05863</t>
  </si>
  <si>
    <t>C11735, C00001, C00007</t>
  </si>
  <si>
    <t>C00048, C00797, C00027</t>
  </si>
  <si>
    <t>https://www.kegg.jp/entry/R07463</t>
  </si>
  <si>
    <t>C00037, C00007</t>
  </si>
  <si>
    <t>C15809, C00027</t>
  </si>
  <si>
    <t>https://www.kegg.jp/entry/R10245</t>
  </si>
  <si>
    <t>C15809, C00001</t>
  </si>
  <si>
    <t>C00048, C00014</t>
  </si>
  <si>
    <t>1.4.4.2</t>
  </si>
  <si>
    <t>https://www.kegg.jp/entry/ec:1.4.4.2</t>
  </si>
  <si>
    <t>https://www.kegg.jp/entry/R03425</t>
  </si>
  <si>
    <t>C00037, C02051</t>
  </si>
  <si>
    <t>C01242, C00011</t>
  </si>
  <si>
    <t>1.5.1.2</t>
  </si>
  <si>
    <t>https://www.kegg.jp/entry/ec:1.5.1.2</t>
  </si>
  <si>
    <t>https://www.kegg.jp/entry/R01248</t>
  </si>
  <si>
    <t>C00148, C00003</t>
  </si>
  <si>
    <t>C03912, C00004, C00080</t>
  </si>
  <si>
    <t>https://www.kegg.jp/entry/R01251</t>
  </si>
  <si>
    <t>C00148, C00006</t>
  </si>
  <si>
    <t>C03912, C00005, C00080</t>
  </si>
  <si>
    <t>https://www.kegg.jp/entry/R03291</t>
  </si>
  <si>
    <t>C01157, C00003</t>
  </si>
  <si>
    <t>C04281, C00004, C00080</t>
  </si>
  <si>
    <t>https://www.kegg.jp/entry/R03293</t>
  </si>
  <si>
    <t>C01157, C00006</t>
  </si>
  <si>
    <t>C04281, C00005, C00080</t>
  </si>
  <si>
    <t>1.5.1.20</t>
  </si>
  <si>
    <t>https://www.kegg.jp/entry/ec:1.5.1.20</t>
  </si>
  <si>
    <t>https://www.kegg.jp/entry/R01224</t>
  </si>
  <si>
    <t>C00440, C00006</t>
  </si>
  <si>
    <t>C00143, C00005, C00080</t>
  </si>
  <si>
    <t>https://www.kegg.jp/entry/R07168</t>
  </si>
  <si>
    <t>C00440, C00003</t>
  </si>
  <si>
    <t>C00143, C00004, C00080</t>
  </si>
  <si>
    <t>1.5.1.3</t>
  </si>
  <si>
    <t>https://www.kegg.jp/entry/ec:1.5.1.3</t>
  </si>
  <si>
    <t>https://www.kegg.jp/entry/R00936</t>
  </si>
  <si>
    <t>C00101, C00003</t>
  </si>
  <si>
    <t>C00415, C00004, C00080</t>
  </si>
  <si>
    <t>https://www.kegg.jp/entry/R00937</t>
  </si>
  <si>
    <t>C00504, C00004, C00080</t>
  </si>
  <si>
    <t>https://www.kegg.jp/entry/R00939</t>
  </si>
  <si>
    <t>C00101, C00006</t>
  </si>
  <si>
    <t>C00415, C00005, C00080</t>
  </si>
  <si>
    <t>https://www.kegg.jp/entry/R00940</t>
  </si>
  <si>
    <t>C00504, C00005, C00080</t>
  </si>
  <si>
    <t>https://www.kegg.jp/entry/R02235</t>
  </si>
  <si>
    <t>C00415, C00003</t>
  </si>
  <si>
    <t>https://www.kegg.jp/entry/R02236</t>
  </si>
  <si>
    <t>C00415, C00006</t>
  </si>
  <si>
    <t>https://www.kegg.jp/entry/R11765</t>
  </si>
  <si>
    <t>C00272, C00006</t>
  </si>
  <si>
    <t>C02953, C00005, C00080</t>
  </si>
  <si>
    <t>1.5.1.5</t>
  </si>
  <si>
    <t>https://www.kegg.jp/entry/ec:1.5.1.5</t>
  </si>
  <si>
    <t>https://www.kegg.jp/entry/R01220</t>
  </si>
  <si>
    <t>C00143, C00006</t>
  </si>
  <si>
    <t>C00445, C00005</t>
  </si>
  <si>
    <t>1.6.2.4</t>
  </si>
  <si>
    <t>https://www.kegg.jp/entry/ec:1.6.2.4</t>
  </si>
  <si>
    <t>https://www.kegg.jp/entry/R00106</t>
  </si>
  <si>
    <t>C00005, C00923</t>
  </si>
  <si>
    <t>C00006, C00924, C00080</t>
  </si>
  <si>
    <t>https://www.kegg.jp/entry/R05102</t>
  </si>
  <si>
    <t>C06109, C00005</t>
  </si>
  <si>
    <t>C06110, C00006, C00080</t>
  </si>
  <si>
    <t>https://www.kegg.jp/entry/R08539</t>
  </si>
  <si>
    <t>C00005, C00996</t>
  </si>
  <si>
    <t>C00006, C00999</t>
  </si>
  <si>
    <t>https://www.kegg.jp/entry/R08551</t>
  </si>
  <si>
    <t>C03161, C00005, C00080</t>
  </si>
  <si>
    <t>C03024, C00006</t>
  </si>
  <si>
    <t>1.6.5.9</t>
  </si>
  <si>
    <t>https://www.kegg.jp/entry/ec:1.6.5.9</t>
  </si>
  <si>
    <t>https://www.kegg.jp/entry/R02163</t>
  </si>
  <si>
    <t>C00390, C00003</t>
  </si>
  <si>
    <t>C00399, C00004, C00080</t>
  </si>
  <si>
    <t>https://www.kegg.jp/entry/R07358</t>
  </si>
  <si>
    <t>C00004, C00080, C15602</t>
  </si>
  <si>
    <t>C00003, C15603</t>
  </si>
  <si>
    <t>1.6.99.1</t>
  </si>
  <si>
    <t>https://www.kegg.jp/entry/ec:1.6.99.1</t>
  </si>
  <si>
    <t>https://www.kegg.jp/entry/R00282</t>
  </si>
  <si>
    <t>C00028, C00005, C00080</t>
  </si>
  <si>
    <t>C00030, C00006</t>
  </si>
  <si>
    <t>1.7.1.13</t>
  </si>
  <si>
    <t>https://www.kegg.jp/entry/ec:1.7.1.13</t>
  </si>
  <si>
    <t>https://www.kegg.jp/entry/R07605</t>
  </si>
  <si>
    <t>C16675, C00006</t>
  </si>
  <si>
    <t>C15996, C00005, C00080</t>
  </si>
  <si>
    <t>1.7.1.17</t>
  </si>
  <si>
    <t>https://www.kegg.jp/entry/ec:1.7.1.17</t>
  </si>
  <si>
    <t>https://www.kegg.jp/entry/R12035</t>
  </si>
  <si>
    <t>C00108, C04203, C00003</t>
  </si>
  <si>
    <t>C19459, C00004, C00080</t>
  </si>
  <si>
    <t>1.7.1.4</t>
  </si>
  <si>
    <t>https://www.kegg.jp/entry/ec:1.7.1.4</t>
  </si>
  <si>
    <t>https://www.kegg.jp/entry/R00787</t>
  </si>
  <si>
    <t>C00014, C00003, C00001</t>
  </si>
  <si>
    <t>C00088, C00004, C00080</t>
  </si>
  <si>
    <t>https://www.kegg.jp/entry/R00789</t>
  </si>
  <si>
    <t>C00014, C00006, C00001</t>
  </si>
  <si>
    <t>C00088, C00005, C00080</t>
  </si>
  <si>
    <t>1.7.1.7</t>
  </si>
  <si>
    <t>https://www.kegg.jp/entry/ec:1.7.1.7</t>
  </si>
  <si>
    <t>https://www.kegg.jp/entry/R01134</t>
  </si>
  <si>
    <t>C00130, C00014, C00006</t>
  </si>
  <si>
    <t>C00144, C00005, C00080</t>
  </si>
  <si>
    <t>1.7.99.1</t>
  </si>
  <si>
    <t>https://www.kegg.jp/entry/ec:1.7.99.1</t>
  </si>
  <si>
    <t>https://www.kegg.jp/entry/R00143</t>
  </si>
  <si>
    <t>C00192, C00004, C00080</t>
  </si>
  <si>
    <t>https://www.kegg.jp/entry/R00284</t>
  </si>
  <si>
    <t>C00028, C00014, C00001</t>
  </si>
  <si>
    <t>C00192, C00030</t>
  </si>
  <si>
    <t>1.8.1.14</t>
  </si>
  <si>
    <t>https://www.kegg.jp/entry/ec:1.8.1.14</t>
  </si>
  <si>
    <t>https://www.kegg.jp/entry/R07175</t>
  </si>
  <si>
    <t>C00010, C00006</t>
  </si>
  <si>
    <t>C02015, C00005, C00080</t>
  </si>
  <si>
    <t>1.8.1.4</t>
  </si>
  <si>
    <t>https://www.kegg.jp/entry/ec:1.8.1.4</t>
  </si>
  <si>
    <t>https://www.kegg.jp/entry/R01698</t>
  </si>
  <si>
    <t>C00579, C00003</t>
  </si>
  <si>
    <t>C00248, C00004, C00080</t>
  </si>
  <si>
    <t>https://www.kegg.jp/entry/R03815</t>
  </si>
  <si>
    <t>C02972, C00003</t>
  </si>
  <si>
    <t>C02051, C00004, C00080</t>
  </si>
  <si>
    <t>https://www.kegg.jp/entry/R07618</t>
  </si>
  <si>
    <t>C15973, C00003</t>
  </si>
  <si>
    <t>C15972, C00004, C00080</t>
  </si>
  <si>
    <t>https://www.kegg.jp/entry/R08550</t>
  </si>
  <si>
    <t>C16832, C00003</t>
  </si>
  <si>
    <t>C16237, C00004, C00080</t>
  </si>
  <si>
    <t>1.8.1.9</t>
  </si>
  <si>
    <t>https://www.kegg.jp/entry/ec:1.8.1.9</t>
  </si>
  <si>
    <t>https://www.kegg.jp/entry/R00900</t>
  </si>
  <si>
    <t>C00097, C00051, C00006</t>
  </si>
  <si>
    <t>C05526, C00005</t>
  </si>
  <si>
    <t>https://www.kegg.jp/entry/R02016</t>
  </si>
  <si>
    <t>C00342, C00006</t>
  </si>
  <si>
    <t>C00343, C00005, C00080</t>
  </si>
  <si>
    <t>https://www.kegg.jp/entry/R03596</t>
  </si>
  <si>
    <t>C01528, C00006, C00001</t>
  </si>
  <si>
    <t>C05684, C00005, C00080</t>
  </si>
  <si>
    <t>https://www.kegg.jp/entry/R09372</t>
  </si>
  <si>
    <t>C00005, C00080, C18902</t>
  </si>
  <si>
    <t>C00006, C00001, C05703</t>
  </si>
  <si>
    <t>1.8.4.11</t>
  </si>
  <si>
    <t>https://www.kegg.jp/entry/ec:1.8.4.11</t>
  </si>
  <si>
    <t>https://www.kegg.jp/entry/R04120</t>
  </si>
  <si>
    <t>C03023, C00343, C00001</t>
  </si>
  <si>
    <t>C03895, C00342</t>
  </si>
  <si>
    <t>https://www.kegg.jp/entry/R07606</t>
  </si>
  <si>
    <t>C00073, C00343, C00001</t>
  </si>
  <si>
    <t>C15999, C00342</t>
  </si>
  <si>
    <t>1.8.4.12</t>
  </si>
  <si>
    <t>https://www.kegg.jp/entry/ec:1.8.4.12</t>
  </si>
  <si>
    <t>https://www.kegg.jp/entry/R07607</t>
  </si>
  <si>
    <t>C15653, C00342</t>
  </si>
  <si>
    <t>1.8.4.8</t>
  </si>
  <si>
    <t>https://www.kegg.jp/entry/ec:1.8.4.8</t>
  </si>
  <si>
    <t>https://www.kegg.jp/entry/R02021</t>
  </si>
  <si>
    <t>C00342, C00053</t>
  </si>
  <si>
    <t>C00343, C00094, C00054</t>
  </si>
  <si>
    <t>1.97.1.4</t>
  </si>
  <si>
    <t>https://www.kegg.jp/entry/ec:1.97.1.4</t>
  </si>
  <si>
    <t>https://www.kegg.jp/entry/R04710</t>
  </si>
  <si>
    <t>C00019, C05196, C05197</t>
  </si>
  <si>
    <t>C05198, C00073, C05199, C05312</t>
  </si>
  <si>
    <t>2.1.1.10</t>
  </si>
  <si>
    <t>https://www.kegg.jp/entry/ec:2.1.1.10</t>
  </si>
  <si>
    <t>https://www.kegg.jp/entry/R00650</t>
  </si>
  <si>
    <t>C00019, C00155</t>
  </si>
  <si>
    <t>C00021, C00073</t>
  </si>
  <si>
    <t>https://www.kegg.jp/entry/R11063</t>
  </si>
  <si>
    <t>C03172, C00155</t>
  </si>
  <si>
    <t>C00073</t>
  </si>
  <si>
    <t>2.1.1.107</t>
  </si>
  <si>
    <t>https://www.kegg.jp/entry/ec:2.1.1.107</t>
  </si>
  <si>
    <t>https://www.kegg.jp/entry/R03194</t>
  </si>
  <si>
    <t>C00019, C01051</t>
  </si>
  <si>
    <t>C00021, C02463</t>
  </si>
  <si>
    <t>https://www.kegg.jp/entry/R03950</t>
  </si>
  <si>
    <t>C00019, C02469</t>
  </si>
  <si>
    <t>C00021, C05778</t>
  </si>
  <si>
    <t>https://www.kegg.jp/entry/R07237</t>
  </si>
  <si>
    <t>C00021, C15527</t>
  </si>
  <si>
    <t>https://www.kegg.jp/entry/R07238</t>
  </si>
  <si>
    <t>C00019, C15527</t>
  </si>
  <si>
    <t>2.1.1.13</t>
  </si>
  <si>
    <t>https://www.kegg.jp/entry/ec:2.1.1.13</t>
  </si>
  <si>
    <t>https://www.kegg.jp/entry/R00946</t>
  </si>
  <si>
    <t>C00440, C00155</t>
  </si>
  <si>
    <t>C00101, C00073</t>
  </si>
  <si>
    <t>https://www.kegg.jp/entry/R09365</t>
  </si>
  <si>
    <t>C05698, C04489</t>
  </si>
  <si>
    <t>C05335, C04144</t>
  </si>
  <si>
    <t>2.1.1.14</t>
  </si>
  <si>
    <t>https://www.kegg.jp/entry/ec:2.1.1.14</t>
  </si>
  <si>
    <t>https://www.kegg.jp/entry/R04405</t>
  </si>
  <si>
    <t>C04489, C00155</t>
  </si>
  <si>
    <t>C04144, C00073</t>
  </si>
  <si>
    <t>2.1.1.170</t>
  </si>
  <si>
    <t>https://www.kegg.jp/entry/ec:2.1.1.170</t>
  </si>
  <si>
    <t>No ALL_REAC section found</t>
  </si>
  <si>
    <t>-</t>
  </si>
  <si>
    <t>2.1.1.171</t>
  </si>
  <si>
    <t>https://www.kegg.jp/entry/ec:2.1.1.171</t>
  </si>
  <si>
    <t>https://www.kegg.jp/entry/R07234</t>
  </si>
  <si>
    <t>C00019, C00240</t>
  </si>
  <si>
    <t>C00021, C04153</t>
  </si>
  <si>
    <t>2.1.1.172</t>
  </si>
  <si>
    <t>https://www.kegg.jp/entry/ec:2.1.1.172</t>
  </si>
  <si>
    <t>2.1.1.174</t>
  </si>
  <si>
    <t>https://www.kegg.jp/entry/ec:2.1.1.174</t>
  </si>
  <si>
    <t>2.1.1.176</t>
  </si>
  <si>
    <t>https://www.kegg.jp/entry/ec:2.1.1.176</t>
  </si>
  <si>
    <t>2.1.1.177</t>
  </si>
  <si>
    <t>https://www.kegg.jp/entry/ec:2.1.1.177</t>
  </si>
  <si>
    <t>2.1.1.182</t>
  </si>
  <si>
    <t>https://www.kegg.jp/entry/ec:2.1.1.182</t>
  </si>
  <si>
    <t>https://www.kegg.jp/entry/R10716</t>
  </si>
  <si>
    <t>C00019, C20648</t>
  </si>
  <si>
    <t>C00021, C20796</t>
  </si>
  <si>
    <t>2.1.1.190</t>
  </si>
  <si>
    <t>https://www.kegg.jp/entry/ec:2.1.1.190</t>
  </si>
  <si>
    <t>2.1.1.192</t>
  </si>
  <si>
    <t>https://www.kegg.jp/entry/ec:2.1.1.192</t>
  </si>
  <si>
    <t>2.1.1.193</t>
  </si>
  <si>
    <t>https://www.kegg.jp/entry/ec:2.1.1.193</t>
  </si>
  <si>
    <t>2.1.1.197</t>
  </si>
  <si>
    <t>https://www.kegg.jp/entry/ec:2.1.1.197</t>
  </si>
  <si>
    <t>https://www.kegg.jp/entry/R09543</t>
  </si>
  <si>
    <t>C00019, C01209</t>
  </si>
  <si>
    <t>C00021, C19673</t>
  </si>
  <si>
    <t>2.1.1.198</t>
  </si>
  <si>
    <t>https://www.kegg.jp/entry/ec:2.1.1.198</t>
  </si>
  <si>
    <t>2.1.1.199</t>
  </si>
  <si>
    <t>https://www.kegg.jp/entry/ec:2.1.1.199</t>
  </si>
  <si>
    <t>2.1.1.207</t>
  </si>
  <si>
    <t>https://www.kegg.jp/entry/ec:2.1.1.207</t>
  </si>
  <si>
    <t>2.1.1.223</t>
  </si>
  <si>
    <t>https://www.kegg.jp/entry/ec:2.1.1.223</t>
  </si>
  <si>
    <t>2.1.1.228</t>
  </si>
  <si>
    <t>https://www.kegg.jp/entry/ec:2.1.1.228</t>
  </si>
  <si>
    <t>https://www.kegg.jp/entry/R00597</t>
  </si>
  <si>
    <t>C00019, C01977</t>
  </si>
  <si>
    <t>C00021, C04157</t>
  </si>
  <si>
    <t>2.1.1.297</t>
  </si>
  <si>
    <t>https://www.kegg.jp/entry/ec:2.1.1.297</t>
  </si>
  <si>
    <t>https://www.kegg.jp/entry/R10806</t>
  </si>
  <si>
    <t>C02583, C00019</t>
  </si>
  <si>
    <t>C20858, C00021</t>
  </si>
  <si>
    <t>2.1.1.33</t>
  </si>
  <si>
    <t>https://www.kegg.jp/entry/ec:2.1.1.33</t>
  </si>
  <si>
    <t>https://www.kegg.jp/entry/R00600</t>
  </si>
  <si>
    <t>C00021, C04160</t>
  </si>
  <si>
    <t>2.1.1.45</t>
  </si>
  <si>
    <t>https://www.kegg.jp/entry/ec:2.1.1.45</t>
  </si>
  <si>
    <t>https://www.kegg.jp/entry/R02101</t>
  </si>
  <si>
    <t>C00365, C00143</t>
  </si>
  <si>
    <t>C00415, C00364</t>
  </si>
  <si>
    <t>2.1.1.63</t>
  </si>
  <si>
    <t>https://www.kegg.jp/entry/ec:2.1.1.63</t>
  </si>
  <si>
    <t>https://www.kegg.jp/entry/R04314</t>
  </si>
  <si>
    <t>C04250, C02743</t>
  </si>
  <si>
    <t>C03800, C11475</t>
  </si>
  <si>
    <t>2.1.1.72</t>
  </si>
  <si>
    <t>https://www.kegg.jp/entry/ec:2.1.1.72</t>
  </si>
  <si>
    <t>https://www.kegg.jp/entry/R02961</t>
  </si>
  <si>
    <t>C00019, C00821</t>
  </si>
  <si>
    <t>C00021, C03391</t>
  </si>
  <si>
    <t>2.1.1.74</t>
  </si>
  <si>
    <t>https://www.kegg.jp/entry/ec:2.1.1.74</t>
  </si>
  <si>
    <t>https://www.kegg.jp/entry/R03704</t>
  </si>
  <si>
    <t>C00143, C01764, C01352</t>
  </si>
  <si>
    <t>C00101, C03446, C00016</t>
  </si>
  <si>
    <t>https://www.kegg.jp/entry/R12548</t>
  </si>
  <si>
    <t>C00143, C01764, C00004, C00080</t>
  </si>
  <si>
    <t>C00101, C03446, C00003</t>
  </si>
  <si>
    <t>2.1.1.79</t>
  </si>
  <si>
    <t>https://www.kegg.jp/entry/ec:2.1.1.79</t>
  </si>
  <si>
    <t>https://www.kegg.jp/entry/R03411</t>
  </si>
  <si>
    <t>C00019, C01229</t>
  </si>
  <si>
    <t>C00021, C04340</t>
  </si>
  <si>
    <t>2.1.1.80</t>
  </si>
  <si>
    <t>https://www.kegg.jp/entry/ec:2.1.1.80</t>
  </si>
  <si>
    <t>https://www.kegg.jp/entry/R02623</t>
  </si>
  <si>
    <t>C00019, C00614</t>
  </si>
  <si>
    <t>C00021, C04142</t>
  </si>
  <si>
    <t>2.1.2.1</t>
  </si>
  <si>
    <t>https://www.kegg.jp/entry/ec:2.1.2.1</t>
  </si>
  <si>
    <t>https://www.kegg.jp/entry/R00945</t>
  </si>
  <si>
    <t>C00143, C00037, C00001</t>
  </si>
  <si>
    <t>C00101, C00065</t>
  </si>
  <si>
    <t>https://www.kegg.jp/entry/R09099</t>
  </si>
  <si>
    <t>C00065, C01217</t>
  </si>
  <si>
    <t>C04377, C00037, C00001</t>
  </si>
  <si>
    <t>2.1.2.10</t>
  </si>
  <si>
    <t>https://www.kegg.jp/entry/ec:2.1.2.10</t>
  </si>
  <si>
    <t>https://www.kegg.jp/entry/R02300</t>
  </si>
  <si>
    <t>C03479</t>
  </si>
  <si>
    <t>C00445, C00001</t>
  </si>
  <si>
    <t>https://www.kegg.jp/entry/R04125</t>
  </si>
  <si>
    <t>C01242, C00101</t>
  </si>
  <si>
    <t>C02972, C00143, C00014</t>
  </si>
  <si>
    <t>2.1.2.11</t>
  </si>
  <si>
    <t>https://www.kegg.jp/entry/ec:2.1.2.11</t>
  </si>
  <si>
    <t>https://www.kegg.jp/entry/R01216</t>
  </si>
  <si>
    <t>C00966</t>
  </si>
  <si>
    <t>C00141, C00067</t>
  </si>
  <si>
    <t>https://www.kegg.jp/entry/R01226</t>
  </si>
  <si>
    <t>C00143, C00141, C00001</t>
  </si>
  <si>
    <t>C00101, C00966</t>
  </si>
  <si>
    <t>2.1.2.2</t>
  </si>
  <si>
    <t>https://www.kegg.jp/entry/ec:2.1.2.2</t>
  </si>
  <si>
    <t>https://www.kegg.jp/entry/R04325</t>
  </si>
  <si>
    <t>C00234, C03838</t>
  </si>
  <si>
    <t>C00101, C04376</t>
  </si>
  <si>
    <t>https://www.kegg.jp/entry/R04326</t>
  </si>
  <si>
    <t>C03838, C00445, C00001</t>
  </si>
  <si>
    <t>C04376, C00101</t>
  </si>
  <si>
    <t>2.1.2.3</t>
  </si>
  <si>
    <t>https://www.kegg.jp/entry/ec:2.1.2.3</t>
  </si>
  <si>
    <t>https://www.kegg.jp/entry/R04560</t>
  </si>
  <si>
    <t>C00234, C04677</t>
  </si>
  <si>
    <t>C00101, C04734</t>
  </si>
  <si>
    <t>2.1.2.9</t>
  </si>
  <si>
    <t>https://www.kegg.jp/entry/ec:2.1.2.9</t>
  </si>
  <si>
    <t>https://www.kegg.jp/entry/R03940</t>
  </si>
  <si>
    <t>C02430, C00234</t>
  </si>
  <si>
    <t>C00101, C03294</t>
  </si>
  <si>
    <t>2.1.3.2</t>
  </si>
  <si>
    <t>https://www.kegg.jp/entry/ec:2.1.3.2</t>
  </si>
  <si>
    <t>https://www.kegg.jp/entry/R01397</t>
  </si>
  <si>
    <t>C00169, C00049</t>
  </si>
  <si>
    <t>C00009, C00438</t>
  </si>
  <si>
    <t>2.1.3.3</t>
  </si>
  <si>
    <t>https://www.kegg.jp/entry/ec:2.1.3.3</t>
  </si>
  <si>
    <t>https://www.kegg.jp/entry/R01398</t>
  </si>
  <si>
    <t>C00169, C00077</t>
  </si>
  <si>
    <t>C00009, C00327</t>
  </si>
  <si>
    <t>2.10.1.1</t>
  </si>
  <si>
    <t>https://www.kegg.jp/entry/ec:2.10.1.1</t>
  </si>
  <si>
    <t>https://www.kegg.jp/entry/R09735</t>
  </si>
  <si>
    <t>C19848, C06232</t>
  </si>
  <si>
    <t>C18237, C00020, C00001</t>
  </si>
  <si>
    <t>2.2.1.1</t>
  </si>
  <si>
    <t>https://www.kegg.jp/entry/ec:2.2.1.1</t>
  </si>
  <si>
    <t>https://www.kegg.jp/entry/R01067</t>
  </si>
  <si>
    <t>C00085, C00118</t>
  </si>
  <si>
    <t>C00279, C00231</t>
  </si>
  <si>
    <t>https://www.kegg.jp/entry/R01641</t>
  </si>
  <si>
    <t>C05382, C00118</t>
  </si>
  <si>
    <t>C00117, C00231</t>
  </si>
  <si>
    <t>https://www.kegg.jp/entry/R01830</t>
  </si>
  <si>
    <t>C05345, C00118</t>
  </si>
  <si>
    <t>https://www.kegg.jp/entry/R06590</t>
  </si>
  <si>
    <t>C12214, C00117</t>
  </si>
  <si>
    <t>C12215, C05382</t>
  </si>
  <si>
    <t>https://www.kegg.jp/entry/R06861</t>
  </si>
  <si>
    <t>C00231, C00068</t>
  </si>
  <si>
    <t>C13378, C00118</t>
  </si>
  <si>
    <t>https://www.kegg.jp/entry/R06863</t>
  </si>
  <si>
    <t>C05382, C00068</t>
  </si>
  <si>
    <t>C13378, C00117</t>
  </si>
  <si>
    <t>2.2.1.6</t>
  </si>
  <si>
    <t>https://www.kegg.jp/entry/ec:2.2.1.6</t>
  </si>
  <si>
    <t>https://www.kegg.jp/entry/R00006</t>
  </si>
  <si>
    <t>C00900, C00011</t>
  </si>
  <si>
    <t>C00022</t>
  </si>
  <si>
    <t>https://www.kegg.jp/entry/R00226</t>
  </si>
  <si>
    <t>C06010, C00011</t>
  </si>
  <si>
    <t>https://www.kegg.jp/entry/R03050</t>
  </si>
  <si>
    <t>C00900, C00068</t>
  </si>
  <si>
    <t>C05125, C00022</t>
  </si>
  <si>
    <t>https://www.kegg.jp/entry/R04672</t>
  </si>
  <si>
    <t>C06010, C00068</t>
  </si>
  <si>
    <t>https://www.kegg.jp/entry/R04673</t>
  </si>
  <si>
    <t>C00109, C05125</t>
  </si>
  <si>
    <t>C06006, C00068</t>
  </si>
  <si>
    <t>https://www.kegg.jp/entry/R08648</t>
  </si>
  <si>
    <t>C00022, C00109</t>
  </si>
  <si>
    <t>C06006, C00011</t>
  </si>
  <si>
    <t>2.2.1.7</t>
  </si>
  <si>
    <t>https://www.kegg.jp/entry/ec:2.2.1.7</t>
  </si>
  <si>
    <t>https://www.kegg.jp/entry/R05636</t>
  </si>
  <si>
    <t>C00022, C00118</t>
  </si>
  <si>
    <t>C11437, C00011</t>
  </si>
  <si>
    <t>2.2.1.9</t>
  </si>
  <si>
    <t>https://www.kegg.jp/entry/ec:2.2.1.9</t>
  </si>
  <si>
    <t>https://www.kegg.jp/entry/R08165</t>
  </si>
  <si>
    <t>C00885, C00026</t>
  </si>
  <si>
    <t>C16519, C00011</t>
  </si>
  <si>
    <t>2.3.1.1</t>
  </si>
  <si>
    <t>https://www.kegg.jp/entry/ec:2.3.1.1</t>
  </si>
  <si>
    <t>https://www.kegg.jp/entry/R00259</t>
  </si>
  <si>
    <t>C00024, C00025</t>
  </si>
  <si>
    <t>C00010, C00624</t>
  </si>
  <si>
    <t>2.3.1.12</t>
  </si>
  <si>
    <t>https://www.kegg.jp/entry/ec:2.3.1.12</t>
  </si>
  <si>
    <t>https://www.kegg.jp/entry/R02569</t>
  </si>
  <si>
    <t>C00024, C15973</t>
  </si>
  <si>
    <t>C00010, C16255</t>
  </si>
  <si>
    <t>2.3.1.15</t>
  </si>
  <si>
    <t>https://www.kegg.jp/entry/ec:2.3.1.15</t>
  </si>
  <si>
    <t>https://www.kegg.jp/entry/R00851</t>
  </si>
  <si>
    <t>C00093, C00040</t>
  </si>
  <si>
    <t>C00681, C00010</t>
  </si>
  <si>
    <t>https://www.kegg.jp/entry/R02617</t>
  </si>
  <si>
    <t>C00605, C00093</t>
  </si>
  <si>
    <t>C00010, C00681</t>
  </si>
  <si>
    <t>https://www.kegg.jp/entry/R09380</t>
  </si>
  <si>
    <t>C00173, C00093</t>
  </si>
  <si>
    <t>C00681, C00229</t>
  </si>
  <si>
    <t>2.3.1.157</t>
  </si>
  <si>
    <t>https://www.kegg.jp/entry/ec:2.3.1.157</t>
  </si>
  <si>
    <t>https://www.kegg.jp/entry/R05332</t>
  </si>
  <si>
    <t>C00024, C06156</t>
  </si>
  <si>
    <t>C00010, C04501</t>
  </si>
  <si>
    <t>2.3.1.179</t>
  </si>
  <si>
    <t>https://www.kegg.jp/entry/ec:2.3.1.179</t>
  </si>
  <si>
    <t>https://www.kegg.jp/entry/R02768</t>
  </si>
  <si>
    <t>C00173, C01209</t>
  </si>
  <si>
    <t>C00685, C00011, C00229</t>
  </si>
  <si>
    <t>https://www.kegg.jp/entry/R04355</t>
  </si>
  <si>
    <t>C03939, C01209</t>
  </si>
  <si>
    <t>C05744, C00011, C00229</t>
  </si>
  <si>
    <t>https://www.kegg.jp/entry/R04726</t>
  </si>
  <si>
    <t>C05223, C01209</t>
  </si>
  <si>
    <t>C05759, C00011, C00229</t>
  </si>
  <si>
    <t>https://www.kegg.jp/entry/R04952</t>
  </si>
  <si>
    <t>C05745, C01209</t>
  </si>
  <si>
    <t>C05746, C00011, C00229</t>
  </si>
  <si>
    <t>https://www.kegg.jp/entry/R04957</t>
  </si>
  <si>
    <t>C05749, C01209</t>
  </si>
  <si>
    <t>C05750, C00011, C00229</t>
  </si>
  <si>
    <t>https://www.kegg.jp/entry/R04960</t>
  </si>
  <si>
    <t>C05752, C01209</t>
  </si>
  <si>
    <t>C05753, C00011, C00229</t>
  </si>
  <si>
    <t>https://www.kegg.jp/entry/R04963</t>
  </si>
  <si>
    <t>C05755, C01209</t>
  </si>
  <si>
    <t>C05756, C00011, C00229</t>
  </si>
  <si>
    <t>https://www.kegg.jp/entry/R04968</t>
  </si>
  <si>
    <t>C05761, C01209</t>
  </si>
  <si>
    <t>C05762, C00011, C00229</t>
  </si>
  <si>
    <t>https://www.kegg.jp/entry/R07762</t>
  </si>
  <si>
    <t>C05764, C01209</t>
  </si>
  <si>
    <t>C16219, C00229, C00011</t>
  </si>
  <si>
    <t>https://www.kegg.jp/entry/R10115</t>
  </si>
  <si>
    <t>C19673, C01209</t>
  </si>
  <si>
    <t>C20372, C00011, C00229</t>
  </si>
  <si>
    <t>https://www.kegg.jp/entry/R10119</t>
  </si>
  <si>
    <t>C20375, C01209</t>
  </si>
  <si>
    <t>C20376, C00011, C00229</t>
  </si>
  <si>
    <t>2.3.1.180</t>
  </si>
  <si>
    <t>https://www.kegg.jp/entry/ec:2.3.1.180</t>
  </si>
  <si>
    <t>https://www.kegg.jp/entry/R10707</t>
  </si>
  <si>
    <t>C00024, C01209</t>
  </si>
  <si>
    <t>C05744, C00010, C00011</t>
  </si>
  <si>
    <t>2.3.1.19</t>
  </si>
  <si>
    <t>https://www.kegg.jp/entry/ec:2.3.1.19</t>
  </si>
  <si>
    <t>https://www.kegg.jp/entry/R01174</t>
  </si>
  <si>
    <t>C00136, C00009</t>
  </si>
  <si>
    <t>C00010, C02527</t>
  </si>
  <si>
    <t>2.3.1.234</t>
  </si>
  <si>
    <t>https://www.kegg.jp/entry/ec:2.3.1.234</t>
  </si>
  <si>
    <t>https://www.kegg.jp/entry/R10648</t>
  </si>
  <si>
    <t>C20641, C17324</t>
  </si>
  <si>
    <t>C00020, C20751</t>
  </si>
  <si>
    <t>2.3.1.245</t>
  </si>
  <si>
    <t>https://www.kegg.jp/entry/ec:2.3.1.245</t>
  </si>
  <si>
    <t>https://www.kegg.jp/entry/R11182</t>
  </si>
  <si>
    <t>C00111, C00024</t>
  </si>
  <si>
    <t>C20960, C00010</t>
  </si>
  <si>
    <t>2.3.1.266</t>
  </si>
  <si>
    <t>https://www.kegg.jp/entry/ec:2.3.1.266</t>
  </si>
  <si>
    <t>https://www.kegg.jp/entry/R04316</t>
  </si>
  <si>
    <t>C00024, C03803</t>
  </si>
  <si>
    <t>C00010, C04341</t>
  </si>
  <si>
    <t>2.3.1.274</t>
  </si>
  <si>
    <t>https://www.kegg.jp/entry/ec:2.3.1.274</t>
  </si>
  <si>
    <t>https://www.kegg.jp/entry/R12240</t>
  </si>
  <si>
    <t>C00173, C00009</t>
  </si>
  <si>
    <t>C02133, C00229</t>
  </si>
  <si>
    <t>2.3.1.286</t>
  </si>
  <si>
    <t>https://www.kegg.jp/entry/ec:2.3.1.286</t>
  </si>
  <si>
    <t>https://www.kegg.jp/entry/R10633</t>
  </si>
  <si>
    <t>C00003, C01997, C00001</t>
  </si>
  <si>
    <t>C00153, C02415, C20658, C00080</t>
  </si>
  <si>
    <t>https://www.kegg.jp/entry/R10634</t>
  </si>
  <si>
    <t>C00003, C20743, C00001</t>
  </si>
  <si>
    <t>C00153, C02188, C20658, C00080</t>
  </si>
  <si>
    <t>2.3.1.29</t>
  </si>
  <si>
    <t>https://www.kegg.jp/entry/ec:2.3.1.29</t>
  </si>
  <si>
    <t>https://www.kegg.jp/entry/R00371</t>
  </si>
  <si>
    <t>C00024, C00037</t>
  </si>
  <si>
    <t>C00010, C03508</t>
  </si>
  <si>
    <t>2.3.1.30</t>
  </si>
  <si>
    <t>https://www.kegg.jp/entry/ec:2.3.1.30</t>
  </si>
  <si>
    <t>https://www.kegg.jp/entry/R00586</t>
  </si>
  <si>
    <t>C00065, C00024</t>
  </si>
  <si>
    <t>C00979, C00010</t>
  </si>
  <si>
    <t>2.3.1.31</t>
  </si>
  <si>
    <t>https://www.kegg.jp/entry/ec:2.3.1.31</t>
  </si>
  <si>
    <t>https://www.kegg.jp/entry/R01776</t>
  </si>
  <si>
    <t>C00024, C00263</t>
  </si>
  <si>
    <t>C00010, C01077</t>
  </si>
  <si>
    <t>2.3.1.35</t>
  </si>
  <si>
    <t>https://www.kegg.jp/entry/ec:2.3.1.35</t>
  </si>
  <si>
    <t>https://www.kegg.jp/entry/R02282</t>
  </si>
  <si>
    <t>C00437, C00025</t>
  </si>
  <si>
    <t>C00077, C00624</t>
  </si>
  <si>
    <t>2.3.1.39</t>
  </si>
  <si>
    <t>https://www.kegg.jp/entry/ec:2.3.1.39</t>
  </si>
  <si>
    <t>https://www.kegg.jp/entry/R01626</t>
  </si>
  <si>
    <t>C00083, C00229</t>
  </si>
  <si>
    <t>C00010, C01209</t>
  </si>
  <si>
    <t>2.3.1.46</t>
  </si>
  <si>
    <t>https://www.kegg.jp/entry/ec:2.3.1.46</t>
  </si>
  <si>
    <t>https://www.kegg.jp/entry/R01777</t>
  </si>
  <si>
    <t>C00091, C00263</t>
  </si>
  <si>
    <t>C00010, C01118</t>
  </si>
  <si>
    <t>2.3.1.47</t>
  </si>
  <si>
    <t>https://www.kegg.jp/entry/ec:2.3.1.47</t>
  </si>
  <si>
    <t>https://www.kegg.jp/entry/R03210</t>
  </si>
  <si>
    <t>C01063, C00041</t>
  </si>
  <si>
    <t>C01092, C00010, C00011</t>
  </si>
  <si>
    <t>https://www.kegg.jp/entry/R10124</t>
  </si>
  <si>
    <t>C19845, C00041</t>
  </si>
  <si>
    <t>C01092, C00229, C00011</t>
  </si>
  <si>
    <t>2.3.1.54</t>
  </si>
  <si>
    <t>https://www.kegg.jp/entry/ec:2.3.1.54</t>
  </si>
  <si>
    <t>https://www.kegg.jp/entry/R00212</t>
  </si>
  <si>
    <t>C00024, C00058</t>
  </si>
  <si>
    <t>C00010, C00022</t>
  </si>
  <si>
    <t>https://www.kegg.jp/entry/R06987</t>
  </si>
  <si>
    <t>C00109, C00010</t>
  </si>
  <si>
    <t>C00100, C00058</t>
  </si>
  <si>
    <t>2.3.1.57</t>
  </si>
  <si>
    <t>https://www.kegg.jp/entry/ec:2.3.1.57</t>
  </si>
  <si>
    <t>https://www.kegg.jp/entry/R01154</t>
  </si>
  <si>
    <t>C00024, C00134</t>
  </si>
  <si>
    <t>C00010, C02714</t>
  </si>
  <si>
    <t>https://www.kegg.jp/entry/R03910</t>
  </si>
  <si>
    <t>C00024, C03687</t>
  </si>
  <si>
    <t>C00010, C02297</t>
  </si>
  <si>
    <t>2.3.1.61</t>
  </si>
  <si>
    <t>https://www.kegg.jp/entry/ec:2.3.1.61</t>
  </si>
  <si>
    <t>https://www.kegg.jp/entry/R02570</t>
  </si>
  <si>
    <t>C00091, C15973</t>
  </si>
  <si>
    <t>C00010, C16254</t>
  </si>
  <si>
    <t>https://www.kegg.jp/entry/R02571</t>
  </si>
  <si>
    <t>C00527, C15973</t>
  </si>
  <si>
    <t>C00010, C06157</t>
  </si>
  <si>
    <t>2.3.1.8</t>
  </si>
  <si>
    <t>https://www.kegg.jp/entry/ec:2.3.1.8</t>
  </si>
  <si>
    <t>https://www.kegg.jp/entry/R00230</t>
  </si>
  <si>
    <t>C00024, C00009</t>
  </si>
  <si>
    <t>C00010, C00227</t>
  </si>
  <si>
    <t>https://www.kegg.jp/entry/R00921</t>
  </si>
  <si>
    <t>C00100, C00009</t>
  </si>
  <si>
    <t>C02876, C00010</t>
  </si>
  <si>
    <t>2.3.1.9</t>
  </si>
  <si>
    <t>https://www.kegg.jp/entry/ec:2.3.1.9</t>
  </si>
  <si>
    <t>https://www.kegg.jp/entry/R00238</t>
  </si>
  <si>
    <t>C00024</t>
  </si>
  <si>
    <t>C00010, C00332</t>
  </si>
  <si>
    <t>https://www.kegg.jp/entry/R00927</t>
  </si>
  <si>
    <t>C00100, C00024</t>
  </si>
  <si>
    <t>C00010, C03344</t>
  </si>
  <si>
    <t>https://www.kegg.jp/entry/R01177</t>
  </si>
  <si>
    <t>C00024, C00136</t>
  </si>
  <si>
    <t>C00010, C05269</t>
  </si>
  <si>
    <t>2.3.2.13</t>
  </si>
  <si>
    <t>https://www.kegg.jp/entry/ec:2.3.2.13</t>
  </si>
  <si>
    <t>https://www.kegg.jp/entry/R03983</t>
  </si>
  <si>
    <t>C02583, C01664</t>
  </si>
  <si>
    <t>C03636, C00014</t>
  </si>
  <si>
    <t>2.3.3.1</t>
  </si>
  <si>
    <t>https://www.kegg.jp/entry/ec:2.3.3.1</t>
  </si>
  <si>
    <t>https://www.kegg.jp/entry/R00351</t>
  </si>
  <si>
    <t>C00158, C00010</t>
  </si>
  <si>
    <t>C00024, C00001, C00036</t>
  </si>
  <si>
    <t>2.3.3.13</t>
  </si>
  <si>
    <t>https://www.kegg.jp/entry/ec:2.3.3.13</t>
  </si>
  <si>
    <t>https://www.kegg.jp/entry/R01213</t>
  </si>
  <si>
    <t>C02504, C00010</t>
  </si>
  <si>
    <t>C00024, C00141, C00001</t>
  </si>
  <si>
    <t>2.3.3.9</t>
  </si>
  <si>
    <t>https://www.kegg.jp/entry/ec:2.3.3.9</t>
  </si>
  <si>
    <t>https://www.kegg.jp/entry/R00472</t>
  </si>
  <si>
    <t>C00149, C00010</t>
  </si>
  <si>
    <t>C00024, C00001, C00048</t>
  </si>
  <si>
    <t>2.4.1.1</t>
  </si>
  <si>
    <t>https://www.kegg.jp/entry/ec:2.4.1.1</t>
  </si>
  <si>
    <t>https://www.kegg.jp/entry/R01821</t>
  </si>
  <si>
    <t>C00718, C00009</t>
  </si>
  <si>
    <t>C00718, C00103</t>
  </si>
  <si>
    <t>https://www.kegg.jp/entry/R02111</t>
  </si>
  <si>
    <t>C00369, C00009</t>
  </si>
  <si>
    <t>https://www.kegg.jp/entry/R06050</t>
  </si>
  <si>
    <t>G10495, C00009</t>
  </si>
  <si>
    <t>G10495, C00103</t>
  </si>
  <si>
    <t>https://www.kegg.jp/entry/R06185</t>
  </si>
  <si>
    <t>G10545, C00009</t>
  </si>
  <si>
    <t>2.4.1.129</t>
  </si>
  <si>
    <t>https://www.kegg.jp/entry/ec:2.4.1.129</t>
  </si>
  <si>
    <t>2.4.1.18</t>
  </si>
  <si>
    <t>https://www.kegg.jp/entry/ec:2.4.1.18</t>
  </si>
  <si>
    <t>https://www.kegg.jp/entry/R02110</t>
  </si>
  <si>
    <t>C00718</t>
  </si>
  <si>
    <t>C00369</t>
  </si>
  <si>
    <t>https://www.kegg.jp/entry/R06186</t>
  </si>
  <si>
    <t>G10495</t>
  </si>
  <si>
    <t>G10545</t>
  </si>
  <si>
    <t>2.4.1.227</t>
  </si>
  <si>
    <t>https://www.kegg.jp/entry/ec:2.4.1.227</t>
  </si>
  <si>
    <t>https://www.kegg.jp/entry/R05032</t>
  </si>
  <si>
    <t>C05897, C00043</t>
  </si>
  <si>
    <t>C05898, C00015</t>
  </si>
  <si>
    <t>https://www.kegg.jp/entry/R05662</t>
  </si>
  <si>
    <t>C04851, C00043</t>
  </si>
  <si>
    <t>C05893, C00015</t>
  </si>
  <si>
    <t>https://www.kegg.jp/entry/R06172</t>
  </si>
  <si>
    <t>G10551, G10610</t>
  </si>
  <si>
    <t>G10550, G10619</t>
  </si>
  <si>
    <t>https://www.kegg.jp/entry/R06173</t>
  </si>
  <si>
    <t>G10552, G10610</t>
  </si>
  <si>
    <t>G10553, G10619</t>
  </si>
  <si>
    <t>https://www.kegg.jp/entry/R06174</t>
  </si>
  <si>
    <t>G10556, G10610</t>
  </si>
  <si>
    <t>G10555, G10619</t>
  </si>
  <si>
    <t>2.4.2.1</t>
  </si>
  <si>
    <t>https://www.kegg.jp/entry/ec:2.4.2.1</t>
  </si>
  <si>
    <t>https://www.kegg.jp/entry/R01561</t>
  </si>
  <si>
    <t>C00212, C00009</t>
  </si>
  <si>
    <t>C00147, C00620</t>
  </si>
  <si>
    <t>https://www.kegg.jp/entry/R01863</t>
  </si>
  <si>
    <t>C00294, C00009</t>
  </si>
  <si>
    <t>C00262, C00620</t>
  </si>
  <si>
    <t>https://www.kegg.jp/entry/R01969</t>
  </si>
  <si>
    <t>C00330, C00009</t>
  </si>
  <si>
    <t>C00242, C00672</t>
  </si>
  <si>
    <t>https://www.kegg.jp/entry/R02147</t>
  </si>
  <si>
    <t>C00387, C00009</t>
  </si>
  <si>
    <t>C00242, C00620</t>
  </si>
  <si>
    <t>https://www.kegg.jp/entry/R02294</t>
  </si>
  <si>
    <t>C03150, C00009</t>
  </si>
  <si>
    <t>C00153, C00620</t>
  </si>
  <si>
    <t>https://www.kegg.jp/entry/R02295</t>
  </si>
  <si>
    <t>C05841, C00009</t>
  </si>
  <si>
    <t>C00253, C00620, C00080</t>
  </si>
  <si>
    <t>https://www.kegg.jp/entry/R02297</t>
  </si>
  <si>
    <t>C01762, C00009</t>
  </si>
  <si>
    <t>C00385, C00620</t>
  </si>
  <si>
    <t>https://www.kegg.jp/entry/R02557</t>
  </si>
  <si>
    <t>C00559, C00009</t>
  </si>
  <si>
    <t>C00147, C00672</t>
  </si>
  <si>
    <t>https://www.kegg.jp/entry/R02748</t>
  </si>
  <si>
    <t>C05512, C00009</t>
  </si>
  <si>
    <t>C00262, C00672</t>
  </si>
  <si>
    <t>https://www.kegg.jp/entry/R08368</t>
  </si>
  <si>
    <t>C15586, C00009</t>
  </si>
  <si>
    <t>C15587, C00620</t>
  </si>
  <si>
    <t>https://www.kegg.jp/entry/R10244</t>
  </si>
  <si>
    <t>C20463, C00009</t>
  </si>
  <si>
    <t>C15587, C00672</t>
  </si>
  <si>
    <t>2.4.2.10</t>
  </si>
  <si>
    <t>https://www.kegg.jp/entry/ec:2.4.2.10</t>
  </si>
  <si>
    <t>https://www.kegg.jp/entry/R01870</t>
  </si>
  <si>
    <t>C01103, C00013</t>
  </si>
  <si>
    <t>C00295, C00119</t>
  </si>
  <si>
    <t>https://www.kegg.jp/entry/R08231</t>
  </si>
  <si>
    <t>C07649, C00119</t>
  </si>
  <si>
    <t>C16634, C00013</t>
  </si>
  <si>
    <t>2.4.2.14</t>
  </si>
  <si>
    <t>https://www.kegg.jp/entry/ec:2.4.2.14</t>
  </si>
  <si>
    <t>https://www.kegg.jp/entry/R01072</t>
  </si>
  <si>
    <t>C03090, C00013, C00025</t>
  </si>
  <si>
    <t>C00064, C00119, C00001</t>
  </si>
  <si>
    <t>2.4.2.17</t>
  </si>
  <si>
    <t>https://www.kegg.jp/entry/ec:2.4.2.17</t>
  </si>
  <si>
    <t>https://www.kegg.jp/entry/R01071</t>
  </si>
  <si>
    <t>C02739, C00013</t>
  </si>
  <si>
    <t>C00002, C00119</t>
  </si>
  <si>
    <t>2.4.2.18</t>
  </si>
  <si>
    <t>https://www.kegg.jp/entry/ec:2.4.2.18</t>
  </si>
  <si>
    <t>https://www.kegg.jp/entry/R01073</t>
  </si>
  <si>
    <t>C04302, C00013</t>
  </si>
  <si>
    <t>C00108, C00119</t>
  </si>
  <si>
    <t>2.4.2.19</t>
  </si>
  <si>
    <t>https://www.kegg.jp/entry/ec:2.4.2.19</t>
  </si>
  <si>
    <t>https://www.kegg.jp/entry/R03348</t>
  </si>
  <si>
    <t>C01185, C00013, C00011</t>
  </si>
  <si>
    <t>C03722, C00119</t>
  </si>
  <si>
    <t>2.4.2.2</t>
  </si>
  <si>
    <t>https://www.kegg.jp/entry/ec:2.4.2.2</t>
  </si>
  <si>
    <t>https://www.kegg.jp/entry/R01570</t>
  </si>
  <si>
    <t>C00214, C00009</t>
  </si>
  <si>
    <t>C00178, C00672</t>
  </si>
  <si>
    <t>https://www.kegg.jp/entry/R01876</t>
  </si>
  <si>
    <t>C00299, C00009</t>
  </si>
  <si>
    <t>C00106, C00620</t>
  </si>
  <si>
    <t>https://www.kegg.jp/entry/R02296</t>
  </si>
  <si>
    <t>C00475, C00009</t>
  </si>
  <si>
    <t>C00380, C00620</t>
  </si>
  <si>
    <t>https://www.kegg.jp/entry/R02298</t>
  </si>
  <si>
    <t>C03169, C00009</t>
  </si>
  <si>
    <t>C00396, C00620, C00080</t>
  </si>
  <si>
    <t>https://www.kegg.jp/entry/R02484</t>
  </si>
  <si>
    <t>C00526, C00009</t>
  </si>
  <si>
    <t>C00106, C00672</t>
  </si>
  <si>
    <t>2.4.2.22</t>
  </si>
  <si>
    <t>https://www.kegg.jp/entry/ec:2.4.2.22</t>
  </si>
  <si>
    <t>https://www.kegg.jp/entry/R01229</t>
  </si>
  <si>
    <t>C00144, C00013</t>
  </si>
  <si>
    <t>C00242, C00119</t>
  </si>
  <si>
    <t>https://www.kegg.jp/entry/R02142</t>
  </si>
  <si>
    <t>C00655, C00013</t>
  </si>
  <si>
    <t>C00385, C00119</t>
  </si>
  <si>
    <t>2.4.2.29</t>
  </si>
  <si>
    <t>https://www.kegg.jp/entry/ec:2.4.2.29</t>
  </si>
  <si>
    <t>https://www.kegg.jp/entry/R10209</t>
  </si>
  <si>
    <t>C01977, C16675</t>
  </si>
  <si>
    <t>C20446, C00242</t>
  </si>
  <si>
    <t>2.4.2.7</t>
  </si>
  <si>
    <t>https://www.kegg.jp/entry/ec:2.4.2.7</t>
  </si>
  <si>
    <t>https://www.kegg.jp/entry/R00190</t>
  </si>
  <si>
    <t>C00020, C00013</t>
  </si>
  <si>
    <t>C00147, C00119</t>
  </si>
  <si>
    <t>https://www.kegg.jp/entry/R04378</t>
  </si>
  <si>
    <t>C04677, C00013</t>
  </si>
  <si>
    <t>C04051, C00119</t>
  </si>
  <si>
    <t>2.4.2.8</t>
  </si>
  <si>
    <t>https://www.kegg.jp/entry/ec:2.4.2.8</t>
  </si>
  <si>
    <t>https://www.kegg.jp/entry/R01132</t>
  </si>
  <si>
    <t>C00130, C00013</t>
  </si>
  <si>
    <t>C00262, C00119</t>
  </si>
  <si>
    <t>https://www.kegg.jp/entry/R08237</t>
  </si>
  <si>
    <t>C02380, C00119</t>
  </si>
  <si>
    <t>C04646, C00013</t>
  </si>
  <si>
    <t>https://www.kegg.jp/entry/R08238</t>
  </si>
  <si>
    <t>C16614, C00119</t>
  </si>
  <si>
    <t>C16615, C00013</t>
  </si>
  <si>
    <t>https://www.kegg.jp/entry/R08245</t>
  </si>
  <si>
    <t>C07648, C00119</t>
  </si>
  <si>
    <t>C16619, C00013</t>
  </si>
  <si>
    <t>2.4.2.9</t>
  </si>
  <si>
    <t>https://www.kegg.jp/entry/ec:2.4.2.9</t>
  </si>
  <si>
    <t>https://www.kegg.jp/entry/R00966</t>
  </si>
  <si>
    <t>C00105, C00013</t>
  </si>
  <si>
    <t>C00106, C00119</t>
  </si>
  <si>
    <t>2.4.99.17</t>
  </si>
  <si>
    <t>https://www.kegg.jp/entry/ec:2.4.99.17</t>
  </si>
  <si>
    <t>https://www.kegg.jp/entry/R10220</t>
  </si>
  <si>
    <t>C00019, C20446</t>
  </si>
  <si>
    <t>C00073, C00147, C19647</t>
  </si>
  <si>
    <t>2.5.1.10</t>
  </si>
  <si>
    <t>https://www.kegg.jp/entry/ec:2.5.1.10</t>
  </si>
  <si>
    <t>https://www.kegg.jp/entry/R02003</t>
  </si>
  <si>
    <t>C00341, C00129</t>
  </si>
  <si>
    <t>C00013, C00448</t>
  </si>
  <si>
    <t>2.5.1.134</t>
  </si>
  <si>
    <t>https://www.kegg.jp/entry/ec:2.5.1.134</t>
  </si>
  <si>
    <t>https://www.kegg.jp/entry/R10305</t>
  </si>
  <si>
    <t>C00979, C00155</t>
  </si>
  <si>
    <t>C02291, C00033</t>
  </si>
  <si>
    <t>2.5.1.145</t>
  </si>
  <si>
    <t>https://www.kegg.jp/entry/ec:2.5.1.145</t>
  </si>
  <si>
    <t>2.5.1.15</t>
  </si>
  <si>
    <t>https://www.kegg.jp/entry/ec:2.5.1.15</t>
  </si>
  <si>
    <t>https://www.kegg.jp/entry/R03066</t>
  </si>
  <si>
    <t>C01300, C00568</t>
  </si>
  <si>
    <t>C00921, C00001</t>
  </si>
  <si>
    <t>https://www.kegg.jp/entry/R03067</t>
  </si>
  <si>
    <t>C04807, C00568</t>
  </si>
  <si>
    <t>C00013, C00921</t>
  </si>
  <si>
    <t>2.5.1.16</t>
  </si>
  <si>
    <t>https://www.kegg.jp/entry/ec:2.5.1.16</t>
  </si>
  <si>
    <t>https://www.kegg.jp/entry/R01920</t>
  </si>
  <si>
    <t>C01137, C00134</t>
  </si>
  <si>
    <t>C00170, C00315</t>
  </si>
  <si>
    <t>https://www.kegg.jp/entry/R08359</t>
  </si>
  <si>
    <t>C01137, C01672</t>
  </si>
  <si>
    <t>C00170, C16565</t>
  </si>
  <si>
    <t>2.5.1.17</t>
  </si>
  <si>
    <t>https://www.kegg.jp/entry/ec:2.5.1.17</t>
  </si>
  <si>
    <t>https://www.kegg.jp/entry/R01492</t>
  </si>
  <si>
    <t>C00002, C00853</t>
  </si>
  <si>
    <t>C00536, C00194</t>
  </si>
  <si>
    <t>https://www.kegg.jp/entry/R05220</t>
  </si>
  <si>
    <t>C06505, C00002</t>
  </si>
  <si>
    <t>C06506, C00536</t>
  </si>
  <si>
    <t>https://www.kegg.jp/entry/R07268</t>
  </si>
  <si>
    <t>C00002, C05774</t>
  </si>
  <si>
    <t>C00536, C06508</t>
  </si>
  <si>
    <t>https://www.kegg.jp/entry/R12183</t>
  </si>
  <si>
    <t>C00002, C00541, C03024</t>
  </si>
  <si>
    <t>C00536, C00194, C03161</t>
  </si>
  <si>
    <t>https://www.kegg.jp/entry/R12184</t>
  </si>
  <si>
    <t>C00002, C06504, C03024</t>
  </si>
  <si>
    <t>C00536, C06506, C03161</t>
  </si>
  <si>
    <t>2.5.1.19</t>
  </si>
  <si>
    <t>https://www.kegg.jp/entry/ec:2.5.1.19</t>
  </si>
  <si>
    <t>https://www.kegg.jp/entry/R03460</t>
  </si>
  <si>
    <t>C00074, C03175</t>
  </si>
  <si>
    <t>C00009, C01269</t>
  </si>
  <si>
    <t>2.5.1.3</t>
  </si>
  <si>
    <t>https://www.kegg.jp/entry/ec:2.5.1.3</t>
  </si>
  <si>
    <t>https://www.kegg.jp/entry/R03223</t>
  </si>
  <si>
    <t>C04752, C04327</t>
  </si>
  <si>
    <t>C00013, C01081</t>
  </si>
  <si>
    <t>https://www.kegg.jp/entry/R10712</t>
  </si>
  <si>
    <t>C04752, C20247</t>
  </si>
  <si>
    <t>C01081, C00013, C00011</t>
  </si>
  <si>
    <t>https://www.kegg.jp/entry/R11312</t>
  </si>
  <si>
    <t>C04752, C20246</t>
  </si>
  <si>
    <t>C00013, C01081, C00011</t>
  </si>
  <si>
    <t>2.5.1.47</t>
  </si>
  <si>
    <t>https://www.kegg.jp/entry/ec:2.5.1.47</t>
  </si>
  <si>
    <t>https://www.kegg.jp/entry/R00897</t>
  </si>
  <si>
    <t>C00979, C00283</t>
  </si>
  <si>
    <t>C00097, C00033</t>
  </si>
  <si>
    <t>https://www.kegg.jp/entry/R03601</t>
  </si>
  <si>
    <t>C00979, C01528</t>
  </si>
  <si>
    <t>C05688, C00033</t>
  </si>
  <si>
    <t>https://www.kegg.jp/entry/R04859</t>
  </si>
  <si>
    <t>C00979, C00320, C00342, C00080</t>
  </si>
  <si>
    <t>C00097, C00094, C00343, C00033</t>
  </si>
  <si>
    <t>https://www.kegg.jp/entry/R07274</t>
  </si>
  <si>
    <t>C01005, C00283</t>
  </si>
  <si>
    <t>C00097, C00009</t>
  </si>
  <si>
    <t>2.5.1.6</t>
  </si>
  <si>
    <t>https://www.kegg.jp/entry/ec:2.5.1.6</t>
  </si>
  <si>
    <t>https://www.kegg.jp/entry/R00177</t>
  </si>
  <si>
    <t>C00009, C00013, C00019</t>
  </si>
  <si>
    <t>C00002, C00073, C00001</t>
  </si>
  <si>
    <t>https://www.kegg.jp/entry/R04771</t>
  </si>
  <si>
    <t>C00002, C05335, C00001</t>
  </si>
  <si>
    <t>C00009, C00013, C05691</t>
  </si>
  <si>
    <t>2.5.1.61</t>
  </si>
  <si>
    <t>https://www.kegg.jp/entry/ec:2.5.1.61</t>
  </si>
  <si>
    <t>https://www.kegg.jp/entry/R00084</t>
  </si>
  <si>
    <t>C00931, C00001</t>
  </si>
  <si>
    <t>C01024, C00014</t>
  </si>
  <si>
    <t>2.5.1.7</t>
  </si>
  <si>
    <t>https://www.kegg.jp/entry/ec:2.5.1.7</t>
  </si>
  <si>
    <t>https://www.kegg.jp/entry/R00660</t>
  </si>
  <si>
    <t>C00074, C00043</t>
  </si>
  <si>
    <t>C04631, C00009</t>
  </si>
  <si>
    <t>2.5.1.72</t>
  </si>
  <si>
    <t>https://www.kegg.jp/entry/ec:2.5.1.72</t>
  </si>
  <si>
    <t>https://www.kegg.jp/entry/R04292</t>
  </si>
  <si>
    <t>C03722, C00001, C00009</t>
  </si>
  <si>
    <t>C05840, C00111</t>
  </si>
  <si>
    <t>2.5.1.74</t>
  </si>
  <si>
    <t>https://www.kegg.jp/entry/ec:2.5.1.74</t>
  </si>
  <si>
    <t>https://www.kegg.jp/entry/R10757</t>
  </si>
  <si>
    <t>C05847, C03657</t>
  </si>
  <si>
    <t>C19847, C00013, C00011</t>
  </si>
  <si>
    <t>2.5.1.75</t>
  </si>
  <si>
    <t>https://www.kegg.jp/entry/ec:2.5.1.75</t>
  </si>
  <si>
    <t>https://www.kegg.jp/entry/R01122</t>
  </si>
  <si>
    <t>C00235, C17324</t>
  </si>
  <si>
    <t>C00013, C04432</t>
  </si>
  <si>
    <t>2.5.1.78</t>
  </si>
  <si>
    <t>https://www.kegg.jp/entry/ec:2.5.1.78</t>
  </si>
  <si>
    <t>https://www.kegg.jp/entry/R04457</t>
  </si>
  <si>
    <t>C04732, C15556</t>
  </si>
  <si>
    <t>C04332, C00001, C00009</t>
  </si>
  <si>
    <t>2.5.1.9</t>
  </si>
  <si>
    <t>https://www.kegg.jp/entry/ec:2.5.1.9</t>
  </si>
  <si>
    <t>https://www.kegg.jp/entry/R00066</t>
  </si>
  <si>
    <t>C04332</t>
  </si>
  <si>
    <t>C00255, C04732</t>
  </si>
  <si>
    <t>2.6.1.1</t>
  </si>
  <si>
    <t>https://www.kegg.jp/entry/ec:2.6.1.1</t>
  </si>
  <si>
    <t>https://www.kegg.jp/entry/R00355</t>
  </si>
  <si>
    <t>C00049, C00026</t>
  </si>
  <si>
    <t>C00036, C00025</t>
  </si>
  <si>
    <t>https://www.kegg.jp/entry/R00694</t>
  </si>
  <si>
    <t>C00079, C00026</t>
  </si>
  <si>
    <t>C00166, C00025</t>
  </si>
  <si>
    <t>https://www.kegg.jp/entry/R00734</t>
  </si>
  <si>
    <t>C00082, C00026</t>
  </si>
  <si>
    <t>C01179, C00025</t>
  </si>
  <si>
    <t>https://www.kegg.jp/entry/R00895</t>
  </si>
  <si>
    <t>C00097, C00026</t>
  </si>
  <si>
    <t>C00957, C00025</t>
  </si>
  <si>
    <t>https://www.kegg.jp/entry/R00896</t>
  </si>
  <si>
    <t>C00957, C00302</t>
  </si>
  <si>
    <t>https://www.kegg.jp/entry/R02433</t>
  </si>
  <si>
    <t>C00506, C00026</t>
  </si>
  <si>
    <t>C05528, C00025</t>
  </si>
  <si>
    <t>https://www.kegg.jp/entry/R02619</t>
  </si>
  <si>
    <t>C00606, C00026</t>
  </si>
  <si>
    <t>C05527, C00025</t>
  </si>
  <si>
    <t>https://www.kegg.jp/entry/R05052</t>
  </si>
  <si>
    <t>C05947, C00026</t>
  </si>
  <si>
    <t>C05946, C00025</t>
  </si>
  <si>
    <t>2.6.1.11</t>
  </si>
  <si>
    <t>https://www.kegg.jp/entry/ec:2.6.1.11</t>
  </si>
  <si>
    <t>https://www.kegg.jp/entry/R02283</t>
  </si>
  <si>
    <t>C00437, C00026</t>
  </si>
  <si>
    <t>C01250, C00025</t>
  </si>
  <si>
    <t>2.6.1.13</t>
  </si>
  <si>
    <t>https://www.kegg.jp/entry/ec:2.6.1.13</t>
  </si>
  <si>
    <t>https://www.kegg.jp/entry/R00667</t>
  </si>
  <si>
    <t>C00077, C00026</t>
  </si>
  <si>
    <t>C01165, C00025</t>
  </si>
  <si>
    <t>https://www.kegg.jp/entry/R00668</t>
  </si>
  <si>
    <t>C04322, C00025, C00001</t>
  </si>
  <si>
    <t>https://www.kegg.jp/entry/R01343</t>
  </si>
  <si>
    <t>C00077, C00161</t>
  </si>
  <si>
    <t>C01165, C00151</t>
  </si>
  <si>
    <t>2.6.1.16</t>
  </si>
  <si>
    <t>https://www.kegg.jp/entry/ec:2.6.1.16</t>
  </si>
  <si>
    <t>https://www.kegg.jp/entry/R00768</t>
  </si>
  <si>
    <t>C00064, C00085</t>
  </si>
  <si>
    <t>C00025, C00352</t>
  </si>
  <si>
    <t>2.6.1.19</t>
  </si>
  <si>
    <t>https://www.kegg.jp/entry/ec:2.6.1.19</t>
  </si>
  <si>
    <t>https://www.kegg.jp/entry/R00908</t>
  </si>
  <si>
    <t>C00099, C00026</t>
  </si>
  <si>
    <t>C00222, C00025</t>
  </si>
  <si>
    <t>https://www.kegg.jp/entry/R01648</t>
  </si>
  <si>
    <t>C00334, C00026</t>
  </si>
  <si>
    <t>C00232, C00025</t>
  </si>
  <si>
    <t>2.6.1.21</t>
  </si>
  <si>
    <t>https://www.kegg.jp/entry/ec:2.6.1.21</t>
  </si>
  <si>
    <t>https://www.kegg.jp/entry/R01148</t>
  </si>
  <si>
    <t>C00133, C00026</t>
  </si>
  <si>
    <t>C00022, C00217</t>
  </si>
  <si>
    <t>https://www.kegg.jp/entry/R01344</t>
  </si>
  <si>
    <t>C00405, C00022</t>
  </si>
  <si>
    <t>C00161, C00133</t>
  </si>
  <si>
    <t>https://www.kegg.jp/entry/R01582</t>
  </si>
  <si>
    <t>C02265, C00026</t>
  </si>
  <si>
    <t>C00166, C00217</t>
  </si>
  <si>
    <t>https://www.kegg.jp/entry/R02459</t>
  </si>
  <si>
    <t>C00515, C00161</t>
  </si>
  <si>
    <t>C01110, C00405</t>
  </si>
  <si>
    <t>https://www.kegg.jp/entry/R02851</t>
  </si>
  <si>
    <t>C00739, C00161</t>
  </si>
  <si>
    <t>C03239, C00405</t>
  </si>
  <si>
    <t>https://www.kegg.jp/entry/R02924</t>
  </si>
  <si>
    <t>C00792, C00161</t>
  </si>
  <si>
    <t>C03771, C00405</t>
  </si>
  <si>
    <t>https://www.kegg.jp/entry/R05053</t>
  </si>
  <si>
    <t>C00402, C05946</t>
  </si>
  <si>
    <t>C00036, C05947</t>
  </si>
  <si>
    <t>2.6.1.37</t>
  </si>
  <si>
    <t>https://www.kegg.jp/entry/ec:2.6.1.37</t>
  </si>
  <si>
    <t>https://www.kegg.jp/entry/R04152</t>
  </si>
  <si>
    <t>C03557, C00022</t>
  </si>
  <si>
    <t>C03167, C00041</t>
  </si>
  <si>
    <t>2.6.1.42</t>
  </si>
  <si>
    <t>https://www.kegg.jp/entry/ec:2.6.1.42</t>
  </si>
  <si>
    <t>https://www.kegg.jp/entry/R01090</t>
  </si>
  <si>
    <t>C00123, C00026</t>
  </si>
  <si>
    <t>C00233, C00025</t>
  </si>
  <si>
    <t>https://www.kegg.jp/entry/R01214</t>
  </si>
  <si>
    <t>C00183, C00026</t>
  </si>
  <si>
    <t>C00141, C00025</t>
  </si>
  <si>
    <t>https://www.kegg.jp/entry/R02199</t>
  </si>
  <si>
    <t>C00407, C00026</t>
  </si>
  <si>
    <t>C00671, C00025</t>
  </si>
  <si>
    <t>https://www.kegg.jp/entry/R10991</t>
  </si>
  <si>
    <t>C02356, C00026</t>
  </si>
  <si>
    <t>C00109, C00025</t>
  </si>
  <si>
    <t>2.6.1.52</t>
  </si>
  <si>
    <t>https://www.kegg.jp/entry/ec:2.6.1.52</t>
  </si>
  <si>
    <t>https://www.kegg.jp/entry/R04173</t>
  </si>
  <si>
    <t>C01005, C00026</t>
  </si>
  <si>
    <t>C03232, C00025</t>
  </si>
  <si>
    <t>https://www.kegg.jp/entry/R05085</t>
  </si>
  <si>
    <t>C06055, C00026</t>
  </si>
  <si>
    <t>C06054, C00025</t>
  </si>
  <si>
    <t>2.6.1.62</t>
  </si>
  <si>
    <t>https://www.kegg.jp/entry/ec:2.6.1.62</t>
  </si>
  <si>
    <t>https://www.kegg.jp/entry/R03231</t>
  </si>
  <si>
    <t>C00019, C01092</t>
  </si>
  <si>
    <t>C04425, C01037</t>
  </si>
  <si>
    <t>2.6.1.83</t>
  </si>
  <si>
    <t>https://www.kegg.jp/entry/ec:2.6.1.83</t>
  </si>
  <si>
    <t>https://www.kegg.jp/entry/R07613</t>
  </si>
  <si>
    <t>C00666, C00026</t>
  </si>
  <si>
    <t>C03972, C00025, C00001</t>
  </si>
  <si>
    <t>2.6.1.85</t>
  </si>
  <si>
    <t>https://www.kegg.jp/entry/ec:2.6.1.85</t>
  </si>
  <si>
    <t>https://www.kegg.jp/entry/R00256</t>
  </si>
  <si>
    <t>C00064, C00001</t>
  </si>
  <si>
    <t>C00025, C00014</t>
  </si>
  <si>
    <t>https://www.kegg.jp/entry/R01716</t>
  </si>
  <si>
    <t>C00251, C00064</t>
  </si>
  <si>
    <t>C11355, C00025</t>
  </si>
  <si>
    <t>https://www.kegg.jp/entry/R05552</t>
  </si>
  <si>
    <t>C00251, C00014</t>
  </si>
  <si>
    <t>C11355, C00001</t>
  </si>
  <si>
    <t>2.6.1.9</t>
  </si>
  <si>
    <t>https://www.kegg.jp/entry/ec:2.6.1.9</t>
  </si>
  <si>
    <t>https://www.kegg.jp/entry/R03243</t>
  </si>
  <si>
    <t>C01100, C00026</t>
  </si>
  <si>
    <t>C01267, C00025</t>
  </si>
  <si>
    <t>2.7.1.100</t>
  </si>
  <si>
    <t>https://www.kegg.jp/entry/ec:2.7.1.100</t>
  </si>
  <si>
    <t>https://www.kegg.jp/entry/R04143</t>
  </si>
  <si>
    <t>C00002, C03089</t>
  </si>
  <si>
    <t>C00008, C04188</t>
  </si>
  <si>
    <t>2.7.1.107</t>
  </si>
  <si>
    <t>https://www.kegg.jp/entry/ec:2.7.1.107</t>
  </si>
  <si>
    <t>https://www.kegg.jp/entry/R02240</t>
  </si>
  <si>
    <t>C00002, C00641</t>
  </si>
  <si>
    <t>C00008, C00416</t>
  </si>
  <si>
    <t>2.7.1.11</t>
  </si>
  <si>
    <t>https://www.kegg.jp/entry/ec:2.7.1.11</t>
  </si>
  <si>
    <t>https://www.kegg.jp/entry/R00756</t>
  </si>
  <si>
    <t>C00002, C00085</t>
  </si>
  <si>
    <t>C00008, C00354</t>
  </si>
  <si>
    <t>https://www.kegg.jp/entry/R00767</t>
  </si>
  <si>
    <t>C00063, C00085</t>
  </si>
  <si>
    <t>C00112, C00354</t>
  </si>
  <si>
    <t>https://www.kegg.jp/entry/R00769</t>
  </si>
  <si>
    <t>C00075, C00085</t>
  </si>
  <si>
    <t>C00015, C00354</t>
  </si>
  <si>
    <t>https://www.kegg.jp/entry/R00770</t>
  </si>
  <si>
    <t>C00081, C00085</t>
  </si>
  <si>
    <t>C00104, C00354</t>
  </si>
  <si>
    <t>https://www.kegg.jp/entry/R01843</t>
  </si>
  <si>
    <t>C00002, C05382</t>
  </si>
  <si>
    <t>C00008, C00447</t>
  </si>
  <si>
    <t>https://www.kegg.jp/entry/R03236</t>
  </si>
  <si>
    <t>C01097, C00002</t>
  </si>
  <si>
    <t>C03785, C00008</t>
  </si>
  <si>
    <t>https://www.kegg.jp/entry/R03237</t>
  </si>
  <si>
    <t>C00063, C01097</t>
  </si>
  <si>
    <t>C00112, C03785</t>
  </si>
  <si>
    <t>https://www.kegg.jp/entry/R03238</t>
  </si>
  <si>
    <t>C00075, C01097</t>
  </si>
  <si>
    <t>C00015, C03785</t>
  </si>
  <si>
    <t>https://www.kegg.jp/entry/R03239</t>
  </si>
  <si>
    <t>C00081, C01097</t>
  </si>
  <si>
    <t>C00104, C03785</t>
  </si>
  <si>
    <t>https://www.kegg.jp/entry/R04779</t>
  </si>
  <si>
    <t>C00002, C05345</t>
  </si>
  <si>
    <t>C00008, C05378</t>
  </si>
  <si>
    <t>2.7.1.12</t>
  </si>
  <si>
    <t>https://www.kegg.jp/entry/ec:2.7.1.12</t>
  </si>
  <si>
    <t>https://www.kegg.jp/entry/R01737</t>
  </si>
  <si>
    <t>C00002, C00257</t>
  </si>
  <si>
    <t>C00008, C00345</t>
  </si>
  <si>
    <t>2.7.1.121</t>
  </si>
  <si>
    <t>https://www.kegg.jp/entry/ec:2.7.1.121</t>
  </si>
  <si>
    <t>https://www.kegg.jp/entry/R01012</t>
  </si>
  <si>
    <t>C00074, C00184</t>
  </si>
  <si>
    <t>C00022, C00111</t>
  </si>
  <si>
    <t>2.7.1.148</t>
  </si>
  <si>
    <t>https://www.kegg.jp/entry/ec:2.7.1.148</t>
  </si>
  <si>
    <t>https://www.kegg.jp/entry/R05634</t>
  </si>
  <si>
    <t>C11435, C00002</t>
  </si>
  <si>
    <t>C11436, C00008</t>
  </si>
  <si>
    <t>2.7.1.15</t>
  </si>
  <si>
    <t>https://www.kegg.jp/entry/ec:2.7.1.15</t>
  </si>
  <si>
    <t>https://www.kegg.jp/entry/R01051</t>
  </si>
  <si>
    <t>C00002, C00121</t>
  </si>
  <si>
    <t>C00008, C00117</t>
  </si>
  <si>
    <t>https://www.kegg.jp/entry/R02750</t>
  </si>
  <si>
    <t>C00673, C00008</t>
  </si>
  <si>
    <t>C01801, C00002</t>
  </si>
  <si>
    <t>2.7.1.170</t>
  </si>
  <si>
    <t>https://www.kegg.jp/entry/ec:2.7.1.170</t>
  </si>
  <si>
    <t>https://www.kegg.jp/entry/R09640</t>
  </si>
  <si>
    <t>C00002, C19769, C00001</t>
  </si>
  <si>
    <t>C00008, C19770</t>
  </si>
  <si>
    <t>https://www.kegg.jp/entry/R12755</t>
  </si>
  <si>
    <t>C00008, C16698</t>
  </si>
  <si>
    <t>2.7.1.189</t>
  </si>
  <si>
    <t>https://www.kegg.jp/entry/ec:2.7.1.189</t>
  </si>
  <si>
    <t>https://www.kegg.jp/entry/R11183</t>
  </si>
  <si>
    <t>C00002, C11838</t>
  </si>
  <si>
    <t>C00008, C20959</t>
  </si>
  <si>
    <t>2.7.1.193</t>
  </si>
  <si>
    <t>https://www.kegg.jp/entry/ec:2.7.1.193</t>
  </si>
  <si>
    <t>https://www.kegg.jp/entry/R05199</t>
  </si>
  <si>
    <t>C04261, C00140</t>
  </si>
  <si>
    <t>C00615, C00357</t>
  </si>
  <si>
    <t>2.7.1.199</t>
  </si>
  <si>
    <t>https://www.kegg.jp/entry/ec:2.7.1.199</t>
  </si>
  <si>
    <t>https://www.kegg.jp/entry/R02738</t>
  </si>
  <si>
    <t>C04261, C00031</t>
  </si>
  <si>
    <t>C00615, C00668</t>
  </si>
  <si>
    <t>2.7.1.2</t>
  </si>
  <si>
    <t>https://www.kegg.jp/entry/ec:2.7.1.2</t>
  </si>
  <si>
    <t>https://www.kegg.jp/entry/R00299</t>
  </si>
  <si>
    <t>C00002, C00031</t>
  </si>
  <si>
    <t>C00008, C00092</t>
  </si>
  <si>
    <t>https://www.kegg.jp/entry/R01600</t>
  </si>
  <si>
    <t>C00002, C00221</t>
  </si>
  <si>
    <t>C00008, C01172</t>
  </si>
  <si>
    <t>https://www.kegg.jp/entry/R01786</t>
  </si>
  <si>
    <t>C00002, C00267</t>
  </si>
  <si>
    <t>C00008, C00668</t>
  </si>
  <si>
    <t>2.7.1.201</t>
  </si>
  <si>
    <t>https://www.kegg.jp/entry/ec:2.7.1.201</t>
  </si>
  <si>
    <t>https://www.kegg.jp/entry/R02780</t>
  </si>
  <si>
    <t>C01083, C04261</t>
  </si>
  <si>
    <t>C00689, C00615</t>
  </si>
  <si>
    <t>https://www.kegg.jp/entry/R06229</t>
  </si>
  <si>
    <t>G00293, C04261</t>
  </si>
  <si>
    <t>G09795, C00615</t>
  </si>
  <si>
    <t>2.7.1.205</t>
  </si>
  <si>
    <t>https://www.kegg.jp/entry/ec:2.7.1.205</t>
  </si>
  <si>
    <t>https://www.kegg.jp/entry/R11172</t>
  </si>
  <si>
    <t>C04261, C00185</t>
  </si>
  <si>
    <t>C00615, C04534</t>
  </si>
  <si>
    <t>2.7.1.21</t>
  </si>
  <si>
    <t>https://www.kegg.jp/entry/ec:2.7.1.21</t>
  </si>
  <si>
    <t>https://www.kegg.jp/entry/R01567</t>
  </si>
  <si>
    <t>C00002, C00214</t>
  </si>
  <si>
    <t>C00008, C00364</t>
  </si>
  <si>
    <t>https://www.kegg.jp/entry/R02099</t>
  </si>
  <si>
    <t>C00002, C00526</t>
  </si>
  <si>
    <t>C00008, C00365</t>
  </si>
  <si>
    <t>https://www.kegg.jp/entry/R08233</t>
  </si>
  <si>
    <t>C11736, C00002</t>
  </si>
  <si>
    <t>C04242, C00008</t>
  </si>
  <si>
    <t>2.7.1.211</t>
  </si>
  <si>
    <t>https://www.kegg.jp/entry/ec:2.7.1.211</t>
  </si>
  <si>
    <t>https://www.kegg.jp/entry/R00811</t>
  </si>
  <si>
    <t>C00089, C04261</t>
  </si>
  <si>
    <t>C16688, C00615</t>
  </si>
  <si>
    <t>2.7.1.23</t>
  </si>
  <si>
    <t>https://www.kegg.jp/entry/ec:2.7.1.23</t>
  </si>
  <si>
    <t>https://www.kegg.jp/entry/R00104</t>
  </si>
  <si>
    <t>C00002, C00003</t>
  </si>
  <si>
    <t>C00008, C00006</t>
  </si>
  <si>
    <t>2.7.1.24</t>
  </si>
  <si>
    <t>https://www.kegg.jp/entry/ec:2.7.1.24</t>
  </si>
  <si>
    <t>https://www.kegg.jp/entry/R00130</t>
  </si>
  <si>
    <t>C00002, C00882</t>
  </si>
  <si>
    <t>C00008, C00010</t>
  </si>
  <si>
    <t>2.7.1.25</t>
  </si>
  <si>
    <t>https://www.kegg.jp/entry/ec:2.7.1.25</t>
  </si>
  <si>
    <t>https://www.kegg.jp/entry/R00509</t>
  </si>
  <si>
    <t>C00002, C00224</t>
  </si>
  <si>
    <t>C00008, C00053</t>
  </si>
  <si>
    <t>https://www.kegg.jp/entry/R04928</t>
  </si>
  <si>
    <t>C00002, C05686</t>
  </si>
  <si>
    <t>C00008, C05696</t>
  </si>
  <si>
    <t>2.7.1.26</t>
  </si>
  <si>
    <t>https://www.kegg.jp/entry/ec:2.7.1.26</t>
  </si>
  <si>
    <t>https://www.kegg.jp/entry/R00549</t>
  </si>
  <si>
    <t>C00002, C00255</t>
  </si>
  <si>
    <t>C00008, C00061</t>
  </si>
  <si>
    <t>2.7.1.30</t>
  </si>
  <si>
    <t>https://www.kegg.jp/entry/ec:2.7.1.30</t>
  </si>
  <si>
    <t>https://www.kegg.jp/entry/R00847</t>
  </si>
  <si>
    <t>C00002, C00116</t>
  </si>
  <si>
    <t>C00008, C00093</t>
  </si>
  <si>
    <t>2.7.1.31</t>
  </si>
  <si>
    <t>https://www.kegg.jp/entry/ec:2.7.1.31</t>
  </si>
  <si>
    <t>https://www.kegg.jp/entry/R01514</t>
  </si>
  <si>
    <t>C00002, C00258</t>
  </si>
  <si>
    <t>C00008, C00197</t>
  </si>
  <si>
    <t>2.7.1.33</t>
  </si>
  <si>
    <t>https://www.kegg.jp/entry/ec:2.7.1.33</t>
  </si>
  <si>
    <t>https://www.kegg.jp/entry/R02971</t>
  </si>
  <si>
    <t>C00002, C00831</t>
  </si>
  <si>
    <t>C00008, C01134</t>
  </si>
  <si>
    <t>https://www.kegg.jp/entry/R03018</t>
  </si>
  <si>
    <t>C00002, C00864</t>
  </si>
  <si>
    <t>C00008, C03492</t>
  </si>
  <si>
    <t>https://www.kegg.jp/entry/R04391</t>
  </si>
  <si>
    <t>C00002, C04079</t>
  </si>
  <si>
    <t>C00008, C04352</t>
  </si>
  <si>
    <t>2.7.1.39</t>
  </si>
  <si>
    <t>https://www.kegg.jp/entry/ec:2.7.1.39</t>
  </si>
  <si>
    <t>https://www.kegg.jp/entry/R01771</t>
  </si>
  <si>
    <t>C00002, C00263</t>
  </si>
  <si>
    <t>C00008, C01102</t>
  </si>
  <si>
    <t>2.7.1.40</t>
  </si>
  <si>
    <t>https://www.kegg.jp/entry/ec:2.7.1.40</t>
  </si>
  <si>
    <t>https://www.kegg.jp/entry/R00200</t>
  </si>
  <si>
    <t>C00002, C00022</t>
  </si>
  <si>
    <t>C00008, C00074</t>
  </si>
  <si>
    <t>https://www.kegg.jp/entry/R00430</t>
  </si>
  <si>
    <t>C00044, C00022</t>
  </si>
  <si>
    <t>C00035, C00074</t>
  </si>
  <si>
    <t>https://www.kegg.jp/entry/R00572</t>
  </si>
  <si>
    <t>C00063, C00022</t>
  </si>
  <si>
    <t>C00112, C00074</t>
  </si>
  <si>
    <t>https://www.kegg.jp/entry/R00659</t>
  </si>
  <si>
    <t>C00075, C00022</t>
  </si>
  <si>
    <t>C00015, C00074</t>
  </si>
  <si>
    <t>https://www.kegg.jp/entry/R00724</t>
  </si>
  <si>
    <t>C00081, C00022</t>
  </si>
  <si>
    <t>C00104, C00074</t>
  </si>
  <si>
    <t>https://www.kegg.jp/entry/R01138</t>
  </si>
  <si>
    <t>C00131, C00022</t>
  </si>
  <si>
    <t>C00206, C00074</t>
  </si>
  <si>
    <t>https://www.kegg.jp/entry/R01858</t>
  </si>
  <si>
    <t>C00286, C00022</t>
  </si>
  <si>
    <t>C00361, C00074</t>
  </si>
  <si>
    <t>https://www.kegg.jp/entry/R02320</t>
  </si>
  <si>
    <t>C00201, C00022</t>
  </si>
  <si>
    <t>C00454, C00074</t>
  </si>
  <si>
    <t>2.7.1.48</t>
  </si>
  <si>
    <t>https://www.kegg.jp/entry/ec:2.7.1.48</t>
  </si>
  <si>
    <t>https://www.kegg.jp/entry/R00513</t>
  </si>
  <si>
    <t>C00002, C00475</t>
  </si>
  <si>
    <t>C00008, C00055</t>
  </si>
  <si>
    <t>https://www.kegg.jp/entry/R00517</t>
  </si>
  <si>
    <t>C00044, C00475</t>
  </si>
  <si>
    <t>C00035, C00055</t>
  </si>
  <si>
    <t>https://www.kegg.jp/entry/R00964</t>
  </si>
  <si>
    <t>C00002, C00299</t>
  </si>
  <si>
    <t>C00008, C00105</t>
  </si>
  <si>
    <t>https://www.kegg.jp/entry/R00968</t>
  </si>
  <si>
    <t>C00044, C00299</t>
  </si>
  <si>
    <t>C00035, C00105</t>
  </si>
  <si>
    <t>https://www.kegg.jp/entry/R08232</t>
  </si>
  <si>
    <t>C16633, C00002</t>
  </si>
  <si>
    <t>C16634, C00008</t>
  </si>
  <si>
    <t>2.7.1.49</t>
  </si>
  <si>
    <t>https://www.kegg.jp/entry/ec:2.7.1.49</t>
  </si>
  <si>
    <t>https://www.kegg.jp/entry/R03471</t>
  </si>
  <si>
    <t>C00002, C01279</t>
  </si>
  <si>
    <t>C00008, C04556</t>
  </si>
  <si>
    <t>2.7.1.50</t>
  </si>
  <si>
    <t>https://www.kegg.jp/entry/ec:2.7.1.50</t>
  </si>
  <si>
    <t>https://www.kegg.jp/entry/R04448</t>
  </si>
  <si>
    <t>C00002, C04294</t>
  </si>
  <si>
    <t>C00008, C04327</t>
  </si>
  <si>
    <t>2.7.1.56</t>
  </si>
  <si>
    <t>https://www.kegg.jp/entry/ec:2.7.1.56</t>
  </si>
  <si>
    <t>https://www.kegg.jp/entry/R02071</t>
  </si>
  <si>
    <t>C00002, C01094</t>
  </si>
  <si>
    <t>https://www.kegg.jp/entry/R13203</t>
  </si>
  <si>
    <t>2.7.1.66</t>
  </si>
  <si>
    <t>https://www.kegg.jp/entry/ec:2.7.1.66</t>
  </si>
  <si>
    <t>https://www.kegg.jp/entry/R05626</t>
  </si>
  <si>
    <t>C00002, C17558</t>
  </si>
  <si>
    <t>C00008, C17556</t>
  </si>
  <si>
    <t>2.7.1.71</t>
  </si>
  <si>
    <t>https://www.kegg.jp/entry/ec:2.7.1.71</t>
  </si>
  <si>
    <t>https://www.kegg.jp/entry/R02412</t>
  </si>
  <si>
    <t>C00002, C00493</t>
  </si>
  <si>
    <t>C00008, C03175</t>
  </si>
  <si>
    <t>2.7.10.2</t>
  </si>
  <si>
    <t>https://www.kegg.jp/entry/ec:2.7.10.2</t>
  </si>
  <si>
    <t>https://www.kegg.jp/entry/R02584</t>
  </si>
  <si>
    <t>C00002, C00585</t>
  </si>
  <si>
    <t>C00008, C01167</t>
  </si>
  <si>
    <t>2.7.11.1</t>
  </si>
  <si>
    <t>https://www.kegg.jp/entry/ec:2.7.11.1</t>
  </si>
  <si>
    <t>https://www.kegg.jp/entry/R00162</t>
  </si>
  <si>
    <t>C00002, C00017</t>
  </si>
  <si>
    <t>C00008, C00562</t>
  </si>
  <si>
    <t>https://www.kegg.jp/entry/R03632</t>
  </si>
  <si>
    <t>C00002, C01609</t>
  </si>
  <si>
    <t>C00008, C02729</t>
  </si>
  <si>
    <t>2.7.11.33</t>
  </si>
  <si>
    <t>https://www.kegg.jp/entry/ec:2.7.11.33</t>
  </si>
  <si>
    <t>2.7.13.3</t>
  </si>
  <si>
    <t>https://www.kegg.jp/entry/ec:2.7.13.3</t>
  </si>
  <si>
    <t>2.7.14.1</t>
  </si>
  <si>
    <t>https://www.kegg.jp/entry/ec:2.7.14.1</t>
  </si>
  <si>
    <t>https://www.kegg.jp/entry/R11090</t>
  </si>
  <si>
    <t>C00002, C00613</t>
  </si>
  <si>
    <t>C00008, C21101</t>
  </si>
  <si>
    <t>2.7.2.11</t>
  </si>
  <si>
    <t>https://www.kegg.jp/entry/ec:2.7.2.11</t>
  </si>
  <si>
    <t>https://www.kegg.jp/entry/R00239</t>
  </si>
  <si>
    <t>C00002, C00025</t>
  </si>
  <si>
    <t>C00008, C03287</t>
  </si>
  <si>
    <t>2.7.2.2</t>
  </si>
  <si>
    <t>https://www.kegg.jp/entry/ec:2.7.2.2</t>
  </si>
  <si>
    <t>https://www.kegg.jp/entry/R00150</t>
  </si>
  <si>
    <t>C00002, C00014, C00288</t>
  </si>
  <si>
    <t>C00008, C00169, C00001</t>
  </si>
  <si>
    <t>https://www.kegg.jp/entry/R01395</t>
  </si>
  <si>
    <t>C00002, C01563</t>
  </si>
  <si>
    <t>C00008, C00169</t>
  </si>
  <si>
    <t>https://www.kegg.jp/entry/R12185</t>
  </si>
  <si>
    <t>C00014, C00288</t>
  </si>
  <si>
    <t>C01563, C00001</t>
  </si>
  <si>
    <t>2.7.2.3</t>
  </si>
  <si>
    <t>https://www.kegg.jp/entry/ec:2.7.2.3</t>
  </si>
  <si>
    <t>https://www.kegg.jp/entry/R01512</t>
  </si>
  <si>
    <t>C00002, C00197</t>
  </si>
  <si>
    <t>C00008, C00236</t>
  </si>
  <si>
    <t>2.7.2.4</t>
  </si>
  <si>
    <t>https://www.kegg.jp/entry/ec:2.7.2.4</t>
  </si>
  <si>
    <t>https://www.kegg.jp/entry/R00480</t>
  </si>
  <si>
    <t>C00002, C00049</t>
  </si>
  <si>
    <t>C00008, C03082</t>
  </si>
  <si>
    <t>2.7.2.7</t>
  </si>
  <si>
    <t>https://www.kegg.jp/entry/ec:2.7.2.7</t>
  </si>
  <si>
    <t>https://www.kegg.jp/entry/R01688</t>
  </si>
  <si>
    <t>C00002, C00246</t>
  </si>
  <si>
    <t>C00008, C02527</t>
  </si>
  <si>
    <t>2.7.2.8</t>
  </si>
  <si>
    <t>https://www.kegg.jp/entry/ec:2.7.2.8</t>
  </si>
  <si>
    <t>https://www.kegg.jp/entry/R02649</t>
  </si>
  <si>
    <t>C00002, C00624</t>
  </si>
  <si>
    <t>C00008, C04133</t>
  </si>
  <si>
    <t>2.7.3.9</t>
  </si>
  <si>
    <t>https://www.kegg.jp/entry/ec:2.7.3.9</t>
  </si>
  <si>
    <t>https://www.kegg.jp/entry/R02628</t>
  </si>
  <si>
    <t>C00074, C00615</t>
  </si>
  <si>
    <t>C00022, C04261</t>
  </si>
  <si>
    <t>2.7.4.1</t>
  </si>
  <si>
    <t>https://www.kegg.jp/entry/ec:2.7.4.1</t>
  </si>
  <si>
    <t>https://www.kegg.jp/entry/R02184</t>
  </si>
  <si>
    <t>C00002, C00404</t>
  </si>
  <si>
    <t>C00008, C00404</t>
  </si>
  <si>
    <t>2.7.4.22</t>
  </si>
  <si>
    <t>https://www.kegg.jp/entry/ec:2.7.4.22</t>
  </si>
  <si>
    <t>https://www.kegg.jp/entry/R00158</t>
  </si>
  <si>
    <t>C00002, C00105</t>
  </si>
  <si>
    <t>C00008, C00015</t>
  </si>
  <si>
    <t>2.7.4.25</t>
  </si>
  <si>
    <t>https://www.kegg.jp/entry/ec:2.7.4.25</t>
  </si>
  <si>
    <t>https://www.kegg.jp/entry/R00512</t>
  </si>
  <si>
    <t>C00002, C00055</t>
  </si>
  <si>
    <t>C00008, C00112</t>
  </si>
  <si>
    <t>https://www.kegg.jp/entry/R01665</t>
  </si>
  <si>
    <t>C00002, C00239</t>
  </si>
  <si>
    <t>C00008, C00705</t>
  </si>
  <si>
    <t>2.7.4.28</t>
  </si>
  <si>
    <t>https://www.kegg.jp/entry/ec:2.7.4.28</t>
  </si>
  <si>
    <t>2.7.4.3</t>
  </si>
  <si>
    <t>https://www.kegg.jp/entry/ec:2.7.4.3</t>
  </si>
  <si>
    <t>https://www.kegg.jp/entry/R00127</t>
  </si>
  <si>
    <t>C00002, C00020</t>
  </si>
  <si>
    <t>C00008</t>
  </si>
  <si>
    <t>https://www.kegg.jp/entry/R01547</t>
  </si>
  <si>
    <t>C00002, C00360</t>
  </si>
  <si>
    <t>C00008, C00206</t>
  </si>
  <si>
    <t>https://www.kegg.jp/entry/R11319</t>
  </si>
  <si>
    <t>C00068, C00008</t>
  </si>
  <si>
    <t>C03028, C00020</t>
  </si>
  <si>
    <t>2.7.4.6</t>
  </si>
  <si>
    <t>https://www.kegg.jp/entry/ec:2.7.4.6</t>
  </si>
  <si>
    <t>https://www.kegg.jp/entry/R00124</t>
  </si>
  <si>
    <t>C00002, C00008</t>
  </si>
  <si>
    <t>C00008, C00002</t>
  </si>
  <si>
    <t>https://www.kegg.jp/entry/R00139</t>
  </si>
  <si>
    <t>C11038, C00002</t>
  </si>
  <si>
    <t>C11039, C00008</t>
  </si>
  <si>
    <t>https://www.kegg.jp/entry/R00156</t>
  </si>
  <si>
    <t>C00002, C00015</t>
  </si>
  <si>
    <t>C00008, C00075</t>
  </si>
  <si>
    <t>https://www.kegg.jp/entry/R00330</t>
  </si>
  <si>
    <t>C00002, C00035</t>
  </si>
  <si>
    <t>C00008, C00044</t>
  </si>
  <si>
    <t>https://www.kegg.jp/entry/R00331</t>
  </si>
  <si>
    <t>C00002, C00454</t>
  </si>
  <si>
    <t>C00008, C00201</t>
  </si>
  <si>
    <t>https://www.kegg.jp/entry/R00570</t>
  </si>
  <si>
    <t>C00002, C00112</t>
  </si>
  <si>
    <t>C00008, C00063</t>
  </si>
  <si>
    <t>https://www.kegg.jp/entry/R00722</t>
  </si>
  <si>
    <t>C00002, C00104</t>
  </si>
  <si>
    <t>C00008, C00081</t>
  </si>
  <si>
    <t>https://www.kegg.jp/entry/R01137</t>
  </si>
  <si>
    <t>C00002, C00206</t>
  </si>
  <si>
    <t>C00008, C00131</t>
  </si>
  <si>
    <t>https://www.kegg.jp/entry/R01857</t>
  </si>
  <si>
    <t>C00002, C00361</t>
  </si>
  <si>
    <t>C00008, C00286</t>
  </si>
  <si>
    <t>https://www.kegg.jp/entry/R02093</t>
  </si>
  <si>
    <t>C00002, C00363</t>
  </si>
  <si>
    <t>C00008, C00459</t>
  </si>
  <si>
    <t>https://www.kegg.jp/entry/R02326</t>
  </si>
  <si>
    <t>C00002, C00705</t>
  </si>
  <si>
    <t>C00008, C00458</t>
  </si>
  <si>
    <t>https://www.kegg.jp/entry/R02331</t>
  </si>
  <si>
    <t>C00002, C01346</t>
  </si>
  <si>
    <t>C00008, C00460</t>
  </si>
  <si>
    <t>https://www.kegg.jp/entry/R03530</t>
  </si>
  <si>
    <t>C00002, C01344</t>
  </si>
  <si>
    <t>C00008, C01345</t>
  </si>
  <si>
    <t>https://www.kegg.jp/entry/R11894</t>
  </si>
  <si>
    <t>C00002, C21748</t>
  </si>
  <si>
    <t>C00008, C21749</t>
  </si>
  <si>
    <t>https://www.kegg.jp/entry/R11895</t>
  </si>
  <si>
    <t>C00002, C21750</t>
  </si>
  <si>
    <t>C00008, C21751</t>
  </si>
  <si>
    <t>https://www.kegg.jp/entry/R12853</t>
  </si>
  <si>
    <t>C22442, C00002</t>
  </si>
  <si>
    <t>C22443, C00008</t>
  </si>
  <si>
    <t>2.7.4.7</t>
  </si>
  <si>
    <t>https://www.kegg.jp/entry/ec:2.7.4.7</t>
  </si>
  <si>
    <t>https://www.kegg.jp/entry/R04509</t>
  </si>
  <si>
    <t>C00002, C04556</t>
  </si>
  <si>
    <t>C00008, C04752</t>
  </si>
  <si>
    <t>2.7.4.8</t>
  </si>
  <si>
    <t>https://www.kegg.jp/entry/ec:2.7.4.8</t>
  </si>
  <si>
    <t>https://www.kegg.jp/entry/R00332</t>
  </si>
  <si>
    <t>C00002, C00144</t>
  </si>
  <si>
    <t>C00008, C00035</t>
  </si>
  <si>
    <t>https://www.kegg.jp/entry/R02090</t>
  </si>
  <si>
    <t>C00002, C00362</t>
  </si>
  <si>
    <t>C00008, C00361</t>
  </si>
  <si>
    <t>https://www.kegg.jp/entry/R12852</t>
  </si>
  <si>
    <t>C22441, C00002</t>
  </si>
  <si>
    <t>C22442, C00008</t>
  </si>
  <si>
    <t>2.7.4.9</t>
  </si>
  <si>
    <t>https://www.kegg.jp/entry/ec:2.7.4.9</t>
  </si>
  <si>
    <t>https://www.kegg.jp/entry/R02094</t>
  </si>
  <si>
    <t>C00002, C00364</t>
  </si>
  <si>
    <t>C00008, C00363</t>
  </si>
  <si>
    <t>https://www.kegg.jp/entry/R02098</t>
  </si>
  <si>
    <t>C00002, C00365</t>
  </si>
  <si>
    <t>C00008, C01346</t>
  </si>
  <si>
    <t>2.7.6.1</t>
  </si>
  <si>
    <t>https://www.kegg.jp/entry/ec:2.7.6.1</t>
  </si>
  <si>
    <t>https://www.kegg.jp/entry/R01049</t>
  </si>
  <si>
    <t>C00002, C00117</t>
  </si>
  <si>
    <t>C00020, C00119</t>
  </si>
  <si>
    <t>2.7.6.2</t>
  </si>
  <si>
    <t>https://www.kegg.jp/entry/ec:2.7.6.2</t>
  </si>
  <si>
    <t>https://www.kegg.jp/entry/R00619</t>
  </si>
  <si>
    <t>C00002, C00378</t>
  </si>
  <si>
    <t>C00020, C00068</t>
  </si>
  <si>
    <t>2.7.6.3</t>
  </si>
  <si>
    <t>https://www.kegg.jp/entry/ec:2.7.6.3</t>
  </si>
  <si>
    <t>https://www.kegg.jp/entry/R03503</t>
  </si>
  <si>
    <t>C00002, C01300</t>
  </si>
  <si>
    <t>C00020, C04807</t>
  </si>
  <si>
    <t>2.7.6.5</t>
  </si>
  <si>
    <t>https://www.kegg.jp/entry/ec:2.7.6.5</t>
  </si>
  <si>
    <t>https://www.kegg.jp/entry/R00429</t>
  </si>
  <si>
    <t>C00002, C00044</t>
  </si>
  <si>
    <t>C00020, C04494</t>
  </si>
  <si>
    <t>2.7.7.2</t>
  </si>
  <si>
    <t>https://www.kegg.jp/entry/ec:2.7.7.2</t>
  </si>
  <si>
    <t>https://www.kegg.jp/entry/R00161</t>
  </si>
  <si>
    <t>C00002, C00061</t>
  </si>
  <si>
    <t>C00013, C00016</t>
  </si>
  <si>
    <t>2.7.7.23</t>
  </si>
  <si>
    <t>https://www.kegg.jp/entry/ec:2.7.7.23</t>
  </si>
  <si>
    <t>https://www.kegg.jp/entry/R00416</t>
  </si>
  <si>
    <t>C00075, C04501</t>
  </si>
  <si>
    <t>C00013, C00043</t>
  </si>
  <si>
    <t>2.7.7.27</t>
  </si>
  <si>
    <t>https://www.kegg.jp/entry/ec:2.7.7.27</t>
  </si>
  <si>
    <t>https://www.kegg.jp/entry/R00948</t>
  </si>
  <si>
    <t>C00002, C00103</t>
  </si>
  <si>
    <t>C00013, C00498</t>
  </si>
  <si>
    <t>2.7.7.3</t>
  </si>
  <si>
    <t>https://www.kegg.jp/entry/ec:2.7.7.3</t>
  </si>
  <si>
    <t>https://www.kegg.jp/entry/R03035</t>
  </si>
  <si>
    <t>C00002, C01134</t>
  </si>
  <si>
    <t>C00013, C00882</t>
  </si>
  <si>
    <t>2.7.7.33</t>
  </si>
  <si>
    <t>https://www.kegg.jp/entry/ec:2.7.7.33</t>
  </si>
  <si>
    <t>https://www.kegg.jp/entry/R00956</t>
  </si>
  <si>
    <t>C00063, C00103</t>
  </si>
  <si>
    <t>C00013, C00501</t>
  </si>
  <si>
    <t>2.7.7.4</t>
  </si>
  <si>
    <t>https://www.kegg.jp/entry/ec:2.7.7.4</t>
  </si>
  <si>
    <t>https://www.kegg.jp/entry/R00529</t>
  </si>
  <si>
    <t>C00002, C00059</t>
  </si>
  <si>
    <t>C00013, C00224</t>
  </si>
  <si>
    <t>https://www.kegg.jp/entry/R04929</t>
  </si>
  <si>
    <t>C00002, C05697</t>
  </si>
  <si>
    <t>C00013, C05686</t>
  </si>
  <si>
    <t>2.7.7.41</t>
  </si>
  <si>
    <t>https://www.kegg.jp/entry/ec:2.7.7.41</t>
  </si>
  <si>
    <t>https://www.kegg.jp/entry/R01799</t>
  </si>
  <si>
    <t>C00063, C00416</t>
  </si>
  <si>
    <t>C00013, C00269</t>
  </si>
  <si>
    <t>2.7.7.49</t>
  </si>
  <si>
    <t>https://www.kegg.jp/entry/ec:2.7.7.49</t>
  </si>
  <si>
    <t>https://www.kegg.jp/entry/R00379</t>
  </si>
  <si>
    <t>C00677, C00039</t>
  </si>
  <si>
    <t>C00013, C00039</t>
  </si>
  <si>
    <t>2.7.7.56</t>
  </si>
  <si>
    <t>https://www.kegg.jp/entry/ec:2.7.7.56</t>
  </si>
  <si>
    <t>https://www.kegg.jp/entry/R07285</t>
  </si>
  <si>
    <t>C00066, C00009</t>
  </si>
  <si>
    <t>C00066, C00454</t>
  </si>
  <si>
    <t>2.7.7.6</t>
  </si>
  <si>
    <t>https://www.kegg.jp/entry/ec:2.7.7.6</t>
  </si>
  <si>
    <t>https://www.kegg.jp/entry/R00435</t>
  </si>
  <si>
    <t>C00002, C00046</t>
  </si>
  <si>
    <t>C00013, C00046</t>
  </si>
  <si>
    <t>https://www.kegg.jp/entry/R00441</t>
  </si>
  <si>
    <t>C00044, C00046</t>
  </si>
  <si>
    <t>https://www.kegg.jp/entry/R00442</t>
  </si>
  <si>
    <t>C00063, C00046</t>
  </si>
  <si>
    <t>https://www.kegg.jp/entry/R00443</t>
  </si>
  <si>
    <t>C00075, C00046</t>
  </si>
  <si>
    <t>https://www.kegg.jp/entry/R00444</t>
  </si>
  <si>
    <t>C00201, C00046</t>
  </si>
  <si>
    <t>https://www.kegg.jp/entry/R10813</t>
  </si>
  <si>
    <t>C00201</t>
  </si>
  <si>
    <t>C20864, C00013</t>
  </si>
  <si>
    <t>2.7.7.60</t>
  </si>
  <si>
    <t>https://www.kegg.jp/entry/ec:2.7.7.60</t>
  </si>
  <si>
    <t>https://www.kegg.jp/entry/R05633</t>
  </si>
  <si>
    <t>C11434, C00063</t>
  </si>
  <si>
    <t>C11435, C00013</t>
  </si>
  <si>
    <t>2.7.7.65</t>
  </si>
  <si>
    <t>https://www.kegg.jp/entry/ec:2.7.7.65</t>
  </si>
  <si>
    <t>https://www.kegg.jp/entry/R08057</t>
  </si>
  <si>
    <t>C00044</t>
  </si>
  <si>
    <t>C16463, C00013</t>
  </si>
  <si>
    <t>2.7.7.7</t>
  </si>
  <si>
    <t>https://www.kegg.jp/entry/ec:2.7.7.7</t>
  </si>
  <si>
    <t>https://www.kegg.jp/entry/R00375</t>
  </si>
  <si>
    <t>C00131, C00039</t>
  </si>
  <si>
    <t>https://www.kegg.jp/entry/R00376</t>
  </si>
  <si>
    <t>C00286, C00039</t>
  </si>
  <si>
    <t>https://www.kegg.jp/entry/R00377</t>
  </si>
  <si>
    <t>C00458, C00039</t>
  </si>
  <si>
    <t>https://www.kegg.jp/entry/R00378</t>
  </si>
  <si>
    <t>C00459, C00039</t>
  </si>
  <si>
    <t>https://www.kegg.jp/entry/R11029</t>
  </si>
  <si>
    <t>C11039</t>
  </si>
  <si>
    <t>C21031</t>
  </si>
  <si>
    <t>2.7.7.72</t>
  </si>
  <si>
    <t>https://www.kegg.jp/entry/ec:2.7.7.72</t>
  </si>
  <si>
    <t>https://www.kegg.jp/entry/R09382</t>
  </si>
  <si>
    <t>C02211, C00063, C00002</t>
  </si>
  <si>
    <t>C19085, C00013</t>
  </si>
  <si>
    <t>https://www.kegg.jp/entry/R09383</t>
  </si>
  <si>
    <t>C02211, C00063</t>
  </si>
  <si>
    <t>C19078, C00013</t>
  </si>
  <si>
    <t>https://www.kegg.jp/entry/R09384</t>
  </si>
  <si>
    <t>C19078, C00063</t>
  </si>
  <si>
    <t>C19080, C00013</t>
  </si>
  <si>
    <t>https://www.kegg.jp/entry/R09386</t>
  </si>
  <si>
    <t>C19080, C00002</t>
  </si>
  <si>
    <t>2.7.7.77</t>
  </si>
  <si>
    <t>https://www.kegg.jp/entry/ec:2.7.7.77</t>
  </si>
  <si>
    <t>https://www.kegg.jp/entry/R11581</t>
  </si>
  <si>
    <t>C18237, C00044</t>
  </si>
  <si>
    <t>C19871, C00013</t>
  </si>
  <si>
    <t>2.7.7.8</t>
  </si>
  <si>
    <t>https://www.kegg.jp/entry/ec:2.7.7.8</t>
  </si>
  <si>
    <t>https://www.kegg.jp/entry/R00437</t>
  </si>
  <si>
    <t>C00046, C00009</t>
  </si>
  <si>
    <t>C00046, C00008</t>
  </si>
  <si>
    <t>https://www.kegg.jp/entry/R00438</t>
  </si>
  <si>
    <t>C00046, C00015</t>
  </si>
  <si>
    <t>https://www.kegg.jp/entry/R00439</t>
  </si>
  <si>
    <t>C00046, C00035</t>
  </si>
  <si>
    <t>https://www.kegg.jp/entry/R00440</t>
  </si>
  <si>
    <t>C00046, C00112</t>
  </si>
  <si>
    <t>https://www.kegg.jp/entry/R07282</t>
  </si>
  <si>
    <t>C00046, C00454</t>
  </si>
  <si>
    <t>2.7.7.85</t>
  </si>
  <si>
    <t>https://www.kegg.jp/entry/ec:2.7.7.85</t>
  </si>
  <si>
    <t>https://www.kegg.jp/entry/R10342</t>
  </si>
  <si>
    <t>C00002</t>
  </si>
  <si>
    <t>C00013, C20565</t>
  </si>
  <si>
    <t>2.7.7.87</t>
  </si>
  <si>
    <t>https://www.kegg.jp/entry/ec:2.7.7.87</t>
  </si>
  <si>
    <t>https://www.kegg.jp/entry/R10463</t>
  </si>
  <si>
    <t>C00188, C00002, C00288, C00080</t>
  </si>
  <si>
    <t>C20641, C00013, C00001</t>
  </si>
  <si>
    <t>2.7.7.9</t>
  </si>
  <si>
    <t>https://www.kegg.jp/entry/ec:2.7.7.9</t>
  </si>
  <si>
    <t>https://www.kegg.jp/entry/R00289</t>
  </si>
  <si>
    <t>C00075, C00103</t>
  </si>
  <si>
    <t>C00013, C00029</t>
  </si>
  <si>
    <t>2.7.8.13</t>
  </si>
  <si>
    <t>https://www.kegg.jp/entry/ec:2.7.8.13</t>
  </si>
  <si>
    <t>https://www.kegg.jp/entry/R05629</t>
  </si>
  <si>
    <t>C04702, C17556</t>
  </si>
  <si>
    <t>C00105, C04851</t>
  </si>
  <si>
    <t>https://www.kegg.jp/entry/R05630</t>
  </si>
  <si>
    <t>C04882, C17556</t>
  </si>
  <si>
    <t>C00105, C05897</t>
  </si>
  <si>
    <t>2.7.8.5</t>
  </si>
  <si>
    <t>https://www.kegg.jp/entry/ec:2.7.8.5</t>
  </si>
  <si>
    <t>https://www.kegg.jp/entry/R01801</t>
  </si>
  <si>
    <t>C00269, C00093</t>
  </si>
  <si>
    <t>C00055, C03892</t>
  </si>
  <si>
    <t>2.7.8.7</t>
  </si>
  <si>
    <t>https://www.kegg.jp/entry/ec:2.7.8.7</t>
  </si>
  <si>
    <t>https://www.kegg.jp/entry/R01625</t>
  </si>
  <si>
    <t>C00010, C03688</t>
  </si>
  <si>
    <t>C00054, C00229</t>
  </si>
  <si>
    <t>2.7.8.8</t>
  </si>
  <si>
    <t>https://www.kegg.jp/entry/ec:2.7.8.8</t>
  </si>
  <si>
    <t>https://www.kegg.jp/entry/R01800</t>
  </si>
  <si>
    <t>C00269, C00065</t>
  </si>
  <si>
    <t>C00055, C02737</t>
  </si>
  <si>
    <t>2.7.9.2</t>
  </si>
  <si>
    <t>https://www.kegg.jp/entry/ec:2.7.9.2</t>
  </si>
  <si>
    <t>https://www.kegg.jp/entry/R00199</t>
  </si>
  <si>
    <t>C00002, C00022, C00001</t>
  </si>
  <si>
    <t>C00020, C00074, C00009</t>
  </si>
  <si>
    <t>2.8.1.10</t>
  </si>
  <si>
    <t>https://www.kegg.jp/entry/ec:2.8.1.10</t>
  </si>
  <si>
    <t>https://www.kegg.jp/entry/R10247</t>
  </si>
  <si>
    <t>C11437, C15809, C15814</t>
  </si>
  <si>
    <t>C20246, C15810, C00001</t>
  </si>
  <si>
    <t>2.8.1.13</t>
  </si>
  <si>
    <t>https://www.kegg.jp/entry/ec:2.8.1.13</t>
  </si>
  <si>
    <t>https://www.kegg.jp/entry/R08700</t>
  </si>
  <si>
    <t>C00868, C15812, C00002</t>
  </si>
  <si>
    <t>C17322, C15811, C00020, C00013</t>
  </si>
  <si>
    <t>2.8.1.4</t>
  </si>
  <si>
    <t>https://www.kegg.jp/entry/ec:2.8.1.4</t>
  </si>
  <si>
    <t>https://www.kegg.jp/entry/R03923</t>
  </si>
  <si>
    <t>C00097, C02342</t>
  </si>
  <si>
    <t>C00065, C04161</t>
  </si>
  <si>
    <t>https://www.kegg.jp/entry/R07461</t>
  </si>
  <si>
    <t>C15812, C15813, C00030</t>
  </si>
  <si>
    <t>C00020, C15814, C15811, C00028</t>
  </si>
  <si>
    <t>2.8.1.6</t>
  </si>
  <si>
    <t>https://www.kegg.jp/entry/ec:2.8.1.6</t>
  </si>
  <si>
    <t>https://www.kegg.jp/entry/R01078</t>
  </si>
  <si>
    <t>C01909, C17023, C00019, C05359, C00080</t>
  </si>
  <si>
    <t>C00120, C00073, C05198</t>
  </si>
  <si>
    <t>2.8.1.7</t>
  </si>
  <si>
    <t>https://www.kegg.jp/entry/ec:2.8.1.7</t>
  </si>
  <si>
    <t>https://www.kegg.jp/entry/R07460</t>
  </si>
  <si>
    <t>C15811, C00097</t>
  </si>
  <si>
    <t>C15812, C00041</t>
  </si>
  <si>
    <t>https://www.kegg.jp/entry/R11528</t>
  </si>
  <si>
    <t>C00097, C02743</t>
  </si>
  <si>
    <t>C00041, C21440</t>
  </si>
  <si>
    <t>https://www.kegg.jp/entry/R11529</t>
  </si>
  <si>
    <t>C15812, C02743</t>
  </si>
  <si>
    <t>C15811, C21440</t>
  </si>
  <si>
    <t>2.8.1.8</t>
  </si>
  <si>
    <t>https://www.kegg.jp/entry/ec:2.8.1.8</t>
  </si>
  <si>
    <t>https://www.kegg.jp/entry/R07767</t>
  </si>
  <si>
    <t>C16236, C22154, C00019, C22150, C00080</t>
  </si>
  <si>
    <t>C16832, C22155, C00283, C14818, C00073, C05198, C22151</t>
  </si>
  <si>
    <t>https://www.kegg.jp/entry/R12423</t>
  </si>
  <si>
    <t>C22160, C22154, C00019, C22150, C00080</t>
  </si>
  <si>
    <t>C15973, C22155, C00283, C14818, C00073, C05198, C22151</t>
  </si>
  <si>
    <t>https://www.kegg.jp/entry/R12424</t>
  </si>
  <si>
    <t>C22159, C22154, C00019, C22150, C00080</t>
  </si>
  <si>
    <t>C02972, C22155, C00283, C14818, C00073, C05198, C22151</t>
  </si>
  <si>
    <t>2.8.3.8</t>
  </si>
  <si>
    <t>https://www.kegg.jp/entry/ec:2.8.3.8</t>
  </si>
  <si>
    <t>https://www.kegg.jp/entry/R00393</t>
  </si>
  <si>
    <t>C00040, C00033</t>
  </si>
  <si>
    <t>C02403, C00024</t>
  </si>
  <si>
    <t>https://www.kegg.jp/entry/R01179</t>
  </si>
  <si>
    <t>C00136, C00033</t>
  </si>
  <si>
    <t>C00246, C00024</t>
  </si>
  <si>
    <t>https://www.kegg.jp/entry/R01359</t>
  </si>
  <si>
    <t>C00332, C00033</t>
  </si>
  <si>
    <t>C00164, C00024</t>
  </si>
  <si>
    <t>https://www.kegg.jp/entry/R07832</t>
  </si>
  <si>
    <t>C16272, C00024</t>
  </si>
  <si>
    <t>C16273, C00033</t>
  </si>
  <si>
    <t>2.8.4.3</t>
  </si>
  <si>
    <t>https://www.kegg.jp/entry/ec:2.8.4.3</t>
  </si>
  <si>
    <t>https://www.kegg.jp/entry/R10645</t>
  </si>
  <si>
    <t>C04432, C17023, C00019</t>
  </si>
  <si>
    <t>C20753, C00021, C00073, C05198</t>
  </si>
  <si>
    <t>https://www.kegg.jp/entry/R10646</t>
  </si>
  <si>
    <t>C20755, C00073, C05198</t>
  </si>
  <si>
    <t>https://www.kegg.jp/entry/R10647</t>
  </si>
  <si>
    <t>C20755, C00019</t>
  </si>
  <si>
    <t>C20753, C00021</t>
  </si>
  <si>
    <t>3.1.1.1</t>
  </si>
  <si>
    <t>https://www.kegg.jp/entry/ec:3.1.1.1</t>
  </si>
  <si>
    <t>https://www.kegg.jp/entry/R00630</t>
  </si>
  <si>
    <t>C02391, C00001</t>
  </si>
  <si>
    <t>C00069, C00060</t>
  </si>
  <si>
    <t>https://www.kegg.jp/entry/R06728</t>
  </si>
  <si>
    <t>C01416, C00001</t>
  </si>
  <si>
    <t>C12448, C00180</t>
  </si>
  <si>
    <t>https://www.kegg.jp/entry/R08220</t>
  </si>
  <si>
    <t>C12650, C00001</t>
  </si>
  <si>
    <t>C16635, C16834, C00011</t>
  </si>
  <si>
    <t>https://www.kegg.jp/entry/R08249</t>
  </si>
  <si>
    <t>C07585, C00001</t>
  </si>
  <si>
    <t>C07447, C07446</t>
  </si>
  <si>
    <t>https://www.kegg.jp/entry/R08251</t>
  </si>
  <si>
    <t>C07054, C00001</t>
  </si>
  <si>
    <t>C07446, C05361</t>
  </si>
  <si>
    <t>https://www.kegg.jp/entry/R08255</t>
  </si>
  <si>
    <t>C16641, C00001</t>
  </si>
  <si>
    <t>C11173, C16836</t>
  </si>
  <si>
    <t>https://www.kegg.jp/entry/R08258</t>
  </si>
  <si>
    <t>C16543, C00001</t>
  </si>
  <si>
    <t>C11173, C16837</t>
  </si>
  <si>
    <t>https://www.kegg.jp/entry/R08295</t>
  </si>
  <si>
    <t>C16561, C00001</t>
  </si>
  <si>
    <t>C11004, C11735</t>
  </si>
  <si>
    <t>https://www.kegg.jp/entry/R08300</t>
  </si>
  <si>
    <t>C07073, C00001</t>
  </si>
  <si>
    <t>C11004, C16647</t>
  </si>
  <si>
    <t>3.1.1.103</t>
  </si>
  <si>
    <t>https://www.kegg.jp/entry/ec:3.1.1.103</t>
  </si>
  <si>
    <t>https://www.kegg.jp/entry/R11965</t>
  </si>
  <si>
    <t>C21811, C00001</t>
  </si>
  <si>
    <t>C21812, C00133</t>
  </si>
  <si>
    <t>3.1.1.29</t>
  </si>
  <si>
    <t>https://www.kegg.jp/entry/ec:3.1.1.29</t>
  </si>
  <si>
    <t>https://www.kegg.jp/entry/R04238</t>
  </si>
  <si>
    <t>C03880, C00001</t>
  </si>
  <si>
    <t>C03523, C00066</t>
  </si>
  <si>
    <t>3.1.1.96</t>
  </si>
  <si>
    <t>https://www.kegg.jp/entry/ec:3.1.1.96</t>
  </si>
  <si>
    <t>3.1.1.99</t>
  </si>
  <si>
    <t>https://www.kegg.jp/entry/ec:3.1.1.99</t>
  </si>
  <si>
    <t>https://www.kegg.jp/entry/R11242</t>
  </si>
  <si>
    <t>C21064, C00001</t>
  </si>
  <si>
    <t>C21182</t>
  </si>
  <si>
    <t>3.1.11.6</t>
  </si>
  <si>
    <t>https://www.kegg.jp/entry/ec:3.1.11.6</t>
  </si>
  <si>
    <t>3.1.2.20</t>
  </si>
  <si>
    <t>https://www.kegg.jp/entry/ec:3.1.2.20</t>
  </si>
  <si>
    <t>https://www.kegg.jp/entry/R00383</t>
  </si>
  <si>
    <t>C00040, C00001</t>
  </si>
  <si>
    <t>C00010, C00060</t>
  </si>
  <si>
    <t>3.1.21.2</t>
  </si>
  <si>
    <t>https://www.kegg.jp/entry/ec:3.1.21.2</t>
  </si>
  <si>
    <t>3.1.21.3</t>
  </si>
  <si>
    <t>https://www.kegg.jp/entry/ec:3.1.21.3</t>
  </si>
  <si>
    <t>3.1.26.11</t>
  </si>
  <si>
    <t>https://www.kegg.jp/entry/ec:3.1.26.11</t>
  </si>
  <si>
    <t>3.1.26.4</t>
  </si>
  <si>
    <t>https://www.kegg.jp/entry/ec:3.1.26.4</t>
  </si>
  <si>
    <t>3.1.26.5</t>
  </si>
  <si>
    <t>https://www.kegg.jp/entry/ec:3.1.26.5</t>
  </si>
  <si>
    <t>3.1.26.8</t>
  </si>
  <si>
    <t>https://www.kegg.jp/entry/ec:3.1.26.8</t>
  </si>
  <si>
    <t>3.1.3.1</t>
  </si>
  <si>
    <t>https://www.kegg.jp/entry/ec:3.1.3.1</t>
  </si>
  <si>
    <t>https://www.kegg.jp/entry/R00626</t>
  </si>
  <si>
    <t>C01153, C00001</t>
  </si>
  <si>
    <t>C00069, C00009</t>
  </si>
  <si>
    <t>https://www.kegg.jp/entry/R01010</t>
  </si>
  <si>
    <t>C00111, C00001</t>
  </si>
  <si>
    <t>C00184, C00009</t>
  </si>
  <si>
    <t>https://www.kegg.jp/entry/R02135</t>
  </si>
  <si>
    <t>C01081, C00001</t>
  </si>
  <si>
    <t>C00378, C00009</t>
  </si>
  <si>
    <t>https://www.kegg.jp/entry/R03024</t>
  </si>
  <si>
    <t>C03360, C00001</t>
  </si>
  <si>
    <t>C00870, C00009</t>
  </si>
  <si>
    <t>https://www.kegg.jp/entry/R04620</t>
  </si>
  <si>
    <t>C04895, C00001</t>
  </si>
  <si>
    <t>C04874, C00009</t>
  </si>
  <si>
    <t>3.1.3.11</t>
  </si>
  <si>
    <t>https://www.kegg.jp/entry/ec:3.1.3.11</t>
  </si>
  <si>
    <t>https://www.kegg.jp/entry/R00762</t>
  </si>
  <si>
    <t>C00354, C00001</t>
  </si>
  <si>
    <t>C00085, C00009</t>
  </si>
  <si>
    <t>https://www.kegg.jp/entry/R01845</t>
  </si>
  <si>
    <t>C00447, C00001</t>
  </si>
  <si>
    <t>C05382, C00009</t>
  </si>
  <si>
    <t>https://www.kegg.jp/entry/R04780</t>
  </si>
  <si>
    <t>C05378, C00001</t>
  </si>
  <si>
    <t>C05345, C00009</t>
  </si>
  <si>
    <t>3.1.3.16</t>
  </si>
  <si>
    <t>https://www.kegg.jp/entry/ec:3.1.3.16</t>
  </si>
  <si>
    <t>https://www.kegg.jp/entry/R00164</t>
  </si>
  <si>
    <t>C00562, C00001</t>
  </si>
  <si>
    <t>C00017, C00009</t>
  </si>
  <si>
    <t>3.1.3.3</t>
  </si>
  <si>
    <t>https://www.kegg.jp/entry/ec:3.1.3.3</t>
  </si>
  <si>
    <t>https://www.kegg.jp/entry/R00582</t>
  </si>
  <si>
    <t>C01005, C00001</t>
  </si>
  <si>
    <t>C00065, C00009</t>
  </si>
  <si>
    <t>https://www.kegg.jp/entry/R02853</t>
  </si>
  <si>
    <t>C02532, C00001</t>
  </si>
  <si>
    <t>C00740, C00009</t>
  </si>
  <si>
    <t>3.1.3.48</t>
  </si>
  <si>
    <t>https://www.kegg.jp/entry/ec:3.1.3.48</t>
  </si>
  <si>
    <t>https://www.kegg.jp/entry/R02585</t>
  </si>
  <si>
    <t>C01167, C00001</t>
  </si>
  <si>
    <t>C00585, C00009</t>
  </si>
  <si>
    <t>3.1.3.5</t>
  </si>
  <si>
    <t>https://www.kegg.jp/entry/ec:3.1.3.5</t>
  </si>
  <si>
    <t>https://www.kegg.jp/entry/R00183</t>
  </si>
  <si>
    <t>C00020, C00001</t>
  </si>
  <si>
    <t>https://www.kegg.jp/entry/R00511</t>
  </si>
  <si>
    <t>C00055, C00001</t>
  </si>
  <si>
    <t>https://www.kegg.jp/entry/R00963</t>
  </si>
  <si>
    <t>C00105, C00001</t>
  </si>
  <si>
    <t>https://www.kegg.jp/entry/R01126</t>
  </si>
  <si>
    <t>C00130, C00001</t>
  </si>
  <si>
    <t>https://www.kegg.jp/entry/R01227</t>
  </si>
  <si>
    <t>C00144, C00001</t>
  </si>
  <si>
    <t>https://www.kegg.jp/entry/R01569</t>
  </si>
  <si>
    <t>C00364, C00001</t>
  </si>
  <si>
    <t>https://www.kegg.jp/entry/R01664</t>
  </si>
  <si>
    <t>C00239, C00001</t>
  </si>
  <si>
    <t>C00881, C00009</t>
  </si>
  <si>
    <t>https://www.kegg.jp/entry/R01968</t>
  </si>
  <si>
    <t>C00362, C00001</t>
  </si>
  <si>
    <t>https://www.kegg.jp/entry/R02088</t>
  </si>
  <si>
    <t>C00360, C00001</t>
  </si>
  <si>
    <t>https://www.kegg.jp/entry/R02102</t>
  </si>
  <si>
    <t>C00365, C00001</t>
  </si>
  <si>
    <t>https://www.kegg.jp/entry/R02323</t>
  </si>
  <si>
    <t>C00455, C00001</t>
  </si>
  <si>
    <t>https://www.kegg.jp/entry/R02719</t>
  </si>
  <si>
    <t>C00655, C00001</t>
  </si>
  <si>
    <t>https://www.kegg.jp/entry/R03346</t>
  </si>
  <si>
    <t>C01185, C00001</t>
  </si>
  <si>
    <t>https://www.kegg.jp/entry/R07297</t>
  </si>
  <si>
    <t>C02520, C00001</t>
  </si>
  <si>
    <t>C00911, C00009</t>
  </si>
  <si>
    <t>https://www.kegg.jp/entry/R12958</t>
  </si>
  <si>
    <t>C06196, C00001</t>
  </si>
  <si>
    <t>3.1.3.7</t>
  </si>
  <si>
    <t>https://www.kegg.jp/entry/ec:3.1.3.7</t>
  </si>
  <si>
    <t>https://www.kegg.jp/entry/R00188</t>
  </si>
  <si>
    <t>C00054, C00001</t>
  </si>
  <si>
    <t>C00020, C00009</t>
  </si>
  <si>
    <t>https://www.kegg.jp/entry/R00508</t>
  </si>
  <si>
    <t>C00053, C00001</t>
  </si>
  <si>
    <t>C00224, C00009</t>
  </si>
  <si>
    <t>3.1.3.87</t>
  </si>
  <si>
    <t>https://www.kegg.jp/entry/ec:3.1.3.87</t>
  </si>
  <si>
    <t>https://www.kegg.jp/entry/R07394</t>
  </si>
  <si>
    <t>C15651, C00001</t>
  </si>
  <si>
    <t>C15606, C00009</t>
  </si>
  <si>
    <t>3.11.1.1</t>
  </si>
  <si>
    <t>https://www.kegg.jp/entry/ec:3.11.1.1</t>
  </si>
  <si>
    <t>https://www.kegg.jp/entry/R00747</t>
  </si>
  <si>
    <t>C03167, C00001</t>
  </si>
  <si>
    <t>C00084, C00009</t>
  </si>
  <si>
    <t>3.2.1.1</t>
  </si>
  <si>
    <t>https://www.kegg.jp/entry/ec:3.2.1.1</t>
  </si>
  <si>
    <t>https://www.kegg.jp/entry/R02108</t>
  </si>
  <si>
    <t>C00369, C00001</t>
  </si>
  <si>
    <t>C00721, C00369</t>
  </si>
  <si>
    <t>https://www.kegg.jp/entry/R02112</t>
  </si>
  <si>
    <t>C00721, C00208</t>
  </si>
  <si>
    <t>https://www.kegg.jp/entry/R06209</t>
  </si>
  <si>
    <t>G10545, C00001</t>
  </si>
  <si>
    <t>G10545, G10545</t>
  </si>
  <si>
    <t>https://www.kegg.jp/entry/R11262</t>
  </si>
  <si>
    <t>C01935, C00001</t>
  </si>
  <si>
    <t>C00208</t>
  </si>
  <si>
    <t>3.2.1.10</t>
  </si>
  <si>
    <t>https://www.kegg.jp/entry/ec:3.2.1.10</t>
  </si>
  <si>
    <t>https://www.kegg.jp/entry/R00801</t>
  </si>
  <si>
    <t>C00089, C00001</t>
  </si>
  <si>
    <t>C00095, C00031</t>
  </si>
  <si>
    <t>https://www.kegg.jp/entry/R01718</t>
  </si>
  <si>
    <t>C00252, C00001</t>
  </si>
  <si>
    <t>C00267, C00031</t>
  </si>
  <si>
    <t>https://www.kegg.jp/entry/R01791</t>
  </si>
  <si>
    <t>C00721, C00001</t>
  </si>
  <si>
    <t>C00031, C00721</t>
  </si>
  <si>
    <t>https://www.kegg.jp/entry/R06080</t>
  </si>
  <si>
    <t>G01318, C00001</t>
  </si>
  <si>
    <t>https://www.kegg.jp/entry/R06087</t>
  </si>
  <si>
    <t>G00370, C00001</t>
  </si>
  <si>
    <t>https://www.kegg.jp/entry/R06199</t>
  </si>
  <si>
    <t>C00267, G10545</t>
  </si>
  <si>
    <t>3.2.1.26</t>
  </si>
  <si>
    <t>https://www.kegg.jp/entry/ec:3.2.1.26</t>
  </si>
  <si>
    <t>https://www.kegg.jp/entry/R00802</t>
  </si>
  <si>
    <t>C02336, C00267</t>
  </si>
  <si>
    <t>https://www.kegg.jp/entry/R02410</t>
  </si>
  <si>
    <t>C00492, C00001</t>
  </si>
  <si>
    <t>C05402, C00095</t>
  </si>
  <si>
    <t>https://www.kegg.jp/entry/R03635</t>
  </si>
  <si>
    <t>C01613, C00001</t>
  </si>
  <si>
    <t>C05404, C00095</t>
  </si>
  <si>
    <t>https://www.kegg.jp/entry/R03921</t>
  </si>
  <si>
    <t>C16688, C00001</t>
  </si>
  <si>
    <t>C00095, C00092</t>
  </si>
  <si>
    <t>https://www.kegg.jp/entry/R06088</t>
  </si>
  <si>
    <t>https://www.kegg.jp/entry/R06100</t>
  </si>
  <si>
    <t>G00249, C00001</t>
  </si>
  <si>
    <t>G01275, C00095</t>
  </si>
  <si>
    <t>https://www.kegg.jp/entry/R06101</t>
  </si>
  <si>
    <t>G00278, C00001</t>
  </si>
  <si>
    <t>G00501, C00095</t>
  </si>
  <si>
    <t>https://www.kegg.jp/entry/R06102</t>
  </si>
  <si>
    <t>G10508, C00001</t>
  </si>
  <si>
    <t>C02336, C00668</t>
  </si>
  <si>
    <t>3.2.1.41</t>
  </si>
  <si>
    <t>https://www.kegg.jp/entry/ec:3.2.1.41</t>
  </si>
  <si>
    <t>3.2.1.86</t>
  </si>
  <si>
    <t>https://www.kegg.jp/entry/ec:3.2.1.86</t>
  </si>
  <si>
    <t>https://www.kegg.jp/entry/R00839</t>
  </si>
  <si>
    <t>C04534, C00001</t>
  </si>
  <si>
    <t>C00031, C00092</t>
  </si>
  <si>
    <t>https://www.kegg.jp/entry/R05133</t>
  </si>
  <si>
    <t>C06187, C00001</t>
  </si>
  <si>
    <t>C00530, C01172</t>
  </si>
  <si>
    <t>https://www.kegg.jp/entry/R05134</t>
  </si>
  <si>
    <t>C06188, C00001</t>
  </si>
  <si>
    <t>C02323, C01172</t>
  </si>
  <si>
    <t>https://www.kegg.jp/entry/R06112</t>
  </si>
  <si>
    <t>G10518, C00001</t>
  </si>
  <si>
    <t>3.2.1.93</t>
  </si>
  <si>
    <t>https://www.kegg.jp/entry/ec:3.2.1.93</t>
  </si>
  <si>
    <t>https://www.kegg.jp/entry/R00837</t>
  </si>
  <si>
    <t>C00001, C00689</t>
  </si>
  <si>
    <t>https://www.kegg.jp/entry/R06113</t>
  </si>
  <si>
    <t>C00001, G09795</t>
  </si>
  <si>
    <t>3.2.2.16</t>
  </si>
  <si>
    <t>https://www.kegg.jp/entry/ec:3.2.2.16</t>
  </si>
  <si>
    <t>https://www.kegg.jp/entry/R01401</t>
  </si>
  <si>
    <t>C00170, C00001</t>
  </si>
  <si>
    <t>C00147, C03089</t>
  </si>
  <si>
    <t>3.2.2.23</t>
  </si>
  <si>
    <t>https://www.kegg.jp/entry/ec:3.2.2.23</t>
  </si>
  <si>
    <t>3.2.2.27</t>
  </si>
  <si>
    <t>https://www.kegg.jp/entry/ec:3.2.2.27</t>
  </si>
  <si>
    <t>3.2.2.9</t>
  </si>
  <si>
    <t>https://www.kegg.jp/entry/ec:3.2.2.9</t>
  </si>
  <si>
    <t>https://www.kegg.jp/entry/R00194</t>
  </si>
  <si>
    <t>C00021, C00001</t>
  </si>
  <si>
    <t>C03539, C00147</t>
  </si>
  <si>
    <t>https://www.kegg.jp/entry/R12621</t>
  </si>
  <si>
    <t>C05198, C00001</t>
  </si>
  <si>
    <t>C22288, C00147</t>
  </si>
  <si>
    <t>3.4.11.18</t>
  </si>
  <si>
    <t>https://www.kegg.jp/entry/ec:3.4.11.18</t>
  </si>
  <si>
    <t>3.4.11.4</t>
  </si>
  <si>
    <t>https://www.kegg.jp/entry/ec:3.4.11.4</t>
  </si>
  <si>
    <t>3.4.13.19</t>
  </si>
  <si>
    <t>https://www.kegg.jp/entry/ec:3.4.13.19</t>
  </si>
  <si>
    <t>3.4.13.21</t>
  </si>
  <si>
    <t>https://www.kegg.jp/entry/ec:3.4.13.21</t>
  </si>
  <si>
    <t>3.4.13.9</t>
  </si>
  <si>
    <t>https://www.kegg.jp/entry/ec:3.4.13.9</t>
  </si>
  <si>
    <t>3.4.16.4</t>
  </si>
  <si>
    <t>https://www.kegg.jp/entry/ec:3.4.16.4</t>
  </si>
  <si>
    <t>3.4.17.19</t>
  </si>
  <si>
    <t>https://www.kegg.jp/entry/ec:3.4.17.19</t>
  </si>
  <si>
    <t>3.4.19.3</t>
  </si>
  <si>
    <t>https://www.kegg.jp/entry/ec:3.4.19.3</t>
  </si>
  <si>
    <t>3.4.21.116</t>
  </si>
  <si>
    <t>https://www.kegg.jp/entry/ec:3.4.21.116</t>
  </si>
  <si>
    <t>3.4.21.53</t>
  </si>
  <si>
    <t>https://www.kegg.jp/entry/ec:3.4.21.53</t>
  </si>
  <si>
    <t>3.4.21.88</t>
  </si>
  <si>
    <t>https://www.kegg.jp/entry/ec:3.4.21.88</t>
  </si>
  <si>
    <t>3.4.21.89</t>
  </si>
  <si>
    <t>https://www.kegg.jp/entry/ec:3.4.21.89</t>
  </si>
  <si>
    <t>3.4.21.92</t>
  </si>
  <si>
    <t>https://www.kegg.jp/entry/ec:3.4.21.92</t>
  </si>
  <si>
    <t>3.4.22.71</t>
  </si>
  <si>
    <t>https://www.kegg.jp/entry/ec:3.4.22.71</t>
  </si>
  <si>
    <t>3.4.23.36</t>
  </si>
  <si>
    <t>https://www.kegg.jp/entry/ec:3.4.23.36</t>
  </si>
  <si>
    <t>3.4.24.78</t>
  </si>
  <si>
    <t>https://www.kegg.jp/entry/ec:3.4.24.78</t>
  </si>
  <si>
    <t>3.4.25.2</t>
  </si>
  <si>
    <t>https://www.kegg.jp/entry/ec:3.4.25.2</t>
  </si>
  <si>
    <t>3.5.1.1</t>
  </si>
  <si>
    <t>https://www.kegg.jp/entry/ec:3.5.1.1</t>
  </si>
  <si>
    <t>https://www.kegg.jp/entry/R00485</t>
  </si>
  <si>
    <t>C00152, C00001</t>
  </si>
  <si>
    <t>C00049, C00014</t>
  </si>
  <si>
    <t>https://www.kegg.jp/entry/R06134</t>
  </si>
  <si>
    <t>C00241, C00001</t>
  </si>
  <si>
    <t>C00060, C00014</t>
  </si>
  <si>
    <t>3.5.1.105</t>
  </si>
  <si>
    <t>https://www.kegg.jp/entry/ec:3.5.1.105</t>
  </si>
  <si>
    <t>https://www.kegg.jp/entry/R11889</t>
  </si>
  <si>
    <t>C01674, C00001</t>
  </si>
  <si>
    <t>C21747, C00033</t>
  </si>
  <si>
    <t>3.5.1.14</t>
  </si>
  <si>
    <t>https://www.kegg.jp/entry/ec:3.5.1.14</t>
  </si>
  <si>
    <t>https://www.kegg.jp/entry/R00669</t>
  </si>
  <si>
    <t>C00437, C00001</t>
  </si>
  <si>
    <t>C00033, C00077</t>
  </si>
  <si>
    <t>https://www.kegg.jp/entry/R01263</t>
  </si>
  <si>
    <t>C02850, C00001</t>
  </si>
  <si>
    <t>C00060, C00151</t>
  </si>
  <si>
    <t>https://www.kegg.jp/entry/R10553</t>
  </si>
  <si>
    <t>C05727, C00001</t>
  </si>
  <si>
    <t>C05726, C00033</t>
  </si>
  <si>
    <t>3.5.1.16</t>
  </si>
  <si>
    <t>https://www.kegg.jp/entry/ec:3.5.1.16</t>
  </si>
  <si>
    <t>https://www.kegg.jp/entry/R09107</t>
  </si>
  <si>
    <t>C15532, C00001</t>
  </si>
  <si>
    <t>C00033, C00327</t>
  </si>
  <si>
    <t>3.5.1.2</t>
  </si>
  <si>
    <t>https://www.kegg.jp/entry/ec:3.5.1.2</t>
  </si>
  <si>
    <t>https://www.kegg.jp/entry/R01579</t>
  </si>
  <si>
    <t>C00819, C00001</t>
  </si>
  <si>
    <t>C00217, C00014</t>
  </si>
  <si>
    <t>3.5.1.24</t>
  </si>
  <si>
    <t>https://www.kegg.jp/entry/ec:3.5.1.24</t>
  </si>
  <si>
    <t>https://www.kegg.jp/entry/R02797</t>
  </si>
  <si>
    <t>C05122, C00001</t>
  </si>
  <si>
    <t>C00695, C00245</t>
  </si>
  <si>
    <t>https://www.kegg.jp/entry/R03975</t>
  </si>
  <si>
    <t>C05466, C00001</t>
  </si>
  <si>
    <t>C02528, C00037</t>
  </si>
  <si>
    <t>https://www.kegg.jp/entry/R03977</t>
  </si>
  <si>
    <t>C05465, C00001</t>
  </si>
  <si>
    <t>C02528, C00245</t>
  </si>
  <si>
    <t>https://www.kegg.jp/entry/R04486</t>
  </si>
  <si>
    <t>C05464, C00001</t>
  </si>
  <si>
    <t>C04483, C00037</t>
  </si>
  <si>
    <t>https://www.kegg.jp/entry/R04487</t>
  </si>
  <si>
    <t>C05463, C00001</t>
  </si>
  <si>
    <t>C04483, C00245</t>
  </si>
  <si>
    <t>https://www.kegg.jp/entry/R05835</t>
  </si>
  <si>
    <t>C01921, C00001</t>
  </si>
  <si>
    <t>C00695, C00037</t>
  </si>
  <si>
    <t>3.5.1.25</t>
  </si>
  <si>
    <t>https://www.kegg.jp/entry/ec:3.5.1.25</t>
  </si>
  <si>
    <t>https://www.kegg.jp/entry/R02059</t>
  </si>
  <si>
    <t>C00357, C00001</t>
  </si>
  <si>
    <t>C00352, C00033</t>
  </si>
  <si>
    <t>3.5.1.28</t>
  </si>
  <si>
    <t>https://www.kegg.jp/entry/ec:3.5.1.28</t>
  </si>
  <si>
    <t>https://www.kegg.jp/entry/R04112</t>
  </si>
  <si>
    <t>C02999, C00001</t>
  </si>
  <si>
    <t>C02713, C00041</t>
  </si>
  <si>
    <t>3.5.1.49</t>
  </si>
  <si>
    <t>https://www.kegg.jp/entry/ec:3.5.1.49</t>
  </si>
  <si>
    <t>https://www.kegg.jp/entry/R00524</t>
  </si>
  <si>
    <t>C00488, C00001</t>
  </si>
  <si>
    <t>C00058, C00014</t>
  </si>
  <si>
    <t>3.5.1.88</t>
  </si>
  <si>
    <t>https://www.kegg.jp/entry/ec:3.5.1.88</t>
  </si>
  <si>
    <t>https://www.kegg.jp/entry/R04268</t>
  </si>
  <si>
    <t>C04258, C00001</t>
  </si>
  <si>
    <t>C00058, C03617</t>
  </si>
  <si>
    <t>https://www.kegg.jp/entry/R05635</t>
  </si>
  <si>
    <t>C11439, C00001</t>
  </si>
  <si>
    <t>C11440, C00058</t>
  </si>
  <si>
    <t>3.5.1.9</t>
  </si>
  <si>
    <t>https://www.kegg.jp/entry/ec:3.5.1.9</t>
  </si>
  <si>
    <t>https://www.kegg.jp/entry/R00988</t>
  </si>
  <si>
    <t>C05653, C00001</t>
  </si>
  <si>
    <t>C00058, C00108</t>
  </si>
  <si>
    <t>https://www.kegg.jp/entry/R01959</t>
  </si>
  <si>
    <t>C02700, C00001</t>
  </si>
  <si>
    <t>C00058, C00328</t>
  </si>
  <si>
    <t>https://www.kegg.jp/entry/R04911</t>
  </si>
  <si>
    <t>C05648, C00001</t>
  </si>
  <si>
    <t>C05651, C00058</t>
  </si>
  <si>
    <t>3.5.2.3</t>
  </si>
  <si>
    <t>https://www.kegg.jp/entry/ec:3.5.2.3</t>
  </si>
  <si>
    <t>https://www.kegg.jp/entry/R01993</t>
  </si>
  <si>
    <t>C00337, C00001</t>
  </si>
  <si>
    <t>C00438</t>
  </si>
  <si>
    <t>3.5.2.6</t>
  </si>
  <si>
    <t>https://www.kegg.jp/entry/ec:3.5.2.6</t>
  </si>
  <si>
    <t>https://www.kegg.jp/entry/R03743</t>
  </si>
  <si>
    <t>C01866, C00001</t>
  </si>
  <si>
    <t>C03806</t>
  </si>
  <si>
    <t>https://www.kegg.jp/entry/R04318</t>
  </si>
  <si>
    <t>C05551, C00001</t>
  </si>
  <si>
    <t>C16672</t>
  </si>
  <si>
    <t>https://www.kegg.jp/entry/R06363</t>
  </si>
  <si>
    <t>C00395, C00001</t>
  </si>
  <si>
    <t>C06567</t>
  </si>
  <si>
    <t>3.5.2.7</t>
  </si>
  <si>
    <t>https://www.kegg.jp/entry/ec:3.5.2.7</t>
  </si>
  <si>
    <t>https://www.kegg.jp/entry/R02288</t>
  </si>
  <si>
    <t>C03680, C00001</t>
  </si>
  <si>
    <t>C00439</t>
  </si>
  <si>
    <t>3.5.2.9</t>
  </si>
  <si>
    <t>https://www.kegg.jp/entry/ec:3.5.2.9</t>
  </si>
  <si>
    <t>https://www.kegg.jp/entry/R00251</t>
  </si>
  <si>
    <t>C00002, C01879, C00001</t>
  </si>
  <si>
    <t>C00008, C00009, C00025</t>
  </si>
  <si>
    <t>3.5.3.1</t>
  </si>
  <si>
    <t>https://www.kegg.jp/entry/ec:3.5.3.1</t>
  </si>
  <si>
    <t>https://www.kegg.jp/entry/R00551</t>
  </si>
  <si>
    <t>C00062, C00001</t>
  </si>
  <si>
    <t>C00077, C00086</t>
  </si>
  <si>
    <t>3.5.3.11</t>
  </si>
  <si>
    <t>https://www.kegg.jp/entry/ec:3.5.3.11</t>
  </si>
  <si>
    <t>https://www.kegg.jp/entry/R01157</t>
  </si>
  <si>
    <t>C00179, C00001</t>
  </si>
  <si>
    <t>C00134, C00086</t>
  </si>
  <si>
    <t>3.5.3.6</t>
  </si>
  <si>
    <t>https://www.kegg.jp/entry/ec:3.5.3.6</t>
  </si>
  <si>
    <t>https://www.kegg.jp/entry/R00552</t>
  </si>
  <si>
    <t>C00327, C00014</t>
  </si>
  <si>
    <t>https://www.kegg.jp/entry/R06138</t>
  </si>
  <si>
    <t>C06060, C00001</t>
  </si>
  <si>
    <t>C00241, C00014</t>
  </si>
  <si>
    <t>3.5.3.8</t>
  </si>
  <si>
    <t>https://www.kegg.jp/entry/ec:3.5.3.8</t>
  </si>
  <si>
    <t>https://www.kegg.jp/entry/R02285</t>
  </si>
  <si>
    <t>C00439, C00001</t>
  </si>
  <si>
    <t>C00025, C00488</t>
  </si>
  <si>
    <t>3.5.4.10</t>
  </si>
  <si>
    <t>https://www.kegg.jp/entry/ec:3.5.4.10</t>
  </si>
  <si>
    <t>https://www.kegg.jp/entry/R01127</t>
  </si>
  <si>
    <t>C04734</t>
  </si>
  <si>
    <t>3.5.4.16</t>
  </si>
  <si>
    <t>https://www.kegg.jp/entry/ec:3.5.4.16</t>
  </si>
  <si>
    <t>https://www.kegg.jp/entry/R00424</t>
  </si>
  <si>
    <t>C00044, C00001</t>
  </si>
  <si>
    <t>C04895, C00058</t>
  </si>
  <si>
    <t>https://www.kegg.jp/entry/R00428</t>
  </si>
  <si>
    <t>C05922</t>
  </si>
  <si>
    <t>https://www.kegg.jp/entry/R04639</t>
  </si>
  <si>
    <t>C06148</t>
  </si>
  <si>
    <t>https://www.kegg.jp/entry/R05046</t>
  </si>
  <si>
    <t>C05922, C00001</t>
  </si>
  <si>
    <t>C05923, C00058</t>
  </si>
  <si>
    <t>https://www.kegg.jp/entry/R05048</t>
  </si>
  <si>
    <t>C05923</t>
  </si>
  <si>
    <t>3.5.4.19</t>
  </si>
  <si>
    <t>https://www.kegg.jp/entry/ec:3.5.4.19</t>
  </si>
  <si>
    <t>https://www.kegg.jp/entry/R04037</t>
  </si>
  <si>
    <t>C02741, C00001</t>
  </si>
  <si>
    <t>C04896</t>
  </si>
  <si>
    <t>3.5.4.25</t>
  </si>
  <si>
    <t>https://www.kegg.jp/entry/ec:3.5.4.25</t>
  </si>
  <si>
    <t>https://www.kegg.jp/entry/R00425</t>
  </si>
  <si>
    <t>C00058, C01304, C00009</t>
  </si>
  <si>
    <t>3.5.4.26</t>
  </si>
  <si>
    <t>https://www.kegg.jp/entry/ec:3.5.4.26</t>
  </si>
  <si>
    <t>https://www.kegg.jp/entry/R03459</t>
  </si>
  <si>
    <t>C01304, C00001</t>
  </si>
  <si>
    <t>C01268, C00014</t>
  </si>
  <si>
    <t>3.5.4.33</t>
  </si>
  <si>
    <t>https://www.kegg.jp/entry/ec:3.5.4.33</t>
  </si>
  <si>
    <t>https://www.kegg.jp/entry/R10223</t>
  </si>
  <si>
    <t>C17324, C00001</t>
  </si>
  <si>
    <t>C20451, C00014</t>
  </si>
  <si>
    <t>3.5.4.5</t>
  </si>
  <si>
    <t>https://www.kegg.jp/entry/ec:3.5.4.5</t>
  </si>
  <si>
    <t>https://www.kegg.jp/entry/R01878</t>
  </si>
  <si>
    <t>C00475, C00001</t>
  </si>
  <si>
    <t>C00299, C00014</t>
  </si>
  <si>
    <t>https://www.kegg.jp/entry/R02485</t>
  </si>
  <si>
    <t>C00881, C00001</t>
  </si>
  <si>
    <t>C00526, C00014</t>
  </si>
  <si>
    <t>https://www.kegg.jp/entry/R08221</t>
  </si>
  <si>
    <t>C16635, C00001</t>
  </si>
  <si>
    <t>C12739, C00014</t>
  </si>
  <si>
    <t>3.5.4.9</t>
  </si>
  <si>
    <t>https://www.kegg.jp/entry/ec:3.5.4.9</t>
  </si>
  <si>
    <t>https://www.kegg.jp/entry/R01655</t>
  </si>
  <si>
    <t>C00234, C00080</t>
  </si>
  <si>
    <t>3.5.99.6</t>
  </si>
  <si>
    <t>https://www.kegg.jp/entry/ec:3.5.99.6</t>
  </si>
  <si>
    <t>https://www.kegg.jp/entry/R00765</t>
  </si>
  <si>
    <t>C00352, C00001</t>
  </si>
  <si>
    <t>C00085, C00014</t>
  </si>
  <si>
    <t>3.6.1.1</t>
  </si>
  <si>
    <t>https://www.kegg.jp/entry/ec:3.6.1.1</t>
  </si>
  <si>
    <t>https://www.kegg.jp/entry/R00004</t>
  </si>
  <si>
    <t>C00013, C00001</t>
  </si>
  <si>
    <t>C00009</t>
  </si>
  <si>
    <t>3.6.1.27</t>
  </si>
  <si>
    <t>https://www.kegg.jp/entry/ec:3.6.1.27</t>
  </si>
  <si>
    <t>https://www.kegg.jp/entry/R05627</t>
  </si>
  <si>
    <t>C04574, C00001</t>
  </si>
  <si>
    <t>C17556, C00009</t>
  </si>
  <si>
    <t>3.6.1.31</t>
  </si>
  <si>
    <t>https://www.kegg.jp/entry/ec:3.6.1.31</t>
  </si>
  <si>
    <t>https://www.kegg.jp/entry/R04035</t>
  </si>
  <si>
    <t>C02739, C00001</t>
  </si>
  <si>
    <t>C02741, C00013</t>
  </si>
  <si>
    <t>3.6.1.41</t>
  </si>
  <si>
    <t>https://www.kegg.jp/entry/ec:3.6.1.41</t>
  </si>
  <si>
    <t>https://www.kegg.jp/entry/R00125</t>
  </si>
  <si>
    <t>C01260, C00001</t>
  </si>
  <si>
    <t>3.6.1.66</t>
  </si>
  <si>
    <t>https://www.kegg.jp/entry/ec:3.6.1.66</t>
  </si>
  <si>
    <t>https://www.kegg.jp/entry/R00720</t>
  </si>
  <si>
    <t>C00081, C00001</t>
  </si>
  <si>
    <t>https://www.kegg.jp/entry/R02720</t>
  </si>
  <si>
    <t>C00700, C00001</t>
  </si>
  <si>
    <t>https://www.kegg.jp/entry/R03531</t>
  </si>
  <si>
    <t>C01345, C00001</t>
  </si>
  <si>
    <t>C06196, C00013</t>
  </si>
  <si>
    <t>https://www.kegg.jp/entry/R08243</t>
  </si>
  <si>
    <t>C16617, C00001</t>
  </si>
  <si>
    <t>3.6.1.9</t>
  </si>
  <si>
    <t>https://www.kegg.jp/entry/ec:3.6.1.9</t>
  </si>
  <si>
    <t>https://www.kegg.jp/entry/R00087</t>
  </si>
  <si>
    <t>C00002, C00001</t>
  </si>
  <si>
    <t>https://www.kegg.jp/entry/R00103</t>
  </si>
  <si>
    <t>C00003, C00001</t>
  </si>
  <si>
    <t>C00020, C00455</t>
  </si>
  <si>
    <t>https://www.kegg.jp/entry/R00160</t>
  </si>
  <si>
    <t>C00016, C00001</t>
  </si>
  <si>
    <t>C00020, C00061</t>
  </si>
  <si>
    <t>https://www.kegg.jp/entry/R00287</t>
  </si>
  <si>
    <t>C00029, C00001</t>
  </si>
  <si>
    <t>C00105, C00103</t>
  </si>
  <si>
    <t>https://www.kegg.jp/entry/R00426</t>
  </si>
  <si>
    <t>https://www.kegg.jp/entry/R00515</t>
  </si>
  <si>
    <t>C00063, C00001</t>
  </si>
  <si>
    <t>C00055, C00013</t>
  </si>
  <si>
    <t>https://www.kegg.jp/entry/R00662</t>
  </si>
  <si>
    <t>C00075, C00001</t>
  </si>
  <si>
    <t>https://www.kegg.jp/entry/R01532</t>
  </si>
  <si>
    <t>C00201, C00001</t>
  </si>
  <si>
    <t>C00215, C00013</t>
  </si>
  <si>
    <t>https://www.kegg.jp/entry/R03004</t>
  </si>
  <si>
    <t>C00857, C00001</t>
  </si>
  <si>
    <t>C00020, C01185</t>
  </si>
  <si>
    <t>https://www.kegg.jp/entry/R03036</t>
  </si>
  <si>
    <t>C00882, C00001</t>
  </si>
  <si>
    <t>C01134, C00020</t>
  </si>
  <si>
    <t>https://www.kegg.jp/entry/R11323</t>
  </si>
  <si>
    <t>C00459, C00001</t>
  </si>
  <si>
    <t>C00364, C00013</t>
  </si>
  <si>
    <t>3.6.4.12</t>
  </si>
  <si>
    <t>https://www.kegg.jp/entry/ec:3.6.4.12</t>
  </si>
  <si>
    <t>3.7.1.3</t>
  </si>
  <si>
    <t>https://www.kegg.jp/entry/ec:3.7.1.3</t>
  </si>
  <si>
    <t>https://www.kegg.jp/entry/R00987</t>
  </si>
  <si>
    <t>C00328, C00001</t>
  </si>
  <si>
    <t>C00108, C00041</t>
  </si>
  <si>
    <t>https://www.kegg.jp/entry/R02668</t>
  </si>
  <si>
    <t>C03227, C00001</t>
  </si>
  <si>
    <t>C00632, C00041</t>
  </si>
  <si>
    <t>https://www.kegg.jp/entry/R03936</t>
  </si>
  <si>
    <t>C05653, C00041</t>
  </si>
  <si>
    <t>4.1.1.11</t>
  </si>
  <si>
    <t>https://www.kegg.jp/entry/ec:4.1.1.11</t>
  </si>
  <si>
    <t>https://www.kegg.jp/entry/R00489</t>
  </si>
  <si>
    <t>C00049</t>
  </si>
  <si>
    <t>C00099, C00011</t>
  </si>
  <si>
    <t>4.1.1.19</t>
  </si>
  <si>
    <t>https://www.kegg.jp/entry/ec:4.1.1.19</t>
  </si>
  <si>
    <t>https://www.kegg.jp/entry/R00566</t>
  </si>
  <si>
    <t>C00062</t>
  </si>
  <si>
    <t>C00179, C00011</t>
  </si>
  <si>
    <t>4.1.1.20</t>
  </si>
  <si>
    <t>https://www.kegg.jp/entry/ec:4.1.1.20</t>
  </si>
  <si>
    <t>https://www.kegg.jp/entry/R00451</t>
  </si>
  <si>
    <t>C00680</t>
  </si>
  <si>
    <t>C00047, C00011</t>
  </si>
  <si>
    <t>4.1.1.21</t>
  </si>
  <si>
    <t>https://www.kegg.jp/entry/ec:4.1.1.21</t>
  </si>
  <si>
    <t>https://www.kegg.jp/entry/R04209</t>
  </si>
  <si>
    <t>C04751</t>
  </si>
  <si>
    <t>C03373, C00011</t>
  </si>
  <si>
    <t>4.1.1.23</t>
  </si>
  <si>
    <t>https://www.kegg.jp/entry/ec:4.1.1.23</t>
  </si>
  <si>
    <t>https://www.kegg.jp/entry/R00965</t>
  </si>
  <si>
    <t>C01103</t>
  </si>
  <si>
    <t>C00105, C00011</t>
  </si>
  <si>
    <t>4.1.1.36</t>
  </si>
  <si>
    <t>https://www.kegg.jp/entry/ec:4.1.1.36</t>
  </si>
  <si>
    <t>https://www.kegg.jp/entry/R03269</t>
  </si>
  <si>
    <t>C04352</t>
  </si>
  <si>
    <t>C01134, C00011</t>
  </si>
  <si>
    <t>4.1.1.37</t>
  </si>
  <si>
    <t>https://www.kegg.jp/entry/ec:4.1.1.37</t>
  </si>
  <si>
    <t>https://www.kegg.jp/entry/R03197</t>
  </si>
  <si>
    <t>C01051</t>
  </si>
  <si>
    <t>C03263, C00011</t>
  </si>
  <si>
    <t>https://www.kegg.jp/entry/R04972</t>
  </si>
  <si>
    <t>C05766</t>
  </si>
  <si>
    <t>C05768, C00011</t>
  </si>
  <si>
    <t>4.1.1.48</t>
  </si>
  <si>
    <t>https://www.kegg.jp/entry/ec:4.1.1.48</t>
  </si>
  <si>
    <t>https://www.kegg.jp/entry/R03508</t>
  </si>
  <si>
    <t>C01302</t>
  </si>
  <si>
    <t>C03506, C00011, C00001</t>
  </si>
  <si>
    <t>4.1.1.49</t>
  </si>
  <si>
    <t>https://www.kegg.jp/entry/ec:4.1.1.49</t>
  </si>
  <si>
    <t>https://www.kegg.jp/entry/R00341</t>
  </si>
  <si>
    <t>C00002, C00036</t>
  </si>
  <si>
    <t>C00008, C00074, C00011</t>
  </si>
  <si>
    <t>4.1.1.5</t>
  </si>
  <si>
    <t>https://www.kegg.jp/entry/ec:4.1.1.5</t>
  </si>
  <si>
    <t>https://www.kegg.jp/entry/R02948</t>
  </si>
  <si>
    <t>C00810, C00011</t>
  </si>
  <si>
    <t>4.1.1.50</t>
  </si>
  <si>
    <t>https://www.kegg.jp/entry/ec:4.1.1.50</t>
  </si>
  <si>
    <t>https://www.kegg.jp/entry/R00178</t>
  </si>
  <si>
    <t>C00019, C00080</t>
  </si>
  <si>
    <t>C01137, C00011</t>
  </si>
  <si>
    <t>4.1.1.65</t>
  </si>
  <si>
    <t>https://www.kegg.jp/entry/ec:4.1.1.65</t>
  </si>
  <si>
    <t>https://www.kegg.jp/entry/R02055</t>
  </si>
  <si>
    <t>C02737</t>
  </si>
  <si>
    <t>C00350, C00011</t>
  </si>
  <si>
    <t>4.1.2.13</t>
  </si>
  <si>
    <t>https://www.kegg.jp/entry/ec:4.1.2.13</t>
  </si>
  <si>
    <t>https://www.kegg.jp/entry/R01068</t>
  </si>
  <si>
    <t>C00354</t>
  </si>
  <si>
    <t>C00111, C00118</t>
  </si>
  <si>
    <t>https://www.kegg.jp/entry/R01070</t>
  </si>
  <si>
    <t>C05378</t>
  </si>
  <si>
    <t>https://www.kegg.jp/entry/R01829</t>
  </si>
  <si>
    <t>C00447</t>
  </si>
  <si>
    <t>C00111, C00279</t>
  </si>
  <si>
    <t>https://www.kegg.jp/entry/R02568</t>
  </si>
  <si>
    <t>C01094</t>
  </si>
  <si>
    <t>C00111, C00577</t>
  </si>
  <si>
    <t>4.1.2.17</t>
  </si>
  <si>
    <t>https://www.kegg.jp/entry/ec:4.1.2.17</t>
  </si>
  <si>
    <t>https://www.kegg.jp/entry/R02262</t>
  </si>
  <si>
    <t>C01099</t>
  </si>
  <si>
    <t>C00111, C00424</t>
  </si>
  <si>
    <t>https://www.kegg.jp/entry/R12696</t>
  </si>
  <si>
    <t>C22337</t>
  </si>
  <si>
    <t>C00111, C00266</t>
  </si>
  <si>
    <t>4.1.2.25</t>
  </si>
  <si>
    <t>https://www.kegg.jp/entry/ec:4.1.2.25</t>
  </si>
  <si>
    <t>https://www.kegg.jp/entry/R03504</t>
  </si>
  <si>
    <t>C04874</t>
  </si>
  <si>
    <t>C00266, C01300</t>
  </si>
  <si>
    <t>4.1.2.4</t>
  </si>
  <si>
    <t>https://www.kegg.jp/entry/ec:4.1.2.4</t>
  </si>
  <si>
    <t>https://www.kegg.jp/entry/R01066</t>
  </si>
  <si>
    <t>C00673</t>
  </si>
  <si>
    <t>C00118, C00084</t>
  </si>
  <si>
    <t>4.1.2.50</t>
  </si>
  <si>
    <t>https://www.kegg.jp/entry/ec:4.1.2.50</t>
  </si>
  <si>
    <t>https://www.kegg.jp/entry/R09959</t>
  </si>
  <si>
    <t>C20239, C00084, C00536</t>
  </si>
  <si>
    <t>4.1.3.1</t>
  </si>
  <si>
    <t>https://www.kegg.jp/entry/ec:4.1.3.1</t>
  </si>
  <si>
    <t>https://www.kegg.jp/entry/R00479</t>
  </si>
  <si>
    <t>C00311</t>
  </si>
  <si>
    <t>C00042, C00048</t>
  </si>
  <si>
    <t>4.1.3.27</t>
  </si>
  <si>
    <t>https://www.kegg.jp/entry/ec:4.1.3.27</t>
  </si>
  <si>
    <t>https://www.kegg.jp/entry/R00985</t>
  </si>
  <si>
    <t>C00108, C00022, C00001</t>
  </si>
  <si>
    <t>https://www.kegg.jp/entry/R00986</t>
  </si>
  <si>
    <t>C00108, C00022, C00025</t>
  </si>
  <si>
    <t>4.1.3.30</t>
  </si>
  <si>
    <t>https://www.kegg.jp/entry/ec:4.1.3.30</t>
  </si>
  <si>
    <t>https://www.kegg.jp/entry/R00409</t>
  </si>
  <si>
    <t>C04593</t>
  </si>
  <si>
    <t>C00022, C00042</t>
  </si>
  <si>
    <t>4.1.3.36</t>
  </si>
  <si>
    <t>https://www.kegg.jp/entry/ec:4.1.3.36</t>
  </si>
  <si>
    <t>https://www.kegg.jp/entry/R04150</t>
  </si>
  <si>
    <t>C03160</t>
  </si>
  <si>
    <t>C03657, C00010</t>
  </si>
  <si>
    <t>https://www.kegg.jp/entry/R07263</t>
  </si>
  <si>
    <t>C15547, C00001</t>
  </si>
  <si>
    <t>4.1.3.38</t>
  </si>
  <si>
    <t>https://www.kegg.jp/entry/ec:4.1.3.38</t>
  </si>
  <si>
    <t>https://www.kegg.jp/entry/R05553</t>
  </si>
  <si>
    <t>C11355</t>
  </si>
  <si>
    <t>C00568, C00022</t>
  </si>
  <si>
    <t>4.1.3.4</t>
  </si>
  <si>
    <t>https://www.kegg.jp/entry/ec:4.1.3.4</t>
  </si>
  <si>
    <t>https://www.kegg.jp/entry/R01360</t>
  </si>
  <si>
    <t>C00356</t>
  </si>
  <si>
    <t>C00024, C00164</t>
  </si>
  <si>
    <t>https://www.kegg.jp/entry/R08090</t>
  </si>
  <si>
    <t>C04675</t>
  </si>
  <si>
    <t>C16466, C00033</t>
  </si>
  <si>
    <t>4.1.99.12</t>
  </si>
  <si>
    <t>https://www.kegg.jp/entry/ec:4.1.99.12</t>
  </si>
  <si>
    <t>https://www.kegg.jp/entry/R07281</t>
  </si>
  <si>
    <t>C00199</t>
  </si>
  <si>
    <t>C15556, C00058</t>
  </si>
  <si>
    <t>4.1.99.14</t>
  </si>
  <si>
    <t>https://www.kegg.jp/entry/ec:4.1.99.14</t>
  </si>
  <si>
    <t>4.1.99.17</t>
  </si>
  <si>
    <t>https://www.kegg.jp/entry/ec:4.1.99.17</t>
  </si>
  <si>
    <t>https://www.kegg.jp/entry/R03472</t>
  </si>
  <si>
    <t>C03373, C00019</t>
  </si>
  <si>
    <t>C04556, C05198, C00073, C00058, C00237</t>
  </si>
  <si>
    <t>4.1.99.22</t>
  </si>
  <si>
    <t>https://www.kegg.jp/entry/ec:4.1.99.22</t>
  </si>
  <si>
    <t>https://www.kegg.jp/entry/R09394</t>
  </si>
  <si>
    <t>C00044, C00019, C00030</t>
  </si>
  <si>
    <t>C21310, C05198, C00073, C00028</t>
  </si>
  <si>
    <t>4.1.99.3</t>
  </si>
  <si>
    <t>https://www.kegg.jp/entry/ec:4.1.99.3</t>
  </si>
  <si>
    <t>https://www.kegg.jp/entry/R00034</t>
  </si>
  <si>
    <t>C03103</t>
  </si>
  <si>
    <t>C08249</t>
  </si>
  <si>
    <t>https://www.kegg.jp/entry/R08765</t>
  </si>
  <si>
    <t>C17509</t>
  </si>
  <si>
    <t>C17510</t>
  </si>
  <si>
    <t>4.2.1.10</t>
  </si>
  <si>
    <t>https://www.kegg.jp/entry/ec:4.2.1.10</t>
  </si>
  <si>
    <t>https://www.kegg.jp/entry/R03084</t>
  </si>
  <si>
    <t>C00944</t>
  </si>
  <si>
    <t>C02637, C00001</t>
  </si>
  <si>
    <t>4.2.1.109</t>
  </si>
  <si>
    <t>https://www.kegg.jp/entry/ec:4.2.1.109</t>
  </si>
  <si>
    <t>https://www.kegg.jp/entry/R07392</t>
  </si>
  <si>
    <t>C04582</t>
  </si>
  <si>
    <t>C15650, C00001</t>
  </si>
  <si>
    <t>4.2.1.11</t>
  </si>
  <si>
    <t>https://www.kegg.jp/entry/ec:4.2.1.11</t>
  </si>
  <si>
    <t>https://www.kegg.jp/entry/R00658</t>
  </si>
  <si>
    <t>C00631</t>
  </si>
  <si>
    <t>C00074, C00001</t>
  </si>
  <si>
    <t>https://www.kegg.jp/entry/R04206</t>
  </si>
  <si>
    <t>C03356</t>
  </si>
  <si>
    <t>C04309, C00001</t>
  </si>
  <si>
    <t>4.2.1.113</t>
  </si>
  <si>
    <t>https://www.kegg.jp/entry/ec:4.2.1.113</t>
  </si>
  <si>
    <t>https://www.kegg.jp/entry/R04031</t>
  </si>
  <si>
    <t>C02730, C00001</t>
  </si>
  <si>
    <t>C05817</t>
  </si>
  <si>
    <t>4.2.1.126</t>
  </si>
  <si>
    <t>https://www.kegg.jp/entry/ec:4.2.1.126</t>
  </si>
  <si>
    <t>https://www.kegg.jp/entry/R08555</t>
  </si>
  <si>
    <t>C00256, C00357</t>
  </si>
  <si>
    <t>C16698, C00001</t>
  </si>
  <si>
    <t>4.2.1.17</t>
  </si>
  <si>
    <t>https://www.kegg.jp/entry/ec:4.2.1.17</t>
  </si>
  <si>
    <t>https://www.kegg.jp/entry/R02685</t>
  </si>
  <si>
    <t>C00640</t>
  </si>
  <si>
    <t>C00658, C00001</t>
  </si>
  <si>
    <t>https://www.kegg.jp/entry/R03026</t>
  </si>
  <si>
    <t>C01144</t>
  </si>
  <si>
    <t>C00877, C00001</t>
  </si>
  <si>
    <t>https://www.kegg.jp/entry/R03045</t>
  </si>
  <si>
    <t>C05668</t>
  </si>
  <si>
    <t>C00894, C00001</t>
  </si>
  <si>
    <t>https://www.kegg.jp/entry/R03224</t>
  </si>
  <si>
    <t>C01086</t>
  </si>
  <si>
    <t>C01122, C00001</t>
  </si>
  <si>
    <t>https://www.kegg.jp/entry/R04137</t>
  </si>
  <si>
    <t>C05998</t>
  </si>
  <si>
    <t>C03069, C00001</t>
  </si>
  <si>
    <t>https://www.kegg.jp/entry/R04170</t>
  </si>
  <si>
    <t>C05262</t>
  </si>
  <si>
    <t>C03221, C00001</t>
  </si>
  <si>
    <t>https://www.kegg.jp/entry/R04204</t>
  </si>
  <si>
    <t>C04405</t>
  </si>
  <si>
    <t>C03345, C00001</t>
  </si>
  <si>
    <t>https://www.kegg.jp/entry/R04224</t>
  </si>
  <si>
    <t>C03460, C00001</t>
  </si>
  <si>
    <t>C06000</t>
  </si>
  <si>
    <t>https://www.kegg.jp/entry/R04738</t>
  </si>
  <si>
    <t>C05258</t>
  </si>
  <si>
    <t>C05272, C00001</t>
  </si>
  <si>
    <t>https://www.kegg.jp/entry/R04740</t>
  </si>
  <si>
    <t>C05260</t>
  </si>
  <si>
    <t>C05273, C00001</t>
  </si>
  <si>
    <t>https://www.kegg.jp/entry/R04744</t>
  </si>
  <si>
    <t>C05264</t>
  </si>
  <si>
    <t>C05275, C00001</t>
  </si>
  <si>
    <t>https://www.kegg.jp/entry/R04746</t>
  </si>
  <si>
    <t>C05266</t>
  </si>
  <si>
    <t>C05276, C00001</t>
  </si>
  <si>
    <t>https://www.kegg.jp/entry/R04749</t>
  </si>
  <si>
    <t>C05268</t>
  </si>
  <si>
    <t>C05271, C00001</t>
  </si>
  <si>
    <t>https://www.kegg.jp/entry/R05595</t>
  </si>
  <si>
    <t>C05116</t>
  </si>
  <si>
    <t>https://www.kegg.jp/entry/R06411</t>
  </si>
  <si>
    <t>C11946, C00001</t>
  </si>
  <si>
    <t>C11947</t>
  </si>
  <si>
    <t>https://www.kegg.jp/entry/R06412</t>
  </si>
  <si>
    <t>C11945, C00001</t>
  </si>
  <si>
    <t>https://www.kegg.jp/entry/R06942</t>
  </si>
  <si>
    <t>C14144, C00001</t>
  </si>
  <si>
    <t>C14145</t>
  </si>
  <si>
    <t>https://www.kegg.jp/entry/R07314</t>
  </si>
  <si>
    <t>C05067, C00001</t>
  </si>
  <si>
    <t>https://www.kegg.jp/entry/R07889</t>
  </si>
  <si>
    <t>C16329</t>
  </si>
  <si>
    <t>C16328, C00001</t>
  </si>
  <si>
    <t>https://www.kegg.jp/entry/R07893</t>
  </si>
  <si>
    <t>C16333</t>
  </si>
  <si>
    <t>C16332, C00001</t>
  </si>
  <si>
    <t>https://www.kegg.jp/entry/R07897</t>
  </si>
  <si>
    <t>C16337</t>
  </si>
  <si>
    <t>C16336, C00001</t>
  </si>
  <si>
    <t>https://www.kegg.jp/entry/R08093</t>
  </si>
  <si>
    <t>C16468, C00001</t>
  </si>
  <si>
    <t>C16469</t>
  </si>
  <si>
    <t>4.2.1.19</t>
  </si>
  <si>
    <t>https://www.kegg.jp/entry/ec:4.2.1.19</t>
  </si>
  <si>
    <t>https://www.kegg.jp/entry/R03457</t>
  </si>
  <si>
    <t>C04666</t>
  </si>
  <si>
    <t>C01267, C00001</t>
  </si>
  <si>
    <t>4.2.1.2</t>
  </si>
  <si>
    <t>https://www.kegg.jp/entry/ec:4.2.1.2</t>
  </si>
  <si>
    <t>https://www.kegg.jp/entry/R01082</t>
  </si>
  <si>
    <t>C00149</t>
  </si>
  <si>
    <t>C00122, C00001</t>
  </si>
  <si>
    <t>4.2.1.20</t>
  </si>
  <si>
    <t>https://www.kegg.jp/entry/ec:4.2.1.20</t>
  </si>
  <si>
    <t>https://www.kegg.jp/entry/R00674</t>
  </si>
  <si>
    <t>C00065, C00463</t>
  </si>
  <si>
    <t>C00078, C00001</t>
  </si>
  <si>
    <t>https://www.kegg.jp/entry/R02340</t>
  </si>
  <si>
    <t>C03506</t>
  </si>
  <si>
    <t>C00463, C00118</t>
  </si>
  <si>
    <t>https://www.kegg.jp/entry/R02722</t>
  </si>
  <si>
    <t>C00065, C03506</t>
  </si>
  <si>
    <t>C00078, C00118, C00001</t>
  </si>
  <si>
    <t>4.2.1.24</t>
  </si>
  <si>
    <t>https://www.kegg.jp/entry/ec:4.2.1.24</t>
  </si>
  <si>
    <t>https://www.kegg.jp/entry/R00036</t>
  </si>
  <si>
    <t>C00430</t>
  </si>
  <si>
    <t>4.2.1.3</t>
  </si>
  <si>
    <t>https://www.kegg.jp/entry/ec:4.2.1.3</t>
  </si>
  <si>
    <t>https://www.kegg.jp/entry/R01324</t>
  </si>
  <si>
    <t>C00158</t>
  </si>
  <si>
    <t>https://www.kegg.jp/entry/R01325</t>
  </si>
  <si>
    <t>C00417, C00001</t>
  </si>
  <si>
    <t>https://www.kegg.jp/entry/R01900</t>
  </si>
  <si>
    <t>4.2.1.33</t>
  </si>
  <si>
    <t>https://www.kegg.jp/entry/ec:4.2.1.33</t>
  </si>
  <si>
    <t>https://www.kegg.jp/entry/R03968</t>
  </si>
  <si>
    <t>C02504</t>
  </si>
  <si>
    <t>C02631, C00001</t>
  </si>
  <si>
    <t>https://www.kegg.jp/entry/R04001</t>
  </si>
  <si>
    <t>C04411</t>
  </si>
  <si>
    <t>https://www.kegg.jp/entry/R10170</t>
  </si>
  <si>
    <t>4.2.1.45</t>
  </si>
  <si>
    <t>https://www.kegg.jp/entry/ec:4.2.1.45</t>
  </si>
  <si>
    <t>https://www.kegg.jp/entry/R02426</t>
  </si>
  <si>
    <t>C00501</t>
  </si>
  <si>
    <t>C01219, C00001</t>
  </si>
  <si>
    <t>4.2.1.46</t>
  </si>
  <si>
    <t>https://www.kegg.jp/entry/ec:4.2.1.46</t>
  </si>
  <si>
    <t>https://www.kegg.jp/entry/R06513</t>
  </si>
  <si>
    <t>C00842</t>
  </si>
  <si>
    <t>C11907, C00001</t>
  </si>
  <si>
    <t>4.2.1.49</t>
  </si>
  <si>
    <t>https://www.kegg.jp/entry/ec:4.2.1.49</t>
  </si>
  <si>
    <t>https://www.kegg.jp/entry/R02914</t>
  </si>
  <si>
    <t>C03680</t>
  </si>
  <si>
    <t>C00785, C00001</t>
  </si>
  <si>
    <t>4.2.1.51</t>
  </si>
  <si>
    <t>https://www.kegg.jp/entry/ec:4.2.1.51</t>
  </si>
  <si>
    <t>https://www.kegg.jp/entry/R00691</t>
  </si>
  <si>
    <t>C00826</t>
  </si>
  <si>
    <t>C00079, C00001, C00011</t>
  </si>
  <si>
    <t>https://www.kegg.jp/entry/R01373</t>
  </si>
  <si>
    <t>C00254</t>
  </si>
  <si>
    <t>C00166, C00001, C00011</t>
  </si>
  <si>
    <t>4.2.1.59</t>
  </si>
  <si>
    <t>https://www.kegg.jp/entry/ec:4.2.1.59</t>
  </si>
  <si>
    <t>https://www.kegg.jp/entry/R04428</t>
  </si>
  <si>
    <t>C04618</t>
  </si>
  <si>
    <t>C04246, C00001</t>
  </si>
  <si>
    <t>https://www.kegg.jp/entry/R04535</t>
  </si>
  <si>
    <t>C04619</t>
  </si>
  <si>
    <t>C05754, C00001</t>
  </si>
  <si>
    <t>https://www.kegg.jp/entry/R04537</t>
  </si>
  <si>
    <t>C04620</t>
  </si>
  <si>
    <t>C05751, C00001</t>
  </si>
  <si>
    <t>https://www.kegg.jp/entry/R04544</t>
  </si>
  <si>
    <t>C04633</t>
  </si>
  <si>
    <t>C05763, C00001</t>
  </si>
  <si>
    <t>https://www.kegg.jp/entry/R04568</t>
  </si>
  <si>
    <t>C04688</t>
  </si>
  <si>
    <t>C05760, C00001</t>
  </si>
  <si>
    <t>https://www.kegg.jp/entry/R04954</t>
  </si>
  <si>
    <t>C05747</t>
  </si>
  <si>
    <t>C05748, C00001</t>
  </si>
  <si>
    <t>https://www.kegg.jp/entry/R04965</t>
  </si>
  <si>
    <t>C05757</t>
  </si>
  <si>
    <t>C05758, C00001</t>
  </si>
  <si>
    <t>https://www.kegg.jp/entry/R10117</t>
  </si>
  <si>
    <t>C20373</t>
  </si>
  <si>
    <t>C20374, C00001</t>
  </si>
  <si>
    <t>https://www.kegg.jp/entry/R10121</t>
  </si>
  <si>
    <t>C20377</t>
  </si>
  <si>
    <t>C20378, C00001</t>
  </si>
  <si>
    <t>https://www.kegg.jp/entry/R10208</t>
  </si>
  <si>
    <t>C01271</t>
  </si>
  <si>
    <t>C00693, C00001</t>
  </si>
  <si>
    <t>4.2.1.75</t>
  </si>
  <si>
    <t>https://www.kegg.jp/entry/ec:4.2.1.75</t>
  </si>
  <si>
    <t>https://www.kegg.jp/entry/R03165</t>
  </si>
  <si>
    <t>C01024</t>
  </si>
  <si>
    <t>C01051, C00001</t>
  </si>
  <si>
    <t>4.2.1.79</t>
  </si>
  <si>
    <t>https://www.kegg.jp/entry/ec:4.2.1.79</t>
  </si>
  <si>
    <t>https://www.kegg.jp/entry/R04424</t>
  </si>
  <si>
    <t>C02225</t>
  </si>
  <si>
    <t>C04225, C00001</t>
  </si>
  <si>
    <t>4.2.1.9</t>
  </si>
  <si>
    <t>https://www.kegg.jp/entry/ec:4.2.1.9</t>
  </si>
  <si>
    <t>https://www.kegg.jp/entry/R01209</t>
  </si>
  <si>
    <t>C04039</t>
  </si>
  <si>
    <t>C00141, C00001</t>
  </si>
  <si>
    <t>https://www.kegg.jp/entry/R04441</t>
  </si>
  <si>
    <t>C04272</t>
  </si>
  <si>
    <t>https://www.kegg.jp/entry/R05070</t>
  </si>
  <si>
    <t>C06007</t>
  </si>
  <si>
    <t>C00671, C00001</t>
  </si>
  <si>
    <t>4.2.1.96</t>
  </si>
  <si>
    <t>https://www.kegg.jp/entry/ec:4.2.1.96</t>
  </si>
  <si>
    <t>https://www.kegg.jp/entry/R04734</t>
  </si>
  <si>
    <t>C15522</t>
  </si>
  <si>
    <t>C00268, C00001</t>
  </si>
  <si>
    <t>4.2.3.1</t>
  </si>
  <si>
    <t>https://www.kegg.jp/entry/ec:4.2.3.1</t>
  </si>
  <si>
    <t>https://www.kegg.jp/entry/R01466</t>
  </si>
  <si>
    <t>C01102, C00001</t>
  </si>
  <si>
    <t>C00188, C00009</t>
  </si>
  <si>
    <t>https://www.kegg.jp/entry/R05086</t>
  </si>
  <si>
    <t>C06055, C00001</t>
  </si>
  <si>
    <t>C06056, C00009</t>
  </si>
  <si>
    <t>4.2.3.3</t>
  </si>
  <si>
    <t>https://www.kegg.jp/entry/ec:4.2.3.3</t>
  </si>
  <si>
    <t>https://www.kegg.jp/entry/R01016</t>
  </si>
  <si>
    <t>C00111</t>
  </si>
  <si>
    <t>C00546, C00009</t>
  </si>
  <si>
    <t>4.2.3.4</t>
  </si>
  <si>
    <t>https://www.kegg.jp/entry/ec:4.2.3.4</t>
  </si>
  <si>
    <t>https://www.kegg.jp/entry/R03083</t>
  </si>
  <si>
    <t>C04691</t>
  </si>
  <si>
    <t>C00944, C00009</t>
  </si>
  <si>
    <t>4.2.3.5</t>
  </si>
  <si>
    <t>https://www.kegg.jp/entry/ec:4.2.3.5</t>
  </si>
  <si>
    <t>https://www.kegg.jp/entry/R01714</t>
  </si>
  <si>
    <t>C01269</t>
  </si>
  <si>
    <t>C00251, C00009</t>
  </si>
  <si>
    <t>4.2.99.20</t>
  </si>
  <si>
    <t>https://www.kegg.jp/entry/ec:4.2.99.20</t>
  </si>
  <si>
    <t>https://www.kegg.jp/entry/R08166</t>
  </si>
  <si>
    <t>C16519</t>
  </si>
  <si>
    <t>C05817, C00022</t>
  </si>
  <si>
    <t>4.3.1.1</t>
  </si>
  <si>
    <t>https://www.kegg.jp/entry/ec:4.3.1.1</t>
  </si>
  <si>
    <t>https://www.kegg.jp/entry/R00490</t>
  </si>
  <si>
    <t>C00122, C00014</t>
  </si>
  <si>
    <t>4.3.1.17</t>
  </si>
  <si>
    <t>https://www.kegg.jp/entry/ec:4.3.1.17</t>
  </si>
  <si>
    <t>https://www.kegg.jp/entry/R00220</t>
  </si>
  <si>
    <t>C00065</t>
  </si>
  <si>
    <t>C00022, C00014</t>
  </si>
  <si>
    <t>https://www.kegg.jp/entry/R00590</t>
  </si>
  <si>
    <t>C02218, C00001</t>
  </si>
  <si>
    <t>https://www.kegg.jp/entry/R06131</t>
  </si>
  <si>
    <t>C05167</t>
  </si>
  <si>
    <t>C00161, C00014</t>
  </si>
  <si>
    <t>https://www.kegg.jp/entry/R11099</t>
  </si>
  <si>
    <t>C20904, C00001</t>
  </si>
  <si>
    <t>https://www.kegg.jp/entry/R11100</t>
  </si>
  <si>
    <t>C02218</t>
  </si>
  <si>
    <t>C20904</t>
  </si>
  <si>
    <t>4.3.1.19</t>
  </si>
  <si>
    <t>https://www.kegg.jp/entry/ec:4.3.1.19</t>
  </si>
  <si>
    <t>https://www.kegg.jp/entry/R00996</t>
  </si>
  <si>
    <t>C00188</t>
  </si>
  <si>
    <t>C00109, C00014</t>
  </si>
  <si>
    <t>https://www.kegg.jp/entry/R11098</t>
  </si>
  <si>
    <t>C20905, C00001</t>
  </si>
  <si>
    <t>https://www.kegg.jp/entry/R11101</t>
  </si>
  <si>
    <t>C17234</t>
  </si>
  <si>
    <t>C20905</t>
  </si>
  <si>
    <t>4.3.1.3</t>
  </si>
  <si>
    <t>https://www.kegg.jp/entry/ec:4.3.1.3</t>
  </si>
  <si>
    <t>https://www.kegg.jp/entry/R01168</t>
  </si>
  <si>
    <t>C00135</t>
  </si>
  <si>
    <t>C00785, C00014</t>
  </si>
  <si>
    <t>https://www.kegg.jp/entry/R06132</t>
  </si>
  <si>
    <t>C11823, C00014</t>
  </si>
  <si>
    <t>4.3.2.1</t>
  </si>
  <si>
    <t>https://www.kegg.jp/entry/ec:4.3.2.1</t>
  </si>
  <si>
    <t>https://www.kegg.jp/entry/R01086</t>
  </si>
  <si>
    <t>C03406</t>
  </si>
  <si>
    <t>C00122, C00062</t>
  </si>
  <si>
    <t>4.3.2.10</t>
  </si>
  <si>
    <t>https://www.kegg.jp/entry/ec:4.3.2.10</t>
  </si>
  <si>
    <t>https://www.kegg.jp/entry/R04558</t>
  </si>
  <si>
    <t>C04916, C00064</t>
  </si>
  <si>
    <t>C04666, C04677, C00025</t>
  </si>
  <si>
    <t>https://www.kegg.jp/entry/R12152</t>
  </si>
  <si>
    <t>C04916, C00014</t>
  </si>
  <si>
    <t>C04677, C04666, C00001</t>
  </si>
  <si>
    <t>4.3.2.2</t>
  </si>
  <si>
    <t>https://www.kegg.jp/entry/ec:4.3.2.2</t>
  </si>
  <si>
    <t>https://www.kegg.jp/entry/R01083</t>
  </si>
  <si>
    <t>C03794</t>
  </si>
  <si>
    <t>C00122, C00020</t>
  </si>
  <si>
    <t>https://www.kegg.jp/entry/R04559</t>
  </si>
  <si>
    <t>C04823</t>
  </si>
  <si>
    <t>C00122, C04677</t>
  </si>
  <si>
    <t>https://www.kegg.jp/entry/R12851</t>
  </si>
  <si>
    <t>C22395</t>
  </si>
  <si>
    <t>C22441, C00122</t>
  </si>
  <si>
    <t>4.3.3.6</t>
  </si>
  <si>
    <t>https://www.kegg.jp/entry/ec:4.3.3.6</t>
  </si>
  <si>
    <t>https://www.kegg.jp/entry/R07456</t>
  </si>
  <si>
    <t>C00118, C00199, C00064</t>
  </si>
  <si>
    <t>C00018, C00025, C00009, C00001</t>
  </si>
  <si>
    <t>https://www.kegg.jp/entry/R10088</t>
  </si>
  <si>
    <t>C00117, C00118, C00014</t>
  </si>
  <si>
    <t>C00018, C00001, C00009</t>
  </si>
  <si>
    <t>https://www.kegg.jp/entry/R10089</t>
  </si>
  <si>
    <t>C00117, C00118, C00064</t>
  </si>
  <si>
    <t>C00018, C00025, C00001, C00009</t>
  </si>
  <si>
    <t>4.3.3.7</t>
  </si>
  <si>
    <t>https://www.kegg.jp/entry/ec:4.3.3.7</t>
  </si>
  <si>
    <t>https://www.kegg.jp/entry/R10147</t>
  </si>
  <si>
    <t>C00441, C00022</t>
  </si>
  <si>
    <t>C20258, C00001</t>
  </si>
  <si>
    <t>4.3.99.3</t>
  </si>
  <si>
    <t>https://www.kegg.jp/entry/ec:4.3.99.3</t>
  </si>
  <si>
    <t>https://www.kegg.jp/entry/R10002</t>
  </si>
  <si>
    <t>C20239</t>
  </si>
  <si>
    <t>C20248, C00014</t>
  </si>
  <si>
    <t>4.4.1.11</t>
  </si>
  <si>
    <t>https://www.kegg.jp/entry/ec:4.4.1.11</t>
  </si>
  <si>
    <t>https://www.kegg.jp/entry/R00654</t>
  </si>
  <si>
    <t>C00073, C00001</t>
  </si>
  <si>
    <t>C00409, C00014, C00109</t>
  </si>
  <si>
    <t>https://www.kegg.jp/entry/R04770</t>
  </si>
  <si>
    <t>C05335, C00001</t>
  </si>
  <si>
    <t>C05703, C00014, C00109</t>
  </si>
  <si>
    <t>https://www.kegg.jp/entry/R08635</t>
  </si>
  <si>
    <t>C00409, C17234</t>
  </si>
  <si>
    <t>4.4.1.13</t>
  </si>
  <si>
    <t>https://www.kegg.jp/entry/ec:4.4.1.13</t>
  </si>
  <si>
    <t>https://www.kegg.jp/entry/R00782</t>
  </si>
  <si>
    <t>C00097, C00001</t>
  </si>
  <si>
    <t>C00283, C00022, C00014</t>
  </si>
  <si>
    <t>https://www.kegg.jp/entry/R01286</t>
  </si>
  <si>
    <t>C02291, C00001</t>
  </si>
  <si>
    <t>C00155, C00014, C00022</t>
  </si>
  <si>
    <t>https://www.kegg.jp/entry/R02408</t>
  </si>
  <si>
    <t>C00491, C00001</t>
  </si>
  <si>
    <t>C00022, C00014, C01962</t>
  </si>
  <si>
    <t>https://www.kegg.jp/entry/R02953</t>
  </si>
  <si>
    <t>C02749, C00001</t>
  </si>
  <si>
    <t>C00812, C00014, C00022</t>
  </si>
  <si>
    <t>https://www.kegg.jp/entry/R03528</t>
  </si>
  <si>
    <t>C02882, C00001</t>
  </si>
  <si>
    <t>C01336, C00014, C00022</t>
  </si>
  <si>
    <t>https://www.kegg.jp/entry/R04941</t>
  </si>
  <si>
    <t>C05699, C00001</t>
  </si>
  <si>
    <t>C05698, C00014, C00022</t>
  </si>
  <si>
    <t>https://www.kegg.jp/entry/R09366</t>
  </si>
  <si>
    <t>C05689, C00001</t>
  </si>
  <si>
    <t>C00022, C00014, C05703</t>
  </si>
  <si>
    <t>https://www.kegg.jp/entry/R12188</t>
  </si>
  <si>
    <t>C00145, C00014, C00022</t>
  </si>
  <si>
    <t>4.4.1.15</t>
  </si>
  <si>
    <t>https://www.kegg.jp/entry/ec:4.4.1.15</t>
  </si>
  <si>
    <t>https://www.kegg.jp/entry/R01874</t>
  </si>
  <si>
    <t>C00793, C00001</t>
  </si>
  <si>
    <t>C00283, C00014, C00022</t>
  </si>
  <si>
    <t>4.4.1.21</t>
  </si>
  <si>
    <t>https://www.kegg.jp/entry/ec:4.4.1.21</t>
  </si>
  <si>
    <t>https://www.kegg.jp/entry/R01291</t>
  </si>
  <si>
    <t>C03539</t>
  </si>
  <si>
    <t>C11838, C00155</t>
  </si>
  <si>
    <t>4.6.1.12</t>
  </si>
  <si>
    <t>https://www.kegg.jp/entry/ec:4.6.1.12</t>
  </si>
  <si>
    <t>https://www.kegg.jp/entry/R05637</t>
  </si>
  <si>
    <t>C11436</t>
  </si>
  <si>
    <t>C11453, C00055</t>
  </si>
  <si>
    <t>4.6.1.13</t>
  </si>
  <si>
    <t>https://www.kegg.jp/entry/ec:4.6.1.13</t>
  </si>
  <si>
    <t>https://www.kegg.jp/entry/R03332</t>
  </si>
  <si>
    <t>C01194, C00001</t>
  </si>
  <si>
    <t>C01177, C00641</t>
  </si>
  <si>
    <t>https://www.kegg.jp/entry/R03364</t>
  </si>
  <si>
    <t>C01194</t>
  </si>
  <si>
    <t>C04299, C00641</t>
  </si>
  <si>
    <t>4.6.1.17</t>
  </si>
  <si>
    <t>https://www.kegg.jp/entry/ec:4.6.1.17</t>
  </si>
  <si>
    <t>https://www.kegg.jp/entry/R11372</t>
  </si>
  <si>
    <t>C21310, C00001</t>
  </si>
  <si>
    <t>C18239, C00013</t>
  </si>
  <si>
    <t>5.1.1.1</t>
  </si>
  <si>
    <t>https://www.kegg.jp/entry/ec:5.1.1.1</t>
  </si>
  <si>
    <t>https://www.kegg.jp/entry/R00401</t>
  </si>
  <si>
    <t>C00041</t>
  </si>
  <si>
    <t>C00133</t>
  </si>
  <si>
    <t>5.1.1.3</t>
  </si>
  <si>
    <t>https://www.kegg.jp/entry/ec:5.1.1.3</t>
  </si>
  <si>
    <t>https://www.kegg.jp/entry/R00260</t>
  </si>
  <si>
    <t>C00025</t>
  </si>
  <si>
    <t>C00217</t>
  </si>
  <si>
    <t>5.1.1.7</t>
  </si>
  <si>
    <t>https://www.kegg.jp/entry/ec:5.1.1.7</t>
  </si>
  <si>
    <t>https://www.kegg.jp/entry/R02735</t>
  </si>
  <si>
    <t>C00666</t>
  </si>
  <si>
    <t>5.1.3.1</t>
  </si>
  <si>
    <t>https://www.kegg.jp/entry/ec:5.1.3.1</t>
  </si>
  <si>
    <t>https://www.kegg.jp/entry/R01529</t>
  </si>
  <si>
    <t>C00231</t>
  </si>
  <si>
    <t>5.1.3.13</t>
  </si>
  <si>
    <t>https://www.kegg.jp/entry/ec:5.1.3.13</t>
  </si>
  <si>
    <t>https://www.kegg.jp/entry/R06514</t>
  </si>
  <si>
    <t>C11907</t>
  </si>
  <si>
    <t>C00688</t>
  </si>
  <si>
    <t>5.1.3.14</t>
  </si>
  <si>
    <t>https://www.kegg.jp/entry/ec:5.1.3.14</t>
  </si>
  <si>
    <t>https://www.kegg.jp/entry/R00414</t>
  </si>
  <si>
    <t>C00043, C00001</t>
  </si>
  <si>
    <t>C00645, C00015</t>
  </si>
  <si>
    <t>https://www.kegg.jp/entry/R00420</t>
  </si>
  <si>
    <t>C00043</t>
  </si>
  <si>
    <t>C01170</t>
  </si>
  <si>
    <t>https://www.kegg.jp/entry/R02707</t>
  </si>
  <si>
    <t>C01170, C00001</t>
  </si>
  <si>
    <t>5.1.3.2</t>
  </si>
  <si>
    <t>https://www.kegg.jp/entry/ec:5.1.3.2</t>
  </si>
  <si>
    <t>https://www.kegg.jp/entry/R00291</t>
  </si>
  <si>
    <t>C00029</t>
  </si>
  <si>
    <t>C00052</t>
  </si>
  <si>
    <t>https://www.kegg.jp/entry/R00418</t>
  </si>
  <si>
    <t>C00203</t>
  </si>
  <si>
    <t>https://www.kegg.jp/entry/R02984</t>
  </si>
  <si>
    <t>C02097</t>
  </si>
  <si>
    <t>5.2.1.8</t>
  </si>
  <si>
    <t>https://www.kegg.jp/entry/ec:5.2.1.8</t>
  </si>
  <si>
    <t>https://www.kegg.jp/entry/R04273</t>
  </si>
  <si>
    <t>C03798</t>
  </si>
  <si>
    <t>C03633</t>
  </si>
  <si>
    <t>5.3.1.1</t>
  </si>
  <si>
    <t>https://www.kegg.jp/entry/ec:5.3.1.1</t>
  </si>
  <si>
    <t>https://www.kegg.jp/entry/R01015</t>
  </si>
  <si>
    <t>C00118</t>
  </si>
  <si>
    <t>5.3.1.16</t>
  </si>
  <si>
    <t>https://www.kegg.jp/entry/ec:5.3.1.16</t>
  </si>
  <si>
    <t>https://www.kegg.jp/entry/R04640</t>
  </si>
  <si>
    <t>C04916</t>
  </si>
  <si>
    <t>5.3.1.23</t>
  </si>
  <si>
    <t>https://www.kegg.jp/entry/ec:5.3.1.23</t>
  </si>
  <si>
    <t>https://www.kegg.jp/entry/R04420</t>
  </si>
  <si>
    <t>C04188</t>
  </si>
  <si>
    <t>5.3.1.24</t>
  </si>
  <si>
    <t>https://www.kegg.jp/entry/ec:5.3.1.24</t>
  </si>
  <si>
    <t>https://www.kegg.jp/entry/R03509</t>
  </si>
  <si>
    <t>C04302</t>
  </si>
  <si>
    <t>5.3.1.6</t>
  </si>
  <si>
    <t>https://www.kegg.jp/entry/ec:5.3.1.6</t>
  </si>
  <si>
    <t>https://www.kegg.jp/entry/R01056</t>
  </si>
  <si>
    <t>C00117</t>
  </si>
  <si>
    <t>https://www.kegg.jp/entry/R09030</t>
  </si>
  <si>
    <t>C02962</t>
  </si>
  <si>
    <t>C18096</t>
  </si>
  <si>
    <t>5.3.1.9</t>
  </si>
  <si>
    <t>https://www.kegg.jp/entry/ec:5.3.1.9</t>
  </si>
  <si>
    <t>https://www.kegg.jp/entry/R00771</t>
  </si>
  <si>
    <t>C00092</t>
  </si>
  <si>
    <t>C00085</t>
  </si>
  <si>
    <t>https://www.kegg.jp/entry/R02739</t>
  </si>
  <si>
    <t>C00668</t>
  </si>
  <si>
    <t>C01172</t>
  </si>
  <si>
    <t>https://www.kegg.jp/entry/R02740</t>
  </si>
  <si>
    <t>C05345</t>
  </si>
  <si>
    <t>https://www.kegg.jp/entry/R03321</t>
  </si>
  <si>
    <t>https://www.kegg.jp/entry/R13199</t>
  </si>
  <si>
    <t>5.3.2.5</t>
  </si>
  <si>
    <t>https://www.kegg.jp/entry/ec:5.3.2.5</t>
  </si>
  <si>
    <t>https://www.kegg.jp/entry/R07393</t>
  </si>
  <si>
    <t>C15650</t>
  </si>
  <si>
    <t>C15651</t>
  </si>
  <si>
    <t>5.3.2.6</t>
  </si>
  <si>
    <t>https://www.kegg.jp/entry/ec:5.3.2.6</t>
  </si>
  <si>
    <t>https://www.kegg.jp/entry/R03966</t>
  </si>
  <si>
    <t>C02501</t>
  </si>
  <si>
    <t>C03453</t>
  </si>
  <si>
    <t>https://www.kegg.jp/entry/R05389</t>
  </si>
  <si>
    <t>C07478</t>
  </si>
  <si>
    <t>C07479</t>
  </si>
  <si>
    <t>5.3.3.2</t>
  </si>
  <si>
    <t>https://www.kegg.jp/entry/ec:5.3.3.2</t>
  </si>
  <si>
    <t>https://www.kegg.jp/entry/R01123</t>
  </si>
  <si>
    <t>C00129</t>
  </si>
  <si>
    <t>C00235</t>
  </si>
  <si>
    <t>5.4.2.10</t>
  </si>
  <si>
    <t>https://www.kegg.jp/entry/ec:5.4.2.10</t>
  </si>
  <si>
    <t>https://www.kegg.jp/entry/R02060</t>
  </si>
  <si>
    <t>C06156</t>
  </si>
  <si>
    <t>C00352</t>
  </si>
  <si>
    <t>5.4.2.11</t>
  </si>
  <si>
    <t>https://www.kegg.jp/entry/ec:5.4.2.11</t>
  </si>
  <si>
    <t>https://www.kegg.jp/entry/R01516</t>
  </si>
  <si>
    <t>C01159, C00615</t>
  </si>
  <si>
    <t>C00197, C04262</t>
  </si>
  <si>
    <t>https://www.kegg.jp/entry/R01518</t>
  </si>
  <si>
    <t>C00197</t>
  </si>
  <si>
    <t>5.4.2.12</t>
  </si>
  <si>
    <t>https://www.kegg.jp/entry/ec:5.4.2.12</t>
  </si>
  <si>
    <t>5.4.2.7</t>
  </si>
  <si>
    <t>https://www.kegg.jp/entry/ec:5.4.2.7</t>
  </si>
  <si>
    <t>https://www.kegg.jp/entry/R01057</t>
  </si>
  <si>
    <t>C00620</t>
  </si>
  <si>
    <t>https://www.kegg.jp/entry/R02749</t>
  </si>
  <si>
    <t>C00672</t>
  </si>
  <si>
    <t>5.4.3.2</t>
  </si>
  <si>
    <t>https://www.kegg.jp/entry/ec:5.4.3.2</t>
  </si>
  <si>
    <t>https://www.kegg.jp/entry/R00461</t>
  </si>
  <si>
    <t>C00047</t>
  </si>
  <si>
    <t>C01142</t>
  </si>
  <si>
    <t>5.4.3.8</t>
  </si>
  <si>
    <t>https://www.kegg.jp/entry/ec:5.4.3.8</t>
  </si>
  <si>
    <t>https://www.kegg.jp/entry/R02272</t>
  </si>
  <si>
    <t>C03741</t>
  </si>
  <si>
    <t>5.4.4.2</t>
  </si>
  <si>
    <t>https://www.kegg.jp/entry/ec:5.4.4.2</t>
  </si>
  <si>
    <t>https://www.kegg.jp/entry/R01717</t>
  </si>
  <si>
    <t>C00251</t>
  </si>
  <si>
    <t>C00885</t>
  </si>
  <si>
    <t>5.4.99.12</t>
  </si>
  <si>
    <t>https://www.kegg.jp/entry/ec:5.4.99.12</t>
  </si>
  <si>
    <t>https://www.kegg.jp/entry/R03020</t>
  </si>
  <si>
    <t>C00868</t>
  </si>
  <si>
    <t>C02764</t>
  </si>
  <si>
    <t>5.4.99.18</t>
  </si>
  <si>
    <t>https://www.kegg.jp/entry/ec:5.4.99.18</t>
  </si>
  <si>
    <t>https://www.kegg.jp/entry/R07405</t>
  </si>
  <si>
    <t>C15667</t>
  </si>
  <si>
    <t>5.4.99.21</t>
  </si>
  <si>
    <t>https://www.kegg.jp/entry/ec:5.4.99.21</t>
  </si>
  <si>
    <t>5.4.99.22</t>
  </si>
  <si>
    <t>https://www.kegg.jp/entry/ec:5.4.99.22</t>
  </si>
  <si>
    <t>5.4.99.25</t>
  </si>
  <si>
    <t>https://www.kegg.jp/entry/ec:5.4.99.25</t>
  </si>
  <si>
    <t>5.4.99.62</t>
  </si>
  <si>
    <t>https://www.kegg.jp/entry/ec:5.4.99.62</t>
  </si>
  <si>
    <t>https://www.kegg.jp/entry/R08247</t>
  </si>
  <si>
    <t>C08353</t>
  </si>
  <si>
    <t>C16639</t>
  </si>
  <si>
    <t>5.6.2.1</t>
  </si>
  <si>
    <t>https://www.kegg.jp/entry/ec:5.6.2.1</t>
  </si>
  <si>
    <t>5.6.2.2</t>
  </si>
  <si>
    <t>https://www.kegg.jp/entry/ec:5.6.2.2</t>
  </si>
  <si>
    <t>6.1.1.1</t>
  </si>
  <si>
    <t>https://www.kegg.jp/entry/ec:6.1.1.1</t>
  </si>
  <si>
    <t>https://www.kegg.jp/entry/R02918</t>
  </si>
  <si>
    <t>C00002, C00082, C00787</t>
  </si>
  <si>
    <t>C00020, C00013, C02839</t>
  </si>
  <si>
    <t>6.1.1.10</t>
  </si>
  <si>
    <t>https://www.kegg.jp/entry/ec:6.1.1.10</t>
  </si>
  <si>
    <t>https://www.kegg.jp/entry/R03659</t>
  </si>
  <si>
    <t>C00002, C00073, C01647</t>
  </si>
  <si>
    <t>C00020, C00013, C02430</t>
  </si>
  <si>
    <t>https://www.kegg.jp/entry/R04773</t>
  </si>
  <si>
    <t>C00002, C05335, C01647</t>
  </si>
  <si>
    <t>C00020, C00013, C05336</t>
  </si>
  <si>
    <t>6.1.1.12</t>
  </si>
  <si>
    <t>https://www.kegg.jp/entry/ec:6.1.1.12</t>
  </si>
  <si>
    <t>https://www.kegg.jp/entry/R05577</t>
  </si>
  <si>
    <t>C01638, C00049, C00002</t>
  </si>
  <si>
    <t>C02984, C00013, C00020</t>
  </si>
  <si>
    <t>6.1.1.13</t>
  </si>
  <si>
    <t>https://www.kegg.jp/entry/ec:6.1.1.13</t>
  </si>
  <si>
    <t>https://www.kegg.jp/entry/R02718</t>
  </si>
  <si>
    <t>C00002, C00133, C00653</t>
  </si>
  <si>
    <t>C00020, C00013, C04260</t>
  </si>
  <si>
    <t>https://www.kegg.jp/entry/R12812</t>
  </si>
  <si>
    <t>C00002, C00133, G13185</t>
  </si>
  <si>
    <t>C00020, C00013, G13186</t>
  </si>
  <si>
    <t>https://www.kegg.jp/entry/R12863</t>
  </si>
  <si>
    <t>C00002, C00133, G13167</t>
  </si>
  <si>
    <t>C00020, C00013, G13180</t>
  </si>
  <si>
    <t>https://www.kegg.jp/entry/R12867</t>
  </si>
  <si>
    <t>C00002, C00133, G13170</t>
  </si>
  <si>
    <t>C00020, C00013, G13171</t>
  </si>
  <si>
    <t>https://www.kegg.jp/entry/R12871</t>
  </si>
  <si>
    <t>C00002, C00133, G13174</t>
  </si>
  <si>
    <t>C00020, C00013, G13175</t>
  </si>
  <si>
    <t>https://www.kegg.jp/entry/R12873</t>
  </si>
  <si>
    <t>C00002, C00133, G13176</t>
  </si>
  <si>
    <t>C00020, C00013, G13177</t>
  </si>
  <si>
    <t>https://www.kegg.jp/entry/R12875</t>
  </si>
  <si>
    <t>C00002, C00133, G13178</t>
  </si>
  <si>
    <t>C00020, C00013, G13179</t>
  </si>
  <si>
    <t>https://www.kegg.jp/entry/R12904</t>
  </si>
  <si>
    <t>C00002, C00133, G13192</t>
  </si>
  <si>
    <t>C00020, C00013, G13193</t>
  </si>
  <si>
    <t>6.1.1.15</t>
  </si>
  <si>
    <t>https://www.kegg.jp/entry/ec:6.1.1.15</t>
  </si>
  <si>
    <t>https://www.kegg.jp/entry/R03661</t>
  </si>
  <si>
    <t>C00002, C00148, C01649</t>
  </si>
  <si>
    <t>C00020, C00013, C02702</t>
  </si>
  <si>
    <t>6.1.1.16</t>
  </si>
  <si>
    <t>https://www.kegg.jp/entry/ec:6.1.1.16</t>
  </si>
  <si>
    <t>https://www.kegg.jp/entry/R03650</t>
  </si>
  <si>
    <t>C00002, C00097, C01639</t>
  </si>
  <si>
    <t>C00020, C00013, C03125</t>
  </si>
  <si>
    <t>6.1.1.17</t>
  </si>
  <si>
    <t>https://www.kegg.jp/entry/ec:6.1.1.17</t>
  </si>
  <si>
    <t>https://www.kegg.jp/entry/R05578</t>
  </si>
  <si>
    <t>C01641, C00025, C00002</t>
  </si>
  <si>
    <t>C02987, C00013, C00020</t>
  </si>
  <si>
    <t>6.1.1.19</t>
  </si>
  <si>
    <t>https://www.kegg.jp/entry/ec:6.1.1.19</t>
  </si>
  <si>
    <t>https://www.kegg.jp/entry/R03646</t>
  </si>
  <si>
    <t>C00002, C00062, C01636</t>
  </si>
  <si>
    <t>C00020, C00013, C02163</t>
  </si>
  <si>
    <t>6.1.1.2</t>
  </si>
  <si>
    <t>https://www.kegg.jp/entry/ec:6.1.1.2</t>
  </si>
  <si>
    <t>https://www.kegg.jp/entry/R03664</t>
  </si>
  <si>
    <t>C00002, C00078, C01652</t>
  </si>
  <si>
    <t>C00020, C00013, C03512</t>
  </si>
  <si>
    <t>6.1.1.20</t>
  </si>
  <si>
    <t>https://www.kegg.jp/entry/ec:6.1.1.20</t>
  </si>
  <si>
    <t>https://www.kegg.jp/entry/R03660</t>
  </si>
  <si>
    <t>C00002, C00079, C01648</t>
  </si>
  <si>
    <t>C00020, C00013, C03511</t>
  </si>
  <si>
    <t>6.1.1.21</t>
  </si>
  <si>
    <t>https://www.kegg.jp/entry/ec:6.1.1.21</t>
  </si>
  <si>
    <t>https://www.kegg.jp/entry/R03655</t>
  </si>
  <si>
    <t>C00002, C00135, C01643</t>
  </si>
  <si>
    <t>C00020, C00013, C02988</t>
  </si>
  <si>
    <t>6.1.1.22</t>
  </si>
  <si>
    <t>https://www.kegg.jp/entry/ec:6.1.1.22</t>
  </si>
  <si>
    <t>https://www.kegg.jp/entry/R03648</t>
  </si>
  <si>
    <t>C00002, C00152, C01637</t>
  </si>
  <si>
    <t>C00020, C00013, C03402</t>
  </si>
  <si>
    <t>6.1.1.23</t>
  </si>
  <si>
    <t>https://www.kegg.jp/entry/ec:6.1.1.23</t>
  </si>
  <si>
    <t>https://www.kegg.jp/entry/R03647</t>
  </si>
  <si>
    <t>C00002, C00049, C01637</t>
  </si>
  <si>
    <t>C00020, C00013, C06113</t>
  </si>
  <si>
    <t>6.1.1.3</t>
  </si>
  <si>
    <t>https://www.kegg.jp/entry/ec:6.1.1.3</t>
  </si>
  <si>
    <t>https://www.kegg.jp/entry/R03663</t>
  </si>
  <si>
    <t>C00002, C00188, C01651</t>
  </si>
  <si>
    <t>C00020, C00013, C02992</t>
  </si>
  <si>
    <t>6.1.1.4</t>
  </si>
  <si>
    <t>https://www.kegg.jp/entry/ec:6.1.1.4</t>
  </si>
  <si>
    <t>https://www.kegg.jp/entry/R03657</t>
  </si>
  <si>
    <t>C00002, C00123, C01645</t>
  </si>
  <si>
    <t>C00020, C00013, C02047</t>
  </si>
  <si>
    <t>6.1.1.5</t>
  </si>
  <si>
    <t>https://www.kegg.jp/entry/ec:6.1.1.5</t>
  </si>
  <si>
    <t>https://www.kegg.jp/entry/R03656</t>
  </si>
  <si>
    <t>C00002, C00407, C01644</t>
  </si>
  <si>
    <t>C00020, C00013, C03127</t>
  </si>
  <si>
    <t>6.1.1.6</t>
  </si>
  <si>
    <t>https://www.kegg.jp/entry/ec:6.1.1.6</t>
  </si>
  <si>
    <t>https://www.kegg.jp/entry/R03658</t>
  </si>
  <si>
    <t>C00002, C00047, C01646</t>
  </si>
  <si>
    <t>C00020, C00013, C01931</t>
  </si>
  <si>
    <t>6.1.1.7</t>
  </si>
  <si>
    <t>https://www.kegg.jp/entry/ec:6.1.1.7</t>
  </si>
  <si>
    <t>https://www.kegg.jp/entry/R03038</t>
  </si>
  <si>
    <t>C00002, C00041, C01635</t>
  </si>
  <si>
    <t>C00020, C00013, C00886</t>
  </si>
  <si>
    <t>6.1.1.9</t>
  </si>
  <si>
    <t>https://www.kegg.jp/entry/ec:6.1.1.9</t>
  </si>
  <si>
    <t>https://www.kegg.jp/entry/R03665</t>
  </si>
  <si>
    <t>C00002, C00183, C01653</t>
  </si>
  <si>
    <t>C00020, C00013, C02554</t>
  </si>
  <si>
    <t>6.2.1.1</t>
  </si>
  <si>
    <t>https://www.kegg.jp/entry/ec:6.2.1.1</t>
  </si>
  <si>
    <t>https://www.kegg.jp/entry/R00235</t>
  </si>
  <si>
    <t>C00002, C00033, C00010</t>
  </si>
  <si>
    <t>C00020, C00013, C00024</t>
  </si>
  <si>
    <t>https://www.kegg.jp/entry/R00236</t>
  </si>
  <si>
    <t>C05993, C00010</t>
  </si>
  <si>
    <t>C00020, C00024</t>
  </si>
  <si>
    <t>https://www.kegg.jp/entry/R00316</t>
  </si>
  <si>
    <t>C00002, C00033</t>
  </si>
  <si>
    <t>C00013, C05993</t>
  </si>
  <si>
    <t>https://www.kegg.jp/entry/R00925</t>
  </si>
  <si>
    <t>C00002, C00163, C00010</t>
  </si>
  <si>
    <t>C00020, C00013, C00100</t>
  </si>
  <si>
    <t>https://www.kegg.jp/entry/R00926</t>
  </si>
  <si>
    <t>C05983, C00010</t>
  </si>
  <si>
    <t>C00020, C00100</t>
  </si>
  <si>
    <t>https://www.kegg.jp/entry/R01354</t>
  </si>
  <si>
    <t>C00002, C00163</t>
  </si>
  <si>
    <t>C00013, C05983</t>
  </si>
  <si>
    <t>6.2.1.26</t>
  </si>
  <si>
    <t>https://www.kegg.jp/entry/ec:6.2.1.26</t>
  </si>
  <si>
    <t>https://www.kegg.jp/entry/R04030</t>
  </si>
  <si>
    <t>C00002, C02730, C00010</t>
  </si>
  <si>
    <t>C00020, C00013, C03160</t>
  </si>
  <si>
    <t>6.2.1.3</t>
  </si>
  <si>
    <t>https://www.kegg.jp/entry/ec:6.2.1.3</t>
  </si>
  <si>
    <t>https://www.kegg.jp/entry/R00390</t>
  </si>
  <si>
    <t>C00002, C00638, C00010</t>
  </si>
  <si>
    <t>C00020, C00013, C02843</t>
  </si>
  <si>
    <t>https://www.kegg.jp/entry/R01280</t>
  </si>
  <si>
    <t>C00002, C00249, C00010</t>
  </si>
  <si>
    <t>C00020, C00154, C00013</t>
  </si>
  <si>
    <t>6.2.1.5</t>
  </si>
  <si>
    <t>https://www.kegg.jp/entry/ec:6.2.1.5</t>
  </si>
  <si>
    <t>https://www.kegg.jp/entry/R00405</t>
  </si>
  <si>
    <t>C00002, C00042, C00010</t>
  </si>
  <si>
    <t>C00008, C00009, C00091</t>
  </si>
  <si>
    <t>https://www.kegg.jp/entry/R02404</t>
  </si>
  <si>
    <t>C00002, C00490, C00010</t>
  </si>
  <si>
    <t>C00008, C00009, C00531</t>
  </si>
  <si>
    <t>6.3.1.1</t>
  </si>
  <si>
    <t>https://www.kegg.jp/entry/ec:6.3.1.1</t>
  </si>
  <si>
    <t>https://www.kegg.jp/entry/R00483</t>
  </si>
  <si>
    <t>C00002, C00049, C00014</t>
  </si>
  <si>
    <t>C00020, C00013, C00152</t>
  </si>
  <si>
    <t>6.3.1.2</t>
  </si>
  <si>
    <t>https://www.kegg.jp/entry/ec:6.3.1.2</t>
  </si>
  <si>
    <t>https://www.kegg.jp/entry/R00253</t>
  </si>
  <si>
    <t>C00002, C00025, C00014</t>
  </si>
  <si>
    <t>C00008, C00009, C00064</t>
  </si>
  <si>
    <t>6.3.1.20</t>
  </si>
  <si>
    <t>https://www.kegg.jp/entry/ec:6.3.1.20</t>
  </si>
  <si>
    <t>https://www.kegg.jp/entry/R07770</t>
  </si>
  <si>
    <t>C00002, C16241</t>
  </si>
  <si>
    <t>C00013, C16238</t>
  </si>
  <si>
    <t>https://www.kegg.jp/entry/R07771</t>
  </si>
  <si>
    <t>C16238, C16240</t>
  </si>
  <si>
    <t>C16237, C00020</t>
  </si>
  <si>
    <t>https://www.kegg.jp/entry/R11143</t>
  </si>
  <si>
    <t>C00002, C16241, C16240</t>
  </si>
  <si>
    <t>C16237, C00020, C00013</t>
  </si>
  <si>
    <t>https://www.kegg.jp/entry/R12429</t>
  </si>
  <si>
    <t>C00002, C06423, C22158</t>
  </si>
  <si>
    <t>C22160, C00020, C00013</t>
  </si>
  <si>
    <t>https://www.kegg.jp/entry/R12433</t>
  </si>
  <si>
    <t>C00002, C16241, C22157</t>
  </si>
  <si>
    <t>C02051, C00020, C00013</t>
  </si>
  <si>
    <t>https://www.kegg.jp/entry/R12449</t>
  </si>
  <si>
    <t>C00002, C16241, C22158</t>
  </si>
  <si>
    <t>C15972, C00020, C00013</t>
  </si>
  <si>
    <t>6.3.1.5</t>
  </si>
  <si>
    <t>https://www.kegg.jp/entry/ec:6.3.1.5</t>
  </si>
  <si>
    <t>https://www.kegg.jp/entry/R00189</t>
  </si>
  <si>
    <t>C00002, C00857, C00014</t>
  </si>
  <si>
    <t>C00020, C00013, C00003</t>
  </si>
  <si>
    <t>6.3.2.10</t>
  </si>
  <si>
    <t>https://www.kegg.jp/entry/ec:6.3.2.10</t>
  </si>
  <si>
    <t>https://www.kegg.jp/entry/R04573</t>
  </si>
  <si>
    <t>C00002, C05892, C00993</t>
  </si>
  <si>
    <t>C00008, C00009, C04702</t>
  </si>
  <si>
    <t>https://www.kegg.jp/entry/R04617</t>
  </si>
  <si>
    <t>C00002, C04877, C00993</t>
  </si>
  <si>
    <t>C00008, C00009, C04882</t>
  </si>
  <si>
    <t>6.3.2.12</t>
  </si>
  <si>
    <t>https://www.kegg.jp/entry/ec:6.3.2.12</t>
  </si>
  <si>
    <t>https://www.kegg.jp/entry/R01654</t>
  </si>
  <si>
    <t>C00002, C00234, C00025</t>
  </si>
  <si>
    <t>C00008, C00009, C05928</t>
  </si>
  <si>
    <t>https://www.kegg.jp/entry/R02237</t>
  </si>
  <si>
    <t>C00002, C00921, C00025</t>
  </si>
  <si>
    <t>C00008, C00009, C00415</t>
  </si>
  <si>
    <t>6.3.2.13</t>
  </si>
  <si>
    <t>https://www.kegg.jp/entry/ec:6.3.2.13</t>
  </si>
  <si>
    <t>https://www.kegg.jp/entry/R02788</t>
  </si>
  <si>
    <t>C00002, C00692, C00680</t>
  </si>
  <si>
    <t>C00008, C00009, C04877</t>
  </si>
  <si>
    <t>6.3.2.17</t>
  </si>
  <si>
    <t>https://www.kegg.jp/entry/ec:6.3.2.17</t>
  </si>
  <si>
    <t>https://www.kegg.jp/entry/R00942</t>
  </si>
  <si>
    <t>C00002, C00101, C00025</t>
  </si>
  <si>
    <t>C00008, C00009, C09332</t>
  </si>
  <si>
    <t>https://www.kegg.jp/entry/R04241</t>
  </si>
  <si>
    <t>C00002, C03541, C00025</t>
  </si>
  <si>
    <t>C00008, C00009, C03541</t>
  </si>
  <si>
    <t>https://www.kegg.jp/entry/R05197</t>
  </si>
  <si>
    <t>C00002, C05928, C00025</t>
  </si>
  <si>
    <t>C00008, C00009, C05929</t>
  </si>
  <si>
    <t>6.3.2.4</t>
  </si>
  <si>
    <t>https://www.kegg.jp/entry/ec:6.3.2.4</t>
  </si>
  <si>
    <t>https://www.kegg.jp/entry/R01150</t>
  </si>
  <si>
    <t>C00002, C00133</t>
  </si>
  <si>
    <t>C00008, C00009, C00993</t>
  </si>
  <si>
    <t>6.3.2.5</t>
  </si>
  <si>
    <t>https://www.kegg.jp/entry/ec:6.3.2.5</t>
  </si>
  <si>
    <t>https://www.kegg.jp/entry/R04231</t>
  </si>
  <si>
    <t>C00063, C03492, C00097</t>
  </si>
  <si>
    <t>C00055, C00013, C04352</t>
  </si>
  <si>
    <t>6.3.2.6</t>
  </si>
  <si>
    <t>https://www.kegg.jp/entry/ec:6.3.2.6</t>
  </si>
  <si>
    <t>https://www.kegg.jp/entry/R04591</t>
  </si>
  <si>
    <t>C00002, C04751, C00049</t>
  </si>
  <si>
    <t>C00008, C00009, C04823</t>
  </si>
  <si>
    <t>6.3.2.8</t>
  </si>
  <si>
    <t>https://www.kegg.jp/entry/ec:6.3.2.8</t>
  </si>
  <si>
    <t>https://www.kegg.jp/entry/R03193</t>
  </si>
  <si>
    <t>C00002, C01050, C00041</t>
  </si>
  <si>
    <t>C00008, C00009, C01212</t>
  </si>
  <si>
    <t>6.3.2.9</t>
  </si>
  <si>
    <t>https://www.kegg.jp/entry/ec:6.3.2.9</t>
  </si>
  <si>
    <t>https://www.kegg.jp/entry/R02783</t>
  </si>
  <si>
    <t>C00002, C01212, C00217</t>
  </si>
  <si>
    <t>C00008, C00009, C00692</t>
  </si>
  <si>
    <t>6.3.3.1</t>
  </si>
  <si>
    <t>https://www.kegg.jp/entry/ec:6.3.3.1</t>
  </si>
  <si>
    <t>https://www.kegg.jp/entry/R04208</t>
  </si>
  <si>
    <t>C00002, C04640</t>
  </si>
  <si>
    <t>C00008, C00009, C03373</t>
  </si>
  <si>
    <t>6.3.3.2</t>
  </si>
  <si>
    <t>https://www.kegg.jp/entry/ec:6.3.3.2</t>
  </si>
  <si>
    <t>https://www.kegg.jp/entry/R02301</t>
  </si>
  <si>
    <t>C00002, C03479, C00080</t>
  </si>
  <si>
    <t>C00008, C00009, C00445</t>
  </si>
  <si>
    <t>6.3.3.3</t>
  </si>
  <si>
    <t>https://www.kegg.jp/entry/ec:6.3.3.3</t>
  </si>
  <si>
    <t>https://www.kegg.jp/entry/R03182</t>
  </si>
  <si>
    <t>C00002, C01037, C00011</t>
  </si>
  <si>
    <t>C00008, C00009, C01909</t>
  </si>
  <si>
    <t>https://www.kegg.jp/entry/R12933</t>
  </si>
  <si>
    <t>C01037, C00011</t>
  </si>
  <si>
    <t>C22458</t>
  </si>
  <si>
    <t>https://www.kegg.jp/entry/R12934</t>
  </si>
  <si>
    <t>C22458, C00002</t>
  </si>
  <si>
    <t>C01909, C00008, C00009</t>
  </si>
  <si>
    <t>6.3.4.13</t>
  </si>
  <si>
    <t>https://www.kegg.jp/entry/ec:6.3.4.13</t>
  </si>
  <si>
    <t>https://www.kegg.jp/entry/R04144</t>
  </si>
  <si>
    <t>C00002, C03090, C00037</t>
  </si>
  <si>
    <t>C00008, C00009, C03838</t>
  </si>
  <si>
    <t>6.3.4.14</t>
  </si>
  <si>
    <t>https://www.kegg.jp/entry/ec:6.3.4.14</t>
  </si>
  <si>
    <t>https://www.kegg.jp/entry/R04385</t>
  </si>
  <si>
    <t>C00002, C06250, C00288</t>
  </si>
  <si>
    <t>C00008, C00009, C04419</t>
  </si>
  <si>
    <t>6.3.4.15</t>
  </si>
  <si>
    <t>https://www.kegg.jp/entry/ec:6.3.4.15</t>
  </si>
  <si>
    <t>https://www.kegg.jp/entry/R01074</t>
  </si>
  <si>
    <t>C00002, C00120</t>
  </si>
  <si>
    <t>C00013, C05921</t>
  </si>
  <si>
    <t>https://www.kegg.jp/entry/R04562</t>
  </si>
  <si>
    <t>C00002, C00120, C04735</t>
  </si>
  <si>
    <t>C00020, C00013, C04681</t>
  </si>
  <si>
    <t>https://www.kegg.jp/entry/R05145</t>
  </si>
  <si>
    <t>C05921, C06249</t>
  </si>
  <si>
    <t>C00020, C06250</t>
  </si>
  <si>
    <t>6.3.4.18</t>
  </si>
  <si>
    <t>https://www.kegg.jp/entry/ec:6.3.4.18</t>
  </si>
  <si>
    <t>https://www.kegg.jp/entry/R07404</t>
  </si>
  <si>
    <t>C00002, C03373, C00288</t>
  </si>
  <si>
    <t>C00008, C00009, C15667</t>
  </si>
  <si>
    <t>6.3.4.19</t>
  </si>
  <si>
    <t>https://www.kegg.jp/entry/ec:6.3.4.19</t>
  </si>
  <si>
    <t>https://www.kegg.jp/entry/R09597</t>
  </si>
  <si>
    <t>C19722, C00047, C00002</t>
  </si>
  <si>
    <t>C19723, C00020, C00013, C00001</t>
  </si>
  <si>
    <t>6.3.4.2</t>
  </si>
  <si>
    <t>https://www.kegg.jp/entry/ec:6.3.4.2</t>
  </si>
  <si>
    <t>https://www.kegg.jp/entry/R00571</t>
  </si>
  <si>
    <t>C00002, C00075, C00014</t>
  </si>
  <si>
    <t>C00008, C00009, C00063</t>
  </si>
  <si>
    <t>https://www.kegg.jp/entry/R00573</t>
  </si>
  <si>
    <t>C00002, C00075, C00064, C00001</t>
  </si>
  <si>
    <t>C00008, C00009, C00063, C00025</t>
  </si>
  <si>
    <t>6.3.4.20</t>
  </si>
  <si>
    <t>https://www.kegg.jp/entry/ec:6.3.4.20</t>
  </si>
  <si>
    <t>https://www.kegg.jp/entry/R09978</t>
  </si>
  <si>
    <t>C20248, C00014, C00002</t>
  </si>
  <si>
    <t>C15996, C00008, C00009, C00001</t>
  </si>
  <si>
    <t>6.3.4.21</t>
  </si>
  <si>
    <t>https://www.kegg.jp/entry/ec:6.3.4.21</t>
  </si>
  <si>
    <t>https://www.kegg.jp/entry/R01724</t>
  </si>
  <si>
    <t>C01185, C00013, C00008, C00009</t>
  </si>
  <si>
    <t>C00253, C00119, C00002, C00001, C00080</t>
  </si>
  <si>
    <t>6.3.4.3</t>
  </si>
  <si>
    <t>https://www.kegg.jp/entry/ec:6.3.4.3</t>
  </si>
  <si>
    <t>https://www.kegg.jp/entry/R00943</t>
  </si>
  <si>
    <t>C00101, C00058, C00002</t>
  </si>
  <si>
    <t>C00008, C00009, C00234</t>
  </si>
  <si>
    <t>6.3.4.4</t>
  </si>
  <si>
    <t>https://www.kegg.jp/entry/ec:6.3.4.4</t>
  </si>
  <si>
    <t>https://www.kegg.jp/entry/R01135</t>
  </si>
  <si>
    <t>C00044, C00130, C00049</t>
  </si>
  <si>
    <t>C00035, C00009, C03794</t>
  </si>
  <si>
    <t>6.3.4.5</t>
  </si>
  <si>
    <t>https://www.kegg.jp/entry/ec:6.3.4.5</t>
  </si>
  <si>
    <t>https://www.kegg.jp/entry/R01954</t>
  </si>
  <si>
    <t>C00002, C00327, C00049</t>
  </si>
  <si>
    <t>C00020, C00013, C03406</t>
  </si>
  <si>
    <t>6.3.5.2</t>
  </si>
  <si>
    <t>https://www.kegg.jp/entry/ec:6.3.5.2</t>
  </si>
  <si>
    <t>https://www.kegg.jp/entry/R01230</t>
  </si>
  <si>
    <t>C00002, C00655, C00014</t>
  </si>
  <si>
    <t>C00020, C00013, C00144</t>
  </si>
  <si>
    <t>https://www.kegg.jp/entry/R01231</t>
  </si>
  <si>
    <t>C00002, C00655, C00064, C00001</t>
  </si>
  <si>
    <t>C00020, C00013, C00144, C00025</t>
  </si>
  <si>
    <t>https://www.kegg.jp/entry/R08244</t>
  </si>
  <si>
    <t>C16618, C00002, C00064, C00001</t>
  </si>
  <si>
    <t>C16619, C00020, C00013, C00025</t>
  </si>
  <si>
    <t>6.3.5.3</t>
  </si>
  <si>
    <t>https://www.kegg.jp/entry/ec:6.3.5.3</t>
  </si>
  <si>
    <t>https://www.kegg.jp/entry/R04463</t>
  </si>
  <si>
    <t>C00002, C04376, C00064, C00001</t>
  </si>
  <si>
    <t>C00008, C00009, C04640, C00025</t>
  </si>
  <si>
    <t>6.3.5.4</t>
  </si>
  <si>
    <t>https://www.kegg.jp/entry/ec:6.3.5.4</t>
  </si>
  <si>
    <t>https://www.kegg.jp/entry/R00578</t>
  </si>
  <si>
    <t>C00002, C00049, C00064, C00001</t>
  </si>
  <si>
    <t>C00020, C00013, C00152, C00025</t>
  </si>
  <si>
    <t>6.3.5.5</t>
  </si>
  <si>
    <t>https://www.kegg.jp/entry/ec:6.3.5.5</t>
  </si>
  <si>
    <t>https://www.kegg.jp/entry/R00575</t>
  </si>
  <si>
    <t>C00002, C00064, C00288, C00001</t>
  </si>
  <si>
    <t>C00008, C00009, C00025, C00169</t>
  </si>
  <si>
    <t>https://www.kegg.jp/entry/R07641</t>
  </si>
  <si>
    <t>C00002, C00288, C00014</t>
  </si>
  <si>
    <t>C00008, C00009, C00169</t>
  </si>
  <si>
    <t>https://www.kegg.jp/entry/R10948</t>
  </si>
  <si>
    <t>C00002, C00288</t>
  </si>
  <si>
    <t>C00008, C20969</t>
  </si>
  <si>
    <t>https://www.kegg.jp/entry/R10949</t>
  </si>
  <si>
    <t>C00014, C20969</t>
  </si>
  <si>
    <t>C01563, C00009</t>
  </si>
  <si>
    <t>6.4.1.1</t>
  </si>
  <si>
    <t>https://www.kegg.jp/entry/ec:6.4.1.1</t>
  </si>
  <si>
    <t>https://www.kegg.jp/entry/R00344</t>
  </si>
  <si>
    <t>C00002, C00022, C00288</t>
  </si>
  <si>
    <t>C00008, C00009, C00036</t>
  </si>
  <si>
    <t>6.4.1.2</t>
  </si>
  <si>
    <t>https://www.kegg.jp/entry/ec:6.4.1.2</t>
  </si>
  <si>
    <t>https://www.kegg.jp/entry/R00742</t>
  </si>
  <si>
    <t>C00002, C00024, C00288</t>
  </si>
  <si>
    <t>C00008, C00009, C00083</t>
  </si>
  <si>
    <t>6.5.1.2</t>
  </si>
  <si>
    <t>https://www.kegg.jp/entry/ec:6.5.1.2</t>
  </si>
  <si>
    <t>https://www.kegg.jp/entry/R00382</t>
  </si>
  <si>
    <t>C00003, C00039, C02128</t>
  </si>
  <si>
    <t>C00020, C00455, C00039</t>
  </si>
  <si>
    <t>7.1.1.2</t>
  </si>
  <si>
    <t>https://www.kegg.jp/entry/ec:7.1.1.2</t>
  </si>
  <si>
    <t>https://www.kegg.jp/entry/R11945</t>
  </si>
  <si>
    <t>C00399, C00004, C00080, C00080</t>
  </si>
  <si>
    <t>C00390, C00003, C00080</t>
  </si>
  <si>
    <t>7.1.1.9</t>
  </si>
  <si>
    <t>https://www.kegg.jp/entry/ec:7.1.1.9</t>
  </si>
  <si>
    <t>https://www.kegg.jp/entry/R00081</t>
  </si>
  <si>
    <t>C00007, C00126, C00080</t>
  </si>
  <si>
    <t>C00125, C00001, C00080</t>
  </si>
  <si>
    <t>https://www.kegg.jp/entry/R00082</t>
  </si>
  <si>
    <t>C00007, C01000</t>
  </si>
  <si>
    <t>C00997, C00001</t>
  </si>
  <si>
    <t>7.1.2.2</t>
  </si>
  <si>
    <t>https://www.kegg.jp/entry/ec:7.1.2.2</t>
  </si>
  <si>
    <t>https://www.kegg.jp/entry/R00086</t>
  </si>
  <si>
    <t>C00008, C00009</t>
  </si>
  <si>
    <t>7.2.2.10</t>
  </si>
  <si>
    <t>https://www.kegg.jp/entry/ec:7.2.2.10</t>
  </si>
  <si>
    <t>7.2.2.14</t>
  </si>
  <si>
    <t>https://www.kegg.jp/entry/ec:7.2.2.14</t>
  </si>
  <si>
    <t>7.2.2.6</t>
  </si>
  <si>
    <t>https://www.kegg.jp/entry/ec:7.2.2.6</t>
  </si>
  <si>
    <t>7.3.2.1</t>
  </si>
  <si>
    <t>https://www.kegg.jp/entry/ec:7.3.2.1</t>
  </si>
  <si>
    <t>7.3.2.2</t>
  </si>
  <si>
    <t>https://www.kegg.jp/entry/ec:7.3.2.2</t>
  </si>
  <si>
    <t>7.4.2.11</t>
  </si>
  <si>
    <t>https://www.kegg.jp/entry/ec:7.4.2.11</t>
  </si>
  <si>
    <t>7.5.2.7</t>
  </si>
  <si>
    <t>https://www.kegg.jp/entry/ec:7.5.2.7</t>
  </si>
  <si>
    <t>7.6.2.14</t>
  </si>
  <si>
    <t>https://www.kegg.jp/entry/ec:7.6.2.14</t>
  </si>
  <si>
    <t>7.6.2.7</t>
  </si>
  <si>
    <t>https://www.kegg.jp/entry/ec:7.6.2.7</t>
  </si>
  <si>
    <t>Compound ID</t>
  </si>
  <si>
    <t xml:space="preserve">Compund Name </t>
  </si>
  <si>
    <t>KEGG URL</t>
  </si>
  <si>
    <t>Initial Concentration (mM)</t>
  </si>
  <si>
    <t>Object</t>
  </si>
  <si>
    <t>C00001</t>
  </si>
  <si>
    <t>Water</t>
  </si>
  <si>
    <t>https://www.kegg.jp/entry/C00001</t>
  </si>
  <si>
    <t>C00001 : 1000</t>
  </si>
  <si>
    <t>C00001 : Water</t>
  </si>
  <si>
    <t>ATP</t>
  </si>
  <si>
    <t>https://www.kegg.jp/entry/C00002</t>
  </si>
  <si>
    <t>C00002 : 1000</t>
  </si>
  <si>
    <t>C00002 : ATP</t>
  </si>
  <si>
    <t>C00003</t>
  </si>
  <si>
    <t>NAD+</t>
  </si>
  <si>
    <t>https://www.kegg.jp/entry/C00003</t>
  </si>
  <si>
    <t>C00003 : 1000</t>
  </si>
  <si>
    <t>C00003 : NAD+</t>
  </si>
  <si>
    <t>C00004</t>
  </si>
  <si>
    <t>NADH</t>
  </si>
  <si>
    <t>https://www.kegg.jp/entry/C00004</t>
  </si>
  <si>
    <t>C00004 : 1000</t>
  </si>
  <si>
    <t>C00004 : NADH</t>
  </si>
  <si>
    <t>C00005</t>
  </si>
  <si>
    <t>NADPH</t>
  </si>
  <si>
    <t>https://www.kegg.jp/entry/C00005</t>
  </si>
  <si>
    <t>C00005 : 1000</t>
  </si>
  <si>
    <t>C00005 : NADPH</t>
  </si>
  <si>
    <t>C00006</t>
  </si>
  <si>
    <t>NADP+</t>
  </si>
  <si>
    <t>https://www.kegg.jp/entry/C00006</t>
  </si>
  <si>
    <t>C00006 : 1000</t>
  </si>
  <si>
    <t>C00006 : NADP+</t>
  </si>
  <si>
    <t>C00007</t>
  </si>
  <si>
    <t>Oxygen</t>
  </si>
  <si>
    <t>https://www.kegg.jp/entry/C00007</t>
  </si>
  <si>
    <t>C00007 : 1000</t>
  </si>
  <si>
    <t>C00007 : Oxygen</t>
  </si>
  <si>
    <t>ADP</t>
  </si>
  <si>
    <t>https://www.kegg.jp/entry/C00008</t>
  </si>
  <si>
    <t>C00008 : 1000</t>
  </si>
  <si>
    <t>C00008 : ADP</t>
  </si>
  <si>
    <t>Phosphoric Acid</t>
  </si>
  <si>
    <t>https://www.kegg.jp/entry/C00009</t>
  </si>
  <si>
    <t>C00009 : 1000</t>
  </si>
  <si>
    <t>C00009 : Phosphoric Acid</t>
  </si>
  <si>
    <t>C00010</t>
  </si>
  <si>
    <t>CoA</t>
  </si>
  <si>
    <t>https://www.kegg.jp/entry/C00010</t>
  </si>
  <si>
    <t>C00010 : 1000</t>
  </si>
  <si>
    <t>C00010 : CoA</t>
  </si>
  <si>
    <t>C00011</t>
  </si>
  <si>
    <t>Carbon Dioxide</t>
  </si>
  <si>
    <t>https://www.kegg.jp/entry/C00011</t>
  </si>
  <si>
    <t>C00011 : 1000</t>
  </si>
  <si>
    <t>C00011 : Carbon Dioxide</t>
  </si>
  <si>
    <t>C00013</t>
  </si>
  <si>
    <t>Diphosphoric Acid</t>
  </si>
  <si>
    <t>https://www.kegg.jp/entry/C00013</t>
  </si>
  <si>
    <t>C00013 : 1000</t>
  </si>
  <si>
    <t>C00013 : Diphosphoric Acid</t>
  </si>
  <si>
    <t>C00014</t>
  </si>
  <si>
    <t>Ammonia</t>
  </si>
  <si>
    <t>https://www.kegg.jp/entry/C00014</t>
  </si>
  <si>
    <t>C00014 : 1000</t>
  </si>
  <si>
    <t>C00014 : Ammonia</t>
  </si>
  <si>
    <t>C00015</t>
  </si>
  <si>
    <t>UDP</t>
  </si>
  <si>
    <t>https://www.kegg.jp/entry/C00015</t>
  </si>
  <si>
    <t>C00015 : 1000</t>
  </si>
  <si>
    <t>C00015 : UDP</t>
  </si>
  <si>
    <t>C00016</t>
  </si>
  <si>
    <t>FAD</t>
  </si>
  <si>
    <t>https://www.kegg.jp/entry/C00016</t>
  </si>
  <si>
    <t>C00016 : 1000</t>
  </si>
  <si>
    <t>C00016 : FAD</t>
  </si>
  <si>
    <t>C00017</t>
  </si>
  <si>
    <t>Protein</t>
  </si>
  <si>
    <t>https://www.kegg.jp/entry/C00017</t>
  </si>
  <si>
    <t>C00017 : 1</t>
  </si>
  <si>
    <t>C00017 : Protein</t>
  </si>
  <si>
    <t>C00018</t>
  </si>
  <si>
    <t>Pyridoxal Phosphate(PLP)</t>
  </si>
  <si>
    <t>https://www.kegg.jp/entry/C00018</t>
  </si>
  <si>
    <t>C00018 : 1000</t>
  </si>
  <si>
    <t>C00018 : Pyridoxal Phosphate(PLP)</t>
  </si>
  <si>
    <t>C00019</t>
  </si>
  <si>
    <t>SAM</t>
  </si>
  <si>
    <t>https://www.kegg.jp/entry/C00019</t>
  </si>
  <si>
    <t>C00019 : 1000</t>
  </si>
  <si>
    <t>C00019 : SAM</t>
  </si>
  <si>
    <t>C00020</t>
  </si>
  <si>
    <t>AMP</t>
  </si>
  <si>
    <t>https://www.kegg.jp/entry/C00020</t>
  </si>
  <si>
    <t>C00020 : 1000</t>
  </si>
  <si>
    <t>C00020 : AMP</t>
  </si>
  <si>
    <t>C00021</t>
  </si>
  <si>
    <t>S-Adenosyl-L-Homocysteine(SAH)</t>
  </si>
  <si>
    <t>https://www.kegg.jp/entry/C00021</t>
  </si>
  <si>
    <t>C00021 : 1</t>
  </si>
  <si>
    <t>C00021 : S-Adenosyl-L-Homocysteine(SAH)</t>
  </si>
  <si>
    <t>Pyruvate</t>
  </si>
  <si>
    <t>https://www.kegg.jp/entry/C00022</t>
  </si>
  <si>
    <t>C00022 : 1000</t>
  </si>
  <si>
    <t>C00022 : Pyruvate</t>
  </si>
  <si>
    <t>Acetyl-CoA</t>
  </si>
  <si>
    <t>https://www.kegg.jp/entry/C00024</t>
  </si>
  <si>
    <t>C00024 : 1000</t>
  </si>
  <si>
    <t>C00024 : Acetyl-CoA</t>
  </si>
  <si>
    <t>L-Glutamate</t>
  </si>
  <si>
    <t>https://www.kegg.jp/entry/C00025</t>
  </si>
  <si>
    <t>C00025 : 1000</t>
  </si>
  <si>
    <t>C00025 : L-Glutamate</t>
  </si>
  <si>
    <t>C00026</t>
  </si>
  <si>
    <t>2-Oxoglutarate</t>
  </si>
  <si>
    <t>https://www.kegg.jp/entry/C00026</t>
  </si>
  <si>
    <t>C00026 : 1000</t>
  </si>
  <si>
    <t>C00026 : 2-Oxoglutarate</t>
  </si>
  <si>
    <t>Hydrogen Peroxide</t>
  </si>
  <si>
    <t>https://www.kegg.jp/entry/C00027</t>
  </si>
  <si>
    <t>C00027 : 1</t>
  </si>
  <si>
    <t>C00027 : Hydrogen Peroxide</t>
  </si>
  <si>
    <t>C00028</t>
  </si>
  <si>
    <t>Acceptor</t>
  </si>
  <si>
    <t>https://www.kegg.jp/entry/C00028</t>
  </si>
  <si>
    <t>C00028 : 1</t>
  </si>
  <si>
    <t>C00028 : Acceptor</t>
  </si>
  <si>
    <t>UDP-glucose</t>
  </si>
  <si>
    <t>https://www.kegg.jp/entry/C00029</t>
  </si>
  <si>
    <t>C00029 : 1</t>
  </si>
  <si>
    <t>C00029 : UDP-glucose</t>
  </si>
  <si>
    <t>C00030</t>
  </si>
  <si>
    <t>Reduced Acceptor</t>
  </si>
  <si>
    <t>https://www.kegg.jp/entry/C00030</t>
  </si>
  <si>
    <t>C00030 : 1</t>
  </si>
  <si>
    <t>C00030 : Reduced Acceptor</t>
  </si>
  <si>
    <t>C00031</t>
  </si>
  <si>
    <t>D-Glucose</t>
  </si>
  <si>
    <t>https://www.kegg.jp/entry/C00031</t>
  </si>
  <si>
    <t>C00031 : 1000</t>
  </si>
  <si>
    <t>C00031 : D-Glucose</t>
  </si>
  <si>
    <t>C00032</t>
  </si>
  <si>
    <t>Heme</t>
  </si>
  <si>
    <t>https://www.kegg.jp/entry/C00032</t>
  </si>
  <si>
    <t>C00032 : 1</t>
  </si>
  <si>
    <t>C00032 : Heme</t>
  </si>
  <si>
    <t>C00033</t>
  </si>
  <si>
    <t>Acetate</t>
  </si>
  <si>
    <t>https://www.kegg.jp/entry/C00033</t>
  </si>
  <si>
    <t>C00033 : 1000</t>
  </si>
  <si>
    <t>C00033 : Acetate</t>
  </si>
  <si>
    <t>C00035</t>
  </si>
  <si>
    <t>GDP</t>
  </si>
  <si>
    <t>https://www.kegg.jp/entry/C00035</t>
  </si>
  <si>
    <t>C00035 : 1</t>
  </si>
  <si>
    <t>C00035 : GDP</t>
  </si>
  <si>
    <t>C00036</t>
  </si>
  <si>
    <t>Oxaloacetate</t>
  </si>
  <si>
    <t>https://www.kegg.jp/entry/C00036</t>
  </si>
  <si>
    <t>C00036 : 1000</t>
  </si>
  <si>
    <t>C00036 : Oxaloacetate</t>
  </si>
  <si>
    <t>C00037</t>
  </si>
  <si>
    <t>Glycine</t>
  </si>
  <si>
    <t>https://www.kegg.jp/entry/C00037</t>
  </si>
  <si>
    <t>C00037 : 1000</t>
  </si>
  <si>
    <t>C00037 : Glycine</t>
  </si>
  <si>
    <t>C00039</t>
  </si>
  <si>
    <t>DNA</t>
  </si>
  <si>
    <t>https://www.kegg.jp/entry/C00039</t>
  </si>
  <si>
    <t>C00039 : 1</t>
  </si>
  <si>
    <t>C00039 : DNA</t>
  </si>
  <si>
    <t>C00040</t>
  </si>
  <si>
    <t>Acyl-CoA</t>
  </si>
  <si>
    <t>https://www.kegg.jp/entry/C00040</t>
  </si>
  <si>
    <t>C00040 : 1</t>
  </si>
  <si>
    <t>C00040 : Acyl-CoA</t>
  </si>
  <si>
    <t>L-Alanine</t>
  </si>
  <si>
    <t>https://www.kegg.jp/entry/C00041</t>
  </si>
  <si>
    <t>C00041 : 1000</t>
  </si>
  <si>
    <t>C00041 : L-Alanine</t>
  </si>
  <si>
    <t>C00042</t>
  </si>
  <si>
    <t>Succinate</t>
  </si>
  <si>
    <t>https://www.kegg.jp/entry/C00042</t>
  </si>
  <si>
    <t>C00042 : 1000</t>
  </si>
  <si>
    <t>C00042 : Succinate</t>
  </si>
  <si>
    <t>UDP-N-acetyl-alpha-D-glucosamine</t>
  </si>
  <si>
    <t>https://www.kegg.jp/entry/C00043</t>
  </si>
  <si>
    <t>C00043 : 1</t>
  </si>
  <si>
    <t>C00043 : UDP-N-acetyl-alpha-D-glucosamine</t>
  </si>
  <si>
    <t>GTP</t>
  </si>
  <si>
    <t>https://www.kegg.jp/entry/C00044</t>
  </si>
  <si>
    <t>C00044 : 1000</t>
  </si>
  <si>
    <t>C00044 : GTP</t>
  </si>
  <si>
    <t>C00046</t>
  </si>
  <si>
    <t>RNA</t>
  </si>
  <si>
    <t>https://www.kegg.jp/entry/C00046</t>
  </si>
  <si>
    <t>C00046 : 1</t>
  </si>
  <si>
    <t>C00046 : RNA</t>
  </si>
  <si>
    <t>L-Lysine</t>
  </si>
  <si>
    <t>https://www.kegg.jp/entry/C00047</t>
  </si>
  <si>
    <t>C00047 : 1000</t>
  </si>
  <si>
    <t>C00047 : L-Lysine</t>
  </si>
  <si>
    <t>C00048</t>
  </si>
  <si>
    <t>Glyoxylate</t>
  </si>
  <si>
    <t>https://www.kegg.jp/entry/C00048</t>
  </si>
  <si>
    <t>C00048 : 1</t>
  </si>
  <si>
    <t>C00048 : Glyoxylate</t>
  </si>
  <si>
    <t>L-Aspartate</t>
  </si>
  <si>
    <t>https://www.kegg.jp/entry/C00049</t>
  </si>
  <si>
    <t>C00049 : 1000</t>
  </si>
  <si>
    <t>C00049 : L-Aspartate</t>
  </si>
  <si>
    <t>C00051</t>
  </si>
  <si>
    <t>Glutathione</t>
  </si>
  <si>
    <t>https://www.kegg.jp/entry/C00051</t>
  </si>
  <si>
    <t>C00051 : 1</t>
  </si>
  <si>
    <t>C00051 : Glutathione</t>
  </si>
  <si>
    <t>UDP-alpha-D-galactose</t>
  </si>
  <si>
    <t>https://www.kegg.jp/entry/C00052</t>
  </si>
  <si>
    <t>C00052 : 1</t>
  </si>
  <si>
    <t>C00052 : UDP-alpha-D-galactose</t>
  </si>
  <si>
    <t>C00053</t>
  </si>
  <si>
    <t>3'-Phosphoadenylyl sulfate</t>
  </si>
  <si>
    <t>https://www.kegg.jp/entry/C00053</t>
  </si>
  <si>
    <t>C00053 : 1</t>
  </si>
  <si>
    <t>C00053 : 3'-Phosphoadenylyl sulfate</t>
  </si>
  <si>
    <t>C00054</t>
  </si>
  <si>
    <t>Adenosine 3',5'-bisphosphate</t>
  </si>
  <si>
    <t>https://www.kegg.jp/entry/C00054</t>
  </si>
  <si>
    <t>C00054 : 1</t>
  </si>
  <si>
    <t>C00054 : Adenosine 3',5'-bisphosphate</t>
  </si>
  <si>
    <t>C00055</t>
  </si>
  <si>
    <t>CMP</t>
  </si>
  <si>
    <t>https://www.kegg.jp/entry/C00055</t>
  </si>
  <si>
    <t>C00055 : 1</t>
  </si>
  <si>
    <t>C00055 : CMP</t>
  </si>
  <si>
    <t>C00058</t>
  </si>
  <si>
    <t>Formate</t>
  </si>
  <si>
    <t>https://www.kegg.jp/entry/C00058</t>
  </si>
  <si>
    <t>C00058 : 1</t>
  </si>
  <si>
    <t>C00058 : Formate</t>
  </si>
  <si>
    <t>C00059</t>
  </si>
  <si>
    <t>Sulfate</t>
  </si>
  <si>
    <t>https://www.kegg.jp/entry/C00059</t>
  </si>
  <si>
    <t>C00059 : 1</t>
  </si>
  <si>
    <t>C00059 : Sulfate</t>
  </si>
  <si>
    <t>C00060</t>
  </si>
  <si>
    <t>Carboxylate</t>
  </si>
  <si>
    <t>https://www.kegg.jp/entry/C00060</t>
  </si>
  <si>
    <t>C00060 : 1</t>
  </si>
  <si>
    <t>C00060 : Carboxylate</t>
  </si>
  <si>
    <t>C00061</t>
  </si>
  <si>
    <t>FMN</t>
  </si>
  <si>
    <t>https://www.kegg.jp/entry/C00061</t>
  </si>
  <si>
    <t>C00061 : 1</t>
  </si>
  <si>
    <t>C00061 : FMN</t>
  </si>
  <si>
    <t>L-Arginine</t>
  </si>
  <si>
    <t>https://www.kegg.jp/entry/C00062</t>
  </si>
  <si>
    <t>C00062 : 1000</t>
  </si>
  <si>
    <t>C00062 : L-Arginine</t>
  </si>
  <si>
    <t>C00063</t>
  </si>
  <si>
    <t>CTP</t>
  </si>
  <si>
    <t>https://www.kegg.jp/entry/C00063</t>
  </si>
  <si>
    <t>C00063 : 1000</t>
  </si>
  <si>
    <t>C00063 : CTP</t>
  </si>
  <si>
    <t>C00064</t>
  </si>
  <si>
    <t>L-Glutamine</t>
  </si>
  <si>
    <t>https://www.kegg.jp/entry/C00064</t>
  </si>
  <si>
    <t>C00064 : 1000</t>
  </si>
  <si>
    <t>C00064 : L-Glutamine</t>
  </si>
  <si>
    <t>L-Serine</t>
  </si>
  <si>
    <t>https://www.kegg.jp/entry/C00065</t>
  </si>
  <si>
    <t>C00065 : 1000</t>
  </si>
  <si>
    <t>C00065 : L-Serine</t>
  </si>
  <si>
    <t>C00066</t>
  </si>
  <si>
    <t>https://www.kegg.jp/entry/C00066</t>
  </si>
  <si>
    <t>C00066 : 1</t>
  </si>
  <si>
    <t>C00066 : tRNA</t>
  </si>
  <si>
    <t>C00067</t>
  </si>
  <si>
    <t>Formaldehyde</t>
  </si>
  <si>
    <t>https://www.kegg.jp/entry/C00067</t>
  </si>
  <si>
    <t>C00067 : 1</t>
  </si>
  <si>
    <t>C00067 : Formaldehyde</t>
  </si>
  <si>
    <t>C00068</t>
  </si>
  <si>
    <t>Thiamin diphosphate</t>
  </si>
  <si>
    <t>https://www.kegg.jp/entry/C00068</t>
  </si>
  <si>
    <t>C00068 : 1</t>
  </si>
  <si>
    <t>C00068 : Thiamin diphosphate</t>
  </si>
  <si>
    <t>C00069</t>
  </si>
  <si>
    <t>Alcohol</t>
  </si>
  <si>
    <t>https://www.kegg.jp/entry/C00069</t>
  </si>
  <si>
    <t>C00069 : 1</t>
  </si>
  <si>
    <t>C00069 : Alcohol</t>
  </si>
  <si>
    <t>C00071</t>
  </si>
  <si>
    <t>Aldehyde</t>
  </si>
  <si>
    <t>https://www.kegg.jp/entry/C00071</t>
  </si>
  <si>
    <t>C00071 : 1</t>
  </si>
  <si>
    <t>C00071 : Aldehyde</t>
  </si>
  <si>
    <t>L-Methionine</t>
  </si>
  <si>
    <t>https://www.kegg.jp/entry/C00073</t>
  </si>
  <si>
    <t>C00073 : 1000</t>
  </si>
  <si>
    <t>C00073 : L-Methionine</t>
  </si>
  <si>
    <t>C00074</t>
  </si>
  <si>
    <t>Phosphoenolpyruvate</t>
  </si>
  <si>
    <t>https://www.kegg.jp/entry/C00074</t>
  </si>
  <si>
    <t>C00074 : 1000</t>
  </si>
  <si>
    <t>C00074 : Phosphoenolpyruvate</t>
  </si>
  <si>
    <t>C00075</t>
  </si>
  <si>
    <t>UTP</t>
  </si>
  <si>
    <t>https://www.kegg.jp/entry/C00075</t>
  </si>
  <si>
    <t>C00075 : 1000</t>
  </si>
  <si>
    <t>C00075 : UTP</t>
  </si>
  <si>
    <t>C00077</t>
  </si>
  <si>
    <t>L-Ornithine</t>
  </si>
  <si>
    <t>https://www.kegg.jp/entry/C00077</t>
  </si>
  <si>
    <t>C00077 : 1000</t>
  </si>
  <si>
    <t>C00077 : L-Ornithine</t>
  </si>
  <si>
    <t>C00078</t>
  </si>
  <si>
    <t>L-Tryptophan</t>
  </si>
  <si>
    <t>https://www.kegg.jp/entry/C00078</t>
  </si>
  <si>
    <t>C00078 : 1000</t>
  </si>
  <si>
    <t>C00078 : L-Tryptophan</t>
  </si>
  <si>
    <t>C00079</t>
  </si>
  <si>
    <t>L-Phenylalanine</t>
  </si>
  <si>
    <t>https://www.kegg.jp/entry/C00079</t>
  </si>
  <si>
    <t>C00079 : 1000</t>
  </si>
  <si>
    <t>C00079 : L-Phenylalanine</t>
  </si>
  <si>
    <t>C00080</t>
  </si>
  <si>
    <t>H+</t>
  </si>
  <si>
    <t>https://www.kegg.jp/entry/C00080</t>
  </si>
  <si>
    <t>C00080 : 1000</t>
  </si>
  <si>
    <t>C00080 : H+</t>
  </si>
  <si>
    <t>C00081</t>
  </si>
  <si>
    <t>ITP</t>
  </si>
  <si>
    <t>https://www.kegg.jp/entry/C00081</t>
  </si>
  <si>
    <t>C00081 : 1</t>
  </si>
  <si>
    <t>C00081 : ITP</t>
  </si>
  <si>
    <t>C00082</t>
  </si>
  <si>
    <t>L-Tyrosine</t>
  </si>
  <si>
    <t>https://www.kegg.jp/entry/C00082</t>
  </si>
  <si>
    <t>C00082 : 1000</t>
  </si>
  <si>
    <t>C00082 : L-Tyrosine</t>
  </si>
  <si>
    <t>C00083</t>
  </si>
  <si>
    <t>Malonyl-CoA</t>
  </si>
  <si>
    <t>https://www.kegg.jp/entry/C00083</t>
  </si>
  <si>
    <t>C00083 : 1</t>
  </si>
  <si>
    <t>C00083 : Malonyl-CoA</t>
  </si>
  <si>
    <t>C00084</t>
  </si>
  <si>
    <t>Acetaldehyde</t>
  </si>
  <si>
    <t>https://www.kegg.jp/entry/C00084</t>
  </si>
  <si>
    <t>C00084 : 1</t>
  </si>
  <si>
    <t>C00084 : Acetaldehyde</t>
  </si>
  <si>
    <t>D-Fructose 6-phosphate</t>
  </si>
  <si>
    <t>https://www.kegg.jp/entry/C00085</t>
  </si>
  <si>
    <t>C00085 : 1</t>
  </si>
  <si>
    <t>C00085 : D-Fructose 6-phosphate</t>
  </si>
  <si>
    <t>C00086</t>
  </si>
  <si>
    <t>Urea</t>
  </si>
  <si>
    <t>https://www.kegg.jp/entry/C00086</t>
  </si>
  <si>
    <t>C00086 : 1000</t>
  </si>
  <si>
    <t>C00086 : Urea</t>
  </si>
  <si>
    <t>C00087</t>
  </si>
  <si>
    <t>Sulfur</t>
  </si>
  <si>
    <t>https://www.kegg.jp/entry/C00087</t>
  </si>
  <si>
    <t>C00087 : 1</t>
  </si>
  <si>
    <t>C00087 : Sulfur</t>
  </si>
  <si>
    <t>C00088</t>
  </si>
  <si>
    <t>Nitrite</t>
  </si>
  <si>
    <t>https://www.kegg.jp/entry/C00088</t>
  </si>
  <si>
    <t>C00088 : 1000</t>
  </si>
  <si>
    <t>C00088 : Nitrite</t>
  </si>
  <si>
    <t>C00089</t>
  </si>
  <si>
    <t>Sucrose</t>
  </si>
  <si>
    <t>https://www.kegg.jp/entry/C00089</t>
  </si>
  <si>
    <t>C00089 : 1</t>
  </si>
  <si>
    <t>C00089 : Sucrose</t>
  </si>
  <si>
    <t>C00091</t>
  </si>
  <si>
    <t>Succinyl-CoA</t>
  </si>
  <si>
    <t>https://www.kegg.jp/entry/C00091</t>
  </si>
  <si>
    <t>C00091 : 1000</t>
  </si>
  <si>
    <t>C00091 : Succinyl-CoA</t>
  </si>
  <si>
    <t>D-Glucose 6-phosphate</t>
  </si>
  <si>
    <t>https://www.kegg.jp/entry/C00092</t>
  </si>
  <si>
    <t>C00092 : 1000</t>
  </si>
  <si>
    <t>C00092 : D-Glucose 6-phosphate</t>
  </si>
  <si>
    <t>C00093</t>
  </si>
  <si>
    <t>sn-Glycerol 3-phosphate</t>
  </si>
  <si>
    <t>https://www.kegg.jp/entry/C00093</t>
  </si>
  <si>
    <t>C00093 : 1</t>
  </si>
  <si>
    <t>C00093 : sn-Glycerol 3-phosphate</t>
  </si>
  <si>
    <t>C00094</t>
  </si>
  <si>
    <t>Sulfite</t>
  </si>
  <si>
    <t>https://www.kegg.jp/entry/C00094</t>
  </si>
  <si>
    <t>C00094 : 1</t>
  </si>
  <si>
    <t>C00094 : Sulfite</t>
  </si>
  <si>
    <t>C00095</t>
  </si>
  <si>
    <t>D-Fructose</t>
  </si>
  <si>
    <t>https://www.kegg.jp/entry/C00095</t>
  </si>
  <si>
    <t>C00095 : 1</t>
  </si>
  <si>
    <t>C00095 : D-Fructose</t>
  </si>
  <si>
    <t>C00097</t>
  </si>
  <si>
    <t>L-Cysteine</t>
  </si>
  <si>
    <t>https://www.kegg.jp/entry/C00097</t>
  </si>
  <si>
    <t>C00097 : 1000</t>
  </si>
  <si>
    <t>C00097 : L-Cysteine</t>
  </si>
  <si>
    <t>C00099</t>
  </si>
  <si>
    <t>beta-Alanine</t>
  </si>
  <si>
    <t>https://www.kegg.jp/entry/C00099</t>
  </si>
  <si>
    <t>C00099 : 1</t>
  </si>
  <si>
    <t>C00099 : beta-Alanine</t>
  </si>
  <si>
    <t>C00100</t>
  </si>
  <si>
    <t>Propanoyl-CoA</t>
  </si>
  <si>
    <t>https://www.kegg.jp/entry/C00100</t>
  </si>
  <si>
    <t>C00100 : 1000</t>
  </si>
  <si>
    <t>C00100 : Propanoyl-CoA</t>
  </si>
  <si>
    <t>C00101</t>
  </si>
  <si>
    <t>Tetrahydrofolate</t>
  </si>
  <si>
    <t>https://www.kegg.jp/entry/C00101</t>
  </si>
  <si>
    <t>C00101 : 1</t>
  </si>
  <si>
    <t>C00101 : Tetrahydrofolate</t>
  </si>
  <si>
    <t>C00103</t>
  </si>
  <si>
    <t>D-Glucose 1-phosphate</t>
  </si>
  <si>
    <t>https://www.kegg.jp/entry/C00103</t>
  </si>
  <si>
    <t>C00103 : 1000</t>
  </si>
  <si>
    <t>C00103 : D-Glucose 1-phosphate</t>
  </si>
  <si>
    <t>C00104</t>
  </si>
  <si>
    <t>IDP</t>
  </si>
  <si>
    <t>https://www.kegg.jp/entry/C00104</t>
  </si>
  <si>
    <t>C00104 : 1</t>
  </si>
  <si>
    <t>C00104 : IDP</t>
  </si>
  <si>
    <t>C00105</t>
  </si>
  <si>
    <t>UMP</t>
  </si>
  <si>
    <t>https://www.kegg.jp/entry/C00105</t>
  </si>
  <si>
    <t>C00105 : 1</t>
  </si>
  <si>
    <t>C00105 : UMP</t>
  </si>
  <si>
    <t>C00106</t>
  </si>
  <si>
    <t>Uracil</t>
  </si>
  <si>
    <t>https://www.kegg.jp/entry/C00106</t>
  </si>
  <si>
    <t>C00106 : 1</t>
  </si>
  <si>
    <t>C00106 : Uracil</t>
  </si>
  <si>
    <t>C00108</t>
  </si>
  <si>
    <t>Anthranilate</t>
  </si>
  <si>
    <t>https://www.kegg.jp/entry/C00108</t>
  </si>
  <si>
    <t>C00108 : 1</t>
  </si>
  <si>
    <t>C00108 : Anthranilate</t>
  </si>
  <si>
    <t>C00109</t>
  </si>
  <si>
    <t>2-Oxobutanoate</t>
  </si>
  <si>
    <t>https://www.kegg.jp/entry/C00109</t>
  </si>
  <si>
    <t>C00109 : 1</t>
  </si>
  <si>
    <t>C00109 : 2-Oxobutanoate</t>
  </si>
  <si>
    <t>Glycerone phosphate</t>
  </si>
  <si>
    <t>https://www.kegg.jp/entry/C00111</t>
  </si>
  <si>
    <t>C00111 : 1</t>
  </si>
  <si>
    <t>C00111 : Glycerone phosphate</t>
  </si>
  <si>
    <t>C00112</t>
  </si>
  <si>
    <t>CDP</t>
  </si>
  <si>
    <t>https://www.kegg.jp/entry/C00112</t>
  </si>
  <si>
    <t>C00112 : 1</t>
  </si>
  <si>
    <t>C00112 : CDP</t>
  </si>
  <si>
    <t>C00114</t>
  </si>
  <si>
    <t>Choline</t>
  </si>
  <si>
    <t>https://www.kegg.jp/entry/C00114</t>
  </si>
  <si>
    <t>C00114 : 1</t>
  </si>
  <si>
    <t>C00114 : Choline</t>
  </si>
  <si>
    <t>C00116</t>
  </si>
  <si>
    <t>Glycerol</t>
  </si>
  <si>
    <t>https://www.kegg.jp/entry/C00116</t>
  </si>
  <si>
    <t>C00116 : 1</t>
  </si>
  <si>
    <t>C00116 : Glycerol</t>
  </si>
  <si>
    <t>D-Ribose 5-phosphate</t>
  </si>
  <si>
    <t>https://www.kegg.jp/entry/C00117</t>
  </si>
  <si>
    <t>C00117 : 1</t>
  </si>
  <si>
    <t>C00117 : D-Ribose 5-phosphate</t>
  </si>
  <si>
    <t>D-Glyceraldehyde 3-phosphate</t>
  </si>
  <si>
    <t>https://www.kegg.jp/entry/C00118</t>
  </si>
  <si>
    <t>C00118 : 1000</t>
  </si>
  <si>
    <t>C00118 : D-Glyceraldehyde 3-phosphate</t>
  </si>
  <si>
    <t>C00119</t>
  </si>
  <si>
    <t>5-Phospho-alpha-D-ribose 1-diphosphate</t>
  </si>
  <si>
    <t>https://www.kegg.jp/entry/C00119</t>
  </si>
  <si>
    <t>C00119 : 1</t>
  </si>
  <si>
    <t>C00119 : 5-Phospho-alpha-D-ribose 1-diphosphate</t>
  </si>
  <si>
    <t>C00120</t>
  </si>
  <si>
    <t>Biotin</t>
  </si>
  <si>
    <t>https://www.kegg.jp/entry/C00120</t>
  </si>
  <si>
    <t>C00120 : 1</t>
  </si>
  <si>
    <t>C00120 : Biotin</t>
  </si>
  <si>
    <t>C00121</t>
  </si>
  <si>
    <t>D-Ribose</t>
  </si>
  <si>
    <t>https://www.kegg.jp/entry/C00121</t>
  </si>
  <si>
    <t>C00121 : 1</t>
  </si>
  <si>
    <t>C00121 : D-Ribose</t>
  </si>
  <si>
    <t>C00122</t>
  </si>
  <si>
    <t>Fumarate</t>
  </si>
  <si>
    <t>https://www.kegg.jp/entry/C00122</t>
  </si>
  <si>
    <t>C00122 : 1000</t>
  </si>
  <si>
    <t>C00122 : Fumarate</t>
  </si>
  <si>
    <t>C00123</t>
  </si>
  <si>
    <t>L-Leucine</t>
  </si>
  <si>
    <t>https://www.kegg.jp/entry/C00123</t>
  </si>
  <si>
    <t>C00123 : 1000</t>
  </si>
  <si>
    <t>C00123 : L-Leucine</t>
  </si>
  <si>
    <t>C00125</t>
  </si>
  <si>
    <t>Ferricytochrome c</t>
  </si>
  <si>
    <t>https://www.kegg.jp/entry/C00125</t>
  </si>
  <si>
    <t>C00125 : 1</t>
  </si>
  <si>
    <t>C00125 : Ferricytochrome c</t>
  </si>
  <si>
    <t>C00126</t>
  </si>
  <si>
    <t>Ferrocytochrome c</t>
  </si>
  <si>
    <t>https://www.kegg.jp/entry/C00126</t>
  </si>
  <si>
    <t>C00126 : 1</t>
  </si>
  <si>
    <t>C00126 : Ferrocytochrome c</t>
  </si>
  <si>
    <t>C00127</t>
  </si>
  <si>
    <t>Glutathione disulfide</t>
  </si>
  <si>
    <t>https://www.kegg.jp/entry/C00127</t>
  </si>
  <si>
    <t>C00127 : 1</t>
  </si>
  <si>
    <t>C00127 : Glutathione disulfide</t>
  </si>
  <si>
    <t>Isopentenyl diphosphate</t>
  </si>
  <si>
    <t>https://www.kegg.jp/entry/C00129</t>
  </si>
  <si>
    <t>C00129 : 1</t>
  </si>
  <si>
    <t>C00129 : Isopentenyl diphosphate</t>
  </si>
  <si>
    <t>C00130</t>
  </si>
  <si>
    <t>IMP</t>
  </si>
  <si>
    <t>https://www.kegg.jp/entry/C00130</t>
  </si>
  <si>
    <t>C00130 : 1</t>
  </si>
  <si>
    <t>C00130 : IMP</t>
  </si>
  <si>
    <t>C00131</t>
  </si>
  <si>
    <t>dATP</t>
  </si>
  <si>
    <t>https://www.kegg.jp/entry/C00131</t>
  </si>
  <si>
    <t>C00131 : 1</t>
  </si>
  <si>
    <t>C00131 : dATP</t>
  </si>
  <si>
    <t>C00132</t>
  </si>
  <si>
    <t>Methanol</t>
  </si>
  <si>
    <t>https://www.kegg.jp/entry/C00132</t>
  </si>
  <si>
    <t>C00132 : 1</t>
  </si>
  <si>
    <t>C00132 : Methanol</t>
  </si>
  <si>
    <t>D-Alanine</t>
  </si>
  <si>
    <t>https://www.kegg.jp/entry/C00133</t>
  </si>
  <si>
    <t>C00133 : 1</t>
  </si>
  <si>
    <t>C00133 : D-Alanine</t>
  </si>
  <si>
    <t>C00134</t>
  </si>
  <si>
    <t>Putrescine</t>
  </si>
  <si>
    <t>https://www.kegg.jp/entry/C00134</t>
  </si>
  <si>
    <t>C00134 : 1</t>
  </si>
  <si>
    <t>C00134 : Putrescine</t>
  </si>
  <si>
    <t>L-Histidine</t>
  </si>
  <si>
    <t>https://www.kegg.jp/entry/C00135</t>
  </si>
  <si>
    <t>C00135 : 1000</t>
  </si>
  <si>
    <t>C00135 : L-Histidine</t>
  </si>
  <si>
    <t>C00136</t>
  </si>
  <si>
    <t>Butanoyl-CoA</t>
  </si>
  <si>
    <t>https://www.kegg.jp/entry/C00136</t>
  </si>
  <si>
    <t>C00136 : 1</t>
  </si>
  <si>
    <t>C00136 : Butanoyl-CoA</t>
  </si>
  <si>
    <t>C00138</t>
  </si>
  <si>
    <t>Reduced ferredoxin</t>
  </si>
  <si>
    <t>https://www.kegg.jp/entry/C00138</t>
  </si>
  <si>
    <t>C00138 : 1</t>
  </si>
  <si>
    <t>C00138 : Reduced ferredoxin</t>
  </si>
  <si>
    <t>C00139</t>
  </si>
  <si>
    <t>Oxidized ferredoxin</t>
  </si>
  <si>
    <t>https://www.kegg.jp/entry/C00139</t>
  </si>
  <si>
    <t>C00139 : 1</t>
  </si>
  <si>
    <t>C00139 : Oxidized ferredoxin</t>
  </si>
  <si>
    <t>C00140</t>
  </si>
  <si>
    <t>N-Acetyl-D-glucosamine</t>
  </si>
  <si>
    <t>https://www.kegg.jp/entry/C00140</t>
  </si>
  <si>
    <t>C00140 : 1</t>
  </si>
  <si>
    <t>C00140 : N-Acetyl-D-glucosamine</t>
  </si>
  <si>
    <t>C00141</t>
  </si>
  <si>
    <t>3-Methyl-2-oxobutanoic acid</t>
  </si>
  <si>
    <t>https://www.kegg.jp/entry/C00141</t>
  </si>
  <si>
    <t>C00141 : 1</t>
  </si>
  <si>
    <t>C00141 : 3-Methyl-2-oxobutanoic acid</t>
  </si>
  <si>
    <t>C00143</t>
  </si>
  <si>
    <t>5,10-Methylenetetrahydrofolate</t>
  </si>
  <si>
    <t>https://www.kegg.jp/entry/C00143</t>
  </si>
  <si>
    <t>C00143 : 1</t>
  </si>
  <si>
    <t>C00143 : 5,10-Methylenetetrahydrofolate</t>
  </si>
  <si>
    <t>C00144</t>
  </si>
  <si>
    <t>GMP</t>
  </si>
  <si>
    <t>https://www.kegg.jp/entry/C00144</t>
  </si>
  <si>
    <t>C00144 : 1</t>
  </si>
  <si>
    <t>C00144 : GMP</t>
  </si>
  <si>
    <t>C00145</t>
  </si>
  <si>
    <t>Thiol</t>
  </si>
  <si>
    <t>https://www.kegg.jp/entry/C00145</t>
  </si>
  <si>
    <t>C00145 : 1</t>
  </si>
  <si>
    <t>C00145 : Thiol</t>
  </si>
  <si>
    <t>C00147</t>
  </si>
  <si>
    <t>Adenine</t>
  </si>
  <si>
    <t>https://www.kegg.jp/entry/C00147</t>
  </si>
  <si>
    <t>C00147 : 1</t>
  </si>
  <si>
    <t>C00147 : Adenine</t>
  </si>
  <si>
    <t>C00148</t>
  </si>
  <si>
    <t>L-Proline</t>
  </si>
  <si>
    <t>https://www.kegg.jp/entry/C00148</t>
  </si>
  <si>
    <t>C00148 : 1</t>
  </si>
  <si>
    <t>C00148 : L-Proline</t>
  </si>
  <si>
    <t>(S)-Malate</t>
  </si>
  <si>
    <t>https://www.kegg.jp/entry/C00149</t>
  </si>
  <si>
    <t>C00149 : 1000</t>
  </si>
  <si>
    <t>C00149 : (S)-Malate</t>
  </si>
  <si>
    <t>C00151</t>
  </si>
  <si>
    <t>L-Amino acid</t>
  </si>
  <si>
    <t>https://www.kegg.jp/entry/C00151</t>
  </si>
  <si>
    <t>C00151 : 1</t>
  </si>
  <si>
    <t>C00151 : L-Amino acid</t>
  </si>
  <si>
    <t>C00152</t>
  </si>
  <si>
    <t>L-Asparagine</t>
  </si>
  <si>
    <t>https://www.kegg.jp/entry/C00152</t>
  </si>
  <si>
    <t>C00152 : 1</t>
  </si>
  <si>
    <t>C00152 : L-Asparagine</t>
  </si>
  <si>
    <t>C00153</t>
  </si>
  <si>
    <t>Nicotinamide</t>
  </si>
  <si>
    <t>https://www.kegg.jp/entry/C00153</t>
  </si>
  <si>
    <t>C00153 : 1</t>
  </si>
  <si>
    <t>C00153 : Nicotinamide</t>
  </si>
  <si>
    <t>C00154</t>
  </si>
  <si>
    <t>Palmitoyl-CoA</t>
  </si>
  <si>
    <t>https://www.kegg.jp/entry/C00154</t>
  </si>
  <si>
    <t>C00154 : 1</t>
  </si>
  <si>
    <t>C00154 : Palmitoyl-CoA</t>
  </si>
  <si>
    <t>C00155</t>
  </si>
  <si>
    <t>L-Homocysteine</t>
  </si>
  <si>
    <t>https://www.kegg.jp/entry/C00155</t>
  </si>
  <si>
    <t>C00155 : 1</t>
  </si>
  <si>
    <t>C00155 : L-Homocysteine</t>
  </si>
  <si>
    <t>Citrate</t>
  </si>
  <si>
    <t>https://www.kegg.jp/entry/C00158</t>
  </si>
  <si>
    <t>C00158 : 1000</t>
  </si>
  <si>
    <t>C00158 : Citrate</t>
  </si>
  <si>
    <t>C00160</t>
  </si>
  <si>
    <t>Glycolate</t>
  </si>
  <si>
    <t>https://www.kegg.jp/entry/C00160</t>
  </si>
  <si>
    <t>C00160 : 1</t>
  </si>
  <si>
    <t>C00160 : Glycolate</t>
  </si>
  <si>
    <t>C00161</t>
  </si>
  <si>
    <t>2-Oxo acid</t>
  </si>
  <si>
    <t>https://www.kegg.jp/entry/C00161</t>
  </si>
  <si>
    <t>C00161 : 1</t>
  </si>
  <si>
    <t>C00161 : 2-Oxo acid</t>
  </si>
  <si>
    <t>C00162</t>
  </si>
  <si>
    <t>Fatty acid</t>
  </si>
  <si>
    <t>https://www.kegg.jp/entry/C00162</t>
  </si>
  <si>
    <t>C00162 : 1</t>
  </si>
  <si>
    <t>C00162 : Fatty acid</t>
  </si>
  <si>
    <t>C00163</t>
  </si>
  <si>
    <t>Propanoate</t>
  </si>
  <si>
    <t>https://www.kegg.jp/entry/C00163</t>
  </si>
  <si>
    <t>C00163 : 1</t>
  </si>
  <si>
    <t>C00163 : Propanoate</t>
  </si>
  <si>
    <t>C00164</t>
  </si>
  <si>
    <t>Acetoacetate</t>
  </si>
  <si>
    <t>https://www.kegg.jp/entry/C00164</t>
  </si>
  <si>
    <t>C00164 : 1</t>
  </si>
  <si>
    <t>C00164 : Acetoacetate</t>
  </si>
  <si>
    <t>C00166</t>
  </si>
  <si>
    <t>Phenylpyruvate</t>
  </si>
  <si>
    <t>https://www.kegg.jp/entry/C00166</t>
  </si>
  <si>
    <t>C00166 : 1</t>
  </si>
  <si>
    <t>C00166 : Phenylpyruvate</t>
  </si>
  <si>
    <t>C00169</t>
  </si>
  <si>
    <t>Carbamoyl phosphate</t>
  </si>
  <si>
    <t>https://www.kegg.jp/entry/C00169</t>
  </si>
  <si>
    <t>C00169 : 1</t>
  </si>
  <si>
    <t>C00169 : Carbamoyl phosphate</t>
  </si>
  <si>
    <t>C00170</t>
  </si>
  <si>
    <t>5'-Methylthioadenosine</t>
  </si>
  <si>
    <t>https://www.kegg.jp/entry/C00170</t>
  </si>
  <si>
    <t>C00170 : 1</t>
  </si>
  <si>
    <t>C00170 : 5'-Methylthioadenosine</t>
  </si>
  <si>
    <t>C00173</t>
  </si>
  <si>
    <t>Acyl-[acyl-carrier protein]</t>
  </si>
  <si>
    <t>https://www.kegg.jp/entry/C00173</t>
  </si>
  <si>
    <t>C00173 : 1</t>
  </si>
  <si>
    <t>C00173 : Acyl-[acyl-carrier protein]</t>
  </si>
  <si>
    <t>C00178</t>
  </si>
  <si>
    <t>Thymine</t>
  </si>
  <si>
    <t>https://www.kegg.jp/entry/C00178</t>
  </si>
  <si>
    <t>C00178 : 1</t>
  </si>
  <si>
    <t>C00178 : Thymine</t>
  </si>
  <si>
    <t>C00179</t>
  </si>
  <si>
    <t>Agmatine</t>
  </si>
  <si>
    <t>https://www.kegg.jp/entry/C00179</t>
  </si>
  <si>
    <t>C00179 : 1</t>
  </si>
  <si>
    <t>C00179 : Agmatine</t>
  </si>
  <si>
    <t>C00180</t>
  </si>
  <si>
    <t>Benzoate</t>
  </si>
  <si>
    <t>https://www.kegg.jp/entry/C00180</t>
  </si>
  <si>
    <t>C00180 : 1</t>
  </si>
  <si>
    <t>C00180 : Benzoate</t>
  </si>
  <si>
    <t>C00183</t>
  </si>
  <si>
    <t>L-Valine</t>
  </si>
  <si>
    <t>https://www.kegg.jp/entry/C00183</t>
  </si>
  <si>
    <t>C00183 : 1000</t>
  </si>
  <si>
    <t>C00183 : L-Valine</t>
  </si>
  <si>
    <t>C00184</t>
  </si>
  <si>
    <t>Glycerone</t>
  </si>
  <si>
    <t>https://www.kegg.jp/entry/C00184</t>
  </si>
  <si>
    <t>C00184 : 1</t>
  </si>
  <si>
    <t>C00184 : Glycerone</t>
  </si>
  <si>
    <t>C00185</t>
  </si>
  <si>
    <t>Cellobiose</t>
  </si>
  <si>
    <t>https://www.kegg.jp/entry/C00185</t>
  </si>
  <si>
    <t>C00185 : 1</t>
  </si>
  <si>
    <t>C00185 : Cellobiose</t>
  </si>
  <si>
    <t>C00186</t>
  </si>
  <si>
    <t>(S)-Lactate</t>
  </si>
  <si>
    <t>https://www.kegg.jp/entry/C00186</t>
  </si>
  <si>
    <t>C00186 : 1</t>
  </si>
  <si>
    <t>C00186 : (S)-Lactate</t>
  </si>
  <si>
    <t>L-Threonine</t>
  </si>
  <si>
    <t>https://www.kegg.jp/entry/C00188</t>
  </si>
  <si>
    <t>C00188 : 1000</t>
  </si>
  <si>
    <t>C00188 : L-Threonine</t>
  </si>
  <si>
    <t>C00192</t>
  </si>
  <si>
    <t>Hydroxylamine</t>
  </si>
  <si>
    <t>https://www.kegg.jp/entry/C00192</t>
  </si>
  <si>
    <t>C00192 : 1</t>
  </si>
  <si>
    <t>C00192 : Hydroxylamine</t>
  </si>
  <si>
    <t>C00194</t>
  </si>
  <si>
    <t>Cobamide coenzyme</t>
  </si>
  <si>
    <t>https://www.kegg.jp/entry/C00194</t>
  </si>
  <si>
    <t>C00194 : 1</t>
  </si>
  <si>
    <t>C00194 : Cobamide coenzyme</t>
  </si>
  <si>
    <t>C00196</t>
  </si>
  <si>
    <t>2,3-Dihydroxybenzoate</t>
  </si>
  <si>
    <t>https://www.kegg.jp/entry/C00196</t>
  </si>
  <si>
    <t>C00196 : 1</t>
  </si>
  <si>
    <t>C00196 : 2,3-Dihydroxybenzoate</t>
  </si>
  <si>
    <t>3-Phospho-D-glycerate</t>
  </si>
  <si>
    <t>https://www.kegg.jp/entry/C00197</t>
  </si>
  <si>
    <t>C00197 : 1</t>
  </si>
  <si>
    <t>C00197 : 3-Phospho-D-glycerate</t>
  </si>
  <si>
    <t>D-Ribulose 5-phosphate</t>
  </si>
  <si>
    <t>https://www.kegg.jp/entry/C00199</t>
  </si>
  <si>
    <t>C00199 : 1</t>
  </si>
  <si>
    <t>C00199 : D-Ribulose 5-phosphate</t>
  </si>
  <si>
    <t>Nucleoside triphosphate</t>
  </si>
  <si>
    <t>https://www.kegg.jp/entry/C00201</t>
  </si>
  <si>
    <t>C00201 : 1</t>
  </si>
  <si>
    <t>C00201 : Nucleoside triphosphate</t>
  </si>
  <si>
    <t>UDP-N-acetyl-D-galactosamine</t>
  </si>
  <si>
    <t>https://www.kegg.jp/entry/C00203</t>
  </si>
  <si>
    <t>C00203 : 1</t>
  </si>
  <si>
    <t>C00203 : UDP-N-acetyl-D-galactosamine</t>
  </si>
  <si>
    <t>C00206</t>
  </si>
  <si>
    <t>dADP</t>
  </si>
  <si>
    <t>https://www.kegg.jp/entry/C00206</t>
  </si>
  <si>
    <t>C00206 : 1</t>
  </si>
  <si>
    <t>C00206 : dADP</t>
  </si>
  <si>
    <t>Maltose</t>
  </si>
  <si>
    <t>https://www.kegg.jp/entry/C00208</t>
  </si>
  <si>
    <t>C00208 : 1</t>
  </si>
  <si>
    <t>C00208 : Maltose</t>
  </si>
  <si>
    <t>C00212</t>
  </si>
  <si>
    <t>Adenosine</t>
  </si>
  <si>
    <t>https://www.kegg.jp/entry/C00212</t>
  </si>
  <si>
    <t>C00212 : 1</t>
  </si>
  <si>
    <t>C00212 : Adenosine</t>
  </si>
  <si>
    <t>C00213</t>
  </si>
  <si>
    <t>Sarcosine</t>
  </si>
  <si>
    <t>https://www.kegg.jp/entry/C00213</t>
  </si>
  <si>
    <t>C00213 : 1</t>
  </si>
  <si>
    <t>C00213 : Sarcosine</t>
  </si>
  <si>
    <t>C00214</t>
  </si>
  <si>
    <t>Thymidine</t>
  </si>
  <si>
    <t>https://www.kegg.jp/entry/C00214</t>
  </si>
  <si>
    <t>C00214 : 1</t>
  </si>
  <si>
    <t>C00214 : Thymidine</t>
  </si>
  <si>
    <t>C00215</t>
  </si>
  <si>
    <t>Nucleotide</t>
  </si>
  <si>
    <t>https://www.kegg.jp/entry/C00215</t>
  </si>
  <si>
    <t>C00215 : 1</t>
  </si>
  <si>
    <t>C00215 : Nucleotide</t>
  </si>
  <si>
    <t>D-Glutamate</t>
  </si>
  <si>
    <t>https://www.kegg.jp/entry/C00217</t>
  </si>
  <si>
    <t>C00217 : 1</t>
  </si>
  <si>
    <t>C00217 : D-Glutamate</t>
  </si>
  <si>
    <t>C00218</t>
  </si>
  <si>
    <t>Methylamine</t>
  </si>
  <si>
    <t>https://www.kegg.jp/entry/C00218</t>
  </si>
  <si>
    <t>C00218 : 1</t>
  </si>
  <si>
    <t>C00218 : Methylamine</t>
  </si>
  <si>
    <t>C00219</t>
  </si>
  <si>
    <t>Arachidonate</t>
  </si>
  <si>
    <t>https://www.kegg.jp/entry/C00219</t>
  </si>
  <si>
    <t>C00219 : 1</t>
  </si>
  <si>
    <t>C00219 : Arachidonate</t>
  </si>
  <si>
    <t>C00221</t>
  </si>
  <si>
    <t>beta-D-Glucose</t>
  </si>
  <si>
    <t>https://www.kegg.jp/entry/C00221</t>
  </si>
  <si>
    <t>C00221 : 1000</t>
  </si>
  <si>
    <t>C00221 : beta-D-Glucose</t>
  </si>
  <si>
    <t>C00222</t>
  </si>
  <si>
    <t>3-Oxopropanoate</t>
  </si>
  <si>
    <t>https://www.kegg.jp/entry/C00222</t>
  </si>
  <si>
    <t>C00222 : 1</t>
  </si>
  <si>
    <t>C00222 : 3-Oxopropanoate</t>
  </si>
  <si>
    <t>C00224</t>
  </si>
  <si>
    <t>Adenylyl sulfate</t>
  </si>
  <si>
    <t>https://www.kegg.jp/entry/C00224</t>
  </si>
  <si>
    <t>C00224 : 1</t>
  </si>
  <si>
    <t>C00224 : Adenylyl sulfate</t>
  </si>
  <si>
    <t>C00226</t>
  </si>
  <si>
    <t>Primary alcohol</t>
  </si>
  <si>
    <t>https://www.kegg.jp/entry/C00226</t>
  </si>
  <si>
    <t>C00226 : 1</t>
  </si>
  <si>
    <t>C00226 : Primary alcohol</t>
  </si>
  <si>
    <t>C00227</t>
  </si>
  <si>
    <t>Acetyl phosphate</t>
  </si>
  <si>
    <t>https://www.kegg.jp/entry/C00227</t>
  </si>
  <si>
    <t>C00227 : 1</t>
  </si>
  <si>
    <t>C00227 : Acetyl phosphate</t>
  </si>
  <si>
    <t>C00229</t>
  </si>
  <si>
    <t>Acyl-carrier protein</t>
  </si>
  <si>
    <t>https://www.kegg.jp/entry/C00229</t>
  </si>
  <si>
    <t>C00229 : 1</t>
  </si>
  <si>
    <t>C00229 : Acyl-carrier protein</t>
  </si>
  <si>
    <t>D-Xylulose 5-phosphate</t>
  </si>
  <si>
    <t>https://www.kegg.jp/entry/C00231</t>
  </si>
  <si>
    <t>C00231 : 1</t>
  </si>
  <si>
    <t>C00231 : D-Xylulose 5-phosphate</t>
  </si>
  <si>
    <t>C00232</t>
  </si>
  <si>
    <t>Succinate semialdehyde</t>
  </si>
  <si>
    <t>https://www.kegg.jp/entry/C00232</t>
  </si>
  <si>
    <t>C00232 : 1000</t>
  </si>
  <si>
    <t>C00232 : Succinate semialdehyde</t>
  </si>
  <si>
    <t>C00233</t>
  </si>
  <si>
    <t>4-Methyl-2-oxopentanoate</t>
  </si>
  <si>
    <t>https://www.kegg.jp/entry/C00233</t>
  </si>
  <si>
    <t>C00233 : 1</t>
  </si>
  <si>
    <t>C00233 : 4-Methyl-2-oxopentanoate</t>
  </si>
  <si>
    <t>C00234</t>
  </si>
  <si>
    <t>10-Formyltetrahydrofolate</t>
  </si>
  <si>
    <t>https://www.kegg.jp/entry/C00234</t>
  </si>
  <si>
    <t>C00234 : 1</t>
  </si>
  <si>
    <t>C00234 : 10-Formyltetrahydrofolate</t>
  </si>
  <si>
    <t>Dimethylallyl diphosphate</t>
  </si>
  <si>
    <t>https://www.kegg.jp/entry/C00235</t>
  </si>
  <si>
    <t>C00235 : 1</t>
  </si>
  <si>
    <t>C00235 : Dimethylallyl diphosphate</t>
  </si>
  <si>
    <t>C00236</t>
  </si>
  <si>
    <t>3-Phospho-D-glyceroyl phosphate</t>
  </si>
  <si>
    <t>https://www.kegg.jp/entry/C00236</t>
  </si>
  <si>
    <t>C00236 : 1</t>
  </si>
  <si>
    <t>C00236 : 3-Phospho-D-glyceroyl phosphate</t>
  </si>
  <si>
    <t>C00237</t>
  </si>
  <si>
    <t>CO</t>
  </si>
  <si>
    <t>https://www.kegg.jp/entry/C00237</t>
  </si>
  <si>
    <t>C00237 : 1</t>
  </si>
  <si>
    <t>C00237 : CO</t>
  </si>
  <si>
    <t>C00239</t>
  </si>
  <si>
    <t>dCMP</t>
  </si>
  <si>
    <t>https://www.kegg.jp/entry/C00239</t>
  </si>
  <si>
    <t>C00239 : 1</t>
  </si>
  <si>
    <t>C00239 : dCMP</t>
  </si>
  <si>
    <t>C00240</t>
  </si>
  <si>
    <t>https://www.kegg.jp/entry/C00240</t>
  </si>
  <si>
    <t>C00240 : 1</t>
  </si>
  <si>
    <t>C00240 : rRNA</t>
  </si>
  <si>
    <t>C00241</t>
  </si>
  <si>
    <t>Amide</t>
  </si>
  <si>
    <t>https://www.kegg.jp/entry/C00241</t>
  </si>
  <si>
    <t>C00241 : 1</t>
  </si>
  <si>
    <t>C00241 : Amide</t>
  </si>
  <si>
    <t>C00242</t>
  </si>
  <si>
    <t>Guanine</t>
  </si>
  <si>
    <t>https://www.kegg.jp/entry/C00242</t>
  </si>
  <si>
    <t>C00242 : 1</t>
  </si>
  <si>
    <t>C00242 : Guanine</t>
  </si>
  <si>
    <t>C00244</t>
  </si>
  <si>
    <t>Nitrate</t>
  </si>
  <si>
    <t>https://www.kegg.jp/entry/C00244</t>
  </si>
  <si>
    <t>C00244 : 1000</t>
  </si>
  <si>
    <t>C00244 : Nitrate</t>
  </si>
  <si>
    <t>C00245</t>
  </si>
  <si>
    <t>Taurine</t>
  </si>
  <si>
    <t>https://www.kegg.jp/entry/C00245</t>
  </si>
  <si>
    <t>C00245 : 1</t>
  </si>
  <si>
    <t>C00245 : Taurine</t>
  </si>
  <si>
    <t>C00246</t>
  </si>
  <si>
    <t>Butanoic acid</t>
  </si>
  <si>
    <t>https://www.kegg.jp/entry/C00246</t>
  </si>
  <si>
    <t>C00246 : 1</t>
  </si>
  <si>
    <t>C00246 : Butanoic acid</t>
  </si>
  <si>
    <t>C00248</t>
  </si>
  <si>
    <t>Lipoamide</t>
  </si>
  <si>
    <t>https://www.kegg.jp/entry/C00248</t>
  </si>
  <si>
    <t>C00248 : 1</t>
  </si>
  <si>
    <t>C00248 : Lipoamide</t>
  </si>
  <si>
    <t>C00249</t>
  </si>
  <si>
    <t>Hexadecanoic acid</t>
  </si>
  <si>
    <t>https://www.kegg.jp/entry/C00249</t>
  </si>
  <si>
    <t>C00249 : 1</t>
  </si>
  <si>
    <t>C00249 : Hexadecanoic acid</t>
  </si>
  <si>
    <t>Chorismate</t>
  </si>
  <si>
    <t>https://www.kegg.jp/entry/C00251</t>
  </si>
  <si>
    <t>C00251 : 1</t>
  </si>
  <si>
    <t>C00251 : Chorismate</t>
  </si>
  <si>
    <t>C00252</t>
  </si>
  <si>
    <t>Isomaltose</t>
  </si>
  <si>
    <t>https://www.kegg.jp/entry/C00252</t>
  </si>
  <si>
    <t>C00252 : 1</t>
  </si>
  <si>
    <t>C00252 : Isomaltose</t>
  </si>
  <si>
    <t>C00253</t>
  </si>
  <si>
    <t>Nicotinate</t>
  </si>
  <si>
    <t>https://www.kegg.jp/entry/C00253</t>
  </si>
  <si>
    <t>C00253 : 1000</t>
  </si>
  <si>
    <t>C00253 : Nicotinate</t>
  </si>
  <si>
    <t>Prephenate</t>
  </si>
  <si>
    <t>https://www.kegg.jp/entry/C00254</t>
  </si>
  <si>
    <t>C00254 : 1</t>
  </si>
  <si>
    <t>C00254 : Prephenate</t>
  </si>
  <si>
    <t>C00255</t>
  </si>
  <si>
    <t>Riboflavin</t>
  </si>
  <si>
    <t>https://www.kegg.jp/entry/C00255</t>
  </si>
  <si>
    <t>C00255 : 1000</t>
  </si>
  <si>
    <t>C00255 : Riboflavin</t>
  </si>
  <si>
    <t>C00256</t>
  </si>
  <si>
    <t>(R)-Lactate</t>
  </si>
  <si>
    <t>https://www.kegg.jp/entry/C00256</t>
  </si>
  <si>
    <t>C00256 : 1</t>
  </si>
  <si>
    <t>C00256 : (R)-Lactate</t>
  </si>
  <si>
    <t>C00257</t>
  </si>
  <si>
    <t>D-Gluconic acid</t>
  </si>
  <si>
    <t>https://www.kegg.jp/entry/C00257</t>
  </si>
  <si>
    <t>C00257 : 1</t>
  </si>
  <si>
    <t>C00257 : D-Gluconic acid</t>
  </si>
  <si>
    <t>C00258</t>
  </si>
  <si>
    <t>D-Glycerate</t>
  </si>
  <si>
    <t>https://www.kegg.jp/entry/C00258</t>
  </si>
  <si>
    <t>C00258 : 1</t>
  </si>
  <si>
    <t>C00258 : D-Glycerate</t>
  </si>
  <si>
    <t>C00262</t>
  </si>
  <si>
    <t>Hypoxanthine</t>
  </si>
  <si>
    <t>https://www.kegg.jp/entry/C00262</t>
  </si>
  <si>
    <t>C00262 : 1</t>
  </si>
  <si>
    <t>C00262 : Hypoxanthine</t>
  </si>
  <si>
    <t>C00263</t>
  </si>
  <si>
    <t>L-Homoserine</t>
  </si>
  <si>
    <t>https://www.kegg.jp/entry/C00263</t>
  </si>
  <si>
    <t>C00263 : 1</t>
  </si>
  <si>
    <t>C00263 : L-Homoserine</t>
  </si>
  <si>
    <t>C00266</t>
  </si>
  <si>
    <t>Glycolaldehyde</t>
  </si>
  <si>
    <t>https://www.kegg.jp/entry/C00266</t>
  </si>
  <si>
    <t>C00266 : 1</t>
  </si>
  <si>
    <t>C00266 : Glycolaldehyde</t>
  </si>
  <si>
    <t>C00267</t>
  </si>
  <si>
    <t>alpha-D-Glucose</t>
  </si>
  <si>
    <t>https://www.kegg.jp/entry/C00267</t>
  </si>
  <si>
    <t>C00267 : 1000</t>
  </si>
  <si>
    <t>C00267 : alpha-D-Glucose</t>
  </si>
  <si>
    <t>C00268</t>
  </si>
  <si>
    <t>Dihydrobiopterin</t>
  </si>
  <si>
    <t>https://www.kegg.jp/entry/C00268</t>
  </si>
  <si>
    <t>C00268 : 1</t>
  </si>
  <si>
    <t>C00268 : Dihydrobiopterin</t>
  </si>
  <si>
    <t>C00269</t>
  </si>
  <si>
    <t>CDP-diacylglycerol</t>
  </si>
  <si>
    <t>https://www.kegg.jp/entry/C00269</t>
  </si>
  <si>
    <t>C00269 : 1</t>
  </si>
  <si>
    <t>C00269 : CDP-diacylglycerol</t>
  </si>
  <si>
    <t>C00272</t>
  </si>
  <si>
    <t>Tetrahydrobiopterin</t>
  </si>
  <si>
    <t>https://www.kegg.jp/entry/C00272</t>
  </si>
  <si>
    <t>C00272 : 1</t>
  </si>
  <si>
    <t>C00272 : Tetrahydrobiopterin</t>
  </si>
  <si>
    <t>C00279</t>
  </si>
  <si>
    <t>D-Erythrose 4-phosphate</t>
  </si>
  <si>
    <t>https://www.kegg.jp/entry/C00279</t>
  </si>
  <si>
    <t>C00279 : 1</t>
  </si>
  <si>
    <t>C00279 : D-Erythrose 4-phosphate</t>
  </si>
  <si>
    <t>C00280</t>
  </si>
  <si>
    <t>Androstenedione</t>
  </si>
  <si>
    <t>https://www.kegg.jp/entry/C00280</t>
  </si>
  <si>
    <t>C00280 : 1</t>
  </si>
  <si>
    <t>C00280 : Androstenedione</t>
  </si>
  <si>
    <t>C00283</t>
  </si>
  <si>
    <t>Hydrogen sulfide</t>
  </si>
  <si>
    <t>https://www.kegg.jp/entry/C00283</t>
  </si>
  <si>
    <t>C00283 : 1</t>
  </si>
  <si>
    <t>C00283 : Hydrogen sulfide</t>
  </si>
  <si>
    <t>C00286</t>
  </si>
  <si>
    <t>dGTP</t>
  </si>
  <si>
    <t>https://www.kegg.jp/entry/C00286</t>
  </si>
  <si>
    <t>C00286 : 1</t>
  </si>
  <si>
    <t>C00286 : dGTP</t>
  </si>
  <si>
    <t>C00288</t>
  </si>
  <si>
    <t>HCO3-</t>
  </si>
  <si>
    <t>https://www.kegg.jp/entry/C00288</t>
  </si>
  <si>
    <t>C00288 : 1</t>
  </si>
  <si>
    <t>C00288 : HCO3-</t>
  </si>
  <si>
    <t>C00294</t>
  </si>
  <si>
    <t>Inosine</t>
  </si>
  <si>
    <t>https://www.kegg.jp/entry/C00294</t>
  </si>
  <si>
    <t>C00294 : 1</t>
  </si>
  <si>
    <t>C00294 : Inosine</t>
  </si>
  <si>
    <t>C00295</t>
  </si>
  <si>
    <t>Orotate</t>
  </si>
  <si>
    <t>https://www.kegg.jp/entry/C00295</t>
  </si>
  <si>
    <t>C00295 : 1</t>
  </si>
  <si>
    <t>C00295 : Orotate</t>
  </si>
  <si>
    <t>C00299</t>
  </si>
  <si>
    <t>Uridine</t>
  </si>
  <si>
    <t>https://www.kegg.jp/entry/C00299</t>
  </si>
  <si>
    <t>C00299 : 1</t>
  </si>
  <si>
    <t>C00299 : Uridine</t>
  </si>
  <si>
    <t>C00302</t>
  </si>
  <si>
    <t>Glutamate</t>
  </si>
  <si>
    <t>https://www.kegg.jp/entry/C00302</t>
  </si>
  <si>
    <t>C00302 : 1</t>
  </si>
  <si>
    <t>C00302 : Glutamate</t>
  </si>
  <si>
    <t>Isocitrate</t>
  </si>
  <si>
    <t>https://www.kegg.jp/entry/C00311</t>
  </si>
  <si>
    <t>C00311 : 1000</t>
  </si>
  <si>
    <t>C00311 : Isocitrate</t>
  </si>
  <si>
    <t>C00315</t>
  </si>
  <si>
    <t>Spermidine</t>
  </si>
  <si>
    <t>https://www.kegg.jp/entry/C00315</t>
  </si>
  <si>
    <t>C00315 : 1</t>
  </si>
  <si>
    <t>C00315 : Spermidine</t>
  </si>
  <si>
    <t>C00320</t>
  </si>
  <si>
    <t>Thiosulfate</t>
  </si>
  <si>
    <t>https://www.kegg.jp/entry/C00320</t>
  </si>
  <si>
    <t>C00320 : 1</t>
  </si>
  <si>
    <t>C00320 : Thiosulfate</t>
  </si>
  <si>
    <t>C00327</t>
  </si>
  <si>
    <t>L-Citrulline</t>
  </si>
  <si>
    <t>https://www.kegg.jp/entry/C00327</t>
  </si>
  <si>
    <t>C00327 : 1</t>
  </si>
  <si>
    <t>C00327 : L-Citrulline</t>
  </si>
  <si>
    <t>C00328</t>
  </si>
  <si>
    <t>L-Kynurenine</t>
  </si>
  <si>
    <t>https://www.kegg.jp/entry/C00328</t>
  </si>
  <si>
    <t>C00328 : 1</t>
  </si>
  <si>
    <t>C00328 : L-Kynurenine</t>
  </si>
  <si>
    <t>C00330</t>
  </si>
  <si>
    <t>Deoxyguanosine</t>
  </si>
  <si>
    <t>https://www.kegg.jp/entry/C00330</t>
  </si>
  <si>
    <t>C00330 : 1</t>
  </si>
  <si>
    <t>C00330 : Deoxyguanosine</t>
  </si>
  <si>
    <t>C00332</t>
  </si>
  <si>
    <t>Acetoacetyl-CoA</t>
  </si>
  <si>
    <t>https://www.kegg.jp/entry/C00332</t>
  </si>
  <si>
    <t>C00332 : 1</t>
  </si>
  <si>
    <t>C00332 : Acetoacetyl-CoA</t>
  </si>
  <si>
    <t>C00334</t>
  </si>
  <si>
    <t>4-Aminobutanoate</t>
  </si>
  <si>
    <t>https://www.kegg.jp/entry/C00334</t>
  </si>
  <si>
    <t>C00334 : 1</t>
  </si>
  <si>
    <t>C00334 : 4-Aminobutanoate</t>
  </si>
  <si>
    <t>C00337</t>
  </si>
  <si>
    <t>(S)-Dihydroorotate</t>
  </si>
  <si>
    <t>https://www.kegg.jp/entry/C00337</t>
  </si>
  <si>
    <t>C00337 : 1</t>
  </si>
  <si>
    <t>C00337 : (S)-Dihydroorotate</t>
  </si>
  <si>
    <t>C00341</t>
  </si>
  <si>
    <t>Geranyl diphosphate</t>
  </si>
  <si>
    <t>https://www.kegg.jp/entry/C00341</t>
  </si>
  <si>
    <t>C00341 : 1</t>
  </si>
  <si>
    <t>C00341 : Geranyl diphosphate</t>
  </si>
  <si>
    <t>C00342</t>
  </si>
  <si>
    <t>Thioredoxin</t>
  </si>
  <si>
    <t>https://www.kegg.jp/entry/C00342</t>
  </si>
  <si>
    <t>C00342 : 1</t>
  </si>
  <si>
    <t>C00342 : Thioredoxin</t>
  </si>
  <si>
    <t>C00343</t>
  </si>
  <si>
    <t>Thioredoxin disulfide</t>
  </si>
  <si>
    <t>https://www.kegg.jp/entry/C00343</t>
  </si>
  <si>
    <t>C00343 : 1</t>
  </si>
  <si>
    <t>C00343 : Thioredoxin disulfide</t>
  </si>
  <si>
    <t>C00345</t>
  </si>
  <si>
    <t>6-Phospho-D-gluconate</t>
  </si>
  <si>
    <t>https://www.kegg.jp/entry/C00345</t>
  </si>
  <si>
    <t>C00345 : 1000</t>
  </si>
  <si>
    <t>C00345 : 6-Phospho-D-gluconate</t>
  </si>
  <si>
    <t>C00350</t>
  </si>
  <si>
    <t>Phosphatidylethanolamine</t>
  </si>
  <si>
    <t>https://www.kegg.jp/entry/C00350</t>
  </si>
  <si>
    <t>C00350 : 1000</t>
  </si>
  <si>
    <t>C00350 : Phosphatidylethanolamine</t>
  </si>
  <si>
    <t>D-Glucosamine 6-phosphate</t>
  </si>
  <si>
    <t>https://www.kegg.jp/entry/C00352</t>
  </si>
  <si>
    <t>C00352 : 1</t>
  </si>
  <si>
    <t>C00352 : D-Glucosamine 6-phosphate</t>
  </si>
  <si>
    <t>D-Fructose 1,6-bisphosphate</t>
  </si>
  <si>
    <t>https://www.kegg.jp/entry/C00354</t>
  </si>
  <si>
    <t>C00354 : 1</t>
  </si>
  <si>
    <t>C00354 : D-Fructose 1,6-bisphosphate</t>
  </si>
  <si>
    <t>(S)-3-Hydroxy-3-methylglutaryl-CoA</t>
  </si>
  <si>
    <t>https://www.kegg.jp/entry/C00356</t>
  </si>
  <si>
    <t>C00356 : 1</t>
  </si>
  <si>
    <t>C00356 : (S)-3-Hydroxy-3-methylglutaryl-CoA</t>
  </si>
  <si>
    <t>C00357</t>
  </si>
  <si>
    <t>N-Acetyl-D-glucosamine 6-phosphate</t>
  </si>
  <si>
    <t>https://www.kegg.jp/entry/C00357</t>
  </si>
  <si>
    <t>C00357 : 1</t>
  </si>
  <si>
    <t>C00357 : N-Acetyl-D-glucosamine 6-phosphate</t>
  </si>
  <si>
    <t>C00360</t>
  </si>
  <si>
    <t>dAMP</t>
  </si>
  <si>
    <t>https://www.kegg.jp/entry/C00360</t>
  </si>
  <si>
    <t>C00360 : 1</t>
  </si>
  <si>
    <t>C00360 : dAMP</t>
  </si>
  <si>
    <t>C00361</t>
  </si>
  <si>
    <t>dGDP</t>
  </si>
  <si>
    <t>https://www.kegg.jp/entry/C00361</t>
  </si>
  <si>
    <t>C00361 : 1</t>
  </si>
  <si>
    <t>C00361 : dGDP</t>
  </si>
  <si>
    <t>C00362</t>
  </si>
  <si>
    <t>dGMP</t>
  </si>
  <si>
    <t>https://www.kegg.jp/entry/C00362</t>
  </si>
  <si>
    <t>C00362 : 1</t>
  </si>
  <si>
    <t>C00362 : dGMP</t>
  </si>
  <si>
    <t>C00363</t>
  </si>
  <si>
    <t>dTDP</t>
  </si>
  <si>
    <t>https://www.kegg.jp/entry/C00363</t>
  </si>
  <si>
    <t>C00363 : 1</t>
  </si>
  <si>
    <t>C00363 : dTDP</t>
  </si>
  <si>
    <t>C00364</t>
  </si>
  <si>
    <t>dTMP</t>
  </si>
  <si>
    <t>https://www.kegg.jp/entry/C00364</t>
  </si>
  <si>
    <t>C00364 : 1</t>
  </si>
  <si>
    <t>C00364 : dTMP</t>
  </si>
  <si>
    <t>C00365</t>
  </si>
  <si>
    <t>dUMP</t>
  </si>
  <si>
    <t>https://www.kegg.jp/entry/C00365</t>
  </si>
  <si>
    <t>C00365 : 1</t>
  </si>
  <si>
    <t>C00365 : dUMP</t>
  </si>
  <si>
    <t>Starch</t>
  </si>
  <si>
    <t>https://www.kegg.jp/entry/C00369</t>
  </si>
  <si>
    <t>C00369 : 1</t>
  </si>
  <si>
    <t>C00369 : Starch</t>
  </si>
  <si>
    <t>C00376</t>
  </si>
  <si>
    <t>Retinal</t>
  </si>
  <si>
    <t>https://www.kegg.jp/entry/C00376</t>
  </si>
  <si>
    <t>C00376 : 1</t>
  </si>
  <si>
    <t>C00376 : Retinal</t>
  </si>
  <si>
    <t>C00378</t>
  </si>
  <si>
    <t>Thiamine</t>
  </si>
  <si>
    <t>https://www.kegg.jp/entry/C00378</t>
  </si>
  <si>
    <t>C00378 : 1000</t>
  </si>
  <si>
    <t>C00378 : Thiamine</t>
  </si>
  <si>
    <t>C00380</t>
  </si>
  <si>
    <t>Cytosine</t>
  </si>
  <si>
    <t>https://www.kegg.jp/entry/C00380</t>
  </si>
  <si>
    <t>C00380 : 1</t>
  </si>
  <si>
    <t>C00380 : Cytosine</t>
  </si>
  <si>
    <t>C00385</t>
  </si>
  <si>
    <t>Xanthine</t>
  </si>
  <si>
    <t>https://www.kegg.jp/entry/C00385</t>
  </si>
  <si>
    <t>C00385 : 1</t>
  </si>
  <si>
    <t>C00385 : Xanthine</t>
  </si>
  <si>
    <t>C00387</t>
  </si>
  <si>
    <t>Guanosine</t>
  </si>
  <si>
    <t>https://www.kegg.jp/entry/C00387</t>
  </si>
  <si>
    <t>C00387 : 1</t>
  </si>
  <si>
    <t>C00387 : Guanosine</t>
  </si>
  <si>
    <t>C00390</t>
  </si>
  <si>
    <t>Ubiquinol</t>
  </si>
  <si>
    <t>https://www.kegg.jp/entry/C00390</t>
  </si>
  <si>
    <t>C00390 : 1</t>
  </si>
  <si>
    <t>C00390 : Ubiquinol</t>
  </si>
  <si>
    <t>C00395</t>
  </si>
  <si>
    <t>Penicillin</t>
  </si>
  <si>
    <t>https://www.kegg.jp/entry/C00395</t>
  </si>
  <si>
    <t>C00395 : 1</t>
  </si>
  <si>
    <t>C00395 : Penicillin</t>
  </si>
  <si>
    <t>C00396</t>
  </si>
  <si>
    <t>Pyrimidine</t>
  </si>
  <si>
    <t>https://www.kegg.jp/entry/C00396</t>
  </si>
  <si>
    <t>C00396 : 1</t>
  </si>
  <si>
    <t>C00396 : Pyrimidine</t>
  </si>
  <si>
    <t>C00399</t>
  </si>
  <si>
    <t>Ubiquinone</t>
  </si>
  <si>
    <t>https://www.kegg.jp/entry/C00399</t>
  </si>
  <si>
    <t>C00399 : 1</t>
  </si>
  <si>
    <t>C00399 : Ubiquinone</t>
  </si>
  <si>
    <t>C00402</t>
  </si>
  <si>
    <t>D-Aspartate</t>
  </si>
  <si>
    <t>https://www.kegg.jp/entry/C00402</t>
  </si>
  <si>
    <t>C00402 : 1</t>
  </si>
  <si>
    <t>C00402 : D-Aspartate</t>
  </si>
  <si>
    <t>C00404</t>
  </si>
  <si>
    <t>Polyphosphate</t>
  </si>
  <si>
    <t>https://www.kegg.jp/entry/C00404</t>
  </si>
  <si>
    <t>C00404 : 1</t>
  </si>
  <si>
    <t>C00404 : Polyphosphate</t>
  </si>
  <si>
    <t>C00405</t>
  </si>
  <si>
    <t>D-Amino acid</t>
  </si>
  <si>
    <t>https://www.kegg.jp/entry/C00405</t>
  </si>
  <si>
    <t>C00405 : 1</t>
  </si>
  <si>
    <t>C00405 : D-Amino acid</t>
  </si>
  <si>
    <t>C00407</t>
  </si>
  <si>
    <t>L-Isoleucine</t>
  </si>
  <si>
    <t>https://www.kegg.jp/entry/C00407</t>
  </si>
  <si>
    <t>C00407 : 1000</t>
  </si>
  <si>
    <t>C00407 : L-Isoleucine</t>
  </si>
  <si>
    <t>C00409</t>
  </si>
  <si>
    <t>Methanethiol</t>
  </si>
  <si>
    <t>https://www.kegg.jp/entry/C00409</t>
  </si>
  <si>
    <t>C00409 : 1</t>
  </si>
  <si>
    <t>C00409 : Methanethiol</t>
  </si>
  <si>
    <t>C00415</t>
  </si>
  <si>
    <t>Dihydrofolate</t>
  </si>
  <si>
    <t>https://www.kegg.jp/entry/C00415</t>
  </si>
  <si>
    <t>C00415 : 1</t>
  </si>
  <si>
    <t>C00415 : Dihydrofolate</t>
  </si>
  <si>
    <t>C00416</t>
  </si>
  <si>
    <t>Phosphatidate</t>
  </si>
  <si>
    <t>https://www.kegg.jp/entry/C00416</t>
  </si>
  <si>
    <t>C00416 : 1</t>
  </si>
  <si>
    <t>C00416 : Phosphatidate</t>
  </si>
  <si>
    <t>C00417</t>
  </si>
  <si>
    <t>cis-Aconitate</t>
  </si>
  <si>
    <t>https://www.kegg.jp/entry/C00417</t>
  </si>
  <si>
    <t>C00417 : 1000</t>
  </si>
  <si>
    <t>C00417 : cis-Aconitate</t>
  </si>
  <si>
    <t>C00418</t>
  </si>
  <si>
    <t>(R)-Mevalonate</t>
  </si>
  <si>
    <t>https://www.kegg.jp/entry/C00418</t>
  </si>
  <si>
    <t>C00418 : 1</t>
  </si>
  <si>
    <t>C00418 : (R)-Mevalonate</t>
  </si>
  <si>
    <t>C00424</t>
  </si>
  <si>
    <t>(S)-Lactaldehyde</t>
  </si>
  <si>
    <t>https://www.kegg.jp/entry/C00424</t>
  </si>
  <si>
    <t>C00424 : 1</t>
  </si>
  <si>
    <t>C00424 : (S)-Lactaldehyde</t>
  </si>
  <si>
    <t>5-Aminolevulinate</t>
  </si>
  <si>
    <t>https://www.kegg.jp/entry/C00430</t>
  </si>
  <si>
    <t>C00430 : 1</t>
  </si>
  <si>
    <t>C00430 : 5-Aminolevulinate</t>
  </si>
  <si>
    <t>C00433</t>
  </si>
  <si>
    <t>2,5-Dioxopentanoate</t>
  </si>
  <si>
    <t>https://www.kegg.jp/entry/C00433</t>
  </si>
  <si>
    <t>C00433 : 1</t>
  </si>
  <si>
    <t>C00433 : 2,5-Dioxopentanoate</t>
  </si>
  <si>
    <t>C00437</t>
  </si>
  <si>
    <t>N-Acetylornithine</t>
  </si>
  <si>
    <t>https://www.kegg.jp/entry/C00437</t>
  </si>
  <si>
    <t>C00437 : 1</t>
  </si>
  <si>
    <t>C00437 : N-Acetylornithine</t>
  </si>
  <si>
    <t>N-Carbamoyl-L-aspartate</t>
  </si>
  <si>
    <t>https://www.kegg.jp/entry/C00438</t>
  </si>
  <si>
    <t>C00438 : 1</t>
  </si>
  <si>
    <t>C00438 : N-Carbamoyl-L-aspartate</t>
  </si>
  <si>
    <t>N-Formimino-L-glutamate</t>
  </si>
  <si>
    <t>https://www.kegg.jp/entry/C00439</t>
  </si>
  <si>
    <t>C00439 : 1</t>
  </si>
  <si>
    <t>C00439 : N-Formimino-L-glutamate</t>
  </si>
  <si>
    <t>C00440</t>
  </si>
  <si>
    <t>5-Methyltetrahydrofolate</t>
  </si>
  <si>
    <t>https://www.kegg.jp/entry/C00440</t>
  </si>
  <si>
    <t>C00440 : 1</t>
  </si>
  <si>
    <t>C00440 : 5-Methyltetrahydrofolate</t>
  </si>
  <si>
    <t>C00441</t>
  </si>
  <si>
    <t>L-Aspartate 4-semialdehyde</t>
  </si>
  <si>
    <t>https://www.kegg.jp/entry/C00441</t>
  </si>
  <si>
    <t>C00441 : 1</t>
  </si>
  <si>
    <t>C00441 : L-Aspartate 4-semialdehyde</t>
  </si>
  <si>
    <t>C00445</t>
  </si>
  <si>
    <t>5,10-Methenyltetrahydrofolate</t>
  </si>
  <si>
    <t>https://www.kegg.jp/entry/C00445</t>
  </si>
  <si>
    <t>C00445 : 1</t>
  </si>
  <si>
    <t>C00445 : 5,10-Methenyltetrahydrofolate</t>
  </si>
  <si>
    <t>Sedoheptulose 1,7-bisphosphate</t>
  </si>
  <si>
    <t>https://www.kegg.jp/entry/C00447</t>
  </si>
  <si>
    <t>C00447 : 1</t>
  </si>
  <si>
    <t>C00447 : Sedoheptulose 1,7-bisphosphate</t>
  </si>
  <si>
    <t>C00448</t>
  </si>
  <si>
    <t>trans,trans-Farnesyl diphosphate</t>
  </si>
  <si>
    <t>https://www.kegg.jp/entry/C00448</t>
  </si>
  <si>
    <t>C00448 : 1</t>
  </si>
  <si>
    <t>C00448 : trans,trans-Farnesyl diphosphate</t>
  </si>
  <si>
    <t>C00454</t>
  </si>
  <si>
    <t>NDP</t>
  </si>
  <si>
    <t>https://www.kegg.jp/entry/C00454</t>
  </si>
  <si>
    <t>C00454 : 1</t>
  </si>
  <si>
    <t>C00454 : NDP</t>
  </si>
  <si>
    <t>C00455</t>
  </si>
  <si>
    <t>Nicotinamide D-ribonucleotide</t>
  </si>
  <si>
    <t>https://www.kegg.jp/entry/C00455</t>
  </si>
  <si>
    <t>C00455 : 1</t>
  </si>
  <si>
    <t>C00455 : Nicotinamide D-ribonucleotide</t>
  </si>
  <si>
    <t>C00458</t>
  </si>
  <si>
    <t>dCTP</t>
  </si>
  <si>
    <t>https://www.kegg.jp/entry/C00458</t>
  </si>
  <si>
    <t>C00458 : 1</t>
  </si>
  <si>
    <t>C00458 : dCTP</t>
  </si>
  <si>
    <t>C00459</t>
  </si>
  <si>
    <t>dTTP</t>
  </si>
  <si>
    <t>https://www.kegg.jp/entry/C00459</t>
  </si>
  <si>
    <t>C00459 : 1</t>
  </si>
  <si>
    <t>C00459 : dTTP</t>
  </si>
  <si>
    <t>C00460</t>
  </si>
  <si>
    <t>dUTP</t>
  </si>
  <si>
    <t>https://www.kegg.jp/entry/C00460</t>
  </si>
  <si>
    <t>C00460 : 1</t>
  </si>
  <si>
    <t>C00460 : dUTP</t>
  </si>
  <si>
    <t>C00463</t>
  </si>
  <si>
    <t>Indole</t>
  </si>
  <si>
    <t>https://www.kegg.jp/entry/C00463</t>
  </si>
  <si>
    <t>C00463 : 1</t>
  </si>
  <si>
    <t>C00463 : Indole</t>
  </si>
  <si>
    <t>C00468</t>
  </si>
  <si>
    <t>Estrone</t>
  </si>
  <si>
    <t>https://www.kegg.jp/entry/C00468</t>
  </si>
  <si>
    <t>C00468 : 1</t>
  </si>
  <si>
    <t>C00468 : Estrone</t>
  </si>
  <si>
    <t>C00469</t>
  </si>
  <si>
    <t>Ethanol</t>
  </si>
  <si>
    <t>https://www.kegg.jp/entry/C00469</t>
  </si>
  <si>
    <t>C00469 : 1</t>
  </si>
  <si>
    <t>C00469 : Ethanol</t>
  </si>
  <si>
    <t>C00473</t>
  </si>
  <si>
    <t>Retinol</t>
  </si>
  <si>
    <t>https://www.kegg.jp/entry/C00473</t>
  </si>
  <si>
    <t>C00473 : 1</t>
  </si>
  <si>
    <t>C00473 : Retinol</t>
  </si>
  <si>
    <t>C00475</t>
  </si>
  <si>
    <t>Cytidine</t>
  </si>
  <si>
    <t>https://www.kegg.jp/entry/C00475</t>
  </si>
  <si>
    <t>C00475 : 1</t>
  </si>
  <si>
    <t>C00475 : Cytidine</t>
  </si>
  <si>
    <t>C00488</t>
  </si>
  <si>
    <t>Formamide</t>
  </si>
  <si>
    <t>https://www.kegg.jp/entry/C00488</t>
  </si>
  <si>
    <t>C00488 : 1</t>
  </si>
  <si>
    <t>C00488 : Formamide</t>
  </si>
  <si>
    <t>C00490</t>
  </si>
  <si>
    <t>Itaconate</t>
  </si>
  <si>
    <t>https://www.kegg.jp/entry/C00490</t>
  </si>
  <si>
    <t>C00490 : 1</t>
  </si>
  <si>
    <t>C00490 : Itaconate</t>
  </si>
  <si>
    <t>C00491</t>
  </si>
  <si>
    <t>L-Cystine</t>
  </si>
  <si>
    <t>https://www.kegg.jp/entry/C00491</t>
  </si>
  <si>
    <t>C00491 : 1</t>
  </si>
  <si>
    <t>C00491 : L-Cystine</t>
  </si>
  <si>
    <t>C00492</t>
  </si>
  <si>
    <t>Raffinose</t>
  </si>
  <si>
    <t>https://www.kegg.jp/entry/C00492</t>
  </si>
  <si>
    <t>C00492 : 1</t>
  </si>
  <si>
    <t>C00492 : Raffinose</t>
  </si>
  <si>
    <t>C00493</t>
  </si>
  <si>
    <t>Shikimate</t>
  </si>
  <si>
    <t>https://www.kegg.jp/entry/C00493</t>
  </si>
  <si>
    <t>C00493 : 1</t>
  </si>
  <si>
    <t>C00493 : Shikimate</t>
  </si>
  <si>
    <t>C00498</t>
  </si>
  <si>
    <t>ADP-glucose</t>
  </si>
  <si>
    <t>https://www.kegg.jp/entry/C00498</t>
  </si>
  <si>
    <t>C00498 : 1</t>
  </si>
  <si>
    <t>C00498 : ADP-glucose</t>
  </si>
  <si>
    <t>C00500</t>
  </si>
  <si>
    <t>Biliverdin</t>
  </si>
  <si>
    <t>https://www.kegg.jp/entry/C00500</t>
  </si>
  <si>
    <t>C00500 : 1</t>
  </si>
  <si>
    <t>C00500 : Biliverdin</t>
  </si>
  <si>
    <t>CDP-glucose</t>
  </si>
  <si>
    <t>https://www.kegg.jp/entry/C00501</t>
  </si>
  <si>
    <t>C00501 : 1</t>
  </si>
  <si>
    <t>C00501 : CDP-glucose</t>
  </si>
  <si>
    <t>C00504</t>
  </si>
  <si>
    <t>Folate</t>
  </si>
  <si>
    <t>https://www.kegg.jp/entry/C00504</t>
  </si>
  <si>
    <t>C00504 : 1000</t>
  </si>
  <si>
    <t>C00504 : Folate</t>
  </si>
  <si>
    <t>C00506</t>
  </si>
  <si>
    <t>L-Cysteate</t>
  </si>
  <si>
    <t>https://www.kegg.jp/entry/C00506</t>
  </si>
  <si>
    <t>C00506 : 1</t>
  </si>
  <si>
    <t>C00506 : L-Cysteate</t>
  </si>
  <si>
    <t>C00515</t>
  </si>
  <si>
    <t>D-Ornithine</t>
  </si>
  <si>
    <t>https://www.kegg.jp/entry/C00515</t>
  </si>
  <si>
    <t>C00515 : 1</t>
  </si>
  <si>
    <t>C00515 : D-Ornithine</t>
  </si>
  <si>
    <t>C00522</t>
  </si>
  <si>
    <t>(R)-Pantoate</t>
  </si>
  <si>
    <t>https://www.kegg.jp/entry/C00522</t>
  </si>
  <si>
    <t>C00522 : 1</t>
  </si>
  <si>
    <t>C00522 : (R)-Pantoate</t>
  </si>
  <si>
    <t>C00526</t>
  </si>
  <si>
    <t>Deoxyuridine</t>
  </si>
  <si>
    <t>https://www.kegg.jp/entry/C00526</t>
  </si>
  <si>
    <t>C00526 : 1</t>
  </si>
  <si>
    <t>C00526 : Deoxyuridine</t>
  </si>
  <si>
    <t>C00527</t>
  </si>
  <si>
    <t>Glutaryl-CoA</t>
  </si>
  <si>
    <t>https://www.kegg.jp/entry/C00527</t>
  </si>
  <si>
    <t>C00527 : 1</t>
  </si>
  <si>
    <t>C00527 : Glutaryl-CoA</t>
  </si>
  <si>
    <t>C00530</t>
  </si>
  <si>
    <t>Hydroquinone</t>
  </si>
  <si>
    <t>https://www.kegg.jp/entry/C00530</t>
  </si>
  <si>
    <t>C00530 : 1</t>
  </si>
  <si>
    <t>C00530 : Hydroquinone</t>
  </si>
  <si>
    <t>C00531</t>
  </si>
  <si>
    <t>Itaconyl-CoA</t>
  </si>
  <si>
    <t>https://www.kegg.jp/entry/C00531</t>
  </si>
  <si>
    <t>C00531 : 1</t>
  </si>
  <si>
    <t>C00531 : Itaconyl-CoA</t>
  </si>
  <si>
    <t>C00533</t>
  </si>
  <si>
    <t>Nitric oxide</t>
  </si>
  <si>
    <t>https://www.kegg.jp/entry/C00533</t>
  </si>
  <si>
    <t>C00533 : 1000</t>
  </si>
  <si>
    <t>C00533 : Nitric oxide</t>
  </si>
  <si>
    <t>C00535</t>
  </si>
  <si>
    <t>Testosterone</t>
  </si>
  <si>
    <t>https://www.kegg.jp/entry/C00535</t>
  </si>
  <si>
    <t>C00535 : 1</t>
  </si>
  <si>
    <t>C00535 : Testosterone</t>
  </si>
  <si>
    <t>C00536</t>
  </si>
  <si>
    <t>Triphosphate</t>
  </si>
  <si>
    <t>https://www.kegg.jp/entry/C00536</t>
  </si>
  <si>
    <t>C00536 : 1</t>
  </si>
  <si>
    <t>C00536 : Triphosphate</t>
  </si>
  <si>
    <t>C00541</t>
  </si>
  <si>
    <t>Cob(II)alamin</t>
  </si>
  <si>
    <t>https://www.kegg.jp/entry/C00541</t>
  </si>
  <si>
    <t>C00541 : 1</t>
  </si>
  <si>
    <t>C00541 : Cob(II)alamin</t>
  </si>
  <si>
    <t>C00544</t>
  </si>
  <si>
    <t>Homogentisate</t>
  </si>
  <si>
    <t>https://www.kegg.jp/entry/C00544</t>
  </si>
  <si>
    <t>C00544 : 1</t>
  </si>
  <si>
    <t>C00544 : Homogentisate</t>
  </si>
  <si>
    <t>C00546</t>
  </si>
  <si>
    <t>Methylglyoxal</t>
  </si>
  <si>
    <t>https://www.kegg.jp/entry/C00546</t>
  </si>
  <si>
    <t>C00546 : 1</t>
  </si>
  <si>
    <t>C00546 : Methylglyoxal</t>
  </si>
  <si>
    <t>C00555</t>
  </si>
  <si>
    <t>4-Aminobutyraldehyde</t>
  </si>
  <si>
    <t>https://www.kegg.jp/entry/C00555</t>
  </si>
  <si>
    <t>C00555 : 1</t>
  </si>
  <si>
    <t>C00555 : 4-Aminobutyraldehyde</t>
  </si>
  <si>
    <t>C00559</t>
  </si>
  <si>
    <t>Deoxyadenosine</t>
  </si>
  <si>
    <t>https://www.kegg.jp/entry/C00559</t>
  </si>
  <si>
    <t>C00559 : 1</t>
  </si>
  <si>
    <t>C00559 : Deoxyadenosine</t>
  </si>
  <si>
    <t>C00562</t>
  </si>
  <si>
    <t>Phosphoprotein</t>
  </si>
  <si>
    <t>https://www.kegg.jp/entry/C00562</t>
  </si>
  <si>
    <t>C00562 : 1</t>
  </si>
  <si>
    <t>C00562 : Phosphoprotein</t>
  </si>
  <si>
    <t>C00568</t>
  </si>
  <si>
    <t>4-Aminobenzoate</t>
  </si>
  <si>
    <t>https://www.kegg.jp/entry/C00568</t>
  </si>
  <si>
    <t>C00568 : 1</t>
  </si>
  <si>
    <t>C00568 : 4-Aminobenzoate</t>
  </si>
  <si>
    <t>C00576</t>
  </si>
  <si>
    <t>Betaine aldehyde</t>
  </si>
  <si>
    <t>https://www.kegg.jp/entry/C00576</t>
  </si>
  <si>
    <t>C00576 : 1</t>
  </si>
  <si>
    <t>C00576 : Betaine aldehyde</t>
  </si>
  <si>
    <t>C00577</t>
  </si>
  <si>
    <t>D-Glyceraldehyde</t>
  </si>
  <si>
    <t>https://www.kegg.jp/entry/C00577</t>
  </si>
  <si>
    <t>C00577 : 1</t>
  </si>
  <si>
    <t>C00577 : D-Glyceraldehyde</t>
  </si>
  <si>
    <t>C00579</t>
  </si>
  <si>
    <t>Dihydrolipoamide</t>
  </si>
  <si>
    <t>https://www.kegg.jp/entry/C00579</t>
  </si>
  <si>
    <t>C00579 : 1</t>
  </si>
  <si>
    <t>C00579 : Dihydrolipoamide</t>
  </si>
  <si>
    <t>C00585</t>
  </si>
  <si>
    <t>Protein tyrosine</t>
  </si>
  <si>
    <t>https://www.kegg.jp/entry/C00585</t>
  </si>
  <si>
    <t>C00585 : 1</t>
  </si>
  <si>
    <t>C00585 : Protein tyrosine</t>
  </si>
  <si>
    <t>C00605</t>
  </si>
  <si>
    <t>2,3-Dehydroacyl-CoA</t>
  </si>
  <si>
    <t>https://www.kegg.jp/entry/C00605</t>
  </si>
  <si>
    <t>C00605 : 1</t>
  </si>
  <si>
    <t>C00605 : 2,3-Dehydroacyl-CoA</t>
  </si>
  <si>
    <t>C00606</t>
  </si>
  <si>
    <t>3-Sulfino-L-alanine</t>
  </si>
  <si>
    <t>https://www.kegg.jp/entry/C00606</t>
  </si>
  <si>
    <t>C00606 : 1</t>
  </si>
  <si>
    <t>C00606 : 3-Sulfino-L-alanine</t>
  </si>
  <si>
    <t>C00613</t>
  </si>
  <si>
    <t>Protein-L-arginine</t>
  </si>
  <si>
    <t>https://www.kegg.jp/entry/C00613</t>
  </si>
  <si>
    <t>C00613 : 1</t>
  </si>
  <si>
    <t>C00613 : Protein-L-arginine</t>
  </si>
  <si>
    <t>C00614</t>
  </si>
  <si>
    <t>Protein glutamate</t>
  </si>
  <si>
    <t>https://www.kegg.jp/entry/C00614</t>
  </si>
  <si>
    <t>C00614 : 1</t>
  </si>
  <si>
    <t>C00614 : Protein glutamate</t>
  </si>
  <si>
    <t>C00615</t>
  </si>
  <si>
    <t>Protein histidine</t>
  </si>
  <si>
    <t>https://www.kegg.jp/entry/C00615</t>
  </si>
  <si>
    <t>C00615 : 1</t>
  </si>
  <si>
    <t>C00615 : Protein histidine</t>
  </si>
  <si>
    <t>alpha-D-Ribose 1-phosphate</t>
  </si>
  <si>
    <t>https://www.kegg.jp/entry/C00620</t>
  </si>
  <si>
    <t>C00620 : 1</t>
  </si>
  <si>
    <t>C00620 : alpha-D-Ribose 1-phosphate</t>
  </si>
  <si>
    <t>C00624</t>
  </si>
  <si>
    <t>N-Acetyl-L-glutamate</t>
  </si>
  <si>
    <t>https://www.kegg.jp/entry/C00624</t>
  </si>
  <si>
    <t>C00624 : 1</t>
  </si>
  <si>
    <t>C00624 : N-Acetyl-L-glutamate</t>
  </si>
  <si>
    <t>2-Phospho-D-glycerate</t>
  </si>
  <si>
    <t>https://www.kegg.jp/entry/C00631</t>
  </si>
  <si>
    <t>C00631 : 1000</t>
  </si>
  <si>
    <t>C00631 : 2-Phospho-D-glycerate</t>
  </si>
  <si>
    <t>C00632</t>
  </si>
  <si>
    <t>3-Hydroxyanthranilate</t>
  </si>
  <si>
    <t>https://www.kegg.jp/entry/C00632</t>
  </si>
  <si>
    <t>C00632 : 1</t>
  </si>
  <si>
    <t>C00632 : 3-Hydroxyanthranilate</t>
  </si>
  <si>
    <t>C00637</t>
  </si>
  <si>
    <t>Indole-3-acetaldehyde</t>
  </si>
  <si>
    <t>https://www.kegg.jp/entry/C00637</t>
  </si>
  <si>
    <t>C00637 : 1</t>
  </si>
  <si>
    <t>C00637 : Indole-3-acetaldehyde</t>
  </si>
  <si>
    <t>C00638</t>
  </si>
  <si>
    <t>Long-chain fatty acid</t>
  </si>
  <si>
    <t>https://www.kegg.jp/entry/C00638</t>
  </si>
  <si>
    <t>C00638 : 1</t>
  </si>
  <si>
    <t>C00638 : Long-chain fatty acid</t>
  </si>
  <si>
    <t>(3S)-3-Hydroxyacyl-CoA</t>
  </si>
  <si>
    <t>https://www.kegg.jp/entry/C00640</t>
  </si>
  <si>
    <t>C00640 : 1</t>
  </si>
  <si>
    <t>C00640 : (3S)-3-Hydroxyacyl-CoA</t>
  </si>
  <si>
    <t>C00641</t>
  </si>
  <si>
    <t>1,2-Diacyl-sn-glycerol</t>
  </si>
  <si>
    <t>https://www.kegg.jp/entry/C00641</t>
  </si>
  <si>
    <t>C00641 : 1</t>
  </si>
  <si>
    <t>C00641 : 1,2-Diacyl-sn-glycerol</t>
  </si>
  <si>
    <t>C00645</t>
  </si>
  <si>
    <t>N-Acetyl-D-mannosamine</t>
  </si>
  <si>
    <t>https://www.kegg.jp/entry/C00645</t>
  </si>
  <si>
    <t>C00645 : 1</t>
  </si>
  <si>
    <t>C00645 : N-Acetyl-D-mannosamine</t>
  </si>
  <si>
    <t>C00653</t>
  </si>
  <si>
    <t>Poly(ribitol phosphate)</t>
  </si>
  <si>
    <t>https://www.kegg.jp/entry/C00653</t>
  </si>
  <si>
    <t>C00653 : 1</t>
  </si>
  <si>
    <t>C00653 : Poly(ribitol phosphate)</t>
  </si>
  <si>
    <t>C00655</t>
  </si>
  <si>
    <t>Xanthosine 5'-phosphate</t>
  </si>
  <si>
    <t>https://www.kegg.jp/entry/C00655</t>
  </si>
  <si>
    <t>C00655 : 1</t>
  </si>
  <si>
    <t>C00655 : Xanthosine 5'-phosphate</t>
  </si>
  <si>
    <t>C00658</t>
  </si>
  <si>
    <t>trans-2,3-Dehydroacyl-CoA</t>
  </si>
  <si>
    <t>https://www.kegg.jp/entry/C00658</t>
  </si>
  <si>
    <t>C00658 : 1</t>
  </si>
  <si>
    <t>C00658 : trans-2,3-Dehydroacyl-CoA</t>
  </si>
  <si>
    <t>LL-2,6-Diaminoheptanedioate</t>
  </si>
  <si>
    <t>https://www.kegg.jp/entry/C00666</t>
  </si>
  <si>
    <t>C00666 : 1</t>
  </si>
  <si>
    <t>C00666 : LL-2,6-Diaminoheptanedioate</t>
  </si>
  <si>
    <t>alpha-D-Glucose 6-phosphate</t>
  </si>
  <si>
    <t>https://www.kegg.jp/entry/C00668</t>
  </si>
  <si>
    <t>C00668 : 1</t>
  </si>
  <si>
    <t>C00668 : alpha-D-Glucose 6-phosphate</t>
  </si>
  <si>
    <t>C00671</t>
  </si>
  <si>
    <t>(S)-3-Methyl-2-oxopentanoic acid</t>
  </si>
  <si>
    <t>https://www.kegg.jp/entry/C00671</t>
  </si>
  <si>
    <t>C00671 : 1</t>
  </si>
  <si>
    <t>C00671 : (S)-3-Methyl-2-oxopentanoic acid</t>
  </si>
  <si>
    <t>2-Deoxy-D-ribose 1-phosphate</t>
  </si>
  <si>
    <t>https://www.kegg.jp/entry/C00672</t>
  </si>
  <si>
    <t>C00672 : 1</t>
  </si>
  <si>
    <t>C00672 : 2-Deoxy-D-ribose 1-phosphate</t>
  </si>
  <si>
    <t>2-Deoxy-D-ribose 5-phosphate</t>
  </si>
  <si>
    <t>https://www.kegg.jp/entry/C00673</t>
  </si>
  <si>
    <t>C00673 : 1</t>
  </si>
  <si>
    <t>C00673 : 2-Deoxy-D-ribose 5-phosphate</t>
  </si>
  <si>
    <t>C00677</t>
  </si>
  <si>
    <t>Deoxynucleoside triphosphate</t>
  </si>
  <si>
    <t>https://www.kegg.jp/entry/C00677</t>
  </si>
  <si>
    <t>C00677 : 1</t>
  </si>
  <si>
    <t>C00677 : Deoxynucleoside triphosphate</t>
  </si>
  <si>
    <t>meso-2,6-Diaminoheptanedioate</t>
  </si>
  <si>
    <t>https://www.kegg.jp/entry/C00680</t>
  </si>
  <si>
    <t>C00680 : 1</t>
  </si>
  <si>
    <t>C00680 : meso-2,6-Diaminoheptanedioate</t>
  </si>
  <si>
    <t>C00681</t>
  </si>
  <si>
    <t>1-Acyl-sn-glycerol 3-phosphate</t>
  </si>
  <si>
    <t>https://www.kegg.jp/entry/C00681</t>
  </si>
  <si>
    <t>C00681 : 1</t>
  </si>
  <si>
    <t>C00681 : 1-Acyl-sn-glycerol 3-phosphate</t>
  </si>
  <si>
    <t>C00685</t>
  </si>
  <si>
    <t>3-Oxoacyl-[acyl-carrier protein]</t>
  </si>
  <si>
    <t>https://www.kegg.jp/entry/C00685</t>
  </si>
  <si>
    <t>C00685 : 1</t>
  </si>
  <si>
    <t>C00685 : 3-Oxoacyl-[acyl-carrier protein]</t>
  </si>
  <si>
    <t>dTDP-4-dehydro-beta-L-rhamnose</t>
  </si>
  <si>
    <t>https://www.kegg.jp/entry/C00688</t>
  </si>
  <si>
    <t>C00688 : 1</t>
  </si>
  <si>
    <t>C00688 : dTDP-4-dehydro-beta-L-rhamnose</t>
  </si>
  <si>
    <t>C00689</t>
  </si>
  <si>
    <t>alpha,alpha'-Trehalose 6-phosphate</t>
  </si>
  <si>
    <t>https://www.kegg.jp/entry/C00689</t>
  </si>
  <si>
    <t>C00689 : 1</t>
  </si>
  <si>
    <t>C00689 : alpha,alpha'-Trehalose 6-phosphate</t>
  </si>
  <si>
    <t>C00692</t>
  </si>
  <si>
    <t>UDP-N-acetylmuramoyl-L-alanyl-D-glutamate</t>
  </si>
  <si>
    <t>https://www.kegg.jp/entry/C00692</t>
  </si>
  <si>
    <t>C00692 : 1</t>
  </si>
  <si>
    <t>C00692 : UDP-N-acetylmuramoyl-L-alanyl-D-glutamate</t>
  </si>
  <si>
    <t>C00693</t>
  </si>
  <si>
    <t>trans-2,3-Dehydroacyl-[acyl-carrier protein]</t>
  </si>
  <si>
    <t>https://www.kegg.jp/entry/C00693</t>
  </si>
  <si>
    <t>C00693 : 1</t>
  </si>
  <si>
    <t>C00693 : trans-2,3-Dehydroacyl-[acyl-carrier protein]</t>
  </si>
  <si>
    <t>C00695</t>
  </si>
  <si>
    <t>Cholic acid</t>
  </si>
  <si>
    <t>https://www.kegg.jp/entry/C00695</t>
  </si>
  <si>
    <t>C00695 : 1</t>
  </si>
  <si>
    <t>C00695 : Cholic acid</t>
  </si>
  <si>
    <t>C00700</t>
  </si>
  <si>
    <t>XTP</t>
  </si>
  <si>
    <t>https://www.kegg.jp/entry/C00700</t>
  </si>
  <si>
    <t>C00700 : 1</t>
  </si>
  <si>
    <t>C00700 : XTP</t>
  </si>
  <si>
    <t>C00704</t>
  </si>
  <si>
    <t>Superoxide</t>
  </si>
  <si>
    <t>https://www.kegg.jp/entry/C00704</t>
  </si>
  <si>
    <t>C00704 : 1</t>
  </si>
  <si>
    <t>C00704 : Superoxide</t>
  </si>
  <si>
    <t>C00705</t>
  </si>
  <si>
    <t>dCDP</t>
  </si>
  <si>
    <t>https://www.kegg.jp/entry/C00705</t>
  </si>
  <si>
    <t>C00705 : 1</t>
  </si>
  <si>
    <t>C00705 : dCDP</t>
  </si>
  <si>
    <t>Amylose</t>
  </si>
  <si>
    <t>https://www.kegg.jp/entry/C00718</t>
  </si>
  <si>
    <t>C00718 : 1</t>
  </si>
  <si>
    <t>C00718 : Amylose</t>
  </si>
  <si>
    <t>C00721</t>
  </si>
  <si>
    <t>Dextrin</t>
  </si>
  <si>
    <t>https://www.kegg.jp/entry/C00721</t>
  </si>
  <si>
    <t>C00721 : 1</t>
  </si>
  <si>
    <t>C00721 : Dextrin</t>
  </si>
  <si>
    <t>C00739</t>
  </si>
  <si>
    <t>D-Lysine</t>
  </si>
  <si>
    <t>https://www.kegg.jp/entry/C00739</t>
  </si>
  <si>
    <t>C00739 : 1</t>
  </si>
  <si>
    <t>C00739 : D-Lysine</t>
  </si>
  <si>
    <t>C00740</t>
  </si>
  <si>
    <t>D-Serine</t>
  </si>
  <si>
    <t>https://www.kegg.jp/entry/C00740</t>
  </si>
  <si>
    <t>C00740 : 1</t>
  </si>
  <si>
    <t>C00740 : D-Serine</t>
  </si>
  <si>
    <t>C00756</t>
  </si>
  <si>
    <t>1-Octanol</t>
  </si>
  <si>
    <t>https://www.kegg.jp/entry/C00756</t>
  </si>
  <si>
    <t>C00756 : 1</t>
  </si>
  <si>
    <t>C00756 : 1-Octanol</t>
  </si>
  <si>
    <t>C00772</t>
  </si>
  <si>
    <t>Mevaldate</t>
  </si>
  <si>
    <t>https://www.kegg.jp/entry/C00772</t>
  </si>
  <si>
    <t>C00772 : 1</t>
  </si>
  <si>
    <t>C00772 : Mevaldate</t>
  </si>
  <si>
    <t>C00777</t>
  </si>
  <si>
    <t>Retinoate</t>
  </si>
  <si>
    <t>https://www.kegg.jp/entry/C00777</t>
  </si>
  <si>
    <t>C00777 : 1</t>
  </si>
  <si>
    <t>C00777 : Retinoate</t>
  </si>
  <si>
    <t>C00785</t>
  </si>
  <si>
    <t>Urocanate</t>
  </si>
  <si>
    <t>https://www.kegg.jp/entry/C00785</t>
  </si>
  <si>
    <t>C00785 : 1</t>
  </si>
  <si>
    <t>C00785 : Urocanate</t>
  </si>
  <si>
    <t>C00787</t>
  </si>
  <si>
    <t>tRNA(Tyr)</t>
  </si>
  <si>
    <t>https://www.kegg.jp/entry/C00787</t>
  </si>
  <si>
    <t>C00787 : 1</t>
  </si>
  <si>
    <t>C00787 : tRNA(Tyr)</t>
  </si>
  <si>
    <t>C00792</t>
  </si>
  <si>
    <t>D-Arginine</t>
  </si>
  <si>
    <t>https://www.kegg.jp/entry/C00792</t>
  </si>
  <si>
    <t>C00792 : 1</t>
  </si>
  <si>
    <t>C00792 : D-Arginine</t>
  </si>
  <si>
    <t>C00793</t>
  </si>
  <si>
    <t>D-Cysteine</t>
  </si>
  <si>
    <t>https://www.kegg.jp/entry/C00793</t>
  </si>
  <si>
    <t>C00793 : 1</t>
  </si>
  <si>
    <t>C00793 : D-Cysteine</t>
  </si>
  <si>
    <t>C00797</t>
  </si>
  <si>
    <t>Ethylamine</t>
  </si>
  <si>
    <t>https://www.kegg.jp/entry/C00797</t>
  </si>
  <si>
    <t>C00797 : 1</t>
  </si>
  <si>
    <t>C00797 : Ethylamine</t>
  </si>
  <si>
    <t>C00804</t>
  </si>
  <si>
    <t>Propynoate</t>
  </si>
  <si>
    <t>https://www.kegg.jp/entry/C00804</t>
  </si>
  <si>
    <t>C00804 : 1</t>
  </si>
  <si>
    <t>C00804 : Propynoate</t>
  </si>
  <si>
    <t>C00810</t>
  </si>
  <si>
    <t>(R)-Acetoin</t>
  </si>
  <si>
    <t>https://www.kegg.jp/entry/C00810</t>
  </si>
  <si>
    <t>C00810 : 1</t>
  </si>
  <si>
    <t>C00810 : (R)-Acetoin</t>
  </si>
  <si>
    <t>C00812</t>
  </si>
  <si>
    <t>Alkyl thiol</t>
  </si>
  <si>
    <t>https://www.kegg.jp/entry/C00812</t>
  </si>
  <si>
    <t>C00812 : 1</t>
  </si>
  <si>
    <t>C00812 : Alkyl thiol</t>
  </si>
  <si>
    <t>C00818</t>
  </si>
  <si>
    <t>D-Glucarate</t>
  </si>
  <si>
    <t>https://www.kegg.jp/entry/C00818</t>
  </si>
  <si>
    <t>C00818 : 1</t>
  </si>
  <si>
    <t>C00818 : D-Glucarate</t>
  </si>
  <si>
    <t>C00819</t>
  </si>
  <si>
    <t>D-Glutamine</t>
  </si>
  <si>
    <t>https://www.kegg.jp/entry/C00819</t>
  </si>
  <si>
    <t>C00819 : 1</t>
  </si>
  <si>
    <t>C00819 : D-Glutamine</t>
  </si>
  <si>
    <t>C00821</t>
  </si>
  <si>
    <t>DNA adenine</t>
  </si>
  <si>
    <t>https://www.kegg.jp/entry/C00821</t>
  </si>
  <si>
    <t>C00821 : 1</t>
  </si>
  <si>
    <t>C00821 : DNA adenine</t>
  </si>
  <si>
    <t>L-Arogenate</t>
  </si>
  <si>
    <t>https://www.kegg.jp/entry/C00826</t>
  </si>
  <si>
    <t>C00826 : 1</t>
  </si>
  <si>
    <t>C00826 : L-Arogenate</t>
  </si>
  <si>
    <t>C00829</t>
  </si>
  <si>
    <t>Naphthalene</t>
  </si>
  <si>
    <t>https://www.kegg.jp/entry/C00829</t>
  </si>
  <si>
    <t>C00829 : 1</t>
  </si>
  <si>
    <t>C00829 : Naphthalene</t>
  </si>
  <si>
    <t>C00831</t>
  </si>
  <si>
    <t>Pantetheine</t>
  </si>
  <si>
    <t>https://www.kegg.jp/entry/C00831</t>
  </si>
  <si>
    <t>C00831 : 1</t>
  </si>
  <si>
    <t>C00831 : Pantetheine</t>
  </si>
  <si>
    <t>dTDP-glucose</t>
  </si>
  <si>
    <t>https://www.kegg.jp/entry/C00842</t>
  </si>
  <si>
    <t>C00842 : 1</t>
  </si>
  <si>
    <t>C00842 : dTDP-glucose</t>
  </si>
  <si>
    <t>C00853</t>
  </si>
  <si>
    <t>Cob(I)alamin</t>
  </si>
  <si>
    <t>https://www.kegg.jp/entry/C00853</t>
  </si>
  <si>
    <t>C00853 : 1</t>
  </si>
  <si>
    <t>C00853 : Cob(I)alamin</t>
  </si>
  <si>
    <t>C00857</t>
  </si>
  <si>
    <t>Deamino-NAD+</t>
  </si>
  <si>
    <t>https://www.kegg.jp/entry/C00857</t>
  </si>
  <si>
    <t>C00857 : 1</t>
  </si>
  <si>
    <t>C00857 : Deamino-NAD+</t>
  </si>
  <si>
    <t>C00860</t>
  </si>
  <si>
    <t>L-Histidinol</t>
  </si>
  <si>
    <t>https://www.kegg.jp/entry/C00860</t>
  </si>
  <si>
    <t>C00860 : 1</t>
  </si>
  <si>
    <t>C00860 : L-Histidinol</t>
  </si>
  <si>
    <t>C00864</t>
  </si>
  <si>
    <t>Pantothenate</t>
  </si>
  <si>
    <t>https://www.kegg.jp/entry/C00864</t>
  </si>
  <si>
    <t>C00864 : 1000</t>
  </si>
  <si>
    <t>C00864 : Pantothenate</t>
  </si>
  <si>
    <t>tRNA uridine</t>
  </si>
  <si>
    <t>https://www.kegg.jp/entry/C00868</t>
  </si>
  <si>
    <t>C00868 : 1</t>
  </si>
  <si>
    <t>C00868 : tRNA uridine</t>
  </si>
  <si>
    <t>C00870</t>
  </si>
  <si>
    <t>4-Nitrophenol</t>
  </si>
  <si>
    <t>https://www.kegg.jp/entry/C00870</t>
  </si>
  <si>
    <t>C00870 : 1</t>
  </si>
  <si>
    <t>C00870 : 4-Nitrophenol</t>
  </si>
  <si>
    <t>C00877</t>
  </si>
  <si>
    <t>Crotonoyl-CoA</t>
  </si>
  <si>
    <t>https://www.kegg.jp/entry/C00877</t>
  </si>
  <si>
    <t>C00877 : 1</t>
  </si>
  <si>
    <t>C00877 : Crotonoyl-CoA</t>
  </si>
  <si>
    <t>C00881</t>
  </si>
  <si>
    <t>Deoxycytidine</t>
  </si>
  <si>
    <t>https://www.kegg.jp/entry/C00881</t>
  </si>
  <si>
    <t>C00881 : 1</t>
  </si>
  <si>
    <t>C00881 : Deoxycytidine</t>
  </si>
  <si>
    <t>C00882</t>
  </si>
  <si>
    <t>Dephospho-CoA</t>
  </si>
  <si>
    <t>https://www.kegg.jp/entry/C00882</t>
  </si>
  <si>
    <t>C00882 : 1</t>
  </si>
  <si>
    <t>C00882 : Dephospho-CoA</t>
  </si>
  <si>
    <t>Isochorismate</t>
  </si>
  <si>
    <t>https://www.kegg.jp/entry/C00885</t>
  </si>
  <si>
    <t>C00885 : 1</t>
  </si>
  <si>
    <t>C00885 : Isochorismate</t>
  </si>
  <si>
    <t>C00886</t>
  </si>
  <si>
    <t>L-Alanyl-tRNA</t>
  </si>
  <si>
    <t>https://www.kegg.jp/entry/C00886</t>
  </si>
  <si>
    <t>C00886 : 1</t>
  </si>
  <si>
    <t>C00886 : L-Alanyl-tRNA</t>
  </si>
  <si>
    <t>C00894</t>
  </si>
  <si>
    <t>Propenoyl-CoA</t>
  </si>
  <si>
    <t>https://www.kegg.jp/entry/C00894</t>
  </si>
  <si>
    <t>C00894 : 1</t>
  </si>
  <si>
    <t>C00894 : Propenoyl-CoA</t>
  </si>
  <si>
    <t>C00900</t>
  </si>
  <si>
    <t>2-Acetolactate</t>
  </si>
  <si>
    <t>https://www.kegg.jp/entry/C00900</t>
  </si>
  <si>
    <t>C00900 : 1</t>
  </si>
  <si>
    <t>C00900 : 2-Acetolactate</t>
  </si>
  <si>
    <t>C00911</t>
  </si>
  <si>
    <t>Ribonucleoside</t>
  </si>
  <si>
    <t>https://www.kegg.jp/entry/C00911</t>
  </si>
  <si>
    <t>C00911 : 1</t>
  </si>
  <si>
    <t>C00911 : Ribonucleoside</t>
  </si>
  <si>
    <t>C00921</t>
  </si>
  <si>
    <t>Dihydropteroate</t>
  </si>
  <si>
    <t>https://www.kegg.jp/entry/C00921</t>
  </si>
  <si>
    <t>C00921 : 1</t>
  </si>
  <si>
    <t>C00921 : Dihydropteroate</t>
  </si>
  <si>
    <t>C00923</t>
  </si>
  <si>
    <t>Ferricytochrome</t>
  </si>
  <si>
    <t>https://www.kegg.jp/entry/C00923</t>
  </si>
  <si>
    <t>C00923 : 1</t>
  </si>
  <si>
    <t>C00923 : Ferricytochrome</t>
  </si>
  <si>
    <t>C00924</t>
  </si>
  <si>
    <t>Ferrocytochrome</t>
  </si>
  <si>
    <t>https://www.kegg.jp/entry/C00924</t>
  </si>
  <si>
    <t>C00924 : 1</t>
  </si>
  <si>
    <t>C00924 : Ferrocytochrome</t>
  </si>
  <si>
    <t>C00931</t>
  </si>
  <si>
    <t>Porphobilinogen</t>
  </si>
  <si>
    <t>https://www.kegg.jp/entry/C00931</t>
  </si>
  <si>
    <t>C00931 : 1</t>
  </si>
  <si>
    <t>C00931 : Porphobilinogen</t>
  </si>
  <si>
    <t>3-Dehydroquinate</t>
  </si>
  <si>
    <t>https://www.kegg.jp/entry/C00944</t>
  </si>
  <si>
    <t>C00944 : 1</t>
  </si>
  <si>
    <t>C00944 : 3-Dehydroquinate</t>
  </si>
  <si>
    <t>C00951</t>
  </si>
  <si>
    <t>Estradiol-17beta</t>
  </si>
  <si>
    <t>https://www.kegg.jp/entry/C00951</t>
  </si>
  <si>
    <t>C00951 : 1</t>
  </si>
  <si>
    <t>C00951 : Estradiol-17beta</t>
  </si>
  <si>
    <t>C00954</t>
  </si>
  <si>
    <t>Indole-3-acetate</t>
  </si>
  <si>
    <t>https://www.kegg.jp/entry/C00954</t>
  </si>
  <si>
    <t>C00954 : 1</t>
  </si>
  <si>
    <t>C00954 : Indole-3-acetate</t>
  </si>
  <si>
    <t>C00957</t>
  </si>
  <si>
    <t>Mercaptopyruvate</t>
  </si>
  <si>
    <t>https://www.kegg.jp/entry/C00957</t>
  </si>
  <si>
    <t>C00957 : 1</t>
  </si>
  <si>
    <t>C00957 : Mercaptopyruvate</t>
  </si>
  <si>
    <t>2-Dehydropantoate</t>
  </si>
  <si>
    <t>https://www.kegg.jp/entry/C00966</t>
  </si>
  <si>
    <t>C00966 : 1</t>
  </si>
  <si>
    <t>C00966 : 2-Dehydropantoate</t>
  </si>
  <si>
    <t>C00979</t>
  </si>
  <si>
    <t>O-Acetyl-L-serine</t>
  </si>
  <si>
    <t>https://www.kegg.jp/entry/C00979</t>
  </si>
  <si>
    <t>C00979 : 1</t>
  </si>
  <si>
    <t>C00979 : O-Acetyl-L-serine</t>
  </si>
  <si>
    <t>C00993</t>
  </si>
  <si>
    <t>D-Alanyl-D-alanine</t>
  </si>
  <si>
    <t>https://www.kegg.jp/entry/C00993</t>
  </si>
  <si>
    <t>C00993 : 1</t>
  </si>
  <si>
    <t>C00993 : D-Alanyl-D-alanine</t>
  </si>
  <si>
    <t>C00996</t>
  </si>
  <si>
    <t>Ferricytochrome b5</t>
  </si>
  <si>
    <t>https://www.kegg.jp/entry/C00996</t>
  </si>
  <si>
    <t>C00996 : 1</t>
  </si>
  <si>
    <t>C00996 : Ferricytochrome b5</t>
  </si>
  <si>
    <t>C00997</t>
  </si>
  <si>
    <t>Ferricytochrome c2</t>
  </si>
  <si>
    <t>https://www.kegg.jp/entry/C00997</t>
  </si>
  <si>
    <t>C00997 : 1</t>
  </si>
  <si>
    <t>C00997 : Ferricytochrome c2</t>
  </si>
  <si>
    <t>C00999</t>
  </si>
  <si>
    <t>Ferrocytochrome b5</t>
  </si>
  <si>
    <t>https://www.kegg.jp/entry/C00999</t>
  </si>
  <si>
    <t>C00999 : 1</t>
  </si>
  <si>
    <t>C00999 : Ferrocytochrome b5</t>
  </si>
  <si>
    <t>C01000</t>
  </si>
  <si>
    <t>Ferrocytochrome c2</t>
  </si>
  <si>
    <t>https://www.kegg.jp/entry/C01000</t>
  </si>
  <si>
    <t>C01000 : 1</t>
  </si>
  <si>
    <t>C01000 : Ferrocytochrome c2</t>
  </si>
  <si>
    <t>C01005</t>
  </si>
  <si>
    <t>O-Phospho-L-serine</t>
  </si>
  <si>
    <t>https://www.kegg.jp/entry/C01005</t>
  </si>
  <si>
    <t>C01005 : 1</t>
  </si>
  <si>
    <t>C01005 : O-Phospho-L-serine</t>
  </si>
  <si>
    <t>Hydroxymethylbilane</t>
  </si>
  <si>
    <t>https://www.kegg.jp/entry/C01024</t>
  </si>
  <si>
    <t>C01024 : 1</t>
  </si>
  <si>
    <t>C01024 : Hydroxymethylbilane</t>
  </si>
  <si>
    <t>C01037</t>
  </si>
  <si>
    <t>7,8-Diaminononanoate</t>
  </si>
  <si>
    <t>https://www.kegg.jp/entry/C01037</t>
  </si>
  <si>
    <t>C01037 : 1</t>
  </si>
  <si>
    <t>C01037 : 7,8-Diaminononanoate</t>
  </si>
  <si>
    <t>C01050</t>
  </si>
  <si>
    <t>UDP-N-acetylmuramate</t>
  </si>
  <si>
    <t>https://www.kegg.jp/entry/C01050</t>
  </si>
  <si>
    <t>C01050 : 1</t>
  </si>
  <si>
    <t>C01050 : UDP-N-acetylmuramate</t>
  </si>
  <si>
    <t>Uroporphyrinogen III</t>
  </si>
  <si>
    <t>https://www.kegg.jp/entry/C01051</t>
  </si>
  <si>
    <t>C01051 : 1</t>
  </si>
  <si>
    <t>C01051 : Uroporphyrinogen III</t>
  </si>
  <si>
    <t>C01063</t>
  </si>
  <si>
    <t>Pimeloyl-CoA</t>
  </si>
  <si>
    <t>https://www.kegg.jp/entry/C01063</t>
  </si>
  <si>
    <t>C01063 : 1</t>
  </si>
  <si>
    <t>C01063 : Pimeloyl-CoA</t>
  </si>
  <si>
    <t>C01077</t>
  </si>
  <si>
    <t>O-Acetyl-L-homoserine</t>
  </si>
  <si>
    <t>https://www.kegg.jp/entry/C01077</t>
  </si>
  <si>
    <t>C01077 : 1</t>
  </si>
  <si>
    <t>C01077 : O-Acetyl-L-homoserine</t>
  </si>
  <si>
    <t>C01079</t>
  </si>
  <si>
    <t>Protoporphyrinogen IX</t>
  </si>
  <si>
    <t>https://www.kegg.jp/entry/C01079</t>
  </si>
  <si>
    <t>C01079 : 1</t>
  </si>
  <si>
    <t>C01079 : Protoporphyrinogen IX</t>
  </si>
  <si>
    <t>C01081</t>
  </si>
  <si>
    <t>Thiamin monophosphate</t>
  </si>
  <si>
    <t>https://www.kegg.jp/entry/C01081</t>
  </si>
  <si>
    <t>C01081 : 1</t>
  </si>
  <si>
    <t>C01081 : Thiamin monophosphate</t>
  </si>
  <si>
    <t>C01083</t>
  </si>
  <si>
    <t>alpha,alpha-Trehalose</t>
  </si>
  <si>
    <t>https://www.kegg.jp/entry/C01083</t>
  </si>
  <si>
    <t>C01083 : 1</t>
  </si>
  <si>
    <t>C01083 : alpha,alpha-Trehalose</t>
  </si>
  <si>
    <t>(3R)-3-Hydroxyacyl-CoA</t>
  </si>
  <si>
    <t>https://www.kegg.jp/entry/C01086</t>
  </si>
  <si>
    <t>C01086 : 1</t>
  </si>
  <si>
    <t>C01086 : (3R)-3-Hydroxyacyl-CoA</t>
  </si>
  <si>
    <t>C01092</t>
  </si>
  <si>
    <t>8-Amino-7-oxononanoate</t>
  </si>
  <si>
    <t>https://www.kegg.jp/entry/C01092</t>
  </si>
  <si>
    <t>C01092 : 1</t>
  </si>
  <si>
    <t>C01092 : 8-Amino-7-oxononanoate</t>
  </si>
  <si>
    <t>D-Fructose 1-phosphate</t>
  </si>
  <si>
    <t>https://www.kegg.jp/entry/C01094</t>
  </si>
  <si>
    <t>C01094 : 1</t>
  </si>
  <si>
    <t>C01094 : D-Fructose 1-phosphate</t>
  </si>
  <si>
    <t>C01097</t>
  </si>
  <si>
    <t>D-Tagatose 6-phosphate</t>
  </si>
  <si>
    <t>https://www.kegg.jp/entry/C01097</t>
  </si>
  <si>
    <t>C01097 : 1</t>
  </si>
  <si>
    <t>C01097 : D-Tagatose 6-phosphate</t>
  </si>
  <si>
    <t>L-Fuculose 1-phosphate</t>
  </si>
  <si>
    <t>https://www.kegg.jp/entry/C01099</t>
  </si>
  <si>
    <t>C01099 : 1</t>
  </si>
  <si>
    <t>C01099 : L-Fuculose 1-phosphate</t>
  </si>
  <si>
    <t>C01100</t>
  </si>
  <si>
    <t>L-Histidinol phosphate</t>
  </si>
  <si>
    <t>https://www.kegg.jp/entry/C01100</t>
  </si>
  <si>
    <t>C01100 : 1</t>
  </si>
  <si>
    <t>C01100 : L-Histidinol phosphate</t>
  </si>
  <si>
    <t>C01102</t>
  </si>
  <si>
    <t>O-Phospho-L-homoserine</t>
  </si>
  <si>
    <t>https://www.kegg.jp/entry/C01102</t>
  </si>
  <si>
    <t>C01102 : 1</t>
  </si>
  <si>
    <t>C01102 : O-Phospho-L-homoserine</t>
  </si>
  <si>
    <t>Orotidine 5'-phosphate</t>
  </si>
  <si>
    <t>https://www.kegg.jp/entry/C01103</t>
  </si>
  <si>
    <t>C01103 : 1</t>
  </si>
  <si>
    <t>C01103 : Orotidine 5'-phosphate</t>
  </si>
  <si>
    <t>C01110</t>
  </si>
  <si>
    <t>5-Amino-2-oxopentanoic acid</t>
  </si>
  <si>
    <t>https://www.kegg.jp/entry/C01110</t>
  </si>
  <si>
    <t>C01110 : 1</t>
  </si>
  <si>
    <t>C01110 : 5-Amino-2-oxopentanoic acid</t>
  </si>
  <si>
    <t>C01118</t>
  </si>
  <si>
    <t>O-Succinyl-L-homoserine</t>
  </si>
  <si>
    <t>https://www.kegg.jp/entry/C01118</t>
  </si>
  <si>
    <t>C01118 : 1</t>
  </si>
  <si>
    <t>C01118 : O-Succinyl-L-homoserine</t>
  </si>
  <si>
    <t>C01122</t>
  </si>
  <si>
    <t>cis-2,3-Dehydroacyl-CoA</t>
  </si>
  <si>
    <t>https://www.kegg.jp/entry/C01122</t>
  </si>
  <si>
    <t>C01122 : 1</t>
  </si>
  <si>
    <t>C01122 : cis-2,3-Dehydroacyl-CoA</t>
  </si>
  <si>
    <t>C01134</t>
  </si>
  <si>
    <t>Pantetheine 4'-phosphate</t>
  </si>
  <si>
    <t>https://www.kegg.jp/entry/C01134</t>
  </si>
  <si>
    <t>C01134 : 1</t>
  </si>
  <si>
    <t>C01134 : Pantetheine 4'-phosphate</t>
  </si>
  <si>
    <t>C01137</t>
  </si>
  <si>
    <t>S-Adenosylmethioninamine</t>
  </si>
  <si>
    <t>https://www.kegg.jp/entry/C01137</t>
  </si>
  <si>
    <t>C01137 : 1</t>
  </si>
  <si>
    <t>C01137 : S-Adenosylmethioninamine</t>
  </si>
  <si>
    <t>(3S)-3,6-Diaminohexanoate</t>
  </si>
  <si>
    <t>https://www.kegg.jp/entry/C01142</t>
  </si>
  <si>
    <t>C01142 : 1</t>
  </si>
  <si>
    <t>C01142 : (3S)-3,6-Diaminohexanoate</t>
  </si>
  <si>
    <t>(S)-3-Hydroxybutanoyl-CoA</t>
  </si>
  <si>
    <t>https://www.kegg.jp/entry/C01144</t>
  </si>
  <si>
    <t>C01144 : 1</t>
  </si>
  <si>
    <t>C01144 : (S)-3-Hydroxybutanoyl-CoA</t>
  </si>
  <si>
    <t>C01149</t>
  </si>
  <si>
    <t>4-Trimethylammoniobutanal</t>
  </si>
  <si>
    <t>https://www.kegg.jp/entry/C01149</t>
  </si>
  <si>
    <t>C01149 : 1</t>
  </si>
  <si>
    <t>C01149 : 4-Trimethylammoniobutanal</t>
  </si>
  <si>
    <t>C01153</t>
  </si>
  <si>
    <t>Orthophosphoric monoester</t>
  </si>
  <si>
    <t>https://www.kegg.jp/entry/C01153</t>
  </si>
  <si>
    <t>C01153 : 1</t>
  </si>
  <si>
    <t>C01153 : Orthophosphoric monoester</t>
  </si>
  <si>
    <t>C01157</t>
  </si>
  <si>
    <t>Hydroxyproline</t>
  </si>
  <si>
    <t>https://www.kegg.jp/entry/C01157</t>
  </si>
  <si>
    <t>C01157 : 1</t>
  </si>
  <si>
    <t>C01157 : Hydroxyproline</t>
  </si>
  <si>
    <t>C01159</t>
  </si>
  <si>
    <t>2,3-Bisphospho-D-glycerate</t>
  </si>
  <si>
    <t>https://www.kegg.jp/entry/C01159</t>
  </si>
  <si>
    <t>C01159 : 1</t>
  </si>
  <si>
    <t>C01159 : 2,3-Bisphospho-D-glycerate</t>
  </si>
  <si>
    <t>C01165</t>
  </si>
  <si>
    <t>L-Glutamate 5-semialdehyde</t>
  </si>
  <si>
    <t>https://www.kegg.jp/entry/C01165</t>
  </si>
  <si>
    <t>C01165 : 1</t>
  </si>
  <si>
    <t>C01165 : L-Glutamate 5-semialdehyde</t>
  </si>
  <si>
    <t>C01167</t>
  </si>
  <si>
    <t>Protein tyrosine phosphate</t>
  </si>
  <si>
    <t>https://www.kegg.jp/entry/C01167</t>
  </si>
  <si>
    <t>C01167 : 1</t>
  </si>
  <si>
    <t>C01167 : Protein tyrosine phosphate</t>
  </si>
  <si>
    <t>UDP-N-acetyl-D-mannosamine</t>
  </si>
  <si>
    <t>https://www.kegg.jp/entry/C01170</t>
  </si>
  <si>
    <t>C01170 : 1</t>
  </si>
  <si>
    <t>C01170 : UDP-N-acetyl-D-mannosamine</t>
  </si>
  <si>
    <t>beta-D-Glucose 6-phosphate</t>
  </si>
  <si>
    <t>https://www.kegg.jp/entry/C01172</t>
  </si>
  <si>
    <t>C01172 : 1000</t>
  </si>
  <si>
    <t>C01172 : beta-D-Glucose 6-phosphate</t>
  </si>
  <si>
    <t>C01177</t>
  </si>
  <si>
    <t>Inositol 1-phosphate</t>
  </si>
  <si>
    <t>https://www.kegg.jp/entry/C01177</t>
  </si>
  <si>
    <t>C01177 : 1</t>
  </si>
  <si>
    <t>C01177 : Inositol 1-phosphate</t>
  </si>
  <si>
    <t>C01179</t>
  </si>
  <si>
    <t>3-(4-Hydroxyphenyl)pyruvate</t>
  </si>
  <si>
    <t>https://www.kegg.jp/entry/C01179</t>
  </si>
  <si>
    <t>C01179 : 1</t>
  </si>
  <si>
    <t>C01179 : 3-(4-Hydroxyphenyl)pyruvate</t>
  </si>
  <si>
    <t>C01181</t>
  </si>
  <si>
    <t>4-Trimethylammoniobutanoate</t>
  </si>
  <si>
    <t>https://www.kegg.jp/entry/C01181</t>
  </si>
  <si>
    <t>C01181 : 1</t>
  </si>
  <si>
    <t>C01181 : 4-Trimethylammoniobutanoate</t>
  </si>
  <si>
    <t>C01185</t>
  </si>
  <si>
    <t>Nicotinate D-ribonucleotide</t>
  </si>
  <si>
    <t>https://www.kegg.jp/entry/C01185</t>
  </si>
  <si>
    <t>C01185 : 1</t>
  </si>
  <si>
    <t>C01185 : Nicotinate D-ribonucleotide</t>
  </si>
  <si>
    <t>1-Phosphatidyl-D-myo-inositol</t>
  </si>
  <si>
    <t>https://www.kegg.jp/entry/C01194</t>
  </si>
  <si>
    <t>C01194 : 1</t>
  </si>
  <si>
    <t>C01194 : 1-Phosphatidyl-D-myo-inositol</t>
  </si>
  <si>
    <t>C01209</t>
  </si>
  <si>
    <t>Malonyl-[acyl-carrier protein]</t>
  </si>
  <si>
    <t>https://www.kegg.jp/entry/C01209</t>
  </si>
  <si>
    <t>C01209 : 1</t>
  </si>
  <si>
    <t>C01209 : Malonyl-[acyl-carrier protein]</t>
  </si>
  <si>
    <t>C01212</t>
  </si>
  <si>
    <t>UDP-N-acetylmuramoyl-L-alanine</t>
  </si>
  <si>
    <t>https://www.kegg.jp/entry/C01212</t>
  </si>
  <si>
    <t>C01212 : 1</t>
  </si>
  <si>
    <t>C01212 : UDP-N-acetylmuramoyl-L-alanine</t>
  </si>
  <si>
    <t>C01217</t>
  </si>
  <si>
    <t>5,6,7,8-Tetrahydromethanopterin</t>
  </si>
  <si>
    <t>https://www.kegg.jp/entry/C01217</t>
  </si>
  <si>
    <t>C01217 : 1</t>
  </si>
  <si>
    <t>C01217 : 5,6,7,8-Tetrahydromethanopterin</t>
  </si>
  <si>
    <t>C01219</t>
  </si>
  <si>
    <t>CDP-4-dehydro-6-deoxy-D-glucose</t>
  </si>
  <si>
    <t>https://www.kegg.jp/entry/C01219</t>
  </si>
  <si>
    <t>C01219 : 1</t>
  </si>
  <si>
    <t>C01219 : CDP-4-dehydro-6-deoxy-D-glucose</t>
  </si>
  <si>
    <t>C01227</t>
  </si>
  <si>
    <t>Dehydroepiandrosterone</t>
  </si>
  <si>
    <t>https://www.kegg.jp/entry/C01227</t>
  </si>
  <si>
    <t>C01227 : 1</t>
  </si>
  <si>
    <t>C01227 : Dehydroepiandrosterone</t>
  </si>
  <si>
    <t>C01229</t>
  </si>
  <si>
    <t>Phospholipid olefinic fatty acid</t>
  </si>
  <si>
    <t>https://www.kegg.jp/entry/C01229</t>
  </si>
  <si>
    <t>C01229 : 1</t>
  </si>
  <si>
    <t>C01229 : Phospholipid olefinic fatty acid</t>
  </si>
  <si>
    <t>C01242</t>
  </si>
  <si>
    <t>[Protein]-S8-aminomethyldihydrolipoyllysine</t>
  </si>
  <si>
    <t>https://www.kegg.jp/entry/C01242</t>
  </si>
  <si>
    <t>C01242 : 1</t>
  </si>
  <si>
    <t>C01242 : [Protein]-S8-aminomethyldihydrolipoyllysine</t>
  </si>
  <si>
    <t>C01250</t>
  </si>
  <si>
    <t>N-Acetyl-L-glutamate 5-semialdehyde</t>
  </si>
  <si>
    <t>https://www.kegg.jp/entry/C01250</t>
  </si>
  <si>
    <t>C01250 : 1</t>
  </si>
  <si>
    <t>C01250 : N-Acetyl-L-glutamate 5-semialdehyde</t>
  </si>
  <si>
    <t>C01260</t>
  </si>
  <si>
    <t>P1,P4-Bis(5'-adenosyl)tetraphosphate</t>
  </si>
  <si>
    <t>https://www.kegg.jp/entry/C01260</t>
  </si>
  <si>
    <t>C01260 : 1</t>
  </si>
  <si>
    <t>C01260 : P1,P4-Bis(5'-adenosyl)tetraphosphate</t>
  </si>
  <si>
    <t>C01267</t>
  </si>
  <si>
    <t>3-(Imidazol-4-yl)-2-oxopropyl phosphate</t>
  </si>
  <si>
    <t>https://www.kegg.jp/entry/C01267</t>
  </si>
  <si>
    <t>C01267 : 1</t>
  </si>
  <si>
    <t>C01267 : 3-(Imidazol-4-yl)-2-oxopropyl phosphate</t>
  </si>
  <si>
    <t>C01268</t>
  </si>
  <si>
    <t>5-Amino-6-(5'-phosphoribosylamino)uracil</t>
  </si>
  <si>
    <t>https://www.kegg.jp/entry/C01268</t>
  </si>
  <si>
    <t>C01268 : 1</t>
  </si>
  <si>
    <t>C01268 : 5-Amino-6-(5'-phosphoribosylamino)uracil</t>
  </si>
  <si>
    <t>5-O-(1-Carboxyvinyl)-3-phosphoshikimate</t>
  </si>
  <si>
    <t>https://www.kegg.jp/entry/C01269</t>
  </si>
  <si>
    <t>C01269 : 1</t>
  </si>
  <si>
    <t>C01269 : 5-O-(1-Carboxyvinyl)-3-phosphoshikimate</t>
  </si>
  <si>
    <t>(3R)-3-Hydroxyacyl-[acyl-carrier protein]</t>
  </si>
  <si>
    <t>https://www.kegg.jp/entry/C01271</t>
  </si>
  <si>
    <t>C01271 : 1</t>
  </si>
  <si>
    <t>C01271 : (3R)-3-Hydroxyacyl-[acyl-carrier protein]</t>
  </si>
  <si>
    <t>C01279</t>
  </si>
  <si>
    <t>4-Amino-5-hydroxymethyl-2-methylpyrimidine</t>
  </si>
  <si>
    <t>https://www.kegg.jp/entry/C01279</t>
  </si>
  <si>
    <t>C01279 : 1</t>
  </si>
  <si>
    <t>C01279 : 4-Amino-5-hydroxymethyl-2-methylpyrimidine</t>
  </si>
  <si>
    <t>C01300</t>
  </si>
  <si>
    <t>6-(Hydroxymethyl)-7,8-dihydropterin</t>
  </si>
  <si>
    <t>https://www.kegg.jp/entry/C01300</t>
  </si>
  <si>
    <t>C01300 : 1</t>
  </si>
  <si>
    <t>C01300 : 6-(Hydroxymethyl)-7,8-dihydropterin</t>
  </si>
  <si>
    <t>1-(2-Carboxyphenylamino)-1-deoxy-D-ribulose 5-phosphate</t>
  </si>
  <si>
    <t>https://www.kegg.jp/entry/C01302</t>
  </si>
  <si>
    <t>C01302 : 1</t>
  </si>
  <si>
    <t>C01302 : 1-(2-Carboxyphenylamino)-1-deoxy-D-ribulose 5-phosphate</t>
  </si>
  <si>
    <t>C01304</t>
  </si>
  <si>
    <t>2,5-Diamino-6-(5-phospho-D-ribosylamino)pyrimidin-4(3H)-one</t>
  </si>
  <si>
    <t>https://www.kegg.jp/entry/C01304</t>
  </si>
  <si>
    <t>C01304 : 1</t>
  </si>
  <si>
    <t>C01304 : 2,5-Diamino-6-(5-phospho-D-ribosylamino)pyrimidin-4(3H)-one</t>
  </si>
  <si>
    <t>C01327</t>
  </si>
  <si>
    <t>Hydrochloric acid</t>
  </si>
  <si>
    <t>https://www.kegg.jp/entry/C01327</t>
  </si>
  <si>
    <t>C01327 : 1</t>
  </si>
  <si>
    <t>C01327 : Hydrochloric acid</t>
  </si>
  <si>
    <t>C01334</t>
  </si>
  <si>
    <t>RCl</t>
  </si>
  <si>
    <t>https://www.kegg.jp/entry/C01334</t>
  </si>
  <si>
    <t>C01334 : 1</t>
  </si>
  <si>
    <t>C01334 : RCl</t>
  </si>
  <si>
    <t>C01335</t>
  </si>
  <si>
    <t>ROH</t>
  </si>
  <si>
    <t>https://www.kegg.jp/entry/C01335</t>
  </si>
  <si>
    <t>C01335 : 1</t>
  </si>
  <si>
    <t>C01335 : ROH</t>
  </si>
  <si>
    <t>C01336</t>
  </si>
  <si>
    <t>Aryl thiol</t>
  </si>
  <si>
    <t>https://www.kegg.jp/entry/C01336</t>
  </si>
  <si>
    <t>C01336 : 1</t>
  </si>
  <si>
    <t>C01336 : Aryl thiol</t>
  </si>
  <si>
    <t>C01344</t>
  </si>
  <si>
    <t>dIDP</t>
  </si>
  <si>
    <t>https://www.kegg.jp/entry/C01344</t>
  </si>
  <si>
    <t>C01344 : 1</t>
  </si>
  <si>
    <t>C01344 : dIDP</t>
  </si>
  <si>
    <t>C01345</t>
  </si>
  <si>
    <t>dITP</t>
  </si>
  <si>
    <t>https://www.kegg.jp/entry/C01345</t>
  </si>
  <si>
    <t>C01345 : 1</t>
  </si>
  <si>
    <t>C01345 : dITP</t>
  </si>
  <si>
    <t>C01346</t>
  </si>
  <si>
    <t>dUDP</t>
  </si>
  <si>
    <t>https://www.kegg.jp/entry/C01346</t>
  </si>
  <si>
    <t>C01346 : 1</t>
  </si>
  <si>
    <t>C01346 : dUDP</t>
  </si>
  <si>
    <t>C01352</t>
  </si>
  <si>
    <t>FADH2</t>
  </si>
  <si>
    <t>https://www.kegg.jp/entry/C01352</t>
  </si>
  <si>
    <t>C01352 : 1</t>
  </si>
  <si>
    <t>C01352 : FADH2</t>
  </si>
  <si>
    <t>C01371</t>
  </si>
  <si>
    <t>Alkane</t>
  </si>
  <si>
    <t>https://www.kegg.jp/entry/C01371</t>
  </si>
  <si>
    <t>C01371 : 1</t>
  </si>
  <si>
    <t>C01371 : Alkane</t>
  </si>
  <si>
    <t>C01412</t>
  </si>
  <si>
    <t>Butanal</t>
  </si>
  <si>
    <t>https://www.kegg.jp/entry/C01412</t>
  </si>
  <si>
    <t>C01412 : 1</t>
  </si>
  <si>
    <t>C01412 : Butanal</t>
  </si>
  <si>
    <t>C01416</t>
  </si>
  <si>
    <t>Cocaine</t>
  </si>
  <si>
    <t>https://www.kegg.jp/entry/C01416</t>
  </si>
  <si>
    <t>C01416 : 1</t>
  </si>
  <si>
    <t>C01416 : Cocaine</t>
  </si>
  <si>
    <t>C01450</t>
  </si>
  <si>
    <t>Ketone</t>
  </si>
  <si>
    <t>https://www.kegg.jp/entry/C01450</t>
  </si>
  <si>
    <t>C01450 : 1</t>
  </si>
  <si>
    <t>C01450 : Ketone</t>
  </si>
  <si>
    <t>C01516</t>
  </si>
  <si>
    <t>Morphine</t>
  </si>
  <si>
    <t>https://www.kegg.jp/entry/C01516</t>
  </si>
  <si>
    <t>C01516 : 1</t>
  </si>
  <si>
    <t>C01516 : Morphine</t>
  </si>
  <si>
    <t>C01528</t>
  </si>
  <si>
    <t>Hydrogen selenide</t>
  </si>
  <si>
    <t>https://www.kegg.jp/entry/C01528</t>
  </si>
  <si>
    <t>C01528 : 1</t>
  </si>
  <si>
    <t>C01528 : Hydrogen selenide</t>
  </si>
  <si>
    <t>C01545</t>
  </si>
  <si>
    <t>Octanal</t>
  </si>
  <si>
    <t>https://www.kegg.jp/entry/C01545</t>
  </si>
  <si>
    <t>C01545 : 1</t>
  </si>
  <si>
    <t>C01545 : Octanal</t>
  </si>
  <si>
    <t>C01563</t>
  </si>
  <si>
    <t>Carbamate</t>
  </si>
  <si>
    <t>https://www.kegg.jp/entry/C01563</t>
  </si>
  <si>
    <t>C01563 : 1</t>
  </si>
  <si>
    <t>C01563 : Carbamate</t>
  </si>
  <si>
    <t>C01595</t>
  </si>
  <si>
    <t>Linoleate</t>
  </si>
  <si>
    <t>https://www.kegg.jp/entry/C01595</t>
  </si>
  <si>
    <t>C01595 : 1</t>
  </si>
  <si>
    <t>C01595 : Linoleate</t>
  </si>
  <si>
    <t>C01598</t>
  </si>
  <si>
    <t>Melatonin</t>
  </si>
  <si>
    <t>https://www.kegg.jp/entry/C01598</t>
  </si>
  <si>
    <t>C01598 : 1</t>
  </si>
  <si>
    <t>C01598 : Melatonin</t>
  </si>
  <si>
    <t>C01609</t>
  </si>
  <si>
    <t>Protamine</t>
  </si>
  <si>
    <t>https://www.kegg.jp/entry/C01609</t>
  </si>
  <si>
    <t>C01609 : 1</t>
  </si>
  <si>
    <t>C01609 : Protamine</t>
  </si>
  <si>
    <t>C01612</t>
  </si>
  <si>
    <t>Secondary alcohol</t>
  </si>
  <si>
    <t>https://www.kegg.jp/entry/C01612</t>
  </si>
  <si>
    <t>C01612 : 1</t>
  </si>
  <si>
    <t>C01612 : Secondary alcohol</t>
  </si>
  <si>
    <t>C01613</t>
  </si>
  <si>
    <t>Stachyose</t>
  </si>
  <si>
    <t>https://www.kegg.jp/entry/C01613</t>
  </si>
  <si>
    <t>C01613 : 1</t>
  </si>
  <si>
    <t>C01613 : Stachyose</t>
  </si>
  <si>
    <t>C01635</t>
  </si>
  <si>
    <t>tRNA(Ala)</t>
  </si>
  <si>
    <t>https://www.kegg.jp/entry/C01635</t>
  </si>
  <si>
    <t>C01635 : 1</t>
  </si>
  <si>
    <t>C01635 : tRNA(Ala)</t>
  </si>
  <si>
    <t>C01636</t>
  </si>
  <si>
    <t>tRNA(Arg)</t>
  </si>
  <si>
    <t>https://www.kegg.jp/entry/C01636</t>
  </si>
  <si>
    <t>C01636 : 1</t>
  </si>
  <si>
    <t>C01636 : tRNA(Arg)</t>
  </si>
  <si>
    <t>C01637</t>
  </si>
  <si>
    <t>tRNA(Asn)</t>
  </si>
  <si>
    <t>https://www.kegg.jp/entry/C01637</t>
  </si>
  <si>
    <t>C01637 : 1</t>
  </si>
  <si>
    <t>C01637 : tRNA(Asn)</t>
  </si>
  <si>
    <t>C01638</t>
  </si>
  <si>
    <t>tRNA(Asp)</t>
  </si>
  <si>
    <t>https://www.kegg.jp/entry/C01638</t>
  </si>
  <si>
    <t>C01638 : 1</t>
  </si>
  <si>
    <t>C01638 : tRNA(Asp)</t>
  </si>
  <si>
    <t>C01639</t>
  </si>
  <si>
    <t>tRNA(Cys)</t>
  </si>
  <si>
    <t>https://www.kegg.jp/entry/C01639</t>
  </si>
  <si>
    <t>C01639 : 1</t>
  </si>
  <si>
    <t>C01639 : tRNA(Cys)</t>
  </si>
  <si>
    <t>C01641</t>
  </si>
  <si>
    <t>tRNA(Glu)</t>
  </si>
  <si>
    <t>https://www.kegg.jp/entry/C01641</t>
  </si>
  <si>
    <t>C01641 : 1</t>
  </si>
  <si>
    <t>C01641 : tRNA(Glu)</t>
  </si>
  <si>
    <t>C01643</t>
  </si>
  <si>
    <t>tRNA(His)</t>
  </si>
  <si>
    <t>https://www.kegg.jp/entry/C01643</t>
  </si>
  <si>
    <t>C01643 : 1</t>
  </si>
  <si>
    <t>C01643 : tRNA(His)</t>
  </si>
  <si>
    <t>C01644</t>
  </si>
  <si>
    <t>tRNA(Ile)</t>
  </si>
  <si>
    <t>https://www.kegg.jp/entry/C01644</t>
  </si>
  <si>
    <t>C01644 : 1</t>
  </si>
  <si>
    <t>C01644 : tRNA(Ile)</t>
  </si>
  <si>
    <t>C01645</t>
  </si>
  <si>
    <t>tRNA(Leu)</t>
  </si>
  <si>
    <t>https://www.kegg.jp/entry/C01645</t>
  </si>
  <si>
    <t>C01645 : 1</t>
  </si>
  <si>
    <t>C01645 : tRNA(Leu)</t>
  </si>
  <si>
    <t>C01646</t>
  </si>
  <si>
    <t>tRNA(Lys)</t>
  </si>
  <si>
    <t>https://www.kegg.jp/entry/C01646</t>
  </si>
  <si>
    <t>C01646 : 1</t>
  </si>
  <si>
    <t>C01646 : tRNA(Lys)</t>
  </si>
  <si>
    <t>C01647</t>
  </si>
  <si>
    <t>tRNA(Met)</t>
  </si>
  <si>
    <t>https://www.kegg.jp/entry/C01647</t>
  </si>
  <si>
    <t>C01647 : 1</t>
  </si>
  <si>
    <t>C01647 : tRNA(Met)</t>
  </si>
  <si>
    <t>C01648</t>
  </si>
  <si>
    <t>tRNA(Phe)</t>
  </si>
  <si>
    <t>https://www.kegg.jp/entry/C01648</t>
  </si>
  <si>
    <t>C01648 : 1</t>
  </si>
  <si>
    <t>C01648 : tRNA(Phe)</t>
  </si>
  <si>
    <t>C01649</t>
  </si>
  <si>
    <t>tRNA(Pro)</t>
  </si>
  <si>
    <t>https://www.kegg.jp/entry/C01649</t>
  </si>
  <si>
    <t>C01649 : 1</t>
  </si>
  <si>
    <t>C01649 : tRNA(Pro)</t>
  </si>
  <si>
    <t>C01651</t>
  </si>
  <si>
    <t>tRNA(Thr)</t>
  </si>
  <si>
    <t>https://www.kegg.jp/entry/C01651</t>
  </si>
  <si>
    <t>C01651 : 1</t>
  </si>
  <si>
    <t>C01651 : tRNA(Thr)</t>
  </si>
  <si>
    <t>C01652</t>
  </si>
  <si>
    <t>tRNA(Trp)</t>
  </si>
  <si>
    <t>https://www.kegg.jp/entry/C01652</t>
  </si>
  <si>
    <t>C01652 : 1</t>
  </si>
  <si>
    <t>C01652 : tRNA(Trp)</t>
  </si>
  <si>
    <t>C01653</t>
  </si>
  <si>
    <t>tRNA(Val)</t>
  </si>
  <si>
    <t>https://www.kegg.jp/entry/C01653</t>
  </si>
  <si>
    <t>C01653 : 1</t>
  </si>
  <si>
    <t>C01653 : tRNA(Val)</t>
  </si>
  <si>
    <t>C01664</t>
  </si>
  <si>
    <t>Alkylamine</t>
  </si>
  <si>
    <t>https://www.kegg.jp/entry/C01664</t>
  </si>
  <si>
    <t>C01664 : 1</t>
  </si>
  <si>
    <t>C01664 : Alkylamine</t>
  </si>
  <si>
    <t>C01672</t>
  </si>
  <si>
    <t>Cadaverine</t>
  </si>
  <si>
    <t>https://www.kegg.jp/entry/C01672</t>
  </si>
  <si>
    <t>C01672 : 1</t>
  </si>
  <si>
    <t>C01672 : Cadaverine</t>
  </si>
  <si>
    <t>C01674</t>
  </si>
  <si>
    <t>Chitobiose</t>
  </si>
  <si>
    <t>https://www.kegg.jp/entry/C01674</t>
  </si>
  <si>
    <t>C01674 : 1</t>
  </si>
  <si>
    <t>C01674 : Chitobiose</t>
  </si>
  <si>
    <t>C01762</t>
  </si>
  <si>
    <t>Xanthosine</t>
  </si>
  <si>
    <t>https://www.kegg.jp/entry/C01762</t>
  </si>
  <si>
    <t>C01762 : 1</t>
  </si>
  <si>
    <t>C01762 : Xanthosine</t>
  </si>
  <si>
    <t>C01764</t>
  </si>
  <si>
    <t>tRNA containing uridine at position 54</t>
  </si>
  <si>
    <t>https://www.kegg.jp/entry/C01764</t>
  </si>
  <si>
    <t>C01764 : 1</t>
  </si>
  <si>
    <t>C01764 : tRNA containing uridine at position 54</t>
  </si>
  <si>
    <t>C01801</t>
  </si>
  <si>
    <t>Deoxyribose</t>
  </si>
  <si>
    <t>https://www.kegg.jp/entry/C01801</t>
  </si>
  <si>
    <t>C01801 : 1</t>
  </si>
  <si>
    <t>C01801 : Deoxyribose</t>
  </si>
  <si>
    <t>C01866</t>
  </si>
  <si>
    <t>beta-Lactam</t>
  </si>
  <si>
    <t>https://www.kegg.jp/entry/C01866</t>
  </si>
  <si>
    <t>C01866 : 1</t>
  </si>
  <si>
    <t>C01866 : beta-Lactam</t>
  </si>
  <si>
    <t>C01879</t>
  </si>
  <si>
    <t>5-Oxoproline</t>
  </si>
  <si>
    <t>https://www.kegg.jp/entry/C01879</t>
  </si>
  <si>
    <t>C01879 : 1</t>
  </si>
  <si>
    <t>C01879 : 5-Oxoproline</t>
  </si>
  <si>
    <t>C01909</t>
  </si>
  <si>
    <t>Dethiobiotin</t>
  </si>
  <si>
    <t>https://www.kegg.jp/entry/C01909</t>
  </si>
  <si>
    <t>C01909 : 1</t>
  </si>
  <si>
    <t>C01909 : Dethiobiotin</t>
  </si>
  <si>
    <t>C01921</t>
  </si>
  <si>
    <t>Glycocholate</t>
  </si>
  <si>
    <t>https://www.kegg.jp/entry/C01921</t>
  </si>
  <si>
    <t>C01921 : 1</t>
  </si>
  <si>
    <t>C01921 : Glycocholate</t>
  </si>
  <si>
    <t>C01929</t>
  </si>
  <si>
    <t>L-Histidinal</t>
  </si>
  <si>
    <t>https://www.kegg.jp/entry/C01929</t>
  </si>
  <si>
    <t>C01929 : 1</t>
  </si>
  <si>
    <t>C01929 : L-Histidinal</t>
  </si>
  <si>
    <t>C01931</t>
  </si>
  <si>
    <t>L-Lysyl-tRNA</t>
  </si>
  <si>
    <t>https://www.kegg.jp/entry/C01931</t>
  </si>
  <si>
    <t>C01931 : 1</t>
  </si>
  <si>
    <t>C01931 : L-Lysyl-tRNA</t>
  </si>
  <si>
    <t>C01935</t>
  </si>
  <si>
    <t>Maltodextrin</t>
  </si>
  <si>
    <t>https://www.kegg.jp/entry/C01935</t>
  </si>
  <si>
    <t>C01935 : 1</t>
  </si>
  <si>
    <t>C01935 : Maltodextrin</t>
  </si>
  <si>
    <t>C01962</t>
  </si>
  <si>
    <t>Thiocysteine</t>
  </si>
  <si>
    <t>https://www.kegg.jp/entry/C01962</t>
  </si>
  <si>
    <t>C01962 : 1</t>
  </si>
  <si>
    <t>C01962 : Thiocysteine</t>
  </si>
  <si>
    <t>C01977</t>
  </si>
  <si>
    <t>tRNA guanine</t>
  </si>
  <si>
    <t>https://www.kegg.jp/entry/C01977</t>
  </si>
  <si>
    <t>C01977 : 1</t>
  </si>
  <si>
    <t>C01977 : tRNA guanine</t>
  </si>
  <si>
    <t>C01978</t>
  </si>
  <si>
    <t>tRNA queuine</t>
  </si>
  <si>
    <t>https://www.kegg.jp/entry/C01978</t>
  </si>
  <si>
    <t>C01978 : 1</t>
  </si>
  <si>
    <t>C01978 : tRNA queuine</t>
  </si>
  <si>
    <t>C01997</t>
  </si>
  <si>
    <t>Histone N6-acetyl-L-lysine</t>
  </si>
  <si>
    <t>https://www.kegg.jp/entry/C01997</t>
  </si>
  <si>
    <t>C01997 : 1</t>
  </si>
  <si>
    <t>C01997 : Histone N6-acetyl-L-lysine</t>
  </si>
  <si>
    <t>C02015</t>
  </si>
  <si>
    <t>CoA-disulfide</t>
  </si>
  <si>
    <t>https://www.kegg.jp/entry/C02015</t>
  </si>
  <si>
    <t>C02015 : 1</t>
  </si>
  <si>
    <t>C02015 : CoA-disulfide</t>
  </si>
  <si>
    <t>C02047</t>
  </si>
  <si>
    <t>L-Leucyl-tRNA</t>
  </si>
  <si>
    <t>https://www.kegg.jp/entry/C02047</t>
  </si>
  <si>
    <t>C02047 : 1</t>
  </si>
  <si>
    <t>C02047 : L-Leucyl-tRNA</t>
  </si>
  <si>
    <t>C02051</t>
  </si>
  <si>
    <t>Lipoylprotein</t>
  </si>
  <si>
    <t>https://www.kegg.jp/entry/C02051</t>
  </si>
  <si>
    <t>C02051 : 1</t>
  </si>
  <si>
    <t>C02051 : Lipoylprotein</t>
  </si>
  <si>
    <t>C02090</t>
  </si>
  <si>
    <t>Trypanothione</t>
  </si>
  <si>
    <t>https://www.kegg.jp/entry/C02090</t>
  </si>
  <si>
    <t>C02090 : 1</t>
  </si>
  <si>
    <t>C02090 : Trypanothione</t>
  </si>
  <si>
    <t>dTDP-galactose</t>
  </si>
  <si>
    <t>https://www.kegg.jp/entry/C02097</t>
  </si>
  <si>
    <t>C02097 : 1</t>
  </si>
  <si>
    <t>C02097 : dTDP-galactose</t>
  </si>
  <si>
    <t>C02128</t>
  </si>
  <si>
    <t>5'-Phospho-DNA</t>
  </si>
  <si>
    <t>https://www.kegg.jp/entry/C02128</t>
  </si>
  <si>
    <t>C02128 : 1</t>
  </si>
  <si>
    <t>C02128 : 5'-Phospho-DNA</t>
  </si>
  <si>
    <t>C02133</t>
  </si>
  <si>
    <t>Acyl phosphate</t>
  </si>
  <si>
    <t>https://www.kegg.jp/entry/C02133</t>
  </si>
  <si>
    <t>C02133 : 1</t>
  </si>
  <si>
    <t>C02133 : Acyl phosphate</t>
  </si>
  <si>
    <t>C02163</t>
  </si>
  <si>
    <t>L-Arginyl-tRNA(Arg)</t>
  </si>
  <si>
    <t>https://www.kegg.jp/entry/C02163</t>
  </si>
  <si>
    <t>C02163 : 1</t>
  </si>
  <si>
    <t>C02163 : L-Arginyl-tRNA(Arg)</t>
  </si>
  <si>
    <t>C02170</t>
  </si>
  <si>
    <t>Methylmalonate</t>
  </si>
  <si>
    <t>https://www.kegg.jp/entry/C02170</t>
  </si>
  <si>
    <t>C02170 : 1</t>
  </si>
  <si>
    <t>C02170 : Methylmalonate</t>
  </si>
  <si>
    <t>C02188</t>
  </si>
  <si>
    <t>Protein lysine</t>
  </si>
  <si>
    <t>https://www.kegg.jp/entry/C02188</t>
  </si>
  <si>
    <t>C02188 : 1</t>
  </si>
  <si>
    <t>C02188 : Protein lysine</t>
  </si>
  <si>
    <t>C02191</t>
  </si>
  <si>
    <t>Protoporphyrin</t>
  </si>
  <si>
    <t>https://www.kegg.jp/entry/C02191</t>
  </si>
  <si>
    <t>C02191 : 1</t>
  </si>
  <si>
    <t>C02191 : Protoporphyrin</t>
  </si>
  <si>
    <t>C02211</t>
  </si>
  <si>
    <t>tRNA precursor</t>
  </si>
  <si>
    <t>https://www.kegg.jp/entry/C02211</t>
  </si>
  <si>
    <t>C02211 : 1</t>
  </si>
  <si>
    <t>C02211 : tRNA precursor</t>
  </si>
  <si>
    <t>Dehydroalanine</t>
  </si>
  <si>
    <t>https://www.kegg.jp/entry/C02218</t>
  </si>
  <si>
    <t>C02218 : 1</t>
  </si>
  <si>
    <t>C02218 : Dehydroalanine</t>
  </si>
  <si>
    <t>2-Methylcitrate</t>
  </si>
  <si>
    <t>https://www.kegg.jp/entry/C02225</t>
  </si>
  <si>
    <t>C02225 : 1</t>
  </si>
  <si>
    <t>C02225 : 2-Methylcitrate</t>
  </si>
  <si>
    <t>C02232</t>
  </si>
  <si>
    <t>3-Oxoadipyl-CoA</t>
  </si>
  <si>
    <t>https://www.kegg.jp/entry/C02232</t>
  </si>
  <si>
    <t>C02232 : 1</t>
  </si>
  <si>
    <t>C02232 : 3-Oxoadipyl-CoA</t>
  </si>
  <si>
    <t>C02265</t>
  </si>
  <si>
    <t>D-Phenylalanine</t>
  </si>
  <si>
    <t>https://www.kegg.jp/entry/C02265</t>
  </si>
  <si>
    <t>C02265 : 1</t>
  </si>
  <si>
    <t>C02265 : D-Phenylalanine</t>
  </si>
  <si>
    <t>C02291</t>
  </si>
  <si>
    <t>L-Cystathionine</t>
  </si>
  <si>
    <t>https://www.kegg.jp/entry/C02291</t>
  </si>
  <si>
    <t>C02291 : 1</t>
  </si>
  <si>
    <t>C02291 : L-Cystathionine</t>
  </si>
  <si>
    <t>C02297</t>
  </si>
  <si>
    <t>N-Acetyldiamine</t>
  </si>
  <si>
    <t>https://www.kegg.jp/entry/C02297</t>
  </si>
  <si>
    <t>C02297 : 1</t>
  </si>
  <si>
    <t>C02297 : N-Acetyldiamine</t>
  </si>
  <si>
    <t>C02323</t>
  </si>
  <si>
    <t>Salicyl alcohol</t>
  </si>
  <si>
    <t>https://www.kegg.jp/entry/C02323</t>
  </si>
  <si>
    <t>C02323 : 1</t>
  </si>
  <si>
    <t>C02323 : Salicyl alcohol</t>
  </si>
  <si>
    <t>C02336</t>
  </si>
  <si>
    <t>beta-D-Fructose</t>
  </si>
  <si>
    <t>https://www.kegg.jp/entry/C02336</t>
  </si>
  <si>
    <t>C02336 : 1</t>
  </si>
  <si>
    <t>C02336 : beta-D-Fructose</t>
  </si>
  <si>
    <t>C02342</t>
  </si>
  <si>
    <t>Activated' tRNA</t>
  </si>
  <si>
    <t>https://www.kegg.jp/entry/C02342</t>
  </si>
  <si>
    <t>C02342 : 1</t>
  </si>
  <si>
    <t>C02342 : Activated' tRNA</t>
  </si>
  <si>
    <t>C02356</t>
  </si>
  <si>
    <t>(S)-2-Aminobutanoate</t>
  </si>
  <si>
    <t>https://www.kegg.jp/entry/C02356</t>
  </si>
  <si>
    <t>C02356 : 1</t>
  </si>
  <si>
    <t>C02356 : (S)-2-Aminobutanoate</t>
  </si>
  <si>
    <t>C02380</t>
  </si>
  <si>
    <t>6-Mercaptopurine</t>
  </si>
  <si>
    <t>https://www.kegg.jp/entry/C02380</t>
  </si>
  <si>
    <t>C02380 : 1</t>
  </si>
  <si>
    <t>C02380 : 6-Mercaptopurine</t>
  </si>
  <si>
    <t>C02391</t>
  </si>
  <si>
    <t>Ester</t>
  </si>
  <si>
    <t>https://www.kegg.jp/entry/C02391</t>
  </si>
  <si>
    <t>C02391 : 1</t>
  </si>
  <si>
    <t>C02391 : Ester</t>
  </si>
  <si>
    <t>C02403</t>
  </si>
  <si>
    <t>Fatty acid anion</t>
  </si>
  <si>
    <t>https://www.kegg.jp/entry/C02403</t>
  </si>
  <si>
    <t>C02403 : 1</t>
  </si>
  <si>
    <t>C02403 : Fatty acid anion</t>
  </si>
  <si>
    <t>C02415</t>
  </si>
  <si>
    <t>Histone-L-lysine</t>
  </si>
  <si>
    <t>https://www.kegg.jp/entry/C02415</t>
  </si>
  <si>
    <t>C02415 : 1</t>
  </si>
  <si>
    <t>C02415 : Histone-L-lysine</t>
  </si>
  <si>
    <t>C02430</t>
  </si>
  <si>
    <t>L-Methionyl-tRNA</t>
  </si>
  <si>
    <t>https://www.kegg.jp/entry/C02430</t>
  </si>
  <si>
    <t>C02430 : 1</t>
  </si>
  <si>
    <t>C02430 : L-Methionyl-tRNA</t>
  </si>
  <si>
    <t>C02463</t>
  </si>
  <si>
    <t>Precorrin 2</t>
  </si>
  <si>
    <t>https://www.kegg.jp/entry/C02463</t>
  </si>
  <si>
    <t>C02463 : 1</t>
  </si>
  <si>
    <t>C02463 : Precorrin 2</t>
  </si>
  <si>
    <t>C02469</t>
  </si>
  <si>
    <t>Uroporphyrin III</t>
  </si>
  <si>
    <t>https://www.kegg.jp/entry/C02469</t>
  </si>
  <si>
    <t>C02469 : 1</t>
  </si>
  <si>
    <t>C02469 : Uroporphyrin III</t>
  </si>
  <si>
    <t>2-Hydroxymuconate</t>
  </si>
  <si>
    <t>https://www.kegg.jp/entry/C02501</t>
  </si>
  <si>
    <t>C02501 : 1</t>
  </si>
  <si>
    <t>C02501 : 2-Hydroxymuconate</t>
  </si>
  <si>
    <t>alpha-Isopropylmalate</t>
  </si>
  <si>
    <t>https://www.kegg.jp/entry/C02504</t>
  </si>
  <si>
    <t>C02504 : 1</t>
  </si>
  <si>
    <t>C02504 : alpha-Isopropylmalate</t>
  </si>
  <si>
    <t>C02520</t>
  </si>
  <si>
    <t>5'-Ribonucleotide</t>
  </si>
  <si>
    <t>https://www.kegg.jp/entry/C02520</t>
  </si>
  <si>
    <t>C02520 : 1</t>
  </si>
  <si>
    <t>C02520 : 5'-Ribonucleotide</t>
  </si>
  <si>
    <t>C02527</t>
  </si>
  <si>
    <t>Butanoylphosphate</t>
  </si>
  <si>
    <t>https://www.kegg.jp/entry/C02527</t>
  </si>
  <si>
    <t>C02527 : 1</t>
  </si>
  <si>
    <t>C02527 : Butanoylphosphate</t>
  </si>
  <si>
    <t>C02528</t>
  </si>
  <si>
    <t>Chenodeoxycholate</t>
  </si>
  <si>
    <t>https://www.kegg.jp/entry/C02528</t>
  </si>
  <si>
    <t>C02528 : 1</t>
  </si>
  <si>
    <t>C02528 : Chenodeoxycholate</t>
  </si>
  <si>
    <t>C02532</t>
  </si>
  <si>
    <t>O-Phospho-D-serine</t>
  </si>
  <si>
    <t>https://www.kegg.jp/entry/C02532</t>
  </si>
  <si>
    <t>C02532 : 1</t>
  </si>
  <si>
    <t>C02532 : O-Phospho-D-serine</t>
  </si>
  <si>
    <t>C02554</t>
  </si>
  <si>
    <t>L-Valyl-tRNA(Val)</t>
  </si>
  <si>
    <t>https://www.kegg.jp/entry/C02554</t>
  </si>
  <si>
    <t>C02554 : 1</t>
  </si>
  <si>
    <t>C02554 : L-Valyl-tRNA(Val)</t>
  </si>
  <si>
    <t>C02576</t>
  </si>
  <si>
    <t>Perillyl aldehyde</t>
  </si>
  <si>
    <t>https://www.kegg.jp/entry/C02576</t>
  </si>
  <si>
    <t>C02576 : 1</t>
  </si>
  <si>
    <t>C02576 : Perillyl aldehyde</t>
  </si>
  <si>
    <t>C02583</t>
  </si>
  <si>
    <t>Protein glutamine</t>
  </si>
  <si>
    <t>https://www.kegg.jp/entry/C02583</t>
  </si>
  <si>
    <t>C02583 : 1</t>
  </si>
  <si>
    <t>C02583 : Protein glutamine</t>
  </si>
  <si>
    <t>C02631</t>
  </si>
  <si>
    <t>2-Isopropylmaleate</t>
  </si>
  <si>
    <t>https://www.kegg.jp/entry/C02631</t>
  </si>
  <si>
    <t>C02631 : 1</t>
  </si>
  <si>
    <t>C02631 : 2-Isopropylmaleate</t>
  </si>
  <si>
    <t>C02637</t>
  </si>
  <si>
    <t>3-Dehydroshikimate</t>
  </si>
  <si>
    <t>https://www.kegg.jp/entry/C02637</t>
  </si>
  <si>
    <t>C02637 : 1</t>
  </si>
  <si>
    <t>C02637 : 3-Dehydroshikimate</t>
  </si>
  <si>
    <t>C02670</t>
  </si>
  <si>
    <t>D-Glucuronolactone</t>
  </si>
  <si>
    <t>https://www.kegg.jp/entry/C02670</t>
  </si>
  <si>
    <t>C02670 : 1</t>
  </si>
  <si>
    <t>C02670 : D-Glucuronolactone</t>
  </si>
  <si>
    <t>L-Formylkynurenine</t>
  </si>
  <si>
    <t>https://www.kegg.jp/entry/C02700</t>
  </si>
  <si>
    <t>C02700 : 1</t>
  </si>
  <si>
    <t>C02700 : L-Formylkynurenine</t>
  </si>
  <si>
    <t>C02702</t>
  </si>
  <si>
    <t>L-Prolyl-tRNA(Pro)</t>
  </si>
  <si>
    <t>https://www.kegg.jp/entry/C02702</t>
  </si>
  <si>
    <t>C02702 : 1</t>
  </si>
  <si>
    <t>C02702 : L-Prolyl-tRNA(Pro)</t>
  </si>
  <si>
    <t>C02713</t>
  </si>
  <si>
    <t>N-Acetylmuramate</t>
  </si>
  <si>
    <t>https://www.kegg.jp/entry/C02713</t>
  </si>
  <si>
    <t>C02713 : 1</t>
  </si>
  <si>
    <t>C02713 : N-Acetylmuramate</t>
  </si>
  <si>
    <t>C02714</t>
  </si>
  <si>
    <t>N-Acetylputrescine</t>
  </si>
  <si>
    <t>https://www.kegg.jp/entry/C02714</t>
  </si>
  <si>
    <t>C02714 : 1</t>
  </si>
  <si>
    <t>C02714 : N-Acetylputrescine</t>
  </si>
  <si>
    <t>C02729</t>
  </si>
  <si>
    <t>O-Phosphoprotamine</t>
  </si>
  <si>
    <t>https://www.kegg.jp/entry/C02729</t>
  </si>
  <si>
    <t>C02729 : 1</t>
  </si>
  <si>
    <t>C02729 : O-Phosphoprotamine</t>
  </si>
  <si>
    <t>C02730</t>
  </si>
  <si>
    <t>2-Succinylbenzoate</t>
  </si>
  <si>
    <t>https://www.kegg.jp/entry/C02730</t>
  </si>
  <si>
    <t>C02730 : 1</t>
  </si>
  <si>
    <t>C02730 : 2-Succinylbenzoate</t>
  </si>
  <si>
    <t>Phosphatidylserine</t>
  </si>
  <si>
    <t>https://www.kegg.jp/entry/C02737</t>
  </si>
  <si>
    <t>C02737 : 1</t>
  </si>
  <si>
    <t>C02737 : Phosphatidylserine</t>
  </si>
  <si>
    <t>C02739</t>
  </si>
  <si>
    <t>1-(5-Phospho-D-ribosyl)-ATP</t>
  </si>
  <si>
    <t>https://www.kegg.jp/entry/C02739</t>
  </si>
  <si>
    <t>C02739 : 1</t>
  </si>
  <si>
    <t>C02739 : 1-(5-Phospho-D-ribosyl)-ATP</t>
  </si>
  <si>
    <t>C02741</t>
  </si>
  <si>
    <t>Phosphoribosyl-AMP</t>
  </si>
  <si>
    <t>https://www.kegg.jp/entry/C02741</t>
  </si>
  <si>
    <t>C02741 : 1</t>
  </si>
  <si>
    <t>C02741 : Phosphoribosyl-AMP</t>
  </si>
  <si>
    <t>C02743</t>
  </si>
  <si>
    <t>[Protein]-L-cysteine</t>
  </si>
  <si>
    <t>https://www.kegg.jp/entry/C02743</t>
  </si>
  <si>
    <t>C02743 : 1</t>
  </si>
  <si>
    <t>C02743 : [Protein]-L-cysteine</t>
  </si>
  <si>
    <t>C02745</t>
  </si>
  <si>
    <t>Reduced flavodoxin</t>
  </si>
  <si>
    <t>https://www.kegg.jp/entry/C02745</t>
  </si>
  <si>
    <t>C02745 : 1</t>
  </si>
  <si>
    <t>C02745 : Reduced flavodoxin</t>
  </si>
  <si>
    <t>C02749</t>
  </si>
  <si>
    <t>S-Alkyl-L-cysteine</t>
  </si>
  <si>
    <t>https://www.kegg.jp/entry/C02749</t>
  </si>
  <si>
    <t>C02749 : 1</t>
  </si>
  <si>
    <t>C02749 : S-Alkyl-L-cysteine</t>
  </si>
  <si>
    <t>tRNA pseudouridine</t>
  </si>
  <si>
    <t>https://www.kegg.jp/entry/C02764</t>
  </si>
  <si>
    <t>C02764 : 1</t>
  </si>
  <si>
    <t>C02764 : tRNA pseudouridine</t>
  </si>
  <si>
    <t>C02835</t>
  </si>
  <si>
    <t>Imidazole-4-acetate</t>
  </si>
  <si>
    <t>https://www.kegg.jp/entry/C02835</t>
  </si>
  <si>
    <t>C02835 : 1</t>
  </si>
  <si>
    <t>C02835 : Imidazole-4-acetate</t>
  </si>
  <si>
    <t>C02839</t>
  </si>
  <si>
    <t>L-Tyrosyl-tRNA(Tyr)</t>
  </si>
  <si>
    <t>https://www.kegg.jp/entry/C02839</t>
  </si>
  <si>
    <t>C02839 : 1</t>
  </si>
  <si>
    <t>C02839 : L-Tyrosyl-tRNA(Tyr)</t>
  </si>
  <si>
    <t>C02843</t>
  </si>
  <si>
    <t>Long-chain acyl-CoA</t>
  </si>
  <si>
    <t>https://www.kegg.jp/entry/C02843</t>
  </si>
  <si>
    <t>C02843 : 1</t>
  </si>
  <si>
    <t>C02843 : Long-chain acyl-CoA</t>
  </si>
  <si>
    <t>C02850</t>
  </si>
  <si>
    <t>N-Acyl-L-amino acid</t>
  </si>
  <si>
    <t>https://www.kegg.jp/entry/C02850</t>
  </si>
  <si>
    <t>C02850 : 1</t>
  </si>
  <si>
    <t>C02850 : N-Acyl-L-amino acid</t>
  </si>
  <si>
    <t>C02869</t>
  </si>
  <si>
    <t>Oxidized flavodoxin</t>
  </si>
  <si>
    <t>https://www.kegg.jp/entry/C02869</t>
  </si>
  <si>
    <t>C02869 : 1</t>
  </si>
  <si>
    <t>C02869 : Oxidized flavodoxin</t>
  </si>
  <si>
    <t>C02876</t>
  </si>
  <si>
    <t>Propanoyl phosphate</t>
  </si>
  <si>
    <t>https://www.kegg.jp/entry/C02876</t>
  </si>
  <si>
    <t>C02876 : 1</t>
  </si>
  <si>
    <t>C02876 : Propanoyl phosphate</t>
  </si>
  <si>
    <t>C02882</t>
  </si>
  <si>
    <t>L-Cysteine-S-conjugate</t>
  </si>
  <si>
    <t>https://www.kegg.jp/entry/C02882</t>
  </si>
  <si>
    <t>C02882 : 1</t>
  </si>
  <si>
    <t>C02882 : L-Cysteine-S-conjugate</t>
  </si>
  <si>
    <t>C02909</t>
  </si>
  <si>
    <t>(2-Naphthyl)methanol</t>
  </si>
  <si>
    <t>https://www.kegg.jp/entry/C02909</t>
  </si>
  <si>
    <t>C02909 : 1</t>
  </si>
  <si>
    <t>C02909 : (2-Naphthyl)methanol</t>
  </si>
  <si>
    <t>C02946</t>
  </si>
  <si>
    <t>4-Acetamidobutanoate</t>
  </si>
  <si>
    <t>https://www.kegg.jp/entry/C02946</t>
  </si>
  <si>
    <t>C02946 : 1</t>
  </si>
  <si>
    <t>C02946 : 4-Acetamidobutanoate</t>
  </si>
  <si>
    <t>C02953</t>
  </si>
  <si>
    <t>7,8-Dihydrobiopterin</t>
  </si>
  <si>
    <t>https://www.kegg.jp/entry/C02953</t>
  </si>
  <si>
    <t>C02953 : 1</t>
  </si>
  <si>
    <t>C02953 : 7,8-Dihydrobiopterin</t>
  </si>
  <si>
    <t>D-Allose 6-phosphate</t>
  </si>
  <si>
    <t>https://www.kegg.jp/entry/C02962</t>
  </si>
  <si>
    <t>C02962 : 1</t>
  </si>
  <si>
    <t>C02962 : D-Allose 6-phosphate</t>
  </si>
  <si>
    <t>C02972</t>
  </si>
  <si>
    <t>Dihydrolipoylprotein</t>
  </si>
  <si>
    <t>https://www.kegg.jp/entry/C02972</t>
  </si>
  <si>
    <t>C02972 : 1</t>
  </si>
  <si>
    <t>C02972 : Dihydrolipoylprotein</t>
  </si>
  <si>
    <t>C02984</t>
  </si>
  <si>
    <t>L-Aspartyl-tRNA(Asp)</t>
  </si>
  <si>
    <t>https://www.kegg.jp/entry/C02984</t>
  </si>
  <si>
    <t>C02984 : 1</t>
  </si>
  <si>
    <t>C02984 : L-Aspartyl-tRNA(Asp)</t>
  </si>
  <si>
    <t>C02987</t>
  </si>
  <si>
    <t>L-Glutamyl-tRNA(Glu)</t>
  </si>
  <si>
    <t>https://www.kegg.jp/entry/C02987</t>
  </si>
  <si>
    <t>C02987 : 1</t>
  </si>
  <si>
    <t>C02987 : L-Glutamyl-tRNA(Glu)</t>
  </si>
  <si>
    <t>C02988</t>
  </si>
  <si>
    <t>L-Histidyl-tRNA(His)</t>
  </si>
  <si>
    <t>https://www.kegg.jp/entry/C02988</t>
  </si>
  <si>
    <t>C02988 : 1</t>
  </si>
  <si>
    <t>C02988 : L-Histidyl-tRNA(His)</t>
  </si>
  <si>
    <t>C02992</t>
  </si>
  <si>
    <t>L-Threonyl-tRNA(Thr)</t>
  </si>
  <si>
    <t>https://www.kegg.jp/entry/C02992</t>
  </si>
  <si>
    <t>C02992 : 1</t>
  </si>
  <si>
    <t>C02992 : L-Threonyl-tRNA(Thr)</t>
  </si>
  <si>
    <t>C02999</t>
  </si>
  <si>
    <t>N-Acetylmuramoyl-Ala</t>
  </si>
  <si>
    <t>https://www.kegg.jp/entry/C02999</t>
  </si>
  <si>
    <t>C02999 : 1</t>
  </si>
  <si>
    <t>C02999 : N-Acetylmuramoyl-Ala</t>
  </si>
  <si>
    <t>C03023</t>
  </si>
  <si>
    <t>Peptide-L-methionine</t>
  </si>
  <si>
    <t>https://www.kegg.jp/entry/C03023</t>
  </si>
  <si>
    <t>C03023 : 1</t>
  </si>
  <si>
    <t>C03023 : Peptide-L-methionine</t>
  </si>
  <si>
    <t>C03024</t>
  </si>
  <si>
    <t>[Reduced NADPH---hemoprotein reductase]</t>
  </si>
  <si>
    <t>https://www.kegg.jp/entry/C03024</t>
  </si>
  <si>
    <t>C03024 : 1</t>
  </si>
  <si>
    <t>C03024 : [Reduced NADPH---hemoprotein reductase]</t>
  </si>
  <si>
    <t>C03028</t>
  </si>
  <si>
    <t>Thiamin triphosphate</t>
  </si>
  <si>
    <t>https://www.kegg.jp/entry/C03028</t>
  </si>
  <si>
    <t>C03028 : 1</t>
  </si>
  <si>
    <t>C03028 : Thiamin triphosphate</t>
  </si>
  <si>
    <t>C03044</t>
  </si>
  <si>
    <t>(R,R)-Butane-2,3-diol</t>
  </si>
  <si>
    <t>https://www.kegg.jp/entry/C03044</t>
  </si>
  <si>
    <t>C03044 : 1</t>
  </si>
  <si>
    <t>C03044 : (R,R)-Butane-2,3-diol</t>
  </si>
  <si>
    <t>C03069</t>
  </si>
  <si>
    <t>3-Methylcrotonyl-CoA</t>
  </si>
  <si>
    <t>https://www.kegg.jp/entry/C03069</t>
  </si>
  <si>
    <t>C03069 : 1</t>
  </si>
  <si>
    <t>C03069 : 3-Methylcrotonyl-CoA</t>
  </si>
  <si>
    <t>C03082</t>
  </si>
  <si>
    <t>4-Phospho-L-aspartate</t>
  </si>
  <si>
    <t>https://www.kegg.jp/entry/C03082</t>
  </si>
  <si>
    <t>C03082 : 1</t>
  </si>
  <si>
    <t>C03082 : 4-Phospho-L-aspartate</t>
  </si>
  <si>
    <t>C03089</t>
  </si>
  <si>
    <t>5-Methylthio-D-ribose</t>
  </si>
  <si>
    <t>https://www.kegg.jp/entry/C03089</t>
  </si>
  <si>
    <t>C03089 : 1</t>
  </si>
  <si>
    <t>C03089 : 5-Methylthio-D-ribose</t>
  </si>
  <si>
    <t>C03090</t>
  </si>
  <si>
    <t>5-Phosphoribosylamine</t>
  </si>
  <si>
    <t>https://www.kegg.jp/entry/C03090</t>
  </si>
  <si>
    <t>C03090 : 1</t>
  </si>
  <si>
    <t>C03090 : 5-Phosphoribosylamine</t>
  </si>
  <si>
    <t>Cyclobutadipyrimidine</t>
  </si>
  <si>
    <t>https://www.kegg.jp/entry/C03103</t>
  </si>
  <si>
    <t>C03103 : 1</t>
  </si>
  <si>
    <t>C03103 : Cyclobutadipyrimidine</t>
  </si>
  <si>
    <t>C03125</t>
  </si>
  <si>
    <t>L-Cysteinyl-tRNA(Cys)</t>
  </si>
  <si>
    <t>https://www.kegg.jp/entry/C03125</t>
  </si>
  <si>
    <t>C03125 : 1</t>
  </si>
  <si>
    <t>C03125 : L-Cysteinyl-tRNA(Cys)</t>
  </si>
  <si>
    <t>C03127</t>
  </si>
  <si>
    <t>L-Isoleucyl-tRNA(Ile)</t>
  </si>
  <si>
    <t>https://www.kegg.jp/entry/C03127</t>
  </si>
  <si>
    <t>C03127 : 1</t>
  </si>
  <si>
    <t>C03127 : L-Isoleucyl-tRNA(Ile)</t>
  </si>
  <si>
    <t>C03150</t>
  </si>
  <si>
    <t>Nicotinamide-beta-riboside</t>
  </si>
  <si>
    <t>https://www.kegg.jp/entry/C03150</t>
  </si>
  <si>
    <t>C03150 : 1</t>
  </si>
  <si>
    <t>C03150 : Nicotinamide-beta-riboside</t>
  </si>
  <si>
    <t>2-Succinylbenzoyl-CoA</t>
  </si>
  <si>
    <t>https://www.kegg.jp/entry/C03160</t>
  </si>
  <si>
    <t>C03160 : 1</t>
  </si>
  <si>
    <t>C03160 : 2-Succinylbenzoyl-CoA</t>
  </si>
  <si>
    <t>C03161</t>
  </si>
  <si>
    <t>[Oxidized NADPH---hemoprotein reductase]</t>
  </si>
  <si>
    <t>https://www.kegg.jp/entry/C03161</t>
  </si>
  <si>
    <t>C03161 : 1</t>
  </si>
  <si>
    <t>C03161 : [Oxidized NADPH---hemoprotein reductase]</t>
  </si>
  <si>
    <t>C03167</t>
  </si>
  <si>
    <t>Phosphonoacetaldehyde</t>
  </si>
  <si>
    <t>https://www.kegg.jp/entry/C03167</t>
  </si>
  <si>
    <t>C03167 : 1</t>
  </si>
  <si>
    <t>C03167 : Phosphonoacetaldehyde</t>
  </si>
  <si>
    <t>C03169</t>
  </si>
  <si>
    <t>Pyrimidine nucleoside</t>
  </si>
  <si>
    <t>https://www.kegg.jp/entry/C03169</t>
  </si>
  <si>
    <t>C03169 : 1</t>
  </si>
  <si>
    <t>C03169 : Pyrimidine nucleoside</t>
  </si>
  <si>
    <t>C03170</t>
  </si>
  <si>
    <t>Trypanothione disulfide</t>
  </si>
  <si>
    <t>https://www.kegg.jp/entry/C03170</t>
  </si>
  <si>
    <t>C03170 : 1</t>
  </si>
  <si>
    <t>C03170 : Trypanothione disulfide</t>
  </si>
  <si>
    <t>C03172</t>
  </si>
  <si>
    <t>S-Methyl-L-methionine</t>
  </si>
  <si>
    <t>https://www.kegg.jp/entry/C03172</t>
  </si>
  <si>
    <t>C03172 : 1</t>
  </si>
  <si>
    <t>C03172 : S-Methyl-L-methionine</t>
  </si>
  <si>
    <t>C03175</t>
  </si>
  <si>
    <t>Shikimate 3-phosphate</t>
  </si>
  <si>
    <t>https://www.kegg.jp/entry/C03175</t>
  </si>
  <si>
    <t>C03175 : 1</t>
  </si>
  <si>
    <t>C03175 : Shikimate 3-phosphate</t>
  </si>
  <si>
    <t>C03221</t>
  </si>
  <si>
    <t>2-trans-Dodecenoyl-CoA</t>
  </si>
  <si>
    <t>https://www.kegg.jp/entry/C03221</t>
  </si>
  <si>
    <t>C03221 : 1</t>
  </si>
  <si>
    <t>C03221 : 2-trans-Dodecenoyl-CoA</t>
  </si>
  <si>
    <t>C03227</t>
  </si>
  <si>
    <t>3-Hydroxy-L-kynurenine</t>
  </si>
  <si>
    <t>https://www.kegg.jp/entry/C03227</t>
  </si>
  <si>
    <t>C03227 : 1</t>
  </si>
  <si>
    <t>C03227 : 3-Hydroxy-L-kynurenine</t>
  </si>
  <si>
    <t>C03232</t>
  </si>
  <si>
    <t>3-Phosphonooxypyruvate</t>
  </si>
  <si>
    <t>https://www.kegg.jp/entry/C03232</t>
  </si>
  <si>
    <t>C03232 : 1</t>
  </si>
  <si>
    <t>C03232 : 3-Phosphonooxypyruvate</t>
  </si>
  <si>
    <t>C03239</t>
  </si>
  <si>
    <t>6-Amino-2-oxohexanoate</t>
  </si>
  <si>
    <t>https://www.kegg.jp/entry/C03239</t>
  </si>
  <si>
    <t>C03239 : 1</t>
  </si>
  <si>
    <t>C03239 : 6-Amino-2-oxohexanoate</t>
  </si>
  <si>
    <t>C03263</t>
  </si>
  <si>
    <t>Coproporphyrinogen III</t>
  </si>
  <si>
    <t>https://www.kegg.jp/entry/C03263</t>
  </si>
  <si>
    <t>C03263 : 1</t>
  </si>
  <si>
    <t>C03263 : Coproporphyrinogen III</t>
  </si>
  <si>
    <t>C03287</t>
  </si>
  <si>
    <t>L-Glutamyl 5-phosphate</t>
  </si>
  <si>
    <t>https://www.kegg.jp/entry/C03287</t>
  </si>
  <si>
    <t>C03287 : 1</t>
  </si>
  <si>
    <t>C03287 : L-Glutamyl 5-phosphate</t>
  </si>
  <si>
    <t>C03294</t>
  </si>
  <si>
    <t>N-Formylmethionyl-tRNA</t>
  </si>
  <si>
    <t>https://www.kegg.jp/entry/C03294</t>
  </si>
  <si>
    <t>C03294 : 1</t>
  </si>
  <si>
    <t>C03294 : N-Formylmethionyl-tRNA</t>
  </si>
  <si>
    <t>C03319</t>
  </si>
  <si>
    <t>dTDP-L-rhamnose</t>
  </si>
  <si>
    <t>https://www.kegg.jp/entry/C03319</t>
  </si>
  <si>
    <t>C03319 : 1</t>
  </si>
  <si>
    <t>C03319 : dTDP-L-rhamnose</t>
  </si>
  <si>
    <t>C03344</t>
  </si>
  <si>
    <t>2-Methylacetoacetyl-CoA</t>
  </si>
  <si>
    <t>https://www.kegg.jp/entry/C03344</t>
  </si>
  <si>
    <t>C03344 : 1</t>
  </si>
  <si>
    <t>C03344 : 2-Methylacetoacetyl-CoA</t>
  </si>
  <si>
    <t>C03345</t>
  </si>
  <si>
    <t>2-Methylbut-2-enoyl-CoA</t>
  </si>
  <si>
    <t>https://www.kegg.jp/entry/C03345</t>
  </si>
  <si>
    <t>C03345 : 1</t>
  </si>
  <si>
    <t>C03345 : 2-Methylbut-2-enoyl-CoA</t>
  </si>
  <si>
    <t>3-Phospho-D-erythronate</t>
  </si>
  <si>
    <t>https://www.kegg.jp/entry/C03356</t>
  </si>
  <si>
    <t>C03356 : 1</t>
  </si>
  <si>
    <t>C03356 : 3-Phospho-D-erythronate</t>
  </si>
  <si>
    <t>C03360</t>
  </si>
  <si>
    <t>4-Nitrophenyl phosphate</t>
  </si>
  <si>
    <t>https://www.kegg.jp/entry/C03360</t>
  </si>
  <si>
    <t>C03360 : 1</t>
  </si>
  <si>
    <t>C03360 : 4-Nitrophenyl phosphate</t>
  </si>
  <si>
    <t>C03373</t>
  </si>
  <si>
    <t>Aminoimidazole ribotide</t>
  </si>
  <si>
    <t>https://www.kegg.jp/entry/C03373</t>
  </si>
  <si>
    <t>C03373 : 1</t>
  </si>
  <si>
    <t>C03373 : Aminoimidazole ribotide</t>
  </si>
  <si>
    <t>C03391</t>
  </si>
  <si>
    <t>DNA 6-methylaminopurine</t>
  </si>
  <si>
    <t>https://www.kegg.jp/entry/C03391</t>
  </si>
  <si>
    <t>C03391 : 1</t>
  </si>
  <si>
    <t>C03391 : DNA 6-methylaminopurine</t>
  </si>
  <si>
    <t>C03402</t>
  </si>
  <si>
    <t>L-Asparaginyl-tRNA(Asn)</t>
  </si>
  <si>
    <t>https://www.kegg.jp/entry/C03402</t>
  </si>
  <si>
    <t>C03402 : 1</t>
  </si>
  <si>
    <t>C03402 : L-Asparaginyl-tRNA(Asn)</t>
  </si>
  <si>
    <t>N-(L-Arginino)succinate</t>
  </si>
  <si>
    <t>https://www.kegg.jp/entry/C03406</t>
  </si>
  <si>
    <t>C03406 : 1</t>
  </si>
  <si>
    <t>C03406 : N-(L-Arginino)succinate</t>
  </si>
  <si>
    <t>C03446</t>
  </si>
  <si>
    <t>tRNA containing ribothymidine at position 54</t>
  </si>
  <si>
    <t>https://www.kegg.jp/entry/C03446</t>
  </si>
  <si>
    <t>C03446 : 1</t>
  </si>
  <si>
    <t>C03446 : tRNA containing ribothymidine at position 54</t>
  </si>
  <si>
    <t>gamma-Oxalocrotonate</t>
  </si>
  <si>
    <t>https://www.kegg.jp/entry/C03453</t>
  </si>
  <si>
    <t>C03453 : 1</t>
  </si>
  <si>
    <t>C03453 : gamma-Oxalocrotonate</t>
  </si>
  <si>
    <t>C03460</t>
  </si>
  <si>
    <t>2-Methylprop-2-enoyl-CoA</t>
  </si>
  <si>
    <t>https://www.kegg.jp/entry/C03460</t>
  </si>
  <si>
    <t>C03460 : 1</t>
  </si>
  <si>
    <t>C03460 : 2-Methylprop-2-enoyl-CoA</t>
  </si>
  <si>
    <t>C03461</t>
  </si>
  <si>
    <t>2-trans,6-trans-Farnesal</t>
  </si>
  <si>
    <t>https://www.kegg.jp/entry/C03461</t>
  </si>
  <si>
    <t>C03461 : 1</t>
  </si>
  <si>
    <t>C03461 : 2-trans,6-trans-Farnesal</t>
  </si>
  <si>
    <t>Folinic acid</t>
  </si>
  <si>
    <t>https://www.kegg.jp/entry/C03479</t>
  </si>
  <si>
    <t>C03479 : 1</t>
  </si>
  <si>
    <t>C03479 : Folinic acid</t>
  </si>
  <si>
    <t>C03492</t>
  </si>
  <si>
    <t>D-4'-Phosphopantothenate</t>
  </si>
  <si>
    <t>https://www.kegg.jp/entry/C03492</t>
  </si>
  <si>
    <t>C03492 : 1</t>
  </si>
  <si>
    <t>C03492 : D-4'-Phosphopantothenate</t>
  </si>
  <si>
    <t>Indoleglycerol phosphate</t>
  </si>
  <si>
    <t>https://www.kegg.jp/entry/C03506</t>
  </si>
  <si>
    <t>C03506 : 1</t>
  </si>
  <si>
    <t>C03506 : Indoleglycerol phosphate</t>
  </si>
  <si>
    <t>C03508</t>
  </si>
  <si>
    <t>L-2-Amino-3-oxobutanoic acid</t>
  </si>
  <si>
    <t>https://www.kegg.jp/entry/C03508</t>
  </si>
  <si>
    <t>C03508 : 1</t>
  </si>
  <si>
    <t>C03508 : L-2-Amino-3-oxobutanoic acid</t>
  </si>
  <si>
    <t>C03511</t>
  </si>
  <si>
    <t>L-Phenylalanyl-tRNA(Phe)</t>
  </si>
  <si>
    <t>https://www.kegg.jp/entry/C03511</t>
  </si>
  <si>
    <t>C03511 : 1</t>
  </si>
  <si>
    <t>C03511 : L-Phenylalanyl-tRNA(Phe)</t>
  </si>
  <si>
    <t>C03512</t>
  </si>
  <si>
    <t>L-Tryptophanyl-tRNA(Trp)</t>
  </si>
  <si>
    <t>https://www.kegg.jp/entry/C03512</t>
  </si>
  <si>
    <t>C03512 : 1</t>
  </si>
  <si>
    <t>C03512 : L-Tryptophanyl-tRNA(Trp)</t>
  </si>
  <si>
    <t>C03523</t>
  </si>
  <si>
    <t>N-Substituted amino acid</t>
  </si>
  <si>
    <t>https://www.kegg.jp/entry/C03523</t>
  </si>
  <si>
    <t>C03523 : 1</t>
  </si>
  <si>
    <t>C03523 : N-Substituted amino acid</t>
  </si>
  <si>
    <t>S-Ribosyl-L-homocysteine</t>
  </si>
  <si>
    <t>https://www.kegg.jp/entry/C03539</t>
  </si>
  <si>
    <t>C03539 : 1</t>
  </si>
  <si>
    <t>C03539 : S-Ribosyl-L-homocysteine</t>
  </si>
  <si>
    <t>C03541</t>
  </si>
  <si>
    <t>THF-polyglutamate</t>
  </si>
  <si>
    <t>https://www.kegg.jp/entry/C03541</t>
  </si>
  <si>
    <t>C03541 : 1</t>
  </si>
  <si>
    <t>C03541 : THF-polyglutamate</t>
  </si>
  <si>
    <t>C03557</t>
  </si>
  <si>
    <t>2-Aminoethylphosphonate</t>
  </si>
  <si>
    <t>https://www.kegg.jp/entry/C03557</t>
  </si>
  <si>
    <t>C03557 : 1</t>
  </si>
  <si>
    <t>C03557 : 2-Aminoethylphosphonate</t>
  </si>
  <si>
    <t>C03617</t>
  </si>
  <si>
    <t>L-Methionylaminoacyl-tRNA</t>
  </si>
  <si>
    <t>https://www.kegg.jp/entry/C03617</t>
  </si>
  <si>
    <t>C03617 : 1</t>
  </si>
  <si>
    <t>C03617 : L-Methionylaminoacyl-tRNA</t>
  </si>
  <si>
    <t>Peptidylproline (omega=0)</t>
  </si>
  <si>
    <t>https://www.kegg.jp/entry/C03633</t>
  </si>
  <si>
    <t>C03633 : 1</t>
  </si>
  <si>
    <t>C03633 : Peptidylproline (omega=0)</t>
  </si>
  <si>
    <t>C03636</t>
  </si>
  <si>
    <t>Protein N5-alkylglutamine</t>
  </si>
  <si>
    <t>https://www.kegg.jp/entry/C03636</t>
  </si>
  <si>
    <t>C03636 : 1</t>
  </si>
  <si>
    <t>C03636 : Protein N5-alkylglutamine</t>
  </si>
  <si>
    <t>C03657</t>
  </si>
  <si>
    <t>1,4-Dihydroxy-2-naphthoate</t>
  </si>
  <si>
    <t>https://www.kegg.jp/entry/C03657</t>
  </si>
  <si>
    <t>C03657 : 1</t>
  </si>
  <si>
    <t>C03657 : 1,4-Dihydroxy-2-naphthoate</t>
  </si>
  <si>
    <t>4-Imidazolone-5-propanoate</t>
  </si>
  <si>
    <t>https://www.kegg.jp/entry/C03680</t>
  </si>
  <si>
    <t>C03680 : 1</t>
  </si>
  <si>
    <t>C03680 : 4-Imidazolone-5-propanoate</t>
  </si>
  <si>
    <t>C03687</t>
  </si>
  <si>
    <t>Alkane-alpha,omega-diamine</t>
  </si>
  <si>
    <t>https://www.kegg.jp/entry/C03687</t>
  </si>
  <si>
    <t>C03687 : 1</t>
  </si>
  <si>
    <t>C03687 : Alkane-alpha,omega-diamine</t>
  </si>
  <si>
    <t>C03688</t>
  </si>
  <si>
    <t>Apo-[acyl-carrier protein]</t>
  </si>
  <si>
    <t>https://www.kegg.jp/entry/C03688</t>
  </si>
  <si>
    <t>C03688 : 1</t>
  </si>
  <si>
    <t>C03688 : Apo-[acyl-carrier protein]</t>
  </si>
  <si>
    <t>C03722</t>
  </si>
  <si>
    <t>Quinolinate</t>
  </si>
  <si>
    <t>https://www.kegg.jp/entry/C03722</t>
  </si>
  <si>
    <t>C03722 : 1</t>
  </si>
  <si>
    <t>C03722 : Quinolinate</t>
  </si>
  <si>
    <t>C03723</t>
  </si>
  <si>
    <t>Ribonucleoside diphosphate</t>
  </si>
  <si>
    <t>https://www.kegg.jp/entry/C03723</t>
  </si>
  <si>
    <t>C03723 : 1</t>
  </si>
  <si>
    <t>C03723 : Ribonucleoside diphosphate</t>
  </si>
  <si>
    <t>(S)-4-Amino-5-oxopentanoate</t>
  </si>
  <si>
    <t>https://www.kegg.jp/entry/C03741</t>
  </si>
  <si>
    <t>C03741 : 1</t>
  </si>
  <si>
    <t>C03741 : (S)-4-Amino-5-oxopentanoate</t>
  </si>
  <si>
    <t>C03771</t>
  </si>
  <si>
    <t>5-Guanidino-2-oxopentanoate</t>
  </si>
  <si>
    <t>https://www.kegg.jp/entry/C03771</t>
  </si>
  <si>
    <t>C03771 : 1</t>
  </si>
  <si>
    <t>C03771 : 5-Guanidino-2-oxopentanoate</t>
  </si>
  <si>
    <t>C03785</t>
  </si>
  <si>
    <t>D-Tagatose 1,6-bisphosphate</t>
  </si>
  <si>
    <t>https://www.kegg.jp/entry/C03785</t>
  </si>
  <si>
    <t>C03785 : 1</t>
  </si>
  <si>
    <t>C03785 : D-Tagatose 1,6-bisphosphate</t>
  </si>
  <si>
    <t>N6-(1,2-Dicarboxyethyl)-AMP</t>
  </si>
  <si>
    <t>https://www.kegg.jp/entry/C03794</t>
  </si>
  <si>
    <t>C03794 : 1</t>
  </si>
  <si>
    <t>C03794 : N6-(1,2-Dicarboxyethyl)-AMP</t>
  </si>
  <si>
    <t>Peptidylproline (omega=180)</t>
  </si>
  <si>
    <t>https://www.kegg.jp/entry/C03798</t>
  </si>
  <si>
    <t>C03798 : 1</t>
  </si>
  <si>
    <t>C03798 : Peptidylproline (omega=180)</t>
  </si>
  <si>
    <t>C03800</t>
  </si>
  <si>
    <t>Protein S-methyl-L-cysteine</t>
  </si>
  <si>
    <t>https://www.kegg.jp/entry/C03800</t>
  </si>
  <si>
    <t>C03800 : 1</t>
  </si>
  <si>
    <t>C03800 : Protein S-methyl-L-cysteine</t>
  </si>
  <si>
    <t>C03803</t>
  </si>
  <si>
    <t>Ribosomal-protein L-alanine</t>
  </si>
  <si>
    <t>https://www.kegg.jp/entry/C03803</t>
  </si>
  <si>
    <t>C03803 : 1</t>
  </si>
  <si>
    <t>C03803 : Ribosomal-protein L-alanine</t>
  </si>
  <si>
    <t>Substituted beta-amino acid</t>
  </si>
  <si>
    <t>https://www.kegg.jp/entry/C03806</t>
  </si>
  <si>
    <t>C03806 : 1</t>
  </si>
  <si>
    <t>C03806 : Substituted beta-amino acid</t>
  </si>
  <si>
    <t>C03838</t>
  </si>
  <si>
    <t>5'-Phosphoribosylglycinamide</t>
  </si>
  <si>
    <t>https://www.kegg.jp/entry/C03838</t>
  </si>
  <si>
    <t>C03838 : 1</t>
  </si>
  <si>
    <t>C03838 : 5'-Phosphoribosylglycinamide</t>
  </si>
  <si>
    <t>C03880</t>
  </si>
  <si>
    <t>N-Substituted aminoacyl-tRNA</t>
  </si>
  <si>
    <t>https://www.kegg.jp/entry/C03880</t>
  </si>
  <si>
    <t>C03880 : 1</t>
  </si>
  <si>
    <t>C03880 : N-Substituted aminoacyl-tRNA</t>
  </si>
  <si>
    <t>C03892</t>
  </si>
  <si>
    <t>Phosphatidylglycerophosphate</t>
  </si>
  <si>
    <t>https://www.kegg.jp/entry/C03892</t>
  </si>
  <si>
    <t>C03892 : 1</t>
  </si>
  <si>
    <t>C03892 : Phosphatidylglycerophosphate</t>
  </si>
  <si>
    <t>C03895</t>
  </si>
  <si>
    <t>Peptide-L-methionine (S)-S-oxide</t>
  </si>
  <si>
    <t>https://www.kegg.jp/entry/C03895</t>
  </si>
  <si>
    <t>C03895 : 1</t>
  </si>
  <si>
    <t>C03895 : Peptide-L-methionine (S)-S-oxide</t>
  </si>
  <si>
    <t>C03912</t>
  </si>
  <si>
    <t>(S)-1-Pyrroline-5-carboxylate</t>
  </si>
  <si>
    <t>https://www.kegg.jp/entry/C03912</t>
  </si>
  <si>
    <t>C03912 : 1</t>
  </si>
  <si>
    <t>C03912 : (S)-1-Pyrroline-5-carboxylate</t>
  </si>
  <si>
    <t>C03939</t>
  </si>
  <si>
    <t>Acetyl-[acyl-carrier protein]</t>
  </si>
  <si>
    <t>https://www.kegg.jp/entry/C03939</t>
  </si>
  <si>
    <t>C03939 : 1</t>
  </si>
  <si>
    <t>C03939 : Acetyl-[acyl-carrier protein]</t>
  </si>
  <si>
    <t>C03972</t>
  </si>
  <si>
    <t>2,3,4,5-Tetrahydrodipicolinate</t>
  </si>
  <si>
    <t>https://www.kegg.jp/entry/C03972</t>
  </si>
  <si>
    <t>C03972 : 1</t>
  </si>
  <si>
    <t>C03972 : 2,3,4,5-Tetrahydrodipicolinate</t>
  </si>
  <si>
    <t>2,3-Dihydroxy-3-methylbutanoate</t>
  </si>
  <si>
    <t>https://www.kegg.jp/entry/C04039</t>
  </si>
  <si>
    <t>C04039 : 1</t>
  </si>
  <si>
    <t>C04039 : 2,3-Dihydroxy-3-methylbutanoate</t>
  </si>
  <si>
    <t>C04051</t>
  </si>
  <si>
    <t>5-Amino-4-imidazolecarboxyamide</t>
  </si>
  <si>
    <t>https://www.kegg.jp/entry/C04051</t>
  </si>
  <si>
    <t>C04051 : 1</t>
  </si>
  <si>
    <t>C04051 : 5-Amino-4-imidazolecarboxyamide</t>
  </si>
  <si>
    <t>C04079</t>
  </si>
  <si>
    <t>N-((R)-Pantothenoyl)-L-cysteine</t>
  </si>
  <si>
    <t>https://www.kegg.jp/entry/C04079</t>
  </si>
  <si>
    <t>C04079 : 1</t>
  </si>
  <si>
    <t>C04079 : N-((R)-Pantothenoyl)-L-cysteine</t>
  </si>
  <si>
    <t>C04088</t>
  </si>
  <si>
    <t>Octadecanoyl-[acyl-carrier protein]</t>
  </si>
  <si>
    <t>https://www.kegg.jp/entry/C04088</t>
  </si>
  <si>
    <t>C04088 : 1</t>
  </si>
  <si>
    <t>C04088 : Octadecanoyl-[acyl-carrier protein]</t>
  </si>
  <si>
    <t>C04133</t>
  </si>
  <si>
    <t>N-Acetyl-L-glutamate 5-phosphate</t>
  </si>
  <si>
    <t>https://www.kegg.jp/entry/C04133</t>
  </si>
  <si>
    <t>C04133 : 1</t>
  </si>
  <si>
    <t>C04133 : N-Acetyl-L-glutamate 5-phosphate</t>
  </si>
  <si>
    <t>C04142</t>
  </si>
  <si>
    <t>Protein glutamate methyl ester</t>
  </si>
  <si>
    <t>https://www.kegg.jp/entry/C04142</t>
  </si>
  <si>
    <t>C04142 : 1</t>
  </si>
  <si>
    <t>C04142 : Protein glutamate methyl ester</t>
  </si>
  <si>
    <t>C04144</t>
  </si>
  <si>
    <t>Tetrahydropteroyltri-L-glutamate</t>
  </si>
  <si>
    <t>https://www.kegg.jp/entry/C04144</t>
  </si>
  <si>
    <t>C04144 : 1</t>
  </si>
  <si>
    <t>C04144 : Tetrahydropteroyltri-L-glutamate</t>
  </si>
  <si>
    <t>C04153</t>
  </si>
  <si>
    <t>rRNA containing N2-methylguanine</t>
  </si>
  <si>
    <t>https://www.kegg.jp/entry/C04153</t>
  </si>
  <si>
    <t>C04153 : 1</t>
  </si>
  <si>
    <t>C04153 : rRNA containing N2-methylguanine</t>
  </si>
  <si>
    <t>C04157</t>
  </si>
  <si>
    <t>tRNA containing N1-methylguanine</t>
  </si>
  <si>
    <t>https://www.kegg.jp/entry/C04157</t>
  </si>
  <si>
    <t>C04157 : 1</t>
  </si>
  <si>
    <t>C04157 : tRNA containing N1-methylguanine</t>
  </si>
  <si>
    <t>C04160</t>
  </si>
  <si>
    <t>tRNA containing N7-methylguanine</t>
  </si>
  <si>
    <t>https://www.kegg.jp/entry/C04160</t>
  </si>
  <si>
    <t>C04160 : 1</t>
  </si>
  <si>
    <t>C04160 : tRNA containing N7-methylguanine</t>
  </si>
  <si>
    <t>C04161</t>
  </si>
  <si>
    <t>tRNA containing a thionucleotide</t>
  </si>
  <si>
    <t>https://www.kegg.jp/entry/C04161</t>
  </si>
  <si>
    <t>C04161 : 1</t>
  </si>
  <si>
    <t>C04161 : tRNA containing a thionucleotide</t>
  </si>
  <si>
    <t>C04171</t>
  </si>
  <si>
    <t>(2S,3S)-2,3-Dihydro-2,3-dihydroxybenzoate</t>
  </si>
  <si>
    <t>https://www.kegg.jp/entry/C04171</t>
  </si>
  <si>
    <t>C04171 : 1</t>
  </si>
  <si>
    <t>C04171 : (2S,3S)-2,3-Dihydro-2,3-dihydroxybenzoate</t>
  </si>
  <si>
    <t>3-Hydroxy-3-methyl-2-oxobutanoic acid</t>
  </si>
  <si>
    <t>https://www.kegg.jp/entry/C04181</t>
  </si>
  <si>
    <t>C04181 : 1</t>
  </si>
  <si>
    <t>C04181 : 3-Hydroxy-3-methyl-2-oxobutanoic acid</t>
  </si>
  <si>
    <t>S-Methyl-5-thio-D-ribose 1-phosphate</t>
  </si>
  <si>
    <t>https://www.kegg.jp/entry/C04188</t>
  </si>
  <si>
    <t>C04188 : 1</t>
  </si>
  <si>
    <t>C04188 : S-Methyl-5-thio-D-ribose 1-phosphate</t>
  </si>
  <si>
    <t>C04203</t>
  </si>
  <si>
    <t>N,N-Dimethyl-1,4-phenylenediamine</t>
  </si>
  <si>
    <t>https://www.kegg.jp/entry/C04203</t>
  </si>
  <si>
    <t>C04203 : 1</t>
  </si>
  <si>
    <t>C04203 : N,N-Dimethyl-1,4-phenylenediamine</t>
  </si>
  <si>
    <t>C04225</t>
  </si>
  <si>
    <t>(Z)-But-2-ene-1,2,3-tricarboxylate</t>
  </si>
  <si>
    <t>https://www.kegg.jp/entry/C04225</t>
  </si>
  <si>
    <t>C04225 : 1</t>
  </si>
  <si>
    <t>C04225 : (Z)-But-2-ene-1,2,3-tricarboxylate</t>
  </si>
  <si>
    <t>C04232</t>
  </si>
  <si>
    <t>2'-Deoxyribonucleoside diphosphate</t>
  </si>
  <si>
    <t>https://www.kegg.jp/entry/C04232</t>
  </si>
  <si>
    <t>C04232 : 1</t>
  </si>
  <si>
    <t>C04232 : 2'-Deoxyribonucleoside diphosphate</t>
  </si>
  <si>
    <t>(2S)-2-Isopropyl-3-oxosuccinate</t>
  </si>
  <si>
    <t>https://www.kegg.jp/entry/C04236</t>
  </si>
  <si>
    <t>C04236 : 1</t>
  </si>
  <si>
    <t>C04236 : (2S)-2-Isopropyl-3-oxosuccinate</t>
  </si>
  <si>
    <t>C04242</t>
  </si>
  <si>
    <t>5-Fluorodeoxyuridine monophosphate</t>
  </si>
  <si>
    <t>https://www.kegg.jp/entry/C04242</t>
  </si>
  <si>
    <t>C04242 : 1</t>
  </si>
  <si>
    <t>C04242 : 5-Fluorodeoxyuridine monophosphate</t>
  </si>
  <si>
    <t>C04246</t>
  </si>
  <si>
    <t>But-2-enoyl-[acyl-carrier protein]</t>
  </si>
  <si>
    <t>https://www.kegg.jp/entry/C04246</t>
  </si>
  <si>
    <t>C04246 : 1</t>
  </si>
  <si>
    <t>C04246 : But-2-enoyl-[acyl-carrier protein]</t>
  </si>
  <si>
    <t>C04250</t>
  </si>
  <si>
    <t>DNA containing 6-O-methylguanine</t>
  </si>
  <si>
    <t>https://www.kegg.jp/entry/C04250</t>
  </si>
  <si>
    <t>C04250 : 1</t>
  </si>
  <si>
    <t>C04250 : DNA containing 6-O-methylguanine</t>
  </si>
  <si>
    <t>C04258</t>
  </si>
  <si>
    <t>N-Formyl-L-methionylaminoacyl-tRNA</t>
  </si>
  <si>
    <t>https://www.kegg.jp/entry/C04258</t>
  </si>
  <si>
    <t>C04258 : 1</t>
  </si>
  <si>
    <t>C04258 : N-Formyl-L-methionylaminoacyl-tRNA</t>
  </si>
  <si>
    <t>C04260</t>
  </si>
  <si>
    <t>O-D-Alanyl-poly(ribitol phosphate)</t>
  </si>
  <si>
    <t>https://www.kegg.jp/entry/C04260</t>
  </si>
  <si>
    <t>C04260 : 1</t>
  </si>
  <si>
    <t>C04260 : O-D-Alanyl-poly(ribitol phosphate)</t>
  </si>
  <si>
    <t>C04261</t>
  </si>
  <si>
    <t>Protein N(pi)-phospho-L-histidine</t>
  </si>
  <si>
    <t>https://www.kegg.jp/entry/C04261</t>
  </si>
  <si>
    <t>C04261 : 1</t>
  </si>
  <si>
    <t>C04261 : Protein N(pi)-phospho-L-histidine</t>
  </si>
  <si>
    <t>C04262</t>
  </si>
  <si>
    <t>Protein N(tau)-phospho-L-histidine</t>
  </si>
  <si>
    <t>https://www.kegg.jp/entry/C04262</t>
  </si>
  <si>
    <t>C04262 : 1</t>
  </si>
  <si>
    <t>C04262 : Protein N(tau)-phospho-L-histidine</t>
  </si>
  <si>
    <t>(R)-2,3-Dihydroxy-3-methylbutanoate</t>
  </si>
  <si>
    <t>https://www.kegg.jp/entry/C04272</t>
  </si>
  <si>
    <t>C04272 : 1</t>
  </si>
  <si>
    <t>C04272 : (R)-2,3-Dihydroxy-3-methylbutanoate</t>
  </si>
  <si>
    <t>C04281</t>
  </si>
  <si>
    <t>L-1-Pyrroline-3-hydroxy-5-carboxylate</t>
  </si>
  <si>
    <t>https://www.kegg.jp/entry/C04281</t>
  </si>
  <si>
    <t>C04281 : 1</t>
  </si>
  <si>
    <t>C04281 : L-1-Pyrroline-3-hydroxy-5-carboxylate</t>
  </si>
  <si>
    <t>C04294</t>
  </si>
  <si>
    <t>5-(2-Hydroxyethyl)-4-methylthiazole</t>
  </si>
  <si>
    <t>https://www.kegg.jp/entry/C04294</t>
  </si>
  <si>
    <t>C04294 : 1</t>
  </si>
  <si>
    <t>C04294 : 5-(2-Hydroxyethyl)-4-methylthiazole</t>
  </si>
  <si>
    <t>C04299</t>
  </si>
  <si>
    <t>D-myo-Inositol 1,2-cyclic phosphate</t>
  </si>
  <si>
    <t>https://www.kegg.jp/entry/C04299</t>
  </si>
  <si>
    <t>C04299 : 1</t>
  </si>
  <si>
    <t>C04299 : D-myo-Inositol 1,2-cyclic phosphate</t>
  </si>
  <si>
    <t>N-(5-Phospho-D-ribosyl)anthranilate</t>
  </si>
  <si>
    <t>https://www.kegg.jp/entry/C04302</t>
  </si>
  <si>
    <t>C04302 : 1</t>
  </si>
  <si>
    <t>C04302 : N-(5-Phospho-D-ribosyl)anthranilate</t>
  </si>
  <si>
    <t>C04309</t>
  </si>
  <si>
    <t>Phosphoenol-4-deoxy-3-tetrulosonate</t>
  </si>
  <si>
    <t>https://www.kegg.jp/entry/C04309</t>
  </si>
  <si>
    <t>C04309 : 1</t>
  </si>
  <si>
    <t>C04309 : Phosphoenol-4-deoxy-3-tetrulosonate</t>
  </si>
  <si>
    <t>C04322</t>
  </si>
  <si>
    <t>Delta1-Pyrroline-5-carboxylate</t>
  </si>
  <si>
    <t>https://www.kegg.jp/entry/C04322</t>
  </si>
  <si>
    <t>C04322 : 1</t>
  </si>
  <si>
    <t>C04322 : Delta1-Pyrroline-5-carboxylate</t>
  </si>
  <si>
    <t>C04327</t>
  </si>
  <si>
    <t>4-Methyl-5-(2-phosphooxyethyl)thiazole</t>
  </si>
  <si>
    <t>https://www.kegg.jp/entry/C04327</t>
  </si>
  <si>
    <t>C04327 : 1</t>
  </si>
  <si>
    <t>C04327 : 4-Methyl-5-(2-phosphooxyethyl)thiazole</t>
  </si>
  <si>
    <t>6,7-Dimethyl-8-(D-ribityl)lumazine</t>
  </si>
  <si>
    <t>https://www.kegg.jp/entry/C04332</t>
  </si>
  <si>
    <t>C04332 : 1</t>
  </si>
  <si>
    <t>C04332 : 6,7-Dimethyl-8-(D-ribityl)lumazine</t>
  </si>
  <si>
    <t>C04340</t>
  </si>
  <si>
    <t>Phospholipid cyclopropane fatty acid</t>
  </si>
  <si>
    <t>https://www.kegg.jp/entry/C04340</t>
  </si>
  <si>
    <t>C04340 : 1</t>
  </si>
  <si>
    <t>C04340 : Phospholipid cyclopropane fatty acid</t>
  </si>
  <si>
    <t>C04341</t>
  </si>
  <si>
    <t>Ribosomal-protein N-acetyl-L-alanine</t>
  </si>
  <si>
    <t>https://www.kegg.jp/entry/C04341</t>
  </si>
  <si>
    <t>C04341 : 1</t>
  </si>
  <si>
    <t>C04341 : Ribosomal-protein N-acetyl-L-alanine</t>
  </si>
  <si>
    <t>(R)-4'-Phosphopantothenoyl-L-cysteine</t>
  </si>
  <si>
    <t>https://www.kegg.jp/entry/C04352</t>
  </si>
  <si>
    <t>C04352 : 1</t>
  </si>
  <si>
    <t>C04352 : (R)-4'-Phosphopantothenoyl-L-cysteine</t>
  </si>
  <si>
    <t>C04376</t>
  </si>
  <si>
    <t>5'-Phosphoribosyl-N-formylglycinamide</t>
  </si>
  <si>
    <t>https://www.kegg.jp/entry/C04376</t>
  </si>
  <si>
    <t>C04376 : 1</t>
  </si>
  <si>
    <t>C04376 : 5'-Phosphoribosyl-N-formylglycinamide</t>
  </si>
  <si>
    <t>C04377</t>
  </si>
  <si>
    <t>5,10-Methylenetetrahydromethanopterin</t>
  </si>
  <si>
    <t>https://www.kegg.jp/entry/C04377</t>
  </si>
  <si>
    <t>C04377 : 1</t>
  </si>
  <si>
    <t>C04377 : 5,10-Methylenetetrahydromethanopterin</t>
  </si>
  <si>
    <t>(2S,3S)-3-Hydroxy-2-methylbutanoyl-CoA</t>
  </si>
  <si>
    <t>https://www.kegg.jp/entry/C04405</t>
  </si>
  <si>
    <t>C04405 : 1</t>
  </si>
  <si>
    <t>C04405 : (2S,3S)-3-Hydroxy-2-methylbutanoyl-CoA</t>
  </si>
  <si>
    <t>(2R,3S)-3-Isopropylmalate</t>
  </si>
  <si>
    <t>https://www.kegg.jp/entry/C04411</t>
  </si>
  <si>
    <t>C04411 : 1</t>
  </si>
  <si>
    <t>C04411 : (2R,3S)-3-Isopropylmalate</t>
  </si>
  <si>
    <t>C04419</t>
  </si>
  <si>
    <t>Carboxybiotin-carboxyl-carrier protein</t>
  </si>
  <si>
    <t>https://www.kegg.jp/entry/C04419</t>
  </si>
  <si>
    <t>C04419 : 1</t>
  </si>
  <si>
    <t>C04419 : Carboxybiotin-carboxyl-carrier protein</t>
  </si>
  <si>
    <t>C04425</t>
  </si>
  <si>
    <t>S-Adenosyl-4-methylthio-2-oxobutanoate</t>
  </si>
  <si>
    <t>https://www.kegg.jp/entry/C04425</t>
  </si>
  <si>
    <t>C04425 : 1</t>
  </si>
  <si>
    <t>C04425 : S-Adenosyl-4-methylthio-2-oxobutanoate</t>
  </si>
  <si>
    <t>C04432</t>
  </si>
  <si>
    <t>tRNA containing 6-isopentenyladenosine</t>
  </si>
  <si>
    <t>https://www.kegg.jp/entry/C04432</t>
  </si>
  <si>
    <t>C04432 : 1</t>
  </si>
  <si>
    <t>C04432 : tRNA containing 6-isopentenyladenosine</t>
  </si>
  <si>
    <t>C04454</t>
  </si>
  <si>
    <t>5-Amino-6-(5'-phospho-D-ribitylamino)uracil</t>
  </si>
  <si>
    <t>https://www.kegg.jp/entry/C04454</t>
  </si>
  <si>
    <t>C04454 : 1</t>
  </si>
  <si>
    <t>C04454 : 5-Amino-6-(5'-phospho-D-ribitylamino)uracil</t>
  </si>
  <si>
    <t>C04483</t>
  </si>
  <si>
    <t>Deoxycholic acid</t>
  </si>
  <si>
    <t>https://www.kegg.jp/entry/C04483</t>
  </si>
  <si>
    <t>C04483 : 1</t>
  </si>
  <si>
    <t>C04483 : Deoxycholic acid</t>
  </si>
  <si>
    <t>C04489</t>
  </si>
  <si>
    <t>5-Methyltetrahydropteroyltri-L-glutamate</t>
  </si>
  <si>
    <t>https://www.kegg.jp/entry/C04489</t>
  </si>
  <si>
    <t>C04489 : 1</t>
  </si>
  <si>
    <t>C04489 : 5-Methyltetrahydropteroyltri-L-glutamate</t>
  </si>
  <si>
    <t>C04494</t>
  </si>
  <si>
    <t>Guanosine 3'-diphosphate 5'-triphosphate</t>
  </si>
  <si>
    <t>https://www.kegg.jp/entry/C04494</t>
  </si>
  <si>
    <t>C04494 : 1</t>
  </si>
  <si>
    <t>C04494 : Guanosine 3'-diphosphate 5'-triphosphate</t>
  </si>
  <si>
    <t>C04501</t>
  </si>
  <si>
    <t>N-Acetyl-alpha-D-glucosamine 1-phosphate</t>
  </si>
  <si>
    <t>https://www.kegg.jp/entry/C04501</t>
  </si>
  <si>
    <t>C04501 : 1</t>
  </si>
  <si>
    <t>C04501 : N-Acetyl-alpha-D-glucosamine 1-phosphate</t>
  </si>
  <si>
    <t>C04512</t>
  </si>
  <si>
    <t>(2E,4E)-2,4-Dienoyl-CoA</t>
  </si>
  <si>
    <t>https://www.kegg.jp/entry/C04512</t>
  </si>
  <si>
    <t>C04512 : 1</t>
  </si>
  <si>
    <t>C04512 : (2E,4E)-2,4-Dienoyl-CoA</t>
  </si>
  <si>
    <t>C04534</t>
  </si>
  <si>
    <t>6-Phospho-beta-D-glucosyl-(1,4)-D-glucose</t>
  </si>
  <si>
    <t>https://www.kegg.jp/entry/C04534</t>
  </si>
  <si>
    <t>C04534 : 1</t>
  </si>
  <si>
    <t>C04534 : 6-Phospho-beta-D-glucosyl-(1,4)-D-glucose</t>
  </si>
  <si>
    <t>C04554</t>
  </si>
  <si>
    <t>3alpha,7alpha-Dihydroxy-5beta-cholestanate</t>
  </si>
  <si>
    <t>https://www.kegg.jp/entry/C04554</t>
  </si>
  <si>
    <t>C04554 : 1</t>
  </si>
  <si>
    <t>C04554 : 3alpha,7alpha-Dihydroxy-5beta-cholestanate</t>
  </si>
  <si>
    <t>C04556</t>
  </si>
  <si>
    <t>4-Amino-2-methyl-5-(phosphooxymethyl)pyrimidine</t>
  </si>
  <si>
    <t>https://www.kegg.jp/entry/C04556</t>
  </si>
  <si>
    <t>C04556 : 1</t>
  </si>
  <si>
    <t>C04556 : 4-Amino-2-methyl-5-(phosphooxymethyl)pyrimidine</t>
  </si>
  <si>
    <t>C04574</t>
  </si>
  <si>
    <t>di-trans,poly-cis-Undecaprenyl diphosphate</t>
  </si>
  <si>
    <t>https://www.kegg.jp/entry/C04574</t>
  </si>
  <si>
    <t>C04574 : 1</t>
  </si>
  <si>
    <t>C04574 : di-trans,poly-cis-Undecaprenyl diphosphate</t>
  </si>
  <si>
    <t>S-Methyl-5-thio-D-ribulose 1-phosphate</t>
  </si>
  <si>
    <t>https://www.kegg.jp/entry/C04582</t>
  </si>
  <si>
    <t>C04582 : 1</t>
  </si>
  <si>
    <t>C04582 : S-Methyl-5-thio-D-ribulose 1-phosphate</t>
  </si>
  <si>
    <t>(2S,3R)-3-Hydroxybutane-1,2,3-tricarboxylate</t>
  </si>
  <si>
    <t>https://www.kegg.jp/entry/C04593</t>
  </si>
  <si>
    <t>C04593 : 1</t>
  </si>
  <si>
    <t>C04593 : (2S,3R)-3-Hydroxybutane-1,2,3-tricarboxylate</t>
  </si>
  <si>
    <t>(3R)-3-Hydroxybutanoyl-[acyl-carrier protein]</t>
  </si>
  <si>
    <t>https://www.kegg.jp/entry/C04618</t>
  </si>
  <si>
    <t>C04618 : 1</t>
  </si>
  <si>
    <t>C04618 : (3R)-3-Hydroxybutanoyl-[acyl-carrier protein]</t>
  </si>
  <si>
    <t>(3R)-3-Hydroxydecanoyl-[acyl-carrier protein]</t>
  </si>
  <si>
    <t>https://www.kegg.jp/entry/C04619</t>
  </si>
  <si>
    <t>C04619 : 1</t>
  </si>
  <si>
    <t>C04619 : (3R)-3-Hydroxydecanoyl-[acyl-carrier protein]</t>
  </si>
  <si>
    <t>(3R)-3-Hydroxyoctanoyl-[acyl-carrier protein]</t>
  </si>
  <si>
    <t>https://www.kegg.jp/entry/C04620</t>
  </si>
  <si>
    <t>C04620 : 1</t>
  </si>
  <si>
    <t>C04620 : (3R)-3-Hydroxyoctanoyl-[acyl-carrier protein]</t>
  </si>
  <si>
    <t>C04631</t>
  </si>
  <si>
    <t>UDP-N-acetyl-3-(1-carboxyvinyl)-D-glucosamine</t>
  </si>
  <si>
    <t>https://www.kegg.jp/entry/C04631</t>
  </si>
  <si>
    <t>C04631 : 1</t>
  </si>
  <si>
    <t>C04631 : UDP-N-acetyl-3-(1-carboxyvinyl)-D-glucosamine</t>
  </si>
  <si>
    <t>(3R)-3-Hydroxypalmitoyl-[acyl-carrier protein]</t>
  </si>
  <si>
    <t>https://www.kegg.jp/entry/C04633</t>
  </si>
  <si>
    <t>C04633 : 1</t>
  </si>
  <si>
    <t>C04633 : (3R)-3-Hydroxypalmitoyl-[acyl-carrier protein]</t>
  </si>
  <si>
    <t>C04640</t>
  </si>
  <si>
    <t>2-(Formamido)-N1-(5'-phosphoribosyl)acetamidine</t>
  </si>
  <si>
    <t>https://www.kegg.jp/entry/C04640</t>
  </si>
  <si>
    <t>C04640 : 1</t>
  </si>
  <si>
    <t>C04640 : 2-(Formamido)-N1-(5'-phosphoribosyl)acetamidine</t>
  </si>
  <si>
    <t>C04646</t>
  </si>
  <si>
    <t>6-Thioinosine-5'-monophosphate</t>
  </si>
  <si>
    <t>https://www.kegg.jp/entry/C04646</t>
  </si>
  <si>
    <t>C04646 : 1</t>
  </si>
  <si>
    <t>C04646 : 6-Thioinosine-5'-monophosphate</t>
  </si>
  <si>
    <t>D-erythro-1-(Imidazol-4-yl)glycerol 3-phosphate</t>
  </si>
  <si>
    <t>https://www.kegg.jp/entry/C04666</t>
  </si>
  <si>
    <t>C04666 : 1</t>
  </si>
  <si>
    <t>C04666 : D-erythro-1-(Imidazol-4-yl)glycerol 3-phosphate</t>
  </si>
  <si>
    <t>3-Hydroxy-3-(4-methylpent-3-en-1-yl)glutaryl-CoA</t>
  </si>
  <si>
    <t>https://www.kegg.jp/entry/C04675</t>
  </si>
  <si>
    <t>C04675 : 1</t>
  </si>
  <si>
    <t>C04675 : 3-Hydroxy-3-(4-methylpent-3-en-1-yl)glutaryl-CoA</t>
  </si>
  <si>
    <t>C04677</t>
  </si>
  <si>
    <t>1-(5'-Phosphoribosyl)-5-amino-4-imidazolecarboxamide</t>
  </si>
  <si>
    <t>https://www.kegg.jp/entry/C04677</t>
  </si>
  <si>
    <t>C04677 : 1</t>
  </si>
  <si>
    <t>C04677 : 1-(5'-Phosphoribosyl)-5-amino-4-imidazolecarboxamide</t>
  </si>
  <si>
    <t>C04681</t>
  </si>
  <si>
    <t>[Acetyl-CoA:carbon-dioxide ligase (ADP-forming)]</t>
  </si>
  <si>
    <t>https://www.kegg.jp/entry/C04681</t>
  </si>
  <si>
    <t>C04681 : 1</t>
  </si>
  <si>
    <t>C04681 : [Acetyl-CoA:carbon-dioxide ligase (ADP-forming)]</t>
  </si>
  <si>
    <t>(3R)-3-Hydroxytetradecanoyl-[acyl-carrier protein]</t>
  </si>
  <si>
    <t>https://www.kegg.jp/entry/C04688</t>
  </si>
  <si>
    <t>C04688 : 1</t>
  </si>
  <si>
    <t>C04688 : (3R)-3-Hydroxytetradecanoyl-[acyl-carrier protein]</t>
  </si>
  <si>
    <t>2-Dehydro-3-deoxy-D-arabino-heptonate 7-phosphate</t>
  </si>
  <si>
    <t>https://www.kegg.jp/entry/C04691</t>
  </si>
  <si>
    <t>C04691 : 1</t>
  </si>
  <si>
    <t>C04691 : 2-Dehydro-3-deoxy-D-arabino-heptonate 7-phosphate</t>
  </si>
  <si>
    <t>C04702</t>
  </si>
  <si>
    <t>UDPMurNAc(oyl-L-Ala-D-gamma-Glu-L-Lys-D-Ala-D-Ala)</t>
  </si>
  <si>
    <t>https://www.kegg.jp/entry/C04702</t>
  </si>
  <si>
    <t>C04702 : 1</t>
  </si>
  <si>
    <t>C04702 : UDPMurNAc(oyl-L-Ala-D-gamma-Glu-L-Lys-D-Ala-D-Ala)</t>
  </si>
  <si>
    <t>C04732</t>
  </si>
  <si>
    <t>5-Amino-6-(1-D-ribitylamino)uracil</t>
  </si>
  <si>
    <t>https://www.kegg.jp/entry/C04732</t>
  </si>
  <si>
    <t>C04732 : 1</t>
  </si>
  <si>
    <t>C04732 : 5-Amino-6-(1-D-ribitylamino)uracil</t>
  </si>
  <si>
    <t>1-(5'-Phosphoribosyl)-5-formamido-4-imidazolecarboxamide</t>
  </si>
  <si>
    <t>https://www.kegg.jp/entry/C04734</t>
  </si>
  <si>
    <t>C04734 : 1</t>
  </si>
  <si>
    <t>C04734 : 1-(5'-Phosphoribosyl)-5-formamido-4-imidazolecarboxamide</t>
  </si>
  <si>
    <t>C04735</t>
  </si>
  <si>
    <t>Apo-[acetyl-CoA:carbon-dioxide ligase (ADP-forming)]</t>
  </si>
  <si>
    <t>https://www.kegg.jp/entry/C04735</t>
  </si>
  <si>
    <t>C04735 : 1</t>
  </si>
  <si>
    <t>C04735 : Apo-[acetyl-CoA:carbon-dioxide ligase (ADP-forming)]</t>
  </si>
  <si>
    <t>1-(5-Phospho-D-ribosyl)-5-amino-4-imidazolecarboxylate</t>
  </si>
  <si>
    <t>https://www.kegg.jp/entry/C04751</t>
  </si>
  <si>
    <t>C04751 : 1</t>
  </si>
  <si>
    <t>C04751 : 1-(5-Phospho-D-ribosyl)-5-amino-4-imidazolecarboxylate</t>
  </si>
  <si>
    <t>C04752</t>
  </si>
  <si>
    <t>4-Amino-5-hydroxymethyl-2-methylpyrimidine diphosphate</t>
  </si>
  <si>
    <t>https://www.kegg.jp/entry/C04752</t>
  </si>
  <si>
    <t>C04752 : 1</t>
  </si>
  <si>
    <t>C04752 : 4-Amino-5-hydroxymethyl-2-methylpyrimidine diphosphate</t>
  </si>
  <si>
    <t>C04807</t>
  </si>
  <si>
    <t>6-Hydroxymethyl-7,8-dihydropterin diphosphate</t>
  </si>
  <si>
    <t>https://www.kegg.jp/entry/C04807</t>
  </si>
  <si>
    <t>C04807 : 1</t>
  </si>
  <si>
    <t>C04807 : 6-Hydroxymethyl-7,8-dihydropterin diphosphate</t>
  </si>
  <si>
    <t>1-(5'-Phosphoribosyl)-5-amino-4-(N-succinocarboxamide)-imidazole</t>
  </si>
  <si>
    <t>https://www.kegg.jp/entry/C04823</t>
  </si>
  <si>
    <t>C04823 : 1</t>
  </si>
  <si>
    <t>C04823 : 1-(5'-Phosphoribosyl)-5-amino-4-(N-succinocarboxamide)-imidazole</t>
  </si>
  <si>
    <t>C04851</t>
  </si>
  <si>
    <t>MurAc(oyl-L-Ala-D-gamma-Glu-L-Lys-D-Ala-D-Ala)-diphospho-undecaprenol</t>
  </si>
  <si>
    <t>https://www.kegg.jp/entry/C04851</t>
  </si>
  <si>
    <t>C04851 : 1</t>
  </si>
  <si>
    <t>C04851 : MurAc(oyl-L-Ala-D-gamma-Glu-L-Lys-D-Ala-D-Ala)-diphospho-undecaprenol</t>
  </si>
  <si>
    <t>7,8-Dihydroneopterin</t>
  </si>
  <si>
    <t>https://www.kegg.jp/entry/C04874</t>
  </si>
  <si>
    <t>C04874 : 1</t>
  </si>
  <si>
    <t>C04874 : 7,8-Dihydroneopterin</t>
  </si>
  <si>
    <t>C04877</t>
  </si>
  <si>
    <t>UDP-N-acetylmuramoyl-L-alanyl-gamma-D-glutamyl-meso-2,6-diaminopimelate</t>
  </si>
  <si>
    <t>https://www.kegg.jp/entry/C04877</t>
  </si>
  <si>
    <t>C04877 : 1</t>
  </si>
  <si>
    <t>C04877 : UDP-N-acetylmuramoyl-L-alanyl-gamma-D-glutamyl-meso-2,6-diaminopimelate</t>
  </si>
  <si>
    <t>C04882</t>
  </si>
  <si>
    <t>UDP-N-acetylmuramoyl-L-alanyl-D-glutamyl-6-carboxy-L-lysyl-D-alanyl-D-alanine</t>
  </si>
  <si>
    <t>https://www.kegg.jp/entry/C04882</t>
  </si>
  <si>
    <t>C04882 : 1</t>
  </si>
  <si>
    <t>C04882 : UDP-N-acetylmuramoyl-L-alanyl-D-glutamyl-6-carboxy-L-lysyl-D-alanyl-D-alanine</t>
  </si>
  <si>
    <t>C04895</t>
  </si>
  <si>
    <t>7,8-Dihydroneopterin 3'-triphosphate</t>
  </si>
  <si>
    <t>https://www.kegg.jp/entry/C04895</t>
  </si>
  <si>
    <t>C04895 : 1</t>
  </si>
  <si>
    <t>C04895 : 7,8-Dihydroneopterin 3'-triphosphate</t>
  </si>
  <si>
    <t>5-(5-Phospho-D-ribosylaminoformimino)-1-(5-phosphoribosyl)-imidazole-4-carboxamide</t>
  </si>
  <si>
    <t>https://www.kegg.jp/entry/C04896</t>
  </si>
  <si>
    <t>C04896 : 1</t>
  </si>
  <si>
    <t>C04896 : 5-(5-Phospho-D-ribosylaminoformimino)-1-(5-phosphoribosyl)-imidazole-4-carboxamide</t>
  </si>
  <si>
    <t>N-(5'-Phospho-D-1'-ribulosylformimino)-5-amino-1-(5''-phospho-D-ribosyl)-4-imidazolecarboxamide</t>
  </si>
  <si>
    <t>https://www.kegg.jp/entry/C04916</t>
  </si>
  <si>
    <t>C04916 : 1</t>
  </si>
  <si>
    <t>C04916 : N-(5'-Phospho-D-1'-ribulosylformimino)-5-amino-1-(5''-phospho-D-ribosyl)-4-imidazolecarboxamide</t>
  </si>
  <si>
    <t>C05011</t>
  </si>
  <si>
    <t>Hydroxytamoxifen</t>
  </si>
  <si>
    <t>https://www.kegg.jp/entry/C05011</t>
  </si>
  <si>
    <t>C05011 : 1</t>
  </si>
  <si>
    <t>C05011 : Hydroxytamoxifen</t>
  </si>
  <si>
    <t>C05067</t>
  </si>
  <si>
    <t>(3E)-3-Enoyl-CoA</t>
  </si>
  <si>
    <t>https://www.kegg.jp/entry/C05067</t>
  </si>
  <si>
    <t>C05067 : 1</t>
  </si>
  <si>
    <t>C05067 : (3E)-3-Enoyl-CoA</t>
  </si>
  <si>
    <t>C05102</t>
  </si>
  <si>
    <t>alpha-Hydroxy fatty acid</t>
  </si>
  <si>
    <t>https://www.kegg.jp/entry/C05102</t>
  </si>
  <si>
    <t>C05102 : 1</t>
  </si>
  <si>
    <t>C05102 : alpha-Hydroxy fatty acid</t>
  </si>
  <si>
    <t>3-Hydroxybutanoyl-CoA</t>
  </si>
  <si>
    <t>https://www.kegg.jp/entry/C05116</t>
  </si>
  <si>
    <t>C05116 : 1</t>
  </si>
  <si>
    <t>C05116 : 3-Hydroxybutanoyl-CoA</t>
  </si>
  <si>
    <t>C05122</t>
  </si>
  <si>
    <t>Taurocholate</t>
  </si>
  <si>
    <t>https://www.kegg.jp/entry/C05122</t>
  </si>
  <si>
    <t>C05122 : 1</t>
  </si>
  <si>
    <t>C05122 : Taurocholate</t>
  </si>
  <si>
    <t>C05125</t>
  </si>
  <si>
    <t>2-(alpha-Hydroxyethyl)thiamine diphosphate</t>
  </si>
  <si>
    <t>https://www.kegg.jp/entry/C05125</t>
  </si>
  <si>
    <t>C05125 : 1</t>
  </si>
  <si>
    <t>C05125 : 2-(alpha-Hydroxyethyl)thiamine diphosphate</t>
  </si>
  <si>
    <t>C05130</t>
  </si>
  <si>
    <t>Imidazole-4-acetaldehyde</t>
  </si>
  <si>
    <t>https://www.kegg.jp/entry/C05130</t>
  </si>
  <si>
    <t>C05130 : 1</t>
  </si>
  <si>
    <t>C05130 : Imidazole-4-acetaldehyde</t>
  </si>
  <si>
    <t>C05139</t>
  </si>
  <si>
    <t>16alpha-Hydroxydehydroepiandrosterone</t>
  </si>
  <si>
    <t>https://www.kegg.jp/entry/C05139</t>
  </si>
  <si>
    <t>C05139 : 1</t>
  </si>
  <si>
    <t>C05139 : 16alpha-Hydroxydehydroepiandrosterone</t>
  </si>
  <si>
    <t>C05141</t>
  </si>
  <si>
    <t>Estriol</t>
  </si>
  <si>
    <t>https://www.kegg.jp/entry/C05141</t>
  </si>
  <si>
    <t>C05141 : 1</t>
  </si>
  <si>
    <t>C05141 : Estriol</t>
  </si>
  <si>
    <t>alpha-Amino acid</t>
  </si>
  <si>
    <t>https://www.kegg.jp/entry/C05167</t>
  </si>
  <si>
    <t>C05167 : 1</t>
  </si>
  <si>
    <t>C05167 : alpha-Amino acid</t>
  </si>
  <si>
    <t>C05196</t>
  </si>
  <si>
    <t>Dihydroflavodoxin</t>
  </si>
  <si>
    <t>https://www.kegg.jp/entry/C05196</t>
  </si>
  <si>
    <t>C05196 : 1</t>
  </si>
  <si>
    <t>C05196 : Dihydroflavodoxin</t>
  </si>
  <si>
    <t>C05197</t>
  </si>
  <si>
    <t>Protein glycine</t>
  </si>
  <si>
    <t>https://www.kegg.jp/entry/C05197</t>
  </si>
  <si>
    <t>C05197 : 1</t>
  </si>
  <si>
    <t>C05197 : Protein glycine</t>
  </si>
  <si>
    <t>C05198</t>
  </si>
  <si>
    <t>5'-Deoxyadenosine</t>
  </si>
  <si>
    <t>https://www.kegg.jp/entry/C05198</t>
  </si>
  <si>
    <t>C05198 : 1</t>
  </si>
  <si>
    <t>C05198 : 5'-Deoxyadenosine</t>
  </si>
  <si>
    <t>C05199</t>
  </si>
  <si>
    <t>Flavodoxin semiquinone</t>
  </si>
  <si>
    <t>https://www.kegg.jp/entry/C05199</t>
  </si>
  <si>
    <t>C05199 : 1</t>
  </si>
  <si>
    <t>C05199 : Flavodoxin semiquinone</t>
  </si>
  <si>
    <t>C05223</t>
  </si>
  <si>
    <t>Dodecanoyl-[acyl-carrier protein]</t>
  </si>
  <si>
    <t>https://www.kegg.jp/entry/C05223</t>
  </si>
  <si>
    <t>C05223 : 1</t>
  </si>
  <si>
    <t>C05223 : Dodecanoyl-[acyl-carrier protein]</t>
  </si>
  <si>
    <t>(S)-3-Hydroxyhexadecanoyl-CoA</t>
  </si>
  <si>
    <t>https://www.kegg.jp/entry/C05258</t>
  </si>
  <si>
    <t>C05258 : 1</t>
  </si>
  <si>
    <t>C05258 : (S)-3-Hydroxyhexadecanoyl-CoA</t>
  </si>
  <si>
    <t>(S)-3-Hydroxytetradecanoyl-CoA</t>
  </si>
  <si>
    <t>https://www.kegg.jp/entry/C05260</t>
  </si>
  <si>
    <t>C05260 : 1</t>
  </si>
  <si>
    <t>C05260 : (S)-3-Hydroxytetradecanoyl-CoA</t>
  </si>
  <si>
    <t>(S)-3-Hydroxydodecanoyl-CoA</t>
  </si>
  <si>
    <t>https://www.kegg.jp/entry/C05262</t>
  </si>
  <si>
    <t>C05262 : 1</t>
  </si>
  <si>
    <t>C05262 : (S)-3-Hydroxydodecanoyl-CoA</t>
  </si>
  <si>
    <t>(S)-Hydroxydecanoyl-CoA</t>
  </si>
  <si>
    <t>https://www.kegg.jp/entry/C05264</t>
  </si>
  <si>
    <t>C05264 : 1</t>
  </si>
  <si>
    <t>C05264 : (S)-Hydroxydecanoyl-CoA</t>
  </si>
  <si>
    <t>(S)-3-Hydroxyoctanoyl-CoA</t>
  </si>
  <si>
    <t>https://www.kegg.jp/entry/C05266</t>
  </si>
  <si>
    <t>C05266 : 1</t>
  </si>
  <si>
    <t>C05266 : (S)-3-Hydroxyoctanoyl-CoA</t>
  </si>
  <si>
    <t>(S)-Hydroxyhexanoyl-CoA</t>
  </si>
  <si>
    <t>https://www.kegg.jp/entry/C05268</t>
  </si>
  <si>
    <t>C05268 : 1</t>
  </si>
  <si>
    <t>C05268 : (S)-Hydroxyhexanoyl-CoA</t>
  </si>
  <si>
    <t>C05269</t>
  </si>
  <si>
    <t>3-Oxohexanoyl-CoA</t>
  </si>
  <si>
    <t>https://www.kegg.jp/entry/C05269</t>
  </si>
  <si>
    <t>C05269 : 1</t>
  </si>
  <si>
    <t>C05269 : 3-Oxohexanoyl-CoA</t>
  </si>
  <si>
    <t>C05271</t>
  </si>
  <si>
    <t>trans-Hex-2-enoyl-CoA</t>
  </si>
  <si>
    <t>https://www.kegg.jp/entry/C05271</t>
  </si>
  <si>
    <t>C05271 : 1</t>
  </si>
  <si>
    <t>C05271 : trans-Hex-2-enoyl-CoA</t>
  </si>
  <si>
    <t>C05272</t>
  </si>
  <si>
    <t>trans-Hexadec-2-enoyl-CoA</t>
  </si>
  <si>
    <t>https://www.kegg.jp/entry/C05272</t>
  </si>
  <si>
    <t>C05272 : 1</t>
  </si>
  <si>
    <t>C05272 : trans-Hexadec-2-enoyl-CoA</t>
  </si>
  <si>
    <t>C05273</t>
  </si>
  <si>
    <t>trans-Tetradec-2-enoyl-CoA</t>
  </si>
  <si>
    <t>https://www.kegg.jp/entry/C05273</t>
  </si>
  <si>
    <t>C05273 : 1</t>
  </si>
  <si>
    <t>C05273 : trans-Tetradec-2-enoyl-CoA</t>
  </si>
  <si>
    <t>C05275</t>
  </si>
  <si>
    <t>trans-Dec-2-enoyl-CoA</t>
  </si>
  <si>
    <t>https://www.kegg.jp/entry/C05275</t>
  </si>
  <si>
    <t>C05275 : 1</t>
  </si>
  <si>
    <t>C05275 : trans-Dec-2-enoyl-CoA</t>
  </si>
  <si>
    <t>C05276</t>
  </si>
  <si>
    <t>trans-Oct-2-enoyl-CoA</t>
  </si>
  <si>
    <t>https://www.kegg.jp/entry/C05276</t>
  </si>
  <si>
    <t>C05276 : 1</t>
  </si>
  <si>
    <t>C05276 : trans-Oct-2-enoyl-CoA</t>
  </si>
  <si>
    <t>C05291</t>
  </si>
  <si>
    <t>7alpha-Hydroxytestosterone</t>
  </si>
  <si>
    <t>https://www.kegg.jp/entry/C05291</t>
  </si>
  <si>
    <t>C05291 : 1</t>
  </si>
  <si>
    <t>C05291 : 7alpha-Hydroxytestosterone</t>
  </si>
  <si>
    <t>C05296</t>
  </si>
  <si>
    <t>7alpha-Hydroxyandrost-4-ene-3,17-dione</t>
  </si>
  <si>
    <t>https://www.kegg.jp/entry/C05296</t>
  </si>
  <si>
    <t>C05296 : 1</t>
  </si>
  <si>
    <t>C05296 : 7alpha-Hydroxyandrost-4-ene-3,17-dione</t>
  </si>
  <si>
    <t>C05298</t>
  </si>
  <si>
    <t>2-Hydroxyestrone</t>
  </si>
  <si>
    <t>https://www.kegg.jp/entry/C05298</t>
  </si>
  <si>
    <t>C05298 : 1</t>
  </si>
  <si>
    <t>C05298 : 2-Hydroxyestrone</t>
  </si>
  <si>
    <t>C05300</t>
  </si>
  <si>
    <t>16alpha-Hydroxyestrone</t>
  </si>
  <si>
    <t>https://www.kegg.jp/entry/C05300</t>
  </si>
  <si>
    <t>C05300 : 1</t>
  </si>
  <si>
    <t>C05300 : 16alpha-Hydroxyestrone</t>
  </si>
  <si>
    <t>C05301</t>
  </si>
  <si>
    <t>2-Hydroxyestradiol</t>
  </si>
  <si>
    <t>https://www.kegg.jp/entry/C05301</t>
  </si>
  <si>
    <t>C05301 : 1</t>
  </si>
  <si>
    <t>C05301 : 2-Hydroxyestradiol</t>
  </si>
  <si>
    <t>C05312</t>
  </si>
  <si>
    <t>Protein glycin-2-yl radical</t>
  </si>
  <si>
    <t>https://www.kegg.jp/entry/C05312</t>
  </si>
  <si>
    <t>C05312 : 1</t>
  </si>
  <si>
    <t>C05312 : Protein glycin-2-yl radical</t>
  </si>
  <si>
    <t>C05335</t>
  </si>
  <si>
    <t>L-Selenomethionine</t>
  </si>
  <si>
    <t>https://www.kegg.jp/entry/C05335</t>
  </si>
  <si>
    <t>C05335 : 1</t>
  </si>
  <si>
    <t>C05335 : L-Selenomethionine</t>
  </si>
  <si>
    <t>C05336</t>
  </si>
  <si>
    <t>Selenomethionyl-tRNA(Met)</t>
  </si>
  <si>
    <t>https://www.kegg.jp/entry/C05336</t>
  </si>
  <si>
    <t>C05336 : 1</t>
  </si>
  <si>
    <t>C05336 : Selenomethionyl-tRNA(Met)</t>
  </si>
  <si>
    <t>beta-D-Fructose 6-phosphate</t>
  </si>
  <si>
    <t>https://www.kegg.jp/entry/C05345</t>
  </si>
  <si>
    <t>C05345 : 1000</t>
  </si>
  <si>
    <t>C05345 : beta-D-Fructose 6-phosphate</t>
  </si>
  <si>
    <t>C05359</t>
  </si>
  <si>
    <t>e-</t>
  </si>
  <si>
    <t>https://www.kegg.jp/entry/C05359</t>
  </si>
  <si>
    <t>C05359 : 1</t>
  </si>
  <si>
    <t>C05359 : e-</t>
  </si>
  <si>
    <t>C05361</t>
  </si>
  <si>
    <t>Hydrazine</t>
  </si>
  <si>
    <t>https://www.kegg.jp/entry/C05361</t>
  </si>
  <si>
    <t>C05361 : 1</t>
  </si>
  <si>
    <t>C05361 : Hydrazine</t>
  </si>
  <si>
    <t>beta-D-Fructose 1,6-bisphosphate</t>
  </si>
  <si>
    <t>https://www.kegg.jp/entry/C05378</t>
  </si>
  <si>
    <t>C05378 : 1</t>
  </si>
  <si>
    <t>C05378 : beta-D-Fructose 1,6-bisphosphate</t>
  </si>
  <si>
    <t>C05381</t>
  </si>
  <si>
    <t>3-Carboxy-1-hydroxypropyl-ThPP</t>
  </si>
  <si>
    <t>https://www.kegg.jp/entry/C05381</t>
  </si>
  <si>
    <t>C05381 : 1</t>
  </si>
  <si>
    <t>C05381 : 3-Carboxy-1-hydroxypropyl-ThPP</t>
  </si>
  <si>
    <t>C05382</t>
  </si>
  <si>
    <t>Sedoheptulose 7-phosphate</t>
  </si>
  <si>
    <t>https://www.kegg.jp/entry/C05382</t>
  </si>
  <si>
    <t>C05382 : 1</t>
  </si>
  <si>
    <t>C05382 : Sedoheptulose 7-phosphate</t>
  </si>
  <si>
    <t>C05402</t>
  </si>
  <si>
    <t>Melibiose</t>
  </si>
  <si>
    <t>https://www.kegg.jp/entry/C05402</t>
  </si>
  <si>
    <t>C05402 : 1</t>
  </si>
  <si>
    <t>C05402 : Melibiose</t>
  </si>
  <si>
    <t>C05404</t>
  </si>
  <si>
    <t>D-Gal alpha 1-&gt;6D-Gal alpha 1-&gt;6D-Glucose</t>
  </si>
  <si>
    <t>https://www.kegg.jp/entry/C05404</t>
  </si>
  <si>
    <t>C05404 : 1</t>
  </si>
  <si>
    <t>C05404 : D-Gal alpha 1-&gt;6D-Gal alpha 1-&gt;6D-Glucose</t>
  </si>
  <si>
    <t>C05444</t>
  </si>
  <si>
    <t>3alpha,7alpha,26-Trihydroxy-5beta-cholestane</t>
  </si>
  <si>
    <t>https://www.kegg.jp/entry/C05444</t>
  </si>
  <si>
    <t>C05444 : 1</t>
  </si>
  <si>
    <t>C05444 : 3alpha,7alpha,26-Trihydroxy-5beta-cholestane</t>
  </si>
  <si>
    <t>C05445</t>
  </si>
  <si>
    <t>3alpha,7alpha-Dihydroxy-5beta-cholestan-26-al</t>
  </si>
  <si>
    <t>https://www.kegg.jp/entry/C05445</t>
  </si>
  <si>
    <t>C05445 : 1</t>
  </si>
  <si>
    <t>C05445 : 3alpha,7alpha-Dihydroxy-5beta-cholestan-26-al</t>
  </si>
  <si>
    <t>C05463</t>
  </si>
  <si>
    <t>Taurodeoxycholate</t>
  </si>
  <si>
    <t>https://www.kegg.jp/entry/C05463</t>
  </si>
  <si>
    <t>C05463 : 1</t>
  </si>
  <si>
    <t>C05463 : Taurodeoxycholate</t>
  </si>
  <si>
    <t>C05464</t>
  </si>
  <si>
    <t>Glycodeoxycholate</t>
  </si>
  <si>
    <t>https://www.kegg.jp/entry/C05464</t>
  </si>
  <si>
    <t>C05464 : 1</t>
  </si>
  <si>
    <t>C05464 : Glycodeoxycholate</t>
  </si>
  <si>
    <t>C05465</t>
  </si>
  <si>
    <t>Taurochenodeoxycholate</t>
  </si>
  <si>
    <t>https://www.kegg.jp/entry/C05465</t>
  </si>
  <si>
    <t>C05465 : 1</t>
  </si>
  <si>
    <t>C05465 : Taurochenodeoxycholate</t>
  </si>
  <si>
    <t>C05466</t>
  </si>
  <si>
    <t>Glycochenodeoxycholate</t>
  </si>
  <si>
    <t>https://www.kegg.jp/entry/C05466</t>
  </si>
  <si>
    <t>C05466 : 1</t>
  </si>
  <si>
    <t>C05466 : Glycochenodeoxycholate</t>
  </si>
  <si>
    <t>C05512</t>
  </si>
  <si>
    <t>Deoxyinosine</t>
  </si>
  <si>
    <t>https://www.kegg.jp/entry/C05512</t>
  </si>
  <si>
    <t>C05512 : 1</t>
  </si>
  <si>
    <t>C05512 : Deoxyinosine</t>
  </si>
  <si>
    <t>C05526</t>
  </si>
  <si>
    <t>S-Glutathionyl-L-cysteine</t>
  </si>
  <si>
    <t>https://www.kegg.jp/entry/C05526</t>
  </si>
  <si>
    <t>C05526 : 1</t>
  </si>
  <si>
    <t>C05526 : S-Glutathionyl-L-cysteine</t>
  </si>
  <si>
    <t>C05527</t>
  </si>
  <si>
    <t>3-Sulfinylpyruvate</t>
  </si>
  <si>
    <t>https://www.kegg.jp/entry/C05527</t>
  </si>
  <si>
    <t>C05527 : 1</t>
  </si>
  <si>
    <t>C05527 : 3-Sulfinylpyruvate</t>
  </si>
  <si>
    <t>C05528</t>
  </si>
  <si>
    <t>3-Sulfopyruvate</t>
  </si>
  <si>
    <t>https://www.kegg.jp/entry/C05528</t>
  </si>
  <si>
    <t>C05528 : 1</t>
  </si>
  <si>
    <t>C05528 : 3-Sulfopyruvate</t>
  </si>
  <si>
    <t>C05551</t>
  </si>
  <si>
    <t>Penicillin G</t>
  </si>
  <si>
    <t>https://www.kegg.jp/entry/C05551</t>
  </si>
  <si>
    <t>C05551 : 1</t>
  </si>
  <si>
    <t>C05551 : Penicillin G</t>
  </si>
  <si>
    <t>C05576</t>
  </si>
  <si>
    <t>3,4-Dihydroxyphenylethyleneglycol</t>
  </si>
  <si>
    <t>https://www.kegg.jp/entry/C05576</t>
  </si>
  <si>
    <t>C05576 : 1</t>
  </si>
  <si>
    <t>C05576 : 3,4-Dihydroxyphenylethyleneglycol</t>
  </si>
  <si>
    <t>C05577</t>
  </si>
  <si>
    <t>3,4-Dihydroxymandelaldehyde</t>
  </si>
  <si>
    <t>https://www.kegg.jp/entry/C05577</t>
  </si>
  <si>
    <t>C05577 : 1</t>
  </si>
  <si>
    <t>C05577 : 3,4-Dihydroxymandelaldehyde</t>
  </si>
  <si>
    <t>C05634</t>
  </si>
  <si>
    <t>5-Hydroxyindoleacetaldehyde</t>
  </si>
  <si>
    <t>https://www.kegg.jp/entry/C05634</t>
  </si>
  <si>
    <t>C05634 : 1</t>
  </si>
  <si>
    <t>C05634 : 5-Hydroxyindoleacetaldehyde</t>
  </si>
  <si>
    <t>C05635</t>
  </si>
  <si>
    <t>5-Hydroxyindoleacetate</t>
  </si>
  <si>
    <t>https://www.kegg.jp/entry/C05635</t>
  </si>
  <si>
    <t>C05635 : 1</t>
  </si>
  <si>
    <t>C05635 : 5-Hydroxyindoleacetate</t>
  </si>
  <si>
    <t>C05640</t>
  </si>
  <si>
    <t>Cinnavalininate</t>
  </si>
  <si>
    <t>https://www.kegg.jp/entry/C05640</t>
  </si>
  <si>
    <t>C05640 : 1</t>
  </si>
  <si>
    <t>C05640 : Cinnavalininate</t>
  </si>
  <si>
    <t>C05643</t>
  </si>
  <si>
    <t>6-Hydroxymelatonin</t>
  </si>
  <si>
    <t>https://www.kegg.jp/entry/C05643</t>
  </si>
  <si>
    <t>C05643 : 1</t>
  </si>
  <si>
    <t>C05643 : 6-Hydroxymelatonin</t>
  </si>
  <si>
    <t>C05648</t>
  </si>
  <si>
    <t>5-Hydroxy-N-formylkynurenine</t>
  </si>
  <si>
    <t>https://www.kegg.jp/entry/C05648</t>
  </si>
  <si>
    <t>C05648 : 1</t>
  </si>
  <si>
    <t>C05648 : 5-Hydroxy-N-formylkynurenine</t>
  </si>
  <si>
    <t>C05651</t>
  </si>
  <si>
    <t>5-Hydroxykynurenine</t>
  </si>
  <si>
    <t>https://www.kegg.jp/entry/C05651</t>
  </si>
  <si>
    <t>C05651 : 1</t>
  </si>
  <si>
    <t>C05651 : 5-Hydroxykynurenine</t>
  </si>
  <si>
    <t>C05653</t>
  </si>
  <si>
    <t>Formylanthranilate</t>
  </si>
  <si>
    <t>https://www.kegg.jp/entry/C05653</t>
  </si>
  <si>
    <t>C05653 : 1</t>
  </si>
  <si>
    <t>C05653 : Formylanthranilate</t>
  </si>
  <si>
    <t>C05665</t>
  </si>
  <si>
    <t>3-Aminopropanal</t>
  </si>
  <si>
    <t>https://www.kegg.jp/entry/C05665</t>
  </si>
  <si>
    <t>C05665 : 1</t>
  </si>
  <si>
    <t>C05665 : 3-Aminopropanal</t>
  </si>
  <si>
    <t>3-Hydroxypropionyl-CoA</t>
  </si>
  <si>
    <t>https://www.kegg.jp/entry/C05668</t>
  </si>
  <si>
    <t>C05668 : 1</t>
  </si>
  <si>
    <t>C05668 : 3-Hydroxypropionyl-CoA</t>
  </si>
  <si>
    <t>C05684</t>
  </si>
  <si>
    <t>Selenite</t>
  </si>
  <si>
    <t>https://www.kegg.jp/entry/C05684</t>
  </si>
  <si>
    <t>C05684 : 1</t>
  </si>
  <si>
    <t>C05684 : Selenite</t>
  </si>
  <si>
    <t>C05686</t>
  </si>
  <si>
    <t>Adenylylselenate</t>
  </si>
  <si>
    <t>https://www.kegg.jp/entry/C05686</t>
  </si>
  <si>
    <t>C05686 : 1</t>
  </si>
  <si>
    <t>C05686 : Adenylylselenate</t>
  </si>
  <si>
    <t>C05688</t>
  </si>
  <si>
    <t>L-Selenocysteine</t>
  </si>
  <si>
    <t>https://www.kegg.jp/entry/C05688</t>
  </si>
  <si>
    <t>C05688 : 1</t>
  </si>
  <si>
    <t>C05688 : L-Selenocysteine</t>
  </si>
  <si>
    <t>C05689</t>
  </si>
  <si>
    <t>Se-Methyl-L-selenocysteine</t>
  </si>
  <si>
    <t>https://www.kegg.jp/entry/C05689</t>
  </si>
  <si>
    <t>C05689 : 1</t>
  </si>
  <si>
    <t>C05689 : Se-Methyl-L-selenocysteine</t>
  </si>
  <si>
    <t>C05691</t>
  </si>
  <si>
    <t>Se-Adenosylselenomethionine</t>
  </si>
  <si>
    <t>https://www.kegg.jp/entry/C05691</t>
  </si>
  <si>
    <t>C05691 : 1</t>
  </si>
  <si>
    <t>C05691 : Se-Adenosylselenomethionine</t>
  </si>
  <si>
    <t>C05696</t>
  </si>
  <si>
    <t>3'-Phosphoadenylylselenate</t>
  </si>
  <si>
    <t>https://www.kegg.jp/entry/C05696</t>
  </si>
  <si>
    <t>C05696 : 1</t>
  </si>
  <si>
    <t>C05696 : 3'-Phosphoadenylylselenate</t>
  </si>
  <si>
    <t>C05697</t>
  </si>
  <si>
    <t>Selenate</t>
  </si>
  <si>
    <t>https://www.kegg.jp/entry/C05697</t>
  </si>
  <si>
    <t>C05697 : 1</t>
  </si>
  <si>
    <t>C05697 : Selenate</t>
  </si>
  <si>
    <t>C05698</t>
  </si>
  <si>
    <t>Selenohomocysteine</t>
  </si>
  <si>
    <t>https://www.kegg.jp/entry/C05698</t>
  </si>
  <si>
    <t>C05698 : 1</t>
  </si>
  <si>
    <t>C05698 : Selenohomocysteine</t>
  </si>
  <si>
    <t>C05699</t>
  </si>
  <si>
    <t>L-Selenocystathionine</t>
  </si>
  <si>
    <t>https://www.kegg.jp/entry/C05699</t>
  </si>
  <si>
    <t>C05699 : 1</t>
  </si>
  <si>
    <t>C05699 : L-Selenocystathionine</t>
  </si>
  <si>
    <t>C05703</t>
  </si>
  <si>
    <t>Methaneselenol</t>
  </si>
  <si>
    <t>https://www.kegg.jp/entry/C05703</t>
  </si>
  <si>
    <t>C05703 : 1</t>
  </si>
  <si>
    <t>C05703 : Methaneselenol</t>
  </si>
  <si>
    <t>C05726</t>
  </si>
  <si>
    <t>S-Substituted L-cysteine</t>
  </si>
  <si>
    <t>https://www.kegg.jp/entry/C05726</t>
  </si>
  <si>
    <t>C05726 : 1</t>
  </si>
  <si>
    <t>C05726 : S-Substituted L-cysteine</t>
  </si>
  <si>
    <t>C05727</t>
  </si>
  <si>
    <t>S-Substituted N-acetyl-L-cysteine</t>
  </si>
  <si>
    <t>https://www.kegg.jp/entry/C05727</t>
  </si>
  <si>
    <t>C05727 : 1</t>
  </si>
  <si>
    <t>C05727 : S-Substituted N-acetyl-L-cysteine</t>
  </si>
  <si>
    <t>C05744</t>
  </si>
  <si>
    <t>Acetoacetyl-[acp]</t>
  </si>
  <si>
    <t>https://www.kegg.jp/entry/C05744</t>
  </si>
  <si>
    <t>C05744 : 1</t>
  </si>
  <si>
    <t>C05744 : Acetoacetyl-[acp]</t>
  </si>
  <si>
    <t>C05745</t>
  </si>
  <si>
    <t>Butyryl-[acp]</t>
  </si>
  <si>
    <t>https://www.kegg.jp/entry/C05745</t>
  </si>
  <si>
    <t>C05745 : 1</t>
  </si>
  <si>
    <t>C05745 : Butyryl-[acp]</t>
  </si>
  <si>
    <t>C05746</t>
  </si>
  <si>
    <t>3-Oxohexanoyl-[acp]</t>
  </si>
  <si>
    <t>https://www.kegg.jp/entry/C05746</t>
  </si>
  <si>
    <t>C05746 : 1</t>
  </si>
  <si>
    <t>C05746 : 3-Oxohexanoyl-[acp]</t>
  </si>
  <si>
    <t>(3R)-3-Hydroxyhexanoyl-[acyl-carrier protein]</t>
  </si>
  <si>
    <t>https://www.kegg.jp/entry/C05747</t>
  </si>
  <si>
    <t>C05747 : 1</t>
  </si>
  <si>
    <t>C05747 : (3R)-3-Hydroxyhexanoyl-[acyl-carrier protein]</t>
  </si>
  <si>
    <t>C05748</t>
  </si>
  <si>
    <t>trans-Hex-2-enoyl-[acp]</t>
  </si>
  <si>
    <t>https://www.kegg.jp/entry/C05748</t>
  </si>
  <si>
    <t>C05748 : 1</t>
  </si>
  <si>
    <t>C05748 : trans-Hex-2-enoyl-[acp]</t>
  </si>
  <si>
    <t>C05749</t>
  </si>
  <si>
    <t>Hexanoyl-[acp]</t>
  </si>
  <si>
    <t>https://www.kegg.jp/entry/C05749</t>
  </si>
  <si>
    <t>C05749 : 1</t>
  </si>
  <si>
    <t>C05749 : Hexanoyl-[acp]</t>
  </si>
  <si>
    <t>C05750</t>
  </si>
  <si>
    <t>3-Oxooctanoyl-[acp]</t>
  </si>
  <si>
    <t>https://www.kegg.jp/entry/C05750</t>
  </si>
  <si>
    <t>C05750 : 1</t>
  </si>
  <si>
    <t>C05750 : 3-Oxooctanoyl-[acp]</t>
  </si>
  <si>
    <t>C05751</t>
  </si>
  <si>
    <t>trans-Oct-2-enoyl-[acp]</t>
  </si>
  <si>
    <t>https://www.kegg.jp/entry/C05751</t>
  </si>
  <si>
    <t>C05751 : 1</t>
  </si>
  <si>
    <t>C05751 : trans-Oct-2-enoyl-[acp]</t>
  </si>
  <si>
    <t>C05752</t>
  </si>
  <si>
    <t>Octanoyl-[acp]</t>
  </si>
  <si>
    <t>https://www.kegg.jp/entry/C05752</t>
  </si>
  <si>
    <t>C05752 : 1</t>
  </si>
  <si>
    <t>C05752 : Octanoyl-[acp]</t>
  </si>
  <si>
    <t>C05753</t>
  </si>
  <si>
    <t>3-Oxodecanoyl-[acp]</t>
  </si>
  <si>
    <t>https://www.kegg.jp/entry/C05753</t>
  </si>
  <si>
    <t>C05753 : 1</t>
  </si>
  <si>
    <t>C05753 : 3-Oxodecanoyl-[acp]</t>
  </si>
  <si>
    <t>C05754</t>
  </si>
  <si>
    <t>trans-Dec-2-enoyl-[acp]</t>
  </si>
  <si>
    <t>https://www.kegg.jp/entry/C05754</t>
  </si>
  <si>
    <t>C05754 : 1</t>
  </si>
  <si>
    <t>C05754 : trans-Dec-2-enoyl-[acp]</t>
  </si>
  <si>
    <t>C05755</t>
  </si>
  <si>
    <t>Decanoyl-[acp]</t>
  </si>
  <si>
    <t>https://www.kegg.jp/entry/C05755</t>
  </si>
  <si>
    <t>C05755 : 1</t>
  </si>
  <si>
    <t>C05755 : Decanoyl-[acp]</t>
  </si>
  <si>
    <t>C05756</t>
  </si>
  <si>
    <t>3-Oxododecanoyl-[acp]</t>
  </si>
  <si>
    <t>https://www.kegg.jp/entry/C05756</t>
  </si>
  <si>
    <t>C05756 : 1</t>
  </si>
  <si>
    <t>C05756 : 3-Oxododecanoyl-[acp]</t>
  </si>
  <si>
    <t>(3R)-3-Hydroxydodecanoyl-[acyl-carrier protein]</t>
  </si>
  <si>
    <t>https://www.kegg.jp/entry/C05757</t>
  </si>
  <si>
    <t>C05757 : 1</t>
  </si>
  <si>
    <t>C05757 : (3R)-3-Hydroxydodecanoyl-[acyl-carrier protein]</t>
  </si>
  <si>
    <t>C05758</t>
  </si>
  <si>
    <t>trans-Dodec-2-enoyl-[acp]</t>
  </si>
  <si>
    <t>https://www.kegg.jp/entry/C05758</t>
  </si>
  <si>
    <t>C05758 : 1</t>
  </si>
  <si>
    <t>C05758 : trans-Dodec-2-enoyl-[acp]</t>
  </si>
  <si>
    <t>C05759</t>
  </si>
  <si>
    <t>3-Oxotetradecanoyl-[acp]</t>
  </si>
  <si>
    <t>https://www.kegg.jp/entry/C05759</t>
  </si>
  <si>
    <t>C05759 : 1</t>
  </si>
  <si>
    <t>C05759 : 3-Oxotetradecanoyl-[acp]</t>
  </si>
  <si>
    <t>C05760</t>
  </si>
  <si>
    <t>trans-Tetradec-2-enoyl-[acp]</t>
  </si>
  <si>
    <t>https://www.kegg.jp/entry/C05760</t>
  </si>
  <si>
    <t>C05760 : 1</t>
  </si>
  <si>
    <t>C05760 : trans-Tetradec-2-enoyl-[acp]</t>
  </si>
  <si>
    <t>C05761</t>
  </si>
  <si>
    <t>Tetradecanoyl-[acp]</t>
  </si>
  <si>
    <t>https://www.kegg.jp/entry/C05761</t>
  </si>
  <si>
    <t>C05761 : 1</t>
  </si>
  <si>
    <t>C05761 : Tetradecanoyl-[acp]</t>
  </si>
  <si>
    <t>C05762</t>
  </si>
  <si>
    <t>3-Oxohexadecanoyl-[acp]</t>
  </si>
  <si>
    <t>https://www.kegg.jp/entry/C05762</t>
  </si>
  <si>
    <t>C05762 : 1</t>
  </si>
  <si>
    <t>C05762 : 3-Oxohexadecanoyl-[acp]</t>
  </si>
  <si>
    <t>C05763</t>
  </si>
  <si>
    <t>trans-Hexadec-2-enoyl-[acp]</t>
  </si>
  <si>
    <t>https://www.kegg.jp/entry/C05763</t>
  </si>
  <si>
    <t>C05763 : 1</t>
  </si>
  <si>
    <t>C05763 : trans-Hexadec-2-enoyl-[acp]</t>
  </si>
  <si>
    <t>C05764</t>
  </si>
  <si>
    <t>Hexadecanoyl-[acp]</t>
  </si>
  <si>
    <t>https://www.kegg.jp/entry/C05764</t>
  </si>
  <si>
    <t>C05764 : 1</t>
  </si>
  <si>
    <t>C05764 : Hexadecanoyl-[acp]</t>
  </si>
  <si>
    <t>Uroporphyrinogen I</t>
  </si>
  <si>
    <t>https://www.kegg.jp/entry/C05766</t>
  </si>
  <si>
    <t>C05766 : 1</t>
  </si>
  <si>
    <t>C05766 : Uroporphyrinogen I</t>
  </si>
  <si>
    <t>C05768</t>
  </si>
  <si>
    <t>Coproporphyrinogen I</t>
  </si>
  <si>
    <t>https://www.kegg.jp/entry/C05768</t>
  </si>
  <si>
    <t>C05768 : 1</t>
  </si>
  <si>
    <t>C05768 : Coproporphyrinogen I</t>
  </si>
  <si>
    <t>C05774</t>
  </si>
  <si>
    <t>Cobinamide</t>
  </si>
  <si>
    <t>https://www.kegg.jp/entry/C05774</t>
  </si>
  <si>
    <t>C05774 : 1</t>
  </si>
  <si>
    <t>C05774 : Cobinamide</t>
  </si>
  <si>
    <t>C05778</t>
  </si>
  <si>
    <t>Sirohydrochlorin</t>
  </si>
  <si>
    <t>https://www.kegg.jp/entry/C05778</t>
  </si>
  <si>
    <t>C05778 : 1</t>
  </si>
  <si>
    <t>C05778 : Sirohydrochlorin</t>
  </si>
  <si>
    <t>(1R,6R)-6-Hydroxy-2-succinylcyclohexa-2,4-diene-1-carboxylate</t>
  </si>
  <si>
    <t>https://www.kegg.jp/entry/C05817</t>
  </si>
  <si>
    <t>C05817 : 1</t>
  </si>
  <si>
    <t>C05817 : (1R,6R)-6-Hydroxy-2-succinylcyclohexa-2,4-diene-1-carboxylate</t>
  </si>
  <si>
    <t>C05823</t>
  </si>
  <si>
    <t>3-Mercaptolactate</t>
  </si>
  <si>
    <t>https://www.kegg.jp/entry/C05823</t>
  </si>
  <si>
    <t>C05823 : 1</t>
  </si>
  <si>
    <t>C05823 : 3-Mercaptolactate</t>
  </si>
  <si>
    <t>C05840</t>
  </si>
  <si>
    <t>Iminoaspartate</t>
  </si>
  <si>
    <t>https://www.kegg.jp/entry/C05840</t>
  </si>
  <si>
    <t>C05840 : 1</t>
  </si>
  <si>
    <t>C05840 : Iminoaspartate</t>
  </si>
  <si>
    <t>C05841</t>
  </si>
  <si>
    <t>Nicotinate D-ribonucleoside</t>
  </si>
  <si>
    <t>https://www.kegg.jp/entry/C05841</t>
  </si>
  <si>
    <t>C05841 : 1</t>
  </si>
  <si>
    <t>C05841 : Nicotinate D-ribonucleoside</t>
  </si>
  <si>
    <t>C05847</t>
  </si>
  <si>
    <t>all-trans-Polyprenyl diphosphate</t>
  </si>
  <si>
    <t>https://www.kegg.jp/entry/C05847</t>
  </si>
  <si>
    <t>C05847 : 1</t>
  </si>
  <si>
    <t>C05847 : all-trans-Polyprenyl diphosphate</t>
  </si>
  <si>
    <t>C05852</t>
  </si>
  <si>
    <t>2-Hydroxyphenylacetate</t>
  </si>
  <si>
    <t>https://www.kegg.jp/entry/C05852</t>
  </si>
  <si>
    <t>C05852 : 1</t>
  </si>
  <si>
    <t>C05852 : 2-Hydroxyphenylacetate</t>
  </si>
  <si>
    <t>C05892</t>
  </si>
  <si>
    <t>UDP-N-acetylmuramoyl-L-alanyl-gamma-D-glutamyl-L-lysine</t>
  </si>
  <si>
    <t>https://www.kegg.jp/entry/C05892</t>
  </si>
  <si>
    <t>C05892 : 1</t>
  </si>
  <si>
    <t>C05892 : UDP-N-acetylmuramoyl-L-alanyl-gamma-D-glutamyl-L-lysine</t>
  </si>
  <si>
    <t>C05893</t>
  </si>
  <si>
    <t>Undecaprenyl-diphospho-N-acetylmuramoyl-(N-acetylglucosamine)-L-alanyl-gamma-D-glutamyl-L-lysyl-D-alanyl-D-alanine</t>
  </si>
  <si>
    <t>https://www.kegg.jp/entry/C05893</t>
  </si>
  <si>
    <t>C05893 : 1</t>
  </si>
  <si>
    <t>C05893 : Undecaprenyl-diphospho-N-acetylmuramoyl-(N-acetylglucosamine)-L-alanyl-gamma-D-glutamyl-L-lysyl-D-alanyl-D-alanine</t>
  </si>
  <si>
    <t>C05897</t>
  </si>
  <si>
    <t>Undecaprenyl-diphospho-N-acetylmuramoyl-L-alanyl-D-glutamyl-meso-2,6-diaminopimeloyl-D-alanyl-D-alanine</t>
  </si>
  <si>
    <t>https://www.kegg.jp/entry/C05897</t>
  </si>
  <si>
    <t>C05897 : 1</t>
  </si>
  <si>
    <t>C05897 : Undecaprenyl-diphospho-N-acetylmuramoyl-L-alanyl-D-glutamyl-meso-2,6-diaminopimeloyl-D-alanyl-D-alanine</t>
  </si>
  <si>
    <t>C05898</t>
  </si>
  <si>
    <t>Undecaprenyl-diphospho-N-acetylmuramoyl-(N-acetylglucosamine)-L-alanyl-D-glutamyl-meso-2,6-diaminopimeloyl-D-alanyl-D-alanine</t>
  </si>
  <si>
    <t>https://www.kegg.jp/entry/C05898</t>
  </si>
  <si>
    <t>C05898 : 1</t>
  </si>
  <si>
    <t>C05898 : Undecaprenyl-diphospho-N-acetylmuramoyl-(N-acetylglucosamine)-L-alanyl-D-glutamyl-meso-2,6-diaminopimeloyl-D-alanyl-D-alanine</t>
  </si>
  <si>
    <t>C05921</t>
  </si>
  <si>
    <t>Biotinyl-5'-AMP</t>
  </si>
  <si>
    <t>https://www.kegg.jp/entry/C05921</t>
  </si>
  <si>
    <t>C05921 : 1</t>
  </si>
  <si>
    <t>C05921 : Biotinyl-5'-AMP</t>
  </si>
  <si>
    <t>Formamidopyrimidine nucleoside triphosphate</t>
  </si>
  <si>
    <t>https://www.kegg.jp/entry/C05922</t>
  </si>
  <si>
    <t>C05922 : 1</t>
  </si>
  <si>
    <t>C05922 : Formamidopyrimidine nucleoside triphosphate</t>
  </si>
  <si>
    <t>2,5-Diaminopyrimidine nucleoside triphosphate</t>
  </si>
  <si>
    <t>https://www.kegg.jp/entry/C05923</t>
  </si>
  <si>
    <t>C05923 : 1</t>
  </si>
  <si>
    <t>C05923 : 2,5-Diaminopyrimidine nucleoside triphosphate</t>
  </si>
  <si>
    <t>C05928</t>
  </si>
  <si>
    <t>(6R)-10-Formyltetrahydropteroyldiglutamate</t>
  </si>
  <si>
    <t>https://www.kegg.jp/entry/C05928</t>
  </si>
  <si>
    <t>C05928 : 1</t>
  </si>
  <si>
    <t>C05928 : (6R)-10-Formyltetrahydropteroyldiglutamate</t>
  </si>
  <si>
    <t>C05929</t>
  </si>
  <si>
    <t>10-Formyltetrahydrofolylpolyglutamate</t>
  </si>
  <si>
    <t>https://www.kegg.jp/entry/C05929</t>
  </si>
  <si>
    <t>C05929 : 1</t>
  </si>
  <si>
    <t>C05929 : 10-Formyltetrahydrofolylpolyglutamate</t>
  </si>
  <si>
    <t>C05936</t>
  </si>
  <si>
    <t>N4-Acetylaminobutanal</t>
  </si>
  <si>
    <t>https://www.kegg.jp/entry/C05936</t>
  </si>
  <si>
    <t>C05936 : 1</t>
  </si>
  <si>
    <t>C05936 : N4-Acetylaminobutanal</t>
  </si>
  <si>
    <t>C05938</t>
  </si>
  <si>
    <t>L-4-Hydroxyglutamate semialdehyde</t>
  </si>
  <si>
    <t>https://www.kegg.jp/entry/C05938</t>
  </si>
  <si>
    <t>C05938 : 1</t>
  </si>
  <si>
    <t>C05938 : L-4-Hydroxyglutamate semialdehyde</t>
  </si>
  <si>
    <t>C05946</t>
  </si>
  <si>
    <t>(4R)-4-Hydroxy-2-oxoglutarate</t>
  </si>
  <si>
    <t>https://www.kegg.jp/entry/C05946</t>
  </si>
  <si>
    <t>C05946 : 1</t>
  </si>
  <si>
    <t>C05946 : (4R)-4-Hydroxy-2-oxoglutarate</t>
  </si>
  <si>
    <t>C05947</t>
  </si>
  <si>
    <t>L-erythro-4-Hydroxyglutamate</t>
  </si>
  <si>
    <t>https://www.kegg.jp/entry/C05947</t>
  </si>
  <si>
    <t>C05947 : 1</t>
  </si>
  <si>
    <t>C05947 : L-erythro-4-Hydroxyglutamate</t>
  </si>
  <si>
    <t>15(S)-HPETE</t>
  </si>
  <si>
    <t>https://www.kegg.jp/entry/C05966</t>
  </si>
  <si>
    <t>C05966 : 1</t>
  </si>
  <si>
    <t>C05966 : 15(S)-HPETE</t>
  </si>
  <si>
    <t>C05983</t>
  </si>
  <si>
    <t>Propionyladenylate</t>
  </si>
  <si>
    <t>https://www.kegg.jp/entry/C05983</t>
  </si>
  <si>
    <t>C05983 : 1</t>
  </si>
  <si>
    <t>C05983 : Propionyladenylate</t>
  </si>
  <si>
    <t>C05984</t>
  </si>
  <si>
    <t>2-Hydroxybutanoic acid</t>
  </si>
  <si>
    <t>https://www.kegg.jp/entry/C05984</t>
  </si>
  <si>
    <t>C05984 : 1</t>
  </si>
  <si>
    <t>C05984 : 2-Hydroxybutanoic acid</t>
  </si>
  <si>
    <t>C05985</t>
  </si>
  <si>
    <t>2-Propynal</t>
  </si>
  <si>
    <t>https://www.kegg.jp/entry/C05985</t>
  </si>
  <si>
    <t>C05985 : 1</t>
  </si>
  <si>
    <t>C05985 : 2-Propynal</t>
  </si>
  <si>
    <t>C05993</t>
  </si>
  <si>
    <t>Acetyl adenylate</t>
  </si>
  <si>
    <t>https://www.kegg.jp/entry/C05993</t>
  </si>
  <si>
    <t>C05993 : 1</t>
  </si>
  <si>
    <t>C05993 : Acetyl adenylate</t>
  </si>
  <si>
    <t>3-Hydroxyisovaleryl-CoA</t>
  </si>
  <si>
    <t>https://www.kegg.jp/entry/C05998</t>
  </si>
  <si>
    <t>C05998 : 1</t>
  </si>
  <si>
    <t>C05998 : 3-Hydroxyisovaleryl-CoA</t>
  </si>
  <si>
    <t>(S)-3-Hydroxyisobutyryl-CoA</t>
  </si>
  <si>
    <t>https://www.kegg.jp/entry/C06000</t>
  </si>
  <si>
    <t>C06000 : 1</t>
  </si>
  <si>
    <t>C06000 : (S)-3-Hydroxyisobutyryl-CoA</t>
  </si>
  <si>
    <t>C06002</t>
  </si>
  <si>
    <t>(S)-Methylmalonate semialdehyde</t>
  </si>
  <si>
    <t>https://www.kegg.jp/entry/C06002</t>
  </si>
  <si>
    <t>C06002 : 1</t>
  </si>
  <si>
    <t>C06002 : (S)-Methylmalonate semialdehyde</t>
  </si>
  <si>
    <t>(S)-2-Aceto-2-hydroxybutanoate</t>
  </si>
  <si>
    <t>https://www.kegg.jp/entry/C06006</t>
  </si>
  <si>
    <t>C06006 : 1</t>
  </si>
  <si>
    <t>C06006 : (S)-2-Aceto-2-hydroxybutanoate</t>
  </si>
  <si>
    <t>(R)-2,3-Dihydroxy-3-methylpentanoate</t>
  </si>
  <si>
    <t>https://www.kegg.jp/entry/C06007</t>
  </si>
  <si>
    <t>C06007 : 1</t>
  </si>
  <si>
    <t>C06007 : (R)-2,3-Dihydroxy-3-methylpentanoate</t>
  </si>
  <si>
    <t>(S)-2-Acetolactate</t>
  </si>
  <si>
    <t>https://www.kegg.jp/entry/C06010</t>
  </si>
  <si>
    <t>C06010 : 1</t>
  </si>
  <si>
    <t>C06010 : (S)-2-Acetolactate</t>
  </si>
  <si>
    <t>C06032</t>
  </si>
  <si>
    <t>D-erythro-3-Methylmalate</t>
  </si>
  <si>
    <t>https://www.kegg.jp/entry/C06032</t>
  </si>
  <si>
    <t>C06032 : 1</t>
  </si>
  <si>
    <t>C06032 : D-erythro-3-Methylmalate</t>
  </si>
  <si>
    <t>C06054</t>
  </si>
  <si>
    <t>2-Oxo-3-hydroxy-4-phosphobutanoate</t>
  </si>
  <si>
    <t>https://www.kegg.jp/entry/C06054</t>
  </si>
  <si>
    <t>C06054 : 1</t>
  </si>
  <si>
    <t>C06054 : 2-Oxo-3-hydroxy-4-phosphobutanoate</t>
  </si>
  <si>
    <t>C06055</t>
  </si>
  <si>
    <t>O-Phospho-4-hydroxy-L-threonine</t>
  </si>
  <si>
    <t>https://www.kegg.jp/entry/C06055</t>
  </si>
  <si>
    <t>C06055 : 1</t>
  </si>
  <si>
    <t>C06055 : O-Phospho-4-hydroxy-L-threonine</t>
  </si>
  <si>
    <t>C06056</t>
  </si>
  <si>
    <t>4-Hydroxy-L-threonine</t>
  </si>
  <si>
    <t>https://www.kegg.jp/entry/C06056</t>
  </si>
  <si>
    <t>C06056 : 1</t>
  </si>
  <si>
    <t>C06056 : 4-Hydroxy-L-threonine</t>
  </si>
  <si>
    <t>C06060</t>
  </si>
  <si>
    <t>Amidine</t>
  </si>
  <si>
    <t>https://www.kegg.jp/entry/C06060</t>
  </si>
  <si>
    <t>C06060 : 1</t>
  </si>
  <si>
    <t>C06060 : Amidine</t>
  </si>
  <si>
    <t>C06109</t>
  </si>
  <si>
    <t>Cytochrome P-450 oxidized form</t>
  </si>
  <si>
    <t>https://www.kegg.jp/entry/C06109</t>
  </si>
  <si>
    <t>C06109 : 1</t>
  </si>
  <si>
    <t>C06109 : Cytochrome P-450 oxidized form</t>
  </si>
  <si>
    <t>C06110</t>
  </si>
  <si>
    <t>Cytochrome P-450 reduced form</t>
  </si>
  <si>
    <t>https://www.kegg.jp/entry/C06110</t>
  </si>
  <si>
    <t>C06110 : 1</t>
  </si>
  <si>
    <t>C06110 : Cytochrome P-450 reduced form</t>
  </si>
  <si>
    <t>C06113</t>
  </si>
  <si>
    <t>L-Aspartyl-tRNA(Asn)</t>
  </si>
  <si>
    <t>https://www.kegg.jp/entry/C06113</t>
  </si>
  <si>
    <t>C06113 : 1</t>
  </si>
  <si>
    <t>C06113 : L-Aspartyl-tRNA(Asn)</t>
  </si>
  <si>
    <t>2,5-Diamino-6-(5'-triphosphoryl-3',4'-trihydroxy-2'-oxopentyl)-amino-4-oxopyrimidine</t>
  </si>
  <si>
    <t>https://www.kegg.jp/entry/C06148</t>
  </si>
  <si>
    <t>C06148 : 1</t>
  </si>
  <si>
    <t>C06148 : 2,5-Diamino-6-(5'-triphosphoryl-3',4'-trihydroxy-2'-oxopentyl)-amino-4-oxopyrimidine</t>
  </si>
  <si>
    <t>alpha-D-Glucosamine 1-phosphate</t>
  </si>
  <si>
    <t>https://www.kegg.jp/entry/C06156</t>
  </si>
  <si>
    <t>C06156 : 1</t>
  </si>
  <si>
    <t>C06156 : alpha-D-Glucosamine 1-phosphate</t>
  </si>
  <si>
    <t>C06157</t>
  </si>
  <si>
    <t>[Dihydrolipoyllysine-residue succinyltransferase] S-glutaryldihydrolipoyllysine</t>
  </si>
  <si>
    <t>https://www.kegg.jp/entry/C06157</t>
  </si>
  <si>
    <t>C06157 : 1</t>
  </si>
  <si>
    <t>C06157 : [Dihydrolipoyllysine-residue succinyltransferase] S-glutaryldihydrolipoyllysine</t>
  </si>
  <si>
    <t>C06174</t>
  </si>
  <si>
    <t>Codeine</t>
  </si>
  <si>
    <t>https://www.kegg.jp/entry/C06174</t>
  </si>
  <si>
    <t>C06174 : 1</t>
  </si>
  <si>
    <t>C06174 : Codeine</t>
  </si>
  <si>
    <t>C06187</t>
  </si>
  <si>
    <t>Arbutin 6-phosphate</t>
  </si>
  <si>
    <t>https://www.kegg.jp/entry/C06187</t>
  </si>
  <si>
    <t>C06187 : 1</t>
  </si>
  <si>
    <t>C06187 : Arbutin 6-phosphate</t>
  </si>
  <si>
    <t>C06188</t>
  </si>
  <si>
    <t>Salicin 6-phosphate</t>
  </si>
  <si>
    <t>https://www.kegg.jp/entry/C06188</t>
  </si>
  <si>
    <t>C06188 : 1</t>
  </si>
  <si>
    <t>C06188 : Salicin 6-phosphate</t>
  </si>
  <si>
    <t>C06196</t>
  </si>
  <si>
    <t>2'-Deoxyinosine 5'-phosphate</t>
  </si>
  <si>
    <t>https://www.kegg.jp/entry/C06196</t>
  </si>
  <si>
    <t>C06196 : 1</t>
  </si>
  <si>
    <t>C06196 : 2'-Deoxyinosine 5'-phosphate</t>
  </si>
  <si>
    <t>C06232</t>
  </si>
  <si>
    <t>Molybdate</t>
  </si>
  <si>
    <t>https://www.kegg.jp/entry/C06232</t>
  </si>
  <si>
    <t>C06232 : 1</t>
  </si>
  <si>
    <t>C06232 : Molybdate</t>
  </si>
  <si>
    <t>C06249</t>
  </si>
  <si>
    <t>Apo-[carboxylase]</t>
  </si>
  <si>
    <t>https://www.kegg.jp/entry/C06249</t>
  </si>
  <si>
    <t>C06249 : 1</t>
  </si>
  <si>
    <t>C06249 : Apo-[carboxylase]</t>
  </si>
  <si>
    <t>C06250</t>
  </si>
  <si>
    <t>Holo-[carboxylase]</t>
  </si>
  <si>
    <t>https://www.kegg.jp/entry/C06250</t>
  </si>
  <si>
    <t>C06250 : 1</t>
  </si>
  <si>
    <t>C06250 : Holo-[carboxylase]</t>
  </si>
  <si>
    <t>C06423</t>
  </si>
  <si>
    <t>Octanoic acid</t>
  </si>
  <si>
    <t>https://www.kegg.jp/entry/C06423</t>
  </si>
  <si>
    <t>C06423 : 1</t>
  </si>
  <si>
    <t>C06423 : Octanoic acid</t>
  </si>
  <si>
    <t>C06504</t>
  </si>
  <si>
    <t>Cob(II)yrinate a,c diamide</t>
  </si>
  <si>
    <t>https://www.kegg.jp/entry/C06504</t>
  </si>
  <si>
    <t>C06504 : 1</t>
  </si>
  <si>
    <t>C06504 : Cob(II)yrinate a,c diamide</t>
  </si>
  <si>
    <t>C06505</t>
  </si>
  <si>
    <t>Cob(I)yrinate a,c diamide</t>
  </si>
  <si>
    <t>https://www.kegg.jp/entry/C06505</t>
  </si>
  <si>
    <t>C06505 : 1</t>
  </si>
  <si>
    <t>C06505 : Cob(I)yrinate a,c diamide</t>
  </si>
  <si>
    <t>C06506</t>
  </si>
  <si>
    <t>Adenosyl cobyrinate a,c diamide</t>
  </si>
  <si>
    <t>https://www.kegg.jp/entry/C06506</t>
  </si>
  <si>
    <t>C06506 : 1</t>
  </si>
  <si>
    <t>C06506 : Adenosyl cobyrinate a,c diamide</t>
  </si>
  <si>
    <t>C06508</t>
  </si>
  <si>
    <t>Adenosyl cobinamide</t>
  </si>
  <si>
    <t>https://www.kegg.jp/entry/C06508</t>
  </si>
  <si>
    <t>C06508 : 1</t>
  </si>
  <si>
    <t>C06508 : Adenosyl cobinamide</t>
  </si>
  <si>
    <t>Penicilloic acid</t>
  </si>
  <si>
    <t>https://www.kegg.jp/entry/C06567</t>
  </si>
  <si>
    <t>C06567 : 1</t>
  </si>
  <si>
    <t>C06567 : Penicilloic acid</t>
  </si>
  <si>
    <t>C06604</t>
  </si>
  <si>
    <t>Parathion</t>
  </si>
  <si>
    <t>https://www.kegg.jp/entry/C06604</t>
  </si>
  <si>
    <t>C06604 : 1</t>
  </si>
  <si>
    <t>C06604 : Parathion</t>
  </si>
  <si>
    <t>C06606</t>
  </si>
  <si>
    <t>Paraoxon</t>
  </si>
  <si>
    <t>https://www.kegg.jp/entry/C06606</t>
  </si>
  <si>
    <t>C06606 : 1</t>
  </si>
  <si>
    <t>C06606 : Paraoxon</t>
  </si>
  <si>
    <t>C06611</t>
  </si>
  <si>
    <t>trans-3-Chloro-2-propene-1-ol</t>
  </si>
  <si>
    <t>https://www.kegg.jp/entry/C06611</t>
  </si>
  <si>
    <t>C06611 : 1</t>
  </si>
  <si>
    <t>C06611 : trans-3-Chloro-2-propene-1-ol</t>
  </si>
  <si>
    <t>C06612</t>
  </si>
  <si>
    <t>cis-3-Chloro-2-propene-1-ol</t>
  </si>
  <si>
    <t>https://www.kegg.jp/entry/C06612</t>
  </si>
  <si>
    <t>C06612 : 1</t>
  </si>
  <si>
    <t>C06612 : cis-3-Chloro-2-propene-1-ol</t>
  </si>
  <si>
    <t>C06613</t>
  </si>
  <si>
    <t>trans-3-Chloroallyl aldehyde</t>
  </si>
  <si>
    <t>https://www.kegg.jp/entry/C06613</t>
  </si>
  <si>
    <t>C06613 : 1</t>
  </si>
  <si>
    <t>C06613 : trans-3-Chloroallyl aldehyde</t>
  </si>
  <si>
    <t>C06614</t>
  </si>
  <si>
    <t>trans-3-Chloroacrylic acid</t>
  </si>
  <si>
    <t>https://www.kegg.jp/entry/C06614</t>
  </si>
  <si>
    <t>C06614 : 1</t>
  </si>
  <si>
    <t>C06614 : trans-3-Chloroacrylic acid</t>
  </si>
  <si>
    <t>C06615</t>
  </si>
  <si>
    <t>cis-3-Chloroacrylic acid</t>
  </si>
  <si>
    <t>https://www.kegg.jp/entry/C06615</t>
  </si>
  <si>
    <t>C06615 : 1</t>
  </si>
  <si>
    <t>C06615 : cis-3-Chloroacrylic acid</t>
  </si>
  <si>
    <t>C06697</t>
  </si>
  <si>
    <t>Arsenite</t>
  </si>
  <si>
    <t>https://www.kegg.jp/entry/C06697</t>
  </si>
  <si>
    <t>C06697 : 1</t>
  </si>
  <si>
    <t>C06697 : Arsenite</t>
  </si>
  <si>
    <t>C06754</t>
  </si>
  <si>
    <t>Chloroacetaldehyde</t>
  </si>
  <si>
    <t>https://www.kegg.jp/entry/C06754</t>
  </si>
  <si>
    <t>C06754 : 1</t>
  </si>
  <si>
    <t>C06754 : Chloroacetaldehyde</t>
  </si>
  <si>
    <t>C06755</t>
  </si>
  <si>
    <t>Chloroacetic acid</t>
  </si>
  <si>
    <t>https://www.kegg.jp/entry/C06755</t>
  </si>
  <si>
    <t>C06755 : 1</t>
  </si>
  <si>
    <t>C06755 : Chloroacetic acid</t>
  </si>
  <si>
    <t>C06790</t>
  </si>
  <si>
    <t>Trichloroethene</t>
  </si>
  <si>
    <t>https://www.kegg.jp/entry/C06790</t>
  </si>
  <si>
    <t>C06790 : 1</t>
  </si>
  <si>
    <t>C06790 : Trichloroethene</t>
  </si>
  <si>
    <t>C06800</t>
  </si>
  <si>
    <t>Aflatoxin B1</t>
  </si>
  <si>
    <t>https://www.kegg.jp/entry/C06800</t>
  </si>
  <si>
    <t>C06800 : 1</t>
  </si>
  <si>
    <t>C06800 : Aflatoxin B1</t>
  </si>
  <si>
    <t>C06868</t>
  </si>
  <si>
    <t>Carbamazepine</t>
  </si>
  <si>
    <t>https://www.kegg.jp/entry/C06868</t>
  </si>
  <si>
    <t>C06868 : 1</t>
  </si>
  <si>
    <t>C06868 : Carbamazepine</t>
  </si>
  <si>
    <t>C06899</t>
  </si>
  <si>
    <t>Chloral hydrate</t>
  </si>
  <si>
    <t>https://www.kegg.jp/entry/C06899</t>
  </si>
  <si>
    <t>C06899 : 1</t>
  </si>
  <si>
    <t>C06899 : Chloral hydrate</t>
  </si>
  <si>
    <t>Ifosfamide</t>
  </si>
  <si>
    <t>https://www.kegg.jp/entry/C07047</t>
  </si>
  <si>
    <t>C07047 : 1</t>
  </si>
  <si>
    <t>C07047 : Ifosfamide</t>
  </si>
  <si>
    <t>C07054</t>
  </si>
  <si>
    <t>Isoniazid</t>
  </si>
  <si>
    <t>https://www.kegg.jp/entry/C07054</t>
  </si>
  <si>
    <t>C07054 : 1</t>
  </si>
  <si>
    <t>C07054 : Isoniazid</t>
  </si>
  <si>
    <t>Lidocaine</t>
  </si>
  <si>
    <t>https://www.kegg.jp/entry/C07073</t>
  </si>
  <si>
    <t>C07073 : 1</t>
  </si>
  <si>
    <t>C07073 : Lidocaine</t>
  </si>
  <si>
    <t>C07108</t>
  </si>
  <si>
    <t>Tamoxifen</t>
  </si>
  <si>
    <t>https://www.kegg.jp/entry/C07108</t>
  </si>
  <si>
    <t>C07108 : 1</t>
  </si>
  <si>
    <t>C07108 : Tamoxifen</t>
  </si>
  <si>
    <t>C07446</t>
  </si>
  <si>
    <t>Isonicotinic acid</t>
  </si>
  <si>
    <t>https://www.kegg.jp/entry/C07446</t>
  </si>
  <si>
    <t>C07446 : 1</t>
  </si>
  <si>
    <t>C07446 : Isonicotinic acid</t>
  </si>
  <si>
    <t>C07447</t>
  </si>
  <si>
    <t>Acetylhydrazine</t>
  </si>
  <si>
    <t>https://www.kegg.jp/entry/C07447</t>
  </si>
  <si>
    <t>C07447 : 1</t>
  </si>
  <si>
    <t>C07447 : Acetylhydrazine</t>
  </si>
  <si>
    <t>2-Hydroxy-5-methyl-cis,cis-muconate</t>
  </si>
  <si>
    <t>https://www.kegg.jp/entry/C07478</t>
  </si>
  <si>
    <t>C07478 : 1</t>
  </si>
  <si>
    <t>C07478 : 2-Hydroxy-5-methyl-cis,cis-muconate</t>
  </si>
  <si>
    <t>2-Oxo-5-methyl-cis-muconate</t>
  </si>
  <si>
    <t>https://www.kegg.jp/entry/C07479</t>
  </si>
  <si>
    <t>C07479 : 1</t>
  </si>
  <si>
    <t>C07479 : 2-Oxo-5-methyl-cis-muconate</t>
  </si>
  <si>
    <t>C07481</t>
  </si>
  <si>
    <t>Caffeine</t>
  </si>
  <si>
    <t>https://www.kegg.jp/entry/C07481</t>
  </si>
  <si>
    <t>C07481 : 1</t>
  </si>
  <si>
    <t>C07481 : Caffeine</t>
  </si>
  <si>
    <t>C07490</t>
  </si>
  <si>
    <t>Trichloroethanol</t>
  </si>
  <si>
    <t>https://www.kegg.jp/entry/C07490</t>
  </si>
  <si>
    <t>C07490 : 1</t>
  </si>
  <si>
    <t>C07490 : Trichloroethanol</t>
  </si>
  <si>
    <t>C07496</t>
  </si>
  <si>
    <t>Carbamazepine-10,11-epoxide</t>
  </si>
  <si>
    <t>https://www.kegg.jp/entry/C07496</t>
  </si>
  <si>
    <t>C07496 : 1</t>
  </si>
  <si>
    <t>C07496 : Carbamazepine-10,11-epoxide</t>
  </si>
  <si>
    <t>C07535</t>
  </si>
  <si>
    <t>Benzo[a]pyrene</t>
  </si>
  <si>
    <t>https://www.kegg.jp/entry/C07535</t>
  </si>
  <si>
    <t>C07535 : 1</t>
  </si>
  <si>
    <t>C07535 : Benzo[a]pyrene</t>
  </si>
  <si>
    <t>Citalopram</t>
  </si>
  <si>
    <t>https://www.kegg.jp/entry/C07572</t>
  </si>
  <si>
    <t>C07572 : 1</t>
  </si>
  <si>
    <t>C07572 : Citalopram</t>
  </si>
  <si>
    <t>C07585</t>
  </si>
  <si>
    <t>N-Acetylisoniazid</t>
  </si>
  <si>
    <t>https://www.kegg.jp/entry/C07585</t>
  </si>
  <si>
    <t>C07585 : 1</t>
  </si>
  <si>
    <t>C07585 : N-Acetylisoniazid</t>
  </si>
  <si>
    <t>C07645</t>
  </si>
  <si>
    <t>Aldophosphamide</t>
  </si>
  <si>
    <t>https://www.kegg.jp/entry/C07645</t>
  </si>
  <si>
    <t>C07645 : 1</t>
  </si>
  <si>
    <t>C07645 : Aldophosphamide</t>
  </si>
  <si>
    <t>C07648</t>
  </si>
  <si>
    <t>Thioguanine</t>
  </si>
  <si>
    <t>https://www.kegg.jp/entry/C07648</t>
  </si>
  <si>
    <t>C07648 : 1</t>
  </si>
  <si>
    <t>C07648 : Thioguanine</t>
  </si>
  <si>
    <t>C07649</t>
  </si>
  <si>
    <t>5-FU</t>
  </si>
  <si>
    <t>https://www.kegg.jp/entry/C07649</t>
  </si>
  <si>
    <t>C07649 : 1</t>
  </si>
  <si>
    <t>C07649 : 5-FU</t>
  </si>
  <si>
    <t>Pyrimidine 5'-deoxynucleotide</t>
  </si>
  <si>
    <t>https://www.kegg.jp/entry/C08249</t>
  </si>
  <si>
    <t>C08249 : 1</t>
  </si>
  <si>
    <t>C08249 : Pyrimidine 5'-deoxynucleotide</t>
  </si>
  <si>
    <t>beta-D-Ribopyranose</t>
  </si>
  <si>
    <t>https://www.kegg.jp/entry/C08353</t>
  </si>
  <si>
    <t>C08353 : 1</t>
  </si>
  <si>
    <t>C08353 : beta-D-Ribopyranose</t>
  </si>
  <si>
    <t>C08492</t>
  </si>
  <si>
    <t>3-Hexenol</t>
  </si>
  <si>
    <t>https://www.kegg.jp/entry/C08492</t>
  </si>
  <si>
    <t>C08492 : 1</t>
  </si>
  <si>
    <t>C08492 : 3-Hexenol</t>
  </si>
  <si>
    <t>C09332</t>
  </si>
  <si>
    <t>THF-L-glutamate</t>
  </si>
  <si>
    <t>https://www.kegg.jp/entry/C09332</t>
  </si>
  <si>
    <t>C09332 : 1</t>
  </si>
  <si>
    <t>C09332 : THF-L-glutamate</t>
  </si>
  <si>
    <t>C11004</t>
  </si>
  <si>
    <t>2,6-Dimethylaniline</t>
  </si>
  <si>
    <t>https://www.kegg.jp/entry/C11004</t>
  </si>
  <si>
    <t>C11004 : 1</t>
  </si>
  <si>
    <t>C11004 : 2,6-Dimethylaniline</t>
  </si>
  <si>
    <t>C11038</t>
  </si>
  <si>
    <t>2'-Deoxy-5-hydroxymethylcytidine-5'-diphosphate</t>
  </si>
  <si>
    <t>https://www.kegg.jp/entry/C11038</t>
  </si>
  <si>
    <t>C11038 : 1</t>
  </si>
  <si>
    <t>C11038 : 2'-Deoxy-5-hydroxymethylcytidine-5'-diphosphate</t>
  </si>
  <si>
    <t>2'-Deoxy-5-hydroxymethylcytidine-5'-triphosphate</t>
  </si>
  <si>
    <t>https://www.kegg.jp/entry/C11039</t>
  </si>
  <si>
    <t>C11039 : 1</t>
  </si>
  <si>
    <t>C11039 : 2'-Deoxy-5-hydroxymethylcytidine-5'-triphosphate</t>
  </si>
  <si>
    <t>C11148</t>
  </si>
  <si>
    <t>TCE epoxide</t>
  </si>
  <si>
    <t>https://www.kegg.jp/entry/C11148</t>
  </si>
  <si>
    <t>C11148 : 1</t>
  </si>
  <si>
    <t>C11148 : TCE epoxide</t>
  </si>
  <si>
    <t>C11173</t>
  </si>
  <si>
    <t>SN-38</t>
  </si>
  <si>
    <t>https://www.kegg.jp/entry/C11173</t>
  </si>
  <si>
    <t>C11173 : 1</t>
  </si>
  <si>
    <t>C11173 : SN-38</t>
  </si>
  <si>
    <t>C11215</t>
  </si>
  <si>
    <t>Arsenate ion</t>
  </si>
  <si>
    <t>https://www.kegg.jp/entry/C11215</t>
  </si>
  <si>
    <t>C11215 : 1</t>
  </si>
  <si>
    <t>C11215 : Arsenate ion</t>
  </si>
  <si>
    <t>4-Amino-4-deoxychorismate</t>
  </si>
  <si>
    <t>https://www.kegg.jp/entry/C11355</t>
  </si>
  <si>
    <t>C11355 : 1</t>
  </si>
  <si>
    <t>C11355 : 4-Amino-4-deoxychorismate</t>
  </si>
  <si>
    <t>C11434</t>
  </si>
  <si>
    <t>2-C-Methyl-D-erythritol 4-phosphate</t>
  </si>
  <si>
    <t>https://www.kegg.jp/entry/C11434</t>
  </si>
  <si>
    <t>C11434 : 1</t>
  </si>
  <si>
    <t>C11434 : 2-C-Methyl-D-erythritol 4-phosphate</t>
  </si>
  <si>
    <t>C11435</t>
  </si>
  <si>
    <t>4-(Cytidine 5'-diphospho)-2-C-methyl-D-erythritol</t>
  </si>
  <si>
    <t>https://www.kegg.jp/entry/C11435</t>
  </si>
  <si>
    <t>C11435 : 1</t>
  </si>
  <si>
    <t>C11435 : 4-(Cytidine 5'-diphospho)-2-C-methyl-D-erythritol</t>
  </si>
  <si>
    <t>2-Phospho-4-(cytidine 5'-diphospho)-2-C-methyl-D-erythritol</t>
  </si>
  <si>
    <t>https://www.kegg.jp/entry/C11436</t>
  </si>
  <si>
    <t>C11436 : 1</t>
  </si>
  <si>
    <t>C11436 : 2-Phospho-4-(cytidine 5'-diphospho)-2-C-methyl-D-erythritol</t>
  </si>
  <si>
    <t>C11437</t>
  </si>
  <si>
    <t>1-Deoxy-D-xylulose 5-phosphate</t>
  </si>
  <si>
    <t>https://www.kegg.jp/entry/C11437</t>
  </si>
  <si>
    <t>C11437 : 1</t>
  </si>
  <si>
    <t>C11437 : 1-Deoxy-D-xylulose 5-phosphate</t>
  </si>
  <si>
    <t>C11439</t>
  </si>
  <si>
    <t>Formyl-L-methionyl peptide</t>
  </si>
  <si>
    <t>https://www.kegg.jp/entry/C11439</t>
  </si>
  <si>
    <t>C11439 : 1</t>
  </si>
  <si>
    <t>C11439 : Formyl-L-methionyl peptide</t>
  </si>
  <si>
    <t>C11440</t>
  </si>
  <si>
    <t>Methionyl peptide</t>
  </si>
  <si>
    <t>https://www.kegg.jp/entry/C11440</t>
  </si>
  <si>
    <t>C11440 : 1</t>
  </si>
  <si>
    <t>C11440 : Methionyl peptide</t>
  </si>
  <si>
    <t>C11453</t>
  </si>
  <si>
    <t>2-C-Methyl-D-erythritol 2,4-cyclodiphosphate</t>
  </si>
  <si>
    <t>https://www.kegg.jp/entry/C11453</t>
  </si>
  <si>
    <t>C11453 : 1</t>
  </si>
  <si>
    <t>C11453 : 2-C-Methyl-D-erythritol 2,4-cyclodiphosphate</t>
  </si>
  <si>
    <t>C11475</t>
  </si>
  <si>
    <t>DNA containing guanine</t>
  </si>
  <si>
    <t>https://www.kegg.jp/entry/C11475</t>
  </si>
  <si>
    <t>C11475 : 1</t>
  </si>
  <si>
    <t>C11475 : DNA containing guanine</t>
  </si>
  <si>
    <t>C11537</t>
  </si>
  <si>
    <t>(2R)-3-Sulfolactate</t>
  </si>
  <si>
    <t>https://www.kegg.jp/entry/C11537</t>
  </si>
  <si>
    <t>C11537 : 1</t>
  </si>
  <si>
    <t>C11537 : (2R)-3-Sulfolactate</t>
  </si>
  <si>
    <t>C11735</t>
  </si>
  <si>
    <t>N-Ethylglycine</t>
  </si>
  <si>
    <t>https://www.kegg.jp/entry/C11735</t>
  </si>
  <si>
    <t>C11735 : 1</t>
  </si>
  <si>
    <t>C11735 : N-Ethylglycine</t>
  </si>
  <si>
    <t>C11736</t>
  </si>
  <si>
    <t>5-Fluorodeoxyuridine</t>
  </si>
  <si>
    <t>https://www.kegg.jp/entry/C11736</t>
  </si>
  <si>
    <t>C11736 : 1</t>
  </si>
  <si>
    <t>C11736 : 5-Fluorodeoxyuridine</t>
  </si>
  <si>
    <t>C11785</t>
  </si>
  <si>
    <t>Normorphine</t>
  </si>
  <si>
    <t>https://www.kegg.jp/entry/C11785</t>
  </si>
  <si>
    <t>C11785 : 1</t>
  </si>
  <si>
    <t>C11785 : Normorphine</t>
  </si>
  <si>
    <t>C11811</t>
  </si>
  <si>
    <t>1-Hydroxy-2-methyl-2-butenyl 4-diphosphate</t>
  </si>
  <si>
    <t>https://www.kegg.jp/entry/C11811</t>
  </si>
  <si>
    <t>C11811 : 1</t>
  </si>
  <si>
    <t>C11811 : 1-Hydroxy-2-methyl-2-butenyl 4-diphosphate</t>
  </si>
  <si>
    <t>C11823</t>
  </si>
  <si>
    <t>2,3-Ene acid</t>
  </si>
  <si>
    <t>https://www.kegg.jp/entry/C11823</t>
  </si>
  <si>
    <t>C11823 : 1</t>
  </si>
  <si>
    <t>C11823 : 2,3-Ene acid</t>
  </si>
  <si>
    <t>C11838</t>
  </si>
  <si>
    <t>(S)-4,5-Dihydroxypentane-2,3-dione</t>
  </si>
  <si>
    <t>https://www.kegg.jp/entry/C11838</t>
  </si>
  <si>
    <t>C11838 : 1</t>
  </si>
  <si>
    <t>C11838 : (S)-4,5-Dihydroxypentane-2,3-dione</t>
  </si>
  <si>
    <t>dTDP-4-oxo-6-deoxy-D-glucose</t>
  </si>
  <si>
    <t>https://www.kegg.jp/entry/C11907</t>
  </si>
  <si>
    <t>C11907 : 1</t>
  </si>
  <si>
    <t>C11907 : dTDP-4-oxo-6-deoxy-D-glucose</t>
  </si>
  <si>
    <t>C11924</t>
  </si>
  <si>
    <t>Perillic acid</t>
  </si>
  <si>
    <t>https://www.kegg.jp/entry/C11924</t>
  </si>
  <si>
    <t>C11924 : 1</t>
  </si>
  <si>
    <t>C11924 : Perillic acid</t>
  </si>
  <si>
    <t>C11945</t>
  </si>
  <si>
    <t>trans-2-Methyl-5-isopropylhexa-2,5-dienoyl-CoA</t>
  </si>
  <si>
    <t>https://www.kegg.jp/entry/C11945</t>
  </si>
  <si>
    <t>C11945 : 1</t>
  </si>
  <si>
    <t>C11945 : trans-2-Methyl-5-isopropylhexa-2,5-dienoyl-CoA</t>
  </si>
  <si>
    <t>C11946</t>
  </si>
  <si>
    <t>cis-2-Methyl-5-isopropylhexa-2,5-dienoyl-CoA</t>
  </si>
  <si>
    <t>https://www.kegg.jp/entry/C11946</t>
  </si>
  <si>
    <t>C11946 : 1</t>
  </si>
  <si>
    <t>C11946 : cis-2-Methyl-5-isopropylhexa-2,5-dienoyl-CoA</t>
  </si>
  <si>
    <t>3-Hydroxy-2,6-dimethyl-5-methylene-heptanoyl-CoA</t>
  </si>
  <si>
    <t>https://www.kegg.jp/entry/C11947</t>
  </si>
  <si>
    <t>C11947 : 1</t>
  </si>
  <si>
    <t>C11947 : 3-Hydroxy-2,6-dimethyl-5-methylene-heptanoyl-CoA</t>
  </si>
  <si>
    <t>C12214</t>
  </si>
  <si>
    <t>Aminofructose 6-phosphate</t>
  </si>
  <si>
    <t>https://www.kegg.jp/entry/C12214</t>
  </si>
  <si>
    <t>C12214 : 1</t>
  </si>
  <si>
    <t>C12214 : Aminofructose 6-phosphate</t>
  </si>
  <si>
    <t>C12215</t>
  </si>
  <si>
    <t>Iminoerythrose 4-phosphate</t>
  </si>
  <si>
    <t>https://www.kegg.jp/entry/C12215</t>
  </si>
  <si>
    <t>C12215 : 1</t>
  </si>
  <si>
    <t>C12215 : Iminoerythrose 4-phosphate</t>
  </si>
  <si>
    <t>C12448</t>
  </si>
  <si>
    <t>Ecgonine methyl ester</t>
  </si>
  <si>
    <t>https://www.kegg.jp/entry/C12448</t>
  </si>
  <si>
    <t>C12448 : 1</t>
  </si>
  <si>
    <t>C12448 : Ecgonine methyl ester</t>
  </si>
  <si>
    <t>C12650</t>
  </si>
  <si>
    <t>Capecitabine</t>
  </si>
  <si>
    <t>https://www.kegg.jp/entry/C12650</t>
  </si>
  <si>
    <t>C12650 : 1</t>
  </si>
  <si>
    <t>C12650 : Capecitabine</t>
  </si>
  <si>
    <t>C12739</t>
  </si>
  <si>
    <t>5'-Deoxy-5-fluorouridine</t>
  </si>
  <si>
    <t>https://www.kegg.jp/entry/C12739</t>
  </si>
  <si>
    <t>C12739 : 1</t>
  </si>
  <si>
    <t>C12739 : 5'-Deoxy-5-fluorouridine</t>
  </si>
  <si>
    <t>C13378</t>
  </si>
  <si>
    <t>alpha,beta-Dihydroxyethyl-TPP</t>
  </si>
  <si>
    <t>https://www.kegg.jp/entry/C13378</t>
  </si>
  <si>
    <t>C13378 : 1</t>
  </si>
  <si>
    <t>C13378 : alpha,beta-Dihydroxyethyl-TPP</t>
  </si>
  <si>
    <t>1,7-Dimethylxanthine</t>
  </si>
  <si>
    <t>https://www.kegg.jp/entry/C13747</t>
  </si>
  <si>
    <t>C13747 : 1</t>
  </si>
  <si>
    <t>C13747 : 1,7-Dimethylxanthine</t>
  </si>
  <si>
    <t>C14040</t>
  </si>
  <si>
    <t>1-Nitronaphthalene</t>
  </si>
  <si>
    <t>https://www.kegg.jp/entry/C14040</t>
  </si>
  <si>
    <t>C14040 : 1</t>
  </si>
  <si>
    <t>C14040 : 1-Nitronaphthalene</t>
  </si>
  <si>
    <t>C14089</t>
  </si>
  <si>
    <t>1-Hydroxymethylnaphthalene</t>
  </si>
  <si>
    <t>https://www.kegg.jp/entry/C14089</t>
  </si>
  <si>
    <t>C14089 : 1</t>
  </si>
  <si>
    <t>C14089 : 1-Hydroxymethylnaphthalene</t>
  </si>
  <si>
    <t>C14090</t>
  </si>
  <si>
    <t>1-Naphthaldehyde</t>
  </si>
  <si>
    <t>https://www.kegg.jp/entry/C14090</t>
  </si>
  <si>
    <t>C14090 : 1</t>
  </si>
  <si>
    <t>C14090 : 1-Naphthaldehyde</t>
  </si>
  <si>
    <t>C14099</t>
  </si>
  <si>
    <t>2-Naphthaldehyde</t>
  </si>
  <si>
    <t>https://www.kegg.jp/entry/C14099</t>
  </si>
  <si>
    <t>C14099 : 1</t>
  </si>
  <si>
    <t>C14099 : 2-Naphthaldehyde</t>
  </si>
  <si>
    <t>C14144</t>
  </si>
  <si>
    <t>5-Carboxy-2-pentenoyl-CoA</t>
  </si>
  <si>
    <t>https://www.kegg.jp/entry/C14144</t>
  </si>
  <si>
    <t>C14144 : 1</t>
  </si>
  <si>
    <t>C14144 : 5-Carboxy-2-pentenoyl-CoA</t>
  </si>
  <si>
    <t>(3S)-3-Hydroxyadipyl-CoA</t>
  </si>
  <si>
    <t>https://www.kegg.jp/entry/C14145</t>
  </si>
  <si>
    <t>C14145 : 1</t>
  </si>
  <si>
    <t>C14145 : (3S)-3-Hydroxyadipyl-CoA</t>
  </si>
  <si>
    <t>(R)-3-Hydroxy-3-methyl-2-oxopentanoate</t>
  </si>
  <si>
    <t>https://www.kegg.jp/entry/C14463</t>
  </si>
  <si>
    <t>C14463 : 1</t>
  </si>
  <si>
    <t>C14463 : (R)-3-Hydroxy-3-methyl-2-oxopentanoate</t>
  </si>
  <si>
    <t>C14556</t>
  </si>
  <si>
    <t>9-Hydroxybenzo[a]pyrene</t>
  </si>
  <si>
    <t>https://www.kegg.jp/entry/C14556</t>
  </si>
  <si>
    <t>C14556 : 1</t>
  </si>
  <si>
    <t>C14556 : 9-Hydroxybenzo[a]pyrene</t>
  </si>
  <si>
    <t>C14749</t>
  </si>
  <si>
    <t>19(S)-HETE</t>
  </si>
  <si>
    <t>https://www.kegg.jp/entry/C14749</t>
  </si>
  <si>
    <t>C14749 : 1</t>
  </si>
  <si>
    <t>C14749 : 19(S)-HETE</t>
  </si>
  <si>
    <t>C14768</t>
  </si>
  <si>
    <t>5,6-EET</t>
  </si>
  <si>
    <t>https://www.kegg.jp/entry/C14768</t>
  </si>
  <si>
    <t>C14768 : 1</t>
  </si>
  <si>
    <t>C14768 : 5,6-EET</t>
  </si>
  <si>
    <t>C14769</t>
  </si>
  <si>
    <t>8,9-EET</t>
  </si>
  <si>
    <t>https://www.kegg.jp/entry/C14769</t>
  </si>
  <si>
    <t>C14769 : 1</t>
  </si>
  <si>
    <t>C14769 : 8,9-EET</t>
  </si>
  <si>
    <t>C14770</t>
  </si>
  <si>
    <t>11,12-EET</t>
  </si>
  <si>
    <t>https://www.kegg.jp/entry/C14770</t>
  </si>
  <si>
    <t>C14770 : 1</t>
  </si>
  <si>
    <t>C14770 : 11,12-EET</t>
  </si>
  <si>
    <t>C14771</t>
  </si>
  <si>
    <t>14,15-EET</t>
  </si>
  <si>
    <t>https://www.kegg.jp/entry/C14771</t>
  </si>
  <si>
    <t>C14771 : 1</t>
  </si>
  <si>
    <t>C14771 : 14,15-EET</t>
  </si>
  <si>
    <t>C14778</t>
  </si>
  <si>
    <t>16(R)-HETE</t>
  </si>
  <si>
    <t>https://www.kegg.jp/entry/C14778</t>
  </si>
  <si>
    <t>C14778 : 1</t>
  </si>
  <si>
    <t>C14778 : 16(R)-HETE</t>
  </si>
  <si>
    <t>15H-11,12-EETA</t>
  </si>
  <si>
    <t>https://www.kegg.jp/entry/C14781</t>
  </si>
  <si>
    <t>C14781 : 1</t>
  </si>
  <si>
    <t>C14781 : 15H-11,12-EETA</t>
  </si>
  <si>
    <t>11,12,15-THETA</t>
  </si>
  <si>
    <t>https://www.kegg.jp/entry/C14782</t>
  </si>
  <si>
    <t>C14782 : 1</t>
  </si>
  <si>
    <t>C14782 : 11,12,15-THETA</t>
  </si>
  <si>
    <t>C14786</t>
  </si>
  <si>
    <t>(1R,2S)-Naphthalene 1,2-oxide</t>
  </si>
  <si>
    <t>https://www.kegg.jp/entry/C14786</t>
  </si>
  <si>
    <t>C14786 : 1</t>
  </si>
  <si>
    <t>C14786 : (1R,2S)-Naphthalene 1,2-oxide</t>
  </si>
  <si>
    <t>C14787</t>
  </si>
  <si>
    <t>(1S,2R)-Naphthalene 1,2-oxide</t>
  </si>
  <si>
    <t>https://www.kegg.jp/entry/C14787</t>
  </si>
  <si>
    <t>C14787 : 1</t>
  </si>
  <si>
    <t>C14787 : (1S,2R)-Naphthalene 1,2-oxide</t>
  </si>
  <si>
    <t>C14800</t>
  </si>
  <si>
    <t>1-Nitronaphthalene-5,6-oxide</t>
  </si>
  <si>
    <t>https://www.kegg.jp/entry/C14800</t>
  </si>
  <si>
    <t>C14800 : 1</t>
  </si>
  <si>
    <t>C14800 : 1-Nitronaphthalene-5,6-oxide</t>
  </si>
  <si>
    <t>C14802</t>
  </si>
  <si>
    <t>1-Nitronaphthalene-7,8-oxide</t>
  </si>
  <si>
    <t>https://www.kegg.jp/entry/C14802</t>
  </si>
  <si>
    <t>C14802 : 1</t>
  </si>
  <si>
    <t>C14802 : 1-Nitronaphthalene-7,8-oxide</t>
  </si>
  <si>
    <t>11H-14,15-EETA</t>
  </si>
  <si>
    <t>https://www.kegg.jp/entry/C14813</t>
  </si>
  <si>
    <t>C14813 : 1</t>
  </si>
  <si>
    <t>C14813 : 11H-14,15-EETA</t>
  </si>
  <si>
    <t>11,14,15-THETA</t>
  </si>
  <si>
    <t>https://www.kegg.jp/entry/C14814</t>
  </si>
  <si>
    <t>C14814 : 1</t>
  </si>
  <si>
    <t>C14814 : 11,14,15-THETA</t>
  </si>
  <si>
    <t>C14818</t>
  </si>
  <si>
    <t>Fe2+</t>
  </si>
  <si>
    <t>https://www.kegg.jp/entry/C14818</t>
  </si>
  <si>
    <t>C14818 : 1000</t>
  </si>
  <si>
    <t>C14818 : Fe2+</t>
  </si>
  <si>
    <t>C14825</t>
  </si>
  <si>
    <t>9(10)-EpOME</t>
  </si>
  <si>
    <t>https://www.kegg.jp/entry/C14825</t>
  </si>
  <si>
    <t>C14825 : 1</t>
  </si>
  <si>
    <t>C14825 : 9(10)-EpOME</t>
  </si>
  <si>
    <t>C14826</t>
  </si>
  <si>
    <t>12(13)-EpOME</t>
  </si>
  <si>
    <t>https://www.kegg.jp/entry/C14826</t>
  </si>
  <si>
    <t>C14826 : 1</t>
  </si>
  <si>
    <t>C14826 : 12(13)-EpOME</t>
  </si>
  <si>
    <t>C14849</t>
  </si>
  <si>
    <t>Benzo[a]pyrene-9,10-oxide</t>
  </si>
  <si>
    <t>https://www.kegg.jp/entry/C14849</t>
  </si>
  <si>
    <t>C14849 : 1</t>
  </si>
  <si>
    <t>C14849 : Benzo[a]pyrene-9,10-oxide</t>
  </si>
  <si>
    <t>C14850</t>
  </si>
  <si>
    <t>Benzo[a]pyrene-7,8-oxide</t>
  </si>
  <si>
    <t>https://www.kegg.jp/entry/C14850</t>
  </si>
  <si>
    <t>C14850 : 1</t>
  </si>
  <si>
    <t>C14850 : Benzo[a]pyrene-7,8-oxide</t>
  </si>
  <si>
    <t>C14851</t>
  </si>
  <si>
    <t>Benzo[a]pyrene-4,5-oxide</t>
  </si>
  <si>
    <t>https://www.kegg.jp/entry/C14851</t>
  </si>
  <si>
    <t>C14851 : 1</t>
  </si>
  <si>
    <t>C14851 : Benzo[a]pyrene-4,5-oxide</t>
  </si>
  <si>
    <t>C14852</t>
  </si>
  <si>
    <t>Benzo[a]pyrene-7,8-dihydrodiol</t>
  </si>
  <si>
    <t>https://www.kegg.jp/entry/C14852</t>
  </si>
  <si>
    <t>C14852 : 1</t>
  </si>
  <si>
    <t>C14852 : Benzo[a]pyrene-7,8-dihydrodiol</t>
  </si>
  <si>
    <t>C14853</t>
  </si>
  <si>
    <t>Benzo[a]pyrene-7,8-dihydrodiol-9,10-oxide</t>
  </si>
  <si>
    <t>https://www.kegg.jp/entry/C14853</t>
  </si>
  <si>
    <t>C14853 : 1</t>
  </si>
  <si>
    <t>C14853 : Benzo[a]pyrene-7,8-dihydrodiol-9,10-oxide</t>
  </si>
  <si>
    <t>C14854</t>
  </si>
  <si>
    <t>9-Hydroxybenzo[a]pyrene-4,5-oxide</t>
  </si>
  <si>
    <t>https://www.kegg.jp/entry/C14854</t>
  </si>
  <si>
    <t>C14854 : 1</t>
  </si>
  <si>
    <t>C14854 : 9-Hydroxybenzo[a]pyrene-4,5-oxide</t>
  </si>
  <si>
    <t>C14866</t>
  </si>
  <si>
    <t>Chloral</t>
  </si>
  <si>
    <t>https://www.kegg.jp/entry/C14866</t>
  </si>
  <si>
    <t>C14866 : 1</t>
  </si>
  <si>
    <t>C14866 : Chloral</t>
  </si>
  <si>
    <t>C15498</t>
  </si>
  <si>
    <t>ROOH</t>
  </si>
  <si>
    <t>https://www.kegg.jp/entry/C15498</t>
  </si>
  <si>
    <t>C15498 : 1</t>
  </si>
  <si>
    <t>C15498 : ROOH</t>
  </si>
  <si>
    <t>4a-Hydroxytetrahydrobiopterin</t>
  </si>
  <si>
    <t>https://www.kegg.jp/entry/C15522</t>
  </si>
  <si>
    <t>C15522 : 1</t>
  </si>
  <si>
    <t>C15522 : 4a-Hydroxytetrahydrobiopterin</t>
  </si>
  <si>
    <t>C15527</t>
  </si>
  <si>
    <t>Precorrin 1</t>
  </si>
  <si>
    <t>https://www.kegg.jp/entry/C15527</t>
  </si>
  <si>
    <t>C15527 : 1</t>
  </si>
  <si>
    <t>C15527 : Precorrin 1</t>
  </si>
  <si>
    <t>C15532</t>
  </si>
  <si>
    <t>N-Acetyl-L-citrulline</t>
  </si>
  <si>
    <t>https://www.kegg.jp/entry/C15532</t>
  </si>
  <si>
    <t>C15532 : 1</t>
  </si>
  <si>
    <t>C15532 : N-Acetyl-L-citrulline</t>
  </si>
  <si>
    <t>C15547</t>
  </si>
  <si>
    <t>1,4-Dihydroxy-2-naphthoyl-CoA</t>
  </si>
  <si>
    <t>https://www.kegg.jp/entry/C15547</t>
  </si>
  <si>
    <t>C15547 : 1</t>
  </si>
  <si>
    <t>C15547 : 1,4-Dihydroxy-2-naphthoyl-CoA</t>
  </si>
  <si>
    <t>C15556</t>
  </si>
  <si>
    <t>L-3,4-Dihydroxybutan-2-one 4-phosphate</t>
  </si>
  <si>
    <t>https://www.kegg.jp/entry/C15556</t>
  </si>
  <si>
    <t>C15556 : 1</t>
  </si>
  <si>
    <t>C15556 : L-3,4-Dihydroxybutan-2-one 4-phosphate</t>
  </si>
  <si>
    <t>C15586</t>
  </si>
  <si>
    <t>N-D-Ribosylpurine</t>
  </si>
  <si>
    <t>https://www.kegg.jp/entry/C15586</t>
  </si>
  <si>
    <t>C15586 : 1</t>
  </si>
  <si>
    <t>C15586 : N-D-Ribosylpurine</t>
  </si>
  <si>
    <t>C15587</t>
  </si>
  <si>
    <t>Purine</t>
  </si>
  <si>
    <t>https://www.kegg.jp/entry/C15587</t>
  </si>
  <si>
    <t>C15587 : 1</t>
  </si>
  <si>
    <t>C15587 : Purine</t>
  </si>
  <si>
    <t>C15602</t>
  </si>
  <si>
    <t>Quinone</t>
  </si>
  <si>
    <t>https://www.kegg.jp/entry/C15602</t>
  </si>
  <si>
    <t>C15602 : 1</t>
  </si>
  <si>
    <t>C15602 : Quinone</t>
  </si>
  <si>
    <t>C15603</t>
  </si>
  <si>
    <t>https://www.kegg.jp/entry/C15603</t>
  </si>
  <si>
    <t>C15603 : 1</t>
  </si>
  <si>
    <t>C15603 : Hydroquinone</t>
  </si>
  <si>
    <t>C15606</t>
  </si>
  <si>
    <t>1,2-Dihydroxy-5-(methylthio)pent-1-en-3-one</t>
  </si>
  <si>
    <t>https://www.kegg.jp/entry/C15606</t>
  </si>
  <si>
    <t>C15606 : 1</t>
  </si>
  <si>
    <t>C15606 : 1,2-Dihydroxy-5-(methylthio)pent-1-en-3-one</t>
  </si>
  <si>
    <t>2,3-Diketo-5-methylthiopentyl-1-phosphate</t>
  </si>
  <si>
    <t>https://www.kegg.jp/entry/C15650</t>
  </si>
  <si>
    <t>C15650 : 1</t>
  </si>
  <si>
    <t>C15650 : 2,3-Diketo-5-methylthiopentyl-1-phosphate</t>
  </si>
  <si>
    <t>2-Hydroxy-3-keto-5-methylthiopentenyl-1-phosphate</t>
  </si>
  <si>
    <t>https://www.kegg.jp/entry/C15651</t>
  </si>
  <si>
    <t>C15651 : 1</t>
  </si>
  <si>
    <t>C15651 : 2-Hydroxy-3-keto-5-methylthiopentenyl-1-phosphate</t>
  </si>
  <si>
    <t>C15653</t>
  </si>
  <si>
    <t>Peptide-L-methionine (R)-S-oxide</t>
  </si>
  <si>
    <t>https://www.kegg.jp/entry/C15653</t>
  </si>
  <si>
    <t>C15653 : 1</t>
  </si>
  <si>
    <t>C15653 : Peptide-L-methionine (R)-S-oxide</t>
  </si>
  <si>
    <t>5-Carboxyamino-1-(5-phospho-D-ribosyl)imidazole</t>
  </si>
  <si>
    <t>https://www.kegg.jp/entry/C15667</t>
  </si>
  <si>
    <t>C15667 : 1</t>
  </si>
  <si>
    <t>C15667 : 5-Carboxyamino-1-(5-phospho-D-ribosyl)imidazole</t>
  </si>
  <si>
    <t>C15809</t>
  </si>
  <si>
    <t>Iminoglycine</t>
  </si>
  <si>
    <t>https://www.kegg.jp/entry/C15809</t>
  </si>
  <si>
    <t>C15809 : 1</t>
  </si>
  <si>
    <t>C15809 : Iminoglycine</t>
  </si>
  <si>
    <t>C15810</t>
  </si>
  <si>
    <t>Sulfur-carrier protein</t>
  </si>
  <si>
    <t>https://www.kegg.jp/entry/C15810</t>
  </si>
  <si>
    <t>C15810 : 1</t>
  </si>
  <si>
    <t>C15810 : Sulfur-carrier protein</t>
  </si>
  <si>
    <t>C15811</t>
  </si>
  <si>
    <t>[Enzyme]-cysteine</t>
  </si>
  <si>
    <t>https://www.kegg.jp/entry/C15811</t>
  </si>
  <si>
    <t>C15811 : 1</t>
  </si>
  <si>
    <t>C15811 : [Enzyme]-cysteine</t>
  </si>
  <si>
    <t>C15812</t>
  </si>
  <si>
    <t>[Enzyme]-S-sulfanylcysteine</t>
  </si>
  <si>
    <t>https://www.kegg.jp/entry/C15812</t>
  </si>
  <si>
    <t>C15812 : 1</t>
  </si>
  <si>
    <t>C15812 : [Enzyme]-S-sulfanylcysteine</t>
  </si>
  <si>
    <t>C15813</t>
  </si>
  <si>
    <t>Adenylyl-[sulfur-carrier protein]</t>
  </si>
  <si>
    <t>https://www.kegg.jp/entry/C15813</t>
  </si>
  <si>
    <t>C15813 : 1</t>
  </si>
  <si>
    <t>C15813 : Adenylyl-[sulfur-carrier protein]</t>
  </si>
  <si>
    <t>C15814</t>
  </si>
  <si>
    <t>Thiocarboxy-[sulfur-carrier protein]</t>
  </si>
  <si>
    <t>https://www.kegg.jp/entry/C15814</t>
  </si>
  <si>
    <t>C15814 : 1</t>
  </si>
  <si>
    <t>C15814 : Thiocarboxy-[sulfur-carrier protein]</t>
  </si>
  <si>
    <t>C15972</t>
  </si>
  <si>
    <t>Enzyme N6-(lipoyl)lysine</t>
  </si>
  <si>
    <t>https://www.kegg.jp/entry/C15972</t>
  </si>
  <si>
    <t>C15972 : 1</t>
  </si>
  <si>
    <t>C15972 : Enzyme N6-(lipoyl)lysine</t>
  </si>
  <si>
    <t>C15973</t>
  </si>
  <si>
    <t>Enzyme N6-(dihydrolipoyl)lysine</t>
  </si>
  <si>
    <t>https://www.kegg.jp/entry/C15973</t>
  </si>
  <si>
    <t>C15973 : 1</t>
  </si>
  <si>
    <t>C15973 : Enzyme N6-(dihydrolipoyl)lysine</t>
  </si>
  <si>
    <t>C15974</t>
  </si>
  <si>
    <t>3-Methyl-1-hydroxybutyl-ThPP</t>
  </si>
  <si>
    <t>https://www.kegg.jp/entry/C15974</t>
  </si>
  <si>
    <t>C15974 : 1</t>
  </si>
  <si>
    <t>C15974 : 3-Methyl-1-hydroxybutyl-ThPP</t>
  </si>
  <si>
    <t>C15975</t>
  </si>
  <si>
    <t>[Dihydrolipoyllysine-residue (2-methylpropanoyl)transferase] S-(3-methylbutanoyl)dihydrolipoyllysine</t>
  </si>
  <si>
    <t>https://www.kegg.jp/entry/C15975</t>
  </si>
  <si>
    <t>C15975 : 1</t>
  </si>
  <si>
    <t>C15975 : [Dihydrolipoyllysine-residue (2-methylpropanoyl)transferase] S-(3-methylbutanoyl)dihydrolipoyllysine</t>
  </si>
  <si>
    <t>C15976</t>
  </si>
  <si>
    <t>2-Methyl-1-hydroxypropyl-ThPP</t>
  </si>
  <si>
    <t>https://www.kegg.jp/entry/C15976</t>
  </si>
  <si>
    <t>C15976 : 1</t>
  </si>
  <si>
    <t>C15976 : 2-Methyl-1-hydroxypropyl-ThPP</t>
  </si>
  <si>
    <t>C15977</t>
  </si>
  <si>
    <t>[Dihydrolipoyllysine-residue (2-methylpropanoyl)transferase] S-(2-methylpropanoyl)dihydrolipoyllysine</t>
  </si>
  <si>
    <t>https://www.kegg.jp/entry/C15977</t>
  </si>
  <si>
    <t>C15977 : 1</t>
  </si>
  <si>
    <t>C15977 : [Dihydrolipoyllysine-residue (2-methylpropanoyl)transferase] S-(2-methylpropanoyl)dihydrolipoyllysine</t>
  </si>
  <si>
    <t>C15978</t>
  </si>
  <si>
    <t>2-Methyl-1-hydroxybutyl-ThPP</t>
  </si>
  <si>
    <t>https://www.kegg.jp/entry/C15978</t>
  </si>
  <si>
    <t>C15978 : 1</t>
  </si>
  <si>
    <t>C15978 : 2-Methyl-1-hydroxybutyl-ThPP</t>
  </si>
  <si>
    <t>C15979</t>
  </si>
  <si>
    <t>[Dihydrolipoyllysine-residue (2-methylpropanoyl)transferase] S-(2-methylbutanoyl)dihydrolipoyllysine</t>
  </si>
  <si>
    <t>https://www.kegg.jp/entry/C15979</t>
  </si>
  <si>
    <t>C15979 : 1</t>
  </si>
  <si>
    <t>C15979 : [Dihydrolipoyllysine-residue (2-methylpropanoyl)transferase] S-(2-methylbutanoyl)dihydrolipoyllysine</t>
  </si>
  <si>
    <t>C15996</t>
  </si>
  <si>
    <t>7-Cyano-7-carbaguanine</t>
  </si>
  <si>
    <t>https://www.kegg.jp/entry/C15996</t>
  </si>
  <si>
    <t>C15996 : 1</t>
  </si>
  <si>
    <t>C15996 : 7-Cyano-7-carbaguanine</t>
  </si>
  <si>
    <t>C15999</t>
  </si>
  <si>
    <t>L-Methionine (S)-S-oxide</t>
  </si>
  <si>
    <t>https://www.kegg.jp/entry/C15999</t>
  </si>
  <si>
    <t>C15999 : 1</t>
  </si>
  <si>
    <t>C15999 : L-Methionine (S)-S-oxide</t>
  </si>
  <si>
    <t>C16219</t>
  </si>
  <si>
    <t>3-Oxostearoyl-[acp]</t>
  </si>
  <si>
    <t>https://www.kegg.jp/entry/C16219</t>
  </si>
  <si>
    <t>C16219 : 1</t>
  </si>
  <si>
    <t>C16219 : 3-Oxostearoyl-[acp]</t>
  </si>
  <si>
    <t>C16220</t>
  </si>
  <si>
    <t>(3R)-3-Hydroxyoctadecanoyl-[acyl-carrier protein]</t>
  </si>
  <si>
    <t>https://www.kegg.jp/entry/C16220</t>
  </si>
  <si>
    <t>C16220 : 1</t>
  </si>
  <si>
    <t>C16220 : (3R)-3-Hydroxyoctadecanoyl-[acyl-carrier protein]</t>
  </si>
  <si>
    <t>C16221</t>
  </si>
  <si>
    <t>(2E)-Octadecenoyl-[acp]</t>
  </si>
  <si>
    <t>https://www.kegg.jp/entry/C16221</t>
  </si>
  <si>
    <t>C16221 : 1</t>
  </si>
  <si>
    <t>C16221 : (2E)-Octadecenoyl-[acp]</t>
  </si>
  <si>
    <t>C16236</t>
  </si>
  <si>
    <t>[Protein]-N6-(octanoyl)-L-lysine</t>
  </si>
  <si>
    <t>https://www.kegg.jp/entry/C16236</t>
  </si>
  <si>
    <t>C16236 : 1</t>
  </si>
  <si>
    <t>C16236 : [Protein]-N6-(octanoyl)-L-lysine</t>
  </si>
  <si>
    <t>C16237</t>
  </si>
  <si>
    <t>Protein N6-(lipoyl)lysine</t>
  </si>
  <si>
    <t>https://www.kegg.jp/entry/C16237</t>
  </si>
  <si>
    <t>C16237 : 1</t>
  </si>
  <si>
    <t>C16237 : Protein N6-(lipoyl)lysine</t>
  </si>
  <si>
    <t>C16238</t>
  </si>
  <si>
    <t>Lipoyl-AMP</t>
  </si>
  <si>
    <t>https://www.kegg.jp/entry/C16238</t>
  </si>
  <si>
    <t>C16238 : 1</t>
  </si>
  <si>
    <t>C16238 : Lipoyl-AMP</t>
  </si>
  <si>
    <t>C16240</t>
  </si>
  <si>
    <t>[Lipoyl-carrier protein]-L-lysine</t>
  </si>
  <si>
    <t>https://www.kegg.jp/entry/C16240</t>
  </si>
  <si>
    <t>C16240 : 1</t>
  </si>
  <si>
    <t>C16240 : [Lipoyl-carrier protein]-L-lysine</t>
  </si>
  <si>
    <t>C16241</t>
  </si>
  <si>
    <t>(R)-Lipoate</t>
  </si>
  <si>
    <t>https://www.kegg.jp/entry/C16241</t>
  </si>
  <si>
    <t>C16241 : 1</t>
  </si>
  <si>
    <t>C16241 : (R)-Lipoate</t>
  </si>
  <si>
    <t>C16254</t>
  </si>
  <si>
    <t>[Dihydrolipoyllysine-residue succinyltransferase] S-succinyldihydrolipoyllysine</t>
  </si>
  <si>
    <t>https://www.kegg.jp/entry/C16254</t>
  </si>
  <si>
    <t>C16254 : 1</t>
  </si>
  <si>
    <t>C16254 : [Dihydrolipoyllysine-residue succinyltransferase] S-succinyldihydrolipoyllysine</t>
  </si>
  <si>
    <t>C16255</t>
  </si>
  <si>
    <t>[Dihydrolipoyllysine-residue acetyltransferase] S-acetyldihydrolipoyllysine</t>
  </si>
  <si>
    <t>https://www.kegg.jp/entry/C16255</t>
  </si>
  <si>
    <t>C16255 : 1</t>
  </si>
  <si>
    <t>C16255 : [Dihydrolipoyllysine-residue acetyltransferase] S-acetyldihydrolipoyllysine</t>
  </si>
  <si>
    <t>C16272</t>
  </si>
  <si>
    <t>3-Hydroxy-5-oxohexanoate</t>
  </si>
  <si>
    <t>https://www.kegg.jp/entry/C16272</t>
  </si>
  <si>
    <t>C16272 : 1</t>
  </si>
  <si>
    <t>C16272 : 3-Hydroxy-5-oxohexanoate</t>
  </si>
  <si>
    <t>C16273</t>
  </si>
  <si>
    <t>3-Hydroxy-5-oxohexanoyl-CoA</t>
  </si>
  <si>
    <t>https://www.kegg.jp/entry/C16273</t>
  </si>
  <si>
    <t>C16273 : 1</t>
  </si>
  <si>
    <t>C16273 : 3-Hydroxy-5-oxohexanoyl-CoA</t>
  </si>
  <si>
    <t>C16310</t>
  </si>
  <si>
    <t>3-Hexenal</t>
  </si>
  <si>
    <t>https://www.kegg.jp/entry/C16310</t>
  </si>
  <si>
    <t>C16310 : 1</t>
  </si>
  <si>
    <t>C16310 : 3-Hexenal</t>
  </si>
  <si>
    <t>C16328</t>
  </si>
  <si>
    <t>trans-2-Enoyl-OPC8-CoA</t>
  </si>
  <si>
    <t>https://www.kegg.jp/entry/C16328</t>
  </si>
  <si>
    <t>C16328 : 1</t>
  </si>
  <si>
    <t>C16328 : trans-2-Enoyl-OPC8-CoA</t>
  </si>
  <si>
    <t>3-Hydroxy-OPC8-CoA</t>
  </si>
  <si>
    <t>https://www.kegg.jp/entry/C16329</t>
  </si>
  <si>
    <t>C16329 : 1</t>
  </si>
  <si>
    <t>C16329 : 3-Hydroxy-OPC8-CoA</t>
  </si>
  <si>
    <t>C16332</t>
  </si>
  <si>
    <t>trans-2-Enoyl-OPC6-CoA</t>
  </si>
  <si>
    <t>https://www.kegg.jp/entry/C16332</t>
  </si>
  <si>
    <t>C16332 : 1</t>
  </si>
  <si>
    <t>C16332 : trans-2-Enoyl-OPC6-CoA</t>
  </si>
  <si>
    <t>3-Hydroxy-OPC6-CoA</t>
  </si>
  <si>
    <t>https://www.kegg.jp/entry/C16333</t>
  </si>
  <si>
    <t>C16333 : 1</t>
  </si>
  <si>
    <t>C16333 : 3-Hydroxy-OPC6-CoA</t>
  </si>
  <si>
    <t>C16336</t>
  </si>
  <si>
    <t>trans-2-Enoyl-OPC4-CoA</t>
  </si>
  <si>
    <t>https://www.kegg.jp/entry/C16336</t>
  </si>
  <si>
    <t>C16336 : 1</t>
  </si>
  <si>
    <t>C16336 : trans-2-Enoyl-OPC4-CoA</t>
  </si>
  <si>
    <t>3-Hydroxy-OPC4-CoA</t>
  </si>
  <si>
    <t>https://www.kegg.jp/entry/C16337</t>
  </si>
  <si>
    <t>C16337 : 1</t>
  </si>
  <si>
    <t>C16337 : 3-Hydroxy-OPC4-CoA</t>
  </si>
  <si>
    <t>C16348</t>
  </si>
  <si>
    <t>cis-3-Chloroallyl aldehyde</t>
  </si>
  <si>
    <t>https://www.kegg.jp/entry/C16348</t>
  </si>
  <si>
    <t>C16348 : 1</t>
  </si>
  <si>
    <t>C16348 : cis-3-Chloroallyl aldehyde</t>
  </si>
  <si>
    <t>1,7-Dimethyluric acid</t>
  </si>
  <si>
    <t>https://www.kegg.jp/entry/C16356</t>
  </si>
  <si>
    <t>C16356 : 1</t>
  </si>
  <si>
    <t>C16356 : 1,7-Dimethyluric acid</t>
  </si>
  <si>
    <t>1-Methylxanthine</t>
  </si>
  <si>
    <t>https://www.kegg.jp/entry/C16358</t>
  </si>
  <si>
    <t>C16358 : 1</t>
  </si>
  <si>
    <t>C16358 : 1-Methylxanthine</t>
  </si>
  <si>
    <t>C16453</t>
  </si>
  <si>
    <t>4-(N-Nitrosomethylamino)-1-(3-pyridyl)-1-butanone</t>
  </si>
  <si>
    <t>https://www.kegg.jp/entry/C16453</t>
  </si>
  <si>
    <t>C16453 : 1</t>
  </si>
  <si>
    <t>C16453 : 4-(N-Nitrosomethylamino)-1-(3-pyridyl)-1-butanone</t>
  </si>
  <si>
    <t>C16463</t>
  </si>
  <si>
    <t>3',5'-Cyclic diGMP</t>
  </si>
  <si>
    <t>https://www.kegg.jp/entry/C16463</t>
  </si>
  <si>
    <t>C16463 : 1</t>
  </si>
  <si>
    <t>C16463 : 3',5'-Cyclic diGMP</t>
  </si>
  <si>
    <t>C16466</t>
  </si>
  <si>
    <t>7-Methyl-3-oxo-6-octenoyl-CoA</t>
  </si>
  <si>
    <t>https://www.kegg.jp/entry/C16466</t>
  </si>
  <si>
    <t>C16466 : 1</t>
  </si>
  <si>
    <t>C16466 : 7-Methyl-3-oxo-6-octenoyl-CoA</t>
  </si>
  <si>
    <t>C16468</t>
  </si>
  <si>
    <t>(2E)-5-Methylhexa-2,4-dienoyl-CoA</t>
  </si>
  <si>
    <t>https://www.kegg.jp/entry/C16468</t>
  </si>
  <si>
    <t>C16468 : 1</t>
  </si>
  <si>
    <t>C16468 : (2E)-5-Methylhexa-2,4-dienoyl-CoA</t>
  </si>
  <si>
    <t>3-Hydroxy-5-methylhex-4-enoyl-CoA</t>
  </si>
  <si>
    <t>https://www.kegg.jp/entry/C16469</t>
  </si>
  <si>
    <t>C16469 : 1</t>
  </si>
  <si>
    <t>C16469 : 3-Hydroxy-5-methylhex-4-enoyl-CoA</t>
  </si>
  <si>
    <t>C16502</t>
  </si>
  <si>
    <t>Farnesoic acid</t>
  </si>
  <si>
    <t>https://www.kegg.jp/entry/C16502</t>
  </si>
  <si>
    <t>C16502 : 1</t>
  </si>
  <si>
    <t>C16502 : Farnesoic acid</t>
  </si>
  <si>
    <t>2-Succinyl-5-enolpyruvyl-6-hydroxy-3-cyclohexene-1-carboxylate</t>
  </si>
  <si>
    <t>https://www.kegg.jp/entry/C16519</t>
  </si>
  <si>
    <t>C16519 : 1</t>
  </si>
  <si>
    <t>C16519 : 2-Succinyl-5-enolpyruvyl-6-hydroxy-3-cyclohexene-1-carboxylate</t>
  </si>
  <si>
    <t>C16543</t>
  </si>
  <si>
    <t>NPC</t>
  </si>
  <si>
    <t>https://www.kegg.jp/entry/C16543</t>
  </si>
  <si>
    <t>C16543 : 1</t>
  </si>
  <si>
    <t>C16543 : NPC</t>
  </si>
  <si>
    <t>C16546</t>
  </si>
  <si>
    <t>N-Desmethyltamoxifen</t>
  </si>
  <si>
    <t>https://www.kegg.jp/entry/C16546</t>
  </si>
  <si>
    <t>C16546 : 1</t>
  </si>
  <si>
    <t>C16546 : N-Desmethyltamoxifen</t>
  </si>
  <si>
    <t>C16547</t>
  </si>
  <si>
    <t>Endoxifen</t>
  </si>
  <si>
    <t>https://www.kegg.jp/entry/C16547</t>
  </si>
  <si>
    <t>C16547 : 1</t>
  </si>
  <si>
    <t>C16547 : Endoxifen</t>
  </si>
  <si>
    <t>C16550</t>
  </si>
  <si>
    <t>Dechloroethylcyclophosphamide</t>
  </si>
  <si>
    <t>https://www.kegg.jp/entry/C16550</t>
  </si>
  <si>
    <t>C16550 : 1</t>
  </si>
  <si>
    <t>C16550 : Dechloroethylcyclophosphamide</t>
  </si>
  <si>
    <t>C16551</t>
  </si>
  <si>
    <t>Alcophosphamide</t>
  </si>
  <si>
    <t>https://www.kegg.jp/entry/C16551</t>
  </si>
  <si>
    <t>C16551 : 1</t>
  </si>
  <si>
    <t>C16551 : Alcophosphamide</t>
  </si>
  <si>
    <t>C16555</t>
  </si>
  <si>
    <t>2-Dechloroethylifosfamide</t>
  </si>
  <si>
    <t>https://www.kegg.jp/entry/C16555</t>
  </si>
  <si>
    <t>C16555 : 1</t>
  </si>
  <si>
    <t>C16555 : 2-Dechloroethylifosfamide</t>
  </si>
  <si>
    <t>C16560</t>
  </si>
  <si>
    <t>3-Hydroxylidocaine</t>
  </si>
  <si>
    <t>https://www.kegg.jp/entry/C16560</t>
  </si>
  <si>
    <t>C16560 : 1</t>
  </si>
  <si>
    <t>C16560 : 3-Hydroxylidocaine</t>
  </si>
  <si>
    <t>Monoethylglycinexylidide</t>
  </si>
  <si>
    <t>https://www.kegg.jp/entry/C16561</t>
  </si>
  <si>
    <t>C16561 : 1</t>
  </si>
  <si>
    <t>C16561 : Monoethylglycinexylidide</t>
  </si>
  <si>
    <t>C16565</t>
  </si>
  <si>
    <t>Aminopropylcadaverine</t>
  </si>
  <si>
    <t>https://www.kegg.jp/entry/C16565</t>
  </si>
  <si>
    <t>C16565 : 1</t>
  </si>
  <si>
    <t>C16565 : Aminopropylcadaverine</t>
  </si>
  <si>
    <t>C16586</t>
  </si>
  <si>
    <t>2-Phenyl-1,3-propanediol monocarbamate</t>
  </si>
  <si>
    <t>https://www.kegg.jp/entry/C16586</t>
  </si>
  <si>
    <t>C16586 : 1</t>
  </si>
  <si>
    <t>C16586 : 2-Phenyl-1,3-propanediol monocarbamate</t>
  </si>
  <si>
    <t>C16587</t>
  </si>
  <si>
    <t>3-Carbamoyl-2-phenylpropionaldehyde</t>
  </si>
  <si>
    <t>https://www.kegg.jp/entry/C16587</t>
  </si>
  <si>
    <t>C16587 : 1</t>
  </si>
  <si>
    <t>C16587 : 3-Carbamoyl-2-phenylpropionaldehyde</t>
  </si>
  <si>
    <t>C16595</t>
  </si>
  <si>
    <t>4-Hydroxy-5-phenyltetrahydro-1,3-oxazin-2-one</t>
  </si>
  <si>
    <t>https://www.kegg.jp/entry/C16595</t>
  </si>
  <si>
    <t>C16595 : 1</t>
  </si>
  <si>
    <t>C16595 : 4-Hydroxy-5-phenyltetrahydro-1,3-oxazin-2-one</t>
  </si>
  <si>
    <t>C16596</t>
  </si>
  <si>
    <t>5-Phenyl-1,3-oxazinane-2,4-dione</t>
  </si>
  <si>
    <t>https://www.kegg.jp/entry/C16596</t>
  </si>
  <si>
    <t>C16596 : 1</t>
  </si>
  <si>
    <t>C16596 : 5-Phenyl-1,3-oxazinane-2,4-dione</t>
  </si>
  <si>
    <t>Citalopram N-oxide</t>
  </si>
  <si>
    <t>https://www.kegg.jp/entry/C16607</t>
  </si>
  <si>
    <t>C16607 : 1</t>
  </si>
  <si>
    <t>C16607 : Citalopram N-oxide</t>
  </si>
  <si>
    <t>Demethylcitalopram</t>
  </si>
  <si>
    <t>https://www.kegg.jp/entry/C16608</t>
  </si>
  <si>
    <t>C16608 : 1</t>
  </si>
  <si>
    <t>C16608 : Demethylcitalopram</t>
  </si>
  <si>
    <t>Didemethylcitalopram</t>
  </si>
  <si>
    <t>https://www.kegg.jp/entry/C16609</t>
  </si>
  <si>
    <t>C16609 : 1</t>
  </si>
  <si>
    <t>C16609 : Didemethylcitalopram</t>
  </si>
  <si>
    <t>C16614</t>
  </si>
  <si>
    <t>6-Methylmercaptopurine</t>
  </si>
  <si>
    <t>https://www.kegg.jp/entry/C16614</t>
  </si>
  <si>
    <t>C16614 : 1</t>
  </si>
  <si>
    <t>C16614 : 6-Methylmercaptopurine</t>
  </si>
  <si>
    <t>C16615</t>
  </si>
  <si>
    <t>6-Methylthiopurine 5'-monophosphate ribonucleotide</t>
  </si>
  <si>
    <t>https://www.kegg.jp/entry/C16615</t>
  </si>
  <si>
    <t>C16615 : 1</t>
  </si>
  <si>
    <t>C16615 : 6-Methylthiopurine 5'-monophosphate ribonucleotide</t>
  </si>
  <si>
    <t>C16617</t>
  </si>
  <si>
    <t>6-Mercaptopurine ribonucleoside triphosphate</t>
  </si>
  <si>
    <t>https://www.kegg.jp/entry/C16617</t>
  </si>
  <si>
    <t>C16617 : 1</t>
  </si>
  <si>
    <t>C16617 : 6-Mercaptopurine ribonucleoside triphosphate</t>
  </si>
  <si>
    <t>C16618</t>
  </si>
  <si>
    <t>6-Thioxanthine 5'-monophosphate</t>
  </si>
  <si>
    <t>https://www.kegg.jp/entry/C16618</t>
  </si>
  <si>
    <t>C16618 : 1</t>
  </si>
  <si>
    <t>C16618 : 6-Thioxanthine 5'-monophosphate</t>
  </si>
  <si>
    <t>C16619</t>
  </si>
  <si>
    <t>6-Thioguanosine monophosphate</t>
  </si>
  <si>
    <t>https://www.kegg.jp/entry/C16619</t>
  </si>
  <si>
    <t>C16619 : 1</t>
  </si>
  <si>
    <t>C16619 : 6-Thioguanosine monophosphate</t>
  </si>
  <si>
    <t>C16633</t>
  </si>
  <si>
    <t>5-Fluorouridine</t>
  </si>
  <si>
    <t>https://www.kegg.jp/entry/C16633</t>
  </si>
  <si>
    <t>C16633 : 1</t>
  </si>
  <si>
    <t>C16633 : 5-Fluorouridine</t>
  </si>
  <si>
    <t>C16634</t>
  </si>
  <si>
    <t>5-Fluorouridine monophosphate</t>
  </si>
  <si>
    <t>https://www.kegg.jp/entry/C16634</t>
  </si>
  <si>
    <t>C16634 : 1</t>
  </si>
  <si>
    <t>C16634 : 5-Fluorouridine monophosphate</t>
  </si>
  <si>
    <t>C16635</t>
  </si>
  <si>
    <t>5'-Deoxy-5-fluorocytidine</t>
  </si>
  <si>
    <t>https://www.kegg.jp/entry/C16635</t>
  </si>
  <si>
    <t>C16635 : 1</t>
  </si>
  <si>
    <t>C16635 : 5'-Deoxy-5-fluorocytidine</t>
  </si>
  <si>
    <t>beta-D-Ribofuranose</t>
  </si>
  <si>
    <t>https://www.kegg.jp/entry/C16639</t>
  </si>
  <si>
    <t>C16639 : 1</t>
  </si>
  <si>
    <t>C16639 : beta-D-Ribofuranose</t>
  </si>
  <si>
    <t>C16641</t>
  </si>
  <si>
    <t>Irinotecan</t>
  </si>
  <si>
    <t>https://www.kegg.jp/entry/C16641</t>
  </si>
  <si>
    <t>C16641 : 1</t>
  </si>
  <si>
    <t>C16641 : Irinotecan</t>
  </si>
  <si>
    <t>C16647</t>
  </si>
  <si>
    <t>N,N-Diethylglycine</t>
  </si>
  <si>
    <t>https://www.kegg.jp/entry/C16647</t>
  </si>
  <si>
    <t>C16647 : 1</t>
  </si>
  <si>
    <t>C16647 : N,N-Diethylglycine</t>
  </si>
  <si>
    <t>C16663</t>
  </si>
  <si>
    <t>Tryparedoxin</t>
  </si>
  <si>
    <t>https://www.kegg.jp/entry/C16663</t>
  </si>
  <si>
    <t>C16663 : 1</t>
  </si>
  <si>
    <t>C16663 : Tryparedoxin</t>
  </si>
  <si>
    <t>C16664</t>
  </si>
  <si>
    <t>Tryparedoxin disulfide</t>
  </si>
  <si>
    <t>https://www.kegg.jp/entry/C16664</t>
  </si>
  <si>
    <t>C16664 : 1</t>
  </si>
  <si>
    <t>C16664 : Tryparedoxin disulfide</t>
  </si>
  <si>
    <t>Benzylpenicilloic acid</t>
  </si>
  <si>
    <t>https://www.kegg.jp/entry/C16672</t>
  </si>
  <si>
    <t>C16672 : 1</t>
  </si>
  <si>
    <t>C16672 : Benzylpenicilloic acid</t>
  </si>
  <si>
    <t>C16675</t>
  </si>
  <si>
    <t>7-Aminomethyl-7-carbaguanine</t>
  </si>
  <si>
    <t>https://www.kegg.jp/entry/C16675</t>
  </si>
  <si>
    <t>C16675 : 1</t>
  </si>
  <si>
    <t>C16675 : 7-Aminomethyl-7-carbaguanine</t>
  </si>
  <si>
    <t>C16677</t>
  </si>
  <si>
    <t>all-trans-4-Hydroxyretinoic acid</t>
  </si>
  <si>
    <t>https://www.kegg.jp/entry/C16677</t>
  </si>
  <si>
    <t>C16677 : 1</t>
  </si>
  <si>
    <t>C16677 : all-trans-4-Hydroxyretinoic acid</t>
  </si>
  <si>
    <t>C16679</t>
  </si>
  <si>
    <t>all-trans-18-Hydroxyretinoic acid</t>
  </si>
  <si>
    <t>https://www.kegg.jp/entry/C16679</t>
  </si>
  <si>
    <t>C16679 : 1</t>
  </si>
  <si>
    <t>C16679 : all-trans-18-Hydroxyretinoic acid</t>
  </si>
  <si>
    <t>C16680</t>
  </si>
  <si>
    <t>all-trans-5,6-Epoxyretinoic acid</t>
  </si>
  <si>
    <t>https://www.kegg.jp/entry/C16680</t>
  </si>
  <si>
    <t>C16680 : 1</t>
  </si>
  <si>
    <t>C16680 : all-trans-5,6-Epoxyretinoic acid</t>
  </si>
  <si>
    <t>C16688</t>
  </si>
  <si>
    <t>Sucrose 6-phosphate</t>
  </si>
  <si>
    <t>https://www.kegg.jp/entry/C16688</t>
  </si>
  <si>
    <t>C16688 : 1</t>
  </si>
  <si>
    <t>C16688 : Sucrose 6-phosphate</t>
  </si>
  <si>
    <t>C16698</t>
  </si>
  <si>
    <t>N-Acetylmuramic acid 6-phosphate</t>
  </si>
  <si>
    <t>https://www.kegg.jp/entry/C16698</t>
  </si>
  <si>
    <t>C16698 : 1</t>
  </si>
  <si>
    <t>C16698 : N-Acetylmuramic acid 6-phosphate</t>
  </si>
  <si>
    <t>C16756</t>
  </si>
  <si>
    <t>Aflatoxin M1</t>
  </si>
  <si>
    <t>https://www.kegg.jp/entry/C16756</t>
  </si>
  <si>
    <t>C16756 : 1</t>
  </si>
  <si>
    <t>C16756 : Aflatoxin M1</t>
  </si>
  <si>
    <t>C16832</t>
  </si>
  <si>
    <t>[Protein]-N6-[(R)-dihydrolipoyl]-L-lysine</t>
  </si>
  <si>
    <t>https://www.kegg.jp/entry/C16832</t>
  </si>
  <si>
    <t>C16832 : 1</t>
  </si>
  <si>
    <t>C16832 : [Protein]-N6-[(R)-dihydrolipoyl]-L-lysine</t>
  </si>
  <si>
    <t>C16834</t>
  </si>
  <si>
    <t>1-Pentanol</t>
  </si>
  <si>
    <t>https://www.kegg.jp/entry/C16834</t>
  </si>
  <si>
    <t>C16834 : 1</t>
  </si>
  <si>
    <t>C16834 : 1-Pentanol</t>
  </si>
  <si>
    <t>C16836</t>
  </si>
  <si>
    <t>1,4'-Bipiperidine-1'-carboxylic acid</t>
  </si>
  <si>
    <t>https://www.kegg.jp/entry/C16836</t>
  </si>
  <si>
    <t>C16836 : 1</t>
  </si>
  <si>
    <t>C16836 : 1,4'-Bipiperidine-1'-carboxylic acid</t>
  </si>
  <si>
    <t>C16837</t>
  </si>
  <si>
    <t>4-Amino-1-piperidinecarboxylic acid</t>
  </si>
  <si>
    <t>https://www.kegg.jp/entry/C16837</t>
  </si>
  <si>
    <t>C16837 : 1</t>
  </si>
  <si>
    <t>C16837 : 4-Amino-1-piperidinecarboxylic acid</t>
  </si>
  <si>
    <t>C17023</t>
  </si>
  <si>
    <t>Sulfur donor</t>
  </si>
  <si>
    <t>https://www.kegg.jp/entry/C17023</t>
  </si>
  <si>
    <t>C17023 : 1</t>
  </si>
  <si>
    <t>C17023 : Sulfur donor</t>
  </si>
  <si>
    <t>2-Aminobut-2-enoate</t>
  </si>
  <si>
    <t>https://www.kegg.jp/entry/C17234</t>
  </si>
  <si>
    <t>C17234 : 1</t>
  </si>
  <si>
    <t>C17234 : 2-Aminobut-2-enoate</t>
  </si>
  <si>
    <t>C17322</t>
  </si>
  <si>
    <t>tRNA containing 2-thiouridine</t>
  </si>
  <si>
    <t>https://www.kegg.jp/entry/C17322</t>
  </si>
  <si>
    <t>C17322 : 1</t>
  </si>
  <si>
    <t>C17322 : tRNA containing 2-thiouridine</t>
  </si>
  <si>
    <t>C17324</t>
  </si>
  <si>
    <t>tRNA adenine</t>
  </si>
  <si>
    <t>https://www.kegg.jp/entry/C17324</t>
  </si>
  <si>
    <t>C17324 : 1</t>
  </si>
  <si>
    <t>C17324 : tRNA adenine</t>
  </si>
  <si>
    <t>Thymine dimer</t>
  </si>
  <si>
    <t>https://www.kegg.jp/entry/C17509</t>
  </si>
  <si>
    <t>C17509 : 1</t>
  </si>
  <si>
    <t>C17509 : Thymine dimer</t>
  </si>
  <si>
    <t>Two thymine residues (in DNA)</t>
  </si>
  <si>
    <t>https://www.kegg.jp/entry/C17510</t>
  </si>
  <si>
    <t>C17510 : 1</t>
  </si>
  <si>
    <t>C17510 : Two thymine residues (in DNA)</t>
  </si>
  <si>
    <t>C17556</t>
  </si>
  <si>
    <t>di-trans,poly-cis-Undecaprenyl phosphate</t>
  </si>
  <si>
    <t>https://www.kegg.jp/entry/C17556</t>
  </si>
  <si>
    <t>C17556 : 1</t>
  </si>
  <si>
    <t>C17556 : di-trans,poly-cis-Undecaprenyl phosphate</t>
  </si>
  <si>
    <t>C17558</t>
  </si>
  <si>
    <t>di-trans,poly-cis-Undecaprenol</t>
  </si>
  <si>
    <t>https://www.kegg.jp/entry/C17558</t>
  </si>
  <si>
    <t>C17558 : 1</t>
  </si>
  <si>
    <t>C17558 : di-trans,poly-cis-Undecaprenol</t>
  </si>
  <si>
    <t>D-Allulose 6-phosphate</t>
  </si>
  <si>
    <t>https://www.kegg.jp/entry/C18096</t>
  </si>
  <si>
    <t>C18096 : 1</t>
  </si>
  <si>
    <t>C18096 : D-Allulose 6-phosphate</t>
  </si>
  <si>
    <t>C18237</t>
  </si>
  <si>
    <t>Molybdoenzyme molybdenum cofactor</t>
  </si>
  <si>
    <t>https://www.kegg.jp/entry/C18237</t>
  </si>
  <si>
    <t>C18237 : 1</t>
  </si>
  <si>
    <t>C18237 : Molybdoenzyme molybdenum cofactor</t>
  </si>
  <si>
    <t>C18239</t>
  </si>
  <si>
    <t>Precursor Z</t>
  </si>
  <si>
    <t>https://www.kegg.jp/entry/C18239</t>
  </si>
  <si>
    <t>C18239 : 1</t>
  </si>
  <si>
    <t>C18239 : Precursor Z</t>
  </si>
  <si>
    <t>C18902</t>
  </si>
  <si>
    <t>Methylselenic acid</t>
  </si>
  <si>
    <t>https://www.kegg.jp/entry/C18902</t>
  </si>
  <si>
    <t>C18902 : 1</t>
  </si>
  <si>
    <t>C18902 : Methylselenic acid</t>
  </si>
  <si>
    <t>C19078</t>
  </si>
  <si>
    <t>tRNA with a 3' cytidine</t>
  </si>
  <si>
    <t>https://www.kegg.jp/entry/C19078</t>
  </si>
  <si>
    <t>C19078 : 1</t>
  </si>
  <si>
    <t>C19078 : tRNA with a 3' cytidine</t>
  </si>
  <si>
    <t>C19080</t>
  </si>
  <si>
    <t>tRNA with a 3' CC end</t>
  </si>
  <si>
    <t>https://www.kegg.jp/entry/C19080</t>
  </si>
  <si>
    <t>C19080 : 1</t>
  </si>
  <si>
    <t>C19080 : tRNA with a 3' CC end</t>
  </si>
  <si>
    <t>C19085</t>
  </si>
  <si>
    <t>tRNA with a 3' CCA end</t>
  </si>
  <si>
    <t>https://www.kegg.jp/entry/C19085</t>
  </si>
  <si>
    <t>C19085 : 1</t>
  </si>
  <si>
    <t>C19085 : tRNA with a 3' CCA end</t>
  </si>
  <si>
    <t>C19459</t>
  </si>
  <si>
    <t>Methyl red</t>
  </si>
  <si>
    <t>https://www.kegg.jp/entry/C19459</t>
  </si>
  <si>
    <t>C19459 : 1</t>
  </si>
  <si>
    <t>C19459 : Methyl red</t>
  </si>
  <si>
    <t>C19488</t>
  </si>
  <si>
    <t>7,12-Dimethylbenz[a]anthracene</t>
  </si>
  <si>
    <t>https://www.kegg.jp/entry/C19488</t>
  </si>
  <si>
    <t>C19488 : 1</t>
  </si>
  <si>
    <t>C19488 : 7,12-Dimethylbenz[a]anthracene</t>
  </si>
  <si>
    <t>C19489</t>
  </si>
  <si>
    <t>1a,11b-Dihydro-4,9-dimethylbenz[a]anthra[3,4-b]oxirene</t>
  </si>
  <si>
    <t>https://www.kegg.jp/entry/C19489</t>
  </si>
  <si>
    <t>C19489 : 1</t>
  </si>
  <si>
    <t>C19489 : 1a,11b-Dihydro-4,9-dimethylbenz[a]anthra[3,4-b]oxirene</t>
  </si>
  <si>
    <t>C19490</t>
  </si>
  <si>
    <t>trans-3,4-Dihydro-3,4-dihydroxy-7,12-dimethylbenz[a]anthracene</t>
  </si>
  <si>
    <t>https://www.kegg.jp/entry/C19490</t>
  </si>
  <si>
    <t>C19490 : 1</t>
  </si>
  <si>
    <t>C19490 : trans-3,4-Dihydro-3,4-dihydroxy-7,12-dimethylbenz[a]anthracene</t>
  </si>
  <si>
    <t>C19559</t>
  </si>
  <si>
    <t>(1aalpha,2beta,3alpha,11calpha)-1a,2,3,11c-Tetrahydro-6,11-dimethylbenzo[6,7]phenanthro[3,4-b]oxirene-2,3-diol</t>
  </si>
  <si>
    <t>https://www.kegg.jp/entry/C19559</t>
  </si>
  <si>
    <t>C19559 : 1</t>
  </si>
  <si>
    <t>C19559 : (1aalpha,2beta,3alpha,11calpha)-1a,2,3,11c-Tetrahydro-6,11-dimethylbenzo[6,7]phenanthro[3,4-b]oxirene-2,3-diol</t>
  </si>
  <si>
    <t>C19563</t>
  </si>
  <si>
    <t>4-[(Hydroxymethyl)nitrosoamino]-1-(3-pyridinyl)-1-butanone</t>
  </si>
  <si>
    <t>https://www.kegg.jp/entry/C19563</t>
  </si>
  <si>
    <t>C19563 : 1</t>
  </si>
  <si>
    <t>C19563 : 4-[(Hydroxymethyl)nitrosoamino]-1-(3-pyridinyl)-1-butanone</t>
  </si>
  <si>
    <t>C19566</t>
  </si>
  <si>
    <t>4-Hydroxy-4-(methylnitrosoamino)-1-(3-pyridinyl)-1-butanone</t>
  </si>
  <si>
    <t>https://www.kegg.jp/entry/C19566</t>
  </si>
  <si>
    <t>C19566 : 1</t>
  </si>
  <si>
    <t>C19566 : 4-Hydroxy-4-(methylnitrosoamino)-1-(3-pyridinyl)-1-butanone</t>
  </si>
  <si>
    <t>C19574</t>
  </si>
  <si>
    <t>4-(Methylnitrosamino)-1-(3-pyridyl)-1-butanol</t>
  </si>
  <si>
    <t>https://www.kegg.jp/entry/C19574</t>
  </si>
  <si>
    <t>C19574 : 1</t>
  </si>
  <si>
    <t>C19574 : 4-(Methylnitrosamino)-1-(3-pyridyl)-1-butanol</t>
  </si>
  <si>
    <t>C19577</t>
  </si>
  <si>
    <t>1-(Methylnitrosoamino)-4-(3-pyridinyl)-1,4-butanediol</t>
  </si>
  <si>
    <t>https://www.kegg.jp/entry/C19577</t>
  </si>
  <si>
    <t>C19577 : 1</t>
  </si>
  <si>
    <t>C19577 : 1-(Methylnitrosoamino)-4-(3-pyridinyl)-1,4-butanediol</t>
  </si>
  <si>
    <t>C19580</t>
  </si>
  <si>
    <t>alpha-[3-[(Hydroxymethyl)nitrosoamino]propyl]-3-pyridinemethanol</t>
  </si>
  <si>
    <t>https://www.kegg.jp/entry/C19580</t>
  </si>
  <si>
    <t>C19580 : 1</t>
  </si>
  <si>
    <t>C19580 : alpha-[3-[(Hydroxymethyl)nitrosoamino]propyl]-3-pyridinemethanol</t>
  </si>
  <si>
    <t>C19585</t>
  </si>
  <si>
    <t>Aflatoxin Q1</t>
  </si>
  <si>
    <t>https://www.kegg.jp/entry/C19585</t>
  </si>
  <si>
    <t>C19585 : 1</t>
  </si>
  <si>
    <t>C19585 : Aflatoxin Q1</t>
  </si>
  <si>
    <t>C19586</t>
  </si>
  <si>
    <t>Aflatoxin B1-exo-8,9-epoxide</t>
  </si>
  <si>
    <t>https://www.kegg.jp/entry/C19586</t>
  </si>
  <si>
    <t>C19586 : 1</t>
  </si>
  <si>
    <t>C19586 : Aflatoxin B1-exo-8,9-epoxide</t>
  </si>
  <si>
    <t>C19594</t>
  </si>
  <si>
    <t>Aflatoxin-M1-8,9-epoxide</t>
  </si>
  <si>
    <t>https://www.kegg.jp/entry/C19594</t>
  </si>
  <si>
    <t>C19594 : 1</t>
  </si>
  <si>
    <t>C19594 : Aflatoxin-M1-8,9-epoxide</t>
  </si>
  <si>
    <t>C19595</t>
  </si>
  <si>
    <t>Aflatoxin B1-endo-8,9-epoxide</t>
  </si>
  <si>
    <t>https://www.kegg.jp/entry/C19595</t>
  </si>
  <si>
    <t>C19595 : 1</t>
  </si>
  <si>
    <t>C19595 : Aflatoxin B1-endo-8,9-epoxide</t>
  </si>
  <si>
    <t>C19604</t>
  </si>
  <si>
    <t>7,12-Dimethylbenz[a]anthracene 5,6-oxide</t>
  </si>
  <si>
    <t>https://www.kegg.jp/entry/C19604</t>
  </si>
  <si>
    <t>C19604 : 1</t>
  </si>
  <si>
    <t>C19604 : 7,12-Dimethylbenz[a]anthracene 5,6-oxide</t>
  </si>
  <si>
    <t>C19647</t>
  </si>
  <si>
    <t>Epoxyqueuosine in tRNA</t>
  </si>
  <si>
    <t>https://www.kegg.jp/entry/C19647</t>
  </si>
  <si>
    <t>C19647 : 1</t>
  </si>
  <si>
    <t>C19647 : Epoxyqueuosine in tRNA</t>
  </si>
  <si>
    <t>C19673</t>
  </si>
  <si>
    <t>Malonyl-[acp] methyl ester</t>
  </si>
  <si>
    <t>https://www.kegg.jp/entry/C19673</t>
  </si>
  <si>
    <t>C19673 : 1</t>
  </si>
  <si>
    <t>C19673 : Malonyl-[acp] methyl ester</t>
  </si>
  <si>
    <t>C19722</t>
  </si>
  <si>
    <t>[tRNA(Ile2)]-cytidine34</t>
  </si>
  <si>
    <t>https://www.kegg.jp/entry/C19722</t>
  </si>
  <si>
    <t>C19722 : 1</t>
  </si>
  <si>
    <t>C19722 : [tRNA(Ile2)]-cytidine34</t>
  </si>
  <si>
    <t>C19723</t>
  </si>
  <si>
    <t>[tRNA(Ile2)]-lysidine34</t>
  </si>
  <si>
    <t>https://www.kegg.jp/entry/C19723</t>
  </si>
  <si>
    <t>C19723 : 1</t>
  </si>
  <si>
    <t>C19723 : [tRNA(Ile2)]-lysidine34</t>
  </si>
  <si>
    <t>C19769</t>
  </si>
  <si>
    <t>1,6-Anhydro-N-acetyl-beta-muramate</t>
  </si>
  <si>
    <t>https://www.kegg.jp/entry/C19769</t>
  </si>
  <si>
    <t>C19769 : 1</t>
  </si>
  <si>
    <t>C19769 : 1,6-Anhydro-N-acetyl-beta-muramate</t>
  </si>
  <si>
    <t>C19770</t>
  </si>
  <si>
    <t>N-Acetyl-beta-muramate 6-phosphate</t>
  </si>
  <si>
    <t>https://www.kegg.jp/entry/C19770</t>
  </si>
  <si>
    <t>C19770 : 1</t>
  </si>
  <si>
    <t>C19770 : N-Acetyl-beta-muramate 6-phosphate</t>
  </si>
  <si>
    <t>C19845</t>
  </si>
  <si>
    <t>Pimeloyl-[acyl-carrier protein]</t>
  </si>
  <si>
    <t>https://www.kegg.jp/entry/C19845</t>
  </si>
  <si>
    <t>C19845 : 1</t>
  </si>
  <si>
    <t>C19845 : Pimeloyl-[acyl-carrier protein]</t>
  </si>
  <si>
    <t>C19847</t>
  </si>
  <si>
    <t>Demethylmenaquinol</t>
  </si>
  <si>
    <t>https://www.kegg.jp/entry/C19847</t>
  </si>
  <si>
    <t>C19847 : 1</t>
  </si>
  <si>
    <t>C19847 : Demethylmenaquinol</t>
  </si>
  <si>
    <t>C19848</t>
  </si>
  <si>
    <t>Adenylated molybdopterin</t>
  </si>
  <si>
    <t>https://www.kegg.jp/entry/C19848</t>
  </si>
  <si>
    <t>C19848 : 1</t>
  </si>
  <si>
    <t>C19848 : Adenylated molybdopterin</t>
  </si>
  <si>
    <t>C19871</t>
  </si>
  <si>
    <t>Guanylyl molybdenum cofactor</t>
  </si>
  <si>
    <t>https://www.kegg.jp/entry/C19871</t>
  </si>
  <si>
    <t>C19871 : 1</t>
  </si>
  <si>
    <t>C19871 : Guanylyl molybdenum cofactor</t>
  </si>
  <si>
    <t>C20226</t>
  </si>
  <si>
    <t>Benzil</t>
  </si>
  <si>
    <t>https://www.kegg.jp/entry/C20226</t>
  </si>
  <si>
    <t>C20226 : 1</t>
  </si>
  <si>
    <t>C20226 : Benzil</t>
  </si>
  <si>
    <t>C20227</t>
  </si>
  <si>
    <t>(S)-Benzoin</t>
  </si>
  <si>
    <t>https://www.kegg.jp/entry/C20227</t>
  </si>
  <si>
    <t>C20227 : 1</t>
  </si>
  <si>
    <t>C20227 : (S)-Benzoin</t>
  </si>
  <si>
    <t>6-Carboxy-5,6,7,8-tetrahydropterin</t>
  </si>
  <si>
    <t>https://www.kegg.jp/entry/C20239</t>
  </si>
  <si>
    <t>C20239 : 1</t>
  </si>
  <si>
    <t>C20239 : 6-Carboxy-5,6,7,8-tetrahydropterin</t>
  </si>
  <si>
    <t>C20246</t>
  </si>
  <si>
    <t>2-[(2R,5Z)-2-Carboxy-4-methylthiazol-5(2H)-ylidene]ethyl phosphate</t>
  </si>
  <si>
    <t>https://www.kegg.jp/entry/C20246</t>
  </si>
  <si>
    <t>C20246 : 1</t>
  </si>
  <si>
    <t>C20246 : 2-[(2R,5Z)-2-Carboxy-4-methylthiazol-5(2H)-ylidene]ethyl phosphate</t>
  </si>
  <si>
    <t>C20247</t>
  </si>
  <si>
    <t>2-(2-Carboxy-4-methylthiazol-5-yl)ethyl phosphate</t>
  </si>
  <si>
    <t>https://www.kegg.jp/entry/C20247</t>
  </si>
  <si>
    <t>C20247 : 1</t>
  </si>
  <si>
    <t>C20247 : 2-(2-Carboxy-4-methylthiazol-5-yl)ethyl phosphate</t>
  </si>
  <si>
    <t>C20248</t>
  </si>
  <si>
    <t>7-Carboxy-7-carbaguanine</t>
  </si>
  <si>
    <t>https://www.kegg.jp/entry/C20248</t>
  </si>
  <si>
    <t>C20248 : 1</t>
  </si>
  <si>
    <t>C20248 : 7-Carboxy-7-carbaguanine</t>
  </si>
  <si>
    <t>C20258</t>
  </si>
  <si>
    <t>(2S,4S)-4-Hydroxy-2,3,4,5-tetrahydrodipicolinate</t>
  </si>
  <si>
    <t>https://www.kegg.jp/entry/C20258</t>
  </si>
  <si>
    <t>C20258 : 1</t>
  </si>
  <si>
    <t>C20258 : (2S,4S)-4-Hydroxy-2,3,4,5-tetrahydrodipicolinate</t>
  </si>
  <si>
    <t>C20372</t>
  </si>
  <si>
    <t>3-Ketoglutaryl-[acp] methyl ester</t>
  </si>
  <si>
    <t>https://www.kegg.jp/entry/C20372</t>
  </si>
  <si>
    <t>C20372 : 1</t>
  </si>
  <si>
    <t>C20372 : 3-Ketoglutaryl-[acp] methyl ester</t>
  </si>
  <si>
    <t>3-Hydroxyglutaryl-[acp] methyl ester</t>
  </si>
  <si>
    <t>https://www.kegg.jp/entry/C20373</t>
  </si>
  <si>
    <t>C20373 : 1</t>
  </si>
  <si>
    <t>C20373 : 3-Hydroxyglutaryl-[acp] methyl ester</t>
  </si>
  <si>
    <t>C20374</t>
  </si>
  <si>
    <t>Enoylglutaryl-[acp] methyl ester</t>
  </si>
  <si>
    <t>https://www.kegg.jp/entry/C20374</t>
  </si>
  <si>
    <t>C20374 : 1</t>
  </si>
  <si>
    <t>C20374 : Enoylglutaryl-[acp] methyl ester</t>
  </si>
  <si>
    <t>C20375</t>
  </si>
  <si>
    <t>Glutaryl-[acp] methyl ester</t>
  </si>
  <si>
    <t>https://www.kegg.jp/entry/C20375</t>
  </si>
  <si>
    <t>C20375 : 1</t>
  </si>
  <si>
    <t>C20375 : Glutaryl-[acp] methyl ester</t>
  </si>
  <si>
    <t>C20376</t>
  </si>
  <si>
    <t>3-Ketopimeloyl-[acp] methyl ester</t>
  </si>
  <si>
    <t>https://www.kegg.jp/entry/C20376</t>
  </si>
  <si>
    <t>C20376 : 1</t>
  </si>
  <si>
    <t>C20376 : 3-Ketopimeloyl-[acp] methyl ester</t>
  </si>
  <si>
    <t>3-Hydroxypimeloyl-[acp] methyl ester</t>
  </si>
  <si>
    <t>https://www.kegg.jp/entry/C20377</t>
  </si>
  <si>
    <t>C20377 : 1</t>
  </si>
  <si>
    <t>C20377 : 3-Hydroxypimeloyl-[acp] methyl ester</t>
  </si>
  <si>
    <t>C20378</t>
  </si>
  <si>
    <t>Enoylpimeloyl-[acp] methyl ester</t>
  </si>
  <si>
    <t>https://www.kegg.jp/entry/C20378</t>
  </si>
  <si>
    <t>C20378 : 1</t>
  </si>
  <si>
    <t>C20378 : Enoylpimeloyl-[acp] methyl ester</t>
  </si>
  <si>
    <t>C20446</t>
  </si>
  <si>
    <t>tRNA 7-aminomethyl-7-carbaguanine</t>
  </si>
  <si>
    <t>https://www.kegg.jp/entry/C20446</t>
  </si>
  <si>
    <t>C20446 : 1</t>
  </si>
  <si>
    <t>C20446 : tRNA 7-aminomethyl-7-carbaguanine</t>
  </si>
  <si>
    <t>C20451</t>
  </si>
  <si>
    <t>tRNA hypoxanthine</t>
  </si>
  <si>
    <t>https://www.kegg.jp/entry/C20451</t>
  </si>
  <si>
    <t>C20451 : 1</t>
  </si>
  <si>
    <t>C20451 : tRNA hypoxanthine</t>
  </si>
  <si>
    <t>C20463</t>
  </si>
  <si>
    <t>Purine deoxyribonucleoside</t>
  </si>
  <si>
    <t>https://www.kegg.jp/entry/C20463</t>
  </si>
  <si>
    <t>C20463 : 1</t>
  </si>
  <si>
    <t>C20463 : Purine deoxyribonucleoside</t>
  </si>
  <si>
    <t>C20565</t>
  </si>
  <si>
    <t>Cyclic di-3',5'-adenylate</t>
  </si>
  <si>
    <t>https://www.kegg.jp/entry/C20565</t>
  </si>
  <si>
    <t>C20565 : 1</t>
  </si>
  <si>
    <t>C20565 : Cyclic di-3',5'-adenylate</t>
  </si>
  <si>
    <t>C20641</t>
  </si>
  <si>
    <t>L-Threonylcarbamoyladenylate</t>
  </si>
  <si>
    <t>https://www.kegg.jp/entry/C20641</t>
  </si>
  <si>
    <t>C20641 : 1</t>
  </si>
  <si>
    <t>C20641 : L-Threonylcarbamoyladenylate</t>
  </si>
  <si>
    <t>C20648</t>
  </si>
  <si>
    <t>Adenine in rRNA</t>
  </si>
  <si>
    <t>https://www.kegg.jp/entry/C20648</t>
  </si>
  <si>
    <t>C20648 : 1</t>
  </si>
  <si>
    <t>C20648 : Adenine in rRNA</t>
  </si>
  <si>
    <t>C20658</t>
  </si>
  <si>
    <t>O-Acetyl-ADP-ribose</t>
  </si>
  <si>
    <t>https://www.kegg.jp/entry/C20658</t>
  </si>
  <si>
    <t>C20658 : 1</t>
  </si>
  <si>
    <t>C20658 : O-Acetyl-ADP-ribose</t>
  </si>
  <si>
    <t>C20743</t>
  </si>
  <si>
    <t>Protein N6-acetyl-L-lysine</t>
  </si>
  <si>
    <t>https://www.kegg.jp/entry/C20743</t>
  </si>
  <si>
    <t>C20743 : 1</t>
  </si>
  <si>
    <t>C20743 : Protein N6-acetyl-L-lysine</t>
  </si>
  <si>
    <t>C20751</t>
  </si>
  <si>
    <t>N6-L-Threonylcarbamoyladenine in tRNA</t>
  </si>
  <si>
    <t>https://www.kegg.jp/entry/C20751</t>
  </si>
  <si>
    <t>C20751 : 1</t>
  </si>
  <si>
    <t>C20751 : N6-L-Threonylcarbamoyladenine in tRNA</t>
  </si>
  <si>
    <t>C20753</t>
  </si>
  <si>
    <t>2-Methylthio-N6-dimethylallyladenine in tRNA</t>
  </si>
  <si>
    <t>https://www.kegg.jp/entry/C20753</t>
  </si>
  <si>
    <t>C20753 : 1</t>
  </si>
  <si>
    <t>C20753 : 2-Methylthio-N6-dimethylallyladenine in tRNA</t>
  </si>
  <si>
    <t>C20755</t>
  </si>
  <si>
    <t>2-Thio-N6-dimethylallyladenine in tRNA</t>
  </si>
  <si>
    <t>https://www.kegg.jp/entry/C20755</t>
  </si>
  <si>
    <t>C20755 : 1</t>
  </si>
  <si>
    <t>C20755 : 2-Thio-N6-dimethylallyladenine in tRNA</t>
  </si>
  <si>
    <t>C20796</t>
  </si>
  <si>
    <t>N6-Dimethyladenine in rRNA</t>
  </si>
  <si>
    <t>https://www.kegg.jp/entry/C20796</t>
  </si>
  <si>
    <t>C20796 : 1</t>
  </si>
  <si>
    <t>C20796 : N6-Dimethyladenine in rRNA</t>
  </si>
  <si>
    <t>C20858</t>
  </si>
  <si>
    <t>Protein N5-methyl-L-glutamine</t>
  </si>
  <si>
    <t>https://www.kegg.jp/entry/C20858</t>
  </si>
  <si>
    <t>C20858 : 1</t>
  </si>
  <si>
    <t>C20858 : Protein N5-methyl-L-glutamine</t>
  </si>
  <si>
    <t>C20864</t>
  </si>
  <si>
    <t>5'-Triphospho-[mRNA]</t>
  </si>
  <si>
    <t>https://www.kegg.jp/entry/C20864</t>
  </si>
  <si>
    <t>C20864 : 1</t>
  </si>
  <si>
    <t>C20864 : 5'-Triphospho-[mRNA]</t>
  </si>
  <si>
    <t>2-Iminopropanoate</t>
  </si>
  <si>
    <t>https://www.kegg.jp/entry/C20904</t>
  </si>
  <si>
    <t>C20904 : 1</t>
  </si>
  <si>
    <t>C20904 : 2-Iminopropanoate</t>
  </si>
  <si>
    <t>2-Iminobutanoate</t>
  </si>
  <si>
    <t>https://www.kegg.jp/entry/C20905</t>
  </si>
  <si>
    <t>C20905 : 1</t>
  </si>
  <si>
    <t>C20905 : 2-Iminobutanoate</t>
  </si>
  <si>
    <t>C20959</t>
  </si>
  <si>
    <t>(4S)-4-Hydroxy-5-phosphooxypentane-2,3-dione</t>
  </si>
  <si>
    <t>https://www.kegg.jp/entry/C20959</t>
  </si>
  <si>
    <t>C20959 : 1</t>
  </si>
  <si>
    <t>C20959 : (4S)-4-Hydroxy-5-phosphooxypentane-2,3-dione</t>
  </si>
  <si>
    <t>C20960</t>
  </si>
  <si>
    <t>3-Hydroxy-5-phosphooxypentane-2,4-dione</t>
  </si>
  <si>
    <t>https://www.kegg.jp/entry/C20960</t>
  </si>
  <si>
    <t>C20960 : 1</t>
  </si>
  <si>
    <t>C20960 : 3-Hydroxy-5-phosphooxypentane-2,4-dione</t>
  </si>
  <si>
    <t>C20969</t>
  </si>
  <si>
    <t>Carboxyphosphate</t>
  </si>
  <si>
    <t>https://www.kegg.jp/entry/C20969</t>
  </si>
  <si>
    <t>C20969 : 1</t>
  </si>
  <si>
    <t>C20969 : Carboxyphosphate</t>
  </si>
  <si>
    <t>C21017</t>
  </si>
  <si>
    <t>2-(alpha-Hydroxypropyl)thiamine diphosphate</t>
  </si>
  <si>
    <t>https://www.kegg.jp/entry/C21017</t>
  </si>
  <si>
    <t>C21017 : 1</t>
  </si>
  <si>
    <t>C21017 : 2-(alpha-Hydroxypropyl)thiamine diphosphate</t>
  </si>
  <si>
    <t>C21018</t>
  </si>
  <si>
    <t>Enzyme N6-(S-propyldihydrolipoyl)lysine</t>
  </si>
  <si>
    <t>https://www.kegg.jp/entry/C21018</t>
  </si>
  <si>
    <t>C21018 : 1</t>
  </si>
  <si>
    <t>C21018 : Enzyme N6-(S-propyldihydrolipoyl)lysine</t>
  </si>
  <si>
    <t>5-Hydroxymethylcytosine in DNA</t>
  </si>
  <si>
    <t>https://www.kegg.jp/entry/C21031</t>
  </si>
  <si>
    <t>C21031 : 1</t>
  </si>
  <si>
    <t>C21031 : 5-Hydroxymethylcytosine in DNA</t>
  </si>
  <si>
    <t>C21064</t>
  </si>
  <si>
    <t>6-Deoxy-6-sulfo-D-glucono-1,5-lactone</t>
  </si>
  <si>
    <t>https://www.kegg.jp/entry/C21064</t>
  </si>
  <si>
    <t>C21064 : 1</t>
  </si>
  <si>
    <t>C21064 : 6-Deoxy-6-sulfo-D-glucono-1,5-lactone</t>
  </si>
  <si>
    <t>C21101</t>
  </si>
  <si>
    <t>Protein N(omega)-phospho-L-arginine</t>
  </si>
  <si>
    <t>https://www.kegg.jp/entry/C21101</t>
  </si>
  <si>
    <t>C21101 : 1</t>
  </si>
  <si>
    <t>C21101 : Protein N(omega)-phospho-L-arginine</t>
  </si>
  <si>
    <t>6-Deoxy-6-sulfo-D-gluconate</t>
  </si>
  <si>
    <t>https://www.kegg.jp/entry/C21182</t>
  </si>
  <si>
    <t>C21182 : 1</t>
  </si>
  <si>
    <t>C21182 : 6-Deoxy-6-sulfo-D-gluconate</t>
  </si>
  <si>
    <t>C21284</t>
  </si>
  <si>
    <t>Fe-coproporphyrin III</t>
  </si>
  <si>
    <t>https://www.kegg.jp/entry/C21284</t>
  </si>
  <si>
    <t>C21284 : 1</t>
  </si>
  <si>
    <t>C21284 : Fe-coproporphyrin III</t>
  </si>
  <si>
    <t>C21310</t>
  </si>
  <si>
    <t>(8S)-3',8-Cyclo-7,8-dihydroguanosine 5'-triphosphate</t>
  </si>
  <si>
    <t>https://www.kegg.jp/entry/C21310</t>
  </si>
  <si>
    <t>C21310 : 1</t>
  </si>
  <si>
    <t>C21310 : (8S)-3',8-Cyclo-7,8-dihydroguanosine 5'-triphosphate</t>
  </si>
  <si>
    <t>C21440</t>
  </si>
  <si>
    <t>[Protein]-S-sulfanyl-L-cysteine</t>
  </si>
  <si>
    <t>https://www.kegg.jp/entry/C21440</t>
  </si>
  <si>
    <t>C21440 : 1</t>
  </si>
  <si>
    <t>C21440 : [Protein]-S-sulfanyl-L-cysteine</t>
  </si>
  <si>
    <t>C21747</t>
  </si>
  <si>
    <t>N-Acetyl-beta-D-glucosaminyl-(1-&gt;4)-D-glucosamine</t>
  </si>
  <si>
    <t>https://www.kegg.jp/entry/C21747</t>
  </si>
  <si>
    <t>C21747 : 1</t>
  </si>
  <si>
    <t>C21747 : N-Acetyl-beta-D-glucosaminyl-(1-&gt;4)-D-glucosamine</t>
  </si>
  <si>
    <t>C21748</t>
  </si>
  <si>
    <t>5-Fluorouridine diphosphate</t>
  </si>
  <si>
    <t>https://www.kegg.jp/entry/C21748</t>
  </si>
  <si>
    <t>C21748 : 1</t>
  </si>
  <si>
    <t>C21748 : 5-Fluorouridine diphosphate</t>
  </si>
  <si>
    <t>C21749</t>
  </si>
  <si>
    <t>5-Fluorouridine triphosphate</t>
  </si>
  <si>
    <t>https://www.kegg.jp/entry/C21749</t>
  </si>
  <si>
    <t>C21749 : 1</t>
  </si>
  <si>
    <t>C21749 : 5-Fluorouridine triphosphate</t>
  </si>
  <si>
    <t>C21750</t>
  </si>
  <si>
    <t>5-Fluorodeoxyuridine diphosphate</t>
  </si>
  <si>
    <t>https://www.kegg.jp/entry/C21750</t>
  </si>
  <si>
    <t>C21750 : 1</t>
  </si>
  <si>
    <t>C21750 : 5-Fluorodeoxyuridine diphosphate</t>
  </si>
  <si>
    <t>C21751</t>
  </si>
  <si>
    <t>5-Fluorodeoxyuridine triphosphate</t>
  </si>
  <si>
    <t>https://www.kegg.jp/entry/C21751</t>
  </si>
  <si>
    <t>C21751 : 1</t>
  </si>
  <si>
    <t>C21751 : 5-Fluorodeoxyuridine triphosphate</t>
  </si>
  <si>
    <t>C21811</t>
  </si>
  <si>
    <t>Wall teichoic acid</t>
  </si>
  <si>
    <t>https://www.kegg.jp/entry/C21811</t>
  </si>
  <si>
    <t>C21811 : 1</t>
  </si>
  <si>
    <t>C21811 : Wall teichoic acid</t>
  </si>
  <si>
    <t>C21812</t>
  </si>
  <si>
    <t>https://www.kegg.jp/entry/C21812</t>
  </si>
  <si>
    <t>C21812 : 1</t>
  </si>
  <si>
    <t>C21812 : Wall teichoic acid</t>
  </si>
  <si>
    <t>C22150</t>
  </si>
  <si>
    <t>Reduced [2Fe-2S] ferredoxin</t>
  </si>
  <si>
    <t>https://www.kegg.jp/entry/C22150</t>
  </si>
  <si>
    <t>C22150 : 1</t>
  </si>
  <si>
    <t>C22150 : Reduced [2Fe-2S] ferredoxin</t>
  </si>
  <si>
    <t>C22151</t>
  </si>
  <si>
    <t>Oxidized [2Fe-2S] ferredoxin</t>
  </si>
  <si>
    <t>https://www.kegg.jp/entry/C22151</t>
  </si>
  <si>
    <t>C22151 : 1</t>
  </si>
  <si>
    <t>C22151 : Oxidized [2Fe-2S] ferredoxin</t>
  </si>
  <si>
    <t>C22154</t>
  </si>
  <si>
    <t>[Fe-S] cluster scaffold protein carrying a [4Fe-4S]2+ cluster</t>
  </si>
  <si>
    <t>https://www.kegg.jp/entry/C22154</t>
  </si>
  <si>
    <t>C22154 : 1</t>
  </si>
  <si>
    <t>C22154 : [Fe-S] cluster scaffold protein carrying a [4Fe-4S]2+ cluster</t>
  </si>
  <si>
    <t>C22155</t>
  </si>
  <si>
    <t>[Fe-S] cluster scaffold protein</t>
  </si>
  <si>
    <t>https://www.kegg.jp/entry/C22155</t>
  </si>
  <si>
    <t>C22155 : 1</t>
  </si>
  <si>
    <t>C22155 : [Fe-S] cluster scaffold protein</t>
  </si>
  <si>
    <t>C22157</t>
  </si>
  <si>
    <t>Glycine cleavage system H</t>
  </si>
  <si>
    <t>https://www.kegg.jp/entry/C22157</t>
  </si>
  <si>
    <t>C22157 : 1</t>
  </si>
  <si>
    <t>C22157 : Glycine cleavage system H</t>
  </si>
  <si>
    <t>C22158</t>
  </si>
  <si>
    <t>Lipoyl-carrier protein E2</t>
  </si>
  <si>
    <t>https://www.kegg.jp/entry/C22158</t>
  </si>
  <si>
    <t>C22158 : 1</t>
  </si>
  <si>
    <t>C22158 : Lipoyl-carrier protein E2</t>
  </si>
  <si>
    <t>C22159</t>
  </si>
  <si>
    <t>[Glycine cleavage system H]-N6-octanoyl-L-lysine</t>
  </si>
  <si>
    <t>https://www.kegg.jp/entry/C22159</t>
  </si>
  <si>
    <t>C22159 : 1</t>
  </si>
  <si>
    <t>C22159 : [Glycine cleavage system H]-N6-octanoyl-L-lysine</t>
  </si>
  <si>
    <t>C22160</t>
  </si>
  <si>
    <t>[Lipoyl-carrier protein E2]-N6-octanoyl-L-lysine</t>
  </si>
  <si>
    <t>https://www.kegg.jp/entry/C22160</t>
  </si>
  <si>
    <t>C22160 : 1</t>
  </si>
  <si>
    <t>C22160 : [Lipoyl-carrier protein E2]-N6-octanoyl-L-lysine</t>
  </si>
  <si>
    <t>C22173</t>
  </si>
  <si>
    <t>Harderoheme III</t>
  </si>
  <si>
    <t>https://www.kegg.jp/entry/C22173</t>
  </si>
  <si>
    <t>C22173 : 1</t>
  </si>
  <si>
    <t>C22173 : Harderoheme III</t>
  </si>
  <si>
    <t>C22258</t>
  </si>
  <si>
    <t>(2E,4Z)-2,4-Dienoyl-CoA</t>
  </si>
  <si>
    <t>https://www.kegg.jp/entry/C22258</t>
  </si>
  <si>
    <t>C22258 : 1</t>
  </si>
  <si>
    <t>C22258 : (2E,4Z)-2,4-Dienoyl-CoA</t>
  </si>
  <si>
    <t>C22288</t>
  </si>
  <si>
    <t>5-Deoxy-D-ribose</t>
  </si>
  <si>
    <t>https://www.kegg.jp/entry/C22288</t>
  </si>
  <si>
    <t>C22288 : 1</t>
  </si>
  <si>
    <t>C22288 : 5-Deoxy-D-ribose</t>
  </si>
  <si>
    <t>D-Ribulose 1-phosphate</t>
  </si>
  <si>
    <t>https://www.kegg.jp/entry/C22337</t>
  </si>
  <si>
    <t>C22337 : 1</t>
  </si>
  <si>
    <t>C22337 : D-Ribulose 1-phosphate</t>
  </si>
  <si>
    <t>N6-Succino-2-amino-2'-deoxyadenylate</t>
  </si>
  <si>
    <t>https://www.kegg.jp/entry/C22395</t>
  </si>
  <si>
    <t>C22395 : 1</t>
  </si>
  <si>
    <t>C22395 : N6-Succino-2-amino-2'-deoxyadenylate</t>
  </si>
  <si>
    <t>C22438</t>
  </si>
  <si>
    <t>3,5-Dehydroshikimate</t>
  </si>
  <si>
    <t>https://www.kegg.jp/entry/C22438</t>
  </si>
  <si>
    <t>C22438 : 1</t>
  </si>
  <si>
    <t>C22438 : 3,5-Dehydroshikimate</t>
  </si>
  <si>
    <t>C22441</t>
  </si>
  <si>
    <t>dZMP</t>
  </si>
  <si>
    <t>https://www.kegg.jp/entry/C22441</t>
  </si>
  <si>
    <t>C22441 : 1</t>
  </si>
  <si>
    <t>C22441 : dZMP</t>
  </si>
  <si>
    <t>C22442</t>
  </si>
  <si>
    <t>dZDP</t>
  </si>
  <si>
    <t>https://www.kegg.jp/entry/C22442</t>
  </si>
  <si>
    <t>C22442 : 1</t>
  </si>
  <si>
    <t>C22442 : dZDP</t>
  </si>
  <si>
    <t>C22443</t>
  </si>
  <si>
    <t>dZTP</t>
  </si>
  <si>
    <t>https://www.kegg.jp/entry/C22443</t>
  </si>
  <si>
    <t>C22443 : 1</t>
  </si>
  <si>
    <t>C22443 : dZTP</t>
  </si>
  <si>
    <t>8-Amino-7-(carboxyamino)nonanoate</t>
  </si>
  <si>
    <t>https://www.kegg.jp/entry/C22458</t>
  </si>
  <si>
    <t>C22458 : 1</t>
  </si>
  <si>
    <t>C22458 : 8-Amino-7-(carboxyamino)nonanoate</t>
  </si>
  <si>
    <t>G00249</t>
  </si>
  <si>
    <t>https://www.kegg.jp/entry/G00249</t>
  </si>
  <si>
    <t>G00249 : 1</t>
  </si>
  <si>
    <t>G00249 : Raffinose</t>
  </si>
  <si>
    <t>G00278</t>
  </si>
  <si>
    <t>https://www.kegg.jp/entry/G00278</t>
  </si>
  <si>
    <t>G00278 : 1</t>
  </si>
  <si>
    <t>G00278 : Stachyose</t>
  </si>
  <si>
    <t>G00293</t>
  </si>
  <si>
    <t>Trehalose</t>
  </si>
  <si>
    <t>https://www.kegg.jp/entry/G00293</t>
  </si>
  <si>
    <t>G00293 : 1</t>
  </si>
  <si>
    <t>G00293 : Trehalose</t>
  </si>
  <si>
    <t>G00370</t>
  </si>
  <si>
    <t>https://www.kegg.jp/entry/G00370</t>
  </si>
  <si>
    <t>G00370 : 1</t>
  </si>
  <si>
    <t>G00370 : Sucrose</t>
  </si>
  <si>
    <t>G00501</t>
  </si>
  <si>
    <t>Manninotriose</t>
  </si>
  <si>
    <t>https://www.kegg.jp/entry/G00501</t>
  </si>
  <si>
    <t>G00501 : 1</t>
  </si>
  <si>
    <t>G00501 : Manninotriose</t>
  </si>
  <si>
    <t>G01275</t>
  </si>
  <si>
    <t>https://www.kegg.jp/entry/G01275</t>
  </si>
  <si>
    <t>G01275 : 1</t>
  </si>
  <si>
    <t>G01275 : Melibiose</t>
  </si>
  <si>
    <t>G01318</t>
  </si>
  <si>
    <t>https://www.kegg.jp/entry/G01318</t>
  </si>
  <si>
    <t>G01318 : 1</t>
  </si>
  <si>
    <t>G01318 : Isomaltose</t>
  </si>
  <si>
    <t>G09795</t>
  </si>
  <si>
    <t>Trehalose 6-phosphate</t>
  </si>
  <si>
    <t>https://www.kegg.jp/entry/G09795</t>
  </si>
  <si>
    <t>G09795 : 1</t>
  </si>
  <si>
    <t>G09795 : Trehalose 6-phosphate</t>
  </si>
  <si>
    <t>1,4-alpha-D-Glucan</t>
  </si>
  <si>
    <t>https://www.kegg.jp/entry/G10495</t>
  </si>
  <si>
    <t>G10495 : 1</t>
  </si>
  <si>
    <t>G10495 : 1,4-alpha-D-Glucan</t>
  </si>
  <si>
    <t>G10508</t>
  </si>
  <si>
    <t>Sucrose 6'-phosphate</t>
  </si>
  <si>
    <t>https://www.kegg.jp/entry/G10508</t>
  </si>
  <si>
    <t>G10508 : 1</t>
  </si>
  <si>
    <t>G10508 : Sucrose 6'-phosphate</t>
  </si>
  <si>
    <t>https://www.kegg.jp/entry/G10545</t>
  </si>
  <si>
    <t>G10545 : 1</t>
  </si>
  <si>
    <t>G10545 : Starch</t>
  </si>
  <si>
    <t>G10610</t>
  </si>
  <si>
    <t>UDP-N-acetyl-D-glucosamine</t>
  </si>
  <si>
    <t>https://www.kegg.jp/entry/G10610</t>
  </si>
  <si>
    <t>G10610 : 1</t>
  </si>
  <si>
    <t>G10610 : UDP-N-acetyl-D-glucosamine</t>
  </si>
  <si>
    <t>G10619</t>
  </si>
  <si>
    <t>https://www.kegg.jp/entry/G10619</t>
  </si>
  <si>
    <t>G10619 : 1</t>
  </si>
  <si>
    <t>G10619 : UDP</t>
  </si>
  <si>
    <t>G13167</t>
  </si>
  <si>
    <t>alpha-Glycosylated WTA</t>
  </si>
  <si>
    <t>https://www.kegg.jp/entry/G13167</t>
  </si>
  <si>
    <t>G13167 : 1</t>
  </si>
  <si>
    <t>G13167 : alpha-Glycosylated WTA</t>
  </si>
  <si>
    <t>G13170</t>
  </si>
  <si>
    <t>beta-Glycosylated WTA</t>
  </si>
  <si>
    <t>https://www.kegg.jp/entry/G13170</t>
  </si>
  <si>
    <t>G13170 : 1</t>
  </si>
  <si>
    <t>G13170 : beta-Glycosylated WTA</t>
  </si>
  <si>
    <t>G13174</t>
  </si>
  <si>
    <t>alpha-O-GlcNAcylated WTA</t>
  </si>
  <si>
    <t>https://www.kegg.jp/entry/G13174</t>
  </si>
  <si>
    <t>G13174 : 1</t>
  </si>
  <si>
    <t>G13174 : alpha-O-GlcNAcylated WTA</t>
  </si>
  <si>
    <t>G13176</t>
  </si>
  <si>
    <t>beta-O-GlcNAcylated WTA</t>
  </si>
  <si>
    <t>https://www.kegg.jp/entry/G13176</t>
  </si>
  <si>
    <t>G13176 : 1</t>
  </si>
  <si>
    <t>G13176 : beta-O-GlcNAcylated WTA</t>
  </si>
  <si>
    <t>No</t>
  </si>
  <si>
    <t>EC_number</t>
  </si>
  <si>
    <t>Enzyme mRNA</t>
  </si>
  <si>
    <t>Enzymes</t>
  </si>
  <si>
    <t>Enzyme Turnover (/s)</t>
  </si>
  <si>
    <t>Enzyme Km (mM)</t>
  </si>
  <si>
    <t>Enzyme mRNA Objects</t>
  </si>
  <si>
    <t>Enzyme Objects</t>
  </si>
  <si>
    <t>Enzyme mRNA Initial Concentration (mM)</t>
  </si>
  <si>
    <t>Enzyme Initial Concentration (mM)</t>
  </si>
  <si>
    <t>Transcription Rate Law</t>
  </si>
  <si>
    <t>Translation Rate Law</t>
  </si>
  <si>
    <t>Transcription Equation</t>
  </si>
  <si>
    <t>Translation Equation</t>
  </si>
  <si>
    <t>1_1_1_1</t>
  </si>
  <si>
    <t>1_1_1_100</t>
  </si>
  <si>
    <t>1_1_1_133</t>
  </si>
  <si>
    <t>1_1_1_157</t>
  </si>
  <si>
    <t>1_1_1_169</t>
  </si>
  <si>
    <t>1_1_1_193</t>
  </si>
  <si>
    <t>1_1_1_205</t>
  </si>
  <si>
    <t>1_1_1_23</t>
  </si>
  <si>
    <t>1_1_1_25</t>
  </si>
  <si>
    <t>1_1_1_267</t>
  </si>
  <si>
    <t>1_1_1_27</t>
  </si>
  <si>
    <t>1_1_1_3</t>
  </si>
  <si>
    <t>1_1_1_320</t>
  </si>
  <si>
    <t>1_1_1_37</t>
  </si>
  <si>
    <t>1_1_1_4</t>
  </si>
  <si>
    <t>1_1_1_85</t>
  </si>
  <si>
    <t>1_1_1_86</t>
  </si>
  <si>
    <t>1_1_1_94</t>
  </si>
  <si>
    <t>1_1_5_3</t>
  </si>
  <si>
    <t>1_1_5_4</t>
  </si>
  <si>
    <t>1_1_99_14</t>
  </si>
  <si>
    <t>1_11_1_10</t>
  </si>
  <si>
    <t>1_11_1_24</t>
  </si>
  <si>
    <t>1_11_1_26</t>
  </si>
  <si>
    <t>1_11_1_6</t>
  </si>
  <si>
    <t>1_11_1_9</t>
  </si>
  <si>
    <t>1_13_11_11</t>
  </si>
  <si>
    <t>1_13_11_27</t>
  </si>
  <si>
    <t>1_14_12_17</t>
  </si>
  <si>
    <t>1_14_14_1</t>
  </si>
  <si>
    <t>1_14_14_18</t>
  </si>
  <si>
    <t>1_15_1_1</t>
  </si>
  <si>
    <t>1_17_1_8</t>
  </si>
  <si>
    <t>1_17_1_9</t>
  </si>
  <si>
    <t>1_17_4_1</t>
  </si>
  <si>
    <t>1_17_7_3</t>
  </si>
  <si>
    <t>1_17_7_4</t>
  </si>
  <si>
    <t>1_17_99_6</t>
  </si>
  <si>
    <t>1_2_1_10</t>
  </si>
  <si>
    <t>1_2_1_11</t>
  </si>
  <si>
    <t>1_2_1_3</t>
  </si>
  <si>
    <t>1_2_1_38</t>
  </si>
  <si>
    <t>1_2_1_41</t>
  </si>
  <si>
    <t>1_2_1_70</t>
  </si>
  <si>
    <t>1_2_1_79</t>
  </si>
  <si>
    <t>1_2_1_88</t>
  </si>
  <si>
    <t>1_2_1_9</t>
  </si>
  <si>
    <t>1_2_4_1</t>
  </si>
  <si>
    <t>1_2_4_2</t>
  </si>
  <si>
    <t>1_2_4_4</t>
  </si>
  <si>
    <t>1_20_4_4</t>
  </si>
  <si>
    <t>1_3_1_12</t>
  </si>
  <si>
    <t>1_3_1_14</t>
  </si>
  <si>
    <t>1_3_1_28</t>
  </si>
  <si>
    <t>1_3_1_34</t>
  </si>
  <si>
    <t>1_3_1_9</t>
  </si>
  <si>
    <t>1_3_1_98</t>
  </si>
  <si>
    <t>1_3_3_4</t>
  </si>
  <si>
    <t>1_3_98_5</t>
  </si>
  <si>
    <t>1_4_1_1</t>
  </si>
  <si>
    <t>1_4_1_2</t>
  </si>
  <si>
    <t>1_4_1_9</t>
  </si>
  <si>
    <t>1_4_3_16</t>
  </si>
  <si>
    <t>1_4_3_19</t>
  </si>
  <si>
    <t>1_4_4_2</t>
  </si>
  <si>
    <t>1_5_1_2</t>
  </si>
  <si>
    <t>1_5_1_20</t>
  </si>
  <si>
    <t>1_5_1_3</t>
  </si>
  <si>
    <t>1_5_1_5</t>
  </si>
  <si>
    <t>1_6_2_4</t>
  </si>
  <si>
    <t>1_6_5_9</t>
  </si>
  <si>
    <t>1_6_99_1</t>
  </si>
  <si>
    <t>1_7_1_13</t>
  </si>
  <si>
    <t>1_7_1_17</t>
  </si>
  <si>
    <t>1_7_1_4</t>
  </si>
  <si>
    <t>1_7_1_7</t>
  </si>
  <si>
    <t>1_7_99_1</t>
  </si>
  <si>
    <t>1_8_1_14</t>
  </si>
  <si>
    <t>1_8_1_4</t>
  </si>
  <si>
    <t>1_8_1_9</t>
  </si>
  <si>
    <t>1_8_4_11</t>
  </si>
  <si>
    <t>1_8_4_12</t>
  </si>
  <si>
    <t>1_8_4_8</t>
  </si>
  <si>
    <t>1_97_1_4</t>
  </si>
  <si>
    <t>2_1_1_10</t>
  </si>
  <si>
    <t>2_1_1_107</t>
  </si>
  <si>
    <t>2_1_1_13</t>
  </si>
  <si>
    <t>2_1_1_14</t>
  </si>
  <si>
    <t>2_1_1_170</t>
  </si>
  <si>
    <t>2_1_1_171</t>
  </si>
  <si>
    <t>2_1_1_172</t>
  </si>
  <si>
    <t>2_1_1_174</t>
  </si>
  <si>
    <t>2_1_1_176</t>
  </si>
  <si>
    <t>2_1_1_177</t>
  </si>
  <si>
    <t>2_1_1_182</t>
  </si>
  <si>
    <t>2_1_1_190</t>
  </si>
  <si>
    <t>2_1_1_192</t>
  </si>
  <si>
    <t>2_1_1_193</t>
  </si>
  <si>
    <t>2_1_1_197</t>
  </si>
  <si>
    <t>2_1_1_198</t>
  </si>
  <si>
    <t>2_1_1_199</t>
  </si>
  <si>
    <t>2_1_1_207</t>
  </si>
  <si>
    <t>2_1_1_223</t>
  </si>
  <si>
    <t>2_1_1_228</t>
  </si>
  <si>
    <t>2_1_1_297</t>
  </si>
  <si>
    <t>2_1_1_33</t>
  </si>
  <si>
    <t>2_1_1_45</t>
  </si>
  <si>
    <t>2_1_1_63</t>
  </si>
  <si>
    <t>2_1_1_72</t>
  </si>
  <si>
    <t>2_1_1_74</t>
  </si>
  <si>
    <t>2_1_1_79</t>
  </si>
  <si>
    <t>2_1_1_80</t>
  </si>
  <si>
    <t>2_1_2_1</t>
  </si>
  <si>
    <t>2_1_2_10</t>
  </si>
  <si>
    <t>2_1_2_11</t>
  </si>
  <si>
    <t>2_1_2_2</t>
  </si>
  <si>
    <t>2_1_2_3</t>
  </si>
  <si>
    <t>2_1_2_9</t>
  </si>
  <si>
    <t>2_1_3_2</t>
  </si>
  <si>
    <t>2_1_3_3</t>
  </si>
  <si>
    <t>2_10_1_1</t>
  </si>
  <si>
    <t>2_2_1_1</t>
  </si>
  <si>
    <t>2_2_1_6</t>
  </si>
  <si>
    <t>2_2_1_7</t>
  </si>
  <si>
    <t>2_2_1_9</t>
  </si>
  <si>
    <t>2_3_1_1</t>
  </si>
  <si>
    <t>2_3_1_12</t>
  </si>
  <si>
    <t>2_3_1_15</t>
  </si>
  <si>
    <t>2_3_1_157</t>
  </si>
  <si>
    <t>2_3_1_179</t>
  </si>
  <si>
    <t>2_3_1_180</t>
  </si>
  <si>
    <t>2_3_1_19</t>
  </si>
  <si>
    <t>2_3_1_234</t>
  </si>
  <si>
    <t>2_3_1_245</t>
  </si>
  <si>
    <t>2_3_1_266</t>
  </si>
  <si>
    <t>2_3_1_274</t>
  </si>
  <si>
    <t>2_3_1_286</t>
  </si>
  <si>
    <t>2_3_1_29</t>
  </si>
  <si>
    <t>2_3_1_30</t>
  </si>
  <si>
    <t>2_3_1_31</t>
  </si>
  <si>
    <t>2_3_1_35</t>
  </si>
  <si>
    <t>2_3_1_39</t>
  </si>
  <si>
    <t>2_3_1_46</t>
  </si>
  <si>
    <t>2_3_1_47</t>
  </si>
  <si>
    <t>2_3_1_54</t>
  </si>
  <si>
    <t>2_3_1_57</t>
  </si>
  <si>
    <t>2_3_1_61</t>
  </si>
  <si>
    <t>2_3_1_8</t>
  </si>
  <si>
    <t>2_3_1_9</t>
  </si>
  <si>
    <t>2_3_2_13</t>
  </si>
  <si>
    <t>2_3_3_1</t>
  </si>
  <si>
    <t>2_3_3_13</t>
  </si>
  <si>
    <t>2_3_3_9</t>
  </si>
  <si>
    <t>2_4_1_1</t>
  </si>
  <si>
    <t>2_4_1_129</t>
  </si>
  <si>
    <t>2_4_1_18</t>
  </si>
  <si>
    <t>2_4_1_227</t>
  </si>
  <si>
    <t>2_4_2_1</t>
  </si>
  <si>
    <t>2_4_2_10</t>
  </si>
  <si>
    <t>2_4_2_14</t>
  </si>
  <si>
    <t>2_4_2_17</t>
  </si>
  <si>
    <t>2_4_2_18</t>
  </si>
  <si>
    <t>2_4_2_19</t>
  </si>
  <si>
    <t>2_4_2_2</t>
  </si>
  <si>
    <t>2_4_2_22</t>
  </si>
  <si>
    <t>2_4_2_29</t>
  </si>
  <si>
    <t>2_4_2_7</t>
  </si>
  <si>
    <t>2_4_2_8</t>
  </si>
  <si>
    <t>2_4_2_9</t>
  </si>
  <si>
    <t>2_4_99_17</t>
  </si>
  <si>
    <t>2_5_1_10</t>
  </si>
  <si>
    <t>2_5_1_134</t>
  </si>
  <si>
    <t>2_5_1_145</t>
  </si>
  <si>
    <t>2_5_1_15</t>
  </si>
  <si>
    <t>2_5_1_16</t>
  </si>
  <si>
    <t>2_5_1_17</t>
  </si>
  <si>
    <t>2_5_1_19</t>
  </si>
  <si>
    <t>2_5_1_3</t>
  </si>
  <si>
    <t>2_5_1_47</t>
  </si>
  <si>
    <t>2_5_1_6</t>
  </si>
  <si>
    <t>2_5_1_61</t>
  </si>
  <si>
    <t>2_5_1_7</t>
  </si>
  <si>
    <t>2_5_1_72</t>
  </si>
  <si>
    <t>2_5_1_74</t>
  </si>
  <si>
    <t>2_5_1_75</t>
  </si>
  <si>
    <t>2_5_1_78</t>
  </si>
  <si>
    <t>2_5_1_9</t>
  </si>
  <si>
    <t>2_6_1_1</t>
  </si>
  <si>
    <t>2_6_1_11</t>
  </si>
  <si>
    <t>2_6_1_13</t>
  </si>
  <si>
    <t>2_6_1_16</t>
  </si>
  <si>
    <t>2_6_1_19</t>
  </si>
  <si>
    <t>2_6_1_21</t>
  </si>
  <si>
    <t>2_6_1_37</t>
  </si>
  <si>
    <t>2_6_1_42</t>
  </si>
  <si>
    <t>2_6_1_52</t>
  </si>
  <si>
    <t>2_6_1_62</t>
  </si>
  <si>
    <t>2_6_1_83</t>
  </si>
  <si>
    <t>2_6_1_85</t>
  </si>
  <si>
    <t>2_6_1_9</t>
  </si>
  <si>
    <t>2_7_1_100</t>
  </si>
  <si>
    <t>2_7_1_107</t>
  </si>
  <si>
    <t>2_7_1_11</t>
  </si>
  <si>
    <t>2_7_1_12</t>
  </si>
  <si>
    <t>2_7_1_121</t>
  </si>
  <si>
    <t>2_7_1_148</t>
  </si>
  <si>
    <t>2_7_1_15</t>
  </si>
  <si>
    <t>2_7_1_170</t>
  </si>
  <si>
    <t>2_7_1_189</t>
  </si>
  <si>
    <t>2_7_1_193</t>
  </si>
  <si>
    <t>2_7_1_199</t>
  </si>
  <si>
    <t>2_7_1_2</t>
  </si>
  <si>
    <t>2_7_1_201</t>
  </si>
  <si>
    <t>2_7_1_205</t>
  </si>
  <si>
    <t>2_7_1_21</t>
  </si>
  <si>
    <t>2_7_1_211</t>
  </si>
  <si>
    <t>2_7_1_23</t>
  </si>
  <si>
    <t>2_7_1_24</t>
  </si>
  <si>
    <t>2_7_1_25</t>
  </si>
  <si>
    <t>2_7_1_26</t>
  </si>
  <si>
    <t>2_7_1_30</t>
  </si>
  <si>
    <t>2_7_1_31</t>
  </si>
  <si>
    <t>2_7_1_33</t>
  </si>
  <si>
    <t>2_7_1_39</t>
  </si>
  <si>
    <t>2_7_1_40</t>
  </si>
  <si>
    <t>2_7_1_48</t>
  </si>
  <si>
    <t>2_7_1_49</t>
  </si>
  <si>
    <t>2_7_1_50</t>
  </si>
  <si>
    <t>2_7_1_56</t>
  </si>
  <si>
    <t>2_7_1_66</t>
  </si>
  <si>
    <t>2_7_1_71</t>
  </si>
  <si>
    <t>2_7_10_2</t>
  </si>
  <si>
    <t>2_7_11_1</t>
  </si>
  <si>
    <t>2_7_11_33</t>
  </si>
  <si>
    <t>2_7_13_3</t>
  </si>
  <si>
    <t>2_7_14_1</t>
  </si>
  <si>
    <t>2_7_2_11</t>
  </si>
  <si>
    <t>2_7_2_2</t>
  </si>
  <si>
    <t>2_7_2_3</t>
  </si>
  <si>
    <t>2_7_2_4</t>
  </si>
  <si>
    <t>2_7_2_7</t>
  </si>
  <si>
    <t>2_7_2_8</t>
  </si>
  <si>
    <t>2_7_3_9</t>
  </si>
  <si>
    <t>2_7_4_1</t>
  </si>
  <si>
    <t>2_7_4_22</t>
  </si>
  <si>
    <t>2_7_4_25</t>
  </si>
  <si>
    <t>2_7_4_28</t>
  </si>
  <si>
    <t>2_7_4_3</t>
  </si>
  <si>
    <t>2_7_4_6</t>
  </si>
  <si>
    <t>2_7_4_7</t>
  </si>
  <si>
    <t>2_7_4_8</t>
  </si>
  <si>
    <t>2_7_4_9</t>
  </si>
  <si>
    <t>2_7_6_1</t>
  </si>
  <si>
    <t>2_7_6_2</t>
  </si>
  <si>
    <t>2_7_6_3</t>
  </si>
  <si>
    <t>2_7_6_5</t>
  </si>
  <si>
    <t>2_7_7_2</t>
  </si>
  <si>
    <t>2_7_7_23</t>
  </si>
  <si>
    <t>2_7_7_27</t>
  </si>
  <si>
    <t>2_7_7_3</t>
  </si>
  <si>
    <t>2_7_7_33</t>
  </si>
  <si>
    <t>2_7_7_4</t>
  </si>
  <si>
    <t>2_7_7_41</t>
  </si>
  <si>
    <t>2_7_7_49</t>
  </si>
  <si>
    <t>2_7_7_56</t>
  </si>
  <si>
    <t>2_7_7_6</t>
  </si>
  <si>
    <t>2_7_7_60</t>
  </si>
  <si>
    <t>2_7_7_65</t>
  </si>
  <si>
    <t>2_7_7_7</t>
  </si>
  <si>
    <t>2_7_7_72</t>
  </si>
  <si>
    <t>2_7_7_77</t>
  </si>
  <si>
    <t>2_7_7_8</t>
  </si>
  <si>
    <t>2_7_7_85</t>
  </si>
  <si>
    <t>2_7_7_87</t>
  </si>
  <si>
    <t>2_7_7_9</t>
  </si>
  <si>
    <t>2_7_8_13</t>
  </si>
  <si>
    <t>2_7_8_5</t>
  </si>
  <si>
    <t>2_7_8_7</t>
  </si>
  <si>
    <t>2_7_8_8</t>
  </si>
  <si>
    <t>2_7_9_2</t>
  </si>
  <si>
    <t>2_8_1_10</t>
  </si>
  <si>
    <t>2_8_1_13</t>
  </si>
  <si>
    <t>2_8_1_4</t>
  </si>
  <si>
    <t>2_8_1_6</t>
  </si>
  <si>
    <t>2_8_1_7</t>
  </si>
  <si>
    <t>2_8_1_8</t>
  </si>
  <si>
    <t>2_8_3_8</t>
  </si>
  <si>
    <t>2_8_4_3</t>
  </si>
  <si>
    <t>3_1_1_1</t>
  </si>
  <si>
    <t>3_1_1_103</t>
  </si>
  <si>
    <t>3_1_1_29</t>
  </si>
  <si>
    <t>3_1_1_96</t>
  </si>
  <si>
    <t>3_1_1_99</t>
  </si>
  <si>
    <t>3_1_11_6</t>
  </si>
  <si>
    <t>3_1_2_20</t>
  </si>
  <si>
    <t>3_1_21_2</t>
  </si>
  <si>
    <t>3_1_21_3</t>
  </si>
  <si>
    <t>3_1_26_11</t>
  </si>
  <si>
    <t>3_1_26_4</t>
  </si>
  <si>
    <t>3_1_26_5</t>
  </si>
  <si>
    <t>3_1_26_8</t>
  </si>
  <si>
    <t>3_1_3_1</t>
  </si>
  <si>
    <t>3_1_3_11</t>
  </si>
  <si>
    <t>3_1_3_16</t>
  </si>
  <si>
    <t>3_1_3_3</t>
  </si>
  <si>
    <t>3_1_3_48</t>
  </si>
  <si>
    <t>3_1_3_5</t>
  </si>
  <si>
    <t>3_1_3_7</t>
  </si>
  <si>
    <t>3_1_3_87</t>
  </si>
  <si>
    <t>3_11_1_1</t>
  </si>
  <si>
    <t>3_2_1_1</t>
  </si>
  <si>
    <t>3_2_1_10</t>
  </si>
  <si>
    <t>3_2_1_26</t>
  </si>
  <si>
    <t>3_2_1_41</t>
  </si>
  <si>
    <t>3_2_1_86</t>
  </si>
  <si>
    <t>3_2_1_93</t>
  </si>
  <si>
    <t>3_2_2_16</t>
  </si>
  <si>
    <t>3_2_2_23</t>
  </si>
  <si>
    <t>3_2_2_27</t>
  </si>
  <si>
    <t>3_2_2_9</t>
  </si>
  <si>
    <t>3_4_11_18</t>
  </si>
  <si>
    <t>3_4_11_4</t>
  </si>
  <si>
    <t>3_4_13_19</t>
  </si>
  <si>
    <t>3_4_13_21</t>
  </si>
  <si>
    <t>3_4_13_9</t>
  </si>
  <si>
    <t>3_4_16_4</t>
  </si>
  <si>
    <t>3_4_17_19</t>
  </si>
  <si>
    <t>3_4_19_3</t>
  </si>
  <si>
    <t>3_4_21_116</t>
  </si>
  <si>
    <t>3_4_21_53</t>
  </si>
  <si>
    <t>3_4_21_88</t>
  </si>
  <si>
    <t>3_4_21_89</t>
  </si>
  <si>
    <t>3_4_21_92</t>
  </si>
  <si>
    <t>3_4_22_71</t>
  </si>
  <si>
    <t>3_4_23_36</t>
  </si>
  <si>
    <t>3_4_24_78</t>
  </si>
  <si>
    <t>3_4_25_2</t>
  </si>
  <si>
    <t>3_5_1_1</t>
  </si>
  <si>
    <t>3_5_1_105</t>
  </si>
  <si>
    <t>3_5_1_14</t>
  </si>
  <si>
    <t>3_5_1_16</t>
  </si>
  <si>
    <t>3_5_1_2</t>
  </si>
  <si>
    <t>3_5_1_24</t>
  </si>
  <si>
    <t>3_5_1_25</t>
  </si>
  <si>
    <t>3_5_1_28</t>
  </si>
  <si>
    <t>3_5_1_49</t>
  </si>
  <si>
    <t>3_5_1_88</t>
  </si>
  <si>
    <t>3_5_1_9</t>
  </si>
  <si>
    <t>3_5_2_3</t>
  </si>
  <si>
    <t>3_5_2_6</t>
  </si>
  <si>
    <t>3_5_2_7</t>
  </si>
  <si>
    <t>3_5_2_9</t>
  </si>
  <si>
    <t>3_5_3_1</t>
  </si>
  <si>
    <t>3_5_3_11</t>
  </si>
  <si>
    <t>3_5_3_6</t>
  </si>
  <si>
    <t>3_5_3_8</t>
  </si>
  <si>
    <t>3_5_4_10</t>
  </si>
  <si>
    <t>3_5_4_16</t>
  </si>
  <si>
    <t>3_5_4_19</t>
  </si>
  <si>
    <t>3_5_4_25</t>
  </si>
  <si>
    <t>3_5_4_26</t>
  </si>
  <si>
    <t>3_5_4_33</t>
  </si>
  <si>
    <t>3_5_4_5</t>
  </si>
  <si>
    <t>3_5_4_9</t>
  </si>
  <si>
    <t>3_5_99_6</t>
  </si>
  <si>
    <t>3_6_1_1</t>
  </si>
  <si>
    <t>3_6_1_27</t>
  </si>
  <si>
    <t>3_6_1_31</t>
  </si>
  <si>
    <t>3_6_1_41</t>
  </si>
  <si>
    <t>3_6_1_66</t>
  </si>
  <si>
    <t>3_6_1_9</t>
  </si>
  <si>
    <t>3_6_4_12</t>
  </si>
  <si>
    <t>3_7_1_3</t>
  </si>
  <si>
    <t>4_1_1_11</t>
  </si>
  <si>
    <t>4_1_1_19</t>
  </si>
  <si>
    <t>4_1_1_20</t>
  </si>
  <si>
    <t>4_1_1_21</t>
  </si>
  <si>
    <t>4_1_1_23</t>
  </si>
  <si>
    <t>4_1_1_36</t>
  </si>
  <si>
    <t>4_1_1_37</t>
  </si>
  <si>
    <t>4_1_1_48</t>
  </si>
  <si>
    <t>4_1_1_49</t>
  </si>
  <si>
    <t>4_1_1_5</t>
  </si>
  <si>
    <t>4_1_1_50</t>
  </si>
  <si>
    <t>4_1_1_65</t>
  </si>
  <si>
    <t>4_1_2_13</t>
  </si>
  <si>
    <t>4_1_2_17</t>
  </si>
  <si>
    <t>4_1_2_25</t>
  </si>
  <si>
    <t>4_1_2_4</t>
  </si>
  <si>
    <t>4_1_2_50</t>
  </si>
  <si>
    <t>4_1_3_1</t>
  </si>
  <si>
    <t>4_1_3_27</t>
  </si>
  <si>
    <t>4_1_3_30</t>
  </si>
  <si>
    <t>4_1_3_36</t>
  </si>
  <si>
    <t>4_1_3_38</t>
  </si>
  <si>
    <t>4_1_3_4</t>
  </si>
  <si>
    <t>4_1_99_12</t>
  </si>
  <si>
    <t>4_1_99_14</t>
  </si>
  <si>
    <t>4_1_99_17</t>
  </si>
  <si>
    <t>4_1_99_22</t>
  </si>
  <si>
    <t>4_1_99_3</t>
  </si>
  <si>
    <t>4_2_1_10</t>
  </si>
  <si>
    <t>4_2_1_109</t>
  </si>
  <si>
    <t>4_2_1_11</t>
  </si>
  <si>
    <t>4_2_1_113</t>
  </si>
  <si>
    <t>4_2_1_126</t>
  </si>
  <si>
    <t>4_2_1_17</t>
  </si>
  <si>
    <t>4_2_1_19</t>
  </si>
  <si>
    <t>4_2_1_2</t>
  </si>
  <si>
    <t>4_2_1_20</t>
  </si>
  <si>
    <t>4_2_1_24</t>
  </si>
  <si>
    <t>4_2_1_3</t>
  </si>
  <si>
    <t>4_2_1_33</t>
  </si>
  <si>
    <t>4_2_1_45</t>
  </si>
  <si>
    <t>4_2_1_46</t>
  </si>
  <si>
    <t>4_2_1_49</t>
  </si>
  <si>
    <t>4_2_1_51</t>
  </si>
  <si>
    <t>4_2_1_59</t>
  </si>
  <si>
    <t>4_2_1_75</t>
  </si>
  <si>
    <t>4_2_1_79</t>
  </si>
  <si>
    <t>4_2_1_9</t>
  </si>
  <si>
    <t>4_2_1_96</t>
  </si>
  <si>
    <t>4_2_3_1</t>
  </si>
  <si>
    <t>4_2_3_3</t>
  </si>
  <si>
    <t>4_2_3_4</t>
  </si>
  <si>
    <t>4_2_3_5</t>
  </si>
  <si>
    <t>4_2_99_20</t>
  </si>
  <si>
    <t>4_3_1_1</t>
  </si>
  <si>
    <t>4_3_1_17</t>
  </si>
  <si>
    <t>4_3_1_19</t>
  </si>
  <si>
    <t>4_3_1_3</t>
  </si>
  <si>
    <t>4_3_2_1</t>
  </si>
  <si>
    <t>4_3_2_10</t>
  </si>
  <si>
    <t>4_3_2_2</t>
  </si>
  <si>
    <t>4_3_3_6</t>
  </si>
  <si>
    <t>4_3_3_7</t>
  </si>
  <si>
    <t>4_3_99_3</t>
  </si>
  <si>
    <t>4_4_1_11</t>
  </si>
  <si>
    <t>4_4_1_13</t>
  </si>
  <si>
    <t>4_4_1_15</t>
  </si>
  <si>
    <t>4_4_1_21</t>
  </si>
  <si>
    <t>4_6_1_12</t>
  </si>
  <si>
    <t>4_6_1_13</t>
  </si>
  <si>
    <t>4_6_1_17</t>
  </si>
  <si>
    <t>5_1_1_1</t>
  </si>
  <si>
    <t>5_1_1_3</t>
  </si>
  <si>
    <t>5_1_1_7</t>
  </si>
  <si>
    <t>5_1_3_1</t>
  </si>
  <si>
    <t>5_1_3_13</t>
  </si>
  <si>
    <t>5_1_3_14</t>
  </si>
  <si>
    <t>5_1_3_2</t>
  </si>
  <si>
    <t>5_2_1_8</t>
  </si>
  <si>
    <t>5_3_1_1</t>
  </si>
  <si>
    <t>5_3_1_16</t>
  </si>
  <si>
    <t>5_3_1_23</t>
  </si>
  <si>
    <t>5_3_1_24</t>
  </si>
  <si>
    <t>5_3_1_6</t>
  </si>
  <si>
    <t>5_3_1_9</t>
  </si>
  <si>
    <t>5_3_2_5</t>
  </si>
  <si>
    <t>5_3_2_6</t>
  </si>
  <si>
    <t>5_3_3_2</t>
  </si>
  <si>
    <t>5_4_2_10</t>
  </si>
  <si>
    <t>5_4_2_11</t>
  </si>
  <si>
    <t>5_4_2_12</t>
  </si>
  <si>
    <t>5_4_2_7</t>
  </si>
  <si>
    <t>5_4_3_2</t>
  </si>
  <si>
    <t>5_4_3_8</t>
  </si>
  <si>
    <t>5_4_4_2</t>
  </si>
  <si>
    <t>5_4_99_12</t>
  </si>
  <si>
    <t>5_4_99_18</t>
  </si>
  <si>
    <t>5_4_99_21</t>
  </si>
  <si>
    <t>5_4_99_22</t>
  </si>
  <si>
    <t>5_4_99_25</t>
  </si>
  <si>
    <t>5_4_99_62</t>
  </si>
  <si>
    <t>5_6_2_1</t>
  </si>
  <si>
    <t>5_6_2_2</t>
  </si>
  <si>
    <t>6_1_1_1</t>
  </si>
  <si>
    <t>6_1_1_10</t>
  </si>
  <si>
    <t>6_1_1_12</t>
  </si>
  <si>
    <t>6_1_1_13</t>
  </si>
  <si>
    <t>6_1_1_15</t>
  </si>
  <si>
    <t>6_1_1_16</t>
  </si>
  <si>
    <t>6_1_1_17</t>
  </si>
  <si>
    <t>6_1_1_19</t>
  </si>
  <si>
    <t>6_1_1_2</t>
  </si>
  <si>
    <t>6_1_1_20</t>
  </si>
  <si>
    <t>6_1_1_21</t>
  </si>
  <si>
    <t>6_1_1_22</t>
  </si>
  <si>
    <t>6_1_1_23</t>
  </si>
  <si>
    <t>6_1_1_3</t>
  </si>
  <si>
    <t>6_1_1_4</t>
  </si>
  <si>
    <t>6_1_1_5</t>
  </si>
  <si>
    <t>6_1_1_6</t>
  </si>
  <si>
    <t>6_1_1_7</t>
  </si>
  <si>
    <t>6_1_1_9</t>
  </si>
  <si>
    <t>6_2_1_1</t>
  </si>
  <si>
    <t>6_2_1_26</t>
  </si>
  <si>
    <t>6_2_1_3</t>
  </si>
  <si>
    <t>6_2_1_5</t>
  </si>
  <si>
    <t>6_3_1_1</t>
  </si>
  <si>
    <t>6_3_1_2</t>
  </si>
  <si>
    <t>6_3_1_20</t>
  </si>
  <si>
    <t>6_3_1_5</t>
  </si>
  <si>
    <t>6_3_2_10</t>
  </si>
  <si>
    <t>6_3_2_12</t>
  </si>
  <si>
    <t>6_3_2_13</t>
  </si>
  <si>
    <t>6_3_2_17</t>
  </si>
  <si>
    <t>6_3_2_4</t>
  </si>
  <si>
    <t>6_3_2_5</t>
  </si>
  <si>
    <t>6_3_2_6</t>
  </si>
  <si>
    <t>6_3_2_8</t>
  </si>
  <si>
    <t>6_3_2_9</t>
  </si>
  <si>
    <t>6_3_3_1</t>
  </si>
  <si>
    <t>6_3_3_2</t>
  </si>
  <si>
    <t>6_3_3_3</t>
  </si>
  <si>
    <t>6_3_4_13</t>
  </si>
  <si>
    <t>6_3_4_14</t>
  </si>
  <si>
    <t>6_3_4_15</t>
  </si>
  <si>
    <t>6_3_4_18</t>
  </si>
  <si>
    <t>6_3_4_19</t>
  </si>
  <si>
    <t>6_3_4_2</t>
  </si>
  <si>
    <t>6_3_4_20</t>
  </si>
  <si>
    <t>6_3_4_21</t>
  </si>
  <si>
    <t>6_3_4_3</t>
  </si>
  <si>
    <t>6_3_4_4</t>
  </si>
  <si>
    <t>6_3_4_5</t>
  </si>
  <si>
    <t>6_3_5_2</t>
  </si>
  <si>
    <t>6_3_5_3</t>
  </si>
  <si>
    <t>6_3_5_4</t>
  </si>
  <si>
    <t>6_3_5_5</t>
  </si>
  <si>
    <t>6_4_1_1</t>
  </si>
  <si>
    <t>6_4_1_2</t>
  </si>
  <si>
    <t>6_5_1_2</t>
  </si>
  <si>
    <t>7_1_1_2</t>
  </si>
  <si>
    <t>7_1_1_9</t>
  </si>
  <si>
    <t>7_1_2_2</t>
  </si>
  <si>
    <t>7_2_2_10</t>
  </si>
  <si>
    <t>7_2_2_14</t>
  </si>
  <si>
    <t>7_2_2_6</t>
  </si>
  <si>
    <t>7_3_2_1</t>
  </si>
  <si>
    <t>7_3_2_2</t>
  </si>
  <si>
    <t>7_4_2_11</t>
  </si>
  <si>
    <t>7_5_2_7</t>
  </si>
  <si>
    <t>7_6_2_14</t>
  </si>
  <si>
    <t>7_6_2_7</t>
  </si>
  <si>
    <t>No.</t>
  </si>
  <si>
    <t>Reactants (Addition)</t>
  </si>
  <si>
    <t>Reactants (Multiplication)</t>
  </si>
  <si>
    <t>Products (Addition)</t>
  </si>
  <si>
    <t>Products (Multiplication)</t>
  </si>
  <si>
    <t>Rate Law</t>
  </si>
  <si>
    <t>Equation</t>
  </si>
  <si>
    <t>C00226 + C00003</t>
  </si>
  <si>
    <t>C00226 * C00003</t>
  </si>
  <si>
    <t>C00071 + C00004 + C00080</t>
  </si>
  <si>
    <t>C00071 * C00004 * C00080</t>
  </si>
  <si>
    <t>C01612 + C00003</t>
  </si>
  <si>
    <t>C01612 * C00003</t>
  </si>
  <si>
    <t>C01450 + C00004 + C00080</t>
  </si>
  <si>
    <t>C01450 * C00004 * C00080</t>
  </si>
  <si>
    <t>C00469 + C00003</t>
  </si>
  <si>
    <t>C00469 * C00003</t>
  </si>
  <si>
    <t>C00084 + C00004 + C00080</t>
  </si>
  <si>
    <t>C00084 * C00004 * C00080</t>
  </si>
  <si>
    <t>C00473 + C00003</t>
  </si>
  <si>
    <t>C00473 * C00003</t>
  </si>
  <si>
    <t>C00376 + C00004 + C00080</t>
  </si>
  <si>
    <t>C00376 * C00004 * C00080</t>
  </si>
  <si>
    <t>C00418 + C00003</t>
  </si>
  <si>
    <t>C00418 * C00003</t>
  </si>
  <si>
    <t>C00772 + C00004 + C00080</t>
  </si>
  <si>
    <t>C00772 * C00004 * C00080</t>
  </si>
  <si>
    <t>C00756 + C00003</t>
  </si>
  <si>
    <t>C00756 * C00003</t>
  </si>
  <si>
    <t>C01545 + C00004 + C00080</t>
  </si>
  <si>
    <t>C01545 * C00004 * C00080</t>
  </si>
  <si>
    <t>C05444 + C00003</t>
  </si>
  <si>
    <t>C05444 * C00003</t>
  </si>
  <si>
    <t>C05445 + C00004 + C00080</t>
  </si>
  <si>
    <t>C05445 * C00004 * C00080</t>
  </si>
  <si>
    <t>C05576 + C00003</t>
  </si>
  <si>
    <t>C05576 * C00003</t>
  </si>
  <si>
    <t>C05577 + C00004 + C00080</t>
  </si>
  <si>
    <t>C05577 * C00004 * C00080</t>
  </si>
  <si>
    <t>C06611 + C00003</t>
  </si>
  <si>
    <t>C06611 * C00003</t>
  </si>
  <si>
    <t>C06613 + C00004 + C00080</t>
  </si>
  <si>
    <t>C06613 * C00004 * C00080</t>
  </si>
  <si>
    <t>C06612 + C00003</t>
  </si>
  <si>
    <t>C06612 * C00003</t>
  </si>
  <si>
    <t>C16348 + C00004 + C00080</t>
  </si>
  <si>
    <t>C16348 * C00004 * C00080</t>
  </si>
  <si>
    <t>C14089 + C00003</t>
  </si>
  <si>
    <t>C14089 * C00003</t>
  </si>
  <si>
    <t>C14090 + C00004 + C00080</t>
  </si>
  <si>
    <t>C14090 * C00004 * C00080</t>
  </si>
  <si>
    <t>C02909 + C00003</t>
  </si>
  <si>
    <t>C02909 * C00003</t>
  </si>
  <si>
    <t>C14099 + C00004 + C00080</t>
  </si>
  <si>
    <t>C14099 * C00004 * C00080</t>
  </si>
  <si>
    <t>C06899 + C00004 + C00080</t>
  </si>
  <si>
    <t>C06899 * C00004 * C00080</t>
  </si>
  <si>
    <t>C07490 + C00003 + C00001</t>
  </si>
  <si>
    <t>C07490 * C00003 * C00001</t>
  </si>
  <si>
    <t>C07645 + C00004 + C00080</t>
  </si>
  <si>
    <t>C07645 * C00004 * C00080</t>
  </si>
  <si>
    <t>C16551 + C00003</t>
  </si>
  <si>
    <t>C16551 * C00003</t>
  </si>
  <si>
    <t>C16586 + C00003</t>
  </si>
  <si>
    <t>C16586 * C00003</t>
  </si>
  <si>
    <t>C16587 + C00004 + C00080</t>
  </si>
  <si>
    <t>C16587 * C00004 * C00080</t>
  </si>
  <si>
    <t>C16595 + C00003</t>
  </si>
  <si>
    <t>C16595 * C00003</t>
  </si>
  <si>
    <t>C16596 + C00004 + C00080</t>
  </si>
  <si>
    <t>C16596 * C00004 * C00080</t>
  </si>
  <si>
    <t>C00114 + C00003</t>
  </si>
  <si>
    <t>C00114 * C00003</t>
  </si>
  <si>
    <t>C00576 + C00004 + C00080</t>
  </si>
  <si>
    <t>C00576 * C00004 * C00080</t>
  </si>
  <si>
    <t>C00114 + C00006</t>
  </si>
  <si>
    <t>C00114 * C00006</t>
  </si>
  <si>
    <t>C00576 + C00005 + C00080</t>
  </si>
  <si>
    <t>C00576 * C00005 * C00080</t>
  </si>
  <si>
    <t>C16310 + C00004 + C00080</t>
  </si>
  <si>
    <t>C16310 * C00004 * C00080</t>
  </si>
  <si>
    <t>C08492 + C00003</t>
  </si>
  <si>
    <t>C08492 * C00003</t>
  </si>
  <si>
    <t>C01271 + C00006</t>
  </si>
  <si>
    <t>C01271 * C00006</t>
  </si>
  <si>
    <t>C00685 + C00005 + C00080</t>
  </si>
  <si>
    <t>C00685 * C00005 * C00080</t>
  </si>
  <si>
    <t>C04618 + C00006</t>
  </si>
  <si>
    <t>C04618 * C00006</t>
  </si>
  <si>
    <t>C05744 + C00005 + C00080</t>
  </si>
  <si>
    <t>C05744 * C00005 * C00080</t>
  </si>
  <si>
    <t>C04619 + C00006</t>
  </si>
  <si>
    <t>C04619 * C00006</t>
  </si>
  <si>
    <t>C05753 + C00005</t>
  </si>
  <si>
    <t>C05753 * C00005</t>
  </si>
  <si>
    <t>C04620 + C00006</t>
  </si>
  <si>
    <t>C04620 * C00006</t>
  </si>
  <si>
    <t>C05750 + C00005 + C00080</t>
  </si>
  <si>
    <t>C05750 * C00005 * C00080</t>
  </si>
  <si>
    <t>C04633 + C00006</t>
  </si>
  <si>
    <t>C04633 * C00006</t>
  </si>
  <si>
    <t>C05762 + C00005 + C00080</t>
  </si>
  <si>
    <t>C05762 * C00005 * C00080</t>
  </si>
  <si>
    <t>C04688 + C00006</t>
  </si>
  <si>
    <t>C04688 * C00006</t>
  </si>
  <si>
    <t>C05759 + C00005 + C00080</t>
  </si>
  <si>
    <t>C05759 * C00005 * C00080</t>
  </si>
  <si>
    <t>C05747 + C00006</t>
  </si>
  <si>
    <t>C05747 * C00006</t>
  </si>
  <si>
    <t>C05746 + C00005 + C00080</t>
  </si>
  <si>
    <t>C05746 * C00005 * C00080</t>
  </si>
  <si>
    <t>C05757 + C00006</t>
  </si>
  <si>
    <t>C05757 * C00006</t>
  </si>
  <si>
    <t>C05756 + C00005 + C00080</t>
  </si>
  <si>
    <t>C05756 * C00005 * C00080</t>
  </si>
  <si>
    <t>C16219 + C00005 + C00080</t>
  </si>
  <si>
    <t>C16219 * C00005 * C00080</t>
  </si>
  <si>
    <t>C16220 + C00006</t>
  </si>
  <si>
    <t>C16220 * C00006</t>
  </si>
  <si>
    <t>C20372 + C00005 + C00080</t>
  </si>
  <si>
    <t>C20372 * C00005 * C00080</t>
  </si>
  <si>
    <t>C20373 + C00006</t>
  </si>
  <si>
    <t>C20373 * C00006</t>
  </si>
  <si>
    <t>C20376 + C00005 + C00080</t>
  </si>
  <si>
    <t>C20376 * C00005 * C00080</t>
  </si>
  <si>
    <t>C20377 + C00006</t>
  </si>
  <si>
    <t>C20377 * C00006</t>
  </si>
  <si>
    <t>C03319 + C00006</t>
  </si>
  <si>
    <t>C03319 * C00006</t>
  </si>
  <si>
    <t>C00688 + C00005 + C00080</t>
  </si>
  <si>
    <t>C00688 * C00005 * C00080</t>
  </si>
  <si>
    <t>C01144 + C00006</t>
  </si>
  <si>
    <t>C01144 * C00006</t>
  </si>
  <si>
    <t>C00332 + C00005 + C00080</t>
  </si>
  <si>
    <t>C00332 * C00005 * C00080</t>
  </si>
  <si>
    <t>C05116 + C00006</t>
  </si>
  <si>
    <t>C05116 * C00006</t>
  </si>
  <si>
    <t>C14145 + C00003</t>
  </si>
  <si>
    <t>C14145 * C00003</t>
  </si>
  <si>
    <t>C02232 + C00004 + C00080</t>
  </si>
  <si>
    <t>C02232 * C00004 * C00080</t>
  </si>
  <si>
    <t>C00522 + C00006</t>
  </si>
  <si>
    <t>C00522 * C00006</t>
  </si>
  <si>
    <t>C00966 + C00005 + C00080</t>
  </si>
  <si>
    <t>C00966 * C00005 * C00080</t>
  </si>
  <si>
    <t>C04454 + C00006</t>
  </si>
  <si>
    <t>C04454 * C00006</t>
  </si>
  <si>
    <t>C01268 + C00005 + C00080</t>
  </si>
  <si>
    <t>C01268 * C00005 * C00080</t>
  </si>
  <si>
    <t>C00130 + C00003 + C00001</t>
  </si>
  <si>
    <t>C00130 * C00003 * C00001</t>
  </si>
  <si>
    <t>C00655 + C00004 + C00080</t>
  </si>
  <si>
    <t>C00655 * C00004 * C00080</t>
  </si>
  <si>
    <t>C04646 + C00003 + C00001</t>
  </si>
  <si>
    <t>C04646 * C00003 * C00001</t>
  </si>
  <si>
    <t>C16618 + C00004 + C00080</t>
  </si>
  <si>
    <t>C16618 * C00004 * C00080</t>
  </si>
  <si>
    <t>C00860 + C00003 + C00001</t>
  </si>
  <si>
    <t>C00860 * C00003 * C00001</t>
  </si>
  <si>
    <t>C00135 + C00004 + C00080</t>
  </si>
  <si>
    <t>C00135 * C00004 * C00080</t>
  </si>
  <si>
    <t>C01929 + C00001 + C00003</t>
  </si>
  <si>
    <t>C01929 * C00001 * C00003</t>
  </si>
  <si>
    <t>C00860 + C00003</t>
  </si>
  <si>
    <t>C00860 * C00003</t>
  </si>
  <si>
    <t>C01929 + C00004 + C00080</t>
  </si>
  <si>
    <t>C01929 * C00004 * C00080</t>
  </si>
  <si>
    <t>C00493 + C00006</t>
  </si>
  <si>
    <t>C00493 * C00006</t>
  </si>
  <si>
    <t>C02637 + C00005 + C00080</t>
  </si>
  <si>
    <t>C02637 * C00005 * C00080</t>
  </si>
  <si>
    <t>C02637 + C00006</t>
  </si>
  <si>
    <t>C02637 * C00006</t>
  </si>
  <si>
    <t>C22438 + C00005 + C00080</t>
  </si>
  <si>
    <t>C22438 * C00005 * C00080</t>
  </si>
  <si>
    <t>C11434 + C00006</t>
  </si>
  <si>
    <t>C11434 * C00006</t>
  </si>
  <si>
    <t>C11437 + C00005 + C00080</t>
  </si>
  <si>
    <t>C11437 * C00005 * C00080</t>
  </si>
  <si>
    <t>C00263 + C00003</t>
  </si>
  <si>
    <t>C00263 * C00003</t>
  </si>
  <si>
    <t>C00441 + C00004 + C00080</t>
  </si>
  <si>
    <t>C00441 * C00004 * C00080</t>
  </si>
  <si>
    <t>C00263 + C00006</t>
  </si>
  <si>
    <t>C00263 * C00006</t>
  </si>
  <si>
    <t>C00441 + C00005 + C00080</t>
  </si>
  <si>
    <t>C00441 * C00005 * C00080</t>
  </si>
  <si>
    <t>C20227 + C00006</t>
  </si>
  <si>
    <t>C20227 * C00006</t>
  </si>
  <si>
    <t>C20226 + C00005 + C00080</t>
  </si>
  <si>
    <t>C20226 * C00005 * C00080</t>
  </si>
  <si>
    <t>C00149 + C00003</t>
  </si>
  <si>
    <t>C00149 * C00003</t>
  </si>
  <si>
    <t>C00036 + C00004 + C00080</t>
  </si>
  <si>
    <t>C00036 * C00004 * C00080</t>
  </si>
  <si>
    <t>C11537 + C00003</t>
  </si>
  <si>
    <t>C11537 * C00003</t>
  </si>
  <si>
    <t>C05528 + C00004 + C00080</t>
  </si>
  <si>
    <t>C05528 * C00004 * C00080</t>
  </si>
  <si>
    <t>C03044 + C00003</t>
  </si>
  <si>
    <t>C03044 * C00003</t>
  </si>
  <si>
    <t>C00810 + C00004 + C00080</t>
  </si>
  <si>
    <t>C00810 * C00004 * C00080</t>
  </si>
  <si>
    <t>C00109 + C00011 + C00004 + C00080</t>
  </si>
  <si>
    <t>C00109 * C00011 * C00004 * C00080</t>
  </si>
  <si>
    <t>C06032 + C00003</t>
  </si>
  <si>
    <t>C06032 * C00003</t>
  </si>
  <si>
    <t>C00233 + C00011</t>
  </si>
  <si>
    <t>C00233 * C00011</t>
  </si>
  <si>
    <t>C04411 + C00003</t>
  </si>
  <si>
    <t>C04411 * C00003</t>
  </si>
  <si>
    <t>C04236 + C00004 + C00080</t>
  </si>
  <si>
    <t>C04236 * C00004 * C00080</t>
  </si>
  <si>
    <t>C00233 + C00011 + C00004 + C00080</t>
  </si>
  <si>
    <t>C00233 * C00011 * C00004 * C00080</t>
  </si>
  <si>
    <t>C00900 + C00005 + C00080</t>
  </si>
  <si>
    <t>C00900 * C00005 * C00080</t>
  </si>
  <si>
    <t>C04039 + C00006</t>
  </si>
  <si>
    <t>C04039 * C00006</t>
  </si>
  <si>
    <t>C04272 + C00006</t>
  </si>
  <si>
    <t>C04272 * C00006</t>
  </si>
  <si>
    <t>C06010 + C00005 + C00080</t>
  </si>
  <si>
    <t>C06010 * C00005 * C00080</t>
  </si>
  <si>
    <t>C04181 + C00005 + C00080</t>
  </si>
  <si>
    <t>C04181 * C00005 * C00080</t>
  </si>
  <si>
    <t>C06007 + C00006</t>
  </si>
  <si>
    <t>C06007 * C00006</t>
  </si>
  <si>
    <t>C14463 + C00005 + C00080</t>
  </si>
  <si>
    <t>C14463 * C00005 * C00080</t>
  </si>
  <si>
    <t>C00093 + C00003</t>
  </si>
  <si>
    <t>C00093 * C00003</t>
  </si>
  <si>
    <t>C00111 + C00004 + C00080</t>
  </si>
  <si>
    <t>C00111 * C00004 * C00080</t>
  </si>
  <si>
    <t>C00093 + C00006</t>
  </si>
  <si>
    <t>C00093 * C00006</t>
  </si>
  <si>
    <t>C00111 + C00005 + C00080</t>
  </si>
  <si>
    <t>C00111 * C00005 * C00080</t>
  </si>
  <si>
    <t>C00093 + C00016</t>
  </si>
  <si>
    <t>C00093 * C00016</t>
  </si>
  <si>
    <t>C00111 + C01352</t>
  </si>
  <si>
    <t>C00111 * C01352</t>
  </si>
  <si>
    <t>C00093 + C15602</t>
  </si>
  <si>
    <t>C00093 * C15602</t>
  </si>
  <si>
    <t>C00111 + C15603</t>
  </si>
  <si>
    <t>C00111 * C15603</t>
  </si>
  <si>
    <t>C00093 + C00399</t>
  </si>
  <si>
    <t>C00093 * C00399</t>
  </si>
  <si>
    <t>C00111 + C00390</t>
  </si>
  <si>
    <t>C00111 * C00390</t>
  </si>
  <si>
    <t>C00149 + C00007</t>
  </si>
  <si>
    <t>C00149 * C00007</t>
  </si>
  <si>
    <t>C00036 + C00027</t>
  </si>
  <si>
    <t>C00036 * C00027</t>
  </si>
  <si>
    <t>C00149 + C15602</t>
  </si>
  <si>
    <t>C00149 * C15602</t>
  </si>
  <si>
    <t>C00036 + C15603</t>
  </si>
  <si>
    <t>C00036 * C15603</t>
  </si>
  <si>
    <t>C00149 + C00016</t>
  </si>
  <si>
    <t>C00149 * C00016</t>
  </si>
  <si>
    <t>C00036 + C01352</t>
  </si>
  <si>
    <t>C00036 * C01352</t>
  </si>
  <si>
    <t>C00160 + C00028</t>
  </si>
  <si>
    <t>C00160 * C00028</t>
  </si>
  <si>
    <t>C00048 + C00030</t>
  </si>
  <si>
    <t>C00048 * C00030</t>
  </si>
  <si>
    <t>C00027 + C01371 + C01327</t>
  </si>
  <si>
    <t>C00027 * C01371 * C01327</t>
  </si>
  <si>
    <t>C01334 + C00001</t>
  </si>
  <si>
    <t>C01334 * C00001</t>
  </si>
  <si>
    <t>C00342 + C15498</t>
  </si>
  <si>
    <t>C00342 * C15498</t>
  </si>
  <si>
    <t>C00343 + C00001 + C01335</t>
  </si>
  <si>
    <t>C00343 * C00001 * C01335</t>
  </si>
  <si>
    <t>C00004 + C15498 + C00080</t>
  </si>
  <si>
    <t>C00004 * C15498 * C00080</t>
  </si>
  <si>
    <t>C00003 + C00001 + C01335</t>
  </si>
  <si>
    <t>C00003 * C00001 * C01335</t>
  </si>
  <si>
    <t>C00007 + C00001</t>
  </si>
  <si>
    <t>C00007 * C00001</t>
  </si>
  <si>
    <t>C00132 + C00027</t>
  </si>
  <si>
    <t>C00132 * C00027</t>
  </si>
  <si>
    <t>C00067 + C00001</t>
  </si>
  <si>
    <t>C00067 * C00001</t>
  </si>
  <si>
    <t>C00632 + C00007</t>
  </si>
  <si>
    <t>C00632 * C00007</t>
  </si>
  <si>
    <t>C05640 + C00704 + C00027 + C00080</t>
  </si>
  <si>
    <t>C05640 * C00704 * C00027 * C00080</t>
  </si>
  <si>
    <t>C00027 + C00051</t>
  </si>
  <si>
    <t>C00027 * C00051</t>
  </si>
  <si>
    <t>C00127 + C00001</t>
  </si>
  <si>
    <t>C00127 * C00001</t>
  </si>
  <si>
    <t>C00078 + C00007</t>
  </si>
  <si>
    <t>C00078 * C00007</t>
  </si>
  <si>
    <t>C00166 + C00007</t>
  </si>
  <si>
    <t>C00166 * C00007</t>
  </si>
  <si>
    <t>C05852 + C00011</t>
  </si>
  <si>
    <t>C05852 * C00011</t>
  </si>
  <si>
    <t>C01179 + C00007</t>
  </si>
  <si>
    <t>C01179 * C00007</t>
  </si>
  <si>
    <t>C00544 + C00011</t>
  </si>
  <si>
    <t>C00544 * C00011</t>
  </si>
  <si>
    <t>C00533 + C00007 + C00004 + C00080</t>
  </si>
  <si>
    <t>C00533 * C00007 * C00004 * C00080</t>
  </si>
  <si>
    <t>C00244 + C00003</t>
  </si>
  <si>
    <t>C00244 * C00003</t>
  </si>
  <si>
    <t>C00533 + C00007 + C00005 + C00080</t>
  </si>
  <si>
    <t>C00533 * C00007 * C00005 * C00080</t>
  </si>
  <si>
    <t>C00244 + C00006</t>
  </si>
  <si>
    <t>C00244 * C00006</t>
  </si>
  <si>
    <t>C00280 + C03024 + C00007</t>
  </si>
  <si>
    <t>C00280 * C03024 * C00007</t>
  </si>
  <si>
    <t>C05296 + C03161 + C00001</t>
  </si>
  <si>
    <t>C05296 * C03161 * C00001</t>
  </si>
  <si>
    <t>C00468 + C00080 + C00007 + C00004</t>
  </si>
  <si>
    <t>C00468 * C00080 * C00007 * C00004</t>
  </si>
  <si>
    <t>C05298 + C00003 + C00001</t>
  </si>
  <si>
    <t>C05298 * C00003 * C00001</t>
  </si>
  <si>
    <t>C00468 + C00080 + C00007 + C00005</t>
  </si>
  <si>
    <t>C00468 * C00080 * C00007 * C00005</t>
  </si>
  <si>
    <t>C05298 + C00006 + C00001</t>
  </si>
  <si>
    <t>C05298 * C00006 * C00001</t>
  </si>
  <si>
    <t>C05300 + C00006 + C00001</t>
  </si>
  <si>
    <t>C05300 * C00006 * C00001</t>
  </si>
  <si>
    <t>C00535 + C03024 + C00007</t>
  </si>
  <si>
    <t>C00535 * C03024 * C00007</t>
  </si>
  <si>
    <t>C05291 + C03161 + C00001</t>
  </si>
  <si>
    <t>C05291 * C03161 * C00001</t>
  </si>
  <si>
    <t>C00951 + C00080 + C00007 + C00004</t>
  </si>
  <si>
    <t>C00951 * C00080 * C00007 * C00004</t>
  </si>
  <si>
    <t>C05301 + C00003 + C00001</t>
  </si>
  <si>
    <t>C05301 * C00003 * C00001</t>
  </si>
  <si>
    <t>C00951 + C00080 + C00007 + C00005</t>
  </si>
  <si>
    <t>C00951 * C00080 * C00007 * C00005</t>
  </si>
  <si>
    <t>C05141 + C00006 + C00001</t>
  </si>
  <si>
    <t>C05141 * C00006 * C00001</t>
  </si>
  <si>
    <t>C05301 + C00006 + C00001</t>
  </si>
  <si>
    <t>C05301 * C00006 * C00001</t>
  </si>
  <si>
    <t>C01227 + C00080 + C00007 + C00005</t>
  </si>
  <si>
    <t>C01227 * C00080 * C00007 * C00005</t>
  </si>
  <si>
    <t>C05139 + C00006 + C00001</t>
  </si>
  <si>
    <t>C05139 * C00006 * C00001</t>
  </si>
  <si>
    <t>C01598 + C03024 + C00007</t>
  </si>
  <si>
    <t>C01598 * C03024 * C00007</t>
  </si>
  <si>
    <t>C05643 + C03161 + C00001</t>
  </si>
  <si>
    <t>C05643 * C03161 * C00001</t>
  </si>
  <si>
    <t>C01516 + C03161 + C00067 + C00001</t>
  </si>
  <si>
    <t>C01516 * C03161 * C00067 * C00001</t>
  </si>
  <si>
    <t>C06174 + C03024 + C00007</t>
  </si>
  <si>
    <t>C06174 * C03024 * C00007</t>
  </si>
  <si>
    <t>C03024 + C00162 + C00007</t>
  </si>
  <si>
    <t>C03024 * C00162 * C00007</t>
  </si>
  <si>
    <t>C05102 + C03161 + C00001</t>
  </si>
  <si>
    <t>C05102 * C03161 * C00001</t>
  </si>
  <si>
    <t>C03024 + C01371 + C00007</t>
  </si>
  <si>
    <t>C03024 * C01371 * C00007</t>
  </si>
  <si>
    <t>C03161 + C01335 + C00001</t>
  </si>
  <si>
    <t>C03161 * C01335 * C00001</t>
  </si>
  <si>
    <t>C06604 + C03024 + C00007</t>
  </si>
  <si>
    <t>C06604 * C03024 * C00007</t>
  </si>
  <si>
    <t>C06606 + C03161 + C00087 + C00001</t>
  </si>
  <si>
    <t>C06606 * C03161 * C00087 * C00001</t>
  </si>
  <si>
    <t>C00829 + C00005 + C00007 + C00080</t>
  </si>
  <si>
    <t>C00829 * C00005 * C00007 * C00080</t>
  </si>
  <si>
    <t>C14786 + C00006 + C00001</t>
  </si>
  <si>
    <t>C14786 * C00006 * C00001</t>
  </si>
  <si>
    <t>C14787 + C00006 + C00001</t>
  </si>
  <si>
    <t>C14787 * C00006 * C00001</t>
  </si>
  <si>
    <t>C14040 + C00005 + C00007 + C00080</t>
  </si>
  <si>
    <t>C14040 * C00005 * C00007 * C00080</t>
  </si>
  <si>
    <t>C14802 + C00006 + C00001</t>
  </si>
  <si>
    <t>C14802 * C00006 * C00001</t>
  </si>
  <si>
    <t>C14800 + C00006 + C00001</t>
  </si>
  <si>
    <t>C14800 * C00006 * C00001</t>
  </si>
  <si>
    <t>C14781 + C00001</t>
  </si>
  <si>
    <t>C14781 * C00001</t>
  </si>
  <si>
    <t>C14813 + C00001</t>
  </si>
  <si>
    <t>C14813 * C00001</t>
  </si>
  <si>
    <t>C00219 + C03024 + C00007</t>
  </si>
  <si>
    <t>C00219 * C03024 * C00007</t>
  </si>
  <si>
    <t>C14749 + C03161 + C00001</t>
  </si>
  <si>
    <t>C14749 * C03161 * C00001</t>
  </si>
  <si>
    <t>C00219 + C00007 + C00005 + C00080</t>
  </si>
  <si>
    <t>C00219 * C00007 * C00005 * C00080</t>
  </si>
  <si>
    <t>C14771 + C00006 + C00001</t>
  </si>
  <si>
    <t>C14771 * C00006 * C00001</t>
  </si>
  <si>
    <t>C14770 + C00006 + C00001</t>
  </si>
  <si>
    <t>C14770 * C00006 * C00001</t>
  </si>
  <si>
    <t>C14769 + C00006 + C00001</t>
  </si>
  <si>
    <t>C14769 * C00006 * C00001</t>
  </si>
  <si>
    <t>C14768 + C00006 + C00001</t>
  </si>
  <si>
    <t>C14768 * C00006 * C00001</t>
  </si>
  <si>
    <t>C14778 + C00006 + C00001</t>
  </si>
  <si>
    <t>C14778 * C00006 * C00001</t>
  </si>
  <si>
    <t>C01595 + C00007 + C00005 + C00080</t>
  </si>
  <si>
    <t>C01595 * C00007 * C00005 * C00080</t>
  </si>
  <si>
    <t>C14825 + C00006 + C00001</t>
  </si>
  <si>
    <t>C14825 * C00006 * C00001</t>
  </si>
  <si>
    <t>C14826 + C00006 + C00001</t>
  </si>
  <si>
    <t>C14826 * C00006 * C00001</t>
  </si>
  <si>
    <t>C07535 + C00005 + C00007 + C00080</t>
  </si>
  <si>
    <t>C07535 * C00005 * C00007 * C00080</t>
  </si>
  <si>
    <t>C14849 + C00006 + C00001</t>
  </si>
  <si>
    <t>C14849 * C00006 * C00001</t>
  </si>
  <si>
    <t>C14850 + C00006 + C00001</t>
  </si>
  <si>
    <t>C14850 * C00006 * C00001</t>
  </si>
  <si>
    <t>C14851 + C00006 + C00001</t>
  </si>
  <si>
    <t>C14851 * C00006 * C00001</t>
  </si>
  <si>
    <t>C14852 + C00005 + C00007 + C00080</t>
  </si>
  <si>
    <t>C14852 * C00005 * C00007 * C00080</t>
  </si>
  <si>
    <t>C14853 + C00006 + C00001</t>
  </si>
  <si>
    <t>C14853 * C00006 * C00001</t>
  </si>
  <si>
    <t>C14556 + C00005 + C00007 + C00080</t>
  </si>
  <si>
    <t>C14556 * C00005 * C00007 * C00080</t>
  </si>
  <si>
    <t>C14854 + C00006 + C00001</t>
  </si>
  <si>
    <t>C14854 * C00006 * C00001</t>
  </si>
  <si>
    <t>C06790 + C00005 + C00007 + C00080</t>
  </si>
  <si>
    <t>C06790 * C00005 * C00007 * C00080</t>
  </si>
  <si>
    <t>C11148 + C00006 + C00001</t>
  </si>
  <si>
    <t>C11148 * C00006 * C00001</t>
  </si>
  <si>
    <t>C14866 + C00006 + C00001</t>
  </si>
  <si>
    <t>C14866 * C00006 * C00001</t>
  </si>
  <si>
    <t>C07481 + C00005 + C00007 + C00080</t>
  </si>
  <si>
    <t>C07481 * C00005 * C00007 * C00080</t>
  </si>
  <si>
    <t>C13747 + C00006 + C00067 + C00001</t>
  </si>
  <si>
    <t>C13747 * C00006 * C00067 * C00001</t>
  </si>
  <si>
    <t>C01516 + C03024 + C00007</t>
  </si>
  <si>
    <t>C01516 * C03024 * C00007</t>
  </si>
  <si>
    <t>C11785 + C00067 + C03161 + C00001</t>
  </si>
  <si>
    <t>C11785 * C00067 * C03161 * C00001</t>
  </si>
  <si>
    <t>C07108 + C00005 + C00007 + C00080</t>
  </si>
  <si>
    <t>C07108 * C00005 * C00007 * C00080</t>
  </si>
  <si>
    <t>C05011 + C00006 + C00001</t>
  </si>
  <si>
    <t>C05011 * C00006 * C00001</t>
  </si>
  <si>
    <t>C16546 + C00005 + C00007 + C00080</t>
  </si>
  <si>
    <t>C16546 * C00005 * C00007 * C00080</t>
  </si>
  <si>
    <t>C16547 + C00006 + C00001</t>
  </si>
  <si>
    <t>C16547 * C00006 * C00001</t>
  </si>
  <si>
    <t>C16550 + C06754</t>
  </si>
  <si>
    <t>C16550 * C06754</t>
  </si>
  <si>
    <t>C16555 + C06754</t>
  </si>
  <si>
    <t>C16555 * C06754</t>
  </si>
  <si>
    <t>C07073 + C00005 + C00007 + C00080</t>
  </si>
  <si>
    <t>C07073 * C00005 * C00007 * C00080</t>
  </si>
  <si>
    <t>C16560 + C00006 + C00001</t>
  </si>
  <si>
    <t>C16560 * C00006 * C00001</t>
  </si>
  <si>
    <t>C06868 + C00005 + C00080 + C00007</t>
  </si>
  <si>
    <t>C06868 * C00005 * C00080 * C00007</t>
  </si>
  <si>
    <t>C07496 + C00006 + C00001</t>
  </si>
  <si>
    <t>C07496 * C00006 * C00001</t>
  </si>
  <si>
    <t>C00777 + C03024 + C00007</t>
  </si>
  <si>
    <t>C00777 * C03024 * C00007</t>
  </si>
  <si>
    <t>C16679 + C03161 + C00001</t>
  </si>
  <si>
    <t>C16679 * C03161 * C00001</t>
  </si>
  <si>
    <t>C00777 + C00005 + C00080 + C00007</t>
  </si>
  <si>
    <t>C00777 * C00005 * C00080 * C00007</t>
  </si>
  <si>
    <t>C16680 + C00006 + C00001</t>
  </si>
  <si>
    <t>C16680 * C00006 * C00001</t>
  </si>
  <si>
    <t>C16677 + C03161 + C00001</t>
  </si>
  <si>
    <t>C16677 * C03161 * C00001</t>
  </si>
  <si>
    <t>C06800 + C00007 + C00005 + C00080</t>
  </si>
  <si>
    <t>C06800 * C00007 * C00005 * C00080</t>
  </si>
  <si>
    <t>C19585 + C00001 + C00006</t>
  </si>
  <si>
    <t>C19585 * C00001 * C00006</t>
  </si>
  <si>
    <t>C16756 + C00001 + C00006</t>
  </si>
  <si>
    <t>C16756 * C00001 * C00006</t>
  </si>
  <si>
    <t>C16756 + C00007 + C00005 + C00080</t>
  </si>
  <si>
    <t>C16756 * C00007 * C00005 * C00080</t>
  </si>
  <si>
    <t>C19594 + C00001 + C00006</t>
  </si>
  <si>
    <t>C19594 * C00001 * C00006</t>
  </si>
  <si>
    <t>C19595 + C00001 + C00006</t>
  </si>
  <si>
    <t>C19595 * C00001 * C00006</t>
  </si>
  <si>
    <t>C19586 + C00001 + C00006</t>
  </si>
  <si>
    <t>C19586 * C00001 * C00006</t>
  </si>
  <si>
    <t>C19488 + C00007 + C00005 + C00080</t>
  </si>
  <si>
    <t>C19488 * C00007 * C00005 * C00080</t>
  </si>
  <si>
    <t>C19489 + C00001 + C00006</t>
  </si>
  <si>
    <t>C19489 * C00001 * C00006</t>
  </si>
  <si>
    <t>C19490 + C00007 + C00005 + C00080</t>
  </si>
  <si>
    <t>C19490 * C00007 * C00005 * C00080</t>
  </si>
  <si>
    <t>C19559 + C00001 + C00006</t>
  </si>
  <si>
    <t>C19559 * C00001 * C00006</t>
  </si>
  <si>
    <t>C16453 + C00007 + C00005 + C00080</t>
  </si>
  <si>
    <t>C16453 * C00007 * C00005 * C00080</t>
  </si>
  <si>
    <t>C19563 + C00001 + C00006</t>
  </si>
  <si>
    <t>C19563 * C00001 * C00006</t>
  </si>
  <si>
    <t>C19566 + C00001 + C00006</t>
  </si>
  <si>
    <t>C19566 * C00001 * C00006</t>
  </si>
  <si>
    <t>C19574 + C00007 + C00005 + C00080</t>
  </si>
  <si>
    <t>C19574 * C00007 * C00005 * C00080</t>
  </si>
  <si>
    <t>C19577 + C00001 + C00006</t>
  </si>
  <si>
    <t>C19577 * C00001 * C00006</t>
  </si>
  <si>
    <t>C19580 + C00001 + C00006</t>
  </si>
  <si>
    <t>C19580 * C00001 * C00006</t>
  </si>
  <si>
    <t>C19604 + C00001 + C00006</t>
  </si>
  <si>
    <t>C19604 * C00001 * C00006</t>
  </si>
  <si>
    <t>C00032 + C03024 + C00007</t>
  </si>
  <si>
    <t>C00032 * C03024 * C00007</t>
  </si>
  <si>
    <t>C00500 + C00237 + C14818 + C03161 + C00001</t>
  </si>
  <si>
    <t>C00500 * C00237 * C14818 * C03161 * C00001</t>
  </si>
  <si>
    <t>C00704 + C00080</t>
  </si>
  <si>
    <t>C00704 * C00080</t>
  </si>
  <si>
    <t>C00027 + C00007</t>
  </si>
  <si>
    <t>C00027 * C00007</t>
  </si>
  <si>
    <t>C03972 + C00003 + C00001</t>
  </si>
  <si>
    <t>C03972 * C00003 * C00001</t>
  </si>
  <si>
    <t>C20258 + C00004 + C00080</t>
  </si>
  <si>
    <t>C20258 * C00004 * C00080</t>
  </si>
  <si>
    <t>C03972 + C00006 + C00001</t>
  </si>
  <si>
    <t>C03972 * C00006 * C00001</t>
  </si>
  <si>
    <t>C20258 + C00005 + C00080</t>
  </si>
  <si>
    <t>C20258 * C00005 * C00080</t>
  </si>
  <si>
    <t>C00058 + C00003</t>
  </si>
  <si>
    <t>C00058 * C00003</t>
  </si>
  <si>
    <t>C00080 + C00011 + C00004</t>
  </si>
  <si>
    <t>C00080 * C00011 * C00004</t>
  </si>
  <si>
    <t>C00206 + C00343 + C00001</t>
  </si>
  <si>
    <t>C00206 * C00343 * C00001</t>
  </si>
  <si>
    <t>C00342 + C00008</t>
  </si>
  <si>
    <t>C00342 * C00008</t>
  </si>
  <si>
    <t>C01346 + C00343 + C00001</t>
  </si>
  <si>
    <t>C01346 * C00343 * C00001</t>
  </si>
  <si>
    <t>C00342 + C00015</t>
  </si>
  <si>
    <t>C00342 * C00015</t>
  </si>
  <si>
    <t>C00361 + C00343 + C00001</t>
  </si>
  <si>
    <t>C00361 * C00343 * C00001</t>
  </si>
  <si>
    <t>C00035 + C00342</t>
  </si>
  <si>
    <t>C00035 * C00342</t>
  </si>
  <si>
    <t>C00705 + C00343 + C00001</t>
  </si>
  <si>
    <t>C00705 * C00343 * C00001</t>
  </si>
  <si>
    <t>C00342 + C00112</t>
  </si>
  <si>
    <t>C00342 * C00112</t>
  </si>
  <si>
    <t>C04232 + C00343 + C00001</t>
  </si>
  <si>
    <t>C04232 * C00343 * C00001</t>
  </si>
  <si>
    <t>C03723 + C00342</t>
  </si>
  <si>
    <t>C03723 * C00342</t>
  </si>
  <si>
    <t>C04232 + C16664 + C00001</t>
  </si>
  <si>
    <t>C04232 * C16664 * C00001</t>
  </si>
  <si>
    <t>C03723 + C16663</t>
  </si>
  <si>
    <t>C03723 * C16663</t>
  </si>
  <si>
    <t>C04232 + C03170 + C00001</t>
  </si>
  <si>
    <t>C04232 * C03170 * C00001</t>
  </si>
  <si>
    <t>C03723 + C02090</t>
  </si>
  <si>
    <t>C03723 * C02090</t>
  </si>
  <si>
    <t>C21750 + C00343 + C00001</t>
  </si>
  <si>
    <t>C21750 * C00343 * C00001</t>
  </si>
  <si>
    <t>C21748 + C00342</t>
  </si>
  <si>
    <t>C21748 * C00342</t>
  </si>
  <si>
    <t>C11811 + C00001 + C02869</t>
  </si>
  <si>
    <t>C11811 * C00001 * C02869</t>
  </si>
  <si>
    <t>C11453 + C02745</t>
  </si>
  <si>
    <t>C11453 * C02745</t>
  </si>
  <si>
    <t>C11811 + C00138 + C00080</t>
  </si>
  <si>
    <t>C11811 * C00138 * C00080</t>
  </si>
  <si>
    <t>C00129 + C00139 + C00001</t>
  </si>
  <si>
    <t>C00129 * C00139 * C00001</t>
  </si>
  <si>
    <t>C00235 + C00139 + C00001</t>
  </si>
  <si>
    <t>C00235 * C00139 * C00001</t>
  </si>
  <si>
    <t>C01978 + C00028 + C00001</t>
  </si>
  <si>
    <t>C01978 * C00028 * C00001</t>
  </si>
  <si>
    <t>C19647 + C00030</t>
  </si>
  <si>
    <t>C19647 * C00030</t>
  </si>
  <si>
    <t>C00441 + C00009 + C00006</t>
  </si>
  <si>
    <t>C00441 * C00009 * C00006</t>
  </si>
  <si>
    <t>C03082 + C00005 + C00080</t>
  </si>
  <si>
    <t>C03082 * C00005 * C00080</t>
  </si>
  <si>
    <t>C00433 + C00006 + C00001</t>
  </si>
  <si>
    <t>C00433 * C00006 * C00001</t>
  </si>
  <si>
    <t>C00026 + C00005 + C00080</t>
  </si>
  <si>
    <t>C00026 * C00005 * C00080</t>
  </si>
  <si>
    <t>C00071 + C00003 + C00001</t>
  </si>
  <si>
    <t>C00071 * C00003 * C00001</t>
  </si>
  <si>
    <t>C00060 + C00004 + C00080</t>
  </si>
  <si>
    <t>C00060 * C00004 * C00080</t>
  </si>
  <si>
    <t>C00162 + C00004 + C00080</t>
  </si>
  <si>
    <t>C00162 * C00004 * C00080</t>
  </si>
  <si>
    <t>C00084 + C00003 + C00001</t>
  </si>
  <si>
    <t>C00084 * C00003 * C00001</t>
  </si>
  <si>
    <t>C00033 + C00004 + C00080</t>
  </si>
  <si>
    <t>C00033 * C00004 * C00080</t>
  </si>
  <si>
    <t>C05665 + C00003 + C00001</t>
  </si>
  <si>
    <t>C05665 * C00003 * C00001</t>
  </si>
  <si>
    <t>C00099 + C00004 + C00080</t>
  </si>
  <si>
    <t>C00099 * C00004 * C00080</t>
  </si>
  <si>
    <t>C00577 + C00003 + C00001</t>
  </si>
  <si>
    <t>C00577 * C00003 * C00001</t>
  </si>
  <si>
    <t>C00258 + C00004 + C00080</t>
  </si>
  <si>
    <t>C00258 * C00004 * C00080</t>
  </si>
  <si>
    <t>C00555 + C00006 + C00001</t>
  </si>
  <si>
    <t>C00555 * C00006 * C00001</t>
  </si>
  <si>
    <t>C00334 + C00005 + C00080</t>
  </si>
  <si>
    <t>C00334 * C00005 * C00080</t>
  </si>
  <si>
    <t>C00555 + C00003 + C00001</t>
  </si>
  <si>
    <t>C00555 * C00003 * C00001</t>
  </si>
  <si>
    <t>C00334 + C00004 + C00080</t>
  </si>
  <si>
    <t>C00334 * C00004 * C00080</t>
  </si>
  <si>
    <t>C00637 + C00003 + C00001</t>
  </si>
  <si>
    <t>C00637 * C00003 * C00001</t>
  </si>
  <si>
    <t>C00954 + C00004 + C00080</t>
  </si>
  <si>
    <t>C00954 * C00004 * C00080</t>
  </si>
  <si>
    <t>C05985 + C00003 + C00001</t>
  </si>
  <si>
    <t>C05985 * C00003 * C00001</t>
  </si>
  <si>
    <t>C00804 + C00004 + C00080</t>
  </si>
  <si>
    <t>C00804 * C00004 * C00080</t>
  </si>
  <si>
    <t>C02670 + C00003 + C00001</t>
  </si>
  <si>
    <t>C02670 * C00003 * C00001</t>
  </si>
  <si>
    <t>C00818 + C00004 + C00080</t>
  </si>
  <si>
    <t>C00818 * C00004 * C00080</t>
  </si>
  <si>
    <t>C01149 + C00003 + C00001</t>
  </si>
  <si>
    <t>C01149 * C00003 * C00001</t>
  </si>
  <si>
    <t>C01181 + C00004 + C00080</t>
  </si>
  <si>
    <t>C01181 * C00004 * C00080</t>
  </si>
  <si>
    <t>C06002 + C00003 + C00001</t>
  </si>
  <si>
    <t>C06002 * C00003 * C00001</t>
  </si>
  <si>
    <t>C02170 + C00004 + C00080</t>
  </si>
  <si>
    <t>C02170 * C00004 * C00080</t>
  </si>
  <si>
    <t>C05130 + C00003 + C00001</t>
  </si>
  <si>
    <t>C05130 * C00003 * C00001</t>
  </si>
  <si>
    <t>C02835 + C00004 + C00080</t>
  </si>
  <si>
    <t>C02835 * C00004 * C00080</t>
  </si>
  <si>
    <t>C05445 + C00003 + C00001</t>
  </si>
  <si>
    <t>C05445 * C00003 * C00001</t>
  </si>
  <si>
    <t>C04554 + C00004 + C00080</t>
  </si>
  <si>
    <t>C04554 * C00004 * C00080</t>
  </si>
  <si>
    <t>C05634 + C00003 + C00001</t>
  </si>
  <si>
    <t>C05634 * C00003 * C00001</t>
  </si>
  <si>
    <t>C05635 + C00080 + C00004</t>
  </si>
  <si>
    <t>C05635 * C00080 * C00004</t>
  </si>
  <si>
    <t>C05936 + C00003 + C00001</t>
  </si>
  <si>
    <t>C05936 * C00003 * C00001</t>
  </si>
  <si>
    <t>C02946 + C00004 + C00080</t>
  </si>
  <si>
    <t>C02946 * C00004 * C00080</t>
  </si>
  <si>
    <t>C06613 + C00001</t>
  </si>
  <si>
    <t>C06613 * C00001</t>
  </si>
  <si>
    <t>C06614 + C00080</t>
  </si>
  <si>
    <t>C06614 * C00080</t>
  </si>
  <si>
    <t>C16348 + C00001</t>
  </si>
  <si>
    <t>C16348 * C00001</t>
  </si>
  <si>
    <t>C06615 + C00080</t>
  </si>
  <si>
    <t>C06615 * C00080</t>
  </si>
  <si>
    <t>C06754 + C00003 + C00001</t>
  </si>
  <si>
    <t>C06754 * C00003 * C00001</t>
  </si>
  <si>
    <t>C06755 + C00004 + C00080</t>
  </si>
  <si>
    <t>C06755 * C00004 * C00080</t>
  </si>
  <si>
    <t>C02576 + C00001 + C00003</t>
  </si>
  <si>
    <t>C02576 * C00001 * C00003</t>
  </si>
  <si>
    <t>C11924 + C00004 + C00080</t>
  </si>
  <si>
    <t>C11924 * C00004 * C00080</t>
  </si>
  <si>
    <t>C03461 + C00003 + C00001</t>
  </si>
  <si>
    <t>C03461 * C00003 * C00001</t>
  </si>
  <si>
    <t>C16502 + C00004 + C00080</t>
  </si>
  <si>
    <t>C16502 * C00004 * C00080</t>
  </si>
  <si>
    <t>C01250 + C00009 + C00006</t>
  </si>
  <si>
    <t>C01250 * C00009 * C00006</t>
  </si>
  <si>
    <t>C04133 + C00005 + C00080</t>
  </si>
  <si>
    <t>C04133 * C00005 * C00080</t>
  </si>
  <si>
    <t>C01165 + C00009 + C00006</t>
  </si>
  <si>
    <t>C01165 * C00009 * C00006</t>
  </si>
  <si>
    <t>C03287 + C00005 + C00080</t>
  </si>
  <si>
    <t>C03287 * C00005 * C00080</t>
  </si>
  <si>
    <t>C02987 + C00005 + C00080</t>
  </si>
  <si>
    <t>C02987 * C00005 * C00080</t>
  </si>
  <si>
    <t>C03741 + C01641 + C00006</t>
  </si>
  <si>
    <t>C03741 * C01641 * C00006</t>
  </si>
  <si>
    <t>C00232 + C00006 + C00001</t>
  </si>
  <si>
    <t>C00232 * C00006 * C00001</t>
  </si>
  <si>
    <t>C00042 + C00005 + C00080</t>
  </si>
  <si>
    <t>C00042 * C00005 * C00080</t>
  </si>
  <si>
    <t>C00118 + C00006 + C00001</t>
  </si>
  <si>
    <t>C00118 * C00006 * C00001</t>
  </si>
  <si>
    <t>C00197 + C00005 + C00080</t>
  </si>
  <si>
    <t>C00197 * C00005 * C00080</t>
  </si>
  <si>
    <t>C00022 + C00068</t>
  </si>
  <si>
    <t>C00022 * C00068</t>
  </si>
  <si>
    <t>C05125 + C00011</t>
  </si>
  <si>
    <t>C05125 * C00011</t>
  </si>
  <si>
    <t>C00022 + C15972</t>
  </si>
  <si>
    <t>C00022 * C15972</t>
  </si>
  <si>
    <t>C16255 + C00011</t>
  </si>
  <si>
    <t>C16255 * C00011</t>
  </si>
  <si>
    <t>C05125 + C15972</t>
  </si>
  <si>
    <t>C05125 * C15972</t>
  </si>
  <si>
    <t>C16255 + C00068</t>
  </si>
  <si>
    <t>C16255 * C00068</t>
  </si>
  <si>
    <t>C00026 + C00068</t>
  </si>
  <si>
    <t>C00026 * C00068</t>
  </si>
  <si>
    <t>C05381 + C00011</t>
  </si>
  <si>
    <t>C05381 * C00011</t>
  </si>
  <si>
    <t>C00026 + C15972</t>
  </si>
  <si>
    <t>C00026 * C15972</t>
  </si>
  <si>
    <t>C16254 + C00011</t>
  </si>
  <si>
    <t>C16254 * C00011</t>
  </si>
  <si>
    <t>C05381 + C15972</t>
  </si>
  <si>
    <t>C05381 * C15972</t>
  </si>
  <si>
    <t>C16254 + C00068</t>
  </si>
  <si>
    <t>C16254 * C00068</t>
  </si>
  <si>
    <t>C00141 + C15972</t>
  </si>
  <si>
    <t>C00141 * C15972</t>
  </si>
  <si>
    <t>C15977 + C00011</t>
  </si>
  <si>
    <t>C15977 * C00011</t>
  </si>
  <si>
    <t>C00233 + C15972</t>
  </si>
  <si>
    <t>C00233 * C15972</t>
  </si>
  <si>
    <t>C15975 + C00011</t>
  </si>
  <si>
    <t>C15975 * C00011</t>
  </si>
  <si>
    <t>C00671 + C15972</t>
  </si>
  <si>
    <t>C00671 * C15972</t>
  </si>
  <si>
    <t>C15979 + C00011</t>
  </si>
  <si>
    <t>C15979 * C00011</t>
  </si>
  <si>
    <t>C00141 + C00068</t>
  </si>
  <si>
    <t>C00141 * C00068</t>
  </si>
  <si>
    <t>C15976 + C00011</t>
  </si>
  <si>
    <t>C15976 * C00011</t>
  </si>
  <si>
    <t>C15976 + C15972</t>
  </si>
  <si>
    <t>C15976 * C15972</t>
  </si>
  <si>
    <t>C15977 + C00068</t>
  </si>
  <si>
    <t>C15977 * C00068</t>
  </si>
  <si>
    <t>C00233 + C00068</t>
  </si>
  <si>
    <t>C00233 * C00068</t>
  </si>
  <si>
    <t>C15974 + C00011</t>
  </si>
  <si>
    <t>C15974 * C00011</t>
  </si>
  <si>
    <t>C15974 + C15972</t>
  </si>
  <si>
    <t>C15974 * C15972</t>
  </si>
  <si>
    <t>C15975 + C00068</t>
  </si>
  <si>
    <t>C15975 * C00068</t>
  </si>
  <si>
    <t>C00671 + C00068</t>
  </si>
  <si>
    <t>C00671 * C00068</t>
  </si>
  <si>
    <t>C15978 + C00011</t>
  </si>
  <si>
    <t>C15978 * C00011</t>
  </si>
  <si>
    <t>C15978 + C15972</t>
  </si>
  <si>
    <t>C15978 * C15972</t>
  </si>
  <si>
    <t>C15979 + C00068</t>
  </si>
  <si>
    <t>C15979 * C00068</t>
  </si>
  <si>
    <t>C00109 + C00068</t>
  </si>
  <si>
    <t>C00109 * C00068</t>
  </si>
  <si>
    <t>C21017 + C00011</t>
  </si>
  <si>
    <t>C21017 * C00011</t>
  </si>
  <si>
    <t>C21017 + C15972</t>
  </si>
  <si>
    <t>C21017 * C15972</t>
  </si>
  <si>
    <t>C21018 + C00068</t>
  </si>
  <si>
    <t>C21018 * C00068</t>
  </si>
  <si>
    <t>C11215 + C00342</t>
  </si>
  <si>
    <t>C11215 * C00342</t>
  </si>
  <si>
    <t>C06697 + C00343 + C00001</t>
  </si>
  <si>
    <t>C06697 * C00343 * C00001</t>
  </si>
  <si>
    <t>C00254 + C00003</t>
  </si>
  <si>
    <t>C00254 * C00003</t>
  </si>
  <si>
    <t>C01179 + C00011 + C00004 + C00080</t>
  </si>
  <si>
    <t>C01179 * C00011 * C00004 * C00080</t>
  </si>
  <si>
    <t>C00337 + C00003</t>
  </si>
  <si>
    <t>C00337 * C00003</t>
  </si>
  <si>
    <t>C00295 + C00080 + C00004</t>
  </si>
  <si>
    <t>C00295 * C00080 * C00004</t>
  </si>
  <si>
    <t>C04171 + C00003</t>
  </si>
  <si>
    <t>C04171 * C00003</t>
  </si>
  <si>
    <t>C00196 + C00004 + C00080</t>
  </si>
  <si>
    <t>C00196 * C00004 * C00080</t>
  </si>
  <si>
    <t>C00658 + C00006</t>
  </si>
  <si>
    <t>C00658 * C00006</t>
  </si>
  <si>
    <t>C04512 + C00005 + C00080</t>
  </si>
  <si>
    <t>C04512 * C00005 * C00080</t>
  </si>
  <si>
    <t>C22258 + C00005 + C00080</t>
  </si>
  <si>
    <t>C22258 * C00005 * C00080</t>
  </si>
  <si>
    <t>C00173 + C00003</t>
  </si>
  <si>
    <t>C00173 * C00003</t>
  </si>
  <si>
    <t>C00693 + C00004 + C00080</t>
  </si>
  <si>
    <t>C00693 * C00004 * C00080</t>
  </si>
  <si>
    <t>C05745 + C00003</t>
  </si>
  <si>
    <t>C05745 * C00003</t>
  </si>
  <si>
    <t>C04246 + C00004 + C00080</t>
  </si>
  <si>
    <t>C04246 * C00004 * C00080</t>
  </si>
  <si>
    <t>C05223 + C00003</t>
  </si>
  <si>
    <t>C05223 * C00003</t>
  </si>
  <si>
    <t>C05758 + C00004 + C00080</t>
  </si>
  <si>
    <t>C05758 * C00004 * C00080</t>
  </si>
  <si>
    <t>C05749 + C00003</t>
  </si>
  <si>
    <t>C05749 * C00003</t>
  </si>
  <si>
    <t>C05748 + C00004 + C00080</t>
  </si>
  <si>
    <t>C05748 * C00004 * C00080</t>
  </si>
  <si>
    <t>C05752 + C00003</t>
  </si>
  <si>
    <t>C05752 * C00003</t>
  </si>
  <si>
    <t>C05751 + C00004 + C00080</t>
  </si>
  <si>
    <t>C05751 * C00004 * C00080</t>
  </si>
  <si>
    <t>C05755 + C00003</t>
  </si>
  <si>
    <t>C05755 * C00003</t>
  </si>
  <si>
    <t>C05754 + C00004 + C00080</t>
  </si>
  <si>
    <t>C05754 * C00004 * C00080</t>
  </si>
  <si>
    <t>C05761 + C00003</t>
  </si>
  <si>
    <t>C05761 * C00003</t>
  </si>
  <si>
    <t>C05760 + C00004 + C00080</t>
  </si>
  <si>
    <t>C05760 * C00004 * C00080</t>
  </si>
  <si>
    <t>C05764 + C00003</t>
  </si>
  <si>
    <t>C05764 * C00003</t>
  </si>
  <si>
    <t>C05763 + C00004 + C00080</t>
  </si>
  <si>
    <t>C05763 * C00004 * C00080</t>
  </si>
  <si>
    <t>C16221 + C00004 + C00080</t>
  </si>
  <si>
    <t>C16221 * C00004 * C00080</t>
  </si>
  <si>
    <t>C04088 + C00003</t>
  </si>
  <si>
    <t>C04088 * C00003</t>
  </si>
  <si>
    <t>C01050 + C00003</t>
  </si>
  <si>
    <t>C01050 * C00003</t>
  </si>
  <si>
    <t>C04631 + C00004 + C00080</t>
  </si>
  <si>
    <t>C04631 * C00004 * C00080</t>
  </si>
  <si>
    <t>C01050 + C00006</t>
  </si>
  <si>
    <t>C01050 * C00006</t>
  </si>
  <si>
    <t>C04631 + C00005 + C00080</t>
  </si>
  <si>
    <t>C04631 * C00005 * C00080</t>
  </si>
  <si>
    <t>C01079 + C00007</t>
  </si>
  <si>
    <t>C01079 * C00007</t>
  </si>
  <si>
    <t>C02191 + C00027</t>
  </si>
  <si>
    <t>C02191 * C00027</t>
  </si>
  <si>
    <t>C21284 + C00027</t>
  </si>
  <si>
    <t>C21284 * C00027</t>
  </si>
  <si>
    <t>C00032 + C00011 + C00001</t>
  </si>
  <si>
    <t>C00032 * C00011 * C00001</t>
  </si>
  <si>
    <t>C22173 + C00011 + C00001</t>
  </si>
  <si>
    <t>C22173 * C00011 * C00001</t>
  </si>
  <si>
    <t>C22173 + C00027</t>
  </si>
  <si>
    <t>C22173 * C00027</t>
  </si>
  <si>
    <t>C05167 + C00001 + C00003</t>
  </si>
  <si>
    <t>C05167 * C00001 * C00003</t>
  </si>
  <si>
    <t>C00161 + C00014 + C00004 + C00080</t>
  </si>
  <si>
    <t>C00161 * C00014 * C00004 * C00080</t>
  </si>
  <si>
    <t>C05167 + C00001 + C00006</t>
  </si>
  <si>
    <t>C05167 * C00001 * C00006</t>
  </si>
  <si>
    <t>C00161 + C00014 + C00005 + C00080</t>
  </si>
  <si>
    <t>C00161 * C00014 * C00005 * C00080</t>
  </si>
  <si>
    <t>C00037 + C00001 + C00003</t>
  </si>
  <si>
    <t>C00037 * C00001 * C00003</t>
  </si>
  <si>
    <t>C00048 + C00014 + C00004 + C00080</t>
  </si>
  <si>
    <t>C00048 * C00014 * C00004 * C00080</t>
  </si>
  <si>
    <t>C00041 + C00003 + C00001</t>
  </si>
  <si>
    <t>C00041 * C00003 * C00001</t>
  </si>
  <si>
    <t>C00022 + C00014 + C00004 + C00080</t>
  </si>
  <si>
    <t>C00022 * C00014 * C00004 * C00080</t>
  </si>
  <si>
    <t>C00025 + C00003 + C00001</t>
  </si>
  <si>
    <t>C00025 * C00003 * C00001</t>
  </si>
  <si>
    <t>C00026 + C00014 + C00004 + C00080</t>
  </si>
  <si>
    <t>C00026 * C00014 * C00004 * C00080</t>
  </si>
  <si>
    <t>C00123 + C00001 + C00003</t>
  </si>
  <si>
    <t>C00123 * C00001 * C00003</t>
  </si>
  <si>
    <t>C00233 + C00014 + C00004 + C00080</t>
  </si>
  <si>
    <t>C00233 * C00014 * C00004 * C00080</t>
  </si>
  <si>
    <t>C00183 + C00001 + C00003</t>
  </si>
  <si>
    <t>C00183 * C00001 * C00003</t>
  </si>
  <si>
    <t>C00141 + C00014 + C00004 + C00080</t>
  </si>
  <si>
    <t>C00141 * C00014 * C00004 * C00080</t>
  </si>
  <si>
    <t>C00407 + C00003 + C00001</t>
  </si>
  <si>
    <t>C00407 * C00003 * C00001</t>
  </si>
  <si>
    <t>C00671 + C00014 + C00004 + C00080</t>
  </si>
  <si>
    <t>C00671 * C00014 * C00004 * C00080</t>
  </si>
  <si>
    <t>C00049 + C00001 + C00007</t>
  </si>
  <si>
    <t>C00049 * C00001 * C00007</t>
  </si>
  <si>
    <t>C00036 + C00014 + C00027</t>
  </si>
  <si>
    <t>C00036 * C00014 * C00027</t>
  </si>
  <si>
    <t>C00049 + C00007</t>
  </si>
  <si>
    <t>C00049 * C00007</t>
  </si>
  <si>
    <t>C05840 + C00027</t>
  </si>
  <si>
    <t>C05840 * C00027</t>
  </si>
  <si>
    <t>C00037 + C00001 + C00007</t>
  </si>
  <si>
    <t>C00037 * C00001 * C00007</t>
  </si>
  <si>
    <t>C00048 + C00014 + C00027</t>
  </si>
  <si>
    <t>C00048 * C00014 * C00027</t>
  </si>
  <si>
    <t>C00133 + C00001 + C00007</t>
  </si>
  <si>
    <t>C00133 * C00001 * C00007</t>
  </si>
  <si>
    <t>C00022 + C00014 + C00027</t>
  </si>
  <si>
    <t>C00022 * C00014 * C00027</t>
  </si>
  <si>
    <t>C00213 + C00001 + C00007</t>
  </si>
  <si>
    <t>C00213 * C00001 * C00007</t>
  </si>
  <si>
    <t>C00048 + C00218 + C00027</t>
  </si>
  <si>
    <t>C00048 * C00218 * C00027</t>
  </si>
  <si>
    <t>C11735 + C00001 + C00007</t>
  </si>
  <si>
    <t>C11735 * C00001 * C00007</t>
  </si>
  <si>
    <t>C00048 + C00797 + C00027</t>
  </si>
  <si>
    <t>C00048 * C00797 * C00027</t>
  </si>
  <si>
    <t>C00037 + C00007</t>
  </si>
  <si>
    <t>C00037 * C00007</t>
  </si>
  <si>
    <t>C15809 + C00027</t>
  </si>
  <si>
    <t>C15809 * C00027</t>
  </si>
  <si>
    <t>C15809 + C00001</t>
  </si>
  <si>
    <t>C15809 * C00001</t>
  </si>
  <si>
    <t>C00048 + C00014</t>
  </si>
  <si>
    <t>C00048 * C00014</t>
  </si>
  <si>
    <t>C00037 + C02051</t>
  </si>
  <si>
    <t>C00037 * C02051</t>
  </si>
  <si>
    <t>C01242 + C00011</t>
  </si>
  <si>
    <t>C01242 * C00011</t>
  </si>
  <si>
    <t>C00148 + C00003</t>
  </si>
  <si>
    <t>C00148 * C00003</t>
  </si>
  <si>
    <t>C03912 + C00004 + C00080</t>
  </si>
  <si>
    <t>C03912 * C00004 * C00080</t>
  </si>
  <si>
    <t>C00148 + C00006</t>
  </si>
  <si>
    <t>C00148 * C00006</t>
  </si>
  <si>
    <t>C03912 + C00005 + C00080</t>
  </si>
  <si>
    <t>C03912 * C00005 * C00080</t>
  </si>
  <si>
    <t>C01157 + C00003</t>
  </si>
  <si>
    <t>C01157 * C00003</t>
  </si>
  <si>
    <t>C04281 + C00004 + C00080</t>
  </si>
  <si>
    <t>C04281 * C00004 * C00080</t>
  </si>
  <si>
    <t>C01157 + C00006</t>
  </si>
  <si>
    <t>C01157 * C00006</t>
  </si>
  <si>
    <t>C04281 + C00005 + C00080</t>
  </si>
  <si>
    <t>C04281 * C00005 * C00080</t>
  </si>
  <si>
    <t>C00440 + C00006</t>
  </si>
  <si>
    <t>C00440 * C00006</t>
  </si>
  <si>
    <t>C00143 + C00005 + C00080</t>
  </si>
  <si>
    <t>C00143 * C00005 * C00080</t>
  </si>
  <si>
    <t>C00440 + C00003</t>
  </si>
  <si>
    <t>C00440 * C00003</t>
  </si>
  <si>
    <t>C00143 + C00004 + C00080</t>
  </si>
  <si>
    <t>C00143 * C00004 * C00080</t>
  </si>
  <si>
    <t>C00101 + C00003</t>
  </si>
  <si>
    <t>C00101 * C00003</t>
  </si>
  <si>
    <t>C00415 + C00004 + C00080</t>
  </si>
  <si>
    <t>C00415 * C00004 * C00080</t>
  </si>
  <si>
    <t>C00504 + C00004 + C00080</t>
  </si>
  <si>
    <t>C00504 * C00004 * C00080</t>
  </si>
  <si>
    <t>C00101 + C00006</t>
  </si>
  <si>
    <t>C00101 * C00006</t>
  </si>
  <si>
    <t>C00415 + C00005 + C00080</t>
  </si>
  <si>
    <t>C00415 * C00005 * C00080</t>
  </si>
  <si>
    <t>C00504 + C00005 + C00080</t>
  </si>
  <si>
    <t>C00504 * C00005 * C00080</t>
  </si>
  <si>
    <t>C00415 + C00003</t>
  </si>
  <si>
    <t>C00415 * C00003</t>
  </si>
  <si>
    <t>C00415 + C00006</t>
  </si>
  <si>
    <t>C00415 * C00006</t>
  </si>
  <si>
    <t>C00272 + C00006</t>
  </si>
  <si>
    <t>C00272 * C00006</t>
  </si>
  <si>
    <t>C02953 + C00005 + C00080</t>
  </si>
  <si>
    <t>C02953 * C00005 * C00080</t>
  </si>
  <si>
    <t>C00143 + C00006</t>
  </si>
  <si>
    <t>C00143 * C00006</t>
  </si>
  <si>
    <t>C00445 + C00005</t>
  </si>
  <si>
    <t>C00445 * C00005</t>
  </si>
  <si>
    <t>C00390 + C00003</t>
  </si>
  <si>
    <t>C00390 * C00003</t>
  </si>
  <si>
    <t>C00399 + C00004 + C00080</t>
  </si>
  <si>
    <t>C00399 * C00004 * C00080</t>
  </si>
  <si>
    <t>C00004 + C00080 + C15602</t>
  </si>
  <si>
    <t>C00004 * C00080 * C15602</t>
  </si>
  <si>
    <t>C00003 + C15603</t>
  </si>
  <si>
    <t>C00003 * C15603</t>
  </si>
  <si>
    <t>C00028 + C00005 + C00080</t>
  </si>
  <si>
    <t>C00028 * C00005 * C00080</t>
  </si>
  <si>
    <t>C00030 + C00006</t>
  </si>
  <si>
    <t>C00030 * C00006</t>
  </si>
  <si>
    <t>C16675 + C00006</t>
  </si>
  <si>
    <t>C16675 * C00006</t>
  </si>
  <si>
    <t>C15996 + C00005 + C00080</t>
  </si>
  <si>
    <t>C15996 * C00005 * C00080</t>
  </si>
  <si>
    <t>C00014 + C00003 + C00001</t>
  </si>
  <si>
    <t>C00014 * C00003 * C00001</t>
  </si>
  <si>
    <t>C00088 + C00004 + C00080</t>
  </si>
  <si>
    <t>C00088 * C00004 * C00080</t>
  </si>
  <si>
    <t>C00014 + C00006 + C00001</t>
  </si>
  <si>
    <t>C00014 * C00006 * C00001</t>
  </si>
  <si>
    <t>C00088 + C00005 + C00080</t>
  </si>
  <si>
    <t>C00088 * C00005 * C00080</t>
  </si>
  <si>
    <t>C00130 + C00014 + C00006</t>
  </si>
  <si>
    <t>C00130 * C00014 * C00006</t>
  </si>
  <si>
    <t>C00144 + C00005 + C00080</t>
  </si>
  <si>
    <t>C00144 * C00005 * C00080</t>
  </si>
  <si>
    <t>C00192 + C00004 + C00080</t>
  </si>
  <si>
    <t>C00192 * C00004 * C00080</t>
  </si>
  <si>
    <t>C00028 + C00014 + C00001</t>
  </si>
  <si>
    <t>C00028 * C00014 * C00001</t>
  </si>
  <si>
    <t>C00192 + C00030</t>
  </si>
  <si>
    <t>C00192 * C00030</t>
  </si>
  <si>
    <t>C00010 + C00006</t>
  </si>
  <si>
    <t>C00010 * C00006</t>
  </si>
  <si>
    <t>C02015 + C00005 + C00080</t>
  </si>
  <si>
    <t>C02015 * C00005 * C00080</t>
  </si>
  <si>
    <t>C00579 + C00003</t>
  </si>
  <si>
    <t>C00579 * C00003</t>
  </si>
  <si>
    <t>C00248 + C00004 + C00080</t>
  </si>
  <si>
    <t>C00248 * C00004 * C00080</t>
  </si>
  <si>
    <t>C02972 + C00003</t>
  </si>
  <si>
    <t>C02972 * C00003</t>
  </si>
  <si>
    <t>C02051 + C00004 + C00080</t>
  </si>
  <si>
    <t>C02051 * C00004 * C00080</t>
  </si>
  <si>
    <t>C15973 + C00003</t>
  </si>
  <si>
    <t>C15973 * C00003</t>
  </si>
  <si>
    <t>C15972 + C00004 + C00080</t>
  </si>
  <si>
    <t>C15972 * C00004 * C00080</t>
  </si>
  <si>
    <t>C16832 + C00003</t>
  </si>
  <si>
    <t>C16832 * C00003</t>
  </si>
  <si>
    <t>C16237 + C00004 + C00080</t>
  </si>
  <si>
    <t>C16237 * C00004 * C00080</t>
  </si>
  <si>
    <t>C00097 + C00051 + C00006</t>
  </si>
  <si>
    <t>C00097 * C00051 * C00006</t>
  </si>
  <si>
    <t>C05526 + C00005</t>
  </si>
  <si>
    <t>C05526 * C00005</t>
  </si>
  <si>
    <t>C00342 + C00006</t>
  </si>
  <si>
    <t>C00342 * C00006</t>
  </si>
  <si>
    <t>C00343 + C00005 + C00080</t>
  </si>
  <si>
    <t>C00343 * C00005 * C00080</t>
  </si>
  <si>
    <t>C01528 + C00006 + C00001</t>
  </si>
  <si>
    <t>C01528 * C00006 * C00001</t>
  </si>
  <si>
    <t>C05684 + C00005 + C00080</t>
  </si>
  <si>
    <t>C05684 * C00005 * C00080</t>
  </si>
  <si>
    <t>C00005 + C00080 + C18902</t>
  </si>
  <si>
    <t>C00005 * C00080 * C18902</t>
  </si>
  <si>
    <t>C00006 + C00001 + C05703</t>
  </si>
  <si>
    <t>C00006 * C00001 * C05703</t>
  </si>
  <si>
    <t>C03023 + C00343 + C00001</t>
  </si>
  <si>
    <t>C03023 * C00343 * C00001</t>
  </si>
  <si>
    <t>C03895 + C00342</t>
  </si>
  <si>
    <t>C03895 * C00342</t>
  </si>
  <si>
    <t>C00073 + C00343 + C00001</t>
  </si>
  <si>
    <t>C00073 * C00343 * C00001</t>
  </si>
  <si>
    <t>C15999 + C00342</t>
  </si>
  <si>
    <t>C15999 * C00342</t>
  </si>
  <si>
    <t>C00342 + C00053</t>
  </si>
  <si>
    <t>C00342 * C00053</t>
  </si>
  <si>
    <t>C00343 + C00094 + C00054</t>
  </si>
  <si>
    <t>C00343 * C00094 * C00054</t>
  </si>
  <si>
    <t>C00019 + C05196 + C05197</t>
  </si>
  <si>
    <t>C00019 * C05196 * C05197</t>
  </si>
  <si>
    <t>C05198 + C00073 + C05199 + C05312</t>
  </si>
  <si>
    <t>C05198 * C00073 * C05199 * C05312</t>
  </si>
  <si>
    <t>C00019 + C01051</t>
  </si>
  <si>
    <t>C00019 * C01051</t>
  </si>
  <si>
    <t>C00021 + C02463</t>
  </si>
  <si>
    <t>C00021 * C02463</t>
  </si>
  <si>
    <t>C00019 + C02469</t>
  </si>
  <si>
    <t>C00019 * C02469</t>
  </si>
  <si>
    <t>C00021 + C05778</t>
  </si>
  <si>
    <t>C00021 * C05778</t>
  </si>
  <si>
    <t>C00021 + C15527</t>
  </si>
  <si>
    <t>C00021 * C15527</t>
  </si>
  <si>
    <t>C00019 + C15527</t>
  </si>
  <si>
    <t>C00019 * C15527</t>
  </si>
  <si>
    <t>C00440 + C00155</t>
  </si>
  <si>
    <t>C00440 * C00155</t>
  </si>
  <si>
    <t>C00101 + C00073</t>
  </si>
  <si>
    <t>C00101 * C00073</t>
  </si>
  <si>
    <t>C05698 + C04489</t>
  </si>
  <si>
    <t>C05698 * C04489</t>
  </si>
  <si>
    <t>C05335 + C04144</t>
  </si>
  <si>
    <t>C05335 * C04144</t>
  </si>
  <si>
    <t>C04489 + C00155</t>
  </si>
  <si>
    <t>C04489 * C00155</t>
  </si>
  <si>
    <t>C04144 + C00073</t>
  </si>
  <si>
    <t>C04144 * C00073</t>
  </si>
  <si>
    <t>C00019 + C00240</t>
  </si>
  <si>
    <t>C00019 * C00240</t>
  </si>
  <si>
    <t>C00021 + C04153</t>
  </si>
  <si>
    <t>C00021 * C04153</t>
  </si>
  <si>
    <t>C00019 + C20648</t>
  </si>
  <si>
    <t>C00019 * C20648</t>
  </si>
  <si>
    <t>C00021 + C20796</t>
  </si>
  <si>
    <t>C00021 * C20796</t>
  </si>
  <si>
    <t>C00019 + C01209</t>
  </si>
  <si>
    <t>C00019 * C01209</t>
  </si>
  <si>
    <t>C00021 + C19673</t>
  </si>
  <si>
    <t>C00021 * C19673</t>
  </si>
  <si>
    <t>C00019 + C01977</t>
  </si>
  <si>
    <t>C00019 * C01977</t>
  </si>
  <si>
    <t>C00021 + C04157</t>
  </si>
  <si>
    <t>C00021 * C04157</t>
  </si>
  <si>
    <t>C02583 + C00019</t>
  </si>
  <si>
    <t>C02583 * C00019</t>
  </si>
  <si>
    <t>C20858 + C00021</t>
  </si>
  <si>
    <t>C20858 * C00021</t>
  </si>
  <si>
    <t>C00021 + C04160</t>
  </si>
  <si>
    <t>C00021 * C04160</t>
  </si>
  <si>
    <t>C00365 + C00143</t>
  </si>
  <si>
    <t>C00365 * C00143</t>
  </si>
  <si>
    <t>C00415 + C00364</t>
  </si>
  <si>
    <t>C00415 * C00364</t>
  </si>
  <si>
    <t>C04250 + C02743</t>
  </si>
  <si>
    <t>C04250 * C02743</t>
  </si>
  <si>
    <t>C03800 + C11475</t>
  </si>
  <si>
    <t>C03800 * C11475</t>
  </si>
  <si>
    <t>C00019 + C00821</t>
  </si>
  <si>
    <t>C00019 * C00821</t>
  </si>
  <si>
    <t>C00021 + C03391</t>
  </si>
  <si>
    <t>C00021 * C03391</t>
  </si>
  <si>
    <t>C00143 + C01764 + C01352</t>
  </si>
  <si>
    <t>C00143 * C01764 * C01352</t>
  </si>
  <si>
    <t>C00101 + C03446 + C00016</t>
  </si>
  <si>
    <t>C00101 * C03446 * C00016</t>
  </si>
  <si>
    <t>C00143 + C01764 + C00004 + C00080</t>
  </si>
  <si>
    <t>C00143 * C01764 * C00004 * C00080</t>
  </si>
  <si>
    <t>C00101 + C03446 + C00003</t>
  </si>
  <si>
    <t>C00101 * C03446 * C00003</t>
  </si>
  <si>
    <t>C00019 + C01229</t>
  </si>
  <si>
    <t>C00019 * C01229</t>
  </si>
  <si>
    <t>C00021 + C04340</t>
  </si>
  <si>
    <t>C00021 * C04340</t>
  </si>
  <si>
    <t>C00019 + C00614</t>
  </si>
  <si>
    <t>C00019 * C00614</t>
  </si>
  <si>
    <t>C00021 + C04142</t>
  </si>
  <si>
    <t>C00021 * C04142</t>
  </si>
  <si>
    <t>C00143 + C00037 + C00001</t>
  </si>
  <si>
    <t>C00143 * C00037 * C00001</t>
  </si>
  <si>
    <t>C00101 + C00065</t>
  </si>
  <si>
    <t>C00101 * C00065</t>
  </si>
  <si>
    <t>C00065 + C01217</t>
  </si>
  <si>
    <t>C00065 * C01217</t>
  </si>
  <si>
    <t>C04377 + C00037 + C00001</t>
  </si>
  <si>
    <t>C04377 * C00037 * C00001</t>
  </si>
  <si>
    <t>C00445 + C00001</t>
  </si>
  <si>
    <t>C00445 * C00001</t>
  </si>
  <si>
    <t>C01242 + C00101</t>
  </si>
  <si>
    <t>C01242 * C00101</t>
  </si>
  <si>
    <t>C02972 + C00143 + C00014</t>
  </si>
  <si>
    <t>C02972 * C00143 * C00014</t>
  </si>
  <si>
    <t>C00141 + C00067</t>
  </si>
  <si>
    <t>C00141 * C00067</t>
  </si>
  <si>
    <t>C00143 + C00141 + C00001</t>
  </si>
  <si>
    <t>C00143 * C00141 * C00001</t>
  </si>
  <si>
    <t>C00101 + C00966</t>
  </si>
  <si>
    <t>C00101 * C00966</t>
  </si>
  <si>
    <t>C00234 + C03838</t>
  </si>
  <si>
    <t>C00234 * C03838</t>
  </si>
  <si>
    <t>C00101 + C04376</t>
  </si>
  <si>
    <t>C00101 * C04376</t>
  </si>
  <si>
    <t>C03838 + C00445 + C00001</t>
  </si>
  <si>
    <t>C03838 * C00445 * C00001</t>
  </si>
  <si>
    <t>C04376 + C00101</t>
  </si>
  <si>
    <t>C04376 * C00101</t>
  </si>
  <si>
    <t>C00234 + C04677</t>
  </si>
  <si>
    <t>C00234 * C04677</t>
  </si>
  <si>
    <t>C00101 + C04734</t>
  </si>
  <si>
    <t>C00101 * C04734</t>
  </si>
  <si>
    <t>C02430 + C00234</t>
  </si>
  <si>
    <t>C02430 * C00234</t>
  </si>
  <si>
    <t>C00101 + C03294</t>
  </si>
  <si>
    <t>C00101 * C03294</t>
  </si>
  <si>
    <t>C00169 + C00049</t>
  </si>
  <si>
    <t>C00169 * C00049</t>
  </si>
  <si>
    <t>C00009 + C00438</t>
  </si>
  <si>
    <t>C00009 * C00438</t>
  </si>
  <si>
    <t>C00169 + C00077</t>
  </si>
  <si>
    <t>C00169 * C00077</t>
  </si>
  <si>
    <t>C00009 + C00327</t>
  </si>
  <si>
    <t>C00009 * C00327</t>
  </si>
  <si>
    <t>C19848 + C06232</t>
  </si>
  <si>
    <t>C19848 * C06232</t>
  </si>
  <si>
    <t>C18237 + C00020 + C00001</t>
  </si>
  <si>
    <t>C18237 * C00020 * C00001</t>
  </si>
  <si>
    <t>C00085 + C00118</t>
  </si>
  <si>
    <t>C00085 * C00118</t>
  </si>
  <si>
    <t>C00279 + C00231</t>
  </si>
  <si>
    <t>C00279 * C00231</t>
  </si>
  <si>
    <t>C05382 + C00118</t>
  </si>
  <si>
    <t>C05382 * C00118</t>
  </si>
  <si>
    <t>C00117 + C00231</t>
  </si>
  <si>
    <t>C00117 * C00231</t>
  </si>
  <si>
    <t>C05345 + C00118</t>
  </si>
  <si>
    <t>C05345 * C00118</t>
  </si>
  <si>
    <t>C12214 + C00117</t>
  </si>
  <si>
    <t>C12214 * C00117</t>
  </si>
  <si>
    <t>C12215 + C05382</t>
  </si>
  <si>
    <t>C12215 * C05382</t>
  </si>
  <si>
    <t>C00231 + C00068</t>
  </si>
  <si>
    <t>C00231 * C00068</t>
  </si>
  <si>
    <t>C13378 + C00118</t>
  </si>
  <si>
    <t>C13378 * C00118</t>
  </si>
  <si>
    <t>C05382 + C00068</t>
  </si>
  <si>
    <t>C05382 * C00068</t>
  </si>
  <si>
    <t>C13378 + C00117</t>
  </si>
  <si>
    <t>C13378 * C00117</t>
  </si>
  <si>
    <t>C00900 + C00011</t>
  </si>
  <si>
    <t>C00900 * C00011</t>
  </si>
  <si>
    <t>C06010 + C00011</t>
  </si>
  <si>
    <t>C06010 * C00011</t>
  </si>
  <si>
    <t>C00900 + C00068</t>
  </si>
  <si>
    <t>C00900 * C00068</t>
  </si>
  <si>
    <t>C05125 + C00022</t>
  </si>
  <si>
    <t>C05125 * C00022</t>
  </si>
  <si>
    <t>C06010 + C00068</t>
  </si>
  <si>
    <t>C06010 * C00068</t>
  </si>
  <si>
    <t>C00109 + C05125</t>
  </si>
  <si>
    <t>C00109 * C05125</t>
  </si>
  <si>
    <t>C06006 + C00068</t>
  </si>
  <si>
    <t>C06006 * C00068</t>
  </si>
  <si>
    <t>C00022 + C00109</t>
  </si>
  <si>
    <t>C00022 * C00109</t>
  </si>
  <si>
    <t>C06006 + C00011</t>
  </si>
  <si>
    <t>C06006 * C00011</t>
  </si>
  <si>
    <t>C00022 + C00118</t>
  </si>
  <si>
    <t>C00022 * C00118</t>
  </si>
  <si>
    <t>C11437 + C00011</t>
  </si>
  <si>
    <t>C11437 * C00011</t>
  </si>
  <si>
    <t>C00885 + C00026</t>
  </si>
  <si>
    <t>C00885 * C00026</t>
  </si>
  <si>
    <t>C16519 + C00011</t>
  </si>
  <si>
    <t>C16519 * C00011</t>
  </si>
  <si>
    <t>C00024 + C00025</t>
  </si>
  <si>
    <t>C00024 * C00025</t>
  </si>
  <si>
    <t>C00010 + C00624</t>
  </si>
  <si>
    <t>C00010 * C00624</t>
  </si>
  <si>
    <t>C00024 + C15973</t>
  </si>
  <si>
    <t>C00024 * C15973</t>
  </si>
  <si>
    <t>C00010 + C16255</t>
  </si>
  <si>
    <t>C00010 * C16255</t>
  </si>
  <si>
    <t>C00024 + C06156</t>
  </si>
  <si>
    <t>C00024 * C06156</t>
  </si>
  <si>
    <t>C00010 + C04501</t>
  </si>
  <si>
    <t>C00010 * C04501</t>
  </si>
  <si>
    <t>C00173 + C01209</t>
  </si>
  <si>
    <t>C00173 * C01209</t>
  </si>
  <si>
    <t>C00685 + C00011 + C00229</t>
  </si>
  <si>
    <t>C00685 * C00011 * C00229</t>
  </si>
  <si>
    <t>C03939 + C01209</t>
  </si>
  <si>
    <t>C03939 * C01209</t>
  </si>
  <si>
    <t>C05744 + C00011 + C00229</t>
  </si>
  <si>
    <t>C05744 * C00011 * C00229</t>
  </si>
  <si>
    <t>C05223 + C01209</t>
  </si>
  <si>
    <t>C05223 * C01209</t>
  </si>
  <si>
    <t>C05759 + C00011 + C00229</t>
  </si>
  <si>
    <t>C05759 * C00011 * C00229</t>
  </si>
  <si>
    <t>C05745 + C01209</t>
  </si>
  <si>
    <t>C05745 * C01209</t>
  </si>
  <si>
    <t>C05746 + C00011 + C00229</t>
  </si>
  <si>
    <t>C05746 * C00011 * C00229</t>
  </si>
  <si>
    <t>C05749 + C01209</t>
  </si>
  <si>
    <t>C05749 * C01209</t>
  </si>
  <si>
    <t>C05750 + C00011 + C00229</t>
  </si>
  <si>
    <t>C05750 * C00011 * C00229</t>
  </si>
  <si>
    <t>C05752 + C01209</t>
  </si>
  <si>
    <t>C05752 * C01209</t>
  </si>
  <si>
    <t>C05753 + C00011 + C00229</t>
  </si>
  <si>
    <t>C05753 * C00011 * C00229</t>
  </si>
  <si>
    <t>C05755 + C01209</t>
  </si>
  <si>
    <t>C05755 * C01209</t>
  </si>
  <si>
    <t>C05756 + C00011 + C00229</t>
  </si>
  <si>
    <t>C05756 * C00011 * C00229</t>
  </si>
  <si>
    <t>C05761 + C01209</t>
  </si>
  <si>
    <t>C05761 * C01209</t>
  </si>
  <si>
    <t>C05762 + C00011 + C00229</t>
  </si>
  <si>
    <t>C05762 * C00011 * C00229</t>
  </si>
  <si>
    <t>C05764 + C01209</t>
  </si>
  <si>
    <t>C05764 * C01209</t>
  </si>
  <si>
    <t>C16219 + C00229 + C00011</t>
  </si>
  <si>
    <t>C16219 * C00229 * C00011</t>
  </si>
  <si>
    <t>C19673 + C01209</t>
  </si>
  <si>
    <t>C19673 * C01209</t>
  </si>
  <si>
    <t>C20372 + C00011 + C00229</t>
  </si>
  <si>
    <t>C20372 * C00011 * C00229</t>
  </si>
  <si>
    <t>C20375 + C01209</t>
  </si>
  <si>
    <t>C20375 * C01209</t>
  </si>
  <si>
    <t>C20376 + C00011 + C00229</t>
  </si>
  <si>
    <t>C20376 * C00011 * C00229</t>
  </si>
  <si>
    <t>C00024 + C01209</t>
  </si>
  <si>
    <t>C00024 * C01209</t>
  </si>
  <si>
    <t>C05744 + C00010 + C00011</t>
  </si>
  <si>
    <t>C05744 * C00010 * C00011</t>
  </si>
  <si>
    <t>C00136 + C00009</t>
  </si>
  <si>
    <t>C00136 * C00009</t>
  </si>
  <si>
    <t>C00010 + C02527</t>
  </si>
  <si>
    <t>C00010 * C02527</t>
  </si>
  <si>
    <t>C20641 + C17324</t>
  </si>
  <si>
    <t>C20641 * C17324</t>
  </si>
  <si>
    <t>C00020 + C20751</t>
  </si>
  <si>
    <t>C00020 * C20751</t>
  </si>
  <si>
    <t>C00111 + C00024</t>
  </si>
  <si>
    <t>C00111 * C00024</t>
  </si>
  <si>
    <t>C20960 + C00010</t>
  </si>
  <si>
    <t>C20960 * C00010</t>
  </si>
  <si>
    <t>C00024 + C03803</t>
  </si>
  <si>
    <t>C00024 * C03803</t>
  </si>
  <si>
    <t>C00010 + C04341</t>
  </si>
  <si>
    <t>C00010 * C04341</t>
  </si>
  <si>
    <t>C00173 + C00009</t>
  </si>
  <si>
    <t>C00173 * C00009</t>
  </si>
  <si>
    <t>C02133 + C00229</t>
  </si>
  <si>
    <t>C02133 * C00229</t>
  </si>
  <si>
    <t>C00003 + C01997 + C00001</t>
  </si>
  <si>
    <t>C00003 * C01997 * C00001</t>
  </si>
  <si>
    <t>C00153 + C02415 + C20658 + C00080</t>
  </si>
  <si>
    <t>C00153 * C02415 * C20658 * C00080</t>
  </si>
  <si>
    <t>C00003 + C20743 + C00001</t>
  </si>
  <si>
    <t>C00003 * C20743 * C00001</t>
  </si>
  <si>
    <t>C00153 + C02188 + C20658 + C00080</t>
  </si>
  <si>
    <t>C00153 * C02188 * C20658 * C00080</t>
  </si>
  <si>
    <t>C00024 + C00037</t>
  </si>
  <si>
    <t>C00024 * C00037</t>
  </si>
  <si>
    <t>C00010 + C03508</t>
  </si>
  <si>
    <t>C00010 * C03508</t>
  </si>
  <si>
    <t>C00065 + C00024</t>
  </si>
  <si>
    <t>C00065 * C00024</t>
  </si>
  <si>
    <t>C00979 + C00010</t>
  </si>
  <si>
    <t>C00979 * C00010</t>
  </si>
  <si>
    <t>C00024 + C00263</t>
  </si>
  <si>
    <t>C00024 * C00263</t>
  </si>
  <si>
    <t>C00010 + C01077</t>
  </si>
  <si>
    <t>C00010 * C01077</t>
  </si>
  <si>
    <t>C00083 + C00229</t>
  </si>
  <si>
    <t>C00083 * C00229</t>
  </si>
  <si>
    <t>C00010 + C01209</t>
  </si>
  <si>
    <t>C00010 * C01209</t>
  </si>
  <si>
    <t>C00091 + C00263</t>
  </si>
  <si>
    <t>C00091 * C00263</t>
  </si>
  <si>
    <t>C00010 + C01118</t>
  </si>
  <si>
    <t>C00010 * C01118</t>
  </si>
  <si>
    <t>C01063 + C00041</t>
  </si>
  <si>
    <t>C01063 * C00041</t>
  </si>
  <si>
    <t>C01092 + C00010 + C00011</t>
  </si>
  <si>
    <t>C01092 * C00010 * C00011</t>
  </si>
  <si>
    <t>C19845 + C00041</t>
  </si>
  <si>
    <t>C19845 * C00041</t>
  </si>
  <si>
    <t>C01092 + C00229 + C00011</t>
  </si>
  <si>
    <t>C01092 * C00229 * C00011</t>
  </si>
  <si>
    <t>C00024 + C00058</t>
  </si>
  <si>
    <t>C00024 * C00058</t>
  </si>
  <si>
    <t>C00010 + C00022</t>
  </si>
  <si>
    <t>C00010 * C00022</t>
  </si>
  <si>
    <t>C00109 + C00010</t>
  </si>
  <si>
    <t>C00109 * C00010</t>
  </si>
  <si>
    <t>C00100 + C00058</t>
  </si>
  <si>
    <t>C00100 * C00058</t>
  </si>
  <si>
    <t>C00024 + C00134</t>
  </si>
  <si>
    <t>C00024 * C00134</t>
  </si>
  <si>
    <t>C00010 + C02714</t>
  </si>
  <si>
    <t>C00010 * C02714</t>
  </si>
  <si>
    <t>C00024 + C03687</t>
  </si>
  <si>
    <t>C00024 * C03687</t>
  </si>
  <si>
    <t>C00010 + C02297</t>
  </si>
  <si>
    <t>C00010 * C02297</t>
  </si>
  <si>
    <t>C00091 + C15973</t>
  </si>
  <si>
    <t>C00091 * C15973</t>
  </si>
  <si>
    <t>C00010 + C16254</t>
  </si>
  <si>
    <t>C00010 * C16254</t>
  </si>
  <si>
    <t>C00527 + C15973</t>
  </si>
  <si>
    <t>C00527 * C15973</t>
  </si>
  <si>
    <t>C00010 + C06157</t>
  </si>
  <si>
    <t>C00010 * C06157</t>
  </si>
  <si>
    <t>C00024 + C00009</t>
  </si>
  <si>
    <t>C00024 * C00009</t>
  </si>
  <si>
    <t>C00010 + C00227</t>
  </si>
  <si>
    <t>C00010 * C00227</t>
  </si>
  <si>
    <t>C00100 + C00009</t>
  </si>
  <si>
    <t>C00100 * C00009</t>
  </si>
  <si>
    <t>C02876 + C00010</t>
  </si>
  <si>
    <t>C02876 * C00010</t>
  </si>
  <si>
    <t>C00010 + C00332</t>
  </si>
  <si>
    <t>C00010 * C00332</t>
  </si>
  <si>
    <t>C00100 + C00024</t>
  </si>
  <si>
    <t>C00100 * C00024</t>
  </si>
  <si>
    <t>C00010 + C03344</t>
  </si>
  <si>
    <t>C00010 * C03344</t>
  </si>
  <si>
    <t>C00024 + C00136</t>
  </si>
  <si>
    <t>C00024 * C00136</t>
  </si>
  <si>
    <t>C00010 + C05269</t>
  </si>
  <si>
    <t>C00010 * C05269</t>
  </si>
  <si>
    <t>C02583 + C01664</t>
  </si>
  <si>
    <t>C02583 * C01664</t>
  </si>
  <si>
    <t>C03636 + C00014</t>
  </si>
  <si>
    <t>C03636 * C00014</t>
  </si>
  <si>
    <t>C00158 + C00010</t>
  </si>
  <si>
    <t>C00158 * C00010</t>
  </si>
  <si>
    <t>C00024 + C00001 + C00036</t>
  </si>
  <si>
    <t>C00024 * C00001 * C00036</t>
  </si>
  <si>
    <t>C02504 + C00010</t>
  </si>
  <si>
    <t>C02504 * C00010</t>
  </si>
  <si>
    <t>C00024 + C00141 + C00001</t>
  </si>
  <si>
    <t>C00024 * C00141 * C00001</t>
  </si>
  <si>
    <t>C00149 + C00010</t>
  </si>
  <si>
    <t>C00149 * C00010</t>
  </si>
  <si>
    <t>C00024 + C00001 + C00048</t>
  </si>
  <si>
    <t>C00024 * C00001 * C00048</t>
  </si>
  <si>
    <t>C00718 + C00009</t>
  </si>
  <si>
    <t>C00718 * C00009</t>
  </si>
  <si>
    <t>C00718 + C00103</t>
  </si>
  <si>
    <t>C00718 * C00103</t>
  </si>
  <si>
    <t>C00369 + C00009</t>
  </si>
  <si>
    <t>C00369 * C00009</t>
  </si>
  <si>
    <t>G10495 + C00009</t>
  </si>
  <si>
    <t>G10495 * C00009</t>
  </si>
  <si>
    <t>G10495 + C00103</t>
  </si>
  <si>
    <t>G10495 * C00103</t>
  </si>
  <si>
    <t>G10545 + C00009</t>
  </si>
  <si>
    <t>G10545 * C00009</t>
  </si>
  <si>
    <t>C05897 + C00043</t>
  </si>
  <si>
    <t>C05897 * C00043</t>
  </si>
  <si>
    <t>C05898 + C00015</t>
  </si>
  <si>
    <t>C05898 * C00015</t>
  </si>
  <si>
    <t>C04851 + C00043</t>
  </si>
  <si>
    <t>C04851 * C00043</t>
  </si>
  <si>
    <t>C05893 + C00015</t>
  </si>
  <si>
    <t>C05893 * C00015</t>
  </si>
  <si>
    <t>G10551 + G10610</t>
  </si>
  <si>
    <t>G10551 * G10610</t>
  </si>
  <si>
    <t>G10550 + G10619</t>
  </si>
  <si>
    <t>G10550 * G10619</t>
  </si>
  <si>
    <t>G10552 + G10610</t>
  </si>
  <si>
    <t>G10552 * G10610</t>
  </si>
  <si>
    <t>G10553 + G10619</t>
  </si>
  <si>
    <t>G10553 * G10619</t>
  </si>
  <si>
    <t>G10556 + G10610</t>
  </si>
  <si>
    <t>G10556 * G10610</t>
  </si>
  <si>
    <t>G10555 + G10619</t>
  </si>
  <si>
    <t>G10555 * G10619</t>
  </si>
  <si>
    <t>C00212 + C00009</t>
  </si>
  <si>
    <t>C00212 * C00009</t>
  </si>
  <si>
    <t>C00147 + C00620</t>
  </si>
  <si>
    <t>C00147 * C00620</t>
  </si>
  <si>
    <t>C00294 + C00009</t>
  </si>
  <si>
    <t>C00294 * C00009</t>
  </si>
  <si>
    <t>C00262 + C00620</t>
  </si>
  <si>
    <t>C00262 * C00620</t>
  </si>
  <si>
    <t>C00330 + C00009</t>
  </si>
  <si>
    <t>C00330 * C00009</t>
  </si>
  <si>
    <t>C00242 + C00672</t>
  </si>
  <si>
    <t>C00242 * C00672</t>
  </si>
  <si>
    <t>C00387 + C00009</t>
  </si>
  <si>
    <t>C00387 * C00009</t>
  </si>
  <si>
    <t>C00242 + C00620</t>
  </si>
  <si>
    <t>C00242 * C00620</t>
  </si>
  <si>
    <t>C03150 + C00009</t>
  </si>
  <si>
    <t>C03150 * C00009</t>
  </si>
  <si>
    <t>C00153 + C00620</t>
  </si>
  <si>
    <t>C00153 * C00620</t>
  </si>
  <si>
    <t>C05841 + C00009</t>
  </si>
  <si>
    <t>C05841 * C00009</t>
  </si>
  <si>
    <t>C00253 + C00620 + C00080</t>
  </si>
  <si>
    <t>C00253 * C00620 * C00080</t>
  </si>
  <si>
    <t>C01762 + C00009</t>
  </si>
  <si>
    <t>C01762 * C00009</t>
  </si>
  <si>
    <t>C00385 + C00620</t>
  </si>
  <si>
    <t>C00385 * C00620</t>
  </si>
  <si>
    <t>C00559 + C00009</t>
  </si>
  <si>
    <t>C00559 * C00009</t>
  </si>
  <si>
    <t>C00147 + C00672</t>
  </si>
  <si>
    <t>C00147 * C00672</t>
  </si>
  <si>
    <t>C05512 + C00009</t>
  </si>
  <si>
    <t>C05512 * C00009</t>
  </si>
  <si>
    <t>C00262 + C00672</t>
  </si>
  <si>
    <t>C00262 * C00672</t>
  </si>
  <si>
    <t>C15586 + C00009</t>
  </si>
  <si>
    <t>C15586 * C00009</t>
  </si>
  <si>
    <t>C15587 + C00620</t>
  </si>
  <si>
    <t>C15587 * C00620</t>
  </si>
  <si>
    <t>C20463 + C00009</t>
  </si>
  <si>
    <t>C20463 * C00009</t>
  </si>
  <si>
    <t>C15587 + C00672</t>
  </si>
  <si>
    <t>C15587 * C00672</t>
  </si>
  <si>
    <t>C01103 + C00013</t>
  </si>
  <si>
    <t>C01103 * C00013</t>
  </si>
  <si>
    <t>C00295 + C00119</t>
  </si>
  <si>
    <t>C00295 * C00119</t>
  </si>
  <si>
    <t>C07649 + C00119</t>
  </si>
  <si>
    <t>C07649 * C00119</t>
  </si>
  <si>
    <t>C16634 + C00013</t>
  </si>
  <si>
    <t>C16634 * C00013</t>
  </si>
  <si>
    <t>C03090 + C00013 + C00025</t>
  </si>
  <si>
    <t>C03090 * C00013 * C00025</t>
  </si>
  <si>
    <t>C00064 + C00119 + C00001</t>
  </si>
  <si>
    <t>C00064 * C00119 * C00001</t>
  </si>
  <si>
    <t>C02739 + C00013</t>
  </si>
  <si>
    <t>C02739 * C00013</t>
  </si>
  <si>
    <t>C00002 + C00119</t>
  </si>
  <si>
    <t>C00002 * C00119</t>
  </si>
  <si>
    <t>C04302 + C00013</t>
  </si>
  <si>
    <t>C04302 * C00013</t>
  </si>
  <si>
    <t>C00108 + C00119</t>
  </si>
  <si>
    <t>C00108 * C00119</t>
  </si>
  <si>
    <t>C01185 + C00013 + C00011</t>
  </si>
  <si>
    <t>C01185 * C00013 * C00011</t>
  </si>
  <si>
    <t>C03722 + C00119</t>
  </si>
  <si>
    <t>C03722 * C00119</t>
  </si>
  <si>
    <t>C00214 + C00009</t>
  </si>
  <si>
    <t>C00214 * C00009</t>
  </si>
  <si>
    <t>C00178 + C00672</t>
  </si>
  <si>
    <t>C00178 * C00672</t>
  </si>
  <si>
    <t>C00299 + C00009</t>
  </si>
  <si>
    <t>C00299 * C00009</t>
  </si>
  <si>
    <t>C00106 + C00620</t>
  </si>
  <si>
    <t>C00106 * C00620</t>
  </si>
  <si>
    <t>C00475 + C00009</t>
  </si>
  <si>
    <t>C00475 * C00009</t>
  </si>
  <si>
    <t>C00380 + C00620</t>
  </si>
  <si>
    <t>C00380 * C00620</t>
  </si>
  <si>
    <t>C03169 + C00009</t>
  </si>
  <si>
    <t>C03169 * C00009</t>
  </si>
  <si>
    <t>C00396 + C00620 + C00080</t>
  </si>
  <si>
    <t>C00396 * C00620 * C00080</t>
  </si>
  <si>
    <t>C00526 + C00009</t>
  </si>
  <si>
    <t>C00526 * C00009</t>
  </si>
  <si>
    <t>C00106 + C00672</t>
  </si>
  <si>
    <t>C00106 * C00672</t>
  </si>
  <si>
    <t>C00144 + C00013</t>
  </si>
  <si>
    <t>C00144 * C00013</t>
  </si>
  <si>
    <t>C00242 + C00119</t>
  </si>
  <si>
    <t>C00242 * C00119</t>
  </si>
  <si>
    <t>C00655 + C00013</t>
  </si>
  <si>
    <t>C00655 * C00013</t>
  </si>
  <si>
    <t>C00385 + C00119</t>
  </si>
  <si>
    <t>C00385 * C00119</t>
  </si>
  <si>
    <t>C01977 + C16675</t>
  </si>
  <si>
    <t>C01977 * C16675</t>
  </si>
  <si>
    <t>C20446 + C00242</t>
  </si>
  <si>
    <t>C20446 * C00242</t>
  </si>
  <si>
    <t>C00020 + C00013</t>
  </si>
  <si>
    <t>C00020 * C00013</t>
  </si>
  <si>
    <t>C00147 + C00119</t>
  </si>
  <si>
    <t>C00147 * C00119</t>
  </si>
  <si>
    <t>C04677 + C00013</t>
  </si>
  <si>
    <t>C04677 * C00013</t>
  </si>
  <si>
    <t>C04051 + C00119</t>
  </si>
  <si>
    <t>C04051 * C00119</t>
  </si>
  <si>
    <t>C00130 + C00013</t>
  </si>
  <si>
    <t>C00130 * C00013</t>
  </si>
  <si>
    <t>C00262 + C00119</t>
  </si>
  <si>
    <t>C00262 * C00119</t>
  </si>
  <si>
    <t>C02380 + C00119</t>
  </si>
  <si>
    <t>C02380 * C00119</t>
  </si>
  <si>
    <t>C04646 + C00013</t>
  </si>
  <si>
    <t>C04646 * C00013</t>
  </si>
  <si>
    <t>C16614 + C00119</t>
  </si>
  <si>
    <t>C16614 * C00119</t>
  </si>
  <si>
    <t>C16615 + C00013</t>
  </si>
  <si>
    <t>C16615 * C00013</t>
  </si>
  <si>
    <t>C07648 + C00119</t>
  </si>
  <si>
    <t>C07648 * C00119</t>
  </si>
  <si>
    <t>C16619 + C00013</t>
  </si>
  <si>
    <t>C16619 * C00013</t>
  </si>
  <si>
    <t>C00105 + C00013</t>
  </si>
  <si>
    <t>C00105 * C00013</t>
  </si>
  <si>
    <t>C00106 + C00119</t>
  </si>
  <si>
    <t>C00106 * C00119</t>
  </si>
  <si>
    <t>C00019 + C20446</t>
  </si>
  <si>
    <t>C00019 * C20446</t>
  </si>
  <si>
    <t>C00073 + C00147 + C19647</t>
  </si>
  <si>
    <t>C00073 * C00147 * C19647</t>
  </si>
  <si>
    <t>C00341 + C00129</t>
  </si>
  <si>
    <t>C00341 * C00129</t>
  </si>
  <si>
    <t>C00013 + C00448</t>
  </si>
  <si>
    <t>C00013 * C00448</t>
  </si>
  <si>
    <t>C00979 + C00155</t>
  </si>
  <si>
    <t>C00979 * C00155</t>
  </si>
  <si>
    <t>C02291 + C00033</t>
  </si>
  <si>
    <t>C02291 * C00033</t>
  </si>
  <si>
    <t>C01300 + C00568</t>
  </si>
  <si>
    <t>C01300 * C00568</t>
  </si>
  <si>
    <t>C00921 + C00001</t>
  </si>
  <si>
    <t>C00921 * C00001</t>
  </si>
  <si>
    <t>C04807 + C00568</t>
  </si>
  <si>
    <t>C04807 * C00568</t>
  </si>
  <si>
    <t>C00013 + C00921</t>
  </si>
  <si>
    <t>C00013 * C00921</t>
  </si>
  <si>
    <t>C01137 + C00134</t>
  </si>
  <si>
    <t>C01137 * C00134</t>
  </si>
  <si>
    <t>C00170 + C00315</t>
  </si>
  <si>
    <t>C00170 * C00315</t>
  </si>
  <si>
    <t>C01137 + C01672</t>
  </si>
  <si>
    <t>C01137 * C01672</t>
  </si>
  <si>
    <t>C00170 + C16565</t>
  </si>
  <si>
    <t>C00170 * C16565</t>
  </si>
  <si>
    <t>C00002 + C00853</t>
  </si>
  <si>
    <t>C00002 * C00853</t>
  </si>
  <si>
    <t>C00536 + C00194</t>
  </si>
  <si>
    <t>C00536 * C00194</t>
  </si>
  <si>
    <t>C06505 + C00002</t>
  </si>
  <si>
    <t>C06505 * C00002</t>
  </si>
  <si>
    <t>C06506 + C00536</t>
  </si>
  <si>
    <t>C06506 * C00536</t>
  </si>
  <si>
    <t>C00002 + C05774</t>
  </si>
  <si>
    <t>C00002 * C05774</t>
  </si>
  <si>
    <t>C00536 + C06508</t>
  </si>
  <si>
    <t>C00536 * C06508</t>
  </si>
  <si>
    <t>C00002 + C00541 + C03024</t>
  </si>
  <si>
    <t>C00002 * C00541 * C03024</t>
  </si>
  <si>
    <t>C00536 + C00194 + C03161</t>
  </si>
  <si>
    <t>C00536 * C00194 * C03161</t>
  </si>
  <si>
    <t>C00002 + C06504 + C03024</t>
  </si>
  <si>
    <t>C00002 * C06504 * C03024</t>
  </si>
  <si>
    <t>C00536 + C06506 + C03161</t>
  </si>
  <si>
    <t>C00536 * C06506 * C03161</t>
  </si>
  <si>
    <t>C00074 + C03175</t>
  </si>
  <si>
    <t>C00074 * C03175</t>
  </si>
  <si>
    <t>C00009 + C01269</t>
  </si>
  <si>
    <t>C00009 * C01269</t>
  </si>
  <si>
    <t>C04752 + C04327</t>
  </si>
  <si>
    <t>C04752 * C04327</t>
  </si>
  <si>
    <t>C00013 + C01081</t>
  </si>
  <si>
    <t>C00013 * C01081</t>
  </si>
  <si>
    <t>C04752 + C20247</t>
  </si>
  <si>
    <t>C04752 * C20247</t>
  </si>
  <si>
    <t>C01081 + C00013 + C00011</t>
  </si>
  <si>
    <t>C01081 * C00013 * C00011</t>
  </si>
  <si>
    <t>C04752 + C20246</t>
  </si>
  <si>
    <t>C04752 * C20246</t>
  </si>
  <si>
    <t>C00013 + C01081 + C00011</t>
  </si>
  <si>
    <t>C00013 * C01081 * C00011</t>
  </si>
  <si>
    <t>C00979 + C00283</t>
  </si>
  <si>
    <t>C00979 * C00283</t>
  </si>
  <si>
    <t>C00097 + C00033</t>
  </si>
  <si>
    <t>C00097 * C00033</t>
  </si>
  <si>
    <t>C00979 + C01528</t>
  </si>
  <si>
    <t>C00979 * C01528</t>
  </si>
  <si>
    <t>C05688 + C00033</t>
  </si>
  <si>
    <t>C05688 * C00033</t>
  </si>
  <si>
    <t>C00979 + C00320 + C00342 + C00080</t>
  </si>
  <si>
    <t>C00979 * C00320 * C00342 * C00080</t>
  </si>
  <si>
    <t>C00097 + C00094 + C00343 + C00033</t>
  </si>
  <si>
    <t>C00097 * C00094 * C00343 * C00033</t>
  </si>
  <si>
    <t>C01005 + C00283</t>
  </si>
  <si>
    <t>C01005 * C00283</t>
  </si>
  <si>
    <t>C00097 + C00009</t>
  </si>
  <si>
    <t>C00097 * C00009</t>
  </si>
  <si>
    <t>C00009 + C00013 + C00019</t>
  </si>
  <si>
    <t>C00009 * C00013 * C00019</t>
  </si>
  <si>
    <t>C00002 + C00073 + C00001</t>
  </si>
  <si>
    <t>C00002 * C00073 * C00001</t>
  </si>
  <si>
    <t>C00002 + C05335 + C00001</t>
  </si>
  <si>
    <t>C00002 * C05335 * C00001</t>
  </si>
  <si>
    <t>C00009 + C00013 + C05691</t>
  </si>
  <si>
    <t>C00009 * C00013 * C05691</t>
  </si>
  <si>
    <t>C00931 + C00001</t>
  </si>
  <si>
    <t>C00931 * C00001</t>
  </si>
  <si>
    <t>C01024 + C00014</t>
  </si>
  <si>
    <t>C01024 * C00014</t>
  </si>
  <si>
    <t>C00074 + C00043</t>
  </si>
  <si>
    <t>C00074 * C00043</t>
  </si>
  <si>
    <t>C04631 + C00009</t>
  </si>
  <si>
    <t>C04631 * C00009</t>
  </si>
  <si>
    <t>C03722 + C00001 + C00009</t>
  </si>
  <si>
    <t>C03722 * C00001 * C00009</t>
  </si>
  <si>
    <t>C05840 + C00111</t>
  </si>
  <si>
    <t>C05840 * C00111</t>
  </si>
  <si>
    <t>C05847 + C03657</t>
  </si>
  <si>
    <t>C05847 * C03657</t>
  </si>
  <si>
    <t>C19847 + C00013 + C00011</t>
  </si>
  <si>
    <t>C19847 * C00013 * C00011</t>
  </si>
  <si>
    <t>C00235 + C17324</t>
  </si>
  <si>
    <t>C00235 * C17324</t>
  </si>
  <si>
    <t>C00013 + C04432</t>
  </si>
  <si>
    <t>C00013 * C04432</t>
  </si>
  <si>
    <t>C04732 + C15556</t>
  </si>
  <si>
    <t>C04732 * C15556</t>
  </si>
  <si>
    <t>C04332 + C00001 + C00009</t>
  </si>
  <si>
    <t>C04332 * C00001 * C00009</t>
  </si>
  <si>
    <t>C00255 + C04732</t>
  </si>
  <si>
    <t>C00255 * C04732</t>
  </si>
  <si>
    <t>C00049 + C00026</t>
  </si>
  <si>
    <t>C00049 * C00026</t>
  </si>
  <si>
    <t>C00036 + C00025</t>
  </si>
  <si>
    <t>C00036 * C00025</t>
  </si>
  <si>
    <t>C00079 + C00026</t>
  </si>
  <si>
    <t>C00079 * C00026</t>
  </si>
  <si>
    <t>C00166 + C00025</t>
  </si>
  <si>
    <t>C00166 * C00025</t>
  </si>
  <si>
    <t>C00082 + C00026</t>
  </si>
  <si>
    <t>C00082 * C00026</t>
  </si>
  <si>
    <t>C01179 + C00025</t>
  </si>
  <si>
    <t>C01179 * C00025</t>
  </si>
  <si>
    <t>C00097 + C00026</t>
  </si>
  <si>
    <t>C00097 * C00026</t>
  </si>
  <si>
    <t>C00957 + C00025</t>
  </si>
  <si>
    <t>C00957 * C00025</t>
  </si>
  <si>
    <t>C00957 + C00302</t>
  </si>
  <si>
    <t>C00957 * C00302</t>
  </si>
  <si>
    <t>C00506 + C00026</t>
  </si>
  <si>
    <t>C00506 * C00026</t>
  </si>
  <si>
    <t>C05528 + C00025</t>
  </si>
  <si>
    <t>C05528 * C00025</t>
  </si>
  <si>
    <t>C00606 + C00026</t>
  </si>
  <si>
    <t>C00606 * C00026</t>
  </si>
  <si>
    <t>C05527 + C00025</t>
  </si>
  <si>
    <t>C05527 * C00025</t>
  </si>
  <si>
    <t>C05947 + C00026</t>
  </si>
  <si>
    <t>C05947 * C00026</t>
  </si>
  <si>
    <t>C05946 + C00025</t>
  </si>
  <si>
    <t>C05946 * C00025</t>
  </si>
  <si>
    <t>C00437 + C00026</t>
  </si>
  <si>
    <t>C00437 * C00026</t>
  </si>
  <si>
    <t>C01250 + C00025</t>
  </si>
  <si>
    <t>C01250 * C00025</t>
  </si>
  <si>
    <t>C00077 + C00026</t>
  </si>
  <si>
    <t>C00077 * C00026</t>
  </si>
  <si>
    <t>C01165 + C00025</t>
  </si>
  <si>
    <t>C01165 * C00025</t>
  </si>
  <si>
    <t>C04322 + C00025 + C00001</t>
  </si>
  <si>
    <t>C04322 * C00025 * C00001</t>
  </si>
  <si>
    <t>C00077 + C00161</t>
  </si>
  <si>
    <t>C00077 * C00161</t>
  </si>
  <si>
    <t>C01165 + C00151</t>
  </si>
  <si>
    <t>C01165 * C00151</t>
  </si>
  <si>
    <t>C00064 + C00085</t>
  </si>
  <si>
    <t>C00064 * C00085</t>
  </si>
  <si>
    <t>C00025 + C00352</t>
  </si>
  <si>
    <t>C00025 * C00352</t>
  </si>
  <si>
    <t>C00099 + C00026</t>
  </si>
  <si>
    <t>C00099 * C00026</t>
  </si>
  <si>
    <t>C00222 + C00025</t>
  </si>
  <si>
    <t>C00222 * C00025</t>
  </si>
  <si>
    <t>C00334 + C00026</t>
  </si>
  <si>
    <t>C00334 * C00026</t>
  </si>
  <si>
    <t>C00232 + C00025</t>
  </si>
  <si>
    <t>C00232 * C00025</t>
  </si>
  <si>
    <t>C00133 + C00026</t>
  </si>
  <si>
    <t>C00133 * C00026</t>
  </si>
  <si>
    <t>C00022 + C00217</t>
  </si>
  <si>
    <t>C00022 * C00217</t>
  </si>
  <si>
    <t>C00405 + C00022</t>
  </si>
  <si>
    <t>C00405 * C00022</t>
  </si>
  <si>
    <t>C00161 + C00133</t>
  </si>
  <si>
    <t>C00161 * C00133</t>
  </si>
  <si>
    <t>C02265 + C00026</t>
  </si>
  <si>
    <t>C02265 * C00026</t>
  </si>
  <si>
    <t>C00166 + C00217</t>
  </si>
  <si>
    <t>C00166 * C00217</t>
  </si>
  <si>
    <t>C00515 + C00161</t>
  </si>
  <si>
    <t>C00515 * C00161</t>
  </si>
  <si>
    <t>C01110 + C00405</t>
  </si>
  <si>
    <t>C01110 * C00405</t>
  </si>
  <si>
    <t>C00739 + C00161</t>
  </si>
  <si>
    <t>C00739 * C00161</t>
  </si>
  <si>
    <t>C03239 + C00405</t>
  </si>
  <si>
    <t>C03239 * C00405</t>
  </si>
  <si>
    <t>C00792 + C00161</t>
  </si>
  <si>
    <t>C00792 * C00161</t>
  </si>
  <si>
    <t>C03771 + C00405</t>
  </si>
  <si>
    <t>C03771 * C00405</t>
  </si>
  <si>
    <t>C00402 + C05946</t>
  </si>
  <si>
    <t>C00402 * C05946</t>
  </si>
  <si>
    <t>C00036 + C05947</t>
  </si>
  <si>
    <t>C00036 * C05947</t>
  </si>
  <si>
    <t>C03557 + C00022</t>
  </si>
  <si>
    <t>C03557 * C00022</t>
  </si>
  <si>
    <t>C03167 + C00041</t>
  </si>
  <si>
    <t>C03167 * C00041</t>
  </si>
  <si>
    <t>C00123 + C00026</t>
  </si>
  <si>
    <t>C00123 * C00026</t>
  </si>
  <si>
    <t>C00233 + C00025</t>
  </si>
  <si>
    <t>C00233 * C00025</t>
  </si>
  <si>
    <t>C00183 + C00026</t>
  </si>
  <si>
    <t>C00183 * C00026</t>
  </si>
  <si>
    <t>C00141 + C00025</t>
  </si>
  <si>
    <t>C00141 * C00025</t>
  </si>
  <si>
    <t>C00407 + C00026</t>
  </si>
  <si>
    <t>C00407 * C00026</t>
  </si>
  <si>
    <t>C00671 + C00025</t>
  </si>
  <si>
    <t>C00671 * C00025</t>
  </si>
  <si>
    <t>C02356 + C00026</t>
  </si>
  <si>
    <t>C02356 * C00026</t>
  </si>
  <si>
    <t>C00109 + C00025</t>
  </si>
  <si>
    <t>C00109 * C00025</t>
  </si>
  <si>
    <t>C01005 + C00026</t>
  </si>
  <si>
    <t>C01005 * C00026</t>
  </si>
  <si>
    <t>C03232 + C00025</t>
  </si>
  <si>
    <t>C03232 * C00025</t>
  </si>
  <si>
    <t>C06055 + C00026</t>
  </si>
  <si>
    <t>C06055 * C00026</t>
  </si>
  <si>
    <t>C06054 + C00025</t>
  </si>
  <si>
    <t>C06054 * C00025</t>
  </si>
  <si>
    <t>C00019 + C01092</t>
  </si>
  <si>
    <t>C00019 * C01092</t>
  </si>
  <si>
    <t>C04425 + C01037</t>
  </si>
  <si>
    <t>C04425 * C01037</t>
  </si>
  <si>
    <t>C00666 + C00026</t>
  </si>
  <si>
    <t>C00666 * C00026</t>
  </si>
  <si>
    <t>C03972 + C00025 + C00001</t>
  </si>
  <si>
    <t>C03972 * C00025 * C00001</t>
  </si>
  <si>
    <t>C00064 + C00001</t>
  </si>
  <si>
    <t>C00064 * C00001</t>
  </si>
  <si>
    <t>C00025 + C00014</t>
  </si>
  <si>
    <t>C00025 * C00014</t>
  </si>
  <si>
    <t>C00251 + C00064</t>
  </si>
  <si>
    <t>C00251 * C00064</t>
  </si>
  <si>
    <t>C11355 + C00025</t>
  </si>
  <si>
    <t>C11355 * C00025</t>
  </si>
  <si>
    <t>C00251 + C00014</t>
  </si>
  <si>
    <t>C00251 * C00014</t>
  </si>
  <si>
    <t>C11355 + C00001</t>
  </si>
  <si>
    <t>C11355 * C00001</t>
  </si>
  <si>
    <t>C01100 + C00026</t>
  </si>
  <si>
    <t>C01100 * C00026</t>
  </si>
  <si>
    <t>C01267 + C00025</t>
  </si>
  <si>
    <t>C01267 * C00025</t>
  </si>
  <si>
    <t>C00002 + C03089</t>
  </si>
  <si>
    <t>C00002 * C03089</t>
  </si>
  <si>
    <t>C00008 + C04188</t>
  </si>
  <si>
    <t>C00008 * C04188</t>
  </si>
  <si>
    <t>C00002 + C00641</t>
  </si>
  <si>
    <t>C00002 * C00641</t>
  </si>
  <si>
    <t>C00008 + C00416</t>
  </si>
  <si>
    <t>C00008 * C00416</t>
  </si>
  <si>
    <t>C00002 + C00085</t>
  </si>
  <si>
    <t>C00002 * C00085</t>
  </si>
  <si>
    <t>C00008 + C00354</t>
  </si>
  <si>
    <t>C00008 * C00354</t>
  </si>
  <si>
    <t>C00063 + C00085</t>
  </si>
  <si>
    <t>C00063 * C00085</t>
  </si>
  <si>
    <t>C00112 + C00354</t>
  </si>
  <si>
    <t>C00112 * C00354</t>
  </si>
  <si>
    <t>C00075 + C00085</t>
  </si>
  <si>
    <t>C00075 * C00085</t>
  </si>
  <si>
    <t>C00015 + C00354</t>
  </si>
  <si>
    <t>C00015 * C00354</t>
  </si>
  <si>
    <t>C00081 + C00085</t>
  </si>
  <si>
    <t>C00081 * C00085</t>
  </si>
  <si>
    <t>C00104 + C00354</t>
  </si>
  <si>
    <t>C00104 * C00354</t>
  </si>
  <si>
    <t>C00002 + C05382</t>
  </si>
  <si>
    <t>C00002 * C05382</t>
  </si>
  <si>
    <t>C00008 + C00447</t>
  </si>
  <si>
    <t>C00008 * C00447</t>
  </si>
  <si>
    <t>C01097 + C00002</t>
  </si>
  <si>
    <t>C01097 * C00002</t>
  </si>
  <si>
    <t>C03785 + C00008</t>
  </si>
  <si>
    <t>C03785 * C00008</t>
  </si>
  <si>
    <t>C00063 + C01097</t>
  </si>
  <si>
    <t>C00063 * C01097</t>
  </si>
  <si>
    <t>C00112 + C03785</t>
  </si>
  <si>
    <t>C00112 * C03785</t>
  </si>
  <si>
    <t>C00075 + C01097</t>
  </si>
  <si>
    <t>C00075 * C01097</t>
  </si>
  <si>
    <t>C00015 + C03785</t>
  </si>
  <si>
    <t>C00015 * C03785</t>
  </si>
  <si>
    <t>C00081 + C01097</t>
  </si>
  <si>
    <t>C00081 * C01097</t>
  </si>
  <si>
    <t>C00104 + C03785</t>
  </si>
  <si>
    <t>C00104 * C03785</t>
  </si>
  <si>
    <t>C00002 + C05345</t>
  </si>
  <si>
    <t>C00002 * C05345</t>
  </si>
  <si>
    <t>C00008 + C05378</t>
  </si>
  <si>
    <t>C00008 * C05378</t>
  </si>
  <si>
    <t>C00074 + C00184</t>
  </si>
  <si>
    <t>C00074 * C00184</t>
  </si>
  <si>
    <t>C00022 + C00111</t>
  </si>
  <si>
    <t>C00022 * C00111</t>
  </si>
  <si>
    <t>C11435 + C00002</t>
  </si>
  <si>
    <t>C11435 * C00002</t>
  </si>
  <si>
    <t>C11436 + C00008</t>
  </si>
  <si>
    <t>C11436 * C00008</t>
  </si>
  <si>
    <t>C00002 + C00121</t>
  </si>
  <si>
    <t>C00002 * C00121</t>
  </si>
  <si>
    <t>C00008 + C00117</t>
  </si>
  <si>
    <t>C00008 * C00117</t>
  </si>
  <si>
    <t>C00673 + C00008</t>
  </si>
  <si>
    <t>C00673 * C00008</t>
  </si>
  <si>
    <t>C01801 + C00002</t>
  </si>
  <si>
    <t>C01801 * C00002</t>
  </si>
  <si>
    <t>C00002 + C19769 + C00001</t>
  </si>
  <si>
    <t>C00002 * C19769 * C00001</t>
  </si>
  <si>
    <t>C00008 + C19770</t>
  </si>
  <si>
    <t>C00008 * C19770</t>
  </si>
  <si>
    <t>C00008 + C16698</t>
  </si>
  <si>
    <t>C00008 * C16698</t>
  </si>
  <si>
    <t>C00002 + C11838</t>
  </si>
  <si>
    <t>C00002 * C11838</t>
  </si>
  <si>
    <t>C00008 + C20959</t>
  </si>
  <si>
    <t>C00008 * C20959</t>
  </si>
  <si>
    <t>C04261 + C00140</t>
  </si>
  <si>
    <t>C04261 * C00140</t>
  </si>
  <si>
    <t>C00615 + C00357</t>
  </si>
  <si>
    <t>C00615 * C00357</t>
  </si>
  <si>
    <t>C04261 + C00031</t>
  </si>
  <si>
    <t>C04261 * C00031</t>
  </si>
  <si>
    <t>C00615 + C00668</t>
  </si>
  <si>
    <t>C00615 * C00668</t>
  </si>
  <si>
    <t>C00002 + C00031</t>
  </si>
  <si>
    <t>C00002 * C00031</t>
  </si>
  <si>
    <t>C00008 + C00092</t>
  </si>
  <si>
    <t>C00008 * C00092</t>
  </si>
  <si>
    <t>C00002 + C00221</t>
  </si>
  <si>
    <t>C00002 * C00221</t>
  </si>
  <si>
    <t>C00008 + C01172</t>
  </si>
  <si>
    <t>C00008 * C01172</t>
  </si>
  <si>
    <t>C00002 + C00267</t>
  </si>
  <si>
    <t>C00002 * C00267</t>
  </si>
  <si>
    <t>C00008 + C00668</t>
  </si>
  <si>
    <t>C00008 * C00668</t>
  </si>
  <si>
    <t>C01083 + C04261</t>
  </si>
  <si>
    <t>C01083 * C04261</t>
  </si>
  <si>
    <t>C00689 + C00615</t>
  </si>
  <si>
    <t>C00689 * C00615</t>
  </si>
  <si>
    <t>G00293 + C04261</t>
  </si>
  <si>
    <t>G00293 * C04261</t>
  </si>
  <si>
    <t>G09795 + C00615</t>
  </si>
  <si>
    <t>G09795 * C00615</t>
  </si>
  <si>
    <t>C04261 + C00185</t>
  </si>
  <si>
    <t>C04261 * C00185</t>
  </si>
  <si>
    <t>C00615 + C04534</t>
  </si>
  <si>
    <t>C00615 * C04534</t>
  </si>
  <si>
    <t>C00002 + C00214</t>
  </si>
  <si>
    <t>C00002 * C00214</t>
  </si>
  <si>
    <t>C00008 + C00364</t>
  </si>
  <si>
    <t>C00008 * C00364</t>
  </si>
  <si>
    <t>C00002 + C00526</t>
  </si>
  <si>
    <t>C00002 * C00526</t>
  </si>
  <si>
    <t>C00008 + C00365</t>
  </si>
  <si>
    <t>C00008 * C00365</t>
  </si>
  <si>
    <t>C11736 + C00002</t>
  </si>
  <si>
    <t>C11736 * C00002</t>
  </si>
  <si>
    <t>C04242 + C00008</t>
  </si>
  <si>
    <t>C04242 * C00008</t>
  </si>
  <si>
    <t>C00089 + C04261</t>
  </si>
  <si>
    <t>C00089 * C04261</t>
  </si>
  <si>
    <t>C16688 + C00615</t>
  </si>
  <si>
    <t>C16688 * C00615</t>
  </si>
  <si>
    <t>C00002 + C00003</t>
  </si>
  <si>
    <t>C00002 * C00003</t>
  </si>
  <si>
    <t>C00008 + C00006</t>
  </si>
  <si>
    <t>C00008 * C00006</t>
  </si>
  <si>
    <t>C00002 + C00882</t>
  </si>
  <si>
    <t>C00002 * C00882</t>
  </si>
  <si>
    <t>C00008 + C00010</t>
  </si>
  <si>
    <t>C00008 * C00010</t>
  </si>
  <si>
    <t>C00002 + C00224</t>
  </si>
  <si>
    <t>C00002 * C00224</t>
  </si>
  <si>
    <t>C00008 + C00053</t>
  </si>
  <si>
    <t>C00008 * C00053</t>
  </si>
  <si>
    <t>C00002 + C05686</t>
  </si>
  <si>
    <t>C00002 * C05686</t>
  </si>
  <si>
    <t>C00008 + C05696</t>
  </si>
  <si>
    <t>C00008 * C05696</t>
  </si>
  <si>
    <t>C00002 + C00255</t>
  </si>
  <si>
    <t>C00002 * C00255</t>
  </si>
  <si>
    <t>C00008 + C00061</t>
  </si>
  <si>
    <t>C00008 * C00061</t>
  </si>
  <si>
    <t>C00002 + C00116</t>
  </si>
  <si>
    <t>C00002 * C00116</t>
  </si>
  <si>
    <t>C00008 + C00093</t>
  </si>
  <si>
    <t>C00008 * C00093</t>
  </si>
  <si>
    <t>C00002 + C00258</t>
  </si>
  <si>
    <t>C00002 * C00258</t>
  </si>
  <si>
    <t>C00008 + C00197</t>
  </si>
  <si>
    <t>C00008 * C00197</t>
  </si>
  <si>
    <t>C00002 + C00831</t>
  </si>
  <si>
    <t>C00002 * C00831</t>
  </si>
  <si>
    <t>C00008 + C01134</t>
  </si>
  <si>
    <t>C00008 * C01134</t>
  </si>
  <si>
    <t>C00002 + C00864</t>
  </si>
  <si>
    <t>C00002 * C00864</t>
  </si>
  <si>
    <t>C00008 + C03492</t>
  </si>
  <si>
    <t>C00008 * C03492</t>
  </si>
  <si>
    <t>C00002 + C04079</t>
  </si>
  <si>
    <t>C00002 * C04079</t>
  </si>
  <si>
    <t>C00008 + C04352</t>
  </si>
  <si>
    <t>C00008 * C04352</t>
  </si>
  <si>
    <t>C00002 + C00263</t>
  </si>
  <si>
    <t>C00002 * C00263</t>
  </si>
  <si>
    <t>C00008 + C01102</t>
  </si>
  <si>
    <t>C00008 * C01102</t>
  </si>
  <si>
    <t>C00002 + C00022</t>
  </si>
  <si>
    <t>C00002 * C00022</t>
  </si>
  <si>
    <t>C00008 + C00074</t>
  </si>
  <si>
    <t>C00008 * C00074</t>
  </si>
  <si>
    <t>C00044 + C00022</t>
  </si>
  <si>
    <t>C00044 * C00022</t>
  </si>
  <si>
    <t>C00035 + C00074</t>
  </si>
  <si>
    <t>C00035 * C00074</t>
  </si>
  <si>
    <t>C00063 + C00022</t>
  </si>
  <si>
    <t>C00063 * C00022</t>
  </si>
  <si>
    <t>C00112 + C00074</t>
  </si>
  <si>
    <t>C00112 * C00074</t>
  </si>
  <si>
    <t>C00075 + C00022</t>
  </si>
  <si>
    <t>C00075 * C00022</t>
  </si>
  <si>
    <t>C00015 + C00074</t>
  </si>
  <si>
    <t>C00015 * C00074</t>
  </si>
  <si>
    <t>C00081 + C00022</t>
  </si>
  <si>
    <t>C00081 * C00022</t>
  </si>
  <si>
    <t>C00104 + C00074</t>
  </si>
  <si>
    <t>C00104 * C00074</t>
  </si>
  <si>
    <t>C00131 + C00022</t>
  </si>
  <si>
    <t>C00131 * C00022</t>
  </si>
  <si>
    <t>C00206 + C00074</t>
  </si>
  <si>
    <t>C00206 * C00074</t>
  </si>
  <si>
    <t>C00286 + C00022</t>
  </si>
  <si>
    <t>C00286 * C00022</t>
  </si>
  <si>
    <t>C00361 + C00074</t>
  </si>
  <si>
    <t>C00361 * C00074</t>
  </si>
  <si>
    <t>C00201 + C00022</t>
  </si>
  <si>
    <t>C00201 * C00022</t>
  </si>
  <si>
    <t>C00454 + C00074</t>
  </si>
  <si>
    <t>C00454 * C00074</t>
  </si>
  <si>
    <t>C00002 + C00475</t>
  </si>
  <si>
    <t>C00002 * C00475</t>
  </si>
  <si>
    <t>C00008 + C00055</t>
  </si>
  <si>
    <t>C00008 * C00055</t>
  </si>
  <si>
    <t>C00044 + C00475</t>
  </si>
  <si>
    <t>C00044 * C00475</t>
  </si>
  <si>
    <t>C00035 + C00055</t>
  </si>
  <si>
    <t>C00035 * C00055</t>
  </si>
  <si>
    <t>C00002 + C00299</t>
  </si>
  <si>
    <t>C00002 * C00299</t>
  </si>
  <si>
    <t>C00008 + C00105</t>
  </si>
  <si>
    <t>C00008 * C00105</t>
  </si>
  <si>
    <t>C00044 + C00299</t>
  </si>
  <si>
    <t>C00044 * C00299</t>
  </si>
  <si>
    <t>C00035 + C00105</t>
  </si>
  <si>
    <t>C00035 * C00105</t>
  </si>
  <si>
    <t>C16633 + C00002</t>
  </si>
  <si>
    <t>C16633 * C00002</t>
  </si>
  <si>
    <t>C16634 + C00008</t>
  </si>
  <si>
    <t>C16634 * C00008</t>
  </si>
  <si>
    <t>C00002 + C01279</t>
  </si>
  <si>
    <t>C00002 * C01279</t>
  </si>
  <si>
    <t>C00008 + C04556</t>
  </si>
  <si>
    <t>C00008 * C04556</t>
  </si>
  <si>
    <t>C00002 + C04294</t>
  </si>
  <si>
    <t>C00002 * C04294</t>
  </si>
  <si>
    <t>C00008 + C04327</t>
  </si>
  <si>
    <t>C00008 * C04327</t>
  </si>
  <si>
    <t>C00002 + C01094</t>
  </si>
  <si>
    <t>C00002 * C01094</t>
  </si>
  <si>
    <t>C00002 + C17558</t>
  </si>
  <si>
    <t>C00002 * C17558</t>
  </si>
  <si>
    <t>C00008 + C17556</t>
  </si>
  <si>
    <t>C00008 * C17556</t>
  </si>
  <si>
    <t>C00002 + C00493</t>
  </si>
  <si>
    <t>C00002 * C00493</t>
  </si>
  <si>
    <t>C00008 + C03175</t>
  </si>
  <si>
    <t>C00008 * C03175</t>
  </si>
  <si>
    <t>C00002 + C00585</t>
  </si>
  <si>
    <t>C00002 * C00585</t>
  </si>
  <si>
    <t>C00008 + C01167</t>
  </si>
  <si>
    <t>C00008 * C01167</t>
  </si>
  <si>
    <t>C00002 + C00017</t>
  </si>
  <si>
    <t>C00002 * C00017</t>
  </si>
  <si>
    <t>C00008 + C00562</t>
  </si>
  <si>
    <t>C00008 * C00562</t>
  </si>
  <si>
    <t>C00002 + C01609</t>
  </si>
  <si>
    <t>C00002 * C01609</t>
  </si>
  <si>
    <t>C00008 + C02729</t>
  </si>
  <si>
    <t>C00008 * C02729</t>
  </si>
  <si>
    <t>C00002 + C00613</t>
  </si>
  <si>
    <t>C00002 * C00613</t>
  </si>
  <si>
    <t>C00008 + C21101</t>
  </si>
  <si>
    <t>C00008 * C21101</t>
  </si>
  <si>
    <t>C00002 + C00025</t>
  </si>
  <si>
    <t>C00002 * C00025</t>
  </si>
  <si>
    <t>C00008 + C03287</t>
  </si>
  <si>
    <t>C00008 * C03287</t>
  </si>
  <si>
    <t>C00002 + C00014 + C00288</t>
  </si>
  <si>
    <t>C00002 * C00014 * C00288</t>
  </si>
  <si>
    <t>C00008 + C00169 + C00001</t>
  </si>
  <si>
    <t>C00008 * C00169 * C00001</t>
  </si>
  <si>
    <t>C00002 + C01563</t>
  </si>
  <si>
    <t>C00002 * C01563</t>
  </si>
  <si>
    <t>C00008 + C00169</t>
  </si>
  <si>
    <t>C00008 * C00169</t>
  </si>
  <si>
    <t>C00014 + C00288</t>
  </si>
  <si>
    <t>C00014 * C00288</t>
  </si>
  <si>
    <t>C01563 + C00001</t>
  </si>
  <si>
    <t>C01563 * C00001</t>
  </si>
  <si>
    <t>C00002 + C00197</t>
  </si>
  <si>
    <t>C00002 * C00197</t>
  </si>
  <si>
    <t>C00008 + C00236</t>
  </si>
  <si>
    <t>C00008 * C00236</t>
  </si>
  <si>
    <t>C00002 + C00049</t>
  </si>
  <si>
    <t>C00002 * C00049</t>
  </si>
  <si>
    <t>C00008 + C03082</t>
  </si>
  <si>
    <t>C00008 * C03082</t>
  </si>
  <si>
    <t>C00002 + C00246</t>
  </si>
  <si>
    <t>C00002 * C00246</t>
  </si>
  <si>
    <t>C00008 + C02527</t>
  </si>
  <si>
    <t>C00008 * C02527</t>
  </si>
  <si>
    <t>C00002 + C00624</t>
  </si>
  <si>
    <t>C00002 * C00624</t>
  </si>
  <si>
    <t>C00008 + C04133</t>
  </si>
  <si>
    <t>C00008 * C04133</t>
  </si>
  <si>
    <t>C00074 + C00615</t>
  </si>
  <si>
    <t>C00074 * C00615</t>
  </si>
  <si>
    <t>C00022 + C04261</t>
  </si>
  <si>
    <t>C00022 * C04261</t>
  </si>
  <si>
    <t>C00002 + C00404</t>
  </si>
  <si>
    <t>C00002 * C00404</t>
  </si>
  <si>
    <t>C00008 + C00404</t>
  </si>
  <si>
    <t>C00008 * C00404</t>
  </si>
  <si>
    <t>C00002 + C00105</t>
  </si>
  <si>
    <t>C00002 * C00105</t>
  </si>
  <si>
    <t>C00008 + C00015</t>
  </si>
  <si>
    <t>C00008 * C00015</t>
  </si>
  <si>
    <t>C00002 + C00055</t>
  </si>
  <si>
    <t>C00002 * C00055</t>
  </si>
  <si>
    <t>C00008 + C00112</t>
  </si>
  <si>
    <t>C00008 * C00112</t>
  </si>
  <si>
    <t>C00002 + C00239</t>
  </si>
  <si>
    <t>C00002 * C00239</t>
  </si>
  <si>
    <t>C00008 + C00705</t>
  </si>
  <si>
    <t>C00008 * C00705</t>
  </si>
  <si>
    <t>C00002 + C00020</t>
  </si>
  <si>
    <t>C00002 * C00020</t>
  </si>
  <si>
    <t>C00002 + C00360</t>
  </si>
  <si>
    <t>C00002 * C00360</t>
  </si>
  <si>
    <t>C00008 + C00206</t>
  </si>
  <si>
    <t>C00008 * C00206</t>
  </si>
  <si>
    <t>C00068 + C00008</t>
  </si>
  <si>
    <t>C00068 * C00008</t>
  </si>
  <si>
    <t>C03028 + C00020</t>
  </si>
  <si>
    <t>C03028 * C00020</t>
  </si>
  <si>
    <t>C00002 + C00008</t>
  </si>
  <si>
    <t>C00002 * C00008</t>
  </si>
  <si>
    <t>C00008 + C00002</t>
  </si>
  <si>
    <t>C00008 * C00002</t>
  </si>
  <si>
    <t>C11038 + C00002</t>
  </si>
  <si>
    <t>C11038 * C00002</t>
  </si>
  <si>
    <t>C11039 + C00008</t>
  </si>
  <si>
    <t>C11039 * C00008</t>
  </si>
  <si>
    <t>C00002 + C00015</t>
  </si>
  <si>
    <t>C00002 * C00015</t>
  </si>
  <si>
    <t>C00008 + C00075</t>
  </si>
  <si>
    <t>C00008 * C00075</t>
  </si>
  <si>
    <t>C00002 + C00035</t>
  </si>
  <si>
    <t>C00002 * C00035</t>
  </si>
  <si>
    <t>C00008 + C00044</t>
  </si>
  <si>
    <t>C00008 * C00044</t>
  </si>
  <si>
    <t>C00002 + C00454</t>
  </si>
  <si>
    <t>C00002 * C00454</t>
  </si>
  <si>
    <t>C00008 + C00201</t>
  </si>
  <si>
    <t>C00008 * C00201</t>
  </si>
  <si>
    <t>C00002 + C00112</t>
  </si>
  <si>
    <t>C00002 * C00112</t>
  </si>
  <si>
    <t>C00008 + C00063</t>
  </si>
  <si>
    <t>C00008 * C00063</t>
  </si>
  <si>
    <t>C00002 + C00104</t>
  </si>
  <si>
    <t>C00002 * C00104</t>
  </si>
  <si>
    <t>C00008 + C00081</t>
  </si>
  <si>
    <t>C00008 * C00081</t>
  </si>
  <si>
    <t>C00002 + C00206</t>
  </si>
  <si>
    <t>C00002 * C00206</t>
  </si>
  <si>
    <t>C00008 + C00131</t>
  </si>
  <si>
    <t>C00008 * C00131</t>
  </si>
  <si>
    <t>C00002 + C00361</t>
  </si>
  <si>
    <t>C00002 * C00361</t>
  </si>
  <si>
    <t>C00008 + C00286</t>
  </si>
  <si>
    <t>C00008 * C00286</t>
  </si>
  <si>
    <t>C00002 + C00363</t>
  </si>
  <si>
    <t>C00002 * C00363</t>
  </si>
  <si>
    <t>C00008 + C00459</t>
  </si>
  <si>
    <t>C00008 * C00459</t>
  </si>
  <si>
    <t>C00002 + C00705</t>
  </si>
  <si>
    <t>C00002 * C00705</t>
  </si>
  <si>
    <t>C00008 + C00458</t>
  </si>
  <si>
    <t>C00008 * C00458</t>
  </si>
  <si>
    <t>C00002 + C01346</t>
  </si>
  <si>
    <t>C00002 * C01346</t>
  </si>
  <si>
    <t>C00008 + C00460</t>
  </si>
  <si>
    <t>C00008 * C00460</t>
  </si>
  <si>
    <t>C00002 + C01344</t>
  </si>
  <si>
    <t>C00002 * C01344</t>
  </si>
  <si>
    <t>C00008 + C01345</t>
  </si>
  <si>
    <t>C00008 * C01345</t>
  </si>
  <si>
    <t>C00002 + C21748</t>
  </si>
  <si>
    <t>C00002 * C21748</t>
  </si>
  <si>
    <t>C00008 + C21749</t>
  </si>
  <si>
    <t>C00008 * C21749</t>
  </si>
  <si>
    <t>C00002 + C21750</t>
  </si>
  <si>
    <t>C00002 * C21750</t>
  </si>
  <si>
    <t>C00008 + C21751</t>
  </si>
  <si>
    <t>C00008 * C21751</t>
  </si>
  <si>
    <t>C22442 + C00002</t>
  </si>
  <si>
    <t>C22442 * C00002</t>
  </si>
  <si>
    <t>C22443 + C00008</t>
  </si>
  <si>
    <t>C22443 * C00008</t>
  </si>
  <si>
    <t>C00002 + C00144</t>
  </si>
  <si>
    <t>C00002 * C00144</t>
  </si>
  <si>
    <t>C00008 + C00035</t>
  </si>
  <si>
    <t>C00008 * C00035</t>
  </si>
  <si>
    <t>C00002 + C00362</t>
  </si>
  <si>
    <t>C00002 * C00362</t>
  </si>
  <si>
    <t>C00008 + C00361</t>
  </si>
  <si>
    <t>C00008 * C00361</t>
  </si>
  <si>
    <t>C22441 + C00002</t>
  </si>
  <si>
    <t>C22441 * C00002</t>
  </si>
  <si>
    <t>C22442 + C00008</t>
  </si>
  <si>
    <t>C22442 * C00008</t>
  </si>
  <si>
    <t>C00002 + C00364</t>
  </si>
  <si>
    <t>C00002 * C00364</t>
  </si>
  <si>
    <t>C00008 + C00363</t>
  </si>
  <si>
    <t>C00008 * C00363</t>
  </si>
  <si>
    <t>C00002 + C00365</t>
  </si>
  <si>
    <t>C00002 * C00365</t>
  </si>
  <si>
    <t>C00008 + C01346</t>
  </si>
  <si>
    <t>C00008 * C01346</t>
  </si>
  <si>
    <t>C00002 + C00117</t>
  </si>
  <si>
    <t>C00002 * C00117</t>
  </si>
  <si>
    <t>C00020 + C00119</t>
  </si>
  <si>
    <t>C00020 * C00119</t>
  </si>
  <si>
    <t>C00002 + C00378</t>
  </si>
  <si>
    <t>C00002 * C00378</t>
  </si>
  <si>
    <t>C00020 + C00068</t>
  </si>
  <si>
    <t>C00020 * C00068</t>
  </si>
  <si>
    <t>C00002 + C01300</t>
  </si>
  <si>
    <t>C00002 * C01300</t>
  </si>
  <si>
    <t>C00020 + C04807</t>
  </si>
  <si>
    <t>C00020 * C04807</t>
  </si>
  <si>
    <t>C00002 + C00044</t>
  </si>
  <si>
    <t>C00002 * C00044</t>
  </si>
  <si>
    <t>C00020 + C04494</t>
  </si>
  <si>
    <t>C00020 * C04494</t>
  </si>
  <si>
    <t>C00002 + C00103</t>
  </si>
  <si>
    <t>C00002 * C00103</t>
  </si>
  <si>
    <t>C00013 + C00498</t>
  </si>
  <si>
    <t>C00013 * C00498</t>
  </si>
  <si>
    <t>C00002 + C01134</t>
  </si>
  <si>
    <t>C00002 * C01134</t>
  </si>
  <si>
    <t>C00013 + C00882</t>
  </si>
  <si>
    <t>C00013 * C00882</t>
  </si>
  <si>
    <t>C00063 + C00103</t>
  </si>
  <si>
    <t>C00063 * C00103</t>
  </si>
  <si>
    <t>C00013 + C00501</t>
  </si>
  <si>
    <t>C00013 * C00501</t>
  </si>
  <si>
    <t>C00002 + C00059</t>
  </si>
  <si>
    <t>C00002 * C00059</t>
  </si>
  <si>
    <t>C00013 + C00224</t>
  </si>
  <si>
    <t>C00013 * C00224</t>
  </si>
  <si>
    <t>C00002 + C05697</t>
  </si>
  <si>
    <t>C00002 * C05697</t>
  </si>
  <si>
    <t>C00013 + C05686</t>
  </si>
  <si>
    <t>C00013 * C05686</t>
  </si>
  <si>
    <t>C00063 + C00416</t>
  </si>
  <si>
    <t>C00063 * C00416</t>
  </si>
  <si>
    <t>C00013 + C00269</t>
  </si>
  <si>
    <t>C00013 * C00269</t>
  </si>
  <si>
    <t>C00677 + C00039</t>
  </si>
  <si>
    <t>C00677 * C00039</t>
  </si>
  <si>
    <t>C00013 + C00039</t>
  </si>
  <si>
    <t>C00013 * C00039</t>
  </si>
  <si>
    <t>C00066 + C00009</t>
  </si>
  <si>
    <t>C00066 * C00009</t>
  </si>
  <si>
    <t>C00066 + C00454</t>
  </si>
  <si>
    <t>C00066 * C00454</t>
  </si>
  <si>
    <t>C00002 + C00046</t>
  </si>
  <si>
    <t>C00002 * C00046</t>
  </si>
  <si>
    <t>C00013 + C00046</t>
  </si>
  <si>
    <t>C00013 * C00046</t>
  </si>
  <si>
    <t>C00044 + C00046</t>
  </si>
  <si>
    <t>C00044 * C00046</t>
  </si>
  <si>
    <t>C00063 + C00046</t>
  </si>
  <si>
    <t>C00063 * C00046</t>
  </si>
  <si>
    <t>C00075 + C00046</t>
  </si>
  <si>
    <t>C00075 * C00046</t>
  </si>
  <si>
    <t>C00201 + C00046</t>
  </si>
  <si>
    <t>C00201 * C00046</t>
  </si>
  <si>
    <t>C20864 + C00013</t>
  </si>
  <si>
    <t>C20864 * C00013</t>
  </si>
  <si>
    <t>C11434 + C00063</t>
  </si>
  <si>
    <t>C11434 * C00063</t>
  </si>
  <si>
    <t>C11435 + C00013</t>
  </si>
  <si>
    <t>C11435 * C00013</t>
  </si>
  <si>
    <t>C16463 + C00013</t>
  </si>
  <si>
    <t>C16463 * C00013</t>
  </si>
  <si>
    <t>C00131 + C00039</t>
  </si>
  <si>
    <t>C00131 * C00039</t>
  </si>
  <si>
    <t>C00286 + C00039</t>
  </si>
  <si>
    <t>C00286 * C00039</t>
  </si>
  <si>
    <t>C00458 + C00039</t>
  </si>
  <si>
    <t>C00458 * C00039</t>
  </si>
  <si>
    <t>C00459 + C00039</t>
  </si>
  <si>
    <t>C00459 * C00039</t>
  </si>
  <si>
    <t>C02211 + C00063 + C00002</t>
  </si>
  <si>
    <t>C02211 * C00063 * C00002</t>
  </si>
  <si>
    <t>C19085 + C00013</t>
  </si>
  <si>
    <t>C19085 * C00013</t>
  </si>
  <si>
    <t>C02211 + C00063</t>
  </si>
  <si>
    <t>C02211 * C00063</t>
  </si>
  <si>
    <t>C19078 + C00013</t>
  </si>
  <si>
    <t>C19078 * C00013</t>
  </si>
  <si>
    <t>C19078 + C00063</t>
  </si>
  <si>
    <t>C19078 * C00063</t>
  </si>
  <si>
    <t>C19080 + C00013</t>
  </si>
  <si>
    <t>C19080 * C00013</t>
  </si>
  <si>
    <t>C19080 + C00002</t>
  </si>
  <si>
    <t>C19080 * C00002</t>
  </si>
  <si>
    <t>C18237 + C00044</t>
  </si>
  <si>
    <t>C18237 * C00044</t>
  </si>
  <si>
    <t>C19871 + C00013</t>
  </si>
  <si>
    <t>C19871 * C00013</t>
  </si>
  <si>
    <t>C00046 + C00009</t>
  </si>
  <si>
    <t>C00046 * C00009</t>
  </si>
  <si>
    <t>C00046 + C00008</t>
  </si>
  <si>
    <t>C00046 * C00008</t>
  </si>
  <si>
    <t>C00046 + C00015</t>
  </si>
  <si>
    <t>C00046 * C00015</t>
  </si>
  <si>
    <t>C00046 + C00035</t>
  </si>
  <si>
    <t>C00046 * C00035</t>
  </si>
  <si>
    <t>C00046 + C00112</t>
  </si>
  <si>
    <t>C00046 * C00112</t>
  </si>
  <si>
    <t>C00046 + C00454</t>
  </si>
  <si>
    <t>C00046 * C00454</t>
  </si>
  <si>
    <t>C00013 + C20565</t>
  </si>
  <si>
    <t>C00013 * C20565</t>
  </si>
  <si>
    <t>C00188 + C00002 + C00288 + C00080</t>
  </si>
  <si>
    <t>C00188 * C00002 * C00288 * C00080</t>
  </si>
  <si>
    <t>C20641 + C00013 + C00001</t>
  </si>
  <si>
    <t>C20641 * C00013 * C00001</t>
  </si>
  <si>
    <t>C00075 + C00103</t>
  </si>
  <si>
    <t>C00075 * C00103</t>
  </si>
  <si>
    <t>C00013 + C00029</t>
  </si>
  <si>
    <t>C00013 * C00029</t>
  </si>
  <si>
    <t>C04702 + C17556</t>
  </si>
  <si>
    <t>C04702 * C17556</t>
  </si>
  <si>
    <t>C00105 + C04851</t>
  </si>
  <si>
    <t>C00105 * C04851</t>
  </si>
  <si>
    <t>C04882 + C17556</t>
  </si>
  <si>
    <t>C04882 * C17556</t>
  </si>
  <si>
    <t>C00105 + C05897</t>
  </si>
  <si>
    <t>C00105 * C05897</t>
  </si>
  <si>
    <t>C00269 + C00093</t>
  </si>
  <si>
    <t>C00269 * C00093</t>
  </si>
  <si>
    <t>C00055 + C03892</t>
  </si>
  <si>
    <t>C00055 * C03892</t>
  </si>
  <si>
    <t>C00010 + C03688</t>
  </si>
  <si>
    <t>C00010 * C03688</t>
  </si>
  <si>
    <t>C00054 + C00229</t>
  </si>
  <si>
    <t>C00054 * C00229</t>
  </si>
  <si>
    <t>C00269 + C00065</t>
  </si>
  <si>
    <t>C00269 * C00065</t>
  </si>
  <si>
    <t>C00055 + C02737</t>
  </si>
  <si>
    <t>C00055 * C02737</t>
  </si>
  <si>
    <t>C00002 + C00022 + C00001</t>
  </si>
  <si>
    <t>C00002 * C00022 * C00001</t>
  </si>
  <si>
    <t>C00020 + C00074 + C00009</t>
  </si>
  <si>
    <t>C00020 * C00074 * C00009</t>
  </si>
  <si>
    <t>C11437 + C15809 + C15814</t>
  </si>
  <si>
    <t>C11437 * C15809 * C15814</t>
  </si>
  <si>
    <t>C20246 + C15810 + C00001</t>
  </si>
  <si>
    <t>C20246 * C15810 * C00001</t>
  </si>
  <si>
    <t>C00868 + C15812 + C00002</t>
  </si>
  <si>
    <t>C00868 * C15812 * C00002</t>
  </si>
  <si>
    <t>C17322 + C15811 + C00020 + C00013</t>
  </si>
  <si>
    <t>C17322 * C15811 * C00020 * C00013</t>
  </si>
  <si>
    <t>C00097 + C02342</t>
  </si>
  <si>
    <t>C00097 * C02342</t>
  </si>
  <si>
    <t>C00065 + C04161</t>
  </si>
  <si>
    <t>C00065 * C04161</t>
  </si>
  <si>
    <t>C15812 + C15813 + C00030</t>
  </si>
  <si>
    <t>C15812 * C15813 * C00030</t>
  </si>
  <si>
    <t>C00020 + C15814 + C15811 + C00028</t>
  </si>
  <si>
    <t>C00020 * C15814 * C15811 * C00028</t>
  </si>
  <si>
    <t>C01909 + C17023 + C00019 + C05359 + C00080</t>
  </si>
  <si>
    <t>C01909 * C17023 * C00019 * C05359 * C00080</t>
  </si>
  <si>
    <t>C00120 + C00073 + C05198</t>
  </si>
  <si>
    <t>C00120 * C00073 * C05198</t>
  </si>
  <si>
    <t>C15811 + C00097</t>
  </si>
  <si>
    <t>C15811 * C00097</t>
  </si>
  <si>
    <t>C15812 + C00041</t>
  </si>
  <si>
    <t>C15812 * C00041</t>
  </si>
  <si>
    <t>C00097 + C02743</t>
  </si>
  <si>
    <t>C00097 * C02743</t>
  </si>
  <si>
    <t>C00041 + C21440</t>
  </si>
  <si>
    <t>C00041 * C21440</t>
  </si>
  <si>
    <t>C15812 + C02743</t>
  </si>
  <si>
    <t>C15812 * C02743</t>
  </si>
  <si>
    <t>C15811 + C21440</t>
  </si>
  <si>
    <t>C15811 * C21440</t>
  </si>
  <si>
    <t>C16236 + C22154 + C00019 + C22150 + C00080</t>
  </si>
  <si>
    <t>C16236 * C22154 * C00019 * C22150 * C00080</t>
  </si>
  <si>
    <t>C16832 + C22155 + C00283 + C14818 + C00073 + C05198 + C22151</t>
  </si>
  <si>
    <t>C16832 * C22155 * C00283 * C14818 * C00073 * C05198 * C22151</t>
  </si>
  <si>
    <t>C22160 + C22154 + C00019 + C22150 + C00080</t>
  </si>
  <si>
    <t>C22160 * C22154 * C00019 * C22150 * C00080</t>
  </si>
  <si>
    <t>C15973 + C22155 + C00283 + C14818 + C00073 + C05198 + C22151</t>
  </si>
  <si>
    <t>C15973 * C22155 * C00283 * C14818 * C00073 * C05198 * C22151</t>
  </si>
  <si>
    <t>C22159 + C22154 + C00019 + C22150 + C00080</t>
  </si>
  <si>
    <t>C22159 * C22154 * C00019 * C22150 * C00080</t>
  </si>
  <si>
    <t>C02972 + C22155 + C00283 + C14818 + C00073 + C05198 + C22151</t>
  </si>
  <si>
    <t>C02972 * C22155 * C00283 * C14818 * C00073 * C05198 * C22151</t>
  </si>
  <si>
    <t>C00040 + C00033</t>
  </si>
  <si>
    <t>C00040 * C00033</t>
  </si>
  <si>
    <t>C02403 + C00024</t>
  </si>
  <si>
    <t>C02403 * C00024</t>
  </si>
  <si>
    <t>C00136 + C00033</t>
  </si>
  <si>
    <t>C00136 * C00033</t>
  </si>
  <si>
    <t>C00246 + C00024</t>
  </si>
  <si>
    <t>C00246 * C00024</t>
  </si>
  <si>
    <t>C00332 + C00033</t>
  </si>
  <si>
    <t>C00332 * C00033</t>
  </si>
  <si>
    <t>C00164 + C00024</t>
  </si>
  <si>
    <t>C00164 * C00024</t>
  </si>
  <si>
    <t>C16272 + C00024</t>
  </si>
  <si>
    <t>C16272 * C00024</t>
  </si>
  <si>
    <t>C16273 + C00033</t>
  </si>
  <si>
    <t>C16273 * C00033</t>
  </si>
  <si>
    <t>C04432 + C17023 + C00019</t>
  </si>
  <si>
    <t>C04432 * C17023 * C00019</t>
  </si>
  <si>
    <t>C20753 + C00021 + C00073 + C05198</t>
  </si>
  <si>
    <t>C20753 * C00021 * C00073 * C05198</t>
  </si>
  <si>
    <t>C20755 + C00073 + C05198</t>
  </si>
  <si>
    <t>C20755 * C00073 * C05198</t>
  </si>
  <si>
    <t>C20755 + C00019</t>
  </si>
  <si>
    <t>C20755 * C00019</t>
  </si>
  <si>
    <t>C20753 + C00021</t>
  </si>
  <si>
    <t>C20753 * C00021</t>
  </si>
  <si>
    <t>C02391 + C00001</t>
  </si>
  <si>
    <t>C02391 * C00001</t>
  </si>
  <si>
    <t>C00069 + C00060</t>
  </si>
  <si>
    <t>C00069 * C00060</t>
  </si>
  <si>
    <t>C01416 + C00001</t>
  </si>
  <si>
    <t>C01416 * C00001</t>
  </si>
  <si>
    <t>C12448 + C00180</t>
  </si>
  <si>
    <t>C12448 * C00180</t>
  </si>
  <si>
    <t>C12650 + C00001</t>
  </si>
  <si>
    <t>C12650 * C00001</t>
  </si>
  <si>
    <t>C16635 + C16834 + C00011</t>
  </si>
  <si>
    <t>C16635 * C16834 * C00011</t>
  </si>
  <si>
    <t>C07585 + C00001</t>
  </si>
  <si>
    <t>C07585 * C00001</t>
  </si>
  <si>
    <t>C07447 + C07446</t>
  </si>
  <si>
    <t>C07447 * C07446</t>
  </si>
  <si>
    <t>C07054 + C00001</t>
  </si>
  <si>
    <t>C07054 * C00001</t>
  </si>
  <si>
    <t>C07446 + C05361</t>
  </si>
  <si>
    <t>C07446 * C05361</t>
  </si>
  <si>
    <t>C16641 + C00001</t>
  </si>
  <si>
    <t>C16641 * C00001</t>
  </si>
  <si>
    <t>C11173 + C16836</t>
  </si>
  <si>
    <t>C11173 * C16836</t>
  </si>
  <si>
    <t>C16543 + C00001</t>
  </si>
  <si>
    <t>C16543 * C00001</t>
  </si>
  <si>
    <t>C11173 + C16837</t>
  </si>
  <si>
    <t>C11173 * C16837</t>
  </si>
  <si>
    <t>C16561 + C00001</t>
  </si>
  <si>
    <t>C16561 * C00001</t>
  </si>
  <si>
    <t>C11004 + C11735</t>
  </si>
  <si>
    <t>C11004 * C11735</t>
  </si>
  <si>
    <t>C07073 + C00001</t>
  </si>
  <si>
    <t>C07073 * C00001</t>
  </si>
  <si>
    <t>C11004 + C16647</t>
  </si>
  <si>
    <t>C11004 * C16647</t>
  </si>
  <si>
    <t>C03880 + C00001</t>
  </si>
  <si>
    <t>C03880 * C00001</t>
  </si>
  <si>
    <t>C03523 + C00066</t>
  </si>
  <si>
    <t>C03523 * C00066</t>
  </si>
  <si>
    <t>C21064 + C00001</t>
  </si>
  <si>
    <t>C21064 * C00001</t>
  </si>
  <si>
    <t>C00040 + C00001</t>
  </si>
  <si>
    <t>C00040 * C00001</t>
  </si>
  <si>
    <t>C00010 + C00060</t>
  </si>
  <si>
    <t>C00010 * C00060</t>
  </si>
  <si>
    <t>C01153 + C00001</t>
  </si>
  <si>
    <t>C01153 * C00001</t>
  </si>
  <si>
    <t>C00069 + C00009</t>
  </si>
  <si>
    <t>C00069 * C00009</t>
  </si>
  <si>
    <t>C00111 + C00001</t>
  </si>
  <si>
    <t>C00111 * C00001</t>
  </si>
  <si>
    <t>C00184 + C00009</t>
  </si>
  <si>
    <t>C00184 * C00009</t>
  </si>
  <si>
    <t>C01081 + C00001</t>
  </si>
  <si>
    <t>C01081 * C00001</t>
  </si>
  <si>
    <t>C00378 + C00009</t>
  </si>
  <si>
    <t>C00378 * C00009</t>
  </si>
  <si>
    <t>C03360 + C00001</t>
  </si>
  <si>
    <t>C03360 * C00001</t>
  </si>
  <si>
    <t>C00870 + C00009</t>
  </si>
  <si>
    <t>C00870 * C00009</t>
  </si>
  <si>
    <t>C04895 + C00001</t>
  </si>
  <si>
    <t>C04895 * C00001</t>
  </si>
  <si>
    <t>C04874 + C00009</t>
  </si>
  <si>
    <t>C04874 * C00009</t>
  </si>
  <si>
    <t>C00354 + C00001</t>
  </si>
  <si>
    <t>C00354 * C00001</t>
  </si>
  <si>
    <t>C00085 + C00009</t>
  </si>
  <si>
    <t>C00085 * C00009</t>
  </si>
  <si>
    <t>C00447 + C00001</t>
  </si>
  <si>
    <t>C00447 * C00001</t>
  </si>
  <si>
    <t>C05382 + C00009</t>
  </si>
  <si>
    <t>C05382 * C00009</t>
  </si>
  <si>
    <t>C05378 + C00001</t>
  </si>
  <si>
    <t>C05378 * C00001</t>
  </si>
  <si>
    <t>C05345 + C00009</t>
  </si>
  <si>
    <t>C05345 * C00009</t>
  </si>
  <si>
    <t>C00562 + C00001</t>
  </si>
  <si>
    <t>C00562 * C00001</t>
  </si>
  <si>
    <t>C00017 + C00009</t>
  </si>
  <si>
    <t>C00017 * C00009</t>
  </si>
  <si>
    <t>C01005 + C00001</t>
  </si>
  <si>
    <t>C01005 * C00001</t>
  </si>
  <si>
    <t>C00065 + C00009</t>
  </si>
  <si>
    <t>C00065 * C00009</t>
  </si>
  <si>
    <t>C02532 + C00001</t>
  </si>
  <si>
    <t>C02532 * C00001</t>
  </si>
  <si>
    <t>C00740 + C00009</t>
  </si>
  <si>
    <t>C00740 * C00009</t>
  </si>
  <si>
    <t>C01167 + C00001</t>
  </si>
  <si>
    <t>C01167 * C00001</t>
  </si>
  <si>
    <t>C00585 + C00009</t>
  </si>
  <si>
    <t>C00585 * C00009</t>
  </si>
  <si>
    <t>C00020 + C00001</t>
  </si>
  <si>
    <t>C00020 * C00001</t>
  </si>
  <si>
    <t>C00055 + C00001</t>
  </si>
  <si>
    <t>C00055 * C00001</t>
  </si>
  <si>
    <t>C00105 + C00001</t>
  </si>
  <si>
    <t>C00105 * C00001</t>
  </si>
  <si>
    <t>C00130 + C00001</t>
  </si>
  <si>
    <t>C00130 * C00001</t>
  </si>
  <si>
    <t>C00144 + C00001</t>
  </si>
  <si>
    <t>C00144 * C00001</t>
  </si>
  <si>
    <t>C00364 + C00001</t>
  </si>
  <si>
    <t>C00364 * C00001</t>
  </si>
  <si>
    <t>C00239 + C00001</t>
  </si>
  <si>
    <t>C00239 * C00001</t>
  </si>
  <si>
    <t>C00881 + C00009</t>
  </si>
  <si>
    <t>C00881 * C00009</t>
  </si>
  <si>
    <t>C00362 + C00001</t>
  </si>
  <si>
    <t>C00362 * C00001</t>
  </si>
  <si>
    <t>C00360 + C00001</t>
  </si>
  <si>
    <t>C00360 * C00001</t>
  </si>
  <si>
    <t>C00365 + C00001</t>
  </si>
  <si>
    <t>C00365 * C00001</t>
  </si>
  <si>
    <t>C00455 + C00001</t>
  </si>
  <si>
    <t>C00455 * C00001</t>
  </si>
  <si>
    <t>C00655 + C00001</t>
  </si>
  <si>
    <t>C00655 * C00001</t>
  </si>
  <si>
    <t>C01185 + C00001</t>
  </si>
  <si>
    <t>C01185 * C00001</t>
  </si>
  <si>
    <t>C02520 + C00001</t>
  </si>
  <si>
    <t>C02520 * C00001</t>
  </si>
  <si>
    <t>C00911 + C00009</t>
  </si>
  <si>
    <t>C00911 * C00009</t>
  </si>
  <si>
    <t>C06196 + C00001</t>
  </si>
  <si>
    <t>C06196 * C00001</t>
  </si>
  <si>
    <t>C00054 + C00001</t>
  </si>
  <si>
    <t>C00054 * C00001</t>
  </si>
  <si>
    <t>C00020 + C00009</t>
  </si>
  <si>
    <t>C00020 * C00009</t>
  </si>
  <si>
    <t>C00053 + C00001</t>
  </si>
  <si>
    <t>C00053 * C00001</t>
  </si>
  <si>
    <t>C00224 + C00009</t>
  </si>
  <si>
    <t>C00224 * C00009</t>
  </si>
  <si>
    <t>C15651 + C00001</t>
  </si>
  <si>
    <t>C15651 * C00001</t>
  </si>
  <si>
    <t>C15606 + C00009</t>
  </si>
  <si>
    <t>C15606 * C00009</t>
  </si>
  <si>
    <t>C03167 + C00001</t>
  </si>
  <si>
    <t>C03167 * C00001</t>
  </si>
  <si>
    <t>C00084 + C00009</t>
  </si>
  <si>
    <t>C00084 * C00009</t>
  </si>
  <si>
    <t>C00369 + C00001</t>
  </si>
  <si>
    <t>C00369 * C00001</t>
  </si>
  <si>
    <t>C00721 + C00369</t>
  </si>
  <si>
    <t>C00721 * C00369</t>
  </si>
  <si>
    <t>C00721 + C00208</t>
  </si>
  <si>
    <t>C00721 * C00208</t>
  </si>
  <si>
    <t>G10545 + C00001</t>
  </si>
  <si>
    <t>G10545 * C00001</t>
  </si>
  <si>
    <t>G10545 + G10545</t>
  </si>
  <si>
    <t>G10545 * G10545</t>
  </si>
  <si>
    <t>C01935 + C00001</t>
  </si>
  <si>
    <t>C01935 * C00001</t>
  </si>
  <si>
    <t>C00089 + C00001</t>
  </si>
  <si>
    <t>C00089 * C00001</t>
  </si>
  <si>
    <t>C00095 + C00031</t>
  </si>
  <si>
    <t>C00095 * C00031</t>
  </si>
  <si>
    <t>C00252 + C00001</t>
  </si>
  <si>
    <t>C00252 * C00001</t>
  </si>
  <si>
    <t>C00267 + C00031</t>
  </si>
  <si>
    <t>C00267 * C00031</t>
  </si>
  <si>
    <t>C00721 + C00001</t>
  </si>
  <si>
    <t>C00721 * C00001</t>
  </si>
  <si>
    <t>C00031 + C00721</t>
  </si>
  <si>
    <t>C00031 * C00721</t>
  </si>
  <si>
    <t>G01318 + C00001</t>
  </si>
  <si>
    <t>G01318 * C00001</t>
  </si>
  <si>
    <t>G00370 + C00001</t>
  </si>
  <si>
    <t>G00370 * C00001</t>
  </si>
  <si>
    <t>C00267 + G10545</t>
  </si>
  <si>
    <t>C00267 * G10545</t>
  </si>
  <si>
    <t>C02336 + C00267</t>
  </si>
  <si>
    <t>C02336 * C00267</t>
  </si>
  <si>
    <t>C00492 + C00001</t>
  </si>
  <si>
    <t>C00492 * C00001</t>
  </si>
  <si>
    <t>C05402 + C00095</t>
  </si>
  <si>
    <t>C05402 * C00095</t>
  </si>
  <si>
    <t>C01613 + C00001</t>
  </si>
  <si>
    <t>C01613 * C00001</t>
  </si>
  <si>
    <t>C05404 + C00095</t>
  </si>
  <si>
    <t>C05404 * C00095</t>
  </si>
  <si>
    <t>C16688 + C00001</t>
  </si>
  <si>
    <t>C16688 * C00001</t>
  </si>
  <si>
    <t>C00095 + C00092</t>
  </si>
  <si>
    <t>C00095 * C00092</t>
  </si>
  <si>
    <t>G00249 + C00001</t>
  </si>
  <si>
    <t>G00249 * C00001</t>
  </si>
  <si>
    <t>G01275 + C00095</t>
  </si>
  <si>
    <t>G01275 * C00095</t>
  </si>
  <si>
    <t>G00278 + C00001</t>
  </si>
  <si>
    <t>G00278 * C00001</t>
  </si>
  <si>
    <t>G00501 + C00095</t>
  </si>
  <si>
    <t>G00501 * C00095</t>
  </si>
  <si>
    <t>G10508 + C00001</t>
  </si>
  <si>
    <t>G10508 * C00001</t>
  </si>
  <si>
    <t>C02336 + C00668</t>
  </si>
  <si>
    <t>C02336 * C00668</t>
  </si>
  <si>
    <t>C04534 + C00001</t>
  </si>
  <si>
    <t>C04534 * C00001</t>
  </si>
  <si>
    <t>C00031 + C00092</t>
  </si>
  <si>
    <t>C00031 * C00092</t>
  </si>
  <si>
    <t>C06187 + C00001</t>
  </si>
  <si>
    <t>C06187 * C00001</t>
  </si>
  <si>
    <t>C00530 + C01172</t>
  </si>
  <si>
    <t>C00530 * C01172</t>
  </si>
  <si>
    <t>C06188 + C00001</t>
  </si>
  <si>
    <t>C06188 * C00001</t>
  </si>
  <si>
    <t>C02323 + C01172</t>
  </si>
  <si>
    <t>C02323 * C01172</t>
  </si>
  <si>
    <t>G10518 + C00001</t>
  </si>
  <si>
    <t>G10518 * C00001</t>
  </si>
  <si>
    <t>C00001 + C00689</t>
  </si>
  <si>
    <t>C00001 * C00689</t>
  </si>
  <si>
    <t>C00001 + G09795</t>
  </si>
  <si>
    <t>C00001 * G09795</t>
  </si>
  <si>
    <t>C00152 + C00001</t>
  </si>
  <si>
    <t>C00152 * C00001</t>
  </si>
  <si>
    <t>C00049 + C00014</t>
  </si>
  <si>
    <t>C00049 * C00014</t>
  </si>
  <si>
    <t>C00241 + C00001</t>
  </si>
  <si>
    <t>C00241 * C00001</t>
  </si>
  <si>
    <t>C00060 + C00014</t>
  </si>
  <si>
    <t>C00060 * C00014</t>
  </si>
  <si>
    <t>C01674 + C00001</t>
  </si>
  <si>
    <t>C01674 * C00001</t>
  </si>
  <si>
    <t>C21747 + C00033</t>
  </si>
  <si>
    <t>C21747 * C00033</t>
  </si>
  <si>
    <t>C00437 + C00001</t>
  </si>
  <si>
    <t>C00437 * C00001</t>
  </si>
  <si>
    <t>C00033 + C00077</t>
  </si>
  <si>
    <t>C00033 * C00077</t>
  </si>
  <si>
    <t>C02850 + C00001</t>
  </si>
  <si>
    <t>C02850 * C00001</t>
  </si>
  <si>
    <t>C00060 + C00151</t>
  </si>
  <si>
    <t>C00060 * C00151</t>
  </si>
  <si>
    <t>C05727 + C00001</t>
  </si>
  <si>
    <t>C05727 * C00001</t>
  </si>
  <si>
    <t>C05726 + C00033</t>
  </si>
  <si>
    <t>C05726 * C00033</t>
  </si>
  <si>
    <t>C15532 + C00001</t>
  </si>
  <si>
    <t>C15532 * C00001</t>
  </si>
  <si>
    <t>C00033 + C00327</t>
  </si>
  <si>
    <t>C00033 * C00327</t>
  </si>
  <si>
    <t>C00819 + C00001</t>
  </si>
  <si>
    <t>C00819 * C00001</t>
  </si>
  <si>
    <t>C00217 + C00014</t>
  </si>
  <si>
    <t>C00217 * C00014</t>
  </si>
  <si>
    <t>C05122 + C00001</t>
  </si>
  <si>
    <t>C05122 * C00001</t>
  </si>
  <si>
    <t>C00695 + C00245</t>
  </si>
  <si>
    <t>C00695 * C00245</t>
  </si>
  <si>
    <t>C05466 + C00001</t>
  </si>
  <si>
    <t>C05466 * C00001</t>
  </si>
  <si>
    <t>C02528 + C00037</t>
  </si>
  <si>
    <t>C02528 * C00037</t>
  </si>
  <si>
    <t>C05465 + C00001</t>
  </si>
  <si>
    <t>C05465 * C00001</t>
  </si>
  <si>
    <t>C02528 + C00245</t>
  </si>
  <si>
    <t>C02528 * C00245</t>
  </si>
  <si>
    <t>C05464 + C00001</t>
  </si>
  <si>
    <t>C05464 * C00001</t>
  </si>
  <si>
    <t>C04483 + C00037</t>
  </si>
  <si>
    <t>C04483 * C00037</t>
  </si>
  <si>
    <t>C05463 + C00001</t>
  </si>
  <si>
    <t>C05463 * C00001</t>
  </si>
  <si>
    <t>C04483 + C00245</t>
  </si>
  <si>
    <t>C04483 * C00245</t>
  </si>
  <si>
    <t>C01921 + C00001</t>
  </si>
  <si>
    <t>C01921 * C00001</t>
  </si>
  <si>
    <t>C00695 + C00037</t>
  </si>
  <si>
    <t>C00695 * C00037</t>
  </si>
  <si>
    <t>C00357 + C00001</t>
  </si>
  <si>
    <t>C00357 * C00001</t>
  </si>
  <si>
    <t>C00352 + C00033</t>
  </si>
  <si>
    <t>C00352 * C00033</t>
  </si>
  <si>
    <t>C02999 + C00001</t>
  </si>
  <si>
    <t>C02999 * C00001</t>
  </si>
  <si>
    <t>C02713 + C00041</t>
  </si>
  <si>
    <t>C02713 * C00041</t>
  </si>
  <si>
    <t>C00488 + C00001</t>
  </si>
  <si>
    <t>C00488 * C00001</t>
  </si>
  <si>
    <t>C00058 + C00014</t>
  </si>
  <si>
    <t>C00058 * C00014</t>
  </si>
  <si>
    <t>C04258 + C00001</t>
  </si>
  <si>
    <t>C04258 * C00001</t>
  </si>
  <si>
    <t>C00058 + C03617</t>
  </si>
  <si>
    <t>C00058 * C03617</t>
  </si>
  <si>
    <t>C11439 + C00001</t>
  </si>
  <si>
    <t>C11439 * C00001</t>
  </si>
  <si>
    <t>C11440 + C00058</t>
  </si>
  <si>
    <t>C11440 * C00058</t>
  </si>
  <si>
    <t>C05653 + C00001</t>
  </si>
  <si>
    <t>C05653 * C00001</t>
  </si>
  <si>
    <t>C00058 + C00108</t>
  </si>
  <si>
    <t>C00058 * C00108</t>
  </si>
  <si>
    <t>C02700 + C00001</t>
  </si>
  <si>
    <t>C02700 * C00001</t>
  </si>
  <si>
    <t>C00058 + C00328</t>
  </si>
  <si>
    <t>C00058 * C00328</t>
  </si>
  <si>
    <t>C05648 + C00001</t>
  </si>
  <si>
    <t>C05648 * C00001</t>
  </si>
  <si>
    <t>C05651 + C00058</t>
  </si>
  <si>
    <t>C05651 * C00058</t>
  </si>
  <si>
    <t>C00337 + C00001</t>
  </si>
  <si>
    <t>C00337 * C00001</t>
  </si>
  <si>
    <t>C01866 + C00001</t>
  </si>
  <si>
    <t>C01866 * C00001</t>
  </si>
  <si>
    <t>C05551 + C00001</t>
  </si>
  <si>
    <t>C05551 * C00001</t>
  </si>
  <si>
    <t>C00395 + C00001</t>
  </si>
  <si>
    <t>C00395 * C00001</t>
  </si>
  <si>
    <t>C03680 + C00001</t>
  </si>
  <si>
    <t>C03680 * C00001</t>
  </si>
  <si>
    <t>C00002 + C01879 + C00001</t>
  </si>
  <si>
    <t>C00002 * C01879 * C00001</t>
  </si>
  <si>
    <t>C00008 + C00009 + C00025</t>
  </si>
  <si>
    <t>C00008 * C00009 * C00025</t>
  </si>
  <si>
    <t>C00062 + C00001</t>
  </si>
  <si>
    <t>C00062 * C00001</t>
  </si>
  <si>
    <t>C00077 + C00086</t>
  </si>
  <si>
    <t>C00077 * C00086</t>
  </si>
  <si>
    <t>C00179 + C00001</t>
  </si>
  <si>
    <t>C00179 * C00001</t>
  </si>
  <si>
    <t>C00134 + C00086</t>
  </si>
  <si>
    <t>C00134 * C00086</t>
  </si>
  <si>
    <t>C00327 + C00014</t>
  </si>
  <si>
    <t>C00327 * C00014</t>
  </si>
  <si>
    <t>C06060 + C00001</t>
  </si>
  <si>
    <t>C06060 * C00001</t>
  </si>
  <si>
    <t>C00241 + C00014</t>
  </si>
  <si>
    <t>C00241 * C00014</t>
  </si>
  <si>
    <t>C00439 + C00001</t>
  </si>
  <si>
    <t>C00439 * C00001</t>
  </si>
  <si>
    <t>C00025 + C00488</t>
  </si>
  <si>
    <t>C00025 * C00488</t>
  </si>
  <si>
    <t>C00044 + C00001</t>
  </si>
  <si>
    <t>C00044 * C00001</t>
  </si>
  <si>
    <t>C04895 + C00058</t>
  </si>
  <si>
    <t>C04895 * C00058</t>
  </si>
  <si>
    <t>C05922 + C00001</t>
  </si>
  <si>
    <t>C05922 * C00001</t>
  </si>
  <si>
    <t>C05923 + C00058</t>
  </si>
  <si>
    <t>C05923 * C00058</t>
  </si>
  <si>
    <t>C02741 + C00001</t>
  </si>
  <si>
    <t>C02741 * C00001</t>
  </si>
  <si>
    <t>C00058 + C01304 + C00009</t>
  </si>
  <si>
    <t>C00058 * C01304 * C00009</t>
  </si>
  <si>
    <t>C00475 + C00001</t>
  </si>
  <si>
    <t>C00475 * C00001</t>
  </si>
  <si>
    <t>C00299 + C00014</t>
  </si>
  <si>
    <t>C00299 * C00014</t>
  </si>
  <si>
    <t>C00881 + C00001</t>
  </si>
  <si>
    <t>C00881 * C00001</t>
  </si>
  <si>
    <t>C00526 + C00014</t>
  </si>
  <si>
    <t>C00526 * C00014</t>
  </si>
  <si>
    <t>C16635 + C00001</t>
  </si>
  <si>
    <t>C16635 * C00001</t>
  </si>
  <si>
    <t>C12739 + C00014</t>
  </si>
  <si>
    <t>C12739 * C00014</t>
  </si>
  <si>
    <t>C00352 + C00001</t>
  </si>
  <si>
    <t>C00352 * C00001</t>
  </si>
  <si>
    <t>C00085 + C00014</t>
  </si>
  <si>
    <t>C00085 * C00014</t>
  </si>
  <si>
    <t>C00013 + C00001</t>
  </si>
  <si>
    <t>C00013 * C00001</t>
  </si>
  <si>
    <t>C04574 + C00001</t>
  </si>
  <si>
    <t>C04574 * C00001</t>
  </si>
  <si>
    <t>C17556 + C00009</t>
  </si>
  <si>
    <t>C17556 * C00009</t>
  </si>
  <si>
    <t>C02739 + C00001</t>
  </si>
  <si>
    <t>C02739 * C00001</t>
  </si>
  <si>
    <t>C02741 + C00013</t>
  </si>
  <si>
    <t>C02741 * C00013</t>
  </si>
  <si>
    <t>C01260 + C00001</t>
  </si>
  <si>
    <t>C01260 * C00001</t>
  </si>
  <si>
    <t>C00081 + C00001</t>
  </si>
  <si>
    <t>C00081 * C00001</t>
  </si>
  <si>
    <t>C00700 + C00001</t>
  </si>
  <si>
    <t>C00700 * C00001</t>
  </si>
  <si>
    <t>C01345 + C00001</t>
  </si>
  <si>
    <t>C01345 * C00001</t>
  </si>
  <si>
    <t>C06196 + C00013</t>
  </si>
  <si>
    <t>C06196 * C00013</t>
  </si>
  <si>
    <t>C16617 + C00001</t>
  </si>
  <si>
    <t>C16617 * C00001</t>
  </si>
  <si>
    <t>C00002 + C00001</t>
  </si>
  <si>
    <t>C00002 * C00001</t>
  </si>
  <si>
    <t>C00003 + C00001</t>
  </si>
  <si>
    <t>C00003 * C00001</t>
  </si>
  <si>
    <t>C00020 + C00455</t>
  </si>
  <si>
    <t>C00020 * C00455</t>
  </si>
  <si>
    <t>C00016 + C00001</t>
  </si>
  <si>
    <t>C00016 * C00001</t>
  </si>
  <si>
    <t>C00020 + C00061</t>
  </si>
  <si>
    <t>C00020 * C00061</t>
  </si>
  <si>
    <t>C00029 + C00001</t>
  </si>
  <si>
    <t>C00029 * C00001</t>
  </si>
  <si>
    <t>C00105 + C00103</t>
  </si>
  <si>
    <t>C00105 * C00103</t>
  </si>
  <si>
    <t>C00063 + C00001</t>
  </si>
  <si>
    <t>C00063 * C00001</t>
  </si>
  <si>
    <t>C00055 + C00013</t>
  </si>
  <si>
    <t>C00055 * C00013</t>
  </si>
  <si>
    <t>C00075 + C00001</t>
  </si>
  <si>
    <t>C00075 * C00001</t>
  </si>
  <si>
    <t>C00201 + C00001</t>
  </si>
  <si>
    <t>C00201 * C00001</t>
  </si>
  <si>
    <t>C00215 + C00013</t>
  </si>
  <si>
    <t>C00215 * C00013</t>
  </si>
  <si>
    <t>C00857 + C00001</t>
  </si>
  <si>
    <t>C00857 * C00001</t>
  </si>
  <si>
    <t>C00020 + C01185</t>
  </si>
  <si>
    <t>C00020 * C01185</t>
  </si>
  <si>
    <t>C00882 + C00001</t>
  </si>
  <si>
    <t>C00882 * C00001</t>
  </si>
  <si>
    <t>C01134 + C00020</t>
  </si>
  <si>
    <t>C01134 * C00020</t>
  </si>
  <si>
    <t>C00459 + C00001</t>
  </si>
  <si>
    <t>C00459 * C00001</t>
  </si>
  <si>
    <t>C00364 + C00013</t>
  </si>
  <si>
    <t>C00364 * C00013</t>
  </si>
  <si>
    <t>C00328 + C00001</t>
  </si>
  <si>
    <t>C00328 * C00001</t>
  </si>
  <si>
    <t>C00108 + C00041</t>
  </si>
  <si>
    <t>C00108 * C00041</t>
  </si>
  <si>
    <t>C03227 + C00001</t>
  </si>
  <si>
    <t>C03227 * C00001</t>
  </si>
  <si>
    <t>C00632 + C00041</t>
  </si>
  <si>
    <t>C00632 * C00041</t>
  </si>
  <si>
    <t>C05653 + C00041</t>
  </si>
  <si>
    <t>C05653 * C00041</t>
  </si>
  <si>
    <t>C00099 + C00011</t>
  </si>
  <si>
    <t>C00099 * C00011</t>
  </si>
  <si>
    <t>C00179 + C00011</t>
  </si>
  <si>
    <t>C00179 * C00011</t>
  </si>
  <si>
    <t>C00047 + C00011</t>
  </si>
  <si>
    <t>C00047 * C00011</t>
  </si>
  <si>
    <t>C03373 + C00011</t>
  </si>
  <si>
    <t>C03373 * C00011</t>
  </si>
  <si>
    <t>C00105 + C00011</t>
  </si>
  <si>
    <t>C00105 * C00011</t>
  </si>
  <si>
    <t>C01134 + C00011</t>
  </si>
  <si>
    <t>C01134 * C00011</t>
  </si>
  <si>
    <t>C03263 + C00011</t>
  </si>
  <si>
    <t>C03263 * C00011</t>
  </si>
  <si>
    <t>C05768 + C00011</t>
  </si>
  <si>
    <t>C05768 * C00011</t>
  </si>
  <si>
    <t>C03506 + C00011 + C00001</t>
  </si>
  <si>
    <t>C03506 * C00011 * C00001</t>
  </si>
  <si>
    <t>C00002 + C00036</t>
  </si>
  <si>
    <t>C00002 * C00036</t>
  </si>
  <si>
    <t>C00008 + C00074 + C00011</t>
  </si>
  <si>
    <t>C00008 * C00074 * C00011</t>
  </si>
  <si>
    <t>C00810 + C00011</t>
  </si>
  <si>
    <t>C00810 * C00011</t>
  </si>
  <si>
    <t>C00019 + C00080</t>
  </si>
  <si>
    <t>C00019 * C00080</t>
  </si>
  <si>
    <t>C01137 + C00011</t>
  </si>
  <si>
    <t>C01137 * C00011</t>
  </si>
  <si>
    <t>C00350 + C00011</t>
  </si>
  <si>
    <t>C00350 * C00011</t>
  </si>
  <si>
    <t>C00111 + C00118</t>
  </si>
  <si>
    <t>C00111 * C00118</t>
  </si>
  <si>
    <t>C00111 + C00279</t>
  </si>
  <si>
    <t>C00111 * C00279</t>
  </si>
  <si>
    <t>C00111 + C00577</t>
  </si>
  <si>
    <t>C00111 * C00577</t>
  </si>
  <si>
    <t>C00111 + C00424</t>
  </si>
  <si>
    <t>C00111 * C00424</t>
  </si>
  <si>
    <t>C00111 + C00266</t>
  </si>
  <si>
    <t>C00111 * C00266</t>
  </si>
  <si>
    <t>C00266 + C01300</t>
  </si>
  <si>
    <t>C00266 * C01300</t>
  </si>
  <si>
    <t>C00118 + C00084</t>
  </si>
  <si>
    <t>C00118 * C00084</t>
  </si>
  <si>
    <t>C20239 + C00084 + C00536</t>
  </si>
  <si>
    <t>C20239 * C00084 * C00536</t>
  </si>
  <si>
    <t>C00042 + C00048</t>
  </si>
  <si>
    <t>C00042 * C00048</t>
  </si>
  <si>
    <t>C00108 + C00022 + C00001</t>
  </si>
  <si>
    <t>C00108 * C00022 * C00001</t>
  </si>
  <si>
    <t>C00108 + C00022 + C00025</t>
  </si>
  <si>
    <t>C00108 * C00022 * C00025</t>
  </si>
  <si>
    <t>C00022 + C00042</t>
  </si>
  <si>
    <t>C00022 * C00042</t>
  </si>
  <si>
    <t>C03657 + C00010</t>
  </si>
  <si>
    <t>C03657 * C00010</t>
  </si>
  <si>
    <t>C15547 + C00001</t>
  </si>
  <si>
    <t>C15547 * C00001</t>
  </si>
  <si>
    <t>C00568 + C00022</t>
  </si>
  <si>
    <t>C00568 * C00022</t>
  </si>
  <si>
    <t>C00024 + C00164</t>
  </si>
  <si>
    <t>C00024 * C00164</t>
  </si>
  <si>
    <t>C16466 + C00033</t>
  </si>
  <si>
    <t>C16466 * C00033</t>
  </si>
  <si>
    <t>C03373 + C00019</t>
  </si>
  <si>
    <t>C03373 * C00019</t>
  </si>
  <si>
    <t>C04556 + C05198 + C00073 + C00058 + C00237</t>
  </si>
  <si>
    <t>C04556 * C05198 * C00073 * C00058 * C00237</t>
  </si>
  <si>
    <t>C00044 + C00019 + C00030</t>
  </si>
  <si>
    <t>C00044 * C00019 * C00030</t>
  </si>
  <si>
    <t>C21310 + C05198 + C00073 + C00028</t>
  </si>
  <si>
    <t>C21310 * C05198 * C00073 * C00028</t>
  </si>
  <si>
    <t>C02637 + C00001</t>
  </si>
  <si>
    <t>C02637 * C00001</t>
  </si>
  <si>
    <t>C15650 + C00001</t>
  </si>
  <si>
    <t>C15650 * C00001</t>
  </si>
  <si>
    <t>C00074 + C00001</t>
  </si>
  <si>
    <t>C00074 * C00001</t>
  </si>
  <si>
    <t>C04309 + C00001</t>
  </si>
  <si>
    <t>C04309 * C00001</t>
  </si>
  <si>
    <t>C02730 + C00001</t>
  </si>
  <si>
    <t>C02730 * C00001</t>
  </si>
  <si>
    <t>C00256 + C00357</t>
  </si>
  <si>
    <t>C00256 * C00357</t>
  </si>
  <si>
    <t>C16698 + C00001</t>
  </si>
  <si>
    <t>C16698 * C00001</t>
  </si>
  <si>
    <t>C00658 + C00001</t>
  </si>
  <si>
    <t>C00658 * C00001</t>
  </si>
  <si>
    <t>C00877 + C00001</t>
  </si>
  <si>
    <t>C00877 * C00001</t>
  </si>
  <si>
    <t>C00894 + C00001</t>
  </si>
  <si>
    <t>C00894 * C00001</t>
  </si>
  <si>
    <t>C01122 + C00001</t>
  </si>
  <si>
    <t>C01122 * C00001</t>
  </si>
  <si>
    <t>C03069 + C00001</t>
  </si>
  <si>
    <t>C03069 * C00001</t>
  </si>
  <si>
    <t>C03221 + C00001</t>
  </si>
  <si>
    <t>C03221 * C00001</t>
  </si>
  <si>
    <t>C03345 + C00001</t>
  </si>
  <si>
    <t>C03345 * C00001</t>
  </si>
  <si>
    <t>C03460 + C00001</t>
  </si>
  <si>
    <t>C03460 * C00001</t>
  </si>
  <si>
    <t>C05272 + C00001</t>
  </si>
  <si>
    <t>C05272 * C00001</t>
  </si>
  <si>
    <t>C05273 + C00001</t>
  </si>
  <si>
    <t>C05273 * C00001</t>
  </si>
  <si>
    <t>C05275 + C00001</t>
  </si>
  <si>
    <t>C05275 * C00001</t>
  </si>
  <si>
    <t>C05276 + C00001</t>
  </si>
  <si>
    <t>C05276 * C00001</t>
  </si>
  <si>
    <t>C05271 + C00001</t>
  </si>
  <si>
    <t>C05271 * C00001</t>
  </si>
  <si>
    <t>C11946 + C00001</t>
  </si>
  <si>
    <t>C11946 * C00001</t>
  </si>
  <si>
    <t>C11945 + C00001</t>
  </si>
  <si>
    <t>C11945 * C00001</t>
  </si>
  <si>
    <t>C14144 + C00001</t>
  </si>
  <si>
    <t>C14144 * C00001</t>
  </si>
  <si>
    <t>C05067 + C00001</t>
  </si>
  <si>
    <t>C05067 * C00001</t>
  </si>
  <si>
    <t>C16328 + C00001</t>
  </si>
  <si>
    <t>C16328 * C00001</t>
  </si>
  <si>
    <t>C16332 + C00001</t>
  </si>
  <si>
    <t>C16332 * C00001</t>
  </si>
  <si>
    <t>C16336 + C00001</t>
  </si>
  <si>
    <t>C16336 * C00001</t>
  </si>
  <si>
    <t>C16468 + C00001</t>
  </si>
  <si>
    <t>C16468 * C00001</t>
  </si>
  <si>
    <t>C01267 + C00001</t>
  </si>
  <si>
    <t>C01267 * C00001</t>
  </si>
  <si>
    <t>C00122 + C00001</t>
  </si>
  <si>
    <t>C00122 * C00001</t>
  </si>
  <si>
    <t>C00065 + C00463</t>
  </si>
  <si>
    <t>C00065 * C00463</t>
  </si>
  <si>
    <t>C00078 + C00001</t>
  </si>
  <si>
    <t>C00078 * C00001</t>
  </si>
  <si>
    <t>C00463 + C00118</t>
  </si>
  <si>
    <t>C00463 * C00118</t>
  </si>
  <si>
    <t>C00065 + C03506</t>
  </si>
  <si>
    <t>C00065 * C03506</t>
  </si>
  <si>
    <t>C00078 + C00118 + C00001</t>
  </si>
  <si>
    <t>C00078 * C00118 * C00001</t>
  </si>
  <si>
    <t>C00417 + C00001</t>
  </si>
  <si>
    <t>C00417 * C00001</t>
  </si>
  <si>
    <t>C02631 + C00001</t>
  </si>
  <si>
    <t>C02631 * C00001</t>
  </si>
  <si>
    <t>C01219 + C00001</t>
  </si>
  <si>
    <t>C01219 * C00001</t>
  </si>
  <si>
    <t>C11907 + C00001</t>
  </si>
  <si>
    <t>C11907 * C00001</t>
  </si>
  <si>
    <t>C00785 + C00001</t>
  </si>
  <si>
    <t>C00785 * C00001</t>
  </si>
  <si>
    <t>C00079 + C00001 + C00011</t>
  </si>
  <si>
    <t>C00079 * C00001 * C00011</t>
  </si>
  <si>
    <t>C00166 + C00001 + C00011</t>
  </si>
  <si>
    <t>C00166 * C00001 * C00011</t>
  </si>
  <si>
    <t>C04246 + C00001</t>
  </si>
  <si>
    <t>C04246 * C00001</t>
  </si>
  <si>
    <t>C05754 + C00001</t>
  </si>
  <si>
    <t>C05754 * C00001</t>
  </si>
  <si>
    <t>C05751 + C00001</t>
  </si>
  <si>
    <t>C05751 * C00001</t>
  </si>
  <si>
    <t>C05763 + C00001</t>
  </si>
  <si>
    <t>C05763 * C00001</t>
  </si>
  <si>
    <t>C05760 + C00001</t>
  </si>
  <si>
    <t>C05760 * C00001</t>
  </si>
  <si>
    <t>C05748 + C00001</t>
  </si>
  <si>
    <t>C05748 * C00001</t>
  </si>
  <si>
    <t>C05758 + C00001</t>
  </si>
  <si>
    <t>C05758 * C00001</t>
  </si>
  <si>
    <t>C20374 + C00001</t>
  </si>
  <si>
    <t>C20374 * C00001</t>
  </si>
  <si>
    <t>C20378 + C00001</t>
  </si>
  <si>
    <t>C20378 * C00001</t>
  </si>
  <si>
    <t>C00693 + C00001</t>
  </si>
  <si>
    <t>C00693 * C00001</t>
  </si>
  <si>
    <t>C01051 + C00001</t>
  </si>
  <si>
    <t>C01051 * C00001</t>
  </si>
  <si>
    <t>C04225 + C00001</t>
  </si>
  <si>
    <t>C04225 * C00001</t>
  </si>
  <si>
    <t>C00141 + C00001</t>
  </si>
  <si>
    <t>C00141 * C00001</t>
  </si>
  <si>
    <t>C00671 + C00001</t>
  </si>
  <si>
    <t>C00671 * C00001</t>
  </si>
  <si>
    <t>C00268 + C00001</t>
  </si>
  <si>
    <t>C00268 * C00001</t>
  </si>
  <si>
    <t>C01102 + C00001</t>
  </si>
  <si>
    <t>C01102 * C00001</t>
  </si>
  <si>
    <t>C00188 + C00009</t>
  </si>
  <si>
    <t>C00188 * C00009</t>
  </si>
  <si>
    <t>C06055 + C00001</t>
  </si>
  <si>
    <t>C06055 * C00001</t>
  </si>
  <si>
    <t>C06056 + C00009</t>
  </si>
  <si>
    <t>C06056 * C00009</t>
  </si>
  <si>
    <t>C00546 + C00009</t>
  </si>
  <si>
    <t>C00546 * C00009</t>
  </si>
  <si>
    <t>C00944 + C00009</t>
  </si>
  <si>
    <t>C00944 * C00009</t>
  </si>
  <si>
    <t>C00251 + C00009</t>
  </si>
  <si>
    <t>C00251 * C00009</t>
  </si>
  <si>
    <t>C05817 + C00022</t>
  </si>
  <si>
    <t>C05817 * C00022</t>
  </si>
  <si>
    <t>C00122 + C00014</t>
  </si>
  <si>
    <t>C00122 * C00014</t>
  </si>
  <si>
    <t>C00022 + C00014</t>
  </si>
  <si>
    <t>C00022 * C00014</t>
  </si>
  <si>
    <t>C02218 + C00001</t>
  </si>
  <si>
    <t>C02218 * C00001</t>
  </si>
  <si>
    <t>C00161 + C00014</t>
  </si>
  <si>
    <t>C00161 * C00014</t>
  </si>
  <si>
    <t>C20904 + C00001</t>
  </si>
  <si>
    <t>C20904 * C00001</t>
  </si>
  <si>
    <t>C00109 + C00014</t>
  </si>
  <si>
    <t>C00109 * C00014</t>
  </si>
  <si>
    <t>C20905 + C00001</t>
  </si>
  <si>
    <t>C20905 * C00001</t>
  </si>
  <si>
    <t>C00785 + C00014</t>
  </si>
  <si>
    <t>C00785 * C00014</t>
  </si>
  <si>
    <t>C11823 + C00014</t>
  </si>
  <si>
    <t>C11823 * C00014</t>
  </si>
  <si>
    <t>C00122 + C00062</t>
  </si>
  <si>
    <t>C00122 * C00062</t>
  </si>
  <si>
    <t>C04916 + C00064</t>
  </si>
  <si>
    <t>C04916 * C00064</t>
  </si>
  <si>
    <t>C04666 + C04677 + C00025</t>
  </si>
  <si>
    <t>C04666 * C04677 * C00025</t>
  </si>
  <si>
    <t>C04916 + C00014</t>
  </si>
  <si>
    <t>C04916 * C00014</t>
  </si>
  <si>
    <t>C04677 + C04666 + C00001</t>
  </si>
  <si>
    <t>C04677 * C04666 * C00001</t>
  </si>
  <si>
    <t>C00122 + C00020</t>
  </si>
  <si>
    <t>C00122 * C00020</t>
  </si>
  <si>
    <t>C00122 + C04677</t>
  </si>
  <si>
    <t>C00122 * C04677</t>
  </si>
  <si>
    <t>C22441 + C00122</t>
  </si>
  <si>
    <t>C22441 * C00122</t>
  </si>
  <si>
    <t>C00118 + C00199 + C00064</t>
  </si>
  <si>
    <t>C00118 * C00199 * C00064</t>
  </si>
  <si>
    <t>C00018 + C00025 + C00009 + C00001</t>
  </si>
  <si>
    <t>C00018 * C00025 * C00009 * C00001</t>
  </si>
  <si>
    <t>C00117 + C00118 + C00014</t>
  </si>
  <si>
    <t>C00117 * C00118 * C00014</t>
  </si>
  <si>
    <t>C00018 + C00001 + C00009</t>
  </si>
  <si>
    <t>C00018 * C00001 * C00009</t>
  </si>
  <si>
    <t>C00117 + C00118 + C00064</t>
  </si>
  <si>
    <t>C00117 * C00118 * C00064</t>
  </si>
  <si>
    <t>C00018 + C00025 + C00001 + C00009</t>
  </si>
  <si>
    <t>C00018 * C00025 * C00001 * C00009</t>
  </si>
  <si>
    <t>C00441 + C00022</t>
  </si>
  <si>
    <t>C00441 * C00022</t>
  </si>
  <si>
    <t>C20258 + C00001</t>
  </si>
  <si>
    <t>C20258 * C00001</t>
  </si>
  <si>
    <t>C20248 + C00014</t>
  </si>
  <si>
    <t>C20248 * C00014</t>
  </si>
  <si>
    <t>C00073 + C00001</t>
  </si>
  <si>
    <t>C00073 * C00001</t>
  </si>
  <si>
    <t>C00409 + C00014 + C00109</t>
  </si>
  <si>
    <t>C00409 * C00014 * C00109</t>
  </si>
  <si>
    <t>C05335 + C00001</t>
  </si>
  <si>
    <t>C05335 * C00001</t>
  </si>
  <si>
    <t>C05703 + C00014 + C00109</t>
  </si>
  <si>
    <t>C05703 * C00014 * C00109</t>
  </si>
  <si>
    <t>C00409 + C17234</t>
  </si>
  <si>
    <t>C00409 * C17234</t>
  </si>
  <si>
    <t>C00097 + C00001</t>
  </si>
  <si>
    <t>C00097 * C00001</t>
  </si>
  <si>
    <t>C00283 + C00022 + C00014</t>
  </si>
  <si>
    <t>C00283 * C00022 * C00014</t>
  </si>
  <si>
    <t>C02291 + C00001</t>
  </si>
  <si>
    <t>C02291 * C00001</t>
  </si>
  <si>
    <t>C00155 + C00014 + C00022</t>
  </si>
  <si>
    <t>C00155 * C00014 * C00022</t>
  </si>
  <si>
    <t>C00491 + C00001</t>
  </si>
  <si>
    <t>C00491 * C00001</t>
  </si>
  <si>
    <t>C00022 + C00014 + C01962</t>
  </si>
  <si>
    <t>C00022 * C00014 * C01962</t>
  </si>
  <si>
    <t>C02749 + C00001</t>
  </si>
  <si>
    <t>C02749 * C00001</t>
  </si>
  <si>
    <t>C00812 + C00014 + C00022</t>
  </si>
  <si>
    <t>C00812 * C00014 * C00022</t>
  </si>
  <si>
    <t>C02882 + C00001</t>
  </si>
  <si>
    <t>C02882 * C00001</t>
  </si>
  <si>
    <t>C01336 + C00014 + C00022</t>
  </si>
  <si>
    <t>C01336 * C00014 * C00022</t>
  </si>
  <si>
    <t>C05699 + C00001</t>
  </si>
  <si>
    <t>C05699 * C00001</t>
  </si>
  <si>
    <t>C05698 + C00014 + C00022</t>
  </si>
  <si>
    <t>C05698 * C00014 * C00022</t>
  </si>
  <si>
    <t>C05689 + C00001</t>
  </si>
  <si>
    <t>C05689 * C00001</t>
  </si>
  <si>
    <t>C00022 + C00014 + C05703</t>
  </si>
  <si>
    <t>C00022 * C00014 * C05703</t>
  </si>
  <si>
    <t>C00145 + C00014 + C00022</t>
  </si>
  <si>
    <t>C00145 * C00014 * C00022</t>
  </si>
  <si>
    <t>C00793 + C00001</t>
  </si>
  <si>
    <t>C00793 * C00001</t>
  </si>
  <si>
    <t>C00283 + C00014 + C00022</t>
  </si>
  <si>
    <t>C00283 * C00014 * C00022</t>
  </si>
  <si>
    <t>C11838 + C00155</t>
  </si>
  <si>
    <t>C11838 * C00155</t>
  </si>
  <si>
    <t>C11453 + C00055</t>
  </si>
  <si>
    <t>C11453 * C00055</t>
  </si>
  <si>
    <t>C01194 + C00001</t>
  </si>
  <si>
    <t>C01194 * C00001</t>
  </si>
  <si>
    <t>C01177 + C00641</t>
  </si>
  <si>
    <t>C01177 * C00641</t>
  </si>
  <si>
    <t>C04299 + C00641</t>
  </si>
  <si>
    <t>C04299 * C00641</t>
  </si>
  <si>
    <t>C21310 + C00001</t>
  </si>
  <si>
    <t>C21310 * C00001</t>
  </si>
  <si>
    <t>C18239 + C00013</t>
  </si>
  <si>
    <t>C18239 * C00013</t>
  </si>
  <si>
    <t>C00043 + C00001</t>
  </si>
  <si>
    <t>C00043 * C00001</t>
  </si>
  <si>
    <t>C00645 + C00015</t>
  </si>
  <si>
    <t>C00645 * C00015</t>
  </si>
  <si>
    <t>C01170 + C00001</t>
  </si>
  <si>
    <t>C01170 * C00001</t>
  </si>
  <si>
    <t>C01159 + C00615</t>
  </si>
  <si>
    <t>C01159 * C00615</t>
  </si>
  <si>
    <t>C00197 + C04262</t>
  </si>
  <si>
    <t>C00197 * C04262</t>
  </si>
  <si>
    <t>C00002 + C00082 + C00787</t>
  </si>
  <si>
    <t>C00002 * C00082 * C00787</t>
  </si>
  <si>
    <t>C00020 + C00013 + C02839</t>
  </si>
  <si>
    <t>C00020 * C00013 * C02839</t>
  </si>
  <si>
    <t>C00002 + C00073 + C01647</t>
  </si>
  <si>
    <t>C00002 * C00073 * C01647</t>
  </si>
  <si>
    <t>C00020 + C00013 + C02430</t>
  </si>
  <si>
    <t>C00020 * C00013 * C02430</t>
  </si>
  <si>
    <t>C00002 + C05335 + C01647</t>
  </si>
  <si>
    <t>C00002 * C05335 * C01647</t>
  </si>
  <si>
    <t>C00020 + C00013 + C05336</t>
  </si>
  <si>
    <t>C00020 * C00013 * C05336</t>
  </si>
  <si>
    <t>C01638 + C00049 + C00002</t>
  </si>
  <si>
    <t>C01638 * C00049 * C00002</t>
  </si>
  <si>
    <t>C02984 + C00013 + C00020</t>
  </si>
  <si>
    <t>C02984 * C00013 * C00020</t>
  </si>
  <si>
    <t>C00002 + C00133 + C00653</t>
  </si>
  <si>
    <t>C00002 * C00133 * C00653</t>
  </si>
  <si>
    <t>C00020 + C00013 + C04260</t>
  </si>
  <si>
    <t>C00020 * C00013 * C04260</t>
  </si>
  <si>
    <t>C00002 + C00133 + G13185</t>
  </si>
  <si>
    <t>C00002 * C00133 * G13185</t>
  </si>
  <si>
    <t>C00020 + C00013 + G13186</t>
  </si>
  <si>
    <t>C00020 * C00013 * G13186</t>
  </si>
  <si>
    <t>C00002 + C00133 + G13167</t>
  </si>
  <si>
    <t>C00002 * C00133 * G13167</t>
  </si>
  <si>
    <t>C00020 + C00013 + G13180</t>
  </si>
  <si>
    <t>C00020 * C00013 * G13180</t>
  </si>
  <si>
    <t>C00002 + C00133 + G13170</t>
  </si>
  <si>
    <t>C00002 * C00133 * G13170</t>
  </si>
  <si>
    <t>C00020 + C00013 + G13171</t>
  </si>
  <si>
    <t>C00020 * C00013 * G13171</t>
  </si>
  <si>
    <t>C00002 + C00133 + G13174</t>
  </si>
  <si>
    <t>C00002 * C00133 * G13174</t>
  </si>
  <si>
    <t>C00020 + C00013 + G13175</t>
  </si>
  <si>
    <t>C00020 * C00013 * G13175</t>
  </si>
  <si>
    <t>C00002 + C00133 + G13176</t>
  </si>
  <si>
    <t>C00002 * C00133 * G13176</t>
  </si>
  <si>
    <t>C00020 + C00013 + G13177</t>
  </si>
  <si>
    <t>C00020 * C00013 * G13177</t>
  </si>
  <si>
    <t>C00002 + C00133 + G13178</t>
  </si>
  <si>
    <t>C00002 * C00133 * G13178</t>
  </si>
  <si>
    <t>C00020 + C00013 + G13179</t>
  </si>
  <si>
    <t>C00020 * C00013 * G13179</t>
  </si>
  <si>
    <t>C00002 + C00133 + G13192</t>
  </si>
  <si>
    <t>C00002 * C00133 * G13192</t>
  </si>
  <si>
    <t>C00020 + C00013 + G13193</t>
  </si>
  <si>
    <t>C00020 * C00013 * G13193</t>
  </si>
  <si>
    <t>C00002 + C00148 + C01649</t>
  </si>
  <si>
    <t>C00002 * C00148 * C01649</t>
  </si>
  <si>
    <t>C00020 + C00013 + C02702</t>
  </si>
  <si>
    <t>C00020 * C00013 * C02702</t>
  </si>
  <si>
    <t>C00002 + C00097 + C01639</t>
  </si>
  <si>
    <t>C00002 * C00097 * C01639</t>
  </si>
  <si>
    <t>C00020 + C00013 + C03125</t>
  </si>
  <si>
    <t>C00020 * C00013 * C03125</t>
  </si>
  <si>
    <t>C01641 + C00025 + C00002</t>
  </si>
  <si>
    <t>C01641 * C00025 * C00002</t>
  </si>
  <si>
    <t>C02987 + C00013 + C00020</t>
  </si>
  <si>
    <t>C02987 * C00013 * C00020</t>
  </si>
  <si>
    <t>C00002 + C00062 + C01636</t>
  </si>
  <si>
    <t>C00002 * C00062 * C01636</t>
  </si>
  <si>
    <t>C00020 + C00013 + C02163</t>
  </si>
  <si>
    <t>C00020 * C00013 * C02163</t>
  </si>
  <si>
    <t>C00002 + C00078 + C01652</t>
  </si>
  <si>
    <t>C00002 * C00078 * C01652</t>
  </si>
  <si>
    <t>C00020 + C00013 + C03512</t>
  </si>
  <si>
    <t>C00020 * C00013 * C03512</t>
  </si>
  <si>
    <t>C00002 + C00079 + C01648</t>
  </si>
  <si>
    <t>C00002 * C00079 * C01648</t>
  </si>
  <si>
    <t>C00020 + C00013 + C03511</t>
  </si>
  <si>
    <t>C00020 * C00013 * C03511</t>
  </si>
  <si>
    <t>C00002 + C00135 + C01643</t>
  </si>
  <si>
    <t>C00002 * C00135 * C01643</t>
  </si>
  <si>
    <t>C00020 + C00013 + C02988</t>
  </si>
  <si>
    <t>C00020 * C00013 * C02988</t>
  </si>
  <si>
    <t>C00002 + C00152 + C01637</t>
  </si>
  <si>
    <t>C00002 * C00152 * C01637</t>
  </si>
  <si>
    <t>C00020 + C00013 + C03402</t>
  </si>
  <si>
    <t>C00020 * C00013 * C03402</t>
  </si>
  <si>
    <t>C00002 + C00049 + C01637</t>
  </si>
  <si>
    <t>C00002 * C00049 * C01637</t>
  </si>
  <si>
    <t>C00020 + C00013 + C06113</t>
  </si>
  <si>
    <t>C00020 * C00013 * C06113</t>
  </si>
  <si>
    <t>C00002 + C00188 + C01651</t>
  </si>
  <si>
    <t>C00002 * C00188 * C01651</t>
  </si>
  <si>
    <t>C00020 + C00013 + C02992</t>
  </si>
  <si>
    <t>C00020 * C00013 * C02992</t>
  </si>
  <si>
    <t>C00002 + C00123 + C01645</t>
  </si>
  <si>
    <t>C00002 * C00123 * C01645</t>
  </si>
  <si>
    <t>C00020 + C00013 + C02047</t>
  </si>
  <si>
    <t>C00020 * C00013 * C02047</t>
  </si>
  <si>
    <t>C00002 + C00407 + C01644</t>
  </si>
  <si>
    <t>C00002 * C00407 * C01644</t>
  </si>
  <si>
    <t>C00020 + C00013 + C03127</t>
  </si>
  <si>
    <t>C00020 * C00013 * C03127</t>
  </si>
  <si>
    <t>C00002 + C00047 + C01646</t>
  </si>
  <si>
    <t>C00002 * C00047 * C01646</t>
  </si>
  <si>
    <t>C00020 + C00013 + C01931</t>
  </si>
  <si>
    <t>C00020 * C00013 * C01931</t>
  </si>
  <si>
    <t>C00002 + C00041 + C01635</t>
  </si>
  <si>
    <t>C00002 * C00041 * C01635</t>
  </si>
  <si>
    <t>C00020 + C00013 + C00886</t>
  </si>
  <si>
    <t>C00020 * C00013 * C00886</t>
  </si>
  <si>
    <t>C00002 + C00183 + C01653</t>
  </si>
  <si>
    <t>C00002 * C00183 * C01653</t>
  </si>
  <si>
    <t>C00020 + C00013 + C02554</t>
  </si>
  <si>
    <t>C00020 * C00013 * C02554</t>
  </si>
  <si>
    <t>C00002 + C00033 + C00010</t>
  </si>
  <si>
    <t>C00002 * C00033 * C00010</t>
  </si>
  <si>
    <t>C00020 + C00013 + C00024</t>
  </si>
  <si>
    <t>C00020 * C00013 * C00024</t>
  </si>
  <si>
    <t>C05993 + C00010</t>
  </si>
  <si>
    <t>C05993 * C00010</t>
  </si>
  <si>
    <t>C00020 + C00024</t>
  </si>
  <si>
    <t>C00020 * C00024</t>
  </si>
  <si>
    <t>C00002 + C00033</t>
  </si>
  <si>
    <t>C00002 * C00033</t>
  </si>
  <si>
    <t>C00013 + C05993</t>
  </si>
  <si>
    <t>C00013 * C05993</t>
  </si>
  <si>
    <t>C00002 + C00163 + C00010</t>
  </si>
  <si>
    <t>C00002 * C00163 * C00010</t>
  </si>
  <si>
    <t>C00020 + C00013 + C00100</t>
  </si>
  <si>
    <t>C00020 * C00013 * C00100</t>
  </si>
  <si>
    <t>C05983 + C00010</t>
  </si>
  <si>
    <t>C05983 * C00010</t>
  </si>
  <si>
    <t>C00020 + C00100</t>
  </si>
  <si>
    <t>C00020 * C00100</t>
  </si>
  <si>
    <t>C00002 + C00163</t>
  </si>
  <si>
    <t>C00002 * C00163</t>
  </si>
  <si>
    <t>C00013 + C05983</t>
  </si>
  <si>
    <t>C00013 * C05983</t>
  </si>
  <si>
    <t>C00002 + C02730 + C00010</t>
  </si>
  <si>
    <t>C00002 * C02730 * C00010</t>
  </si>
  <si>
    <t>C00020 + C00013 + C03160</t>
  </si>
  <si>
    <t>C00020 * C00013 * C03160</t>
  </si>
  <si>
    <t>C00002 + C00638 + C00010</t>
  </si>
  <si>
    <t>C00002 * C00638 * C00010</t>
  </si>
  <si>
    <t>C00020 + C00013 + C02843</t>
  </si>
  <si>
    <t>C00020 * C00013 * C02843</t>
  </si>
  <si>
    <t>C00002 + C00249 + C00010</t>
  </si>
  <si>
    <t>C00002 * C00249 * C00010</t>
  </si>
  <si>
    <t>C00020 + C00154 + C00013</t>
  </si>
  <si>
    <t>C00020 * C00154 * C00013</t>
  </si>
  <si>
    <t>C00002 + C00042 + C00010</t>
  </si>
  <si>
    <t>C00002 * C00042 * C00010</t>
  </si>
  <si>
    <t>C00008 + C00009 + C00091</t>
  </si>
  <si>
    <t>C00008 * C00009 * C00091</t>
  </si>
  <si>
    <t>C00002 + C00490 + C00010</t>
  </si>
  <si>
    <t>C00002 * C00490 * C00010</t>
  </si>
  <si>
    <t>C00008 + C00009 + C00531</t>
  </si>
  <si>
    <t>C00008 * C00009 * C00531</t>
  </si>
  <si>
    <t>C00002 + C00049 + C00014</t>
  </si>
  <si>
    <t>C00002 * C00049 * C00014</t>
  </si>
  <si>
    <t>C00020 + C00013 + C00152</t>
  </si>
  <si>
    <t>C00020 * C00013 * C00152</t>
  </si>
  <si>
    <t>C00002 + C00025 + C00014</t>
  </si>
  <si>
    <t>C00002 * C00025 * C00014</t>
  </si>
  <si>
    <t>C00008 + C00009 + C00064</t>
  </si>
  <si>
    <t>C00008 * C00009 * C00064</t>
  </si>
  <si>
    <t>C00002 + C16241</t>
  </si>
  <si>
    <t>C00002 * C16241</t>
  </si>
  <si>
    <t>C00013 + C16238</t>
  </si>
  <si>
    <t>C00013 * C16238</t>
  </si>
  <si>
    <t>C16238 + C16240</t>
  </si>
  <si>
    <t>C16238 * C16240</t>
  </si>
  <si>
    <t>C16237 + C00020</t>
  </si>
  <si>
    <t>C16237 * C00020</t>
  </si>
  <si>
    <t>C00002 + C16241 + C16240</t>
  </si>
  <si>
    <t>C00002 * C16241 * C16240</t>
  </si>
  <si>
    <t>C16237 + C00020 + C00013</t>
  </si>
  <si>
    <t>C16237 * C00020 * C00013</t>
  </si>
  <si>
    <t>C00002 + C06423 + C22158</t>
  </si>
  <si>
    <t>C00002 * C06423 * C22158</t>
  </si>
  <si>
    <t>C22160 + C00020 + C00013</t>
  </si>
  <si>
    <t>C22160 * C00020 * C00013</t>
  </si>
  <si>
    <t>C00002 + C16241 + C22157</t>
  </si>
  <si>
    <t>C00002 * C16241 * C22157</t>
  </si>
  <si>
    <t>C02051 + C00020 + C00013</t>
  </si>
  <si>
    <t>C02051 * C00020 * C00013</t>
  </si>
  <si>
    <t>C00002 + C16241 + C22158</t>
  </si>
  <si>
    <t>C00002 * C16241 * C22158</t>
  </si>
  <si>
    <t>C15972 + C00020 + C00013</t>
  </si>
  <si>
    <t>C15972 * C00020 * C00013</t>
  </si>
  <si>
    <t>C00002 + C00857 + C00014</t>
  </si>
  <si>
    <t>C00002 * C00857 * C00014</t>
  </si>
  <si>
    <t>C00020 + C00013 + C00003</t>
  </si>
  <si>
    <t>C00020 * C00013 * C00003</t>
  </si>
  <si>
    <t>C00002 + C05892 + C00993</t>
  </si>
  <si>
    <t>C00002 * C05892 * C00993</t>
  </si>
  <si>
    <t>C00008 + C00009 + C04702</t>
  </si>
  <si>
    <t>C00008 * C00009 * C04702</t>
  </si>
  <si>
    <t>C00002 + C04877 + C00993</t>
  </si>
  <si>
    <t>C00002 * C04877 * C00993</t>
  </si>
  <si>
    <t>C00008 + C00009 + C04882</t>
  </si>
  <si>
    <t>C00008 * C00009 * C04882</t>
  </si>
  <si>
    <t>C00002 + C00234 + C00025</t>
  </si>
  <si>
    <t>C00002 * C00234 * C00025</t>
  </si>
  <si>
    <t>C00008 + C00009 + C05928</t>
  </si>
  <si>
    <t>C00008 * C00009 * C05928</t>
  </si>
  <si>
    <t>C00002 + C00921 + C00025</t>
  </si>
  <si>
    <t>C00002 * C00921 * C00025</t>
  </si>
  <si>
    <t>C00008 + C00009 + C00415</t>
  </si>
  <si>
    <t>C00008 * C00009 * C00415</t>
  </si>
  <si>
    <t>C00002 + C00692 + C00680</t>
  </si>
  <si>
    <t>C00002 * C00692 * C00680</t>
  </si>
  <si>
    <t>C00008 + C00009 + C04877</t>
  </si>
  <si>
    <t>C00008 * C00009 * C04877</t>
  </si>
  <si>
    <t>C00002 + C00133</t>
  </si>
  <si>
    <t>C00002 * C00133</t>
  </si>
  <si>
    <t>C00008 + C00009 + C00993</t>
  </si>
  <si>
    <t>C00008 * C00009 * C00993</t>
  </si>
  <si>
    <t>C00002 + C04751 + C00049</t>
  </si>
  <si>
    <t>C00002 * C04751 * C00049</t>
  </si>
  <si>
    <t>C00008 + C00009 + C04823</t>
  </si>
  <si>
    <t>C00008 * C00009 * C04823</t>
  </si>
  <si>
    <t>C00002 + C01050 + C00041</t>
  </si>
  <si>
    <t>C00002 * C01050 * C00041</t>
  </si>
  <si>
    <t>C00008 + C00009 + C01212</t>
  </si>
  <si>
    <t>C00008 * C00009 * C01212</t>
  </si>
  <si>
    <t>C00002 + C01212 + C00217</t>
  </si>
  <si>
    <t>C00002 * C01212 * C00217</t>
  </si>
  <si>
    <t>C00008 + C00009 + C00692</t>
  </si>
  <si>
    <t>C00008 * C00009 * C00692</t>
  </si>
  <si>
    <t>C00002 + C04640</t>
  </si>
  <si>
    <t>C00002 * C04640</t>
  </si>
  <si>
    <t>C00008 + C00009 + C03373</t>
  </si>
  <si>
    <t>C00008 * C00009 * C03373</t>
  </si>
  <si>
    <t>C00002 + C03479 + C00080</t>
  </si>
  <si>
    <t>C00002 * C03479 * C00080</t>
  </si>
  <si>
    <t>C00008 + C00009 + C00445</t>
  </si>
  <si>
    <t>C00008 * C00009 * C00445</t>
  </si>
  <si>
    <t>C00002 + C01037 + C00011</t>
  </si>
  <si>
    <t>C00002 * C01037 * C00011</t>
  </si>
  <si>
    <t>C00008 + C00009 + C01909</t>
  </si>
  <si>
    <t>C00008 * C00009 * C01909</t>
  </si>
  <si>
    <t>C01037 + C00011</t>
  </si>
  <si>
    <t>C01037 * C00011</t>
  </si>
  <si>
    <t>C22458 + C00002</t>
  </si>
  <si>
    <t>C22458 * C00002</t>
  </si>
  <si>
    <t>C01909 + C00008 + C00009</t>
  </si>
  <si>
    <t>C01909 * C00008 * C00009</t>
  </si>
  <si>
    <t>C00002 + C03090 + C00037</t>
  </si>
  <si>
    <t>C00002 * C03090 * C00037</t>
  </si>
  <si>
    <t>C00008 + C00009 + C03838</t>
  </si>
  <si>
    <t>C00008 * C00009 * C03838</t>
  </si>
  <si>
    <t>C00002 + C06250 + C00288</t>
  </si>
  <si>
    <t>C00002 * C06250 * C00288</t>
  </si>
  <si>
    <t>C00008 + C00009 + C04419</t>
  </si>
  <si>
    <t>C00008 * C00009 * C04419</t>
  </si>
  <si>
    <t>C00002 + C00120</t>
  </si>
  <si>
    <t>C00002 * C00120</t>
  </si>
  <si>
    <t>C00013 + C05921</t>
  </si>
  <si>
    <t>C00013 * C05921</t>
  </si>
  <si>
    <t>C00002 + C00120 + C04735</t>
  </si>
  <si>
    <t>C00002 * C00120 * C04735</t>
  </si>
  <si>
    <t>C00020 + C00013 + C04681</t>
  </si>
  <si>
    <t>C00020 * C00013 * C04681</t>
  </si>
  <si>
    <t>C05921 + C06249</t>
  </si>
  <si>
    <t>C05921 * C06249</t>
  </si>
  <si>
    <t>C00020 + C06250</t>
  </si>
  <si>
    <t>C00020 * C06250</t>
  </si>
  <si>
    <t>C00002 + C03373 + C00288</t>
  </si>
  <si>
    <t>C00002 * C03373 * C00288</t>
  </si>
  <si>
    <t>C00008 + C00009 + C15667</t>
  </si>
  <si>
    <t>C00008 * C00009 * C15667</t>
  </si>
  <si>
    <t>C19722 + C00047 + C00002</t>
  </si>
  <si>
    <t>C19722 * C00047 * C00002</t>
  </si>
  <si>
    <t>C19723 + C00020 + C00013 + C00001</t>
  </si>
  <si>
    <t>C19723 * C00020 * C00013 * C00001</t>
  </si>
  <si>
    <t>C00002 + C00075 + C00014</t>
  </si>
  <si>
    <t>C00002 * C00075 * C00014</t>
  </si>
  <si>
    <t>C00008 + C00009 + C00063</t>
  </si>
  <si>
    <t>C00008 * C00009 * C00063</t>
  </si>
  <si>
    <t>C00002 + C00075 + C00064 + C00001</t>
  </si>
  <si>
    <t>C00002 * C00075 * C00064 * C00001</t>
  </si>
  <si>
    <t>C00008 + C00009 + C00063 + C00025</t>
  </si>
  <si>
    <t>C00008 * C00009 * C00063 * C00025</t>
  </si>
  <si>
    <t>C20248 + C00014 + C00002</t>
  </si>
  <si>
    <t>C20248 * C00014 * C00002</t>
  </si>
  <si>
    <t>C15996 + C00008 + C00009 + C00001</t>
  </si>
  <si>
    <t>C15996 * C00008 * C00009 * C00001</t>
  </si>
  <si>
    <t>C01185 + C00013 + C00008 + C00009</t>
  </si>
  <si>
    <t>C01185 * C00013 * C00008 * C00009</t>
  </si>
  <si>
    <t>C00253 + C00119 + C00002 + C00001 + C00080</t>
  </si>
  <si>
    <t>C00253 * C00119 * C00002 * C00001 * C00080</t>
  </si>
  <si>
    <t>C00101 + C00058 + C00002</t>
  </si>
  <si>
    <t>C00101 * C00058 * C00002</t>
  </si>
  <si>
    <t>C00008 + C00009 + C00234</t>
  </si>
  <si>
    <t>C00008 * C00009 * C00234</t>
  </si>
  <si>
    <t>C00044 + C00130 + C00049</t>
  </si>
  <si>
    <t>C00044 * C00130 * C00049</t>
  </si>
  <si>
    <t>C00035 + C00009 + C03794</t>
  </si>
  <si>
    <t>C00035 * C00009 * C03794</t>
  </si>
  <si>
    <t>C00002 + C00327 + C00049</t>
  </si>
  <si>
    <t>C00002 * C00327 * C00049</t>
  </si>
  <si>
    <t>C00020 + C00013 + C03406</t>
  </si>
  <si>
    <t>C00020 * C00013 * C03406</t>
  </si>
  <si>
    <t>C00002 + C04376 + C00064 + C00001</t>
  </si>
  <si>
    <t>C00002 * C04376 * C00064 * C00001</t>
  </si>
  <si>
    <t>C00008 + C00009 + C04640 + C00025</t>
  </si>
  <si>
    <t>C00008 * C00009 * C04640 * C00025</t>
  </si>
  <si>
    <t>C00002 + C00049 + C00064 + C00001</t>
  </si>
  <si>
    <t>C00002 * C00049 * C00064 * C00001</t>
  </si>
  <si>
    <t>C00020 + C00013 + C00152 + C00025</t>
  </si>
  <si>
    <t>C00020 * C00013 * C00152 * C00025</t>
  </si>
  <si>
    <t>C00002 + C00064 + C00288 + C00001</t>
  </si>
  <si>
    <t>C00002 * C00064 * C00288 * C00001</t>
  </si>
  <si>
    <t>C00008 + C00009 + C00025 + C00169</t>
  </si>
  <si>
    <t>C00008 * C00009 * C00025 * C00169</t>
  </si>
  <si>
    <t>C00002 + C00288 + C00014</t>
  </si>
  <si>
    <t>C00002 * C00288 * C00014</t>
  </si>
  <si>
    <t>C00008 + C00009 + C00169</t>
  </si>
  <si>
    <t>C00008 * C00009 * C00169</t>
  </si>
  <si>
    <t>C00002 + C00288</t>
  </si>
  <si>
    <t>C00002 * C00288</t>
  </si>
  <si>
    <t>C00008 + C20969</t>
  </si>
  <si>
    <t>C00008 * C20969</t>
  </si>
  <si>
    <t>C00014 + C20969</t>
  </si>
  <si>
    <t>C00014 * C20969</t>
  </si>
  <si>
    <t>C01563 + C00009</t>
  </si>
  <si>
    <t>C01563 * C00009</t>
  </si>
  <si>
    <t>C00002 + C00022 + C00288</t>
  </si>
  <si>
    <t>C00002 * C00022 * C00288</t>
  </si>
  <si>
    <t>C00008 + C00009 + C00036</t>
  </si>
  <si>
    <t>C00008 * C00009 * C00036</t>
  </si>
  <si>
    <t>C00002 + C00024 + C00288</t>
  </si>
  <si>
    <t>C00002 * C00024 * C00288</t>
  </si>
  <si>
    <t>C00008 + C00009 + C00083</t>
  </si>
  <si>
    <t>C00008 * C00009 * C00083</t>
  </si>
  <si>
    <t>C00003 + C00039 + C02128</t>
  </si>
  <si>
    <t>C00003 * C00039 * C02128</t>
  </si>
  <si>
    <t>C00020 + C00455 + C00039</t>
  </si>
  <si>
    <t>C00020 * C00455 * C00039</t>
  </si>
  <si>
    <t>C00399 + C00004 + C00080 + C00080</t>
  </si>
  <si>
    <t>C00399 * C00004 * C00080 * C00080</t>
  </si>
  <si>
    <t>C00390 + C00003 + C00080</t>
  </si>
  <si>
    <t>C00390 * C00003 * C00080</t>
  </si>
  <si>
    <t>C00007 + C00126 + C00080</t>
  </si>
  <si>
    <t>C00007 * C00126 * C00080</t>
  </si>
  <si>
    <t>C00125 + C00001 + C00080</t>
  </si>
  <si>
    <t>C00125 * C00001 * C00080</t>
  </si>
  <si>
    <t>C00007 + C01000</t>
  </si>
  <si>
    <t>C00007 * C01000</t>
  </si>
  <si>
    <t>C00997 + C00001</t>
  </si>
  <si>
    <t>C00997 * C00001</t>
  </si>
  <si>
    <t>C00008 + C00009</t>
  </si>
  <si>
    <t>C00008 * C00009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</si>
</sst>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8">
    <font>
      <sz val="10.0"/>
      <color rgb="FF000000"/>
      <name val="Arial"/>
      <scheme val="minor"/>
    </font>
    <font>
      <sz val="23.0"/>
      <color rgb="FF323A45"/>
      <name val="Roboto"/>
    </font>
    <font>
      <color theme="1"/>
      <name val="Arial"/>
    </font>
    <font>
      <color rgb="FF000000"/>
      <name val="Roboto"/>
    </font>
    <font>
      <sz val="12.0"/>
      <color rgb="FF5B616B"/>
      <name val="Roboto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0" xfId="0" applyAlignment="1" applyBorder="1" applyFont="1">
      <alignment horizontal="right" vertical="bottom"/>
    </xf>
    <xf borderId="1" fillId="0" fontId="5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quotePrefix="1" borderId="0" fillId="0" fontId="2" numFmtId="0" xfId="0" applyAlignment="1" applyFont="1">
      <alignment vertical="bottom"/>
    </xf>
    <xf borderId="0" fillId="2" fontId="7" numFmtId="0" xfId="0" applyAlignment="1" applyFont="1">
      <alignment shrinkToFit="0" vertical="bottom" wrapText="1"/>
    </xf>
    <xf borderId="0" fillId="2" fontId="7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nuccore/CP138336.1/" TargetMode="External"/><Relationship Id="rId2" Type="http://schemas.openxmlformats.org/officeDocument/2006/relationships/hyperlink" Target="https://www.ncbi.nlm.nih.gov/nuccore/NZ_CP138336.1/" TargetMode="External"/><Relationship Id="rId3" Type="http://schemas.openxmlformats.org/officeDocument/2006/relationships/hyperlink" Target="https://www.ncbi.nlm.nih.gov/datasets/genome/GCF_045287585.1/" TargetMode="External"/><Relationship Id="rId4" Type="http://schemas.openxmlformats.org/officeDocument/2006/relationships/hyperlink" Target="https://www.ncbi.nlm.nih.gov/nuccore/NZ_CP138336.1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egg.jp/entry/ec:1.1.1.1" TargetMode="External"/><Relationship Id="rId2" Type="http://schemas.openxmlformats.org/officeDocument/2006/relationships/hyperlink" Target="https://www.kegg.jp/entry/ec:1.1.1.1" TargetMode="External"/><Relationship Id="rId3" Type="http://schemas.openxmlformats.org/officeDocument/2006/relationships/hyperlink" Target="https://www.kegg.jp/entry/ec:1.1.1.1" TargetMode="External"/><Relationship Id="rId4" Type="http://schemas.openxmlformats.org/officeDocument/2006/relationships/hyperlink" Target="https://www.kegg.jp/entry/ec:1.1.1.1" TargetMode="External"/><Relationship Id="rId5" Type="http://schemas.openxmlformats.org/officeDocument/2006/relationships/hyperlink" Target="https://www.kegg.jp/entry/ec:1.1.1.1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egg.jp/entry/C00254" TargetMode="External"/><Relationship Id="rId194" Type="http://schemas.openxmlformats.org/officeDocument/2006/relationships/hyperlink" Target="https://www.kegg.jp/entry/C00258" TargetMode="External"/><Relationship Id="rId193" Type="http://schemas.openxmlformats.org/officeDocument/2006/relationships/hyperlink" Target="https://www.kegg.jp/entry/C00257" TargetMode="External"/><Relationship Id="rId192" Type="http://schemas.openxmlformats.org/officeDocument/2006/relationships/hyperlink" Target="https://www.kegg.jp/entry/C00256" TargetMode="External"/><Relationship Id="rId191" Type="http://schemas.openxmlformats.org/officeDocument/2006/relationships/hyperlink" Target="https://www.kegg.jp/entry/C00255" TargetMode="External"/><Relationship Id="rId187" Type="http://schemas.openxmlformats.org/officeDocument/2006/relationships/hyperlink" Target="https://www.kegg.jp/entry/C00251" TargetMode="External"/><Relationship Id="rId186" Type="http://schemas.openxmlformats.org/officeDocument/2006/relationships/hyperlink" Target="https://www.kegg.jp/entry/C00249" TargetMode="External"/><Relationship Id="rId185" Type="http://schemas.openxmlformats.org/officeDocument/2006/relationships/hyperlink" Target="https://www.kegg.jp/entry/C00248" TargetMode="External"/><Relationship Id="rId184" Type="http://schemas.openxmlformats.org/officeDocument/2006/relationships/hyperlink" Target="https://www.kegg.jp/entry/C00246" TargetMode="External"/><Relationship Id="rId189" Type="http://schemas.openxmlformats.org/officeDocument/2006/relationships/hyperlink" Target="https://www.kegg.jp/entry/C00253" TargetMode="External"/><Relationship Id="rId188" Type="http://schemas.openxmlformats.org/officeDocument/2006/relationships/hyperlink" Target="https://www.kegg.jp/entry/C00252" TargetMode="External"/><Relationship Id="rId183" Type="http://schemas.openxmlformats.org/officeDocument/2006/relationships/hyperlink" Target="https://www.kegg.jp/entry/C00245" TargetMode="External"/><Relationship Id="rId182" Type="http://schemas.openxmlformats.org/officeDocument/2006/relationships/hyperlink" Target="https://www.kegg.jp/entry/C00244" TargetMode="External"/><Relationship Id="rId181" Type="http://schemas.openxmlformats.org/officeDocument/2006/relationships/hyperlink" Target="https://www.kegg.jp/entry/C00242" TargetMode="External"/><Relationship Id="rId180" Type="http://schemas.openxmlformats.org/officeDocument/2006/relationships/hyperlink" Target="https://www.kegg.jp/entry/C00241" TargetMode="External"/><Relationship Id="rId176" Type="http://schemas.openxmlformats.org/officeDocument/2006/relationships/hyperlink" Target="https://www.kegg.jp/entry/C00236" TargetMode="External"/><Relationship Id="rId175" Type="http://schemas.openxmlformats.org/officeDocument/2006/relationships/hyperlink" Target="https://www.kegg.jp/entry/C00235" TargetMode="External"/><Relationship Id="rId174" Type="http://schemas.openxmlformats.org/officeDocument/2006/relationships/hyperlink" Target="https://www.kegg.jp/entry/C00234" TargetMode="External"/><Relationship Id="rId173" Type="http://schemas.openxmlformats.org/officeDocument/2006/relationships/hyperlink" Target="https://www.kegg.jp/entry/C00233" TargetMode="External"/><Relationship Id="rId179" Type="http://schemas.openxmlformats.org/officeDocument/2006/relationships/hyperlink" Target="https://www.kegg.jp/entry/C00240" TargetMode="External"/><Relationship Id="rId178" Type="http://schemas.openxmlformats.org/officeDocument/2006/relationships/hyperlink" Target="https://www.kegg.jp/entry/C00239" TargetMode="External"/><Relationship Id="rId177" Type="http://schemas.openxmlformats.org/officeDocument/2006/relationships/hyperlink" Target="https://www.kegg.jp/entry/C00237" TargetMode="External"/><Relationship Id="rId198" Type="http://schemas.openxmlformats.org/officeDocument/2006/relationships/hyperlink" Target="https://www.kegg.jp/entry/C00267" TargetMode="External"/><Relationship Id="rId197" Type="http://schemas.openxmlformats.org/officeDocument/2006/relationships/hyperlink" Target="https://www.kegg.jp/entry/C00266" TargetMode="External"/><Relationship Id="rId196" Type="http://schemas.openxmlformats.org/officeDocument/2006/relationships/hyperlink" Target="https://www.kegg.jp/entry/C00263" TargetMode="External"/><Relationship Id="rId195" Type="http://schemas.openxmlformats.org/officeDocument/2006/relationships/hyperlink" Target="https://www.kegg.jp/entry/C00262" TargetMode="External"/><Relationship Id="rId199" Type="http://schemas.openxmlformats.org/officeDocument/2006/relationships/hyperlink" Target="https://www.kegg.jp/entry/C00268" TargetMode="External"/><Relationship Id="rId150" Type="http://schemas.openxmlformats.org/officeDocument/2006/relationships/hyperlink" Target="https://www.kegg.jp/entry/C00194" TargetMode="External"/><Relationship Id="rId392" Type="http://schemas.openxmlformats.org/officeDocument/2006/relationships/hyperlink" Target="https://www.kegg.jp/entry/C01037" TargetMode="External"/><Relationship Id="rId391" Type="http://schemas.openxmlformats.org/officeDocument/2006/relationships/hyperlink" Target="https://www.kegg.jp/entry/C01024" TargetMode="External"/><Relationship Id="rId390" Type="http://schemas.openxmlformats.org/officeDocument/2006/relationships/hyperlink" Target="https://www.kegg.jp/entry/C01005" TargetMode="External"/><Relationship Id="rId1" Type="http://schemas.openxmlformats.org/officeDocument/2006/relationships/hyperlink" Target="https://www.kegg.jp/entry/C00001" TargetMode="External"/><Relationship Id="rId2" Type="http://schemas.openxmlformats.org/officeDocument/2006/relationships/hyperlink" Target="https://www.kegg.jp/entry/C00002" TargetMode="External"/><Relationship Id="rId3" Type="http://schemas.openxmlformats.org/officeDocument/2006/relationships/hyperlink" Target="https://www.kegg.jp/entry/C00003" TargetMode="External"/><Relationship Id="rId149" Type="http://schemas.openxmlformats.org/officeDocument/2006/relationships/hyperlink" Target="https://www.kegg.jp/entry/C00192" TargetMode="External"/><Relationship Id="rId4" Type="http://schemas.openxmlformats.org/officeDocument/2006/relationships/hyperlink" Target="https://www.kegg.jp/entry/C00004" TargetMode="External"/><Relationship Id="rId148" Type="http://schemas.openxmlformats.org/officeDocument/2006/relationships/hyperlink" Target="https://www.kegg.jp/entry/C00188" TargetMode="External"/><Relationship Id="rId1090" Type="http://schemas.openxmlformats.org/officeDocument/2006/relationships/hyperlink" Target="https://www.kegg.jp/entry/C17510" TargetMode="External"/><Relationship Id="rId1091" Type="http://schemas.openxmlformats.org/officeDocument/2006/relationships/hyperlink" Target="https://www.kegg.jp/entry/C17556" TargetMode="External"/><Relationship Id="rId1092" Type="http://schemas.openxmlformats.org/officeDocument/2006/relationships/hyperlink" Target="https://www.kegg.jp/entry/C17558" TargetMode="External"/><Relationship Id="rId1093" Type="http://schemas.openxmlformats.org/officeDocument/2006/relationships/hyperlink" Target="https://www.kegg.jp/entry/C18096" TargetMode="External"/><Relationship Id="rId1094" Type="http://schemas.openxmlformats.org/officeDocument/2006/relationships/hyperlink" Target="https://www.kegg.jp/entry/C18237" TargetMode="External"/><Relationship Id="rId9" Type="http://schemas.openxmlformats.org/officeDocument/2006/relationships/hyperlink" Target="https://www.kegg.jp/entry/C00009" TargetMode="External"/><Relationship Id="rId143" Type="http://schemas.openxmlformats.org/officeDocument/2006/relationships/hyperlink" Target="https://www.kegg.jp/entry/C00180" TargetMode="External"/><Relationship Id="rId385" Type="http://schemas.openxmlformats.org/officeDocument/2006/relationships/hyperlink" Target="https://www.kegg.jp/entry/C00993" TargetMode="External"/><Relationship Id="rId1095" Type="http://schemas.openxmlformats.org/officeDocument/2006/relationships/hyperlink" Target="https://www.kegg.jp/entry/C18239" TargetMode="External"/><Relationship Id="rId142" Type="http://schemas.openxmlformats.org/officeDocument/2006/relationships/hyperlink" Target="https://www.kegg.jp/entry/C00179" TargetMode="External"/><Relationship Id="rId384" Type="http://schemas.openxmlformats.org/officeDocument/2006/relationships/hyperlink" Target="https://www.kegg.jp/entry/C00979" TargetMode="External"/><Relationship Id="rId1096" Type="http://schemas.openxmlformats.org/officeDocument/2006/relationships/hyperlink" Target="https://www.kegg.jp/entry/C18902" TargetMode="External"/><Relationship Id="rId141" Type="http://schemas.openxmlformats.org/officeDocument/2006/relationships/hyperlink" Target="https://www.kegg.jp/entry/C00178" TargetMode="External"/><Relationship Id="rId383" Type="http://schemas.openxmlformats.org/officeDocument/2006/relationships/hyperlink" Target="https://www.kegg.jp/entry/C00966" TargetMode="External"/><Relationship Id="rId1097" Type="http://schemas.openxmlformats.org/officeDocument/2006/relationships/hyperlink" Target="https://www.kegg.jp/entry/C19078" TargetMode="External"/><Relationship Id="rId140" Type="http://schemas.openxmlformats.org/officeDocument/2006/relationships/hyperlink" Target="https://www.kegg.jp/entry/C00173" TargetMode="External"/><Relationship Id="rId382" Type="http://schemas.openxmlformats.org/officeDocument/2006/relationships/hyperlink" Target="https://www.kegg.jp/entry/C00957" TargetMode="External"/><Relationship Id="rId1098" Type="http://schemas.openxmlformats.org/officeDocument/2006/relationships/hyperlink" Target="https://www.kegg.jp/entry/C19080" TargetMode="External"/><Relationship Id="rId5" Type="http://schemas.openxmlformats.org/officeDocument/2006/relationships/hyperlink" Target="https://www.kegg.jp/entry/C00005" TargetMode="External"/><Relationship Id="rId147" Type="http://schemas.openxmlformats.org/officeDocument/2006/relationships/hyperlink" Target="https://www.kegg.jp/entry/C00186" TargetMode="External"/><Relationship Id="rId389" Type="http://schemas.openxmlformats.org/officeDocument/2006/relationships/hyperlink" Target="https://www.kegg.jp/entry/C01000" TargetMode="External"/><Relationship Id="rId1099" Type="http://schemas.openxmlformats.org/officeDocument/2006/relationships/hyperlink" Target="https://www.kegg.jp/entry/C19085" TargetMode="External"/><Relationship Id="rId6" Type="http://schemas.openxmlformats.org/officeDocument/2006/relationships/hyperlink" Target="https://www.kegg.jp/entry/C00006" TargetMode="External"/><Relationship Id="rId146" Type="http://schemas.openxmlformats.org/officeDocument/2006/relationships/hyperlink" Target="https://www.kegg.jp/entry/C00185" TargetMode="External"/><Relationship Id="rId388" Type="http://schemas.openxmlformats.org/officeDocument/2006/relationships/hyperlink" Target="https://www.kegg.jp/entry/C00999" TargetMode="External"/><Relationship Id="rId7" Type="http://schemas.openxmlformats.org/officeDocument/2006/relationships/hyperlink" Target="https://www.kegg.jp/entry/C00007" TargetMode="External"/><Relationship Id="rId145" Type="http://schemas.openxmlformats.org/officeDocument/2006/relationships/hyperlink" Target="https://www.kegg.jp/entry/C00184" TargetMode="External"/><Relationship Id="rId387" Type="http://schemas.openxmlformats.org/officeDocument/2006/relationships/hyperlink" Target="https://www.kegg.jp/entry/C00997" TargetMode="External"/><Relationship Id="rId8" Type="http://schemas.openxmlformats.org/officeDocument/2006/relationships/hyperlink" Target="https://www.kegg.jp/entry/C00008" TargetMode="External"/><Relationship Id="rId144" Type="http://schemas.openxmlformats.org/officeDocument/2006/relationships/hyperlink" Target="https://www.kegg.jp/entry/C00183" TargetMode="External"/><Relationship Id="rId386" Type="http://schemas.openxmlformats.org/officeDocument/2006/relationships/hyperlink" Target="https://www.kegg.jp/entry/C00996" TargetMode="External"/><Relationship Id="rId381" Type="http://schemas.openxmlformats.org/officeDocument/2006/relationships/hyperlink" Target="https://www.kegg.jp/entry/C00954" TargetMode="External"/><Relationship Id="rId380" Type="http://schemas.openxmlformats.org/officeDocument/2006/relationships/hyperlink" Target="https://www.kegg.jp/entry/C00951" TargetMode="External"/><Relationship Id="rId139" Type="http://schemas.openxmlformats.org/officeDocument/2006/relationships/hyperlink" Target="https://www.kegg.jp/entry/C00170" TargetMode="External"/><Relationship Id="rId138" Type="http://schemas.openxmlformats.org/officeDocument/2006/relationships/hyperlink" Target="https://www.kegg.jp/entry/C00169" TargetMode="External"/><Relationship Id="rId137" Type="http://schemas.openxmlformats.org/officeDocument/2006/relationships/hyperlink" Target="https://www.kegg.jp/entry/C00166" TargetMode="External"/><Relationship Id="rId379" Type="http://schemas.openxmlformats.org/officeDocument/2006/relationships/hyperlink" Target="https://www.kegg.jp/entry/C00944" TargetMode="External"/><Relationship Id="rId1080" Type="http://schemas.openxmlformats.org/officeDocument/2006/relationships/hyperlink" Target="https://www.kegg.jp/entry/C16756" TargetMode="External"/><Relationship Id="rId1081" Type="http://schemas.openxmlformats.org/officeDocument/2006/relationships/hyperlink" Target="https://www.kegg.jp/entry/C16832" TargetMode="External"/><Relationship Id="rId1082" Type="http://schemas.openxmlformats.org/officeDocument/2006/relationships/hyperlink" Target="https://www.kegg.jp/entry/C16834" TargetMode="External"/><Relationship Id="rId1083" Type="http://schemas.openxmlformats.org/officeDocument/2006/relationships/hyperlink" Target="https://www.kegg.jp/entry/C16836" TargetMode="External"/><Relationship Id="rId132" Type="http://schemas.openxmlformats.org/officeDocument/2006/relationships/hyperlink" Target="https://www.kegg.jp/entry/C00160" TargetMode="External"/><Relationship Id="rId374" Type="http://schemas.openxmlformats.org/officeDocument/2006/relationships/hyperlink" Target="https://www.kegg.jp/entry/C00911" TargetMode="External"/><Relationship Id="rId1084" Type="http://schemas.openxmlformats.org/officeDocument/2006/relationships/hyperlink" Target="https://www.kegg.jp/entry/C16837" TargetMode="External"/><Relationship Id="rId131" Type="http://schemas.openxmlformats.org/officeDocument/2006/relationships/hyperlink" Target="https://www.kegg.jp/entry/C00158" TargetMode="External"/><Relationship Id="rId373" Type="http://schemas.openxmlformats.org/officeDocument/2006/relationships/hyperlink" Target="https://www.kegg.jp/entry/C00900" TargetMode="External"/><Relationship Id="rId1085" Type="http://schemas.openxmlformats.org/officeDocument/2006/relationships/hyperlink" Target="https://www.kegg.jp/entry/C17023" TargetMode="External"/><Relationship Id="rId130" Type="http://schemas.openxmlformats.org/officeDocument/2006/relationships/hyperlink" Target="https://www.kegg.jp/entry/C00155" TargetMode="External"/><Relationship Id="rId372" Type="http://schemas.openxmlformats.org/officeDocument/2006/relationships/hyperlink" Target="https://www.kegg.jp/entry/C00894" TargetMode="External"/><Relationship Id="rId1086" Type="http://schemas.openxmlformats.org/officeDocument/2006/relationships/hyperlink" Target="https://www.kegg.jp/entry/C17234" TargetMode="External"/><Relationship Id="rId371" Type="http://schemas.openxmlformats.org/officeDocument/2006/relationships/hyperlink" Target="https://www.kegg.jp/entry/C00886" TargetMode="External"/><Relationship Id="rId1087" Type="http://schemas.openxmlformats.org/officeDocument/2006/relationships/hyperlink" Target="https://www.kegg.jp/entry/C17322" TargetMode="External"/><Relationship Id="rId136" Type="http://schemas.openxmlformats.org/officeDocument/2006/relationships/hyperlink" Target="https://www.kegg.jp/entry/C00164" TargetMode="External"/><Relationship Id="rId378" Type="http://schemas.openxmlformats.org/officeDocument/2006/relationships/hyperlink" Target="https://www.kegg.jp/entry/C00931" TargetMode="External"/><Relationship Id="rId1088" Type="http://schemas.openxmlformats.org/officeDocument/2006/relationships/hyperlink" Target="https://www.kegg.jp/entry/C17324" TargetMode="External"/><Relationship Id="rId135" Type="http://schemas.openxmlformats.org/officeDocument/2006/relationships/hyperlink" Target="https://www.kegg.jp/entry/C00163" TargetMode="External"/><Relationship Id="rId377" Type="http://schemas.openxmlformats.org/officeDocument/2006/relationships/hyperlink" Target="https://www.kegg.jp/entry/C00924" TargetMode="External"/><Relationship Id="rId1089" Type="http://schemas.openxmlformats.org/officeDocument/2006/relationships/hyperlink" Target="https://www.kegg.jp/entry/C17509" TargetMode="External"/><Relationship Id="rId134" Type="http://schemas.openxmlformats.org/officeDocument/2006/relationships/hyperlink" Target="https://www.kegg.jp/entry/C00162" TargetMode="External"/><Relationship Id="rId376" Type="http://schemas.openxmlformats.org/officeDocument/2006/relationships/hyperlink" Target="https://www.kegg.jp/entry/C00923" TargetMode="External"/><Relationship Id="rId133" Type="http://schemas.openxmlformats.org/officeDocument/2006/relationships/hyperlink" Target="https://www.kegg.jp/entry/C00161" TargetMode="External"/><Relationship Id="rId375" Type="http://schemas.openxmlformats.org/officeDocument/2006/relationships/hyperlink" Target="https://www.kegg.jp/entry/C00921" TargetMode="External"/><Relationship Id="rId172" Type="http://schemas.openxmlformats.org/officeDocument/2006/relationships/hyperlink" Target="https://www.kegg.jp/entry/C00232" TargetMode="External"/><Relationship Id="rId171" Type="http://schemas.openxmlformats.org/officeDocument/2006/relationships/hyperlink" Target="https://www.kegg.jp/entry/C00231" TargetMode="External"/><Relationship Id="rId170" Type="http://schemas.openxmlformats.org/officeDocument/2006/relationships/hyperlink" Target="https://www.kegg.jp/entry/C00229" TargetMode="External"/><Relationship Id="rId165" Type="http://schemas.openxmlformats.org/officeDocument/2006/relationships/hyperlink" Target="https://www.kegg.jp/entry/C00221" TargetMode="External"/><Relationship Id="rId164" Type="http://schemas.openxmlformats.org/officeDocument/2006/relationships/hyperlink" Target="https://www.kegg.jp/entry/C00219" TargetMode="External"/><Relationship Id="rId163" Type="http://schemas.openxmlformats.org/officeDocument/2006/relationships/hyperlink" Target="https://www.kegg.jp/entry/C00218" TargetMode="External"/><Relationship Id="rId162" Type="http://schemas.openxmlformats.org/officeDocument/2006/relationships/hyperlink" Target="https://www.kegg.jp/entry/C00217" TargetMode="External"/><Relationship Id="rId169" Type="http://schemas.openxmlformats.org/officeDocument/2006/relationships/hyperlink" Target="https://www.kegg.jp/entry/C00227" TargetMode="External"/><Relationship Id="rId168" Type="http://schemas.openxmlformats.org/officeDocument/2006/relationships/hyperlink" Target="https://www.kegg.jp/entry/C00226" TargetMode="External"/><Relationship Id="rId167" Type="http://schemas.openxmlformats.org/officeDocument/2006/relationships/hyperlink" Target="https://www.kegg.jp/entry/C00224" TargetMode="External"/><Relationship Id="rId166" Type="http://schemas.openxmlformats.org/officeDocument/2006/relationships/hyperlink" Target="https://www.kegg.jp/entry/C00222" TargetMode="External"/><Relationship Id="rId161" Type="http://schemas.openxmlformats.org/officeDocument/2006/relationships/hyperlink" Target="https://www.kegg.jp/entry/C00215" TargetMode="External"/><Relationship Id="rId160" Type="http://schemas.openxmlformats.org/officeDocument/2006/relationships/hyperlink" Target="https://www.kegg.jp/entry/C00214" TargetMode="External"/><Relationship Id="rId159" Type="http://schemas.openxmlformats.org/officeDocument/2006/relationships/hyperlink" Target="https://www.kegg.jp/entry/C00213" TargetMode="External"/><Relationship Id="rId154" Type="http://schemas.openxmlformats.org/officeDocument/2006/relationships/hyperlink" Target="https://www.kegg.jp/entry/C00201" TargetMode="External"/><Relationship Id="rId396" Type="http://schemas.openxmlformats.org/officeDocument/2006/relationships/hyperlink" Target="https://www.kegg.jp/entry/C01077" TargetMode="External"/><Relationship Id="rId153" Type="http://schemas.openxmlformats.org/officeDocument/2006/relationships/hyperlink" Target="https://www.kegg.jp/entry/C00199" TargetMode="External"/><Relationship Id="rId395" Type="http://schemas.openxmlformats.org/officeDocument/2006/relationships/hyperlink" Target="https://www.kegg.jp/entry/C01063" TargetMode="External"/><Relationship Id="rId152" Type="http://schemas.openxmlformats.org/officeDocument/2006/relationships/hyperlink" Target="https://www.kegg.jp/entry/C00197" TargetMode="External"/><Relationship Id="rId394" Type="http://schemas.openxmlformats.org/officeDocument/2006/relationships/hyperlink" Target="https://www.kegg.jp/entry/C01051" TargetMode="External"/><Relationship Id="rId151" Type="http://schemas.openxmlformats.org/officeDocument/2006/relationships/hyperlink" Target="https://www.kegg.jp/entry/C00196" TargetMode="External"/><Relationship Id="rId393" Type="http://schemas.openxmlformats.org/officeDocument/2006/relationships/hyperlink" Target="https://www.kegg.jp/entry/C01050" TargetMode="External"/><Relationship Id="rId158" Type="http://schemas.openxmlformats.org/officeDocument/2006/relationships/hyperlink" Target="https://www.kegg.jp/entry/C00212" TargetMode="External"/><Relationship Id="rId157" Type="http://schemas.openxmlformats.org/officeDocument/2006/relationships/hyperlink" Target="https://www.kegg.jp/entry/C00208" TargetMode="External"/><Relationship Id="rId399" Type="http://schemas.openxmlformats.org/officeDocument/2006/relationships/hyperlink" Target="https://www.kegg.jp/entry/C01083" TargetMode="External"/><Relationship Id="rId156" Type="http://schemas.openxmlformats.org/officeDocument/2006/relationships/hyperlink" Target="https://www.kegg.jp/entry/C00206" TargetMode="External"/><Relationship Id="rId398" Type="http://schemas.openxmlformats.org/officeDocument/2006/relationships/hyperlink" Target="https://www.kegg.jp/entry/C01081" TargetMode="External"/><Relationship Id="rId155" Type="http://schemas.openxmlformats.org/officeDocument/2006/relationships/hyperlink" Target="https://www.kegg.jp/entry/C00203" TargetMode="External"/><Relationship Id="rId397" Type="http://schemas.openxmlformats.org/officeDocument/2006/relationships/hyperlink" Target="https://www.kegg.jp/entry/C01079" TargetMode="External"/><Relationship Id="rId808" Type="http://schemas.openxmlformats.org/officeDocument/2006/relationships/hyperlink" Target="https://www.kegg.jp/entry/C05748" TargetMode="External"/><Relationship Id="rId807" Type="http://schemas.openxmlformats.org/officeDocument/2006/relationships/hyperlink" Target="https://www.kegg.jp/entry/C05747" TargetMode="External"/><Relationship Id="rId806" Type="http://schemas.openxmlformats.org/officeDocument/2006/relationships/hyperlink" Target="https://www.kegg.jp/entry/C05746" TargetMode="External"/><Relationship Id="rId805" Type="http://schemas.openxmlformats.org/officeDocument/2006/relationships/hyperlink" Target="https://www.kegg.jp/entry/C05745" TargetMode="External"/><Relationship Id="rId809" Type="http://schemas.openxmlformats.org/officeDocument/2006/relationships/hyperlink" Target="https://www.kegg.jp/entry/C05749" TargetMode="External"/><Relationship Id="rId800" Type="http://schemas.openxmlformats.org/officeDocument/2006/relationships/hyperlink" Target="https://www.kegg.jp/entry/C05699" TargetMode="External"/><Relationship Id="rId804" Type="http://schemas.openxmlformats.org/officeDocument/2006/relationships/hyperlink" Target="https://www.kegg.jp/entry/C05744" TargetMode="External"/><Relationship Id="rId803" Type="http://schemas.openxmlformats.org/officeDocument/2006/relationships/hyperlink" Target="https://www.kegg.jp/entry/C05727" TargetMode="External"/><Relationship Id="rId802" Type="http://schemas.openxmlformats.org/officeDocument/2006/relationships/hyperlink" Target="https://www.kegg.jp/entry/C05726" TargetMode="External"/><Relationship Id="rId801" Type="http://schemas.openxmlformats.org/officeDocument/2006/relationships/hyperlink" Target="https://www.kegg.jp/entry/C05703" TargetMode="External"/><Relationship Id="rId40" Type="http://schemas.openxmlformats.org/officeDocument/2006/relationships/hyperlink" Target="https://www.kegg.jp/entry/C00044" TargetMode="External"/><Relationship Id="rId42" Type="http://schemas.openxmlformats.org/officeDocument/2006/relationships/hyperlink" Target="https://www.kegg.jp/entry/C00047" TargetMode="External"/><Relationship Id="rId41" Type="http://schemas.openxmlformats.org/officeDocument/2006/relationships/hyperlink" Target="https://www.kegg.jp/entry/C00046" TargetMode="External"/><Relationship Id="rId44" Type="http://schemas.openxmlformats.org/officeDocument/2006/relationships/hyperlink" Target="https://www.kegg.jp/entry/C00049" TargetMode="External"/><Relationship Id="rId43" Type="http://schemas.openxmlformats.org/officeDocument/2006/relationships/hyperlink" Target="https://www.kegg.jp/entry/C00048" TargetMode="External"/><Relationship Id="rId46" Type="http://schemas.openxmlformats.org/officeDocument/2006/relationships/hyperlink" Target="https://www.kegg.jp/entry/C00052" TargetMode="External"/><Relationship Id="rId45" Type="http://schemas.openxmlformats.org/officeDocument/2006/relationships/hyperlink" Target="https://www.kegg.jp/entry/C00051" TargetMode="External"/><Relationship Id="rId509" Type="http://schemas.openxmlformats.org/officeDocument/2006/relationships/hyperlink" Target="https://www.kegg.jp/entry/C02191" TargetMode="External"/><Relationship Id="rId508" Type="http://schemas.openxmlformats.org/officeDocument/2006/relationships/hyperlink" Target="https://www.kegg.jp/entry/C02188" TargetMode="External"/><Relationship Id="rId503" Type="http://schemas.openxmlformats.org/officeDocument/2006/relationships/hyperlink" Target="https://www.kegg.jp/entry/C02097" TargetMode="External"/><Relationship Id="rId745" Type="http://schemas.openxmlformats.org/officeDocument/2006/relationships/hyperlink" Target="https://www.kegg.jp/entry/C05264" TargetMode="External"/><Relationship Id="rId987" Type="http://schemas.openxmlformats.org/officeDocument/2006/relationships/hyperlink" Target="https://www.kegg.jp/entry/C15532" TargetMode="External"/><Relationship Id="rId502" Type="http://schemas.openxmlformats.org/officeDocument/2006/relationships/hyperlink" Target="https://www.kegg.jp/entry/C02090" TargetMode="External"/><Relationship Id="rId744" Type="http://schemas.openxmlformats.org/officeDocument/2006/relationships/hyperlink" Target="https://www.kegg.jp/entry/C05262" TargetMode="External"/><Relationship Id="rId986" Type="http://schemas.openxmlformats.org/officeDocument/2006/relationships/hyperlink" Target="https://www.kegg.jp/entry/C15527" TargetMode="External"/><Relationship Id="rId501" Type="http://schemas.openxmlformats.org/officeDocument/2006/relationships/hyperlink" Target="https://www.kegg.jp/entry/C02051" TargetMode="External"/><Relationship Id="rId743" Type="http://schemas.openxmlformats.org/officeDocument/2006/relationships/hyperlink" Target="https://www.kegg.jp/entry/C05260" TargetMode="External"/><Relationship Id="rId985" Type="http://schemas.openxmlformats.org/officeDocument/2006/relationships/hyperlink" Target="https://www.kegg.jp/entry/C15522" TargetMode="External"/><Relationship Id="rId500" Type="http://schemas.openxmlformats.org/officeDocument/2006/relationships/hyperlink" Target="https://www.kegg.jp/entry/C02047" TargetMode="External"/><Relationship Id="rId742" Type="http://schemas.openxmlformats.org/officeDocument/2006/relationships/hyperlink" Target="https://www.kegg.jp/entry/C05258" TargetMode="External"/><Relationship Id="rId984" Type="http://schemas.openxmlformats.org/officeDocument/2006/relationships/hyperlink" Target="https://www.kegg.jp/entry/C15498" TargetMode="External"/><Relationship Id="rId507" Type="http://schemas.openxmlformats.org/officeDocument/2006/relationships/hyperlink" Target="https://www.kegg.jp/entry/C02170" TargetMode="External"/><Relationship Id="rId749" Type="http://schemas.openxmlformats.org/officeDocument/2006/relationships/hyperlink" Target="https://www.kegg.jp/entry/C05271" TargetMode="External"/><Relationship Id="rId506" Type="http://schemas.openxmlformats.org/officeDocument/2006/relationships/hyperlink" Target="https://www.kegg.jp/entry/C02163" TargetMode="External"/><Relationship Id="rId748" Type="http://schemas.openxmlformats.org/officeDocument/2006/relationships/hyperlink" Target="https://www.kegg.jp/entry/C05269" TargetMode="External"/><Relationship Id="rId505" Type="http://schemas.openxmlformats.org/officeDocument/2006/relationships/hyperlink" Target="https://www.kegg.jp/entry/C02133" TargetMode="External"/><Relationship Id="rId747" Type="http://schemas.openxmlformats.org/officeDocument/2006/relationships/hyperlink" Target="https://www.kegg.jp/entry/C05268" TargetMode="External"/><Relationship Id="rId989" Type="http://schemas.openxmlformats.org/officeDocument/2006/relationships/hyperlink" Target="https://www.kegg.jp/entry/C15556" TargetMode="External"/><Relationship Id="rId504" Type="http://schemas.openxmlformats.org/officeDocument/2006/relationships/hyperlink" Target="https://www.kegg.jp/entry/C02128" TargetMode="External"/><Relationship Id="rId746" Type="http://schemas.openxmlformats.org/officeDocument/2006/relationships/hyperlink" Target="https://www.kegg.jp/entry/C05266" TargetMode="External"/><Relationship Id="rId988" Type="http://schemas.openxmlformats.org/officeDocument/2006/relationships/hyperlink" Target="https://www.kegg.jp/entry/C15547" TargetMode="External"/><Relationship Id="rId48" Type="http://schemas.openxmlformats.org/officeDocument/2006/relationships/hyperlink" Target="https://www.kegg.jp/entry/C00054" TargetMode="External"/><Relationship Id="rId47" Type="http://schemas.openxmlformats.org/officeDocument/2006/relationships/hyperlink" Target="https://www.kegg.jp/entry/C00053" TargetMode="External"/><Relationship Id="rId49" Type="http://schemas.openxmlformats.org/officeDocument/2006/relationships/hyperlink" Target="https://www.kegg.jp/entry/C00055" TargetMode="External"/><Relationship Id="rId741" Type="http://schemas.openxmlformats.org/officeDocument/2006/relationships/hyperlink" Target="https://www.kegg.jp/entry/C05223" TargetMode="External"/><Relationship Id="rId983" Type="http://schemas.openxmlformats.org/officeDocument/2006/relationships/hyperlink" Target="https://www.kegg.jp/entry/C14866" TargetMode="External"/><Relationship Id="rId740" Type="http://schemas.openxmlformats.org/officeDocument/2006/relationships/hyperlink" Target="https://www.kegg.jp/entry/C05199" TargetMode="External"/><Relationship Id="rId982" Type="http://schemas.openxmlformats.org/officeDocument/2006/relationships/hyperlink" Target="https://www.kegg.jp/entry/C14854" TargetMode="External"/><Relationship Id="rId981" Type="http://schemas.openxmlformats.org/officeDocument/2006/relationships/hyperlink" Target="https://www.kegg.jp/entry/C14853" TargetMode="External"/><Relationship Id="rId980" Type="http://schemas.openxmlformats.org/officeDocument/2006/relationships/hyperlink" Target="https://www.kegg.jp/entry/C14852" TargetMode="External"/><Relationship Id="rId31" Type="http://schemas.openxmlformats.org/officeDocument/2006/relationships/hyperlink" Target="https://www.kegg.jp/entry/C00033" TargetMode="External"/><Relationship Id="rId30" Type="http://schemas.openxmlformats.org/officeDocument/2006/relationships/hyperlink" Target="https://www.kegg.jp/entry/C00032" TargetMode="External"/><Relationship Id="rId33" Type="http://schemas.openxmlformats.org/officeDocument/2006/relationships/hyperlink" Target="https://www.kegg.jp/entry/C00036" TargetMode="External"/><Relationship Id="rId32" Type="http://schemas.openxmlformats.org/officeDocument/2006/relationships/hyperlink" Target="https://www.kegg.jp/entry/C00035" TargetMode="External"/><Relationship Id="rId35" Type="http://schemas.openxmlformats.org/officeDocument/2006/relationships/hyperlink" Target="https://www.kegg.jp/entry/C00039" TargetMode="External"/><Relationship Id="rId34" Type="http://schemas.openxmlformats.org/officeDocument/2006/relationships/hyperlink" Target="https://www.kegg.jp/entry/C00037" TargetMode="External"/><Relationship Id="rId739" Type="http://schemas.openxmlformats.org/officeDocument/2006/relationships/hyperlink" Target="https://www.kegg.jp/entry/C05198" TargetMode="External"/><Relationship Id="rId734" Type="http://schemas.openxmlformats.org/officeDocument/2006/relationships/hyperlink" Target="https://www.kegg.jp/entry/C05139" TargetMode="External"/><Relationship Id="rId976" Type="http://schemas.openxmlformats.org/officeDocument/2006/relationships/hyperlink" Target="https://www.kegg.jp/entry/C14826" TargetMode="External"/><Relationship Id="rId733" Type="http://schemas.openxmlformats.org/officeDocument/2006/relationships/hyperlink" Target="https://www.kegg.jp/entry/C05130" TargetMode="External"/><Relationship Id="rId975" Type="http://schemas.openxmlformats.org/officeDocument/2006/relationships/hyperlink" Target="https://www.kegg.jp/entry/C14825" TargetMode="External"/><Relationship Id="rId732" Type="http://schemas.openxmlformats.org/officeDocument/2006/relationships/hyperlink" Target="https://www.kegg.jp/entry/C05125" TargetMode="External"/><Relationship Id="rId974" Type="http://schemas.openxmlformats.org/officeDocument/2006/relationships/hyperlink" Target="https://www.kegg.jp/entry/C14818" TargetMode="External"/><Relationship Id="rId731" Type="http://schemas.openxmlformats.org/officeDocument/2006/relationships/hyperlink" Target="https://www.kegg.jp/entry/C05122" TargetMode="External"/><Relationship Id="rId973" Type="http://schemas.openxmlformats.org/officeDocument/2006/relationships/hyperlink" Target="https://www.kegg.jp/entry/C14814" TargetMode="External"/><Relationship Id="rId738" Type="http://schemas.openxmlformats.org/officeDocument/2006/relationships/hyperlink" Target="https://www.kegg.jp/entry/C05197" TargetMode="External"/><Relationship Id="rId737" Type="http://schemas.openxmlformats.org/officeDocument/2006/relationships/hyperlink" Target="https://www.kegg.jp/entry/C05196" TargetMode="External"/><Relationship Id="rId979" Type="http://schemas.openxmlformats.org/officeDocument/2006/relationships/hyperlink" Target="https://www.kegg.jp/entry/C14851" TargetMode="External"/><Relationship Id="rId736" Type="http://schemas.openxmlformats.org/officeDocument/2006/relationships/hyperlink" Target="https://www.kegg.jp/entry/C05167" TargetMode="External"/><Relationship Id="rId978" Type="http://schemas.openxmlformats.org/officeDocument/2006/relationships/hyperlink" Target="https://www.kegg.jp/entry/C14850" TargetMode="External"/><Relationship Id="rId735" Type="http://schemas.openxmlformats.org/officeDocument/2006/relationships/hyperlink" Target="https://www.kegg.jp/entry/C05141" TargetMode="External"/><Relationship Id="rId977" Type="http://schemas.openxmlformats.org/officeDocument/2006/relationships/hyperlink" Target="https://www.kegg.jp/entry/C14849" TargetMode="External"/><Relationship Id="rId37" Type="http://schemas.openxmlformats.org/officeDocument/2006/relationships/hyperlink" Target="https://www.kegg.jp/entry/C00041" TargetMode="External"/><Relationship Id="rId36" Type="http://schemas.openxmlformats.org/officeDocument/2006/relationships/hyperlink" Target="https://www.kegg.jp/entry/C00040" TargetMode="External"/><Relationship Id="rId39" Type="http://schemas.openxmlformats.org/officeDocument/2006/relationships/hyperlink" Target="https://www.kegg.jp/entry/C00043" TargetMode="External"/><Relationship Id="rId38" Type="http://schemas.openxmlformats.org/officeDocument/2006/relationships/hyperlink" Target="https://www.kegg.jp/entry/C00042" TargetMode="External"/><Relationship Id="rId730" Type="http://schemas.openxmlformats.org/officeDocument/2006/relationships/hyperlink" Target="https://www.kegg.jp/entry/C05116" TargetMode="External"/><Relationship Id="rId972" Type="http://schemas.openxmlformats.org/officeDocument/2006/relationships/hyperlink" Target="https://www.kegg.jp/entry/C14813" TargetMode="External"/><Relationship Id="rId971" Type="http://schemas.openxmlformats.org/officeDocument/2006/relationships/hyperlink" Target="https://www.kegg.jp/entry/C14802" TargetMode="External"/><Relationship Id="rId970" Type="http://schemas.openxmlformats.org/officeDocument/2006/relationships/hyperlink" Target="https://www.kegg.jp/entry/C14800" TargetMode="External"/><Relationship Id="rId1114" Type="http://schemas.openxmlformats.org/officeDocument/2006/relationships/hyperlink" Target="https://www.kegg.jp/entry/C19604" TargetMode="External"/><Relationship Id="rId1115" Type="http://schemas.openxmlformats.org/officeDocument/2006/relationships/hyperlink" Target="https://www.kegg.jp/entry/C19647" TargetMode="External"/><Relationship Id="rId20" Type="http://schemas.openxmlformats.org/officeDocument/2006/relationships/hyperlink" Target="https://www.kegg.jp/entry/C00021" TargetMode="External"/><Relationship Id="rId1116" Type="http://schemas.openxmlformats.org/officeDocument/2006/relationships/hyperlink" Target="https://www.kegg.jp/entry/C19673" TargetMode="External"/><Relationship Id="rId1117" Type="http://schemas.openxmlformats.org/officeDocument/2006/relationships/hyperlink" Target="https://www.kegg.jp/entry/C19722" TargetMode="External"/><Relationship Id="rId22" Type="http://schemas.openxmlformats.org/officeDocument/2006/relationships/hyperlink" Target="https://www.kegg.jp/entry/C00024" TargetMode="External"/><Relationship Id="rId1118" Type="http://schemas.openxmlformats.org/officeDocument/2006/relationships/hyperlink" Target="https://www.kegg.jp/entry/C19723" TargetMode="External"/><Relationship Id="rId21" Type="http://schemas.openxmlformats.org/officeDocument/2006/relationships/hyperlink" Target="https://www.kegg.jp/entry/C00022" TargetMode="External"/><Relationship Id="rId1119" Type="http://schemas.openxmlformats.org/officeDocument/2006/relationships/hyperlink" Target="https://www.kegg.jp/entry/C19769" TargetMode="External"/><Relationship Id="rId24" Type="http://schemas.openxmlformats.org/officeDocument/2006/relationships/hyperlink" Target="https://www.kegg.jp/entry/C00026" TargetMode="External"/><Relationship Id="rId23" Type="http://schemas.openxmlformats.org/officeDocument/2006/relationships/hyperlink" Target="https://www.kegg.jp/entry/C00025" TargetMode="External"/><Relationship Id="rId525" Type="http://schemas.openxmlformats.org/officeDocument/2006/relationships/hyperlink" Target="https://www.kegg.jp/entry/C02430" TargetMode="External"/><Relationship Id="rId767" Type="http://schemas.openxmlformats.org/officeDocument/2006/relationships/hyperlink" Target="https://www.kegg.jp/entry/C05382" TargetMode="External"/><Relationship Id="rId524" Type="http://schemas.openxmlformats.org/officeDocument/2006/relationships/hyperlink" Target="https://www.kegg.jp/entry/C02415" TargetMode="External"/><Relationship Id="rId766" Type="http://schemas.openxmlformats.org/officeDocument/2006/relationships/hyperlink" Target="https://www.kegg.jp/entry/C05381" TargetMode="External"/><Relationship Id="rId523" Type="http://schemas.openxmlformats.org/officeDocument/2006/relationships/hyperlink" Target="https://www.kegg.jp/entry/C02403" TargetMode="External"/><Relationship Id="rId765" Type="http://schemas.openxmlformats.org/officeDocument/2006/relationships/hyperlink" Target="https://www.kegg.jp/entry/C05378" TargetMode="External"/><Relationship Id="rId522" Type="http://schemas.openxmlformats.org/officeDocument/2006/relationships/hyperlink" Target="https://www.kegg.jp/entry/C02391" TargetMode="External"/><Relationship Id="rId764" Type="http://schemas.openxmlformats.org/officeDocument/2006/relationships/hyperlink" Target="https://www.kegg.jp/entry/C05361" TargetMode="External"/><Relationship Id="rId529" Type="http://schemas.openxmlformats.org/officeDocument/2006/relationships/hyperlink" Target="https://www.kegg.jp/entry/C02504" TargetMode="External"/><Relationship Id="rId528" Type="http://schemas.openxmlformats.org/officeDocument/2006/relationships/hyperlink" Target="https://www.kegg.jp/entry/C02501" TargetMode="External"/><Relationship Id="rId527" Type="http://schemas.openxmlformats.org/officeDocument/2006/relationships/hyperlink" Target="https://www.kegg.jp/entry/C02469" TargetMode="External"/><Relationship Id="rId769" Type="http://schemas.openxmlformats.org/officeDocument/2006/relationships/hyperlink" Target="https://www.kegg.jp/entry/C05404" TargetMode="External"/><Relationship Id="rId526" Type="http://schemas.openxmlformats.org/officeDocument/2006/relationships/hyperlink" Target="https://www.kegg.jp/entry/C02463" TargetMode="External"/><Relationship Id="rId768" Type="http://schemas.openxmlformats.org/officeDocument/2006/relationships/hyperlink" Target="https://www.kegg.jp/entry/C05402" TargetMode="External"/><Relationship Id="rId26" Type="http://schemas.openxmlformats.org/officeDocument/2006/relationships/hyperlink" Target="https://www.kegg.jp/entry/C00028" TargetMode="External"/><Relationship Id="rId25" Type="http://schemas.openxmlformats.org/officeDocument/2006/relationships/hyperlink" Target="https://www.kegg.jp/entry/C00027" TargetMode="External"/><Relationship Id="rId28" Type="http://schemas.openxmlformats.org/officeDocument/2006/relationships/hyperlink" Target="https://www.kegg.jp/entry/C00030" TargetMode="External"/><Relationship Id="rId27" Type="http://schemas.openxmlformats.org/officeDocument/2006/relationships/hyperlink" Target="https://www.kegg.jp/entry/C00029" TargetMode="External"/><Relationship Id="rId521" Type="http://schemas.openxmlformats.org/officeDocument/2006/relationships/hyperlink" Target="https://www.kegg.jp/entry/C02380" TargetMode="External"/><Relationship Id="rId763" Type="http://schemas.openxmlformats.org/officeDocument/2006/relationships/hyperlink" Target="https://www.kegg.jp/entry/C05359" TargetMode="External"/><Relationship Id="rId1110" Type="http://schemas.openxmlformats.org/officeDocument/2006/relationships/hyperlink" Target="https://www.kegg.jp/entry/C19585" TargetMode="External"/><Relationship Id="rId29" Type="http://schemas.openxmlformats.org/officeDocument/2006/relationships/hyperlink" Target="https://www.kegg.jp/entry/C00031" TargetMode="External"/><Relationship Id="rId520" Type="http://schemas.openxmlformats.org/officeDocument/2006/relationships/hyperlink" Target="https://www.kegg.jp/entry/C02356" TargetMode="External"/><Relationship Id="rId762" Type="http://schemas.openxmlformats.org/officeDocument/2006/relationships/hyperlink" Target="https://www.kegg.jp/entry/C05345" TargetMode="External"/><Relationship Id="rId1111" Type="http://schemas.openxmlformats.org/officeDocument/2006/relationships/hyperlink" Target="https://www.kegg.jp/entry/C19586" TargetMode="External"/><Relationship Id="rId761" Type="http://schemas.openxmlformats.org/officeDocument/2006/relationships/hyperlink" Target="https://www.kegg.jp/entry/C05336" TargetMode="External"/><Relationship Id="rId1112" Type="http://schemas.openxmlformats.org/officeDocument/2006/relationships/hyperlink" Target="https://www.kegg.jp/entry/C19594" TargetMode="External"/><Relationship Id="rId760" Type="http://schemas.openxmlformats.org/officeDocument/2006/relationships/hyperlink" Target="https://www.kegg.jp/entry/C05335" TargetMode="External"/><Relationship Id="rId1113" Type="http://schemas.openxmlformats.org/officeDocument/2006/relationships/hyperlink" Target="https://www.kegg.jp/entry/C19595" TargetMode="External"/><Relationship Id="rId1103" Type="http://schemas.openxmlformats.org/officeDocument/2006/relationships/hyperlink" Target="https://www.kegg.jp/entry/C19490" TargetMode="External"/><Relationship Id="rId1104" Type="http://schemas.openxmlformats.org/officeDocument/2006/relationships/hyperlink" Target="https://www.kegg.jp/entry/C19559" TargetMode="External"/><Relationship Id="rId1105" Type="http://schemas.openxmlformats.org/officeDocument/2006/relationships/hyperlink" Target="https://www.kegg.jp/entry/C19563" TargetMode="External"/><Relationship Id="rId1106" Type="http://schemas.openxmlformats.org/officeDocument/2006/relationships/hyperlink" Target="https://www.kegg.jp/entry/C19566" TargetMode="External"/><Relationship Id="rId11" Type="http://schemas.openxmlformats.org/officeDocument/2006/relationships/hyperlink" Target="https://www.kegg.jp/entry/C00011" TargetMode="External"/><Relationship Id="rId1107" Type="http://schemas.openxmlformats.org/officeDocument/2006/relationships/hyperlink" Target="https://www.kegg.jp/entry/C19574" TargetMode="External"/><Relationship Id="rId10" Type="http://schemas.openxmlformats.org/officeDocument/2006/relationships/hyperlink" Target="https://www.kegg.jp/entry/C00010" TargetMode="External"/><Relationship Id="rId1108" Type="http://schemas.openxmlformats.org/officeDocument/2006/relationships/hyperlink" Target="https://www.kegg.jp/entry/C19577" TargetMode="External"/><Relationship Id="rId13" Type="http://schemas.openxmlformats.org/officeDocument/2006/relationships/hyperlink" Target="https://www.kegg.jp/entry/C00014" TargetMode="External"/><Relationship Id="rId1109" Type="http://schemas.openxmlformats.org/officeDocument/2006/relationships/hyperlink" Target="https://www.kegg.jp/entry/C19580" TargetMode="External"/><Relationship Id="rId12" Type="http://schemas.openxmlformats.org/officeDocument/2006/relationships/hyperlink" Target="https://www.kegg.jp/entry/C00013" TargetMode="External"/><Relationship Id="rId519" Type="http://schemas.openxmlformats.org/officeDocument/2006/relationships/hyperlink" Target="https://www.kegg.jp/entry/C02342" TargetMode="External"/><Relationship Id="rId514" Type="http://schemas.openxmlformats.org/officeDocument/2006/relationships/hyperlink" Target="https://www.kegg.jp/entry/C02265" TargetMode="External"/><Relationship Id="rId756" Type="http://schemas.openxmlformats.org/officeDocument/2006/relationships/hyperlink" Target="https://www.kegg.jp/entry/C05298" TargetMode="External"/><Relationship Id="rId998" Type="http://schemas.openxmlformats.org/officeDocument/2006/relationships/hyperlink" Target="https://www.kegg.jp/entry/C15667" TargetMode="External"/><Relationship Id="rId513" Type="http://schemas.openxmlformats.org/officeDocument/2006/relationships/hyperlink" Target="https://www.kegg.jp/entry/C02232" TargetMode="External"/><Relationship Id="rId755" Type="http://schemas.openxmlformats.org/officeDocument/2006/relationships/hyperlink" Target="https://www.kegg.jp/entry/C05296" TargetMode="External"/><Relationship Id="rId997" Type="http://schemas.openxmlformats.org/officeDocument/2006/relationships/hyperlink" Target="https://www.kegg.jp/entry/C15653" TargetMode="External"/><Relationship Id="rId512" Type="http://schemas.openxmlformats.org/officeDocument/2006/relationships/hyperlink" Target="https://www.kegg.jp/entry/C02225" TargetMode="External"/><Relationship Id="rId754" Type="http://schemas.openxmlformats.org/officeDocument/2006/relationships/hyperlink" Target="https://www.kegg.jp/entry/C05291" TargetMode="External"/><Relationship Id="rId996" Type="http://schemas.openxmlformats.org/officeDocument/2006/relationships/hyperlink" Target="https://www.kegg.jp/entry/C15651" TargetMode="External"/><Relationship Id="rId511" Type="http://schemas.openxmlformats.org/officeDocument/2006/relationships/hyperlink" Target="https://www.kegg.jp/entry/C02218" TargetMode="External"/><Relationship Id="rId753" Type="http://schemas.openxmlformats.org/officeDocument/2006/relationships/hyperlink" Target="https://www.kegg.jp/entry/C05276" TargetMode="External"/><Relationship Id="rId995" Type="http://schemas.openxmlformats.org/officeDocument/2006/relationships/hyperlink" Target="https://www.kegg.jp/entry/C15650" TargetMode="External"/><Relationship Id="rId518" Type="http://schemas.openxmlformats.org/officeDocument/2006/relationships/hyperlink" Target="https://www.kegg.jp/entry/C02336" TargetMode="External"/><Relationship Id="rId517" Type="http://schemas.openxmlformats.org/officeDocument/2006/relationships/hyperlink" Target="https://www.kegg.jp/entry/C02323" TargetMode="External"/><Relationship Id="rId759" Type="http://schemas.openxmlformats.org/officeDocument/2006/relationships/hyperlink" Target="https://www.kegg.jp/entry/C05312" TargetMode="External"/><Relationship Id="rId516" Type="http://schemas.openxmlformats.org/officeDocument/2006/relationships/hyperlink" Target="https://www.kegg.jp/entry/C02297" TargetMode="External"/><Relationship Id="rId758" Type="http://schemas.openxmlformats.org/officeDocument/2006/relationships/hyperlink" Target="https://www.kegg.jp/entry/C05301" TargetMode="External"/><Relationship Id="rId515" Type="http://schemas.openxmlformats.org/officeDocument/2006/relationships/hyperlink" Target="https://www.kegg.jp/entry/C02291" TargetMode="External"/><Relationship Id="rId757" Type="http://schemas.openxmlformats.org/officeDocument/2006/relationships/hyperlink" Target="https://www.kegg.jp/entry/C05300" TargetMode="External"/><Relationship Id="rId999" Type="http://schemas.openxmlformats.org/officeDocument/2006/relationships/hyperlink" Target="https://www.kegg.jp/entry/C15809" TargetMode="External"/><Relationship Id="rId15" Type="http://schemas.openxmlformats.org/officeDocument/2006/relationships/hyperlink" Target="https://www.kegg.jp/entry/C00016" TargetMode="External"/><Relationship Id="rId990" Type="http://schemas.openxmlformats.org/officeDocument/2006/relationships/hyperlink" Target="https://www.kegg.jp/entry/C15586" TargetMode="External"/><Relationship Id="rId14" Type="http://schemas.openxmlformats.org/officeDocument/2006/relationships/hyperlink" Target="https://www.kegg.jp/entry/C00015" TargetMode="External"/><Relationship Id="rId17" Type="http://schemas.openxmlformats.org/officeDocument/2006/relationships/hyperlink" Target="https://www.kegg.jp/entry/C00018" TargetMode="External"/><Relationship Id="rId16" Type="http://schemas.openxmlformats.org/officeDocument/2006/relationships/hyperlink" Target="https://www.kegg.jp/entry/C00017" TargetMode="External"/><Relationship Id="rId19" Type="http://schemas.openxmlformats.org/officeDocument/2006/relationships/hyperlink" Target="https://www.kegg.jp/entry/C00020" TargetMode="External"/><Relationship Id="rId510" Type="http://schemas.openxmlformats.org/officeDocument/2006/relationships/hyperlink" Target="https://www.kegg.jp/entry/C02211" TargetMode="External"/><Relationship Id="rId752" Type="http://schemas.openxmlformats.org/officeDocument/2006/relationships/hyperlink" Target="https://www.kegg.jp/entry/C05275" TargetMode="External"/><Relationship Id="rId994" Type="http://schemas.openxmlformats.org/officeDocument/2006/relationships/hyperlink" Target="https://www.kegg.jp/entry/C15606" TargetMode="External"/><Relationship Id="rId18" Type="http://schemas.openxmlformats.org/officeDocument/2006/relationships/hyperlink" Target="https://www.kegg.jp/entry/C00019" TargetMode="External"/><Relationship Id="rId751" Type="http://schemas.openxmlformats.org/officeDocument/2006/relationships/hyperlink" Target="https://www.kegg.jp/entry/C05273" TargetMode="External"/><Relationship Id="rId993" Type="http://schemas.openxmlformats.org/officeDocument/2006/relationships/hyperlink" Target="https://www.kegg.jp/entry/C15603" TargetMode="External"/><Relationship Id="rId1100" Type="http://schemas.openxmlformats.org/officeDocument/2006/relationships/hyperlink" Target="https://www.kegg.jp/entry/C19459" TargetMode="External"/><Relationship Id="rId750" Type="http://schemas.openxmlformats.org/officeDocument/2006/relationships/hyperlink" Target="https://www.kegg.jp/entry/C05272" TargetMode="External"/><Relationship Id="rId992" Type="http://schemas.openxmlformats.org/officeDocument/2006/relationships/hyperlink" Target="https://www.kegg.jp/entry/C15602" TargetMode="External"/><Relationship Id="rId1101" Type="http://schemas.openxmlformats.org/officeDocument/2006/relationships/hyperlink" Target="https://www.kegg.jp/entry/C19488" TargetMode="External"/><Relationship Id="rId991" Type="http://schemas.openxmlformats.org/officeDocument/2006/relationships/hyperlink" Target="https://www.kegg.jp/entry/C15587" TargetMode="External"/><Relationship Id="rId1102" Type="http://schemas.openxmlformats.org/officeDocument/2006/relationships/hyperlink" Target="https://www.kegg.jp/entry/C19489" TargetMode="External"/><Relationship Id="rId84" Type="http://schemas.openxmlformats.org/officeDocument/2006/relationships/hyperlink" Target="https://www.kegg.jp/entry/C00097" TargetMode="External"/><Relationship Id="rId83" Type="http://schemas.openxmlformats.org/officeDocument/2006/relationships/hyperlink" Target="https://www.kegg.jp/entry/C00095" TargetMode="External"/><Relationship Id="rId86" Type="http://schemas.openxmlformats.org/officeDocument/2006/relationships/hyperlink" Target="https://www.kegg.jp/entry/C00100" TargetMode="External"/><Relationship Id="rId85" Type="http://schemas.openxmlformats.org/officeDocument/2006/relationships/hyperlink" Target="https://www.kegg.jp/entry/C00099" TargetMode="External"/><Relationship Id="rId88" Type="http://schemas.openxmlformats.org/officeDocument/2006/relationships/hyperlink" Target="https://www.kegg.jp/entry/C00103" TargetMode="External"/><Relationship Id="rId87" Type="http://schemas.openxmlformats.org/officeDocument/2006/relationships/hyperlink" Target="https://www.kegg.jp/entry/C00101" TargetMode="External"/><Relationship Id="rId89" Type="http://schemas.openxmlformats.org/officeDocument/2006/relationships/hyperlink" Target="https://www.kegg.jp/entry/C00104" TargetMode="External"/><Relationship Id="rId709" Type="http://schemas.openxmlformats.org/officeDocument/2006/relationships/hyperlink" Target="https://www.kegg.jp/entry/C04681" TargetMode="External"/><Relationship Id="rId708" Type="http://schemas.openxmlformats.org/officeDocument/2006/relationships/hyperlink" Target="https://www.kegg.jp/entry/C04677" TargetMode="External"/><Relationship Id="rId707" Type="http://schemas.openxmlformats.org/officeDocument/2006/relationships/hyperlink" Target="https://www.kegg.jp/entry/C04675" TargetMode="External"/><Relationship Id="rId949" Type="http://schemas.openxmlformats.org/officeDocument/2006/relationships/hyperlink" Target="https://www.kegg.jp/entry/C12739" TargetMode="External"/><Relationship Id="rId706" Type="http://schemas.openxmlformats.org/officeDocument/2006/relationships/hyperlink" Target="https://www.kegg.jp/entry/C04666" TargetMode="External"/><Relationship Id="rId948" Type="http://schemas.openxmlformats.org/officeDocument/2006/relationships/hyperlink" Target="https://www.kegg.jp/entry/C12650" TargetMode="External"/><Relationship Id="rId80" Type="http://schemas.openxmlformats.org/officeDocument/2006/relationships/hyperlink" Target="https://www.kegg.jp/entry/C00092" TargetMode="External"/><Relationship Id="rId82" Type="http://schemas.openxmlformats.org/officeDocument/2006/relationships/hyperlink" Target="https://www.kegg.jp/entry/C00094" TargetMode="External"/><Relationship Id="rId81" Type="http://schemas.openxmlformats.org/officeDocument/2006/relationships/hyperlink" Target="https://www.kegg.jp/entry/C00093" TargetMode="External"/><Relationship Id="rId701" Type="http://schemas.openxmlformats.org/officeDocument/2006/relationships/hyperlink" Target="https://www.kegg.jp/entry/C04620" TargetMode="External"/><Relationship Id="rId943" Type="http://schemas.openxmlformats.org/officeDocument/2006/relationships/hyperlink" Target="https://www.kegg.jp/entry/C11946" TargetMode="External"/><Relationship Id="rId700" Type="http://schemas.openxmlformats.org/officeDocument/2006/relationships/hyperlink" Target="https://www.kegg.jp/entry/C04619" TargetMode="External"/><Relationship Id="rId942" Type="http://schemas.openxmlformats.org/officeDocument/2006/relationships/hyperlink" Target="https://www.kegg.jp/entry/C11945" TargetMode="External"/><Relationship Id="rId941" Type="http://schemas.openxmlformats.org/officeDocument/2006/relationships/hyperlink" Target="https://www.kegg.jp/entry/C11924" TargetMode="External"/><Relationship Id="rId940" Type="http://schemas.openxmlformats.org/officeDocument/2006/relationships/hyperlink" Target="https://www.kegg.jp/entry/C11907" TargetMode="External"/><Relationship Id="rId705" Type="http://schemas.openxmlformats.org/officeDocument/2006/relationships/hyperlink" Target="https://www.kegg.jp/entry/C04646" TargetMode="External"/><Relationship Id="rId947" Type="http://schemas.openxmlformats.org/officeDocument/2006/relationships/hyperlink" Target="https://www.kegg.jp/entry/C12448" TargetMode="External"/><Relationship Id="rId704" Type="http://schemas.openxmlformats.org/officeDocument/2006/relationships/hyperlink" Target="https://www.kegg.jp/entry/C04640" TargetMode="External"/><Relationship Id="rId946" Type="http://schemas.openxmlformats.org/officeDocument/2006/relationships/hyperlink" Target="https://www.kegg.jp/entry/C12215" TargetMode="External"/><Relationship Id="rId703" Type="http://schemas.openxmlformats.org/officeDocument/2006/relationships/hyperlink" Target="https://www.kegg.jp/entry/C04633" TargetMode="External"/><Relationship Id="rId945" Type="http://schemas.openxmlformats.org/officeDocument/2006/relationships/hyperlink" Target="https://www.kegg.jp/entry/C12214" TargetMode="External"/><Relationship Id="rId702" Type="http://schemas.openxmlformats.org/officeDocument/2006/relationships/hyperlink" Target="https://www.kegg.jp/entry/C04631" TargetMode="External"/><Relationship Id="rId944" Type="http://schemas.openxmlformats.org/officeDocument/2006/relationships/hyperlink" Target="https://www.kegg.jp/entry/C11947" TargetMode="External"/><Relationship Id="rId73" Type="http://schemas.openxmlformats.org/officeDocument/2006/relationships/hyperlink" Target="https://www.kegg.jp/entry/C00084" TargetMode="External"/><Relationship Id="rId72" Type="http://schemas.openxmlformats.org/officeDocument/2006/relationships/hyperlink" Target="https://www.kegg.jp/entry/C00083" TargetMode="External"/><Relationship Id="rId75" Type="http://schemas.openxmlformats.org/officeDocument/2006/relationships/hyperlink" Target="https://www.kegg.jp/entry/C00086" TargetMode="External"/><Relationship Id="rId74" Type="http://schemas.openxmlformats.org/officeDocument/2006/relationships/hyperlink" Target="https://www.kegg.jp/entry/C00085" TargetMode="External"/><Relationship Id="rId77" Type="http://schemas.openxmlformats.org/officeDocument/2006/relationships/hyperlink" Target="https://www.kegg.jp/entry/C00088" TargetMode="External"/><Relationship Id="rId76" Type="http://schemas.openxmlformats.org/officeDocument/2006/relationships/hyperlink" Target="https://www.kegg.jp/entry/C00087" TargetMode="External"/><Relationship Id="rId79" Type="http://schemas.openxmlformats.org/officeDocument/2006/relationships/hyperlink" Target="https://www.kegg.jp/entry/C00091" TargetMode="External"/><Relationship Id="rId78" Type="http://schemas.openxmlformats.org/officeDocument/2006/relationships/hyperlink" Target="https://www.kegg.jp/entry/C00089" TargetMode="External"/><Relationship Id="rId939" Type="http://schemas.openxmlformats.org/officeDocument/2006/relationships/hyperlink" Target="https://www.kegg.jp/entry/C11838" TargetMode="External"/><Relationship Id="rId938" Type="http://schemas.openxmlformats.org/officeDocument/2006/relationships/hyperlink" Target="https://www.kegg.jp/entry/C11823" TargetMode="External"/><Relationship Id="rId937" Type="http://schemas.openxmlformats.org/officeDocument/2006/relationships/hyperlink" Target="https://www.kegg.jp/entry/C11811" TargetMode="External"/><Relationship Id="rId71" Type="http://schemas.openxmlformats.org/officeDocument/2006/relationships/hyperlink" Target="https://www.kegg.jp/entry/C00082" TargetMode="External"/><Relationship Id="rId70" Type="http://schemas.openxmlformats.org/officeDocument/2006/relationships/hyperlink" Target="https://www.kegg.jp/entry/C00081" TargetMode="External"/><Relationship Id="rId932" Type="http://schemas.openxmlformats.org/officeDocument/2006/relationships/hyperlink" Target="https://www.kegg.jp/entry/C11475" TargetMode="External"/><Relationship Id="rId931" Type="http://schemas.openxmlformats.org/officeDocument/2006/relationships/hyperlink" Target="https://www.kegg.jp/entry/C11453" TargetMode="External"/><Relationship Id="rId930" Type="http://schemas.openxmlformats.org/officeDocument/2006/relationships/hyperlink" Target="https://www.kegg.jp/entry/C11440" TargetMode="External"/><Relationship Id="rId936" Type="http://schemas.openxmlformats.org/officeDocument/2006/relationships/hyperlink" Target="https://www.kegg.jp/entry/C11785" TargetMode="External"/><Relationship Id="rId935" Type="http://schemas.openxmlformats.org/officeDocument/2006/relationships/hyperlink" Target="https://www.kegg.jp/entry/C11736" TargetMode="External"/><Relationship Id="rId934" Type="http://schemas.openxmlformats.org/officeDocument/2006/relationships/hyperlink" Target="https://www.kegg.jp/entry/C11735" TargetMode="External"/><Relationship Id="rId933" Type="http://schemas.openxmlformats.org/officeDocument/2006/relationships/hyperlink" Target="https://www.kegg.jp/entry/C11537" TargetMode="External"/><Relationship Id="rId62" Type="http://schemas.openxmlformats.org/officeDocument/2006/relationships/hyperlink" Target="https://www.kegg.jp/entry/C00071" TargetMode="External"/><Relationship Id="rId61" Type="http://schemas.openxmlformats.org/officeDocument/2006/relationships/hyperlink" Target="https://www.kegg.jp/entry/C00069" TargetMode="External"/><Relationship Id="rId64" Type="http://schemas.openxmlformats.org/officeDocument/2006/relationships/hyperlink" Target="https://www.kegg.jp/entry/C00074" TargetMode="External"/><Relationship Id="rId63" Type="http://schemas.openxmlformats.org/officeDocument/2006/relationships/hyperlink" Target="https://www.kegg.jp/entry/C00073" TargetMode="External"/><Relationship Id="rId66" Type="http://schemas.openxmlformats.org/officeDocument/2006/relationships/hyperlink" Target="https://www.kegg.jp/entry/C00077" TargetMode="External"/><Relationship Id="rId65" Type="http://schemas.openxmlformats.org/officeDocument/2006/relationships/hyperlink" Target="https://www.kegg.jp/entry/C00075" TargetMode="External"/><Relationship Id="rId68" Type="http://schemas.openxmlformats.org/officeDocument/2006/relationships/hyperlink" Target="https://www.kegg.jp/entry/C00079" TargetMode="External"/><Relationship Id="rId67" Type="http://schemas.openxmlformats.org/officeDocument/2006/relationships/hyperlink" Target="https://www.kegg.jp/entry/C00078" TargetMode="External"/><Relationship Id="rId729" Type="http://schemas.openxmlformats.org/officeDocument/2006/relationships/hyperlink" Target="https://www.kegg.jp/entry/C05102" TargetMode="External"/><Relationship Id="rId728" Type="http://schemas.openxmlformats.org/officeDocument/2006/relationships/hyperlink" Target="https://www.kegg.jp/entry/C05067" TargetMode="External"/><Relationship Id="rId60" Type="http://schemas.openxmlformats.org/officeDocument/2006/relationships/hyperlink" Target="https://www.kegg.jp/entry/C00068" TargetMode="External"/><Relationship Id="rId723" Type="http://schemas.openxmlformats.org/officeDocument/2006/relationships/hyperlink" Target="https://www.kegg.jp/entry/C04882" TargetMode="External"/><Relationship Id="rId965" Type="http://schemas.openxmlformats.org/officeDocument/2006/relationships/hyperlink" Target="https://www.kegg.jp/entry/C14778" TargetMode="External"/><Relationship Id="rId722" Type="http://schemas.openxmlformats.org/officeDocument/2006/relationships/hyperlink" Target="https://www.kegg.jp/entry/C04877" TargetMode="External"/><Relationship Id="rId964" Type="http://schemas.openxmlformats.org/officeDocument/2006/relationships/hyperlink" Target="https://www.kegg.jp/entry/C14771" TargetMode="External"/><Relationship Id="rId721" Type="http://schemas.openxmlformats.org/officeDocument/2006/relationships/hyperlink" Target="https://www.kegg.jp/entry/C04874" TargetMode="External"/><Relationship Id="rId963" Type="http://schemas.openxmlformats.org/officeDocument/2006/relationships/hyperlink" Target="https://www.kegg.jp/entry/C14770" TargetMode="External"/><Relationship Id="rId720" Type="http://schemas.openxmlformats.org/officeDocument/2006/relationships/hyperlink" Target="https://www.kegg.jp/entry/C04851" TargetMode="External"/><Relationship Id="rId962" Type="http://schemas.openxmlformats.org/officeDocument/2006/relationships/hyperlink" Target="https://www.kegg.jp/entry/C14769" TargetMode="External"/><Relationship Id="rId727" Type="http://schemas.openxmlformats.org/officeDocument/2006/relationships/hyperlink" Target="https://www.kegg.jp/entry/C05011" TargetMode="External"/><Relationship Id="rId969" Type="http://schemas.openxmlformats.org/officeDocument/2006/relationships/hyperlink" Target="https://www.kegg.jp/entry/C14787" TargetMode="External"/><Relationship Id="rId726" Type="http://schemas.openxmlformats.org/officeDocument/2006/relationships/hyperlink" Target="https://www.kegg.jp/entry/C04916" TargetMode="External"/><Relationship Id="rId968" Type="http://schemas.openxmlformats.org/officeDocument/2006/relationships/hyperlink" Target="https://www.kegg.jp/entry/C14786" TargetMode="External"/><Relationship Id="rId725" Type="http://schemas.openxmlformats.org/officeDocument/2006/relationships/hyperlink" Target="https://www.kegg.jp/entry/C04896" TargetMode="External"/><Relationship Id="rId967" Type="http://schemas.openxmlformats.org/officeDocument/2006/relationships/hyperlink" Target="https://www.kegg.jp/entry/C14782" TargetMode="External"/><Relationship Id="rId724" Type="http://schemas.openxmlformats.org/officeDocument/2006/relationships/hyperlink" Target="https://www.kegg.jp/entry/C04895" TargetMode="External"/><Relationship Id="rId966" Type="http://schemas.openxmlformats.org/officeDocument/2006/relationships/hyperlink" Target="https://www.kegg.jp/entry/C14781" TargetMode="External"/><Relationship Id="rId69" Type="http://schemas.openxmlformats.org/officeDocument/2006/relationships/hyperlink" Target="https://www.kegg.jp/entry/C00080" TargetMode="External"/><Relationship Id="rId961" Type="http://schemas.openxmlformats.org/officeDocument/2006/relationships/hyperlink" Target="https://www.kegg.jp/entry/C14768" TargetMode="External"/><Relationship Id="rId960" Type="http://schemas.openxmlformats.org/officeDocument/2006/relationships/hyperlink" Target="https://www.kegg.jp/entry/C14749" TargetMode="External"/><Relationship Id="rId51" Type="http://schemas.openxmlformats.org/officeDocument/2006/relationships/hyperlink" Target="https://www.kegg.jp/entry/C00059" TargetMode="External"/><Relationship Id="rId50" Type="http://schemas.openxmlformats.org/officeDocument/2006/relationships/hyperlink" Target="https://www.kegg.jp/entry/C00058" TargetMode="External"/><Relationship Id="rId53" Type="http://schemas.openxmlformats.org/officeDocument/2006/relationships/hyperlink" Target="https://www.kegg.jp/entry/C00061" TargetMode="External"/><Relationship Id="rId52" Type="http://schemas.openxmlformats.org/officeDocument/2006/relationships/hyperlink" Target="https://www.kegg.jp/entry/C00060" TargetMode="External"/><Relationship Id="rId55" Type="http://schemas.openxmlformats.org/officeDocument/2006/relationships/hyperlink" Target="https://www.kegg.jp/entry/C00063" TargetMode="External"/><Relationship Id="rId54" Type="http://schemas.openxmlformats.org/officeDocument/2006/relationships/hyperlink" Target="https://www.kegg.jp/entry/C00062" TargetMode="External"/><Relationship Id="rId57" Type="http://schemas.openxmlformats.org/officeDocument/2006/relationships/hyperlink" Target="https://www.kegg.jp/entry/C00065" TargetMode="External"/><Relationship Id="rId56" Type="http://schemas.openxmlformats.org/officeDocument/2006/relationships/hyperlink" Target="https://www.kegg.jp/entry/C00064" TargetMode="External"/><Relationship Id="rId719" Type="http://schemas.openxmlformats.org/officeDocument/2006/relationships/hyperlink" Target="https://www.kegg.jp/entry/C04823" TargetMode="External"/><Relationship Id="rId718" Type="http://schemas.openxmlformats.org/officeDocument/2006/relationships/hyperlink" Target="https://www.kegg.jp/entry/C04807" TargetMode="External"/><Relationship Id="rId717" Type="http://schemas.openxmlformats.org/officeDocument/2006/relationships/hyperlink" Target="https://www.kegg.jp/entry/C04752" TargetMode="External"/><Relationship Id="rId959" Type="http://schemas.openxmlformats.org/officeDocument/2006/relationships/hyperlink" Target="https://www.kegg.jp/entry/C14556" TargetMode="External"/><Relationship Id="rId712" Type="http://schemas.openxmlformats.org/officeDocument/2006/relationships/hyperlink" Target="https://www.kegg.jp/entry/C04702" TargetMode="External"/><Relationship Id="rId954" Type="http://schemas.openxmlformats.org/officeDocument/2006/relationships/hyperlink" Target="https://www.kegg.jp/entry/C14090" TargetMode="External"/><Relationship Id="rId711" Type="http://schemas.openxmlformats.org/officeDocument/2006/relationships/hyperlink" Target="https://www.kegg.jp/entry/C04691" TargetMode="External"/><Relationship Id="rId953" Type="http://schemas.openxmlformats.org/officeDocument/2006/relationships/hyperlink" Target="https://www.kegg.jp/entry/C14089" TargetMode="External"/><Relationship Id="rId710" Type="http://schemas.openxmlformats.org/officeDocument/2006/relationships/hyperlink" Target="https://www.kegg.jp/entry/C04688" TargetMode="External"/><Relationship Id="rId952" Type="http://schemas.openxmlformats.org/officeDocument/2006/relationships/hyperlink" Target="https://www.kegg.jp/entry/C14040" TargetMode="External"/><Relationship Id="rId951" Type="http://schemas.openxmlformats.org/officeDocument/2006/relationships/hyperlink" Target="https://www.kegg.jp/entry/C13747" TargetMode="External"/><Relationship Id="rId716" Type="http://schemas.openxmlformats.org/officeDocument/2006/relationships/hyperlink" Target="https://www.kegg.jp/entry/C04751" TargetMode="External"/><Relationship Id="rId958" Type="http://schemas.openxmlformats.org/officeDocument/2006/relationships/hyperlink" Target="https://www.kegg.jp/entry/C14463" TargetMode="External"/><Relationship Id="rId715" Type="http://schemas.openxmlformats.org/officeDocument/2006/relationships/hyperlink" Target="https://www.kegg.jp/entry/C04735" TargetMode="External"/><Relationship Id="rId957" Type="http://schemas.openxmlformats.org/officeDocument/2006/relationships/hyperlink" Target="https://www.kegg.jp/entry/C14145" TargetMode="External"/><Relationship Id="rId714" Type="http://schemas.openxmlformats.org/officeDocument/2006/relationships/hyperlink" Target="https://www.kegg.jp/entry/C04734" TargetMode="External"/><Relationship Id="rId956" Type="http://schemas.openxmlformats.org/officeDocument/2006/relationships/hyperlink" Target="https://www.kegg.jp/entry/C14144" TargetMode="External"/><Relationship Id="rId713" Type="http://schemas.openxmlformats.org/officeDocument/2006/relationships/hyperlink" Target="https://www.kegg.jp/entry/C04732" TargetMode="External"/><Relationship Id="rId955" Type="http://schemas.openxmlformats.org/officeDocument/2006/relationships/hyperlink" Target="https://www.kegg.jp/entry/C14099" TargetMode="External"/><Relationship Id="rId59" Type="http://schemas.openxmlformats.org/officeDocument/2006/relationships/hyperlink" Target="https://www.kegg.jp/entry/C00067" TargetMode="External"/><Relationship Id="rId58" Type="http://schemas.openxmlformats.org/officeDocument/2006/relationships/hyperlink" Target="https://www.kegg.jp/entry/C00066" TargetMode="External"/><Relationship Id="rId950" Type="http://schemas.openxmlformats.org/officeDocument/2006/relationships/hyperlink" Target="https://www.kegg.jp/entry/C13378" TargetMode="External"/><Relationship Id="rId590" Type="http://schemas.openxmlformats.org/officeDocument/2006/relationships/hyperlink" Target="https://www.kegg.jp/entry/C03227" TargetMode="External"/><Relationship Id="rId107" Type="http://schemas.openxmlformats.org/officeDocument/2006/relationships/hyperlink" Target="https://www.kegg.jp/entry/C00127" TargetMode="External"/><Relationship Id="rId349" Type="http://schemas.openxmlformats.org/officeDocument/2006/relationships/hyperlink" Target="https://www.kegg.jp/entry/C00793" TargetMode="External"/><Relationship Id="rId106" Type="http://schemas.openxmlformats.org/officeDocument/2006/relationships/hyperlink" Target="https://www.kegg.jp/entry/C00126" TargetMode="External"/><Relationship Id="rId348" Type="http://schemas.openxmlformats.org/officeDocument/2006/relationships/hyperlink" Target="https://www.kegg.jp/entry/C00792" TargetMode="External"/><Relationship Id="rId105" Type="http://schemas.openxmlformats.org/officeDocument/2006/relationships/hyperlink" Target="https://www.kegg.jp/entry/C00125" TargetMode="External"/><Relationship Id="rId347" Type="http://schemas.openxmlformats.org/officeDocument/2006/relationships/hyperlink" Target="https://www.kegg.jp/entry/C00787" TargetMode="External"/><Relationship Id="rId589" Type="http://schemas.openxmlformats.org/officeDocument/2006/relationships/hyperlink" Target="https://www.kegg.jp/entry/C03221" TargetMode="External"/><Relationship Id="rId104" Type="http://schemas.openxmlformats.org/officeDocument/2006/relationships/hyperlink" Target="https://www.kegg.jp/entry/C00123" TargetMode="External"/><Relationship Id="rId346" Type="http://schemas.openxmlformats.org/officeDocument/2006/relationships/hyperlink" Target="https://www.kegg.jp/entry/C00785" TargetMode="External"/><Relationship Id="rId588" Type="http://schemas.openxmlformats.org/officeDocument/2006/relationships/hyperlink" Target="https://www.kegg.jp/entry/C03175" TargetMode="External"/><Relationship Id="rId109" Type="http://schemas.openxmlformats.org/officeDocument/2006/relationships/hyperlink" Target="https://www.kegg.jp/entry/C00130" TargetMode="External"/><Relationship Id="rId1170" Type="http://schemas.openxmlformats.org/officeDocument/2006/relationships/hyperlink" Target="https://www.kegg.jp/entry/C21750" TargetMode="External"/><Relationship Id="rId108" Type="http://schemas.openxmlformats.org/officeDocument/2006/relationships/hyperlink" Target="https://www.kegg.jp/entry/C00129" TargetMode="External"/><Relationship Id="rId1171" Type="http://schemas.openxmlformats.org/officeDocument/2006/relationships/hyperlink" Target="https://www.kegg.jp/entry/C21751" TargetMode="External"/><Relationship Id="rId341" Type="http://schemas.openxmlformats.org/officeDocument/2006/relationships/hyperlink" Target="https://www.kegg.jp/entry/C00739" TargetMode="External"/><Relationship Id="rId583" Type="http://schemas.openxmlformats.org/officeDocument/2006/relationships/hyperlink" Target="https://www.kegg.jp/entry/C03161" TargetMode="External"/><Relationship Id="rId1172" Type="http://schemas.openxmlformats.org/officeDocument/2006/relationships/hyperlink" Target="https://www.kegg.jp/entry/C21811" TargetMode="External"/><Relationship Id="rId340" Type="http://schemas.openxmlformats.org/officeDocument/2006/relationships/hyperlink" Target="https://www.kegg.jp/entry/C00721" TargetMode="External"/><Relationship Id="rId582" Type="http://schemas.openxmlformats.org/officeDocument/2006/relationships/hyperlink" Target="https://www.kegg.jp/entry/C03160" TargetMode="External"/><Relationship Id="rId1173" Type="http://schemas.openxmlformats.org/officeDocument/2006/relationships/hyperlink" Target="https://www.kegg.jp/entry/C21812" TargetMode="External"/><Relationship Id="rId581" Type="http://schemas.openxmlformats.org/officeDocument/2006/relationships/hyperlink" Target="https://www.kegg.jp/entry/C03150" TargetMode="External"/><Relationship Id="rId1174" Type="http://schemas.openxmlformats.org/officeDocument/2006/relationships/hyperlink" Target="https://www.kegg.jp/entry/C22150" TargetMode="External"/><Relationship Id="rId580" Type="http://schemas.openxmlformats.org/officeDocument/2006/relationships/hyperlink" Target="https://www.kegg.jp/entry/C03127" TargetMode="External"/><Relationship Id="rId1175" Type="http://schemas.openxmlformats.org/officeDocument/2006/relationships/hyperlink" Target="https://www.kegg.jp/entry/C22151" TargetMode="External"/><Relationship Id="rId103" Type="http://schemas.openxmlformats.org/officeDocument/2006/relationships/hyperlink" Target="https://www.kegg.jp/entry/C00122" TargetMode="External"/><Relationship Id="rId345" Type="http://schemas.openxmlformats.org/officeDocument/2006/relationships/hyperlink" Target="https://www.kegg.jp/entry/C00777" TargetMode="External"/><Relationship Id="rId587" Type="http://schemas.openxmlformats.org/officeDocument/2006/relationships/hyperlink" Target="https://www.kegg.jp/entry/C03172" TargetMode="External"/><Relationship Id="rId1176" Type="http://schemas.openxmlformats.org/officeDocument/2006/relationships/hyperlink" Target="https://www.kegg.jp/entry/C22154" TargetMode="External"/><Relationship Id="rId102" Type="http://schemas.openxmlformats.org/officeDocument/2006/relationships/hyperlink" Target="https://www.kegg.jp/entry/C00121" TargetMode="External"/><Relationship Id="rId344" Type="http://schemas.openxmlformats.org/officeDocument/2006/relationships/hyperlink" Target="https://www.kegg.jp/entry/C00772" TargetMode="External"/><Relationship Id="rId586" Type="http://schemas.openxmlformats.org/officeDocument/2006/relationships/hyperlink" Target="https://www.kegg.jp/entry/C03170" TargetMode="External"/><Relationship Id="rId1177" Type="http://schemas.openxmlformats.org/officeDocument/2006/relationships/hyperlink" Target="https://www.kegg.jp/entry/C22155" TargetMode="External"/><Relationship Id="rId101" Type="http://schemas.openxmlformats.org/officeDocument/2006/relationships/hyperlink" Target="https://www.kegg.jp/entry/C00120" TargetMode="External"/><Relationship Id="rId343" Type="http://schemas.openxmlformats.org/officeDocument/2006/relationships/hyperlink" Target="https://www.kegg.jp/entry/C00756" TargetMode="External"/><Relationship Id="rId585" Type="http://schemas.openxmlformats.org/officeDocument/2006/relationships/hyperlink" Target="https://www.kegg.jp/entry/C03169" TargetMode="External"/><Relationship Id="rId1178" Type="http://schemas.openxmlformats.org/officeDocument/2006/relationships/hyperlink" Target="https://www.kegg.jp/entry/C22157" TargetMode="External"/><Relationship Id="rId100" Type="http://schemas.openxmlformats.org/officeDocument/2006/relationships/hyperlink" Target="https://www.kegg.jp/entry/C00119" TargetMode="External"/><Relationship Id="rId342" Type="http://schemas.openxmlformats.org/officeDocument/2006/relationships/hyperlink" Target="https://www.kegg.jp/entry/C00740" TargetMode="External"/><Relationship Id="rId584" Type="http://schemas.openxmlformats.org/officeDocument/2006/relationships/hyperlink" Target="https://www.kegg.jp/entry/C03167" TargetMode="External"/><Relationship Id="rId1179" Type="http://schemas.openxmlformats.org/officeDocument/2006/relationships/hyperlink" Target="https://www.kegg.jp/entry/C22158" TargetMode="External"/><Relationship Id="rId1169" Type="http://schemas.openxmlformats.org/officeDocument/2006/relationships/hyperlink" Target="https://www.kegg.jp/entry/C21749" TargetMode="External"/><Relationship Id="rId338" Type="http://schemas.openxmlformats.org/officeDocument/2006/relationships/hyperlink" Target="https://www.kegg.jp/entry/C00705" TargetMode="External"/><Relationship Id="rId337" Type="http://schemas.openxmlformats.org/officeDocument/2006/relationships/hyperlink" Target="https://www.kegg.jp/entry/C00704" TargetMode="External"/><Relationship Id="rId579" Type="http://schemas.openxmlformats.org/officeDocument/2006/relationships/hyperlink" Target="https://www.kegg.jp/entry/C03125" TargetMode="External"/><Relationship Id="rId336" Type="http://schemas.openxmlformats.org/officeDocument/2006/relationships/hyperlink" Target="https://www.kegg.jp/entry/C00700" TargetMode="External"/><Relationship Id="rId578" Type="http://schemas.openxmlformats.org/officeDocument/2006/relationships/hyperlink" Target="https://www.kegg.jp/entry/C03103" TargetMode="External"/><Relationship Id="rId335" Type="http://schemas.openxmlformats.org/officeDocument/2006/relationships/hyperlink" Target="https://www.kegg.jp/entry/C00695" TargetMode="External"/><Relationship Id="rId577" Type="http://schemas.openxmlformats.org/officeDocument/2006/relationships/hyperlink" Target="https://www.kegg.jp/entry/C03090" TargetMode="External"/><Relationship Id="rId339" Type="http://schemas.openxmlformats.org/officeDocument/2006/relationships/hyperlink" Target="https://www.kegg.jp/entry/C00718" TargetMode="External"/><Relationship Id="rId1160" Type="http://schemas.openxmlformats.org/officeDocument/2006/relationships/hyperlink" Target="https://www.kegg.jp/entry/C21031" TargetMode="External"/><Relationship Id="rId330" Type="http://schemas.openxmlformats.org/officeDocument/2006/relationships/hyperlink" Target="https://www.kegg.jp/entry/C00685" TargetMode="External"/><Relationship Id="rId572" Type="http://schemas.openxmlformats.org/officeDocument/2006/relationships/hyperlink" Target="https://www.kegg.jp/entry/C03028" TargetMode="External"/><Relationship Id="rId1161" Type="http://schemas.openxmlformats.org/officeDocument/2006/relationships/hyperlink" Target="https://www.kegg.jp/entry/C21064" TargetMode="External"/><Relationship Id="rId571" Type="http://schemas.openxmlformats.org/officeDocument/2006/relationships/hyperlink" Target="https://www.kegg.jp/entry/C03024" TargetMode="External"/><Relationship Id="rId1162" Type="http://schemas.openxmlformats.org/officeDocument/2006/relationships/hyperlink" Target="https://www.kegg.jp/entry/C21101" TargetMode="External"/><Relationship Id="rId570" Type="http://schemas.openxmlformats.org/officeDocument/2006/relationships/hyperlink" Target="https://www.kegg.jp/entry/C03023" TargetMode="External"/><Relationship Id="rId1163" Type="http://schemas.openxmlformats.org/officeDocument/2006/relationships/hyperlink" Target="https://www.kegg.jp/entry/C21182" TargetMode="External"/><Relationship Id="rId1164" Type="http://schemas.openxmlformats.org/officeDocument/2006/relationships/hyperlink" Target="https://www.kegg.jp/entry/C21284" TargetMode="External"/><Relationship Id="rId334" Type="http://schemas.openxmlformats.org/officeDocument/2006/relationships/hyperlink" Target="https://www.kegg.jp/entry/C00693" TargetMode="External"/><Relationship Id="rId576" Type="http://schemas.openxmlformats.org/officeDocument/2006/relationships/hyperlink" Target="https://www.kegg.jp/entry/C03089" TargetMode="External"/><Relationship Id="rId1165" Type="http://schemas.openxmlformats.org/officeDocument/2006/relationships/hyperlink" Target="https://www.kegg.jp/entry/C21310" TargetMode="External"/><Relationship Id="rId333" Type="http://schemas.openxmlformats.org/officeDocument/2006/relationships/hyperlink" Target="https://www.kegg.jp/entry/C00692" TargetMode="External"/><Relationship Id="rId575" Type="http://schemas.openxmlformats.org/officeDocument/2006/relationships/hyperlink" Target="https://www.kegg.jp/entry/C03082" TargetMode="External"/><Relationship Id="rId1166" Type="http://schemas.openxmlformats.org/officeDocument/2006/relationships/hyperlink" Target="https://www.kegg.jp/entry/C21440" TargetMode="External"/><Relationship Id="rId332" Type="http://schemas.openxmlformats.org/officeDocument/2006/relationships/hyperlink" Target="https://www.kegg.jp/entry/C00689" TargetMode="External"/><Relationship Id="rId574" Type="http://schemas.openxmlformats.org/officeDocument/2006/relationships/hyperlink" Target="https://www.kegg.jp/entry/C03069" TargetMode="External"/><Relationship Id="rId1167" Type="http://schemas.openxmlformats.org/officeDocument/2006/relationships/hyperlink" Target="https://www.kegg.jp/entry/C21747" TargetMode="External"/><Relationship Id="rId331" Type="http://schemas.openxmlformats.org/officeDocument/2006/relationships/hyperlink" Target="https://www.kegg.jp/entry/C00688" TargetMode="External"/><Relationship Id="rId573" Type="http://schemas.openxmlformats.org/officeDocument/2006/relationships/hyperlink" Target="https://www.kegg.jp/entry/C03044" TargetMode="External"/><Relationship Id="rId1168" Type="http://schemas.openxmlformats.org/officeDocument/2006/relationships/hyperlink" Target="https://www.kegg.jp/entry/C21748" TargetMode="External"/><Relationship Id="rId370" Type="http://schemas.openxmlformats.org/officeDocument/2006/relationships/hyperlink" Target="https://www.kegg.jp/entry/C00885" TargetMode="External"/><Relationship Id="rId129" Type="http://schemas.openxmlformats.org/officeDocument/2006/relationships/hyperlink" Target="https://www.kegg.jp/entry/C00154" TargetMode="External"/><Relationship Id="rId128" Type="http://schemas.openxmlformats.org/officeDocument/2006/relationships/hyperlink" Target="https://www.kegg.jp/entry/C00153" TargetMode="External"/><Relationship Id="rId127" Type="http://schemas.openxmlformats.org/officeDocument/2006/relationships/hyperlink" Target="https://www.kegg.jp/entry/C00152" TargetMode="External"/><Relationship Id="rId369" Type="http://schemas.openxmlformats.org/officeDocument/2006/relationships/hyperlink" Target="https://www.kegg.jp/entry/C00882" TargetMode="External"/><Relationship Id="rId126" Type="http://schemas.openxmlformats.org/officeDocument/2006/relationships/hyperlink" Target="https://www.kegg.jp/entry/C00151" TargetMode="External"/><Relationship Id="rId368" Type="http://schemas.openxmlformats.org/officeDocument/2006/relationships/hyperlink" Target="https://www.kegg.jp/entry/C00881" TargetMode="External"/><Relationship Id="rId1190" Type="http://schemas.openxmlformats.org/officeDocument/2006/relationships/hyperlink" Target="https://www.kegg.jp/entry/C22443" TargetMode="External"/><Relationship Id="rId1191" Type="http://schemas.openxmlformats.org/officeDocument/2006/relationships/hyperlink" Target="https://www.kegg.jp/entry/C22458" TargetMode="External"/><Relationship Id="rId1192" Type="http://schemas.openxmlformats.org/officeDocument/2006/relationships/hyperlink" Target="https://www.kegg.jp/entry/G00249" TargetMode="External"/><Relationship Id="rId1193" Type="http://schemas.openxmlformats.org/officeDocument/2006/relationships/hyperlink" Target="https://www.kegg.jp/entry/G00278" TargetMode="External"/><Relationship Id="rId121" Type="http://schemas.openxmlformats.org/officeDocument/2006/relationships/hyperlink" Target="https://www.kegg.jp/entry/C00144" TargetMode="External"/><Relationship Id="rId363" Type="http://schemas.openxmlformats.org/officeDocument/2006/relationships/hyperlink" Target="https://www.kegg.jp/entry/C00860" TargetMode="External"/><Relationship Id="rId1194" Type="http://schemas.openxmlformats.org/officeDocument/2006/relationships/hyperlink" Target="https://www.kegg.jp/entry/G00293" TargetMode="External"/><Relationship Id="rId120" Type="http://schemas.openxmlformats.org/officeDocument/2006/relationships/hyperlink" Target="https://www.kegg.jp/entry/C00143" TargetMode="External"/><Relationship Id="rId362" Type="http://schemas.openxmlformats.org/officeDocument/2006/relationships/hyperlink" Target="https://www.kegg.jp/entry/C00857" TargetMode="External"/><Relationship Id="rId1195" Type="http://schemas.openxmlformats.org/officeDocument/2006/relationships/hyperlink" Target="https://www.kegg.jp/entry/G00370" TargetMode="External"/><Relationship Id="rId361" Type="http://schemas.openxmlformats.org/officeDocument/2006/relationships/hyperlink" Target="https://www.kegg.jp/entry/C00853" TargetMode="External"/><Relationship Id="rId1196" Type="http://schemas.openxmlformats.org/officeDocument/2006/relationships/hyperlink" Target="https://www.kegg.jp/entry/G00501" TargetMode="External"/><Relationship Id="rId360" Type="http://schemas.openxmlformats.org/officeDocument/2006/relationships/hyperlink" Target="https://www.kegg.jp/entry/C00842" TargetMode="External"/><Relationship Id="rId1197" Type="http://schemas.openxmlformats.org/officeDocument/2006/relationships/hyperlink" Target="https://www.kegg.jp/entry/G01275" TargetMode="External"/><Relationship Id="rId125" Type="http://schemas.openxmlformats.org/officeDocument/2006/relationships/hyperlink" Target="https://www.kegg.jp/entry/C00149" TargetMode="External"/><Relationship Id="rId367" Type="http://schemas.openxmlformats.org/officeDocument/2006/relationships/hyperlink" Target="https://www.kegg.jp/entry/C00877" TargetMode="External"/><Relationship Id="rId1198" Type="http://schemas.openxmlformats.org/officeDocument/2006/relationships/hyperlink" Target="https://www.kegg.jp/entry/G01318" TargetMode="External"/><Relationship Id="rId124" Type="http://schemas.openxmlformats.org/officeDocument/2006/relationships/hyperlink" Target="https://www.kegg.jp/entry/C00148" TargetMode="External"/><Relationship Id="rId366" Type="http://schemas.openxmlformats.org/officeDocument/2006/relationships/hyperlink" Target="https://www.kegg.jp/entry/C00870" TargetMode="External"/><Relationship Id="rId1199" Type="http://schemas.openxmlformats.org/officeDocument/2006/relationships/hyperlink" Target="https://www.kegg.jp/entry/G09795" TargetMode="External"/><Relationship Id="rId123" Type="http://schemas.openxmlformats.org/officeDocument/2006/relationships/hyperlink" Target="https://www.kegg.jp/entry/C00147" TargetMode="External"/><Relationship Id="rId365" Type="http://schemas.openxmlformats.org/officeDocument/2006/relationships/hyperlink" Target="https://www.kegg.jp/entry/C00868" TargetMode="External"/><Relationship Id="rId122" Type="http://schemas.openxmlformats.org/officeDocument/2006/relationships/hyperlink" Target="https://www.kegg.jp/entry/C00145" TargetMode="External"/><Relationship Id="rId364" Type="http://schemas.openxmlformats.org/officeDocument/2006/relationships/hyperlink" Target="https://www.kegg.jp/entry/C00864" TargetMode="External"/><Relationship Id="rId95" Type="http://schemas.openxmlformats.org/officeDocument/2006/relationships/hyperlink" Target="https://www.kegg.jp/entry/C00112" TargetMode="External"/><Relationship Id="rId94" Type="http://schemas.openxmlformats.org/officeDocument/2006/relationships/hyperlink" Target="https://www.kegg.jp/entry/C00111" TargetMode="External"/><Relationship Id="rId97" Type="http://schemas.openxmlformats.org/officeDocument/2006/relationships/hyperlink" Target="https://www.kegg.jp/entry/C00116" TargetMode="External"/><Relationship Id="rId96" Type="http://schemas.openxmlformats.org/officeDocument/2006/relationships/hyperlink" Target="https://www.kegg.jp/entry/C00114" TargetMode="External"/><Relationship Id="rId99" Type="http://schemas.openxmlformats.org/officeDocument/2006/relationships/hyperlink" Target="https://www.kegg.jp/entry/C00118" TargetMode="External"/><Relationship Id="rId98" Type="http://schemas.openxmlformats.org/officeDocument/2006/relationships/hyperlink" Target="https://www.kegg.jp/entry/C00117" TargetMode="External"/><Relationship Id="rId91" Type="http://schemas.openxmlformats.org/officeDocument/2006/relationships/hyperlink" Target="https://www.kegg.jp/entry/C00106" TargetMode="External"/><Relationship Id="rId90" Type="http://schemas.openxmlformats.org/officeDocument/2006/relationships/hyperlink" Target="https://www.kegg.jp/entry/C00105" TargetMode="External"/><Relationship Id="rId93" Type="http://schemas.openxmlformats.org/officeDocument/2006/relationships/hyperlink" Target="https://www.kegg.jp/entry/C00109" TargetMode="External"/><Relationship Id="rId92" Type="http://schemas.openxmlformats.org/officeDocument/2006/relationships/hyperlink" Target="https://www.kegg.jp/entry/C00108" TargetMode="External"/><Relationship Id="rId118" Type="http://schemas.openxmlformats.org/officeDocument/2006/relationships/hyperlink" Target="https://www.kegg.jp/entry/C00140" TargetMode="External"/><Relationship Id="rId117" Type="http://schemas.openxmlformats.org/officeDocument/2006/relationships/hyperlink" Target="https://www.kegg.jp/entry/C00139" TargetMode="External"/><Relationship Id="rId359" Type="http://schemas.openxmlformats.org/officeDocument/2006/relationships/hyperlink" Target="https://www.kegg.jp/entry/C00831" TargetMode="External"/><Relationship Id="rId116" Type="http://schemas.openxmlformats.org/officeDocument/2006/relationships/hyperlink" Target="https://www.kegg.jp/entry/C00138" TargetMode="External"/><Relationship Id="rId358" Type="http://schemas.openxmlformats.org/officeDocument/2006/relationships/hyperlink" Target="https://www.kegg.jp/entry/C00829" TargetMode="External"/><Relationship Id="rId115" Type="http://schemas.openxmlformats.org/officeDocument/2006/relationships/hyperlink" Target="https://www.kegg.jp/entry/C00136" TargetMode="External"/><Relationship Id="rId357" Type="http://schemas.openxmlformats.org/officeDocument/2006/relationships/hyperlink" Target="https://www.kegg.jp/entry/C00826" TargetMode="External"/><Relationship Id="rId599" Type="http://schemas.openxmlformats.org/officeDocument/2006/relationships/hyperlink" Target="https://www.kegg.jp/entry/C03356" TargetMode="External"/><Relationship Id="rId1180" Type="http://schemas.openxmlformats.org/officeDocument/2006/relationships/hyperlink" Target="https://www.kegg.jp/entry/C22159" TargetMode="External"/><Relationship Id="rId1181" Type="http://schemas.openxmlformats.org/officeDocument/2006/relationships/hyperlink" Target="https://www.kegg.jp/entry/C22160" TargetMode="External"/><Relationship Id="rId119" Type="http://schemas.openxmlformats.org/officeDocument/2006/relationships/hyperlink" Target="https://www.kegg.jp/entry/C00141" TargetMode="External"/><Relationship Id="rId1182" Type="http://schemas.openxmlformats.org/officeDocument/2006/relationships/hyperlink" Target="https://www.kegg.jp/entry/C22173" TargetMode="External"/><Relationship Id="rId110" Type="http://schemas.openxmlformats.org/officeDocument/2006/relationships/hyperlink" Target="https://www.kegg.jp/entry/C00131" TargetMode="External"/><Relationship Id="rId352" Type="http://schemas.openxmlformats.org/officeDocument/2006/relationships/hyperlink" Target="https://www.kegg.jp/entry/C00810" TargetMode="External"/><Relationship Id="rId594" Type="http://schemas.openxmlformats.org/officeDocument/2006/relationships/hyperlink" Target="https://www.kegg.jp/entry/C03287" TargetMode="External"/><Relationship Id="rId1183" Type="http://schemas.openxmlformats.org/officeDocument/2006/relationships/hyperlink" Target="https://www.kegg.jp/entry/C22258" TargetMode="External"/><Relationship Id="rId351" Type="http://schemas.openxmlformats.org/officeDocument/2006/relationships/hyperlink" Target="https://www.kegg.jp/entry/C00804" TargetMode="External"/><Relationship Id="rId593" Type="http://schemas.openxmlformats.org/officeDocument/2006/relationships/hyperlink" Target="https://www.kegg.jp/entry/C03263" TargetMode="External"/><Relationship Id="rId1184" Type="http://schemas.openxmlformats.org/officeDocument/2006/relationships/hyperlink" Target="https://www.kegg.jp/entry/C22288" TargetMode="External"/><Relationship Id="rId350" Type="http://schemas.openxmlformats.org/officeDocument/2006/relationships/hyperlink" Target="https://www.kegg.jp/entry/C00797" TargetMode="External"/><Relationship Id="rId592" Type="http://schemas.openxmlformats.org/officeDocument/2006/relationships/hyperlink" Target="https://www.kegg.jp/entry/C03239" TargetMode="External"/><Relationship Id="rId1185" Type="http://schemas.openxmlformats.org/officeDocument/2006/relationships/hyperlink" Target="https://www.kegg.jp/entry/C22337" TargetMode="External"/><Relationship Id="rId591" Type="http://schemas.openxmlformats.org/officeDocument/2006/relationships/hyperlink" Target="https://www.kegg.jp/entry/C03232" TargetMode="External"/><Relationship Id="rId1186" Type="http://schemas.openxmlformats.org/officeDocument/2006/relationships/hyperlink" Target="https://www.kegg.jp/entry/C22395" TargetMode="External"/><Relationship Id="rId114" Type="http://schemas.openxmlformats.org/officeDocument/2006/relationships/hyperlink" Target="https://www.kegg.jp/entry/C00135" TargetMode="External"/><Relationship Id="rId356" Type="http://schemas.openxmlformats.org/officeDocument/2006/relationships/hyperlink" Target="https://www.kegg.jp/entry/C00821" TargetMode="External"/><Relationship Id="rId598" Type="http://schemas.openxmlformats.org/officeDocument/2006/relationships/hyperlink" Target="https://www.kegg.jp/entry/C03345" TargetMode="External"/><Relationship Id="rId1187" Type="http://schemas.openxmlformats.org/officeDocument/2006/relationships/hyperlink" Target="https://www.kegg.jp/entry/C22438" TargetMode="External"/><Relationship Id="rId113" Type="http://schemas.openxmlformats.org/officeDocument/2006/relationships/hyperlink" Target="https://www.kegg.jp/entry/C00134" TargetMode="External"/><Relationship Id="rId355" Type="http://schemas.openxmlformats.org/officeDocument/2006/relationships/hyperlink" Target="https://www.kegg.jp/entry/C00819" TargetMode="External"/><Relationship Id="rId597" Type="http://schemas.openxmlformats.org/officeDocument/2006/relationships/hyperlink" Target="https://www.kegg.jp/entry/C03344" TargetMode="External"/><Relationship Id="rId1188" Type="http://schemas.openxmlformats.org/officeDocument/2006/relationships/hyperlink" Target="https://www.kegg.jp/entry/C22441" TargetMode="External"/><Relationship Id="rId112" Type="http://schemas.openxmlformats.org/officeDocument/2006/relationships/hyperlink" Target="https://www.kegg.jp/entry/C00133" TargetMode="External"/><Relationship Id="rId354" Type="http://schemas.openxmlformats.org/officeDocument/2006/relationships/hyperlink" Target="https://www.kegg.jp/entry/C00818" TargetMode="External"/><Relationship Id="rId596" Type="http://schemas.openxmlformats.org/officeDocument/2006/relationships/hyperlink" Target="https://www.kegg.jp/entry/C03319" TargetMode="External"/><Relationship Id="rId1189" Type="http://schemas.openxmlformats.org/officeDocument/2006/relationships/hyperlink" Target="https://www.kegg.jp/entry/C22442" TargetMode="External"/><Relationship Id="rId111" Type="http://schemas.openxmlformats.org/officeDocument/2006/relationships/hyperlink" Target="https://www.kegg.jp/entry/C00132" TargetMode="External"/><Relationship Id="rId353" Type="http://schemas.openxmlformats.org/officeDocument/2006/relationships/hyperlink" Target="https://www.kegg.jp/entry/C00812" TargetMode="External"/><Relationship Id="rId595" Type="http://schemas.openxmlformats.org/officeDocument/2006/relationships/hyperlink" Target="https://www.kegg.jp/entry/C03294" TargetMode="External"/><Relationship Id="rId1136" Type="http://schemas.openxmlformats.org/officeDocument/2006/relationships/hyperlink" Target="https://www.kegg.jp/entry/C20376" TargetMode="External"/><Relationship Id="rId1137" Type="http://schemas.openxmlformats.org/officeDocument/2006/relationships/hyperlink" Target="https://www.kegg.jp/entry/C20377" TargetMode="External"/><Relationship Id="rId1138" Type="http://schemas.openxmlformats.org/officeDocument/2006/relationships/hyperlink" Target="https://www.kegg.jp/entry/C20378" TargetMode="External"/><Relationship Id="rId1139" Type="http://schemas.openxmlformats.org/officeDocument/2006/relationships/hyperlink" Target="https://www.kegg.jp/entry/C20446" TargetMode="External"/><Relationship Id="rId305" Type="http://schemas.openxmlformats.org/officeDocument/2006/relationships/hyperlink" Target="https://www.kegg.jp/entry/C00605" TargetMode="External"/><Relationship Id="rId547" Type="http://schemas.openxmlformats.org/officeDocument/2006/relationships/hyperlink" Target="https://www.kegg.jp/entry/C02739" TargetMode="External"/><Relationship Id="rId789" Type="http://schemas.openxmlformats.org/officeDocument/2006/relationships/hyperlink" Target="https://www.kegg.jp/entry/C05653" TargetMode="External"/><Relationship Id="rId304" Type="http://schemas.openxmlformats.org/officeDocument/2006/relationships/hyperlink" Target="https://www.kegg.jp/entry/C00585" TargetMode="External"/><Relationship Id="rId546" Type="http://schemas.openxmlformats.org/officeDocument/2006/relationships/hyperlink" Target="https://www.kegg.jp/entry/C02737" TargetMode="External"/><Relationship Id="rId788" Type="http://schemas.openxmlformats.org/officeDocument/2006/relationships/hyperlink" Target="https://www.kegg.jp/entry/C05651" TargetMode="External"/><Relationship Id="rId303" Type="http://schemas.openxmlformats.org/officeDocument/2006/relationships/hyperlink" Target="https://www.kegg.jp/entry/C00579" TargetMode="External"/><Relationship Id="rId545" Type="http://schemas.openxmlformats.org/officeDocument/2006/relationships/hyperlink" Target="https://www.kegg.jp/entry/C02730" TargetMode="External"/><Relationship Id="rId787" Type="http://schemas.openxmlformats.org/officeDocument/2006/relationships/hyperlink" Target="https://www.kegg.jp/entry/C05648" TargetMode="External"/><Relationship Id="rId302" Type="http://schemas.openxmlformats.org/officeDocument/2006/relationships/hyperlink" Target="https://www.kegg.jp/entry/C00577" TargetMode="External"/><Relationship Id="rId544" Type="http://schemas.openxmlformats.org/officeDocument/2006/relationships/hyperlink" Target="https://www.kegg.jp/entry/C02729" TargetMode="External"/><Relationship Id="rId786" Type="http://schemas.openxmlformats.org/officeDocument/2006/relationships/hyperlink" Target="https://www.kegg.jp/entry/C05643" TargetMode="External"/><Relationship Id="rId309" Type="http://schemas.openxmlformats.org/officeDocument/2006/relationships/hyperlink" Target="https://www.kegg.jp/entry/C00615" TargetMode="External"/><Relationship Id="rId308" Type="http://schemas.openxmlformats.org/officeDocument/2006/relationships/hyperlink" Target="https://www.kegg.jp/entry/C00614" TargetMode="External"/><Relationship Id="rId307" Type="http://schemas.openxmlformats.org/officeDocument/2006/relationships/hyperlink" Target="https://www.kegg.jp/entry/C00613" TargetMode="External"/><Relationship Id="rId549" Type="http://schemas.openxmlformats.org/officeDocument/2006/relationships/hyperlink" Target="https://www.kegg.jp/entry/C02743" TargetMode="External"/><Relationship Id="rId306" Type="http://schemas.openxmlformats.org/officeDocument/2006/relationships/hyperlink" Target="https://www.kegg.jp/entry/C00606" TargetMode="External"/><Relationship Id="rId548" Type="http://schemas.openxmlformats.org/officeDocument/2006/relationships/hyperlink" Target="https://www.kegg.jp/entry/C02741" TargetMode="External"/><Relationship Id="rId781" Type="http://schemas.openxmlformats.org/officeDocument/2006/relationships/hyperlink" Target="https://www.kegg.jp/entry/C05576" TargetMode="External"/><Relationship Id="rId780" Type="http://schemas.openxmlformats.org/officeDocument/2006/relationships/hyperlink" Target="https://www.kegg.jp/entry/C05551" TargetMode="External"/><Relationship Id="rId1130" Type="http://schemas.openxmlformats.org/officeDocument/2006/relationships/hyperlink" Target="https://www.kegg.jp/entry/C20248" TargetMode="External"/><Relationship Id="rId1131" Type="http://schemas.openxmlformats.org/officeDocument/2006/relationships/hyperlink" Target="https://www.kegg.jp/entry/C20258" TargetMode="External"/><Relationship Id="rId301" Type="http://schemas.openxmlformats.org/officeDocument/2006/relationships/hyperlink" Target="https://www.kegg.jp/entry/C00576" TargetMode="External"/><Relationship Id="rId543" Type="http://schemas.openxmlformats.org/officeDocument/2006/relationships/hyperlink" Target="https://www.kegg.jp/entry/C02714" TargetMode="External"/><Relationship Id="rId785" Type="http://schemas.openxmlformats.org/officeDocument/2006/relationships/hyperlink" Target="https://www.kegg.jp/entry/C05640" TargetMode="External"/><Relationship Id="rId1132" Type="http://schemas.openxmlformats.org/officeDocument/2006/relationships/hyperlink" Target="https://www.kegg.jp/entry/C20372" TargetMode="External"/><Relationship Id="rId300" Type="http://schemas.openxmlformats.org/officeDocument/2006/relationships/hyperlink" Target="https://www.kegg.jp/entry/C00568" TargetMode="External"/><Relationship Id="rId542" Type="http://schemas.openxmlformats.org/officeDocument/2006/relationships/hyperlink" Target="https://www.kegg.jp/entry/C02713" TargetMode="External"/><Relationship Id="rId784" Type="http://schemas.openxmlformats.org/officeDocument/2006/relationships/hyperlink" Target="https://www.kegg.jp/entry/C05635" TargetMode="External"/><Relationship Id="rId1133" Type="http://schemas.openxmlformats.org/officeDocument/2006/relationships/hyperlink" Target="https://www.kegg.jp/entry/C20373" TargetMode="External"/><Relationship Id="rId541" Type="http://schemas.openxmlformats.org/officeDocument/2006/relationships/hyperlink" Target="https://www.kegg.jp/entry/C02702" TargetMode="External"/><Relationship Id="rId783" Type="http://schemas.openxmlformats.org/officeDocument/2006/relationships/hyperlink" Target="https://www.kegg.jp/entry/C05634" TargetMode="External"/><Relationship Id="rId1134" Type="http://schemas.openxmlformats.org/officeDocument/2006/relationships/hyperlink" Target="https://www.kegg.jp/entry/C20374" TargetMode="External"/><Relationship Id="rId540" Type="http://schemas.openxmlformats.org/officeDocument/2006/relationships/hyperlink" Target="https://www.kegg.jp/entry/C02700" TargetMode="External"/><Relationship Id="rId782" Type="http://schemas.openxmlformats.org/officeDocument/2006/relationships/hyperlink" Target="https://www.kegg.jp/entry/C05577" TargetMode="External"/><Relationship Id="rId1135" Type="http://schemas.openxmlformats.org/officeDocument/2006/relationships/hyperlink" Target="https://www.kegg.jp/entry/C20375" TargetMode="External"/><Relationship Id="rId1125" Type="http://schemas.openxmlformats.org/officeDocument/2006/relationships/hyperlink" Target="https://www.kegg.jp/entry/C20226" TargetMode="External"/><Relationship Id="rId1126" Type="http://schemas.openxmlformats.org/officeDocument/2006/relationships/hyperlink" Target="https://www.kegg.jp/entry/C20227" TargetMode="External"/><Relationship Id="rId1127" Type="http://schemas.openxmlformats.org/officeDocument/2006/relationships/hyperlink" Target="https://www.kegg.jp/entry/C20239" TargetMode="External"/><Relationship Id="rId1128" Type="http://schemas.openxmlformats.org/officeDocument/2006/relationships/hyperlink" Target="https://www.kegg.jp/entry/C20246" TargetMode="External"/><Relationship Id="rId1129" Type="http://schemas.openxmlformats.org/officeDocument/2006/relationships/hyperlink" Target="https://www.kegg.jp/entry/C20247" TargetMode="External"/><Relationship Id="rId536" Type="http://schemas.openxmlformats.org/officeDocument/2006/relationships/hyperlink" Target="https://www.kegg.jp/entry/C02583" TargetMode="External"/><Relationship Id="rId778" Type="http://schemas.openxmlformats.org/officeDocument/2006/relationships/hyperlink" Target="https://www.kegg.jp/entry/C05527" TargetMode="External"/><Relationship Id="rId535" Type="http://schemas.openxmlformats.org/officeDocument/2006/relationships/hyperlink" Target="https://www.kegg.jp/entry/C02576" TargetMode="External"/><Relationship Id="rId777" Type="http://schemas.openxmlformats.org/officeDocument/2006/relationships/hyperlink" Target="https://www.kegg.jp/entry/C05526" TargetMode="External"/><Relationship Id="rId534" Type="http://schemas.openxmlformats.org/officeDocument/2006/relationships/hyperlink" Target="https://www.kegg.jp/entry/C02554" TargetMode="External"/><Relationship Id="rId776" Type="http://schemas.openxmlformats.org/officeDocument/2006/relationships/hyperlink" Target="https://www.kegg.jp/entry/C05512" TargetMode="External"/><Relationship Id="rId533" Type="http://schemas.openxmlformats.org/officeDocument/2006/relationships/hyperlink" Target="https://www.kegg.jp/entry/C02532" TargetMode="External"/><Relationship Id="rId775" Type="http://schemas.openxmlformats.org/officeDocument/2006/relationships/hyperlink" Target="https://www.kegg.jp/entry/C05466" TargetMode="External"/><Relationship Id="rId539" Type="http://schemas.openxmlformats.org/officeDocument/2006/relationships/hyperlink" Target="https://www.kegg.jp/entry/C02670" TargetMode="External"/><Relationship Id="rId538" Type="http://schemas.openxmlformats.org/officeDocument/2006/relationships/hyperlink" Target="https://www.kegg.jp/entry/C02637" TargetMode="External"/><Relationship Id="rId537" Type="http://schemas.openxmlformats.org/officeDocument/2006/relationships/hyperlink" Target="https://www.kegg.jp/entry/C02631" TargetMode="External"/><Relationship Id="rId779" Type="http://schemas.openxmlformats.org/officeDocument/2006/relationships/hyperlink" Target="https://www.kegg.jp/entry/C05528" TargetMode="External"/><Relationship Id="rId770" Type="http://schemas.openxmlformats.org/officeDocument/2006/relationships/hyperlink" Target="https://www.kegg.jp/entry/C05444" TargetMode="External"/><Relationship Id="rId1120" Type="http://schemas.openxmlformats.org/officeDocument/2006/relationships/hyperlink" Target="https://www.kegg.jp/entry/C19770" TargetMode="External"/><Relationship Id="rId532" Type="http://schemas.openxmlformats.org/officeDocument/2006/relationships/hyperlink" Target="https://www.kegg.jp/entry/C02528" TargetMode="External"/><Relationship Id="rId774" Type="http://schemas.openxmlformats.org/officeDocument/2006/relationships/hyperlink" Target="https://www.kegg.jp/entry/C05465" TargetMode="External"/><Relationship Id="rId1121" Type="http://schemas.openxmlformats.org/officeDocument/2006/relationships/hyperlink" Target="https://www.kegg.jp/entry/C19845" TargetMode="External"/><Relationship Id="rId531" Type="http://schemas.openxmlformats.org/officeDocument/2006/relationships/hyperlink" Target="https://www.kegg.jp/entry/C02527" TargetMode="External"/><Relationship Id="rId773" Type="http://schemas.openxmlformats.org/officeDocument/2006/relationships/hyperlink" Target="https://www.kegg.jp/entry/C05464" TargetMode="External"/><Relationship Id="rId1122" Type="http://schemas.openxmlformats.org/officeDocument/2006/relationships/hyperlink" Target="https://www.kegg.jp/entry/C19847" TargetMode="External"/><Relationship Id="rId530" Type="http://schemas.openxmlformats.org/officeDocument/2006/relationships/hyperlink" Target="https://www.kegg.jp/entry/C02520" TargetMode="External"/><Relationship Id="rId772" Type="http://schemas.openxmlformats.org/officeDocument/2006/relationships/hyperlink" Target="https://www.kegg.jp/entry/C05463" TargetMode="External"/><Relationship Id="rId1123" Type="http://schemas.openxmlformats.org/officeDocument/2006/relationships/hyperlink" Target="https://www.kegg.jp/entry/C19848" TargetMode="External"/><Relationship Id="rId771" Type="http://schemas.openxmlformats.org/officeDocument/2006/relationships/hyperlink" Target="https://www.kegg.jp/entry/C05445" TargetMode="External"/><Relationship Id="rId1124" Type="http://schemas.openxmlformats.org/officeDocument/2006/relationships/hyperlink" Target="https://www.kegg.jp/entry/C19871" TargetMode="External"/><Relationship Id="rId1158" Type="http://schemas.openxmlformats.org/officeDocument/2006/relationships/hyperlink" Target="https://www.kegg.jp/entry/C21017" TargetMode="External"/><Relationship Id="rId1159" Type="http://schemas.openxmlformats.org/officeDocument/2006/relationships/hyperlink" Target="https://www.kegg.jp/entry/C21018" TargetMode="External"/><Relationship Id="rId327" Type="http://schemas.openxmlformats.org/officeDocument/2006/relationships/hyperlink" Target="https://www.kegg.jp/entry/C00677" TargetMode="External"/><Relationship Id="rId569" Type="http://schemas.openxmlformats.org/officeDocument/2006/relationships/hyperlink" Target="https://www.kegg.jp/entry/C02999" TargetMode="External"/><Relationship Id="rId326" Type="http://schemas.openxmlformats.org/officeDocument/2006/relationships/hyperlink" Target="https://www.kegg.jp/entry/C00673" TargetMode="External"/><Relationship Id="rId568" Type="http://schemas.openxmlformats.org/officeDocument/2006/relationships/hyperlink" Target="https://www.kegg.jp/entry/C02992" TargetMode="External"/><Relationship Id="rId325" Type="http://schemas.openxmlformats.org/officeDocument/2006/relationships/hyperlink" Target="https://www.kegg.jp/entry/C00672" TargetMode="External"/><Relationship Id="rId567" Type="http://schemas.openxmlformats.org/officeDocument/2006/relationships/hyperlink" Target="https://www.kegg.jp/entry/C02988" TargetMode="External"/><Relationship Id="rId324" Type="http://schemas.openxmlformats.org/officeDocument/2006/relationships/hyperlink" Target="https://www.kegg.jp/entry/C00671" TargetMode="External"/><Relationship Id="rId566" Type="http://schemas.openxmlformats.org/officeDocument/2006/relationships/hyperlink" Target="https://www.kegg.jp/entry/C02987" TargetMode="External"/><Relationship Id="rId329" Type="http://schemas.openxmlformats.org/officeDocument/2006/relationships/hyperlink" Target="https://www.kegg.jp/entry/C00681" TargetMode="External"/><Relationship Id="rId328" Type="http://schemas.openxmlformats.org/officeDocument/2006/relationships/hyperlink" Target="https://www.kegg.jp/entry/C00680" TargetMode="External"/><Relationship Id="rId561" Type="http://schemas.openxmlformats.org/officeDocument/2006/relationships/hyperlink" Target="https://www.kegg.jp/entry/C02946" TargetMode="External"/><Relationship Id="rId1150" Type="http://schemas.openxmlformats.org/officeDocument/2006/relationships/hyperlink" Target="https://www.kegg.jp/entry/C20796" TargetMode="External"/><Relationship Id="rId560" Type="http://schemas.openxmlformats.org/officeDocument/2006/relationships/hyperlink" Target="https://www.kegg.jp/entry/C02909" TargetMode="External"/><Relationship Id="rId1151" Type="http://schemas.openxmlformats.org/officeDocument/2006/relationships/hyperlink" Target="https://www.kegg.jp/entry/C20858" TargetMode="External"/><Relationship Id="rId1152" Type="http://schemas.openxmlformats.org/officeDocument/2006/relationships/hyperlink" Target="https://www.kegg.jp/entry/C20864" TargetMode="External"/><Relationship Id="rId1153" Type="http://schemas.openxmlformats.org/officeDocument/2006/relationships/hyperlink" Target="https://www.kegg.jp/entry/C20904" TargetMode="External"/><Relationship Id="rId323" Type="http://schemas.openxmlformats.org/officeDocument/2006/relationships/hyperlink" Target="https://www.kegg.jp/entry/C00668" TargetMode="External"/><Relationship Id="rId565" Type="http://schemas.openxmlformats.org/officeDocument/2006/relationships/hyperlink" Target="https://www.kegg.jp/entry/C02984" TargetMode="External"/><Relationship Id="rId1154" Type="http://schemas.openxmlformats.org/officeDocument/2006/relationships/hyperlink" Target="https://www.kegg.jp/entry/C20905" TargetMode="External"/><Relationship Id="rId322" Type="http://schemas.openxmlformats.org/officeDocument/2006/relationships/hyperlink" Target="https://www.kegg.jp/entry/C00666" TargetMode="External"/><Relationship Id="rId564" Type="http://schemas.openxmlformats.org/officeDocument/2006/relationships/hyperlink" Target="https://www.kegg.jp/entry/C02972" TargetMode="External"/><Relationship Id="rId1155" Type="http://schemas.openxmlformats.org/officeDocument/2006/relationships/hyperlink" Target="https://www.kegg.jp/entry/C20959" TargetMode="External"/><Relationship Id="rId321" Type="http://schemas.openxmlformats.org/officeDocument/2006/relationships/hyperlink" Target="https://www.kegg.jp/entry/C00658" TargetMode="External"/><Relationship Id="rId563" Type="http://schemas.openxmlformats.org/officeDocument/2006/relationships/hyperlink" Target="https://www.kegg.jp/entry/C02962" TargetMode="External"/><Relationship Id="rId1156" Type="http://schemas.openxmlformats.org/officeDocument/2006/relationships/hyperlink" Target="https://www.kegg.jp/entry/C20960" TargetMode="External"/><Relationship Id="rId320" Type="http://schemas.openxmlformats.org/officeDocument/2006/relationships/hyperlink" Target="https://www.kegg.jp/entry/C00655" TargetMode="External"/><Relationship Id="rId562" Type="http://schemas.openxmlformats.org/officeDocument/2006/relationships/hyperlink" Target="https://www.kegg.jp/entry/C02953" TargetMode="External"/><Relationship Id="rId1157" Type="http://schemas.openxmlformats.org/officeDocument/2006/relationships/hyperlink" Target="https://www.kegg.jp/entry/C20969" TargetMode="External"/><Relationship Id="rId1147" Type="http://schemas.openxmlformats.org/officeDocument/2006/relationships/hyperlink" Target="https://www.kegg.jp/entry/C20751" TargetMode="External"/><Relationship Id="rId1148" Type="http://schemas.openxmlformats.org/officeDocument/2006/relationships/hyperlink" Target="https://www.kegg.jp/entry/C20753" TargetMode="External"/><Relationship Id="rId1149" Type="http://schemas.openxmlformats.org/officeDocument/2006/relationships/hyperlink" Target="https://www.kegg.jp/entry/C20755" TargetMode="External"/><Relationship Id="rId316" Type="http://schemas.openxmlformats.org/officeDocument/2006/relationships/hyperlink" Target="https://www.kegg.jp/entry/C00640" TargetMode="External"/><Relationship Id="rId558" Type="http://schemas.openxmlformats.org/officeDocument/2006/relationships/hyperlink" Target="https://www.kegg.jp/entry/C02876" TargetMode="External"/><Relationship Id="rId315" Type="http://schemas.openxmlformats.org/officeDocument/2006/relationships/hyperlink" Target="https://www.kegg.jp/entry/C00638" TargetMode="External"/><Relationship Id="rId557" Type="http://schemas.openxmlformats.org/officeDocument/2006/relationships/hyperlink" Target="https://www.kegg.jp/entry/C02869" TargetMode="External"/><Relationship Id="rId799" Type="http://schemas.openxmlformats.org/officeDocument/2006/relationships/hyperlink" Target="https://www.kegg.jp/entry/C05698" TargetMode="External"/><Relationship Id="rId314" Type="http://schemas.openxmlformats.org/officeDocument/2006/relationships/hyperlink" Target="https://www.kegg.jp/entry/C00637" TargetMode="External"/><Relationship Id="rId556" Type="http://schemas.openxmlformats.org/officeDocument/2006/relationships/hyperlink" Target="https://www.kegg.jp/entry/C02850" TargetMode="External"/><Relationship Id="rId798" Type="http://schemas.openxmlformats.org/officeDocument/2006/relationships/hyperlink" Target="https://www.kegg.jp/entry/C05697" TargetMode="External"/><Relationship Id="rId313" Type="http://schemas.openxmlformats.org/officeDocument/2006/relationships/hyperlink" Target="https://www.kegg.jp/entry/C00632" TargetMode="External"/><Relationship Id="rId555" Type="http://schemas.openxmlformats.org/officeDocument/2006/relationships/hyperlink" Target="https://www.kegg.jp/entry/C02843" TargetMode="External"/><Relationship Id="rId797" Type="http://schemas.openxmlformats.org/officeDocument/2006/relationships/hyperlink" Target="https://www.kegg.jp/entry/C05696" TargetMode="External"/><Relationship Id="rId319" Type="http://schemas.openxmlformats.org/officeDocument/2006/relationships/hyperlink" Target="https://www.kegg.jp/entry/C00653" TargetMode="External"/><Relationship Id="rId318" Type="http://schemas.openxmlformats.org/officeDocument/2006/relationships/hyperlink" Target="https://www.kegg.jp/entry/C00645" TargetMode="External"/><Relationship Id="rId317" Type="http://schemas.openxmlformats.org/officeDocument/2006/relationships/hyperlink" Target="https://www.kegg.jp/entry/C00641" TargetMode="External"/><Relationship Id="rId559" Type="http://schemas.openxmlformats.org/officeDocument/2006/relationships/hyperlink" Target="https://www.kegg.jp/entry/C02882" TargetMode="External"/><Relationship Id="rId550" Type="http://schemas.openxmlformats.org/officeDocument/2006/relationships/hyperlink" Target="https://www.kegg.jp/entry/C02745" TargetMode="External"/><Relationship Id="rId792" Type="http://schemas.openxmlformats.org/officeDocument/2006/relationships/hyperlink" Target="https://www.kegg.jp/entry/C05684" TargetMode="External"/><Relationship Id="rId791" Type="http://schemas.openxmlformats.org/officeDocument/2006/relationships/hyperlink" Target="https://www.kegg.jp/entry/C05668" TargetMode="External"/><Relationship Id="rId1140" Type="http://schemas.openxmlformats.org/officeDocument/2006/relationships/hyperlink" Target="https://www.kegg.jp/entry/C20451" TargetMode="External"/><Relationship Id="rId790" Type="http://schemas.openxmlformats.org/officeDocument/2006/relationships/hyperlink" Target="https://www.kegg.jp/entry/C05665" TargetMode="External"/><Relationship Id="rId1141" Type="http://schemas.openxmlformats.org/officeDocument/2006/relationships/hyperlink" Target="https://www.kegg.jp/entry/C20463" TargetMode="External"/><Relationship Id="rId1142" Type="http://schemas.openxmlformats.org/officeDocument/2006/relationships/hyperlink" Target="https://www.kegg.jp/entry/C20565" TargetMode="External"/><Relationship Id="rId312" Type="http://schemas.openxmlformats.org/officeDocument/2006/relationships/hyperlink" Target="https://www.kegg.jp/entry/C00631" TargetMode="External"/><Relationship Id="rId554" Type="http://schemas.openxmlformats.org/officeDocument/2006/relationships/hyperlink" Target="https://www.kegg.jp/entry/C02839" TargetMode="External"/><Relationship Id="rId796" Type="http://schemas.openxmlformats.org/officeDocument/2006/relationships/hyperlink" Target="https://www.kegg.jp/entry/C05691" TargetMode="External"/><Relationship Id="rId1143" Type="http://schemas.openxmlformats.org/officeDocument/2006/relationships/hyperlink" Target="https://www.kegg.jp/entry/C20641" TargetMode="External"/><Relationship Id="rId311" Type="http://schemas.openxmlformats.org/officeDocument/2006/relationships/hyperlink" Target="https://www.kegg.jp/entry/C00624" TargetMode="External"/><Relationship Id="rId553" Type="http://schemas.openxmlformats.org/officeDocument/2006/relationships/hyperlink" Target="https://www.kegg.jp/entry/C02835" TargetMode="External"/><Relationship Id="rId795" Type="http://schemas.openxmlformats.org/officeDocument/2006/relationships/hyperlink" Target="https://www.kegg.jp/entry/C05689" TargetMode="External"/><Relationship Id="rId1144" Type="http://schemas.openxmlformats.org/officeDocument/2006/relationships/hyperlink" Target="https://www.kegg.jp/entry/C20648" TargetMode="External"/><Relationship Id="rId310" Type="http://schemas.openxmlformats.org/officeDocument/2006/relationships/hyperlink" Target="https://www.kegg.jp/entry/C00620" TargetMode="External"/><Relationship Id="rId552" Type="http://schemas.openxmlformats.org/officeDocument/2006/relationships/hyperlink" Target="https://www.kegg.jp/entry/C02764" TargetMode="External"/><Relationship Id="rId794" Type="http://schemas.openxmlformats.org/officeDocument/2006/relationships/hyperlink" Target="https://www.kegg.jp/entry/C05688" TargetMode="External"/><Relationship Id="rId1145" Type="http://schemas.openxmlformats.org/officeDocument/2006/relationships/hyperlink" Target="https://www.kegg.jp/entry/C20658" TargetMode="External"/><Relationship Id="rId551" Type="http://schemas.openxmlformats.org/officeDocument/2006/relationships/hyperlink" Target="https://www.kegg.jp/entry/C02749" TargetMode="External"/><Relationship Id="rId793" Type="http://schemas.openxmlformats.org/officeDocument/2006/relationships/hyperlink" Target="https://www.kegg.jp/entry/C05686" TargetMode="External"/><Relationship Id="rId1146" Type="http://schemas.openxmlformats.org/officeDocument/2006/relationships/hyperlink" Target="https://www.kegg.jp/entry/C20743" TargetMode="External"/><Relationship Id="rId297" Type="http://schemas.openxmlformats.org/officeDocument/2006/relationships/hyperlink" Target="https://www.kegg.jp/entry/C00555" TargetMode="External"/><Relationship Id="rId296" Type="http://schemas.openxmlformats.org/officeDocument/2006/relationships/hyperlink" Target="https://www.kegg.jp/entry/C00546" TargetMode="External"/><Relationship Id="rId295" Type="http://schemas.openxmlformats.org/officeDocument/2006/relationships/hyperlink" Target="https://www.kegg.jp/entry/C00544" TargetMode="External"/><Relationship Id="rId294" Type="http://schemas.openxmlformats.org/officeDocument/2006/relationships/hyperlink" Target="https://www.kegg.jp/entry/C00541" TargetMode="External"/><Relationship Id="rId299" Type="http://schemas.openxmlformats.org/officeDocument/2006/relationships/hyperlink" Target="https://www.kegg.jp/entry/C00562" TargetMode="External"/><Relationship Id="rId298" Type="http://schemas.openxmlformats.org/officeDocument/2006/relationships/hyperlink" Target="https://www.kegg.jp/entry/C00559" TargetMode="External"/><Relationship Id="rId271" Type="http://schemas.openxmlformats.org/officeDocument/2006/relationships/hyperlink" Target="https://www.kegg.jp/entry/C00468" TargetMode="External"/><Relationship Id="rId270" Type="http://schemas.openxmlformats.org/officeDocument/2006/relationships/hyperlink" Target="https://www.kegg.jp/entry/C00463" TargetMode="External"/><Relationship Id="rId269" Type="http://schemas.openxmlformats.org/officeDocument/2006/relationships/hyperlink" Target="https://www.kegg.jp/entry/C00460" TargetMode="External"/><Relationship Id="rId264" Type="http://schemas.openxmlformats.org/officeDocument/2006/relationships/hyperlink" Target="https://www.kegg.jp/entry/C00448" TargetMode="External"/><Relationship Id="rId263" Type="http://schemas.openxmlformats.org/officeDocument/2006/relationships/hyperlink" Target="https://www.kegg.jp/entry/C00447" TargetMode="External"/><Relationship Id="rId262" Type="http://schemas.openxmlformats.org/officeDocument/2006/relationships/hyperlink" Target="https://www.kegg.jp/entry/C00445" TargetMode="External"/><Relationship Id="rId261" Type="http://schemas.openxmlformats.org/officeDocument/2006/relationships/hyperlink" Target="https://www.kegg.jp/entry/C00441" TargetMode="External"/><Relationship Id="rId268" Type="http://schemas.openxmlformats.org/officeDocument/2006/relationships/hyperlink" Target="https://www.kegg.jp/entry/C00459" TargetMode="External"/><Relationship Id="rId267" Type="http://schemas.openxmlformats.org/officeDocument/2006/relationships/hyperlink" Target="https://www.kegg.jp/entry/C00458" TargetMode="External"/><Relationship Id="rId266" Type="http://schemas.openxmlformats.org/officeDocument/2006/relationships/hyperlink" Target="https://www.kegg.jp/entry/C00455" TargetMode="External"/><Relationship Id="rId265" Type="http://schemas.openxmlformats.org/officeDocument/2006/relationships/hyperlink" Target="https://www.kegg.jp/entry/C00454" TargetMode="External"/><Relationship Id="rId260" Type="http://schemas.openxmlformats.org/officeDocument/2006/relationships/hyperlink" Target="https://www.kegg.jp/entry/C00440" TargetMode="External"/><Relationship Id="rId259" Type="http://schemas.openxmlformats.org/officeDocument/2006/relationships/hyperlink" Target="https://www.kegg.jp/entry/C00439" TargetMode="External"/><Relationship Id="rId258" Type="http://schemas.openxmlformats.org/officeDocument/2006/relationships/hyperlink" Target="https://www.kegg.jp/entry/C00438" TargetMode="External"/><Relationship Id="rId253" Type="http://schemas.openxmlformats.org/officeDocument/2006/relationships/hyperlink" Target="https://www.kegg.jp/entry/C00418" TargetMode="External"/><Relationship Id="rId495" Type="http://schemas.openxmlformats.org/officeDocument/2006/relationships/hyperlink" Target="https://www.kegg.jp/entry/C01962" TargetMode="External"/><Relationship Id="rId252" Type="http://schemas.openxmlformats.org/officeDocument/2006/relationships/hyperlink" Target="https://www.kegg.jp/entry/C00417" TargetMode="External"/><Relationship Id="rId494" Type="http://schemas.openxmlformats.org/officeDocument/2006/relationships/hyperlink" Target="https://www.kegg.jp/entry/C01935" TargetMode="External"/><Relationship Id="rId251" Type="http://schemas.openxmlformats.org/officeDocument/2006/relationships/hyperlink" Target="https://www.kegg.jp/entry/C00416" TargetMode="External"/><Relationship Id="rId493" Type="http://schemas.openxmlformats.org/officeDocument/2006/relationships/hyperlink" Target="https://www.kegg.jp/entry/C01931" TargetMode="External"/><Relationship Id="rId250" Type="http://schemas.openxmlformats.org/officeDocument/2006/relationships/hyperlink" Target="https://www.kegg.jp/entry/C00415" TargetMode="External"/><Relationship Id="rId492" Type="http://schemas.openxmlformats.org/officeDocument/2006/relationships/hyperlink" Target="https://www.kegg.jp/entry/C01929" TargetMode="External"/><Relationship Id="rId257" Type="http://schemas.openxmlformats.org/officeDocument/2006/relationships/hyperlink" Target="https://www.kegg.jp/entry/C00437" TargetMode="External"/><Relationship Id="rId499" Type="http://schemas.openxmlformats.org/officeDocument/2006/relationships/hyperlink" Target="https://www.kegg.jp/entry/C02015" TargetMode="External"/><Relationship Id="rId256" Type="http://schemas.openxmlformats.org/officeDocument/2006/relationships/hyperlink" Target="https://www.kegg.jp/entry/C00433" TargetMode="External"/><Relationship Id="rId498" Type="http://schemas.openxmlformats.org/officeDocument/2006/relationships/hyperlink" Target="https://www.kegg.jp/entry/C01997" TargetMode="External"/><Relationship Id="rId255" Type="http://schemas.openxmlformats.org/officeDocument/2006/relationships/hyperlink" Target="https://www.kegg.jp/entry/C00430" TargetMode="External"/><Relationship Id="rId497" Type="http://schemas.openxmlformats.org/officeDocument/2006/relationships/hyperlink" Target="https://www.kegg.jp/entry/C01978" TargetMode="External"/><Relationship Id="rId254" Type="http://schemas.openxmlformats.org/officeDocument/2006/relationships/hyperlink" Target="https://www.kegg.jp/entry/C00424" TargetMode="External"/><Relationship Id="rId496" Type="http://schemas.openxmlformats.org/officeDocument/2006/relationships/hyperlink" Target="https://www.kegg.jp/entry/C01977" TargetMode="External"/><Relationship Id="rId293" Type="http://schemas.openxmlformats.org/officeDocument/2006/relationships/hyperlink" Target="https://www.kegg.jp/entry/C00536" TargetMode="External"/><Relationship Id="rId292" Type="http://schemas.openxmlformats.org/officeDocument/2006/relationships/hyperlink" Target="https://www.kegg.jp/entry/C00535" TargetMode="External"/><Relationship Id="rId291" Type="http://schemas.openxmlformats.org/officeDocument/2006/relationships/hyperlink" Target="https://www.kegg.jp/entry/C00533" TargetMode="External"/><Relationship Id="rId290" Type="http://schemas.openxmlformats.org/officeDocument/2006/relationships/hyperlink" Target="https://www.kegg.jp/entry/C00531" TargetMode="External"/><Relationship Id="rId286" Type="http://schemas.openxmlformats.org/officeDocument/2006/relationships/hyperlink" Target="https://www.kegg.jp/entry/C00522" TargetMode="External"/><Relationship Id="rId285" Type="http://schemas.openxmlformats.org/officeDocument/2006/relationships/hyperlink" Target="https://www.kegg.jp/entry/C00515" TargetMode="External"/><Relationship Id="rId284" Type="http://schemas.openxmlformats.org/officeDocument/2006/relationships/hyperlink" Target="https://www.kegg.jp/entry/C00506" TargetMode="External"/><Relationship Id="rId283" Type="http://schemas.openxmlformats.org/officeDocument/2006/relationships/hyperlink" Target="https://www.kegg.jp/entry/C00504" TargetMode="External"/><Relationship Id="rId289" Type="http://schemas.openxmlformats.org/officeDocument/2006/relationships/hyperlink" Target="https://www.kegg.jp/entry/C00530" TargetMode="External"/><Relationship Id="rId288" Type="http://schemas.openxmlformats.org/officeDocument/2006/relationships/hyperlink" Target="https://www.kegg.jp/entry/C00527" TargetMode="External"/><Relationship Id="rId287" Type="http://schemas.openxmlformats.org/officeDocument/2006/relationships/hyperlink" Target="https://www.kegg.jp/entry/C00526" TargetMode="External"/><Relationship Id="rId282" Type="http://schemas.openxmlformats.org/officeDocument/2006/relationships/hyperlink" Target="https://www.kegg.jp/entry/C00501" TargetMode="External"/><Relationship Id="rId281" Type="http://schemas.openxmlformats.org/officeDocument/2006/relationships/hyperlink" Target="https://www.kegg.jp/entry/C00500" TargetMode="External"/><Relationship Id="rId280" Type="http://schemas.openxmlformats.org/officeDocument/2006/relationships/hyperlink" Target="https://www.kegg.jp/entry/C00498" TargetMode="External"/><Relationship Id="rId275" Type="http://schemas.openxmlformats.org/officeDocument/2006/relationships/hyperlink" Target="https://www.kegg.jp/entry/C00488" TargetMode="External"/><Relationship Id="rId274" Type="http://schemas.openxmlformats.org/officeDocument/2006/relationships/hyperlink" Target="https://www.kegg.jp/entry/C00475" TargetMode="External"/><Relationship Id="rId273" Type="http://schemas.openxmlformats.org/officeDocument/2006/relationships/hyperlink" Target="https://www.kegg.jp/entry/C00473" TargetMode="External"/><Relationship Id="rId272" Type="http://schemas.openxmlformats.org/officeDocument/2006/relationships/hyperlink" Target="https://www.kegg.jp/entry/C00469" TargetMode="External"/><Relationship Id="rId279" Type="http://schemas.openxmlformats.org/officeDocument/2006/relationships/hyperlink" Target="https://www.kegg.jp/entry/C00493" TargetMode="External"/><Relationship Id="rId278" Type="http://schemas.openxmlformats.org/officeDocument/2006/relationships/hyperlink" Target="https://www.kegg.jp/entry/C00492" TargetMode="External"/><Relationship Id="rId277" Type="http://schemas.openxmlformats.org/officeDocument/2006/relationships/hyperlink" Target="https://www.kegg.jp/entry/C00491" TargetMode="External"/><Relationship Id="rId276" Type="http://schemas.openxmlformats.org/officeDocument/2006/relationships/hyperlink" Target="https://www.kegg.jp/entry/C00490" TargetMode="External"/><Relationship Id="rId907" Type="http://schemas.openxmlformats.org/officeDocument/2006/relationships/hyperlink" Target="https://www.kegg.jp/entry/C07496" TargetMode="External"/><Relationship Id="rId906" Type="http://schemas.openxmlformats.org/officeDocument/2006/relationships/hyperlink" Target="https://www.kegg.jp/entry/C07490" TargetMode="External"/><Relationship Id="rId905" Type="http://schemas.openxmlformats.org/officeDocument/2006/relationships/hyperlink" Target="https://www.kegg.jp/entry/C07481" TargetMode="External"/><Relationship Id="rId904" Type="http://schemas.openxmlformats.org/officeDocument/2006/relationships/hyperlink" Target="https://www.kegg.jp/entry/C07479" TargetMode="External"/><Relationship Id="rId909" Type="http://schemas.openxmlformats.org/officeDocument/2006/relationships/hyperlink" Target="https://www.kegg.jp/entry/C07572" TargetMode="External"/><Relationship Id="rId908" Type="http://schemas.openxmlformats.org/officeDocument/2006/relationships/hyperlink" Target="https://www.kegg.jp/entry/C07535" TargetMode="External"/><Relationship Id="rId903" Type="http://schemas.openxmlformats.org/officeDocument/2006/relationships/hyperlink" Target="https://www.kegg.jp/entry/C07478" TargetMode="External"/><Relationship Id="rId902" Type="http://schemas.openxmlformats.org/officeDocument/2006/relationships/hyperlink" Target="https://www.kegg.jp/entry/C07447" TargetMode="External"/><Relationship Id="rId901" Type="http://schemas.openxmlformats.org/officeDocument/2006/relationships/hyperlink" Target="https://www.kegg.jp/entry/C07446" TargetMode="External"/><Relationship Id="rId900" Type="http://schemas.openxmlformats.org/officeDocument/2006/relationships/hyperlink" Target="https://www.kegg.jp/entry/C07108" TargetMode="External"/><Relationship Id="rId929" Type="http://schemas.openxmlformats.org/officeDocument/2006/relationships/hyperlink" Target="https://www.kegg.jp/entry/C11439" TargetMode="External"/><Relationship Id="rId928" Type="http://schemas.openxmlformats.org/officeDocument/2006/relationships/hyperlink" Target="https://www.kegg.jp/entry/C11437" TargetMode="External"/><Relationship Id="rId927" Type="http://schemas.openxmlformats.org/officeDocument/2006/relationships/hyperlink" Target="https://www.kegg.jp/entry/C11436" TargetMode="External"/><Relationship Id="rId926" Type="http://schemas.openxmlformats.org/officeDocument/2006/relationships/hyperlink" Target="https://www.kegg.jp/entry/C11435" TargetMode="External"/><Relationship Id="rId921" Type="http://schemas.openxmlformats.org/officeDocument/2006/relationships/hyperlink" Target="https://www.kegg.jp/entry/C11148" TargetMode="External"/><Relationship Id="rId920" Type="http://schemas.openxmlformats.org/officeDocument/2006/relationships/hyperlink" Target="https://www.kegg.jp/entry/C11039" TargetMode="External"/><Relationship Id="rId925" Type="http://schemas.openxmlformats.org/officeDocument/2006/relationships/hyperlink" Target="https://www.kegg.jp/entry/C11434" TargetMode="External"/><Relationship Id="rId924" Type="http://schemas.openxmlformats.org/officeDocument/2006/relationships/hyperlink" Target="https://www.kegg.jp/entry/C11355" TargetMode="External"/><Relationship Id="rId923" Type="http://schemas.openxmlformats.org/officeDocument/2006/relationships/hyperlink" Target="https://www.kegg.jp/entry/C11215" TargetMode="External"/><Relationship Id="rId922" Type="http://schemas.openxmlformats.org/officeDocument/2006/relationships/hyperlink" Target="https://www.kegg.jp/entry/C11173" TargetMode="External"/><Relationship Id="rId918" Type="http://schemas.openxmlformats.org/officeDocument/2006/relationships/hyperlink" Target="https://www.kegg.jp/entry/C11004" TargetMode="External"/><Relationship Id="rId917" Type="http://schemas.openxmlformats.org/officeDocument/2006/relationships/hyperlink" Target="https://www.kegg.jp/entry/C09332" TargetMode="External"/><Relationship Id="rId916" Type="http://schemas.openxmlformats.org/officeDocument/2006/relationships/hyperlink" Target="https://www.kegg.jp/entry/C08492" TargetMode="External"/><Relationship Id="rId915" Type="http://schemas.openxmlformats.org/officeDocument/2006/relationships/hyperlink" Target="https://www.kegg.jp/entry/C08353" TargetMode="External"/><Relationship Id="rId919" Type="http://schemas.openxmlformats.org/officeDocument/2006/relationships/hyperlink" Target="https://www.kegg.jp/entry/C11038" TargetMode="External"/><Relationship Id="rId910" Type="http://schemas.openxmlformats.org/officeDocument/2006/relationships/hyperlink" Target="https://www.kegg.jp/entry/C07585" TargetMode="External"/><Relationship Id="rId914" Type="http://schemas.openxmlformats.org/officeDocument/2006/relationships/hyperlink" Target="https://www.kegg.jp/entry/C08249" TargetMode="External"/><Relationship Id="rId913" Type="http://schemas.openxmlformats.org/officeDocument/2006/relationships/hyperlink" Target="https://www.kegg.jp/entry/C07649" TargetMode="External"/><Relationship Id="rId912" Type="http://schemas.openxmlformats.org/officeDocument/2006/relationships/hyperlink" Target="https://www.kegg.jp/entry/C07648" TargetMode="External"/><Relationship Id="rId911" Type="http://schemas.openxmlformats.org/officeDocument/2006/relationships/hyperlink" Target="https://www.kegg.jp/entry/C07645" TargetMode="External"/><Relationship Id="rId629" Type="http://schemas.openxmlformats.org/officeDocument/2006/relationships/hyperlink" Target="https://www.kegg.jp/entry/C03771" TargetMode="External"/><Relationship Id="rId624" Type="http://schemas.openxmlformats.org/officeDocument/2006/relationships/hyperlink" Target="https://www.kegg.jp/entry/C03687" TargetMode="External"/><Relationship Id="rId866" Type="http://schemas.openxmlformats.org/officeDocument/2006/relationships/hyperlink" Target="https://www.kegg.jp/entry/C06113" TargetMode="External"/><Relationship Id="rId623" Type="http://schemas.openxmlformats.org/officeDocument/2006/relationships/hyperlink" Target="https://www.kegg.jp/entry/C03680" TargetMode="External"/><Relationship Id="rId865" Type="http://schemas.openxmlformats.org/officeDocument/2006/relationships/hyperlink" Target="https://www.kegg.jp/entry/C06110" TargetMode="External"/><Relationship Id="rId622" Type="http://schemas.openxmlformats.org/officeDocument/2006/relationships/hyperlink" Target="https://www.kegg.jp/entry/C03657" TargetMode="External"/><Relationship Id="rId864" Type="http://schemas.openxmlformats.org/officeDocument/2006/relationships/hyperlink" Target="https://www.kegg.jp/entry/C06109" TargetMode="External"/><Relationship Id="rId621" Type="http://schemas.openxmlformats.org/officeDocument/2006/relationships/hyperlink" Target="https://www.kegg.jp/entry/C03636" TargetMode="External"/><Relationship Id="rId863" Type="http://schemas.openxmlformats.org/officeDocument/2006/relationships/hyperlink" Target="https://www.kegg.jp/entry/C06060" TargetMode="External"/><Relationship Id="rId628" Type="http://schemas.openxmlformats.org/officeDocument/2006/relationships/hyperlink" Target="https://www.kegg.jp/entry/C03741" TargetMode="External"/><Relationship Id="rId627" Type="http://schemas.openxmlformats.org/officeDocument/2006/relationships/hyperlink" Target="https://www.kegg.jp/entry/C03723" TargetMode="External"/><Relationship Id="rId869" Type="http://schemas.openxmlformats.org/officeDocument/2006/relationships/hyperlink" Target="https://www.kegg.jp/entry/C06157" TargetMode="External"/><Relationship Id="rId626" Type="http://schemas.openxmlformats.org/officeDocument/2006/relationships/hyperlink" Target="https://www.kegg.jp/entry/C03722" TargetMode="External"/><Relationship Id="rId868" Type="http://schemas.openxmlformats.org/officeDocument/2006/relationships/hyperlink" Target="https://www.kegg.jp/entry/C06156" TargetMode="External"/><Relationship Id="rId625" Type="http://schemas.openxmlformats.org/officeDocument/2006/relationships/hyperlink" Target="https://www.kegg.jp/entry/C03688" TargetMode="External"/><Relationship Id="rId867" Type="http://schemas.openxmlformats.org/officeDocument/2006/relationships/hyperlink" Target="https://www.kegg.jp/entry/C06148" TargetMode="External"/><Relationship Id="rId620" Type="http://schemas.openxmlformats.org/officeDocument/2006/relationships/hyperlink" Target="https://www.kegg.jp/entry/C03633" TargetMode="External"/><Relationship Id="rId862" Type="http://schemas.openxmlformats.org/officeDocument/2006/relationships/hyperlink" Target="https://www.kegg.jp/entry/C06056" TargetMode="External"/><Relationship Id="rId861" Type="http://schemas.openxmlformats.org/officeDocument/2006/relationships/hyperlink" Target="https://www.kegg.jp/entry/C06055" TargetMode="External"/><Relationship Id="rId860" Type="http://schemas.openxmlformats.org/officeDocument/2006/relationships/hyperlink" Target="https://www.kegg.jp/entry/C06054" TargetMode="External"/><Relationship Id="rId1202" Type="http://schemas.openxmlformats.org/officeDocument/2006/relationships/hyperlink" Target="https://www.kegg.jp/entry/G10545" TargetMode="External"/><Relationship Id="rId1203" Type="http://schemas.openxmlformats.org/officeDocument/2006/relationships/hyperlink" Target="https://www.kegg.jp/entry/G10610" TargetMode="External"/><Relationship Id="rId1204" Type="http://schemas.openxmlformats.org/officeDocument/2006/relationships/hyperlink" Target="https://www.kegg.jp/entry/G10619" TargetMode="External"/><Relationship Id="rId1205" Type="http://schemas.openxmlformats.org/officeDocument/2006/relationships/hyperlink" Target="https://www.kegg.jp/entry/G13167" TargetMode="External"/><Relationship Id="rId1206" Type="http://schemas.openxmlformats.org/officeDocument/2006/relationships/hyperlink" Target="https://www.kegg.jp/entry/G13170" TargetMode="External"/><Relationship Id="rId1207" Type="http://schemas.openxmlformats.org/officeDocument/2006/relationships/hyperlink" Target="https://www.kegg.jp/entry/G13174" TargetMode="External"/><Relationship Id="rId1208" Type="http://schemas.openxmlformats.org/officeDocument/2006/relationships/hyperlink" Target="https://www.kegg.jp/entry/G13176" TargetMode="External"/><Relationship Id="rId1209" Type="http://schemas.openxmlformats.org/officeDocument/2006/relationships/drawing" Target="../drawings/drawing4.xml"/><Relationship Id="rId619" Type="http://schemas.openxmlformats.org/officeDocument/2006/relationships/hyperlink" Target="https://www.kegg.jp/entry/C03617" TargetMode="External"/><Relationship Id="rId618" Type="http://schemas.openxmlformats.org/officeDocument/2006/relationships/hyperlink" Target="https://www.kegg.jp/entry/C03557" TargetMode="External"/><Relationship Id="rId613" Type="http://schemas.openxmlformats.org/officeDocument/2006/relationships/hyperlink" Target="https://www.kegg.jp/entry/C03511" TargetMode="External"/><Relationship Id="rId855" Type="http://schemas.openxmlformats.org/officeDocument/2006/relationships/hyperlink" Target="https://www.kegg.jp/entry/C06002" TargetMode="External"/><Relationship Id="rId612" Type="http://schemas.openxmlformats.org/officeDocument/2006/relationships/hyperlink" Target="https://www.kegg.jp/entry/C03508" TargetMode="External"/><Relationship Id="rId854" Type="http://schemas.openxmlformats.org/officeDocument/2006/relationships/hyperlink" Target="https://www.kegg.jp/entry/C06000" TargetMode="External"/><Relationship Id="rId611" Type="http://schemas.openxmlformats.org/officeDocument/2006/relationships/hyperlink" Target="https://www.kegg.jp/entry/C03506" TargetMode="External"/><Relationship Id="rId853" Type="http://schemas.openxmlformats.org/officeDocument/2006/relationships/hyperlink" Target="https://www.kegg.jp/entry/C05998" TargetMode="External"/><Relationship Id="rId610" Type="http://schemas.openxmlformats.org/officeDocument/2006/relationships/hyperlink" Target="https://www.kegg.jp/entry/C03492" TargetMode="External"/><Relationship Id="rId852" Type="http://schemas.openxmlformats.org/officeDocument/2006/relationships/hyperlink" Target="https://www.kegg.jp/entry/C05993" TargetMode="External"/><Relationship Id="rId617" Type="http://schemas.openxmlformats.org/officeDocument/2006/relationships/hyperlink" Target="https://www.kegg.jp/entry/C03541" TargetMode="External"/><Relationship Id="rId859" Type="http://schemas.openxmlformats.org/officeDocument/2006/relationships/hyperlink" Target="https://www.kegg.jp/entry/C06032" TargetMode="External"/><Relationship Id="rId616" Type="http://schemas.openxmlformats.org/officeDocument/2006/relationships/hyperlink" Target="https://www.kegg.jp/entry/C03539" TargetMode="External"/><Relationship Id="rId858" Type="http://schemas.openxmlformats.org/officeDocument/2006/relationships/hyperlink" Target="https://www.kegg.jp/entry/C06010" TargetMode="External"/><Relationship Id="rId615" Type="http://schemas.openxmlformats.org/officeDocument/2006/relationships/hyperlink" Target="https://www.kegg.jp/entry/C03523" TargetMode="External"/><Relationship Id="rId857" Type="http://schemas.openxmlformats.org/officeDocument/2006/relationships/hyperlink" Target="https://www.kegg.jp/entry/C06007" TargetMode="External"/><Relationship Id="rId614" Type="http://schemas.openxmlformats.org/officeDocument/2006/relationships/hyperlink" Target="https://www.kegg.jp/entry/C03512" TargetMode="External"/><Relationship Id="rId856" Type="http://schemas.openxmlformats.org/officeDocument/2006/relationships/hyperlink" Target="https://www.kegg.jp/entry/C06006" TargetMode="External"/><Relationship Id="rId851" Type="http://schemas.openxmlformats.org/officeDocument/2006/relationships/hyperlink" Target="https://www.kegg.jp/entry/C05985" TargetMode="External"/><Relationship Id="rId850" Type="http://schemas.openxmlformats.org/officeDocument/2006/relationships/hyperlink" Target="https://www.kegg.jp/entry/C05984" TargetMode="External"/><Relationship Id="rId1200" Type="http://schemas.openxmlformats.org/officeDocument/2006/relationships/hyperlink" Target="https://www.kegg.jp/entry/G10495" TargetMode="External"/><Relationship Id="rId1201" Type="http://schemas.openxmlformats.org/officeDocument/2006/relationships/hyperlink" Target="https://www.kegg.jp/entry/G10508" TargetMode="External"/><Relationship Id="rId409" Type="http://schemas.openxmlformats.org/officeDocument/2006/relationships/hyperlink" Target="https://www.kegg.jp/entry/C01118" TargetMode="External"/><Relationship Id="rId404" Type="http://schemas.openxmlformats.org/officeDocument/2006/relationships/hyperlink" Target="https://www.kegg.jp/entry/C01099" TargetMode="External"/><Relationship Id="rId646" Type="http://schemas.openxmlformats.org/officeDocument/2006/relationships/hyperlink" Target="https://www.kegg.jp/entry/C04088" TargetMode="External"/><Relationship Id="rId888" Type="http://schemas.openxmlformats.org/officeDocument/2006/relationships/hyperlink" Target="https://www.kegg.jp/entry/C06614" TargetMode="External"/><Relationship Id="rId403" Type="http://schemas.openxmlformats.org/officeDocument/2006/relationships/hyperlink" Target="https://www.kegg.jp/entry/C01097" TargetMode="External"/><Relationship Id="rId645" Type="http://schemas.openxmlformats.org/officeDocument/2006/relationships/hyperlink" Target="https://www.kegg.jp/entry/C04079" TargetMode="External"/><Relationship Id="rId887" Type="http://schemas.openxmlformats.org/officeDocument/2006/relationships/hyperlink" Target="https://www.kegg.jp/entry/C06613" TargetMode="External"/><Relationship Id="rId402" Type="http://schemas.openxmlformats.org/officeDocument/2006/relationships/hyperlink" Target="https://www.kegg.jp/entry/C01094" TargetMode="External"/><Relationship Id="rId644" Type="http://schemas.openxmlformats.org/officeDocument/2006/relationships/hyperlink" Target="https://www.kegg.jp/entry/C04051" TargetMode="External"/><Relationship Id="rId886" Type="http://schemas.openxmlformats.org/officeDocument/2006/relationships/hyperlink" Target="https://www.kegg.jp/entry/C06612" TargetMode="External"/><Relationship Id="rId401" Type="http://schemas.openxmlformats.org/officeDocument/2006/relationships/hyperlink" Target="https://www.kegg.jp/entry/C01092" TargetMode="External"/><Relationship Id="rId643" Type="http://schemas.openxmlformats.org/officeDocument/2006/relationships/hyperlink" Target="https://www.kegg.jp/entry/C04039" TargetMode="External"/><Relationship Id="rId885" Type="http://schemas.openxmlformats.org/officeDocument/2006/relationships/hyperlink" Target="https://www.kegg.jp/entry/C06611" TargetMode="External"/><Relationship Id="rId408" Type="http://schemas.openxmlformats.org/officeDocument/2006/relationships/hyperlink" Target="https://www.kegg.jp/entry/C01110" TargetMode="External"/><Relationship Id="rId407" Type="http://schemas.openxmlformats.org/officeDocument/2006/relationships/hyperlink" Target="https://www.kegg.jp/entry/C01103" TargetMode="External"/><Relationship Id="rId649" Type="http://schemas.openxmlformats.org/officeDocument/2006/relationships/hyperlink" Target="https://www.kegg.jp/entry/C04144" TargetMode="External"/><Relationship Id="rId406" Type="http://schemas.openxmlformats.org/officeDocument/2006/relationships/hyperlink" Target="https://www.kegg.jp/entry/C01102" TargetMode="External"/><Relationship Id="rId648" Type="http://schemas.openxmlformats.org/officeDocument/2006/relationships/hyperlink" Target="https://www.kegg.jp/entry/C04142" TargetMode="External"/><Relationship Id="rId405" Type="http://schemas.openxmlformats.org/officeDocument/2006/relationships/hyperlink" Target="https://www.kegg.jp/entry/C01100" TargetMode="External"/><Relationship Id="rId647" Type="http://schemas.openxmlformats.org/officeDocument/2006/relationships/hyperlink" Target="https://www.kegg.jp/entry/C04133" TargetMode="External"/><Relationship Id="rId889" Type="http://schemas.openxmlformats.org/officeDocument/2006/relationships/hyperlink" Target="https://www.kegg.jp/entry/C06615" TargetMode="External"/><Relationship Id="rId880" Type="http://schemas.openxmlformats.org/officeDocument/2006/relationships/hyperlink" Target="https://www.kegg.jp/entry/C06506" TargetMode="External"/><Relationship Id="rId400" Type="http://schemas.openxmlformats.org/officeDocument/2006/relationships/hyperlink" Target="https://www.kegg.jp/entry/C01086" TargetMode="External"/><Relationship Id="rId642" Type="http://schemas.openxmlformats.org/officeDocument/2006/relationships/hyperlink" Target="https://www.kegg.jp/entry/C03972" TargetMode="External"/><Relationship Id="rId884" Type="http://schemas.openxmlformats.org/officeDocument/2006/relationships/hyperlink" Target="https://www.kegg.jp/entry/C06606" TargetMode="External"/><Relationship Id="rId641" Type="http://schemas.openxmlformats.org/officeDocument/2006/relationships/hyperlink" Target="https://www.kegg.jp/entry/C03939" TargetMode="External"/><Relationship Id="rId883" Type="http://schemas.openxmlformats.org/officeDocument/2006/relationships/hyperlink" Target="https://www.kegg.jp/entry/C06604" TargetMode="External"/><Relationship Id="rId640" Type="http://schemas.openxmlformats.org/officeDocument/2006/relationships/hyperlink" Target="https://www.kegg.jp/entry/C03912" TargetMode="External"/><Relationship Id="rId882" Type="http://schemas.openxmlformats.org/officeDocument/2006/relationships/hyperlink" Target="https://www.kegg.jp/entry/C06567" TargetMode="External"/><Relationship Id="rId881" Type="http://schemas.openxmlformats.org/officeDocument/2006/relationships/hyperlink" Target="https://www.kegg.jp/entry/C06508" TargetMode="External"/><Relationship Id="rId635" Type="http://schemas.openxmlformats.org/officeDocument/2006/relationships/hyperlink" Target="https://www.kegg.jp/entry/C03806" TargetMode="External"/><Relationship Id="rId877" Type="http://schemas.openxmlformats.org/officeDocument/2006/relationships/hyperlink" Target="https://www.kegg.jp/entry/C06423" TargetMode="External"/><Relationship Id="rId634" Type="http://schemas.openxmlformats.org/officeDocument/2006/relationships/hyperlink" Target="https://www.kegg.jp/entry/C03803" TargetMode="External"/><Relationship Id="rId876" Type="http://schemas.openxmlformats.org/officeDocument/2006/relationships/hyperlink" Target="https://www.kegg.jp/entry/C06250" TargetMode="External"/><Relationship Id="rId633" Type="http://schemas.openxmlformats.org/officeDocument/2006/relationships/hyperlink" Target="https://www.kegg.jp/entry/C03800" TargetMode="External"/><Relationship Id="rId875" Type="http://schemas.openxmlformats.org/officeDocument/2006/relationships/hyperlink" Target="https://www.kegg.jp/entry/C06249" TargetMode="External"/><Relationship Id="rId632" Type="http://schemas.openxmlformats.org/officeDocument/2006/relationships/hyperlink" Target="https://www.kegg.jp/entry/C03798" TargetMode="External"/><Relationship Id="rId874" Type="http://schemas.openxmlformats.org/officeDocument/2006/relationships/hyperlink" Target="https://www.kegg.jp/entry/C06232" TargetMode="External"/><Relationship Id="rId639" Type="http://schemas.openxmlformats.org/officeDocument/2006/relationships/hyperlink" Target="https://www.kegg.jp/entry/C03895" TargetMode="External"/><Relationship Id="rId638" Type="http://schemas.openxmlformats.org/officeDocument/2006/relationships/hyperlink" Target="https://www.kegg.jp/entry/C03892" TargetMode="External"/><Relationship Id="rId637" Type="http://schemas.openxmlformats.org/officeDocument/2006/relationships/hyperlink" Target="https://www.kegg.jp/entry/C03880" TargetMode="External"/><Relationship Id="rId879" Type="http://schemas.openxmlformats.org/officeDocument/2006/relationships/hyperlink" Target="https://www.kegg.jp/entry/C06505" TargetMode="External"/><Relationship Id="rId636" Type="http://schemas.openxmlformats.org/officeDocument/2006/relationships/hyperlink" Target="https://www.kegg.jp/entry/C03838" TargetMode="External"/><Relationship Id="rId878" Type="http://schemas.openxmlformats.org/officeDocument/2006/relationships/hyperlink" Target="https://www.kegg.jp/entry/C06504" TargetMode="External"/><Relationship Id="rId631" Type="http://schemas.openxmlformats.org/officeDocument/2006/relationships/hyperlink" Target="https://www.kegg.jp/entry/C03794" TargetMode="External"/><Relationship Id="rId873" Type="http://schemas.openxmlformats.org/officeDocument/2006/relationships/hyperlink" Target="https://www.kegg.jp/entry/C06196" TargetMode="External"/><Relationship Id="rId630" Type="http://schemas.openxmlformats.org/officeDocument/2006/relationships/hyperlink" Target="https://www.kegg.jp/entry/C03785" TargetMode="External"/><Relationship Id="rId872" Type="http://schemas.openxmlformats.org/officeDocument/2006/relationships/hyperlink" Target="https://www.kegg.jp/entry/C06188" TargetMode="External"/><Relationship Id="rId871" Type="http://schemas.openxmlformats.org/officeDocument/2006/relationships/hyperlink" Target="https://www.kegg.jp/entry/C06187" TargetMode="External"/><Relationship Id="rId870" Type="http://schemas.openxmlformats.org/officeDocument/2006/relationships/hyperlink" Target="https://www.kegg.jp/entry/C06174" TargetMode="External"/><Relationship Id="rId829" Type="http://schemas.openxmlformats.org/officeDocument/2006/relationships/hyperlink" Target="https://www.kegg.jp/entry/C05817" TargetMode="External"/><Relationship Id="rId828" Type="http://schemas.openxmlformats.org/officeDocument/2006/relationships/hyperlink" Target="https://www.kegg.jp/entry/C05778" TargetMode="External"/><Relationship Id="rId827" Type="http://schemas.openxmlformats.org/officeDocument/2006/relationships/hyperlink" Target="https://www.kegg.jp/entry/C05774" TargetMode="External"/><Relationship Id="rId822" Type="http://schemas.openxmlformats.org/officeDocument/2006/relationships/hyperlink" Target="https://www.kegg.jp/entry/C05762" TargetMode="External"/><Relationship Id="rId821" Type="http://schemas.openxmlformats.org/officeDocument/2006/relationships/hyperlink" Target="https://www.kegg.jp/entry/C05761" TargetMode="External"/><Relationship Id="rId820" Type="http://schemas.openxmlformats.org/officeDocument/2006/relationships/hyperlink" Target="https://www.kegg.jp/entry/C05760" TargetMode="External"/><Relationship Id="rId826" Type="http://schemas.openxmlformats.org/officeDocument/2006/relationships/hyperlink" Target="https://www.kegg.jp/entry/C05768" TargetMode="External"/><Relationship Id="rId825" Type="http://schemas.openxmlformats.org/officeDocument/2006/relationships/hyperlink" Target="https://www.kegg.jp/entry/C05766" TargetMode="External"/><Relationship Id="rId824" Type="http://schemas.openxmlformats.org/officeDocument/2006/relationships/hyperlink" Target="https://www.kegg.jp/entry/C05764" TargetMode="External"/><Relationship Id="rId823" Type="http://schemas.openxmlformats.org/officeDocument/2006/relationships/hyperlink" Target="https://www.kegg.jp/entry/C05763" TargetMode="External"/><Relationship Id="rId819" Type="http://schemas.openxmlformats.org/officeDocument/2006/relationships/hyperlink" Target="https://www.kegg.jp/entry/C05759" TargetMode="External"/><Relationship Id="rId818" Type="http://schemas.openxmlformats.org/officeDocument/2006/relationships/hyperlink" Target="https://www.kegg.jp/entry/C05758" TargetMode="External"/><Relationship Id="rId817" Type="http://schemas.openxmlformats.org/officeDocument/2006/relationships/hyperlink" Target="https://www.kegg.jp/entry/C05757" TargetMode="External"/><Relationship Id="rId816" Type="http://schemas.openxmlformats.org/officeDocument/2006/relationships/hyperlink" Target="https://www.kegg.jp/entry/C05756" TargetMode="External"/><Relationship Id="rId811" Type="http://schemas.openxmlformats.org/officeDocument/2006/relationships/hyperlink" Target="https://www.kegg.jp/entry/C05751" TargetMode="External"/><Relationship Id="rId810" Type="http://schemas.openxmlformats.org/officeDocument/2006/relationships/hyperlink" Target="https://www.kegg.jp/entry/C05750" TargetMode="External"/><Relationship Id="rId815" Type="http://schemas.openxmlformats.org/officeDocument/2006/relationships/hyperlink" Target="https://www.kegg.jp/entry/C05755" TargetMode="External"/><Relationship Id="rId814" Type="http://schemas.openxmlformats.org/officeDocument/2006/relationships/hyperlink" Target="https://www.kegg.jp/entry/C05754" TargetMode="External"/><Relationship Id="rId813" Type="http://schemas.openxmlformats.org/officeDocument/2006/relationships/hyperlink" Target="https://www.kegg.jp/entry/C05753" TargetMode="External"/><Relationship Id="rId812" Type="http://schemas.openxmlformats.org/officeDocument/2006/relationships/hyperlink" Target="https://www.kegg.jp/entry/C05752" TargetMode="External"/><Relationship Id="rId609" Type="http://schemas.openxmlformats.org/officeDocument/2006/relationships/hyperlink" Target="https://www.kegg.jp/entry/C03479" TargetMode="External"/><Relationship Id="rId608" Type="http://schemas.openxmlformats.org/officeDocument/2006/relationships/hyperlink" Target="https://www.kegg.jp/entry/C03461" TargetMode="External"/><Relationship Id="rId607" Type="http://schemas.openxmlformats.org/officeDocument/2006/relationships/hyperlink" Target="https://www.kegg.jp/entry/C03460" TargetMode="External"/><Relationship Id="rId849" Type="http://schemas.openxmlformats.org/officeDocument/2006/relationships/hyperlink" Target="https://www.kegg.jp/entry/C05983" TargetMode="External"/><Relationship Id="rId602" Type="http://schemas.openxmlformats.org/officeDocument/2006/relationships/hyperlink" Target="https://www.kegg.jp/entry/C03391" TargetMode="External"/><Relationship Id="rId844" Type="http://schemas.openxmlformats.org/officeDocument/2006/relationships/hyperlink" Target="https://www.kegg.jp/entry/C05936" TargetMode="External"/><Relationship Id="rId601" Type="http://schemas.openxmlformats.org/officeDocument/2006/relationships/hyperlink" Target="https://www.kegg.jp/entry/C03373" TargetMode="External"/><Relationship Id="rId843" Type="http://schemas.openxmlformats.org/officeDocument/2006/relationships/hyperlink" Target="https://www.kegg.jp/entry/C05929" TargetMode="External"/><Relationship Id="rId600" Type="http://schemas.openxmlformats.org/officeDocument/2006/relationships/hyperlink" Target="https://www.kegg.jp/entry/C03360" TargetMode="External"/><Relationship Id="rId842" Type="http://schemas.openxmlformats.org/officeDocument/2006/relationships/hyperlink" Target="https://www.kegg.jp/entry/C05928" TargetMode="External"/><Relationship Id="rId841" Type="http://schemas.openxmlformats.org/officeDocument/2006/relationships/hyperlink" Target="https://www.kegg.jp/entry/C05923" TargetMode="External"/><Relationship Id="rId606" Type="http://schemas.openxmlformats.org/officeDocument/2006/relationships/hyperlink" Target="https://www.kegg.jp/entry/C03453" TargetMode="External"/><Relationship Id="rId848" Type="http://schemas.openxmlformats.org/officeDocument/2006/relationships/hyperlink" Target="https://www.kegg.jp/entry/C05966" TargetMode="External"/><Relationship Id="rId605" Type="http://schemas.openxmlformats.org/officeDocument/2006/relationships/hyperlink" Target="https://www.kegg.jp/entry/C03446" TargetMode="External"/><Relationship Id="rId847" Type="http://schemas.openxmlformats.org/officeDocument/2006/relationships/hyperlink" Target="https://www.kegg.jp/entry/C05947" TargetMode="External"/><Relationship Id="rId604" Type="http://schemas.openxmlformats.org/officeDocument/2006/relationships/hyperlink" Target="https://www.kegg.jp/entry/C03406" TargetMode="External"/><Relationship Id="rId846" Type="http://schemas.openxmlformats.org/officeDocument/2006/relationships/hyperlink" Target="https://www.kegg.jp/entry/C05946" TargetMode="External"/><Relationship Id="rId603" Type="http://schemas.openxmlformats.org/officeDocument/2006/relationships/hyperlink" Target="https://www.kegg.jp/entry/C03402" TargetMode="External"/><Relationship Id="rId845" Type="http://schemas.openxmlformats.org/officeDocument/2006/relationships/hyperlink" Target="https://www.kegg.jp/entry/C05938" TargetMode="External"/><Relationship Id="rId840" Type="http://schemas.openxmlformats.org/officeDocument/2006/relationships/hyperlink" Target="https://www.kegg.jp/entry/C05922" TargetMode="External"/><Relationship Id="rId839" Type="http://schemas.openxmlformats.org/officeDocument/2006/relationships/hyperlink" Target="https://www.kegg.jp/entry/C05921" TargetMode="External"/><Relationship Id="rId838" Type="http://schemas.openxmlformats.org/officeDocument/2006/relationships/hyperlink" Target="https://www.kegg.jp/entry/C05898" TargetMode="External"/><Relationship Id="rId833" Type="http://schemas.openxmlformats.org/officeDocument/2006/relationships/hyperlink" Target="https://www.kegg.jp/entry/C05847" TargetMode="External"/><Relationship Id="rId832" Type="http://schemas.openxmlformats.org/officeDocument/2006/relationships/hyperlink" Target="https://www.kegg.jp/entry/C05841" TargetMode="External"/><Relationship Id="rId831" Type="http://schemas.openxmlformats.org/officeDocument/2006/relationships/hyperlink" Target="https://www.kegg.jp/entry/C05840" TargetMode="External"/><Relationship Id="rId830" Type="http://schemas.openxmlformats.org/officeDocument/2006/relationships/hyperlink" Target="https://www.kegg.jp/entry/C05823" TargetMode="External"/><Relationship Id="rId837" Type="http://schemas.openxmlformats.org/officeDocument/2006/relationships/hyperlink" Target="https://www.kegg.jp/entry/C05897" TargetMode="External"/><Relationship Id="rId836" Type="http://schemas.openxmlformats.org/officeDocument/2006/relationships/hyperlink" Target="https://www.kegg.jp/entry/C05893" TargetMode="External"/><Relationship Id="rId835" Type="http://schemas.openxmlformats.org/officeDocument/2006/relationships/hyperlink" Target="https://www.kegg.jp/entry/C05892" TargetMode="External"/><Relationship Id="rId834" Type="http://schemas.openxmlformats.org/officeDocument/2006/relationships/hyperlink" Target="https://www.kegg.jp/entry/C05852" TargetMode="External"/><Relationship Id="rId1059" Type="http://schemas.openxmlformats.org/officeDocument/2006/relationships/hyperlink" Target="https://www.kegg.jp/entry/C16609" TargetMode="External"/><Relationship Id="rId228" Type="http://schemas.openxmlformats.org/officeDocument/2006/relationships/hyperlink" Target="https://www.kegg.jp/entry/C00357" TargetMode="External"/><Relationship Id="rId227" Type="http://schemas.openxmlformats.org/officeDocument/2006/relationships/hyperlink" Target="https://www.kegg.jp/entry/C00356" TargetMode="External"/><Relationship Id="rId469" Type="http://schemas.openxmlformats.org/officeDocument/2006/relationships/hyperlink" Target="https://www.kegg.jp/entry/C01638" TargetMode="External"/><Relationship Id="rId226" Type="http://schemas.openxmlformats.org/officeDocument/2006/relationships/hyperlink" Target="https://www.kegg.jp/entry/C00354" TargetMode="External"/><Relationship Id="rId468" Type="http://schemas.openxmlformats.org/officeDocument/2006/relationships/hyperlink" Target="https://www.kegg.jp/entry/C01637" TargetMode="External"/><Relationship Id="rId225" Type="http://schemas.openxmlformats.org/officeDocument/2006/relationships/hyperlink" Target="https://www.kegg.jp/entry/C00352" TargetMode="External"/><Relationship Id="rId467" Type="http://schemas.openxmlformats.org/officeDocument/2006/relationships/hyperlink" Target="https://www.kegg.jp/entry/C01636" TargetMode="External"/><Relationship Id="rId229" Type="http://schemas.openxmlformats.org/officeDocument/2006/relationships/hyperlink" Target="https://www.kegg.jp/entry/C00360" TargetMode="External"/><Relationship Id="rId1050" Type="http://schemas.openxmlformats.org/officeDocument/2006/relationships/hyperlink" Target="https://www.kegg.jp/entry/C16560" TargetMode="External"/><Relationship Id="rId220" Type="http://schemas.openxmlformats.org/officeDocument/2006/relationships/hyperlink" Target="https://www.kegg.jp/entry/C00341" TargetMode="External"/><Relationship Id="rId462" Type="http://schemas.openxmlformats.org/officeDocument/2006/relationships/hyperlink" Target="https://www.kegg.jp/entry/C01598" TargetMode="External"/><Relationship Id="rId1051" Type="http://schemas.openxmlformats.org/officeDocument/2006/relationships/hyperlink" Target="https://www.kegg.jp/entry/C16561" TargetMode="External"/><Relationship Id="rId461" Type="http://schemas.openxmlformats.org/officeDocument/2006/relationships/hyperlink" Target="https://www.kegg.jp/entry/C01595" TargetMode="External"/><Relationship Id="rId1052" Type="http://schemas.openxmlformats.org/officeDocument/2006/relationships/hyperlink" Target="https://www.kegg.jp/entry/C16565" TargetMode="External"/><Relationship Id="rId460" Type="http://schemas.openxmlformats.org/officeDocument/2006/relationships/hyperlink" Target="https://www.kegg.jp/entry/C01563" TargetMode="External"/><Relationship Id="rId1053" Type="http://schemas.openxmlformats.org/officeDocument/2006/relationships/hyperlink" Target="https://www.kegg.jp/entry/C16586" TargetMode="External"/><Relationship Id="rId1054" Type="http://schemas.openxmlformats.org/officeDocument/2006/relationships/hyperlink" Target="https://www.kegg.jp/entry/C16587" TargetMode="External"/><Relationship Id="rId224" Type="http://schemas.openxmlformats.org/officeDocument/2006/relationships/hyperlink" Target="https://www.kegg.jp/entry/C00350" TargetMode="External"/><Relationship Id="rId466" Type="http://schemas.openxmlformats.org/officeDocument/2006/relationships/hyperlink" Target="https://www.kegg.jp/entry/C01635" TargetMode="External"/><Relationship Id="rId1055" Type="http://schemas.openxmlformats.org/officeDocument/2006/relationships/hyperlink" Target="https://www.kegg.jp/entry/C16595" TargetMode="External"/><Relationship Id="rId223" Type="http://schemas.openxmlformats.org/officeDocument/2006/relationships/hyperlink" Target="https://www.kegg.jp/entry/C00345" TargetMode="External"/><Relationship Id="rId465" Type="http://schemas.openxmlformats.org/officeDocument/2006/relationships/hyperlink" Target="https://www.kegg.jp/entry/C01613" TargetMode="External"/><Relationship Id="rId1056" Type="http://schemas.openxmlformats.org/officeDocument/2006/relationships/hyperlink" Target="https://www.kegg.jp/entry/C16596" TargetMode="External"/><Relationship Id="rId222" Type="http://schemas.openxmlformats.org/officeDocument/2006/relationships/hyperlink" Target="https://www.kegg.jp/entry/C00343" TargetMode="External"/><Relationship Id="rId464" Type="http://schemas.openxmlformats.org/officeDocument/2006/relationships/hyperlink" Target="https://www.kegg.jp/entry/C01612" TargetMode="External"/><Relationship Id="rId1057" Type="http://schemas.openxmlformats.org/officeDocument/2006/relationships/hyperlink" Target="https://www.kegg.jp/entry/C16607" TargetMode="External"/><Relationship Id="rId221" Type="http://schemas.openxmlformats.org/officeDocument/2006/relationships/hyperlink" Target="https://www.kegg.jp/entry/C00342" TargetMode="External"/><Relationship Id="rId463" Type="http://schemas.openxmlformats.org/officeDocument/2006/relationships/hyperlink" Target="https://www.kegg.jp/entry/C01609" TargetMode="External"/><Relationship Id="rId1058" Type="http://schemas.openxmlformats.org/officeDocument/2006/relationships/hyperlink" Target="https://www.kegg.jp/entry/C16608" TargetMode="External"/><Relationship Id="rId1048" Type="http://schemas.openxmlformats.org/officeDocument/2006/relationships/hyperlink" Target="https://www.kegg.jp/entry/C16551" TargetMode="External"/><Relationship Id="rId1049" Type="http://schemas.openxmlformats.org/officeDocument/2006/relationships/hyperlink" Target="https://www.kegg.jp/entry/C16555" TargetMode="External"/><Relationship Id="rId217" Type="http://schemas.openxmlformats.org/officeDocument/2006/relationships/hyperlink" Target="https://www.kegg.jp/entry/C00332" TargetMode="External"/><Relationship Id="rId459" Type="http://schemas.openxmlformats.org/officeDocument/2006/relationships/hyperlink" Target="https://www.kegg.jp/entry/C01545" TargetMode="External"/><Relationship Id="rId216" Type="http://schemas.openxmlformats.org/officeDocument/2006/relationships/hyperlink" Target="https://www.kegg.jp/entry/C00330" TargetMode="External"/><Relationship Id="rId458" Type="http://schemas.openxmlformats.org/officeDocument/2006/relationships/hyperlink" Target="https://www.kegg.jp/entry/C01528" TargetMode="External"/><Relationship Id="rId215" Type="http://schemas.openxmlformats.org/officeDocument/2006/relationships/hyperlink" Target="https://www.kegg.jp/entry/C00328" TargetMode="External"/><Relationship Id="rId457" Type="http://schemas.openxmlformats.org/officeDocument/2006/relationships/hyperlink" Target="https://www.kegg.jp/entry/C01516" TargetMode="External"/><Relationship Id="rId699" Type="http://schemas.openxmlformats.org/officeDocument/2006/relationships/hyperlink" Target="https://www.kegg.jp/entry/C04618" TargetMode="External"/><Relationship Id="rId214" Type="http://schemas.openxmlformats.org/officeDocument/2006/relationships/hyperlink" Target="https://www.kegg.jp/entry/C00327" TargetMode="External"/><Relationship Id="rId456" Type="http://schemas.openxmlformats.org/officeDocument/2006/relationships/hyperlink" Target="https://www.kegg.jp/entry/C01450" TargetMode="External"/><Relationship Id="rId698" Type="http://schemas.openxmlformats.org/officeDocument/2006/relationships/hyperlink" Target="https://www.kegg.jp/entry/C04593" TargetMode="External"/><Relationship Id="rId219" Type="http://schemas.openxmlformats.org/officeDocument/2006/relationships/hyperlink" Target="https://www.kegg.jp/entry/C00337" TargetMode="External"/><Relationship Id="rId218" Type="http://schemas.openxmlformats.org/officeDocument/2006/relationships/hyperlink" Target="https://www.kegg.jp/entry/C00334" TargetMode="External"/><Relationship Id="rId451" Type="http://schemas.openxmlformats.org/officeDocument/2006/relationships/hyperlink" Target="https://www.kegg.jp/entry/C01346" TargetMode="External"/><Relationship Id="rId693" Type="http://schemas.openxmlformats.org/officeDocument/2006/relationships/hyperlink" Target="https://www.kegg.jp/entry/C04534" TargetMode="External"/><Relationship Id="rId1040" Type="http://schemas.openxmlformats.org/officeDocument/2006/relationships/hyperlink" Target="https://www.kegg.jp/entry/C16468" TargetMode="External"/><Relationship Id="rId450" Type="http://schemas.openxmlformats.org/officeDocument/2006/relationships/hyperlink" Target="https://www.kegg.jp/entry/C01345" TargetMode="External"/><Relationship Id="rId692" Type="http://schemas.openxmlformats.org/officeDocument/2006/relationships/hyperlink" Target="https://www.kegg.jp/entry/C04512" TargetMode="External"/><Relationship Id="rId1041" Type="http://schemas.openxmlformats.org/officeDocument/2006/relationships/hyperlink" Target="https://www.kegg.jp/entry/C16469" TargetMode="External"/><Relationship Id="rId691" Type="http://schemas.openxmlformats.org/officeDocument/2006/relationships/hyperlink" Target="https://www.kegg.jp/entry/C04501" TargetMode="External"/><Relationship Id="rId1042" Type="http://schemas.openxmlformats.org/officeDocument/2006/relationships/hyperlink" Target="https://www.kegg.jp/entry/C16502" TargetMode="External"/><Relationship Id="rId690" Type="http://schemas.openxmlformats.org/officeDocument/2006/relationships/hyperlink" Target="https://www.kegg.jp/entry/C04494" TargetMode="External"/><Relationship Id="rId1043" Type="http://schemas.openxmlformats.org/officeDocument/2006/relationships/hyperlink" Target="https://www.kegg.jp/entry/C16519" TargetMode="External"/><Relationship Id="rId213" Type="http://schemas.openxmlformats.org/officeDocument/2006/relationships/hyperlink" Target="https://www.kegg.jp/entry/C00320" TargetMode="External"/><Relationship Id="rId455" Type="http://schemas.openxmlformats.org/officeDocument/2006/relationships/hyperlink" Target="https://www.kegg.jp/entry/C01416" TargetMode="External"/><Relationship Id="rId697" Type="http://schemas.openxmlformats.org/officeDocument/2006/relationships/hyperlink" Target="https://www.kegg.jp/entry/C04582" TargetMode="External"/><Relationship Id="rId1044" Type="http://schemas.openxmlformats.org/officeDocument/2006/relationships/hyperlink" Target="https://www.kegg.jp/entry/C16543" TargetMode="External"/><Relationship Id="rId212" Type="http://schemas.openxmlformats.org/officeDocument/2006/relationships/hyperlink" Target="https://www.kegg.jp/entry/C00315" TargetMode="External"/><Relationship Id="rId454" Type="http://schemas.openxmlformats.org/officeDocument/2006/relationships/hyperlink" Target="https://www.kegg.jp/entry/C01412" TargetMode="External"/><Relationship Id="rId696" Type="http://schemas.openxmlformats.org/officeDocument/2006/relationships/hyperlink" Target="https://www.kegg.jp/entry/C04574" TargetMode="External"/><Relationship Id="rId1045" Type="http://schemas.openxmlformats.org/officeDocument/2006/relationships/hyperlink" Target="https://www.kegg.jp/entry/C16546" TargetMode="External"/><Relationship Id="rId211" Type="http://schemas.openxmlformats.org/officeDocument/2006/relationships/hyperlink" Target="https://www.kegg.jp/entry/C00311" TargetMode="External"/><Relationship Id="rId453" Type="http://schemas.openxmlformats.org/officeDocument/2006/relationships/hyperlink" Target="https://www.kegg.jp/entry/C01371" TargetMode="External"/><Relationship Id="rId695" Type="http://schemas.openxmlformats.org/officeDocument/2006/relationships/hyperlink" Target="https://www.kegg.jp/entry/C04556" TargetMode="External"/><Relationship Id="rId1046" Type="http://schemas.openxmlformats.org/officeDocument/2006/relationships/hyperlink" Target="https://www.kegg.jp/entry/C16547" TargetMode="External"/><Relationship Id="rId210" Type="http://schemas.openxmlformats.org/officeDocument/2006/relationships/hyperlink" Target="https://www.kegg.jp/entry/C00302" TargetMode="External"/><Relationship Id="rId452" Type="http://schemas.openxmlformats.org/officeDocument/2006/relationships/hyperlink" Target="https://www.kegg.jp/entry/C01352" TargetMode="External"/><Relationship Id="rId694" Type="http://schemas.openxmlformats.org/officeDocument/2006/relationships/hyperlink" Target="https://www.kegg.jp/entry/C04554" TargetMode="External"/><Relationship Id="rId1047" Type="http://schemas.openxmlformats.org/officeDocument/2006/relationships/hyperlink" Target="https://www.kegg.jp/entry/C16550" TargetMode="External"/><Relationship Id="rId491" Type="http://schemas.openxmlformats.org/officeDocument/2006/relationships/hyperlink" Target="https://www.kegg.jp/entry/C01921" TargetMode="External"/><Relationship Id="rId490" Type="http://schemas.openxmlformats.org/officeDocument/2006/relationships/hyperlink" Target="https://www.kegg.jp/entry/C01909" TargetMode="External"/><Relationship Id="rId249" Type="http://schemas.openxmlformats.org/officeDocument/2006/relationships/hyperlink" Target="https://www.kegg.jp/entry/C00409" TargetMode="External"/><Relationship Id="rId248" Type="http://schemas.openxmlformats.org/officeDocument/2006/relationships/hyperlink" Target="https://www.kegg.jp/entry/C00407" TargetMode="External"/><Relationship Id="rId247" Type="http://schemas.openxmlformats.org/officeDocument/2006/relationships/hyperlink" Target="https://www.kegg.jp/entry/C00405" TargetMode="External"/><Relationship Id="rId489" Type="http://schemas.openxmlformats.org/officeDocument/2006/relationships/hyperlink" Target="https://www.kegg.jp/entry/C01879" TargetMode="External"/><Relationship Id="rId1070" Type="http://schemas.openxmlformats.org/officeDocument/2006/relationships/hyperlink" Target="https://www.kegg.jp/entry/C16647" TargetMode="External"/><Relationship Id="rId1071" Type="http://schemas.openxmlformats.org/officeDocument/2006/relationships/hyperlink" Target="https://www.kegg.jp/entry/C16663" TargetMode="External"/><Relationship Id="rId1072" Type="http://schemas.openxmlformats.org/officeDocument/2006/relationships/hyperlink" Target="https://www.kegg.jp/entry/C16664" TargetMode="External"/><Relationship Id="rId242" Type="http://schemas.openxmlformats.org/officeDocument/2006/relationships/hyperlink" Target="https://www.kegg.jp/entry/C00395" TargetMode="External"/><Relationship Id="rId484" Type="http://schemas.openxmlformats.org/officeDocument/2006/relationships/hyperlink" Target="https://www.kegg.jp/entry/C01674" TargetMode="External"/><Relationship Id="rId1073" Type="http://schemas.openxmlformats.org/officeDocument/2006/relationships/hyperlink" Target="https://www.kegg.jp/entry/C16672" TargetMode="External"/><Relationship Id="rId241" Type="http://schemas.openxmlformats.org/officeDocument/2006/relationships/hyperlink" Target="https://www.kegg.jp/entry/C00390" TargetMode="External"/><Relationship Id="rId483" Type="http://schemas.openxmlformats.org/officeDocument/2006/relationships/hyperlink" Target="https://www.kegg.jp/entry/C01672" TargetMode="External"/><Relationship Id="rId1074" Type="http://schemas.openxmlformats.org/officeDocument/2006/relationships/hyperlink" Target="https://www.kegg.jp/entry/C16675" TargetMode="External"/><Relationship Id="rId240" Type="http://schemas.openxmlformats.org/officeDocument/2006/relationships/hyperlink" Target="https://www.kegg.jp/entry/C00387" TargetMode="External"/><Relationship Id="rId482" Type="http://schemas.openxmlformats.org/officeDocument/2006/relationships/hyperlink" Target="https://www.kegg.jp/entry/C01664" TargetMode="External"/><Relationship Id="rId1075" Type="http://schemas.openxmlformats.org/officeDocument/2006/relationships/hyperlink" Target="https://www.kegg.jp/entry/C16677" TargetMode="External"/><Relationship Id="rId481" Type="http://schemas.openxmlformats.org/officeDocument/2006/relationships/hyperlink" Target="https://www.kegg.jp/entry/C01653" TargetMode="External"/><Relationship Id="rId1076" Type="http://schemas.openxmlformats.org/officeDocument/2006/relationships/hyperlink" Target="https://www.kegg.jp/entry/C16679" TargetMode="External"/><Relationship Id="rId246" Type="http://schemas.openxmlformats.org/officeDocument/2006/relationships/hyperlink" Target="https://www.kegg.jp/entry/C00404" TargetMode="External"/><Relationship Id="rId488" Type="http://schemas.openxmlformats.org/officeDocument/2006/relationships/hyperlink" Target="https://www.kegg.jp/entry/C01866" TargetMode="External"/><Relationship Id="rId1077" Type="http://schemas.openxmlformats.org/officeDocument/2006/relationships/hyperlink" Target="https://www.kegg.jp/entry/C16680" TargetMode="External"/><Relationship Id="rId245" Type="http://schemas.openxmlformats.org/officeDocument/2006/relationships/hyperlink" Target="https://www.kegg.jp/entry/C00402" TargetMode="External"/><Relationship Id="rId487" Type="http://schemas.openxmlformats.org/officeDocument/2006/relationships/hyperlink" Target="https://www.kegg.jp/entry/C01801" TargetMode="External"/><Relationship Id="rId1078" Type="http://schemas.openxmlformats.org/officeDocument/2006/relationships/hyperlink" Target="https://www.kegg.jp/entry/C16688" TargetMode="External"/><Relationship Id="rId244" Type="http://schemas.openxmlformats.org/officeDocument/2006/relationships/hyperlink" Target="https://www.kegg.jp/entry/C00399" TargetMode="External"/><Relationship Id="rId486" Type="http://schemas.openxmlformats.org/officeDocument/2006/relationships/hyperlink" Target="https://www.kegg.jp/entry/C01764" TargetMode="External"/><Relationship Id="rId1079" Type="http://schemas.openxmlformats.org/officeDocument/2006/relationships/hyperlink" Target="https://www.kegg.jp/entry/C16698" TargetMode="External"/><Relationship Id="rId243" Type="http://schemas.openxmlformats.org/officeDocument/2006/relationships/hyperlink" Target="https://www.kegg.jp/entry/C00396" TargetMode="External"/><Relationship Id="rId485" Type="http://schemas.openxmlformats.org/officeDocument/2006/relationships/hyperlink" Target="https://www.kegg.jp/entry/C01762" TargetMode="External"/><Relationship Id="rId480" Type="http://schemas.openxmlformats.org/officeDocument/2006/relationships/hyperlink" Target="https://www.kegg.jp/entry/C01652" TargetMode="External"/><Relationship Id="rId239" Type="http://schemas.openxmlformats.org/officeDocument/2006/relationships/hyperlink" Target="https://www.kegg.jp/entry/C00385" TargetMode="External"/><Relationship Id="rId238" Type="http://schemas.openxmlformats.org/officeDocument/2006/relationships/hyperlink" Target="https://www.kegg.jp/entry/C00380" TargetMode="External"/><Relationship Id="rId237" Type="http://schemas.openxmlformats.org/officeDocument/2006/relationships/hyperlink" Target="https://www.kegg.jp/entry/C00378" TargetMode="External"/><Relationship Id="rId479" Type="http://schemas.openxmlformats.org/officeDocument/2006/relationships/hyperlink" Target="https://www.kegg.jp/entry/C01651" TargetMode="External"/><Relationship Id="rId236" Type="http://schemas.openxmlformats.org/officeDocument/2006/relationships/hyperlink" Target="https://www.kegg.jp/entry/C00376" TargetMode="External"/><Relationship Id="rId478" Type="http://schemas.openxmlformats.org/officeDocument/2006/relationships/hyperlink" Target="https://www.kegg.jp/entry/C01649" TargetMode="External"/><Relationship Id="rId1060" Type="http://schemas.openxmlformats.org/officeDocument/2006/relationships/hyperlink" Target="https://www.kegg.jp/entry/C16614" TargetMode="External"/><Relationship Id="rId1061" Type="http://schemas.openxmlformats.org/officeDocument/2006/relationships/hyperlink" Target="https://www.kegg.jp/entry/C16615" TargetMode="External"/><Relationship Id="rId231" Type="http://schemas.openxmlformats.org/officeDocument/2006/relationships/hyperlink" Target="https://www.kegg.jp/entry/C00362" TargetMode="External"/><Relationship Id="rId473" Type="http://schemas.openxmlformats.org/officeDocument/2006/relationships/hyperlink" Target="https://www.kegg.jp/entry/C01644" TargetMode="External"/><Relationship Id="rId1062" Type="http://schemas.openxmlformats.org/officeDocument/2006/relationships/hyperlink" Target="https://www.kegg.jp/entry/C16617" TargetMode="External"/><Relationship Id="rId230" Type="http://schemas.openxmlformats.org/officeDocument/2006/relationships/hyperlink" Target="https://www.kegg.jp/entry/C00361" TargetMode="External"/><Relationship Id="rId472" Type="http://schemas.openxmlformats.org/officeDocument/2006/relationships/hyperlink" Target="https://www.kegg.jp/entry/C01643" TargetMode="External"/><Relationship Id="rId1063" Type="http://schemas.openxmlformats.org/officeDocument/2006/relationships/hyperlink" Target="https://www.kegg.jp/entry/C16618" TargetMode="External"/><Relationship Id="rId471" Type="http://schemas.openxmlformats.org/officeDocument/2006/relationships/hyperlink" Target="https://www.kegg.jp/entry/C01641" TargetMode="External"/><Relationship Id="rId1064" Type="http://schemas.openxmlformats.org/officeDocument/2006/relationships/hyperlink" Target="https://www.kegg.jp/entry/C16619" TargetMode="External"/><Relationship Id="rId470" Type="http://schemas.openxmlformats.org/officeDocument/2006/relationships/hyperlink" Target="https://www.kegg.jp/entry/C01639" TargetMode="External"/><Relationship Id="rId1065" Type="http://schemas.openxmlformats.org/officeDocument/2006/relationships/hyperlink" Target="https://www.kegg.jp/entry/C16633" TargetMode="External"/><Relationship Id="rId235" Type="http://schemas.openxmlformats.org/officeDocument/2006/relationships/hyperlink" Target="https://www.kegg.jp/entry/C00369" TargetMode="External"/><Relationship Id="rId477" Type="http://schemas.openxmlformats.org/officeDocument/2006/relationships/hyperlink" Target="https://www.kegg.jp/entry/C01648" TargetMode="External"/><Relationship Id="rId1066" Type="http://schemas.openxmlformats.org/officeDocument/2006/relationships/hyperlink" Target="https://www.kegg.jp/entry/C16634" TargetMode="External"/><Relationship Id="rId234" Type="http://schemas.openxmlformats.org/officeDocument/2006/relationships/hyperlink" Target="https://www.kegg.jp/entry/C00365" TargetMode="External"/><Relationship Id="rId476" Type="http://schemas.openxmlformats.org/officeDocument/2006/relationships/hyperlink" Target="https://www.kegg.jp/entry/C01647" TargetMode="External"/><Relationship Id="rId1067" Type="http://schemas.openxmlformats.org/officeDocument/2006/relationships/hyperlink" Target="https://www.kegg.jp/entry/C16635" TargetMode="External"/><Relationship Id="rId233" Type="http://schemas.openxmlformats.org/officeDocument/2006/relationships/hyperlink" Target="https://www.kegg.jp/entry/C00364" TargetMode="External"/><Relationship Id="rId475" Type="http://schemas.openxmlformats.org/officeDocument/2006/relationships/hyperlink" Target="https://www.kegg.jp/entry/C01646" TargetMode="External"/><Relationship Id="rId1068" Type="http://schemas.openxmlformats.org/officeDocument/2006/relationships/hyperlink" Target="https://www.kegg.jp/entry/C16639" TargetMode="External"/><Relationship Id="rId232" Type="http://schemas.openxmlformats.org/officeDocument/2006/relationships/hyperlink" Target="https://www.kegg.jp/entry/C00363" TargetMode="External"/><Relationship Id="rId474" Type="http://schemas.openxmlformats.org/officeDocument/2006/relationships/hyperlink" Target="https://www.kegg.jp/entry/C01645" TargetMode="External"/><Relationship Id="rId1069" Type="http://schemas.openxmlformats.org/officeDocument/2006/relationships/hyperlink" Target="https://www.kegg.jp/entry/C16641" TargetMode="External"/><Relationship Id="rId1015" Type="http://schemas.openxmlformats.org/officeDocument/2006/relationships/hyperlink" Target="https://www.kegg.jp/entry/C16219" TargetMode="External"/><Relationship Id="rId1016" Type="http://schemas.openxmlformats.org/officeDocument/2006/relationships/hyperlink" Target="https://www.kegg.jp/entry/C16220" TargetMode="External"/><Relationship Id="rId1017" Type="http://schemas.openxmlformats.org/officeDocument/2006/relationships/hyperlink" Target="https://www.kegg.jp/entry/C16221" TargetMode="External"/><Relationship Id="rId1018" Type="http://schemas.openxmlformats.org/officeDocument/2006/relationships/hyperlink" Target="https://www.kegg.jp/entry/C16236" TargetMode="External"/><Relationship Id="rId1019" Type="http://schemas.openxmlformats.org/officeDocument/2006/relationships/hyperlink" Target="https://www.kegg.jp/entry/C16237" TargetMode="External"/><Relationship Id="rId426" Type="http://schemas.openxmlformats.org/officeDocument/2006/relationships/hyperlink" Target="https://www.kegg.jp/entry/C01185" TargetMode="External"/><Relationship Id="rId668" Type="http://schemas.openxmlformats.org/officeDocument/2006/relationships/hyperlink" Target="https://www.kegg.jp/entry/C04272" TargetMode="External"/><Relationship Id="rId425" Type="http://schemas.openxmlformats.org/officeDocument/2006/relationships/hyperlink" Target="https://www.kegg.jp/entry/C01181" TargetMode="External"/><Relationship Id="rId667" Type="http://schemas.openxmlformats.org/officeDocument/2006/relationships/hyperlink" Target="https://www.kegg.jp/entry/C04262" TargetMode="External"/><Relationship Id="rId424" Type="http://schemas.openxmlformats.org/officeDocument/2006/relationships/hyperlink" Target="https://www.kegg.jp/entry/C01179" TargetMode="External"/><Relationship Id="rId666" Type="http://schemas.openxmlformats.org/officeDocument/2006/relationships/hyperlink" Target="https://www.kegg.jp/entry/C04261" TargetMode="External"/><Relationship Id="rId423" Type="http://schemas.openxmlformats.org/officeDocument/2006/relationships/hyperlink" Target="https://www.kegg.jp/entry/C01177" TargetMode="External"/><Relationship Id="rId665" Type="http://schemas.openxmlformats.org/officeDocument/2006/relationships/hyperlink" Target="https://www.kegg.jp/entry/C04260" TargetMode="External"/><Relationship Id="rId429" Type="http://schemas.openxmlformats.org/officeDocument/2006/relationships/hyperlink" Target="https://www.kegg.jp/entry/C01212" TargetMode="External"/><Relationship Id="rId428" Type="http://schemas.openxmlformats.org/officeDocument/2006/relationships/hyperlink" Target="https://www.kegg.jp/entry/C01209" TargetMode="External"/><Relationship Id="rId427" Type="http://schemas.openxmlformats.org/officeDocument/2006/relationships/hyperlink" Target="https://www.kegg.jp/entry/C01194" TargetMode="External"/><Relationship Id="rId669" Type="http://schemas.openxmlformats.org/officeDocument/2006/relationships/hyperlink" Target="https://www.kegg.jp/entry/C04281" TargetMode="External"/><Relationship Id="rId660" Type="http://schemas.openxmlformats.org/officeDocument/2006/relationships/hyperlink" Target="https://www.kegg.jp/entry/C04236" TargetMode="External"/><Relationship Id="rId1010" Type="http://schemas.openxmlformats.org/officeDocument/2006/relationships/hyperlink" Target="https://www.kegg.jp/entry/C15977" TargetMode="External"/><Relationship Id="rId422" Type="http://schemas.openxmlformats.org/officeDocument/2006/relationships/hyperlink" Target="https://www.kegg.jp/entry/C01172" TargetMode="External"/><Relationship Id="rId664" Type="http://schemas.openxmlformats.org/officeDocument/2006/relationships/hyperlink" Target="https://www.kegg.jp/entry/C04258" TargetMode="External"/><Relationship Id="rId1011" Type="http://schemas.openxmlformats.org/officeDocument/2006/relationships/hyperlink" Target="https://www.kegg.jp/entry/C15978" TargetMode="External"/><Relationship Id="rId421" Type="http://schemas.openxmlformats.org/officeDocument/2006/relationships/hyperlink" Target="https://www.kegg.jp/entry/C01170" TargetMode="External"/><Relationship Id="rId663" Type="http://schemas.openxmlformats.org/officeDocument/2006/relationships/hyperlink" Target="https://www.kegg.jp/entry/C04250" TargetMode="External"/><Relationship Id="rId1012" Type="http://schemas.openxmlformats.org/officeDocument/2006/relationships/hyperlink" Target="https://www.kegg.jp/entry/C15979" TargetMode="External"/><Relationship Id="rId420" Type="http://schemas.openxmlformats.org/officeDocument/2006/relationships/hyperlink" Target="https://www.kegg.jp/entry/C01167" TargetMode="External"/><Relationship Id="rId662" Type="http://schemas.openxmlformats.org/officeDocument/2006/relationships/hyperlink" Target="https://www.kegg.jp/entry/C04246" TargetMode="External"/><Relationship Id="rId1013" Type="http://schemas.openxmlformats.org/officeDocument/2006/relationships/hyperlink" Target="https://www.kegg.jp/entry/C15996" TargetMode="External"/><Relationship Id="rId661" Type="http://schemas.openxmlformats.org/officeDocument/2006/relationships/hyperlink" Target="https://www.kegg.jp/entry/C04242" TargetMode="External"/><Relationship Id="rId1014" Type="http://schemas.openxmlformats.org/officeDocument/2006/relationships/hyperlink" Target="https://www.kegg.jp/entry/C15999" TargetMode="External"/><Relationship Id="rId1004" Type="http://schemas.openxmlformats.org/officeDocument/2006/relationships/hyperlink" Target="https://www.kegg.jp/entry/C15814" TargetMode="External"/><Relationship Id="rId1005" Type="http://schemas.openxmlformats.org/officeDocument/2006/relationships/hyperlink" Target="https://www.kegg.jp/entry/C15972" TargetMode="External"/><Relationship Id="rId1006" Type="http://schemas.openxmlformats.org/officeDocument/2006/relationships/hyperlink" Target="https://www.kegg.jp/entry/C15973" TargetMode="External"/><Relationship Id="rId1007" Type="http://schemas.openxmlformats.org/officeDocument/2006/relationships/hyperlink" Target="https://www.kegg.jp/entry/C15974" TargetMode="External"/><Relationship Id="rId1008" Type="http://schemas.openxmlformats.org/officeDocument/2006/relationships/hyperlink" Target="https://www.kegg.jp/entry/C15975" TargetMode="External"/><Relationship Id="rId1009" Type="http://schemas.openxmlformats.org/officeDocument/2006/relationships/hyperlink" Target="https://www.kegg.jp/entry/C15976" TargetMode="External"/><Relationship Id="rId415" Type="http://schemas.openxmlformats.org/officeDocument/2006/relationships/hyperlink" Target="https://www.kegg.jp/entry/C01149" TargetMode="External"/><Relationship Id="rId657" Type="http://schemas.openxmlformats.org/officeDocument/2006/relationships/hyperlink" Target="https://www.kegg.jp/entry/C04203" TargetMode="External"/><Relationship Id="rId899" Type="http://schemas.openxmlformats.org/officeDocument/2006/relationships/hyperlink" Target="https://www.kegg.jp/entry/C07073" TargetMode="External"/><Relationship Id="rId414" Type="http://schemas.openxmlformats.org/officeDocument/2006/relationships/hyperlink" Target="https://www.kegg.jp/entry/C01144" TargetMode="External"/><Relationship Id="rId656" Type="http://schemas.openxmlformats.org/officeDocument/2006/relationships/hyperlink" Target="https://www.kegg.jp/entry/C04188" TargetMode="External"/><Relationship Id="rId898" Type="http://schemas.openxmlformats.org/officeDocument/2006/relationships/hyperlink" Target="https://www.kegg.jp/entry/C07054" TargetMode="External"/><Relationship Id="rId413" Type="http://schemas.openxmlformats.org/officeDocument/2006/relationships/hyperlink" Target="https://www.kegg.jp/entry/C01142" TargetMode="External"/><Relationship Id="rId655" Type="http://schemas.openxmlformats.org/officeDocument/2006/relationships/hyperlink" Target="https://www.kegg.jp/entry/C04181" TargetMode="External"/><Relationship Id="rId897" Type="http://schemas.openxmlformats.org/officeDocument/2006/relationships/hyperlink" Target="https://www.kegg.jp/entry/C07047" TargetMode="External"/><Relationship Id="rId412" Type="http://schemas.openxmlformats.org/officeDocument/2006/relationships/hyperlink" Target="https://www.kegg.jp/entry/C01137" TargetMode="External"/><Relationship Id="rId654" Type="http://schemas.openxmlformats.org/officeDocument/2006/relationships/hyperlink" Target="https://www.kegg.jp/entry/C04171" TargetMode="External"/><Relationship Id="rId896" Type="http://schemas.openxmlformats.org/officeDocument/2006/relationships/hyperlink" Target="https://www.kegg.jp/entry/C06899" TargetMode="External"/><Relationship Id="rId419" Type="http://schemas.openxmlformats.org/officeDocument/2006/relationships/hyperlink" Target="https://www.kegg.jp/entry/C01165" TargetMode="External"/><Relationship Id="rId418" Type="http://schemas.openxmlformats.org/officeDocument/2006/relationships/hyperlink" Target="https://www.kegg.jp/entry/C01159" TargetMode="External"/><Relationship Id="rId417" Type="http://schemas.openxmlformats.org/officeDocument/2006/relationships/hyperlink" Target="https://www.kegg.jp/entry/C01157" TargetMode="External"/><Relationship Id="rId659" Type="http://schemas.openxmlformats.org/officeDocument/2006/relationships/hyperlink" Target="https://www.kegg.jp/entry/C04232" TargetMode="External"/><Relationship Id="rId416" Type="http://schemas.openxmlformats.org/officeDocument/2006/relationships/hyperlink" Target="https://www.kegg.jp/entry/C01153" TargetMode="External"/><Relationship Id="rId658" Type="http://schemas.openxmlformats.org/officeDocument/2006/relationships/hyperlink" Target="https://www.kegg.jp/entry/C04225" TargetMode="External"/><Relationship Id="rId891" Type="http://schemas.openxmlformats.org/officeDocument/2006/relationships/hyperlink" Target="https://www.kegg.jp/entry/C06754" TargetMode="External"/><Relationship Id="rId890" Type="http://schemas.openxmlformats.org/officeDocument/2006/relationships/hyperlink" Target="https://www.kegg.jp/entry/C06697" TargetMode="External"/><Relationship Id="rId411" Type="http://schemas.openxmlformats.org/officeDocument/2006/relationships/hyperlink" Target="https://www.kegg.jp/entry/C01134" TargetMode="External"/><Relationship Id="rId653" Type="http://schemas.openxmlformats.org/officeDocument/2006/relationships/hyperlink" Target="https://www.kegg.jp/entry/C04161" TargetMode="External"/><Relationship Id="rId895" Type="http://schemas.openxmlformats.org/officeDocument/2006/relationships/hyperlink" Target="https://www.kegg.jp/entry/C06868" TargetMode="External"/><Relationship Id="rId1000" Type="http://schemas.openxmlformats.org/officeDocument/2006/relationships/hyperlink" Target="https://www.kegg.jp/entry/C15810" TargetMode="External"/><Relationship Id="rId410" Type="http://schemas.openxmlformats.org/officeDocument/2006/relationships/hyperlink" Target="https://www.kegg.jp/entry/C01122" TargetMode="External"/><Relationship Id="rId652" Type="http://schemas.openxmlformats.org/officeDocument/2006/relationships/hyperlink" Target="https://www.kegg.jp/entry/C04160" TargetMode="External"/><Relationship Id="rId894" Type="http://schemas.openxmlformats.org/officeDocument/2006/relationships/hyperlink" Target="https://www.kegg.jp/entry/C06800" TargetMode="External"/><Relationship Id="rId1001" Type="http://schemas.openxmlformats.org/officeDocument/2006/relationships/hyperlink" Target="https://www.kegg.jp/entry/C15811" TargetMode="External"/><Relationship Id="rId651" Type="http://schemas.openxmlformats.org/officeDocument/2006/relationships/hyperlink" Target="https://www.kegg.jp/entry/C04157" TargetMode="External"/><Relationship Id="rId893" Type="http://schemas.openxmlformats.org/officeDocument/2006/relationships/hyperlink" Target="https://www.kegg.jp/entry/C06790" TargetMode="External"/><Relationship Id="rId1002" Type="http://schemas.openxmlformats.org/officeDocument/2006/relationships/hyperlink" Target="https://www.kegg.jp/entry/C15812" TargetMode="External"/><Relationship Id="rId650" Type="http://schemas.openxmlformats.org/officeDocument/2006/relationships/hyperlink" Target="https://www.kegg.jp/entry/C04153" TargetMode="External"/><Relationship Id="rId892" Type="http://schemas.openxmlformats.org/officeDocument/2006/relationships/hyperlink" Target="https://www.kegg.jp/entry/C06755" TargetMode="External"/><Relationship Id="rId1003" Type="http://schemas.openxmlformats.org/officeDocument/2006/relationships/hyperlink" Target="https://www.kegg.jp/entry/C15813" TargetMode="External"/><Relationship Id="rId1037" Type="http://schemas.openxmlformats.org/officeDocument/2006/relationships/hyperlink" Target="https://www.kegg.jp/entry/C16453" TargetMode="External"/><Relationship Id="rId1038" Type="http://schemas.openxmlformats.org/officeDocument/2006/relationships/hyperlink" Target="https://www.kegg.jp/entry/C16463" TargetMode="External"/><Relationship Id="rId1039" Type="http://schemas.openxmlformats.org/officeDocument/2006/relationships/hyperlink" Target="https://www.kegg.jp/entry/C16466" TargetMode="External"/><Relationship Id="rId206" Type="http://schemas.openxmlformats.org/officeDocument/2006/relationships/hyperlink" Target="https://www.kegg.jp/entry/C00288" TargetMode="External"/><Relationship Id="rId448" Type="http://schemas.openxmlformats.org/officeDocument/2006/relationships/hyperlink" Target="https://www.kegg.jp/entry/C01336" TargetMode="External"/><Relationship Id="rId205" Type="http://schemas.openxmlformats.org/officeDocument/2006/relationships/hyperlink" Target="https://www.kegg.jp/entry/C00286" TargetMode="External"/><Relationship Id="rId447" Type="http://schemas.openxmlformats.org/officeDocument/2006/relationships/hyperlink" Target="https://www.kegg.jp/entry/C01335" TargetMode="External"/><Relationship Id="rId689" Type="http://schemas.openxmlformats.org/officeDocument/2006/relationships/hyperlink" Target="https://www.kegg.jp/entry/C04489" TargetMode="External"/><Relationship Id="rId204" Type="http://schemas.openxmlformats.org/officeDocument/2006/relationships/hyperlink" Target="https://www.kegg.jp/entry/C00283" TargetMode="External"/><Relationship Id="rId446" Type="http://schemas.openxmlformats.org/officeDocument/2006/relationships/hyperlink" Target="https://www.kegg.jp/entry/C01334" TargetMode="External"/><Relationship Id="rId688" Type="http://schemas.openxmlformats.org/officeDocument/2006/relationships/hyperlink" Target="https://www.kegg.jp/entry/C04483" TargetMode="External"/><Relationship Id="rId203" Type="http://schemas.openxmlformats.org/officeDocument/2006/relationships/hyperlink" Target="https://www.kegg.jp/entry/C00280" TargetMode="External"/><Relationship Id="rId445" Type="http://schemas.openxmlformats.org/officeDocument/2006/relationships/hyperlink" Target="https://www.kegg.jp/entry/C01327" TargetMode="External"/><Relationship Id="rId687" Type="http://schemas.openxmlformats.org/officeDocument/2006/relationships/hyperlink" Target="https://www.kegg.jp/entry/C04454" TargetMode="External"/><Relationship Id="rId209" Type="http://schemas.openxmlformats.org/officeDocument/2006/relationships/hyperlink" Target="https://www.kegg.jp/entry/C00299" TargetMode="External"/><Relationship Id="rId208" Type="http://schemas.openxmlformats.org/officeDocument/2006/relationships/hyperlink" Target="https://www.kegg.jp/entry/C00295" TargetMode="External"/><Relationship Id="rId207" Type="http://schemas.openxmlformats.org/officeDocument/2006/relationships/hyperlink" Target="https://www.kegg.jp/entry/C00294" TargetMode="External"/><Relationship Id="rId449" Type="http://schemas.openxmlformats.org/officeDocument/2006/relationships/hyperlink" Target="https://www.kegg.jp/entry/C01344" TargetMode="External"/><Relationship Id="rId440" Type="http://schemas.openxmlformats.org/officeDocument/2006/relationships/hyperlink" Target="https://www.kegg.jp/entry/C01271" TargetMode="External"/><Relationship Id="rId682" Type="http://schemas.openxmlformats.org/officeDocument/2006/relationships/hyperlink" Target="https://www.kegg.jp/entry/C04405" TargetMode="External"/><Relationship Id="rId681" Type="http://schemas.openxmlformats.org/officeDocument/2006/relationships/hyperlink" Target="https://www.kegg.jp/entry/C04377" TargetMode="External"/><Relationship Id="rId1030" Type="http://schemas.openxmlformats.org/officeDocument/2006/relationships/hyperlink" Target="https://www.kegg.jp/entry/C16332" TargetMode="External"/><Relationship Id="rId680" Type="http://schemas.openxmlformats.org/officeDocument/2006/relationships/hyperlink" Target="https://www.kegg.jp/entry/C04376" TargetMode="External"/><Relationship Id="rId1031" Type="http://schemas.openxmlformats.org/officeDocument/2006/relationships/hyperlink" Target="https://www.kegg.jp/entry/C16333" TargetMode="External"/><Relationship Id="rId1032" Type="http://schemas.openxmlformats.org/officeDocument/2006/relationships/hyperlink" Target="https://www.kegg.jp/entry/C16336" TargetMode="External"/><Relationship Id="rId202" Type="http://schemas.openxmlformats.org/officeDocument/2006/relationships/hyperlink" Target="https://www.kegg.jp/entry/C00279" TargetMode="External"/><Relationship Id="rId444" Type="http://schemas.openxmlformats.org/officeDocument/2006/relationships/hyperlink" Target="https://www.kegg.jp/entry/C01304" TargetMode="External"/><Relationship Id="rId686" Type="http://schemas.openxmlformats.org/officeDocument/2006/relationships/hyperlink" Target="https://www.kegg.jp/entry/C04432" TargetMode="External"/><Relationship Id="rId1033" Type="http://schemas.openxmlformats.org/officeDocument/2006/relationships/hyperlink" Target="https://www.kegg.jp/entry/C16337" TargetMode="External"/><Relationship Id="rId201" Type="http://schemas.openxmlformats.org/officeDocument/2006/relationships/hyperlink" Target="https://www.kegg.jp/entry/C00272" TargetMode="External"/><Relationship Id="rId443" Type="http://schemas.openxmlformats.org/officeDocument/2006/relationships/hyperlink" Target="https://www.kegg.jp/entry/C01302" TargetMode="External"/><Relationship Id="rId685" Type="http://schemas.openxmlformats.org/officeDocument/2006/relationships/hyperlink" Target="https://www.kegg.jp/entry/C04425" TargetMode="External"/><Relationship Id="rId1034" Type="http://schemas.openxmlformats.org/officeDocument/2006/relationships/hyperlink" Target="https://www.kegg.jp/entry/C16348" TargetMode="External"/><Relationship Id="rId200" Type="http://schemas.openxmlformats.org/officeDocument/2006/relationships/hyperlink" Target="https://www.kegg.jp/entry/C00269" TargetMode="External"/><Relationship Id="rId442" Type="http://schemas.openxmlformats.org/officeDocument/2006/relationships/hyperlink" Target="https://www.kegg.jp/entry/C01300" TargetMode="External"/><Relationship Id="rId684" Type="http://schemas.openxmlformats.org/officeDocument/2006/relationships/hyperlink" Target="https://www.kegg.jp/entry/C04419" TargetMode="External"/><Relationship Id="rId1035" Type="http://schemas.openxmlformats.org/officeDocument/2006/relationships/hyperlink" Target="https://www.kegg.jp/entry/C16356" TargetMode="External"/><Relationship Id="rId441" Type="http://schemas.openxmlformats.org/officeDocument/2006/relationships/hyperlink" Target="https://www.kegg.jp/entry/C01279" TargetMode="External"/><Relationship Id="rId683" Type="http://schemas.openxmlformats.org/officeDocument/2006/relationships/hyperlink" Target="https://www.kegg.jp/entry/C04411" TargetMode="External"/><Relationship Id="rId1036" Type="http://schemas.openxmlformats.org/officeDocument/2006/relationships/hyperlink" Target="https://www.kegg.jp/entry/C16358" TargetMode="External"/><Relationship Id="rId1026" Type="http://schemas.openxmlformats.org/officeDocument/2006/relationships/hyperlink" Target="https://www.kegg.jp/entry/C16273" TargetMode="External"/><Relationship Id="rId1027" Type="http://schemas.openxmlformats.org/officeDocument/2006/relationships/hyperlink" Target="https://www.kegg.jp/entry/C16310" TargetMode="External"/><Relationship Id="rId1028" Type="http://schemas.openxmlformats.org/officeDocument/2006/relationships/hyperlink" Target="https://www.kegg.jp/entry/C16328" TargetMode="External"/><Relationship Id="rId1029" Type="http://schemas.openxmlformats.org/officeDocument/2006/relationships/hyperlink" Target="https://www.kegg.jp/entry/C16329" TargetMode="External"/><Relationship Id="rId437" Type="http://schemas.openxmlformats.org/officeDocument/2006/relationships/hyperlink" Target="https://www.kegg.jp/entry/C01267" TargetMode="External"/><Relationship Id="rId679" Type="http://schemas.openxmlformats.org/officeDocument/2006/relationships/hyperlink" Target="https://www.kegg.jp/entry/C04352" TargetMode="External"/><Relationship Id="rId436" Type="http://schemas.openxmlformats.org/officeDocument/2006/relationships/hyperlink" Target="https://www.kegg.jp/entry/C01260" TargetMode="External"/><Relationship Id="rId678" Type="http://schemas.openxmlformats.org/officeDocument/2006/relationships/hyperlink" Target="https://www.kegg.jp/entry/C04341" TargetMode="External"/><Relationship Id="rId435" Type="http://schemas.openxmlformats.org/officeDocument/2006/relationships/hyperlink" Target="https://www.kegg.jp/entry/C01250" TargetMode="External"/><Relationship Id="rId677" Type="http://schemas.openxmlformats.org/officeDocument/2006/relationships/hyperlink" Target="https://www.kegg.jp/entry/C04340" TargetMode="External"/><Relationship Id="rId434" Type="http://schemas.openxmlformats.org/officeDocument/2006/relationships/hyperlink" Target="https://www.kegg.jp/entry/C01242" TargetMode="External"/><Relationship Id="rId676" Type="http://schemas.openxmlformats.org/officeDocument/2006/relationships/hyperlink" Target="https://www.kegg.jp/entry/C04332" TargetMode="External"/><Relationship Id="rId439" Type="http://schemas.openxmlformats.org/officeDocument/2006/relationships/hyperlink" Target="https://www.kegg.jp/entry/C01269" TargetMode="External"/><Relationship Id="rId438" Type="http://schemas.openxmlformats.org/officeDocument/2006/relationships/hyperlink" Target="https://www.kegg.jp/entry/C01268" TargetMode="External"/><Relationship Id="rId671" Type="http://schemas.openxmlformats.org/officeDocument/2006/relationships/hyperlink" Target="https://www.kegg.jp/entry/C04299" TargetMode="External"/><Relationship Id="rId670" Type="http://schemas.openxmlformats.org/officeDocument/2006/relationships/hyperlink" Target="https://www.kegg.jp/entry/C04294" TargetMode="External"/><Relationship Id="rId1020" Type="http://schemas.openxmlformats.org/officeDocument/2006/relationships/hyperlink" Target="https://www.kegg.jp/entry/C16238" TargetMode="External"/><Relationship Id="rId1021" Type="http://schemas.openxmlformats.org/officeDocument/2006/relationships/hyperlink" Target="https://www.kegg.jp/entry/C16240" TargetMode="External"/><Relationship Id="rId433" Type="http://schemas.openxmlformats.org/officeDocument/2006/relationships/hyperlink" Target="https://www.kegg.jp/entry/C01229" TargetMode="External"/><Relationship Id="rId675" Type="http://schemas.openxmlformats.org/officeDocument/2006/relationships/hyperlink" Target="https://www.kegg.jp/entry/C04327" TargetMode="External"/><Relationship Id="rId1022" Type="http://schemas.openxmlformats.org/officeDocument/2006/relationships/hyperlink" Target="https://www.kegg.jp/entry/C16241" TargetMode="External"/><Relationship Id="rId432" Type="http://schemas.openxmlformats.org/officeDocument/2006/relationships/hyperlink" Target="https://www.kegg.jp/entry/C01227" TargetMode="External"/><Relationship Id="rId674" Type="http://schemas.openxmlformats.org/officeDocument/2006/relationships/hyperlink" Target="https://www.kegg.jp/entry/C04322" TargetMode="External"/><Relationship Id="rId1023" Type="http://schemas.openxmlformats.org/officeDocument/2006/relationships/hyperlink" Target="https://www.kegg.jp/entry/C16254" TargetMode="External"/><Relationship Id="rId431" Type="http://schemas.openxmlformats.org/officeDocument/2006/relationships/hyperlink" Target="https://www.kegg.jp/entry/C01219" TargetMode="External"/><Relationship Id="rId673" Type="http://schemas.openxmlformats.org/officeDocument/2006/relationships/hyperlink" Target="https://www.kegg.jp/entry/C04309" TargetMode="External"/><Relationship Id="rId1024" Type="http://schemas.openxmlformats.org/officeDocument/2006/relationships/hyperlink" Target="https://www.kegg.jp/entry/C16255" TargetMode="External"/><Relationship Id="rId430" Type="http://schemas.openxmlformats.org/officeDocument/2006/relationships/hyperlink" Target="https://www.kegg.jp/entry/C01217" TargetMode="External"/><Relationship Id="rId672" Type="http://schemas.openxmlformats.org/officeDocument/2006/relationships/hyperlink" Target="https://www.kegg.jp/entry/C04302" TargetMode="External"/><Relationship Id="rId1025" Type="http://schemas.openxmlformats.org/officeDocument/2006/relationships/hyperlink" Target="https://www.kegg.jp/entry/C16272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3.13"/>
    <col customWidth="1" min="3" max="3" width="41.13"/>
    <col customWidth="1" min="5" max="5" width="34.63"/>
  </cols>
  <sheetData>
    <row r="1">
      <c r="A1" s="1" t="s">
        <v>0</v>
      </c>
      <c r="B1" s="2"/>
      <c r="C1" s="2"/>
      <c r="D1" s="2"/>
      <c r="E1" s="2"/>
    </row>
    <row r="2">
      <c r="A2" s="3"/>
      <c r="B2" s="4" t="s">
        <v>1</v>
      </c>
      <c r="C2" s="4" t="s">
        <v>2</v>
      </c>
      <c r="D2" s="2"/>
      <c r="E2" s="2"/>
    </row>
    <row r="3">
      <c r="A3" s="5" t="s">
        <v>3</v>
      </c>
      <c r="B3" s="4" t="s">
        <v>4</v>
      </c>
      <c r="C3" s="4" t="s">
        <v>5</v>
      </c>
      <c r="D3" s="2"/>
      <c r="E3" s="2"/>
    </row>
    <row r="4">
      <c r="A4" s="5" t="s">
        <v>6</v>
      </c>
      <c r="B4" s="4" t="s">
        <v>7</v>
      </c>
      <c r="C4" s="4" t="s">
        <v>8</v>
      </c>
      <c r="D4" s="2"/>
      <c r="E4" s="2"/>
    </row>
    <row r="5">
      <c r="A5" s="5" t="s">
        <v>9</v>
      </c>
      <c r="B5" s="6">
        <v>45622.0</v>
      </c>
      <c r="C5" s="6">
        <v>45239.0</v>
      </c>
      <c r="D5" s="2"/>
      <c r="E5" s="2"/>
    </row>
    <row r="6">
      <c r="A6" s="5" t="s">
        <v>10</v>
      </c>
      <c r="B6" s="7">
        <v>5623.0</v>
      </c>
      <c r="C6" s="7">
        <v>5623.0</v>
      </c>
      <c r="D6" s="2"/>
      <c r="E6" s="2"/>
    </row>
    <row r="7">
      <c r="A7" s="5" t="s">
        <v>11</v>
      </c>
      <c r="B7" s="7">
        <v>5259.0</v>
      </c>
      <c r="C7" s="7">
        <v>5264.0</v>
      </c>
      <c r="D7" s="2"/>
      <c r="E7" s="2"/>
    </row>
    <row r="8">
      <c r="A8" s="2"/>
      <c r="B8" s="2"/>
      <c r="C8" s="2"/>
      <c r="D8" s="2"/>
      <c r="E8" s="2"/>
    </row>
    <row r="9">
      <c r="A9" s="4" t="s">
        <v>12</v>
      </c>
      <c r="B9" s="4" t="s">
        <v>2</v>
      </c>
      <c r="C9" s="4" t="s">
        <v>1</v>
      </c>
      <c r="D9" s="8" t="s">
        <v>13</v>
      </c>
      <c r="E9" s="8" t="s">
        <v>14</v>
      </c>
    </row>
    <row r="10">
      <c r="A10" s="4" t="s">
        <v>15</v>
      </c>
      <c r="B10" s="9" t="s">
        <v>16</v>
      </c>
      <c r="C10" s="9" t="s">
        <v>17</v>
      </c>
      <c r="D10" s="10">
        <v>5429337.0</v>
      </c>
      <c r="E10" s="8">
        <v>35.5</v>
      </c>
    </row>
    <row r="11">
      <c r="A11" s="2"/>
      <c r="B11" s="2"/>
      <c r="C11" s="2"/>
      <c r="D11" s="2"/>
      <c r="E11" s="2"/>
    </row>
    <row r="12">
      <c r="A12" s="2" t="s">
        <v>18</v>
      </c>
      <c r="B12" s="11" t="s">
        <v>19</v>
      </c>
      <c r="C12" s="2"/>
      <c r="D12" s="2"/>
      <c r="E12" s="2"/>
    </row>
    <row r="13">
      <c r="A13" s="2"/>
      <c r="B13" s="11" t="s">
        <v>20</v>
      </c>
      <c r="C13" s="2"/>
      <c r="D13" s="2"/>
      <c r="E13" s="2"/>
    </row>
  </sheetData>
  <hyperlinks>
    <hyperlink r:id="rId1" ref="B10"/>
    <hyperlink r:id="rId2" ref="C10"/>
    <hyperlink r:id="rId3" ref="B12"/>
    <hyperlink r:id="rId4" ref="B13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</v>
      </c>
      <c r="B1" s="2" t="s">
        <v>22</v>
      </c>
      <c r="C1" s="2" t="s">
        <v>23</v>
      </c>
      <c r="D1" s="2" t="s">
        <v>12</v>
      </c>
      <c r="E1" s="2" t="s">
        <v>24</v>
      </c>
      <c r="F1" s="2" t="s">
        <v>6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>
      <c r="A2" s="2" t="s">
        <v>33</v>
      </c>
      <c r="B2" s="12">
        <v>1.0</v>
      </c>
      <c r="C2" s="12">
        <v>577.0</v>
      </c>
      <c r="D2" s="2"/>
      <c r="E2" s="2" t="s">
        <v>34</v>
      </c>
      <c r="F2" s="2" t="s">
        <v>35</v>
      </c>
      <c r="G2" s="2"/>
      <c r="H2" s="12">
        <v>0.0</v>
      </c>
      <c r="I2" s="2" t="s">
        <v>36</v>
      </c>
      <c r="J2" s="2"/>
      <c r="K2" s="2"/>
      <c r="L2" s="2"/>
      <c r="M2" s="2" t="s">
        <v>37</v>
      </c>
      <c r="N2" s="2" t="str">
        <f>IFERROR(__xludf.DUMMYFUNCTION("ARRAYFORMULA(
  IFNA(
    VLOOKUP(
      REGEXREPLACE(M2:M5624, ""_RS"", ""_""),  
      {'Data processing'!E2:E5624, 'Data processing'!F2:F5624},     
      2,
      FALSE
    ),
    """"  
  )
)"),"")</f>
        <v/>
      </c>
    </row>
    <row r="3">
      <c r="A3" s="2" t="s">
        <v>33</v>
      </c>
      <c r="B3" s="12">
        <v>772.0</v>
      </c>
      <c r="C3" s="12">
        <v>939.0</v>
      </c>
      <c r="D3" s="2"/>
      <c r="E3" s="2" t="s">
        <v>38</v>
      </c>
      <c r="F3" s="2" t="s">
        <v>39</v>
      </c>
      <c r="G3" s="2"/>
      <c r="H3" s="12">
        <v>0.0</v>
      </c>
      <c r="I3" s="2" t="s">
        <v>40</v>
      </c>
      <c r="J3" s="2"/>
      <c r="K3" s="2" t="s">
        <v>41</v>
      </c>
      <c r="L3" s="12">
        <v>55.0</v>
      </c>
      <c r="M3" s="2" t="s">
        <v>42</v>
      </c>
      <c r="N3" s="2" t="str">
        <f>IFERROR(__xludf.DUMMYFUNCTION("""COMPUTED_VALUE"""),"")</f>
        <v/>
      </c>
    </row>
    <row r="4">
      <c r="A4" s="2" t="s">
        <v>33</v>
      </c>
      <c r="B4" s="12">
        <v>1025.0</v>
      </c>
      <c r="C4" s="12">
        <v>1270.0</v>
      </c>
      <c r="D4" s="2"/>
      <c r="E4" s="2" t="s">
        <v>38</v>
      </c>
      <c r="F4" s="2" t="s">
        <v>39</v>
      </c>
      <c r="G4" s="2"/>
      <c r="H4" s="12">
        <v>0.0</v>
      </c>
      <c r="I4" s="2" t="s">
        <v>40</v>
      </c>
      <c r="J4" s="2"/>
      <c r="K4" s="2" t="s">
        <v>43</v>
      </c>
      <c r="L4" s="12">
        <v>81.0</v>
      </c>
      <c r="M4" s="2" t="s">
        <v>44</v>
      </c>
      <c r="N4" s="2" t="str">
        <f>IFERROR(__xludf.DUMMYFUNCTION("""COMPUTED_VALUE"""),"")</f>
        <v/>
      </c>
    </row>
    <row r="5">
      <c r="A5" s="2" t="s">
        <v>33</v>
      </c>
      <c r="B5" s="12">
        <v>2697.0</v>
      </c>
      <c r="C5" s="12">
        <v>3077.0</v>
      </c>
      <c r="D5" s="2"/>
      <c r="E5" s="2" t="s">
        <v>38</v>
      </c>
      <c r="F5" s="2" t="s">
        <v>39</v>
      </c>
      <c r="G5" s="2"/>
      <c r="H5" s="12">
        <v>0.0</v>
      </c>
      <c r="I5" s="2" t="s">
        <v>40</v>
      </c>
      <c r="J5" s="2"/>
      <c r="K5" s="2" t="s">
        <v>45</v>
      </c>
      <c r="L5" s="12">
        <v>126.0</v>
      </c>
      <c r="M5" s="2" t="s">
        <v>46</v>
      </c>
      <c r="N5" s="2" t="str">
        <f>IFERROR(__xludf.DUMMYFUNCTION("""COMPUTED_VALUE"""),"")</f>
        <v/>
      </c>
    </row>
    <row r="6">
      <c r="A6" s="2" t="s">
        <v>33</v>
      </c>
      <c r="B6" s="12">
        <v>3164.0</v>
      </c>
      <c r="C6" s="12">
        <v>3361.0</v>
      </c>
      <c r="D6" s="2"/>
      <c r="E6" s="2" t="s">
        <v>38</v>
      </c>
      <c r="F6" s="2" t="s">
        <v>39</v>
      </c>
      <c r="G6" s="2"/>
      <c r="H6" s="12">
        <v>0.0</v>
      </c>
      <c r="I6" s="2" t="s">
        <v>40</v>
      </c>
      <c r="J6" s="2"/>
      <c r="K6" s="2" t="s">
        <v>47</v>
      </c>
      <c r="L6" s="12">
        <v>65.0</v>
      </c>
      <c r="M6" s="2" t="s">
        <v>48</v>
      </c>
      <c r="N6" s="2" t="str">
        <f>IFERROR(__xludf.DUMMYFUNCTION("""COMPUTED_VALUE"""),"")</f>
        <v/>
      </c>
    </row>
    <row r="7">
      <c r="A7" s="2" t="s">
        <v>33</v>
      </c>
      <c r="B7" s="12">
        <v>3535.0</v>
      </c>
      <c r="C7" s="12">
        <v>3783.0</v>
      </c>
      <c r="D7" s="2"/>
      <c r="E7" s="2" t="s">
        <v>38</v>
      </c>
      <c r="F7" s="2" t="s">
        <v>39</v>
      </c>
      <c r="G7" s="2"/>
      <c r="H7" s="12">
        <v>0.0</v>
      </c>
      <c r="I7" s="2" t="s">
        <v>40</v>
      </c>
      <c r="J7" s="2"/>
      <c r="K7" s="2" t="s">
        <v>49</v>
      </c>
      <c r="L7" s="12">
        <v>82.0</v>
      </c>
      <c r="M7" s="2" t="s">
        <v>50</v>
      </c>
      <c r="N7" s="2" t="str">
        <f>IFERROR(__xludf.DUMMYFUNCTION("""COMPUTED_VALUE"""),"")</f>
        <v/>
      </c>
    </row>
    <row r="8">
      <c r="A8" s="2" t="s">
        <v>33</v>
      </c>
      <c r="B8" s="12">
        <v>4100.0</v>
      </c>
      <c r="C8" s="12">
        <v>4747.0</v>
      </c>
      <c r="D8" s="2"/>
      <c r="E8" s="2" t="s">
        <v>38</v>
      </c>
      <c r="F8" s="2" t="s">
        <v>39</v>
      </c>
      <c r="G8" s="2"/>
      <c r="H8" s="12">
        <v>0.0</v>
      </c>
      <c r="I8" s="2" t="s">
        <v>40</v>
      </c>
      <c r="J8" s="2"/>
      <c r="K8" s="2" t="s">
        <v>51</v>
      </c>
      <c r="L8" s="12">
        <v>215.0</v>
      </c>
      <c r="M8" s="2" t="s">
        <v>52</v>
      </c>
      <c r="N8" s="2" t="str">
        <f>IFERROR(__xludf.DUMMYFUNCTION("""COMPUTED_VALUE"""),"")</f>
        <v/>
      </c>
    </row>
    <row r="9">
      <c r="A9" s="2" t="s">
        <v>33</v>
      </c>
      <c r="B9" s="12">
        <v>5644.0</v>
      </c>
      <c r="C9" s="12">
        <v>5904.0</v>
      </c>
      <c r="D9" s="2"/>
      <c r="E9" s="2" t="s">
        <v>38</v>
      </c>
      <c r="F9" s="2" t="s">
        <v>39</v>
      </c>
      <c r="G9" s="2"/>
      <c r="H9" s="12">
        <v>0.0</v>
      </c>
      <c r="I9" s="2" t="s">
        <v>40</v>
      </c>
      <c r="J9" s="2"/>
      <c r="K9" s="2" t="s">
        <v>53</v>
      </c>
      <c r="L9" s="12">
        <v>86.0</v>
      </c>
      <c r="M9" s="2" t="s">
        <v>54</v>
      </c>
      <c r="N9" s="2" t="str">
        <f>IFERROR(__xludf.DUMMYFUNCTION("""COMPUTED_VALUE"""),"")</f>
        <v/>
      </c>
    </row>
    <row r="10">
      <c r="A10" s="2" t="s">
        <v>33</v>
      </c>
      <c r="B10" s="12">
        <v>6022.0</v>
      </c>
      <c r="C10" s="12">
        <v>6771.0</v>
      </c>
      <c r="D10" s="2"/>
      <c r="E10" s="2" t="s">
        <v>38</v>
      </c>
      <c r="F10" s="2" t="s">
        <v>55</v>
      </c>
      <c r="G10" s="2"/>
      <c r="H10" s="12">
        <v>0.0</v>
      </c>
      <c r="I10" s="2" t="s">
        <v>40</v>
      </c>
      <c r="J10" s="2"/>
      <c r="K10" s="2" t="s">
        <v>56</v>
      </c>
      <c r="L10" s="12">
        <v>249.0</v>
      </c>
      <c r="M10" s="2" t="s">
        <v>57</v>
      </c>
      <c r="N10" s="2" t="str">
        <f>IFERROR(__xludf.DUMMYFUNCTION("""COMPUTED_VALUE"""),"")</f>
        <v/>
      </c>
    </row>
    <row r="11">
      <c r="A11" s="2" t="s">
        <v>33</v>
      </c>
      <c r="B11" s="12">
        <v>6952.0</v>
      </c>
      <c r="C11" s="12">
        <v>7179.0</v>
      </c>
      <c r="D11" s="2"/>
      <c r="E11" s="2" t="s">
        <v>38</v>
      </c>
      <c r="F11" s="2" t="s">
        <v>35</v>
      </c>
      <c r="G11" s="2"/>
      <c r="H11" s="12">
        <v>0.0</v>
      </c>
      <c r="I11" s="2" t="s">
        <v>36</v>
      </c>
      <c r="J11" s="2"/>
      <c r="K11" s="2"/>
      <c r="L11" s="2"/>
      <c r="M11" s="2" t="s">
        <v>58</v>
      </c>
      <c r="N11" s="2" t="str">
        <f>IFERROR(__xludf.DUMMYFUNCTION("""COMPUTED_VALUE"""),"")</f>
        <v/>
      </c>
    </row>
    <row r="12">
      <c r="A12" s="2" t="s">
        <v>33</v>
      </c>
      <c r="B12" s="12">
        <v>7590.0</v>
      </c>
      <c r="C12" s="12">
        <v>8271.0</v>
      </c>
      <c r="D12" s="2"/>
      <c r="E12" s="2" t="s">
        <v>34</v>
      </c>
      <c r="F12" s="2" t="s">
        <v>35</v>
      </c>
      <c r="G12" s="2"/>
      <c r="H12" s="12">
        <v>0.0</v>
      </c>
      <c r="I12" s="2" t="s">
        <v>36</v>
      </c>
      <c r="J12" s="2"/>
      <c r="K12" s="2"/>
      <c r="L12" s="2"/>
      <c r="M12" s="2" t="s">
        <v>59</v>
      </c>
      <c r="N12" s="2" t="str">
        <f>IFERROR(__xludf.DUMMYFUNCTION("""COMPUTED_VALUE"""),"")</f>
        <v/>
      </c>
    </row>
    <row r="13">
      <c r="A13" s="2" t="s">
        <v>33</v>
      </c>
      <c r="B13" s="12">
        <v>8362.0</v>
      </c>
      <c r="C13" s="12">
        <v>9550.0</v>
      </c>
      <c r="D13" s="2"/>
      <c r="E13" s="2" t="s">
        <v>38</v>
      </c>
      <c r="F13" s="2" t="s">
        <v>35</v>
      </c>
      <c r="G13" s="2"/>
      <c r="H13" s="12">
        <v>0.0</v>
      </c>
      <c r="I13" s="2" t="s">
        <v>36</v>
      </c>
      <c r="J13" s="2"/>
      <c r="K13" s="2"/>
      <c r="L13" s="2"/>
      <c r="M13" s="2" t="s">
        <v>60</v>
      </c>
      <c r="N13" s="2" t="str">
        <f>IFERROR(__xludf.DUMMYFUNCTION("""COMPUTED_VALUE"""),"")</f>
        <v/>
      </c>
    </row>
    <row r="14">
      <c r="A14" s="2" t="s">
        <v>33</v>
      </c>
      <c r="B14" s="12">
        <v>9810.0</v>
      </c>
      <c r="C14" s="12">
        <v>10340.0</v>
      </c>
      <c r="D14" s="2"/>
      <c r="E14" s="2" t="s">
        <v>38</v>
      </c>
      <c r="F14" s="2" t="s">
        <v>35</v>
      </c>
      <c r="G14" s="2" t="s">
        <v>61</v>
      </c>
      <c r="H14" s="12">
        <v>0.0</v>
      </c>
      <c r="I14" s="2" t="s">
        <v>36</v>
      </c>
      <c r="J14" s="2"/>
      <c r="K14" s="2"/>
      <c r="L14" s="2"/>
      <c r="M14" s="2" t="s">
        <v>62</v>
      </c>
      <c r="N14" s="2" t="str">
        <f>IFERROR(__xludf.DUMMYFUNCTION("""COMPUTED_VALUE"""),"")</f>
        <v/>
      </c>
    </row>
    <row r="15">
      <c r="A15" s="2" t="s">
        <v>33</v>
      </c>
      <c r="B15" s="12">
        <v>10417.0</v>
      </c>
      <c r="C15" s="12">
        <v>12543.0</v>
      </c>
      <c r="D15" s="2"/>
      <c r="E15" s="2" t="s">
        <v>38</v>
      </c>
      <c r="F15" s="2" t="s">
        <v>63</v>
      </c>
      <c r="G15" s="2"/>
      <c r="H15" s="12">
        <v>0.0</v>
      </c>
      <c r="I15" s="2" t="s">
        <v>40</v>
      </c>
      <c r="J15" s="2"/>
      <c r="K15" s="2" t="s">
        <v>64</v>
      </c>
      <c r="L15" s="12">
        <v>708.0</v>
      </c>
      <c r="M15" s="2" t="s">
        <v>65</v>
      </c>
      <c r="N15" s="2" t="str">
        <f>IFERROR(__xludf.DUMMYFUNCTION("""COMPUTED_VALUE"""),"")</f>
        <v/>
      </c>
    </row>
    <row r="16">
      <c r="A16" s="2" t="s">
        <v>33</v>
      </c>
      <c r="B16" s="12">
        <v>12778.0</v>
      </c>
      <c r="C16" s="12">
        <v>14571.0</v>
      </c>
      <c r="D16" s="2"/>
      <c r="E16" s="2" t="s">
        <v>38</v>
      </c>
      <c r="F16" s="2" t="s">
        <v>66</v>
      </c>
      <c r="G16" s="2"/>
      <c r="H16" s="12">
        <v>0.0</v>
      </c>
      <c r="I16" s="2" t="s">
        <v>40</v>
      </c>
      <c r="J16" s="2"/>
      <c r="K16" s="2" t="s">
        <v>67</v>
      </c>
      <c r="L16" s="12">
        <v>597.0</v>
      </c>
      <c r="M16" s="2" t="s">
        <v>68</v>
      </c>
      <c r="N16" s="2" t="str">
        <f>IFERROR(__xludf.DUMMYFUNCTION("""COMPUTED_VALUE"""),"")</f>
        <v/>
      </c>
    </row>
    <row r="17">
      <c r="A17" s="2" t="s">
        <v>33</v>
      </c>
      <c r="B17" s="12">
        <v>15023.0</v>
      </c>
      <c r="C17" s="12">
        <v>15874.0</v>
      </c>
      <c r="D17" s="2"/>
      <c r="E17" s="2" t="s">
        <v>38</v>
      </c>
      <c r="F17" s="2" t="s">
        <v>69</v>
      </c>
      <c r="G17" s="2"/>
      <c r="H17" s="12">
        <v>0.0</v>
      </c>
      <c r="I17" s="2" t="s">
        <v>40</v>
      </c>
      <c r="J17" s="2"/>
      <c r="K17" s="2" t="s">
        <v>70</v>
      </c>
      <c r="L17" s="12">
        <v>283.0</v>
      </c>
      <c r="M17" s="2" t="s">
        <v>71</v>
      </c>
      <c r="N17" s="2" t="str">
        <f>IFERROR(__xludf.DUMMYFUNCTION("""COMPUTED_VALUE"""),"")</f>
        <v/>
      </c>
    </row>
    <row r="18">
      <c r="A18" s="2" t="s">
        <v>33</v>
      </c>
      <c r="B18" s="12">
        <v>16050.0</v>
      </c>
      <c r="C18" s="12">
        <v>16628.0</v>
      </c>
      <c r="D18" s="2"/>
      <c r="E18" s="2" t="s">
        <v>38</v>
      </c>
      <c r="F18" s="2" t="s">
        <v>72</v>
      </c>
      <c r="G18" s="2"/>
      <c r="H18" s="12">
        <v>0.0</v>
      </c>
      <c r="I18" s="2" t="s">
        <v>40</v>
      </c>
      <c r="J18" s="2"/>
      <c r="K18" s="2" t="s">
        <v>73</v>
      </c>
      <c r="L18" s="12">
        <v>192.0</v>
      </c>
      <c r="M18" s="2" t="s">
        <v>74</v>
      </c>
      <c r="N18" s="2" t="str">
        <f>IFERROR(__xludf.DUMMYFUNCTION("""COMPUTED_VALUE"""),"")</f>
        <v/>
      </c>
    </row>
    <row r="19">
      <c r="A19" s="2" t="s">
        <v>33</v>
      </c>
      <c r="B19" s="12">
        <v>16738.0</v>
      </c>
      <c r="C19" s="12">
        <v>17073.0</v>
      </c>
      <c r="D19" s="2"/>
      <c r="E19" s="2" t="s">
        <v>38</v>
      </c>
      <c r="F19" s="2" t="s">
        <v>35</v>
      </c>
      <c r="G19" s="2"/>
      <c r="H19" s="12">
        <v>0.0</v>
      </c>
      <c r="I19" s="2" t="s">
        <v>36</v>
      </c>
      <c r="J19" s="2"/>
      <c r="K19" s="2"/>
      <c r="L19" s="2"/>
      <c r="M19" s="2" t="s">
        <v>75</v>
      </c>
      <c r="N19" s="2" t="str">
        <f>IFERROR(__xludf.DUMMYFUNCTION("""COMPUTED_VALUE"""),"")</f>
        <v/>
      </c>
    </row>
    <row r="20">
      <c r="A20" s="2" t="s">
        <v>33</v>
      </c>
      <c r="B20" s="12">
        <v>17224.0</v>
      </c>
      <c r="C20" s="12">
        <v>18303.0</v>
      </c>
      <c r="D20" s="2"/>
      <c r="E20" s="2" t="s">
        <v>38</v>
      </c>
      <c r="F20" s="2" t="s">
        <v>76</v>
      </c>
      <c r="G20" s="2"/>
      <c r="H20" s="12">
        <v>0.0</v>
      </c>
      <c r="I20" s="2" t="s">
        <v>40</v>
      </c>
      <c r="J20" s="2"/>
      <c r="K20" s="2" t="s">
        <v>77</v>
      </c>
      <c r="L20" s="12">
        <v>359.0</v>
      </c>
      <c r="M20" s="2" t="s">
        <v>78</v>
      </c>
      <c r="N20" s="2" t="str">
        <f>IFERROR(__xludf.DUMMYFUNCTION("""COMPUTED_VALUE"""),"")</f>
        <v/>
      </c>
    </row>
    <row r="21">
      <c r="A21" s="2" t="s">
        <v>33</v>
      </c>
      <c r="B21" s="12">
        <v>18309.0</v>
      </c>
      <c r="C21" s="12">
        <v>18711.0</v>
      </c>
      <c r="D21" s="2"/>
      <c r="E21" s="2" t="s">
        <v>38</v>
      </c>
      <c r="F21" s="2" t="s">
        <v>35</v>
      </c>
      <c r="G21" s="2" t="s">
        <v>79</v>
      </c>
      <c r="H21" s="12">
        <v>0.0</v>
      </c>
      <c r="I21" s="2" t="s">
        <v>36</v>
      </c>
      <c r="J21" s="2"/>
      <c r="K21" s="2"/>
      <c r="L21" s="2"/>
      <c r="M21" s="2" t="s">
        <v>80</v>
      </c>
      <c r="N21" s="2" t="str">
        <f>IFERROR(__xludf.DUMMYFUNCTION("""COMPUTED_VALUE"""),"")</f>
        <v/>
      </c>
    </row>
    <row r="22">
      <c r="A22" s="2" t="s">
        <v>33</v>
      </c>
      <c r="B22" s="12">
        <v>18874.0</v>
      </c>
      <c r="C22" s="12">
        <v>19086.0</v>
      </c>
      <c r="D22" s="2"/>
      <c r="E22" s="2" t="s">
        <v>38</v>
      </c>
      <c r="F22" s="2" t="s">
        <v>35</v>
      </c>
      <c r="G22" s="2"/>
      <c r="H22" s="12">
        <v>0.0</v>
      </c>
      <c r="I22" s="2" t="s">
        <v>36</v>
      </c>
      <c r="J22" s="2"/>
      <c r="K22" s="2"/>
      <c r="L22" s="2"/>
      <c r="M22" s="2" t="s">
        <v>81</v>
      </c>
      <c r="N22" s="2" t="str">
        <f>IFERROR(__xludf.DUMMYFUNCTION("""COMPUTED_VALUE"""),"")</f>
        <v/>
      </c>
    </row>
    <row r="23">
      <c r="A23" s="2" t="s">
        <v>33</v>
      </c>
      <c r="B23" s="12">
        <v>19267.0</v>
      </c>
      <c r="C23" s="12">
        <v>19422.0</v>
      </c>
      <c r="D23" s="2"/>
      <c r="E23" s="2" t="s">
        <v>38</v>
      </c>
      <c r="F23" s="2" t="s">
        <v>82</v>
      </c>
      <c r="G23" s="2"/>
      <c r="H23" s="12">
        <v>0.0</v>
      </c>
      <c r="I23" s="2" t="s">
        <v>40</v>
      </c>
      <c r="J23" s="2"/>
      <c r="K23" s="2" t="s">
        <v>83</v>
      </c>
      <c r="L23" s="12">
        <v>51.0</v>
      </c>
      <c r="M23" s="2" t="s">
        <v>84</v>
      </c>
      <c r="N23" s="2" t="str">
        <f>IFERROR(__xludf.DUMMYFUNCTION("""COMPUTED_VALUE"""),"")</f>
        <v/>
      </c>
    </row>
    <row r="24">
      <c r="A24" s="2" t="s">
        <v>33</v>
      </c>
      <c r="B24" s="12">
        <v>19493.0</v>
      </c>
      <c r="C24" s="12">
        <v>20125.0</v>
      </c>
      <c r="D24" s="2"/>
      <c r="E24" s="2" t="s">
        <v>38</v>
      </c>
      <c r="F24" s="2" t="s">
        <v>85</v>
      </c>
      <c r="G24" s="2"/>
      <c r="H24" s="12">
        <v>0.0</v>
      </c>
      <c r="I24" s="2" t="s">
        <v>40</v>
      </c>
      <c r="J24" s="2"/>
      <c r="K24" s="2" t="s">
        <v>86</v>
      </c>
      <c r="L24" s="12">
        <v>210.0</v>
      </c>
      <c r="M24" s="2" t="s">
        <v>87</v>
      </c>
      <c r="N24" s="2" t="str">
        <f>IFERROR(__xludf.DUMMYFUNCTION("""COMPUTED_VALUE"""),"")</f>
        <v/>
      </c>
    </row>
    <row r="25">
      <c r="A25" s="2" t="s">
        <v>33</v>
      </c>
      <c r="B25" s="12">
        <v>20115.0</v>
      </c>
      <c r="C25" s="12">
        <v>21398.0</v>
      </c>
      <c r="D25" s="2"/>
      <c r="E25" s="2" t="s">
        <v>38</v>
      </c>
      <c r="F25" s="2" t="s">
        <v>88</v>
      </c>
      <c r="G25" s="2"/>
      <c r="H25" s="12">
        <v>0.0</v>
      </c>
      <c r="I25" s="2" t="s">
        <v>40</v>
      </c>
      <c r="J25" s="2"/>
      <c r="K25" s="2" t="s">
        <v>89</v>
      </c>
      <c r="L25" s="12">
        <v>427.0</v>
      </c>
      <c r="M25" s="2" t="s">
        <v>90</v>
      </c>
      <c r="N25" s="2" t="str">
        <f>IFERROR(__xludf.DUMMYFUNCTION("""COMPUTED_VALUE"""),"")</f>
        <v/>
      </c>
    </row>
    <row r="26">
      <c r="A26" s="2" t="s">
        <v>33</v>
      </c>
      <c r="B26" s="12">
        <v>21666.0</v>
      </c>
      <c r="C26" s="12">
        <v>22901.0</v>
      </c>
      <c r="D26" s="2"/>
      <c r="E26" s="2" t="s">
        <v>38</v>
      </c>
      <c r="F26" s="2" t="s">
        <v>91</v>
      </c>
      <c r="G26" s="2"/>
      <c r="H26" s="12">
        <v>0.0</v>
      </c>
      <c r="I26" s="2" t="s">
        <v>40</v>
      </c>
      <c r="J26" s="2"/>
      <c r="K26" s="2" t="s">
        <v>92</v>
      </c>
      <c r="L26" s="12">
        <v>411.0</v>
      </c>
      <c r="M26" s="2" t="s">
        <v>93</v>
      </c>
      <c r="N26" s="2" t="str">
        <f>IFERROR(__xludf.DUMMYFUNCTION("""COMPUTED_VALUE"""),"")</f>
        <v/>
      </c>
    </row>
    <row r="27">
      <c r="A27" s="2" t="s">
        <v>33</v>
      </c>
      <c r="B27" s="12">
        <v>23061.0</v>
      </c>
      <c r="C27" s="12">
        <v>23465.0</v>
      </c>
      <c r="D27" s="2"/>
      <c r="E27" s="2" t="s">
        <v>38</v>
      </c>
      <c r="F27" s="2" t="s">
        <v>39</v>
      </c>
      <c r="G27" s="2"/>
      <c r="H27" s="12">
        <v>0.0</v>
      </c>
      <c r="I27" s="2" t="s">
        <v>40</v>
      </c>
      <c r="J27" s="2"/>
      <c r="K27" s="2" t="s">
        <v>94</v>
      </c>
      <c r="L27" s="12">
        <v>134.0</v>
      </c>
      <c r="M27" s="2" t="s">
        <v>95</v>
      </c>
      <c r="N27" s="2" t="str">
        <f>IFERROR(__xludf.DUMMYFUNCTION("""COMPUTED_VALUE"""),"")</f>
        <v/>
      </c>
    </row>
    <row r="28">
      <c r="A28" s="2" t="s">
        <v>33</v>
      </c>
      <c r="B28" s="12">
        <v>23611.0</v>
      </c>
      <c r="C28" s="12">
        <v>24615.0</v>
      </c>
      <c r="D28" s="2"/>
      <c r="E28" s="2" t="s">
        <v>38</v>
      </c>
      <c r="F28" s="2" t="s">
        <v>96</v>
      </c>
      <c r="G28" s="2"/>
      <c r="H28" s="12">
        <v>0.0</v>
      </c>
      <c r="I28" s="2" t="s">
        <v>40</v>
      </c>
      <c r="J28" s="2"/>
      <c r="K28" s="2" t="s">
        <v>97</v>
      </c>
      <c r="L28" s="12">
        <v>334.0</v>
      </c>
      <c r="M28" s="2" t="s">
        <v>98</v>
      </c>
      <c r="N28" s="2" t="str">
        <f>IFERROR(__xludf.DUMMYFUNCTION("""COMPUTED_VALUE"""),"")</f>
        <v/>
      </c>
    </row>
    <row r="29">
      <c r="A29" s="2" t="s">
        <v>33</v>
      </c>
      <c r="B29" s="12">
        <v>24825.0</v>
      </c>
      <c r="C29" s="12">
        <v>25037.0</v>
      </c>
      <c r="D29" s="2"/>
      <c r="E29" s="2" t="s">
        <v>34</v>
      </c>
      <c r="F29" s="2" t="s">
        <v>39</v>
      </c>
      <c r="G29" s="2"/>
      <c r="H29" s="12">
        <v>0.0</v>
      </c>
      <c r="I29" s="2" t="s">
        <v>40</v>
      </c>
      <c r="J29" s="2"/>
      <c r="K29" s="2" t="s">
        <v>99</v>
      </c>
      <c r="L29" s="12">
        <v>70.0</v>
      </c>
      <c r="M29" s="2" t="s">
        <v>100</v>
      </c>
      <c r="N29" s="2" t="str">
        <f>IFERROR(__xludf.DUMMYFUNCTION("""COMPUTED_VALUE"""),"")</f>
        <v/>
      </c>
    </row>
    <row r="30">
      <c r="A30" s="2" t="s">
        <v>33</v>
      </c>
      <c r="B30" s="12">
        <v>25366.0</v>
      </c>
      <c r="C30" s="12">
        <v>25569.0</v>
      </c>
      <c r="D30" s="2"/>
      <c r="E30" s="2" t="s">
        <v>38</v>
      </c>
      <c r="F30" s="2" t="s">
        <v>39</v>
      </c>
      <c r="G30" s="2"/>
      <c r="H30" s="12">
        <v>0.0</v>
      </c>
      <c r="I30" s="2" t="s">
        <v>40</v>
      </c>
      <c r="J30" s="2"/>
      <c r="K30" s="2" t="s">
        <v>101</v>
      </c>
      <c r="L30" s="12">
        <v>67.0</v>
      </c>
      <c r="M30" s="2" t="s">
        <v>102</v>
      </c>
      <c r="N30" s="2" t="str">
        <f>IFERROR(__xludf.DUMMYFUNCTION("""COMPUTED_VALUE"""),"")</f>
        <v/>
      </c>
    </row>
    <row r="31">
      <c r="A31" s="2" t="s">
        <v>33</v>
      </c>
      <c r="B31" s="12">
        <v>25690.0</v>
      </c>
      <c r="C31" s="12">
        <v>26106.0</v>
      </c>
      <c r="D31" s="2"/>
      <c r="E31" s="2" t="s">
        <v>38</v>
      </c>
      <c r="F31" s="2" t="s">
        <v>103</v>
      </c>
      <c r="G31" s="2"/>
      <c r="H31" s="12">
        <v>0.0</v>
      </c>
      <c r="I31" s="2" t="s">
        <v>40</v>
      </c>
      <c r="J31" s="2"/>
      <c r="K31" s="2" t="s">
        <v>104</v>
      </c>
      <c r="L31" s="12">
        <v>138.0</v>
      </c>
      <c r="M31" s="2" t="s">
        <v>105</v>
      </c>
      <c r="N31" s="2" t="str">
        <f>IFERROR(__xludf.DUMMYFUNCTION("""COMPUTED_VALUE"""),"")</f>
        <v/>
      </c>
    </row>
    <row r="32">
      <c r="A32" s="2" t="s">
        <v>33</v>
      </c>
      <c r="B32" s="12">
        <v>26249.0</v>
      </c>
      <c r="C32" s="12">
        <v>27013.0</v>
      </c>
      <c r="D32" s="2"/>
      <c r="E32" s="2" t="s">
        <v>38</v>
      </c>
      <c r="F32" s="2" t="s">
        <v>106</v>
      </c>
      <c r="G32" s="2"/>
      <c r="H32" s="12">
        <v>0.0</v>
      </c>
      <c r="I32" s="2" t="s">
        <v>40</v>
      </c>
      <c r="J32" s="2"/>
      <c r="K32" s="2" t="s">
        <v>107</v>
      </c>
      <c r="L32" s="12">
        <v>254.0</v>
      </c>
      <c r="M32" s="2" t="s">
        <v>108</v>
      </c>
      <c r="N32" s="2" t="str">
        <f>IFERROR(__xludf.DUMMYFUNCTION("""COMPUTED_VALUE"""),"")</f>
        <v/>
      </c>
    </row>
    <row r="33">
      <c r="A33" s="2" t="s">
        <v>33</v>
      </c>
      <c r="B33" s="12">
        <v>27220.0</v>
      </c>
      <c r="C33" s="12">
        <v>28902.0</v>
      </c>
      <c r="D33" s="2"/>
      <c r="E33" s="2" t="s">
        <v>38</v>
      </c>
      <c r="F33" s="2" t="s">
        <v>109</v>
      </c>
      <c r="G33" s="2"/>
      <c r="H33" s="12">
        <v>0.0</v>
      </c>
      <c r="I33" s="2" t="s">
        <v>40</v>
      </c>
      <c r="J33" s="2"/>
      <c r="K33" s="2" t="s">
        <v>110</v>
      </c>
      <c r="L33" s="12">
        <v>560.0</v>
      </c>
      <c r="M33" s="2" t="s">
        <v>111</v>
      </c>
      <c r="N33" s="2" t="str">
        <f>IFERROR(__xludf.DUMMYFUNCTION("""COMPUTED_VALUE"""),"")</f>
        <v/>
      </c>
    </row>
    <row r="34">
      <c r="A34" s="2" t="s">
        <v>33</v>
      </c>
      <c r="B34" s="12">
        <v>29414.0</v>
      </c>
      <c r="C34" s="12">
        <v>30166.0</v>
      </c>
      <c r="D34" s="2"/>
      <c r="E34" s="2" t="s">
        <v>34</v>
      </c>
      <c r="F34" s="2" t="s">
        <v>112</v>
      </c>
      <c r="G34" s="2"/>
      <c r="H34" s="12">
        <v>0.0</v>
      </c>
      <c r="I34" s="2" t="s">
        <v>40</v>
      </c>
      <c r="J34" s="2"/>
      <c r="K34" s="2" t="s">
        <v>113</v>
      </c>
      <c r="L34" s="12">
        <v>250.0</v>
      </c>
      <c r="M34" s="2" t="s">
        <v>114</v>
      </c>
      <c r="N34" s="2" t="str">
        <f>IFERROR(__xludf.DUMMYFUNCTION("""COMPUTED_VALUE"""),"")</f>
        <v/>
      </c>
    </row>
    <row r="35">
      <c r="A35" s="2" t="s">
        <v>33</v>
      </c>
      <c r="B35" s="12">
        <v>30305.0</v>
      </c>
      <c r="C35" s="12">
        <v>31123.0</v>
      </c>
      <c r="D35" s="2"/>
      <c r="E35" s="2" t="s">
        <v>38</v>
      </c>
      <c r="F35" s="2" t="s">
        <v>115</v>
      </c>
      <c r="G35" s="2"/>
      <c r="H35" s="12">
        <v>0.0</v>
      </c>
      <c r="I35" s="2" t="s">
        <v>40</v>
      </c>
      <c r="J35" s="2"/>
      <c r="K35" s="2" t="s">
        <v>116</v>
      </c>
      <c r="L35" s="12">
        <v>272.0</v>
      </c>
      <c r="M35" s="2" t="s">
        <v>117</v>
      </c>
      <c r="N35" s="2" t="str">
        <f>IFERROR(__xludf.DUMMYFUNCTION("""COMPUTED_VALUE"""),"")</f>
        <v/>
      </c>
    </row>
    <row r="36">
      <c r="A36" s="2" t="s">
        <v>33</v>
      </c>
      <c r="B36" s="12">
        <v>31123.0</v>
      </c>
      <c r="C36" s="12">
        <v>31548.0</v>
      </c>
      <c r="D36" s="2"/>
      <c r="E36" s="2" t="s">
        <v>38</v>
      </c>
      <c r="F36" s="2" t="s">
        <v>118</v>
      </c>
      <c r="G36" s="2"/>
      <c r="H36" s="12">
        <v>0.0</v>
      </c>
      <c r="I36" s="2" t="s">
        <v>40</v>
      </c>
      <c r="J36" s="2"/>
      <c r="K36" s="2" t="s">
        <v>119</v>
      </c>
      <c r="L36" s="12">
        <v>141.0</v>
      </c>
      <c r="M36" s="2" t="s">
        <v>120</v>
      </c>
      <c r="N36" s="2" t="str">
        <f>IFERROR(__xludf.DUMMYFUNCTION("""COMPUTED_VALUE"""),"")</f>
        <v/>
      </c>
    </row>
    <row r="37">
      <c r="A37" s="2" t="s">
        <v>33</v>
      </c>
      <c r="B37" s="12">
        <v>31598.0</v>
      </c>
      <c r="C37" s="12">
        <v>32791.0</v>
      </c>
      <c r="D37" s="2"/>
      <c r="E37" s="2" t="s">
        <v>38</v>
      </c>
      <c r="F37" s="2" t="s">
        <v>121</v>
      </c>
      <c r="G37" s="2"/>
      <c r="H37" s="12">
        <v>0.0</v>
      </c>
      <c r="I37" s="2" t="s">
        <v>40</v>
      </c>
      <c r="J37" s="2"/>
      <c r="K37" s="2" t="s">
        <v>122</v>
      </c>
      <c r="L37" s="12">
        <v>397.0</v>
      </c>
      <c r="M37" s="2" t="s">
        <v>123</v>
      </c>
      <c r="N37" s="2" t="str">
        <f>IFERROR(__xludf.DUMMYFUNCTION("""COMPUTED_VALUE"""),"")</f>
        <v/>
      </c>
    </row>
    <row r="38">
      <c r="A38" s="2" t="s">
        <v>33</v>
      </c>
      <c r="B38" s="12">
        <v>32889.0</v>
      </c>
      <c r="C38" s="12">
        <v>35240.0</v>
      </c>
      <c r="D38" s="2"/>
      <c r="E38" s="2" t="s">
        <v>38</v>
      </c>
      <c r="F38" s="2" t="s">
        <v>124</v>
      </c>
      <c r="G38" s="2"/>
      <c r="H38" s="12">
        <v>0.0</v>
      </c>
      <c r="I38" s="2" t="s">
        <v>40</v>
      </c>
      <c r="J38" s="2"/>
      <c r="K38" s="2" t="s">
        <v>125</v>
      </c>
      <c r="L38" s="12">
        <v>783.0</v>
      </c>
      <c r="M38" s="2" t="s">
        <v>126</v>
      </c>
      <c r="N38" s="2" t="str">
        <f>IFERROR(__xludf.DUMMYFUNCTION("""COMPUTED_VALUE"""),"")</f>
        <v/>
      </c>
    </row>
    <row r="39">
      <c r="A39" s="2" t="s">
        <v>33</v>
      </c>
      <c r="B39" s="12">
        <v>35237.0</v>
      </c>
      <c r="C39" s="12">
        <v>35920.0</v>
      </c>
      <c r="D39" s="2"/>
      <c r="E39" s="2" t="s">
        <v>38</v>
      </c>
      <c r="F39" s="2" t="s">
        <v>127</v>
      </c>
      <c r="G39" s="2"/>
      <c r="H39" s="12">
        <v>0.0</v>
      </c>
      <c r="I39" s="2" t="s">
        <v>40</v>
      </c>
      <c r="J39" s="2"/>
      <c r="K39" s="2" t="s">
        <v>128</v>
      </c>
      <c r="L39" s="12">
        <v>227.0</v>
      </c>
      <c r="M39" s="2" t="s">
        <v>129</v>
      </c>
      <c r="N39" s="2" t="str">
        <f>IFERROR(__xludf.DUMMYFUNCTION("""COMPUTED_VALUE"""),"")</f>
        <v/>
      </c>
    </row>
    <row r="40">
      <c r="A40" s="2" t="s">
        <v>33</v>
      </c>
      <c r="B40" s="12">
        <v>35921.0</v>
      </c>
      <c r="C40" s="12">
        <v>39446.0</v>
      </c>
      <c r="D40" s="2"/>
      <c r="E40" s="2" t="s">
        <v>38</v>
      </c>
      <c r="F40" s="2" t="s">
        <v>35</v>
      </c>
      <c r="G40" s="2"/>
      <c r="H40" s="12">
        <v>0.0</v>
      </c>
      <c r="I40" s="2" t="s">
        <v>36</v>
      </c>
      <c r="J40" s="2"/>
      <c r="K40" s="2"/>
      <c r="L40" s="2"/>
      <c r="M40" s="2" t="s">
        <v>130</v>
      </c>
      <c r="N40" s="2" t="str">
        <f>IFERROR(__xludf.DUMMYFUNCTION("""COMPUTED_VALUE"""),"")</f>
        <v/>
      </c>
    </row>
    <row r="41">
      <c r="A41" s="2" t="s">
        <v>33</v>
      </c>
      <c r="B41" s="12">
        <v>39690.0</v>
      </c>
      <c r="C41" s="12">
        <v>40076.0</v>
      </c>
      <c r="D41" s="2"/>
      <c r="E41" s="2" t="s">
        <v>38</v>
      </c>
      <c r="F41" s="2" t="s">
        <v>39</v>
      </c>
      <c r="G41" s="2"/>
      <c r="H41" s="12">
        <v>0.0</v>
      </c>
      <c r="I41" s="2" t="s">
        <v>40</v>
      </c>
      <c r="J41" s="2"/>
      <c r="K41" s="2" t="s">
        <v>131</v>
      </c>
      <c r="L41" s="12">
        <v>128.0</v>
      </c>
      <c r="M41" s="2" t="s">
        <v>132</v>
      </c>
      <c r="N41" s="2" t="str">
        <f>IFERROR(__xludf.DUMMYFUNCTION("""COMPUTED_VALUE"""),"")</f>
        <v/>
      </c>
    </row>
    <row r="42">
      <c r="A42" s="2" t="s">
        <v>33</v>
      </c>
      <c r="B42" s="12">
        <v>40088.0</v>
      </c>
      <c r="C42" s="12">
        <v>40723.0</v>
      </c>
      <c r="D42" s="2"/>
      <c r="E42" s="2" t="s">
        <v>38</v>
      </c>
      <c r="F42" s="2" t="s">
        <v>133</v>
      </c>
      <c r="G42" s="2"/>
      <c r="H42" s="12">
        <v>0.0</v>
      </c>
      <c r="I42" s="2" t="s">
        <v>40</v>
      </c>
      <c r="J42" s="2"/>
      <c r="K42" s="2" t="s">
        <v>134</v>
      </c>
      <c r="L42" s="12">
        <v>211.0</v>
      </c>
      <c r="M42" s="2" t="s">
        <v>135</v>
      </c>
      <c r="N42" s="2" t="str">
        <f>IFERROR(__xludf.DUMMYFUNCTION("""COMPUTED_VALUE"""),"")</f>
        <v/>
      </c>
    </row>
    <row r="43">
      <c r="A43" s="2" t="s">
        <v>33</v>
      </c>
      <c r="B43" s="12">
        <v>40735.0</v>
      </c>
      <c r="C43" s="12">
        <v>41112.0</v>
      </c>
      <c r="D43" s="2"/>
      <c r="E43" s="2" t="s">
        <v>38</v>
      </c>
      <c r="F43" s="2" t="s">
        <v>136</v>
      </c>
      <c r="G43" s="2"/>
      <c r="H43" s="12">
        <v>0.0</v>
      </c>
      <c r="I43" s="2" t="s">
        <v>40</v>
      </c>
      <c r="J43" s="2"/>
      <c r="K43" s="2" t="s">
        <v>137</v>
      </c>
      <c r="L43" s="12">
        <v>125.0</v>
      </c>
      <c r="M43" s="2" t="s">
        <v>138</v>
      </c>
      <c r="N43" s="2" t="str">
        <f>IFERROR(__xludf.DUMMYFUNCTION("""COMPUTED_VALUE"""),"")</f>
        <v/>
      </c>
    </row>
    <row r="44">
      <c r="A44" s="2" t="s">
        <v>33</v>
      </c>
      <c r="B44" s="12">
        <v>41112.0</v>
      </c>
      <c r="C44" s="12">
        <v>41441.0</v>
      </c>
      <c r="D44" s="2"/>
      <c r="E44" s="2" t="s">
        <v>38</v>
      </c>
      <c r="F44" s="2" t="s">
        <v>39</v>
      </c>
      <c r="G44" s="2"/>
      <c r="H44" s="12">
        <v>0.0</v>
      </c>
      <c r="I44" s="2" t="s">
        <v>40</v>
      </c>
      <c r="J44" s="2"/>
      <c r="K44" s="2" t="s">
        <v>139</v>
      </c>
      <c r="L44" s="12">
        <v>109.0</v>
      </c>
      <c r="M44" s="2" t="s">
        <v>140</v>
      </c>
      <c r="N44" s="2" t="str">
        <f>IFERROR(__xludf.DUMMYFUNCTION("""COMPUTED_VALUE"""),"")</f>
        <v/>
      </c>
    </row>
    <row r="45">
      <c r="A45" s="2" t="s">
        <v>33</v>
      </c>
      <c r="B45" s="12">
        <v>41431.0</v>
      </c>
      <c r="C45" s="12">
        <v>41763.0</v>
      </c>
      <c r="D45" s="2"/>
      <c r="E45" s="2" t="s">
        <v>38</v>
      </c>
      <c r="F45" s="2" t="s">
        <v>39</v>
      </c>
      <c r="G45" s="2"/>
      <c r="H45" s="12">
        <v>0.0</v>
      </c>
      <c r="I45" s="2" t="s">
        <v>40</v>
      </c>
      <c r="J45" s="2"/>
      <c r="K45" s="2" t="s">
        <v>141</v>
      </c>
      <c r="L45" s="12">
        <v>110.0</v>
      </c>
      <c r="M45" s="2" t="s">
        <v>142</v>
      </c>
      <c r="N45" s="2" t="str">
        <f>IFERROR(__xludf.DUMMYFUNCTION("""COMPUTED_VALUE"""),"")</f>
        <v/>
      </c>
    </row>
    <row r="46">
      <c r="A46" s="2" t="s">
        <v>33</v>
      </c>
      <c r="B46" s="12">
        <v>41741.0</v>
      </c>
      <c r="C46" s="12">
        <v>42001.0</v>
      </c>
      <c r="D46" s="2"/>
      <c r="E46" s="2" t="s">
        <v>38</v>
      </c>
      <c r="F46" s="2" t="s">
        <v>143</v>
      </c>
      <c r="G46" s="2"/>
      <c r="H46" s="12">
        <v>0.0</v>
      </c>
      <c r="I46" s="2" t="s">
        <v>40</v>
      </c>
      <c r="J46" s="2"/>
      <c r="K46" s="2" t="s">
        <v>144</v>
      </c>
      <c r="L46" s="12">
        <v>86.0</v>
      </c>
      <c r="M46" s="2" t="s">
        <v>145</v>
      </c>
      <c r="N46" s="2" t="str">
        <f>IFERROR(__xludf.DUMMYFUNCTION("""COMPUTED_VALUE"""),"")</f>
        <v/>
      </c>
    </row>
    <row r="47">
      <c r="A47" s="2" t="s">
        <v>33</v>
      </c>
      <c r="B47" s="12">
        <v>42003.0</v>
      </c>
      <c r="C47" s="12">
        <v>43307.0</v>
      </c>
      <c r="D47" s="2"/>
      <c r="E47" s="2" t="s">
        <v>38</v>
      </c>
      <c r="F47" s="2" t="s">
        <v>146</v>
      </c>
      <c r="G47" s="2"/>
      <c r="H47" s="12">
        <v>0.0</v>
      </c>
      <c r="I47" s="2" t="s">
        <v>40</v>
      </c>
      <c r="J47" s="2"/>
      <c r="K47" s="2" t="s">
        <v>147</v>
      </c>
      <c r="L47" s="12">
        <v>434.0</v>
      </c>
      <c r="M47" s="2" t="s">
        <v>148</v>
      </c>
      <c r="N47" s="2" t="str">
        <f>IFERROR(__xludf.DUMMYFUNCTION("""COMPUTED_VALUE"""),"")</f>
        <v/>
      </c>
    </row>
    <row r="48">
      <c r="A48" s="2" t="s">
        <v>33</v>
      </c>
      <c r="B48" s="12">
        <v>43309.0</v>
      </c>
      <c r="C48" s="12">
        <v>43890.0</v>
      </c>
      <c r="D48" s="2"/>
      <c r="E48" s="2" t="s">
        <v>38</v>
      </c>
      <c r="F48" s="2" t="s">
        <v>149</v>
      </c>
      <c r="G48" s="2"/>
      <c r="H48" s="12">
        <v>0.0</v>
      </c>
      <c r="I48" s="2" t="s">
        <v>40</v>
      </c>
      <c r="J48" s="2"/>
      <c r="K48" s="2" t="s">
        <v>150</v>
      </c>
      <c r="L48" s="12">
        <v>193.0</v>
      </c>
      <c r="M48" s="2" t="s">
        <v>151</v>
      </c>
      <c r="N48" s="2" t="str">
        <f>IFERROR(__xludf.DUMMYFUNCTION("""COMPUTED_VALUE"""),"")</f>
        <v/>
      </c>
    </row>
    <row r="49">
      <c r="A49" s="2" t="s">
        <v>33</v>
      </c>
      <c r="B49" s="12">
        <v>43880.0</v>
      </c>
      <c r="C49" s="12">
        <v>45065.0</v>
      </c>
      <c r="D49" s="2"/>
      <c r="E49" s="2" t="s">
        <v>38</v>
      </c>
      <c r="F49" s="2" t="s">
        <v>35</v>
      </c>
      <c r="G49" s="2"/>
      <c r="H49" s="12">
        <v>0.0</v>
      </c>
      <c r="I49" s="2" t="s">
        <v>36</v>
      </c>
      <c r="J49" s="2"/>
      <c r="K49" s="2"/>
      <c r="L49" s="2"/>
      <c r="M49" s="2" t="s">
        <v>152</v>
      </c>
      <c r="N49" s="2" t="str">
        <f>IFERROR(__xludf.DUMMYFUNCTION("""COMPUTED_VALUE"""),"")</f>
        <v/>
      </c>
    </row>
    <row r="50">
      <c r="A50" s="2" t="s">
        <v>33</v>
      </c>
      <c r="B50" s="12">
        <v>45082.0</v>
      </c>
      <c r="C50" s="12">
        <v>45588.0</v>
      </c>
      <c r="D50" s="2"/>
      <c r="E50" s="2" t="s">
        <v>38</v>
      </c>
      <c r="F50" s="2" t="s">
        <v>39</v>
      </c>
      <c r="G50" s="2"/>
      <c r="H50" s="12">
        <v>0.0</v>
      </c>
      <c r="I50" s="2" t="s">
        <v>40</v>
      </c>
      <c r="J50" s="2"/>
      <c r="K50" s="2" t="s">
        <v>153</v>
      </c>
      <c r="L50" s="12">
        <v>168.0</v>
      </c>
      <c r="M50" s="2" t="s">
        <v>154</v>
      </c>
      <c r="N50" s="2" t="str">
        <f>IFERROR(__xludf.DUMMYFUNCTION("""COMPUTED_VALUE"""),"")</f>
        <v/>
      </c>
    </row>
    <row r="51">
      <c r="A51" s="2" t="s">
        <v>33</v>
      </c>
      <c r="B51" s="12">
        <v>45655.0</v>
      </c>
      <c r="C51" s="12">
        <v>47380.0</v>
      </c>
      <c r="D51" s="2"/>
      <c r="E51" s="2" t="s">
        <v>38</v>
      </c>
      <c r="F51" s="2" t="s">
        <v>35</v>
      </c>
      <c r="G51" s="2"/>
      <c r="H51" s="12">
        <v>0.0</v>
      </c>
      <c r="I51" s="2" t="s">
        <v>36</v>
      </c>
      <c r="J51" s="2"/>
      <c r="K51" s="2"/>
      <c r="L51" s="2"/>
      <c r="M51" s="2" t="s">
        <v>155</v>
      </c>
      <c r="N51" s="2" t="str">
        <f>IFERROR(__xludf.DUMMYFUNCTION("""COMPUTED_VALUE"""),"")</f>
        <v/>
      </c>
    </row>
    <row r="52">
      <c r="A52" s="2" t="s">
        <v>33</v>
      </c>
      <c r="B52" s="12">
        <v>47377.0</v>
      </c>
      <c r="C52" s="12">
        <v>47802.0</v>
      </c>
      <c r="D52" s="2"/>
      <c r="E52" s="2" t="s">
        <v>38</v>
      </c>
      <c r="F52" s="2" t="s">
        <v>156</v>
      </c>
      <c r="G52" s="2"/>
      <c r="H52" s="12">
        <v>0.0</v>
      </c>
      <c r="I52" s="2" t="s">
        <v>40</v>
      </c>
      <c r="J52" s="2"/>
      <c r="K52" s="2" t="s">
        <v>157</v>
      </c>
      <c r="L52" s="12">
        <v>141.0</v>
      </c>
      <c r="M52" s="2" t="s">
        <v>158</v>
      </c>
      <c r="N52" s="2" t="str">
        <f>IFERROR(__xludf.DUMMYFUNCTION("""COMPUTED_VALUE"""),"")</f>
        <v/>
      </c>
    </row>
    <row r="53">
      <c r="A53" s="2" t="s">
        <v>33</v>
      </c>
      <c r="B53" s="12">
        <v>47887.0</v>
      </c>
      <c r="C53" s="12">
        <v>48279.0</v>
      </c>
      <c r="D53" s="2"/>
      <c r="E53" s="2" t="s">
        <v>38</v>
      </c>
      <c r="F53" s="2" t="s">
        <v>159</v>
      </c>
      <c r="G53" s="2"/>
      <c r="H53" s="12">
        <v>0.0</v>
      </c>
      <c r="I53" s="2" t="s">
        <v>40</v>
      </c>
      <c r="J53" s="2"/>
      <c r="K53" s="2" t="s">
        <v>160</v>
      </c>
      <c r="L53" s="12">
        <v>130.0</v>
      </c>
      <c r="M53" s="2" t="s">
        <v>161</v>
      </c>
      <c r="N53" s="2" t="str">
        <f>IFERROR(__xludf.DUMMYFUNCTION("""COMPUTED_VALUE"""),"")</f>
        <v/>
      </c>
    </row>
    <row r="54">
      <c r="A54" s="2" t="s">
        <v>33</v>
      </c>
      <c r="B54" s="12">
        <v>48276.0</v>
      </c>
      <c r="C54" s="12">
        <v>48563.0</v>
      </c>
      <c r="D54" s="2"/>
      <c r="E54" s="2" t="s">
        <v>38</v>
      </c>
      <c r="F54" s="2" t="s">
        <v>162</v>
      </c>
      <c r="G54" s="2"/>
      <c r="H54" s="12">
        <v>0.0</v>
      </c>
      <c r="I54" s="2" t="s">
        <v>40</v>
      </c>
      <c r="J54" s="2"/>
      <c r="K54" s="2" t="s">
        <v>163</v>
      </c>
      <c r="L54" s="12">
        <v>95.0</v>
      </c>
      <c r="M54" s="2" t="s">
        <v>164</v>
      </c>
      <c r="N54" s="2" t="str">
        <f>IFERROR(__xludf.DUMMYFUNCTION("""COMPUTED_VALUE"""),"")</f>
        <v/>
      </c>
    </row>
    <row r="55">
      <c r="A55" s="2" t="s">
        <v>33</v>
      </c>
      <c r="B55" s="12">
        <v>48646.0</v>
      </c>
      <c r="C55" s="12">
        <v>49284.0</v>
      </c>
      <c r="D55" s="2"/>
      <c r="E55" s="2" t="s">
        <v>38</v>
      </c>
      <c r="F55" s="2" t="s">
        <v>39</v>
      </c>
      <c r="G55" s="2"/>
      <c r="H55" s="12">
        <v>0.0</v>
      </c>
      <c r="I55" s="2" t="s">
        <v>40</v>
      </c>
      <c r="J55" s="2"/>
      <c r="K55" s="2" t="s">
        <v>165</v>
      </c>
      <c r="L55" s="12">
        <v>212.0</v>
      </c>
      <c r="M55" s="2" t="s">
        <v>166</v>
      </c>
      <c r="N55" s="2" t="str">
        <f>IFERROR(__xludf.DUMMYFUNCTION("""COMPUTED_VALUE"""),"")</f>
        <v/>
      </c>
    </row>
    <row r="56">
      <c r="A56" s="2" t="s">
        <v>33</v>
      </c>
      <c r="B56" s="12">
        <v>49411.0</v>
      </c>
      <c r="C56" s="12">
        <v>49695.0</v>
      </c>
      <c r="D56" s="2"/>
      <c r="E56" s="2" t="s">
        <v>38</v>
      </c>
      <c r="F56" s="2" t="s">
        <v>167</v>
      </c>
      <c r="G56" s="2"/>
      <c r="H56" s="12">
        <v>0.0</v>
      </c>
      <c r="I56" s="2" t="s">
        <v>40</v>
      </c>
      <c r="J56" s="2"/>
      <c r="K56" s="2" t="s">
        <v>168</v>
      </c>
      <c r="L56" s="12">
        <v>94.0</v>
      </c>
      <c r="M56" s="2" t="s">
        <v>169</v>
      </c>
      <c r="N56" s="2" t="str">
        <f>IFERROR(__xludf.DUMMYFUNCTION("""COMPUTED_VALUE"""),"")</f>
        <v/>
      </c>
    </row>
    <row r="57">
      <c r="A57" s="2" t="s">
        <v>33</v>
      </c>
      <c r="B57" s="12">
        <v>49700.0</v>
      </c>
      <c r="C57" s="12">
        <v>49807.0</v>
      </c>
      <c r="D57" s="2"/>
      <c r="E57" s="2" t="s">
        <v>38</v>
      </c>
      <c r="F57" s="2" t="s">
        <v>167</v>
      </c>
      <c r="G57" s="2"/>
      <c r="H57" s="12">
        <v>0.0</v>
      </c>
      <c r="I57" s="2" t="s">
        <v>40</v>
      </c>
      <c r="J57" s="2"/>
      <c r="K57" s="2" t="s">
        <v>170</v>
      </c>
      <c r="L57" s="12">
        <v>35.0</v>
      </c>
      <c r="M57" s="2" t="s">
        <v>171</v>
      </c>
      <c r="N57" s="2" t="str">
        <f>IFERROR(__xludf.DUMMYFUNCTION("""COMPUTED_VALUE"""),"")</f>
        <v/>
      </c>
    </row>
    <row r="58">
      <c r="A58" s="2" t="s">
        <v>33</v>
      </c>
      <c r="B58" s="12">
        <v>50258.0</v>
      </c>
      <c r="C58" s="12">
        <v>50476.0</v>
      </c>
      <c r="D58" s="2"/>
      <c r="E58" s="2" t="s">
        <v>38</v>
      </c>
      <c r="F58" s="2" t="s">
        <v>39</v>
      </c>
      <c r="G58" s="2"/>
      <c r="H58" s="12">
        <v>0.0</v>
      </c>
      <c r="I58" s="2" t="s">
        <v>40</v>
      </c>
      <c r="J58" s="2"/>
      <c r="K58" s="2" t="s">
        <v>172</v>
      </c>
      <c r="L58" s="12">
        <v>72.0</v>
      </c>
      <c r="M58" s="2" t="s">
        <v>173</v>
      </c>
      <c r="N58" s="2" t="str">
        <f>IFERROR(__xludf.DUMMYFUNCTION("""COMPUTED_VALUE"""),"")</f>
        <v/>
      </c>
    </row>
    <row r="59">
      <c r="A59" s="2" t="s">
        <v>33</v>
      </c>
      <c r="B59" s="12">
        <v>50779.0</v>
      </c>
      <c r="C59" s="12">
        <v>51123.0</v>
      </c>
      <c r="D59" s="2"/>
      <c r="E59" s="2" t="s">
        <v>38</v>
      </c>
      <c r="F59" s="2" t="s">
        <v>39</v>
      </c>
      <c r="G59" s="2"/>
      <c r="H59" s="12">
        <v>0.0</v>
      </c>
      <c r="I59" s="2" t="s">
        <v>40</v>
      </c>
      <c r="J59" s="2"/>
      <c r="K59" s="2" t="s">
        <v>174</v>
      </c>
      <c r="L59" s="12">
        <v>114.0</v>
      </c>
      <c r="M59" s="2" t="s">
        <v>175</v>
      </c>
      <c r="N59" s="2" t="str">
        <f>IFERROR(__xludf.DUMMYFUNCTION("""COMPUTED_VALUE"""),"")</f>
        <v/>
      </c>
    </row>
    <row r="60">
      <c r="A60" s="2" t="s">
        <v>33</v>
      </c>
      <c r="B60" s="12">
        <v>51421.0</v>
      </c>
      <c r="C60" s="12">
        <v>51963.0</v>
      </c>
      <c r="D60" s="2"/>
      <c r="E60" s="2" t="s">
        <v>38</v>
      </c>
      <c r="F60" s="2" t="s">
        <v>176</v>
      </c>
      <c r="G60" s="2"/>
      <c r="H60" s="12">
        <v>0.0</v>
      </c>
      <c r="I60" s="2" t="s">
        <v>40</v>
      </c>
      <c r="J60" s="2"/>
      <c r="K60" s="2" t="s">
        <v>177</v>
      </c>
      <c r="L60" s="12">
        <v>180.0</v>
      </c>
      <c r="M60" s="2" t="s">
        <v>178</v>
      </c>
      <c r="N60" s="2" t="str">
        <f>IFERROR(__xludf.DUMMYFUNCTION("""COMPUTED_VALUE"""),"")</f>
        <v/>
      </c>
    </row>
    <row r="61">
      <c r="A61" s="2" t="s">
        <v>33</v>
      </c>
      <c r="B61" s="12">
        <v>51963.0</v>
      </c>
      <c r="C61" s="12">
        <v>52445.0</v>
      </c>
      <c r="D61" s="2"/>
      <c r="E61" s="2" t="s">
        <v>38</v>
      </c>
      <c r="F61" s="2" t="s">
        <v>179</v>
      </c>
      <c r="G61" s="2"/>
      <c r="H61" s="12">
        <v>0.0</v>
      </c>
      <c r="I61" s="2" t="s">
        <v>40</v>
      </c>
      <c r="J61" s="2"/>
      <c r="K61" s="2" t="s">
        <v>180</v>
      </c>
      <c r="L61" s="12">
        <v>160.0</v>
      </c>
      <c r="M61" s="2" t="s">
        <v>181</v>
      </c>
      <c r="N61" s="2" t="str">
        <f>IFERROR(__xludf.DUMMYFUNCTION("""COMPUTED_VALUE"""),"")</f>
        <v/>
      </c>
    </row>
    <row r="62">
      <c r="A62" s="2" t="s">
        <v>33</v>
      </c>
      <c r="B62" s="12">
        <v>52473.0</v>
      </c>
      <c r="C62" s="12">
        <v>52643.0</v>
      </c>
      <c r="D62" s="2"/>
      <c r="E62" s="2" t="s">
        <v>38</v>
      </c>
      <c r="F62" s="2" t="s">
        <v>39</v>
      </c>
      <c r="G62" s="2"/>
      <c r="H62" s="12">
        <v>0.0</v>
      </c>
      <c r="I62" s="2" t="s">
        <v>40</v>
      </c>
      <c r="J62" s="2"/>
      <c r="K62" s="2" t="s">
        <v>182</v>
      </c>
      <c r="L62" s="12">
        <v>56.0</v>
      </c>
      <c r="M62" s="2" t="s">
        <v>183</v>
      </c>
      <c r="N62" s="2" t="str">
        <f>IFERROR(__xludf.DUMMYFUNCTION("""COMPUTED_VALUE"""),"")</f>
        <v/>
      </c>
    </row>
    <row r="63">
      <c r="A63" s="2" t="s">
        <v>33</v>
      </c>
      <c r="B63" s="12">
        <v>52742.0</v>
      </c>
      <c r="C63" s="12">
        <v>52930.0</v>
      </c>
      <c r="D63" s="2"/>
      <c r="E63" s="2" t="s">
        <v>38</v>
      </c>
      <c r="F63" s="2" t="s">
        <v>39</v>
      </c>
      <c r="G63" s="2"/>
      <c r="H63" s="12">
        <v>0.0</v>
      </c>
      <c r="I63" s="2" t="s">
        <v>40</v>
      </c>
      <c r="J63" s="2"/>
      <c r="K63" s="2" t="s">
        <v>184</v>
      </c>
      <c r="L63" s="12">
        <v>62.0</v>
      </c>
      <c r="M63" s="2" t="s">
        <v>185</v>
      </c>
      <c r="N63" s="2" t="str">
        <f>IFERROR(__xludf.DUMMYFUNCTION("""COMPUTED_VALUE"""),"")</f>
        <v/>
      </c>
    </row>
    <row r="64">
      <c r="A64" s="2" t="s">
        <v>33</v>
      </c>
      <c r="B64" s="12">
        <v>52951.0</v>
      </c>
      <c r="C64" s="12">
        <v>53073.0</v>
      </c>
      <c r="D64" s="2"/>
      <c r="E64" s="2" t="s">
        <v>38</v>
      </c>
      <c r="F64" s="2" t="s">
        <v>186</v>
      </c>
      <c r="G64" s="2"/>
      <c r="H64" s="12">
        <v>0.0</v>
      </c>
      <c r="I64" s="2" t="s">
        <v>40</v>
      </c>
      <c r="J64" s="2"/>
      <c r="K64" s="2" t="s">
        <v>187</v>
      </c>
      <c r="L64" s="12">
        <v>40.0</v>
      </c>
      <c r="M64" s="2" t="s">
        <v>188</v>
      </c>
      <c r="N64" s="2" t="str">
        <f>IFERROR(__xludf.DUMMYFUNCTION("""COMPUTED_VALUE"""),"")</f>
        <v/>
      </c>
    </row>
    <row r="65">
      <c r="A65" s="2" t="s">
        <v>33</v>
      </c>
      <c r="B65" s="12">
        <v>53201.0</v>
      </c>
      <c r="C65" s="12">
        <v>53365.0</v>
      </c>
      <c r="D65" s="2"/>
      <c r="E65" s="2" t="s">
        <v>34</v>
      </c>
      <c r="F65" s="2" t="s">
        <v>39</v>
      </c>
      <c r="G65" s="2"/>
      <c r="H65" s="12">
        <v>0.0</v>
      </c>
      <c r="I65" s="2" t="s">
        <v>40</v>
      </c>
      <c r="J65" s="2"/>
      <c r="K65" s="2" t="s">
        <v>189</v>
      </c>
      <c r="L65" s="12">
        <v>54.0</v>
      </c>
      <c r="M65" s="2" t="s">
        <v>190</v>
      </c>
      <c r="N65" s="2" t="str">
        <f>IFERROR(__xludf.DUMMYFUNCTION("""COMPUTED_VALUE"""),"")</f>
        <v/>
      </c>
    </row>
    <row r="66">
      <c r="A66" s="2" t="s">
        <v>33</v>
      </c>
      <c r="B66" s="12">
        <v>54564.0</v>
      </c>
      <c r="C66" s="12">
        <v>55268.0</v>
      </c>
      <c r="D66" s="2"/>
      <c r="E66" s="2" t="s">
        <v>34</v>
      </c>
      <c r="F66" s="2" t="s">
        <v>191</v>
      </c>
      <c r="G66" s="2"/>
      <c r="H66" s="12">
        <v>0.0</v>
      </c>
      <c r="I66" s="2" t="s">
        <v>40</v>
      </c>
      <c r="J66" s="2"/>
      <c r="K66" s="2" t="s">
        <v>192</v>
      </c>
      <c r="L66" s="12">
        <v>234.0</v>
      </c>
      <c r="M66" s="2" t="s">
        <v>193</v>
      </c>
      <c r="N66" s="2" t="str">
        <f>IFERROR(__xludf.DUMMYFUNCTION("""COMPUTED_VALUE"""),"")</f>
        <v/>
      </c>
    </row>
    <row r="67">
      <c r="A67" s="2" t="s">
        <v>33</v>
      </c>
      <c r="B67" s="12">
        <v>56002.0</v>
      </c>
      <c r="C67" s="12">
        <v>57612.0</v>
      </c>
      <c r="D67" s="2"/>
      <c r="E67" s="2" t="s">
        <v>34</v>
      </c>
      <c r="F67" s="2" t="s">
        <v>194</v>
      </c>
      <c r="G67" s="2" t="s">
        <v>195</v>
      </c>
      <c r="H67" s="12">
        <v>0.0</v>
      </c>
      <c r="I67" s="2" t="s">
        <v>40</v>
      </c>
      <c r="J67" s="2"/>
      <c r="K67" s="2" t="s">
        <v>196</v>
      </c>
      <c r="L67" s="12">
        <v>536.0</v>
      </c>
      <c r="M67" s="2" t="s">
        <v>197</v>
      </c>
      <c r="N67" s="2" t="str">
        <f>IFERROR(__xludf.DUMMYFUNCTION("""COMPUTED_VALUE"""),"")</f>
        <v/>
      </c>
    </row>
    <row r="68">
      <c r="A68" s="2" t="s">
        <v>33</v>
      </c>
      <c r="B68" s="12">
        <v>57794.0</v>
      </c>
      <c r="C68" s="12">
        <v>58006.0</v>
      </c>
      <c r="D68" s="2"/>
      <c r="E68" s="2" t="s">
        <v>38</v>
      </c>
      <c r="F68" s="2" t="s">
        <v>39</v>
      </c>
      <c r="G68" s="2"/>
      <c r="H68" s="12">
        <v>0.0</v>
      </c>
      <c r="I68" s="2" t="s">
        <v>40</v>
      </c>
      <c r="J68" s="2"/>
      <c r="K68" s="2" t="s">
        <v>198</v>
      </c>
      <c r="L68" s="12">
        <v>70.0</v>
      </c>
      <c r="M68" s="2" t="s">
        <v>199</v>
      </c>
      <c r="N68" s="2" t="str">
        <f>IFERROR(__xludf.DUMMYFUNCTION("""COMPUTED_VALUE"""),"")</f>
        <v/>
      </c>
    </row>
    <row r="69">
      <c r="A69" s="2" t="s">
        <v>33</v>
      </c>
      <c r="B69" s="12">
        <v>58021.0</v>
      </c>
      <c r="C69" s="12">
        <v>58275.0</v>
      </c>
      <c r="D69" s="2"/>
      <c r="E69" s="2" t="s">
        <v>38</v>
      </c>
      <c r="F69" s="2" t="s">
        <v>39</v>
      </c>
      <c r="G69" s="2"/>
      <c r="H69" s="12">
        <v>0.0</v>
      </c>
      <c r="I69" s="2" t="s">
        <v>40</v>
      </c>
      <c r="J69" s="2"/>
      <c r="K69" s="2" t="s">
        <v>200</v>
      </c>
      <c r="L69" s="12">
        <v>84.0</v>
      </c>
      <c r="M69" s="2" t="s">
        <v>201</v>
      </c>
      <c r="N69" s="2" t="str">
        <f>IFERROR(__xludf.DUMMYFUNCTION("""COMPUTED_VALUE"""),"")</f>
        <v/>
      </c>
    </row>
    <row r="70">
      <c r="A70" s="2" t="s">
        <v>33</v>
      </c>
      <c r="B70" s="12">
        <v>58290.0</v>
      </c>
      <c r="C70" s="12">
        <v>58463.0</v>
      </c>
      <c r="D70" s="2"/>
      <c r="E70" s="2" t="s">
        <v>38</v>
      </c>
      <c r="F70" s="2" t="s">
        <v>202</v>
      </c>
      <c r="G70" s="2"/>
      <c r="H70" s="12">
        <v>0.0</v>
      </c>
      <c r="I70" s="2" t="s">
        <v>40</v>
      </c>
      <c r="J70" s="2"/>
      <c r="K70" s="2" t="s">
        <v>203</v>
      </c>
      <c r="L70" s="12">
        <v>57.0</v>
      </c>
      <c r="M70" s="2" t="s">
        <v>204</v>
      </c>
      <c r="N70" s="2" t="str">
        <f>IFERROR(__xludf.DUMMYFUNCTION("""COMPUTED_VALUE"""),"")</f>
        <v/>
      </c>
    </row>
    <row r="71">
      <c r="A71" s="2" t="s">
        <v>33</v>
      </c>
      <c r="B71" s="12">
        <v>58489.0</v>
      </c>
      <c r="C71" s="12">
        <v>58683.0</v>
      </c>
      <c r="D71" s="2"/>
      <c r="E71" s="2" t="s">
        <v>38</v>
      </c>
      <c r="F71" s="2" t="s">
        <v>39</v>
      </c>
      <c r="G71" s="2"/>
      <c r="H71" s="12">
        <v>0.0</v>
      </c>
      <c r="I71" s="2" t="s">
        <v>40</v>
      </c>
      <c r="J71" s="2"/>
      <c r="K71" s="2" t="s">
        <v>205</v>
      </c>
      <c r="L71" s="12">
        <v>64.0</v>
      </c>
      <c r="M71" s="2" t="s">
        <v>206</v>
      </c>
      <c r="N71" s="2" t="str">
        <f>IFERROR(__xludf.DUMMYFUNCTION("""COMPUTED_VALUE"""),"")</f>
        <v/>
      </c>
    </row>
    <row r="72">
      <c r="A72" s="2" t="s">
        <v>33</v>
      </c>
      <c r="B72" s="12">
        <v>58796.0</v>
      </c>
      <c r="C72" s="12">
        <v>59575.0</v>
      </c>
      <c r="D72" s="2"/>
      <c r="E72" s="2" t="s">
        <v>38</v>
      </c>
      <c r="F72" s="2" t="s">
        <v>66</v>
      </c>
      <c r="G72" s="2"/>
      <c r="H72" s="12">
        <v>0.0</v>
      </c>
      <c r="I72" s="2" t="s">
        <v>40</v>
      </c>
      <c r="J72" s="2"/>
      <c r="K72" s="2" t="s">
        <v>207</v>
      </c>
      <c r="L72" s="12">
        <v>259.0</v>
      </c>
      <c r="M72" s="2" t="s">
        <v>208</v>
      </c>
      <c r="N72" s="2" t="str">
        <f>IFERROR(__xludf.DUMMYFUNCTION("""COMPUTED_VALUE"""),"")</f>
        <v/>
      </c>
    </row>
    <row r="73">
      <c r="A73" s="2" t="s">
        <v>33</v>
      </c>
      <c r="B73" s="12">
        <v>59514.0</v>
      </c>
      <c r="C73" s="12">
        <v>60260.0</v>
      </c>
      <c r="D73" s="2"/>
      <c r="E73" s="2" t="s">
        <v>38</v>
      </c>
      <c r="F73" s="2" t="s">
        <v>209</v>
      </c>
      <c r="G73" s="2"/>
      <c r="H73" s="12">
        <v>0.0</v>
      </c>
      <c r="I73" s="2" t="s">
        <v>40</v>
      </c>
      <c r="J73" s="2"/>
      <c r="K73" s="2" t="s">
        <v>210</v>
      </c>
      <c r="L73" s="12">
        <v>248.0</v>
      </c>
      <c r="M73" s="2" t="s">
        <v>211</v>
      </c>
      <c r="N73" s="2" t="str">
        <f>IFERROR(__xludf.DUMMYFUNCTION("""COMPUTED_VALUE"""),"")</f>
        <v/>
      </c>
    </row>
    <row r="74">
      <c r="A74" s="2" t="s">
        <v>33</v>
      </c>
      <c r="B74" s="12">
        <v>60265.0</v>
      </c>
      <c r="C74" s="12">
        <v>60441.0</v>
      </c>
      <c r="D74" s="2"/>
      <c r="E74" s="2" t="s">
        <v>38</v>
      </c>
      <c r="F74" s="2" t="s">
        <v>39</v>
      </c>
      <c r="G74" s="2"/>
      <c r="H74" s="12">
        <v>0.0</v>
      </c>
      <c r="I74" s="2" t="s">
        <v>40</v>
      </c>
      <c r="J74" s="2"/>
      <c r="K74" s="2" t="s">
        <v>212</v>
      </c>
      <c r="L74" s="12">
        <v>58.0</v>
      </c>
      <c r="M74" s="2" t="s">
        <v>213</v>
      </c>
      <c r="N74" s="2" t="str">
        <f>IFERROR(__xludf.DUMMYFUNCTION("""COMPUTED_VALUE"""),"")</f>
        <v/>
      </c>
    </row>
    <row r="75">
      <c r="A75" s="2" t="s">
        <v>33</v>
      </c>
      <c r="B75" s="12">
        <v>60471.0</v>
      </c>
      <c r="C75" s="12">
        <v>60635.0</v>
      </c>
      <c r="D75" s="2"/>
      <c r="E75" s="2" t="s">
        <v>38</v>
      </c>
      <c r="F75" s="2" t="s">
        <v>39</v>
      </c>
      <c r="G75" s="2"/>
      <c r="H75" s="12">
        <v>0.0</v>
      </c>
      <c r="I75" s="2" t="s">
        <v>40</v>
      </c>
      <c r="J75" s="2"/>
      <c r="K75" s="2" t="s">
        <v>214</v>
      </c>
      <c r="L75" s="12">
        <v>54.0</v>
      </c>
      <c r="M75" s="2" t="s">
        <v>215</v>
      </c>
      <c r="N75" s="2" t="str">
        <f>IFERROR(__xludf.DUMMYFUNCTION("""COMPUTED_VALUE"""),"")</f>
        <v/>
      </c>
    </row>
    <row r="76">
      <c r="A76" s="2" t="s">
        <v>33</v>
      </c>
      <c r="B76" s="12">
        <v>60635.0</v>
      </c>
      <c r="C76" s="12">
        <v>60901.0</v>
      </c>
      <c r="D76" s="2"/>
      <c r="E76" s="2" t="s">
        <v>38</v>
      </c>
      <c r="F76" s="2" t="s">
        <v>216</v>
      </c>
      <c r="G76" s="2"/>
      <c r="H76" s="12">
        <v>0.0</v>
      </c>
      <c r="I76" s="2" t="s">
        <v>40</v>
      </c>
      <c r="J76" s="2"/>
      <c r="K76" s="2" t="s">
        <v>217</v>
      </c>
      <c r="L76" s="12">
        <v>88.0</v>
      </c>
      <c r="M76" s="2" t="s">
        <v>218</v>
      </c>
      <c r="N76" s="2" t="str">
        <f>IFERROR(__xludf.DUMMYFUNCTION("""COMPUTED_VALUE"""),"")</f>
        <v/>
      </c>
    </row>
    <row r="77">
      <c r="A77" s="2" t="s">
        <v>33</v>
      </c>
      <c r="B77" s="12">
        <v>60960.0</v>
      </c>
      <c r="C77" s="12">
        <v>61061.0</v>
      </c>
      <c r="D77" s="2"/>
      <c r="E77" s="2" t="s">
        <v>38</v>
      </c>
      <c r="F77" s="2" t="s">
        <v>35</v>
      </c>
      <c r="G77" s="2"/>
      <c r="H77" s="12">
        <v>0.0</v>
      </c>
      <c r="I77" s="2" t="s">
        <v>36</v>
      </c>
      <c r="J77" s="2"/>
      <c r="K77" s="2"/>
      <c r="L77" s="2"/>
      <c r="M77" s="2" t="s">
        <v>219</v>
      </c>
      <c r="N77" s="2" t="str">
        <f>IFERROR(__xludf.DUMMYFUNCTION("""COMPUTED_VALUE"""),"")</f>
        <v/>
      </c>
    </row>
    <row r="78">
      <c r="A78" s="2" t="s">
        <v>33</v>
      </c>
      <c r="B78" s="12">
        <v>61117.0</v>
      </c>
      <c r="C78" s="12">
        <v>61413.0</v>
      </c>
      <c r="D78" s="2"/>
      <c r="E78" s="2" t="s">
        <v>38</v>
      </c>
      <c r="F78" s="2" t="s">
        <v>220</v>
      </c>
      <c r="G78" s="2"/>
      <c r="H78" s="12">
        <v>0.0</v>
      </c>
      <c r="I78" s="2" t="s">
        <v>40</v>
      </c>
      <c r="J78" s="2"/>
      <c r="K78" s="2" t="s">
        <v>221</v>
      </c>
      <c r="L78" s="12">
        <v>98.0</v>
      </c>
      <c r="M78" s="2" t="s">
        <v>222</v>
      </c>
      <c r="N78" s="2" t="str">
        <f>IFERROR(__xludf.DUMMYFUNCTION("""COMPUTED_VALUE"""),"")</f>
        <v/>
      </c>
    </row>
    <row r="79">
      <c r="A79" s="2" t="s">
        <v>33</v>
      </c>
      <c r="B79" s="12">
        <v>61597.0</v>
      </c>
      <c r="C79" s="12">
        <v>61947.0</v>
      </c>
      <c r="D79" s="2"/>
      <c r="E79" s="2" t="s">
        <v>34</v>
      </c>
      <c r="F79" s="2" t="s">
        <v>220</v>
      </c>
      <c r="G79" s="2"/>
      <c r="H79" s="12">
        <v>0.0</v>
      </c>
      <c r="I79" s="2" t="s">
        <v>40</v>
      </c>
      <c r="J79" s="2"/>
      <c r="K79" s="2" t="s">
        <v>223</v>
      </c>
      <c r="L79" s="12">
        <v>116.0</v>
      </c>
      <c r="M79" s="2" t="s">
        <v>224</v>
      </c>
      <c r="N79" s="2" t="str">
        <f>IFERROR(__xludf.DUMMYFUNCTION("""COMPUTED_VALUE"""),"")</f>
        <v/>
      </c>
    </row>
    <row r="80">
      <c r="A80" s="2" t="s">
        <v>33</v>
      </c>
      <c r="B80" s="12">
        <v>62208.0</v>
      </c>
      <c r="C80" s="12">
        <v>62363.0</v>
      </c>
      <c r="D80" s="2"/>
      <c r="E80" s="2" t="s">
        <v>38</v>
      </c>
      <c r="F80" s="2" t="s">
        <v>39</v>
      </c>
      <c r="G80" s="2"/>
      <c r="H80" s="12">
        <v>0.0</v>
      </c>
      <c r="I80" s="2" t="s">
        <v>40</v>
      </c>
      <c r="J80" s="2"/>
      <c r="K80" s="2" t="s">
        <v>225</v>
      </c>
      <c r="L80" s="12">
        <v>51.0</v>
      </c>
      <c r="M80" s="2" t="s">
        <v>226</v>
      </c>
      <c r="N80" s="2" t="str">
        <f>IFERROR(__xludf.DUMMYFUNCTION("""COMPUTED_VALUE"""),"")</f>
        <v/>
      </c>
    </row>
    <row r="81">
      <c r="A81" s="2" t="s">
        <v>33</v>
      </c>
      <c r="B81" s="12">
        <v>62390.0</v>
      </c>
      <c r="C81" s="12">
        <v>63598.0</v>
      </c>
      <c r="D81" s="2"/>
      <c r="E81" s="2" t="s">
        <v>38</v>
      </c>
      <c r="F81" s="2" t="s">
        <v>227</v>
      </c>
      <c r="G81" s="2"/>
      <c r="H81" s="12">
        <v>0.0</v>
      </c>
      <c r="I81" s="2" t="s">
        <v>40</v>
      </c>
      <c r="J81" s="2"/>
      <c r="K81" s="2" t="s">
        <v>228</v>
      </c>
      <c r="L81" s="12">
        <v>402.0</v>
      </c>
      <c r="M81" s="2" t="s">
        <v>229</v>
      </c>
      <c r="N81" s="2" t="str">
        <f>IFERROR(__xludf.DUMMYFUNCTION("""COMPUTED_VALUE"""),"")</f>
        <v/>
      </c>
    </row>
    <row r="82">
      <c r="A82" s="2" t="s">
        <v>33</v>
      </c>
      <c r="B82" s="12">
        <v>64246.0</v>
      </c>
      <c r="C82" s="12">
        <v>65355.0</v>
      </c>
      <c r="D82" s="2"/>
      <c r="E82" s="2" t="s">
        <v>34</v>
      </c>
      <c r="F82" s="2" t="s">
        <v>55</v>
      </c>
      <c r="G82" s="2"/>
      <c r="H82" s="12">
        <v>0.0</v>
      </c>
      <c r="I82" s="2" t="s">
        <v>40</v>
      </c>
      <c r="J82" s="2"/>
      <c r="K82" s="2" t="s">
        <v>230</v>
      </c>
      <c r="L82" s="12">
        <v>369.0</v>
      </c>
      <c r="M82" s="2" t="s">
        <v>231</v>
      </c>
      <c r="N82" s="2" t="str">
        <f>IFERROR(__xludf.DUMMYFUNCTION("""COMPUTED_VALUE"""),"")</f>
        <v/>
      </c>
    </row>
    <row r="83">
      <c r="A83" s="2" t="s">
        <v>33</v>
      </c>
      <c r="B83" s="12">
        <v>65394.0</v>
      </c>
      <c r="C83" s="12">
        <v>66095.0</v>
      </c>
      <c r="D83" s="2"/>
      <c r="E83" s="2" t="s">
        <v>38</v>
      </c>
      <c r="F83" s="2" t="s">
        <v>232</v>
      </c>
      <c r="G83" s="2"/>
      <c r="H83" s="12">
        <v>0.0</v>
      </c>
      <c r="I83" s="2" t="s">
        <v>40</v>
      </c>
      <c r="J83" s="2"/>
      <c r="K83" s="2" t="s">
        <v>233</v>
      </c>
      <c r="L83" s="12">
        <v>233.0</v>
      </c>
      <c r="M83" s="2" t="s">
        <v>234</v>
      </c>
      <c r="N83" s="2" t="str">
        <f>IFERROR(__xludf.DUMMYFUNCTION("""COMPUTED_VALUE"""),"")</f>
        <v/>
      </c>
    </row>
    <row r="84">
      <c r="A84" s="2" t="s">
        <v>33</v>
      </c>
      <c r="B84" s="12">
        <v>66407.0</v>
      </c>
      <c r="C84" s="12">
        <v>66892.0</v>
      </c>
      <c r="D84" s="2"/>
      <c r="E84" s="2" t="s">
        <v>38</v>
      </c>
      <c r="F84" s="2" t="s">
        <v>39</v>
      </c>
      <c r="G84" s="2"/>
      <c r="H84" s="12">
        <v>0.0</v>
      </c>
      <c r="I84" s="2" t="s">
        <v>40</v>
      </c>
      <c r="J84" s="2"/>
      <c r="K84" s="2" t="s">
        <v>235</v>
      </c>
      <c r="L84" s="12">
        <v>161.0</v>
      </c>
      <c r="M84" s="2" t="s">
        <v>236</v>
      </c>
      <c r="N84" s="2" t="str">
        <f>IFERROR(__xludf.DUMMYFUNCTION("""COMPUTED_VALUE"""),"")</f>
        <v/>
      </c>
    </row>
    <row r="85">
      <c r="A85" s="2" t="s">
        <v>33</v>
      </c>
      <c r="B85" s="12">
        <v>67386.0</v>
      </c>
      <c r="C85" s="12">
        <v>67706.0</v>
      </c>
      <c r="D85" s="2"/>
      <c r="E85" s="2" t="s">
        <v>38</v>
      </c>
      <c r="F85" s="2" t="s">
        <v>237</v>
      </c>
      <c r="G85" s="2"/>
      <c r="H85" s="12">
        <v>0.0</v>
      </c>
      <c r="I85" s="2" t="s">
        <v>40</v>
      </c>
      <c r="J85" s="2"/>
      <c r="K85" s="2" t="s">
        <v>238</v>
      </c>
      <c r="L85" s="12">
        <v>106.0</v>
      </c>
      <c r="M85" s="2" t="s">
        <v>239</v>
      </c>
      <c r="N85" s="2" t="str">
        <f>IFERROR(__xludf.DUMMYFUNCTION("""COMPUTED_VALUE"""),"")</f>
        <v/>
      </c>
    </row>
    <row r="86">
      <c r="A86" s="2" t="s">
        <v>33</v>
      </c>
      <c r="B86" s="12">
        <v>68068.0</v>
      </c>
      <c r="C86" s="12">
        <v>68331.0</v>
      </c>
      <c r="D86" s="2"/>
      <c r="E86" s="2" t="s">
        <v>38</v>
      </c>
      <c r="F86" s="2" t="s">
        <v>240</v>
      </c>
      <c r="G86" s="2"/>
      <c r="H86" s="12">
        <v>0.0</v>
      </c>
      <c r="I86" s="2" t="s">
        <v>40</v>
      </c>
      <c r="J86" s="2"/>
      <c r="K86" s="2" t="s">
        <v>241</v>
      </c>
      <c r="L86" s="12">
        <v>87.0</v>
      </c>
      <c r="M86" s="2" t="s">
        <v>242</v>
      </c>
      <c r="N86" s="2" t="str">
        <f>IFERROR(__xludf.DUMMYFUNCTION("""COMPUTED_VALUE"""),"")</f>
        <v/>
      </c>
    </row>
    <row r="87">
      <c r="A87" s="2" t="s">
        <v>33</v>
      </c>
      <c r="B87" s="12">
        <v>68729.0</v>
      </c>
      <c r="C87" s="12">
        <v>69418.0</v>
      </c>
      <c r="D87" s="2"/>
      <c r="E87" s="2" t="s">
        <v>38</v>
      </c>
      <c r="F87" s="2" t="s">
        <v>243</v>
      </c>
      <c r="G87" s="2" t="s">
        <v>244</v>
      </c>
      <c r="H87" s="12">
        <v>0.0</v>
      </c>
      <c r="I87" s="2" t="s">
        <v>40</v>
      </c>
      <c r="J87" s="2"/>
      <c r="K87" s="2" t="s">
        <v>245</v>
      </c>
      <c r="L87" s="12">
        <v>229.0</v>
      </c>
      <c r="M87" s="2" t="s">
        <v>246</v>
      </c>
      <c r="N87" s="2" t="str">
        <f>IFERROR(__xludf.DUMMYFUNCTION("""COMPUTED_VALUE"""),"")</f>
        <v/>
      </c>
    </row>
    <row r="88">
      <c r="A88" s="2" t="s">
        <v>33</v>
      </c>
      <c r="B88" s="12">
        <v>69724.0</v>
      </c>
      <c r="C88" s="12">
        <v>70638.0</v>
      </c>
      <c r="D88" s="2"/>
      <c r="E88" s="2" t="s">
        <v>38</v>
      </c>
      <c r="F88" s="2" t="s">
        <v>247</v>
      </c>
      <c r="G88" s="2"/>
      <c r="H88" s="12">
        <v>0.0</v>
      </c>
      <c r="I88" s="2" t="s">
        <v>40</v>
      </c>
      <c r="J88" s="2"/>
      <c r="K88" s="2" t="s">
        <v>248</v>
      </c>
      <c r="L88" s="12">
        <v>304.0</v>
      </c>
      <c r="M88" s="2" t="s">
        <v>249</v>
      </c>
      <c r="N88" s="2" t="str">
        <f>IFERROR(__xludf.DUMMYFUNCTION("""COMPUTED_VALUE"""),"")</f>
        <v/>
      </c>
    </row>
    <row r="89">
      <c r="A89" s="2" t="s">
        <v>33</v>
      </c>
      <c r="B89" s="12">
        <v>70643.0</v>
      </c>
      <c r="C89" s="12">
        <v>72091.0</v>
      </c>
      <c r="D89" s="2"/>
      <c r="E89" s="2" t="s">
        <v>38</v>
      </c>
      <c r="F89" s="2" t="s">
        <v>250</v>
      </c>
      <c r="G89" s="2"/>
      <c r="H89" s="12">
        <v>0.0</v>
      </c>
      <c r="I89" s="2" t="s">
        <v>40</v>
      </c>
      <c r="J89" s="2"/>
      <c r="K89" s="2" t="s">
        <v>251</v>
      </c>
      <c r="L89" s="12">
        <v>482.0</v>
      </c>
      <c r="M89" s="2" t="s">
        <v>252</v>
      </c>
      <c r="N89" s="2" t="str">
        <f>IFERROR(__xludf.DUMMYFUNCTION("""COMPUTED_VALUE"""),"")</f>
        <v/>
      </c>
    </row>
    <row r="90">
      <c r="A90" s="2" t="s">
        <v>33</v>
      </c>
      <c r="B90" s="12">
        <v>72181.0</v>
      </c>
      <c r="C90" s="12">
        <v>73206.0</v>
      </c>
      <c r="D90" s="2"/>
      <c r="E90" s="2" t="s">
        <v>38</v>
      </c>
      <c r="F90" s="2" t="s">
        <v>253</v>
      </c>
      <c r="G90" s="2"/>
      <c r="H90" s="12">
        <v>0.0</v>
      </c>
      <c r="I90" s="2" t="s">
        <v>40</v>
      </c>
      <c r="J90" s="2"/>
      <c r="K90" s="2" t="s">
        <v>254</v>
      </c>
      <c r="L90" s="12">
        <v>341.0</v>
      </c>
      <c r="M90" s="2" t="s">
        <v>255</v>
      </c>
      <c r="N90" s="2" t="str">
        <f>IFERROR(__xludf.DUMMYFUNCTION("""COMPUTED_VALUE"""),"")</f>
        <v/>
      </c>
    </row>
    <row r="91">
      <c r="A91" s="2" t="s">
        <v>33</v>
      </c>
      <c r="B91" s="12">
        <v>73294.0</v>
      </c>
      <c r="C91" s="12">
        <v>74535.0</v>
      </c>
      <c r="D91" s="2"/>
      <c r="E91" s="2" t="s">
        <v>38</v>
      </c>
      <c r="F91" s="2" t="s">
        <v>256</v>
      </c>
      <c r="G91" s="2"/>
      <c r="H91" s="12">
        <v>0.0</v>
      </c>
      <c r="I91" s="2" t="s">
        <v>40</v>
      </c>
      <c r="J91" s="2"/>
      <c r="K91" s="2" t="s">
        <v>257</v>
      </c>
      <c r="L91" s="12">
        <v>413.0</v>
      </c>
      <c r="M91" s="2" t="s">
        <v>258</v>
      </c>
      <c r="N91" s="2" t="str">
        <f>IFERROR(__xludf.DUMMYFUNCTION("""COMPUTED_VALUE"""),"")</f>
        <v/>
      </c>
    </row>
    <row r="92">
      <c r="A92" s="2" t="s">
        <v>33</v>
      </c>
      <c r="B92" s="12">
        <v>74815.0</v>
      </c>
      <c r="C92" s="12">
        <v>75156.0</v>
      </c>
      <c r="D92" s="2"/>
      <c r="E92" s="2" t="s">
        <v>34</v>
      </c>
      <c r="F92" s="2" t="s">
        <v>259</v>
      </c>
      <c r="G92" s="2"/>
      <c r="H92" s="12">
        <v>0.0</v>
      </c>
      <c r="I92" s="2" t="s">
        <v>40</v>
      </c>
      <c r="J92" s="2"/>
      <c r="K92" s="2" t="s">
        <v>260</v>
      </c>
      <c r="L92" s="12">
        <v>113.0</v>
      </c>
      <c r="M92" s="2" t="s">
        <v>261</v>
      </c>
      <c r="N92" s="2" t="str">
        <f>IFERROR(__xludf.DUMMYFUNCTION("""COMPUTED_VALUE"""),"")</f>
        <v/>
      </c>
    </row>
    <row r="93">
      <c r="A93" s="2" t="s">
        <v>33</v>
      </c>
      <c r="B93" s="12">
        <v>75222.0</v>
      </c>
      <c r="C93" s="12">
        <v>75893.0</v>
      </c>
      <c r="D93" s="2"/>
      <c r="E93" s="2" t="s">
        <v>38</v>
      </c>
      <c r="F93" s="2" t="s">
        <v>262</v>
      </c>
      <c r="G93" s="2"/>
      <c r="H93" s="12">
        <v>0.0</v>
      </c>
      <c r="I93" s="2" t="s">
        <v>40</v>
      </c>
      <c r="J93" s="2"/>
      <c r="K93" s="2" t="s">
        <v>263</v>
      </c>
      <c r="L93" s="12">
        <v>223.0</v>
      </c>
      <c r="M93" s="2" t="s">
        <v>264</v>
      </c>
      <c r="N93" s="2" t="str">
        <f>IFERROR(__xludf.DUMMYFUNCTION("""COMPUTED_VALUE"""),"")</f>
        <v/>
      </c>
    </row>
    <row r="94">
      <c r="A94" s="2" t="s">
        <v>33</v>
      </c>
      <c r="B94" s="12">
        <v>75963.0</v>
      </c>
      <c r="C94" s="12">
        <v>77897.0</v>
      </c>
      <c r="D94" s="2"/>
      <c r="E94" s="2" t="s">
        <v>38</v>
      </c>
      <c r="F94" s="2" t="s">
        <v>265</v>
      </c>
      <c r="G94" s="2"/>
      <c r="H94" s="12">
        <v>0.0</v>
      </c>
      <c r="I94" s="2" t="s">
        <v>40</v>
      </c>
      <c r="J94" s="2"/>
      <c r="K94" s="2" t="s">
        <v>266</v>
      </c>
      <c r="L94" s="12">
        <v>644.0</v>
      </c>
      <c r="M94" s="2" t="s">
        <v>267</v>
      </c>
      <c r="N94" s="2" t="str">
        <f>IFERROR(__xludf.DUMMYFUNCTION("""COMPUTED_VALUE"""),"")</f>
        <v/>
      </c>
    </row>
    <row r="95">
      <c r="A95" s="2" t="s">
        <v>33</v>
      </c>
      <c r="B95" s="12">
        <v>77910.0</v>
      </c>
      <c r="C95" s="12">
        <v>78722.0</v>
      </c>
      <c r="D95" s="2"/>
      <c r="E95" s="2" t="s">
        <v>38</v>
      </c>
      <c r="F95" s="2" t="s">
        <v>35</v>
      </c>
      <c r="G95" s="2"/>
      <c r="H95" s="12">
        <v>0.0</v>
      </c>
      <c r="I95" s="2" t="s">
        <v>36</v>
      </c>
      <c r="J95" s="2"/>
      <c r="K95" s="2"/>
      <c r="L95" s="2"/>
      <c r="M95" s="2" t="s">
        <v>268</v>
      </c>
      <c r="N95" s="2" t="str">
        <f>IFERROR(__xludf.DUMMYFUNCTION("""COMPUTED_VALUE"""),"")</f>
        <v/>
      </c>
    </row>
    <row r="96">
      <c r="A96" s="2" t="s">
        <v>33</v>
      </c>
      <c r="B96" s="12">
        <v>78905.0</v>
      </c>
      <c r="C96" s="12">
        <v>79492.0</v>
      </c>
      <c r="D96" s="2"/>
      <c r="E96" s="2" t="s">
        <v>38</v>
      </c>
      <c r="F96" s="2" t="s">
        <v>35</v>
      </c>
      <c r="G96" s="2"/>
      <c r="H96" s="12">
        <v>0.0</v>
      </c>
      <c r="I96" s="2" t="s">
        <v>36</v>
      </c>
      <c r="J96" s="2"/>
      <c r="K96" s="2"/>
      <c r="L96" s="2"/>
      <c r="M96" s="2" t="s">
        <v>269</v>
      </c>
      <c r="N96" s="2" t="str">
        <f>IFERROR(__xludf.DUMMYFUNCTION("""COMPUTED_VALUE"""),"")</f>
        <v/>
      </c>
    </row>
    <row r="97">
      <c r="A97" s="2" t="s">
        <v>33</v>
      </c>
      <c r="B97" s="12">
        <v>79513.0</v>
      </c>
      <c r="C97" s="12">
        <v>81139.0</v>
      </c>
      <c r="D97" s="2"/>
      <c r="E97" s="2" t="s">
        <v>38</v>
      </c>
      <c r="F97" s="2" t="s">
        <v>35</v>
      </c>
      <c r="G97" s="2" t="s">
        <v>270</v>
      </c>
      <c r="H97" s="12">
        <v>0.0</v>
      </c>
      <c r="I97" s="2" t="s">
        <v>36</v>
      </c>
      <c r="J97" s="2"/>
      <c r="K97" s="2"/>
      <c r="L97" s="2"/>
      <c r="M97" s="2" t="s">
        <v>271</v>
      </c>
      <c r="N97" s="2" t="str">
        <f>IFERROR(__xludf.DUMMYFUNCTION("""COMPUTED_VALUE"""),"")</f>
        <v/>
      </c>
    </row>
    <row r="98">
      <c r="A98" s="2" t="s">
        <v>33</v>
      </c>
      <c r="B98" s="12">
        <v>81695.0</v>
      </c>
      <c r="C98" s="12">
        <v>82322.0</v>
      </c>
      <c r="D98" s="2"/>
      <c r="E98" s="2" t="s">
        <v>34</v>
      </c>
      <c r="F98" s="2" t="s">
        <v>35</v>
      </c>
      <c r="G98" s="2"/>
      <c r="H98" s="12">
        <v>0.0</v>
      </c>
      <c r="I98" s="2" t="s">
        <v>36</v>
      </c>
      <c r="J98" s="2"/>
      <c r="K98" s="2"/>
      <c r="L98" s="2"/>
      <c r="M98" s="2" t="s">
        <v>272</v>
      </c>
      <c r="N98" s="2" t="str">
        <f>IFERROR(__xludf.DUMMYFUNCTION("""COMPUTED_VALUE"""),"")</f>
        <v/>
      </c>
    </row>
    <row r="99">
      <c r="A99" s="2" t="s">
        <v>33</v>
      </c>
      <c r="B99" s="12">
        <v>82558.0</v>
      </c>
      <c r="C99" s="12">
        <v>83542.0</v>
      </c>
      <c r="D99" s="2"/>
      <c r="E99" s="2" t="s">
        <v>38</v>
      </c>
      <c r="F99" s="2" t="s">
        <v>35</v>
      </c>
      <c r="G99" s="2"/>
      <c r="H99" s="12">
        <v>0.0</v>
      </c>
      <c r="I99" s="2" t="s">
        <v>36</v>
      </c>
      <c r="J99" s="2"/>
      <c r="K99" s="2"/>
      <c r="L99" s="2"/>
      <c r="M99" s="2" t="s">
        <v>273</v>
      </c>
      <c r="N99" s="2" t="str">
        <f>IFERROR(__xludf.DUMMYFUNCTION("""COMPUTED_VALUE"""),"")</f>
        <v/>
      </c>
    </row>
    <row r="100">
      <c r="A100" s="2" t="s">
        <v>33</v>
      </c>
      <c r="B100" s="12">
        <v>83539.0</v>
      </c>
      <c r="C100" s="12">
        <v>84245.0</v>
      </c>
      <c r="D100" s="2"/>
      <c r="E100" s="2" t="s">
        <v>38</v>
      </c>
      <c r="F100" s="2" t="s">
        <v>35</v>
      </c>
      <c r="G100" s="2"/>
      <c r="H100" s="12">
        <v>0.0</v>
      </c>
      <c r="I100" s="2" t="s">
        <v>36</v>
      </c>
      <c r="J100" s="2"/>
      <c r="K100" s="2"/>
      <c r="L100" s="2"/>
      <c r="M100" s="2" t="s">
        <v>274</v>
      </c>
      <c r="N100" s="2" t="str">
        <f>IFERROR(__xludf.DUMMYFUNCTION("""COMPUTED_VALUE"""),"")</f>
        <v/>
      </c>
    </row>
    <row r="101">
      <c r="A101" s="2" t="s">
        <v>33</v>
      </c>
      <c r="B101" s="12">
        <v>84374.0</v>
      </c>
      <c r="C101" s="12">
        <v>85289.0</v>
      </c>
      <c r="D101" s="2"/>
      <c r="E101" s="2" t="s">
        <v>38</v>
      </c>
      <c r="F101" s="2" t="s">
        <v>35</v>
      </c>
      <c r="G101" s="2"/>
      <c r="H101" s="12">
        <v>0.0</v>
      </c>
      <c r="I101" s="2" t="s">
        <v>36</v>
      </c>
      <c r="J101" s="2"/>
      <c r="K101" s="2"/>
      <c r="L101" s="2"/>
      <c r="M101" s="2" t="s">
        <v>275</v>
      </c>
      <c r="N101" s="2" t="str">
        <f>IFERROR(__xludf.DUMMYFUNCTION("""COMPUTED_VALUE"""),"")</f>
        <v/>
      </c>
    </row>
    <row r="102">
      <c r="A102" s="2" t="s">
        <v>33</v>
      </c>
      <c r="B102" s="12">
        <v>85440.0</v>
      </c>
      <c r="C102" s="12">
        <v>85868.0</v>
      </c>
      <c r="D102" s="2"/>
      <c r="E102" s="2" t="s">
        <v>34</v>
      </c>
      <c r="F102" s="2" t="s">
        <v>276</v>
      </c>
      <c r="G102" s="2"/>
      <c r="H102" s="12">
        <v>0.0</v>
      </c>
      <c r="I102" s="2" t="s">
        <v>40</v>
      </c>
      <c r="J102" s="2"/>
      <c r="K102" s="2" t="s">
        <v>277</v>
      </c>
      <c r="L102" s="12">
        <v>142.0</v>
      </c>
      <c r="M102" s="2" t="s">
        <v>278</v>
      </c>
      <c r="N102" s="2" t="str">
        <f>IFERROR(__xludf.DUMMYFUNCTION("""COMPUTED_VALUE"""),"")</f>
        <v/>
      </c>
    </row>
    <row r="103">
      <c r="A103" s="2" t="s">
        <v>33</v>
      </c>
      <c r="B103" s="12">
        <v>85928.0</v>
      </c>
      <c r="C103" s="12">
        <v>87481.0</v>
      </c>
      <c r="D103" s="2"/>
      <c r="E103" s="2" t="s">
        <v>38</v>
      </c>
      <c r="F103" s="2" t="s">
        <v>279</v>
      </c>
      <c r="G103" s="2" t="s">
        <v>280</v>
      </c>
      <c r="H103" s="12">
        <v>0.0</v>
      </c>
      <c r="I103" s="2" t="s">
        <v>40</v>
      </c>
      <c r="J103" s="2"/>
      <c r="K103" s="2" t="s">
        <v>281</v>
      </c>
      <c r="L103" s="12">
        <v>517.0</v>
      </c>
      <c r="M103" s="2" t="s">
        <v>282</v>
      </c>
      <c r="N103" s="2" t="str">
        <f>IFERROR(__xludf.DUMMYFUNCTION("""COMPUTED_VALUE"""),"")</f>
        <v/>
      </c>
    </row>
    <row r="104">
      <c r="A104" s="2" t="s">
        <v>33</v>
      </c>
      <c r="B104" s="12">
        <v>87889.0</v>
      </c>
      <c r="C104" s="12">
        <v>88059.0</v>
      </c>
      <c r="D104" s="2"/>
      <c r="E104" s="2" t="s">
        <v>38</v>
      </c>
      <c r="F104" s="2" t="s">
        <v>283</v>
      </c>
      <c r="G104" s="2"/>
      <c r="H104" s="12">
        <v>0.0</v>
      </c>
      <c r="I104" s="2" t="s">
        <v>40</v>
      </c>
      <c r="J104" s="2"/>
      <c r="K104" s="2" t="s">
        <v>284</v>
      </c>
      <c r="L104" s="12">
        <v>56.0</v>
      </c>
      <c r="M104" s="2" t="s">
        <v>285</v>
      </c>
      <c r="N104" s="2" t="str">
        <f>IFERROR(__xludf.DUMMYFUNCTION("""COMPUTED_VALUE"""),"")</f>
        <v/>
      </c>
    </row>
    <row r="105">
      <c r="A105" s="2" t="s">
        <v>33</v>
      </c>
      <c r="B105" s="12">
        <v>88202.0</v>
      </c>
      <c r="C105" s="12">
        <v>89104.0</v>
      </c>
      <c r="D105" s="2"/>
      <c r="E105" s="2" t="s">
        <v>34</v>
      </c>
      <c r="F105" s="2" t="s">
        <v>286</v>
      </c>
      <c r="G105" s="2"/>
      <c r="H105" s="12">
        <v>0.0</v>
      </c>
      <c r="I105" s="2" t="s">
        <v>40</v>
      </c>
      <c r="J105" s="2"/>
      <c r="K105" s="2" t="s">
        <v>287</v>
      </c>
      <c r="L105" s="12">
        <v>300.0</v>
      </c>
      <c r="M105" s="2" t="s">
        <v>288</v>
      </c>
      <c r="N105" s="2" t="str">
        <f>IFERROR(__xludf.DUMMYFUNCTION("""COMPUTED_VALUE"""),"")</f>
        <v/>
      </c>
    </row>
    <row r="106">
      <c r="A106" s="2" t="s">
        <v>33</v>
      </c>
      <c r="B106" s="12">
        <v>89101.0</v>
      </c>
      <c r="C106" s="12">
        <v>89802.0</v>
      </c>
      <c r="D106" s="2"/>
      <c r="E106" s="2" t="s">
        <v>34</v>
      </c>
      <c r="F106" s="2" t="s">
        <v>289</v>
      </c>
      <c r="G106" s="2"/>
      <c r="H106" s="12">
        <v>0.0</v>
      </c>
      <c r="I106" s="2" t="s">
        <v>40</v>
      </c>
      <c r="J106" s="2"/>
      <c r="K106" s="2" t="s">
        <v>290</v>
      </c>
      <c r="L106" s="12">
        <v>233.0</v>
      </c>
      <c r="M106" s="2" t="s">
        <v>291</v>
      </c>
      <c r="N106" s="2" t="str">
        <f>IFERROR(__xludf.DUMMYFUNCTION("""COMPUTED_VALUE"""),"")</f>
        <v/>
      </c>
    </row>
    <row r="107">
      <c r="A107" s="2" t="s">
        <v>33</v>
      </c>
      <c r="B107" s="12">
        <v>90055.0</v>
      </c>
      <c r="C107" s="12">
        <v>90683.0</v>
      </c>
      <c r="D107" s="2"/>
      <c r="E107" s="2" t="s">
        <v>38</v>
      </c>
      <c r="F107" s="2" t="s">
        <v>35</v>
      </c>
      <c r="G107" s="2"/>
      <c r="H107" s="12">
        <v>0.0</v>
      </c>
      <c r="I107" s="2" t="s">
        <v>36</v>
      </c>
      <c r="J107" s="2"/>
      <c r="K107" s="2"/>
      <c r="L107" s="2"/>
      <c r="M107" s="2" t="s">
        <v>292</v>
      </c>
      <c r="N107" s="2" t="str">
        <f>IFERROR(__xludf.DUMMYFUNCTION("""COMPUTED_VALUE"""),"")</f>
        <v/>
      </c>
    </row>
    <row r="108">
      <c r="A108" s="2" t="s">
        <v>33</v>
      </c>
      <c r="B108" s="12">
        <v>90940.0</v>
      </c>
      <c r="C108" s="12">
        <v>91437.0</v>
      </c>
      <c r="D108" s="2"/>
      <c r="E108" s="2" t="s">
        <v>38</v>
      </c>
      <c r="F108" s="2" t="s">
        <v>293</v>
      </c>
      <c r="G108" s="2"/>
      <c r="H108" s="12">
        <v>0.0</v>
      </c>
      <c r="I108" s="2" t="s">
        <v>40</v>
      </c>
      <c r="J108" s="2"/>
      <c r="K108" s="2" t="s">
        <v>294</v>
      </c>
      <c r="L108" s="12">
        <v>165.0</v>
      </c>
      <c r="M108" s="2" t="s">
        <v>295</v>
      </c>
      <c r="N108" s="2" t="str">
        <f>IFERROR(__xludf.DUMMYFUNCTION("""COMPUTED_VALUE"""),"")</f>
        <v/>
      </c>
    </row>
    <row r="109">
      <c r="A109" s="2" t="s">
        <v>33</v>
      </c>
      <c r="B109" s="12">
        <v>91493.0</v>
      </c>
      <c r="C109" s="12">
        <v>92350.0</v>
      </c>
      <c r="D109" s="2"/>
      <c r="E109" s="2" t="s">
        <v>38</v>
      </c>
      <c r="F109" s="2" t="s">
        <v>296</v>
      </c>
      <c r="G109" s="2"/>
      <c r="H109" s="12">
        <v>0.0</v>
      </c>
      <c r="I109" s="2" t="s">
        <v>40</v>
      </c>
      <c r="J109" s="2"/>
      <c r="K109" s="2" t="s">
        <v>297</v>
      </c>
      <c r="L109" s="12">
        <v>285.0</v>
      </c>
      <c r="M109" s="2" t="s">
        <v>298</v>
      </c>
      <c r="N109" s="2" t="str">
        <f>IFERROR(__xludf.DUMMYFUNCTION("""COMPUTED_VALUE"""),"")</f>
        <v/>
      </c>
    </row>
    <row r="110">
      <c r="A110" s="2" t="s">
        <v>33</v>
      </c>
      <c r="B110" s="12">
        <v>92432.0</v>
      </c>
      <c r="C110" s="12">
        <v>93358.0</v>
      </c>
      <c r="D110" s="2"/>
      <c r="E110" s="2" t="s">
        <v>38</v>
      </c>
      <c r="F110" s="2" t="s">
        <v>299</v>
      </c>
      <c r="G110" s="2"/>
      <c r="H110" s="12">
        <v>0.0</v>
      </c>
      <c r="I110" s="2" t="s">
        <v>40</v>
      </c>
      <c r="J110" s="2"/>
      <c r="K110" s="2" t="s">
        <v>300</v>
      </c>
      <c r="L110" s="12">
        <v>308.0</v>
      </c>
      <c r="M110" s="2" t="s">
        <v>301</v>
      </c>
      <c r="N110" s="2" t="str">
        <f>IFERROR(__xludf.DUMMYFUNCTION("""COMPUTED_VALUE"""),"")</f>
        <v/>
      </c>
    </row>
    <row r="111">
      <c r="A111" s="2" t="s">
        <v>33</v>
      </c>
      <c r="B111" s="12">
        <v>93469.0</v>
      </c>
      <c r="C111" s="12">
        <v>93711.0</v>
      </c>
      <c r="D111" s="2"/>
      <c r="E111" s="2" t="s">
        <v>34</v>
      </c>
      <c r="F111" s="2" t="s">
        <v>39</v>
      </c>
      <c r="G111" s="2"/>
      <c r="H111" s="12">
        <v>0.0</v>
      </c>
      <c r="I111" s="2" t="s">
        <v>40</v>
      </c>
      <c r="J111" s="2"/>
      <c r="K111" s="2" t="s">
        <v>302</v>
      </c>
      <c r="L111" s="12">
        <v>80.0</v>
      </c>
      <c r="M111" s="2" t="s">
        <v>303</v>
      </c>
      <c r="N111" s="2" t="str">
        <f>IFERROR(__xludf.DUMMYFUNCTION("""COMPUTED_VALUE"""),"")</f>
        <v/>
      </c>
    </row>
    <row r="112">
      <c r="A112" s="2" t="s">
        <v>33</v>
      </c>
      <c r="B112" s="12">
        <v>93739.0</v>
      </c>
      <c r="C112" s="12">
        <v>93942.0</v>
      </c>
      <c r="D112" s="2"/>
      <c r="E112" s="2" t="s">
        <v>38</v>
      </c>
      <c r="F112" s="2" t="s">
        <v>39</v>
      </c>
      <c r="G112" s="2"/>
      <c r="H112" s="12">
        <v>0.0</v>
      </c>
      <c r="I112" s="2" t="s">
        <v>40</v>
      </c>
      <c r="J112" s="2"/>
      <c r="K112" s="2" t="s">
        <v>304</v>
      </c>
      <c r="L112" s="12">
        <v>67.0</v>
      </c>
      <c r="M112" s="2" t="s">
        <v>305</v>
      </c>
      <c r="N112" s="2" t="str">
        <f>IFERROR(__xludf.DUMMYFUNCTION("""COMPUTED_VALUE"""),"")</f>
        <v/>
      </c>
    </row>
    <row r="113">
      <c r="A113" s="2" t="s">
        <v>33</v>
      </c>
      <c r="B113" s="12">
        <v>94264.0</v>
      </c>
      <c r="C113" s="12">
        <v>94920.0</v>
      </c>
      <c r="D113" s="2"/>
      <c r="E113" s="2" t="s">
        <v>34</v>
      </c>
      <c r="F113" s="2" t="s">
        <v>306</v>
      </c>
      <c r="G113" s="2"/>
      <c r="H113" s="12">
        <v>0.0</v>
      </c>
      <c r="I113" s="2" t="s">
        <v>40</v>
      </c>
      <c r="J113" s="2"/>
      <c r="K113" s="2" t="s">
        <v>307</v>
      </c>
      <c r="L113" s="12">
        <v>218.0</v>
      </c>
      <c r="M113" s="2" t="s">
        <v>308</v>
      </c>
      <c r="N113" s="2" t="str">
        <f>IFERROR(__xludf.DUMMYFUNCTION("""COMPUTED_VALUE"""),"")</f>
        <v/>
      </c>
    </row>
    <row r="114">
      <c r="A114" s="2" t="s">
        <v>33</v>
      </c>
      <c r="B114" s="12">
        <v>95139.0</v>
      </c>
      <c r="C114" s="12">
        <v>95484.0</v>
      </c>
      <c r="D114" s="2"/>
      <c r="E114" s="2" t="s">
        <v>38</v>
      </c>
      <c r="F114" s="2" t="s">
        <v>35</v>
      </c>
      <c r="G114" s="2"/>
      <c r="H114" s="12">
        <v>0.0</v>
      </c>
      <c r="I114" s="2" t="s">
        <v>36</v>
      </c>
      <c r="J114" s="2"/>
      <c r="K114" s="2"/>
      <c r="L114" s="2"/>
      <c r="M114" s="2" t="s">
        <v>309</v>
      </c>
      <c r="N114" s="2" t="str">
        <f>IFERROR(__xludf.DUMMYFUNCTION("""COMPUTED_VALUE"""),"")</f>
        <v/>
      </c>
    </row>
    <row r="115">
      <c r="A115" s="2" t="s">
        <v>33</v>
      </c>
      <c r="B115" s="12">
        <v>95505.0</v>
      </c>
      <c r="C115" s="12">
        <v>96875.0</v>
      </c>
      <c r="D115" s="2"/>
      <c r="E115" s="2" t="s">
        <v>38</v>
      </c>
      <c r="F115" s="2" t="s">
        <v>250</v>
      </c>
      <c r="G115" s="2"/>
      <c r="H115" s="12">
        <v>0.0</v>
      </c>
      <c r="I115" s="2" t="s">
        <v>40</v>
      </c>
      <c r="J115" s="2"/>
      <c r="K115" s="2" t="s">
        <v>310</v>
      </c>
      <c r="L115" s="12">
        <v>456.0</v>
      </c>
      <c r="M115" s="2" t="s">
        <v>311</v>
      </c>
      <c r="N115" s="2" t="str">
        <f>IFERROR(__xludf.DUMMYFUNCTION("""COMPUTED_VALUE"""),"")</f>
        <v/>
      </c>
    </row>
    <row r="116">
      <c r="A116" s="2" t="s">
        <v>33</v>
      </c>
      <c r="B116" s="12">
        <v>96946.0</v>
      </c>
      <c r="C116" s="12">
        <v>97539.0</v>
      </c>
      <c r="D116" s="2"/>
      <c r="E116" s="2" t="s">
        <v>38</v>
      </c>
      <c r="F116" s="2" t="s">
        <v>312</v>
      </c>
      <c r="G116" s="2"/>
      <c r="H116" s="12">
        <v>0.0</v>
      </c>
      <c r="I116" s="2" t="s">
        <v>40</v>
      </c>
      <c r="J116" s="2"/>
      <c r="K116" s="2" t="s">
        <v>313</v>
      </c>
      <c r="L116" s="12">
        <v>197.0</v>
      </c>
      <c r="M116" s="2" t="s">
        <v>314</v>
      </c>
      <c r="N116" s="2" t="str">
        <f>IFERROR(__xludf.DUMMYFUNCTION("""COMPUTED_VALUE"""),"")</f>
        <v/>
      </c>
    </row>
    <row r="117">
      <c r="A117" s="2" t="s">
        <v>33</v>
      </c>
      <c r="B117" s="12">
        <v>97710.0</v>
      </c>
      <c r="C117" s="12">
        <v>99401.0</v>
      </c>
      <c r="D117" s="2"/>
      <c r="E117" s="2" t="s">
        <v>34</v>
      </c>
      <c r="F117" s="2" t="s">
        <v>315</v>
      </c>
      <c r="G117" s="2"/>
      <c r="H117" s="12">
        <v>0.0</v>
      </c>
      <c r="I117" s="2" t="s">
        <v>40</v>
      </c>
      <c r="J117" s="2"/>
      <c r="K117" s="2" t="s">
        <v>316</v>
      </c>
      <c r="L117" s="12">
        <v>563.0</v>
      </c>
      <c r="M117" s="2" t="s">
        <v>317</v>
      </c>
      <c r="N117" s="2" t="str">
        <f>IFERROR(__xludf.DUMMYFUNCTION("""COMPUTED_VALUE"""),"")</f>
        <v/>
      </c>
    </row>
    <row r="118">
      <c r="A118" s="2" t="s">
        <v>33</v>
      </c>
      <c r="B118" s="12">
        <v>99416.0</v>
      </c>
      <c r="C118" s="12">
        <v>100228.0</v>
      </c>
      <c r="D118" s="2"/>
      <c r="E118" s="2" t="s">
        <v>38</v>
      </c>
      <c r="F118" s="2" t="s">
        <v>39</v>
      </c>
      <c r="G118" s="2"/>
      <c r="H118" s="12">
        <v>0.0</v>
      </c>
      <c r="I118" s="2" t="s">
        <v>40</v>
      </c>
      <c r="J118" s="2"/>
      <c r="K118" s="2" t="s">
        <v>318</v>
      </c>
      <c r="L118" s="12">
        <v>270.0</v>
      </c>
      <c r="M118" s="2" t="s">
        <v>319</v>
      </c>
      <c r="N118" s="2" t="str">
        <f>IFERROR(__xludf.DUMMYFUNCTION("""COMPUTED_VALUE"""),"")</f>
        <v/>
      </c>
    </row>
    <row r="119">
      <c r="A119" s="2" t="s">
        <v>33</v>
      </c>
      <c r="B119" s="12">
        <v>100219.0</v>
      </c>
      <c r="C119" s="12">
        <v>100545.0</v>
      </c>
      <c r="D119" s="2"/>
      <c r="E119" s="2" t="s">
        <v>34</v>
      </c>
      <c r="F119" s="2" t="s">
        <v>39</v>
      </c>
      <c r="G119" s="2"/>
      <c r="H119" s="12">
        <v>0.0</v>
      </c>
      <c r="I119" s="2" t="s">
        <v>40</v>
      </c>
      <c r="J119" s="2"/>
      <c r="K119" s="2" t="s">
        <v>320</v>
      </c>
      <c r="L119" s="12">
        <v>108.0</v>
      </c>
      <c r="M119" s="2" t="s">
        <v>321</v>
      </c>
      <c r="N119" s="2" t="str">
        <f>IFERROR(__xludf.DUMMYFUNCTION("""COMPUTED_VALUE"""),"")</f>
        <v/>
      </c>
    </row>
    <row r="120">
      <c r="A120" s="2" t="s">
        <v>33</v>
      </c>
      <c r="B120" s="12">
        <v>100624.0</v>
      </c>
      <c r="C120" s="12">
        <v>101376.0</v>
      </c>
      <c r="D120" s="2"/>
      <c r="E120" s="2" t="s">
        <v>38</v>
      </c>
      <c r="F120" s="2" t="s">
        <v>322</v>
      </c>
      <c r="G120" s="2"/>
      <c r="H120" s="12">
        <v>0.0</v>
      </c>
      <c r="I120" s="2" t="s">
        <v>40</v>
      </c>
      <c r="J120" s="2"/>
      <c r="K120" s="2" t="s">
        <v>323</v>
      </c>
      <c r="L120" s="12">
        <v>250.0</v>
      </c>
      <c r="M120" s="2" t="s">
        <v>324</v>
      </c>
      <c r="N120" s="2" t="str">
        <f>IFERROR(__xludf.DUMMYFUNCTION("""COMPUTED_VALUE"""),"")</f>
        <v/>
      </c>
    </row>
    <row r="121">
      <c r="A121" s="2" t="s">
        <v>33</v>
      </c>
      <c r="B121" s="12">
        <v>101493.0</v>
      </c>
      <c r="C121" s="12">
        <v>102288.0</v>
      </c>
      <c r="D121" s="2"/>
      <c r="E121" s="2" t="s">
        <v>38</v>
      </c>
      <c r="F121" s="2" t="s">
        <v>35</v>
      </c>
      <c r="G121" s="2"/>
      <c r="H121" s="12">
        <v>0.0</v>
      </c>
      <c r="I121" s="2" t="s">
        <v>36</v>
      </c>
      <c r="J121" s="2"/>
      <c r="K121" s="2"/>
      <c r="L121" s="2"/>
      <c r="M121" s="2" t="s">
        <v>325</v>
      </c>
      <c r="N121" s="2" t="str">
        <f>IFERROR(__xludf.DUMMYFUNCTION("""COMPUTED_VALUE"""),"")</f>
        <v/>
      </c>
    </row>
    <row r="122">
      <c r="A122" s="2" t="s">
        <v>33</v>
      </c>
      <c r="B122" s="12">
        <v>102406.0</v>
      </c>
      <c r="C122" s="12">
        <v>103239.0</v>
      </c>
      <c r="D122" s="2"/>
      <c r="E122" s="2" t="s">
        <v>38</v>
      </c>
      <c r="F122" s="2" t="s">
        <v>326</v>
      </c>
      <c r="G122" s="2"/>
      <c r="H122" s="12">
        <v>0.0</v>
      </c>
      <c r="I122" s="2" t="s">
        <v>40</v>
      </c>
      <c r="J122" s="2"/>
      <c r="K122" s="2" t="s">
        <v>327</v>
      </c>
      <c r="L122" s="12">
        <v>277.0</v>
      </c>
      <c r="M122" s="2" t="s">
        <v>328</v>
      </c>
      <c r="N122" s="2" t="str">
        <f>IFERROR(__xludf.DUMMYFUNCTION("""COMPUTED_VALUE"""),"")</f>
        <v/>
      </c>
    </row>
    <row r="123">
      <c r="A123" s="2" t="s">
        <v>33</v>
      </c>
      <c r="B123" s="12">
        <v>103376.0</v>
      </c>
      <c r="C123" s="12">
        <v>104128.0</v>
      </c>
      <c r="D123" s="2"/>
      <c r="E123" s="2" t="s">
        <v>38</v>
      </c>
      <c r="F123" s="2" t="s">
        <v>289</v>
      </c>
      <c r="G123" s="2"/>
      <c r="H123" s="12">
        <v>0.0</v>
      </c>
      <c r="I123" s="2" t="s">
        <v>40</v>
      </c>
      <c r="J123" s="2"/>
      <c r="K123" s="2" t="s">
        <v>329</v>
      </c>
      <c r="L123" s="12">
        <v>250.0</v>
      </c>
      <c r="M123" s="2" t="s">
        <v>330</v>
      </c>
      <c r="N123" s="2" t="str">
        <f>IFERROR(__xludf.DUMMYFUNCTION("""COMPUTED_VALUE"""),"")</f>
        <v/>
      </c>
    </row>
    <row r="124">
      <c r="A124" s="2" t="s">
        <v>33</v>
      </c>
      <c r="B124" s="12">
        <v>104262.0</v>
      </c>
      <c r="C124" s="12">
        <v>104600.0</v>
      </c>
      <c r="D124" s="2"/>
      <c r="E124" s="2" t="s">
        <v>38</v>
      </c>
      <c r="F124" s="2" t="s">
        <v>216</v>
      </c>
      <c r="G124" s="2"/>
      <c r="H124" s="12">
        <v>0.0</v>
      </c>
      <c r="I124" s="2" t="s">
        <v>40</v>
      </c>
      <c r="J124" s="2"/>
      <c r="K124" s="2" t="s">
        <v>331</v>
      </c>
      <c r="L124" s="12">
        <v>112.0</v>
      </c>
      <c r="M124" s="2" t="s">
        <v>332</v>
      </c>
      <c r="N124" s="2" t="str">
        <f>IFERROR(__xludf.DUMMYFUNCTION("""COMPUTED_VALUE"""),"")</f>
        <v/>
      </c>
    </row>
    <row r="125">
      <c r="A125" s="2" t="s">
        <v>33</v>
      </c>
      <c r="B125" s="12">
        <v>104954.0</v>
      </c>
      <c r="C125" s="12">
        <v>105670.0</v>
      </c>
      <c r="D125" s="2"/>
      <c r="E125" s="2" t="s">
        <v>34</v>
      </c>
      <c r="F125" s="2" t="s">
        <v>333</v>
      </c>
      <c r="G125" s="2"/>
      <c r="H125" s="12">
        <v>0.0</v>
      </c>
      <c r="I125" s="2" t="s">
        <v>40</v>
      </c>
      <c r="J125" s="2"/>
      <c r="K125" s="2" t="s">
        <v>334</v>
      </c>
      <c r="L125" s="12">
        <v>238.0</v>
      </c>
      <c r="M125" s="2" t="s">
        <v>335</v>
      </c>
      <c r="N125" s="2" t="str">
        <f>IFERROR(__xludf.DUMMYFUNCTION("""COMPUTED_VALUE"""),"")</f>
        <v/>
      </c>
    </row>
    <row r="126">
      <c r="A126" s="2" t="s">
        <v>33</v>
      </c>
      <c r="B126" s="12">
        <v>106011.0</v>
      </c>
      <c r="C126" s="12">
        <v>107237.0</v>
      </c>
      <c r="D126" s="2"/>
      <c r="E126" s="2" t="s">
        <v>34</v>
      </c>
      <c r="F126" s="2" t="s">
        <v>88</v>
      </c>
      <c r="G126" s="2"/>
      <c r="H126" s="12">
        <v>0.0</v>
      </c>
      <c r="I126" s="2" t="s">
        <v>40</v>
      </c>
      <c r="J126" s="2"/>
      <c r="K126" s="2" t="s">
        <v>336</v>
      </c>
      <c r="L126" s="12">
        <v>408.0</v>
      </c>
      <c r="M126" s="2" t="s">
        <v>337</v>
      </c>
      <c r="N126" s="2" t="str">
        <f>IFERROR(__xludf.DUMMYFUNCTION("""COMPUTED_VALUE"""),"")</f>
        <v/>
      </c>
    </row>
    <row r="127">
      <c r="A127" s="2" t="s">
        <v>33</v>
      </c>
      <c r="B127" s="12">
        <v>107309.0</v>
      </c>
      <c r="C127" s="12">
        <v>108121.0</v>
      </c>
      <c r="D127" s="2"/>
      <c r="E127" s="2" t="s">
        <v>38</v>
      </c>
      <c r="F127" s="2" t="s">
        <v>338</v>
      </c>
      <c r="G127" s="2"/>
      <c r="H127" s="12">
        <v>0.0</v>
      </c>
      <c r="I127" s="2" t="s">
        <v>40</v>
      </c>
      <c r="J127" s="2"/>
      <c r="K127" s="2" t="s">
        <v>339</v>
      </c>
      <c r="L127" s="12">
        <v>270.0</v>
      </c>
      <c r="M127" s="2" t="s">
        <v>340</v>
      </c>
      <c r="N127" s="2" t="str">
        <f>IFERROR(__xludf.DUMMYFUNCTION("""COMPUTED_VALUE"""),"")</f>
        <v/>
      </c>
    </row>
    <row r="128">
      <c r="A128" s="2" t="s">
        <v>33</v>
      </c>
      <c r="B128" s="12">
        <v>108295.0</v>
      </c>
      <c r="C128" s="12">
        <v>111465.0</v>
      </c>
      <c r="D128" s="2"/>
      <c r="E128" s="2" t="s">
        <v>38</v>
      </c>
      <c r="F128" s="2" t="s">
        <v>341</v>
      </c>
      <c r="G128" s="2"/>
      <c r="H128" s="12">
        <v>0.0</v>
      </c>
      <c r="I128" s="2" t="s">
        <v>40</v>
      </c>
      <c r="J128" s="2"/>
      <c r="K128" s="2" t="s">
        <v>342</v>
      </c>
      <c r="L128" s="12">
        <v>1056.0</v>
      </c>
      <c r="M128" s="2" t="s">
        <v>343</v>
      </c>
      <c r="N128" s="2" t="str">
        <f>IFERROR(__xludf.DUMMYFUNCTION("""COMPUTED_VALUE"""),"")</f>
        <v/>
      </c>
    </row>
    <row r="129">
      <c r="A129" s="2" t="s">
        <v>33</v>
      </c>
      <c r="B129" s="12">
        <v>111545.0</v>
      </c>
      <c r="C129" s="12">
        <v>112024.0</v>
      </c>
      <c r="D129" s="2"/>
      <c r="E129" s="2" t="s">
        <v>38</v>
      </c>
      <c r="F129" s="2" t="s">
        <v>344</v>
      </c>
      <c r="G129" s="2"/>
      <c r="H129" s="12">
        <v>0.0</v>
      </c>
      <c r="I129" s="2" t="s">
        <v>40</v>
      </c>
      <c r="J129" s="2"/>
      <c r="K129" s="2" t="s">
        <v>345</v>
      </c>
      <c r="L129" s="12">
        <v>159.0</v>
      </c>
      <c r="M129" s="2" t="s">
        <v>346</v>
      </c>
      <c r="N129" s="2" t="str">
        <f>IFERROR(__xludf.DUMMYFUNCTION("""COMPUTED_VALUE"""),"")</f>
        <v/>
      </c>
    </row>
    <row r="130">
      <c r="A130" s="2" t="s">
        <v>33</v>
      </c>
      <c r="B130" s="12">
        <v>112264.0</v>
      </c>
      <c r="C130" s="12">
        <v>112827.0</v>
      </c>
      <c r="D130" s="2"/>
      <c r="E130" s="2" t="s">
        <v>38</v>
      </c>
      <c r="F130" s="2" t="s">
        <v>347</v>
      </c>
      <c r="G130" s="2"/>
      <c r="H130" s="12">
        <v>0.0</v>
      </c>
      <c r="I130" s="2" t="s">
        <v>40</v>
      </c>
      <c r="J130" s="2"/>
      <c r="K130" s="2" t="s">
        <v>348</v>
      </c>
      <c r="L130" s="12">
        <v>187.0</v>
      </c>
      <c r="M130" s="2" t="s">
        <v>349</v>
      </c>
      <c r="N130" s="2" t="str">
        <f>IFERROR(__xludf.DUMMYFUNCTION("""COMPUTED_VALUE"""),"")</f>
        <v/>
      </c>
    </row>
    <row r="131">
      <c r="A131" s="2" t="s">
        <v>33</v>
      </c>
      <c r="B131" s="12">
        <v>112984.0</v>
      </c>
      <c r="C131" s="12">
        <v>115221.0</v>
      </c>
      <c r="D131" s="2"/>
      <c r="E131" s="2" t="s">
        <v>38</v>
      </c>
      <c r="F131" s="2" t="s">
        <v>350</v>
      </c>
      <c r="G131" s="2"/>
      <c r="H131" s="12">
        <v>0.0</v>
      </c>
      <c r="I131" s="2" t="s">
        <v>40</v>
      </c>
      <c r="J131" s="2"/>
      <c r="K131" s="2" t="s">
        <v>351</v>
      </c>
      <c r="L131" s="12">
        <v>745.0</v>
      </c>
      <c r="M131" s="2" t="s">
        <v>352</v>
      </c>
      <c r="N131" s="2" t="str">
        <f>IFERROR(__xludf.DUMMYFUNCTION("""COMPUTED_VALUE"""),"")</f>
        <v/>
      </c>
    </row>
    <row r="132">
      <c r="A132" s="2" t="s">
        <v>33</v>
      </c>
      <c r="B132" s="12">
        <v>115378.0</v>
      </c>
      <c r="C132" s="12">
        <v>116178.0</v>
      </c>
      <c r="D132" s="2"/>
      <c r="E132" s="2" t="s">
        <v>38</v>
      </c>
      <c r="F132" s="2" t="s">
        <v>353</v>
      </c>
      <c r="G132" s="2"/>
      <c r="H132" s="12">
        <v>0.0</v>
      </c>
      <c r="I132" s="2" t="s">
        <v>40</v>
      </c>
      <c r="J132" s="2"/>
      <c r="K132" s="2" t="s">
        <v>354</v>
      </c>
      <c r="L132" s="12">
        <v>266.0</v>
      </c>
      <c r="M132" s="2" t="s">
        <v>355</v>
      </c>
      <c r="N132" s="2" t="str">
        <f>IFERROR(__xludf.DUMMYFUNCTION("""COMPUTED_VALUE"""),"")</f>
        <v/>
      </c>
    </row>
    <row r="133">
      <c r="A133" s="2" t="s">
        <v>33</v>
      </c>
      <c r="B133" s="12">
        <v>116266.0</v>
      </c>
      <c r="C133" s="12">
        <v>117927.0</v>
      </c>
      <c r="D133" s="2"/>
      <c r="E133" s="2" t="s">
        <v>38</v>
      </c>
      <c r="F133" s="2" t="s">
        <v>356</v>
      </c>
      <c r="G133" s="2"/>
      <c r="H133" s="12">
        <v>0.0</v>
      </c>
      <c r="I133" s="2" t="s">
        <v>40</v>
      </c>
      <c r="J133" s="2"/>
      <c r="K133" s="2" t="s">
        <v>357</v>
      </c>
      <c r="L133" s="12">
        <v>553.0</v>
      </c>
      <c r="M133" s="2" t="s">
        <v>358</v>
      </c>
      <c r="N133" s="2" t="str">
        <f>IFERROR(__xludf.DUMMYFUNCTION("""COMPUTED_VALUE"""),"")</f>
        <v/>
      </c>
    </row>
    <row r="134">
      <c r="A134" s="2" t="s">
        <v>33</v>
      </c>
      <c r="B134" s="12">
        <v>118519.0</v>
      </c>
      <c r="C134" s="12">
        <v>119745.0</v>
      </c>
      <c r="D134" s="2"/>
      <c r="E134" s="2" t="s">
        <v>34</v>
      </c>
      <c r="F134" s="2" t="s">
        <v>359</v>
      </c>
      <c r="G134" s="2"/>
      <c r="H134" s="12">
        <v>0.0</v>
      </c>
      <c r="I134" s="2" t="s">
        <v>40</v>
      </c>
      <c r="J134" s="2"/>
      <c r="K134" s="2" t="s">
        <v>360</v>
      </c>
      <c r="L134" s="12">
        <v>408.0</v>
      </c>
      <c r="M134" s="2" t="s">
        <v>361</v>
      </c>
      <c r="N134" s="2" t="str">
        <f>IFERROR(__xludf.DUMMYFUNCTION("""COMPUTED_VALUE"""),"")</f>
        <v/>
      </c>
    </row>
    <row r="135">
      <c r="A135" s="2" t="s">
        <v>33</v>
      </c>
      <c r="B135" s="12">
        <v>120078.0</v>
      </c>
      <c r="C135" s="12">
        <v>122759.0</v>
      </c>
      <c r="D135" s="2"/>
      <c r="E135" s="2" t="s">
        <v>38</v>
      </c>
      <c r="F135" s="2" t="s">
        <v>362</v>
      </c>
      <c r="G135" s="2"/>
      <c r="H135" s="12">
        <v>0.0</v>
      </c>
      <c r="I135" s="2" t="s">
        <v>40</v>
      </c>
      <c r="J135" s="2"/>
      <c r="K135" s="2" t="s">
        <v>363</v>
      </c>
      <c r="L135" s="12">
        <v>893.0</v>
      </c>
      <c r="M135" s="2" t="s">
        <v>364</v>
      </c>
      <c r="N135" s="2" t="str">
        <f>IFERROR(__xludf.DUMMYFUNCTION("""COMPUTED_VALUE"""),"")</f>
        <v/>
      </c>
    </row>
    <row r="136">
      <c r="A136" s="2" t="s">
        <v>33</v>
      </c>
      <c r="B136" s="12">
        <v>122934.0</v>
      </c>
      <c r="C136" s="12">
        <v>123308.0</v>
      </c>
      <c r="D136" s="2"/>
      <c r="E136" s="2" t="s">
        <v>38</v>
      </c>
      <c r="F136" s="2" t="s">
        <v>39</v>
      </c>
      <c r="G136" s="2"/>
      <c r="H136" s="12">
        <v>0.0</v>
      </c>
      <c r="I136" s="2" t="s">
        <v>40</v>
      </c>
      <c r="J136" s="2"/>
      <c r="K136" s="2" t="s">
        <v>365</v>
      </c>
      <c r="L136" s="12">
        <v>124.0</v>
      </c>
      <c r="M136" s="2" t="s">
        <v>366</v>
      </c>
      <c r="N136" s="2" t="str">
        <f>IFERROR(__xludf.DUMMYFUNCTION("""COMPUTED_VALUE"""),"")</f>
        <v/>
      </c>
    </row>
    <row r="137">
      <c r="A137" s="2" t="s">
        <v>33</v>
      </c>
      <c r="B137" s="12">
        <v>123500.0</v>
      </c>
      <c r="C137" s="12">
        <v>124348.0</v>
      </c>
      <c r="D137" s="2"/>
      <c r="E137" s="2" t="s">
        <v>38</v>
      </c>
      <c r="F137" s="2" t="s">
        <v>367</v>
      </c>
      <c r="G137" s="2"/>
      <c r="H137" s="12">
        <v>0.0</v>
      </c>
      <c r="I137" s="2" t="s">
        <v>40</v>
      </c>
      <c r="J137" s="2"/>
      <c r="K137" s="2" t="s">
        <v>368</v>
      </c>
      <c r="L137" s="12">
        <v>282.0</v>
      </c>
      <c r="M137" s="2" t="s">
        <v>369</v>
      </c>
      <c r="N137" s="2" t="str">
        <f>IFERROR(__xludf.DUMMYFUNCTION("""COMPUTED_VALUE"""),"")</f>
        <v/>
      </c>
    </row>
    <row r="138">
      <c r="A138" s="2" t="s">
        <v>33</v>
      </c>
      <c r="B138" s="12">
        <v>124391.0</v>
      </c>
      <c r="C138" s="12">
        <v>125128.0</v>
      </c>
      <c r="D138" s="2"/>
      <c r="E138" s="2" t="s">
        <v>38</v>
      </c>
      <c r="F138" s="2" t="s">
        <v>370</v>
      </c>
      <c r="G138" s="2" t="s">
        <v>371</v>
      </c>
      <c r="H138" s="12">
        <v>0.0</v>
      </c>
      <c r="I138" s="2" t="s">
        <v>40</v>
      </c>
      <c r="J138" s="2"/>
      <c r="K138" s="2" t="s">
        <v>372</v>
      </c>
      <c r="L138" s="12">
        <v>245.0</v>
      </c>
      <c r="M138" s="2" t="s">
        <v>373</v>
      </c>
      <c r="N138" s="2" t="str">
        <f>IFERROR(__xludf.DUMMYFUNCTION("""COMPUTED_VALUE"""),"")</f>
        <v/>
      </c>
    </row>
    <row r="139">
      <c r="A139" s="2" t="s">
        <v>33</v>
      </c>
      <c r="B139" s="12">
        <v>125125.0</v>
      </c>
      <c r="C139" s="12">
        <v>125829.0</v>
      </c>
      <c r="D139" s="2"/>
      <c r="E139" s="2" t="s">
        <v>38</v>
      </c>
      <c r="F139" s="2" t="s">
        <v>35</v>
      </c>
      <c r="G139" s="2"/>
      <c r="H139" s="12">
        <v>0.0</v>
      </c>
      <c r="I139" s="2" t="s">
        <v>36</v>
      </c>
      <c r="J139" s="2"/>
      <c r="K139" s="2"/>
      <c r="L139" s="2"/>
      <c r="M139" s="2" t="s">
        <v>374</v>
      </c>
      <c r="N139" s="2" t="str">
        <f>IFERROR(__xludf.DUMMYFUNCTION("""COMPUTED_VALUE"""),"")</f>
        <v/>
      </c>
    </row>
    <row r="140">
      <c r="A140" s="2" t="s">
        <v>33</v>
      </c>
      <c r="B140" s="12">
        <v>125843.0</v>
      </c>
      <c r="C140" s="12">
        <v>126451.0</v>
      </c>
      <c r="D140" s="2"/>
      <c r="E140" s="2" t="s">
        <v>38</v>
      </c>
      <c r="F140" s="2" t="s">
        <v>375</v>
      </c>
      <c r="G140" s="2" t="s">
        <v>376</v>
      </c>
      <c r="H140" s="12">
        <v>0.0</v>
      </c>
      <c r="I140" s="2" t="s">
        <v>40</v>
      </c>
      <c r="J140" s="2"/>
      <c r="K140" s="2" t="s">
        <v>377</v>
      </c>
      <c r="L140" s="12">
        <v>202.0</v>
      </c>
      <c r="M140" s="2" t="s">
        <v>378</v>
      </c>
      <c r="N140" s="2" t="str">
        <f>IFERROR(__xludf.DUMMYFUNCTION("""COMPUTED_VALUE"""),"")</f>
        <v/>
      </c>
    </row>
    <row r="141">
      <c r="A141" s="2" t="s">
        <v>33</v>
      </c>
      <c r="B141" s="12">
        <v>126644.0</v>
      </c>
      <c r="C141" s="12">
        <v>127339.0</v>
      </c>
      <c r="D141" s="2"/>
      <c r="E141" s="2" t="s">
        <v>34</v>
      </c>
      <c r="F141" s="2" t="s">
        <v>379</v>
      </c>
      <c r="G141" s="2"/>
      <c r="H141" s="12">
        <v>0.0</v>
      </c>
      <c r="I141" s="2" t="s">
        <v>40</v>
      </c>
      <c r="J141" s="2"/>
      <c r="K141" s="2" t="s">
        <v>380</v>
      </c>
      <c r="L141" s="12">
        <v>231.0</v>
      </c>
      <c r="M141" s="2" t="s">
        <v>381</v>
      </c>
      <c r="N141" s="2" t="str">
        <f>IFERROR(__xludf.DUMMYFUNCTION("""COMPUTED_VALUE"""),"")</f>
        <v/>
      </c>
    </row>
    <row r="142">
      <c r="A142" s="2" t="s">
        <v>33</v>
      </c>
      <c r="B142" s="12">
        <v>127329.0</v>
      </c>
      <c r="C142" s="12">
        <v>128486.0</v>
      </c>
      <c r="D142" s="2"/>
      <c r="E142" s="2" t="s">
        <v>34</v>
      </c>
      <c r="F142" s="2" t="s">
        <v>382</v>
      </c>
      <c r="G142" s="2"/>
      <c r="H142" s="12">
        <v>0.0</v>
      </c>
      <c r="I142" s="2" t="s">
        <v>40</v>
      </c>
      <c r="J142" s="2"/>
      <c r="K142" s="2" t="s">
        <v>383</v>
      </c>
      <c r="L142" s="12">
        <v>385.0</v>
      </c>
      <c r="M142" s="2" t="s">
        <v>384</v>
      </c>
      <c r="N142" s="2" t="str">
        <f>IFERROR(__xludf.DUMMYFUNCTION("""COMPUTED_VALUE"""),"")</f>
        <v/>
      </c>
    </row>
    <row r="143">
      <c r="A143" s="2" t="s">
        <v>33</v>
      </c>
      <c r="B143" s="12">
        <v>128662.0</v>
      </c>
      <c r="C143" s="12">
        <v>129678.0</v>
      </c>
      <c r="D143" s="2"/>
      <c r="E143" s="2" t="s">
        <v>34</v>
      </c>
      <c r="F143" s="2" t="s">
        <v>385</v>
      </c>
      <c r="G143" s="2"/>
      <c r="H143" s="12">
        <v>0.0</v>
      </c>
      <c r="I143" s="2" t="s">
        <v>40</v>
      </c>
      <c r="J143" s="2"/>
      <c r="K143" s="2" t="s">
        <v>386</v>
      </c>
      <c r="L143" s="12">
        <v>338.0</v>
      </c>
      <c r="M143" s="2" t="s">
        <v>387</v>
      </c>
      <c r="N143" s="2" t="str">
        <f>IFERROR(__xludf.DUMMYFUNCTION("""COMPUTED_VALUE"""),"")</f>
        <v/>
      </c>
    </row>
    <row r="144">
      <c r="A144" s="2" t="s">
        <v>33</v>
      </c>
      <c r="B144" s="12">
        <v>129741.0</v>
      </c>
      <c r="C144" s="12">
        <v>129851.0</v>
      </c>
      <c r="D144" s="2"/>
      <c r="E144" s="2" t="s">
        <v>38</v>
      </c>
      <c r="F144" s="2" t="s">
        <v>35</v>
      </c>
      <c r="G144" s="2"/>
      <c r="H144" s="12">
        <v>0.0</v>
      </c>
      <c r="I144" s="2" t="s">
        <v>36</v>
      </c>
      <c r="J144" s="2"/>
      <c r="K144" s="2"/>
      <c r="L144" s="2"/>
      <c r="M144" s="2" t="s">
        <v>388</v>
      </c>
      <c r="N144" s="2" t="str">
        <f>IFERROR(__xludf.DUMMYFUNCTION("""COMPUTED_VALUE"""),"")</f>
        <v/>
      </c>
    </row>
    <row r="145">
      <c r="A145" s="2" t="s">
        <v>33</v>
      </c>
      <c r="B145" s="12">
        <v>130017.0</v>
      </c>
      <c r="C145" s="12">
        <v>130154.0</v>
      </c>
      <c r="D145" s="2"/>
      <c r="E145" s="2" t="s">
        <v>34</v>
      </c>
      <c r="F145" s="2" t="s">
        <v>389</v>
      </c>
      <c r="G145" s="2"/>
      <c r="H145" s="12">
        <v>0.0</v>
      </c>
      <c r="I145" s="2" t="s">
        <v>40</v>
      </c>
      <c r="J145" s="2"/>
      <c r="K145" s="2" t="s">
        <v>390</v>
      </c>
      <c r="L145" s="12">
        <v>45.0</v>
      </c>
      <c r="M145" s="2" t="s">
        <v>391</v>
      </c>
      <c r="N145" s="2" t="str">
        <f>IFERROR(__xludf.DUMMYFUNCTION("""COMPUTED_VALUE"""),"")</f>
        <v/>
      </c>
    </row>
    <row r="146">
      <c r="A146" s="2" t="s">
        <v>33</v>
      </c>
      <c r="B146" s="12">
        <v>130863.0</v>
      </c>
      <c r="C146" s="12">
        <v>131471.0</v>
      </c>
      <c r="D146" s="2"/>
      <c r="E146" s="2" t="s">
        <v>34</v>
      </c>
      <c r="F146" s="2" t="s">
        <v>39</v>
      </c>
      <c r="G146" s="2"/>
      <c r="H146" s="12">
        <v>0.0</v>
      </c>
      <c r="I146" s="2" t="s">
        <v>40</v>
      </c>
      <c r="J146" s="2"/>
      <c r="K146" s="2" t="s">
        <v>392</v>
      </c>
      <c r="L146" s="12">
        <v>202.0</v>
      </c>
      <c r="M146" s="2" t="s">
        <v>393</v>
      </c>
      <c r="N146" s="2" t="str">
        <f>IFERROR(__xludf.DUMMYFUNCTION("""COMPUTED_VALUE"""),"")</f>
        <v/>
      </c>
    </row>
    <row r="147">
      <c r="A147" s="2" t="s">
        <v>33</v>
      </c>
      <c r="B147" s="12">
        <v>131739.0</v>
      </c>
      <c r="C147" s="12">
        <v>132272.0</v>
      </c>
      <c r="D147" s="2"/>
      <c r="E147" s="2" t="s">
        <v>38</v>
      </c>
      <c r="F147" s="2" t="s">
        <v>367</v>
      </c>
      <c r="G147" s="2"/>
      <c r="H147" s="12">
        <v>0.0</v>
      </c>
      <c r="I147" s="2" t="s">
        <v>40</v>
      </c>
      <c r="J147" s="2"/>
      <c r="K147" s="2" t="s">
        <v>394</v>
      </c>
      <c r="L147" s="12">
        <v>177.0</v>
      </c>
      <c r="M147" s="2" t="s">
        <v>395</v>
      </c>
      <c r="N147" s="2" t="str">
        <f>IFERROR(__xludf.DUMMYFUNCTION("""COMPUTED_VALUE"""),"")</f>
        <v/>
      </c>
    </row>
    <row r="148">
      <c r="A148" s="2" t="s">
        <v>33</v>
      </c>
      <c r="B148" s="12">
        <v>132378.0</v>
      </c>
      <c r="C148" s="12">
        <v>132734.0</v>
      </c>
      <c r="D148" s="2"/>
      <c r="E148" s="2" t="s">
        <v>38</v>
      </c>
      <c r="F148" s="2" t="s">
        <v>39</v>
      </c>
      <c r="G148" s="2"/>
      <c r="H148" s="12">
        <v>0.0</v>
      </c>
      <c r="I148" s="2" t="s">
        <v>40</v>
      </c>
      <c r="J148" s="2"/>
      <c r="K148" s="2" t="s">
        <v>396</v>
      </c>
      <c r="L148" s="12">
        <v>118.0</v>
      </c>
      <c r="M148" s="2" t="s">
        <v>397</v>
      </c>
      <c r="N148" s="2" t="str">
        <f>IFERROR(__xludf.DUMMYFUNCTION("""COMPUTED_VALUE"""),"")</f>
        <v/>
      </c>
    </row>
    <row r="149">
      <c r="A149" s="2" t="s">
        <v>33</v>
      </c>
      <c r="B149" s="12">
        <v>133298.0</v>
      </c>
      <c r="C149" s="12">
        <v>133735.0</v>
      </c>
      <c r="D149" s="2"/>
      <c r="E149" s="2" t="s">
        <v>34</v>
      </c>
      <c r="F149" s="2" t="s">
        <v>39</v>
      </c>
      <c r="G149" s="2"/>
      <c r="H149" s="12">
        <v>0.0</v>
      </c>
      <c r="I149" s="2" t="s">
        <v>40</v>
      </c>
      <c r="J149" s="2"/>
      <c r="K149" s="2" t="s">
        <v>398</v>
      </c>
      <c r="L149" s="12">
        <v>145.0</v>
      </c>
      <c r="M149" s="2" t="s">
        <v>399</v>
      </c>
      <c r="N149" s="2" t="str">
        <f>IFERROR(__xludf.DUMMYFUNCTION("""COMPUTED_VALUE"""),"")</f>
        <v/>
      </c>
    </row>
    <row r="150">
      <c r="A150" s="2" t="s">
        <v>33</v>
      </c>
      <c r="B150" s="12">
        <v>133830.0</v>
      </c>
      <c r="C150" s="12">
        <v>135188.0</v>
      </c>
      <c r="D150" s="2"/>
      <c r="E150" s="2" t="s">
        <v>38</v>
      </c>
      <c r="F150" s="2" t="s">
        <v>35</v>
      </c>
      <c r="G150" s="2"/>
      <c r="H150" s="12">
        <v>0.0</v>
      </c>
      <c r="I150" s="2" t="s">
        <v>36</v>
      </c>
      <c r="J150" s="2"/>
      <c r="K150" s="2"/>
      <c r="L150" s="2"/>
      <c r="M150" s="2" t="s">
        <v>400</v>
      </c>
      <c r="N150" s="2" t="str">
        <f>IFERROR(__xludf.DUMMYFUNCTION("""COMPUTED_VALUE"""),"")</f>
        <v/>
      </c>
    </row>
    <row r="151">
      <c r="A151" s="2" t="s">
        <v>33</v>
      </c>
      <c r="B151" s="12">
        <v>135499.0</v>
      </c>
      <c r="C151" s="12">
        <v>137440.0</v>
      </c>
      <c r="D151" s="2"/>
      <c r="E151" s="2" t="s">
        <v>38</v>
      </c>
      <c r="F151" s="2" t="s">
        <v>35</v>
      </c>
      <c r="G151" s="2"/>
      <c r="H151" s="12">
        <v>0.0</v>
      </c>
      <c r="I151" s="2" t="s">
        <v>36</v>
      </c>
      <c r="J151" s="2"/>
      <c r="K151" s="2"/>
      <c r="L151" s="2"/>
      <c r="M151" s="2" t="s">
        <v>401</v>
      </c>
      <c r="N151" s="2" t="str">
        <f>IFERROR(__xludf.DUMMYFUNCTION("""COMPUTED_VALUE"""),"")</f>
        <v/>
      </c>
    </row>
    <row r="152">
      <c r="A152" s="2" t="s">
        <v>33</v>
      </c>
      <c r="B152" s="12">
        <v>137490.0</v>
      </c>
      <c r="C152" s="12">
        <v>139031.0</v>
      </c>
      <c r="D152" s="2"/>
      <c r="E152" s="2" t="s">
        <v>38</v>
      </c>
      <c r="F152" s="2" t="s">
        <v>402</v>
      </c>
      <c r="G152" s="2"/>
      <c r="H152" s="12">
        <v>0.0</v>
      </c>
      <c r="I152" s="2" t="s">
        <v>40</v>
      </c>
      <c r="J152" s="2"/>
      <c r="K152" s="2" t="s">
        <v>403</v>
      </c>
      <c r="L152" s="12">
        <v>513.0</v>
      </c>
      <c r="M152" s="2" t="s">
        <v>404</v>
      </c>
      <c r="N152" s="2" t="str">
        <f>IFERROR(__xludf.DUMMYFUNCTION("""COMPUTED_VALUE"""),"")</f>
        <v/>
      </c>
    </row>
    <row r="153">
      <c r="A153" s="2" t="s">
        <v>33</v>
      </c>
      <c r="B153" s="12">
        <v>139034.0</v>
      </c>
      <c r="C153" s="12">
        <v>139822.0</v>
      </c>
      <c r="D153" s="2"/>
      <c r="E153" s="2" t="s">
        <v>38</v>
      </c>
      <c r="F153" s="2" t="s">
        <v>405</v>
      </c>
      <c r="G153" s="2"/>
      <c r="H153" s="12">
        <v>0.0</v>
      </c>
      <c r="I153" s="2" t="s">
        <v>40</v>
      </c>
      <c r="J153" s="2"/>
      <c r="K153" s="2" t="s">
        <v>406</v>
      </c>
      <c r="L153" s="12">
        <v>262.0</v>
      </c>
      <c r="M153" s="2" t="s">
        <v>407</v>
      </c>
      <c r="N153" s="2" t="str">
        <f>IFERROR(__xludf.DUMMYFUNCTION("""COMPUTED_VALUE"""),"")</f>
        <v/>
      </c>
    </row>
    <row r="154">
      <c r="A154" s="2" t="s">
        <v>33</v>
      </c>
      <c r="B154" s="12">
        <v>139827.0</v>
      </c>
      <c r="C154" s="12">
        <v>140738.0</v>
      </c>
      <c r="D154" s="2"/>
      <c r="E154" s="2" t="s">
        <v>38</v>
      </c>
      <c r="F154" s="2" t="s">
        <v>408</v>
      </c>
      <c r="G154" s="2" t="s">
        <v>409</v>
      </c>
      <c r="H154" s="12">
        <v>0.0</v>
      </c>
      <c r="I154" s="2" t="s">
        <v>40</v>
      </c>
      <c r="J154" s="2"/>
      <c r="K154" s="2" t="s">
        <v>410</v>
      </c>
      <c r="L154" s="12">
        <v>303.0</v>
      </c>
      <c r="M154" s="2" t="s">
        <v>411</v>
      </c>
      <c r="N154" s="2" t="str">
        <f>IFERROR(__xludf.DUMMYFUNCTION("""COMPUTED_VALUE"""),"")</f>
        <v/>
      </c>
    </row>
    <row r="155">
      <c r="A155" s="2" t="s">
        <v>33</v>
      </c>
      <c r="B155" s="12">
        <v>140760.0</v>
      </c>
      <c r="C155" s="12">
        <v>140975.0</v>
      </c>
      <c r="D155" s="2"/>
      <c r="E155" s="2" t="s">
        <v>38</v>
      </c>
      <c r="F155" s="2" t="s">
        <v>412</v>
      </c>
      <c r="G155" s="2"/>
      <c r="H155" s="12">
        <v>0.0</v>
      </c>
      <c r="I155" s="2" t="s">
        <v>40</v>
      </c>
      <c r="J155" s="2"/>
      <c r="K155" s="2" t="s">
        <v>413</v>
      </c>
      <c r="L155" s="12">
        <v>71.0</v>
      </c>
      <c r="M155" s="2" t="s">
        <v>414</v>
      </c>
      <c r="N155" s="2" t="str">
        <f>IFERROR(__xludf.DUMMYFUNCTION("""COMPUTED_VALUE"""),"")</f>
        <v/>
      </c>
    </row>
    <row r="156">
      <c r="A156" s="2" t="s">
        <v>33</v>
      </c>
      <c r="B156" s="12">
        <v>141002.0</v>
      </c>
      <c r="C156" s="12">
        <v>142339.0</v>
      </c>
      <c r="D156" s="2"/>
      <c r="E156" s="2" t="s">
        <v>38</v>
      </c>
      <c r="F156" s="2" t="s">
        <v>415</v>
      </c>
      <c r="G156" s="2"/>
      <c r="H156" s="12">
        <v>0.0</v>
      </c>
      <c r="I156" s="2" t="s">
        <v>40</v>
      </c>
      <c r="J156" s="2"/>
      <c r="K156" s="2" t="s">
        <v>416</v>
      </c>
      <c r="L156" s="12">
        <v>445.0</v>
      </c>
      <c r="M156" s="2" t="s">
        <v>417</v>
      </c>
      <c r="N156" s="2" t="str">
        <f>IFERROR(__xludf.DUMMYFUNCTION("""COMPUTED_VALUE"""),"")</f>
        <v/>
      </c>
    </row>
    <row r="157">
      <c r="A157" s="2" t="s">
        <v>33</v>
      </c>
      <c r="B157" s="12">
        <v>142354.0</v>
      </c>
      <c r="C157" s="12">
        <v>143499.0</v>
      </c>
      <c r="D157" s="2"/>
      <c r="E157" s="2" t="s">
        <v>38</v>
      </c>
      <c r="F157" s="2" t="s">
        <v>418</v>
      </c>
      <c r="G157" s="2"/>
      <c r="H157" s="12">
        <v>0.0</v>
      </c>
      <c r="I157" s="2" t="s">
        <v>40</v>
      </c>
      <c r="J157" s="2"/>
      <c r="K157" s="2" t="s">
        <v>419</v>
      </c>
      <c r="L157" s="12">
        <v>381.0</v>
      </c>
      <c r="M157" s="2" t="s">
        <v>420</v>
      </c>
      <c r="N157" s="2" t="str">
        <f>IFERROR(__xludf.DUMMYFUNCTION("""COMPUTED_VALUE"""),"")</f>
        <v/>
      </c>
    </row>
    <row r="158">
      <c r="A158" s="2" t="s">
        <v>33</v>
      </c>
      <c r="B158" s="12">
        <v>143716.0</v>
      </c>
      <c r="C158" s="12">
        <v>144684.0</v>
      </c>
      <c r="D158" s="2"/>
      <c r="E158" s="2" t="s">
        <v>38</v>
      </c>
      <c r="F158" s="2" t="s">
        <v>421</v>
      </c>
      <c r="G158" s="2"/>
      <c r="H158" s="12">
        <v>0.0</v>
      </c>
      <c r="I158" s="2" t="s">
        <v>40</v>
      </c>
      <c r="J158" s="2"/>
      <c r="K158" s="2" t="s">
        <v>422</v>
      </c>
      <c r="L158" s="12">
        <v>322.0</v>
      </c>
      <c r="M158" s="2" t="s">
        <v>423</v>
      </c>
      <c r="N158" s="2" t="str">
        <f>IFERROR(__xludf.DUMMYFUNCTION("""COMPUTED_VALUE"""),"")</f>
        <v/>
      </c>
    </row>
    <row r="159">
      <c r="A159" s="2" t="s">
        <v>33</v>
      </c>
      <c r="B159" s="12">
        <v>144918.0</v>
      </c>
      <c r="C159" s="12">
        <v>145217.0</v>
      </c>
      <c r="D159" s="2"/>
      <c r="E159" s="2" t="s">
        <v>34</v>
      </c>
      <c r="F159" s="2" t="s">
        <v>424</v>
      </c>
      <c r="G159" s="2"/>
      <c r="H159" s="12">
        <v>0.0</v>
      </c>
      <c r="I159" s="2" t="s">
        <v>40</v>
      </c>
      <c r="J159" s="2"/>
      <c r="K159" s="2" t="s">
        <v>425</v>
      </c>
      <c r="L159" s="12">
        <v>99.0</v>
      </c>
      <c r="M159" s="2" t="s">
        <v>426</v>
      </c>
      <c r="N159" s="2" t="str">
        <f>IFERROR(__xludf.DUMMYFUNCTION("""COMPUTED_VALUE"""),"")</f>
        <v/>
      </c>
    </row>
    <row r="160">
      <c r="A160" s="2" t="s">
        <v>33</v>
      </c>
      <c r="B160" s="12">
        <v>145339.0</v>
      </c>
      <c r="C160" s="12">
        <v>145992.0</v>
      </c>
      <c r="D160" s="2"/>
      <c r="E160" s="2" t="s">
        <v>38</v>
      </c>
      <c r="F160" s="2" t="s">
        <v>427</v>
      </c>
      <c r="G160" s="2"/>
      <c r="H160" s="12">
        <v>0.0</v>
      </c>
      <c r="I160" s="2" t="s">
        <v>40</v>
      </c>
      <c r="J160" s="2"/>
      <c r="K160" s="2" t="s">
        <v>428</v>
      </c>
      <c r="L160" s="12">
        <v>217.0</v>
      </c>
      <c r="M160" s="2" t="s">
        <v>429</v>
      </c>
      <c r="N160" s="2" t="str">
        <f>IFERROR(__xludf.DUMMYFUNCTION("""COMPUTED_VALUE"""),"")</f>
        <v/>
      </c>
    </row>
    <row r="161">
      <c r="A161" s="2" t="s">
        <v>33</v>
      </c>
      <c r="B161" s="12">
        <v>146017.0</v>
      </c>
      <c r="C161" s="12">
        <v>147030.0</v>
      </c>
      <c r="D161" s="2"/>
      <c r="E161" s="2" t="s">
        <v>38</v>
      </c>
      <c r="F161" s="2" t="s">
        <v>265</v>
      </c>
      <c r="G161" s="2"/>
      <c r="H161" s="12">
        <v>0.0</v>
      </c>
      <c r="I161" s="2" t="s">
        <v>40</v>
      </c>
      <c r="J161" s="2"/>
      <c r="K161" s="2" t="s">
        <v>430</v>
      </c>
      <c r="L161" s="12">
        <v>337.0</v>
      </c>
      <c r="M161" s="2" t="s">
        <v>431</v>
      </c>
      <c r="N161" s="2" t="str">
        <f>IFERROR(__xludf.DUMMYFUNCTION("""COMPUTED_VALUE"""),"")</f>
        <v/>
      </c>
    </row>
    <row r="162">
      <c r="A162" s="2" t="s">
        <v>33</v>
      </c>
      <c r="B162" s="12">
        <v>147027.0</v>
      </c>
      <c r="C162" s="12">
        <v>147752.0</v>
      </c>
      <c r="D162" s="2"/>
      <c r="E162" s="2" t="s">
        <v>38</v>
      </c>
      <c r="F162" s="2" t="s">
        <v>432</v>
      </c>
      <c r="G162" s="2"/>
      <c r="H162" s="12">
        <v>0.0</v>
      </c>
      <c r="I162" s="2" t="s">
        <v>40</v>
      </c>
      <c r="J162" s="2"/>
      <c r="K162" s="2" t="s">
        <v>433</v>
      </c>
      <c r="L162" s="12">
        <v>241.0</v>
      </c>
      <c r="M162" s="2" t="s">
        <v>434</v>
      </c>
      <c r="N162" s="2" t="str">
        <f>IFERROR(__xludf.DUMMYFUNCTION("""COMPUTED_VALUE"""),"")</f>
        <v/>
      </c>
    </row>
    <row r="163">
      <c r="A163" s="2" t="s">
        <v>33</v>
      </c>
      <c r="B163" s="12">
        <v>147941.0</v>
      </c>
      <c r="C163" s="12">
        <v>148192.0</v>
      </c>
      <c r="D163" s="2"/>
      <c r="E163" s="2" t="s">
        <v>38</v>
      </c>
      <c r="F163" s="2" t="s">
        <v>39</v>
      </c>
      <c r="G163" s="2"/>
      <c r="H163" s="12">
        <v>0.0</v>
      </c>
      <c r="I163" s="2" t="s">
        <v>40</v>
      </c>
      <c r="J163" s="2"/>
      <c r="K163" s="2" t="s">
        <v>435</v>
      </c>
      <c r="L163" s="12">
        <v>83.0</v>
      </c>
      <c r="M163" s="2" t="s">
        <v>436</v>
      </c>
      <c r="N163" s="2" t="str">
        <f>IFERROR(__xludf.DUMMYFUNCTION("""COMPUTED_VALUE"""),"")</f>
        <v/>
      </c>
    </row>
    <row r="164">
      <c r="A164" s="2" t="s">
        <v>33</v>
      </c>
      <c r="B164" s="12">
        <v>148408.0</v>
      </c>
      <c r="C164" s="12">
        <v>149250.0</v>
      </c>
      <c r="D164" s="2"/>
      <c r="E164" s="2" t="s">
        <v>38</v>
      </c>
      <c r="F164" s="2" t="s">
        <v>437</v>
      </c>
      <c r="G164" s="2"/>
      <c r="H164" s="12">
        <v>0.0</v>
      </c>
      <c r="I164" s="2" t="s">
        <v>40</v>
      </c>
      <c r="J164" s="2"/>
      <c r="K164" s="2" t="s">
        <v>438</v>
      </c>
      <c r="L164" s="12">
        <v>280.0</v>
      </c>
      <c r="M164" s="2" t="s">
        <v>439</v>
      </c>
      <c r="N164" s="2" t="str">
        <f>IFERROR(__xludf.DUMMYFUNCTION("""COMPUTED_VALUE"""),"")</f>
        <v/>
      </c>
    </row>
    <row r="165">
      <c r="A165" s="2" t="s">
        <v>33</v>
      </c>
      <c r="B165" s="12">
        <v>149647.0</v>
      </c>
      <c r="C165" s="12">
        <v>149748.0</v>
      </c>
      <c r="D165" s="2"/>
      <c r="E165" s="2" t="s">
        <v>38</v>
      </c>
      <c r="F165" s="2" t="s">
        <v>35</v>
      </c>
      <c r="G165" s="2"/>
      <c r="H165" s="12">
        <v>0.0</v>
      </c>
      <c r="I165" s="2" t="s">
        <v>36</v>
      </c>
      <c r="J165" s="2"/>
      <c r="K165" s="2"/>
      <c r="L165" s="2"/>
      <c r="M165" s="2" t="s">
        <v>440</v>
      </c>
      <c r="N165" s="2" t="str">
        <f>IFERROR(__xludf.DUMMYFUNCTION("""COMPUTED_VALUE"""),"")</f>
        <v/>
      </c>
    </row>
    <row r="166">
      <c r="A166" s="2" t="s">
        <v>33</v>
      </c>
      <c r="B166" s="12">
        <v>149767.0</v>
      </c>
      <c r="C166" s="12">
        <v>150327.0</v>
      </c>
      <c r="D166" s="2"/>
      <c r="E166" s="2" t="s">
        <v>38</v>
      </c>
      <c r="F166" s="2" t="s">
        <v>367</v>
      </c>
      <c r="G166" s="2"/>
      <c r="H166" s="12">
        <v>0.0</v>
      </c>
      <c r="I166" s="2" t="s">
        <v>40</v>
      </c>
      <c r="J166" s="2"/>
      <c r="K166" s="2" t="s">
        <v>441</v>
      </c>
      <c r="L166" s="12">
        <v>186.0</v>
      </c>
      <c r="M166" s="2" t="s">
        <v>442</v>
      </c>
      <c r="N166" s="2" t="str">
        <f>IFERROR(__xludf.DUMMYFUNCTION("""COMPUTED_VALUE"""),"")</f>
        <v/>
      </c>
    </row>
    <row r="167">
      <c r="A167" s="2" t="s">
        <v>33</v>
      </c>
      <c r="B167" s="12">
        <v>150484.0</v>
      </c>
      <c r="C167" s="12">
        <v>151410.0</v>
      </c>
      <c r="D167" s="2"/>
      <c r="E167" s="2" t="s">
        <v>38</v>
      </c>
      <c r="F167" s="2" t="s">
        <v>443</v>
      </c>
      <c r="G167" s="2" t="s">
        <v>444</v>
      </c>
      <c r="H167" s="12">
        <v>0.0</v>
      </c>
      <c r="I167" s="2" t="s">
        <v>40</v>
      </c>
      <c r="J167" s="2"/>
      <c r="K167" s="2" t="s">
        <v>445</v>
      </c>
      <c r="L167" s="12">
        <v>308.0</v>
      </c>
      <c r="M167" s="2" t="s">
        <v>446</v>
      </c>
      <c r="N167" s="2" t="str">
        <f>IFERROR(__xludf.DUMMYFUNCTION("""COMPUTED_VALUE"""),"")</f>
        <v/>
      </c>
    </row>
    <row r="168">
      <c r="A168" s="2" t="s">
        <v>33</v>
      </c>
      <c r="B168" s="12">
        <v>151631.0</v>
      </c>
      <c r="C168" s="12">
        <v>153763.0</v>
      </c>
      <c r="D168" s="2"/>
      <c r="E168" s="2" t="s">
        <v>38</v>
      </c>
      <c r="F168" s="2" t="s">
        <v>63</v>
      </c>
      <c r="G168" s="2"/>
      <c r="H168" s="12">
        <v>0.0</v>
      </c>
      <c r="I168" s="2" t="s">
        <v>40</v>
      </c>
      <c r="J168" s="2"/>
      <c r="K168" s="2" t="s">
        <v>447</v>
      </c>
      <c r="L168" s="12">
        <v>710.0</v>
      </c>
      <c r="M168" s="2" t="s">
        <v>448</v>
      </c>
      <c r="N168" s="2" t="str">
        <f>IFERROR(__xludf.DUMMYFUNCTION("""COMPUTED_VALUE"""),"")</f>
        <v/>
      </c>
    </row>
    <row r="169">
      <c r="A169" s="2" t="s">
        <v>33</v>
      </c>
      <c r="B169" s="12">
        <v>154129.0</v>
      </c>
      <c r="C169" s="12">
        <v>155890.0</v>
      </c>
      <c r="D169" s="2"/>
      <c r="E169" s="2" t="s">
        <v>34</v>
      </c>
      <c r="F169" s="2" t="s">
        <v>35</v>
      </c>
      <c r="G169" s="2"/>
      <c r="H169" s="12">
        <v>0.0</v>
      </c>
      <c r="I169" s="2" t="s">
        <v>36</v>
      </c>
      <c r="J169" s="2"/>
      <c r="K169" s="2"/>
      <c r="L169" s="2"/>
      <c r="M169" s="2" t="s">
        <v>449</v>
      </c>
      <c r="N169" s="2" t="str">
        <f>IFERROR(__xludf.DUMMYFUNCTION("""COMPUTED_VALUE"""),"")</f>
        <v/>
      </c>
    </row>
    <row r="170">
      <c r="A170" s="2" t="s">
        <v>33</v>
      </c>
      <c r="B170" s="12">
        <v>155902.0</v>
      </c>
      <c r="C170" s="12">
        <v>156729.0</v>
      </c>
      <c r="D170" s="2"/>
      <c r="E170" s="2" t="s">
        <v>38</v>
      </c>
      <c r="F170" s="2" t="s">
        <v>450</v>
      </c>
      <c r="G170" s="2"/>
      <c r="H170" s="12">
        <v>0.0</v>
      </c>
      <c r="I170" s="2" t="s">
        <v>40</v>
      </c>
      <c r="J170" s="2"/>
      <c r="K170" s="2" t="s">
        <v>451</v>
      </c>
      <c r="L170" s="12">
        <v>275.0</v>
      </c>
      <c r="M170" s="2" t="s">
        <v>452</v>
      </c>
      <c r="N170" s="2" t="str">
        <f>IFERROR(__xludf.DUMMYFUNCTION("""COMPUTED_VALUE"""),"")</f>
        <v/>
      </c>
    </row>
    <row r="171">
      <c r="A171" s="2" t="s">
        <v>33</v>
      </c>
      <c r="B171" s="12">
        <v>156719.0</v>
      </c>
      <c r="C171" s="12">
        <v>157253.0</v>
      </c>
      <c r="D171" s="2"/>
      <c r="E171" s="2" t="s">
        <v>38</v>
      </c>
      <c r="F171" s="2" t="s">
        <v>35</v>
      </c>
      <c r="G171" s="2"/>
      <c r="H171" s="12">
        <v>0.0</v>
      </c>
      <c r="I171" s="2" t="s">
        <v>36</v>
      </c>
      <c r="J171" s="2"/>
      <c r="K171" s="2"/>
      <c r="L171" s="2"/>
      <c r="M171" s="2" t="s">
        <v>453</v>
      </c>
      <c r="N171" s="2" t="str">
        <f>IFERROR(__xludf.DUMMYFUNCTION("""COMPUTED_VALUE"""),"")</f>
        <v/>
      </c>
    </row>
    <row r="172">
      <c r="A172" s="2" t="s">
        <v>33</v>
      </c>
      <c r="B172" s="12">
        <v>157690.0</v>
      </c>
      <c r="C172" s="12">
        <v>159658.0</v>
      </c>
      <c r="D172" s="2"/>
      <c r="E172" s="2" t="s">
        <v>38</v>
      </c>
      <c r="F172" s="2" t="s">
        <v>35</v>
      </c>
      <c r="G172" s="2"/>
      <c r="H172" s="12">
        <v>0.0</v>
      </c>
      <c r="I172" s="2" t="s">
        <v>36</v>
      </c>
      <c r="J172" s="2"/>
      <c r="K172" s="2"/>
      <c r="L172" s="2"/>
      <c r="M172" s="2" t="s">
        <v>454</v>
      </c>
      <c r="N172" s="2" t="str">
        <f>IFERROR(__xludf.DUMMYFUNCTION("""COMPUTED_VALUE"""),"")</f>
        <v/>
      </c>
    </row>
    <row r="173">
      <c r="A173" s="2" t="s">
        <v>33</v>
      </c>
      <c r="B173" s="12">
        <v>159908.0</v>
      </c>
      <c r="C173" s="12">
        <v>160945.0</v>
      </c>
      <c r="D173" s="2"/>
      <c r="E173" s="2" t="s">
        <v>38</v>
      </c>
      <c r="F173" s="2" t="s">
        <v>455</v>
      </c>
      <c r="G173" s="2"/>
      <c r="H173" s="12">
        <v>0.0</v>
      </c>
      <c r="I173" s="2" t="s">
        <v>40</v>
      </c>
      <c r="J173" s="2"/>
      <c r="K173" s="2" t="s">
        <v>456</v>
      </c>
      <c r="L173" s="12">
        <v>345.0</v>
      </c>
      <c r="M173" s="2" t="s">
        <v>457</v>
      </c>
      <c r="N173" s="2" t="str">
        <f>IFERROR(__xludf.DUMMYFUNCTION("""COMPUTED_VALUE"""),"")</f>
        <v/>
      </c>
    </row>
    <row r="174">
      <c r="A174" s="2" t="s">
        <v>33</v>
      </c>
      <c r="B174" s="12">
        <v>161606.0</v>
      </c>
      <c r="C174" s="12">
        <v>163321.0</v>
      </c>
      <c r="D174" s="2"/>
      <c r="E174" s="2" t="s">
        <v>38</v>
      </c>
      <c r="F174" s="2" t="s">
        <v>35</v>
      </c>
      <c r="G174" s="2" t="s">
        <v>458</v>
      </c>
      <c r="H174" s="12">
        <v>0.0</v>
      </c>
      <c r="I174" s="2" t="s">
        <v>36</v>
      </c>
      <c r="J174" s="2"/>
      <c r="K174" s="2"/>
      <c r="L174" s="2"/>
      <c r="M174" s="2" t="s">
        <v>459</v>
      </c>
      <c r="N174" s="2" t="str">
        <f>IFERROR(__xludf.DUMMYFUNCTION("""COMPUTED_VALUE"""),"")</f>
        <v/>
      </c>
    </row>
    <row r="175">
      <c r="A175" s="2" t="s">
        <v>33</v>
      </c>
      <c r="B175" s="12">
        <v>163831.0</v>
      </c>
      <c r="C175" s="12">
        <v>164345.0</v>
      </c>
      <c r="D175" s="2"/>
      <c r="E175" s="2" t="s">
        <v>38</v>
      </c>
      <c r="F175" s="2" t="s">
        <v>35</v>
      </c>
      <c r="G175" s="2"/>
      <c r="H175" s="12">
        <v>0.0</v>
      </c>
      <c r="I175" s="2" t="s">
        <v>36</v>
      </c>
      <c r="J175" s="2"/>
      <c r="K175" s="2"/>
      <c r="L175" s="2"/>
      <c r="M175" s="2" t="s">
        <v>460</v>
      </c>
      <c r="N175" s="2" t="str">
        <f>IFERROR(__xludf.DUMMYFUNCTION("""COMPUTED_VALUE"""),"")</f>
        <v/>
      </c>
    </row>
    <row r="176">
      <c r="A176" s="2" t="s">
        <v>33</v>
      </c>
      <c r="B176" s="12">
        <v>164462.0</v>
      </c>
      <c r="C176" s="12">
        <v>164794.0</v>
      </c>
      <c r="D176" s="2"/>
      <c r="E176" s="2" t="s">
        <v>38</v>
      </c>
      <c r="F176" s="2" t="s">
        <v>39</v>
      </c>
      <c r="G176" s="2"/>
      <c r="H176" s="12">
        <v>0.0</v>
      </c>
      <c r="I176" s="2" t="s">
        <v>40</v>
      </c>
      <c r="J176" s="2"/>
      <c r="K176" s="2" t="s">
        <v>461</v>
      </c>
      <c r="L176" s="12">
        <v>110.0</v>
      </c>
      <c r="M176" s="2" t="s">
        <v>462</v>
      </c>
      <c r="N176" s="2" t="str">
        <f>IFERROR(__xludf.DUMMYFUNCTION("""COMPUTED_VALUE"""),"")</f>
        <v/>
      </c>
    </row>
    <row r="177">
      <c r="A177" s="2" t="s">
        <v>33</v>
      </c>
      <c r="B177" s="12">
        <v>165542.0</v>
      </c>
      <c r="C177" s="12">
        <v>165649.0</v>
      </c>
      <c r="D177" s="2"/>
      <c r="E177" s="2" t="s">
        <v>34</v>
      </c>
      <c r="F177" s="2" t="s">
        <v>35</v>
      </c>
      <c r="G177" s="2"/>
      <c r="H177" s="12">
        <v>0.0</v>
      </c>
      <c r="I177" s="2" t="s">
        <v>36</v>
      </c>
      <c r="J177" s="2"/>
      <c r="K177" s="2"/>
      <c r="L177" s="2"/>
      <c r="M177" s="2" t="s">
        <v>463</v>
      </c>
      <c r="N177" s="2" t="str">
        <f>IFERROR(__xludf.DUMMYFUNCTION("""COMPUTED_VALUE"""),"")</f>
        <v/>
      </c>
    </row>
    <row r="178">
      <c r="A178" s="2" t="s">
        <v>33</v>
      </c>
      <c r="B178" s="12">
        <v>165637.0</v>
      </c>
      <c r="C178" s="12">
        <v>165750.0</v>
      </c>
      <c r="D178" s="2"/>
      <c r="E178" s="2" t="s">
        <v>38</v>
      </c>
      <c r="F178" s="2" t="s">
        <v>35</v>
      </c>
      <c r="G178" s="2"/>
      <c r="H178" s="12">
        <v>0.0</v>
      </c>
      <c r="I178" s="2" t="s">
        <v>36</v>
      </c>
      <c r="J178" s="2"/>
      <c r="K178" s="2"/>
      <c r="L178" s="2"/>
      <c r="M178" s="2" t="s">
        <v>464</v>
      </c>
      <c r="N178" s="2" t="str">
        <f>IFERROR(__xludf.DUMMYFUNCTION("""COMPUTED_VALUE"""),"")</f>
        <v/>
      </c>
    </row>
    <row r="179">
      <c r="A179" s="2" t="s">
        <v>33</v>
      </c>
      <c r="B179" s="12">
        <v>165775.0</v>
      </c>
      <c r="C179" s="12">
        <v>167194.0</v>
      </c>
      <c r="D179" s="2"/>
      <c r="E179" s="2" t="s">
        <v>38</v>
      </c>
      <c r="F179" s="2" t="s">
        <v>35</v>
      </c>
      <c r="G179" s="2"/>
      <c r="H179" s="12">
        <v>0.0</v>
      </c>
      <c r="I179" s="2" t="s">
        <v>36</v>
      </c>
      <c r="J179" s="2"/>
      <c r="K179" s="2"/>
      <c r="L179" s="2"/>
      <c r="M179" s="2" t="s">
        <v>465</v>
      </c>
      <c r="N179" s="2" t="str">
        <f>IFERROR(__xludf.DUMMYFUNCTION("""COMPUTED_VALUE"""),"")</f>
        <v/>
      </c>
    </row>
    <row r="180">
      <c r="A180" s="2" t="s">
        <v>33</v>
      </c>
      <c r="B180" s="12">
        <v>168128.0</v>
      </c>
      <c r="C180" s="12">
        <v>168313.0</v>
      </c>
      <c r="D180" s="2"/>
      <c r="E180" s="2" t="s">
        <v>34</v>
      </c>
      <c r="F180" s="2" t="s">
        <v>39</v>
      </c>
      <c r="G180" s="2"/>
      <c r="H180" s="12">
        <v>0.0</v>
      </c>
      <c r="I180" s="2" t="s">
        <v>40</v>
      </c>
      <c r="J180" s="2"/>
      <c r="K180" s="2" t="s">
        <v>466</v>
      </c>
      <c r="L180" s="12">
        <v>61.0</v>
      </c>
      <c r="M180" s="2" t="s">
        <v>467</v>
      </c>
      <c r="N180" s="2" t="str">
        <f>IFERROR(__xludf.DUMMYFUNCTION("""COMPUTED_VALUE"""),"")</f>
        <v/>
      </c>
    </row>
    <row r="181">
      <c r="A181" s="2" t="s">
        <v>33</v>
      </c>
      <c r="B181" s="12">
        <v>168680.0</v>
      </c>
      <c r="C181" s="12">
        <v>169186.0</v>
      </c>
      <c r="D181" s="2"/>
      <c r="E181" s="2" t="s">
        <v>38</v>
      </c>
      <c r="F181" s="2" t="s">
        <v>367</v>
      </c>
      <c r="G181" s="2"/>
      <c r="H181" s="12">
        <v>0.0</v>
      </c>
      <c r="I181" s="2" t="s">
        <v>40</v>
      </c>
      <c r="J181" s="2"/>
      <c r="K181" s="2" t="s">
        <v>468</v>
      </c>
      <c r="L181" s="12">
        <v>168.0</v>
      </c>
      <c r="M181" s="2" t="s">
        <v>469</v>
      </c>
      <c r="N181" s="2" t="str">
        <f>IFERROR(__xludf.DUMMYFUNCTION("""COMPUTED_VALUE"""),"")</f>
        <v/>
      </c>
    </row>
    <row r="182">
      <c r="A182" s="2" t="s">
        <v>33</v>
      </c>
      <c r="B182" s="12">
        <v>169504.0</v>
      </c>
      <c r="C182" s="12">
        <v>170151.0</v>
      </c>
      <c r="D182" s="2"/>
      <c r="E182" s="2" t="s">
        <v>38</v>
      </c>
      <c r="F182" s="2" t="s">
        <v>470</v>
      </c>
      <c r="G182" s="2"/>
      <c r="H182" s="12">
        <v>0.0</v>
      </c>
      <c r="I182" s="2" t="s">
        <v>40</v>
      </c>
      <c r="J182" s="2"/>
      <c r="K182" s="2" t="s">
        <v>471</v>
      </c>
      <c r="L182" s="12">
        <v>215.0</v>
      </c>
      <c r="M182" s="2" t="s">
        <v>472</v>
      </c>
      <c r="N182" s="2" t="str">
        <f>IFERROR(__xludf.DUMMYFUNCTION("""COMPUTED_VALUE"""),"")</f>
        <v/>
      </c>
    </row>
    <row r="183">
      <c r="A183" s="2" t="s">
        <v>33</v>
      </c>
      <c r="B183" s="12">
        <v>170648.0</v>
      </c>
      <c r="C183" s="12">
        <v>171238.0</v>
      </c>
      <c r="D183" s="2"/>
      <c r="E183" s="2" t="s">
        <v>34</v>
      </c>
      <c r="F183" s="2" t="s">
        <v>473</v>
      </c>
      <c r="G183" s="2"/>
      <c r="H183" s="12">
        <v>0.0</v>
      </c>
      <c r="I183" s="2" t="s">
        <v>40</v>
      </c>
      <c r="J183" s="2"/>
      <c r="K183" s="2" t="s">
        <v>474</v>
      </c>
      <c r="L183" s="12">
        <v>196.0</v>
      </c>
      <c r="M183" s="2" t="s">
        <v>475</v>
      </c>
      <c r="N183" s="2" t="str">
        <f>IFERROR(__xludf.DUMMYFUNCTION("""COMPUTED_VALUE"""),"")</f>
        <v/>
      </c>
    </row>
    <row r="184">
      <c r="A184" s="2" t="s">
        <v>33</v>
      </c>
      <c r="B184" s="12">
        <v>171191.0</v>
      </c>
      <c r="C184" s="12">
        <v>171463.0</v>
      </c>
      <c r="D184" s="2"/>
      <c r="E184" s="2" t="s">
        <v>38</v>
      </c>
      <c r="F184" s="2" t="s">
        <v>39</v>
      </c>
      <c r="G184" s="2"/>
      <c r="H184" s="12">
        <v>0.0</v>
      </c>
      <c r="I184" s="2" t="s">
        <v>40</v>
      </c>
      <c r="J184" s="2"/>
      <c r="K184" s="2" t="s">
        <v>476</v>
      </c>
      <c r="L184" s="12">
        <v>90.0</v>
      </c>
      <c r="M184" s="2" t="s">
        <v>477</v>
      </c>
      <c r="N184" s="2" t="str">
        <f>IFERROR(__xludf.DUMMYFUNCTION("""COMPUTED_VALUE"""),"")</f>
        <v/>
      </c>
    </row>
    <row r="185">
      <c r="A185" s="2" t="s">
        <v>33</v>
      </c>
      <c r="B185" s="12">
        <v>172943.0</v>
      </c>
      <c r="C185" s="12">
        <v>173665.0</v>
      </c>
      <c r="D185" s="2"/>
      <c r="E185" s="2" t="s">
        <v>38</v>
      </c>
      <c r="F185" s="2" t="s">
        <v>478</v>
      </c>
      <c r="G185" s="2"/>
      <c r="H185" s="12">
        <v>0.0</v>
      </c>
      <c r="I185" s="2" t="s">
        <v>40</v>
      </c>
      <c r="J185" s="2"/>
      <c r="K185" s="2" t="s">
        <v>479</v>
      </c>
      <c r="L185" s="12">
        <v>240.0</v>
      </c>
      <c r="M185" s="2" t="s">
        <v>480</v>
      </c>
      <c r="N185" s="2" t="str">
        <f>IFERROR(__xludf.DUMMYFUNCTION("""COMPUTED_VALUE"""),"")</f>
        <v/>
      </c>
    </row>
    <row r="186">
      <c r="A186" s="2" t="s">
        <v>33</v>
      </c>
      <c r="B186" s="12">
        <v>173652.0</v>
      </c>
      <c r="C186" s="12">
        <v>174356.0</v>
      </c>
      <c r="D186" s="2"/>
      <c r="E186" s="2" t="s">
        <v>38</v>
      </c>
      <c r="F186" s="2" t="s">
        <v>481</v>
      </c>
      <c r="G186" s="2"/>
      <c r="H186" s="12">
        <v>0.0</v>
      </c>
      <c r="I186" s="2" t="s">
        <v>40</v>
      </c>
      <c r="J186" s="2"/>
      <c r="K186" s="2" t="s">
        <v>482</v>
      </c>
      <c r="L186" s="12">
        <v>234.0</v>
      </c>
      <c r="M186" s="2" t="s">
        <v>483</v>
      </c>
      <c r="N186" s="2" t="str">
        <f>IFERROR(__xludf.DUMMYFUNCTION("""COMPUTED_VALUE"""),"")</f>
        <v/>
      </c>
    </row>
    <row r="187">
      <c r="A187" s="2" t="s">
        <v>33</v>
      </c>
      <c r="B187" s="12">
        <v>174678.0</v>
      </c>
      <c r="C187" s="12">
        <v>189458.0</v>
      </c>
      <c r="D187" s="2"/>
      <c r="E187" s="2" t="s">
        <v>38</v>
      </c>
      <c r="F187" s="2" t="s">
        <v>484</v>
      </c>
      <c r="G187" s="2"/>
      <c r="H187" s="12">
        <v>0.0</v>
      </c>
      <c r="I187" s="2" t="s">
        <v>40</v>
      </c>
      <c r="J187" s="2"/>
      <c r="K187" s="2" t="s">
        <v>485</v>
      </c>
      <c r="L187" s="12">
        <v>4926.0</v>
      </c>
      <c r="M187" s="2" t="s">
        <v>486</v>
      </c>
      <c r="N187" s="2" t="str">
        <f>IFERROR(__xludf.DUMMYFUNCTION("""COMPUTED_VALUE"""),"")</f>
        <v/>
      </c>
    </row>
    <row r="188">
      <c r="A188" s="2" t="s">
        <v>33</v>
      </c>
      <c r="B188" s="12">
        <v>189557.0</v>
      </c>
      <c r="C188" s="12">
        <v>196026.0</v>
      </c>
      <c r="D188" s="2"/>
      <c r="E188" s="2" t="s">
        <v>38</v>
      </c>
      <c r="F188" s="2" t="s">
        <v>35</v>
      </c>
      <c r="G188" s="2"/>
      <c r="H188" s="12">
        <v>0.0</v>
      </c>
      <c r="I188" s="2" t="s">
        <v>36</v>
      </c>
      <c r="J188" s="2"/>
      <c r="K188" s="2"/>
      <c r="L188" s="2"/>
      <c r="M188" s="2" t="s">
        <v>487</v>
      </c>
      <c r="N188" s="2" t="str">
        <f>IFERROR(__xludf.DUMMYFUNCTION("""COMPUTED_VALUE"""),"")</f>
        <v/>
      </c>
    </row>
    <row r="189">
      <c r="A189" s="2" t="s">
        <v>33</v>
      </c>
      <c r="B189" s="12">
        <v>196029.0</v>
      </c>
      <c r="C189" s="12">
        <v>200581.0</v>
      </c>
      <c r="D189" s="2"/>
      <c r="E189" s="2" t="s">
        <v>38</v>
      </c>
      <c r="F189" s="2" t="s">
        <v>35</v>
      </c>
      <c r="G189" s="2"/>
      <c r="H189" s="12">
        <v>0.0</v>
      </c>
      <c r="I189" s="2" t="s">
        <v>36</v>
      </c>
      <c r="J189" s="2"/>
      <c r="K189" s="2"/>
      <c r="L189" s="2"/>
      <c r="M189" s="2" t="s">
        <v>488</v>
      </c>
      <c r="N189" s="2" t="str">
        <f>IFERROR(__xludf.DUMMYFUNCTION("""COMPUTED_VALUE"""),"")</f>
        <v/>
      </c>
    </row>
    <row r="190">
      <c r="A190" s="2" t="s">
        <v>33</v>
      </c>
      <c r="B190" s="12">
        <v>200595.0</v>
      </c>
      <c r="C190" s="12">
        <v>201848.0</v>
      </c>
      <c r="D190" s="2"/>
      <c r="E190" s="2" t="s">
        <v>38</v>
      </c>
      <c r="F190" s="2" t="s">
        <v>88</v>
      </c>
      <c r="G190" s="2"/>
      <c r="H190" s="12">
        <v>0.0</v>
      </c>
      <c r="I190" s="2" t="s">
        <v>40</v>
      </c>
      <c r="J190" s="2"/>
      <c r="K190" s="2" t="s">
        <v>489</v>
      </c>
      <c r="L190" s="12">
        <v>417.0</v>
      </c>
      <c r="M190" s="2" t="s">
        <v>490</v>
      </c>
      <c r="N190" s="2" t="str">
        <f>IFERROR(__xludf.DUMMYFUNCTION("""COMPUTED_VALUE"""),"")</f>
        <v/>
      </c>
    </row>
    <row r="191">
      <c r="A191" s="2" t="s">
        <v>33</v>
      </c>
      <c r="B191" s="12">
        <v>202907.0</v>
      </c>
      <c r="C191" s="12">
        <v>203497.0</v>
      </c>
      <c r="D191" s="2"/>
      <c r="E191" s="2" t="s">
        <v>38</v>
      </c>
      <c r="F191" s="2" t="s">
        <v>491</v>
      </c>
      <c r="G191" s="2"/>
      <c r="H191" s="12">
        <v>0.0</v>
      </c>
      <c r="I191" s="2" t="s">
        <v>40</v>
      </c>
      <c r="J191" s="2"/>
      <c r="K191" s="2" t="s">
        <v>492</v>
      </c>
      <c r="L191" s="12">
        <v>196.0</v>
      </c>
      <c r="M191" s="2" t="s">
        <v>493</v>
      </c>
      <c r="N191" s="2" t="str">
        <f>IFERROR(__xludf.DUMMYFUNCTION("""COMPUTED_VALUE"""),"")</f>
        <v/>
      </c>
    </row>
    <row r="192">
      <c r="A192" s="2" t="s">
        <v>33</v>
      </c>
      <c r="B192" s="12">
        <v>203699.0</v>
      </c>
      <c r="C192" s="12">
        <v>203824.0</v>
      </c>
      <c r="D192" s="2"/>
      <c r="E192" s="2" t="s">
        <v>38</v>
      </c>
      <c r="F192" s="2" t="s">
        <v>35</v>
      </c>
      <c r="G192" s="2"/>
      <c r="H192" s="12">
        <v>0.0</v>
      </c>
      <c r="I192" s="2" t="s">
        <v>36</v>
      </c>
      <c r="J192" s="2"/>
      <c r="K192" s="2"/>
      <c r="L192" s="2"/>
      <c r="M192" s="2" t="s">
        <v>494</v>
      </c>
      <c r="N192" s="2" t="str">
        <f>IFERROR(__xludf.DUMMYFUNCTION("""COMPUTED_VALUE"""),"")</f>
        <v/>
      </c>
    </row>
    <row r="193">
      <c r="A193" s="2" t="s">
        <v>33</v>
      </c>
      <c r="B193" s="12">
        <v>203917.0</v>
      </c>
      <c r="C193" s="12">
        <v>205231.0</v>
      </c>
      <c r="D193" s="2"/>
      <c r="E193" s="2" t="s">
        <v>38</v>
      </c>
      <c r="F193" s="2" t="s">
        <v>35</v>
      </c>
      <c r="G193" s="2"/>
      <c r="H193" s="12">
        <v>0.0</v>
      </c>
      <c r="I193" s="2" t="s">
        <v>36</v>
      </c>
      <c r="J193" s="2"/>
      <c r="K193" s="2"/>
      <c r="L193" s="2"/>
      <c r="M193" s="2" t="s">
        <v>495</v>
      </c>
      <c r="N193" s="2" t="str">
        <f>IFERROR(__xludf.DUMMYFUNCTION("""COMPUTED_VALUE"""),"")</f>
        <v/>
      </c>
    </row>
    <row r="194">
      <c r="A194" s="2" t="s">
        <v>33</v>
      </c>
      <c r="B194" s="12">
        <v>205563.0</v>
      </c>
      <c r="C194" s="12">
        <v>206222.0</v>
      </c>
      <c r="D194" s="2"/>
      <c r="E194" s="2" t="s">
        <v>38</v>
      </c>
      <c r="F194" s="2" t="s">
        <v>496</v>
      </c>
      <c r="G194" s="2"/>
      <c r="H194" s="12">
        <v>0.0</v>
      </c>
      <c r="I194" s="2" t="s">
        <v>40</v>
      </c>
      <c r="J194" s="2"/>
      <c r="K194" s="2" t="s">
        <v>497</v>
      </c>
      <c r="L194" s="12">
        <v>219.0</v>
      </c>
      <c r="M194" s="2" t="s">
        <v>498</v>
      </c>
      <c r="N194" s="2" t="str">
        <f>IFERROR(__xludf.DUMMYFUNCTION("""COMPUTED_VALUE"""),"")</f>
        <v/>
      </c>
    </row>
    <row r="195">
      <c r="A195" s="2" t="s">
        <v>33</v>
      </c>
      <c r="B195" s="12">
        <v>206476.0</v>
      </c>
      <c r="C195" s="12">
        <v>207234.0</v>
      </c>
      <c r="D195" s="2"/>
      <c r="E195" s="2" t="s">
        <v>38</v>
      </c>
      <c r="F195" s="2" t="s">
        <v>499</v>
      </c>
      <c r="G195" s="2"/>
      <c r="H195" s="12">
        <v>0.0</v>
      </c>
      <c r="I195" s="2" t="s">
        <v>40</v>
      </c>
      <c r="J195" s="2"/>
      <c r="K195" s="2" t="s">
        <v>500</v>
      </c>
      <c r="L195" s="12">
        <v>252.0</v>
      </c>
      <c r="M195" s="2" t="s">
        <v>501</v>
      </c>
      <c r="N195" s="2" t="str">
        <f>IFERROR(__xludf.DUMMYFUNCTION("""COMPUTED_VALUE"""),"")</f>
        <v/>
      </c>
    </row>
    <row r="196">
      <c r="A196" s="2" t="s">
        <v>33</v>
      </c>
      <c r="B196" s="12">
        <v>207302.0</v>
      </c>
      <c r="C196" s="12">
        <v>208552.0</v>
      </c>
      <c r="D196" s="2"/>
      <c r="E196" s="2" t="s">
        <v>38</v>
      </c>
      <c r="F196" s="2" t="s">
        <v>39</v>
      </c>
      <c r="G196" s="2"/>
      <c r="H196" s="12">
        <v>0.0</v>
      </c>
      <c r="I196" s="2" t="s">
        <v>40</v>
      </c>
      <c r="J196" s="2"/>
      <c r="K196" s="2" t="s">
        <v>502</v>
      </c>
      <c r="L196" s="12">
        <v>416.0</v>
      </c>
      <c r="M196" s="2" t="s">
        <v>503</v>
      </c>
      <c r="N196" s="2" t="str">
        <f>IFERROR(__xludf.DUMMYFUNCTION("""COMPUTED_VALUE"""),"")</f>
        <v/>
      </c>
    </row>
    <row r="197">
      <c r="A197" s="2" t="s">
        <v>33</v>
      </c>
      <c r="B197" s="12">
        <v>209166.0</v>
      </c>
      <c r="C197" s="12">
        <v>209444.0</v>
      </c>
      <c r="D197" s="2"/>
      <c r="E197" s="2" t="s">
        <v>38</v>
      </c>
      <c r="F197" s="2" t="s">
        <v>504</v>
      </c>
      <c r="G197" s="2"/>
      <c r="H197" s="12">
        <v>0.0</v>
      </c>
      <c r="I197" s="2" t="s">
        <v>40</v>
      </c>
      <c r="J197" s="2"/>
      <c r="K197" s="2" t="s">
        <v>505</v>
      </c>
      <c r="L197" s="12">
        <v>92.0</v>
      </c>
      <c r="M197" s="2" t="s">
        <v>506</v>
      </c>
      <c r="N197" s="2" t="str">
        <f>IFERROR(__xludf.DUMMYFUNCTION("""COMPUTED_VALUE"""),"")</f>
        <v/>
      </c>
    </row>
    <row r="198">
      <c r="A198" s="2" t="s">
        <v>33</v>
      </c>
      <c r="B198" s="12">
        <v>209585.0</v>
      </c>
      <c r="C198" s="12">
        <v>210464.0</v>
      </c>
      <c r="D198" s="2"/>
      <c r="E198" s="2" t="s">
        <v>38</v>
      </c>
      <c r="F198" s="2" t="s">
        <v>35</v>
      </c>
      <c r="G198" s="2"/>
      <c r="H198" s="12">
        <v>0.0</v>
      </c>
      <c r="I198" s="2" t="s">
        <v>36</v>
      </c>
      <c r="J198" s="2"/>
      <c r="K198" s="2"/>
      <c r="L198" s="2"/>
      <c r="M198" s="2" t="s">
        <v>507</v>
      </c>
      <c r="N198" s="2" t="str">
        <f>IFERROR(__xludf.DUMMYFUNCTION("""COMPUTED_VALUE"""),"")</f>
        <v/>
      </c>
    </row>
    <row r="199">
      <c r="A199" s="2" t="s">
        <v>33</v>
      </c>
      <c r="B199" s="12">
        <v>210839.0</v>
      </c>
      <c r="C199" s="12">
        <v>211090.0</v>
      </c>
      <c r="D199" s="2"/>
      <c r="E199" s="2" t="s">
        <v>34</v>
      </c>
      <c r="F199" s="2" t="s">
        <v>379</v>
      </c>
      <c r="G199" s="2"/>
      <c r="H199" s="12">
        <v>0.0</v>
      </c>
      <c r="I199" s="2" t="s">
        <v>40</v>
      </c>
      <c r="J199" s="2"/>
      <c r="K199" s="2" t="s">
        <v>508</v>
      </c>
      <c r="L199" s="12">
        <v>83.0</v>
      </c>
      <c r="M199" s="2" t="s">
        <v>509</v>
      </c>
      <c r="N199" s="2" t="str">
        <f>IFERROR(__xludf.DUMMYFUNCTION("""COMPUTED_VALUE"""),"")</f>
        <v/>
      </c>
    </row>
    <row r="200">
      <c r="A200" s="2" t="s">
        <v>33</v>
      </c>
      <c r="B200" s="12">
        <v>211334.0</v>
      </c>
      <c r="C200" s="12">
        <v>211936.0</v>
      </c>
      <c r="D200" s="2"/>
      <c r="E200" s="2" t="s">
        <v>38</v>
      </c>
      <c r="F200" s="2" t="s">
        <v>39</v>
      </c>
      <c r="G200" s="2"/>
      <c r="H200" s="12">
        <v>0.0</v>
      </c>
      <c r="I200" s="2" t="s">
        <v>40</v>
      </c>
      <c r="J200" s="2"/>
      <c r="K200" s="2" t="s">
        <v>510</v>
      </c>
      <c r="L200" s="12">
        <v>200.0</v>
      </c>
      <c r="M200" s="2" t="s">
        <v>511</v>
      </c>
      <c r="N200" s="2" t="str">
        <f>IFERROR(__xludf.DUMMYFUNCTION("""COMPUTED_VALUE"""),"")</f>
        <v/>
      </c>
    </row>
    <row r="201">
      <c r="A201" s="2" t="s">
        <v>33</v>
      </c>
      <c r="B201" s="12">
        <v>211962.0</v>
      </c>
      <c r="C201" s="12">
        <v>212771.0</v>
      </c>
      <c r="D201" s="2"/>
      <c r="E201" s="2" t="s">
        <v>38</v>
      </c>
      <c r="F201" s="2" t="s">
        <v>512</v>
      </c>
      <c r="G201" s="2"/>
      <c r="H201" s="12">
        <v>0.0</v>
      </c>
      <c r="I201" s="2" t="s">
        <v>40</v>
      </c>
      <c r="J201" s="2"/>
      <c r="K201" s="2" t="s">
        <v>513</v>
      </c>
      <c r="L201" s="12">
        <v>269.0</v>
      </c>
      <c r="M201" s="2" t="s">
        <v>514</v>
      </c>
      <c r="N201" s="2" t="str">
        <f>IFERROR(__xludf.DUMMYFUNCTION("""COMPUTED_VALUE"""),"")</f>
        <v/>
      </c>
    </row>
    <row r="202">
      <c r="A202" s="2" t="s">
        <v>33</v>
      </c>
      <c r="B202" s="12">
        <v>213017.0</v>
      </c>
      <c r="C202" s="12">
        <v>214486.0</v>
      </c>
      <c r="D202" s="2"/>
      <c r="E202" s="2" t="s">
        <v>38</v>
      </c>
      <c r="F202" s="2" t="s">
        <v>515</v>
      </c>
      <c r="G202" s="2" t="s">
        <v>516</v>
      </c>
      <c r="H202" s="12">
        <v>0.0</v>
      </c>
      <c r="I202" s="2" t="s">
        <v>40</v>
      </c>
      <c r="J202" s="2"/>
      <c r="K202" s="2" t="s">
        <v>517</v>
      </c>
      <c r="L202" s="12">
        <v>489.0</v>
      </c>
      <c r="M202" s="2" t="s">
        <v>518</v>
      </c>
      <c r="N202" s="2" t="str">
        <f>IFERROR(__xludf.DUMMYFUNCTION("""COMPUTED_VALUE"""),"")</f>
        <v/>
      </c>
    </row>
    <row r="203">
      <c r="A203" s="2" t="s">
        <v>33</v>
      </c>
      <c r="B203" s="12">
        <v>214698.0</v>
      </c>
      <c r="C203" s="12">
        <v>215087.0</v>
      </c>
      <c r="D203" s="2"/>
      <c r="E203" s="2" t="s">
        <v>34</v>
      </c>
      <c r="F203" s="2" t="s">
        <v>519</v>
      </c>
      <c r="G203" s="2"/>
      <c r="H203" s="12">
        <v>0.0</v>
      </c>
      <c r="I203" s="2" t="s">
        <v>40</v>
      </c>
      <c r="J203" s="2"/>
      <c r="K203" s="2" t="s">
        <v>520</v>
      </c>
      <c r="L203" s="12">
        <v>129.0</v>
      </c>
      <c r="M203" s="2" t="s">
        <v>521</v>
      </c>
      <c r="N203" s="2" t="str">
        <f>IFERROR(__xludf.DUMMYFUNCTION("""COMPUTED_VALUE"""),"")</f>
        <v/>
      </c>
    </row>
    <row r="204">
      <c r="A204" s="2" t="s">
        <v>33</v>
      </c>
      <c r="B204" s="12">
        <v>215107.0</v>
      </c>
      <c r="C204" s="12">
        <v>215283.0</v>
      </c>
      <c r="D204" s="2"/>
      <c r="E204" s="2" t="s">
        <v>38</v>
      </c>
      <c r="F204" s="2" t="s">
        <v>522</v>
      </c>
      <c r="G204" s="2" t="s">
        <v>523</v>
      </c>
      <c r="H204" s="12">
        <v>0.0</v>
      </c>
      <c r="I204" s="2" t="s">
        <v>40</v>
      </c>
      <c r="J204" s="2"/>
      <c r="K204" s="2" t="s">
        <v>524</v>
      </c>
      <c r="L204" s="12">
        <v>58.0</v>
      </c>
      <c r="M204" s="2" t="s">
        <v>525</v>
      </c>
      <c r="N204" s="2" t="str">
        <f>IFERROR(__xludf.DUMMYFUNCTION("""COMPUTED_VALUE"""),"")</f>
        <v/>
      </c>
    </row>
    <row r="205">
      <c r="A205" s="2" t="s">
        <v>33</v>
      </c>
      <c r="B205" s="12">
        <v>215363.0</v>
      </c>
      <c r="C205" s="12">
        <v>215485.0</v>
      </c>
      <c r="D205" s="2"/>
      <c r="E205" s="2" t="s">
        <v>38</v>
      </c>
      <c r="F205" s="2" t="s">
        <v>35</v>
      </c>
      <c r="G205" s="2"/>
      <c r="H205" s="12">
        <v>0.0</v>
      </c>
      <c r="I205" s="2" t="s">
        <v>36</v>
      </c>
      <c r="J205" s="2"/>
      <c r="K205" s="2"/>
      <c r="L205" s="2"/>
      <c r="M205" s="2" t="s">
        <v>526</v>
      </c>
      <c r="N205" s="2" t="str">
        <f>IFERROR(__xludf.DUMMYFUNCTION("""COMPUTED_VALUE"""),"")</f>
        <v/>
      </c>
    </row>
    <row r="206">
      <c r="A206" s="2" t="s">
        <v>33</v>
      </c>
      <c r="B206" s="12">
        <v>215598.0</v>
      </c>
      <c r="C206" s="12">
        <v>216335.0</v>
      </c>
      <c r="D206" s="2"/>
      <c r="E206" s="2" t="s">
        <v>38</v>
      </c>
      <c r="F206" s="2" t="s">
        <v>527</v>
      </c>
      <c r="G206" s="2"/>
      <c r="H206" s="12">
        <v>0.0</v>
      </c>
      <c r="I206" s="2" t="s">
        <v>40</v>
      </c>
      <c r="J206" s="2"/>
      <c r="K206" s="2" t="s">
        <v>528</v>
      </c>
      <c r="L206" s="12">
        <v>245.0</v>
      </c>
      <c r="M206" s="2" t="s">
        <v>529</v>
      </c>
      <c r="N206" s="2" t="str">
        <f>IFERROR(__xludf.DUMMYFUNCTION("""COMPUTED_VALUE"""),"")</f>
        <v/>
      </c>
    </row>
    <row r="207">
      <c r="A207" s="2" t="s">
        <v>33</v>
      </c>
      <c r="B207" s="12">
        <v>216574.0</v>
      </c>
      <c r="C207" s="12">
        <v>217311.0</v>
      </c>
      <c r="D207" s="2"/>
      <c r="E207" s="2" t="s">
        <v>38</v>
      </c>
      <c r="F207" s="2" t="s">
        <v>530</v>
      </c>
      <c r="G207" s="2" t="s">
        <v>531</v>
      </c>
      <c r="H207" s="12">
        <v>0.0</v>
      </c>
      <c r="I207" s="2" t="s">
        <v>40</v>
      </c>
      <c r="J207" s="2"/>
      <c r="K207" s="2" t="s">
        <v>532</v>
      </c>
      <c r="L207" s="12">
        <v>245.0</v>
      </c>
      <c r="M207" s="2" t="s">
        <v>533</v>
      </c>
      <c r="N207" s="2" t="str">
        <f>IFERROR(__xludf.DUMMYFUNCTION("""COMPUTED_VALUE"""),"")</f>
        <v/>
      </c>
    </row>
    <row r="208">
      <c r="A208" s="2" t="s">
        <v>33</v>
      </c>
      <c r="B208" s="12">
        <v>217478.0</v>
      </c>
      <c r="C208" s="12">
        <v>217960.0</v>
      </c>
      <c r="D208" s="2"/>
      <c r="E208" s="2" t="s">
        <v>38</v>
      </c>
      <c r="F208" s="2" t="s">
        <v>534</v>
      </c>
      <c r="G208" s="2"/>
      <c r="H208" s="12">
        <v>0.0</v>
      </c>
      <c r="I208" s="2" t="s">
        <v>40</v>
      </c>
      <c r="J208" s="2"/>
      <c r="K208" s="2" t="s">
        <v>535</v>
      </c>
      <c r="L208" s="12">
        <v>160.0</v>
      </c>
      <c r="M208" s="2" t="s">
        <v>536</v>
      </c>
      <c r="N208" s="2" t="str">
        <f>IFERROR(__xludf.DUMMYFUNCTION("""COMPUTED_VALUE"""),"")</f>
        <v/>
      </c>
    </row>
    <row r="209">
      <c r="A209" s="2" t="s">
        <v>33</v>
      </c>
      <c r="B209" s="12">
        <v>218068.0</v>
      </c>
      <c r="C209" s="12">
        <v>219753.0</v>
      </c>
      <c r="D209" s="2"/>
      <c r="E209" s="2" t="s">
        <v>34</v>
      </c>
      <c r="F209" s="2" t="s">
        <v>537</v>
      </c>
      <c r="G209" s="2"/>
      <c r="H209" s="12">
        <v>0.0</v>
      </c>
      <c r="I209" s="2" t="s">
        <v>40</v>
      </c>
      <c r="J209" s="2"/>
      <c r="K209" s="2" t="s">
        <v>538</v>
      </c>
      <c r="L209" s="12">
        <v>561.0</v>
      </c>
      <c r="M209" s="2" t="s">
        <v>539</v>
      </c>
      <c r="N209" s="2" t="str">
        <f>IFERROR(__xludf.DUMMYFUNCTION("""COMPUTED_VALUE"""),"")</f>
        <v/>
      </c>
    </row>
    <row r="210">
      <c r="A210" s="2" t="s">
        <v>33</v>
      </c>
      <c r="B210" s="12">
        <v>219911.0</v>
      </c>
      <c r="C210" s="12">
        <v>220291.0</v>
      </c>
      <c r="D210" s="2"/>
      <c r="E210" s="2" t="s">
        <v>38</v>
      </c>
      <c r="F210" s="2" t="s">
        <v>35</v>
      </c>
      <c r="G210" s="2"/>
      <c r="H210" s="12">
        <v>0.0</v>
      </c>
      <c r="I210" s="2" t="s">
        <v>36</v>
      </c>
      <c r="J210" s="2"/>
      <c r="K210" s="2"/>
      <c r="L210" s="2"/>
      <c r="M210" s="2" t="s">
        <v>540</v>
      </c>
      <c r="N210" s="2" t="str">
        <f>IFERROR(__xludf.DUMMYFUNCTION("""COMPUTED_VALUE"""),"")</f>
        <v/>
      </c>
    </row>
    <row r="211">
      <c r="A211" s="2" t="s">
        <v>33</v>
      </c>
      <c r="B211" s="12">
        <v>220315.0</v>
      </c>
      <c r="C211" s="12">
        <v>220722.0</v>
      </c>
      <c r="D211" s="2"/>
      <c r="E211" s="2" t="s">
        <v>38</v>
      </c>
      <c r="F211" s="2" t="s">
        <v>541</v>
      </c>
      <c r="G211" s="2"/>
      <c r="H211" s="12">
        <v>0.0</v>
      </c>
      <c r="I211" s="2" t="s">
        <v>40</v>
      </c>
      <c r="J211" s="2"/>
      <c r="K211" s="2" t="s">
        <v>542</v>
      </c>
      <c r="L211" s="12">
        <v>135.0</v>
      </c>
      <c r="M211" s="2" t="s">
        <v>543</v>
      </c>
      <c r="N211" s="2" t="str">
        <f>IFERROR(__xludf.DUMMYFUNCTION("""COMPUTED_VALUE"""),"")</f>
        <v/>
      </c>
    </row>
    <row r="212">
      <c r="A212" s="2" t="s">
        <v>33</v>
      </c>
      <c r="B212" s="12">
        <v>220840.0</v>
      </c>
      <c r="C212" s="12">
        <v>221550.0</v>
      </c>
      <c r="D212" s="2"/>
      <c r="E212" s="2" t="s">
        <v>38</v>
      </c>
      <c r="F212" s="2" t="s">
        <v>289</v>
      </c>
      <c r="G212" s="2"/>
      <c r="H212" s="12">
        <v>0.0</v>
      </c>
      <c r="I212" s="2" t="s">
        <v>40</v>
      </c>
      <c r="J212" s="2"/>
      <c r="K212" s="2" t="s">
        <v>544</v>
      </c>
      <c r="L212" s="12">
        <v>236.0</v>
      </c>
      <c r="M212" s="2" t="s">
        <v>545</v>
      </c>
      <c r="N212" s="2" t="str">
        <f>IFERROR(__xludf.DUMMYFUNCTION("""COMPUTED_VALUE"""),"")</f>
        <v/>
      </c>
    </row>
    <row r="213">
      <c r="A213" s="2" t="s">
        <v>33</v>
      </c>
      <c r="B213" s="12">
        <v>221650.0</v>
      </c>
      <c r="C213" s="12">
        <v>221790.0</v>
      </c>
      <c r="D213" s="2"/>
      <c r="E213" s="2" t="s">
        <v>38</v>
      </c>
      <c r="F213" s="2" t="s">
        <v>35</v>
      </c>
      <c r="G213" s="2"/>
      <c r="H213" s="12">
        <v>0.0</v>
      </c>
      <c r="I213" s="2" t="s">
        <v>36</v>
      </c>
      <c r="J213" s="2"/>
      <c r="K213" s="2"/>
      <c r="L213" s="2"/>
      <c r="M213" s="2" t="s">
        <v>546</v>
      </c>
      <c r="N213" s="2" t="str">
        <f>IFERROR(__xludf.DUMMYFUNCTION("""COMPUTED_VALUE"""),"")</f>
        <v/>
      </c>
    </row>
    <row r="214">
      <c r="A214" s="2" t="s">
        <v>33</v>
      </c>
      <c r="B214" s="12">
        <v>222283.0</v>
      </c>
      <c r="C214" s="12">
        <v>222756.0</v>
      </c>
      <c r="D214" s="2"/>
      <c r="E214" s="2" t="s">
        <v>34</v>
      </c>
      <c r="F214" s="2" t="s">
        <v>39</v>
      </c>
      <c r="G214" s="2"/>
      <c r="H214" s="12">
        <v>0.0</v>
      </c>
      <c r="I214" s="2" t="s">
        <v>40</v>
      </c>
      <c r="J214" s="2"/>
      <c r="K214" s="2" t="s">
        <v>547</v>
      </c>
      <c r="L214" s="12">
        <v>157.0</v>
      </c>
      <c r="M214" s="2" t="s">
        <v>548</v>
      </c>
      <c r="N214" s="2" t="str">
        <f>IFERROR(__xludf.DUMMYFUNCTION("""COMPUTED_VALUE"""),"")</f>
        <v/>
      </c>
    </row>
    <row r="215">
      <c r="A215" s="2" t="s">
        <v>33</v>
      </c>
      <c r="B215" s="12">
        <v>223304.0</v>
      </c>
      <c r="C215" s="12">
        <v>224188.0</v>
      </c>
      <c r="D215" s="2"/>
      <c r="E215" s="2" t="s">
        <v>38</v>
      </c>
      <c r="F215" s="2" t="s">
        <v>549</v>
      </c>
      <c r="G215" s="2"/>
      <c r="H215" s="12">
        <v>0.0</v>
      </c>
      <c r="I215" s="2" t="s">
        <v>40</v>
      </c>
      <c r="J215" s="2"/>
      <c r="K215" s="2" t="s">
        <v>550</v>
      </c>
      <c r="L215" s="12">
        <v>294.0</v>
      </c>
      <c r="M215" s="2" t="s">
        <v>551</v>
      </c>
      <c r="N215" s="2" t="str">
        <f>IFERROR(__xludf.DUMMYFUNCTION("""COMPUTED_VALUE"""),"")</f>
        <v/>
      </c>
    </row>
    <row r="216">
      <c r="A216" s="2" t="s">
        <v>33</v>
      </c>
      <c r="B216" s="12">
        <v>224315.0</v>
      </c>
      <c r="C216" s="12">
        <v>225016.0</v>
      </c>
      <c r="D216" s="2"/>
      <c r="E216" s="2" t="s">
        <v>38</v>
      </c>
      <c r="F216" s="2" t="s">
        <v>552</v>
      </c>
      <c r="G216" s="2"/>
      <c r="H216" s="12">
        <v>0.0</v>
      </c>
      <c r="I216" s="2" t="s">
        <v>40</v>
      </c>
      <c r="J216" s="2"/>
      <c r="K216" s="2" t="s">
        <v>553</v>
      </c>
      <c r="L216" s="12">
        <v>233.0</v>
      </c>
      <c r="M216" s="2" t="s">
        <v>554</v>
      </c>
      <c r="N216" s="2" t="str">
        <f>IFERROR(__xludf.DUMMYFUNCTION("""COMPUTED_VALUE"""),"")</f>
        <v/>
      </c>
    </row>
    <row r="217">
      <c r="A217" s="2" t="s">
        <v>33</v>
      </c>
      <c r="B217" s="12">
        <v>226087.0</v>
      </c>
      <c r="C217" s="12">
        <v>227766.0</v>
      </c>
      <c r="D217" s="2"/>
      <c r="E217" s="2" t="s">
        <v>38</v>
      </c>
      <c r="F217" s="2" t="s">
        <v>555</v>
      </c>
      <c r="G217" s="2"/>
      <c r="H217" s="12">
        <v>0.0</v>
      </c>
      <c r="I217" s="2" t="s">
        <v>40</v>
      </c>
      <c r="J217" s="2"/>
      <c r="K217" s="2" t="s">
        <v>556</v>
      </c>
      <c r="L217" s="12">
        <v>559.0</v>
      </c>
      <c r="M217" s="2" t="s">
        <v>557</v>
      </c>
      <c r="N217" s="2" t="str">
        <f>IFERROR(__xludf.DUMMYFUNCTION("""COMPUTED_VALUE"""),"")</f>
        <v/>
      </c>
    </row>
    <row r="218">
      <c r="A218" s="2" t="s">
        <v>33</v>
      </c>
      <c r="B218" s="12">
        <v>227808.0</v>
      </c>
      <c r="C218" s="12">
        <v>228113.0</v>
      </c>
      <c r="D218" s="2"/>
      <c r="E218" s="2" t="s">
        <v>38</v>
      </c>
      <c r="F218" s="2" t="s">
        <v>35</v>
      </c>
      <c r="G218" s="2"/>
      <c r="H218" s="12">
        <v>0.0</v>
      </c>
      <c r="I218" s="2" t="s">
        <v>36</v>
      </c>
      <c r="J218" s="2"/>
      <c r="K218" s="2"/>
      <c r="L218" s="2"/>
      <c r="M218" s="2" t="s">
        <v>558</v>
      </c>
      <c r="N218" s="2" t="str">
        <f>IFERROR(__xludf.DUMMYFUNCTION("""COMPUTED_VALUE"""),"")</f>
        <v/>
      </c>
    </row>
    <row r="219">
      <c r="A219" s="2" t="s">
        <v>33</v>
      </c>
      <c r="B219" s="12">
        <v>228384.0</v>
      </c>
      <c r="C219" s="12">
        <v>228816.0</v>
      </c>
      <c r="D219" s="2"/>
      <c r="E219" s="2" t="s">
        <v>38</v>
      </c>
      <c r="F219" s="2" t="s">
        <v>35</v>
      </c>
      <c r="G219" s="2"/>
      <c r="H219" s="12">
        <v>0.0</v>
      </c>
      <c r="I219" s="2" t="s">
        <v>36</v>
      </c>
      <c r="J219" s="2"/>
      <c r="K219" s="2"/>
      <c r="L219" s="2"/>
      <c r="M219" s="2" t="s">
        <v>559</v>
      </c>
      <c r="N219" s="2" t="str">
        <f>IFERROR(__xludf.DUMMYFUNCTION("""COMPUTED_VALUE"""),"")</f>
        <v/>
      </c>
    </row>
    <row r="220">
      <c r="A220" s="2" t="s">
        <v>33</v>
      </c>
      <c r="B220" s="12">
        <v>228945.0</v>
      </c>
      <c r="C220" s="12">
        <v>229070.0</v>
      </c>
      <c r="D220" s="2"/>
      <c r="E220" s="2" t="s">
        <v>38</v>
      </c>
      <c r="F220" s="2" t="s">
        <v>560</v>
      </c>
      <c r="G220" s="2"/>
      <c r="H220" s="12">
        <v>0.0</v>
      </c>
      <c r="I220" s="2" t="s">
        <v>40</v>
      </c>
      <c r="J220" s="2"/>
      <c r="K220" s="2" t="s">
        <v>561</v>
      </c>
      <c r="L220" s="12">
        <v>41.0</v>
      </c>
      <c r="M220" s="2" t="s">
        <v>562</v>
      </c>
      <c r="N220" s="2" t="str">
        <f>IFERROR(__xludf.DUMMYFUNCTION("""COMPUTED_VALUE"""),"")</f>
        <v/>
      </c>
    </row>
    <row r="221">
      <c r="A221" s="2" t="s">
        <v>33</v>
      </c>
      <c r="B221" s="12">
        <v>229111.0</v>
      </c>
      <c r="C221" s="12">
        <v>229221.0</v>
      </c>
      <c r="D221" s="2"/>
      <c r="E221" s="2" t="s">
        <v>38</v>
      </c>
      <c r="F221" s="2" t="s">
        <v>560</v>
      </c>
      <c r="G221" s="2"/>
      <c r="H221" s="12">
        <v>0.0</v>
      </c>
      <c r="I221" s="2" t="s">
        <v>40</v>
      </c>
      <c r="J221" s="2"/>
      <c r="K221" s="2" t="s">
        <v>563</v>
      </c>
      <c r="L221" s="12">
        <v>36.0</v>
      </c>
      <c r="M221" s="2" t="s">
        <v>564</v>
      </c>
      <c r="N221" s="2" t="str">
        <f>IFERROR(__xludf.DUMMYFUNCTION("""COMPUTED_VALUE"""),"")</f>
        <v/>
      </c>
    </row>
    <row r="222">
      <c r="A222" s="2" t="s">
        <v>33</v>
      </c>
      <c r="B222" s="12">
        <v>229893.0</v>
      </c>
      <c r="C222" s="12">
        <v>231857.0</v>
      </c>
      <c r="D222" s="2"/>
      <c r="E222" s="2" t="s">
        <v>38</v>
      </c>
      <c r="F222" s="2" t="s">
        <v>565</v>
      </c>
      <c r="G222" s="2"/>
      <c r="H222" s="12">
        <v>0.0</v>
      </c>
      <c r="I222" s="2" t="s">
        <v>40</v>
      </c>
      <c r="J222" s="2"/>
      <c r="K222" s="2" t="s">
        <v>566</v>
      </c>
      <c r="L222" s="12">
        <v>654.0</v>
      </c>
      <c r="M222" s="2" t="s">
        <v>567</v>
      </c>
      <c r="N222" s="2" t="str">
        <f>IFERROR(__xludf.DUMMYFUNCTION("""COMPUTED_VALUE"""),"")</f>
        <v/>
      </c>
    </row>
    <row r="223">
      <c r="A223" s="2" t="s">
        <v>33</v>
      </c>
      <c r="B223" s="12">
        <v>232190.0</v>
      </c>
      <c r="C223" s="12">
        <v>232732.0</v>
      </c>
      <c r="D223" s="2"/>
      <c r="E223" s="2" t="s">
        <v>38</v>
      </c>
      <c r="F223" s="2" t="s">
        <v>176</v>
      </c>
      <c r="G223" s="2"/>
      <c r="H223" s="12">
        <v>0.0</v>
      </c>
      <c r="I223" s="2" t="s">
        <v>40</v>
      </c>
      <c r="J223" s="2"/>
      <c r="K223" s="2" t="s">
        <v>568</v>
      </c>
      <c r="L223" s="12">
        <v>180.0</v>
      </c>
      <c r="M223" s="2" t="s">
        <v>569</v>
      </c>
      <c r="N223" s="2" t="str">
        <f>IFERROR(__xludf.DUMMYFUNCTION("""COMPUTED_VALUE"""),"")</f>
        <v/>
      </c>
    </row>
    <row r="224">
      <c r="A224" s="2" t="s">
        <v>33</v>
      </c>
      <c r="B224" s="12">
        <v>232732.0</v>
      </c>
      <c r="C224" s="12">
        <v>233214.0</v>
      </c>
      <c r="D224" s="2"/>
      <c r="E224" s="2" t="s">
        <v>38</v>
      </c>
      <c r="F224" s="2" t="s">
        <v>179</v>
      </c>
      <c r="G224" s="2"/>
      <c r="H224" s="12">
        <v>0.0</v>
      </c>
      <c r="I224" s="2" t="s">
        <v>40</v>
      </c>
      <c r="J224" s="2"/>
      <c r="K224" s="2" t="s">
        <v>570</v>
      </c>
      <c r="L224" s="12">
        <v>160.0</v>
      </c>
      <c r="M224" s="2" t="s">
        <v>571</v>
      </c>
      <c r="N224" s="2" t="str">
        <f>IFERROR(__xludf.DUMMYFUNCTION("""COMPUTED_VALUE"""),"")</f>
        <v/>
      </c>
    </row>
    <row r="225">
      <c r="A225" s="2" t="s">
        <v>33</v>
      </c>
      <c r="B225" s="12">
        <v>233242.0</v>
      </c>
      <c r="C225" s="12">
        <v>233412.0</v>
      </c>
      <c r="D225" s="2"/>
      <c r="E225" s="2" t="s">
        <v>38</v>
      </c>
      <c r="F225" s="2" t="s">
        <v>39</v>
      </c>
      <c r="G225" s="2"/>
      <c r="H225" s="12">
        <v>0.0</v>
      </c>
      <c r="I225" s="2" t="s">
        <v>40</v>
      </c>
      <c r="J225" s="2"/>
      <c r="K225" s="2" t="s">
        <v>572</v>
      </c>
      <c r="L225" s="12">
        <v>56.0</v>
      </c>
      <c r="M225" s="2" t="s">
        <v>573</v>
      </c>
      <c r="N225" s="2" t="str">
        <f>IFERROR(__xludf.DUMMYFUNCTION("""COMPUTED_VALUE"""),"")</f>
        <v/>
      </c>
    </row>
    <row r="226">
      <c r="A226" s="2" t="s">
        <v>33</v>
      </c>
      <c r="B226" s="12">
        <v>233644.0</v>
      </c>
      <c r="C226" s="12">
        <v>233943.0</v>
      </c>
      <c r="D226" s="2"/>
      <c r="E226" s="2" t="s">
        <v>34</v>
      </c>
      <c r="F226" s="2" t="s">
        <v>39</v>
      </c>
      <c r="G226" s="2"/>
      <c r="H226" s="12">
        <v>0.0</v>
      </c>
      <c r="I226" s="2" t="s">
        <v>40</v>
      </c>
      <c r="J226" s="2"/>
      <c r="K226" s="2" t="s">
        <v>574</v>
      </c>
      <c r="L226" s="12">
        <v>99.0</v>
      </c>
      <c r="M226" s="2" t="s">
        <v>575</v>
      </c>
      <c r="N226" s="2" t="str">
        <f>IFERROR(__xludf.DUMMYFUNCTION("""COMPUTED_VALUE"""),"")</f>
        <v/>
      </c>
    </row>
    <row r="227">
      <c r="A227" s="2" t="s">
        <v>33</v>
      </c>
      <c r="B227" s="12">
        <v>235148.0</v>
      </c>
      <c r="C227" s="12">
        <v>235612.0</v>
      </c>
      <c r="D227" s="2"/>
      <c r="E227" s="2" t="s">
        <v>34</v>
      </c>
      <c r="F227" s="2" t="s">
        <v>39</v>
      </c>
      <c r="G227" s="2"/>
      <c r="H227" s="12">
        <v>0.0</v>
      </c>
      <c r="I227" s="2" t="s">
        <v>40</v>
      </c>
      <c r="J227" s="2"/>
      <c r="K227" s="2" t="s">
        <v>576</v>
      </c>
      <c r="L227" s="12">
        <v>154.0</v>
      </c>
      <c r="M227" s="2" t="s">
        <v>577</v>
      </c>
      <c r="N227" s="2" t="str">
        <f>IFERROR(__xludf.DUMMYFUNCTION("""COMPUTED_VALUE"""),"")</f>
        <v/>
      </c>
    </row>
    <row r="228">
      <c r="A228" s="2" t="s">
        <v>33</v>
      </c>
      <c r="B228" s="12">
        <v>235855.0</v>
      </c>
      <c r="C228" s="12">
        <v>236586.0</v>
      </c>
      <c r="D228" s="2"/>
      <c r="E228" s="2" t="s">
        <v>34</v>
      </c>
      <c r="F228" s="2" t="s">
        <v>39</v>
      </c>
      <c r="G228" s="2"/>
      <c r="H228" s="12">
        <v>0.0</v>
      </c>
      <c r="I228" s="2" t="s">
        <v>40</v>
      </c>
      <c r="J228" s="2"/>
      <c r="K228" s="2" t="s">
        <v>578</v>
      </c>
      <c r="L228" s="12">
        <v>243.0</v>
      </c>
      <c r="M228" s="2" t="s">
        <v>579</v>
      </c>
      <c r="N228" s="2" t="str">
        <f>IFERROR(__xludf.DUMMYFUNCTION("""COMPUTED_VALUE"""),"")</f>
        <v/>
      </c>
    </row>
    <row r="229">
      <c r="A229" s="2" t="s">
        <v>33</v>
      </c>
      <c r="B229" s="12">
        <v>236779.0</v>
      </c>
      <c r="C229" s="12">
        <v>237243.0</v>
      </c>
      <c r="D229" s="2"/>
      <c r="E229" s="2" t="s">
        <v>34</v>
      </c>
      <c r="F229" s="2" t="s">
        <v>39</v>
      </c>
      <c r="G229" s="2"/>
      <c r="H229" s="12">
        <v>0.0</v>
      </c>
      <c r="I229" s="2" t="s">
        <v>40</v>
      </c>
      <c r="J229" s="2"/>
      <c r="K229" s="2" t="s">
        <v>580</v>
      </c>
      <c r="L229" s="12">
        <v>154.0</v>
      </c>
      <c r="M229" s="2" t="s">
        <v>581</v>
      </c>
      <c r="N229" s="2" t="str">
        <f>IFERROR(__xludf.DUMMYFUNCTION("""COMPUTED_VALUE"""),"")</f>
        <v/>
      </c>
    </row>
    <row r="230">
      <c r="A230" s="2" t="s">
        <v>33</v>
      </c>
      <c r="B230" s="12">
        <v>237553.0</v>
      </c>
      <c r="C230" s="12">
        <v>238044.0</v>
      </c>
      <c r="D230" s="2"/>
      <c r="E230" s="2" t="s">
        <v>34</v>
      </c>
      <c r="F230" s="2" t="s">
        <v>582</v>
      </c>
      <c r="G230" s="2"/>
      <c r="H230" s="12">
        <v>0.0</v>
      </c>
      <c r="I230" s="2" t="s">
        <v>40</v>
      </c>
      <c r="J230" s="2"/>
      <c r="K230" s="2" t="s">
        <v>583</v>
      </c>
      <c r="L230" s="12">
        <v>163.0</v>
      </c>
      <c r="M230" s="2" t="s">
        <v>584</v>
      </c>
      <c r="N230" s="2" t="str">
        <f>IFERROR(__xludf.DUMMYFUNCTION("""COMPUTED_VALUE"""),"")</f>
        <v/>
      </c>
    </row>
    <row r="231">
      <c r="A231" s="2" t="s">
        <v>33</v>
      </c>
      <c r="B231" s="12">
        <v>238120.0</v>
      </c>
      <c r="C231" s="12">
        <v>238528.0</v>
      </c>
      <c r="D231" s="2"/>
      <c r="E231" s="2" t="s">
        <v>34</v>
      </c>
      <c r="F231" s="2" t="s">
        <v>35</v>
      </c>
      <c r="G231" s="2"/>
      <c r="H231" s="12">
        <v>0.0</v>
      </c>
      <c r="I231" s="2" t="s">
        <v>36</v>
      </c>
      <c r="J231" s="2"/>
      <c r="K231" s="2"/>
      <c r="L231" s="2"/>
      <c r="M231" s="2" t="s">
        <v>585</v>
      </c>
      <c r="N231" s="2" t="str">
        <f>IFERROR(__xludf.DUMMYFUNCTION("""COMPUTED_VALUE"""),"")</f>
        <v/>
      </c>
    </row>
    <row r="232">
      <c r="A232" s="2" t="s">
        <v>33</v>
      </c>
      <c r="B232" s="12">
        <v>238760.0</v>
      </c>
      <c r="C232" s="12">
        <v>239214.0</v>
      </c>
      <c r="D232" s="2"/>
      <c r="E232" s="2" t="s">
        <v>38</v>
      </c>
      <c r="F232" s="2" t="s">
        <v>35</v>
      </c>
      <c r="G232" s="2"/>
      <c r="H232" s="12">
        <v>0.0</v>
      </c>
      <c r="I232" s="2" t="s">
        <v>36</v>
      </c>
      <c r="J232" s="2"/>
      <c r="K232" s="2"/>
      <c r="L232" s="2"/>
      <c r="M232" s="2" t="s">
        <v>586</v>
      </c>
      <c r="N232" s="2" t="str">
        <f>IFERROR(__xludf.DUMMYFUNCTION("""COMPUTED_VALUE"""),"")</f>
        <v/>
      </c>
    </row>
    <row r="233">
      <c r="A233" s="2" t="s">
        <v>33</v>
      </c>
      <c r="B233" s="12">
        <v>239240.0</v>
      </c>
      <c r="C233" s="12">
        <v>239949.0</v>
      </c>
      <c r="D233" s="2"/>
      <c r="E233" s="2" t="s">
        <v>38</v>
      </c>
      <c r="F233" s="2" t="s">
        <v>35</v>
      </c>
      <c r="G233" s="2"/>
      <c r="H233" s="12">
        <v>0.0</v>
      </c>
      <c r="I233" s="2" t="s">
        <v>36</v>
      </c>
      <c r="J233" s="2"/>
      <c r="K233" s="2"/>
      <c r="L233" s="2"/>
      <c r="M233" s="2" t="s">
        <v>587</v>
      </c>
      <c r="N233" s="2" t="str">
        <f>IFERROR(__xludf.DUMMYFUNCTION("""COMPUTED_VALUE"""),"")</f>
        <v/>
      </c>
    </row>
    <row r="234">
      <c r="A234" s="2" t="s">
        <v>33</v>
      </c>
      <c r="B234" s="12">
        <v>239956.0</v>
      </c>
      <c r="C234" s="12">
        <v>241200.0</v>
      </c>
      <c r="D234" s="2"/>
      <c r="E234" s="2" t="s">
        <v>38</v>
      </c>
      <c r="F234" s="2" t="s">
        <v>88</v>
      </c>
      <c r="G234" s="2"/>
      <c r="H234" s="12">
        <v>0.0</v>
      </c>
      <c r="I234" s="2" t="s">
        <v>40</v>
      </c>
      <c r="J234" s="2"/>
      <c r="K234" s="2" t="s">
        <v>588</v>
      </c>
      <c r="L234" s="12">
        <v>414.0</v>
      </c>
      <c r="M234" s="2" t="s">
        <v>589</v>
      </c>
      <c r="N234" s="2" t="str">
        <f>IFERROR(__xludf.DUMMYFUNCTION("""COMPUTED_VALUE"""),"")</f>
        <v/>
      </c>
    </row>
    <row r="235">
      <c r="A235" s="2" t="s">
        <v>33</v>
      </c>
      <c r="B235" s="12">
        <v>241265.0</v>
      </c>
      <c r="C235" s="12">
        <v>241900.0</v>
      </c>
      <c r="D235" s="2"/>
      <c r="E235" s="2" t="s">
        <v>38</v>
      </c>
      <c r="F235" s="2" t="s">
        <v>427</v>
      </c>
      <c r="G235" s="2"/>
      <c r="H235" s="12">
        <v>0.0</v>
      </c>
      <c r="I235" s="2" t="s">
        <v>40</v>
      </c>
      <c r="J235" s="2"/>
      <c r="K235" s="2" t="s">
        <v>590</v>
      </c>
      <c r="L235" s="12">
        <v>211.0</v>
      </c>
      <c r="M235" s="2" t="s">
        <v>591</v>
      </c>
      <c r="N235" s="2" t="str">
        <f>IFERROR(__xludf.DUMMYFUNCTION("""COMPUTED_VALUE"""),"")</f>
        <v/>
      </c>
    </row>
    <row r="236">
      <c r="A236" s="2" t="s">
        <v>33</v>
      </c>
      <c r="B236" s="12">
        <v>242242.0</v>
      </c>
      <c r="C236" s="12">
        <v>242454.0</v>
      </c>
      <c r="D236" s="2"/>
      <c r="E236" s="2" t="s">
        <v>34</v>
      </c>
      <c r="F236" s="2" t="s">
        <v>39</v>
      </c>
      <c r="G236" s="2"/>
      <c r="H236" s="12">
        <v>0.0</v>
      </c>
      <c r="I236" s="2" t="s">
        <v>40</v>
      </c>
      <c r="J236" s="2"/>
      <c r="K236" s="2" t="s">
        <v>592</v>
      </c>
      <c r="L236" s="12">
        <v>70.0</v>
      </c>
      <c r="M236" s="2" t="s">
        <v>593</v>
      </c>
      <c r="N236" s="2" t="str">
        <f>IFERROR(__xludf.DUMMYFUNCTION("""COMPUTED_VALUE"""),"")</f>
        <v/>
      </c>
    </row>
    <row r="237">
      <c r="A237" s="2" t="s">
        <v>33</v>
      </c>
      <c r="B237" s="12">
        <v>243763.0</v>
      </c>
      <c r="C237" s="12">
        <v>245139.0</v>
      </c>
      <c r="D237" s="2"/>
      <c r="E237" s="2" t="s">
        <v>38</v>
      </c>
      <c r="F237" s="2" t="s">
        <v>594</v>
      </c>
      <c r="G237" s="2"/>
      <c r="H237" s="12">
        <v>0.0</v>
      </c>
      <c r="I237" s="2" t="s">
        <v>40</v>
      </c>
      <c r="J237" s="2"/>
      <c r="K237" s="2" t="s">
        <v>595</v>
      </c>
      <c r="L237" s="12">
        <v>458.0</v>
      </c>
      <c r="M237" s="2" t="s">
        <v>596</v>
      </c>
      <c r="N237" s="2" t="str">
        <f>IFERROR(__xludf.DUMMYFUNCTION("""COMPUTED_VALUE"""),"")</f>
        <v/>
      </c>
    </row>
    <row r="238">
      <c r="A238" s="2" t="s">
        <v>33</v>
      </c>
      <c r="B238" s="12">
        <v>245213.0</v>
      </c>
      <c r="C238" s="12">
        <v>245482.0</v>
      </c>
      <c r="D238" s="2"/>
      <c r="E238" s="2" t="s">
        <v>38</v>
      </c>
      <c r="F238" s="2" t="s">
        <v>39</v>
      </c>
      <c r="G238" s="2"/>
      <c r="H238" s="12">
        <v>0.0</v>
      </c>
      <c r="I238" s="2" t="s">
        <v>40</v>
      </c>
      <c r="J238" s="2"/>
      <c r="K238" s="2" t="s">
        <v>597</v>
      </c>
      <c r="L238" s="12">
        <v>89.0</v>
      </c>
      <c r="M238" s="2" t="s">
        <v>598</v>
      </c>
      <c r="N238" s="2" t="str">
        <f>IFERROR(__xludf.DUMMYFUNCTION("""COMPUTED_VALUE"""),"")</f>
        <v/>
      </c>
    </row>
    <row r="239">
      <c r="A239" s="2" t="s">
        <v>33</v>
      </c>
      <c r="B239" s="12">
        <v>245642.0</v>
      </c>
      <c r="C239" s="12">
        <v>246328.0</v>
      </c>
      <c r="D239" s="2"/>
      <c r="E239" s="2" t="s">
        <v>38</v>
      </c>
      <c r="F239" s="2" t="s">
        <v>599</v>
      </c>
      <c r="G239" s="2"/>
      <c r="H239" s="12">
        <v>0.0</v>
      </c>
      <c r="I239" s="2" t="s">
        <v>40</v>
      </c>
      <c r="J239" s="2"/>
      <c r="K239" s="2" t="s">
        <v>600</v>
      </c>
      <c r="L239" s="12">
        <v>228.0</v>
      </c>
      <c r="M239" s="2" t="s">
        <v>601</v>
      </c>
      <c r="N239" s="2" t="str">
        <f>IFERROR(__xludf.DUMMYFUNCTION("""COMPUTED_VALUE"""),"")</f>
        <v/>
      </c>
    </row>
    <row r="240">
      <c r="A240" s="2" t="s">
        <v>33</v>
      </c>
      <c r="B240" s="12">
        <v>246501.0</v>
      </c>
      <c r="C240" s="12">
        <v>246761.0</v>
      </c>
      <c r="D240" s="2"/>
      <c r="E240" s="2" t="s">
        <v>38</v>
      </c>
      <c r="F240" s="2" t="s">
        <v>39</v>
      </c>
      <c r="G240" s="2"/>
      <c r="H240" s="12">
        <v>0.0</v>
      </c>
      <c r="I240" s="2" t="s">
        <v>40</v>
      </c>
      <c r="J240" s="2"/>
      <c r="K240" s="2" t="s">
        <v>602</v>
      </c>
      <c r="L240" s="12">
        <v>86.0</v>
      </c>
      <c r="M240" s="2" t="s">
        <v>603</v>
      </c>
      <c r="N240" s="2" t="str">
        <f>IFERROR(__xludf.DUMMYFUNCTION("""COMPUTED_VALUE"""),"")</f>
        <v/>
      </c>
    </row>
    <row r="241">
      <c r="A241" s="2" t="s">
        <v>33</v>
      </c>
      <c r="B241" s="12">
        <v>247366.0</v>
      </c>
      <c r="C241" s="12">
        <v>247695.0</v>
      </c>
      <c r="D241" s="2"/>
      <c r="E241" s="2" t="s">
        <v>34</v>
      </c>
      <c r="F241" s="2" t="s">
        <v>604</v>
      </c>
      <c r="G241" s="2"/>
      <c r="H241" s="12">
        <v>0.0</v>
      </c>
      <c r="I241" s="2" t="s">
        <v>40</v>
      </c>
      <c r="J241" s="2"/>
      <c r="K241" s="2" t="s">
        <v>605</v>
      </c>
      <c r="L241" s="12">
        <v>109.0</v>
      </c>
      <c r="M241" s="2" t="s">
        <v>606</v>
      </c>
      <c r="N241" s="2" t="str">
        <f>IFERROR(__xludf.DUMMYFUNCTION("""COMPUTED_VALUE"""),"")</f>
        <v/>
      </c>
    </row>
    <row r="242">
      <c r="A242" s="2" t="s">
        <v>33</v>
      </c>
      <c r="B242" s="12">
        <v>247920.0</v>
      </c>
      <c r="C242" s="12">
        <v>249155.0</v>
      </c>
      <c r="D242" s="2"/>
      <c r="E242" s="2" t="s">
        <v>38</v>
      </c>
      <c r="F242" s="2" t="s">
        <v>607</v>
      </c>
      <c r="G242" s="2"/>
      <c r="H242" s="12">
        <v>0.0</v>
      </c>
      <c r="I242" s="2" t="s">
        <v>40</v>
      </c>
      <c r="J242" s="2"/>
      <c r="K242" s="2" t="s">
        <v>608</v>
      </c>
      <c r="L242" s="12">
        <v>411.0</v>
      </c>
      <c r="M242" s="2" t="s">
        <v>609</v>
      </c>
      <c r="N242" s="2" t="str">
        <f>IFERROR(__xludf.DUMMYFUNCTION("""COMPUTED_VALUE"""),"")</f>
        <v/>
      </c>
    </row>
    <row r="243">
      <c r="A243" s="2" t="s">
        <v>33</v>
      </c>
      <c r="B243" s="12">
        <v>249362.0</v>
      </c>
      <c r="C243" s="12">
        <v>249832.0</v>
      </c>
      <c r="D243" s="2"/>
      <c r="E243" s="2" t="s">
        <v>38</v>
      </c>
      <c r="F243" s="2" t="s">
        <v>610</v>
      </c>
      <c r="G243" s="2"/>
      <c r="H243" s="12">
        <v>0.0</v>
      </c>
      <c r="I243" s="2" t="s">
        <v>40</v>
      </c>
      <c r="J243" s="2"/>
      <c r="K243" s="2" t="s">
        <v>611</v>
      </c>
      <c r="L243" s="12">
        <v>156.0</v>
      </c>
      <c r="M243" s="2" t="s">
        <v>612</v>
      </c>
      <c r="N243" s="2" t="str">
        <f>IFERROR(__xludf.DUMMYFUNCTION("""COMPUTED_VALUE"""),"")</f>
        <v/>
      </c>
    </row>
    <row r="244">
      <c r="A244" s="2" t="s">
        <v>33</v>
      </c>
      <c r="B244" s="12">
        <v>250064.0</v>
      </c>
      <c r="C244" s="12">
        <v>251065.0</v>
      </c>
      <c r="D244" s="2"/>
      <c r="E244" s="2" t="s">
        <v>38</v>
      </c>
      <c r="F244" s="2" t="s">
        <v>613</v>
      </c>
      <c r="G244" s="2" t="s">
        <v>614</v>
      </c>
      <c r="H244" s="12">
        <v>0.0</v>
      </c>
      <c r="I244" s="2" t="s">
        <v>40</v>
      </c>
      <c r="J244" s="2"/>
      <c r="K244" s="2" t="s">
        <v>615</v>
      </c>
      <c r="L244" s="12">
        <v>333.0</v>
      </c>
      <c r="M244" s="2" t="s">
        <v>616</v>
      </c>
      <c r="N244" s="2" t="str">
        <f>IFERROR(__xludf.DUMMYFUNCTION("""COMPUTED_VALUE"""),"")</f>
        <v/>
      </c>
    </row>
    <row r="245">
      <c r="A245" s="2" t="s">
        <v>33</v>
      </c>
      <c r="B245" s="12">
        <v>251140.0</v>
      </c>
      <c r="C245" s="12">
        <v>252722.0</v>
      </c>
      <c r="D245" s="2"/>
      <c r="E245" s="2" t="s">
        <v>38</v>
      </c>
      <c r="F245" s="2" t="s">
        <v>35</v>
      </c>
      <c r="G245" s="2"/>
      <c r="H245" s="12">
        <v>0.0</v>
      </c>
      <c r="I245" s="2" t="s">
        <v>36</v>
      </c>
      <c r="J245" s="2"/>
      <c r="K245" s="2"/>
      <c r="L245" s="2"/>
      <c r="M245" s="2" t="s">
        <v>617</v>
      </c>
      <c r="N245" s="2" t="str">
        <f>IFERROR(__xludf.DUMMYFUNCTION("""COMPUTED_VALUE"""),"")</f>
        <v/>
      </c>
    </row>
    <row r="246">
      <c r="A246" s="2" t="s">
        <v>33</v>
      </c>
      <c r="B246" s="12">
        <v>252793.0</v>
      </c>
      <c r="C246" s="12">
        <v>253341.0</v>
      </c>
      <c r="D246" s="2"/>
      <c r="E246" s="2" t="s">
        <v>38</v>
      </c>
      <c r="F246" s="2" t="s">
        <v>618</v>
      </c>
      <c r="G246" s="2" t="s">
        <v>619</v>
      </c>
      <c r="H246" s="12">
        <v>0.0</v>
      </c>
      <c r="I246" s="2" t="s">
        <v>40</v>
      </c>
      <c r="J246" s="2"/>
      <c r="K246" s="2" t="s">
        <v>620</v>
      </c>
      <c r="L246" s="12">
        <v>182.0</v>
      </c>
      <c r="M246" s="2" t="s">
        <v>621</v>
      </c>
      <c r="N246" s="2" t="str">
        <f>IFERROR(__xludf.DUMMYFUNCTION("""COMPUTED_VALUE"""),"")</f>
        <v/>
      </c>
    </row>
    <row r="247">
      <c r="A247" s="2" t="s">
        <v>33</v>
      </c>
      <c r="B247" s="12">
        <v>253479.0</v>
      </c>
      <c r="C247" s="12">
        <v>254372.0</v>
      </c>
      <c r="D247" s="2"/>
      <c r="E247" s="2" t="s">
        <v>38</v>
      </c>
      <c r="F247" s="2" t="s">
        <v>622</v>
      </c>
      <c r="G247" s="2"/>
      <c r="H247" s="12">
        <v>0.0</v>
      </c>
      <c r="I247" s="2" t="s">
        <v>40</v>
      </c>
      <c r="J247" s="2"/>
      <c r="K247" s="2" t="s">
        <v>623</v>
      </c>
      <c r="L247" s="12">
        <v>297.0</v>
      </c>
      <c r="M247" s="2" t="s">
        <v>624</v>
      </c>
      <c r="N247" s="2" t="str">
        <f>IFERROR(__xludf.DUMMYFUNCTION("""COMPUTED_VALUE"""),"")</f>
        <v/>
      </c>
    </row>
    <row r="248">
      <c r="A248" s="2" t="s">
        <v>33</v>
      </c>
      <c r="B248" s="12">
        <v>254369.0</v>
      </c>
      <c r="C248" s="12">
        <v>255541.0</v>
      </c>
      <c r="D248" s="2"/>
      <c r="E248" s="2" t="s">
        <v>38</v>
      </c>
      <c r="F248" s="2" t="s">
        <v>625</v>
      </c>
      <c r="G248" s="2" t="s">
        <v>626</v>
      </c>
      <c r="H248" s="12">
        <v>0.0</v>
      </c>
      <c r="I248" s="2" t="s">
        <v>40</v>
      </c>
      <c r="J248" s="2"/>
      <c r="K248" s="2" t="s">
        <v>627</v>
      </c>
      <c r="L248" s="12">
        <v>390.0</v>
      </c>
      <c r="M248" s="2" t="s">
        <v>628</v>
      </c>
      <c r="N248" s="2" t="str">
        <f>IFERROR(__xludf.DUMMYFUNCTION("""COMPUTED_VALUE"""),"")</f>
        <v/>
      </c>
    </row>
    <row r="249">
      <c r="A249" s="2" t="s">
        <v>33</v>
      </c>
      <c r="B249" s="12">
        <v>255564.0</v>
      </c>
      <c r="C249" s="12">
        <v>255831.0</v>
      </c>
      <c r="D249" s="2"/>
      <c r="E249" s="2" t="s">
        <v>38</v>
      </c>
      <c r="F249" s="2" t="s">
        <v>35</v>
      </c>
      <c r="G249" s="2"/>
      <c r="H249" s="12">
        <v>0.0</v>
      </c>
      <c r="I249" s="2" t="s">
        <v>36</v>
      </c>
      <c r="J249" s="2"/>
      <c r="K249" s="2"/>
      <c r="L249" s="2"/>
      <c r="M249" s="2" t="s">
        <v>629</v>
      </c>
      <c r="N249" s="2" t="str">
        <f>IFERROR(__xludf.DUMMYFUNCTION("""COMPUTED_VALUE"""),"")</f>
        <v/>
      </c>
    </row>
    <row r="250">
      <c r="A250" s="2" t="s">
        <v>33</v>
      </c>
      <c r="B250" s="12">
        <v>255910.0</v>
      </c>
      <c r="C250" s="12">
        <v>257193.0</v>
      </c>
      <c r="D250" s="2"/>
      <c r="E250" s="2" t="s">
        <v>38</v>
      </c>
      <c r="F250" s="2" t="s">
        <v>630</v>
      </c>
      <c r="G250" s="2"/>
      <c r="H250" s="12">
        <v>0.0</v>
      </c>
      <c r="I250" s="2" t="s">
        <v>40</v>
      </c>
      <c r="J250" s="2"/>
      <c r="K250" s="2" t="s">
        <v>631</v>
      </c>
      <c r="L250" s="12">
        <v>427.0</v>
      </c>
      <c r="M250" s="2" t="s">
        <v>632</v>
      </c>
      <c r="N250" s="2" t="str">
        <f>IFERROR(__xludf.DUMMYFUNCTION("""COMPUTED_VALUE"""),"")</f>
        <v/>
      </c>
    </row>
    <row r="251">
      <c r="A251" s="2" t="s">
        <v>33</v>
      </c>
      <c r="B251" s="12">
        <v>257205.0</v>
      </c>
      <c r="C251" s="12">
        <v>257510.0</v>
      </c>
      <c r="D251" s="2"/>
      <c r="E251" s="2" t="s">
        <v>38</v>
      </c>
      <c r="F251" s="2" t="s">
        <v>633</v>
      </c>
      <c r="G251" s="2"/>
      <c r="H251" s="12">
        <v>0.0</v>
      </c>
      <c r="I251" s="2" t="s">
        <v>40</v>
      </c>
      <c r="J251" s="2"/>
      <c r="K251" s="2" t="s">
        <v>634</v>
      </c>
      <c r="L251" s="12">
        <v>101.0</v>
      </c>
      <c r="M251" s="2" t="s">
        <v>635</v>
      </c>
      <c r="N251" s="2" t="str">
        <f>IFERROR(__xludf.DUMMYFUNCTION("""COMPUTED_VALUE"""),"")</f>
        <v/>
      </c>
    </row>
    <row r="252">
      <c r="A252" s="2" t="s">
        <v>33</v>
      </c>
      <c r="B252" s="12">
        <v>257738.0</v>
      </c>
      <c r="C252" s="12">
        <v>259297.0</v>
      </c>
      <c r="D252" s="2"/>
      <c r="E252" s="2" t="s">
        <v>34</v>
      </c>
      <c r="F252" s="2" t="s">
        <v>636</v>
      </c>
      <c r="G252" s="2"/>
      <c r="H252" s="12">
        <v>0.0</v>
      </c>
      <c r="I252" s="2" t="s">
        <v>40</v>
      </c>
      <c r="J252" s="2"/>
      <c r="K252" s="2" t="s">
        <v>637</v>
      </c>
      <c r="L252" s="12">
        <v>519.0</v>
      </c>
      <c r="M252" s="2" t="s">
        <v>638</v>
      </c>
      <c r="N252" s="2" t="str">
        <f>IFERROR(__xludf.DUMMYFUNCTION("""COMPUTED_VALUE"""),"")</f>
        <v/>
      </c>
    </row>
    <row r="253">
      <c r="A253" s="2" t="s">
        <v>33</v>
      </c>
      <c r="B253" s="12">
        <v>259338.0</v>
      </c>
      <c r="C253" s="12">
        <v>260491.0</v>
      </c>
      <c r="D253" s="2"/>
      <c r="E253" s="2" t="s">
        <v>38</v>
      </c>
      <c r="F253" s="2" t="s">
        <v>35</v>
      </c>
      <c r="G253" s="2"/>
      <c r="H253" s="12">
        <v>0.0</v>
      </c>
      <c r="I253" s="2" t="s">
        <v>36</v>
      </c>
      <c r="J253" s="2"/>
      <c r="K253" s="2"/>
      <c r="L253" s="2"/>
      <c r="M253" s="2" t="s">
        <v>639</v>
      </c>
      <c r="N253" s="2" t="str">
        <f>IFERROR(__xludf.DUMMYFUNCTION("""COMPUTED_VALUE"""),"")</f>
        <v/>
      </c>
    </row>
    <row r="254">
      <c r="A254" s="2" t="s">
        <v>33</v>
      </c>
      <c r="B254" s="12">
        <v>260659.0</v>
      </c>
      <c r="C254" s="12">
        <v>261492.0</v>
      </c>
      <c r="D254" s="2"/>
      <c r="E254" s="2" t="s">
        <v>38</v>
      </c>
      <c r="F254" s="2" t="s">
        <v>640</v>
      </c>
      <c r="G254" s="2"/>
      <c r="H254" s="12">
        <v>0.0</v>
      </c>
      <c r="I254" s="2" t="s">
        <v>40</v>
      </c>
      <c r="J254" s="2"/>
      <c r="K254" s="2" t="s">
        <v>641</v>
      </c>
      <c r="L254" s="12">
        <v>277.0</v>
      </c>
      <c r="M254" s="2" t="s">
        <v>642</v>
      </c>
      <c r="N254" s="2" t="str">
        <f>IFERROR(__xludf.DUMMYFUNCTION("""COMPUTED_VALUE"""),"")</f>
        <v/>
      </c>
    </row>
    <row r="255">
      <c r="A255" s="2" t="s">
        <v>33</v>
      </c>
      <c r="B255" s="12">
        <v>261517.0</v>
      </c>
      <c r="C255" s="12">
        <v>262629.0</v>
      </c>
      <c r="D255" s="2"/>
      <c r="E255" s="2" t="s">
        <v>38</v>
      </c>
      <c r="F255" s="2" t="s">
        <v>643</v>
      </c>
      <c r="G255" s="2"/>
      <c r="H255" s="12">
        <v>0.0</v>
      </c>
      <c r="I255" s="2" t="s">
        <v>40</v>
      </c>
      <c r="J255" s="2"/>
      <c r="K255" s="2" t="s">
        <v>644</v>
      </c>
      <c r="L255" s="12">
        <v>370.0</v>
      </c>
      <c r="M255" s="2" t="s">
        <v>645</v>
      </c>
      <c r="N255" s="2" t="str">
        <f>IFERROR(__xludf.DUMMYFUNCTION("""COMPUTED_VALUE"""),"")</f>
        <v/>
      </c>
    </row>
    <row r="256">
      <c r="A256" s="2" t="s">
        <v>33</v>
      </c>
      <c r="B256" s="12">
        <v>262944.0</v>
      </c>
      <c r="C256" s="12">
        <v>263537.0</v>
      </c>
      <c r="D256" s="2"/>
      <c r="E256" s="2" t="s">
        <v>38</v>
      </c>
      <c r="F256" s="2" t="s">
        <v>646</v>
      </c>
      <c r="G256" s="2"/>
      <c r="H256" s="12">
        <v>0.0</v>
      </c>
      <c r="I256" s="2" t="s">
        <v>40</v>
      </c>
      <c r="J256" s="2"/>
      <c r="K256" s="2" t="s">
        <v>647</v>
      </c>
      <c r="L256" s="12">
        <v>197.0</v>
      </c>
      <c r="M256" s="2" t="s">
        <v>648</v>
      </c>
      <c r="N256" s="2" t="str">
        <f>IFERROR(__xludf.DUMMYFUNCTION("""COMPUTED_VALUE"""),"")</f>
        <v/>
      </c>
    </row>
    <row r="257">
      <c r="A257" s="2" t="s">
        <v>33</v>
      </c>
      <c r="B257" s="12">
        <v>263842.0</v>
      </c>
      <c r="C257" s="12">
        <v>264000.0</v>
      </c>
      <c r="D257" s="2"/>
      <c r="E257" s="2" t="s">
        <v>34</v>
      </c>
      <c r="F257" s="2" t="s">
        <v>39</v>
      </c>
      <c r="G257" s="2"/>
      <c r="H257" s="12">
        <v>0.0</v>
      </c>
      <c r="I257" s="2" t="s">
        <v>40</v>
      </c>
      <c r="J257" s="2"/>
      <c r="K257" s="2" t="s">
        <v>649</v>
      </c>
      <c r="L257" s="12">
        <v>52.0</v>
      </c>
      <c r="M257" s="2" t="s">
        <v>650</v>
      </c>
      <c r="N257" s="2" t="str">
        <f>IFERROR(__xludf.DUMMYFUNCTION("""COMPUTED_VALUE"""),"")</f>
        <v/>
      </c>
    </row>
    <row r="258">
      <c r="A258" s="2" t="s">
        <v>33</v>
      </c>
      <c r="B258" s="12">
        <v>264033.0</v>
      </c>
      <c r="C258" s="12">
        <v>264902.0</v>
      </c>
      <c r="D258" s="2"/>
      <c r="E258" s="2" t="s">
        <v>38</v>
      </c>
      <c r="F258" s="2" t="s">
        <v>651</v>
      </c>
      <c r="G258" s="2"/>
      <c r="H258" s="12">
        <v>0.0</v>
      </c>
      <c r="I258" s="2" t="s">
        <v>40</v>
      </c>
      <c r="J258" s="2"/>
      <c r="K258" s="2" t="s">
        <v>652</v>
      </c>
      <c r="L258" s="12">
        <v>289.0</v>
      </c>
      <c r="M258" s="2" t="s">
        <v>653</v>
      </c>
      <c r="N258" s="2" t="str">
        <f>IFERROR(__xludf.DUMMYFUNCTION("""COMPUTED_VALUE"""),"")</f>
        <v/>
      </c>
    </row>
    <row r="259">
      <c r="A259" s="2" t="s">
        <v>33</v>
      </c>
      <c r="B259" s="12">
        <v>264880.0</v>
      </c>
      <c r="C259" s="12">
        <v>266190.0</v>
      </c>
      <c r="D259" s="2"/>
      <c r="E259" s="2" t="s">
        <v>38</v>
      </c>
      <c r="F259" s="2" t="s">
        <v>654</v>
      </c>
      <c r="G259" s="2"/>
      <c r="H259" s="12">
        <v>0.0</v>
      </c>
      <c r="I259" s="2" t="s">
        <v>40</v>
      </c>
      <c r="J259" s="2"/>
      <c r="K259" s="2" t="s">
        <v>655</v>
      </c>
      <c r="L259" s="12">
        <v>436.0</v>
      </c>
      <c r="M259" s="2" t="s">
        <v>656</v>
      </c>
      <c r="N259" s="2" t="str">
        <f>IFERROR(__xludf.DUMMYFUNCTION("""COMPUTED_VALUE"""),"")</f>
        <v/>
      </c>
    </row>
    <row r="260">
      <c r="A260" s="2" t="s">
        <v>33</v>
      </c>
      <c r="B260" s="12">
        <v>266285.0</v>
      </c>
      <c r="C260" s="12">
        <v>266590.0</v>
      </c>
      <c r="D260" s="2"/>
      <c r="E260" s="2" t="s">
        <v>38</v>
      </c>
      <c r="F260" s="2" t="s">
        <v>657</v>
      </c>
      <c r="G260" s="2"/>
      <c r="H260" s="12">
        <v>0.0</v>
      </c>
      <c r="I260" s="2" t="s">
        <v>40</v>
      </c>
      <c r="J260" s="2"/>
      <c r="K260" s="2" t="s">
        <v>658</v>
      </c>
      <c r="L260" s="12">
        <v>101.0</v>
      </c>
      <c r="M260" s="2" t="s">
        <v>659</v>
      </c>
      <c r="N260" s="2" t="str">
        <f>IFERROR(__xludf.DUMMYFUNCTION("""COMPUTED_VALUE"""),"")</f>
        <v/>
      </c>
    </row>
    <row r="261">
      <c r="A261" s="2" t="s">
        <v>33</v>
      </c>
      <c r="B261" s="12">
        <v>266815.0</v>
      </c>
      <c r="C261" s="12">
        <v>267448.0</v>
      </c>
      <c r="D261" s="2"/>
      <c r="E261" s="2" t="s">
        <v>34</v>
      </c>
      <c r="F261" s="2" t="s">
        <v>35</v>
      </c>
      <c r="G261" s="2"/>
      <c r="H261" s="12">
        <v>0.0</v>
      </c>
      <c r="I261" s="2" t="s">
        <v>36</v>
      </c>
      <c r="J261" s="2"/>
      <c r="K261" s="2"/>
      <c r="L261" s="2"/>
      <c r="M261" s="2" t="s">
        <v>660</v>
      </c>
      <c r="N261" s="2" t="str">
        <f>IFERROR(__xludf.DUMMYFUNCTION("""COMPUTED_VALUE"""),"")</f>
        <v/>
      </c>
    </row>
    <row r="262">
      <c r="A262" s="2" t="s">
        <v>33</v>
      </c>
      <c r="B262" s="12">
        <v>268012.0</v>
      </c>
      <c r="C262" s="12">
        <v>269217.0</v>
      </c>
      <c r="D262" s="2"/>
      <c r="E262" s="2" t="s">
        <v>38</v>
      </c>
      <c r="F262" s="2" t="s">
        <v>661</v>
      </c>
      <c r="G262" s="2"/>
      <c r="H262" s="12">
        <v>0.0</v>
      </c>
      <c r="I262" s="2" t="s">
        <v>40</v>
      </c>
      <c r="J262" s="2"/>
      <c r="K262" s="2" t="s">
        <v>662</v>
      </c>
      <c r="L262" s="12">
        <v>401.0</v>
      </c>
      <c r="M262" s="2" t="s">
        <v>663</v>
      </c>
      <c r="N262" s="2" t="str">
        <f>IFERROR(__xludf.DUMMYFUNCTION("""COMPUTED_VALUE"""),"")</f>
        <v/>
      </c>
    </row>
    <row r="263">
      <c r="A263" s="2" t="s">
        <v>33</v>
      </c>
      <c r="B263" s="12">
        <v>269776.0</v>
      </c>
      <c r="C263" s="12">
        <v>270615.0</v>
      </c>
      <c r="D263" s="2"/>
      <c r="E263" s="2" t="s">
        <v>38</v>
      </c>
      <c r="F263" s="2" t="s">
        <v>664</v>
      </c>
      <c r="G263" s="2"/>
      <c r="H263" s="12">
        <v>0.0</v>
      </c>
      <c r="I263" s="2" t="s">
        <v>40</v>
      </c>
      <c r="J263" s="2"/>
      <c r="K263" s="2" t="s">
        <v>665</v>
      </c>
      <c r="L263" s="12">
        <v>279.0</v>
      </c>
      <c r="M263" s="2" t="s">
        <v>666</v>
      </c>
      <c r="N263" s="2" t="str">
        <f>IFERROR(__xludf.DUMMYFUNCTION("""COMPUTED_VALUE"""),"")</f>
        <v/>
      </c>
    </row>
    <row r="264">
      <c r="A264" s="2" t="s">
        <v>33</v>
      </c>
      <c r="B264" s="12">
        <v>270832.0</v>
      </c>
      <c r="C264" s="12">
        <v>271438.0</v>
      </c>
      <c r="D264" s="2"/>
      <c r="E264" s="2" t="s">
        <v>34</v>
      </c>
      <c r="F264" s="2" t="s">
        <v>35</v>
      </c>
      <c r="G264" s="2"/>
      <c r="H264" s="12">
        <v>0.0</v>
      </c>
      <c r="I264" s="2" t="s">
        <v>36</v>
      </c>
      <c r="J264" s="2"/>
      <c r="K264" s="2"/>
      <c r="L264" s="2"/>
      <c r="M264" s="2" t="s">
        <v>667</v>
      </c>
      <c r="N264" s="2" t="str">
        <f>IFERROR(__xludf.DUMMYFUNCTION("""COMPUTED_VALUE"""),"")</f>
        <v/>
      </c>
    </row>
    <row r="265">
      <c r="A265" s="2" t="s">
        <v>33</v>
      </c>
      <c r="B265" s="12">
        <v>271799.0</v>
      </c>
      <c r="C265" s="12">
        <v>272356.0</v>
      </c>
      <c r="D265" s="2"/>
      <c r="E265" s="2" t="s">
        <v>38</v>
      </c>
      <c r="F265" s="2" t="s">
        <v>216</v>
      </c>
      <c r="G265" s="2"/>
      <c r="H265" s="12">
        <v>0.0</v>
      </c>
      <c r="I265" s="2" t="s">
        <v>40</v>
      </c>
      <c r="J265" s="2"/>
      <c r="K265" s="2" t="s">
        <v>668</v>
      </c>
      <c r="L265" s="12">
        <v>185.0</v>
      </c>
      <c r="M265" s="2" t="s">
        <v>669</v>
      </c>
      <c r="N265" s="2" t="str">
        <f>IFERROR(__xludf.DUMMYFUNCTION("""COMPUTED_VALUE"""),"")</f>
        <v/>
      </c>
    </row>
    <row r="266">
      <c r="A266" s="2" t="s">
        <v>33</v>
      </c>
      <c r="B266" s="12">
        <v>272470.0</v>
      </c>
      <c r="C266" s="12">
        <v>273054.0</v>
      </c>
      <c r="D266" s="2"/>
      <c r="E266" s="2" t="s">
        <v>34</v>
      </c>
      <c r="F266" s="2" t="s">
        <v>670</v>
      </c>
      <c r="G266" s="2"/>
      <c r="H266" s="12">
        <v>0.0</v>
      </c>
      <c r="I266" s="2" t="s">
        <v>40</v>
      </c>
      <c r="J266" s="2"/>
      <c r="K266" s="2" t="s">
        <v>671</v>
      </c>
      <c r="L266" s="12">
        <v>194.0</v>
      </c>
      <c r="M266" s="2" t="s">
        <v>672</v>
      </c>
      <c r="N266" s="2" t="str">
        <f>IFERROR(__xludf.DUMMYFUNCTION("""COMPUTED_VALUE"""),"")</f>
        <v/>
      </c>
    </row>
    <row r="267">
      <c r="A267" s="2" t="s">
        <v>33</v>
      </c>
      <c r="B267" s="12">
        <v>273234.0</v>
      </c>
      <c r="C267" s="12">
        <v>274017.0</v>
      </c>
      <c r="D267" s="2"/>
      <c r="E267" s="2" t="s">
        <v>34</v>
      </c>
      <c r="F267" s="2" t="s">
        <v>35</v>
      </c>
      <c r="G267" s="2"/>
      <c r="H267" s="12">
        <v>0.0</v>
      </c>
      <c r="I267" s="2" t="s">
        <v>36</v>
      </c>
      <c r="J267" s="2"/>
      <c r="K267" s="2"/>
      <c r="L267" s="2"/>
      <c r="M267" s="2" t="s">
        <v>673</v>
      </c>
      <c r="N267" s="2" t="str">
        <f>IFERROR(__xludf.DUMMYFUNCTION("""COMPUTED_VALUE"""),"")</f>
        <v/>
      </c>
    </row>
    <row r="268">
      <c r="A268" s="2" t="s">
        <v>33</v>
      </c>
      <c r="B268" s="12">
        <v>274404.0</v>
      </c>
      <c r="C268" s="12">
        <v>274676.0</v>
      </c>
      <c r="D268" s="2"/>
      <c r="E268" s="2" t="s">
        <v>34</v>
      </c>
      <c r="F268" s="2" t="s">
        <v>39</v>
      </c>
      <c r="G268" s="2"/>
      <c r="H268" s="12">
        <v>0.0</v>
      </c>
      <c r="I268" s="2" t="s">
        <v>40</v>
      </c>
      <c r="J268" s="2"/>
      <c r="K268" s="2" t="s">
        <v>674</v>
      </c>
      <c r="L268" s="12">
        <v>90.0</v>
      </c>
      <c r="M268" s="2" t="s">
        <v>675</v>
      </c>
      <c r="N268" s="2" t="str">
        <f>IFERROR(__xludf.DUMMYFUNCTION("""COMPUTED_VALUE"""),"")</f>
        <v/>
      </c>
    </row>
    <row r="269">
      <c r="A269" s="2" t="s">
        <v>33</v>
      </c>
      <c r="B269" s="12">
        <v>274919.0</v>
      </c>
      <c r="C269" s="12">
        <v>275203.0</v>
      </c>
      <c r="D269" s="2"/>
      <c r="E269" s="2" t="s">
        <v>34</v>
      </c>
      <c r="F269" s="2" t="s">
        <v>664</v>
      </c>
      <c r="G269" s="2"/>
      <c r="H269" s="12">
        <v>0.0</v>
      </c>
      <c r="I269" s="2" t="s">
        <v>40</v>
      </c>
      <c r="J269" s="2"/>
      <c r="K269" s="2" t="s">
        <v>676</v>
      </c>
      <c r="L269" s="12">
        <v>94.0</v>
      </c>
      <c r="M269" s="2" t="s">
        <v>677</v>
      </c>
      <c r="N269" s="2" t="str">
        <f>IFERROR(__xludf.DUMMYFUNCTION("""COMPUTED_VALUE"""),"")</f>
        <v/>
      </c>
    </row>
    <row r="270">
      <c r="A270" s="2" t="s">
        <v>33</v>
      </c>
      <c r="B270" s="12">
        <v>275579.0</v>
      </c>
      <c r="C270" s="12">
        <v>276082.0</v>
      </c>
      <c r="D270" s="2"/>
      <c r="E270" s="2" t="s">
        <v>34</v>
      </c>
      <c r="F270" s="2" t="s">
        <v>678</v>
      </c>
      <c r="G270" s="2" t="s">
        <v>679</v>
      </c>
      <c r="H270" s="12">
        <v>0.0</v>
      </c>
      <c r="I270" s="2" t="s">
        <v>40</v>
      </c>
      <c r="J270" s="2"/>
      <c r="K270" s="2" t="s">
        <v>680</v>
      </c>
      <c r="L270" s="12">
        <v>167.0</v>
      </c>
      <c r="M270" s="2" t="s">
        <v>681</v>
      </c>
      <c r="N270" s="2" t="str">
        <f>IFERROR(__xludf.DUMMYFUNCTION("""COMPUTED_VALUE"""),"")</f>
        <v/>
      </c>
    </row>
    <row r="271">
      <c r="A271" s="2" t="s">
        <v>33</v>
      </c>
      <c r="B271" s="12">
        <v>276746.0</v>
      </c>
      <c r="C271" s="12">
        <v>278542.0</v>
      </c>
      <c r="D271" s="2"/>
      <c r="E271" s="2" t="s">
        <v>38</v>
      </c>
      <c r="F271" s="2" t="s">
        <v>432</v>
      </c>
      <c r="G271" s="2"/>
      <c r="H271" s="12">
        <v>0.0</v>
      </c>
      <c r="I271" s="2" t="s">
        <v>40</v>
      </c>
      <c r="J271" s="2"/>
      <c r="K271" s="2" t="s">
        <v>682</v>
      </c>
      <c r="L271" s="12">
        <v>598.0</v>
      </c>
      <c r="M271" s="2" t="s">
        <v>683</v>
      </c>
      <c r="N271" s="2" t="str">
        <f>IFERROR(__xludf.DUMMYFUNCTION("""COMPUTED_VALUE"""),"")</f>
        <v/>
      </c>
    </row>
    <row r="272">
      <c r="A272" s="2" t="s">
        <v>33</v>
      </c>
      <c r="B272" s="12">
        <v>278535.0</v>
      </c>
      <c r="C272" s="12">
        <v>280289.0</v>
      </c>
      <c r="D272" s="2"/>
      <c r="E272" s="2" t="s">
        <v>38</v>
      </c>
      <c r="F272" s="2" t="s">
        <v>432</v>
      </c>
      <c r="G272" s="2"/>
      <c r="H272" s="12">
        <v>0.0</v>
      </c>
      <c r="I272" s="2" t="s">
        <v>40</v>
      </c>
      <c r="J272" s="2"/>
      <c r="K272" s="2" t="s">
        <v>684</v>
      </c>
      <c r="L272" s="12">
        <v>584.0</v>
      </c>
      <c r="M272" s="2" t="s">
        <v>685</v>
      </c>
      <c r="N272" s="2" t="str">
        <f>IFERROR(__xludf.DUMMYFUNCTION("""COMPUTED_VALUE"""),"")</f>
        <v/>
      </c>
    </row>
    <row r="273">
      <c r="A273" s="2" t="s">
        <v>33</v>
      </c>
      <c r="B273" s="12">
        <v>280511.0</v>
      </c>
      <c r="C273" s="12">
        <v>281107.0</v>
      </c>
      <c r="D273" s="2"/>
      <c r="E273" s="2" t="s">
        <v>38</v>
      </c>
      <c r="F273" s="2" t="s">
        <v>686</v>
      </c>
      <c r="G273" s="2"/>
      <c r="H273" s="12">
        <v>0.0</v>
      </c>
      <c r="I273" s="2" t="s">
        <v>40</v>
      </c>
      <c r="J273" s="2"/>
      <c r="K273" s="2" t="s">
        <v>687</v>
      </c>
      <c r="L273" s="12">
        <v>198.0</v>
      </c>
      <c r="M273" s="2" t="s">
        <v>688</v>
      </c>
      <c r="N273" s="2" t="str">
        <f>IFERROR(__xludf.DUMMYFUNCTION("""COMPUTED_VALUE"""),"")</f>
        <v/>
      </c>
    </row>
    <row r="274">
      <c r="A274" s="2" t="s">
        <v>33</v>
      </c>
      <c r="B274" s="12">
        <v>281141.0</v>
      </c>
      <c r="C274" s="12">
        <v>282028.0</v>
      </c>
      <c r="D274" s="2"/>
      <c r="E274" s="2" t="s">
        <v>38</v>
      </c>
      <c r="F274" s="2" t="s">
        <v>367</v>
      </c>
      <c r="G274" s="2"/>
      <c r="H274" s="12">
        <v>0.0</v>
      </c>
      <c r="I274" s="2" t="s">
        <v>40</v>
      </c>
      <c r="J274" s="2"/>
      <c r="K274" s="2" t="s">
        <v>689</v>
      </c>
      <c r="L274" s="12">
        <v>295.0</v>
      </c>
      <c r="M274" s="2" t="s">
        <v>690</v>
      </c>
      <c r="N274" s="2" t="str">
        <f>IFERROR(__xludf.DUMMYFUNCTION("""COMPUTED_VALUE"""),"")</f>
        <v/>
      </c>
    </row>
    <row r="275">
      <c r="A275" s="2" t="s">
        <v>33</v>
      </c>
      <c r="B275" s="12">
        <v>282287.0</v>
      </c>
      <c r="C275" s="12">
        <v>282976.0</v>
      </c>
      <c r="D275" s="2"/>
      <c r="E275" s="2" t="s">
        <v>38</v>
      </c>
      <c r="F275" s="2" t="s">
        <v>691</v>
      </c>
      <c r="G275" s="2"/>
      <c r="H275" s="12">
        <v>0.0</v>
      </c>
      <c r="I275" s="2" t="s">
        <v>40</v>
      </c>
      <c r="J275" s="2"/>
      <c r="K275" s="2" t="s">
        <v>692</v>
      </c>
      <c r="L275" s="12">
        <v>229.0</v>
      </c>
      <c r="M275" s="2" t="s">
        <v>693</v>
      </c>
      <c r="N275" s="2" t="str">
        <f>IFERROR(__xludf.DUMMYFUNCTION("""COMPUTED_VALUE"""),"")</f>
        <v/>
      </c>
    </row>
    <row r="276">
      <c r="A276" s="2" t="s">
        <v>33</v>
      </c>
      <c r="B276" s="12">
        <v>283133.0</v>
      </c>
      <c r="C276" s="12">
        <v>284035.0</v>
      </c>
      <c r="D276" s="2"/>
      <c r="E276" s="2" t="s">
        <v>34</v>
      </c>
      <c r="F276" s="2" t="s">
        <v>694</v>
      </c>
      <c r="G276" s="2"/>
      <c r="H276" s="12">
        <v>0.0</v>
      </c>
      <c r="I276" s="2" t="s">
        <v>40</v>
      </c>
      <c r="J276" s="2"/>
      <c r="K276" s="2" t="s">
        <v>695</v>
      </c>
      <c r="L276" s="12">
        <v>300.0</v>
      </c>
      <c r="M276" s="2" t="s">
        <v>696</v>
      </c>
      <c r="N276" s="2" t="str">
        <f>IFERROR(__xludf.DUMMYFUNCTION("""COMPUTED_VALUE"""),"")</f>
        <v/>
      </c>
    </row>
    <row r="277">
      <c r="A277" s="2" t="s">
        <v>33</v>
      </c>
      <c r="B277" s="12">
        <v>284132.0</v>
      </c>
      <c r="C277" s="12">
        <v>284395.0</v>
      </c>
      <c r="D277" s="2"/>
      <c r="E277" s="2" t="s">
        <v>38</v>
      </c>
      <c r="F277" s="2" t="s">
        <v>39</v>
      </c>
      <c r="G277" s="2"/>
      <c r="H277" s="12">
        <v>0.0</v>
      </c>
      <c r="I277" s="2" t="s">
        <v>40</v>
      </c>
      <c r="J277" s="2"/>
      <c r="K277" s="2" t="s">
        <v>697</v>
      </c>
      <c r="L277" s="12">
        <v>87.0</v>
      </c>
      <c r="M277" s="2" t="s">
        <v>698</v>
      </c>
      <c r="N277" s="2" t="str">
        <f>IFERROR(__xludf.DUMMYFUNCTION("""COMPUTED_VALUE"""),"")</f>
        <v/>
      </c>
    </row>
    <row r="278">
      <c r="A278" s="2" t="s">
        <v>33</v>
      </c>
      <c r="B278" s="12">
        <v>284447.0</v>
      </c>
      <c r="C278" s="12">
        <v>285571.0</v>
      </c>
      <c r="D278" s="2"/>
      <c r="E278" s="2" t="s">
        <v>38</v>
      </c>
      <c r="F278" s="2" t="s">
        <v>699</v>
      </c>
      <c r="G278" s="2"/>
      <c r="H278" s="12">
        <v>0.0</v>
      </c>
      <c r="I278" s="2" t="s">
        <v>40</v>
      </c>
      <c r="J278" s="2"/>
      <c r="K278" s="2" t="s">
        <v>700</v>
      </c>
      <c r="L278" s="12">
        <v>374.0</v>
      </c>
      <c r="M278" s="2" t="s">
        <v>701</v>
      </c>
      <c r="N278" s="2" t="str">
        <f>IFERROR(__xludf.DUMMYFUNCTION("""COMPUTED_VALUE"""),"")</f>
        <v/>
      </c>
    </row>
    <row r="279">
      <c r="A279" s="2" t="s">
        <v>33</v>
      </c>
      <c r="B279" s="12">
        <v>285858.0</v>
      </c>
      <c r="C279" s="12">
        <v>286289.0</v>
      </c>
      <c r="D279" s="2"/>
      <c r="E279" s="2" t="s">
        <v>34</v>
      </c>
      <c r="F279" s="2" t="s">
        <v>39</v>
      </c>
      <c r="G279" s="2"/>
      <c r="H279" s="12">
        <v>0.0</v>
      </c>
      <c r="I279" s="2" t="s">
        <v>40</v>
      </c>
      <c r="J279" s="2"/>
      <c r="K279" s="2" t="s">
        <v>702</v>
      </c>
      <c r="L279" s="12">
        <v>143.0</v>
      </c>
      <c r="M279" s="2" t="s">
        <v>703</v>
      </c>
      <c r="N279" s="2" t="str">
        <f>IFERROR(__xludf.DUMMYFUNCTION("""COMPUTED_VALUE"""),"")</f>
        <v/>
      </c>
    </row>
    <row r="280">
      <c r="A280" s="2" t="s">
        <v>33</v>
      </c>
      <c r="B280" s="12">
        <v>286368.0</v>
      </c>
      <c r="C280" s="12">
        <v>287411.0</v>
      </c>
      <c r="D280" s="2"/>
      <c r="E280" s="2" t="s">
        <v>38</v>
      </c>
      <c r="F280" s="2" t="s">
        <v>704</v>
      </c>
      <c r="G280" s="2"/>
      <c r="H280" s="12">
        <v>0.0</v>
      </c>
      <c r="I280" s="2" t="s">
        <v>40</v>
      </c>
      <c r="J280" s="2"/>
      <c r="K280" s="2" t="s">
        <v>705</v>
      </c>
      <c r="L280" s="12">
        <v>347.0</v>
      </c>
      <c r="M280" s="2" t="s">
        <v>706</v>
      </c>
      <c r="N280" s="2" t="str">
        <f>IFERROR(__xludf.DUMMYFUNCTION("""COMPUTED_VALUE"""),"")</f>
        <v/>
      </c>
    </row>
    <row r="281">
      <c r="A281" s="2" t="s">
        <v>33</v>
      </c>
      <c r="B281" s="12">
        <v>287541.0</v>
      </c>
      <c r="C281" s="12">
        <v>288407.0</v>
      </c>
      <c r="D281" s="2"/>
      <c r="E281" s="2" t="s">
        <v>34</v>
      </c>
      <c r="F281" s="2" t="s">
        <v>694</v>
      </c>
      <c r="G281" s="2"/>
      <c r="H281" s="12">
        <v>0.0</v>
      </c>
      <c r="I281" s="2" t="s">
        <v>40</v>
      </c>
      <c r="J281" s="2"/>
      <c r="K281" s="2" t="s">
        <v>707</v>
      </c>
      <c r="L281" s="12">
        <v>288.0</v>
      </c>
      <c r="M281" s="2" t="s">
        <v>708</v>
      </c>
      <c r="N281" s="2" t="str">
        <f>IFERROR(__xludf.DUMMYFUNCTION("""COMPUTED_VALUE"""),"")</f>
        <v/>
      </c>
    </row>
    <row r="282">
      <c r="A282" s="2" t="s">
        <v>33</v>
      </c>
      <c r="B282" s="12">
        <v>288478.0</v>
      </c>
      <c r="C282" s="12">
        <v>289083.0</v>
      </c>
      <c r="D282" s="2"/>
      <c r="E282" s="2" t="s">
        <v>38</v>
      </c>
      <c r="F282" s="2" t="s">
        <v>709</v>
      </c>
      <c r="G282" s="2"/>
      <c r="H282" s="12">
        <v>0.0</v>
      </c>
      <c r="I282" s="2" t="s">
        <v>40</v>
      </c>
      <c r="J282" s="2"/>
      <c r="K282" s="2" t="s">
        <v>710</v>
      </c>
      <c r="L282" s="12">
        <v>201.0</v>
      </c>
      <c r="M282" s="2" t="s">
        <v>711</v>
      </c>
      <c r="N282" s="2" t="str">
        <f>IFERROR(__xludf.DUMMYFUNCTION("""COMPUTED_VALUE"""),"")</f>
        <v/>
      </c>
    </row>
    <row r="283">
      <c r="A283" s="2" t="s">
        <v>33</v>
      </c>
      <c r="B283" s="12">
        <v>289341.0</v>
      </c>
      <c r="C283" s="12">
        <v>290000.0</v>
      </c>
      <c r="D283" s="2"/>
      <c r="E283" s="2" t="s">
        <v>38</v>
      </c>
      <c r="F283" s="2" t="s">
        <v>712</v>
      </c>
      <c r="G283" s="2"/>
      <c r="H283" s="12">
        <v>0.0</v>
      </c>
      <c r="I283" s="2" t="s">
        <v>40</v>
      </c>
      <c r="J283" s="2"/>
      <c r="K283" s="2" t="s">
        <v>713</v>
      </c>
      <c r="L283" s="12">
        <v>219.0</v>
      </c>
      <c r="M283" s="2" t="s">
        <v>714</v>
      </c>
      <c r="N283" s="2" t="str">
        <f>IFERROR(__xludf.DUMMYFUNCTION("""COMPUTED_VALUE"""),"")</f>
        <v/>
      </c>
    </row>
    <row r="284">
      <c r="A284" s="2" t="s">
        <v>33</v>
      </c>
      <c r="B284" s="12">
        <v>290000.0</v>
      </c>
      <c r="C284" s="12">
        <v>290896.0</v>
      </c>
      <c r="D284" s="2"/>
      <c r="E284" s="2" t="s">
        <v>38</v>
      </c>
      <c r="F284" s="2" t="s">
        <v>306</v>
      </c>
      <c r="G284" s="2"/>
      <c r="H284" s="12">
        <v>0.0</v>
      </c>
      <c r="I284" s="2" t="s">
        <v>40</v>
      </c>
      <c r="J284" s="2"/>
      <c r="K284" s="2" t="s">
        <v>715</v>
      </c>
      <c r="L284" s="12">
        <v>298.0</v>
      </c>
      <c r="M284" s="2" t="s">
        <v>716</v>
      </c>
      <c r="N284" s="2" t="str">
        <f>IFERROR(__xludf.DUMMYFUNCTION("""COMPUTED_VALUE"""),"")</f>
        <v/>
      </c>
    </row>
    <row r="285">
      <c r="A285" s="2" t="s">
        <v>33</v>
      </c>
      <c r="B285" s="12">
        <v>291289.0</v>
      </c>
      <c r="C285" s="12">
        <v>291492.0</v>
      </c>
      <c r="D285" s="2"/>
      <c r="E285" s="2" t="s">
        <v>34</v>
      </c>
      <c r="F285" s="2" t="s">
        <v>717</v>
      </c>
      <c r="G285" s="2" t="s">
        <v>718</v>
      </c>
      <c r="H285" s="12">
        <v>0.0</v>
      </c>
      <c r="I285" s="2" t="s">
        <v>40</v>
      </c>
      <c r="J285" s="2"/>
      <c r="K285" s="2" t="s">
        <v>719</v>
      </c>
      <c r="L285" s="12">
        <v>67.0</v>
      </c>
      <c r="M285" s="2" t="s">
        <v>720</v>
      </c>
      <c r="N285" s="2" t="str">
        <f>IFERROR(__xludf.DUMMYFUNCTION("""COMPUTED_VALUE"""),"")</f>
        <v/>
      </c>
    </row>
    <row r="286">
      <c r="A286" s="2" t="s">
        <v>33</v>
      </c>
      <c r="B286" s="12">
        <v>291579.0</v>
      </c>
      <c r="C286" s="12">
        <v>291764.0</v>
      </c>
      <c r="D286" s="2"/>
      <c r="E286" s="2" t="s">
        <v>34</v>
      </c>
      <c r="F286" s="2" t="s">
        <v>721</v>
      </c>
      <c r="G286" s="2"/>
      <c r="H286" s="12">
        <v>0.0</v>
      </c>
      <c r="I286" s="2" t="s">
        <v>40</v>
      </c>
      <c r="J286" s="2"/>
      <c r="K286" s="2" t="s">
        <v>722</v>
      </c>
      <c r="L286" s="12">
        <v>61.0</v>
      </c>
      <c r="M286" s="2" t="s">
        <v>723</v>
      </c>
      <c r="N286" s="2" t="str">
        <f>IFERROR(__xludf.DUMMYFUNCTION("""COMPUTED_VALUE"""),"")</f>
        <v/>
      </c>
    </row>
    <row r="287">
      <c r="A287" s="2" t="s">
        <v>33</v>
      </c>
      <c r="B287" s="12">
        <v>291808.0</v>
      </c>
      <c r="C287" s="12">
        <v>292359.0</v>
      </c>
      <c r="D287" s="2"/>
      <c r="E287" s="2" t="s">
        <v>38</v>
      </c>
      <c r="F287" s="2" t="s">
        <v>367</v>
      </c>
      <c r="G287" s="2"/>
      <c r="H287" s="12">
        <v>0.0</v>
      </c>
      <c r="I287" s="2" t="s">
        <v>40</v>
      </c>
      <c r="J287" s="2"/>
      <c r="K287" s="2" t="s">
        <v>724</v>
      </c>
      <c r="L287" s="12">
        <v>183.0</v>
      </c>
      <c r="M287" s="2" t="s">
        <v>725</v>
      </c>
      <c r="N287" s="2" t="str">
        <f>IFERROR(__xludf.DUMMYFUNCTION("""COMPUTED_VALUE"""),"")</f>
        <v/>
      </c>
    </row>
    <row r="288">
      <c r="A288" s="2" t="s">
        <v>33</v>
      </c>
      <c r="B288" s="12">
        <v>292668.0</v>
      </c>
      <c r="C288" s="12">
        <v>293216.0</v>
      </c>
      <c r="D288" s="2"/>
      <c r="E288" s="2" t="s">
        <v>34</v>
      </c>
      <c r="F288" s="2" t="s">
        <v>39</v>
      </c>
      <c r="G288" s="2"/>
      <c r="H288" s="12">
        <v>0.0</v>
      </c>
      <c r="I288" s="2" t="s">
        <v>40</v>
      </c>
      <c r="J288" s="2"/>
      <c r="K288" s="2" t="s">
        <v>726</v>
      </c>
      <c r="L288" s="12">
        <v>182.0</v>
      </c>
      <c r="M288" s="2" t="s">
        <v>727</v>
      </c>
      <c r="N288" s="2" t="str">
        <f>IFERROR(__xludf.DUMMYFUNCTION("""COMPUTED_VALUE"""),"")</f>
        <v/>
      </c>
    </row>
    <row r="289">
      <c r="A289" s="2" t="s">
        <v>33</v>
      </c>
      <c r="B289" s="12">
        <v>293272.0</v>
      </c>
      <c r="C289" s="12">
        <v>294663.0</v>
      </c>
      <c r="D289" s="2"/>
      <c r="E289" s="2" t="s">
        <v>38</v>
      </c>
      <c r="F289" s="2" t="s">
        <v>728</v>
      </c>
      <c r="G289" s="2"/>
      <c r="H289" s="12">
        <v>0.0</v>
      </c>
      <c r="I289" s="2" t="s">
        <v>40</v>
      </c>
      <c r="J289" s="2"/>
      <c r="K289" s="2" t="s">
        <v>729</v>
      </c>
      <c r="L289" s="12">
        <v>463.0</v>
      </c>
      <c r="M289" s="2" t="s">
        <v>730</v>
      </c>
      <c r="N289" s="2" t="str">
        <f>IFERROR(__xludf.DUMMYFUNCTION("""COMPUTED_VALUE"""),"")</f>
        <v/>
      </c>
    </row>
    <row r="290">
      <c r="A290" s="2" t="s">
        <v>33</v>
      </c>
      <c r="B290" s="12">
        <v>294841.0</v>
      </c>
      <c r="C290" s="12">
        <v>294990.0</v>
      </c>
      <c r="D290" s="2"/>
      <c r="E290" s="2" t="s">
        <v>38</v>
      </c>
      <c r="F290" s="2" t="s">
        <v>731</v>
      </c>
      <c r="G290" s="2"/>
      <c r="H290" s="12">
        <v>0.0</v>
      </c>
      <c r="I290" s="2" t="s">
        <v>40</v>
      </c>
      <c r="J290" s="2"/>
      <c r="K290" s="2" t="s">
        <v>732</v>
      </c>
      <c r="L290" s="12">
        <v>49.0</v>
      </c>
      <c r="M290" s="2" t="s">
        <v>733</v>
      </c>
      <c r="N290" s="2" t="str">
        <f>IFERROR(__xludf.DUMMYFUNCTION("""COMPUTED_VALUE"""),"")</f>
        <v/>
      </c>
    </row>
    <row r="291">
      <c r="A291" s="2" t="s">
        <v>33</v>
      </c>
      <c r="B291" s="12">
        <v>295161.0</v>
      </c>
      <c r="C291" s="12">
        <v>296105.0</v>
      </c>
      <c r="D291" s="2"/>
      <c r="E291" s="2" t="s">
        <v>38</v>
      </c>
      <c r="F291" s="2" t="s">
        <v>39</v>
      </c>
      <c r="G291" s="2"/>
      <c r="H291" s="12">
        <v>0.0</v>
      </c>
      <c r="I291" s="2" t="s">
        <v>40</v>
      </c>
      <c r="J291" s="2"/>
      <c r="K291" s="2" t="s">
        <v>734</v>
      </c>
      <c r="L291" s="12">
        <v>314.0</v>
      </c>
      <c r="M291" s="2" t="s">
        <v>735</v>
      </c>
      <c r="N291" s="2" t="str">
        <f>IFERROR(__xludf.DUMMYFUNCTION("""COMPUTED_VALUE"""),"")</f>
        <v/>
      </c>
    </row>
    <row r="292">
      <c r="A292" s="2" t="s">
        <v>33</v>
      </c>
      <c r="B292" s="12">
        <v>296139.0</v>
      </c>
      <c r="C292" s="12">
        <v>296699.0</v>
      </c>
      <c r="D292" s="2"/>
      <c r="E292" s="2" t="s">
        <v>38</v>
      </c>
      <c r="F292" s="2" t="s">
        <v>216</v>
      </c>
      <c r="G292" s="2"/>
      <c r="H292" s="12">
        <v>0.0</v>
      </c>
      <c r="I292" s="2" t="s">
        <v>40</v>
      </c>
      <c r="J292" s="2"/>
      <c r="K292" s="2" t="s">
        <v>736</v>
      </c>
      <c r="L292" s="12">
        <v>186.0</v>
      </c>
      <c r="M292" s="2" t="s">
        <v>737</v>
      </c>
      <c r="N292" s="2" t="str">
        <f>IFERROR(__xludf.DUMMYFUNCTION("""COMPUTED_VALUE"""),"")</f>
        <v/>
      </c>
    </row>
    <row r="293">
      <c r="A293" s="2" t="s">
        <v>33</v>
      </c>
      <c r="B293" s="12">
        <v>296870.0</v>
      </c>
      <c r="C293" s="12">
        <v>297757.0</v>
      </c>
      <c r="D293" s="2"/>
      <c r="E293" s="2" t="s">
        <v>34</v>
      </c>
      <c r="F293" s="2" t="s">
        <v>738</v>
      </c>
      <c r="G293" s="2"/>
      <c r="H293" s="12">
        <v>0.0</v>
      </c>
      <c r="I293" s="2" t="s">
        <v>40</v>
      </c>
      <c r="J293" s="2"/>
      <c r="K293" s="2" t="s">
        <v>739</v>
      </c>
      <c r="L293" s="12">
        <v>295.0</v>
      </c>
      <c r="M293" s="2" t="s">
        <v>740</v>
      </c>
      <c r="N293" s="2" t="str">
        <f>IFERROR(__xludf.DUMMYFUNCTION("""COMPUTED_VALUE"""),"")</f>
        <v/>
      </c>
    </row>
    <row r="294">
      <c r="A294" s="2" t="s">
        <v>33</v>
      </c>
      <c r="B294" s="12">
        <v>297780.0</v>
      </c>
      <c r="C294" s="12">
        <v>298292.0</v>
      </c>
      <c r="D294" s="2"/>
      <c r="E294" s="2" t="s">
        <v>38</v>
      </c>
      <c r="F294" s="2" t="s">
        <v>367</v>
      </c>
      <c r="G294" s="2"/>
      <c r="H294" s="12">
        <v>0.0</v>
      </c>
      <c r="I294" s="2" t="s">
        <v>40</v>
      </c>
      <c r="J294" s="2"/>
      <c r="K294" s="2" t="s">
        <v>741</v>
      </c>
      <c r="L294" s="12">
        <v>170.0</v>
      </c>
      <c r="M294" s="2" t="s">
        <v>742</v>
      </c>
      <c r="N294" s="2" t="str">
        <f>IFERROR(__xludf.DUMMYFUNCTION("""COMPUTED_VALUE"""),"")</f>
        <v/>
      </c>
    </row>
    <row r="295">
      <c r="A295" s="2" t="s">
        <v>33</v>
      </c>
      <c r="B295" s="12">
        <v>298454.0</v>
      </c>
      <c r="C295" s="12">
        <v>299398.0</v>
      </c>
      <c r="D295" s="2"/>
      <c r="E295" s="2" t="s">
        <v>38</v>
      </c>
      <c r="F295" s="2" t="s">
        <v>367</v>
      </c>
      <c r="G295" s="2"/>
      <c r="H295" s="12">
        <v>0.0</v>
      </c>
      <c r="I295" s="2" t="s">
        <v>40</v>
      </c>
      <c r="J295" s="2"/>
      <c r="K295" s="2" t="s">
        <v>743</v>
      </c>
      <c r="L295" s="12">
        <v>314.0</v>
      </c>
      <c r="M295" s="2" t="s">
        <v>744</v>
      </c>
      <c r="N295" s="2" t="str">
        <f>IFERROR(__xludf.DUMMYFUNCTION("""COMPUTED_VALUE"""),"")</f>
        <v/>
      </c>
    </row>
    <row r="296">
      <c r="A296" s="2" t="s">
        <v>33</v>
      </c>
      <c r="B296" s="12">
        <v>299436.0</v>
      </c>
      <c r="C296" s="12">
        <v>299960.0</v>
      </c>
      <c r="D296" s="2"/>
      <c r="E296" s="2" t="s">
        <v>38</v>
      </c>
      <c r="F296" s="2" t="s">
        <v>367</v>
      </c>
      <c r="G296" s="2"/>
      <c r="H296" s="12">
        <v>0.0</v>
      </c>
      <c r="I296" s="2" t="s">
        <v>40</v>
      </c>
      <c r="J296" s="2"/>
      <c r="K296" s="2" t="s">
        <v>745</v>
      </c>
      <c r="L296" s="12">
        <v>174.0</v>
      </c>
      <c r="M296" s="2" t="s">
        <v>746</v>
      </c>
      <c r="N296" s="2" t="str">
        <f>IFERROR(__xludf.DUMMYFUNCTION("""COMPUTED_VALUE"""),"")</f>
        <v/>
      </c>
    </row>
    <row r="297">
      <c r="A297" s="2" t="s">
        <v>33</v>
      </c>
      <c r="B297" s="12">
        <v>300483.0</v>
      </c>
      <c r="C297" s="12">
        <v>301562.0</v>
      </c>
      <c r="D297" s="2"/>
      <c r="E297" s="2" t="s">
        <v>38</v>
      </c>
      <c r="F297" s="2" t="s">
        <v>76</v>
      </c>
      <c r="G297" s="2"/>
      <c r="H297" s="12">
        <v>0.0</v>
      </c>
      <c r="I297" s="2" t="s">
        <v>40</v>
      </c>
      <c r="J297" s="2"/>
      <c r="K297" s="2" t="s">
        <v>77</v>
      </c>
      <c r="L297" s="12">
        <v>359.0</v>
      </c>
      <c r="M297" s="2" t="s">
        <v>747</v>
      </c>
      <c r="N297" s="2" t="str">
        <f>IFERROR(__xludf.DUMMYFUNCTION("""COMPUTED_VALUE"""),"")</f>
        <v/>
      </c>
    </row>
    <row r="298">
      <c r="A298" s="2" t="s">
        <v>33</v>
      </c>
      <c r="B298" s="12">
        <v>301568.0</v>
      </c>
      <c r="C298" s="12">
        <v>301969.0</v>
      </c>
      <c r="D298" s="2"/>
      <c r="E298" s="2" t="s">
        <v>38</v>
      </c>
      <c r="F298" s="2" t="s">
        <v>748</v>
      </c>
      <c r="G298" s="2" t="s">
        <v>79</v>
      </c>
      <c r="H298" s="12">
        <v>0.0</v>
      </c>
      <c r="I298" s="2" t="s">
        <v>40</v>
      </c>
      <c r="J298" s="2"/>
      <c r="K298" s="2" t="s">
        <v>749</v>
      </c>
      <c r="L298" s="12">
        <v>133.0</v>
      </c>
      <c r="M298" s="2" t="s">
        <v>750</v>
      </c>
      <c r="N298" s="2" t="str">
        <f>IFERROR(__xludf.DUMMYFUNCTION("""COMPUTED_VALUE"""),"")</f>
        <v/>
      </c>
    </row>
    <row r="299">
      <c r="A299" s="2" t="s">
        <v>33</v>
      </c>
      <c r="B299" s="12">
        <v>302211.0</v>
      </c>
      <c r="C299" s="12">
        <v>302393.0</v>
      </c>
      <c r="D299" s="2"/>
      <c r="E299" s="2" t="s">
        <v>34</v>
      </c>
      <c r="F299" s="2" t="s">
        <v>751</v>
      </c>
      <c r="G299" s="2"/>
      <c r="H299" s="12">
        <v>0.0</v>
      </c>
      <c r="I299" s="2" t="s">
        <v>40</v>
      </c>
      <c r="J299" s="2"/>
      <c r="K299" s="2" t="s">
        <v>752</v>
      </c>
      <c r="L299" s="12">
        <v>60.0</v>
      </c>
      <c r="M299" s="2" t="s">
        <v>753</v>
      </c>
      <c r="N299" s="2" t="str">
        <f>IFERROR(__xludf.DUMMYFUNCTION("""COMPUTED_VALUE"""),"")</f>
        <v/>
      </c>
    </row>
    <row r="300">
      <c r="A300" s="2" t="s">
        <v>33</v>
      </c>
      <c r="B300" s="12">
        <v>302481.0</v>
      </c>
      <c r="C300" s="12">
        <v>303838.0</v>
      </c>
      <c r="D300" s="2"/>
      <c r="E300" s="2" t="s">
        <v>34</v>
      </c>
      <c r="F300" s="2" t="s">
        <v>754</v>
      </c>
      <c r="G300" s="2"/>
      <c r="H300" s="12">
        <v>0.0</v>
      </c>
      <c r="I300" s="2" t="s">
        <v>40</v>
      </c>
      <c r="J300" s="2"/>
      <c r="K300" s="2" t="s">
        <v>755</v>
      </c>
      <c r="L300" s="12">
        <v>452.0</v>
      </c>
      <c r="M300" s="2" t="s">
        <v>756</v>
      </c>
      <c r="N300" s="2" t="str">
        <f>IFERROR(__xludf.DUMMYFUNCTION("""COMPUTED_VALUE"""),"")</f>
        <v/>
      </c>
    </row>
    <row r="301">
      <c r="A301" s="2" t="s">
        <v>33</v>
      </c>
      <c r="B301" s="12">
        <v>303895.0</v>
      </c>
      <c r="C301" s="12">
        <v>306126.0</v>
      </c>
      <c r="D301" s="2"/>
      <c r="E301" s="2" t="s">
        <v>38</v>
      </c>
      <c r="F301" s="2" t="s">
        <v>757</v>
      </c>
      <c r="G301" s="2"/>
      <c r="H301" s="12">
        <v>0.0</v>
      </c>
      <c r="I301" s="2" t="s">
        <v>40</v>
      </c>
      <c r="J301" s="2"/>
      <c r="K301" s="2" t="s">
        <v>758</v>
      </c>
      <c r="L301" s="12">
        <v>743.0</v>
      </c>
      <c r="M301" s="2" t="s">
        <v>759</v>
      </c>
      <c r="N301" s="2" t="str">
        <f>IFERROR(__xludf.DUMMYFUNCTION("""COMPUTED_VALUE"""),"")</f>
        <v/>
      </c>
    </row>
    <row r="302">
      <c r="A302" s="2" t="s">
        <v>33</v>
      </c>
      <c r="B302" s="12">
        <v>306248.0</v>
      </c>
      <c r="C302" s="12">
        <v>306871.0</v>
      </c>
      <c r="D302" s="2"/>
      <c r="E302" s="2" t="s">
        <v>34</v>
      </c>
      <c r="F302" s="2" t="s">
        <v>427</v>
      </c>
      <c r="G302" s="2"/>
      <c r="H302" s="12">
        <v>0.0</v>
      </c>
      <c r="I302" s="2" t="s">
        <v>40</v>
      </c>
      <c r="J302" s="2"/>
      <c r="K302" s="2" t="s">
        <v>760</v>
      </c>
      <c r="L302" s="12">
        <v>207.0</v>
      </c>
      <c r="M302" s="2" t="s">
        <v>761</v>
      </c>
      <c r="N302" s="2" t="str">
        <f>IFERROR(__xludf.DUMMYFUNCTION("""COMPUTED_VALUE"""),"")</f>
        <v/>
      </c>
    </row>
    <row r="303">
      <c r="A303" s="2" t="s">
        <v>33</v>
      </c>
      <c r="B303" s="12">
        <v>306969.0</v>
      </c>
      <c r="C303" s="12">
        <v>307622.0</v>
      </c>
      <c r="D303" s="2"/>
      <c r="E303" s="2" t="s">
        <v>38</v>
      </c>
      <c r="F303" s="2" t="s">
        <v>599</v>
      </c>
      <c r="G303" s="2"/>
      <c r="H303" s="12">
        <v>0.0</v>
      </c>
      <c r="I303" s="2" t="s">
        <v>40</v>
      </c>
      <c r="J303" s="2"/>
      <c r="K303" s="2" t="s">
        <v>762</v>
      </c>
      <c r="L303" s="12">
        <v>217.0</v>
      </c>
      <c r="M303" s="2" t="s">
        <v>763</v>
      </c>
      <c r="N303" s="2" t="str">
        <f>IFERROR(__xludf.DUMMYFUNCTION("""COMPUTED_VALUE"""),"")</f>
        <v/>
      </c>
    </row>
    <row r="304">
      <c r="A304" s="2" t="s">
        <v>33</v>
      </c>
      <c r="B304" s="12">
        <v>307740.0</v>
      </c>
      <c r="C304" s="12">
        <v>308147.0</v>
      </c>
      <c r="D304" s="2"/>
      <c r="E304" s="2" t="s">
        <v>38</v>
      </c>
      <c r="F304" s="2" t="s">
        <v>367</v>
      </c>
      <c r="G304" s="2"/>
      <c r="H304" s="12">
        <v>0.0</v>
      </c>
      <c r="I304" s="2" t="s">
        <v>40</v>
      </c>
      <c r="J304" s="2"/>
      <c r="K304" s="2" t="s">
        <v>764</v>
      </c>
      <c r="L304" s="12">
        <v>135.0</v>
      </c>
      <c r="M304" s="2" t="s">
        <v>765</v>
      </c>
      <c r="N304" s="2" t="str">
        <f>IFERROR(__xludf.DUMMYFUNCTION("""COMPUTED_VALUE"""),"")</f>
        <v/>
      </c>
    </row>
    <row r="305">
      <c r="A305" s="2" t="s">
        <v>33</v>
      </c>
      <c r="B305" s="12">
        <v>308732.0</v>
      </c>
      <c r="C305" s="12">
        <v>309652.0</v>
      </c>
      <c r="D305" s="2"/>
      <c r="E305" s="2" t="s">
        <v>38</v>
      </c>
      <c r="F305" s="2" t="s">
        <v>326</v>
      </c>
      <c r="G305" s="2"/>
      <c r="H305" s="12">
        <v>0.0</v>
      </c>
      <c r="I305" s="2" t="s">
        <v>40</v>
      </c>
      <c r="J305" s="2"/>
      <c r="K305" s="2" t="s">
        <v>766</v>
      </c>
      <c r="L305" s="12">
        <v>306.0</v>
      </c>
      <c r="M305" s="2" t="s">
        <v>767</v>
      </c>
      <c r="N305" s="2" t="str">
        <f>IFERROR(__xludf.DUMMYFUNCTION("""COMPUTED_VALUE"""),"")</f>
        <v/>
      </c>
    </row>
    <row r="306">
      <c r="A306" s="2" t="s">
        <v>33</v>
      </c>
      <c r="B306" s="12">
        <v>309734.0</v>
      </c>
      <c r="C306" s="12">
        <v>310204.0</v>
      </c>
      <c r="D306" s="2"/>
      <c r="E306" s="2" t="s">
        <v>38</v>
      </c>
      <c r="F306" s="2" t="s">
        <v>738</v>
      </c>
      <c r="G306" s="2"/>
      <c r="H306" s="12">
        <v>0.0</v>
      </c>
      <c r="I306" s="2" t="s">
        <v>40</v>
      </c>
      <c r="J306" s="2"/>
      <c r="K306" s="2" t="s">
        <v>768</v>
      </c>
      <c r="L306" s="12">
        <v>156.0</v>
      </c>
      <c r="M306" s="2" t="s">
        <v>769</v>
      </c>
      <c r="N306" s="2" t="str">
        <f>IFERROR(__xludf.DUMMYFUNCTION("""COMPUTED_VALUE"""),"")</f>
        <v/>
      </c>
    </row>
    <row r="307">
      <c r="A307" s="2" t="s">
        <v>33</v>
      </c>
      <c r="B307" s="12">
        <v>310221.0</v>
      </c>
      <c r="C307" s="12">
        <v>310916.0</v>
      </c>
      <c r="D307" s="2"/>
      <c r="E307" s="2" t="s">
        <v>38</v>
      </c>
      <c r="F307" s="2" t="s">
        <v>770</v>
      </c>
      <c r="G307" s="2"/>
      <c r="H307" s="12">
        <v>0.0</v>
      </c>
      <c r="I307" s="2" t="s">
        <v>40</v>
      </c>
      <c r="J307" s="2"/>
      <c r="K307" s="2" t="s">
        <v>771</v>
      </c>
      <c r="L307" s="12">
        <v>231.0</v>
      </c>
      <c r="M307" s="2" t="s">
        <v>772</v>
      </c>
      <c r="N307" s="2" t="str">
        <f>IFERROR(__xludf.DUMMYFUNCTION("""COMPUTED_VALUE"""),"")</f>
        <v/>
      </c>
    </row>
    <row r="308">
      <c r="A308" s="2" t="s">
        <v>33</v>
      </c>
      <c r="B308" s="12">
        <v>310936.0</v>
      </c>
      <c r="C308" s="12">
        <v>311361.0</v>
      </c>
      <c r="D308" s="2"/>
      <c r="E308" s="2" t="s">
        <v>38</v>
      </c>
      <c r="F308" s="2" t="s">
        <v>738</v>
      </c>
      <c r="G308" s="2"/>
      <c r="H308" s="12">
        <v>0.0</v>
      </c>
      <c r="I308" s="2" t="s">
        <v>40</v>
      </c>
      <c r="J308" s="2"/>
      <c r="K308" s="2" t="s">
        <v>773</v>
      </c>
      <c r="L308" s="12">
        <v>141.0</v>
      </c>
      <c r="M308" s="2" t="s">
        <v>774</v>
      </c>
      <c r="N308" s="2" t="str">
        <f>IFERROR(__xludf.DUMMYFUNCTION("""COMPUTED_VALUE"""),"")</f>
        <v/>
      </c>
    </row>
    <row r="309">
      <c r="A309" s="2" t="s">
        <v>33</v>
      </c>
      <c r="B309" s="12">
        <v>311532.0</v>
      </c>
      <c r="C309" s="12">
        <v>312018.0</v>
      </c>
      <c r="D309" s="2"/>
      <c r="E309" s="2" t="s">
        <v>38</v>
      </c>
      <c r="F309" s="2" t="s">
        <v>35</v>
      </c>
      <c r="G309" s="2"/>
      <c r="H309" s="12">
        <v>0.0</v>
      </c>
      <c r="I309" s="2" t="s">
        <v>36</v>
      </c>
      <c r="J309" s="2"/>
      <c r="K309" s="2"/>
      <c r="L309" s="2"/>
      <c r="M309" s="2" t="s">
        <v>775</v>
      </c>
      <c r="N309" s="2" t="str">
        <f>IFERROR(__xludf.DUMMYFUNCTION("""COMPUTED_VALUE"""),"")</f>
        <v/>
      </c>
    </row>
    <row r="310">
      <c r="A310" s="2" t="s">
        <v>33</v>
      </c>
      <c r="B310" s="12">
        <v>312231.0</v>
      </c>
      <c r="C310" s="12">
        <v>312833.0</v>
      </c>
      <c r="D310" s="2"/>
      <c r="E310" s="2" t="s">
        <v>34</v>
      </c>
      <c r="F310" s="2" t="s">
        <v>776</v>
      </c>
      <c r="G310" s="2"/>
      <c r="H310" s="12">
        <v>0.0</v>
      </c>
      <c r="I310" s="2" t="s">
        <v>40</v>
      </c>
      <c r="J310" s="2"/>
      <c r="K310" s="2" t="s">
        <v>777</v>
      </c>
      <c r="L310" s="12">
        <v>200.0</v>
      </c>
      <c r="M310" s="2" t="s">
        <v>778</v>
      </c>
      <c r="N310" s="2" t="str">
        <f>IFERROR(__xludf.DUMMYFUNCTION("""COMPUTED_VALUE"""),"")</f>
        <v/>
      </c>
    </row>
    <row r="311">
      <c r="A311" s="2" t="s">
        <v>33</v>
      </c>
      <c r="B311" s="12">
        <v>312855.0</v>
      </c>
      <c r="C311" s="12">
        <v>313808.0</v>
      </c>
      <c r="D311" s="2"/>
      <c r="E311" s="2" t="s">
        <v>34</v>
      </c>
      <c r="F311" s="2" t="s">
        <v>779</v>
      </c>
      <c r="G311" s="2"/>
      <c r="H311" s="12">
        <v>0.0</v>
      </c>
      <c r="I311" s="2" t="s">
        <v>40</v>
      </c>
      <c r="J311" s="2"/>
      <c r="K311" s="2" t="s">
        <v>780</v>
      </c>
      <c r="L311" s="12">
        <v>317.0</v>
      </c>
      <c r="M311" s="2" t="s">
        <v>781</v>
      </c>
      <c r="N311" s="2" t="str">
        <f>IFERROR(__xludf.DUMMYFUNCTION("""COMPUTED_VALUE"""),"")</f>
        <v/>
      </c>
    </row>
    <row r="312">
      <c r="A312" s="2" t="s">
        <v>33</v>
      </c>
      <c r="B312" s="12">
        <v>313973.0</v>
      </c>
      <c r="C312" s="12">
        <v>314800.0</v>
      </c>
      <c r="D312" s="2"/>
      <c r="E312" s="2" t="s">
        <v>38</v>
      </c>
      <c r="F312" s="2" t="s">
        <v>599</v>
      </c>
      <c r="G312" s="2"/>
      <c r="H312" s="12">
        <v>0.0</v>
      </c>
      <c r="I312" s="2" t="s">
        <v>40</v>
      </c>
      <c r="J312" s="2"/>
      <c r="K312" s="2" t="s">
        <v>782</v>
      </c>
      <c r="L312" s="12">
        <v>275.0</v>
      </c>
      <c r="M312" s="2" t="s">
        <v>783</v>
      </c>
      <c r="N312" s="2" t="str">
        <f>IFERROR(__xludf.DUMMYFUNCTION("""COMPUTED_VALUE"""),"")</f>
        <v/>
      </c>
    </row>
    <row r="313">
      <c r="A313" s="2" t="s">
        <v>33</v>
      </c>
      <c r="B313" s="12">
        <v>314995.0</v>
      </c>
      <c r="C313" s="12">
        <v>315733.0</v>
      </c>
      <c r="D313" s="2"/>
      <c r="E313" s="2" t="s">
        <v>34</v>
      </c>
      <c r="F313" s="2" t="s">
        <v>35</v>
      </c>
      <c r="G313" s="2"/>
      <c r="H313" s="12">
        <v>0.0</v>
      </c>
      <c r="I313" s="2" t="s">
        <v>36</v>
      </c>
      <c r="J313" s="2"/>
      <c r="K313" s="2"/>
      <c r="L313" s="2"/>
      <c r="M313" s="2" t="s">
        <v>784</v>
      </c>
      <c r="N313" s="2" t="str">
        <f>IFERROR(__xludf.DUMMYFUNCTION("""COMPUTED_VALUE"""),"")</f>
        <v/>
      </c>
    </row>
    <row r="314">
      <c r="A314" s="2" t="s">
        <v>33</v>
      </c>
      <c r="B314" s="12">
        <v>315871.0</v>
      </c>
      <c r="C314" s="12">
        <v>317573.0</v>
      </c>
      <c r="D314" s="2"/>
      <c r="E314" s="2" t="s">
        <v>34</v>
      </c>
      <c r="F314" s="2" t="s">
        <v>35</v>
      </c>
      <c r="G314" s="2"/>
      <c r="H314" s="12">
        <v>0.0</v>
      </c>
      <c r="I314" s="2" t="s">
        <v>36</v>
      </c>
      <c r="J314" s="2"/>
      <c r="K314" s="2"/>
      <c r="L314" s="2"/>
      <c r="M314" s="2" t="s">
        <v>785</v>
      </c>
      <c r="N314" s="2" t="str">
        <f>IFERROR(__xludf.DUMMYFUNCTION("""COMPUTED_VALUE"""),"")</f>
        <v/>
      </c>
    </row>
    <row r="315">
      <c r="A315" s="2" t="s">
        <v>33</v>
      </c>
      <c r="B315" s="12">
        <v>317618.0</v>
      </c>
      <c r="C315" s="12">
        <v>318620.0</v>
      </c>
      <c r="D315" s="2"/>
      <c r="E315" s="2" t="s">
        <v>38</v>
      </c>
      <c r="F315" s="2" t="s">
        <v>35</v>
      </c>
      <c r="G315" s="2"/>
      <c r="H315" s="12">
        <v>0.0</v>
      </c>
      <c r="I315" s="2" t="s">
        <v>36</v>
      </c>
      <c r="J315" s="2"/>
      <c r="K315" s="2"/>
      <c r="L315" s="2"/>
      <c r="M315" s="2" t="s">
        <v>786</v>
      </c>
      <c r="N315" s="2" t="str">
        <f>IFERROR(__xludf.DUMMYFUNCTION("""COMPUTED_VALUE"""),"")</f>
        <v/>
      </c>
    </row>
    <row r="316">
      <c r="A316" s="2" t="s">
        <v>33</v>
      </c>
      <c r="B316" s="12">
        <v>318605.0</v>
      </c>
      <c r="C316" s="12">
        <v>319489.0</v>
      </c>
      <c r="D316" s="2"/>
      <c r="E316" s="2" t="s">
        <v>38</v>
      </c>
      <c r="F316" s="2" t="s">
        <v>787</v>
      </c>
      <c r="G316" s="2"/>
      <c r="H316" s="12">
        <v>0.0</v>
      </c>
      <c r="I316" s="2" t="s">
        <v>40</v>
      </c>
      <c r="J316" s="2"/>
      <c r="K316" s="2" t="s">
        <v>788</v>
      </c>
      <c r="L316" s="12">
        <v>294.0</v>
      </c>
      <c r="M316" s="2" t="s">
        <v>789</v>
      </c>
      <c r="N316" s="2" t="str">
        <f>IFERROR(__xludf.DUMMYFUNCTION("""COMPUTED_VALUE"""),"")</f>
        <v/>
      </c>
    </row>
    <row r="317">
      <c r="A317" s="2" t="s">
        <v>33</v>
      </c>
      <c r="B317" s="12">
        <v>319611.0</v>
      </c>
      <c r="C317" s="12">
        <v>320330.0</v>
      </c>
      <c r="D317" s="2"/>
      <c r="E317" s="2" t="s">
        <v>38</v>
      </c>
      <c r="F317" s="2" t="s">
        <v>35</v>
      </c>
      <c r="G317" s="2"/>
      <c r="H317" s="12">
        <v>0.0</v>
      </c>
      <c r="I317" s="2" t="s">
        <v>36</v>
      </c>
      <c r="J317" s="2"/>
      <c r="K317" s="2"/>
      <c r="L317" s="2"/>
      <c r="M317" s="2" t="s">
        <v>790</v>
      </c>
      <c r="N317" s="2" t="str">
        <f>IFERROR(__xludf.DUMMYFUNCTION("""COMPUTED_VALUE"""),"")</f>
        <v/>
      </c>
    </row>
    <row r="318">
      <c r="A318" s="2" t="s">
        <v>33</v>
      </c>
      <c r="B318" s="12">
        <v>320483.0</v>
      </c>
      <c r="C318" s="12">
        <v>322363.0</v>
      </c>
      <c r="D318" s="2"/>
      <c r="E318" s="2" t="s">
        <v>38</v>
      </c>
      <c r="F318" s="2" t="s">
        <v>791</v>
      </c>
      <c r="G318" s="2"/>
      <c r="H318" s="12">
        <v>0.0</v>
      </c>
      <c r="I318" s="2" t="s">
        <v>40</v>
      </c>
      <c r="J318" s="2"/>
      <c r="K318" s="2" t="s">
        <v>792</v>
      </c>
      <c r="L318" s="12">
        <v>626.0</v>
      </c>
      <c r="M318" s="2" t="s">
        <v>793</v>
      </c>
      <c r="N318" s="2" t="str">
        <f>IFERROR(__xludf.DUMMYFUNCTION("""COMPUTED_VALUE"""),"")</f>
        <v/>
      </c>
    </row>
    <row r="319">
      <c r="A319" s="2" t="s">
        <v>33</v>
      </c>
      <c r="B319" s="12">
        <v>322375.0</v>
      </c>
      <c r="C319" s="12">
        <v>323142.0</v>
      </c>
      <c r="D319" s="2"/>
      <c r="E319" s="2" t="s">
        <v>38</v>
      </c>
      <c r="F319" s="2" t="s">
        <v>432</v>
      </c>
      <c r="G319" s="2"/>
      <c r="H319" s="12">
        <v>0.0</v>
      </c>
      <c r="I319" s="2" t="s">
        <v>40</v>
      </c>
      <c r="J319" s="2"/>
      <c r="K319" s="2" t="s">
        <v>794</v>
      </c>
      <c r="L319" s="12">
        <v>255.0</v>
      </c>
      <c r="M319" s="2" t="s">
        <v>795</v>
      </c>
      <c r="N319" s="2" t="str">
        <f>IFERROR(__xludf.DUMMYFUNCTION("""COMPUTED_VALUE"""),"")</f>
        <v/>
      </c>
    </row>
    <row r="320">
      <c r="A320" s="2" t="s">
        <v>33</v>
      </c>
      <c r="B320" s="12">
        <v>323392.0</v>
      </c>
      <c r="C320" s="12">
        <v>325314.0</v>
      </c>
      <c r="D320" s="2"/>
      <c r="E320" s="2" t="s">
        <v>38</v>
      </c>
      <c r="F320" s="2" t="s">
        <v>796</v>
      </c>
      <c r="G320" s="2" t="s">
        <v>797</v>
      </c>
      <c r="H320" s="12">
        <v>0.0</v>
      </c>
      <c r="I320" s="2" t="s">
        <v>40</v>
      </c>
      <c r="J320" s="2"/>
      <c r="K320" s="2" t="s">
        <v>798</v>
      </c>
      <c r="L320" s="12">
        <v>640.0</v>
      </c>
      <c r="M320" s="2" t="s">
        <v>799</v>
      </c>
      <c r="N320" s="2" t="str">
        <f>IFERROR(__xludf.DUMMYFUNCTION("""COMPUTED_VALUE"""),"")</f>
        <v/>
      </c>
    </row>
    <row r="321">
      <c r="A321" s="2" t="s">
        <v>33</v>
      </c>
      <c r="B321" s="12">
        <v>325962.0</v>
      </c>
      <c r="C321" s="12">
        <v>326669.0</v>
      </c>
      <c r="D321" s="2"/>
      <c r="E321" s="2" t="s">
        <v>38</v>
      </c>
      <c r="F321" s="2" t="s">
        <v>800</v>
      </c>
      <c r="G321" s="2" t="s">
        <v>801</v>
      </c>
      <c r="H321" s="12">
        <v>0.0</v>
      </c>
      <c r="I321" s="2" t="s">
        <v>40</v>
      </c>
      <c r="J321" s="2"/>
      <c r="K321" s="2" t="s">
        <v>802</v>
      </c>
      <c r="L321" s="12">
        <v>235.0</v>
      </c>
      <c r="M321" s="2" t="s">
        <v>803</v>
      </c>
      <c r="N321" s="2" t="str">
        <f>IFERROR(__xludf.DUMMYFUNCTION("""COMPUTED_VALUE"""),"")</f>
        <v/>
      </c>
    </row>
    <row r="322">
      <c r="A322" s="2" t="s">
        <v>33</v>
      </c>
      <c r="B322" s="12">
        <v>326855.0</v>
      </c>
      <c r="C322" s="12">
        <v>327475.0</v>
      </c>
      <c r="D322" s="2"/>
      <c r="E322" s="2" t="s">
        <v>38</v>
      </c>
      <c r="F322" s="2" t="s">
        <v>804</v>
      </c>
      <c r="G322" s="2"/>
      <c r="H322" s="12">
        <v>0.0</v>
      </c>
      <c r="I322" s="2" t="s">
        <v>40</v>
      </c>
      <c r="J322" s="2"/>
      <c r="K322" s="2" t="s">
        <v>805</v>
      </c>
      <c r="L322" s="12">
        <v>206.0</v>
      </c>
      <c r="M322" s="2" t="s">
        <v>806</v>
      </c>
      <c r="N322" s="2" t="str">
        <f>IFERROR(__xludf.DUMMYFUNCTION("""COMPUTED_VALUE"""),"")</f>
        <v/>
      </c>
    </row>
    <row r="323">
      <c r="A323" s="2" t="s">
        <v>33</v>
      </c>
      <c r="B323" s="12">
        <v>327679.0</v>
      </c>
      <c r="C323" s="12">
        <v>328041.0</v>
      </c>
      <c r="D323" s="2"/>
      <c r="E323" s="2" t="s">
        <v>38</v>
      </c>
      <c r="F323" s="2" t="s">
        <v>39</v>
      </c>
      <c r="G323" s="2"/>
      <c r="H323" s="12">
        <v>0.0</v>
      </c>
      <c r="I323" s="2" t="s">
        <v>40</v>
      </c>
      <c r="J323" s="2"/>
      <c r="K323" s="2" t="s">
        <v>807</v>
      </c>
      <c r="L323" s="12">
        <v>120.0</v>
      </c>
      <c r="M323" s="2" t="s">
        <v>808</v>
      </c>
      <c r="N323" s="2" t="str">
        <f>IFERROR(__xludf.DUMMYFUNCTION("""COMPUTED_VALUE"""),"")</f>
        <v/>
      </c>
    </row>
    <row r="324">
      <c r="A324" s="2" t="s">
        <v>33</v>
      </c>
      <c r="B324" s="12">
        <v>328174.0</v>
      </c>
      <c r="C324" s="12">
        <v>328749.0</v>
      </c>
      <c r="D324" s="2"/>
      <c r="E324" s="2" t="s">
        <v>34</v>
      </c>
      <c r="F324" s="2" t="s">
        <v>39</v>
      </c>
      <c r="G324" s="2"/>
      <c r="H324" s="12">
        <v>0.0</v>
      </c>
      <c r="I324" s="2" t="s">
        <v>40</v>
      </c>
      <c r="J324" s="2"/>
      <c r="K324" s="2" t="s">
        <v>809</v>
      </c>
      <c r="L324" s="12">
        <v>191.0</v>
      </c>
      <c r="M324" s="2" t="s">
        <v>810</v>
      </c>
      <c r="N324" s="2" t="str">
        <f>IFERROR(__xludf.DUMMYFUNCTION("""COMPUTED_VALUE"""),"")</f>
        <v/>
      </c>
    </row>
    <row r="325">
      <c r="A325" s="2" t="s">
        <v>33</v>
      </c>
      <c r="B325" s="12">
        <v>329185.0</v>
      </c>
      <c r="C325" s="12">
        <v>330552.0</v>
      </c>
      <c r="D325" s="2"/>
      <c r="E325" s="2" t="s">
        <v>34</v>
      </c>
      <c r="F325" s="2" t="s">
        <v>811</v>
      </c>
      <c r="G325" s="2"/>
      <c r="H325" s="12">
        <v>0.0</v>
      </c>
      <c r="I325" s="2" t="s">
        <v>40</v>
      </c>
      <c r="J325" s="2"/>
      <c r="K325" s="2" t="s">
        <v>812</v>
      </c>
      <c r="L325" s="12">
        <v>455.0</v>
      </c>
      <c r="M325" s="2" t="s">
        <v>813</v>
      </c>
      <c r="N325" s="2" t="str">
        <f>IFERROR(__xludf.DUMMYFUNCTION("""COMPUTED_VALUE"""),"")</f>
        <v/>
      </c>
    </row>
    <row r="326">
      <c r="A326" s="2" t="s">
        <v>33</v>
      </c>
      <c r="B326" s="12">
        <v>330785.0</v>
      </c>
      <c r="C326" s="12">
        <v>331978.0</v>
      </c>
      <c r="D326" s="2"/>
      <c r="E326" s="2" t="s">
        <v>34</v>
      </c>
      <c r="F326" s="2" t="s">
        <v>814</v>
      </c>
      <c r="G326" s="2"/>
      <c r="H326" s="12">
        <v>0.0</v>
      </c>
      <c r="I326" s="2" t="s">
        <v>40</v>
      </c>
      <c r="J326" s="2"/>
      <c r="K326" s="2" t="s">
        <v>815</v>
      </c>
      <c r="L326" s="12">
        <v>397.0</v>
      </c>
      <c r="M326" s="2" t="s">
        <v>816</v>
      </c>
      <c r="N326" s="2" t="str">
        <f>IFERROR(__xludf.DUMMYFUNCTION("""COMPUTED_VALUE"""),"")</f>
        <v/>
      </c>
    </row>
    <row r="327">
      <c r="A327" s="2" t="s">
        <v>33</v>
      </c>
      <c r="B327" s="12">
        <v>332070.0</v>
      </c>
      <c r="C327" s="12">
        <v>332594.0</v>
      </c>
      <c r="D327" s="2"/>
      <c r="E327" s="2" t="s">
        <v>38</v>
      </c>
      <c r="F327" s="2" t="s">
        <v>817</v>
      </c>
      <c r="G327" s="2"/>
      <c r="H327" s="12">
        <v>0.0</v>
      </c>
      <c r="I327" s="2" t="s">
        <v>40</v>
      </c>
      <c r="J327" s="2"/>
      <c r="K327" s="2" t="s">
        <v>818</v>
      </c>
      <c r="L327" s="12">
        <v>174.0</v>
      </c>
      <c r="M327" s="2" t="s">
        <v>819</v>
      </c>
      <c r="N327" s="2" t="str">
        <f>IFERROR(__xludf.DUMMYFUNCTION("""COMPUTED_VALUE"""),"")</f>
        <v/>
      </c>
    </row>
    <row r="328">
      <c r="A328" s="2" t="s">
        <v>33</v>
      </c>
      <c r="B328" s="12">
        <v>332609.0</v>
      </c>
      <c r="C328" s="12">
        <v>333376.0</v>
      </c>
      <c r="D328" s="2"/>
      <c r="E328" s="2" t="s">
        <v>38</v>
      </c>
      <c r="F328" s="2" t="s">
        <v>820</v>
      </c>
      <c r="G328" s="2"/>
      <c r="H328" s="12">
        <v>0.0</v>
      </c>
      <c r="I328" s="2" t="s">
        <v>40</v>
      </c>
      <c r="J328" s="2"/>
      <c r="K328" s="2" t="s">
        <v>821</v>
      </c>
      <c r="L328" s="12">
        <v>255.0</v>
      </c>
      <c r="M328" s="2" t="s">
        <v>822</v>
      </c>
      <c r="N328" s="2" t="str">
        <f>IFERROR(__xludf.DUMMYFUNCTION("""COMPUTED_VALUE"""),"")</f>
        <v/>
      </c>
    </row>
    <row r="329">
      <c r="A329" s="2" t="s">
        <v>33</v>
      </c>
      <c r="B329" s="12">
        <v>333581.0</v>
      </c>
      <c r="C329" s="12">
        <v>333853.0</v>
      </c>
      <c r="D329" s="2"/>
      <c r="E329" s="2" t="s">
        <v>34</v>
      </c>
      <c r="F329" s="2" t="s">
        <v>823</v>
      </c>
      <c r="G329" s="2"/>
      <c r="H329" s="12">
        <v>0.0</v>
      </c>
      <c r="I329" s="2" t="s">
        <v>40</v>
      </c>
      <c r="J329" s="2"/>
      <c r="K329" s="2" t="s">
        <v>824</v>
      </c>
      <c r="L329" s="12">
        <v>90.0</v>
      </c>
      <c r="M329" s="2" t="s">
        <v>825</v>
      </c>
      <c r="N329" s="2" t="str">
        <f>IFERROR(__xludf.DUMMYFUNCTION("""COMPUTED_VALUE"""),"")</f>
        <v/>
      </c>
    </row>
    <row r="330">
      <c r="A330" s="2" t="s">
        <v>33</v>
      </c>
      <c r="B330" s="12">
        <v>333892.0</v>
      </c>
      <c r="C330" s="12">
        <v>334434.0</v>
      </c>
      <c r="D330" s="2"/>
      <c r="E330" s="2" t="s">
        <v>38</v>
      </c>
      <c r="F330" s="2" t="s">
        <v>39</v>
      </c>
      <c r="G330" s="2"/>
      <c r="H330" s="12">
        <v>0.0</v>
      </c>
      <c r="I330" s="2" t="s">
        <v>40</v>
      </c>
      <c r="J330" s="2"/>
      <c r="K330" s="2" t="s">
        <v>826</v>
      </c>
      <c r="L330" s="12">
        <v>180.0</v>
      </c>
      <c r="M330" s="2" t="s">
        <v>827</v>
      </c>
      <c r="N330" s="2" t="str">
        <f>IFERROR(__xludf.DUMMYFUNCTION("""COMPUTED_VALUE"""),"")</f>
        <v/>
      </c>
    </row>
    <row r="331">
      <c r="A331" s="2" t="s">
        <v>33</v>
      </c>
      <c r="B331" s="12">
        <v>334460.0</v>
      </c>
      <c r="C331" s="12">
        <v>335209.0</v>
      </c>
      <c r="D331" s="2"/>
      <c r="E331" s="2" t="s">
        <v>38</v>
      </c>
      <c r="F331" s="2" t="s">
        <v>828</v>
      </c>
      <c r="G331" s="2" t="s">
        <v>829</v>
      </c>
      <c r="H331" s="12">
        <v>0.0</v>
      </c>
      <c r="I331" s="2" t="s">
        <v>40</v>
      </c>
      <c r="J331" s="2"/>
      <c r="K331" s="2" t="s">
        <v>830</v>
      </c>
      <c r="L331" s="12">
        <v>249.0</v>
      </c>
      <c r="M331" s="2" t="s">
        <v>831</v>
      </c>
      <c r="N331" s="2" t="str">
        <f>IFERROR(__xludf.DUMMYFUNCTION("""COMPUTED_VALUE"""),"")</f>
        <v/>
      </c>
    </row>
    <row r="332">
      <c r="A332" s="2" t="s">
        <v>33</v>
      </c>
      <c r="B332" s="12">
        <v>335267.0</v>
      </c>
      <c r="C332" s="12">
        <v>336697.0</v>
      </c>
      <c r="D332" s="2"/>
      <c r="E332" s="2" t="s">
        <v>38</v>
      </c>
      <c r="F332" s="2" t="s">
        <v>832</v>
      </c>
      <c r="G332" s="2"/>
      <c r="H332" s="12">
        <v>0.0</v>
      </c>
      <c r="I332" s="2" t="s">
        <v>40</v>
      </c>
      <c r="J332" s="2"/>
      <c r="K332" s="2" t="s">
        <v>833</v>
      </c>
      <c r="L332" s="12">
        <v>476.0</v>
      </c>
      <c r="M332" s="2" t="s">
        <v>834</v>
      </c>
      <c r="N332" s="2" t="str">
        <f>IFERROR(__xludf.DUMMYFUNCTION("""COMPUTED_VALUE"""),"")</f>
        <v/>
      </c>
    </row>
    <row r="333">
      <c r="A333" s="2" t="s">
        <v>33</v>
      </c>
      <c r="B333" s="12">
        <v>336697.0</v>
      </c>
      <c r="C333" s="12">
        <v>336921.0</v>
      </c>
      <c r="D333" s="2"/>
      <c r="E333" s="2" t="s">
        <v>38</v>
      </c>
      <c r="F333" s="2" t="s">
        <v>835</v>
      </c>
      <c r="G333" s="2"/>
      <c r="H333" s="12">
        <v>0.0</v>
      </c>
      <c r="I333" s="2" t="s">
        <v>40</v>
      </c>
      <c r="J333" s="2"/>
      <c r="K333" s="2" t="s">
        <v>836</v>
      </c>
      <c r="L333" s="12">
        <v>74.0</v>
      </c>
      <c r="M333" s="2" t="s">
        <v>837</v>
      </c>
      <c r="N333" s="2" t="str">
        <f>IFERROR(__xludf.DUMMYFUNCTION("""COMPUTED_VALUE"""),"")</f>
        <v/>
      </c>
    </row>
    <row r="334">
      <c r="A334" s="2" t="s">
        <v>33</v>
      </c>
      <c r="B334" s="12">
        <v>336918.0</v>
      </c>
      <c r="C334" s="12">
        <v>344075.0</v>
      </c>
      <c r="D334" s="2"/>
      <c r="E334" s="2" t="s">
        <v>38</v>
      </c>
      <c r="F334" s="2" t="s">
        <v>838</v>
      </c>
      <c r="G334" s="2"/>
      <c r="H334" s="12">
        <v>0.0</v>
      </c>
      <c r="I334" s="2" t="s">
        <v>40</v>
      </c>
      <c r="J334" s="2"/>
      <c r="K334" s="2" t="s">
        <v>839</v>
      </c>
      <c r="L334" s="12">
        <v>2385.0</v>
      </c>
      <c r="M334" s="2" t="s">
        <v>840</v>
      </c>
      <c r="N334" s="2" t="str">
        <f>IFERROR(__xludf.DUMMYFUNCTION("""COMPUTED_VALUE"""),"")</f>
        <v/>
      </c>
    </row>
    <row r="335">
      <c r="A335" s="2" t="s">
        <v>33</v>
      </c>
      <c r="B335" s="12">
        <v>344109.0</v>
      </c>
      <c r="C335" s="12">
        <v>345002.0</v>
      </c>
      <c r="D335" s="2"/>
      <c r="E335" s="2" t="s">
        <v>38</v>
      </c>
      <c r="F335" s="2" t="s">
        <v>841</v>
      </c>
      <c r="G335" s="2"/>
      <c r="H335" s="12">
        <v>0.0</v>
      </c>
      <c r="I335" s="2" t="s">
        <v>40</v>
      </c>
      <c r="J335" s="2"/>
      <c r="K335" s="2" t="s">
        <v>842</v>
      </c>
      <c r="L335" s="12">
        <v>297.0</v>
      </c>
      <c r="M335" s="2" t="s">
        <v>843</v>
      </c>
      <c r="N335" s="2" t="str">
        <f>IFERROR(__xludf.DUMMYFUNCTION("""COMPUTED_VALUE"""),"")</f>
        <v/>
      </c>
    </row>
    <row r="336">
      <c r="A336" s="2" t="s">
        <v>33</v>
      </c>
      <c r="B336" s="12">
        <v>345027.0</v>
      </c>
      <c r="C336" s="12">
        <v>346643.0</v>
      </c>
      <c r="D336" s="2"/>
      <c r="E336" s="2" t="s">
        <v>38</v>
      </c>
      <c r="F336" s="2" t="s">
        <v>844</v>
      </c>
      <c r="G336" s="2"/>
      <c r="H336" s="12">
        <v>0.0</v>
      </c>
      <c r="I336" s="2" t="s">
        <v>40</v>
      </c>
      <c r="J336" s="2"/>
      <c r="K336" s="2" t="s">
        <v>845</v>
      </c>
      <c r="L336" s="12">
        <v>538.0</v>
      </c>
      <c r="M336" s="2" t="s">
        <v>846</v>
      </c>
      <c r="N336" s="2" t="str">
        <f>IFERROR(__xludf.DUMMYFUNCTION("""COMPUTED_VALUE"""),"")</f>
        <v/>
      </c>
    </row>
    <row r="337">
      <c r="A337" s="2" t="s">
        <v>33</v>
      </c>
      <c r="B337" s="12">
        <v>346656.0</v>
      </c>
      <c r="C337" s="12">
        <v>347855.0</v>
      </c>
      <c r="D337" s="2"/>
      <c r="E337" s="2" t="s">
        <v>38</v>
      </c>
      <c r="F337" s="2" t="s">
        <v>847</v>
      </c>
      <c r="G337" s="2" t="s">
        <v>848</v>
      </c>
      <c r="H337" s="12">
        <v>0.0</v>
      </c>
      <c r="I337" s="2" t="s">
        <v>40</v>
      </c>
      <c r="J337" s="2"/>
      <c r="K337" s="2" t="s">
        <v>849</v>
      </c>
      <c r="L337" s="12">
        <v>399.0</v>
      </c>
      <c r="M337" s="2" t="s">
        <v>850</v>
      </c>
      <c r="N337" s="2" t="str">
        <f>IFERROR(__xludf.DUMMYFUNCTION("""COMPUTED_VALUE"""),"")</f>
        <v/>
      </c>
    </row>
    <row r="338">
      <c r="A338" s="2" t="s">
        <v>33</v>
      </c>
      <c r="B338" s="12">
        <v>347881.0</v>
      </c>
      <c r="C338" s="12">
        <v>348666.0</v>
      </c>
      <c r="D338" s="2"/>
      <c r="E338" s="2" t="s">
        <v>38</v>
      </c>
      <c r="F338" s="2" t="s">
        <v>851</v>
      </c>
      <c r="G338" s="2" t="s">
        <v>852</v>
      </c>
      <c r="H338" s="12">
        <v>0.0</v>
      </c>
      <c r="I338" s="2" t="s">
        <v>40</v>
      </c>
      <c r="J338" s="2"/>
      <c r="K338" s="2" t="s">
        <v>853</v>
      </c>
      <c r="L338" s="12">
        <v>261.0</v>
      </c>
      <c r="M338" s="2" t="s">
        <v>854</v>
      </c>
      <c r="N338" s="2" t="str">
        <f>IFERROR(__xludf.DUMMYFUNCTION("""COMPUTED_VALUE"""),"")</f>
        <v/>
      </c>
    </row>
    <row r="339">
      <c r="A339" s="2" t="s">
        <v>33</v>
      </c>
      <c r="B339" s="12">
        <v>349294.0</v>
      </c>
      <c r="C339" s="12">
        <v>350496.0</v>
      </c>
      <c r="D339" s="2"/>
      <c r="E339" s="2" t="s">
        <v>38</v>
      </c>
      <c r="F339" s="2" t="s">
        <v>855</v>
      </c>
      <c r="G339" s="2"/>
      <c r="H339" s="12">
        <v>0.0</v>
      </c>
      <c r="I339" s="2" t="s">
        <v>40</v>
      </c>
      <c r="J339" s="2"/>
      <c r="K339" s="2" t="s">
        <v>856</v>
      </c>
      <c r="L339" s="12">
        <v>400.0</v>
      </c>
      <c r="M339" s="2" t="s">
        <v>857</v>
      </c>
      <c r="N339" s="2" t="str">
        <f>IFERROR(__xludf.DUMMYFUNCTION("""COMPUTED_VALUE"""),"")</f>
        <v/>
      </c>
    </row>
    <row r="340">
      <c r="A340" s="2" t="s">
        <v>33</v>
      </c>
      <c r="B340" s="12">
        <v>350847.0</v>
      </c>
      <c r="C340" s="12">
        <v>351164.0</v>
      </c>
      <c r="D340" s="2"/>
      <c r="E340" s="2" t="s">
        <v>38</v>
      </c>
      <c r="F340" s="2" t="s">
        <v>39</v>
      </c>
      <c r="G340" s="2"/>
      <c r="H340" s="12">
        <v>0.0</v>
      </c>
      <c r="I340" s="2" t="s">
        <v>40</v>
      </c>
      <c r="J340" s="2"/>
      <c r="K340" s="2" t="s">
        <v>858</v>
      </c>
      <c r="L340" s="12">
        <v>105.0</v>
      </c>
      <c r="M340" s="2" t="s">
        <v>859</v>
      </c>
      <c r="N340" s="2" t="str">
        <f>IFERROR(__xludf.DUMMYFUNCTION("""COMPUTED_VALUE"""),"")</f>
        <v/>
      </c>
    </row>
    <row r="341">
      <c r="A341" s="2" t="s">
        <v>33</v>
      </c>
      <c r="B341" s="12">
        <v>351852.0</v>
      </c>
      <c r="C341" s="12">
        <v>352037.0</v>
      </c>
      <c r="D341" s="2"/>
      <c r="E341" s="2" t="s">
        <v>34</v>
      </c>
      <c r="F341" s="2" t="s">
        <v>860</v>
      </c>
      <c r="G341" s="2"/>
      <c r="H341" s="12">
        <v>0.0</v>
      </c>
      <c r="I341" s="2" t="s">
        <v>40</v>
      </c>
      <c r="J341" s="2"/>
      <c r="K341" s="2" t="s">
        <v>861</v>
      </c>
      <c r="L341" s="12">
        <v>61.0</v>
      </c>
      <c r="M341" s="2" t="s">
        <v>862</v>
      </c>
      <c r="N341" s="2" t="str">
        <f>IFERROR(__xludf.DUMMYFUNCTION("""COMPUTED_VALUE"""),"")</f>
        <v/>
      </c>
    </row>
    <row r="342">
      <c r="A342" s="2" t="s">
        <v>33</v>
      </c>
      <c r="B342" s="12">
        <v>352096.0</v>
      </c>
      <c r="C342" s="12">
        <v>352395.0</v>
      </c>
      <c r="D342" s="2"/>
      <c r="E342" s="2" t="s">
        <v>38</v>
      </c>
      <c r="F342" s="2" t="s">
        <v>220</v>
      </c>
      <c r="G342" s="2"/>
      <c r="H342" s="12">
        <v>0.0</v>
      </c>
      <c r="I342" s="2" t="s">
        <v>40</v>
      </c>
      <c r="J342" s="2"/>
      <c r="K342" s="2" t="s">
        <v>863</v>
      </c>
      <c r="L342" s="12">
        <v>99.0</v>
      </c>
      <c r="M342" s="2" t="s">
        <v>864</v>
      </c>
      <c r="N342" s="2" t="str">
        <f>IFERROR(__xludf.DUMMYFUNCTION("""COMPUTED_VALUE"""),"")</f>
        <v/>
      </c>
    </row>
    <row r="343">
      <c r="A343" s="2" t="s">
        <v>33</v>
      </c>
      <c r="B343" s="12">
        <v>352886.0</v>
      </c>
      <c r="C343" s="12">
        <v>353059.0</v>
      </c>
      <c r="D343" s="2"/>
      <c r="E343" s="2" t="s">
        <v>34</v>
      </c>
      <c r="F343" s="2" t="s">
        <v>39</v>
      </c>
      <c r="G343" s="2"/>
      <c r="H343" s="12">
        <v>0.0</v>
      </c>
      <c r="I343" s="2" t="s">
        <v>40</v>
      </c>
      <c r="J343" s="2"/>
      <c r="K343" s="2" t="s">
        <v>865</v>
      </c>
      <c r="L343" s="12">
        <v>57.0</v>
      </c>
      <c r="M343" s="2" t="s">
        <v>866</v>
      </c>
      <c r="N343" s="2" t="str">
        <f>IFERROR(__xludf.DUMMYFUNCTION("""COMPUTED_VALUE"""),"")</f>
        <v/>
      </c>
    </row>
    <row r="344">
      <c r="A344" s="2" t="s">
        <v>33</v>
      </c>
      <c r="B344" s="12">
        <v>353167.0</v>
      </c>
      <c r="C344" s="12">
        <v>356256.0</v>
      </c>
      <c r="D344" s="2"/>
      <c r="E344" s="2" t="s">
        <v>38</v>
      </c>
      <c r="F344" s="2" t="s">
        <v>712</v>
      </c>
      <c r="G344" s="2"/>
      <c r="H344" s="12">
        <v>0.0</v>
      </c>
      <c r="I344" s="2" t="s">
        <v>40</v>
      </c>
      <c r="J344" s="2"/>
      <c r="K344" s="2" t="s">
        <v>867</v>
      </c>
      <c r="L344" s="12">
        <v>1029.0</v>
      </c>
      <c r="M344" s="2" t="s">
        <v>868</v>
      </c>
      <c r="N344" s="2" t="str">
        <f>IFERROR(__xludf.DUMMYFUNCTION("""COMPUTED_VALUE"""),"")</f>
        <v/>
      </c>
    </row>
    <row r="345">
      <c r="A345" s="2" t="s">
        <v>33</v>
      </c>
      <c r="B345" s="12">
        <v>356253.0</v>
      </c>
      <c r="C345" s="12">
        <v>357410.0</v>
      </c>
      <c r="D345" s="2"/>
      <c r="E345" s="2" t="s">
        <v>38</v>
      </c>
      <c r="F345" s="2" t="s">
        <v>869</v>
      </c>
      <c r="G345" s="2"/>
      <c r="H345" s="12">
        <v>0.0</v>
      </c>
      <c r="I345" s="2" t="s">
        <v>40</v>
      </c>
      <c r="J345" s="2"/>
      <c r="K345" s="2" t="s">
        <v>870</v>
      </c>
      <c r="L345" s="12">
        <v>385.0</v>
      </c>
      <c r="M345" s="2" t="s">
        <v>871</v>
      </c>
      <c r="N345" s="2" t="str">
        <f>IFERROR(__xludf.DUMMYFUNCTION("""COMPUTED_VALUE"""),"")</f>
        <v/>
      </c>
    </row>
    <row r="346">
      <c r="A346" s="2" t="s">
        <v>33</v>
      </c>
      <c r="B346" s="12">
        <v>357426.0</v>
      </c>
      <c r="C346" s="12">
        <v>357665.0</v>
      </c>
      <c r="D346" s="2"/>
      <c r="E346" s="2" t="s">
        <v>38</v>
      </c>
      <c r="F346" s="2" t="s">
        <v>872</v>
      </c>
      <c r="G346" s="2"/>
      <c r="H346" s="12">
        <v>0.0</v>
      </c>
      <c r="I346" s="2" t="s">
        <v>40</v>
      </c>
      <c r="J346" s="2"/>
      <c r="K346" s="2" t="s">
        <v>873</v>
      </c>
      <c r="L346" s="12">
        <v>79.0</v>
      </c>
      <c r="M346" s="2" t="s">
        <v>874</v>
      </c>
      <c r="N346" s="2" t="str">
        <f>IFERROR(__xludf.DUMMYFUNCTION("""COMPUTED_VALUE"""),"")</f>
        <v/>
      </c>
    </row>
    <row r="347">
      <c r="A347" s="2" t="s">
        <v>33</v>
      </c>
      <c r="B347" s="12">
        <v>357850.0</v>
      </c>
      <c r="C347" s="12">
        <v>358107.0</v>
      </c>
      <c r="D347" s="2"/>
      <c r="E347" s="2" t="s">
        <v>38</v>
      </c>
      <c r="F347" s="2" t="s">
        <v>39</v>
      </c>
      <c r="G347" s="2"/>
      <c r="H347" s="12">
        <v>0.0</v>
      </c>
      <c r="I347" s="2" t="s">
        <v>40</v>
      </c>
      <c r="J347" s="2"/>
      <c r="K347" s="2" t="s">
        <v>875</v>
      </c>
      <c r="L347" s="12">
        <v>85.0</v>
      </c>
      <c r="M347" s="2" t="s">
        <v>876</v>
      </c>
      <c r="N347" s="2" t="str">
        <f>IFERROR(__xludf.DUMMYFUNCTION("""COMPUTED_VALUE"""),"")</f>
        <v/>
      </c>
    </row>
    <row r="348">
      <c r="A348" s="2" t="s">
        <v>33</v>
      </c>
      <c r="B348" s="12">
        <v>358437.0</v>
      </c>
      <c r="C348" s="12">
        <v>359492.0</v>
      </c>
      <c r="D348" s="2"/>
      <c r="E348" s="2" t="s">
        <v>34</v>
      </c>
      <c r="F348" s="2" t="s">
        <v>877</v>
      </c>
      <c r="G348" s="2"/>
      <c r="H348" s="12">
        <v>0.0</v>
      </c>
      <c r="I348" s="2" t="s">
        <v>40</v>
      </c>
      <c r="J348" s="2"/>
      <c r="K348" s="2" t="s">
        <v>878</v>
      </c>
      <c r="L348" s="12">
        <v>351.0</v>
      </c>
      <c r="M348" s="2" t="s">
        <v>879</v>
      </c>
      <c r="N348" s="2" t="str">
        <f>IFERROR(__xludf.DUMMYFUNCTION("""COMPUTED_VALUE"""),"")</f>
        <v/>
      </c>
    </row>
    <row r="349">
      <c r="A349" s="2" t="s">
        <v>33</v>
      </c>
      <c r="B349" s="12">
        <v>359745.0</v>
      </c>
      <c r="C349" s="12">
        <v>360377.0</v>
      </c>
      <c r="D349" s="2"/>
      <c r="E349" s="2" t="s">
        <v>34</v>
      </c>
      <c r="F349" s="2" t="s">
        <v>880</v>
      </c>
      <c r="G349" s="2"/>
      <c r="H349" s="12">
        <v>0.0</v>
      </c>
      <c r="I349" s="2" t="s">
        <v>40</v>
      </c>
      <c r="J349" s="2"/>
      <c r="K349" s="2" t="s">
        <v>881</v>
      </c>
      <c r="L349" s="12">
        <v>210.0</v>
      </c>
      <c r="M349" s="2" t="s">
        <v>882</v>
      </c>
      <c r="N349" s="2" t="str">
        <f>IFERROR(__xludf.DUMMYFUNCTION("""COMPUTED_VALUE"""),"")</f>
        <v/>
      </c>
    </row>
    <row r="350">
      <c r="A350" s="2" t="s">
        <v>33</v>
      </c>
      <c r="B350" s="12">
        <v>360448.0</v>
      </c>
      <c r="C350" s="12">
        <v>361908.0</v>
      </c>
      <c r="D350" s="2"/>
      <c r="E350" s="2" t="s">
        <v>38</v>
      </c>
      <c r="F350" s="2" t="s">
        <v>883</v>
      </c>
      <c r="G350" s="2"/>
      <c r="H350" s="12">
        <v>0.0</v>
      </c>
      <c r="I350" s="2" t="s">
        <v>40</v>
      </c>
      <c r="J350" s="2"/>
      <c r="K350" s="2" t="s">
        <v>884</v>
      </c>
      <c r="L350" s="12">
        <v>486.0</v>
      </c>
      <c r="M350" s="2" t="s">
        <v>885</v>
      </c>
      <c r="N350" s="2" t="str">
        <f>IFERROR(__xludf.DUMMYFUNCTION("""COMPUTED_VALUE"""),"")</f>
        <v/>
      </c>
    </row>
    <row r="351">
      <c r="A351" s="2" t="s">
        <v>33</v>
      </c>
      <c r="B351" s="12">
        <v>361931.0</v>
      </c>
      <c r="C351" s="12">
        <v>362821.0</v>
      </c>
      <c r="D351" s="2"/>
      <c r="E351" s="2" t="s">
        <v>38</v>
      </c>
      <c r="F351" s="2" t="s">
        <v>296</v>
      </c>
      <c r="G351" s="2"/>
      <c r="H351" s="12">
        <v>0.0</v>
      </c>
      <c r="I351" s="2" t="s">
        <v>40</v>
      </c>
      <c r="J351" s="2"/>
      <c r="K351" s="2" t="s">
        <v>886</v>
      </c>
      <c r="L351" s="12">
        <v>296.0</v>
      </c>
      <c r="M351" s="2" t="s">
        <v>887</v>
      </c>
      <c r="N351" s="2" t="str">
        <f>IFERROR(__xludf.DUMMYFUNCTION("""COMPUTED_VALUE"""),"")</f>
        <v/>
      </c>
    </row>
    <row r="352">
      <c r="A352" s="2" t="s">
        <v>33</v>
      </c>
      <c r="B352" s="12">
        <v>362838.0</v>
      </c>
      <c r="C352" s="12">
        <v>364547.0</v>
      </c>
      <c r="D352" s="2"/>
      <c r="E352" s="2" t="s">
        <v>38</v>
      </c>
      <c r="F352" s="2" t="s">
        <v>888</v>
      </c>
      <c r="G352" s="2"/>
      <c r="H352" s="12">
        <v>0.0</v>
      </c>
      <c r="I352" s="2" t="s">
        <v>40</v>
      </c>
      <c r="J352" s="2"/>
      <c r="K352" s="2" t="s">
        <v>889</v>
      </c>
      <c r="L352" s="12">
        <v>569.0</v>
      </c>
      <c r="M352" s="2" t="s">
        <v>890</v>
      </c>
      <c r="N352" s="2" t="str">
        <f>IFERROR(__xludf.DUMMYFUNCTION("""COMPUTED_VALUE"""),"")</f>
        <v/>
      </c>
    </row>
    <row r="353">
      <c r="A353" s="2" t="s">
        <v>33</v>
      </c>
      <c r="B353" s="12">
        <v>364700.0</v>
      </c>
      <c r="C353" s="12">
        <v>365608.0</v>
      </c>
      <c r="D353" s="2"/>
      <c r="E353" s="2" t="s">
        <v>38</v>
      </c>
      <c r="F353" s="2" t="s">
        <v>891</v>
      </c>
      <c r="G353" s="2" t="s">
        <v>892</v>
      </c>
      <c r="H353" s="12">
        <v>0.0</v>
      </c>
      <c r="I353" s="2" t="s">
        <v>40</v>
      </c>
      <c r="J353" s="2"/>
      <c r="K353" s="2" t="s">
        <v>893</v>
      </c>
      <c r="L353" s="12">
        <v>302.0</v>
      </c>
      <c r="M353" s="2" t="s">
        <v>894</v>
      </c>
      <c r="N353" s="2" t="str">
        <f>IFERROR(__xludf.DUMMYFUNCTION("""COMPUTED_VALUE"""),"")</f>
        <v/>
      </c>
    </row>
    <row r="354">
      <c r="A354" s="2" t="s">
        <v>33</v>
      </c>
      <c r="B354" s="12">
        <v>365629.0</v>
      </c>
      <c r="C354" s="12">
        <v>367065.0</v>
      </c>
      <c r="D354" s="2"/>
      <c r="E354" s="2" t="s">
        <v>38</v>
      </c>
      <c r="F354" s="2" t="s">
        <v>895</v>
      </c>
      <c r="G354" s="2" t="s">
        <v>896</v>
      </c>
      <c r="H354" s="12">
        <v>0.0</v>
      </c>
      <c r="I354" s="2" t="s">
        <v>40</v>
      </c>
      <c r="J354" s="2"/>
      <c r="K354" s="2" t="s">
        <v>897</v>
      </c>
      <c r="L354" s="12">
        <v>478.0</v>
      </c>
      <c r="M354" s="2" t="s">
        <v>898</v>
      </c>
      <c r="N354" s="2" t="str">
        <f>IFERROR(__xludf.DUMMYFUNCTION("""COMPUTED_VALUE"""),"")</f>
        <v/>
      </c>
    </row>
    <row r="355">
      <c r="A355" s="2" t="s">
        <v>33</v>
      </c>
      <c r="B355" s="12">
        <v>367164.0</v>
      </c>
      <c r="C355" s="12">
        <v>368283.0</v>
      </c>
      <c r="D355" s="2"/>
      <c r="E355" s="2" t="s">
        <v>38</v>
      </c>
      <c r="F355" s="2" t="s">
        <v>35</v>
      </c>
      <c r="G355" s="2" t="s">
        <v>899</v>
      </c>
      <c r="H355" s="12">
        <v>0.0</v>
      </c>
      <c r="I355" s="2" t="s">
        <v>36</v>
      </c>
      <c r="J355" s="2"/>
      <c r="K355" s="2"/>
      <c r="L355" s="2"/>
      <c r="M355" s="2" t="s">
        <v>900</v>
      </c>
      <c r="N355" s="2" t="str">
        <f>IFERROR(__xludf.DUMMYFUNCTION("""COMPUTED_VALUE"""),"")</f>
        <v/>
      </c>
    </row>
    <row r="356">
      <c r="A356" s="2" t="s">
        <v>33</v>
      </c>
      <c r="B356" s="12">
        <v>368679.0</v>
      </c>
      <c r="C356" s="12">
        <v>368969.0</v>
      </c>
      <c r="D356" s="2"/>
      <c r="E356" s="2" t="s">
        <v>38</v>
      </c>
      <c r="F356" s="2" t="s">
        <v>901</v>
      </c>
      <c r="G356" s="2"/>
      <c r="H356" s="12">
        <v>0.0</v>
      </c>
      <c r="I356" s="2" t="s">
        <v>40</v>
      </c>
      <c r="J356" s="2"/>
      <c r="K356" s="2" t="s">
        <v>902</v>
      </c>
      <c r="L356" s="12">
        <v>96.0</v>
      </c>
      <c r="M356" s="2" t="s">
        <v>903</v>
      </c>
      <c r="N356" s="2" t="str">
        <f>IFERROR(__xludf.DUMMYFUNCTION("""COMPUTED_VALUE"""),"")</f>
        <v/>
      </c>
    </row>
    <row r="357">
      <c r="A357" s="2" t="s">
        <v>33</v>
      </c>
      <c r="B357" s="12">
        <v>368985.0</v>
      </c>
      <c r="C357" s="12">
        <v>370130.0</v>
      </c>
      <c r="D357" s="2"/>
      <c r="E357" s="2" t="s">
        <v>38</v>
      </c>
      <c r="F357" s="2" t="s">
        <v>88</v>
      </c>
      <c r="G357" s="2"/>
      <c r="H357" s="12">
        <v>0.0</v>
      </c>
      <c r="I357" s="2" t="s">
        <v>40</v>
      </c>
      <c r="J357" s="2"/>
      <c r="K357" s="2" t="s">
        <v>904</v>
      </c>
      <c r="L357" s="12">
        <v>381.0</v>
      </c>
      <c r="M357" s="2" t="s">
        <v>905</v>
      </c>
      <c r="N357" s="2" t="str">
        <f>IFERROR(__xludf.DUMMYFUNCTION("""COMPUTED_VALUE"""),"")</f>
        <v/>
      </c>
    </row>
    <row r="358">
      <c r="A358" s="2" t="s">
        <v>33</v>
      </c>
      <c r="B358" s="12">
        <v>370366.0</v>
      </c>
      <c r="C358" s="12">
        <v>370650.0</v>
      </c>
      <c r="D358" s="2"/>
      <c r="E358" s="2" t="s">
        <v>34</v>
      </c>
      <c r="F358" s="2" t="s">
        <v>39</v>
      </c>
      <c r="G358" s="2"/>
      <c r="H358" s="12">
        <v>0.0</v>
      </c>
      <c r="I358" s="2" t="s">
        <v>40</v>
      </c>
      <c r="J358" s="2"/>
      <c r="K358" s="2" t="s">
        <v>906</v>
      </c>
      <c r="L358" s="12">
        <v>94.0</v>
      </c>
      <c r="M358" s="2" t="s">
        <v>907</v>
      </c>
      <c r="N358" s="2" t="str">
        <f>IFERROR(__xludf.DUMMYFUNCTION("""COMPUTED_VALUE"""),"")</f>
        <v/>
      </c>
    </row>
    <row r="359">
      <c r="A359" s="2" t="s">
        <v>33</v>
      </c>
      <c r="B359" s="12">
        <v>370752.0</v>
      </c>
      <c r="C359" s="12">
        <v>373245.0</v>
      </c>
      <c r="D359" s="2"/>
      <c r="E359" s="2" t="s">
        <v>38</v>
      </c>
      <c r="F359" s="2" t="s">
        <v>35</v>
      </c>
      <c r="G359" s="2"/>
      <c r="H359" s="12">
        <v>0.0</v>
      </c>
      <c r="I359" s="2" t="s">
        <v>36</v>
      </c>
      <c r="J359" s="2"/>
      <c r="K359" s="2"/>
      <c r="L359" s="2"/>
      <c r="M359" s="2" t="s">
        <v>908</v>
      </c>
      <c r="N359" s="2" t="str">
        <f>IFERROR(__xludf.DUMMYFUNCTION("""COMPUTED_VALUE"""),"")</f>
        <v/>
      </c>
    </row>
    <row r="360">
      <c r="A360" s="2" t="s">
        <v>33</v>
      </c>
      <c r="B360" s="12">
        <v>373712.0</v>
      </c>
      <c r="C360" s="12">
        <v>373921.0</v>
      </c>
      <c r="D360" s="2"/>
      <c r="E360" s="2" t="s">
        <v>34</v>
      </c>
      <c r="F360" s="2" t="s">
        <v>909</v>
      </c>
      <c r="G360" s="2"/>
      <c r="H360" s="12">
        <v>0.0</v>
      </c>
      <c r="I360" s="2" t="s">
        <v>40</v>
      </c>
      <c r="J360" s="2"/>
      <c r="K360" s="2" t="s">
        <v>910</v>
      </c>
      <c r="L360" s="12">
        <v>69.0</v>
      </c>
      <c r="M360" s="2" t="s">
        <v>911</v>
      </c>
      <c r="N360" s="2" t="str">
        <f>IFERROR(__xludf.DUMMYFUNCTION("""COMPUTED_VALUE"""),"")</f>
        <v/>
      </c>
    </row>
    <row r="361">
      <c r="A361" s="2" t="s">
        <v>33</v>
      </c>
      <c r="B361" s="12">
        <v>373989.0</v>
      </c>
      <c r="C361" s="12">
        <v>374201.0</v>
      </c>
      <c r="D361" s="2"/>
      <c r="E361" s="2" t="s">
        <v>38</v>
      </c>
      <c r="F361" s="2" t="s">
        <v>912</v>
      </c>
      <c r="G361" s="2"/>
      <c r="H361" s="12">
        <v>0.0</v>
      </c>
      <c r="I361" s="2" t="s">
        <v>40</v>
      </c>
      <c r="J361" s="2"/>
      <c r="K361" s="2" t="s">
        <v>913</v>
      </c>
      <c r="L361" s="12">
        <v>70.0</v>
      </c>
      <c r="M361" s="2" t="s">
        <v>914</v>
      </c>
      <c r="N361" s="2" t="str">
        <f>IFERROR(__xludf.DUMMYFUNCTION("""COMPUTED_VALUE"""),"")</f>
        <v/>
      </c>
    </row>
    <row r="362">
      <c r="A362" s="2" t="s">
        <v>33</v>
      </c>
      <c r="B362" s="12">
        <v>374316.0</v>
      </c>
      <c r="C362" s="12">
        <v>374990.0</v>
      </c>
      <c r="D362" s="2"/>
      <c r="E362" s="2" t="s">
        <v>38</v>
      </c>
      <c r="F362" s="2" t="s">
        <v>915</v>
      </c>
      <c r="G362" s="2"/>
      <c r="H362" s="12">
        <v>0.0</v>
      </c>
      <c r="I362" s="2" t="s">
        <v>40</v>
      </c>
      <c r="J362" s="2"/>
      <c r="K362" s="2" t="s">
        <v>916</v>
      </c>
      <c r="L362" s="12">
        <v>224.0</v>
      </c>
      <c r="M362" s="2" t="s">
        <v>917</v>
      </c>
      <c r="N362" s="2" t="str">
        <f>IFERROR(__xludf.DUMMYFUNCTION("""COMPUTED_VALUE"""),"")</f>
        <v/>
      </c>
    </row>
    <row r="363">
      <c r="A363" s="2" t="s">
        <v>33</v>
      </c>
      <c r="B363" s="12">
        <v>375129.0</v>
      </c>
      <c r="C363" s="12">
        <v>375836.0</v>
      </c>
      <c r="D363" s="2"/>
      <c r="E363" s="2" t="s">
        <v>38</v>
      </c>
      <c r="F363" s="2" t="s">
        <v>333</v>
      </c>
      <c r="G363" s="2"/>
      <c r="H363" s="12">
        <v>0.0</v>
      </c>
      <c r="I363" s="2" t="s">
        <v>40</v>
      </c>
      <c r="J363" s="2"/>
      <c r="K363" s="2" t="s">
        <v>918</v>
      </c>
      <c r="L363" s="12">
        <v>235.0</v>
      </c>
      <c r="M363" s="2" t="s">
        <v>919</v>
      </c>
      <c r="N363" s="2" t="str">
        <f>IFERROR(__xludf.DUMMYFUNCTION("""COMPUTED_VALUE"""),"")</f>
        <v/>
      </c>
    </row>
    <row r="364">
      <c r="A364" s="2" t="s">
        <v>33</v>
      </c>
      <c r="B364" s="12">
        <v>375979.0</v>
      </c>
      <c r="C364" s="12">
        <v>376180.0</v>
      </c>
      <c r="D364" s="2"/>
      <c r="E364" s="2" t="s">
        <v>38</v>
      </c>
      <c r="F364" s="2" t="s">
        <v>35</v>
      </c>
      <c r="G364" s="2"/>
      <c r="H364" s="12">
        <v>0.0</v>
      </c>
      <c r="I364" s="2" t="s">
        <v>36</v>
      </c>
      <c r="J364" s="2"/>
      <c r="K364" s="2"/>
      <c r="L364" s="2"/>
      <c r="M364" s="2" t="s">
        <v>920</v>
      </c>
      <c r="N364" s="2" t="str">
        <f>IFERROR(__xludf.DUMMYFUNCTION("""COMPUTED_VALUE"""),"")</f>
        <v/>
      </c>
    </row>
    <row r="365">
      <c r="A365" s="2" t="s">
        <v>33</v>
      </c>
      <c r="B365" s="12">
        <v>376225.0</v>
      </c>
      <c r="C365" s="12">
        <v>376560.0</v>
      </c>
      <c r="D365" s="2"/>
      <c r="E365" s="2" t="s">
        <v>38</v>
      </c>
      <c r="F365" s="2" t="s">
        <v>39</v>
      </c>
      <c r="G365" s="2"/>
      <c r="H365" s="12">
        <v>0.0</v>
      </c>
      <c r="I365" s="2" t="s">
        <v>40</v>
      </c>
      <c r="J365" s="2"/>
      <c r="K365" s="2" t="s">
        <v>921</v>
      </c>
      <c r="L365" s="12">
        <v>111.0</v>
      </c>
      <c r="M365" s="2" t="s">
        <v>922</v>
      </c>
      <c r="N365" s="2" t="str">
        <f>IFERROR(__xludf.DUMMYFUNCTION("""COMPUTED_VALUE"""),"")</f>
        <v/>
      </c>
    </row>
    <row r="366">
      <c r="A366" s="2" t="s">
        <v>33</v>
      </c>
      <c r="B366" s="12">
        <v>376767.0</v>
      </c>
      <c r="C366" s="12">
        <v>376982.0</v>
      </c>
      <c r="D366" s="2"/>
      <c r="E366" s="2" t="s">
        <v>34</v>
      </c>
      <c r="F366" s="2" t="s">
        <v>923</v>
      </c>
      <c r="G366" s="2" t="s">
        <v>924</v>
      </c>
      <c r="H366" s="12">
        <v>0.0</v>
      </c>
      <c r="I366" s="2" t="s">
        <v>40</v>
      </c>
      <c r="J366" s="2"/>
      <c r="K366" s="2" t="s">
        <v>925</v>
      </c>
      <c r="L366" s="12">
        <v>71.0</v>
      </c>
      <c r="M366" s="2" t="s">
        <v>926</v>
      </c>
      <c r="N366" s="2" t="str">
        <f>IFERROR(__xludf.DUMMYFUNCTION("""COMPUTED_VALUE"""),"")</f>
        <v/>
      </c>
    </row>
    <row r="367">
      <c r="A367" s="2" t="s">
        <v>33</v>
      </c>
      <c r="B367" s="12">
        <v>377191.0</v>
      </c>
      <c r="C367" s="12">
        <v>377526.0</v>
      </c>
      <c r="D367" s="2"/>
      <c r="E367" s="2" t="s">
        <v>38</v>
      </c>
      <c r="F367" s="2" t="s">
        <v>927</v>
      </c>
      <c r="G367" s="2"/>
      <c r="H367" s="12">
        <v>0.0</v>
      </c>
      <c r="I367" s="2" t="s">
        <v>40</v>
      </c>
      <c r="J367" s="2"/>
      <c r="K367" s="2" t="s">
        <v>928</v>
      </c>
      <c r="L367" s="12">
        <v>111.0</v>
      </c>
      <c r="M367" s="2" t="s">
        <v>929</v>
      </c>
      <c r="N367" s="2" t="str">
        <f>IFERROR(__xludf.DUMMYFUNCTION("""COMPUTED_VALUE"""),"")</f>
        <v/>
      </c>
    </row>
    <row r="368">
      <c r="A368" s="2" t="s">
        <v>33</v>
      </c>
      <c r="B368" s="12">
        <v>377847.0</v>
      </c>
      <c r="C368" s="12">
        <v>378254.0</v>
      </c>
      <c r="D368" s="2"/>
      <c r="E368" s="2" t="s">
        <v>38</v>
      </c>
      <c r="F368" s="2" t="s">
        <v>39</v>
      </c>
      <c r="G368" s="2"/>
      <c r="H368" s="12">
        <v>0.0</v>
      </c>
      <c r="I368" s="2" t="s">
        <v>40</v>
      </c>
      <c r="J368" s="2"/>
      <c r="K368" s="2" t="s">
        <v>930</v>
      </c>
      <c r="L368" s="12">
        <v>135.0</v>
      </c>
      <c r="M368" s="2" t="s">
        <v>931</v>
      </c>
      <c r="N368" s="2" t="str">
        <f>IFERROR(__xludf.DUMMYFUNCTION("""COMPUTED_VALUE"""),"")</f>
        <v/>
      </c>
    </row>
    <row r="369">
      <c r="A369" s="2" t="s">
        <v>33</v>
      </c>
      <c r="B369" s="12">
        <v>378504.0</v>
      </c>
      <c r="C369" s="12">
        <v>378722.0</v>
      </c>
      <c r="D369" s="2"/>
      <c r="E369" s="2" t="s">
        <v>38</v>
      </c>
      <c r="F369" s="2" t="s">
        <v>39</v>
      </c>
      <c r="G369" s="2"/>
      <c r="H369" s="12">
        <v>0.0</v>
      </c>
      <c r="I369" s="2" t="s">
        <v>40</v>
      </c>
      <c r="J369" s="2"/>
      <c r="K369" s="2" t="s">
        <v>932</v>
      </c>
      <c r="L369" s="12">
        <v>72.0</v>
      </c>
      <c r="M369" s="2" t="s">
        <v>933</v>
      </c>
      <c r="N369" s="2" t="str">
        <f>IFERROR(__xludf.DUMMYFUNCTION("""COMPUTED_VALUE"""),"")</f>
        <v/>
      </c>
    </row>
    <row r="370">
      <c r="A370" s="2" t="s">
        <v>33</v>
      </c>
      <c r="B370" s="12">
        <v>379125.0</v>
      </c>
      <c r="C370" s="12">
        <v>379976.0</v>
      </c>
      <c r="D370" s="2"/>
      <c r="E370" s="2" t="s">
        <v>38</v>
      </c>
      <c r="F370" s="2" t="s">
        <v>934</v>
      </c>
      <c r="G370" s="2"/>
      <c r="H370" s="12">
        <v>0.0</v>
      </c>
      <c r="I370" s="2" t="s">
        <v>40</v>
      </c>
      <c r="J370" s="2"/>
      <c r="K370" s="2" t="s">
        <v>935</v>
      </c>
      <c r="L370" s="12">
        <v>283.0</v>
      </c>
      <c r="M370" s="2" t="s">
        <v>936</v>
      </c>
      <c r="N370" s="2" t="str">
        <f>IFERROR(__xludf.DUMMYFUNCTION("""COMPUTED_VALUE"""),"")</f>
        <v/>
      </c>
    </row>
    <row r="371">
      <c r="A371" s="2" t="s">
        <v>33</v>
      </c>
      <c r="B371" s="12">
        <v>380179.0</v>
      </c>
      <c r="C371" s="12">
        <v>381177.0</v>
      </c>
      <c r="D371" s="2"/>
      <c r="E371" s="2" t="s">
        <v>38</v>
      </c>
      <c r="F371" s="2" t="s">
        <v>937</v>
      </c>
      <c r="G371" s="2"/>
      <c r="H371" s="12">
        <v>0.0</v>
      </c>
      <c r="I371" s="2" t="s">
        <v>40</v>
      </c>
      <c r="J371" s="2"/>
      <c r="K371" s="2" t="s">
        <v>938</v>
      </c>
      <c r="L371" s="12">
        <v>332.0</v>
      </c>
      <c r="M371" s="2" t="s">
        <v>939</v>
      </c>
      <c r="N371" s="2" t="str">
        <f>IFERROR(__xludf.DUMMYFUNCTION("""COMPUTED_VALUE"""),"")</f>
        <v/>
      </c>
    </row>
    <row r="372">
      <c r="A372" s="2" t="s">
        <v>33</v>
      </c>
      <c r="B372" s="12">
        <v>381656.0</v>
      </c>
      <c r="C372" s="12">
        <v>382246.0</v>
      </c>
      <c r="D372" s="2"/>
      <c r="E372" s="2" t="s">
        <v>38</v>
      </c>
      <c r="F372" s="2" t="s">
        <v>39</v>
      </c>
      <c r="G372" s="2"/>
      <c r="H372" s="12">
        <v>0.0</v>
      </c>
      <c r="I372" s="2" t="s">
        <v>40</v>
      </c>
      <c r="J372" s="2"/>
      <c r="K372" s="2" t="s">
        <v>940</v>
      </c>
      <c r="L372" s="12">
        <v>196.0</v>
      </c>
      <c r="M372" s="2" t="s">
        <v>941</v>
      </c>
      <c r="N372" s="2" t="str">
        <f>IFERROR(__xludf.DUMMYFUNCTION("""COMPUTED_VALUE"""),"")</f>
        <v/>
      </c>
    </row>
    <row r="373">
      <c r="A373" s="2" t="s">
        <v>33</v>
      </c>
      <c r="B373" s="12">
        <v>382511.0</v>
      </c>
      <c r="C373" s="12">
        <v>382705.0</v>
      </c>
      <c r="D373" s="2"/>
      <c r="E373" s="2" t="s">
        <v>34</v>
      </c>
      <c r="F373" s="2" t="s">
        <v>39</v>
      </c>
      <c r="G373" s="2"/>
      <c r="H373" s="12">
        <v>0.0</v>
      </c>
      <c r="I373" s="2" t="s">
        <v>40</v>
      </c>
      <c r="J373" s="2"/>
      <c r="K373" s="2" t="s">
        <v>942</v>
      </c>
      <c r="L373" s="12">
        <v>64.0</v>
      </c>
      <c r="M373" s="2" t="s">
        <v>943</v>
      </c>
      <c r="N373" s="2" t="str">
        <f>IFERROR(__xludf.DUMMYFUNCTION("""COMPUTED_VALUE"""),"")</f>
        <v/>
      </c>
    </row>
    <row r="374">
      <c r="A374" s="2" t="s">
        <v>33</v>
      </c>
      <c r="B374" s="12">
        <v>383393.0</v>
      </c>
      <c r="C374" s="12">
        <v>383968.0</v>
      </c>
      <c r="D374" s="2"/>
      <c r="E374" s="2" t="s">
        <v>38</v>
      </c>
      <c r="F374" s="2" t="s">
        <v>39</v>
      </c>
      <c r="G374" s="2"/>
      <c r="H374" s="12">
        <v>0.0</v>
      </c>
      <c r="I374" s="2" t="s">
        <v>40</v>
      </c>
      <c r="J374" s="2"/>
      <c r="K374" s="2" t="s">
        <v>944</v>
      </c>
      <c r="L374" s="12">
        <v>191.0</v>
      </c>
      <c r="M374" s="2" t="s">
        <v>945</v>
      </c>
      <c r="N374" s="2" t="str">
        <f>IFERROR(__xludf.DUMMYFUNCTION("""COMPUTED_VALUE"""),"")</f>
        <v/>
      </c>
    </row>
    <row r="375">
      <c r="A375" s="2" t="s">
        <v>33</v>
      </c>
      <c r="B375" s="12">
        <v>384123.0</v>
      </c>
      <c r="C375" s="12">
        <v>384659.0</v>
      </c>
      <c r="D375" s="2"/>
      <c r="E375" s="2" t="s">
        <v>38</v>
      </c>
      <c r="F375" s="2" t="s">
        <v>946</v>
      </c>
      <c r="G375" s="2"/>
      <c r="H375" s="12">
        <v>0.0</v>
      </c>
      <c r="I375" s="2" t="s">
        <v>40</v>
      </c>
      <c r="J375" s="2"/>
      <c r="K375" s="2" t="s">
        <v>947</v>
      </c>
      <c r="L375" s="12">
        <v>178.0</v>
      </c>
      <c r="M375" s="2" t="s">
        <v>948</v>
      </c>
      <c r="N375" s="2" t="str">
        <f>IFERROR(__xludf.DUMMYFUNCTION("""COMPUTED_VALUE"""),"")</f>
        <v/>
      </c>
    </row>
    <row r="376">
      <c r="A376" s="2" t="s">
        <v>33</v>
      </c>
      <c r="B376" s="12">
        <v>384797.0</v>
      </c>
      <c r="C376" s="12">
        <v>385048.0</v>
      </c>
      <c r="D376" s="2"/>
      <c r="E376" s="2" t="s">
        <v>38</v>
      </c>
      <c r="F376" s="2" t="s">
        <v>949</v>
      </c>
      <c r="G376" s="2"/>
      <c r="H376" s="12">
        <v>0.0</v>
      </c>
      <c r="I376" s="2" t="s">
        <v>40</v>
      </c>
      <c r="J376" s="2"/>
      <c r="K376" s="2" t="s">
        <v>950</v>
      </c>
      <c r="L376" s="12">
        <v>83.0</v>
      </c>
      <c r="M376" s="2" t="s">
        <v>951</v>
      </c>
      <c r="N376" s="2" t="str">
        <f>IFERROR(__xludf.DUMMYFUNCTION("""COMPUTED_VALUE"""),"")</f>
        <v/>
      </c>
    </row>
    <row r="377">
      <c r="A377" s="2" t="s">
        <v>33</v>
      </c>
      <c r="B377" s="12">
        <v>385193.0</v>
      </c>
      <c r="C377" s="12">
        <v>385468.0</v>
      </c>
      <c r="D377" s="2"/>
      <c r="E377" s="2" t="s">
        <v>38</v>
      </c>
      <c r="F377" s="2" t="s">
        <v>39</v>
      </c>
      <c r="G377" s="2"/>
      <c r="H377" s="12">
        <v>0.0</v>
      </c>
      <c r="I377" s="2" t="s">
        <v>40</v>
      </c>
      <c r="J377" s="2"/>
      <c r="K377" s="2" t="s">
        <v>952</v>
      </c>
      <c r="L377" s="12">
        <v>91.0</v>
      </c>
      <c r="M377" s="2" t="s">
        <v>953</v>
      </c>
      <c r="N377" s="2" t="str">
        <f>IFERROR(__xludf.DUMMYFUNCTION("""COMPUTED_VALUE"""),"")</f>
        <v/>
      </c>
    </row>
    <row r="378">
      <c r="A378" s="2" t="s">
        <v>33</v>
      </c>
      <c r="B378" s="12">
        <v>385793.0</v>
      </c>
      <c r="C378" s="12">
        <v>385903.0</v>
      </c>
      <c r="D378" s="2"/>
      <c r="E378" s="2" t="s">
        <v>38</v>
      </c>
      <c r="F378" s="2" t="s">
        <v>35</v>
      </c>
      <c r="G378" s="2"/>
      <c r="H378" s="12">
        <v>0.0</v>
      </c>
      <c r="I378" s="2" t="s">
        <v>36</v>
      </c>
      <c r="J378" s="2"/>
      <c r="K378" s="2"/>
      <c r="L378" s="2"/>
      <c r="M378" s="2" t="s">
        <v>954</v>
      </c>
      <c r="N378" s="2" t="str">
        <f>IFERROR(__xludf.DUMMYFUNCTION("""COMPUTED_VALUE"""),"")</f>
        <v/>
      </c>
    </row>
    <row r="379">
      <c r="A379" s="2" t="s">
        <v>33</v>
      </c>
      <c r="B379" s="12">
        <v>386107.0</v>
      </c>
      <c r="C379" s="12">
        <v>386637.0</v>
      </c>
      <c r="D379" s="2"/>
      <c r="E379" s="2" t="s">
        <v>34</v>
      </c>
      <c r="F379" s="2" t="s">
        <v>367</v>
      </c>
      <c r="G379" s="2"/>
      <c r="H379" s="12">
        <v>0.0</v>
      </c>
      <c r="I379" s="2" t="s">
        <v>40</v>
      </c>
      <c r="J379" s="2"/>
      <c r="K379" s="2" t="s">
        <v>955</v>
      </c>
      <c r="L379" s="12">
        <v>176.0</v>
      </c>
      <c r="M379" s="2" t="s">
        <v>956</v>
      </c>
      <c r="N379" s="2" t="str">
        <f>IFERROR(__xludf.DUMMYFUNCTION("""COMPUTED_VALUE"""),"")</f>
        <v/>
      </c>
    </row>
    <row r="380">
      <c r="A380" s="2" t="s">
        <v>33</v>
      </c>
      <c r="B380" s="12">
        <v>386903.0</v>
      </c>
      <c r="C380" s="12">
        <v>387217.0</v>
      </c>
      <c r="D380" s="2"/>
      <c r="E380" s="2" t="s">
        <v>34</v>
      </c>
      <c r="F380" s="2" t="s">
        <v>957</v>
      </c>
      <c r="G380" s="2"/>
      <c r="H380" s="12">
        <v>0.0</v>
      </c>
      <c r="I380" s="2" t="s">
        <v>40</v>
      </c>
      <c r="J380" s="2"/>
      <c r="K380" s="2" t="s">
        <v>958</v>
      </c>
      <c r="L380" s="12">
        <v>104.0</v>
      </c>
      <c r="M380" s="2" t="s">
        <v>959</v>
      </c>
      <c r="N380" s="2" t="str">
        <f>IFERROR(__xludf.DUMMYFUNCTION("""COMPUTED_VALUE"""),"")</f>
        <v/>
      </c>
    </row>
    <row r="381">
      <c r="A381" s="2" t="s">
        <v>33</v>
      </c>
      <c r="B381" s="12">
        <v>387571.0</v>
      </c>
      <c r="C381" s="12">
        <v>388452.0</v>
      </c>
      <c r="D381" s="2"/>
      <c r="E381" s="2" t="s">
        <v>34</v>
      </c>
      <c r="F381" s="2" t="s">
        <v>960</v>
      </c>
      <c r="G381" s="2"/>
      <c r="H381" s="12">
        <v>0.0</v>
      </c>
      <c r="I381" s="2" t="s">
        <v>40</v>
      </c>
      <c r="J381" s="2"/>
      <c r="K381" s="2" t="s">
        <v>961</v>
      </c>
      <c r="L381" s="12">
        <v>293.0</v>
      </c>
      <c r="M381" s="2" t="s">
        <v>962</v>
      </c>
      <c r="N381" s="2" t="str">
        <f>IFERROR(__xludf.DUMMYFUNCTION("""COMPUTED_VALUE"""),"")</f>
        <v/>
      </c>
    </row>
    <row r="382">
      <c r="A382" s="2" t="s">
        <v>33</v>
      </c>
      <c r="B382" s="12">
        <v>388442.0</v>
      </c>
      <c r="C382" s="12">
        <v>389077.0</v>
      </c>
      <c r="D382" s="2"/>
      <c r="E382" s="2" t="s">
        <v>38</v>
      </c>
      <c r="F382" s="2" t="s">
        <v>963</v>
      </c>
      <c r="G382" s="2"/>
      <c r="H382" s="12">
        <v>0.0</v>
      </c>
      <c r="I382" s="2" t="s">
        <v>40</v>
      </c>
      <c r="J382" s="2"/>
      <c r="K382" s="2" t="s">
        <v>964</v>
      </c>
      <c r="L382" s="12">
        <v>211.0</v>
      </c>
      <c r="M382" s="2" t="s">
        <v>965</v>
      </c>
      <c r="N382" s="2" t="str">
        <f>IFERROR(__xludf.DUMMYFUNCTION("""COMPUTED_VALUE"""),"")</f>
        <v/>
      </c>
    </row>
    <row r="383">
      <c r="A383" s="2" t="s">
        <v>33</v>
      </c>
      <c r="B383" s="12">
        <v>389155.0</v>
      </c>
      <c r="C383" s="12">
        <v>389910.0</v>
      </c>
      <c r="D383" s="2"/>
      <c r="E383" s="2" t="s">
        <v>38</v>
      </c>
      <c r="F383" s="2" t="s">
        <v>966</v>
      </c>
      <c r="G383" s="2"/>
      <c r="H383" s="12">
        <v>0.0</v>
      </c>
      <c r="I383" s="2" t="s">
        <v>40</v>
      </c>
      <c r="J383" s="2"/>
      <c r="K383" s="2" t="s">
        <v>967</v>
      </c>
      <c r="L383" s="12">
        <v>251.0</v>
      </c>
      <c r="M383" s="2" t="s">
        <v>968</v>
      </c>
      <c r="N383" s="2" t="str">
        <f>IFERROR(__xludf.DUMMYFUNCTION("""COMPUTED_VALUE"""),"")</f>
        <v/>
      </c>
    </row>
    <row r="384">
      <c r="A384" s="2" t="s">
        <v>33</v>
      </c>
      <c r="B384" s="12">
        <v>389892.0</v>
      </c>
      <c r="C384" s="12">
        <v>390713.0</v>
      </c>
      <c r="D384" s="2"/>
      <c r="E384" s="2" t="s">
        <v>38</v>
      </c>
      <c r="F384" s="2" t="s">
        <v>969</v>
      </c>
      <c r="G384" s="2"/>
      <c r="H384" s="12">
        <v>0.0</v>
      </c>
      <c r="I384" s="2" t="s">
        <v>40</v>
      </c>
      <c r="J384" s="2"/>
      <c r="K384" s="2" t="s">
        <v>970</v>
      </c>
      <c r="L384" s="12">
        <v>273.0</v>
      </c>
      <c r="M384" s="2" t="s">
        <v>971</v>
      </c>
      <c r="N384" s="2" t="str">
        <f>IFERROR(__xludf.DUMMYFUNCTION("""COMPUTED_VALUE"""),"")</f>
        <v/>
      </c>
    </row>
    <row r="385">
      <c r="A385" s="2" t="s">
        <v>33</v>
      </c>
      <c r="B385" s="12">
        <v>390713.0</v>
      </c>
      <c r="C385" s="12">
        <v>390895.0</v>
      </c>
      <c r="D385" s="2"/>
      <c r="E385" s="2" t="s">
        <v>38</v>
      </c>
      <c r="F385" s="2" t="s">
        <v>39</v>
      </c>
      <c r="G385" s="2"/>
      <c r="H385" s="12">
        <v>0.0</v>
      </c>
      <c r="I385" s="2" t="s">
        <v>40</v>
      </c>
      <c r="J385" s="2"/>
      <c r="K385" s="2" t="s">
        <v>972</v>
      </c>
      <c r="L385" s="12">
        <v>60.0</v>
      </c>
      <c r="M385" s="2" t="s">
        <v>973</v>
      </c>
      <c r="N385" s="2" t="str">
        <f>IFERROR(__xludf.DUMMYFUNCTION("""COMPUTED_VALUE"""),"")</f>
        <v/>
      </c>
    </row>
    <row r="386">
      <c r="A386" s="2" t="s">
        <v>33</v>
      </c>
      <c r="B386" s="12">
        <v>391006.0</v>
      </c>
      <c r="C386" s="12">
        <v>391185.0</v>
      </c>
      <c r="D386" s="2"/>
      <c r="E386" s="2" t="s">
        <v>38</v>
      </c>
      <c r="F386" s="2" t="s">
        <v>974</v>
      </c>
      <c r="G386" s="2"/>
      <c r="H386" s="12">
        <v>0.0</v>
      </c>
      <c r="I386" s="2" t="s">
        <v>40</v>
      </c>
      <c r="J386" s="2"/>
      <c r="K386" s="2" t="s">
        <v>975</v>
      </c>
      <c r="L386" s="12">
        <v>59.0</v>
      </c>
      <c r="M386" s="2" t="s">
        <v>976</v>
      </c>
      <c r="N386" s="2" t="str">
        <f>IFERROR(__xludf.DUMMYFUNCTION("""COMPUTED_VALUE"""),"")</f>
        <v/>
      </c>
    </row>
    <row r="387">
      <c r="A387" s="2" t="s">
        <v>33</v>
      </c>
      <c r="B387" s="12">
        <v>391335.0</v>
      </c>
      <c r="C387" s="12">
        <v>391490.0</v>
      </c>
      <c r="D387" s="2"/>
      <c r="E387" s="2" t="s">
        <v>34</v>
      </c>
      <c r="F387" s="2" t="s">
        <v>977</v>
      </c>
      <c r="G387" s="2"/>
      <c r="H387" s="12">
        <v>0.0</v>
      </c>
      <c r="I387" s="2" t="s">
        <v>40</v>
      </c>
      <c r="J387" s="2"/>
      <c r="K387" s="2" t="s">
        <v>978</v>
      </c>
      <c r="L387" s="12">
        <v>51.0</v>
      </c>
      <c r="M387" s="2" t="s">
        <v>979</v>
      </c>
      <c r="N387" s="2" t="str">
        <f>IFERROR(__xludf.DUMMYFUNCTION("""COMPUTED_VALUE"""),"")</f>
        <v/>
      </c>
    </row>
    <row r="388">
      <c r="A388" s="2" t="s">
        <v>33</v>
      </c>
      <c r="B388" s="12">
        <v>391495.0</v>
      </c>
      <c r="C388" s="12">
        <v>392157.0</v>
      </c>
      <c r="D388" s="2"/>
      <c r="E388" s="2" t="s">
        <v>38</v>
      </c>
      <c r="F388" s="2" t="s">
        <v>39</v>
      </c>
      <c r="G388" s="2"/>
      <c r="H388" s="12">
        <v>0.0</v>
      </c>
      <c r="I388" s="2" t="s">
        <v>40</v>
      </c>
      <c r="J388" s="2"/>
      <c r="K388" s="2" t="s">
        <v>980</v>
      </c>
      <c r="L388" s="12">
        <v>220.0</v>
      </c>
      <c r="M388" s="2" t="s">
        <v>981</v>
      </c>
      <c r="N388" s="2" t="str">
        <f>IFERROR(__xludf.DUMMYFUNCTION("""COMPUTED_VALUE"""),"")</f>
        <v/>
      </c>
    </row>
    <row r="389">
      <c r="A389" s="2" t="s">
        <v>33</v>
      </c>
      <c r="B389" s="12">
        <v>392408.0</v>
      </c>
      <c r="C389" s="12">
        <v>392623.0</v>
      </c>
      <c r="D389" s="2"/>
      <c r="E389" s="2" t="s">
        <v>38</v>
      </c>
      <c r="F389" s="2" t="s">
        <v>982</v>
      </c>
      <c r="G389" s="2"/>
      <c r="H389" s="12">
        <v>0.0</v>
      </c>
      <c r="I389" s="2" t="s">
        <v>40</v>
      </c>
      <c r="J389" s="2"/>
      <c r="K389" s="2" t="s">
        <v>983</v>
      </c>
      <c r="L389" s="12">
        <v>71.0</v>
      </c>
      <c r="M389" s="2" t="s">
        <v>984</v>
      </c>
      <c r="N389" s="2" t="str">
        <f>IFERROR(__xludf.DUMMYFUNCTION("""COMPUTED_VALUE"""),"")</f>
        <v/>
      </c>
    </row>
    <row r="390">
      <c r="A390" s="2" t="s">
        <v>33</v>
      </c>
      <c r="B390" s="12">
        <v>392696.0</v>
      </c>
      <c r="C390" s="12">
        <v>392968.0</v>
      </c>
      <c r="D390" s="2"/>
      <c r="E390" s="2" t="s">
        <v>38</v>
      </c>
      <c r="F390" s="2" t="s">
        <v>985</v>
      </c>
      <c r="G390" s="2"/>
      <c r="H390" s="12">
        <v>0.0</v>
      </c>
      <c r="I390" s="2" t="s">
        <v>40</v>
      </c>
      <c r="J390" s="2"/>
      <c r="K390" s="2" t="s">
        <v>986</v>
      </c>
      <c r="L390" s="12">
        <v>90.0</v>
      </c>
      <c r="M390" s="2" t="s">
        <v>987</v>
      </c>
      <c r="N390" s="2" t="str">
        <f>IFERROR(__xludf.DUMMYFUNCTION("""COMPUTED_VALUE"""),"")</f>
        <v/>
      </c>
    </row>
    <row r="391">
      <c r="A391" s="2" t="s">
        <v>33</v>
      </c>
      <c r="B391" s="12">
        <v>392965.0</v>
      </c>
      <c r="C391" s="12">
        <v>394386.0</v>
      </c>
      <c r="D391" s="2"/>
      <c r="E391" s="2" t="s">
        <v>38</v>
      </c>
      <c r="F391" s="2" t="s">
        <v>988</v>
      </c>
      <c r="G391" s="2" t="s">
        <v>989</v>
      </c>
      <c r="H391" s="12">
        <v>0.0</v>
      </c>
      <c r="I391" s="2" t="s">
        <v>40</v>
      </c>
      <c r="J391" s="2"/>
      <c r="K391" s="2" t="s">
        <v>990</v>
      </c>
      <c r="L391" s="12">
        <v>473.0</v>
      </c>
      <c r="M391" s="2" t="s">
        <v>991</v>
      </c>
      <c r="N391" s="2" t="str">
        <f>IFERROR(__xludf.DUMMYFUNCTION("""COMPUTED_VALUE"""),"")</f>
        <v/>
      </c>
    </row>
    <row r="392">
      <c r="A392" s="2" t="s">
        <v>33</v>
      </c>
      <c r="B392" s="12">
        <v>394597.0</v>
      </c>
      <c r="C392" s="12">
        <v>395982.0</v>
      </c>
      <c r="D392" s="2"/>
      <c r="E392" s="2" t="s">
        <v>38</v>
      </c>
      <c r="F392" s="2" t="s">
        <v>992</v>
      </c>
      <c r="G392" s="2" t="s">
        <v>993</v>
      </c>
      <c r="H392" s="12">
        <v>0.0</v>
      </c>
      <c r="I392" s="2" t="s">
        <v>40</v>
      </c>
      <c r="J392" s="2"/>
      <c r="K392" s="2" t="s">
        <v>994</v>
      </c>
      <c r="L392" s="12">
        <v>461.0</v>
      </c>
      <c r="M392" s="2" t="s">
        <v>995</v>
      </c>
      <c r="N392" s="2" t="str">
        <f>IFERROR(__xludf.DUMMYFUNCTION("""COMPUTED_VALUE"""),"")</f>
        <v/>
      </c>
    </row>
    <row r="393">
      <c r="A393" s="2" t="s">
        <v>33</v>
      </c>
      <c r="B393" s="12">
        <v>396147.0</v>
      </c>
      <c r="C393" s="12">
        <v>397046.0</v>
      </c>
      <c r="D393" s="2"/>
      <c r="E393" s="2" t="s">
        <v>38</v>
      </c>
      <c r="F393" s="2" t="s">
        <v>996</v>
      </c>
      <c r="G393" s="2" t="s">
        <v>997</v>
      </c>
      <c r="H393" s="12">
        <v>0.0</v>
      </c>
      <c r="I393" s="2" t="s">
        <v>40</v>
      </c>
      <c r="J393" s="2"/>
      <c r="K393" s="2" t="s">
        <v>998</v>
      </c>
      <c r="L393" s="12">
        <v>299.0</v>
      </c>
      <c r="M393" s="2" t="s">
        <v>999</v>
      </c>
      <c r="N393" s="2" t="str">
        <f>IFERROR(__xludf.DUMMYFUNCTION("""COMPUTED_VALUE"""),"")</f>
        <v/>
      </c>
    </row>
    <row r="394">
      <c r="A394" s="2" t="s">
        <v>33</v>
      </c>
      <c r="B394" s="12">
        <v>397043.0</v>
      </c>
      <c r="C394" s="12">
        <v>398311.0</v>
      </c>
      <c r="D394" s="2"/>
      <c r="E394" s="2" t="s">
        <v>38</v>
      </c>
      <c r="F394" s="2" t="s">
        <v>1000</v>
      </c>
      <c r="G394" s="2"/>
      <c r="H394" s="12">
        <v>0.0</v>
      </c>
      <c r="I394" s="2" t="s">
        <v>40</v>
      </c>
      <c r="J394" s="2"/>
      <c r="K394" s="2" t="s">
        <v>1001</v>
      </c>
      <c r="L394" s="12">
        <v>422.0</v>
      </c>
      <c r="M394" s="2" t="s">
        <v>1002</v>
      </c>
      <c r="N394" s="2" t="str">
        <f>IFERROR(__xludf.DUMMYFUNCTION("""COMPUTED_VALUE"""),"")</f>
        <v/>
      </c>
    </row>
    <row r="395">
      <c r="A395" s="2" t="s">
        <v>33</v>
      </c>
      <c r="B395" s="12">
        <v>398327.0</v>
      </c>
      <c r="C395" s="12">
        <v>398989.0</v>
      </c>
      <c r="D395" s="2"/>
      <c r="E395" s="2" t="s">
        <v>38</v>
      </c>
      <c r="F395" s="2" t="s">
        <v>1003</v>
      </c>
      <c r="G395" s="2"/>
      <c r="H395" s="12">
        <v>0.0</v>
      </c>
      <c r="I395" s="2" t="s">
        <v>40</v>
      </c>
      <c r="J395" s="2"/>
      <c r="K395" s="2" t="s">
        <v>1004</v>
      </c>
      <c r="L395" s="12">
        <v>220.0</v>
      </c>
      <c r="M395" s="2" t="s">
        <v>1005</v>
      </c>
      <c r="N395" s="2" t="str">
        <f>IFERROR(__xludf.DUMMYFUNCTION("""COMPUTED_VALUE"""),"")</f>
        <v/>
      </c>
    </row>
    <row r="396">
      <c r="A396" s="2" t="s">
        <v>33</v>
      </c>
      <c r="B396" s="12">
        <v>398974.0</v>
      </c>
      <c r="C396" s="12">
        <v>399672.0</v>
      </c>
      <c r="D396" s="2"/>
      <c r="E396" s="2" t="s">
        <v>38</v>
      </c>
      <c r="F396" s="2" t="s">
        <v>1006</v>
      </c>
      <c r="G396" s="2" t="s">
        <v>1007</v>
      </c>
      <c r="H396" s="12">
        <v>0.0</v>
      </c>
      <c r="I396" s="2" t="s">
        <v>40</v>
      </c>
      <c r="J396" s="2"/>
      <c r="K396" s="2" t="s">
        <v>1008</v>
      </c>
      <c r="L396" s="12">
        <v>232.0</v>
      </c>
      <c r="M396" s="2" t="s">
        <v>1009</v>
      </c>
      <c r="N396" s="2" t="str">
        <f>IFERROR(__xludf.DUMMYFUNCTION("""COMPUTED_VALUE"""),"")</f>
        <v/>
      </c>
    </row>
    <row r="397">
      <c r="A397" s="2" t="s">
        <v>33</v>
      </c>
      <c r="B397" s="12">
        <v>399669.0</v>
      </c>
      <c r="C397" s="12">
        <v>400979.0</v>
      </c>
      <c r="D397" s="2"/>
      <c r="E397" s="2" t="s">
        <v>38</v>
      </c>
      <c r="F397" s="2" t="s">
        <v>1010</v>
      </c>
      <c r="G397" s="2"/>
      <c r="H397" s="12">
        <v>0.0</v>
      </c>
      <c r="I397" s="2" t="s">
        <v>40</v>
      </c>
      <c r="J397" s="2"/>
      <c r="K397" s="2" t="s">
        <v>1011</v>
      </c>
      <c r="L397" s="12">
        <v>436.0</v>
      </c>
      <c r="M397" s="2" t="s">
        <v>1012</v>
      </c>
      <c r="N397" s="2" t="str">
        <f>IFERROR(__xludf.DUMMYFUNCTION("""COMPUTED_VALUE"""),"")</f>
        <v/>
      </c>
    </row>
    <row r="398">
      <c r="A398" s="2" t="s">
        <v>33</v>
      </c>
      <c r="B398" s="12">
        <v>401928.0</v>
      </c>
      <c r="C398" s="12">
        <v>402677.0</v>
      </c>
      <c r="D398" s="2"/>
      <c r="E398" s="2" t="s">
        <v>34</v>
      </c>
      <c r="F398" s="2" t="s">
        <v>1013</v>
      </c>
      <c r="G398" s="2"/>
      <c r="H398" s="12">
        <v>0.0</v>
      </c>
      <c r="I398" s="2" t="s">
        <v>40</v>
      </c>
      <c r="J398" s="2"/>
      <c r="K398" s="2" t="s">
        <v>1014</v>
      </c>
      <c r="L398" s="12">
        <v>249.0</v>
      </c>
      <c r="M398" s="2" t="s">
        <v>1015</v>
      </c>
      <c r="N398" s="2" t="str">
        <f>IFERROR(__xludf.DUMMYFUNCTION("""COMPUTED_VALUE"""),"")</f>
        <v/>
      </c>
    </row>
    <row r="399">
      <c r="A399" s="2" t="s">
        <v>33</v>
      </c>
      <c r="B399" s="12">
        <v>402711.0</v>
      </c>
      <c r="C399" s="12">
        <v>403844.0</v>
      </c>
      <c r="D399" s="2"/>
      <c r="E399" s="2" t="s">
        <v>38</v>
      </c>
      <c r="F399" s="2" t="s">
        <v>1016</v>
      </c>
      <c r="G399" s="2"/>
      <c r="H399" s="12">
        <v>0.0</v>
      </c>
      <c r="I399" s="2" t="s">
        <v>40</v>
      </c>
      <c r="J399" s="2"/>
      <c r="K399" s="2" t="s">
        <v>1017</v>
      </c>
      <c r="L399" s="12">
        <v>377.0</v>
      </c>
      <c r="M399" s="2" t="s">
        <v>1018</v>
      </c>
      <c r="N399" s="2" t="str">
        <f>IFERROR(__xludf.DUMMYFUNCTION("""COMPUTED_VALUE"""),"")</f>
        <v/>
      </c>
    </row>
    <row r="400">
      <c r="A400" s="2" t="s">
        <v>33</v>
      </c>
      <c r="B400" s="12">
        <v>404082.0</v>
      </c>
      <c r="C400" s="12">
        <v>404474.0</v>
      </c>
      <c r="D400" s="2"/>
      <c r="E400" s="2" t="s">
        <v>34</v>
      </c>
      <c r="F400" s="2" t="s">
        <v>1019</v>
      </c>
      <c r="G400" s="2"/>
      <c r="H400" s="12">
        <v>0.0</v>
      </c>
      <c r="I400" s="2" t="s">
        <v>40</v>
      </c>
      <c r="J400" s="2"/>
      <c r="K400" s="2" t="s">
        <v>1020</v>
      </c>
      <c r="L400" s="12">
        <v>130.0</v>
      </c>
      <c r="M400" s="2" t="s">
        <v>1021</v>
      </c>
      <c r="N400" s="2" t="str">
        <f>IFERROR(__xludf.DUMMYFUNCTION("""COMPUTED_VALUE"""),"")</f>
        <v/>
      </c>
    </row>
    <row r="401">
      <c r="A401" s="2" t="s">
        <v>33</v>
      </c>
      <c r="B401" s="12">
        <v>404577.0</v>
      </c>
      <c r="C401" s="12">
        <v>406002.0</v>
      </c>
      <c r="D401" s="2"/>
      <c r="E401" s="2" t="s">
        <v>38</v>
      </c>
      <c r="F401" s="2" t="s">
        <v>35</v>
      </c>
      <c r="G401" s="2"/>
      <c r="H401" s="12">
        <v>0.0</v>
      </c>
      <c r="I401" s="2" t="s">
        <v>36</v>
      </c>
      <c r="J401" s="2"/>
      <c r="K401" s="2"/>
      <c r="L401" s="2"/>
      <c r="M401" s="2" t="s">
        <v>1022</v>
      </c>
      <c r="N401" s="2" t="str">
        <f>IFERROR(__xludf.DUMMYFUNCTION("""COMPUTED_VALUE"""),"")</f>
        <v/>
      </c>
    </row>
    <row r="402">
      <c r="A402" s="2" t="s">
        <v>33</v>
      </c>
      <c r="B402" s="12">
        <v>406135.0</v>
      </c>
      <c r="C402" s="12">
        <v>407490.0</v>
      </c>
      <c r="D402" s="2"/>
      <c r="E402" s="2" t="s">
        <v>38</v>
      </c>
      <c r="F402" s="2" t="s">
        <v>1023</v>
      </c>
      <c r="G402" s="2"/>
      <c r="H402" s="12">
        <v>0.0</v>
      </c>
      <c r="I402" s="2" t="s">
        <v>40</v>
      </c>
      <c r="J402" s="2"/>
      <c r="K402" s="2" t="s">
        <v>1024</v>
      </c>
      <c r="L402" s="12">
        <v>451.0</v>
      </c>
      <c r="M402" s="2" t="s">
        <v>1025</v>
      </c>
      <c r="N402" s="2" t="str">
        <f>IFERROR(__xludf.DUMMYFUNCTION("""COMPUTED_VALUE"""),"")</f>
        <v/>
      </c>
    </row>
    <row r="403">
      <c r="A403" s="2" t="s">
        <v>33</v>
      </c>
      <c r="B403" s="12">
        <v>407845.0</v>
      </c>
      <c r="C403" s="12">
        <v>408387.0</v>
      </c>
      <c r="D403" s="2"/>
      <c r="E403" s="2" t="s">
        <v>34</v>
      </c>
      <c r="F403" s="2" t="s">
        <v>1026</v>
      </c>
      <c r="G403" s="2" t="s">
        <v>1027</v>
      </c>
      <c r="H403" s="12">
        <v>0.0</v>
      </c>
      <c r="I403" s="2" t="s">
        <v>40</v>
      </c>
      <c r="J403" s="2"/>
      <c r="K403" s="2" t="s">
        <v>1028</v>
      </c>
      <c r="L403" s="12">
        <v>180.0</v>
      </c>
      <c r="M403" s="2" t="s">
        <v>1029</v>
      </c>
      <c r="N403" s="2" t="str">
        <f>IFERROR(__xludf.DUMMYFUNCTION("""COMPUTED_VALUE"""),"")</f>
        <v/>
      </c>
    </row>
    <row r="404">
      <c r="A404" s="2" t="s">
        <v>33</v>
      </c>
      <c r="B404" s="12">
        <v>408484.0</v>
      </c>
      <c r="C404" s="12">
        <v>409080.0</v>
      </c>
      <c r="D404" s="2"/>
      <c r="E404" s="2" t="s">
        <v>38</v>
      </c>
      <c r="F404" s="2" t="s">
        <v>39</v>
      </c>
      <c r="G404" s="2"/>
      <c r="H404" s="12">
        <v>0.0</v>
      </c>
      <c r="I404" s="2" t="s">
        <v>40</v>
      </c>
      <c r="J404" s="2"/>
      <c r="K404" s="2" t="s">
        <v>1030</v>
      </c>
      <c r="L404" s="12">
        <v>198.0</v>
      </c>
      <c r="M404" s="2" t="s">
        <v>1031</v>
      </c>
      <c r="N404" s="2" t="str">
        <f>IFERROR(__xludf.DUMMYFUNCTION("""COMPUTED_VALUE"""),"")</f>
        <v/>
      </c>
    </row>
    <row r="405">
      <c r="A405" s="2" t="s">
        <v>33</v>
      </c>
      <c r="B405" s="12">
        <v>409360.0</v>
      </c>
      <c r="C405" s="12">
        <v>411210.0</v>
      </c>
      <c r="D405" s="2"/>
      <c r="E405" s="2" t="s">
        <v>38</v>
      </c>
      <c r="F405" s="2" t="s">
        <v>39</v>
      </c>
      <c r="G405" s="2"/>
      <c r="H405" s="12">
        <v>0.0</v>
      </c>
      <c r="I405" s="2" t="s">
        <v>40</v>
      </c>
      <c r="J405" s="2"/>
      <c r="K405" s="2" t="s">
        <v>1032</v>
      </c>
      <c r="L405" s="12">
        <v>616.0</v>
      </c>
      <c r="M405" s="2" t="s">
        <v>1033</v>
      </c>
      <c r="N405" s="2" t="str">
        <f>IFERROR(__xludf.DUMMYFUNCTION("""COMPUTED_VALUE"""),"")</f>
        <v/>
      </c>
    </row>
    <row r="406">
      <c r="A406" s="2" t="s">
        <v>33</v>
      </c>
      <c r="B406" s="12">
        <v>411200.0</v>
      </c>
      <c r="C406" s="12">
        <v>413017.0</v>
      </c>
      <c r="D406" s="2"/>
      <c r="E406" s="2" t="s">
        <v>38</v>
      </c>
      <c r="F406" s="2" t="s">
        <v>712</v>
      </c>
      <c r="G406" s="2"/>
      <c r="H406" s="12">
        <v>0.0</v>
      </c>
      <c r="I406" s="2" t="s">
        <v>40</v>
      </c>
      <c r="J406" s="2"/>
      <c r="K406" s="2" t="s">
        <v>1034</v>
      </c>
      <c r="L406" s="12">
        <v>605.0</v>
      </c>
      <c r="M406" s="2" t="s">
        <v>1035</v>
      </c>
      <c r="N406" s="2" t="str">
        <f>IFERROR(__xludf.DUMMYFUNCTION("""COMPUTED_VALUE"""),"")</f>
        <v/>
      </c>
    </row>
    <row r="407">
      <c r="A407" s="2" t="s">
        <v>33</v>
      </c>
      <c r="B407" s="12">
        <v>413123.0</v>
      </c>
      <c r="C407" s="12">
        <v>413383.0</v>
      </c>
      <c r="D407" s="2"/>
      <c r="E407" s="2" t="s">
        <v>38</v>
      </c>
      <c r="F407" s="2" t="s">
        <v>39</v>
      </c>
      <c r="G407" s="2"/>
      <c r="H407" s="12">
        <v>0.0</v>
      </c>
      <c r="I407" s="2" t="s">
        <v>40</v>
      </c>
      <c r="J407" s="2"/>
      <c r="K407" s="2" t="s">
        <v>1036</v>
      </c>
      <c r="L407" s="12">
        <v>86.0</v>
      </c>
      <c r="M407" s="2" t="s">
        <v>1037</v>
      </c>
      <c r="N407" s="2" t="str">
        <f>IFERROR(__xludf.DUMMYFUNCTION("""COMPUTED_VALUE"""),"")</f>
        <v/>
      </c>
    </row>
    <row r="408">
      <c r="A408" s="2" t="s">
        <v>33</v>
      </c>
      <c r="B408" s="12">
        <v>413461.0</v>
      </c>
      <c r="C408" s="12">
        <v>414888.0</v>
      </c>
      <c r="D408" s="2"/>
      <c r="E408" s="2" t="s">
        <v>38</v>
      </c>
      <c r="F408" s="2" t="s">
        <v>1038</v>
      </c>
      <c r="G408" s="2"/>
      <c r="H408" s="12">
        <v>0.0</v>
      </c>
      <c r="I408" s="2" t="s">
        <v>40</v>
      </c>
      <c r="J408" s="2"/>
      <c r="K408" s="2" t="s">
        <v>1039</v>
      </c>
      <c r="L408" s="12">
        <v>475.0</v>
      </c>
      <c r="M408" s="2" t="s">
        <v>1040</v>
      </c>
      <c r="N408" s="2" t="str">
        <f>IFERROR(__xludf.DUMMYFUNCTION("""COMPUTED_VALUE"""),"")</f>
        <v/>
      </c>
    </row>
    <row r="409">
      <c r="A409" s="2" t="s">
        <v>33</v>
      </c>
      <c r="B409" s="12">
        <v>415102.0</v>
      </c>
      <c r="C409" s="12">
        <v>416613.0</v>
      </c>
      <c r="D409" s="2"/>
      <c r="E409" s="2" t="s">
        <v>38</v>
      </c>
      <c r="F409" s="2" t="s">
        <v>1041</v>
      </c>
      <c r="G409" s="2"/>
      <c r="H409" s="12">
        <v>0.0</v>
      </c>
      <c r="I409" s="2" t="s">
        <v>40</v>
      </c>
      <c r="J409" s="2"/>
      <c r="K409" s="2" t="s">
        <v>1042</v>
      </c>
      <c r="L409" s="12">
        <v>503.0</v>
      </c>
      <c r="M409" s="2" t="s">
        <v>1043</v>
      </c>
      <c r="N409" s="2" t="str">
        <f>IFERROR(__xludf.DUMMYFUNCTION("""COMPUTED_VALUE"""),"")</f>
        <v/>
      </c>
    </row>
    <row r="410">
      <c r="A410" s="2" t="s">
        <v>33</v>
      </c>
      <c r="B410" s="12">
        <v>416617.0</v>
      </c>
      <c r="C410" s="12">
        <v>417564.0</v>
      </c>
      <c r="D410" s="2"/>
      <c r="E410" s="2" t="s">
        <v>38</v>
      </c>
      <c r="F410" s="2" t="s">
        <v>432</v>
      </c>
      <c r="G410" s="2"/>
      <c r="H410" s="12">
        <v>0.0</v>
      </c>
      <c r="I410" s="2" t="s">
        <v>40</v>
      </c>
      <c r="J410" s="2"/>
      <c r="K410" s="2" t="s">
        <v>1044</v>
      </c>
      <c r="L410" s="12">
        <v>315.0</v>
      </c>
      <c r="M410" s="2" t="s">
        <v>1045</v>
      </c>
      <c r="N410" s="2" t="str">
        <f>IFERROR(__xludf.DUMMYFUNCTION("""COMPUTED_VALUE"""),"")</f>
        <v/>
      </c>
    </row>
    <row r="411">
      <c r="A411" s="2" t="s">
        <v>33</v>
      </c>
      <c r="B411" s="12">
        <v>417665.0</v>
      </c>
      <c r="C411" s="12">
        <v>418222.0</v>
      </c>
      <c r="D411" s="2"/>
      <c r="E411" s="2" t="s">
        <v>38</v>
      </c>
      <c r="F411" s="2" t="s">
        <v>1046</v>
      </c>
      <c r="G411" s="2"/>
      <c r="H411" s="12">
        <v>0.0</v>
      </c>
      <c r="I411" s="2" t="s">
        <v>40</v>
      </c>
      <c r="J411" s="2"/>
      <c r="K411" s="2" t="s">
        <v>1047</v>
      </c>
      <c r="L411" s="12">
        <v>185.0</v>
      </c>
      <c r="M411" s="2" t="s">
        <v>1048</v>
      </c>
      <c r="N411" s="2" t="str">
        <f>IFERROR(__xludf.DUMMYFUNCTION("""COMPUTED_VALUE"""),"")</f>
        <v/>
      </c>
    </row>
    <row r="412">
      <c r="A412" s="2" t="s">
        <v>33</v>
      </c>
      <c r="B412" s="12">
        <v>418286.0</v>
      </c>
      <c r="C412" s="12">
        <v>419515.0</v>
      </c>
      <c r="D412" s="2"/>
      <c r="E412" s="2" t="s">
        <v>38</v>
      </c>
      <c r="F412" s="2" t="s">
        <v>88</v>
      </c>
      <c r="G412" s="2"/>
      <c r="H412" s="12">
        <v>0.0</v>
      </c>
      <c r="I412" s="2" t="s">
        <v>40</v>
      </c>
      <c r="J412" s="2"/>
      <c r="K412" s="2" t="s">
        <v>1049</v>
      </c>
      <c r="L412" s="12">
        <v>409.0</v>
      </c>
      <c r="M412" s="2" t="s">
        <v>1050</v>
      </c>
      <c r="N412" s="2" t="str">
        <f>IFERROR(__xludf.DUMMYFUNCTION("""COMPUTED_VALUE"""),"")</f>
        <v/>
      </c>
    </row>
    <row r="413">
      <c r="A413" s="2" t="s">
        <v>33</v>
      </c>
      <c r="B413" s="12">
        <v>419517.0</v>
      </c>
      <c r="C413" s="12">
        <v>420053.0</v>
      </c>
      <c r="D413" s="2"/>
      <c r="E413" s="2" t="s">
        <v>38</v>
      </c>
      <c r="F413" s="2" t="s">
        <v>1051</v>
      </c>
      <c r="G413" s="2"/>
      <c r="H413" s="12">
        <v>0.0</v>
      </c>
      <c r="I413" s="2" t="s">
        <v>40</v>
      </c>
      <c r="J413" s="2"/>
      <c r="K413" s="2" t="s">
        <v>1052</v>
      </c>
      <c r="L413" s="12">
        <v>178.0</v>
      </c>
      <c r="M413" s="2" t="s">
        <v>1053</v>
      </c>
      <c r="N413" s="2" t="str">
        <f>IFERROR(__xludf.DUMMYFUNCTION("""COMPUTED_VALUE"""),"")</f>
        <v/>
      </c>
    </row>
    <row r="414">
      <c r="A414" s="2" t="s">
        <v>33</v>
      </c>
      <c r="B414" s="12">
        <v>420198.0</v>
      </c>
      <c r="C414" s="12">
        <v>421352.0</v>
      </c>
      <c r="D414" s="2"/>
      <c r="E414" s="2" t="s">
        <v>38</v>
      </c>
      <c r="F414" s="2" t="s">
        <v>39</v>
      </c>
      <c r="G414" s="2"/>
      <c r="H414" s="12">
        <v>0.0</v>
      </c>
      <c r="I414" s="2" t="s">
        <v>40</v>
      </c>
      <c r="J414" s="2"/>
      <c r="K414" s="2" t="s">
        <v>1054</v>
      </c>
      <c r="L414" s="12">
        <v>384.0</v>
      </c>
      <c r="M414" s="2" t="s">
        <v>1055</v>
      </c>
      <c r="N414" s="2" t="str">
        <f>IFERROR(__xludf.DUMMYFUNCTION("""COMPUTED_VALUE"""),"")</f>
        <v/>
      </c>
    </row>
    <row r="415">
      <c r="A415" s="2" t="s">
        <v>33</v>
      </c>
      <c r="B415" s="12">
        <v>421387.0</v>
      </c>
      <c r="C415" s="12">
        <v>422607.0</v>
      </c>
      <c r="D415" s="2"/>
      <c r="E415" s="2" t="s">
        <v>38</v>
      </c>
      <c r="F415" s="2" t="s">
        <v>1056</v>
      </c>
      <c r="G415" s="2"/>
      <c r="H415" s="12">
        <v>0.0</v>
      </c>
      <c r="I415" s="2" t="s">
        <v>40</v>
      </c>
      <c r="J415" s="2"/>
      <c r="K415" s="2" t="s">
        <v>1057</v>
      </c>
      <c r="L415" s="12">
        <v>406.0</v>
      </c>
      <c r="M415" s="2" t="s">
        <v>1058</v>
      </c>
      <c r="N415" s="2" t="str">
        <f>IFERROR(__xludf.DUMMYFUNCTION("""COMPUTED_VALUE"""),"")</f>
        <v/>
      </c>
    </row>
    <row r="416">
      <c r="A416" s="2" t="s">
        <v>33</v>
      </c>
      <c r="B416" s="12">
        <v>422833.0</v>
      </c>
      <c r="C416" s="12">
        <v>423510.0</v>
      </c>
      <c r="D416" s="2"/>
      <c r="E416" s="2" t="s">
        <v>34</v>
      </c>
      <c r="F416" s="2" t="s">
        <v>1059</v>
      </c>
      <c r="G416" s="2"/>
      <c r="H416" s="12">
        <v>0.0</v>
      </c>
      <c r="I416" s="2" t="s">
        <v>40</v>
      </c>
      <c r="J416" s="2"/>
      <c r="K416" s="2" t="s">
        <v>1060</v>
      </c>
      <c r="L416" s="12">
        <v>225.0</v>
      </c>
      <c r="M416" s="2" t="s">
        <v>1061</v>
      </c>
      <c r="N416" s="2" t="str">
        <f>IFERROR(__xludf.DUMMYFUNCTION("""COMPUTED_VALUE"""),"")</f>
        <v/>
      </c>
    </row>
    <row r="417">
      <c r="A417" s="2" t="s">
        <v>33</v>
      </c>
      <c r="B417" s="12">
        <v>423579.0</v>
      </c>
      <c r="C417" s="12">
        <v>424475.0</v>
      </c>
      <c r="D417" s="2"/>
      <c r="E417" s="2" t="s">
        <v>38</v>
      </c>
      <c r="F417" s="2" t="s">
        <v>1062</v>
      </c>
      <c r="G417" s="2" t="s">
        <v>1063</v>
      </c>
      <c r="H417" s="12">
        <v>0.0</v>
      </c>
      <c r="I417" s="2" t="s">
        <v>40</v>
      </c>
      <c r="J417" s="2"/>
      <c r="K417" s="2" t="s">
        <v>1064</v>
      </c>
      <c r="L417" s="12">
        <v>298.0</v>
      </c>
      <c r="M417" s="2" t="s">
        <v>1065</v>
      </c>
      <c r="N417" s="2" t="str">
        <f>IFERROR(__xludf.DUMMYFUNCTION("""COMPUTED_VALUE"""),"")</f>
        <v/>
      </c>
    </row>
    <row r="418">
      <c r="A418" s="2" t="s">
        <v>33</v>
      </c>
      <c r="B418" s="12">
        <v>424494.0</v>
      </c>
      <c r="C418" s="12">
        <v>425843.0</v>
      </c>
      <c r="D418" s="2"/>
      <c r="E418" s="2" t="s">
        <v>38</v>
      </c>
      <c r="F418" s="2" t="s">
        <v>1066</v>
      </c>
      <c r="G418" s="2"/>
      <c r="H418" s="12">
        <v>0.0</v>
      </c>
      <c r="I418" s="2" t="s">
        <v>40</v>
      </c>
      <c r="J418" s="2"/>
      <c r="K418" s="2" t="s">
        <v>1067</v>
      </c>
      <c r="L418" s="12">
        <v>449.0</v>
      </c>
      <c r="M418" s="2" t="s">
        <v>1068</v>
      </c>
      <c r="N418" s="2" t="str">
        <f>IFERROR(__xludf.DUMMYFUNCTION("""COMPUTED_VALUE"""),"")</f>
        <v/>
      </c>
    </row>
    <row r="419">
      <c r="A419" s="2" t="s">
        <v>33</v>
      </c>
      <c r="B419" s="12">
        <v>425858.0</v>
      </c>
      <c r="C419" s="12">
        <v>427396.0</v>
      </c>
      <c r="D419" s="2"/>
      <c r="E419" s="2" t="s">
        <v>38</v>
      </c>
      <c r="F419" s="2" t="s">
        <v>1069</v>
      </c>
      <c r="G419" s="2" t="s">
        <v>1070</v>
      </c>
      <c r="H419" s="12">
        <v>0.0</v>
      </c>
      <c r="I419" s="2" t="s">
        <v>40</v>
      </c>
      <c r="J419" s="2"/>
      <c r="K419" s="2" t="s">
        <v>1071</v>
      </c>
      <c r="L419" s="12">
        <v>512.0</v>
      </c>
      <c r="M419" s="2" t="s">
        <v>1072</v>
      </c>
      <c r="N419" s="2" t="str">
        <f>IFERROR(__xludf.DUMMYFUNCTION("""COMPUTED_VALUE"""),"")</f>
        <v/>
      </c>
    </row>
    <row r="420">
      <c r="A420" s="2" t="s">
        <v>33</v>
      </c>
      <c r="B420" s="12">
        <v>427957.0</v>
      </c>
      <c r="C420" s="12">
        <v>428859.0</v>
      </c>
      <c r="D420" s="2"/>
      <c r="E420" s="2" t="s">
        <v>34</v>
      </c>
      <c r="F420" s="2" t="s">
        <v>787</v>
      </c>
      <c r="G420" s="2"/>
      <c r="H420" s="12">
        <v>0.0</v>
      </c>
      <c r="I420" s="2" t="s">
        <v>40</v>
      </c>
      <c r="J420" s="2"/>
      <c r="K420" s="2" t="s">
        <v>1073</v>
      </c>
      <c r="L420" s="12">
        <v>300.0</v>
      </c>
      <c r="M420" s="2" t="s">
        <v>1074</v>
      </c>
      <c r="N420" s="2" t="str">
        <f>IFERROR(__xludf.DUMMYFUNCTION("""COMPUTED_VALUE"""),"")</f>
        <v/>
      </c>
    </row>
    <row r="421">
      <c r="A421" s="2" t="s">
        <v>33</v>
      </c>
      <c r="B421" s="12">
        <v>428856.0</v>
      </c>
      <c r="C421" s="12">
        <v>429875.0</v>
      </c>
      <c r="D421" s="2"/>
      <c r="E421" s="2" t="s">
        <v>34</v>
      </c>
      <c r="F421" s="2" t="s">
        <v>265</v>
      </c>
      <c r="G421" s="2"/>
      <c r="H421" s="12">
        <v>0.0</v>
      </c>
      <c r="I421" s="2" t="s">
        <v>40</v>
      </c>
      <c r="J421" s="2"/>
      <c r="K421" s="2" t="s">
        <v>1075</v>
      </c>
      <c r="L421" s="12">
        <v>339.0</v>
      </c>
      <c r="M421" s="2" t="s">
        <v>1076</v>
      </c>
      <c r="N421" s="2" t="str">
        <f>IFERROR(__xludf.DUMMYFUNCTION("""COMPUTED_VALUE"""),"")</f>
        <v/>
      </c>
    </row>
    <row r="422">
      <c r="A422" s="2" t="s">
        <v>33</v>
      </c>
      <c r="B422" s="12">
        <v>430026.0</v>
      </c>
      <c r="C422" s="12">
        <v>431064.0</v>
      </c>
      <c r="D422" s="2"/>
      <c r="E422" s="2" t="s">
        <v>38</v>
      </c>
      <c r="F422" s="2" t="s">
        <v>35</v>
      </c>
      <c r="G422" s="2" t="s">
        <v>1077</v>
      </c>
      <c r="H422" s="12">
        <v>0.0</v>
      </c>
      <c r="I422" s="2" t="s">
        <v>36</v>
      </c>
      <c r="J422" s="2"/>
      <c r="K422" s="2"/>
      <c r="L422" s="2"/>
      <c r="M422" s="2" t="s">
        <v>1078</v>
      </c>
      <c r="N422" s="2" t="str">
        <f>IFERROR(__xludf.DUMMYFUNCTION("""COMPUTED_VALUE"""),"")</f>
        <v/>
      </c>
    </row>
    <row r="423">
      <c r="A423" s="2" t="s">
        <v>33</v>
      </c>
      <c r="B423" s="12">
        <v>431358.0</v>
      </c>
      <c r="C423" s="12">
        <v>432221.0</v>
      </c>
      <c r="D423" s="2"/>
      <c r="E423" s="2" t="s">
        <v>38</v>
      </c>
      <c r="F423" s="2" t="s">
        <v>1079</v>
      </c>
      <c r="G423" s="2"/>
      <c r="H423" s="12">
        <v>0.0</v>
      </c>
      <c r="I423" s="2" t="s">
        <v>40</v>
      </c>
      <c r="J423" s="2"/>
      <c r="K423" s="2" t="s">
        <v>1080</v>
      </c>
      <c r="L423" s="12">
        <v>287.0</v>
      </c>
      <c r="M423" s="2" t="s">
        <v>1081</v>
      </c>
      <c r="N423" s="2" t="str">
        <f>IFERROR(__xludf.DUMMYFUNCTION("""COMPUTED_VALUE"""),"")</f>
        <v/>
      </c>
    </row>
    <row r="424">
      <c r="A424" s="2" t="s">
        <v>33</v>
      </c>
      <c r="B424" s="12">
        <v>432386.0</v>
      </c>
      <c r="C424" s="12">
        <v>433240.0</v>
      </c>
      <c r="D424" s="2"/>
      <c r="E424" s="2" t="s">
        <v>38</v>
      </c>
      <c r="F424" s="2" t="s">
        <v>1082</v>
      </c>
      <c r="G424" s="2"/>
      <c r="H424" s="12">
        <v>0.0</v>
      </c>
      <c r="I424" s="2" t="s">
        <v>40</v>
      </c>
      <c r="J424" s="2"/>
      <c r="K424" s="2" t="s">
        <v>1083</v>
      </c>
      <c r="L424" s="12">
        <v>284.0</v>
      </c>
      <c r="M424" s="2" t="s">
        <v>1084</v>
      </c>
      <c r="N424" s="2" t="str">
        <f>IFERROR(__xludf.DUMMYFUNCTION("""COMPUTED_VALUE"""),"")</f>
        <v/>
      </c>
    </row>
    <row r="425">
      <c r="A425" s="2" t="s">
        <v>33</v>
      </c>
      <c r="B425" s="12">
        <v>433445.0</v>
      </c>
      <c r="C425" s="12">
        <v>434086.0</v>
      </c>
      <c r="D425" s="2"/>
      <c r="E425" s="2" t="s">
        <v>38</v>
      </c>
      <c r="F425" s="2" t="s">
        <v>1085</v>
      </c>
      <c r="G425" s="2" t="s">
        <v>1086</v>
      </c>
      <c r="H425" s="12">
        <v>0.0</v>
      </c>
      <c r="I425" s="2" t="s">
        <v>40</v>
      </c>
      <c r="J425" s="2"/>
      <c r="K425" s="2" t="s">
        <v>1087</v>
      </c>
      <c r="L425" s="12">
        <v>213.0</v>
      </c>
      <c r="M425" s="2" t="s">
        <v>1088</v>
      </c>
      <c r="N425" s="2" t="str">
        <f>IFERROR(__xludf.DUMMYFUNCTION("""COMPUTED_VALUE"""),"")</f>
        <v/>
      </c>
    </row>
    <row r="426">
      <c r="A426" s="2" t="s">
        <v>33</v>
      </c>
      <c r="B426" s="12">
        <v>434101.0</v>
      </c>
      <c r="C426" s="12">
        <v>435198.0</v>
      </c>
      <c r="D426" s="2"/>
      <c r="E426" s="2" t="s">
        <v>38</v>
      </c>
      <c r="F426" s="2" t="s">
        <v>1089</v>
      </c>
      <c r="G426" s="2" t="s">
        <v>1090</v>
      </c>
      <c r="H426" s="12">
        <v>0.0</v>
      </c>
      <c r="I426" s="2" t="s">
        <v>40</v>
      </c>
      <c r="J426" s="2"/>
      <c r="K426" s="2" t="s">
        <v>1091</v>
      </c>
      <c r="L426" s="12">
        <v>365.0</v>
      </c>
      <c r="M426" s="2" t="s">
        <v>1092</v>
      </c>
      <c r="N426" s="2" t="str">
        <f>IFERROR(__xludf.DUMMYFUNCTION("""COMPUTED_VALUE"""),"")</f>
        <v/>
      </c>
    </row>
    <row r="427">
      <c r="A427" s="2" t="s">
        <v>33</v>
      </c>
      <c r="B427" s="12">
        <v>435378.0</v>
      </c>
      <c r="C427" s="12">
        <v>436271.0</v>
      </c>
      <c r="D427" s="2"/>
      <c r="E427" s="2" t="s">
        <v>38</v>
      </c>
      <c r="F427" s="2" t="s">
        <v>1093</v>
      </c>
      <c r="G427" s="2"/>
      <c r="H427" s="12">
        <v>0.0</v>
      </c>
      <c r="I427" s="2" t="s">
        <v>40</v>
      </c>
      <c r="J427" s="2"/>
      <c r="K427" s="2" t="s">
        <v>1094</v>
      </c>
      <c r="L427" s="12">
        <v>297.0</v>
      </c>
      <c r="M427" s="2" t="s">
        <v>1095</v>
      </c>
      <c r="N427" s="2" t="str">
        <f>IFERROR(__xludf.DUMMYFUNCTION("""COMPUTED_VALUE"""),"")</f>
        <v/>
      </c>
    </row>
    <row r="428">
      <c r="A428" s="2" t="s">
        <v>33</v>
      </c>
      <c r="B428" s="12">
        <v>436572.0</v>
      </c>
      <c r="C428" s="12">
        <v>437009.0</v>
      </c>
      <c r="D428" s="2"/>
      <c r="E428" s="2" t="s">
        <v>38</v>
      </c>
      <c r="F428" s="2" t="s">
        <v>1096</v>
      </c>
      <c r="G428" s="2"/>
      <c r="H428" s="12">
        <v>0.0</v>
      </c>
      <c r="I428" s="2" t="s">
        <v>40</v>
      </c>
      <c r="J428" s="2"/>
      <c r="K428" s="2" t="s">
        <v>1097</v>
      </c>
      <c r="L428" s="12">
        <v>145.0</v>
      </c>
      <c r="M428" s="2" t="s">
        <v>1098</v>
      </c>
      <c r="N428" s="2" t="str">
        <f>IFERROR(__xludf.DUMMYFUNCTION("""COMPUTED_VALUE"""),"")</f>
        <v/>
      </c>
    </row>
    <row r="429">
      <c r="A429" s="2" t="s">
        <v>33</v>
      </c>
      <c r="B429" s="12">
        <v>437346.0</v>
      </c>
      <c r="C429" s="12">
        <v>437894.0</v>
      </c>
      <c r="D429" s="2"/>
      <c r="E429" s="2" t="s">
        <v>38</v>
      </c>
      <c r="F429" s="2" t="s">
        <v>1099</v>
      </c>
      <c r="G429" s="2"/>
      <c r="H429" s="12">
        <v>0.0</v>
      </c>
      <c r="I429" s="2" t="s">
        <v>40</v>
      </c>
      <c r="J429" s="2"/>
      <c r="K429" s="2" t="s">
        <v>1100</v>
      </c>
      <c r="L429" s="12">
        <v>182.0</v>
      </c>
      <c r="M429" s="2" t="s">
        <v>1101</v>
      </c>
      <c r="N429" s="2" t="str">
        <f>IFERROR(__xludf.DUMMYFUNCTION("""COMPUTED_VALUE"""),"")</f>
        <v/>
      </c>
    </row>
    <row r="430">
      <c r="A430" s="2" t="s">
        <v>33</v>
      </c>
      <c r="B430" s="12">
        <v>438009.0</v>
      </c>
      <c r="C430" s="12">
        <v>438203.0</v>
      </c>
      <c r="D430" s="2"/>
      <c r="E430" s="2" t="s">
        <v>38</v>
      </c>
      <c r="F430" s="2" t="s">
        <v>39</v>
      </c>
      <c r="G430" s="2"/>
      <c r="H430" s="12">
        <v>0.0</v>
      </c>
      <c r="I430" s="2" t="s">
        <v>40</v>
      </c>
      <c r="J430" s="2"/>
      <c r="K430" s="2" t="s">
        <v>1102</v>
      </c>
      <c r="L430" s="12">
        <v>64.0</v>
      </c>
      <c r="M430" s="2" t="s">
        <v>1103</v>
      </c>
      <c r="N430" s="2" t="str">
        <f>IFERROR(__xludf.DUMMYFUNCTION("""COMPUTED_VALUE"""),"")</f>
        <v/>
      </c>
    </row>
    <row r="431">
      <c r="A431" s="2" t="s">
        <v>33</v>
      </c>
      <c r="B431" s="12">
        <v>438329.0</v>
      </c>
      <c r="C431" s="12">
        <v>438817.0</v>
      </c>
      <c r="D431" s="2"/>
      <c r="E431" s="2" t="s">
        <v>38</v>
      </c>
      <c r="F431" s="2" t="s">
        <v>39</v>
      </c>
      <c r="G431" s="2"/>
      <c r="H431" s="12">
        <v>0.0</v>
      </c>
      <c r="I431" s="2" t="s">
        <v>40</v>
      </c>
      <c r="J431" s="2"/>
      <c r="K431" s="2" t="s">
        <v>1104</v>
      </c>
      <c r="L431" s="12">
        <v>162.0</v>
      </c>
      <c r="M431" s="2" t="s">
        <v>1105</v>
      </c>
      <c r="N431" s="2" t="str">
        <f>IFERROR(__xludf.DUMMYFUNCTION("""COMPUTED_VALUE"""),"")</f>
        <v/>
      </c>
    </row>
    <row r="432">
      <c r="A432" s="2" t="s">
        <v>33</v>
      </c>
      <c r="B432" s="12">
        <v>439076.0</v>
      </c>
      <c r="C432" s="12">
        <v>439723.0</v>
      </c>
      <c r="D432" s="2"/>
      <c r="E432" s="2" t="s">
        <v>38</v>
      </c>
      <c r="F432" s="2" t="s">
        <v>1106</v>
      </c>
      <c r="G432" s="2"/>
      <c r="H432" s="12">
        <v>0.0</v>
      </c>
      <c r="I432" s="2" t="s">
        <v>40</v>
      </c>
      <c r="J432" s="2"/>
      <c r="K432" s="2" t="s">
        <v>1107</v>
      </c>
      <c r="L432" s="12">
        <v>215.0</v>
      </c>
      <c r="M432" s="2" t="s">
        <v>1108</v>
      </c>
      <c r="N432" s="2" t="str">
        <f>IFERROR(__xludf.DUMMYFUNCTION("""COMPUTED_VALUE"""),"")</f>
        <v/>
      </c>
    </row>
    <row r="433">
      <c r="A433" s="2" t="s">
        <v>33</v>
      </c>
      <c r="B433" s="12">
        <v>439822.0</v>
      </c>
      <c r="C433" s="12">
        <v>440697.0</v>
      </c>
      <c r="D433" s="2"/>
      <c r="E433" s="2" t="s">
        <v>38</v>
      </c>
      <c r="F433" s="2" t="s">
        <v>1109</v>
      </c>
      <c r="G433" s="2" t="s">
        <v>1110</v>
      </c>
      <c r="H433" s="12">
        <v>0.0</v>
      </c>
      <c r="I433" s="2" t="s">
        <v>40</v>
      </c>
      <c r="J433" s="2"/>
      <c r="K433" s="2" t="s">
        <v>1111</v>
      </c>
      <c r="L433" s="12">
        <v>291.0</v>
      </c>
      <c r="M433" s="2" t="s">
        <v>1112</v>
      </c>
      <c r="N433" s="2" t="str">
        <f>IFERROR(__xludf.DUMMYFUNCTION("""COMPUTED_VALUE"""),"")</f>
        <v/>
      </c>
    </row>
    <row r="434">
      <c r="A434" s="2" t="s">
        <v>33</v>
      </c>
      <c r="B434" s="12">
        <v>440824.0</v>
      </c>
      <c r="C434" s="12">
        <v>441786.0</v>
      </c>
      <c r="D434" s="2"/>
      <c r="E434" s="2" t="s">
        <v>38</v>
      </c>
      <c r="F434" s="2" t="s">
        <v>1113</v>
      </c>
      <c r="G434" s="2"/>
      <c r="H434" s="12">
        <v>0.0</v>
      </c>
      <c r="I434" s="2" t="s">
        <v>40</v>
      </c>
      <c r="J434" s="2"/>
      <c r="K434" s="2" t="s">
        <v>1114</v>
      </c>
      <c r="L434" s="12">
        <v>320.0</v>
      </c>
      <c r="M434" s="2" t="s">
        <v>1115</v>
      </c>
      <c r="N434" s="2" t="str">
        <f>IFERROR(__xludf.DUMMYFUNCTION("""COMPUTED_VALUE"""),"")</f>
        <v/>
      </c>
    </row>
    <row r="435">
      <c r="A435" s="2" t="s">
        <v>33</v>
      </c>
      <c r="B435" s="12">
        <v>442025.0</v>
      </c>
      <c r="C435" s="12">
        <v>443011.0</v>
      </c>
      <c r="D435" s="2"/>
      <c r="E435" s="2" t="s">
        <v>38</v>
      </c>
      <c r="F435" s="2" t="s">
        <v>1116</v>
      </c>
      <c r="G435" s="2"/>
      <c r="H435" s="12">
        <v>0.0</v>
      </c>
      <c r="I435" s="2" t="s">
        <v>40</v>
      </c>
      <c r="J435" s="2"/>
      <c r="K435" s="2" t="s">
        <v>1117</v>
      </c>
      <c r="L435" s="12">
        <v>328.0</v>
      </c>
      <c r="M435" s="2" t="s">
        <v>1118</v>
      </c>
      <c r="N435" s="2" t="str">
        <f>IFERROR(__xludf.DUMMYFUNCTION("""COMPUTED_VALUE"""),"")</f>
        <v/>
      </c>
    </row>
    <row r="436">
      <c r="A436" s="2" t="s">
        <v>33</v>
      </c>
      <c r="B436" s="12">
        <v>443114.0</v>
      </c>
      <c r="C436" s="12">
        <v>443443.0</v>
      </c>
      <c r="D436" s="2"/>
      <c r="E436" s="2" t="s">
        <v>38</v>
      </c>
      <c r="F436" s="2" t="s">
        <v>39</v>
      </c>
      <c r="G436" s="2"/>
      <c r="H436" s="12">
        <v>0.0</v>
      </c>
      <c r="I436" s="2" t="s">
        <v>40</v>
      </c>
      <c r="J436" s="2"/>
      <c r="K436" s="2" t="s">
        <v>1119</v>
      </c>
      <c r="L436" s="12">
        <v>109.0</v>
      </c>
      <c r="M436" s="2" t="s">
        <v>1120</v>
      </c>
      <c r="N436" s="2" t="str">
        <f>IFERROR(__xludf.DUMMYFUNCTION("""COMPUTED_VALUE"""),"")</f>
        <v/>
      </c>
    </row>
    <row r="437">
      <c r="A437" s="2" t="s">
        <v>33</v>
      </c>
      <c r="B437" s="12">
        <v>443495.0</v>
      </c>
      <c r="C437" s="12">
        <v>443854.0</v>
      </c>
      <c r="D437" s="2"/>
      <c r="E437" s="2" t="s">
        <v>38</v>
      </c>
      <c r="F437" s="2" t="s">
        <v>367</v>
      </c>
      <c r="G437" s="2"/>
      <c r="H437" s="12">
        <v>0.0</v>
      </c>
      <c r="I437" s="2" t="s">
        <v>40</v>
      </c>
      <c r="J437" s="2"/>
      <c r="K437" s="2" t="s">
        <v>1121</v>
      </c>
      <c r="L437" s="12">
        <v>119.0</v>
      </c>
      <c r="M437" s="2" t="s">
        <v>1122</v>
      </c>
      <c r="N437" s="2" t="str">
        <f>IFERROR(__xludf.DUMMYFUNCTION("""COMPUTED_VALUE"""),"")</f>
        <v/>
      </c>
    </row>
    <row r="438">
      <c r="A438" s="2" t="s">
        <v>33</v>
      </c>
      <c r="B438" s="12">
        <v>443948.0</v>
      </c>
      <c r="C438" s="12">
        <v>445849.0</v>
      </c>
      <c r="D438" s="2"/>
      <c r="E438" s="2" t="s">
        <v>38</v>
      </c>
      <c r="F438" s="2" t="s">
        <v>1123</v>
      </c>
      <c r="G438" s="2" t="s">
        <v>1124</v>
      </c>
      <c r="H438" s="12">
        <v>0.0</v>
      </c>
      <c r="I438" s="2" t="s">
        <v>40</v>
      </c>
      <c r="J438" s="2"/>
      <c r="K438" s="2" t="s">
        <v>1125</v>
      </c>
      <c r="L438" s="12">
        <v>633.0</v>
      </c>
      <c r="M438" s="2" t="s">
        <v>1126</v>
      </c>
      <c r="N438" s="2" t="str">
        <f>IFERROR(__xludf.DUMMYFUNCTION("""COMPUTED_VALUE"""),"")</f>
        <v/>
      </c>
    </row>
    <row r="439">
      <c r="A439" s="2" t="s">
        <v>33</v>
      </c>
      <c r="B439" s="12">
        <v>446067.0</v>
      </c>
      <c r="C439" s="12">
        <v>446531.0</v>
      </c>
      <c r="D439" s="2"/>
      <c r="E439" s="2" t="s">
        <v>34</v>
      </c>
      <c r="F439" s="2" t="s">
        <v>1096</v>
      </c>
      <c r="G439" s="2"/>
      <c r="H439" s="12">
        <v>0.0</v>
      </c>
      <c r="I439" s="2" t="s">
        <v>40</v>
      </c>
      <c r="J439" s="2"/>
      <c r="K439" s="2" t="s">
        <v>1127</v>
      </c>
      <c r="L439" s="12">
        <v>154.0</v>
      </c>
      <c r="M439" s="2" t="s">
        <v>1128</v>
      </c>
      <c r="N439" s="2" t="str">
        <f>IFERROR(__xludf.DUMMYFUNCTION("""COMPUTED_VALUE"""),"")</f>
        <v/>
      </c>
    </row>
    <row r="440">
      <c r="A440" s="2" t="s">
        <v>33</v>
      </c>
      <c r="B440" s="12">
        <v>446566.0</v>
      </c>
      <c r="C440" s="12">
        <v>447153.0</v>
      </c>
      <c r="D440" s="2"/>
      <c r="E440" s="2" t="s">
        <v>38</v>
      </c>
      <c r="F440" s="2" t="s">
        <v>1129</v>
      </c>
      <c r="G440" s="2"/>
      <c r="H440" s="12">
        <v>0.0</v>
      </c>
      <c r="I440" s="2" t="s">
        <v>40</v>
      </c>
      <c r="J440" s="2"/>
      <c r="K440" s="2" t="s">
        <v>1130</v>
      </c>
      <c r="L440" s="12">
        <v>195.0</v>
      </c>
      <c r="M440" s="2" t="s">
        <v>1131</v>
      </c>
      <c r="N440" s="2" t="str">
        <f>IFERROR(__xludf.DUMMYFUNCTION("""COMPUTED_VALUE"""),"")</f>
        <v/>
      </c>
    </row>
    <row r="441">
      <c r="A441" s="2" t="s">
        <v>33</v>
      </c>
      <c r="B441" s="12">
        <v>447489.0</v>
      </c>
      <c r="C441" s="12">
        <v>448463.0</v>
      </c>
      <c r="D441" s="2"/>
      <c r="E441" s="2" t="s">
        <v>34</v>
      </c>
      <c r="F441" s="2" t="s">
        <v>599</v>
      </c>
      <c r="G441" s="2"/>
      <c r="H441" s="12">
        <v>0.0</v>
      </c>
      <c r="I441" s="2" t="s">
        <v>40</v>
      </c>
      <c r="J441" s="2"/>
      <c r="K441" s="2" t="s">
        <v>1132</v>
      </c>
      <c r="L441" s="12">
        <v>324.0</v>
      </c>
      <c r="M441" s="2" t="s">
        <v>1133</v>
      </c>
      <c r="N441" s="2" t="str">
        <f>IFERROR(__xludf.DUMMYFUNCTION("""COMPUTED_VALUE"""),"")</f>
        <v/>
      </c>
    </row>
    <row r="442">
      <c r="A442" s="2" t="s">
        <v>33</v>
      </c>
      <c r="B442" s="12">
        <v>448793.0</v>
      </c>
      <c r="C442" s="12">
        <v>449635.0</v>
      </c>
      <c r="D442" s="2"/>
      <c r="E442" s="2" t="s">
        <v>38</v>
      </c>
      <c r="F442" s="2" t="s">
        <v>1134</v>
      </c>
      <c r="G442" s="2"/>
      <c r="H442" s="12">
        <v>0.0</v>
      </c>
      <c r="I442" s="2" t="s">
        <v>40</v>
      </c>
      <c r="J442" s="2"/>
      <c r="K442" s="2" t="s">
        <v>1135</v>
      </c>
      <c r="L442" s="12">
        <v>280.0</v>
      </c>
      <c r="M442" s="2" t="s">
        <v>1136</v>
      </c>
      <c r="N442" s="2" t="str">
        <f>IFERROR(__xludf.DUMMYFUNCTION("""COMPUTED_VALUE"""),"")</f>
        <v/>
      </c>
    </row>
    <row r="443">
      <c r="A443" s="2" t="s">
        <v>33</v>
      </c>
      <c r="B443" s="12">
        <v>449790.0</v>
      </c>
      <c r="C443" s="12">
        <v>450041.0</v>
      </c>
      <c r="D443" s="2"/>
      <c r="E443" s="2" t="s">
        <v>38</v>
      </c>
      <c r="F443" s="2" t="s">
        <v>1137</v>
      </c>
      <c r="G443" s="2"/>
      <c r="H443" s="12">
        <v>0.0</v>
      </c>
      <c r="I443" s="2" t="s">
        <v>40</v>
      </c>
      <c r="J443" s="2"/>
      <c r="K443" s="2" t="s">
        <v>1138</v>
      </c>
      <c r="L443" s="12">
        <v>83.0</v>
      </c>
      <c r="M443" s="2" t="s">
        <v>1139</v>
      </c>
      <c r="N443" s="2" t="str">
        <f>IFERROR(__xludf.DUMMYFUNCTION("""COMPUTED_VALUE"""),"")</f>
        <v/>
      </c>
    </row>
    <row r="444">
      <c r="A444" s="2" t="s">
        <v>33</v>
      </c>
      <c r="B444" s="12">
        <v>450371.0</v>
      </c>
      <c r="C444" s="12">
        <v>451111.0</v>
      </c>
      <c r="D444" s="2"/>
      <c r="E444" s="2" t="s">
        <v>38</v>
      </c>
      <c r="F444" s="2" t="s">
        <v>1140</v>
      </c>
      <c r="G444" s="2" t="s">
        <v>1141</v>
      </c>
      <c r="H444" s="12">
        <v>0.0</v>
      </c>
      <c r="I444" s="2" t="s">
        <v>40</v>
      </c>
      <c r="J444" s="2"/>
      <c r="K444" s="2" t="s">
        <v>1142</v>
      </c>
      <c r="L444" s="12">
        <v>246.0</v>
      </c>
      <c r="M444" s="2" t="s">
        <v>1143</v>
      </c>
      <c r="N444" s="2" t="str">
        <f>IFERROR(__xludf.DUMMYFUNCTION("""COMPUTED_VALUE"""),"")</f>
        <v/>
      </c>
    </row>
    <row r="445">
      <c r="A445" s="2" t="s">
        <v>33</v>
      </c>
      <c r="B445" s="12">
        <v>451154.0</v>
      </c>
      <c r="C445" s="12">
        <v>451339.0</v>
      </c>
      <c r="D445" s="2"/>
      <c r="E445" s="2" t="s">
        <v>38</v>
      </c>
      <c r="F445" s="2" t="s">
        <v>1144</v>
      </c>
      <c r="G445" s="2"/>
      <c r="H445" s="12">
        <v>0.0</v>
      </c>
      <c r="I445" s="2" t="s">
        <v>40</v>
      </c>
      <c r="J445" s="2"/>
      <c r="K445" s="2" t="s">
        <v>1145</v>
      </c>
      <c r="L445" s="12">
        <v>61.0</v>
      </c>
      <c r="M445" s="2" t="s">
        <v>1146</v>
      </c>
      <c r="N445" s="2" t="str">
        <f>IFERROR(__xludf.DUMMYFUNCTION("""COMPUTED_VALUE"""),"")</f>
        <v/>
      </c>
    </row>
    <row r="446">
      <c r="A446" s="2" t="s">
        <v>33</v>
      </c>
      <c r="B446" s="12">
        <v>451553.0</v>
      </c>
      <c r="C446" s="12">
        <v>452209.0</v>
      </c>
      <c r="D446" s="2"/>
      <c r="E446" s="2" t="s">
        <v>34</v>
      </c>
      <c r="F446" s="2" t="s">
        <v>1147</v>
      </c>
      <c r="G446" s="2"/>
      <c r="H446" s="12">
        <v>0.0</v>
      </c>
      <c r="I446" s="2" t="s">
        <v>40</v>
      </c>
      <c r="J446" s="2"/>
      <c r="K446" s="2" t="s">
        <v>1148</v>
      </c>
      <c r="L446" s="12">
        <v>218.0</v>
      </c>
      <c r="M446" s="2" t="s">
        <v>1149</v>
      </c>
      <c r="N446" s="2" t="str">
        <f>IFERROR(__xludf.DUMMYFUNCTION("""COMPUTED_VALUE"""),"")</f>
        <v/>
      </c>
    </row>
    <row r="447">
      <c r="A447" s="2" t="s">
        <v>33</v>
      </c>
      <c r="B447" s="12">
        <v>452251.0</v>
      </c>
      <c r="C447" s="12">
        <v>452970.0</v>
      </c>
      <c r="D447" s="2"/>
      <c r="E447" s="2" t="s">
        <v>38</v>
      </c>
      <c r="F447" s="2" t="s">
        <v>1150</v>
      </c>
      <c r="G447" s="2"/>
      <c r="H447" s="12">
        <v>0.0</v>
      </c>
      <c r="I447" s="2" t="s">
        <v>40</v>
      </c>
      <c r="J447" s="2"/>
      <c r="K447" s="2" t="s">
        <v>1151</v>
      </c>
      <c r="L447" s="12">
        <v>239.0</v>
      </c>
      <c r="M447" s="2" t="s">
        <v>1152</v>
      </c>
      <c r="N447" s="2" t="str">
        <f>IFERROR(__xludf.DUMMYFUNCTION("""COMPUTED_VALUE"""),"")</f>
        <v/>
      </c>
    </row>
    <row r="448">
      <c r="A448" s="2" t="s">
        <v>33</v>
      </c>
      <c r="B448" s="12">
        <v>453081.0</v>
      </c>
      <c r="C448" s="12">
        <v>453716.0</v>
      </c>
      <c r="D448" s="2"/>
      <c r="E448" s="2" t="s">
        <v>38</v>
      </c>
      <c r="F448" s="2" t="s">
        <v>1153</v>
      </c>
      <c r="G448" s="2"/>
      <c r="H448" s="12">
        <v>0.0</v>
      </c>
      <c r="I448" s="2" t="s">
        <v>40</v>
      </c>
      <c r="J448" s="2"/>
      <c r="K448" s="2" t="s">
        <v>1154</v>
      </c>
      <c r="L448" s="12">
        <v>211.0</v>
      </c>
      <c r="M448" s="2" t="s">
        <v>1155</v>
      </c>
      <c r="N448" s="2" t="str">
        <f>IFERROR(__xludf.DUMMYFUNCTION("""COMPUTED_VALUE"""),"")</f>
        <v/>
      </c>
    </row>
    <row r="449">
      <c r="A449" s="2" t="s">
        <v>33</v>
      </c>
      <c r="B449" s="12">
        <v>453958.0</v>
      </c>
      <c r="C449" s="12">
        <v>455943.0</v>
      </c>
      <c r="D449" s="2"/>
      <c r="E449" s="2" t="s">
        <v>38</v>
      </c>
      <c r="F449" s="2" t="s">
        <v>1156</v>
      </c>
      <c r="G449" s="2" t="s">
        <v>1157</v>
      </c>
      <c r="H449" s="12">
        <v>0.0</v>
      </c>
      <c r="I449" s="2" t="s">
        <v>40</v>
      </c>
      <c r="J449" s="2"/>
      <c r="K449" s="2" t="s">
        <v>1158</v>
      </c>
      <c r="L449" s="12">
        <v>661.0</v>
      </c>
      <c r="M449" s="2" t="s">
        <v>1159</v>
      </c>
      <c r="N449" s="2" t="str">
        <f>IFERROR(__xludf.DUMMYFUNCTION("""COMPUTED_VALUE"""),"")</f>
        <v/>
      </c>
    </row>
    <row r="450">
      <c r="A450" s="2" t="s">
        <v>33</v>
      </c>
      <c r="B450" s="12">
        <v>456099.0</v>
      </c>
      <c r="C450" s="12">
        <v>456587.0</v>
      </c>
      <c r="D450" s="2"/>
      <c r="E450" s="2" t="s">
        <v>38</v>
      </c>
      <c r="F450" s="2" t="s">
        <v>1160</v>
      </c>
      <c r="G450" s="2"/>
      <c r="H450" s="12">
        <v>0.0</v>
      </c>
      <c r="I450" s="2" t="s">
        <v>40</v>
      </c>
      <c r="J450" s="2"/>
      <c r="K450" s="2" t="s">
        <v>1161</v>
      </c>
      <c r="L450" s="12">
        <v>162.0</v>
      </c>
      <c r="M450" s="2" t="s">
        <v>1162</v>
      </c>
      <c r="N450" s="2" t="str">
        <f>IFERROR(__xludf.DUMMYFUNCTION("""COMPUTED_VALUE"""),"")</f>
        <v/>
      </c>
    </row>
    <row r="451">
      <c r="A451" s="2" t="s">
        <v>33</v>
      </c>
      <c r="B451" s="12">
        <v>456607.0</v>
      </c>
      <c r="C451" s="12">
        <v>457563.0</v>
      </c>
      <c r="D451" s="2"/>
      <c r="E451" s="2" t="s">
        <v>38</v>
      </c>
      <c r="F451" s="2" t="s">
        <v>1163</v>
      </c>
      <c r="G451" s="2"/>
      <c r="H451" s="12">
        <v>0.0</v>
      </c>
      <c r="I451" s="2" t="s">
        <v>40</v>
      </c>
      <c r="J451" s="2"/>
      <c r="K451" s="2" t="s">
        <v>1164</v>
      </c>
      <c r="L451" s="12">
        <v>318.0</v>
      </c>
      <c r="M451" s="2" t="s">
        <v>1165</v>
      </c>
      <c r="N451" s="2" t="str">
        <f>IFERROR(__xludf.DUMMYFUNCTION("""COMPUTED_VALUE"""),"")</f>
        <v/>
      </c>
    </row>
    <row r="452">
      <c r="A452" s="2" t="s">
        <v>33</v>
      </c>
      <c r="B452" s="12">
        <v>457762.0</v>
      </c>
      <c r="C452" s="12">
        <v>459219.0</v>
      </c>
      <c r="D452" s="2"/>
      <c r="E452" s="2" t="s">
        <v>34</v>
      </c>
      <c r="F452" s="2" t="s">
        <v>455</v>
      </c>
      <c r="G452" s="2"/>
      <c r="H452" s="12">
        <v>0.0</v>
      </c>
      <c r="I452" s="2" t="s">
        <v>40</v>
      </c>
      <c r="J452" s="2"/>
      <c r="K452" s="2" t="s">
        <v>1166</v>
      </c>
      <c r="L452" s="12">
        <v>485.0</v>
      </c>
      <c r="M452" s="2" t="s">
        <v>1167</v>
      </c>
      <c r="N452" s="2" t="str">
        <f>IFERROR(__xludf.DUMMYFUNCTION("""COMPUTED_VALUE"""),"")</f>
        <v/>
      </c>
    </row>
    <row r="453">
      <c r="A453" s="2" t="s">
        <v>33</v>
      </c>
      <c r="B453" s="12">
        <v>459270.0</v>
      </c>
      <c r="C453" s="12">
        <v>460202.0</v>
      </c>
      <c r="D453" s="2"/>
      <c r="E453" s="2" t="s">
        <v>38</v>
      </c>
      <c r="F453" s="2" t="s">
        <v>322</v>
      </c>
      <c r="G453" s="2"/>
      <c r="H453" s="12">
        <v>0.0</v>
      </c>
      <c r="I453" s="2" t="s">
        <v>40</v>
      </c>
      <c r="J453" s="2"/>
      <c r="K453" s="2" t="s">
        <v>1168</v>
      </c>
      <c r="L453" s="12">
        <v>310.0</v>
      </c>
      <c r="M453" s="2" t="s">
        <v>1169</v>
      </c>
      <c r="N453" s="2" t="str">
        <f>IFERROR(__xludf.DUMMYFUNCTION("""COMPUTED_VALUE"""),"")</f>
        <v/>
      </c>
    </row>
    <row r="454">
      <c r="A454" s="2" t="s">
        <v>33</v>
      </c>
      <c r="B454" s="12">
        <v>460214.0</v>
      </c>
      <c r="C454" s="12">
        <v>460600.0</v>
      </c>
      <c r="D454" s="2"/>
      <c r="E454" s="2" t="s">
        <v>38</v>
      </c>
      <c r="F454" s="2" t="s">
        <v>541</v>
      </c>
      <c r="G454" s="2"/>
      <c r="H454" s="12">
        <v>0.0</v>
      </c>
      <c r="I454" s="2" t="s">
        <v>40</v>
      </c>
      <c r="J454" s="2"/>
      <c r="K454" s="2" t="s">
        <v>1170</v>
      </c>
      <c r="L454" s="12">
        <v>128.0</v>
      </c>
      <c r="M454" s="2" t="s">
        <v>1171</v>
      </c>
      <c r="N454" s="2" t="str">
        <f>IFERROR(__xludf.DUMMYFUNCTION("""COMPUTED_VALUE"""),"")</f>
        <v/>
      </c>
    </row>
    <row r="455">
      <c r="A455" s="2" t="s">
        <v>33</v>
      </c>
      <c r="B455" s="12">
        <v>460602.0</v>
      </c>
      <c r="C455" s="12">
        <v>461237.0</v>
      </c>
      <c r="D455" s="2"/>
      <c r="E455" s="2" t="s">
        <v>38</v>
      </c>
      <c r="F455" s="2" t="s">
        <v>1172</v>
      </c>
      <c r="G455" s="2"/>
      <c r="H455" s="12">
        <v>0.0</v>
      </c>
      <c r="I455" s="2" t="s">
        <v>40</v>
      </c>
      <c r="J455" s="2"/>
      <c r="K455" s="2" t="s">
        <v>1173</v>
      </c>
      <c r="L455" s="12">
        <v>211.0</v>
      </c>
      <c r="M455" s="2" t="s">
        <v>1174</v>
      </c>
      <c r="N455" s="2" t="str">
        <f>IFERROR(__xludf.DUMMYFUNCTION("""COMPUTED_VALUE"""),"")</f>
        <v/>
      </c>
    </row>
    <row r="456">
      <c r="A456" s="2" t="s">
        <v>33</v>
      </c>
      <c r="B456" s="12">
        <v>461344.0</v>
      </c>
      <c r="C456" s="12">
        <v>461931.0</v>
      </c>
      <c r="D456" s="2"/>
      <c r="E456" s="2" t="s">
        <v>38</v>
      </c>
      <c r="F456" s="2" t="s">
        <v>1175</v>
      </c>
      <c r="G456" s="2"/>
      <c r="H456" s="12">
        <v>0.0</v>
      </c>
      <c r="I456" s="2" t="s">
        <v>40</v>
      </c>
      <c r="J456" s="2"/>
      <c r="K456" s="2" t="s">
        <v>1176</v>
      </c>
      <c r="L456" s="12">
        <v>195.0</v>
      </c>
      <c r="M456" s="2" t="s">
        <v>1177</v>
      </c>
      <c r="N456" s="2" t="str">
        <f>IFERROR(__xludf.DUMMYFUNCTION("""COMPUTED_VALUE"""),"")</f>
        <v/>
      </c>
    </row>
    <row r="457">
      <c r="A457" s="2" t="s">
        <v>33</v>
      </c>
      <c r="B457" s="12">
        <v>462202.0</v>
      </c>
      <c r="C457" s="12">
        <v>463416.0</v>
      </c>
      <c r="D457" s="2"/>
      <c r="E457" s="2" t="s">
        <v>38</v>
      </c>
      <c r="F457" s="2" t="s">
        <v>265</v>
      </c>
      <c r="G457" s="2"/>
      <c r="H457" s="12">
        <v>0.0</v>
      </c>
      <c r="I457" s="2" t="s">
        <v>40</v>
      </c>
      <c r="J457" s="2"/>
      <c r="K457" s="2" t="s">
        <v>1178</v>
      </c>
      <c r="L457" s="12">
        <v>404.0</v>
      </c>
      <c r="M457" s="2" t="s">
        <v>1179</v>
      </c>
      <c r="N457" s="2" t="str">
        <f>IFERROR(__xludf.DUMMYFUNCTION("""COMPUTED_VALUE"""),"")</f>
        <v/>
      </c>
    </row>
    <row r="458">
      <c r="A458" s="2" t="s">
        <v>33</v>
      </c>
      <c r="B458" s="12">
        <v>463409.0</v>
      </c>
      <c r="C458" s="12">
        <v>464119.0</v>
      </c>
      <c r="D458" s="2"/>
      <c r="E458" s="2" t="s">
        <v>38</v>
      </c>
      <c r="F458" s="2" t="s">
        <v>432</v>
      </c>
      <c r="G458" s="2"/>
      <c r="H458" s="12">
        <v>0.0</v>
      </c>
      <c r="I458" s="2" t="s">
        <v>40</v>
      </c>
      <c r="J458" s="2"/>
      <c r="K458" s="2" t="s">
        <v>1180</v>
      </c>
      <c r="L458" s="12">
        <v>236.0</v>
      </c>
      <c r="M458" s="2" t="s">
        <v>1181</v>
      </c>
      <c r="N458" s="2" t="str">
        <f>IFERROR(__xludf.DUMMYFUNCTION("""COMPUTED_VALUE"""),"")</f>
        <v/>
      </c>
    </row>
    <row r="459">
      <c r="A459" s="2" t="s">
        <v>33</v>
      </c>
      <c r="B459" s="12">
        <v>464273.0</v>
      </c>
      <c r="C459" s="12">
        <v>464704.0</v>
      </c>
      <c r="D459" s="2"/>
      <c r="E459" s="2" t="s">
        <v>34</v>
      </c>
      <c r="F459" s="2" t="s">
        <v>367</v>
      </c>
      <c r="G459" s="2"/>
      <c r="H459" s="12">
        <v>0.0</v>
      </c>
      <c r="I459" s="2" t="s">
        <v>40</v>
      </c>
      <c r="J459" s="2"/>
      <c r="K459" s="2" t="s">
        <v>1182</v>
      </c>
      <c r="L459" s="12">
        <v>143.0</v>
      </c>
      <c r="M459" s="2" t="s">
        <v>1183</v>
      </c>
      <c r="N459" s="2" t="str">
        <f>IFERROR(__xludf.DUMMYFUNCTION("""COMPUTED_VALUE"""),"")</f>
        <v/>
      </c>
    </row>
    <row r="460">
      <c r="A460" s="2" t="s">
        <v>33</v>
      </c>
      <c r="B460" s="12">
        <v>464735.0</v>
      </c>
      <c r="C460" s="12">
        <v>465262.0</v>
      </c>
      <c r="D460" s="2"/>
      <c r="E460" s="2" t="s">
        <v>34</v>
      </c>
      <c r="F460" s="2" t="s">
        <v>1184</v>
      </c>
      <c r="G460" s="2"/>
      <c r="H460" s="12">
        <v>0.0</v>
      </c>
      <c r="I460" s="2" t="s">
        <v>40</v>
      </c>
      <c r="J460" s="2"/>
      <c r="K460" s="2" t="s">
        <v>1185</v>
      </c>
      <c r="L460" s="12">
        <v>175.0</v>
      </c>
      <c r="M460" s="2" t="s">
        <v>1186</v>
      </c>
      <c r="N460" s="2" t="str">
        <f>IFERROR(__xludf.DUMMYFUNCTION("""COMPUTED_VALUE"""),"")</f>
        <v/>
      </c>
    </row>
    <row r="461">
      <c r="A461" s="2" t="s">
        <v>33</v>
      </c>
      <c r="B461" s="12">
        <v>465503.0</v>
      </c>
      <c r="C461" s="12">
        <v>465721.0</v>
      </c>
      <c r="D461" s="2"/>
      <c r="E461" s="2" t="s">
        <v>38</v>
      </c>
      <c r="F461" s="2" t="s">
        <v>220</v>
      </c>
      <c r="G461" s="2"/>
      <c r="H461" s="12">
        <v>0.0</v>
      </c>
      <c r="I461" s="2" t="s">
        <v>40</v>
      </c>
      <c r="J461" s="2"/>
      <c r="K461" s="2" t="s">
        <v>1187</v>
      </c>
      <c r="L461" s="12">
        <v>72.0</v>
      </c>
      <c r="M461" s="2" t="s">
        <v>1188</v>
      </c>
      <c r="N461" s="2" t="str">
        <f>IFERROR(__xludf.DUMMYFUNCTION("""COMPUTED_VALUE"""),"")</f>
        <v/>
      </c>
    </row>
    <row r="462">
      <c r="A462" s="2" t="s">
        <v>33</v>
      </c>
      <c r="B462" s="12">
        <v>465732.0</v>
      </c>
      <c r="C462" s="12">
        <v>466217.0</v>
      </c>
      <c r="D462" s="2"/>
      <c r="E462" s="2" t="s">
        <v>38</v>
      </c>
      <c r="F462" s="2" t="s">
        <v>1189</v>
      </c>
      <c r="G462" s="2"/>
      <c r="H462" s="12">
        <v>0.0</v>
      </c>
      <c r="I462" s="2" t="s">
        <v>40</v>
      </c>
      <c r="J462" s="2"/>
      <c r="K462" s="2" t="s">
        <v>1190</v>
      </c>
      <c r="L462" s="12">
        <v>161.0</v>
      </c>
      <c r="M462" s="2" t="s">
        <v>1191</v>
      </c>
      <c r="N462" s="2" t="str">
        <f>IFERROR(__xludf.DUMMYFUNCTION("""COMPUTED_VALUE"""),"")</f>
        <v/>
      </c>
    </row>
    <row r="463">
      <c r="A463" s="2" t="s">
        <v>33</v>
      </c>
      <c r="B463" s="12">
        <v>466393.0</v>
      </c>
      <c r="C463" s="12">
        <v>466833.0</v>
      </c>
      <c r="D463" s="2"/>
      <c r="E463" s="2" t="s">
        <v>38</v>
      </c>
      <c r="F463" s="2" t="s">
        <v>367</v>
      </c>
      <c r="G463" s="2"/>
      <c r="H463" s="12">
        <v>0.0</v>
      </c>
      <c r="I463" s="2" t="s">
        <v>40</v>
      </c>
      <c r="J463" s="2"/>
      <c r="K463" s="2" t="s">
        <v>1192</v>
      </c>
      <c r="L463" s="12">
        <v>146.0</v>
      </c>
      <c r="M463" s="2" t="s">
        <v>1193</v>
      </c>
      <c r="N463" s="2" t="str">
        <f>IFERROR(__xludf.DUMMYFUNCTION("""COMPUTED_VALUE"""),"")</f>
        <v/>
      </c>
    </row>
    <row r="464">
      <c r="A464" s="2" t="s">
        <v>33</v>
      </c>
      <c r="B464" s="12">
        <v>466830.0</v>
      </c>
      <c r="C464" s="12">
        <v>467303.0</v>
      </c>
      <c r="D464" s="2"/>
      <c r="E464" s="2" t="s">
        <v>38</v>
      </c>
      <c r="F464" s="2" t="s">
        <v>347</v>
      </c>
      <c r="G464" s="2"/>
      <c r="H464" s="12">
        <v>0.0</v>
      </c>
      <c r="I464" s="2" t="s">
        <v>40</v>
      </c>
      <c r="J464" s="2"/>
      <c r="K464" s="2" t="s">
        <v>1194</v>
      </c>
      <c r="L464" s="12">
        <v>157.0</v>
      </c>
      <c r="M464" s="2" t="s">
        <v>1195</v>
      </c>
      <c r="N464" s="2" t="str">
        <f>IFERROR(__xludf.DUMMYFUNCTION("""COMPUTED_VALUE"""),"")</f>
        <v/>
      </c>
    </row>
    <row r="465">
      <c r="A465" s="2" t="s">
        <v>33</v>
      </c>
      <c r="B465" s="12">
        <v>467399.0</v>
      </c>
      <c r="C465" s="12">
        <v>468091.0</v>
      </c>
      <c r="D465" s="2"/>
      <c r="E465" s="2" t="s">
        <v>38</v>
      </c>
      <c r="F465" s="2" t="s">
        <v>1196</v>
      </c>
      <c r="G465" s="2"/>
      <c r="H465" s="12">
        <v>0.0</v>
      </c>
      <c r="I465" s="2" t="s">
        <v>40</v>
      </c>
      <c r="J465" s="2"/>
      <c r="K465" s="2" t="s">
        <v>1197</v>
      </c>
      <c r="L465" s="12">
        <v>230.0</v>
      </c>
      <c r="M465" s="2" t="s">
        <v>1198</v>
      </c>
      <c r="N465" s="2" t="str">
        <f>IFERROR(__xludf.DUMMYFUNCTION("""COMPUTED_VALUE"""),"")</f>
        <v/>
      </c>
    </row>
    <row r="466">
      <c r="A466" s="2" t="s">
        <v>33</v>
      </c>
      <c r="B466" s="12">
        <v>468272.0</v>
      </c>
      <c r="C466" s="12">
        <v>469474.0</v>
      </c>
      <c r="D466" s="2"/>
      <c r="E466" s="2" t="s">
        <v>38</v>
      </c>
      <c r="F466" s="2" t="s">
        <v>1199</v>
      </c>
      <c r="G466" s="2"/>
      <c r="H466" s="12">
        <v>0.0</v>
      </c>
      <c r="I466" s="2" t="s">
        <v>40</v>
      </c>
      <c r="J466" s="2"/>
      <c r="K466" s="2" t="s">
        <v>1200</v>
      </c>
      <c r="L466" s="12">
        <v>400.0</v>
      </c>
      <c r="M466" s="2" t="s">
        <v>1201</v>
      </c>
      <c r="N466" s="2" t="str">
        <f>IFERROR(__xludf.DUMMYFUNCTION("""COMPUTED_VALUE"""),"")</f>
        <v/>
      </c>
    </row>
    <row r="467">
      <c r="A467" s="2" t="s">
        <v>33</v>
      </c>
      <c r="B467" s="12">
        <v>469554.0</v>
      </c>
      <c r="C467" s="12">
        <v>470993.0</v>
      </c>
      <c r="D467" s="2"/>
      <c r="E467" s="2" t="s">
        <v>38</v>
      </c>
      <c r="F467" s="2" t="s">
        <v>1066</v>
      </c>
      <c r="G467" s="2"/>
      <c r="H467" s="12">
        <v>0.0</v>
      </c>
      <c r="I467" s="2" t="s">
        <v>40</v>
      </c>
      <c r="J467" s="2"/>
      <c r="K467" s="2" t="s">
        <v>1202</v>
      </c>
      <c r="L467" s="12">
        <v>479.0</v>
      </c>
      <c r="M467" s="2" t="s">
        <v>1203</v>
      </c>
      <c r="N467" s="2" t="str">
        <f>IFERROR(__xludf.DUMMYFUNCTION("""COMPUTED_VALUE"""),"")</f>
        <v/>
      </c>
    </row>
    <row r="468">
      <c r="A468" s="2" t="s">
        <v>33</v>
      </c>
      <c r="B468" s="12">
        <v>471198.0</v>
      </c>
      <c r="C468" s="12">
        <v>471863.0</v>
      </c>
      <c r="D468" s="2"/>
      <c r="E468" s="2" t="s">
        <v>38</v>
      </c>
      <c r="F468" s="2" t="s">
        <v>1172</v>
      </c>
      <c r="G468" s="2"/>
      <c r="H468" s="12">
        <v>0.0</v>
      </c>
      <c r="I468" s="2" t="s">
        <v>40</v>
      </c>
      <c r="J468" s="2"/>
      <c r="K468" s="2" t="s">
        <v>1204</v>
      </c>
      <c r="L468" s="12">
        <v>221.0</v>
      </c>
      <c r="M468" s="2" t="s">
        <v>1205</v>
      </c>
      <c r="N468" s="2" t="str">
        <f>IFERROR(__xludf.DUMMYFUNCTION("""COMPUTED_VALUE"""),"")</f>
        <v/>
      </c>
    </row>
    <row r="469">
      <c r="A469" s="2" t="s">
        <v>33</v>
      </c>
      <c r="B469" s="12">
        <v>472054.0</v>
      </c>
      <c r="C469" s="12">
        <v>472851.0</v>
      </c>
      <c r="D469" s="2"/>
      <c r="E469" s="2" t="s">
        <v>34</v>
      </c>
      <c r="F469" s="2" t="s">
        <v>1206</v>
      </c>
      <c r="G469" s="2"/>
      <c r="H469" s="12">
        <v>0.0</v>
      </c>
      <c r="I469" s="2" t="s">
        <v>40</v>
      </c>
      <c r="J469" s="2"/>
      <c r="K469" s="2" t="s">
        <v>1207</v>
      </c>
      <c r="L469" s="12">
        <v>265.0</v>
      </c>
      <c r="M469" s="2" t="s">
        <v>1208</v>
      </c>
      <c r="N469" s="2" t="str">
        <f>IFERROR(__xludf.DUMMYFUNCTION("""COMPUTED_VALUE"""),"")</f>
        <v/>
      </c>
    </row>
    <row r="470">
      <c r="A470" s="2" t="s">
        <v>33</v>
      </c>
      <c r="B470" s="12">
        <v>472876.0</v>
      </c>
      <c r="C470" s="12">
        <v>473451.0</v>
      </c>
      <c r="D470" s="2"/>
      <c r="E470" s="2" t="s">
        <v>34</v>
      </c>
      <c r="F470" s="2" t="s">
        <v>1209</v>
      </c>
      <c r="G470" s="2"/>
      <c r="H470" s="12">
        <v>0.0</v>
      </c>
      <c r="I470" s="2" t="s">
        <v>40</v>
      </c>
      <c r="J470" s="2"/>
      <c r="K470" s="2" t="s">
        <v>1210</v>
      </c>
      <c r="L470" s="12">
        <v>191.0</v>
      </c>
      <c r="M470" s="2" t="s">
        <v>1211</v>
      </c>
      <c r="N470" s="2" t="str">
        <f>IFERROR(__xludf.DUMMYFUNCTION("""COMPUTED_VALUE"""),"")</f>
        <v/>
      </c>
    </row>
    <row r="471">
      <c r="A471" s="2" t="s">
        <v>33</v>
      </c>
      <c r="B471" s="12">
        <v>473488.0</v>
      </c>
      <c r="C471" s="12">
        <v>474393.0</v>
      </c>
      <c r="D471" s="2"/>
      <c r="E471" s="2" t="s">
        <v>38</v>
      </c>
      <c r="F471" s="2" t="s">
        <v>326</v>
      </c>
      <c r="G471" s="2"/>
      <c r="H471" s="12">
        <v>0.0</v>
      </c>
      <c r="I471" s="2" t="s">
        <v>40</v>
      </c>
      <c r="J471" s="2"/>
      <c r="K471" s="2" t="s">
        <v>1212</v>
      </c>
      <c r="L471" s="12">
        <v>301.0</v>
      </c>
      <c r="M471" s="2" t="s">
        <v>1213</v>
      </c>
      <c r="N471" s="2" t="str">
        <f>IFERROR(__xludf.DUMMYFUNCTION("""COMPUTED_VALUE"""),"")</f>
        <v/>
      </c>
    </row>
    <row r="472">
      <c r="A472" s="2" t="s">
        <v>33</v>
      </c>
      <c r="B472" s="12">
        <v>474440.0</v>
      </c>
      <c r="C472" s="12">
        <v>475780.0</v>
      </c>
      <c r="D472" s="2"/>
      <c r="E472" s="2" t="s">
        <v>38</v>
      </c>
      <c r="F472" s="2" t="s">
        <v>1214</v>
      </c>
      <c r="G472" s="2"/>
      <c r="H472" s="12">
        <v>0.0</v>
      </c>
      <c r="I472" s="2" t="s">
        <v>40</v>
      </c>
      <c r="J472" s="2"/>
      <c r="K472" s="2" t="s">
        <v>1215</v>
      </c>
      <c r="L472" s="12">
        <v>446.0</v>
      </c>
      <c r="M472" s="2" t="s">
        <v>1216</v>
      </c>
      <c r="N472" s="2" t="str">
        <f>IFERROR(__xludf.DUMMYFUNCTION("""COMPUTED_VALUE"""),"")</f>
        <v/>
      </c>
    </row>
    <row r="473">
      <c r="A473" s="2" t="s">
        <v>33</v>
      </c>
      <c r="B473" s="12">
        <v>476350.0</v>
      </c>
      <c r="C473" s="12">
        <v>477648.0</v>
      </c>
      <c r="D473" s="2"/>
      <c r="E473" s="2" t="s">
        <v>38</v>
      </c>
      <c r="F473" s="2" t="s">
        <v>1217</v>
      </c>
      <c r="G473" s="2" t="s">
        <v>1218</v>
      </c>
      <c r="H473" s="12">
        <v>0.0</v>
      </c>
      <c r="I473" s="2" t="s">
        <v>40</v>
      </c>
      <c r="J473" s="2"/>
      <c r="K473" s="2" t="s">
        <v>1219</v>
      </c>
      <c r="L473" s="12">
        <v>432.0</v>
      </c>
      <c r="M473" s="2" t="s">
        <v>1220</v>
      </c>
      <c r="N473" s="2" t="str">
        <f>IFERROR(__xludf.DUMMYFUNCTION("""COMPUTED_VALUE"""),"")</f>
        <v/>
      </c>
    </row>
    <row r="474">
      <c r="A474" s="2" t="s">
        <v>33</v>
      </c>
      <c r="B474" s="12">
        <v>478189.0</v>
      </c>
      <c r="C474" s="12">
        <v>478668.0</v>
      </c>
      <c r="D474" s="2"/>
      <c r="E474" s="2" t="s">
        <v>34</v>
      </c>
      <c r="F474" s="2" t="s">
        <v>39</v>
      </c>
      <c r="G474" s="2"/>
      <c r="H474" s="12">
        <v>0.0</v>
      </c>
      <c r="I474" s="2" t="s">
        <v>40</v>
      </c>
      <c r="J474" s="2"/>
      <c r="K474" s="2" t="s">
        <v>1221</v>
      </c>
      <c r="L474" s="12">
        <v>159.0</v>
      </c>
      <c r="M474" s="2" t="s">
        <v>1222</v>
      </c>
      <c r="N474" s="2" t="str">
        <f>IFERROR(__xludf.DUMMYFUNCTION("""COMPUTED_VALUE"""),"")</f>
        <v/>
      </c>
    </row>
    <row r="475">
      <c r="A475" s="2" t="s">
        <v>33</v>
      </c>
      <c r="B475" s="12">
        <v>478775.0</v>
      </c>
      <c r="C475" s="12">
        <v>480286.0</v>
      </c>
      <c r="D475" s="2"/>
      <c r="E475" s="2" t="s">
        <v>38</v>
      </c>
      <c r="F475" s="2" t="s">
        <v>1223</v>
      </c>
      <c r="G475" s="2"/>
      <c r="H475" s="12">
        <v>0.0</v>
      </c>
      <c r="I475" s="2" t="s">
        <v>40</v>
      </c>
      <c r="J475" s="2"/>
      <c r="K475" s="2" t="s">
        <v>1224</v>
      </c>
      <c r="L475" s="12">
        <v>503.0</v>
      </c>
      <c r="M475" s="2" t="s">
        <v>1225</v>
      </c>
      <c r="N475" s="2" t="str">
        <f>IFERROR(__xludf.DUMMYFUNCTION("""COMPUTED_VALUE"""),"")</f>
        <v/>
      </c>
    </row>
    <row r="476">
      <c r="A476" s="2" t="s">
        <v>33</v>
      </c>
      <c r="B476" s="12">
        <v>480619.0</v>
      </c>
      <c r="C476" s="12">
        <v>481203.0</v>
      </c>
      <c r="D476" s="2"/>
      <c r="E476" s="2" t="s">
        <v>34</v>
      </c>
      <c r="F476" s="2" t="s">
        <v>427</v>
      </c>
      <c r="G476" s="2"/>
      <c r="H476" s="12">
        <v>0.0</v>
      </c>
      <c r="I476" s="2" t="s">
        <v>40</v>
      </c>
      <c r="J476" s="2"/>
      <c r="K476" s="2" t="s">
        <v>1226</v>
      </c>
      <c r="L476" s="12">
        <v>194.0</v>
      </c>
      <c r="M476" s="2" t="s">
        <v>1227</v>
      </c>
      <c r="N476" s="2" t="str">
        <f>IFERROR(__xludf.DUMMYFUNCTION("""COMPUTED_VALUE"""),"")</f>
        <v/>
      </c>
    </row>
    <row r="477">
      <c r="A477" s="2" t="s">
        <v>33</v>
      </c>
      <c r="B477" s="12">
        <v>481205.0</v>
      </c>
      <c r="C477" s="12">
        <v>482291.0</v>
      </c>
      <c r="D477" s="2"/>
      <c r="E477" s="2" t="s">
        <v>34</v>
      </c>
      <c r="F477" s="2" t="s">
        <v>35</v>
      </c>
      <c r="G477" s="2"/>
      <c r="H477" s="12">
        <v>0.0</v>
      </c>
      <c r="I477" s="2" t="s">
        <v>36</v>
      </c>
      <c r="J477" s="2"/>
      <c r="K477" s="2"/>
      <c r="L477" s="2"/>
      <c r="M477" s="2" t="s">
        <v>1228</v>
      </c>
      <c r="N477" s="2" t="str">
        <f>IFERROR(__xludf.DUMMYFUNCTION("""COMPUTED_VALUE"""),"")</f>
        <v/>
      </c>
    </row>
    <row r="478">
      <c r="A478" s="2" t="s">
        <v>33</v>
      </c>
      <c r="B478" s="12">
        <v>482345.0</v>
      </c>
      <c r="C478" s="12">
        <v>485453.0</v>
      </c>
      <c r="D478" s="2"/>
      <c r="E478" s="2" t="s">
        <v>38</v>
      </c>
      <c r="F478" s="2" t="s">
        <v>35</v>
      </c>
      <c r="G478" s="2" t="s">
        <v>1229</v>
      </c>
      <c r="H478" s="12">
        <v>0.0</v>
      </c>
      <c r="I478" s="2" t="s">
        <v>36</v>
      </c>
      <c r="J478" s="2"/>
      <c r="K478" s="2"/>
      <c r="L478" s="2"/>
      <c r="M478" s="2" t="s">
        <v>1230</v>
      </c>
      <c r="N478" s="2" t="str">
        <f>IFERROR(__xludf.DUMMYFUNCTION("""COMPUTED_VALUE"""),"")</f>
        <v/>
      </c>
    </row>
    <row r="479">
      <c r="A479" s="2" t="s">
        <v>33</v>
      </c>
      <c r="B479" s="12">
        <v>485839.0</v>
      </c>
      <c r="C479" s="12">
        <v>490044.0</v>
      </c>
      <c r="D479" s="2"/>
      <c r="E479" s="2" t="s">
        <v>38</v>
      </c>
      <c r="F479" s="2" t="s">
        <v>35</v>
      </c>
      <c r="G479" s="2"/>
      <c r="H479" s="12">
        <v>0.0</v>
      </c>
      <c r="I479" s="2" t="s">
        <v>36</v>
      </c>
      <c r="J479" s="2"/>
      <c r="K479" s="2"/>
      <c r="L479" s="2"/>
      <c r="M479" s="2" t="s">
        <v>1231</v>
      </c>
      <c r="N479" s="2" t="str">
        <f>IFERROR(__xludf.DUMMYFUNCTION("""COMPUTED_VALUE"""),"")</f>
        <v/>
      </c>
    </row>
    <row r="480">
      <c r="A480" s="2" t="s">
        <v>33</v>
      </c>
      <c r="B480" s="12">
        <v>490565.0</v>
      </c>
      <c r="C480" s="12">
        <v>491445.0</v>
      </c>
      <c r="D480" s="2"/>
      <c r="E480" s="2" t="s">
        <v>38</v>
      </c>
      <c r="F480" s="2" t="s">
        <v>35</v>
      </c>
      <c r="G480" s="2"/>
      <c r="H480" s="12">
        <v>0.0</v>
      </c>
      <c r="I480" s="2" t="s">
        <v>36</v>
      </c>
      <c r="J480" s="2"/>
      <c r="K480" s="2"/>
      <c r="L480" s="2"/>
      <c r="M480" s="2" t="s">
        <v>1232</v>
      </c>
      <c r="N480" s="2" t="str">
        <f>IFERROR(__xludf.DUMMYFUNCTION("""COMPUTED_VALUE"""),"")</f>
        <v/>
      </c>
    </row>
    <row r="481">
      <c r="A481" s="2" t="s">
        <v>33</v>
      </c>
      <c r="B481" s="12">
        <v>491582.0</v>
      </c>
      <c r="C481" s="12">
        <v>491800.0</v>
      </c>
      <c r="D481" s="2"/>
      <c r="E481" s="2" t="s">
        <v>38</v>
      </c>
      <c r="F481" s="2" t="s">
        <v>39</v>
      </c>
      <c r="G481" s="2"/>
      <c r="H481" s="12">
        <v>0.0</v>
      </c>
      <c r="I481" s="2" t="s">
        <v>40</v>
      </c>
      <c r="J481" s="2"/>
      <c r="K481" s="2" t="s">
        <v>1233</v>
      </c>
      <c r="L481" s="12">
        <v>72.0</v>
      </c>
      <c r="M481" s="2" t="s">
        <v>1234</v>
      </c>
      <c r="N481" s="2" t="str">
        <f>IFERROR(__xludf.DUMMYFUNCTION("""COMPUTED_VALUE"""),"")</f>
        <v/>
      </c>
    </row>
    <row r="482">
      <c r="A482" s="2" t="s">
        <v>33</v>
      </c>
      <c r="B482" s="12">
        <v>491830.0</v>
      </c>
      <c r="C482" s="12">
        <v>492159.0</v>
      </c>
      <c r="D482" s="2"/>
      <c r="E482" s="2" t="s">
        <v>38</v>
      </c>
      <c r="F482" s="2" t="s">
        <v>1235</v>
      </c>
      <c r="G482" s="2"/>
      <c r="H482" s="12">
        <v>0.0</v>
      </c>
      <c r="I482" s="2" t="s">
        <v>40</v>
      </c>
      <c r="J482" s="2"/>
      <c r="K482" s="2" t="s">
        <v>1236</v>
      </c>
      <c r="L482" s="12">
        <v>109.0</v>
      </c>
      <c r="M482" s="2" t="s">
        <v>1237</v>
      </c>
      <c r="N482" s="2" t="str">
        <f>IFERROR(__xludf.DUMMYFUNCTION("""COMPUTED_VALUE"""),"")</f>
        <v/>
      </c>
    </row>
    <row r="483">
      <c r="A483" s="2" t="s">
        <v>33</v>
      </c>
      <c r="B483" s="12">
        <v>492272.0</v>
      </c>
      <c r="C483" s="12">
        <v>493960.0</v>
      </c>
      <c r="D483" s="2"/>
      <c r="E483" s="2" t="s">
        <v>38</v>
      </c>
      <c r="F483" s="2" t="s">
        <v>1238</v>
      </c>
      <c r="G483" s="2" t="s">
        <v>1239</v>
      </c>
      <c r="H483" s="12">
        <v>0.0</v>
      </c>
      <c r="I483" s="2" t="s">
        <v>40</v>
      </c>
      <c r="J483" s="2"/>
      <c r="K483" s="2" t="s">
        <v>1240</v>
      </c>
      <c r="L483" s="12">
        <v>562.0</v>
      </c>
      <c r="M483" s="2" t="s">
        <v>1241</v>
      </c>
      <c r="N483" s="2" t="str">
        <f>IFERROR(__xludf.DUMMYFUNCTION("""COMPUTED_VALUE"""),"")</f>
        <v/>
      </c>
    </row>
    <row r="484">
      <c r="A484" s="2" t="s">
        <v>33</v>
      </c>
      <c r="B484" s="12">
        <v>494261.0</v>
      </c>
      <c r="C484" s="12">
        <v>495037.0</v>
      </c>
      <c r="D484" s="2"/>
      <c r="E484" s="2" t="s">
        <v>38</v>
      </c>
      <c r="F484" s="2" t="s">
        <v>289</v>
      </c>
      <c r="G484" s="2"/>
      <c r="H484" s="12">
        <v>0.0</v>
      </c>
      <c r="I484" s="2" t="s">
        <v>40</v>
      </c>
      <c r="J484" s="2"/>
      <c r="K484" s="2" t="s">
        <v>1242</v>
      </c>
      <c r="L484" s="12">
        <v>258.0</v>
      </c>
      <c r="M484" s="2" t="s">
        <v>1243</v>
      </c>
      <c r="N484" s="2" t="str">
        <f>IFERROR(__xludf.DUMMYFUNCTION("""COMPUTED_VALUE"""),"")</f>
        <v/>
      </c>
    </row>
    <row r="485">
      <c r="A485" s="2" t="s">
        <v>33</v>
      </c>
      <c r="B485" s="12">
        <v>495087.0</v>
      </c>
      <c r="C485" s="12">
        <v>495521.0</v>
      </c>
      <c r="D485" s="2"/>
      <c r="E485" s="2" t="s">
        <v>38</v>
      </c>
      <c r="F485" s="2" t="s">
        <v>1244</v>
      </c>
      <c r="G485" s="2"/>
      <c r="H485" s="12">
        <v>0.0</v>
      </c>
      <c r="I485" s="2" t="s">
        <v>40</v>
      </c>
      <c r="J485" s="2"/>
      <c r="K485" s="2" t="s">
        <v>1245</v>
      </c>
      <c r="L485" s="12">
        <v>144.0</v>
      </c>
      <c r="M485" s="2" t="s">
        <v>1246</v>
      </c>
      <c r="N485" s="2" t="str">
        <f>IFERROR(__xludf.DUMMYFUNCTION("""COMPUTED_VALUE"""),"")</f>
        <v/>
      </c>
    </row>
    <row r="486">
      <c r="A486" s="2" t="s">
        <v>33</v>
      </c>
      <c r="B486" s="12">
        <v>495573.0</v>
      </c>
      <c r="C486" s="12">
        <v>495989.0</v>
      </c>
      <c r="D486" s="2"/>
      <c r="E486" s="2" t="s">
        <v>38</v>
      </c>
      <c r="F486" s="2" t="s">
        <v>1247</v>
      </c>
      <c r="G486" s="2"/>
      <c r="H486" s="12">
        <v>0.0</v>
      </c>
      <c r="I486" s="2" t="s">
        <v>40</v>
      </c>
      <c r="J486" s="2"/>
      <c r="K486" s="2" t="s">
        <v>1248</v>
      </c>
      <c r="L486" s="12">
        <v>138.0</v>
      </c>
      <c r="M486" s="2" t="s">
        <v>1249</v>
      </c>
      <c r="N486" s="2" t="str">
        <f>IFERROR(__xludf.DUMMYFUNCTION("""COMPUTED_VALUE"""),"")</f>
        <v/>
      </c>
    </row>
    <row r="487">
      <c r="A487" s="2" t="s">
        <v>33</v>
      </c>
      <c r="B487" s="12">
        <v>495993.0</v>
      </c>
      <c r="C487" s="12">
        <v>497120.0</v>
      </c>
      <c r="D487" s="2"/>
      <c r="E487" s="2" t="s">
        <v>38</v>
      </c>
      <c r="F487" s="2" t="s">
        <v>1250</v>
      </c>
      <c r="G487" s="2"/>
      <c r="H487" s="12">
        <v>0.0</v>
      </c>
      <c r="I487" s="2" t="s">
        <v>40</v>
      </c>
      <c r="J487" s="2"/>
      <c r="K487" s="2" t="s">
        <v>1251</v>
      </c>
      <c r="L487" s="12">
        <v>375.0</v>
      </c>
      <c r="M487" s="2" t="s">
        <v>1252</v>
      </c>
      <c r="N487" s="2" t="str">
        <f>IFERROR(__xludf.DUMMYFUNCTION("""COMPUTED_VALUE"""),"")</f>
        <v/>
      </c>
    </row>
    <row r="488">
      <c r="A488" s="2" t="s">
        <v>33</v>
      </c>
      <c r="B488" s="12">
        <v>497369.0</v>
      </c>
      <c r="C488" s="12">
        <v>497704.0</v>
      </c>
      <c r="D488" s="2"/>
      <c r="E488" s="2" t="s">
        <v>38</v>
      </c>
      <c r="F488" s="2" t="s">
        <v>1253</v>
      </c>
      <c r="G488" s="2"/>
      <c r="H488" s="12">
        <v>0.0</v>
      </c>
      <c r="I488" s="2" t="s">
        <v>40</v>
      </c>
      <c r="J488" s="2"/>
      <c r="K488" s="2" t="s">
        <v>1254</v>
      </c>
      <c r="L488" s="12">
        <v>111.0</v>
      </c>
      <c r="M488" s="2" t="s">
        <v>1255</v>
      </c>
      <c r="N488" s="2" t="str">
        <f>IFERROR(__xludf.DUMMYFUNCTION("""COMPUTED_VALUE"""),"")</f>
        <v/>
      </c>
    </row>
    <row r="489">
      <c r="A489" s="2" t="s">
        <v>33</v>
      </c>
      <c r="B489" s="12">
        <v>497866.0</v>
      </c>
      <c r="C489" s="12">
        <v>498120.0</v>
      </c>
      <c r="D489" s="2"/>
      <c r="E489" s="2" t="s">
        <v>38</v>
      </c>
      <c r="F489" s="2" t="s">
        <v>1256</v>
      </c>
      <c r="G489" s="2"/>
      <c r="H489" s="12">
        <v>0.0</v>
      </c>
      <c r="I489" s="2" t="s">
        <v>40</v>
      </c>
      <c r="J489" s="2"/>
      <c r="K489" s="2" t="s">
        <v>1257</v>
      </c>
      <c r="L489" s="12">
        <v>84.0</v>
      </c>
      <c r="M489" s="2" t="s">
        <v>1258</v>
      </c>
      <c r="N489" s="2" t="str">
        <f>IFERROR(__xludf.DUMMYFUNCTION("""COMPUTED_VALUE"""),"")</f>
        <v/>
      </c>
    </row>
    <row r="490">
      <c r="A490" s="2" t="s">
        <v>33</v>
      </c>
      <c r="B490" s="12">
        <v>498226.0</v>
      </c>
      <c r="C490" s="12">
        <v>498957.0</v>
      </c>
      <c r="D490" s="2"/>
      <c r="E490" s="2" t="s">
        <v>38</v>
      </c>
      <c r="F490" s="2" t="s">
        <v>1259</v>
      </c>
      <c r="G490" s="2"/>
      <c r="H490" s="12">
        <v>0.0</v>
      </c>
      <c r="I490" s="2" t="s">
        <v>40</v>
      </c>
      <c r="J490" s="2"/>
      <c r="K490" s="2" t="s">
        <v>1260</v>
      </c>
      <c r="L490" s="12">
        <v>243.0</v>
      </c>
      <c r="M490" s="2" t="s">
        <v>1261</v>
      </c>
      <c r="N490" s="2" t="str">
        <f>IFERROR(__xludf.DUMMYFUNCTION("""COMPUTED_VALUE"""),"")</f>
        <v/>
      </c>
    </row>
    <row r="491">
      <c r="A491" s="2" t="s">
        <v>33</v>
      </c>
      <c r="B491" s="12">
        <v>499033.0</v>
      </c>
      <c r="C491" s="12">
        <v>500928.0</v>
      </c>
      <c r="D491" s="2"/>
      <c r="E491" s="2" t="s">
        <v>38</v>
      </c>
      <c r="F491" s="2" t="s">
        <v>1262</v>
      </c>
      <c r="G491" s="2"/>
      <c r="H491" s="12">
        <v>0.0</v>
      </c>
      <c r="I491" s="2" t="s">
        <v>40</v>
      </c>
      <c r="J491" s="2"/>
      <c r="K491" s="2" t="s">
        <v>1263</v>
      </c>
      <c r="L491" s="12">
        <v>631.0</v>
      </c>
      <c r="M491" s="2" t="s">
        <v>1264</v>
      </c>
      <c r="N491" s="2" t="str">
        <f>IFERROR(__xludf.DUMMYFUNCTION("""COMPUTED_VALUE"""),"")</f>
        <v/>
      </c>
    </row>
    <row r="492">
      <c r="A492" s="2" t="s">
        <v>33</v>
      </c>
      <c r="B492" s="12">
        <v>500925.0</v>
      </c>
      <c r="C492" s="12">
        <v>501572.0</v>
      </c>
      <c r="D492" s="2"/>
      <c r="E492" s="2" t="s">
        <v>38</v>
      </c>
      <c r="F492" s="2" t="s">
        <v>1265</v>
      </c>
      <c r="G492" s="2"/>
      <c r="H492" s="12">
        <v>0.0</v>
      </c>
      <c r="I492" s="2" t="s">
        <v>40</v>
      </c>
      <c r="J492" s="2"/>
      <c r="K492" s="2" t="s">
        <v>1266</v>
      </c>
      <c r="L492" s="12">
        <v>215.0</v>
      </c>
      <c r="M492" s="2" t="s">
        <v>1267</v>
      </c>
      <c r="N492" s="2" t="str">
        <f>IFERROR(__xludf.DUMMYFUNCTION("""COMPUTED_VALUE"""),"")</f>
        <v/>
      </c>
    </row>
    <row r="493">
      <c r="A493" s="2" t="s">
        <v>33</v>
      </c>
      <c r="B493" s="12">
        <v>501682.0</v>
      </c>
      <c r="C493" s="12">
        <v>502509.0</v>
      </c>
      <c r="D493" s="2"/>
      <c r="E493" s="2" t="s">
        <v>34</v>
      </c>
      <c r="F493" s="2" t="s">
        <v>39</v>
      </c>
      <c r="G493" s="2"/>
      <c r="H493" s="12">
        <v>0.0</v>
      </c>
      <c r="I493" s="2" t="s">
        <v>40</v>
      </c>
      <c r="J493" s="2"/>
      <c r="K493" s="2" t="s">
        <v>1268</v>
      </c>
      <c r="L493" s="12">
        <v>275.0</v>
      </c>
      <c r="M493" s="2" t="s">
        <v>1269</v>
      </c>
      <c r="N493" s="2" t="str">
        <f>IFERROR(__xludf.DUMMYFUNCTION("""COMPUTED_VALUE"""),"")</f>
        <v/>
      </c>
    </row>
    <row r="494">
      <c r="A494" s="2" t="s">
        <v>33</v>
      </c>
      <c r="B494" s="12">
        <v>502806.0</v>
      </c>
      <c r="C494" s="12">
        <v>502931.0</v>
      </c>
      <c r="D494" s="2"/>
      <c r="E494" s="2" t="s">
        <v>38</v>
      </c>
      <c r="F494" s="2" t="s">
        <v>1270</v>
      </c>
      <c r="G494" s="2"/>
      <c r="H494" s="12">
        <v>0.0</v>
      </c>
      <c r="I494" s="2" t="s">
        <v>40</v>
      </c>
      <c r="J494" s="2"/>
      <c r="K494" s="2" t="s">
        <v>1271</v>
      </c>
      <c r="L494" s="12">
        <v>41.0</v>
      </c>
      <c r="M494" s="2" t="s">
        <v>1272</v>
      </c>
      <c r="N494" s="2" t="str">
        <f>IFERROR(__xludf.DUMMYFUNCTION("""COMPUTED_VALUE"""),"")</f>
        <v/>
      </c>
    </row>
    <row r="495">
      <c r="A495" s="2" t="s">
        <v>33</v>
      </c>
      <c r="B495" s="12">
        <v>502928.0</v>
      </c>
      <c r="C495" s="12">
        <v>504001.0</v>
      </c>
      <c r="D495" s="2"/>
      <c r="E495" s="2" t="s">
        <v>38</v>
      </c>
      <c r="F495" s="2" t="s">
        <v>1273</v>
      </c>
      <c r="G495" s="2"/>
      <c r="H495" s="12">
        <v>0.0</v>
      </c>
      <c r="I495" s="2" t="s">
        <v>40</v>
      </c>
      <c r="J495" s="2"/>
      <c r="K495" s="2" t="s">
        <v>1274</v>
      </c>
      <c r="L495" s="12">
        <v>357.0</v>
      </c>
      <c r="M495" s="2" t="s">
        <v>1275</v>
      </c>
      <c r="N495" s="2" t="str">
        <f>IFERROR(__xludf.DUMMYFUNCTION("""COMPUTED_VALUE"""),"")</f>
        <v/>
      </c>
    </row>
    <row r="496">
      <c r="A496" s="2" t="s">
        <v>33</v>
      </c>
      <c r="B496" s="12">
        <v>504192.0</v>
      </c>
      <c r="C496" s="12">
        <v>504539.0</v>
      </c>
      <c r="D496" s="2"/>
      <c r="E496" s="2" t="s">
        <v>34</v>
      </c>
      <c r="F496" s="2" t="s">
        <v>927</v>
      </c>
      <c r="G496" s="2"/>
      <c r="H496" s="12">
        <v>0.0</v>
      </c>
      <c r="I496" s="2" t="s">
        <v>40</v>
      </c>
      <c r="J496" s="2"/>
      <c r="K496" s="2" t="s">
        <v>1276</v>
      </c>
      <c r="L496" s="12">
        <v>115.0</v>
      </c>
      <c r="M496" s="2" t="s">
        <v>1277</v>
      </c>
      <c r="N496" s="2" t="str">
        <f>IFERROR(__xludf.DUMMYFUNCTION("""COMPUTED_VALUE"""),"")</f>
        <v/>
      </c>
    </row>
    <row r="497">
      <c r="A497" s="2" t="s">
        <v>33</v>
      </c>
      <c r="B497" s="12">
        <v>504878.0</v>
      </c>
      <c r="C497" s="12">
        <v>505270.0</v>
      </c>
      <c r="D497" s="2"/>
      <c r="E497" s="2" t="s">
        <v>38</v>
      </c>
      <c r="F497" s="2" t="s">
        <v>159</v>
      </c>
      <c r="G497" s="2"/>
      <c r="H497" s="12">
        <v>0.0</v>
      </c>
      <c r="I497" s="2" t="s">
        <v>40</v>
      </c>
      <c r="J497" s="2"/>
      <c r="K497" s="2" t="s">
        <v>1278</v>
      </c>
      <c r="L497" s="12">
        <v>130.0</v>
      </c>
      <c r="M497" s="2" t="s">
        <v>1279</v>
      </c>
      <c r="N497" s="2" t="str">
        <f>IFERROR(__xludf.DUMMYFUNCTION("""COMPUTED_VALUE"""),"")</f>
        <v/>
      </c>
    </row>
    <row r="498">
      <c r="A498" s="2" t="s">
        <v>33</v>
      </c>
      <c r="B498" s="12">
        <v>505376.0</v>
      </c>
      <c r="C498" s="12">
        <v>505681.0</v>
      </c>
      <c r="D498" s="2"/>
      <c r="E498" s="2" t="s">
        <v>38</v>
      </c>
      <c r="F498" s="2" t="s">
        <v>39</v>
      </c>
      <c r="G498" s="2"/>
      <c r="H498" s="12">
        <v>0.0</v>
      </c>
      <c r="I498" s="2" t="s">
        <v>40</v>
      </c>
      <c r="J498" s="2"/>
      <c r="K498" s="2" t="s">
        <v>1280</v>
      </c>
      <c r="L498" s="12">
        <v>101.0</v>
      </c>
      <c r="M498" s="2" t="s">
        <v>1281</v>
      </c>
      <c r="N498" s="2" t="str">
        <f>IFERROR(__xludf.DUMMYFUNCTION("""COMPUTED_VALUE"""),"")</f>
        <v/>
      </c>
    </row>
    <row r="499">
      <c r="A499" s="2" t="s">
        <v>33</v>
      </c>
      <c r="B499" s="12">
        <v>505740.0</v>
      </c>
      <c r="C499" s="12">
        <v>506027.0</v>
      </c>
      <c r="D499" s="2"/>
      <c r="E499" s="2" t="s">
        <v>38</v>
      </c>
      <c r="F499" s="2" t="s">
        <v>39</v>
      </c>
      <c r="G499" s="2"/>
      <c r="H499" s="12">
        <v>0.0</v>
      </c>
      <c r="I499" s="2" t="s">
        <v>40</v>
      </c>
      <c r="J499" s="2"/>
      <c r="K499" s="2" t="s">
        <v>1282</v>
      </c>
      <c r="L499" s="12">
        <v>95.0</v>
      </c>
      <c r="M499" s="2" t="s">
        <v>1283</v>
      </c>
      <c r="N499" s="2" t="str">
        <f>IFERROR(__xludf.DUMMYFUNCTION("""COMPUTED_VALUE"""),"")</f>
        <v/>
      </c>
    </row>
    <row r="500">
      <c r="A500" s="2" t="s">
        <v>33</v>
      </c>
      <c r="B500" s="12">
        <v>506337.0</v>
      </c>
      <c r="C500" s="12">
        <v>506612.0</v>
      </c>
      <c r="D500" s="2"/>
      <c r="E500" s="2" t="s">
        <v>38</v>
      </c>
      <c r="F500" s="2" t="s">
        <v>1284</v>
      </c>
      <c r="G500" s="2"/>
      <c r="H500" s="12">
        <v>0.0</v>
      </c>
      <c r="I500" s="2" t="s">
        <v>40</v>
      </c>
      <c r="J500" s="2"/>
      <c r="K500" s="2" t="s">
        <v>1285</v>
      </c>
      <c r="L500" s="12">
        <v>91.0</v>
      </c>
      <c r="M500" s="2" t="s">
        <v>1286</v>
      </c>
      <c r="N500" s="2" t="str">
        <f>IFERROR(__xludf.DUMMYFUNCTION("""COMPUTED_VALUE"""),"")</f>
        <v/>
      </c>
    </row>
    <row r="501">
      <c r="A501" s="2" t="s">
        <v>33</v>
      </c>
      <c r="B501" s="12">
        <v>507222.0</v>
      </c>
      <c r="C501" s="12">
        <v>507734.0</v>
      </c>
      <c r="D501" s="2"/>
      <c r="E501" s="2" t="s">
        <v>34</v>
      </c>
      <c r="F501" s="2" t="s">
        <v>39</v>
      </c>
      <c r="G501" s="2"/>
      <c r="H501" s="12">
        <v>0.0</v>
      </c>
      <c r="I501" s="2" t="s">
        <v>40</v>
      </c>
      <c r="J501" s="2"/>
      <c r="K501" s="2" t="s">
        <v>1287</v>
      </c>
      <c r="L501" s="12">
        <v>170.0</v>
      </c>
      <c r="M501" s="2" t="s">
        <v>1288</v>
      </c>
      <c r="N501" s="2" t="str">
        <f>IFERROR(__xludf.DUMMYFUNCTION("""COMPUTED_VALUE"""),"")</f>
        <v/>
      </c>
    </row>
    <row r="502">
      <c r="A502" s="2" t="s">
        <v>33</v>
      </c>
      <c r="B502" s="12">
        <v>507890.0</v>
      </c>
      <c r="C502" s="12">
        <v>509491.0</v>
      </c>
      <c r="D502" s="2"/>
      <c r="E502" s="2" t="s">
        <v>38</v>
      </c>
      <c r="F502" s="2" t="s">
        <v>256</v>
      </c>
      <c r="G502" s="2"/>
      <c r="H502" s="12">
        <v>0.0</v>
      </c>
      <c r="I502" s="2" t="s">
        <v>40</v>
      </c>
      <c r="J502" s="2"/>
      <c r="K502" s="2" t="s">
        <v>1289</v>
      </c>
      <c r="L502" s="12">
        <v>533.0</v>
      </c>
      <c r="M502" s="2" t="s">
        <v>1290</v>
      </c>
      <c r="N502" s="2" t="str">
        <f>IFERROR(__xludf.DUMMYFUNCTION("""COMPUTED_VALUE"""),"")</f>
        <v/>
      </c>
    </row>
    <row r="503">
      <c r="A503" s="2" t="s">
        <v>33</v>
      </c>
      <c r="B503" s="12">
        <v>510045.0</v>
      </c>
      <c r="C503" s="12">
        <v>510884.0</v>
      </c>
      <c r="D503" s="2"/>
      <c r="E503" s="2" t="s">
        <v>34</v>
      </c>
      <c r="F503" s="2" t="s">
        <v>1291</v>
      </c>
      <c r="G503" s="2"/>
      <c r="H503" s="12">
        <v>0.0</v>
      </c>
      <c r="I503" s="2" t="s">
        <v>40</v>
      </c>
      <c r="J503" s="2"/>
      <c r="K503" s="2" t="s">
        <v>1292</v>
      </c>
      <c r="L503" s="12">
        <v>279.0</v>
      </c>
      <c r="M503" s="2" t="s">
        <v>1293</v>
      </c>
      <c r="N503" s="2" t="str">
        <f>IFERROR(__xludf.DUMMYFUNCTION("""COMPUTED_VALUE"""),"")</f>
        <v/>
      </c>
    </row>
    <row r="504">
      <c r="A504" s="2" t="s">
        <v>33</v>
      </c>
      <c r="B504" s="12">
        <v>510981.0</v>
      </c>
      <c r="C504" s="12">
        <v>511190.0</v>
      </c>
      <c r="D504" s="2"/>
      <c r="E504" s="2" t="s">
        <v>38</v>
      </c>
      <c r="F504" s="2" t="s">
        <v>39</v>
      </c>
      <c r="G504" s="2"/>
      <c r="H504" s="12">
        <v>0.0</v>
      </c>
      <c r="I504" s="2" t="s">
        <v>40</v>
      </c>
      <c r="J504" s="2"/>
      <c r="K504" s="2" t="s">
        <v>1294</v>
      </c>
      <c r="L504" s="12">
        <v>69.0</v>
      </c>
      <c r="M504" s="2" t="s">
        <v>1295</v>
      </c>
      <c r="N504" s="2" t="str">
        <f>IFERROR(__xludf.DUMMYFUNCTION("""COMPUTED_VALUE"""),"")</f>
        <v/>
      </c>
    </row>
    <row r="505">
      <c r="A505" s="2" t="s">
        <v>33</v>
      </c>
      <c r="B505" s="12">
        <v>511409.0</v>
      </c>
      <c r="C505" s="12">
        <v>511561.0</v>
      </c>
      <c r="D505" s="2"/>
      <c r="E505" s="2" t="s">
        <v>38</v>
      </c>
      <c r="F505" s="2" t="s">
        <v>1296</v>
      </c>
      <c r="G505" s="2" t="s">
        <v>1297</v>
      </c>
      <c r="H505" s="12">
        <v>0.0</v>
      </c>
      <c r="I505" s="2" t="s">
        <v>40</v>
      </c>
      <c r="J505" s="2"/>
      <c r="K505" s="2" t="s">
        <v>1298</v>
      </c>
      <c r="L505" s="12">
        <v>50.0</v>
      </c>
      <c r="M505" s="2" t="s">
        <v>1299</v>
      </c>
      <c r="N505" s="2" t="str">
        <f>IFERROR(__xludf.DUMMYFUNCTION("""COMPUTED_VALUE"""),"")</f>
        <v/>
      </c>
    </row>
    <row r="506">
      <c r="A506" s="2" t="s">
        <v>33</v>
      </c>
      <c r="B506" s="12">
        <v>511770.0</v>
      </c>
      <c r="C506" s="12">
        <v>512663.0</v>
      </c>
      <c r="D506" s="2"/>
      <c r="E506" s="2" t="s">
        <v>34</v>
      </c>
      <c r="F506" s="2" t="s">
        <v>1300</v>
      </c>
      <c r="G506" s="2"/>
      <c r="H506" s="12">
        <v>0.0</v>
      </c>
      <c r="I506" s="2" t="s">
        <v>40</v>
      </c>
      <c r="J506" s="2"/>
      <c r="K506" s="2" t="s">
        <v>1301</v>
      </c>
      <c r="L506" s="12">
        <v>297.0</v>
      </c>
      <c r="M506" s="2" t="s">
        <v>1302</v>
      </c>
      <c r="N506" s="2" t="str">
        <f>IFERROR(__xludf.DUMMYFUNCTION("""COMPUTED_VALUE"""),"")</f>
        <v/>
      </c>
    </row>
    <row r="507">
      <c r="A507" s="2" t="s">
        <v>33</v>
      </c>
      <c r="B507" s="12">
        <v>512867.0</v>
      </c>
      <c r="C507" s="12">
        <v>513574.0</v>
      </c>
      <c r="D507" s="2"/>
      <c r="E507" s="2" t="s">
        <v>34</v>
      </c>
      <c r="F507" s="2" t="s">
        <v>1303</v>
      </c>
      <c r="G507" s="2" t="s">
        <v>1304</v>
      </c>
      <c r="H507" s="12">
        <v>0.0</v>
      </c>
      <c r="I507" s="2" t="s">
        <v>40</v>
      </c>
      <c r="J507" s="2"/>
      <c r="K507" s="2" t="s">
        <v>1305</v>
      </c>
      <c r="L507" s="12">
        <v>235.0</v>
      </c>
      <c r="M507" s="2" t="s">
        <v>1306</v>
      </c>
      <c r="N507" s="2" t="str">
        <f>IFERROR(__xludf.DUMMYFUNCTION("""COMPUTED_VALUE"""),"")</f>
        <v/>
      </c>
    </row>
    <row r="508">
      <c r="A508" s="2" t="s">
        <v>33</v>
      </c>
      <c r="B508" s="12">
        <v>513783.0</v>
      </c>
      <c r="C508" s="12">
        <v>516188.0</v>
      </c>
      <c r="D508" s="2"/>
      <c r="E508" s="2" t="s">
        <v>34</v>
      </c>
      <c r="F508" s="2" t="s">
        <v>1307</v>
      </c>
      <c r="G508" s="2" t="s">
        <v>1308</v>
      </c>
      <c r="H508" s="12">
        <v>0.0</v>
      </c>
      <c r="I508" s="2" t="s">
        <v>40</v>
      </c>
      <c r="J508" s="2"/>
      <c r="K508" s="2" t="s">
        <v>1309</v>
      </c>
      <c r="L508" s="12">
        <v>801.0</v>
      </c>
      <c r="M508" s="2" t="s">
        <v>1310</v>
      </c>
      <c r="N508" s="2" t="str">
        <f>IFERROR(__xludf.DUMMYFUNCTION("""COMPUTED_VALUE"""),"")</f>
        <v/>
      </c>
    </row>
    <row r="509">
      <c r="A509" s="2" t="s">
        <v>33</v>
      </c>
      <c r="B509" s="12">
        <v>516204.0</v>
      </c>
      <c r="C509" s="12">
        <v>516521.0</v>
      </c>
      <c r="D509" s="2"/>
      <c r="E509" s="2" t="s">
        <v>34</v>
      </c>
      <c r="F509" s="2" t="s">
        <v>1311</v>
      </c>
      <c r="G509" s="2" t="s">
        <v>1312</v>
      </c>
      <c r="H509" s="12">
        <v>0.0</v>
      </c>
      <c r="I509" s="2" t="s">
        <v>40</v>
      </c>
      <c r="J509" s="2"/>
      <c r="K509" s="2" t="s">
        <v>1313</v>
      </c>
      <c r="L509" s="12">
        <v>105.0</v>
      </c>
      <c r="M509" s="2" t="s">
        <v>1314</v>
      </c>
      <c r="N509" s="2" t="str">
        <f>IFERROR(__xludf.DUMMYFUNCTION("""COMPUTED_VALUE"""),"")</f>
        <v/>
      </c>
    </row>
    <row r="510">
      <c r="A510" s="2" t="s">
        <v>33</v>
      </c>
      <c r="B510" s="12">
        <v>516580.0</v>
      </c>
      <c r="C510" s="12">
        <v>518004.0</v>
      </c>
      <c r="D510" s="2"/>
      <c r="E510" s="2" t="s">
        <v>34</v>
      </c>
      <c r="F510" s="2" t="s">
        <v>1315</v>
      </c>
      <c r="G510" s="2"/>
      <c r="H510" s="12">
        <v>0.0</v>
      </c>
      <c r="I510" s="2" t="s">
        <v>40</v>
      </c>
      <c r="J510" s="2"/>
      <c r="K510" s="2" t="s">
        <v>1316</v>
      </c>
      <c r="L510" s="12">
        <v>474.0</v>
      </c>
      <c r="M510" s="2" t="s">
        <v>1317</v>
      </c>
      <c r="N510" s="2" t="str">
        <f>IFERROR(__xludf.DUMMYFUNCTION("""COMPUTED_VALUE"""),"")</f>
        <v/>
      </c>
    </row>
    <row r="511">
      <c r="A511" s="2" t="s">
        <v>33</v>
      </c>
      <c r="B511" s="12">
        <v>518001.0</v>
      </c>
      <c r="C511" s="12">
        <v>518711.0</v>
      </c>
      <c r="D511" s="2"/>
      <c r="E511" s="2" t="s">
        <v>34</v>
      </c>
      <c r="F511" s="2" t="s">
        <v>1318</v>
      </c>
      <c r="G511" s="2"/>
      <c r="H511" s="12">
        <v>0.0</v>
      </c>
      <c r="I511" s="2" t="s">
        <v>40</v>
      </c>
      <c r="J511" s="2"/>
      <c r="K511" s="2" t="s">
        <v>1319</v>
      </c>
      <c r="L511" s="12">
        <v>236.0</v>
      </c>
      <c r="M511" s="2" t="s">
        <v>1320</v>
      </c>
      <c r="N511" s="2" t="str">
        <f>IFERROR(__xludf.DUMMYFUNCTION("""COMPUTED_VALUE"""),"")</f>
        <v/>
      </c>
    </row>
    <row r="512">
      <c r="A512" s="2" t="s">
        <v>33</v>
      </c>
      <c r="B512" s="12">
        <v>518704.0</v>
      </c>
      <c r="C512" s="12">
        <v>519177.0</v>
      </c>
      <c r="D512" s="2"/>
      <c r="E512" s="2" t="s">
        <v>34</v>
      </c>
      <c r="F512" s="2" t="s">
        <v>1321</v>
      </c>
      <c r="G512" s="2"/>
      <c r="H512" s="12">
        <v>0.0</v>
      </c>
      <c r="I512" s="2" t="s">
        <v>40</v>
      </c>
      <c r="J512" s="2"/>
      <c r="K512" s="2" t="s">
        <v>1322</v>
      </c>
      <c r="L512" s="12">
        <v>157.0</v>
      </c>
      <c r="M512" s="2" t="s">
        <v>1323</v>
      </c>
      <c r="N512" s="2" t="str">
        <f>IFERROR(__xludf.DUMMYFUNCTION("""COMPUTED_VALUE"""),"")</f>
        <v/>
      </c>
    </row>
    <row r="513">
      <c r="A513" s="2" t="s">
        <v>33</v>
      </c>
      <c r="B513" s="12">
        <v>519364.0</v>
      </c>
      <c r="C513" s="12">
        <v>519783.0</v>
      </c>
      <c r="D513" s="2"/>
      <c r="E513" s="2" t="s">
        <v>38</v>
      </c>
      <c r="F513" s="2" t="s">
        <v>1324</v>
      </c>
      <c r="G513" s="2"/>
      <c r="H513" s="12">
        <v>0.0</v>
      </c>
      <c r="I513" s="2" t="s">
        <v>40</v>
      </c>
      <c r="J513" s="2"/>
      <c r="K513" s="2" t="s">
        <v>1325</v>
      </c>
      <c r="L513" s="12">
        <v>139.0</v>
      </c>
      <c r="M513" s="2" t="s">
        <v>1326</v>
      </c>
      <c r="N513" s="2" t="str">
        <f>IFERROR(__xludf.DUMMYFUNCTION("""COMPUTED_VALUE"""),"")</f>
        <v/>
      </c>
    </row>
    <row r="514">
      <c r="A514" s="2" t="s">
        <v>33</v>
      </c>
      <c r="B514" s="12">
        <v>520009.0</v>
      </c>
      <c r="C514" s="12">
        <v>520926.0</v>
      </c>
      <c r="D514" s="2"/>
      <c r="E514" s="2" t="s">
        <v>38</v>
      </c>
      <c r="F514" s="2" t="s">
        <v>1327</v>
      </c>
      <c r="G514" s="2"/>
      <c r="H514" s="12">
        <v>0.0</v>
      </c>
      <c r="I514" s="2" t="s">
        <v>40</v>
      </c>
      <c r="J514" s="2"/>
      <c r="K514" s="2" t="s">
        <v>1328</v>
      </c>
      <c r="L514" s="12">
        <v>305.0</v>
      </c>
      <c r="M514" s="2" t="s">
        <v>1329</v>
      </c>
      <c r="N514" s="2" t="str">
        <f>IFERROR(__xludf.DUMMYFUNCTION("""COMPUTED_VALUE"""),"")</f>
        <v/>
      </c>
    </row>
    <row r="515">
      <c r="A515" s="2" t="s">
        <v>33</v>
      </c>
      <c r="B515" s="12">
        <v>521227.0</v>
      </c>
      <c r="C515" s="12">
        <v>521355.0</v>
      </c>
      <c r="D515" s="2"/>
      <c r="E515" s="2" t="s">
        <v>38</v>
      </c>
      <c r="F515" s="2" t="s">
        <v>35</v>
      </c>
      <c r="G515" s="2"/>
      <c r="H515" s="12">
        <v>0.0</v>
      </c>
      <c r="I515" s="2" t="s">
        <v>36</v>
      </c>
      <c r="J515" s="2"/>
      <c r="K515" s="2"/>
      <c r="L515" s="2"/>
      <c r="M515" s="2" t="s">
        <v>1330</v>
      </c>
      <c r="N515" s="2" t="str">
        <f>IFERROR(__xludf.DUMMYFUNCTION("""COMPUTED_VALUE"""),"")</f>
        <v/>
      </c>
    </row>
    <row r="516">
      <c r="A516" s="2" t="s">
        <v>33</v>
      </c>
      <c r="B516" s="12">
        <v>521630.0</v>
      </c>
      <c r="C516" s="12">
        <v>522799.0</v>
      </c>
      <c r="D516" s="2"/>
      <c r="E516" s="2" t="s">
        <v>38</v>
      </c>
      <c r="F516" s="2" t="s">
        <v>1331</v>
      </c>
      <c r="G516" s="2" t="s">
        <v>1332</v>
      </c>
      <c r="H516" s="12">
        <v>0.0</v>
      </c>
      <c r="I516" s="2" t="s">
        <v>40</v>
      </c>
      <c r="J516" s="2"/>
      <c r="K516" s="2" t="s">
        <v>1333</v>
      </c>
      <c r="L516" s="12">
        <v>389.0</v>
      </c>
      <c r="M516" s="2" t="s">
        <v>1334</v>
      </c>
      <c r="N516" s="2" t="str">
        <f>IFERROR(__xludf.DUMMYFUNCTION("""COMPUTED_VALUE"""),"")</f>
        <v/>
      </c>
    </row>
    <row r="517">
      <c r="A517" s="2" t="s">
        <v>33</v>
      </c>
      <c r="B517" s="12">
        <v>522880.0</v>
      </c>
      <c r="C517" s="12">
        <v>523113.0</v>
      </c>
      <c r="D517" s="2"/>
      <c r="E517" s="2" t="s">
        <v>38</v>
      </c>
      <c r="F517" s="2" t="s">
        <v>1335</v>
      </c>
      <c r="G517" s="2" t="s">
        <v>1336</v>
      </c>
      <c r="H517" s="12">
        <v>0.0</v>
      </c>
      <c r="I517" s="2" t="s">
        <v>40</v>
      </c>
      <c r="J517" s="2"/>
      <c r="K517" s="2" t="s">
        <v>1337</v>
      </c>
      <c r="L517" s="12">
        <v>77.0</v>
      </c>
      <c r="M517" s="2" t="s">
        <v>1338</v>
      </c>
      <c r="N517" s="2" t="str">
        <f>IFERROR(__xludf.DUMMYFUNCTION("""COMPUTED_VALUE"""),"")</f>
        <v/>
      </c>
    </row>
    <row r="518">
      <c r="A518" s="2" t="s">
        <v>33</v>
      </c>
      <c r="B518" s="12">
        <v>523110.0</v>
      </c>
      <c r="C518" s="12">
        <v>523580.0</v>
      </c>
      <c r="D518" s="2"/>
      <c r="E518" s="2" t="s">
        <v>38</v>
      </c>
      <c r="F518" s="2" t="s">
        <v>1339</v>
      </c>
      <c r="G518" s="2" t="s">
        <v>1340</v>
      </c>
      <c r="H518" s="12">
        <v>0.0</v>
      </c>
      <c r="I518" s="2" t="s">
        <v>40</v>
      </c>
      <c r="J518" s="2"/>
      <c r="K518" s="2" t="s">
        <v>1341</v>
      </c>
      <c r="L518" s="12">
        <v>156.0</v>
      </c>
      <c r="M518" s="2" t="s">
        <v>1342</v>
      </c>
      <c r="N518" s="2" t="str">
        <f>IFERROR(__xludf.DUMMYFUNCTION("""COMPUTED_VALUE"""),"")</f>
        <v/>
      </c>
    </row>
    <row r="519">
      <c r="A519" s="2" t="s">
        <v>33</v>
      </c>
      <c r="B519" s="12">
        <v>523625.0</v>
      </c>
      <c r="C519" s="12">
        <v>524914.0</v>
      </c>
      <c r="D519" s="2"/>
      <c r="E519" s="2" t="s">
        <v>38</v>
      </c>
      <c r="F519" s="2" t="s">
        <v>1343</v>
      </c>
      <c r="G519" s="2" t="s">
        <v>1344</v>
      </c>
      <c r="H519" s="12">
        <v>0.0</v>
      </c>
      <c r="I519" s="2" t="s">
        <v>40</v>
      </c>
      <c r="J519" s="2"/>
      <c r="K519" s="2" t="s">
        <v>1345</v>
      </c>
      <c r="L519" s="12">
        <v>429.0</v>
      </c>
      <c r="M519" s="2" t="s">
        <v>1346</v>
      </c>
      <c r="N519" s="2" t="str">
        <f>IFERROR(__xludf.DUMMYFUNCTION("""COMPUTED_VALUE"""),"")</f>
        <v/>
      </c>
    </row>
    <row r="520">
      <c r="A520" s="2" t="s">
        <v>33</v>
      </c>
      <c r="B520" s="12">
        <v>524956.0</v>
      </c>
      <c r="C520" s="12">
        <v>525969.0</v>
      </c>
      <c r="D520" s="2"/>
      <c r="E520" s="2" t="s">
        <v>38</v>
      </c>
      <c r="F520" s="2" t="s">
        <v>1347</v>
      </c>
      <c r="G520" s="2"/>
      <c r="H520" s="12">
        <v>0.0</v>
      </c>
      <c r="I520" s="2" t="s">
        <v>40</v>
      </c>
      <c r="J520" s="2"/>
      <c r="K520" s="2" t="s">
        <v>1348</v>
      </c>
      <c r="L520" s="12">
        <v>337.0</v>
      </c>
      <c r="M520" s="2" t="s">
        <v>1349</v>
      </c>
      <c r="N520" s="2" t="str">
        <f>IFERROR(__xludf.DUMMYFUNCTION("""COMPUTED_VALUE"""),"")</f>
        <v/>
      </c>
    </row>
    <row r="521">
      <c r="A521" s="2" t="s">
        <v>33</v>
      </c>
      <c r="B521" s="12">
        <v>525987.0</v>
      </c>
      <c r="C521" s="12">
        <v>527000.0</v>
      </c>
      <c r="D521" s="2"/>
      <c r="E521" s="2" t="s">
        <v>38</v>
      </c>
      <c r="F521" s="2" t="s">
        <v>1350</v>
      </c>
      <c r="G521" s="2" t="s">
        <v>1351</v>
      </c>
      <c r="H521" s="12">
        <v>0.0</v>
      </c>
      <c r="I521" s="2" t="s">
        <v>40</v>
      </c>
      <c r="J521" s="2"/>
      <c r="K521" s="2" t="s">
        <v>1352</v>
      </c>
      <c r="L521" s="12">
        <v>337.0</v>
      </c>
      <c r="M521" s="2" t="s">
        <v>1353</v>
      </c>
      <c r="N521" s="2" t="str">
        <f>IFERROR(__xludf.DUMMYFUNCTION("""COMPUTED_VALUE"""),"")</f>
        <v/>
      </c>
    </row>
    <row r="522">
      <c r="A522" s="2" t="s">
        <v>33</v>
      </c>
      <c r="B522" s="12">
        <v>527279.0</v>
      </c>
      <c r="C522" s="12">
        <v>527971.0</v>
      </c>
      <c r="D522" s="2"/>
      <c r="E522" s="2" t="s">
        <v>34</v>
      </c>
      <c r="F522" s="2" t="s">
        <v>770</v>
      </c>
      <c r="G522" s="2"/>
      <c r="H522" s="12">
        <v>0.0</v>
      </c>
      <c r="I522" s="2" t="s">
        <v>40</v>
      </c>
      <c r="J522" s="2"/>
      <c r="K522" s="2" t="s">
        <v>1354</v>
      </c>
      <c r="L522" s="12">
        <v>230.0</v>
      </c>
      <c r="M522" s="2" t="s">
        <v>1355</v>
      </c>
      <c r="N522" s="2" t="str">
        <f>IFERROR(__xludf.DUMMYFUNCTION("""COMPUTED_VALUE"""),"")</f>
        <v/>
      </c>
    </row>
    <row r="523">
      <c r="A523" s="2" t="s">
        <v>33</v>
      </c>
      <c r="B523" s="12">
        <v>528060.0</v>
      </c>
      <c r="C523" s="12">
        <v>528755.0</v>
      </c>
      <c r="D523" s="2"/>
      <c r="E523" s="2" t="s">
        <v>38</v>
      </c>
      <c r="F523" s="2" t="s">
        <v>1356</v>
      </c>
      <c r="G523" s="2" t="s">
        <v>1357</v>
      </c>
      <c r="H523" s="12">
        <v>0.0</v>
      </c>
      <c r="I523" s="2" t="s">
        <v>40</v>
      </c>
      <c r="J523" s="2"/>
      <c r="K523" s="2" t="s">
        <v>1358</v>
      </c>
      <c r="L523" s="12">
        <v>231.0</v>
      </c>
      <c r="M523" s="2" t="s">
        <v>1359</v>
      </c>
      <c r="N523" s="2" t="str">
        <f>IFERROR(__xludf.DUMMYFUNCTION("""COMPUTED_VALUE"""),"")</f>
        <v/>
      </c>
    </row>
    <row r="524">
      <c r="A524" s="2" t="s">
        <v>33</v>
      </c>
      <c r="B524" s="12">
        <v>528773.0</v>
      </c>
      <c r="C524" s="12">
        <v>529303.0</v>
      </c>
      <c r="D524" s="2"/>
      <c r="E524" s="2" t="s">
        <v>38</v>
      </c>
      <c r="F524" s="2" t="s">
        <v>1360</v>
      </c>
      <c r="G524" s="2" t="s">
        <v>1361</v>
      </c>
      <c r="H524" s="12">
        <v>0.0</v>
      </c>
      <c r="I524" s="2" t="s">
        <v>40</v>
      </c>
      <c r="J524" s="2"/>
      <c r="K524" s="2" t="s">
        <v>1362</v>
      </c>
      <c r="L524" s="12">
        <v>176.0</v>
      </c>
      <c r="M524" s="2" t="s">
        <v>1363</v>
      </c>
      <c r="N524" s="2" t="str">
        <f>IFERROR(__xludf.DUMMYFUNCTION("""COMPUTED_VALUE"""),"")</f>
        <v/>
      </c>
    </row>
    <row r="525">
      <c r="A525" s="2" t="s">
        <v>33</v>
      </c>
      <c r="B525" s="12">
        <v>529323.0</v>
      </c>
      <c r="C525" s="12">
        <v>530798.0</v>
      </c>
      <c r="D525" s="2"/>
      <c r="E525" s="2" t="s">
        <v>38</v>
      </c>
      <c r="F525" s="2" t="s">
        <v>1364</v>
      </c>
      <c r="G525" s="2" t="s">
        <v>1365</v>
      </c>
      <c r="H525" s="12">
        <v>0.0</v>
      </c>
      <c r="I525" s="2" t="s">
        <v>40</v>
      </c>
      <c r="J525" s="2"/>
      <c r="K525" s="2" t="s">
        <v>1366</v>
      </c>
      <c r="L525" s="12">
        <v>491.0</v>
      </c>
      <c r="M525" s="2" t="s">
        <v>1367</v>
      </c>
      <c r="N525" s="2" t="str">
        <f>IFERROR(__xludf.DUMMYFUNCTION("""COMPUTED_VALUE"""),"")</f>
        <v/>
      </c>
    </row>
    <row r="526">
      <c r="A526" s="2" t="s">
        <v>33</v>
      </c>
      <c r="B526" s="12">
        <v>530788.0</v>
      </c>
      <c r="C526" s="12">
        <v>534471.0</v>
      </c>
      <c r="D526" s="2"/>
      <c r="E526" s="2" t="s">
        <v>38</v>
      </c>
      <c r="F526" s="2" t="s">
        <v>1368</v>
      </c>
      <c r="G526" s="2"/>
      <c r="H526" s="12">
        <v>0.0</v>
      </c>
      <c r="I526" s="2" t="s">
        <v>40</v>
      </c>
      <c r="J526" s="2"/>
      <c r="K526" s="2" t="s">
        <v>1369</v>
      </c>
      <c r="L526" s="12">
        <v>1227.0</v>
      </c>
      <c r="M526" s="2" t="s">
        <v>1370</v>
      </c>
      <c r="N526" s="2" t="str">
        <f>IFERROR(__xludf.DUMMYFUNCTION("""COMPUTED_VALUE"""),"")</f>
        <v/>
      </c>
    </row>
    <row r="527">
      <c r="A527" s="2" t="s">
        <v>33</v>
      </c>
      <c r="B527" s="12">
        <v>534976.0</v>
      </c>
      <c r="C527" s="12">
        <v>535938.0</v>
      </c>
      <c r="D527" s="2"/>
      <c r="E527" s="2" t="s">
        <v>34</v>
      </c>
      <c r="F527" s="2" t="s">
        <v>1371</v>
      </c>
      <c r="G527" s="2"/>
      <c r="H527" s="12">
        <v>0.0</v>
      </c>
      <c r="I527" s="2" t="s">
        <v>40</v>
      </c>
      <c r="J527" s="2"/>
      <c r="K527" s="2" t="s">
        <v>1372</v>
      </c>
      <c r="L527" s="12">
        <v>320.0</v>
      </c>
      <c r="M527" s="2" t="s">
        <v>1373</v>
      </c>
      <c r="N527" s="2" t="str">
        <f>IFERROR(__xludf.DUMMYFUNCTION("""COMPUTED_VALUE"""),"")</f>
        <v/>
      </c>
    </row>
    <row r="528">
      <c r="A528" s="2" t="s">
        <v>33</v>
      </c>
      <c r="B528" s="12">
        <v>535938.0</v>
      </c>
      <c r="C528" s="12">
        <v>537152.0</v>
      </c>
      <c r="D528" s="2"/>
      <c r="E528" s="2" t="s">
        <v>34</v>
      </c>
      <c r="F528" s="2" t="s">
        <v>1374</v>
      </c>
      <c r="G528" s="2"/>
      <c r="H528" s="12">
        <v>0.0</v>
      </c>
      <c r="I528" s="2" t="s">
        <v>40</v>
      </c>
      <c r="J528" s="2"/>
      <c r="K528" s="2" t="s">
        <v>1375</v>
      </c>
      <c r="L528" s="12">
        <v>404.0</v>
      </c>
      <c r="M528" s="2" t="s">
        <v>1376</v>
      </c>
      <c r="N528" s="2" t="str">
        <f>IFERROR(__xludf.DUMMYFUNCTION("""COMPUTED_VALUE"""),"")</f>
        <v/>
      </c>
    </row>
    <row r="529">
      <c r="A529" s="2" t="s">
        <v>33</v>
      </c>
      <c r="B529" s="12">
        <v>537149.0</v>
      </c>
      <c r="C529" s="12">
        <v>539377.0</v>
      </c>
      <c r="D529" s="2"/>
      <c r="E529" s="2" t="s">
        <v>34</v>
      </c>
      <c r="F529" s="2" t="s">
        <v>1377</v>
      </c>
      <c r="G529" s="2"/>
      <c r="H529" s="12">
        <v>0.0</v>
      </c>
      <c r="I529" s="2" t="s">
        <v>40</v>
      </c>
      <c r="J529" s="2"/>
      <c r="K529" s="2" t="s">
        <v>1378</v>
      </c>
      <c r="L529" s="12">
        <v>742.0</v>
      </c>
      <c r="M529" s="2" t="s">
        <v>1379</v>
      </c>
      <c r="N529" s="2" t="str">
        <f>IFERROR(__xludf.DUMMYFUNCTION("""COMPUTED_VALUE"""),"")</f>
        <v/>
      </c>
    </row>
    <row r="530">
      <c r="A530" s="2" t="s">
        <v>33</v>
      </c>
      <c r="B530" s="12">
        <v>539461.0</v>
      </c>
      <c r="C530" s="12">
        <v>539943.0</v>
      </c>
      <c r="D530" s="2"/>
      <c r="E530" s="2" t="s">
        <v>38</v>
      </c>
      <c r="F530" s="2" t="s">
        <v>1380</v>
      </c>
      <c r="G530" s="2" t="s">
        <v>1381</v>
      </c>
      <c r="H530" s="12">
        <v>0.0</v>
      </c>
      <c r="I530" s="2" t="s">
        <v>40</v>
      </c>
      <c r="J530" s="2"/>
      <c r="K530" s="2" t="s">
        <v>1382</v>
      </c>
      <c r="L530" s="12">
        <v>160.0</v>
      </c>
      <c r="M530" s="2" t="s">
        <v>1383</v>
      </c>
      <c r="N530" s="2" t="str">
        <f>IFERROR(__xludf.DUMMYFUNCTION("""COMPUTED_VALUE"""),"")</f>
        <v/>
      </c>
    </row>
    <row r="531">
      <c r="A531" s="2" t="s">
        <v>33</v>
      </c>
      <c r="B531" s="12">
        <v>540168.0</v>
      </c>
      <c r="C531" s="12">
        <v>540377.0</v>
      </c>
      <c r="D531" s="2"/>
      <c r="E531" s="2" t="s">
        <v>34</v>
      </c>
      <c r="F531" s="2" t="s">
        <v>1384</v>
      </c>
      <c r="G531" s="2"/>
      <c r="H531" s="12">
        <v>0.0</v>
      </c>
      <c r="I531" s="2" t="s">
        <v>40</v>
      </c>
      <c r="J531" s="2"/>
      <c r="K531" s="2" t="s">
        <v>1385</v>
      </c>
      <c r="L531" s="12">
        <v>69.0</v>
      </c>
      <c r="M531" s="2" t="s">
        <v>1386</v>
      </c>
      <c r="N531" s="2" t="str">
        <f>IFERROR(__xludf.DUMMYFUNCTION("""COMPUTED_VALUE"""),"")</f>
        <v/>
      </c>
    </row>
    <row r="532">
      <c r="A532" s="2" t="s">
        <v>33</v>
      </c>
      <c r="B532" s="12">
        <v>540473.0</v>
      </c>
      <c r="C532" s="12">
        <v>541444.0</v>
      </c>
      <c r="D532" s="2"/>
      <c r="E532" s="2" t="s">
        <v>34</v>
      </c>
      <c r="F532" s="2" t="s">
        <v>599</v>
      </c>
      <c r="G532" s="2"/>
      <c r="H532" s="12">
        <v>0.0</v>
      </c>
      <c r="I532" s="2" t="s">
        <v>40</v>
      </c>
      <c r="J532" s="2"/>
      <c r="K532" s="2" t="s">
        <v>1387</v>
      </c>
      <c r="L532" s="12">
        <v>323.0</v>
      </c>
      <c r="M532" s="2" t="s">
        <v>1388</v>
      </c>
      <c r="N532" s="2" t="str">
        <f>IFERROR(__xludf.DUMMYFUNCTION("""COMPUTED_VALUE"""),"")</f>
        <v/>
      </c>
    </row>
    <row r="533">
      <c r="A533" s="2" t="s">
        <v>33</v>
      </c>
      <c r="B533" s="12">
        <v>541530.0</v>
      </c>
      <c r="C533" s="12">
        <v>541964.0</v>
      </c>
      <c r="D533" s="2"/>
      <c r="E533" s="2" t="s">
        <v>34</v>
      </c>
      <c r="F533" s="2" t="s">
        <v>39</v>
      </c>
      <c r="G533" s="2"/>
      <c r="H533" s="12">
        <v>0.0</v>
      </c>
      <c r="I533" s="2" t="s">
        <v>40</v>
      </c>
      <c r="J533" s="2"/>
      <c r="K533" s="2" t="s">
        <v>1389</v>
      </c>
      <c r="L533" s="12">
        <v>144.0</v>
      </c>
      <c r="M533" s="2" t="s">
        <v>1390</v>
      </c>
      <c r="N533" s="2" t="str">
        <f>IFERROR(__xludf.DUMMYFUNCTION("""COMPUTED_VALUE"""),"")</f>
        <v/>
      </c>
    </row>
    <row r="534">
      <c r="A534" s="2" t="s">
        <v>33</v>
      </c>
      <c r="B534" s="12">
        <v>542075.0</v>
      </c>
      <c r="C534" s="12">
        <v>544021.0</v>
      </c>
      <c r="D534" s="2"/>
      <c r="E534" s="2" t="s">
        <v>34</v>
      </c>
      <c r="F534" s="2" t="s">
        <v>1391</v>
      </c>
      <c r="G534" s="2"/>
      <c r="H534" s="12">
        <v>0.0</v>
      </c>
      <c r="I534" s="2" t="s">
        <v>40</v>
      </c>
      <c r="J534" s="2"/>
      <c r="K534" s="2" t="s">
        <v>1392</v>
      </c>
      <c r="L534" s="12">
        <v>648.0</v>
      </c>
      <c r="M534" s="2" t="s">
        <v>1393</v>
      </c>
      <c r="N534" s="2" t="str">
        <f>IFERROR(__xludf.DUMMYFUNCTION("""COMPUTED_VALUE"""),"")</f>
        <v/>
      </c>
    </row>
    <row r="535">
      <c r="A535" s="2" t="s">
        <v>33</v>
      </c>
      <c r="B535" s="12">
        <v>544125.0</v>
      </c>
      <c r="C535" s="12">
        <v>544805.0</v>
      </c>
      <c r="D535" s="2"/>
      <c r="E535" s="2" t="s">
        <v>38</v>
      </c>
      <c r="F535" s="2" t="s">
        <v>1394</v>
      </c>
      <c r="G535" s="2"/>
      <c r="H535" s="12">
        <v>0.0</v>
      </c>
      <c r="I535" s="2" t="s">
        <v>40</v>
      </c>
      <c r="J535" s="2"/>
      <c r="K535" s="2" t="s">
        <v>1395</v>
      </c>
      <c r="L535" s="12">
        <v>226.0</v>
      </c>
      <c r="M535" s="2" t="s">
        <v>1396</v>
      </c>
      <c r="N535" s="2" t="str">
        <f>IFERROR(__xludf.DUMMYFUNCTION("""COMPUTED_VALUE"""),"")</f>
        <v/>
      </c>
    </row>
    <row r="536">
      <c r="A536" s="2" t="s">
        <v>33</v>
      </c>
      <c r="B536" s="12">
        <v>544802.0</v>
      </c>
      <c r="C536" s="12">
        <v>545380.0</v>
      </c>
      <c r="D536" s="2"/>
      <c r="E536" s="2" t="s">
        <v>38</v>
      </c>
      <c r="F536" s="2" t="s">
        <v>651</v>
      </c>
      <c r="G536" s="2"/>
      <c r="H536" s="12">
        <v>0.0</v>
      </c>
      <c r="I536" s="2" t="s">
        <v>40</v>
      </c>
      <c r="J536" s="2"/>
      <c r="K536" s="2" t="s">
        <v>1397</v>
      </c>
      <c r="L536" s="12">
        <v>192.0</v>
      </c>
      <c r="M536" s="2" t="s">
        <v>1398</v>
      </c>
      <c r="N536" s="2" t="str">
        <f>IFERROR(__xludf.DUMMYFUNCTION("""COMPUTED_VALUE"""),"")</f>
        <v/>
      </c>
    </row>
    <row r="537">
      <c r="A537" s="2" t="s">
        <v>33</v>
      </c>
      <c r="B537" s="12">
        <v>545589.0</v>
      </c>
      <c r="C537" s="12">
        <v>546575.0</v>
      </c>
      <c r="D537" s="2"/>
      <c r="E537" s="2" t="s">
        <v>34</v>
      </c>
      <c r="F537" s="2" t="s">
        <v>1399</v>
      </c>
      <c r="G537" s="2"/>
      <c r="H537" s="12">
        <v>0.0</v>
      </c>
      <c r="I537" s="2" t="s">
        <v>40</v>
      </c>
      <c r="J537" s="2"/>
      <c r="K537" s="2" t="s">
        <v>1400</v>
      </c>
      <c r="L537" s="12">
        <v>328.0</v>
      </c>
      <c r="M537" s="2" t="s">
        <v>1401</v>
      </c>
      <c r="N537" s="2" t="str">
        <f>IFERROR(__xludf.DUMMYFUNCTION("""COMPUTED_VALUE"""),"")</f>
        <v/>
      </c>
    </row>
    <row r="538">
      <c r="A538" s="2" t="s">
        <v>33</v>
      </c>
      <c r="B538" s="12">
        <v>546605.0</v>
      </c>
      <c r="C538" s="12">
        <v>547243.0</v>
      </c>
      <c r="D538" s="2"/>
      <c r="E538" s="2" t="s">
        <v>34</v>
      </c>
      <c r="F538" s="2" t="s">
        <v>1402</v>
      </c>
      <c r="G538" s="2"/>
      <c r="H538" s="12">
        <v>0.0</v>
      </c>
      <c r="I538" s="2" t="s">
        <v>40</v>
      </c>
      <c r="J538" s="2"/>
      <c r="K538" s="2" t="s">
        <v>1403</v>
      </c>
      <c r="L538" s="12">
        <v>212.0</v>
      </c>
      <c r="M538" s="2" t="s">
        <v>1404</v>
      </c>
      <c r="N538" s="2" t="str">
        <f>IFERROR(__xludf.DUMMYFUNCTION("""COMPUTED_VALUE"""),"")</f>
        <v/>
      </c>
    </row>
    <row r="539">
      <c r="A539" s="2" t="s">
        <v>33</v>
      </c>
      <c r="B539" s="12">
        <v>547289.0</v>
      </c>
      <c r="C539" s="12">
        <v>547672.0</v>
      </c>
      <c r="D539" s="2"/>
      <c r="E539" s="2" t="s">
        <v>38</v>
      </c>
      <c r="F539" s="2" t="s">
        <v>541</v>
      </c>
      <c r="G539" s="2"/>
      <c r="H539" s="12">
        <v>0.0</v>
      </c>
      <c r="I539" s="2" t="s">
        <v>40</v>
      </c>
      <c r="J539" s="2"/>
      <c r="K539" s="2" t="s">
        <v>1405</v>
      </c>
      <c r="L539" s="12">
        <v>127.0</v>
      </c>
      <c r="M539" s="2" t="s">
        <v>1406</v>
      </c>
      <c r="N539" s="2" t="str">
        <f>IFERROR(__xludf.DUMMYFUNCTION("""COMPUTED_VALUE"""),"")</f>
        <v/>
      </c>
    </row>
    <row r="540">
      <c r="A540" s="2" t="s">
        <v>33</v>
      </c>
      <c r="B540" s="12">
        <v>547728.0</v>
      </c>
      <c r="C540" s="12">
        <v>548537.0</v>
      </c>
      <c r="D540" s="2"/>
      <c r="E540" s="2" t="s">
        <v>38</v>
      </c>
      <c r="F540" s="2" t="s">
        <v>1407</v>
      </c>
      <c r="G540" s="2"/>
      <c r="H540" s="12">
        <v>0.0</v>
      </c>
      <c r="I540" s="2" t="s">
        <v>40</v>
      </c>
      <c r="J540" s="2"/>
      <c r="K540" s="2" t="s">
        <v>1408</v>
      </c>
      <c r="L540" s="12">
        <v>269.0</v>
      </c>
      <c r="M540" s="2" t="s">
        <v>1409</v>
      </c>
      <c r="N540" s="2" t="str">
        <f>IFERROR(__xludf.DUMMYFUNCTION("""COMPUTED_VALUE"""),"")</f>
        <v/>
      </c>
    </row>
    <row r="541">
      <c r="A541" s="2" t="s">
        <v>33</v>
      </c>
      <c r="B541" s="12">
        <v>548756.0</v>
      </c>
      <c r="C541" s="12">
        <v>549925.0</v>
      </c>
      <c r="D541" s="2"/>
      <c r="E541" s="2" t="s">
        <v>38</v>
      </c>
      <c r="F541" s="2" t="s">
        <v>594</v>
      </c>
      <c r="G541" s="2"/>
      <c r="H541" s="12">
        <v>0.0</v>
      </c>
      <c r="I541" s="2" t="s">
        <v>40</v>
      </c>
      <c r="J541" s="2"/>
      <c r="K541" s="2" t="s">
        <v>1410</v>
      </c>
      <c r="L541" s="12">
        <v>389.0</v>
      </c>
      <c r="M541" s="2" t="s">
        <v>1411</v>
      </c>
      <c r="N541" s="2" t="str">
        <f>IFERROR(__xludf.DUMMYFUNCTION("""COMPUTED_VALUE"""),"")</f>
        <v/>
      </c>
    </row>
    <row r="542">
      <c r="A542" s="2" t="s">
        <v>33</v>
      </c>
      <c r="B542" s="12">
        <v>549945.0</v>
      </c>
      <c r="C542" s="12">
        <v>550472.0</v>
      </c>
      <c r="D542" s="2"/>
      <c r="E542" s="2" t="s">
        <v>38</v>
      </c>
      <c r="F542" s="2" t="s">
        <v>39</v>
      </c>
      <c r="G542" s="2"/>
      <c r="H542" s="12">
        <v>0.0</v>
      </c>
      <c r="I542" s="2" t="s">
        <v>40</v>
      </c>
      <c r="J542" s="2"/>
      <c r="K542" s="2" t="s">
        <v>1412</v>
      </c>
      <c r="L542" s="12">
        <v>175.0</v>
      </c>
      <c r="M542" s="2" t="s">
        <v>1413</v>
      </c>
      <c r="N542" s="2" t="str">
        <f>IFERROR(__xludf.DUMMYFUNCTION("""COMPUTED_VALUE"""),"")</f>
        <v/>
      </c>
    </row>
    <row r="543">
      <c r="A543" s="2" t="s">
        <v>33</v>
      </c>
      <c r="B543" s="12">
        <v>550563.0</v>
      </c>
      <c r="C543" s="12">
        <v>552251.0</v>
      </c>
      <c r="D543" s="2"/>
      <c r="E543" s="2" t="s">
        <v>38</v>
      </c>
      <c r="F543" s="2" t="s">
        <v>1414</v>
      </c>
      <c r="G543" s="2"/>
      <c r="H543" s="12">
        <v>0.0</v>
      </c>
      <c r="I543" s="2" t="s">
        <v>40</v>
      </c>
      <c r="J543" s="2"/>
      <c r="K543" s="2" t="s">
        <v>1415</v>
      </c>
      <c r="L543" s="12">
        <v>562.0</v>
      </c>
      <c r="M543" s="2" t="s">
        <v>1416</v>
      </c>
      <c r="N543" s="2" t="str">
        <f>IFERROR(__xludf.DUMMYFUNCTION("""COMPUTED_VALUE"""),"")</f>
        <v/>
      </c>
    </row>
    <row r="544">
      <c r="A544" s="2" t="s">
        <v>33</v>
      </c>
      <c r="B544" s="12">
        <v>552346.0</v>
      </c>
      <c r="C544" s="12">
        <v>553026.0</v>
      </c>
      <c r="D544" s="2"/>
      <c r="E544" s="2" t="s">
        <v>38</v>
      </c>
      <c r="F544" s="2" t="s">
        <v>289</v>
      </c>
      <c r="G544" s="2"/>
      <c r="H544" s="12">
        <v>0.0</v>
      </c>
      <c r="I544" s="2" t="s">
        <v>40</v>
      </c>
      <c r="J544" s="2"/>
      <c r="K544" s="2" t="s">
        <v>1417</v>
      </c>
      <c r="L544" s="12">
        <v>226.0</v>
      </c>
      <c r="M544" s="2" t="s">
        <v>1418</v>
      </c>
      <c r="N544" s="2" t="str">
        <f>IFERROR(__xludf.DUMMYFUNCTION("""COMPUTED_VALUE"""),"")</f>
        <v/>
      </c>
    </row>
    <row r="545">
      <c r="A545" s="2" t="s">
        <v>33</v>
      </c>
      <c r="B545" s="12">
        <v>553232.0</v>
      </c>
      <c r="C545" s="12">
        <v>553570.0</v>
      </c>
      <c r="D545" s="2"/>
      <c r="E545" s="2" t="s">
        <v>34</v>
      </c>
      <c r="F545" s="2" t="s">
        <v>39</v>
      </c>
      <c r="G545" s="2"/>
      <c r="H545" s="12">
        <v>0.0</v>
      </c>
      <c r="I545" s="2" t="s">
        <v>40</v>
      </c>
      <c r="J545" s="2"/>
      <c r="K545" s="2" t="s">
        <v>1419</v>
      </c>
      <c r="L545" s="12">
        <v>112.0</v>
      </c>
      <c r="M545" s="2" t="s">
        <v>1420</v>
      </c>
      <c r="N545" s="2" t="str">
        <f>IFERROR(__xludf.DUMMYFUNCTION("""COMPUTED_VALUE"""),"")</f>
        <v/>
      </c>
    </row>
    <row r="546">
      <c r="A546" s="2" t="s">
        <v>33</v>
      </c>
      <c r="B546" s="12">
        <v>553600.0</v>
      </c>
      <c r="C546" s="12">
        <v>553812.0</v>
      </c>
      <c r="D546" s="2"/>
      <c r="E546" s="2" t="s">
        <v>38</v>
      </c>
      <c r="F546" s="2" t="s">
        <v>39</v>
      </c>
      <c r="G546" s="2"/>
      <c r="H546" s="12">
        <v>0.0</v>
      </c>
      <c r="I546" s="2" t="s">
        <v>40</v>
      </c>
      <c r="J546" s="2"/>
      <c r="K546" s="2" t="s">
        <v>1421</v>
      </c>
      <c r="L546" s="12">
        <v>70.0</v>
      </c>
      <c r="M546" s="2" t="s">
        <v>1422</v>
      </c>
      <c r="N546" s="2" t="str">
        <f>IFERROR(__xludf.DUMMYFUNCTION("""COMPUTED_VALUE"""),"")</f>
        <v/>
      </c>
    </row>
    <row r="547">
      <c r="A547" s="2" t="s">
        <v>33</v>
      </c>
      <c r="B547" s="12">
        <v>553882.0</v>
      </c>
      <c r="C547" s="12">
        <v>554202.0</v>
      </c>
      <c r="D547" s="2"/>
      <c r="E547" s="2" t="s">
        <v>38</v>
      </c>
      <c r="F547" s="2" t="s">
        <v>39</v>
      </c>
      <c r="G547" s="2"/>
      <c r="H547" s="12">
        <v>0.0</v>
      </c>
      <c r="I547" s="2" t="s">
        <v>40</v>
      </c>
      <c r="J547" s="2"/>
      <c r="K547" s="2" t="s">
        <v>1423</v>
      </c>
      <c r="L547" s="12">
        <v>106.0</v>
      </c>
      <c r="M547" s="2" t="s">
        <v>1424</v>
      </c>
      <c r="N547" s="2" t="str">
        <f>IFERROR(__xludf.DUMMYFUNCTION("""COMPUTED_VALUE"""),"")</f>
        <v/>
      </c>
    </row>
    <row r="548">
      <c r="A548" s="2" t="s">
        <v>33</v>
      </c>
      <c r="B548" s="12">
        <v>554254.0</v>
      </c>
      <c r="C548" s="12">
        <v>555030.0</v>
      </c>
      <c r="D548" s="2"/>
      <c r="E548" s="2" t="s">
        <v>38</v>
      </c>
      <c r="F548" s="2" t="s">
        <v>1425</v>
      </c>
      <c r="G548" s="2"/>
      <c r="H548" s="12">
        <v>0.0</v>
      </c>
      <c r="I548" s="2" t="s">
        <v>40</v>
      </c>
      <c r="J548" s="2"/>
      <c r="K548" s="2" t="s">
        <v>1426</v>
      </c>
      <c r="L548" s="12">
        <v>258.0</v>
      </c>
      <c r="M548" s="2" t="s">
        <v>1427</v>
      </c>
      <c r="N548" s="2" t="str">
        <f>IFERROR(__xludf.DUMMYFUNCTION("""COMPUTED_VALUE"""),"")</f>
        <v/>
      </c>
    </row>
    <row r="549">
      <c r="A549" s="2" t="s">
        <v>33</v>
      </c>
      <c r="B549" s="12">
        <v>555191.0</v>
      </c>
      <c r="C549" s="12">
        <v>555619.0</v>
      </c>
      <c r="D549" s="2"/>
      <c r="E549" s="2" t="s">
        <v>38</v>
      </c>
      <c r="F549" s="2" t="s">
        <v>1428</v>
      </c>
      <c r="G549" s="2" t="s">
        <v>1429</v>
      </c>
      <c r="H549" s="12">
        <v>0.0</v>
      </c>
      <c r="I549" s="2" t="s">
        <v>40</v>
      </c>
      <c r="J549" s="2"/>
      <c r="K549" s="2" t="s">
        <v>1430</v>
      </c>
      <c r="L549" s="12">
        <v>142.0</v>
      </c>
      <c r="M549" s="2" t="s">
        <v>1431</v>
      </c>
      <c r="N549" s="2" t="str">
        <f>IFERROR(__xludf.DUMMYFUNCTION("""COMPUTED_VALUE"""),"")</f>
        <v/>
      </c>
    </row>
    <row r="550">
      <c r="A550" s="2" t="s">
        <v>33</v>
      </c>
      <c r="B550" s="12">
        <v>555751.0</v>
      </c>
      <c r="C550" s="12">
        <v>556536.0</v>
      </c>
      <c r="D550" s="2"/>
      <c r="E550" s="2" t="s">
        <v>34</v>
      </c>
      <c r="F550" s="2" t="s">
        <v>367</v>
      </c>
      <c r="G550" s="2"/>
      <c r="H550" s="12">
        <v>0.0</v>
      </c>
      <c r="I550" s="2" t="s">
        <v>40</v>
      </c>
      <c r="J550" s="2"/>
      <c r="K550" s="2" t="s">
        <v>1432</v>
      </c>
      <c r="L550" s="12">
        <v>261.0</v>
      </c>
      <c r="M550" s="2" t="s">
        <v>1433</v>
      </c>
      <c r="N550" s="2" t="str">
        <f>IFERROR(__xludf.DUMMYFUNCTION("""COMPUTED_VALUE"""),"")</f>
        <v/>
      </c>
    </row>
    <row r="551">
      <c r="A551" s="2" t="s">
        <v>33</v>
      </c>
      <c r="B551" s="12">
        <v>556820.0</v>
      </c>
      <c r="C551" s="12">
        <v>557620.0</v>
      </c>
      <c r="D551" s="2"/>
      <c r="E551" s="2" t="s">
        <v>38</v>
      </c>
      <c r="F551" s="2" t="s">
        <v>1434</v>
      </c>
      <c r="G551" s="2"/>
      <c r="H551" s="12">
        <v>0.0</v>
      </c>
      <c r="I551" s="2" t="s">
        <v>40</v>
      </c>
      <c r="J551" s="2"/>
      <c r="K551" s="2" t="s">
        <v>1435</v>
      </c>
      <c r="L551" s="12">
        <v>266.0</v>
      </c>
      <c r="M551" s="2" t="s">
        <v>1436</v>
      </c>
      <c r="N551" s="2" t="str">
        <f>IFERROR(__xludf.DUMMYFUNCTION("""COMPUTED_VALUE"""),"")</f>
        <v/>
      </c>
    </row>
    <row r="552">
      <c r="A552" s="2" t="s">
        <v>33</v>
      </c>
      <c r="B552" s="12">
        <v>557825.0</v>
      </c>
      <c r="C552" s="12">
        <v>558613.0</v>
      </c>
      <c r="D552" s="2"/>
      <c r="E552" s="2" t="s">
        <v>38</v>
      </c>
      <c r="F552" s="2" t="s">
        <v>39</v>
      </c>
      <c r="G552" s="2"/>
      <c r="H552" s="12">
        <v>0.0</v>
      </c>
      <c r="I552" s="2" t="s">
        <v>40</v>
      </c>
      <c r="J552" s="2"/>
      <c r="K552" s="2" t="s">
        <v>1437</v>
      </c>
      <c r="L552" s="12">
        <v>262.0</v>
      </c>
      <c r="M552" s="2" t="s">
        <v>1438</v>
      </c>
      <c r="N552" s="2" t="str">
        <f>IFERROR(__xludf.DUMMYFUNCTION("""COMPUTED_VALUE"""),"")</f>
        <v/>
      </c>
    </row>
    <row r="553">
      <c r="A553" s="2" t="s">
        <v>33</v>
      </c>
      <c r="B553" s="12">
        <v>558832.0</v>
      </c>
      <c r="C553" s="12">
        <v>558903.0</v>
      </c>
      <c r="D553" s="2"/>
      <c r="E553" s="2" t="s">
        <v>38</v>
      </c>
      <c r="F553" s="2" t="s">
        <v>1434</v>
      </c>
      <c r="G553" s="2"/>
      <c r="H553" s="12">
        <v>0.0</v>
      </c>
      <c r="I553" s="2" t="s">
        <v>40</v>
      </c>
      <c r="J553" s="2"/>
      <c r="K553" s="2" t="s">
        <v>1439</v>
      </c>
      <c r="L553" s="12">
        <v>23.0</v>
      </c>
      <c r="M553" s="2" t="s">
        <v>1440</v>
      </c>
      <c r="N553" s="2" t="str">
        <f>IFERROR(__xludf.DUMMYFUNCTION("""COMPUTED_VALUE"""),"")</f>
        <v/>
      </c>
    </row>
    <row r="554">
      <c r="A554" s="2" t="s">
        <v>33</v>
      </c>
      <c r="B554" s="12">
        <v>559021.0</v>
      </c>
      <c r="C554" s="12">
        <v>559842.0</v>
      </c>
      <c r="D554" s="2"/>
      <c r="E554" s="2" t="s">
        <v>38</v>
      </c>
      <c r="F554" s="2" t="s">
        <v>1434</v>
      </c>
      <c r="G554" s="2"/>
      <c r="H554" s="12">
        <v>0.0</v>
      </c>
      <c r="I554" s="2" t="s">
        <v>40</v>
      </c>
      <c r="J554" s="2"/>
      <c r="K554" s="2" t="s">
        <v>1441</v>
      </c>
      <c r="L554" s="12">
        <v>273.0</v>
      </c>
      <c r="M554" s="2" t="s">
        <v>1442</v>
      </c>
      <c r="N554" s="2" t="str">
        <f>IFERROR(__xludf.DUMMYFUNCTION("""COMPUTED_VALUE"""),"")</f>
        <v/>
      </c>
    </row>
    <row r="555">
      <c r="A555" s="2" t="s">
        <v>33</v>
      </c>
      <c r="B555" s="12">
        <v>559876.0</v>
      </c>
      <c r="C555" s="12">
        <v>560679.0</v>
      </c>
      <c r="D555" s="2"/>
      <c r="E555" s="2" t="s">
        <v>38</v>
      </c>
      <c r="F555" s="2" t="s">
        <v>1434</v>
      </c>
      <c r="G555" s="2"/>
      <c r="H555" s="12">
        <v>0.0</v>
      </c>
      <c r="I555" s="2" t="s">
        <v>40</v>
      </c>
      <c r="J555" s="2"/>
      <c r="K555" s="2" t="s">
        <v>1443</v>
      </c>
      <c r="L555" s="12">
        <v>267.0</v>
      </c>
      <c r="M555" s="2" t="s">
        <v>1444</v>
      </c>
      <c r="N555" s="2" t="str">
        <f>IFERROR(__xludf.DUMMYFUNCTION("""COMPUTED_VALUE"""),"")</f>
        <v/>
      </c>
    </row>
    <row r="556">
      <c r="A556" s="2" t="s">
        <v>33</v>
      </c>
      <c r="B556" s="12">
        <v>560757.0</v>
      </c>
      <c r="C556" s="12">
        <v>561539.0</v>
      </c>
      <c r="D556" s="2"/>
      <c r="E556" s="2" t="s">
        <v>38</v>
      </c>
      <c r="F556" s="2" t="s">
        <v>39</v>
      </c>
      <c r="G556" s="2"/>
      <c r="H556" s="12">
        <v>0.0</v>
      </c>
      <c r="I556" s="2" t="s">
        <v>40</v>
      </c>
      <c r="J556" s="2"/>
      <c r="K556" s="2" t="s">
        <v>1445</v>
      </c>
      <c r="L556" s="12">
        <v>260.0</v>
      </c>
      <c r="M556" s="2" t="s">
        <v>1446</v>
      </c>
      <c r="N556" s="2" t="str">
        <f>IFERROR(__xludf.DUMMYFUNCTION("""COMPUTED_VALUE"""),"")</f>
        <v/>
      </c>
    </row>
    <row r="557">
      <c r="A557" s="2" t="s">
        <v>33</v>
      </c>
      <c r="B557" s="12">
        <v>562004.0</v>
      </c>
      <c r="C557" s="12">
        <v>562642.0</v>
      </c>
      <c r="D557" s="2"/>
      <c r="E557" s="2" t="s">
        <v>38</v>
      </c>
      <c r="F557" s="2" t="s">
        <v>39</v>
      </c>
      <c r="G557" s="2"/>
      <c r="H557" s="12">
        <v>0.0</v>
      </c>
      <c r="I557" s="2" t="s">
        <v>40</v>
      </c>
      <c r="J557" s="2"/>
      <c r="K557" s="2" t="s">
        <v>1447</v>
      </c>
      <c r="L557" s="12">
        <v>212.0</v>
      </c>
      <c r="M557" s="2" t="s">
        <v>1448</v>
      </c>
      <c r="N557" s="2" t="str">
        <f>IFERROR(__xludf.DUMMYFUNCTION("""COMPUTED_VALUE"""),"")</f>
        <v/>
      </c>
    </row>
    <row r="558">
      <c r="A558" s="2" t="s">
        <v>33</v>
      </c>
      <c r="B558" s="12">
        <v>562655.0</v>
      </c>
      <c r="C558" s="12">
        <v>562915.0</v>
      </c>
      <c r="D558" s="2"/>
      <c r="E558" s="2" t="s">
        <v>38</v>
      </c>
      <c r="F558" s="2" t="s">
        <v>39</v>
      </c>
      <c r="G558" s="2"/>
      <c r="H558" s="12">
        <v>0.0</v>
      </c>
      <c r="I558" s="2" t="s">
        <v>40</v>
      </c>
      <c r="J558" s="2"/>
      <c r="K558" s="2" t="s">
        <v>1449</v>
      </c>
      <c r="L558" s="12">
        <v>86.0</v>
      </c>
      <c r="M558" s="2" t="s">
        <v>1450</v>
      </c>
      <c r="N558" s="2" t="str">
        <f>IFERROR(__xludf.DUMMYFUNCTION("""COMPUTED_VALUE"""),"")</f>
        <v/>
      </c>
    </row>
    <row r="559">
      <c r="A559" s="2" t="s">
        <v>33</v>
      </c>
      <c r="B559" s="12">
        <v>562953.0</v>
      </c>
      <c r="C559" s="12">
        <v>563626.0</v>
      </c>
      <c r="D559" s="2"/>
      <c r="E559" s="2" t="s">
        <v>38</v>
      </c>
      <c r="F559" s="2" t="s">
        <v>35</v>
      </c>
      <c r="G559" s="2"/>
      <c r="H559" s="12">
        <v>0.0</v>
      </c>
      <c r="I559" s="2" t="s">
        <v>36</v>
      </c>
      <c r="J559" s="2"/>
      <c r="K559" s="2"/>
      <c r="L559" s="2"/>
      <c r="M559" s="2" t="s">
        <v>1451</v>
      </c>
      <c r="N559" s="2" t="str">
        <f>IFERROR(__xludf.DUMMYFUNCTION("""COMPUTED_VALUE"""),"")</f>
        <v/>
      </c>
    </row>
    <row r="560">
      <c r="A560" s="2" t="s">
        <v>33</v>
      </c>
      <c r="B560" s="12">
        <v>563644.0</v>
      </c>
      <c r="C560" s="12">
        <v>564465.0</v>
      </c>
      <c r="D560" s="2"/>
      <c r="E560" s="2" t="s">
        <v>38</v>
      </c>
      <c r="F560" s="2" t="s">
        <v>1434</v>
      </c>
      <c r="G560" s="2"/>
      <c r="H560" s="12">
        <v>0.0</v>
      </c>
      <c r="I560" s="2" t="s">
        <v>40</v>
      </c>
      <c r="J560" s="2"/>
      <c r="K560" s="2" t="s">
        <v>1452</v>
      </c>
      <c r="L560" s="12">
        <v>273.0</v>
      </c>
      <c r="M560" s="2" t="s">
        <v>1453</v>
      </c>
      <c r="N560" s="2" t="str">
        <f>IFERROR(__xludf.DUMMYFUNCTION("""COMPUTED_VALUE"""),"")</f>
        <v/>
      </c>
    </row>
    <row r="561">
      <c r="A561" s="2" t="s">
        <v>33</v>
      </c>
      <c r="B561" s="12">
        <v>564541.0</v>
      </c>
      <c r="C561" s="12">
        <v>564891.0</v>
      </c>
      <c r="D561" s="2"/>
      <c r="E561" s="2" t="s">
        <v>38</v>
      </c>
      <c r="F561" s="2" t="s">
        <v>1454</v>
      </c>
      <c r="G561" s="2"/>
      <c r="H561" s="12">
        <v>0.0</v>
      </c>
      <c r="I561" s="2" t="s">
        <v>40</v>
      </c>
      <c r="J561" s="2"/>
      <c r="K561" s="2" t="s">
        <v>1455</v>
      </c>
      <c r="L561" s="12">
        <v>116.0</v>
      </c>
      <c r="M561" s="2" t="s">
        <v>1456</v>
      </c>
      <c r="N561" s="2" t="str">
        <f>IFERROR(__xludf.DUMMYFUNCTION("""COMPUTED_VALUE"""),"")</f>
        <v/>
      </c>
    </row>
    <row r="562">
      <c r="A562" s="2" t="s">
        <v>33</v>
      </c>
      <c r="B562" s="12">
        <v>564893.0</v>
      </c>
      <c r="C562" s="12">
        <v>565153.0</v>
      </c>
      <c r="D562" s="2"/>
      <c r="E562" s="2" t="s">
        <v>38</v>
      </c>
      <c r="F562" s="2" t="s">
        <v>39</v>
      </c>
      <c r="G562" s="2"/>
      <c r="H562" s="12">
        <v>0.0</v>
      </c>
      <c r="I562" s="2" t="s">
        <v>40</v>
      </c>
      <c r="J562" s="2"/>
      <c r="K562" s="2" t="s">
        <v>1457</v>
      </c>
      <c r="L562" s="12">
        <v>86.0</v>
      </c>
      <c r="M562" s="2" t="s">
        <v>1458</v>
      </c>
      <c r="N562" s="2" t="str">
        <f>IFERROR(__xludf.DUMMYFUNCTION("""COMPUTED_VALUE"""),"")</f>
        <v/>
      </c>
    </row>
    <row r="563">
      <c r="A563" s="2" t="s">
        <v>33</v>
      </c>
      <c r="B563" s="12">
        <v>565193.0</v>
      </c>
      <c r="C563" s="12">
        <v>566773.0</v>
      </c>
      <c r="D563" s="2"/>
      <c r="E563" s="2" t="s">
        <v>38</v>
      </c>
      <c r="F563" s="2" t="s">
        <v>1459</v>
      </c>
      <c r="G563" s="2"/>
      <c r="H563" s="12">
        <v>0.0</v>
      </c>
      <c r="I563" s="2" t="s">
        <v>40</v>
      </c>
      <c r="J563" s="2"/>
      <c r="K563" s="2" t="s">
        <v>1460</v>
      </c>
      <c r="L563" s="12">
        <v>526.0</v>
      </c>
      <c r="M563" s="2" t="s">
        <v>1461</v>
      </c>
      <c r="N563" s="2" t="str">
        <f>IFERROR(__xludf.DUMMYFUNCTION("""COMPUTED_VALUE"""),"")</f>
        <v/>
      </c>
    </row>
    <row r="564">
      <c r="A564" s="2" t="s">
        <v>33</v>
      </c>
      <c r="B564" s="12">
        <v>566789.0</v>
      </c>
      <c r="C564" s="12">
        <v>567589.0</v>
      </c>
      <c r="D564" s="2"/>
      <c r="E564" s="2" t="s">
        <v>38</v>
      </c>
      <c r="F564" s="2" t="s">
        <v>1434</v>
      </c>
      <c r="G564" s="2"/>
      <c r="H564" s="12">
        <v>0.0</v>
      </c>
      <c r="I564" s="2" t="s">
        <v>40</v>
      </c>
      <c r="J564" s="2"/>
      <c r="K564" s="2" t="s">
        <v>1462</v>
      </c>
      <c r="L564" s="12">
        <v>266.0</v>
      </c>
      <c r="M564" s="2" t="s">
        <v>1463</v>
      </c>
      <c r="N564" s="2" t="str">
        <f>IFERROR(__xludf.DUMMYFUNCTION("""COMPUTED_VALUE"""),"")</f>
        <v/>
      </c>
    </row>
    <row r="565">
      <c r="A565" s="2" t="s">
        <v>33</v>
      </c>
      <c r="B565" s="12">
        <v>567586.0</v>
      </c>
      <c r="C565" s="12">
        <v>571815.0</v>
      </c>
      <c r="D565" s="2"/>
      <c r="E565" s="2" t="s">
        <v>38</v>
      </c>
      <c r="F565" s="2" t="s">
        <v>35</v>
      </c>
      <c r="G565" s="2" t="s">
        <v>1464</v>
      </c>
      <c r="H565" s="12">
        <v>0.0</v>
      </c>
      <c r="I565" s="2" t="s">
        <v>36</v>
      </c>
      <c r="J565" s="2"/>
      <c r="K565" s="2"/>
      <c r="L565" s="2"/>
      <c r="M565" s="2" t="s">
        <v>1465</v>
      </c>
      <c r="N565" s="2" t="str">
        <f>IFERROR(__xludf.DUMMYFUNCTION("""COMPUTED_VALUE"""),"")</f>
        <v/>
      </c>
    </row>
    <row r="566">
      <c r="A566" s="2" t="s">
        <v>33</v>
      </c>
      <c r="B566" s="12">
        <v>571810.0</v>
      </c>
      <c r="C566" s="12">
        <v>572091.0</v>
      </c>
      <c r="D566" s="2"/>
      <c r="E566" s="2" t="s">
        <v>38</v>
      </c>
      <c r="F566" s="2" t="s">
        <v>35</v>
      </c>
      <c r="G566" s="2"/>
      <c r="H566" s="12">
        <v>0.0</v>
      </c>
      <c r="I566" s="2" t="s">
        <v>36</v>
      </c>
      <c r="J566" s="2"/>
      <c r="K566" s="2"/>
      <c r="L566" s="2"/>
      <c r="M566" s="2" t="s">
        <v>1466</v>
      </c>
      <c r="N566" s="2" t="str">
        <f>IFERROR(__xludf.DUMMYFUNCTION("""COMPUTED_VALUE"""),"")</f>
        <v/>
      </c>
    </row>
    <row r="567">
      <c r="A567" s="2" t="s">
        <v>33</v>
      </c>
      <c r="B567" s="12">
        <v>572131.0</v>
      </c>
      <c r="C567" s="12">
        <v>573330.0</v>
      </c>
      <c r="D567" s="2"/>
      <c r="E567" s="2" t="s">
        <v>38</v>
      </c>
      <c r="F567" s="2" t="s">
        <v>1467</v>
      </c>
      <c r="G567" s="2" t="s">
        <v>1468</v>
      </c>
      <c r="H567" s="12">
        <v>0.0</v>
      </c>
      <c r="I567" s="2" t="s">
        <v>40</v>
      </c>
      <c r="J567" s="2"/>
      <c r="K567" s="2" t="s">
        <v>1469</v>
      </c>
      <c r="L567" s="12">
        <v>399.0</v>
      </c>
      <c r="M567" s="2" t="s">
        <v>1470</v>
      </c>
      <c r="N567" s="2" t="str">
        <f>IFERROR(__xludf.DUMMYFUNCTION("""COMPUTED_VALUE"""),"")</f>
        <v/>
      </c>
    </row>
    <row r="568">
      <c r="A568" s="2" t="s">
        <v>33</v>
      </c>
      <c r="B568" s="12">
        <v>573404.0</v>
      </c>
      <c r="C568" s="12">
        <v>573655.0</v>
      </c>
      <c r="D568" s="2"/>
      <c r="E568" s="2" t="s">
        <v>38</v>
      </c>
      <c r="F568" s="2" t="s">
        <v>1471</v>
      </c>
      <c r="G568" s="2"/>
      <c r="H568" s="12">
        <v>0.0</v>
      </c>
      <c r="I568" s="2" t="s">
        <v>40</v>
      </c>
      <c r="J568" s="2"/>
      <c r="K568" s="2" t="s">
        <v>1472</v>
      </c>
      <c r="L568" s="12">
        <v>83.0</v>
      </c>
      <c r="M568" s="2" t="s">
        <v>1473</v>
      </c>
      <c r="N568" s="2" t="str">
        <f>IFERROR(__xludf.DUMMYFUNCTION("""COMPUTED_VALUE"""),"")</f>
        <v/>
      </c>
    </row>
    <row r="569">
      <c r="A569" s="2" t="s">
        <v>33</v>
      </c>
      <c r="B569" s="12">
        <v>573660.0</v>
      </c>
      <c r="C569" s="12">
        <v>574163.0</v>
      </c>
      <c r="D569" s="2"/>
      <c r="E569" s="2" t="s">
        <v>38</v>
      </c>
      <c r="F569" s="2" t="s">
        <v>1474</v>
      </c>
      <c r="G569" s="2" t="s">
        <v>1475</v>
      </c>
      <c r="H569" s="12">
        <v>0.0</v>
      </c>
      <c r="I569" s="2" t="s">
        <v>40</v>
      </c>
      <c r="J569" s="2"/>
      <c r="K569" s="2" t="s">
        <v>1476</v>
      </c>
      <c r="L569" s="12">
        <v>167.0</v>
      </c>
      <c r="M569" s="2" t="s">
        <v>1477</v>
      </c>
      <c r="N569" s="2" t="str">
        <f>IFERROR(__xludf.DUMMYFUNCTION("""COMPUTED_VALUE"""),"")</f>
        <v/>
      </c>
    </row>
    <row r="570">
      <c r="A570" s="2" t="s">
        <v>33</v>
      </c>
      <c r="B570" s="12">
        <v>574135.0</v>
      </c>
      <c r="C570" s="12">
        <v>577866.0</v>
      </c>
      <c r="D570" s="2"/>
      <c r="E570" s="2" t="s">
        <v>38</v>
      </c>
      <c r="F570" s="2" t="s">
        <v>1478</v>
      </c>
      <c r="G570" s="2" t="s">
        <v>1479</v>
      </c>
      <c r="H570" s="12">
        <v>0.0</v>
      </c>
      <c r="I570" s="2" t="s">
        <v>40</v>
      </c>
      <c r="J570" s="2"/>
      <c r="K570" s="2" t="s">
        <v>1480</v>
      </c>
      <c r="L570" s="12">
        <v>1243.0</v>
      </c>
      <c r="M570" s="2" t="s">
        <v>1481</v>
      </c>
      <c r="N570" s="2" t="str">
        <f>IFERROR(__xludf.DUMMYFUNCTION("""COMPUTED_VALUE"""),"")</f>
        <v/>
      </c>
    </row>
    <row r="571">
      <c r="A571" s="2" t="s">
        <v>33</v>
      </c>
      <c r="B571" s="12">
        <v>577993.0</v>
      </c>
      <c r="C571" s="12">
        <v>578289.0</v>
      </c>
      <c r="D571" s="2"/>
      <c r="E571" s="2" t="s">
        <v>38</v>
      </c>
      <c r="F571" s="2" t="s">
        <v>1482</v>
      </c>
      <c r="G571" s="2"/>
      <c r="H571" s="12">
        <v>0.0</v>
      </c>
      <c r="I571" s="2" t="s">
        <v>40</v>
      </c>
      <c r="J571" s="2"/>
      <c r="K571" s="2" t="s">
        <v>1483</v>
      </c>
      <c r="L571" s="12">
        <v>98.0</v>
      </c>
      <c r="M571" s="2" t="s">
        <v>1484</v>
      </c>
      <c r="N571" s="2" t="str">
        <f>IFERROR(__xludf.DUMMYFUNCTION("""COMPUTED_VALUE"""),"")</f>
        <v/>
      </c>
    </row>
    <row r="572">
      <c r="A572" s="2" t="s">
        <v>33</v>
      </c>
      <c r="B572" s="12">
        <v>578596.0</v>
      </c>
      <c r="C572" s="12">
        <v>579024.0</v>
      </c>
      <c r="D572" s="2"/>
      <c r="E572" s="2" t="s">
        <v>38</v>
      </c>
      <c r="F572" s="2" t="s">
        <v>367</v>
      </c>
      <c r="G572" s="2"/>
      <c r="H572" s="12">
        <v>0.0</v>
      </c>
      <c r="I572" s="2" t="s">
        <v>40</v>
      </c>
      <c r="J572" s="2"/>
      <c r="K572" s="2" t="s">
        <v>1485</v>
      </c>
      <c r="L572" s="12">
        <v>142.0</v>
      </c>
      <c r="M572" s="2" t="s">
        <v>1486</v>
      </c>
      <c r="N572" s="2" t="str">
        <f>IFERROR(__xludf.DUMMYFUNCTION("""COMPUTED_VALUE"""),"")</f>
        <v/>
      </c>
    </row>
    <row r="573">
      <c r="A573" s="2" t="s">
        <v>33</v>
      </c>
      <c r="B573" s="12">
        <v>579028.0</v>
      </c>
      <c r="C573" s="12">
        <v>579393.0</v>
      </c>
      <c r="D573" s="2"/>
      <c r="E573" s="2" t="s">
        <v>38</v>
      </c>
      <c r="F573" s="2" t="s">
        <v>1487</v>
      </c>
      <c r="G573" s="2"/>
      <c r="H573" s="12">
        <v>0.0</v>
      </c>
      <c r="I573" s="2" t="s">
        <v>40</v>
      </c>
      <c r="J573" s="2"/>
      <c r="K573" s="2" t="s">
        <v>1488</v>
      </c>
      <c r="L573" s="12">
        <v>121.0</v>
      </c>
      <c r="M573" s="2" t="s">
        <v>1489</v>
      </c>
      <c r="N573" s="2" t="str">
        <f>IFERROR(__xludf.DUMMYFUNCTION("""COMPUTED_VALUE"""),"")</f>
        <v/>
      </c>
    </row>
    <row r="574">
      <c r="A574" s="2" t="s">
        <v>33</v>
      </c>
      <c r="B574" s="12">
        <v>579406.0</v>
      </c>
      <c r="C574" s="12">
        <v>579891.0</v>
      </c>
      <c r="D574" s="2"/>
      <c r="E574" s="2" t="s">
        <v>38</v>
      </c>
      <c r="F574" s="2" t="s">
        <v>367</v>
      </c>
      <c r="G574" s="2"/>
      <c r="H574" s="12">
        <v>0.0</v>
      </c>
      <c r="I574" s="2" t="s">
        <v>40</v>
      </c>
      <c r="J574" s="2"/>
      <c r="K574" s="2" t="s">
        <v>1490</v>
      </c>
      <c r="L574" s="12">
        <v>161.0</v>
      </c>
      <c r="M574" s="2" t="s">
        <v>1491</v>
      </c>
      <c r="N574" s="2" t="str">
        <f>IFERROR(__xludf.DUMMYFUNCTION("""COMPUTED_VALUE"""),"")</f>
        <v/>
      </c>
    </row>
    <row r="575">
      <c r="A575" s="2" t="s">
        <v>33</v>
      </c>
      <c r="B575" s="12">
        <v>579888.0</v>
      </c>
      <c r="C575" s="12">
        <v>580448.0</v>
      </c>
      <c r="D575" s="2"/>
      <c r="E575" s="2" t="s">
        <v>38</v>
      </c>
      <c r="F575" s="2" t="s">
        <v>1492</v>
      </c>
      <c r="G575" s="2"/>
      <c r="H575" s="12">
        <v>0.0</v>
      </c>
      <c r="I575" s="2" t="s">
        <v>40</v>
      </c>
      <c r="J575" s="2"/>
      <c r="K575" s="2" t="s">
        <v>1493</v>
      </c>
      <c r="L575" s="12">
        <v>186.0</v>
      </c>
      <c r="M575" s="2" t="s">
        <v>1494</v>
      </c>
      <c r="N575" s="2" t="str">
        <f>IFERROR(__xludf.DUMMYFUNCTION("""COMPUTED_VALUE"""),"")</f>
        <v/>
      </c>
    </row>
    <row r="576">
      <c r="A576" s="2" t="s">
        <v>33</v>
      </c>
      <c r="B576" s="12">
        <v>580455.0</v>
      </c>
      <c r="C576" s="12">
        <v>581021.0</v>
      </c>
      <c r="D576" s="2"/>
      <c r="E576" s="2" t="s">
        <v>38</v>
      </c>
      <c r="F576" s="2" t="s">
        <v>367</v>
      </c>
      <c r="G576" s="2"/>
      <c r="H576" s="12">
        <v>0.0</v>
      </c>
      <c r="I576" s="2" t="s">
        <v>40</v>
      </c>
      <c r="J576" s="2"/>
      <c r="K576" s="2" t="s">
        <v>1495</v>
      </c>
      <c r="L576" s="12">
        <v>188.0</v>
      </c>
      <c r="M576" s="2" t="s">
        <v>1496</v>
      </c>
      <c r="N576" s="2" t="str">
        <f>IFERROR(__xludf.DUMMYFUNCTION("""COMPUTED_VALUE"""),"")</f>
        <v/>
      </c>
    </row>
    <row r="577">
      <c r="A577" s="2" t="s">
        <v>33</v>
      </c>
      <c r="B577" s="12">
        <v>581158.0</v>
      </c>
      <c r="C577" s="12">
        <v>581775.0</v>
      </c>
      <c r="D577" s="2"/>
      <c r="E577" s="2" t="s">
        <v>34</v>
      </c>
      <c r="F577" s="2" t="s">
        <v>1497</v>
      </c>
      <c r="G577" s="2"/>
      <c r="H577" s="12">
        <v>0.0</v>
      </c>
      <c r="I577" s="2" t="s">
        <v>40</v>
      </c>
      <c r="J577" s="2"/>
      <c r="K577" s="2" t="s">
        <v>1498</v>
      </c>
      <c r="L577" s="12">
        <v>205.0</v>
      </c>
      <c r="M577" s="2" t="s">
        <v>1499</v>
      </c>
      <c r="N577" s="2" t="str">
        <f>IFERROR(__xludf.DUMMYFUNCTION("""COMPUTED_VALUE"""),"")</f>
        <v/>
      </c>
    </row>
    <row r="578">
      <c r="A578" s="2" t="s">
        <v>33</v>
      </c>
      <c r="B578" s="12">
        <v>581805.0</v>
      </c>
      <c r="C578" s="12">
        <v>582950.0</v>
      </c>
      <c r="D578" s="2"/>
      <c r="E578" s="2" t="s">
        <v>38</v>
      </c>
      <c r="F578" s="2" t="s">
        <v>437</v>
      </c>
      <c r="G578" s="2"/>
      <c r="H578" s="12">
        <v>0.0</v>
      </c>
      <c r="I578" s="2" t="s">
        <v>40</v>
      </c>
      <c r="J578" s="2"/>
      <c r="K578" s="2" t="s">
        <v>1500</v>
      </c>
      <c r="L578" s="12">
        <v>381.0</v>
      </c>
      <c r="M578" s="2" t="s">
        <v>1501</v>
      </c>
      <c r="N578" s="2" t="str">
        <f>IFERROR(__xludf.DUMMYFUNCTION("""COMPUTED_VALUE"""),"")</f>
        <v/>
      </c>
    </row>
    <row r="579">
      <c r="A579" s="2" t="s">
        <v>33</v>
      </c>
      <c r="B579" s="12">
        <v>583105.0</v>
      </c>
      <c r="C579" s="12">
        <v>583527.0</v>
      </c>
      <c r="D579" s="2"/>
      <c r="E579" s="2" t="s">
        <v>38</v>
      </c>
      <c r="F579" s="2" t="s">
        <v>367</v>
      </c>
      <c r="G579" s="2"/>
      <c r="H579" s="12">
        <v>0.0</v>
      </c>
      <c r="I579" s="2" t="s">
        <v>40</v>
      </c>
      <c r="J579" s="2"/>
      <c r="K579" s="2" t="s">
        <v>1502</v>
      </c>
      <c r="L579" s="12">
        <v>140.0</v>
      </c>
      <c r="M579" s="2" t="s">
        <v>1503</v>
      </c>
      <c r="N579" s="2" t="str">
        <f>IFERROR(__xludf.DUMMYFUNCTION("""COMPUTED_VALUE"""),"")</f>
        <v/>
      </c>
    </row>
    <row r="580">
      <c r="A580" s="2" t="s">
        <v>33</v>
      </c>
      <c r="B580" s="12">
        <v>583657.0</v>
      </c>
      <c r="C580" s="12">
        <v>585072.0</v>
      </c>
      <c r="D580" s="2"/>
      <c r="E580" s="2" t="s">
        <v>34</v>
      </c>
      <c r="F580" s="2" t="s">
        <v>250</v>
      </c>
      <c r="G580" s="2"/>
      <c r="H580" s="12">
        <v>0.0</v>
      </c>
      <c r="I580" s="2" t="s">
        <v>40</v>
      </c>
      <c r="J580" s="2"/>
      <c r="K580" s="2" t="s">
        <v>1504</v>
      </c>
      <c r="L580" s="12">
        <v>471.0</v>
      </c>
      <c r="M580" s="2" t="s">
        <v>1505</v>
      </c>
      <c r="N580" s="2" t="str">
        <f>IFERROR(__xludf.DUMMYFUNCTION("""COMPUTED_VALUE"""),"")</f>
        <v/>
      </c>
    </row>
    <row r="581">
      <c r="A581" s="2" t="s">
        <v>33</v>
      </c>
      <c r="B581" s="12">
        <v>585162.0</v>
      </c>
      <c r="C581" s="12">
        <v>586007.0</v>
      </c>
      <c r="D581" s="2"/>
      <c r="E581" s="2" t="s">
        <v>38</v>
      </c>
      <c r="F581" s="2" t="s">
        <v>1506</v>
      </c>
      <c r="G581" s="2"/>
      <c r="H581" s="12">
        <v>0.0</v>
      </c>
      <c r="I581" s="2" t="s">
        <v>40</v>
      </c>
      <c r="J581" s="2"/>
      <c r="K581" s="2" t="s">
        <v>1507</v>
      </c>
      <c r="L581" s="12">
        <v>281.0</v>
      </c>
      <c r="M581" s="2" t="s">
        <v>1508</v>
      </c>
      <c r="N581" s="2" t="str">
        <f>IFERROR(__xludf.DUMMYFUNCTION("""COMPUTED_VALUE"""),"")</f>
        <v/>
      </c>
    </row>
    <row r="582">
      <c r="A582" s="2" t="s">
        <v>33</v>
      </c>
      <c r="B582" s="12">
        <v>586188.0</v>
      </c>
      <c r="C582" s="12">
        <v>587396.0</v>
      </c>
      <c r="D582" s="2"/>
      <c r="E582" s="2" t="s">
        <v>38</v>
      </c>
      <c r="F582" s="2" t="s">
        <v>1509</v>
      </c>
      <c r="G582" s="2"/>
      <c r="H582" s="12">
        <v>0.0</v>
      </c>
      <c r="I582" s="2" t="s">
        <v>40</v>
      </c>
      <c r="J582" s="2"/>
      <c r="K582" s="2" t="s">
        <v>1510</v>
      </c>
      <c r="L582" s="12">
        <v>402.0</v>
      </c>
      <c r="M582" s="2" t="s">
        <v>1511</v>
      </c>
      <c r="N582" s="2" t="str">
        <f>IFERROR(__xludf.DUMMYFUNCTION("""COMPUTED_VALUE"""),"")</f>
        <v/>
      </c>
    </row>
    <row r="583">
      <c r="A583" s="2" t="s">
        <v>33</v>
      </c>
      <c r="B583" s="12">
        <v>587796.0</v>
      </c>
      <c r="C583" s="12">
        <v>588674.0</v>
      </c>
      <c r="D583" s="2"/>
      <c r="E583" s="2" t="s">
        <v>34</v>
      </c>
      <c r="F583" s="2" t="s">
        <v>39</v>
      </c>
      <c r="G583" s="2"/>
      <c r="H583" s="12">
        <v>0.0</v>
      </c>
      <c r="I583" s="2" t="s">
        <v>40</v>
      </c>
      <c r="J583" s="2"/>
      <c r="K583" s="2" t="s">
        <v>1512</v>
      </c>
      <c r="L583" s="12">
        <v>292.0</v>
      </c>
      <c r="M583" s="2" t="s">
        <v>1513</v>
      </c>
      <c r="N583" s="2" t="str">
        <f>IFERROR(__xludf.DUMMYFUNCTION("""COMPUTED_VALUE"""),"")</f>
        <v/>
      </c>
    </row>
    <row r="584">
      <c r="A584" s="2" t="s">
        <v>33</v>
      </c>
      <c r="B584" s="12">
        <v>588698.0</v>
      </c>
      <c r="C584" s="12">
        <v>589567.0</v>
      </c>
      <c r="D584" s="2"/>
      <c r="E584" s="2" t="s">
        <v>34</v>
      </c>
      <c r="F584" s="2" t="s">
        <v>367</v>
      </c>
      <c r="G584" s="2"/>
      <c r="H584" s="12">
        <v>0.0</v>
      </c>
      <c r="I584" s="2" t="s">
        <v>40</v>
      </c>
      <c r="J584" s="2"/>
      <c r="K584" s="2" t="s">
        <v>1514</v>
      </c>
      <c r="L584" s="12">
        <v>289.0</v>
      </c>
      <c r="M584" s="2" t="s">
        <v>1515</v>
      </c>
      <c r="N584" s="2" t="str">
        <f>IFERROR(__xludf.DUMMYFUNCTION("""COMPUTED_VALUE"""),"")</f>
        <v/>
      </c>
    </row>
    <row r="585">
      <c r="A585" s="2" t="s">
        <v>33</v>
      </c>
      <c r="B585" s="12">
        <v>589568.0</v>
      </c>
      <c r="C585" s="12">
        <v>589830.0</v>
      </c>
      <c r="D585" s="2"/>
      <c r="E585" s="2" t="s">
        <v>34</v>
      </c>
      <c r="F585" s="2" t="s">
        <v>35</v>
      </c>
      <c r="G585" s="2"/>
      <c r="H585" s="12">
        <v>0.0</v>
      </c>
      <c r="I585" s="2" t="s">
        <v>36</v>
      </c>
      <c r="J585" s="2"/>
      <c r="K585" s="2"/>
      <c r="L585" s="2"/>
      <c r="M585" s="2" t="s">
        <v>1516</v>
      </c>
      <c r="N585" s="2" t="str">
        <f>IFERROR(__xludf.DUMMYFUNCTION("""COMPUTED_VALUE"""),"")</f>
        <v/>
      </c>
    </row>
    <row r="586">
      <c r="A586" s="2" t="s">
        <v>33</v>
      </c>
      <c r="B586" s="12">
        <v>589853.0</v>
      </c>
      <c r="C586" s="12">
        <v>591028.0</v>
      </c>
      <c r="D586" s="2"/>
      <c r="E586" s="2" t="s">
        <v>38</v>
      </c>
      <c r="F586" s="2" t="s">
        <v>1517</v>
      </c>
      <c r="G586" s="2" t="s">
        <v>1518</v>
      </c>
      <c r="H586" s="12">
        <v>0.0</v>
      </c>
      <c r="I586" s="2" t="s">
        <v>40</v>
      </c>
      <c r="J586" s="2"/>
      <c r="K586" s="2" t="s">
        <v>1519</v>
      </c>
      <c r="L586" s="12">
        <v>391.0</v>
      </c>
      <c r="M586" s="2" t="s">
        <v>1520</v>
      </c>
      <c r="N586" s="2" t="str">
        <f>IFERROR(__xludf.DUMMYFUNCTION("""COMPUTED_VALUE"""),"")</f>
        <v/>
      </c>
    </row>
    <row r="587">
      <c r="A587" s="2" t="s">
        <v>33</v>
      </c>
      <c r="B587" s="12">
        <v>591200.0</v>
      </c>
      <c r="C587" s="12">
        <v>591661.0</v>
      </c>
      <c r="D587" s="2"/>
      <c r="E587" s="2" t="s">
        <v>34</v>
      </c>
      <c r="F587" s="2" t="s">
        <v>817</v>
      </c>
      <c r="G587" s="2"/>
      <c r="H587" s="12">
        <v>0.0</v>
      </c>
      <c r="I587" s="2" t="s">
        <v>40</v>
      </c>
      <c r="J587" s="2"/>
      <c r="K587" s="2" t="s">
        <v>1521</v>
      </c>
      <c r="L587" s="12">
        <v>153.0</v>
      </c>
      <c r="M587" s="2" t="s">
        <v>1522</v>
      </c>
      <c r="N587" s="2" t="str">
        <f>IFERROR(__xludf.DUMMYFUNCTION("""COMPUTED_VALUE"""),"")</f>
        <v/>
      </c>
    </row>
    <row r="588">
      <c r="A588" s="2" t="s">
        <v>33</v>
      </c>
      <c r="B588" s="12">
        <v>591677.0</v>
      </c>
      <c r="C588" s="12">
        <v>592048.0</v>
      </c>
      <c r="D588" s="2"/>
      <c r="E588" s="2" t="s">
        <v>38</v>
      </c>
      <c r="F588" s="2" t="s">
        <v>1523</v>
      </c>
      <c r="G588" s="2"/>
      <c r="H588" s="12">
        <v>0.0</v>
      </c>
      <c r="I588" s="2" t="s">
        <v>40</v>
      </c>
      <c r="J588" s="2"/>
      <c r="K588" s="2" t="s">
        <v>1524</v>
      </c>
      <c r="L588" s="12">
        <v>123.0</v>
      </c>
      <c r="M588" s="2" t="s">
        <v>1525</v>
      </c>
      <c r="N588" s="2" t="str">
        <f>IFERROR(__xludf.DUMMYFUNCTION("""COMPUTED_VALUE"""),"")</f>
        <v/>
      </c>
    </row>
    <row r="589">
      <c r="A589" s="2" t="s">
        <v>33</v>
      </c>
      <c r="B589" s="12">
        <v>592088.0</v>
      </c>
      <c r="C589" s="12">
        <v>592864.0</v>
      </c>
      <c r="D589" s="2"/>
      <c r="E589" s="2" t="s">
        <v>38</v>
      </c>
      <c r="F589" s="2" t="s">
        <v>69</v>
      </c>
      <c r="G589" s="2"/>
      <c r="H589" s="12">
        <v>0.0</v>
      </c>
      <c r="I589" s="2" t="s">
        <v>40</v>
      </c>
      <c r="J589" s="2"/>
      <c r="K589" s="2" t="s">
        <v>1526</v>
      </c>
      <c r="L589" s="12">
        <v>258.0</v>
      </c>
      <c r="M589" s="2" t="s">
        <v>1527</v>
      </c>
      <c r="N589" s="2" t="str">
        <f>IFERROR(__xludf.DUMMYFUNCTION("""COMPUTED_VALUE"""),"")</f>
        <v/>
      </c>
    </row>
    <row r="590">
      <c r="A590" s="2" t="s">
        <v>33</v>
      </c>
      <c r="B590" s="12">
        <v>592871.0</v>
      </c>
      <c r="C590" s="12">
        <v>593461.0</v>
      </c>
      <c r="D590" s="2"/>
      <c r="E590" s="2" t="s">
        <v>38</v>
      </c>
      <c r="F590" s="2" t="s">
        <v>1528</v>
      </c>
      <c r="G590" s="2"/>
      <c r="H590" s="12">
        <v>0.0</v>
      </c>
      <c r="I590" s="2" t="s">
        <v>40</v>
      </c>
      <c r="J590" s="2"/>
      <c r="K590" s="2" t="s">
        <v>1529</v>
      </c>
      <c r="L590" s="12">
        <v>196.0</v>
      </c>
      <c r="M590" s="2" t="s">
        <v>1530</v>
      </c>
      <c r="N590" s="2" t="str">
        <f>IFERROR(__xludf.DUMMYFUNCTION("""COMPUTED_VALUE"""),"")</f>
        <v/>
      </c>
    </row>
    <row r="591">
      <c r="A591" s="2" t="s">
        <v>33</v>
      </c>
      <c r="B591" s="12">
        <v>593549.0</v>
      </c>
      <c r="C591" s="12">
        <v>594754.0</v>
      </c>
      <c r="D591" s="2"/>
      <c r="E591" s="2" t="s">
        <v>38</v>
      </c>
      <c r="F591" s="2" t="s">
        <v>1531</v>
      </c>
      <c r="G591" s="2" t="s">
        <v>1532</v>
      </c>
      <c r="H591" s="12">
        <v>0.0</v>
      </c>
      <c r="I591" s="2" t="s">
        <v>40</v>
      </c>
      <c r="J591" s="2"/>
      <c r="K591" s="2" t="s">
        <v>1533</v>
      </c>
      <c r="L591" s="12">
        <v>401.0</v>
      </c>
      <c r="M591" s="2" t="s">
        <v>1534</v>
      </c>
      <c r="N591" s="2" t="str">
        <f>IFERROR(__xludf.DUMMYFUNCTION("""COMPUTED_VALUE"""),"")</f>
        <v/>
      </c>
    </row>
    <row r="592">
      <c r="A592" s="2" t="s">
        <v>33</v>
      </c>
      <c r="B592" s="12">
        <v>594775.0</v>
      </c>
      <c r="C592" s="12">
        <v>595743.0</v>
      </c>
      <c r="D592" s="2"/>
      <c r="E592" s="2" t="s">
        <v>38</v>
      </c>
      <c r="F592" s="2" t="s">
        <v>1535</v>
      </c>
      <c r="G592" s="2"/>
      <c r="H592" s="12">
        <v>0.0</v>
      </c>
      <c r="I592" s="2" t="s">
        <v>40</v>
      </c>
      <c r="J592" s="2"/>
      <c r="K592" s="2" t="s">
        <v>1536</v>
      </c>
      <c r="L592" s="12">
        <v>322.0</v>
      </c>
      <c r="M592" s="2" t="s">
        <v>1537</v>
      </c>
      <c r="N592" s="2" t="str">
        <f>IFERROR(__xludf.DUMMYFUNCTION("""COMPUTED_VALUE"""),"")</f>
        <v/>
      </c>
    </row>
    <row r="593">
      <c r="A593" s="2" t="s">
        <v>33</v>
      </c>
      <c r="B593" s="12">
        <v>595746.0</v>
      </c>
      <c r="C593" s="12">
        <v>596174.0</v>
      </c>
      <c r="D593" s="2"/>
      <c r="E593" s="2" t="s">
        <v>38</v>
      </c>
      <c r="F593" s="2" t="s">
        <v>1538</v>
      </c>
      <c r="G593" s="2"/>
      <c r="H593" s="12">
        <v>0.0</v>
      </c>
      <c r="I593" s="2" t="s">
        <v>40</v>
      </c>
      <c r="J593" s="2"/>
      <c r="K593" s="2" t="s">
        <v>1539</v>
      </c>
      <c r="L593" s="12">
        <v>142.0</v>
      </c>
      <c r="M593" s="2" t="s">
        <v>1540</v>
      </c>
      <c r="N593" s="2" t="str">
        <f>IFERROR(__xludf.DUMMYFUNCTION("""COMPUTED_VALUE"""),"")</f>
        <v/>
      </c>
    </row>
    <row r="594">
      <c r="A594" s="2" t="s">
        <v>33</v>
      </c>
      <c r="B594" s="12">
        <v>596449.0</v>
      </c>
      <c r="C594" s="12">
        <v>597666.0</v>
      </c>
      <c r="D594" s="2"/>
      <c r="E594" s="2" t="s">
        <v>34</v>
      </c>
      <c r="F594" s="2" t="s">
        <v>88</v>
      </c>
      <c r="G594" s="2"/>
      <c r="H594" s="12">
        <v>0.0</v>
      </c>
      <c r="I594" s="2" t="s">
        <v>40</v>
      </c>
      <c r="J594" s="2"/>
      <c r="K594" s="2" t="s">
        <v>1541</v>
      </c>
      <c r="L594" s="12">
        <v>405.0</v>
      </c>
      <c r="M594" s="2" t="s">
        <v>1542</v>
      </c>
      <c r="N594" s="2" t="str">
        <f>IFERROR(__xludf.DUMMYFUNCTION("""COMPUTED_VALUE"""),"")</f>
        <v/>
      </c>
    </row>
    <row r="595">
      <c r="A595" s="2" t="s">
        <v>33</v>
      </c>
      <c r="B595" s="12">
        <v>597716.0</v>
      </c>
      <c r="C595" s="12">
        <v>599191.0</v>
      </c>
      <c r="D595" s="2"/>
      <c r="E595" s="2" t="s">
        <v>38</v>
      </c>
      <c r="F595" s="2" t="s">
        <v>1543</v>
      </c>
      <c r="G595" s="2"/>
      <c r="H595" s="12">
        <v>0.0</v>
      </c>
      <c r="I595" s="2" t="s">
        <v>40</v>
      </c>
      <c r="J595" s="2"/>
      <c r="K595" s="2" t="s">
        <v>1544</v>
      </c>
      <c r="L595" s="12">
        <v>491.0</v>
      </c>
      <c r="M595" s="2" t="s">
        <v>1545</v>
      </c>
      <c r="N595" s="2" t="str">
        <f>IFERROR(__xludf.DUMMYFUNCTION("""COMPUTED_VALUE"""),"")</f>
        <v/>
      </c>
    </row>
    <row r="596">
      <c r="A596" s="2" t="s">
        <v>33</v>
      </c>
      <c r="B596" s="12">
        <v>599373.0</v>
      </c>
      <c r="C596" s="12">
        <v>599819.0</v>
      </c>
      <c r="D596" s="2"/>
      <c r="E596" s="2" t="s">
        <v>38</v>
      </c>
      <c r="F596" s="2" t="s">
        <v>1546</v>
      </c>
      <c r="G596" s="2"/>
      <c r="H596" s="12">
        <v>0.0</v>
      </c>
      <c r="I596" s="2" t="s">
        <v>40</v>
      </c>
      <c r="J596" s="2"/>
      <c r="K596" s="2" t="s">
        <v>1547</v>
      </c>
      <c r="L596" s="12">
        <v>148.0</v>
      </c>
      <c r="M596" s="2" t="s">
        <v>1548</v>
      </c>
      <c r="N596" s="2" t="str">
        <f>IFERROR(__xludf.DUMMYFUNCTION("""COMPUTED_VALUE"""),"")</f>
        <v/>
      </c>
    </row>
    <row r="597">
      <c r="A597" s="2" t="s">
        <v>33</v>
      </c>
      <c r="B597" s="12">
        <v>599843.0</v>
      </c>
      <c r="C597" s="12">
        <v>600583.0</v>
      </c>
      <c r="D597" s="2"/>
      <c r="E597" s="2" t="s">
        <v>38</v>
      </c>
      <c r="F597" s="2" t="s">
        <v>385</v>
      </c>
      <c r="G597" s="2"/>
      <c r="H597" s="12">
        <v>0.0</v>
      </c>
      <c r="I597" s="2" t="s">
        <v>40</v>
      </c>
      <c r="J597" s="2"/>
      <c r="K597" s="2" t="s">
        <v>1549</v>
      </c>
      <c r="L597" s="12">
        <v>246.0</v>
      </c>
      <c r="M597" s="2" t="s">
        <v>1550</v>
      </c>
      <c r="N597" s="2" t="str">
        <f>IFERROR(__xludf.DUMMYFUNCTION("""COMPUTED_VALUE"""),"")</f>
        <v/>
      </c>
    </row>
    <row r="598">
      <c r="A598" s="2" t="s">
        <v>33</v>
      </c>
      <c r="B598" s="12">
        <v>600595.0</v>
      </c>
      <c r="C598" s="12">
        <v>601093.0</v>
      </c>
      <c r="D598" s="2"/>
      <c r="E598" s="2" t="s">
        <v>38</v>
      </c>
      <c r="F598" s="2" t="s">
        <v>35</v>
      </c>
      <c r="G598" s="2"/>
      <c r="H598" s="12">
        <v>0.0</v>
      </c>
      <c r="I598" s="2" t="s">
        <v>36</v>
      </c>
      <c r="J598" s="2"/>
      <c r="K598" s="2"/>
      <c r="L598" s="2"/>
      <c r="M598" s="2" t="s">
        <v>1551</v>
      </c>
      <c r="N598" s="2" t="str">
        <f>IFERROR(__xludf.DUMMYFUNCTION("""COMPUTED_VALUE"""),"")</f>
        <v/>
      </c>
    </row>
    <row r="599">
      <c r="A599" s="2" t="s">
        <v>33</v>
      </c>
      <c r="B599" s="12">
        <v>601362.0</v>
      </c>
      <c r="C599" s="12">
        <v>602516.0</v>
      </c>
      <c r="D599" s="2"/>
      <c r="E599" s="2" t="s">
        <v>38</v>
      </c>
      <c r="F599" s="2" t="s">
        <v>1531</v>
      </c>
      <c r="G599" s="2" t="s">
        <v>1532</v>
      </c>
      <c r="H599" s="12">
        <v>0.0</v>
      </c>
      <c r="I599" s="2" t="s">
        <v>40</v>
      </c>
      <c r="J599" s="2"/>
      <c r="K599" s="2" t="s">
        <v>1552</v>
      </c>
      <c r="L599" s="12">
        <v>384.0</v>
      </c>
      <c r="M599" s="2" t="s">
        <v>1553</v>
      </c>
      <c r="N599" s="2" t="str">
        <f>IFERROR(__xludf.DUMMYFUNCTION("""COMPUTED_VALUE"""),"")</f>
        <v/>
      </c>
    </row>
    <row r="600">
      <c r="A600" s="2" t="s">
        <v>33</v>
      </c>
      <c r="B600" s="12">
        <v>602605.0</v>
      </c>
      <c r="C600" s="12">
        <v>602901.0</v>
      </c>
      <c r="D600" s="2"/>
      <c r="E600" s="2" t="s">
        <v>34</v>
      </c>
      <c r="F600" s="2" t="s">
        <v>39</v>
      </c>
      <c r="G600" s="2"/>
      <c r="H600" s="12">
        <v>0.0</v>
      </c>
      <c r="I600" s="2" t="s">
        <v>40</v>
      </c>
      <c r="J600" s="2"/>
      <c r="K600" s="2" t="s">
        <v>1554</v>
      </c>
      <c r="L600" s="12">
        <v>98.0</v>
      </c>
      <c r="M600" s="2" t="s">
        <v>1555</v>
      </c>
      <c r="N600" s="2" t="str">
        <f>IFERROR(__xludf.DUMMYFUNCTION("""COMPUTED_VALUE"""),"")</f>
        <v/>
      </c>
    </row>
    <row r="601">
      <c r="A601" s="2" t="s">
        <v>33</v>
      </c>
      <c r="B601" s="12">
        <v>602906.0</v>
      </c>
      <c r="C601" s="12">
        <v>603211.0</v>
      </c>
      <c r="D601" s="2"/>
      <c r="E601" s="2" t="s">
        <v>34</v>
      </c>
      <c r="F601" s="2" t="s">
        <v>39</v>
      </c>
      <c r="G601" s="2"/>
      <c r="H601" s="12">
        <v>0.0</v>
      </c>
      <c r="I601" s="2" t="s">
        <v>40</v>
      </c>
      <c r="J601" s="2"/>
      <c r="K601" s="2" t="s">
        <v>1556</v>
      </c>
      <c r="L601" s="12">
        <v>101.0</v>
      </c>
      <c r="M601" s="2" t="s">
        <v>1557</v>
      </c>
      <c r="N601" s="2" t="str">
        <f>IFERROR(__xludf.DUMMYFUNCTION("""COMPUTED_VALUE"""),"")</f>
        <v/>
      </c>
    </row>
    <row r="602">
      <c r="A602" s="2" t="s">
        <v>33</v>
      </c>
      <c r="B602" s="12">
        <v>603184.0</v>
      </c>
      <c r="C602" s="12">
        <v>603750.0</v>
      </c>
      <c r="D602" s="2"/>
      <c r="E602" s="2" t="s">
        <v>38</v>
      </c>
      <c r="F602" s="2" t="s">
        <v>1558</v>
      </c>
      <c r="G602" s="2"/>
      <c r="H602" s="12">
        <v>0.0</v>
      </c>
      <c r="I602" s="2" t="s">
        <v>40</v>
      </c>
      <c r="J602" s="2"/>
      <c r="K602" s="2" t="s">
        <v>1559</v>
      </c>
      <c r="L602" s="12">
        <v>188.0</v>
      </c>
      <c r="M602" s="2" t="s">
        <v>1560</v>
      </c>
      <c r="N602" s="2" t="str">
        <f>IFERROR(__xludf.DUMMYFUNCTION("""COMPUTED_VALUE"""),"")</f>
        <v/>
      </c>
    </row>
    <row r="603">
      <c r="A603" s="2" t="s">
        <v>33</v>
      </c>
      <c r="B603" s="12">
        <v>603731.0</v>
      </c>
      <c r="C603" s="12">
        <v>604060.0</v>
      </c>
      <c r="D603" s="2"/>
      <c r="E603" s="2" t="s">
        <v>38</v>
      </c>
      <c r="F603" s="2" t="s">
        <v>1561</v>
      </c>
      <c r="G603" s="2" t="s">
        <v>1562</v>
      </c>
      <c r="H603" s="12">
        <v>0.0</v>
      </c>
      <c r="I603" s="2" t="s">
        <v>40</v>
      </c>
      <c r="J603" s="2"/>
      <c r="K603" s="2" t="s">
        <v>1563</v>
      </c>
      <c r="L603" s="12">
        <v>109.0</v>
      </c>
      <c r="M603" s="2" t="s">
        <v>1564</v>
      </c>
      <c r="N603" s="2" t="str">
        <f>IFERROR(__xludf.DUMMYFUNCTION("""COMPUTED_VALUE"""),"")</f>
        <v/>
      </c>
    </row>
    <row r="604">
      <c r="A604" s="2" t="s">
        <v>33</v>
      </c>
      <c r="B604" s="12">
        <v>604126.0</v>
      </c>
      <c r="C604" s="12">
        <v>605463.0</v>
      </c>
      <c r="D604" s="2"/>
      <c r="E604" s="2" t="s">
        <v>38</v>
      </c>
      <c r="F604" s="2" t="s">
        <v>1565</v>
      </c>
      <c r="G604" s="2" t="s">
        <v>1566</v>
      </c>
      <c r="H604" s="12">
        <v>0.0</v>
      </c>
      <c r="I604" s="2" t="s">
        <v>40</v>
      </c>
      <c r="J604" s="2"/>
      <c r="K604" s="2" t="s">
        <v>1567</v>
      </c>
      <c r="L604" s="12">
        <v>445.0</v>
      </c>
      <c r="M604" s="2" t="s">
        <v>1568</v>
      </c>
      <c r="N604" s="2" t="str">
        <f>IFERROR(__xludf.DUMMYFUNCTION("""COMPUTED_VALUE"""),"")</f>
        <v/>
      </c>
    </row>
    <row r="605">
      <c r="A605" s="2" t="s">
        <v>33</v>
      </c>
      <c r="B605" s="12">
        <v>605920.0</v>
      </c>
      <c r="C605" s="12">
        <v>606567.0</v>
      </c>
      <c r="D605" s="2"/>
      <c r="E605" s="2" t="s">
        <v>38</v>
      </c>
      <c r="F605" s="2" t="s">
        <v>1569</v>
      </c>
      <c r="G605" s="2" t="s">
        <v>1570</v>
      </c>
      <c r="H605" s="12">
        <v>0.0</v>
      </c>
      <c r="I605" s="2" t="s">
        <v>40</v>
      </c>
      <c r="J605" s="2"/>
      <c r="K605" s="2" t="s">
        <v>1571</v>
      </c>
      <c r="L605" s="12">
        <v>215.0</v>
      </c>
      <c r="M605" s="2" t="s">
        <v>1572</v>
      </c>
      <c r="N605" s="2" t="str">
        <f>IFERROR(__xludf.DUMMYFUNCTION("""COMPUTED_VALUE"""),"")</f>
        <v/>
      </c>
    </row>
    <row r="606">
      <c r="A606" s="2" t="s">
        <v>33</v>
      </c>
      <c r="B606" s="12">
        <v>606824.0</v>
      </c>
      <c r="C606" s="12">
        <v>607693.0</v>
      </c>
      <c r="D606" s="2"/>
      <c r="E606" s="2" t="s">
        <v>34</v>
      </c>
      <c r="F606" s="2" t="s">
        <v>39</v>
      </c>
      <c r="G606" s="2"/>
      <c r="H606" s="12">
        <v>0.0</v>
      </c>
      <c r="I606" s="2" t="s">
        <v>40</v>
      </c>
      <c r="J606" s="2"/>
      <c r="K606" s="2" t="s">
        <v>1573</v>
      </c>
      <c r="L606" s="12">
        <v>289.0</v>
      </c>
      <c r="M606" s="2" t="s">
        <v>1574</v>
      </c>
      <c r="N606" s="2" t="str">
        <f>IFERROR(__xludf.DUMMYFUNCTION("""COMPUTED_VALUE"""),"")</f>
        <v/>
      </c>
    </row>
    <row r="607">
      <c r="A607" s="2" t="s">
        <v>33</v>
      </c>
      <c r="B607" s="12">
        <v>607902.0</v>
      </c>
      <c r="C607" s="12">
        <v>609209.0</v>
      </c>
      <c r="D607" s="2"/>
      <c r="E607" s="2" t="s">
        <v>34</v>
      </c>
      <c r="F607" s="2" t="s">
        <v>1023</v>
      </c>
      <c r="G607" s="2"/>
      <c r="H607" s="12">
        <v>0.0</v>
      </c>
      <c r="I607" s="2" t="s">
        <v>40</v>
      </c>
      <c r="J607" s="2"/>
      <c r="K607" s="2" t="s">
        <v>1575</v>
      </c>
      <c r="L607" s="12">
        <v>435.0</v>
      </c>
      <c r="M607" s="2" t="s">
        <v>1576</v>
      </c>
      <c r="N607" s="2" t="str">
        <f>IFERROR(__xludf.DUMMYFUNCTION("""COMPUTED_VALUE"""),"")</f>
        <v/>
      </c>
    </row>
    <row r="608">
      <c r="A608" s="2" t="s">
        <v>33</v>
      </c>
      <c r="B608" s="12">
        <v>609211.0</v>
      </c>
      <c r="C608" s="12">
        <v>609693.0</v>
      </c>
      <c r="D608" s="2"/>
      <c r="E608" s="2" t="s">
        <v>34</v>
      </c>
      <c r="F608" s="2" t="s">
        <v>1577</v>
      </c>
      <c r="G608" s="2"/>
      <c r="H608" s="12">
        <v>0.0</v>
      </c>
      <c r="I608" s="2" t="s">
        <v>40</v>
      </c>
      <c r="J608" s="2"/>
      <c r="K608" s="2" t="s">
        <v>1578</v>
      </c>
      <c r="L608" s="12">
        <v>160.0</v>
      </c>
      <c r="M608" s="2" t="s">
        <v>1579</v>
      </c>
      <c r="N608" s="2" t="str">
        <f>IFERROR(__xludf.DUMMYFUNCTION("""COMPUTED_VALUE"""),"")</f>
        <v/>
      </c>
    </row>
    <row r="609">
      <c r="A609" s="2" t="s">
        <v>33</v>
      </c>
      <c r="B609" s="12">
        <v>609718.0</v>
      </c>
      <c r="C609" s="12">
        <v>610341.0</v>
      </c>
      <c r="D609" s="2"/>
      <c r="E609" s="2" t="s">
        <v>38</v>
      </c>
      <c r="F609" s="2" t="s">
        <v>296</v>
      </c>
      <c r="G609" s="2"/>
      <c r="H609" s="12">
        <v>0.0</v>
      </c>
      <c r="I609" s="2" t="s">
        <v>40</v>
      </c>
      <c r="J609" s="2"/>
      <c r="K609" s="2" t="s">
        <v>1580</v>
      </c>
      <c r="L609" s="12">
        <v>207.0</v>
      </c>
      <c r="M609" s="2" t="s">
        <v>1581</v>
      </c>
      <c r="N609" s="2" t="str">
        <f>IFERROR(__xludf.DUMMYFUNCTION("""COMPUTED_VALUE"""),"")</f>
        <v/>
      </c>
    </row>
    <row r="610">
      <c r="A610" s="2" t="s">
        <v>33</v>
      </c>
      <c r="B610" s="12">
        <v>610443.0</v>
      </c>
      <c r="C610" s="12">
        <v>610622.0</v>
      </c>
      <c r="D610" s="2"/>
      <c r="E610" s="2" t="s">
        <v>38</v>
      </c>
      <c r="F610" s="2" t="s">
        <v>39</v>
      </c>
      <c r="G610" s="2"/>
      <c r="H610" s="12">
        <v>0.0</v>
      </c>
      <c r="I610" s="2" t="s">
        <v>40</v>
      </c>
      <c r="J610" s="2"/>
      <c r="K610" s="2" t="s">
        <v>1582</v>
      </c>
      <c r="L610" s="12">
        <v>59.0</v>
      </c>
      <c r="M610" s="2" t="s">
        <v>1583</v>
      </c>
      <c r="N610" s="2" t="str">
        <f>IFERROR(__xludf.DUMMYFUNCTION("""COMPUTED_VALUE"""),"")</f>
        <v/>
      </c>
    </row>
    <row r="611">
      <c r="A611" s="2" t="s">
        <v>33</v>
      </c>
      <c r="B611" s="12">
        <v>610848.0</v>
      </c>
      <c r="C611" s="12">
        <v>611306.0</v>
      </c>
      <c r="D611" s="2"/>
      <c r="E611" s="2" t="s">
        <v>38</v>
      </c>
      <c r="F611" s="2" t="s">
        <v>1584</v>
      </c>
      <c r="G611" s="2"/>
      <c r="H611" s="12">
        <v>0.0</v>
      </c>
      <c r="I611" s="2" t="s">
        <v>40</v>
      </c>
      <c r="J611" s="2"/>
      <c r="K611" s="2" t="s">
        <v>1585</v>
      </c>
      <c r="L611" s="12">
        <v>152.0</v>
      </c>
      <c r="M611" s="2" t="s">
        <v>1586</v>
      </c>
      <c r="N611" s="2" t="str">
        <f>IFERROR(__xludf.DUMMYFUNCTION("""COMPUTED_VALUE"""),"")</f>
        <v/>
      </c>
    </row>
    <row r="612">
      <c r="A612" s="2" t="s">
        <v>33</v>
      </c>
      <c r="B612" s="12">
        <v>611338.0</v>
      </c>
      <c r="C612" s="12">
        <v>612522.0</v>
      </c>
      <c r="D612" s="2"/>
      <c r="E612" s="2" t="s">
        <v>38</v>
      </c>
      <c r="F612" s="2" t="s">
        <v>1587</v>
      </c>
      <c r="G612" s="2" t="s">
        <v>1588</v>
      </c>
      <c r="H612" s="12">
        <v>0.0</v>
      </c>
      <c r="I612" s="2" t="s">
        <v>40</v>
      </c>
      <c r="J612" s="2"/>
      <c r="K612" s="2" t="s">
        <v>1589</v>
      </c>
      <c r="L612" s="12">
        <v>394.0</v>
      </c>
      <c r="M612" s="2" t="s">
        <v>1590</v>
      </c>
      <c r="N612" s="2" t="str">
        <f>IFERROR(__xludf.DUMMYFUNCTION("""COMPUTED_VALUE"""),"")</f>
        <v/>
      </c>
    </row>
    <row r="613">
      <c r="A613" s="2" t="s">
        <v>33</v>
      </c>
      <c r="B613" s="12">
        <v>612683.0</v>
      </c>
      <c r="C613" s="12">
        <v>612769.0</v>
      </c>
      <c r="D613" s="2"/>
      <c r="E613" s="2" t="s">
        <v>34</v>
      </c>
      <c r="F613" s="2" t="s">
        <v>560</v>
      </c>
      <c r="G613" s="2"/>
      <c r="H613" s="12">
        <v>0.0</v>
      </c>
      <c r="I613" s="2" t="s">
        <v>40</v>
      </c>
      <c r="J613" s="2"/>
      <c r="K613" s="2" t="s">
        <v>1591</v>
      </c>
      <c r="L613" s="12">
        <v>28.0</v>
      </c>
      <c r="M613" s="2" t="s">
        <v>1592</v>
      </c>
      <c r="N613" s="2" t="str">
        <f>IFERROR(__xludf.DUMMYFUNCTION("""COMPUTED_VALUE"""),"")</f>
        <v/>
      </c>
    </row>
    <row r="614">
      <c r="A614" s="2" t="s">
        <v>33</v>
      </c>
      <c r="B614" s="12">
        <v>612896.0</v>
      </c>
      <c r="C614" s="12">
        <v>613402.0</v>
      </c>
      <c r="D614" s="2"/>
      <c r="E614" s="2" t="s">
        <v>38</v>
      </c>
      <c r="F614" s="2" t="s">
        <v>1593</v>
      </c>
      <c r="G614" s="2"/>
      <c r="H614" s="12">
        <v>0.0</v>
      </c>
      <c r="I614" s="2" t="s">
        <v>40</v>
      </c>
      <c r="J614" s="2"/>
      <c r="K614" s="2" t="s">
        <v>1594</v>
      </c>
      <c r="L614" s="12">
        <v>168.0</v>
      </c>
      <c r="M614" s="2" t="s">
        <v>1595</v>
      </c>
      <c r="N614" s="2" t="str">
        <f>IFERROR(__xludf.DUMMYFUNCTION("""COMPUTED_VALUE"""),"")</f>
        <v/>
      </c>
    </row>
    <row r="615">
      <c r="A615" s="2" t="s">
        <v>33</v>
      </c>
      <c r="B615" s="12">
        <v>613522.0</v>
      </c>
      <c r="C615" s="12">
        <v>614391.0</v>
      </c>
      <c r="D615" s="2"/>
      <c r="E615" s="2" t="s">
        <v>38</v>
      </c>
      <c r="F615" s="2" t="s">
        <v>1596</v>
      </c>
      <c r="G615" s="2"/>
      <c r="H615" s="12">
        <v>0.0</v>
      </c>
      <c r="I615" s="2" t="s">
        <v>40</v>
      </c>
      <c r="J615" s="2"/>
      <c r="K615" s="2" t="s">
        <v>1597</v>
      </c>
      <c r="L615" s="12">
        <v>289.0</v>
      </c>
      <c r="M615" s="2" t="s">
        <v>1598</v>
      </c>
      <c r="N615" s="2" t="str">
        <f>IFERROR(__xludf.DUMMYFUNCTION("""COMPUTED_VALUE"""),"")</f>
        <v/>
      </c>
    </row>
    <row r="616">
      <c r="A616" s="2" t="s">
        <v>33</v>
      </c>
      <c r="B616" s="12">
        <v>614395.0</v>
      </c>
      <c r="C616" s="12">
        <v>615291.0</v>
      </c>
      <c r="D616" s="2"/>
      <c r="E616" s="2" t="s">
        <v>38</v>
      </c>
      <c r="F616" s="2" t="s">
        <v>1599</v>
      </c>
      <c r="G616" s="2"/>
      <c r="H616" s="12">
        <v>0.0</v>
      </c>
      <c r="I616" s="2" t="s">
        <v>40</v>
      </c>
      <c r="J616" s="2"/>
      <c r="K616" s="2" t="s">
        <v>1600</v>
      </c>
      <c r="L616" s="12">
        <v>298.0</v>
      </c>
      <c r="M616" s="2" t="s">
        <v>1601</v>
      </c>
      <c r="N616" s="2" t="str">
        <f>IFERROR(__xludf.DUMMYFUNCTION("""COMPUTED_VALUE"""),"")</f>
        <v/>
      </c>
    </row>
    <row r="617">
      <c r="A617" s="2" t="s">
        <v>33</v>
      </c>
      <c r="B617" s="12">
        <v>615490.0</v>
      </c>
      <c r="C617" s="12">
        <v>616431.0</v>
      </c>
      <c r="D617" s="2"/>
      <c r="E617" s="2" t="s">
        <v>38</v>
      </c>
      <c r="F617" s="2" t="s">
        <v>1602</v>
      </c>
      <c r="G617" s="2"/>
      <c r="H617" s="12">
        <v>0.0</v>
      </c>
      <c r="I617" s="2" t="s">
        <v>40</v>
      </c>
      <c r="J617" s="2"/>
      <c r="K617" s="2" t="s">
        <v>1603</v>
      </c>
      <c r="L617" s="12">
        <v>313.0</v>
      </c>
      <c r="M617" s="2" t="s">
        <v>1604</v>
      </c>
      <c r="N617" s="2" t="str">
        <f>IFERROR(__xludf.DUMMYFUNCTION("""COMPUTED_VALUE"""),"")</f>
        <v/>
      </c>
    </row>
    <row r="618">
      <c r="A618" s="2" t="s">
        <v>33</v>
      </c>
      <c r="B618" s="12">
        <v>616764.0</v>
      </c>
      <c r="C618" s="12">
        <v>618143.0</v>
      </c>
      <c r="D618" s="2"/>
      <c r="E618" s="2" t="s">
        <v>38</v>
      </c>
      <c r="F618" s="2" t="s">
        <v>1605</v>
      </c>
      <c r="G618" s="2"/>
      <c r="H618" s="12">
        <v>0.0</v>
      </c>
      <c r="I618" s="2" t="s">
        <v>40</v>
      </c>
      <c r="J618" s="2"/>
      <c r="K618" s="2" t="s">
        <v>1606</v>
      </c>
      <c r="L618" s="12">
        <v>459.0</v>
      </c>
      <c r="M618" s="2" t="s">
        <v>1607</v>
      </c>
      <c r="N618" s="2" t="str">
        <f>IFERROR(__xludf.DUMMYFUNCTION("""COMPUTED_VALUE"""),"")</f>
        <v/>
      </c>
    </row>
    <row r="619">
      <c r="A619" s="2" t="s">
        <v>33</v>
      </c>
      <c r="B619" s="12">
        <v>618241.0</v>
      </c>
      <c r="C619" s="12">
        <v>618843.0</v>
      </c>
      <c r="D619" s="2"/>
      <c r="E619" s="2" t="s">
        <v>38</v>
      </c>
      <c r="F619" s="2" t="s">
        <v>1608</v>
      </c>
      <c r="G619" s="2"/>
      <c r="H619" s="12">
        <v>0.0</v>
      </c>
      <c r="I619" s="2" t="s">
        <v>40</v>
      </c>
      <c r="J619" s="2"/>
      <c r="K619" s="2" t="s">
        <v>1609</v>
      </c>
      <c r="L619" s="12">
        <v>200.0</v>
      </c>
      <c r="M619" s="2" t="s">
        <v>1610</v>
      </c>
      <c r="N619" s="2" t="str">
        <f>IFERROR(__xludf.DUMMYFUNCTION("""COMPUTED_VALUE"""),"")</f>
        <v/>
      </c>
    </row>
    <row r="620">
      <c r="A620" s="2" t="s">
        <v>33</v>
      </c>
      <c r="B620" s="12">
        <v>618948.0</v>
      </c>
      <c r="C620" s="12">
        <v>619565.0</v>
      </c>
      <c r="D620" s="2"/>
      <c r="E620" s="2" t="s">
        <v>38</v>
      </c>
      <c r="F620" s="2" t="s">
        <v>1611</v>
      </c>
      <c r="G620" s="2"/>
      <c r="H620" s="12">
        <v>0.0</v>
      </c>
      <c r="I620" s="2" t="s">
        <v>40</v>
      </c>
      <c r="J620" s="2"/>
      <c r="K620" s="2" t="s">
        <v>1612</v>
      </c>
      <c r="L620" s="12">
        <v>205.0</v>
      </c>
      <c r="M620" s="2" t="s">
        <v>1613</v>
      </c>
      <c r="N620" s="2" t="str">
        <f>IFERROR(__xludf.DUMMYFUNCTION("""COMPUTED_VALUE"""),"")</f>
        <v/>
      </c>
    </row>
    <row r="621">
      <c r="A621" s="2" t="s">
        <v>33</v>
      </c>
      <c r="B621" s="12">
        <v>619670.0</v>
      </c>
      <c r="C621" s="12">
        <v>620746.0</v>
      </c>
      <c r="D621" s="2"/>
      <c r="E621" s="2" t="s">
        <v>38</v>
      </c>
      <c r="F621" s="2" t="s">
        <v>1614</v>
      </c>
      <c r="G621" s="2" t="s">
        <v>1615</v>
      </c>
      <c r="H621" s="12">
        <v>0.0</v>
      </c>
      <c r="I621" s="2" t="s">
        <v>40</v>
      </c>
      <c r="J621" s="2"/>
      <c r="K621" s="2" t="s">
        <v>1616</v>
      </c>
      <c r="L621" s="12">
        <v>358.0</v>
      </c>
      <c r="M621" s="2" t="s">
        <v>1617</v>
      </c>
      <c r="N621" s="2" t="str">
        <f>IFERROR(__xludf.DUMMYFUNCTION("""COMPUTED_VALUE"""),"")</f>
        <v/>
      </c>
    </row>
    <row r="622">
      <c r="A622" s="2" t="s">
        <v>33</v>
      </c>
      <c r="B622" s="12">
        <v>620928.0</v>
      </c>
      <c r="C622" s="12">
        <v>621506.0</v>
      </c>
      <c r="D622" s="2"/>
      <c r="E622" s="2" t="s">
        <v>34</v>
      </c>
      <c r="F622" s="2" t="s">
        <v>1618</v>
      </c>
      <c r="G622" s="2" t="s">
        <v>1619</v>
      </c>
      <c r="H622" s="12">
        <v>0.0</v>
      </c>
      <c r="I622" s="2" t="s">
        <v>40</v>
      </c>
      <c r="J622" s="2"/>
      <c r="K622" s="2" t="s">
        <v>1620</v>
      </c>
      <c r="L622" s="12">
        <v>192.0</v>
      </c>
      <c r="M622" s="2" t="s">
        <v>1621</v>
      </c>
      <c r="N622" s="2" t="str">
        <f>IFERROR(__xludf.DUMMYFUNCTION("""COMPUTED_VALUE"""),"")</f>
        <v/>
      </c>
    </row>
    <row r="623">
      <c r="A623" s="2" t="s">
        <v>33</v>
      </c>
      <c r="B623" s="12">
        <v>621552.0</v>
      </c>
      <c r="C623" s="12">
        <v>622163.0</v>
      </c>
      <c r="D623" s="2"/>
      <c r="E623" s="2" t="s">
        <v>38</v>
      </c>
      <c r="F623" s="2" t="s">
        <v>1622</v>
      </c>
      <c r="G623" s="2"/>
      <c r="H623" s="12">
        <v>0.0</v>
      </c>
      <c r="I623" s="2" t="s">
        <v>40</v>
      </c>
      <c r="J623" s="2"/>
      <c r="K623" s="2" t="s">
        <v>1623</v>
      </c>
      <c r="L623" s="12">
        <v>203.0</v>
      </c>
      <c r="M623" s="2" t="s">
        <v>1624</v>
      </c>
      <c r="N623" s="2" t="str">
        <f>IFERROR(__xludf.DUMMYFUNCTION("""COMPUTED_VALUE"""),"")</f>
        <v/>
      </c>
    </row>
    <row r="624">
      <c r="A624" s="2" t="s">
        <v>33</v>
      </c>
      <c r="B624" s="12">
        <v>622177.0</v>
      </c>
      <c r="C624" s="12">
        <v>622722.0</v>
      </c>
      <c r="D624" s="2"/>
      <c r="E624" s="2" t="s">
        <v>38</v>
      </c>
      <c r="F624" s="2" t="s">
        <v>1625</v>
      </c>
      <c r="G624" s="2"/>
      <c r="H624" s="12">
        <v>0.0</v>
      </c>
      <c r="I624" s="2" t="s">
        <v>40</v>
      </c>
      <c r="J624" s="2"/>
      <c r="K624" s="2" t="s">
        <v>1626</v>
      </c>
      <c r="L624" s="12">
        <v>181.0</v>
      </c>
      <c r="M624" s="2" t="s">
        <v>1627</v>
      </c>
      <c r="N624" s="2" t="str">
        <f>IFERROR(__xludf.DUMMYFUNCTION("""COMPUTED_VALUE"""),"")</f>
        <v/>
      </c>
    </row>
    <row r="625">
      <c r="A625" s="2" t="s">
        <v>33</v>
      </c>
      <c r="B625" s="12">
        <v>622736.0</v>
      </c>
      <c r="C625" s="12">
        <v>623152.0</v>
      </c>
      <c r="D625" s="2"/>
      <c r="E625" s="2" t="s">
        <v>38</v>
      </c>
      <c r="F625" s="2" t="s">
        <v>1628</v>
      </c>
      <c r="G625" s="2" t="s">
        <v>1629</v>
      </c>
      <c r="H625" s="12">
        <v>0.0</v>
      </c>
      <c r="I625" s="2" t="s">
        <v>40</v>
      </c>
      <c r="J625" s="2"/>
      <c r="K625" s="2" t="s">
        <v>1630</v>
      </c>
      <c r="L625" s="12">
        <v>138.0</v>
      </c>
      <c r="M625" s="2" t="s">
        <v>1631</v>
      </c>
      <c r="N625" s="2" t="str">
        <f>IFERROR(__xludf.DUMMYFUNCTION("""COMPUTED_VALUE"""),"")</f>
        <v/>
      </c>
    </row>
    <row r="626">
      <c r="A626" s="2" t="s">
        <v>33</v>
      </c>
      <c r="B626" s="12">
        <v>623212.0</v>
      </c>
      <c r="C626" s="12">
        <v>624873.0</v>
      </c>
      <c r="D626" s="2"/>
      <c r="E626" s="2" t="s">
        <v>38</v>
      </c>
      <c r="F626" s="2" t="s">
        <v>1632</v>
      </c>
      <c r="G626" s="2"/>
      <c r="H626" s="12">
        <v>0.0</v>
      </c>
      <c r="I626" s="2" t="s">
        <v>40</v>
      </c>
      <c r="J626" s="2"/>
      <c r="K626" s="2" t="s">
        <v>1633</v>
      </c>
      <c r="L626" s="12">
        <v>553.0</v>
      </c>
      <c r="M626" s="2" t="s">
        <v>1634</v>
      </c>
      <c r="N626" s="2" t="str">
        <f>IFERROR(__xludf.DUMMYFUNCTION("""COMPUTED_VALUE"""),"")</f>
        <v/>
      </c>
    </row>
    <row r="627">
      <c r="A627" s="2" t="s">
        <v>33</v>
      </c>
      <c r="B627" s="12">
        <v>624958.0</v>
      </c>
      <c r="C627" s="12">
        <v>625962.0</v>
      </c>
      <c r="D627" s="2"/>
      <c r="E627" s="2" t="s">
        <v>38</v>
      </c>
      <c r="F627" s="2" t="s">
        <v>1635</v>
      </c>
      <c r="G627" s="2"/>
      <c r="H627" s="12">
        <v>0.0</v>
      </c>
      <c r="I627" s="2" t="s">
        <v>40</v>
      </c>
      <c r="J627" s="2"/>
      <c r="K627" s="2" t="s">
        <v>1636</v>
      </c>
      <c r="L627" s="12">
        <v>334.0</v>
      </c>
      <c r="M627" s="2" t="s">
        <v>1637</v>
      </c>
      <c r="N627" s="2" t="str">
        <f>IFERROR(__xludf.DUMMYFUNCTION("""COMPUTED_VALUE"""),"")</f>
        <v/>
      </c>
    </row>
    <row r="628">
      <c r="A628" s="2" t="s">
        <v>33</v>
      </c>
      <c r="B628" s="12">
        <v>625970.0</v>
      </c>
      <c r="C628" s="12">
        <v>626422.0</v>
      </c>
      <c r="D628" s="2"/>
      <c r="E628" s="2" t="s">
        <v>38</v>
      </c>
      <c r="F628" s="2" t="s">
        <v>1638</v>
      </c>
      <c r="G628" s="2"/>
      <c r="H628" s="12">
        <v>0.0</v>
      </c>
      <c r="I628" s="2" t="s">
        <v>40</v>
      </c>
      <c r="J628" s="2"/>
      <c r="K628" s="2" t="s">
        <v>1639</v>
      </c>
      <c r="L628" s="12">
        <v>150.0</v>
      </c>
      <c r="M628" s="2" t="s">
        <v>1640</v>
      </c>
      <c r="N628" s="2" t="str">
        <f>IFERROR(__xludf.DUMMYFUNCTION("""COMPUTED_VALUE"""),"")</f>
        <v/>
      </c>
    </row>
    <row r="629">
      <c r="A629" s="2" t="s">
        <v>33</v>
      </c>
      <c r="B629" s="12">
        <v>626556.0</v>
      </c>
      <c r="C629" s="12">
        <v>627593.0</v>
      </c>
      <c r="D629" s="2"/>
      <c r="E629" s="2" t="s">
        <v>34</v>
      </c>
      <c r="F629" s="2" t="s">
        <v>1641</v>
      </c>
      <c r="G629" s="2" t="s">
        <v>1642</v>
      </c>
      <c r="H629" s="12">
        <v>0.0</v>
      </c>
      <c r="I629" s="2" t="s">
        <v>40</v>
      </c>
      <c r="J629" s="2"/>
      <c r="K629" s="2" t="s">
        <v>1643</v>
      </c>
      <c r="L629" s="12">
        <v>345.0</v>
      </c>
      <c r="M629" s="2" t="s">
        <v>1644</v>
      </c>
      <c r="N629" s="2" t="str">
        <f>IFERROR(__xludf.DUMMYFUNCTION("""COMPUTED_VALUE"""),"")</f>
        <v/>
      </c>
    </row>
    <row r="630">
      <c r="A630" s="2" t="s">
        <v>33</v>
      </c>
      <c r="B630" s="12">
        <v>627623.0</v>
      </c>
      <c r="C630" s="12">
        <v>628282.0</v>
      </c>
      <c r="D630" s="2"/>
      <c r="E630" s="2" t="s">
        <v>38</v>
      </c>
      <c r="F630" s="2" t="s">
        <v>1645</v>
      </c>
      <c r="G630" s="2"/>
      <c r="H630" s="12">
        <v>0.0</v>
      </c>
      <c r="I630" s="2" t="s">
        <v>40</v>
      </c>
      <c r="J630" s="2"/>
      <c r="K630" s="2" t="s">
        <v>1646</v>
      </c>
      <c r="L630" s="12">
        <v>219.0</v>
      </c>
      <c r="M630" s="2" t="s">
        <v>1647</v>
      </c>
      <c r="N630" s="2" t="str">
        <f>IFERROR(__xludf.DUMMYFUNCTION("""COMPUTED_VALUE"""),"")</f>
        <v/>
      </c>
    </row>
    <row r="631">
      <c r="A631" s="2" t="s">
        <v>33</v>
      </c>
      <c r="B631" s="12">
        <v>628398.0</v>
      </c>
      <c r="C631" s="12">
        <v>628547.0</v>
      </c>
      <c r="D631" s="2"/>
      <c r="E631" s="2" t="s">
        <v>38</v>
      </c>
      <c r="F631" s="2" t="s">
        <v>39</v>
      </c>
      <c r="G631" s="2"/>
      <c r="H631" s="12">
        <v>0.0</v>
      </c>
      <c r="I631" s="2" t="s">
        <v>40</v>
      </c>
      <c r="J631" s="2"/>
      <c r="K631" s="2" t="s">
        <v>1648</v>
      </c>
      <c r="L631" s="12">
        <v>49.0</v>
      </c>
      <c r="M631" s="2" t="s">
        <v>1649</v>
      </c>
      <c r="N631" s="2" t="str">
        <f>IFERROR(__xludf.DUMMYFUNCTION("""COMPUTED_VALUE"""),"")</f>
        <v/>
      </c>
    </row>
    <row r="632">
      <c r="A632" s="2" t="s">
        <v>33</v>
      </c>
      <c r="B632" s="12">
        <v>628813.0</v>
      </c>
      <c r="C632" s="12">
        <v>629763.0</v>
      </c>
      <c r="D632" s="2"/>
      <c r="E632" s="2" t="s">
        <v>34</v>
      </c>
      <c r="F632" s="2" t="s">
        <v>1650</v>
      </c>
      <c r="G632" s="2"/>
      <c r="H632" s="12">
        <v>0.0</v>
      </c>
      <c r="I632" s="2" t="s">
        <v>40</v>
      </c>
      <c r="J632" s="2"/>
      <c r="K632" s="2" t="s">
        <v>1651</v>
      </c>
      <c r="L632" s="12">
        <v>316.0</v>
      </c>
      <c r="M632" s="2" t="s">
        <v>1652</v>
      </c>
      <c r="N632" s="2" t="str">
        <f>IFERROR(__xludf.DUMMYFUNCTION("""COMPUTED_VALUE"""),"")</f>
        <v/>
      </c>
    </row>
    <row r="633">
      <c r="A633" s="2" t="s">
        <v>33</v>
      </c>
      <c r="B633" s="12">
        <v>629902.0</v>
      </c>
      <c r="C633" s="12">
        <v>630372.0</v>
      </c>
      <c r="D633" s="2"/>
      <c r="E633" s="2" t="s">
        <v>34</v>
      </c>
      <c r="F633" s="2" t="s">
        <v>367</v>
      </c>
      <c r="G633" s="2"/>
      <c r="H633" s="12">
        <v>0.0</v>
      </c>
      <c r="I633" s="2" t="s">
        <v>40</v>
      </c>
      <c r="J633" s="2"/>
      <c r="K633" s="2" t="s">
        <v>1653</v>
      </c>
      <c r="L633" s="12">
        <v>156.0</v>
      </c>
      <c r="M633" s="2" t="s">
        <v>1654</v>
      </c>
      <c r="N633" s="2" t="str">
        <f>IFERROR(__xludf.DUMMYFUNCTION("""COMPUTED_VALUE"""),"")</f>
        <v/>
      </c>
    </row>
    <row r="634">
      <c r="A634" s="2" t="s">
        <v>33</v>
      </c>
      <c r="B634" s="12">
        <v>630485.0</v>
      </c>
      <c r="C634" s="12">
        <v>631435.0</v>
      </c>
      <c r="D634" s="2"/>
      <c r="E634" s="2" t="s">
        <v>38</v>
      </c>
      <c r="F634" s="2" t="s">
        <v>1655</v>
      </c>
      <c r="G634" s="2"/>
      <c r="H634" s="12">
        <v>0.0</v>
      </c>
      <c r="I634" s="2" t="s">
        <v>40</v>
      </c>
      <c r="J634" s="2"/>
      <c r="K634" s="2" t="s">
        <v>1656</v>
      </c>
      <c r="L634" s="12">
        <v>316.0</v>
      </c>
      <c r="M634" s="2" t="s">
        <v>1657</v>
      </c>
      <c r="N634" s="2" t="str">
        <f>IFERROR(__xludf.DUMMYFUNCTION("""COMPUTED_VALUE"""),"")</f>
        <v/>
      </c>
    </row>
    <row r="635">
      <c r="A635" s="2" t="s">
        <v>33</v>
      </c>
      <c r="B635" s="12">
        <v>631600.0</v>
      </c>
      <c r="C635" s="12">
        <v>632502.0</v>
      </c>
      <c r="D635" s="2"/>
      <c r="E635" s="2" t="s">
        <v>34</v>
      </c>
      <c r="F635" s="2" t="s">
        <v>1658</v>
      </c>
      <c r="G635" s="2"/>
      <c r="H635" s="12">
        <v>0.0</v>
      </c>
      <c r="I635" s="2" t="s">
        <v>40</v>
      </c>
      <c r="J635" s="2"/>
      <c r="K635" s="2" t="s">
        <v>1659</v>
      </c>
      <c r="L635" s="12">
        <v>300.0</v>
      </c>
      <c r="M635" s="2" t="s">
        <v>1660</v>
      </c>
      <c r="N635" s="2" t="str">
        <f>IFERROR(__xludf.DUMMYFUNCTION("""COMPUTED_VALUE"""),"")</f>
        <v/>
      </c>
    </row>
    <row r="636">
      <c r="A636" s="2" t="s">
        <v>33</v>
      </c>
      <c r="B636" s="12">
        <v>632527.0</v>
      </c>
      <c r="C636" s="12">
        <v>633111.0</v>
      </c>
      <c r="D636" s="2"/>
      <c r="E636" s="2" t="s">
        <v>38</v>
      </c>
      <c r="F636" s="2" t="s">
        <v>367</v>
      </c>
      <c r="G636" s="2"/>
      <c r="H636" s="12">
        <v>0.0</v>
      </c>
      <c r="I636" s="2" t="s">
        <v>40</v>
      </c>
      <c r="J636" s="2"/>
      <c r="K636" s="2" t="s">
        <v>1661</v>
      </c>
      <c r="L636" s="12">
        <v>194.0</v>
      </c>
      <c r="M636" s="2" t="s">
        <v>1662</v>
      </c>
      <c r="N636" s="2" t="str">
        <f>IFERROR(__xludf.DUMMYFUNCTION("""COMPUTED_VALUE"""),"")</f>
        <v/>
      </c>
    </row>
    <row r="637">
      <c r="A637" s="2" t="s">
        <v>33</v>
      </c>
      <c r="B637" s="12">
        <v>633196.0</v>
      </c>
      <c r="C637" s="12">
        <v>634659.0</v>
      </c>
      <c r="D637" s="2"/>
      <c r="E637" s="2" t="s">
        <v>38</v>
      </c>
      <c r="F637" s="2" t="s">
        <v>1663</v>
      </c>
      <c r="G637" s="2"/>
      <c r="H637" s="12">
        <v>0.0</v>
      </c>
      <c r="I637" s="2" t="s">
        <v>40</v>
      </c>
      <c r="J637" s="2"/>
      <c r="K637" s="2" t="s">
        <v>1664</v>
      </c>
      <c r="L637" s="12">
        <v>487.0</v>
      </c>
      <c r="M637" s="2" t="s">
        <v>1665</v>
      </c>
      <c r="N637" s="2" t="str">
        <f>IFERROR(__xludf.DUMMYFUNCTION("""COMPUTED_VALUE"""),"")</f>
        <v/>
      </c>
    </row>
    <row r="638">
      <c r="A638" s="2" t="s">
        <v>33</v>
      </c>
      <c r="B638" s="12">
        <v>634838.0</v>
      </c>
      <c r="C638" s="12">
        <v>635029.0</v>
      </c>
      <c r="D638" s="2"/>
      <c r="E638" s="2" t="s">
        <v>34</v>
      </c>
      <c r="F638" s="2" t="s">
        <v>1666</v>
      </c>
      <c r="G638" s="2"/>
      <c r="H638" s="12">
        <v>0.0</v>
      </c>
      <c r="I638" s="2" t="s">
        <v>40</v>
      </c>
      <c r="J638" s="2"/>
      <c r="K638" s="2" t="s">
        <v>1667</v>
      </c>
      <c r="L638" s="12">
        <v>63.0</v>
      </c>
      <c r="M638" s="2" t="s">
        <v>1668</v>
      </c>
      <c r="N638" s="2" t="str">
        <f>IFERROR(__xludf.DUMMYFUNCTION("""COMPUTED_VALUE"""),"")</f>
        <v/>
      </c>
    </row>
    <row r="639">
      <c r="A639" s="2" t="s">
        <v>33</v>
      </c>
      <c r="B639" s="12">
        <v>635134.0</v>
      </c>
      <c r="C639" s="12">
        <v>636135.0</v>
      </c>
      <c r="D639" s="2"/>
      <c r="E639" s="2" t="s">
        <v>34</v>
      </c>
      <c r="F639" s="2" t="s">
        <v>1669</v>
      </c>
      <c r="G639" s="2"/>
      <c r="H639" s="12">
        <v>0.0</v>
      </c>
      <c r="I639" s="2" t="s">
        <v>40</v>
      </c>
      <c r="J639" s="2"/>
      <c r="K639" s="2" t="s">
        <v>1670</v>
      </c>
      <c r="L639" s="12">
        <v>333.0</v>
      </c>
      <c r="M639" s="2" t="s">
        <v>1671</v>
      </c>
      <c r="N639" s="2" t="str">
        <f>IFERROR(__xludf.DUMMYFUNCTION("""COMPUTED_VALUE"""),"")</f>
        <v/>
      </c>
    </row>
    <row r="640">
      <c r="A640" s="2" t="s">
        <v>33</v>
      </c>
      <c r="B640" s="12">
        <v>636180.0</v>
      </c>
      <c r="C640" s="12">
        <v>637124.0</v>
      </c>
      <c r="D640" s="2"/>
      <c r="E640" s="2" t="s">
        <v>38</v>
      </c>
      <c r="F640" s="2" t="s">
        <v>1672</v>
      </c>
      <c r="G640" s="2"/>
      <c r="H640" s="12">
        <v>0.0</v>
      </c>
      <c r="I640" s="2" t="s">
        <v>40</v>
      </c>
      <c r="J640" s="2"/>
      <c r="K640" s="2" t="s">
        <v>1673</v>
      </c>
      <c r="L640" s="12">
        <v>314.0</v>
      </c>
      <c r="M640" s="2" t="s">
        <v>1674</v>
      </c>
      <c r="N640" s="2" t="str">
        <f>IFERROR(__xludf.DUMMYFUNCTION("""COMPUTED_VALUE"""),"")</f>
        <v/>
      </c>
    </row>
    <row r="641">
      <c r="A641" s="2" t="s">
        <v>33</v>
      </c>
      <c r="B641" s="12">
        <v>637338.0</v>
      </c>
      <c r="C641" s="12">
        <v>637793.0</v>
      </c>
      <c r="D641" s="2"/>
      <c r="E641" s="2" t="s">
        <v>38</v>
      </c>
      <c r="F641" s="2" t="s">
        <v>1675</v>
      </c>
      <c r="G641" s="2"/>
      <c r="H641" s="12">
        <v>0.0</v>
      </c>
      <c r="I641" s="2" t="s">
        <v>40</v>
      </c>
      <c r="J641" s="2"/>
      <c r="K641" s="2" t="s">
        <v>1676</v>
      </c>
      <c r="L641" s="12">
        <v>151.0</v>
      </c>
      <c r="M641" s="2" t="s">
        <v>1677</v>
      </c>
      <c r="N641" s="2" t="str">
        <f>IFERROR(__xludf.DUMMYFUNCTION("""COMPUTED_VALUE"""),"")</f>
        <v/>
      </c>
    </row>
    <row r="642">
      <c r="A642" s="2" t="s">
        <v>33</v>
      </c>
      <c r="B642" s="12">
        <v>637897.0</v>
      </c>
      <c r="C642" s="12">
        <v>638340.0</v>
      </c>
      <c r="D642" s="2"/>
      <c r="E642" s="2" t="s">
        <v>38</v>
      </c>
      <c r="F642" s="2" t="s">
        <v>1678</v>
      </c>
      <c r="G642" s="2"/>
      <c r="H642" s="12">
        <v>0.0</v>
      </c>
      <c r="I642" s="2" t="s">
        <v>40</v>
      </c>
      <c r="J642" s="2"/>
      <c r="K642" s="2" t="s">
        <v>1679</v>
      </c>
      <c r="L642" s="12">
        <v>147.0</v>
      </c>
      <c r="M642" s="2" t="s">
        <v>1680</v>
      </c>
      <c r="N642" s="2" t="str">
        <f>IFERROR(__xludf.DUMMYFUNCTION("""COMPUTED_VALUE"""),"")</f>
        <v/>
      </c>
    </row>
    <row r="643">
      <c r="A643" s="2" t="s">
        <v>33</v>
      </c>
      <c r="B643" s="12">
        <v>638581.0</v>
      </c>
      <c r="C643" s="12">
        <v>639621.0</v>
      </c>
      <c r="D643" s="2"/>
      <c r="E643" s="2" t="s">
        <v>34</v>
      </c>
      <c r="F643" s="2" t="s">
        <v>1681</v>
      </c>
      <c r="G643" s="2"/>
      <c r="H643" s="12">
        <v>0.0</v>
      </c>
      <c r="I643" s="2" t="s">
        <v>40</v>
      </c>
      <c r="J643" s="2"/>
      <c r="K643" s="2" t="s">
        <v>1682</v>
      </c>
      <c r="L643" s="12">
        <v>346.0</v>
      </c>
      <c r="M643" s="2" t="s">
        <v>1683</v>
      </c>
      <c r="N643" s="2" t="str">
        <f>IFERROR(__xludf.DUMMYFUNCTION("""COMPUTED_VALUE"""),"")</f>
        <v/>
      </c>
    </row>
    <row r="644">
      <c r="A644" s="2" t="s">
        <v>33</v>
      </c>
      <c r="B644" s="12">
        <v>639656.0</v>
      </c>
      <c r="C644" s="12">
        <v>640021.0</v>
      </c>
      <c r="D644" s="2"/>
      <c r="E644" s="2" t="s">
        <v>38</v>
      </c>
      <c r="F644" s="2" t="s">
        <v>1684</v>
      </c>
      <c r="G644" s="2"/>
      <c r="H644" s="12">
        <v>0.0</v>
      </c>
      <c r="I644" s="2" t="s">
        <v>40</v>
      </c>
      <c r="J644" s="2"/>
      <c r="K644" s="2" t="s">
        <v>1685</v>
      </c>
      <c r="L644" s="12">
        <v>121.0</v>
      </c>
      <c r="M644" s="2" t="s">
        <v>1686</v>
      </c>
      <c r="N644" s="2" t="str">
        <f>IFERROR(__xludf.DUMMYFUNCTION("""COMPUTED_VALUE"""),"")</f>
        <v/>
      </c>
    </row>
    <row r="645">
      <c r="A645" s="2" t="s">
        <v>33</v>
      </c>
      <c r="B645" s="12">
        <v>640344.0</v>
      </c>
      <c r="C645" s="12">
        <v>640649.0</v>
      </c>
      <c r="D645" s="2"/>
      <c r="E645" s="2" t="s">
        <v>38</v>
      </c>
      <c r="F645" s="2" t="s">
        <v>39</v>
      </c>
      <c r="G645" s="2"/>
      <c r="H645" s="12">
        <v>0.0</v>
      </c>
      <c r="I645" s="2" t="s">
        <v>40</v>
      </c>
      <c r="J645" s="2"/>
      <c r="K645" s="2" t="s">
        <v>1687</v>
      </c>
      <c r="L645" s="12">
        <v>101.0</v>
      </c>
      <c r="M645" s="2" t="s">
        <v>1688</v>
      </c>
      <c r="N645" s="2" t="str">
        <f>IFERROR(__xludf.DUMMYFUNCTION("""COMPUTED_VALUE"""),"")</f>
        <v/>
      </c>
    </row>
    <row r="646">
      <c r="A646" s="2" t="s">
        <v>33</v>
      </c>
      <c r="B646" s="12">
        <v>640846.0</v>
      </c>
      <c r="C646" s="12">
        <v>641793.0</v>
      </c>
      <c r="D646" s="2"/>
      <c r="E646" s="2" t="s">
        <v>38</v>
      </c>
      <c r="F646" s="2" t="s">
        <v>1689</v>
      </c>
      <c r="G646" s="2"/>
      <c r="H646" s="12">
        <v>0.0</v>
      </c>
      <c r="I646" s="2" t="s">
        <v>40</v>
      </c>
      <c r="J646" s="2"/>
      <c r="K646" s="2" t="s">
        <v>1690</v>
      </c>
      <c r="L646" s="12">
        <v>315.0</v>
      </c>
      <c r="M646" s="2" t="s">
        <v>1691</v>
      </c>
      <c r="N646" s="2" t="str">
        <f>IFERROR(__xludf.DUMMYFUNCTION("""COMPUTED_VALUE"""),"")</f>
        <v/>
      </c>
    </row>
    <row r="647">
      <c r="A647" s="2" t="s">
        <v>33</v>
      </c>
      <c r="B647" s="12">
        <v>641788.0</v>
      </c>
      <c r="C647" s="12">
        <v>642828.0</v>
      </c>
      <c r="D647" s="2"/>
      <c r="E647" s="2" t="s">
        <v>38</v>
      </c>
      <c r="F647" s="2" t="s">
        <v>35</v>
      </c>
      <c r="G647" s="2"/>
      <c r="H647" s="12">
        <v>0.0</v>
      </c>
      <c r="I647" s="2" t="s">
        <v>36</v>
      </c>
      <c r="J647" s="2"/>
      <c r="K647" s="2"/>
      <c r="L647" s="2"/>
      <c r="M647" s="2" t="s">
        <v>1692</v>
      </c>
      <c r="N647" s="2" t="str">
        <f>IFERROR(__xludf.DUMMYFUNCTION("""COMPUTED_VALUE"""),"")</f>
        <v/>
      </c>
    </row>
    <row r="648">
      <c r="A648" s="2" t="s">
        <v>33</v>
      </c>
      <c r="B648" s="12">
        <v>643029.0</v>
      </c>
      <c r="C648" s="12">
        <v>644078.0</v>
      </c>
      <c r="D648" s="2"/>
      <c r="E648" s="2" t="s">
        <v>38</v>
      </c>
      <c r="F648" s="2" t="s">
        <v>1693</v>
      </c>
      <c r="G648" s="2" t="s">
        <v>1694</v>
      </c>
      <c r="H648" s="12">
        <v>0.0</v>
      </c>
      <c r="I648" s="2" t="s">
        <v>40</v>
      </c>
      <c r="J648" s="2"/>
      <c r="K648" s="2" t="s">
        <v>1695</v>
      </c>
      <c r="L648" s="12">
        <v>349.0</v>
      </c>
      <c r="M648" s="2" t="s">
        <v>1696</v>
      </c>
      <c r="N648" s="2" t="str">
        <f>IFERROR(__xludf.DUMMYFUNCTION("""COMPUTED_VALUE"""),"")</f>
        <v/>
      </c>
    </row>
    <row r="649">
      <c r="A649" s="2" t="s">
        <v>33</v>
      </c>
      <c r="B649" s="12">
        <v>644261.0</v>
      </c>
      <c r="C649" s="12">
        <v>644788.0</v>
      </c>
      <c r="D649" s="2"/>
      <c r="E649" s="2" t="s">
        <v>38</v>
      </c>
      <c r="F649" s="2" t="s">
        <v>817</v>
      </c>
      <c r="G649" s="2"/>
      <c r="H649" s="12">
        <v>0.0</v>
      </c>
      <c r="I649" s="2" t="s">
        <v>40</v>
      </c>
      <c r="J649" s="2"/>
      <c r="K649" s="2" t="s">
        <v>1697</v>
      </c>
      <c r="L649" s="12">
        <v>175.0</v>
      </c>
      <c r="M649" s="2" t="s">
        <v>1698</v>
      </c>
      <c r="N649" s="2" t="str">
        <f>IFERROR(__xludf.DUMMYFUNCTION("""COMPUTED_VALUE"""),"")</f>
        <v/>
      </c>
    </row>
    <row r="650">
      <c r="A650" s="2" t="s">
        <v>33</v>
      </c>
      <c r="B650" s="12">
        <v>644985.0</v>
      </c>
      <c r="C650" s="12">
        <v>645332.0</v>
      </c>
      <c r="D650" s="2"/>
      <c r="E650" s="2" t="s">
        <v>34</v>
      </c>
      <c r="F650" s="2" t="s">
        <v>1699</v>
      </c>
      <c r="G650" s="2"/>
      <c r="H650" s="12">
        <v>0.0</v>
      </c>
      <c r="I650" s="2" t="s">
        <v>40</v>
      </c>
      <c r="J650" s="2"/>
      <c r="K650" s="2" t="s">
        <v>1700</v>
      </c>
      <c r="L650" s="12">
        <v>115.0</v>
      </c>
      <c r="M650" s="2" t="s">
        <v>1701</v>
      </c>
      <c r="N650" s="2" t="str">
        <f>IFERROR(__xludf.DUMMYFUNCTION("""COMPUTED_VALUE"""),"")</f>
        <v/>
      </c>
    </row>
    <row r="651">
      <c r="A651" s="2" t="s">
        <v>33</v>
      </c>
      <c r="B651" s="12">
        <v>645417.0</v>
      </c>
      <c r="C651" s="12">
        <v>645641.0</v>
      </c>
      <c r="D651" s="2"/>
      <c r="E651" s="2" t="s">
        <v>34</v>
      </c>
      <c r="F651" s="2" t="s">
        <v>39</v>
      </c>
      <c r="G651" s="2"/>
      <c r="H651" s="12">
        <v>0.0</v>
      </c>
      <c r="I651" s="2" t="s">
        <v>40</v>
      </c>
      <c r="J651" s="2"/>
      <c r="K651" s="2" t="s">
        <v>1702</v>
      </c>
      <c r="L651" s="12">
        <v>74.0</v>
      </c>
      <c r="M651" s="2" t="s">
        <v>1703</v>
      </c>
      <c r="N651" s="2" t="str">
        <f>IFERROR(__xludf.DUMMYFUNCTION("""COMPUTED_VALUE"""),"")</f>
        <v/>
      </c>
    </row>
    <row r="652">
      <c r="A652" s="2" t="s">
        <v>33</v>
      </c>
      <c r="B652" s="12">
        <v>645841.0</v>
      </c>
      <c r="C652" s="12">
        <v>646203.0</v>
      </c>
      <c r="D652" s="2"/>
      <c r="E652" s="2" t="s">
        <v>38</v>
      </c>
      <c r="F652" s="2" t="s">
        <v>1704</v>
      </c>
      <c r="G652" s="2"/>
      <c r="H652" s="12">
        <v>0.0</v>
      </c>
      <c r="I652" s="2" t="s">
        <v>40</v>
      </c>
      <c r="J652" s="2"/>
      <c r="K652" s="2" t="s">
        <v>1705</v>
      </c>
      <c r="L652" s="12">
        <v>120.0</v>
      </c>
      <c r="M652" s="2" t="s">
        <v>1706</v>
      </c>
      <c r="N652" s="2" t="str">
        <f>IFERROR(__xludf.DUMMYFUNCTION("""COMPUTED_VALUE"""),"")</f>
        <v/>
      </c>
    </row>
    <row r="653">
      <c r="A653" s="2" t="s">
        <v>33</v>
      </c>
      <c r="B653" s="12">
        <v>646347.0</v>
      </c>
      <c r="C653" s="12">
        <v>646553.0</v>
      </c>
      <c r="D653" s="2"/>
      <c r="E653" s="2" t="s">
        <v>38</v>
      </c>
      <c r="F653" s="2" t="s">
        <v>39</v>
      </c>
      <c r="G653" s="2"/>
      <c r="H653" s="12">
        <v>0.0</v>
      </c>
      <c r="I653" s="2" t="s">
        <v>40</v>
      </c>
      <c r="J653" s="2"/>
      <c r="K653" s="2" t="s">
        <v>1707</v>
      </c>
      <c r="L653" s="12">
        <v>68.0</v>
      </c>
      <c r="M653" s="2" t="s">
        <v>1708</v>
      </c>
      <c r="N653" s="2" t="str">
        <f>IFERROR(__xludf.DUMMYFUNCTION("""COMPUTED_VALUE"""),"")</f>
        <v/>
      </c>
    </row>
    <row r="654">
      <c r="A654" s="2" t="s">
        <v>33</v>
      </c>
      <c r="B654" s="12">
        <v>646602.0</v>
      </c>
      <c r="C654" s="12">
        <v>647777.0</v>
      </c>
      <c r="D654" s="2"/>
      <c r="E654" s="2" t="s">
        <v>38</v>
      </c>
      <c r="F654" s="2" t="s">
        <v>88</v>
      </c>
      <c r="G654" s="2"/>
      <c r="H654" s="12">
        <v>0.0</v>
      </c>
      <c r="I654" s="2" t="s">
        <v>40</v>
      </c>
      <c r="J654" s="2"/>
      <c r="K654" s="2" t="s">
        <v>1709</v>
      </c>
      <c r="L654" s="12">
        <v>391.0</v>
      </c>
      <c r="M654" s="2" t="s">
        <v>1710</v>
      </c>
      <c r="N654" s="2" t="str">
        <f>IFERROR(__xludf.DUMMYFUNCTION("""COMPUTED_VALUE"""),"")</f>
        <v/>
      </c>
    </row>
    <row r="655">
      <c r="A655" s="2" t="s">
        <v>33</v>
      </c>
      <c r="B655" s="12">
        <v>647825.0</v>
      </c>
      <c r="C655" s="12">
        <v>648760.0</v>
      </c>
      <c r="D655" s="2"/>
      <c r="E655" s="2" t="s">
        <v>38</v>
      </c>
      <c r="F655" s="2" t="s">
        <v>1711</v>
      </c>
      <c r="G655" s="2"/>
      <c r="H655" s="12">
        <v>0.0</v>
      </c>
      <c r="I655" s="2" t="s">
        <v>40</v>
      </c>
      <c r="J655" s="2"/>
      <c r="K655" s="2" t="s">
        <v>1712</v>
      </c>
      <c r="L655" s="12">
        <v>311.0</v>
      </c>
      <c r="M655" s="2" t="s">
        <v>1713</v>
      </c>
      <c r="N655" s="2" t="str">
        <f>IFERROR(__xludf.DUMMYFUNCTION("""COMPUTED_VALUE"""),"")</f>
        <v/>
      </c>
    </row>
    <row r="656">
      <c r="A656" s="2" t="s">
        <v>33</v>
      </c>
      <c r="B656" s="12">
        <v>648867.0</v>
      </c>
      <c r="C656" s="12">
        <v>649175.0</v>
      </c>
      <c r="D656" s="2"/>
      <c r="E656" s="2" t="s">
        <v>34</v>
      </c>
      <c r="F656" s="2" t="s">
        <v>220</v>
      </c>
      <c r="G656" s="2"/>
      <c r="H656" s="12">
        <v>0.0</v>
      </c>
      <c r="I656" s="2" t="s">
        <v>40</v>
      </c>
      <c r="J656" s="2"/>
      <c r="K656" s="2" t="s">
        <v>1714</v>
      </c>
      <c r="L656" s="12">
        <v>102.0</v>
      </c>
      <c r="M656" s="2" t="s">
        <v>1715</v>
      </c>
      <c r="N656" s="2" t="str">
        <f>IFERROR(__xludf.DUMMYFUNCTION("""COMPUTED_VALUE"""),"")</f>
        <v/>
      </c>
    </row>
    <row r="657">
      <c r="A657" s="2" t="s">
        <v>33</v>
      </c>
      <c r="B657" s="12">
        <v>649217.0</v>
      </c>
      <c r="C657" s="12">
        <v>650164.0</v>
      </c>
      <c r="D657" s="2"/>
      <c r="E657" s="2" t="s">
        <v>38</v>
      </c>
      <c r="F657" s="2" t="s">
        <v>814</v>
      </c>
      <c r="G657" s="2"/>
      <c r="H657" s="12">
        <v>0.0</v>
      </c>
      <c r="I657" s="2" t="s">
        <v>40</v>
      </c>
      <c r="J657" s="2"/>
      <c r="K657" s="2" t="s">
        <v>1716</v>
      </c>
      <c r="L657" s="12">
        <v>315.0</v>
      </c>
      <c r="M657" s="2" t="s">
        <v>1717</v>
      </c>
      <c r="N657" s="2" t="str">
        <f>IFERROR(__xludf.DUMMYFUNCTION("""COMPUTED_VALUE"""),"")</f>
        <v/>
      </c>
    </row>
    <row r="658">
      <c r="A658" s="2" t="s">
        <v>33</v>
      </c>
      <c r="B658" s="12">
        <v>650440.0</v>
      </c>
      <c r="C658" s="12">
        <v>650727.0</v>
      </c>
      <c r="D658" s="2"/>
      <c r="E658" s="2" t="s">
        <v>38</v>
      </c>
      <c r="F658" s="2" t="s">
        <v>504</v>
      </c>
      <c r="G658" s="2"/>
      <c r="H658" s="12">
        <v>0.0</v>
      </c>
      <c r="I658" s="2" t="s">
        <v>40</v>
      </c>
      <c r="J658" s="2"/>
      <c r="K658" s="2" t="s">
        <v>1718</v>
      </c>
      <c r="L658" s="12">
        <v>95.0</v>
      </c>
      <c r="M658" s="2" t="s">
        <v>1719</v>
      </c>
      <c r="N658" s="2" t="str">
        <f>IFERROR(__xludf.DUMMYFUNCTION("""COMPUTED_VALUE"""),"")</f>
        <v/>
      </c>
    </row>
    <row r="659">
      <c r="A659" s="2" t="s">
        <v>33</v>
      </c>
      <c r="B659" s="12">
        <v>650844.0</v>
      </c>
      <c r="C659" s="12">
        <v>652724.0</v>
      </c>
      <c r="D659" s="2"/>
      <c r="E659" s="2" t="s">
        <v>38</v>
      </c>
      <c r="F659" s="2" t="s">
        <v>265</v>
      </c>
      <c r="G659" s="2"/>
      <c r="H659" s="12">
        <v>0.0</v>
      </c>
      <c r="I659" s="2" t="s">
        <v>40</v>
      </c>
      <c r="J659" s="2"/>
      <c r="K659" s="2" t="s">
        <v>1720</v>
      </c>
      <c r="L659" s="12">
        <v>626.0</v>
      </c>
      <c r="M659" s="2" t="s">
        <v>1721</v>
      </c>
      <c r="N659" s="2" t="str">
        <f>IFERROR(__xludf.DUMMYFUNCTION("""COMPUTED_VALUE"""),"")</f>
        <v/>
      </c>
    </row>
    <row r="660">
      <c r="A660" s="2" t="s">
        <v>33</v>
      </c>
      <c r="B660" s="12">
        <v>652995.0</v>
      </c>
      <c r="C660" s="12">
        <v>653813.0</v>
      </c>
      <c r="D660" s="2"/>
      <c r="E660" s="2" t="s">
        <v>34</v>
      </c>
      <c r="F660" s="2" t="s">
        <v>1722</v>
      </c>
      <c r="G660" s="2" t="s">
        <v>1723</v>
      </c>
      <c r="H660" s="12">
        <v>0.0</v>
      </c>
      <c r="I660" s="2" t="s">
        <v>40</v>
      </c>
      <c r="J660" s="2"/>
      <c r="K660" s="2" t="s">
        <v>1724</v>
      </c>
      <c r="L660" s="12">
        <v>272.0</v>
      </c>
      <c r="M660" s="2" t="s">
        <v>1725</v>
      </c>
      <c r="N660" s="2" t="str">
        <f>IFERROR(__xludf.DUMMYFUNCTION("""COMPUTED_VALUE"""),"")</f>
        <v/>
      </c>
    </row>
    <row r="661">
      <c r="A661" s="2" t="s">
        <v>33</v>
      </c>
      <c r="B661" s="12">
        <v>653863.0</v>
      </c>
      <c r="C661" s="12">
        <v>654324.0</v>
      </c>
      <c r="D661" s="2"/>
      <c r="E661" s="2" t="s">
        <v>38</v>
      </c>
      <c r="F661" s="2" t="s">
        <v>1611</v>
      </c>
      <c r="G661" s="2"/>
      <c r="H661" s="12">
        <v>0.0</v>
      </c>
      <c r="I661" s="2" t="s">
        <v>40</v>
      </c>
      <c r="J661" s="2"/>
      <c r="K661" s="2" t="s">
        <v>1726</v>
      </c>
      <c r="L661" s="12">
        <v>153.0</v>
      </c>
      <c r="M661" s="2" t="s">
        <v>1727</v>
      </c>
      <c r="N661" s="2" t="str">
        <f>IFERROR(__xludf.DUMMYFUNCTION("""COMPUTED_VALUE"""),"")</f>
        <v/>
      </c>
    </row>
    <row r="662">
      <c r="A662" s="2" t="s">
        <v>33</v>
      </c>
      <c r="B662" s="12">
        <v>654356.0</v>
      </c>
      <c r="C662" s="12">
        <v>654553.0</v>
      </c>
      <c r="D662" s="2"/>
      <c r="E662" s="2" t="s">
        <v>38</v>
      </c>
      <c r="F662" s="2" t="s">
        <v>1728</v>
      </c>
      <c r="G662" s="2"/>
      <c r="H662" s="12">
        <v>0.0</v>
      </c>
      <c r="I662" s="2" t="s">
        <v>40</v>
      </c>
      <c r="J662" s="2"/>
      <c r="K662" s="2" t="s">
        <v>1729</v>
      </c>
      <c r="L662" s="12">
        <v>65.0</v>
      </c>
      <c r="M662" s="2" t="s">
        <v>1730</v>
      </c>
      <c r="N662" s="2" t="str">
        <f>IFERROR(__xludf.DUMMYFUNCTION("""COMPUTED_VALUE"""),"")</f>
        <v/>
      </c>
    </row>
    <row r="663">
      <c r="A663" s="2" t="s">
        <v>33</v>
      </c>
      <c r="B663" s="12">
        <v>654661.0</v>
      </c>
      <c r="C663" s="12">
        <v>655821.0</v>
      </c>
      <c r="D663" s="2"/>
      <c r="E663" s="2" t="s">
        <v>38</v>
      </c>
      <c r="F663" s="2" t="s">
        <v>1731</v>
      </c>
      <c r="G663" s="2"/>
      <c r="H663" s="12">
        <v>0.0</v>
      </c>
      <c r="I663" s="2" t="s">
        <v>40</v>
      </c>
      <c r="J663" s="2"/>
      <c r="K663" s="2" t="s">
        <v>1732</v>
      </c>
      <c r="L663" s="12">
        <v>386.0</v>
      </c>
      <c r="M663" s="2" t="s">
        <v>1733</v>
      </c>
      <c r="N663" s="2" t="str">
        <f>IFERROR(__xludf.DUMMYFUNCTION("""COMPUTED_VALUE"""),"")</f>
        <v/>
      </c>
    </row>
    <row r="664">
      <c r="A664" s="2" t="s">
        <v>33</v>
      </c>
      <c r="B664" s="12">
        <v>655972.0</v>
      </c>
      <c r="C664" s="12">
        <v>656724.0</v>
      </c>
      <c r="D664" s="2"/>
      <c r="E664" s="2" t="s">
        <v>38</v>
      </c>
      <c r="F664" s="2" t="s">
        <v>1734</v>
      </c>
      <c r="G664" s="2"/>
      <c r="H664" s="12">
        <v>0.0</v>
      </c>
      <c r="I664" s="2" t="s">
        <v>40</v>
      </c>
      <c r="J664" s="2"/>
      <c r="K664" s="2" t="s">
        <v>1735</v>
      </c>
      <c r="L664" s="12">
        <v>250.0</v>
      </c>
      <c r="M664" s="2" t="s">
        <v>1736</v>
      </c>
      <c r="N664" s="2" t="str">
        <f>IFERROR(__xludf.DUMMYFUNCTION("""COMPUTED_VALUE"""),"")</f>
        <v/>
      </c>
    </row>
    <row r="665">
      <c r="A665" s="2" t="s">
        <v>33</v>
      </c>
      <c r="B665" s="12">
        <v>656943.0</v>
      </c>
      <c r="C665" s="12">
        <v>657083.0</v>
      </c>
      <c r="D665" s="2"/>
      <c r="E665" s="2" t="s">
        <v>34</v>
      </c>
      <c r="F665" s="2" t="s">
        <v>560</v>
      </c>
      <c r="G665" s="2"/>
      <c r="H665" s="12">
        <v>0.0</v>
      </c>
      <c r="I665" s="2" t="s">
        <v>40</v>
      </c>
      <c r="J665" s="2"/>
      <c r="K665" s="2" t="s">
        <v>1737</v>
      </c>
      <c r="L665" s="12">
        <v>46.0</v>
      </c>
      <c r="M665" s="2" t="s">
        <v>1738</v>
      </c>
      <c r="N665" s="2" t="str">
        <f>IFERROR(__xludf.DUMMYFUNCTION("""COMPUTED_VALUE"""),"")</f>
        <v/>
      </c>
    </row>
    <row r="666">
      <c r="A666" s="2" t="s">
        <v>33</v>
      </c>
      <c r="B666" s="12">
        <v>657171.0</v>
      </c>
      <c r="C666" s="12">
        <v>658136.0</v>
      </c>
      <c r="D666" s="2"/>
      <c r="E666" s="2" t="s">
        <v>34</v>
      </c>
      <c r="F666" s="2" t="s">
        <v>1739</v>
      </c>
      <c r="G666" s="2"/>
      <c r="H666" s="12">
        <v>0.0</v>
      </c>
      <c r="I666" s="2" t="s">
        <v>40</v>
      </c>
      <c r="J666" s="2"/>
      <c r="K666" s="2" t="s">
        <v>1740</v>
      </c>
      <c r="L666" s="12">
        <v>321.0</v>
      </c>
      <c r="M666" s="2" t="s">
        <v>1741</v>
      </c>
      <c r="N666" s="2" t="str">
        <f>IFERROR(__xludf.DUMMYFUNCTION("""COMPUTED_VALUE"""),"")</f>
        <v/>
      </c>
    </row>
    <row r="667">
      <c r="A667" s="2" t="s">
        <v>33</v>
      </c>
      <c r="B667" s="12">
        <v>658249.0</v>
      </c>
      <c r="C667" s="12">
        <v>658416.0</v>
      </c>
      <c r="D667" s="2"/>
      <c r="E667" s="2" t="s">
        <v>38</v>
      </c>
      <c r="F667" s="2" t="s">
        <v>1742</v>
      </c>
      <c r="G667" s="2"/>
      <c r="H667" s="12">
        <v>0.0</v>
      </c>
      <c r="I667" s="2" t="s">
        <v>40</v>
      </c>
      <c r="J667" s="2"/>
      <c r="K667" s="2" t="s">
        <v>1743</v>
      </c>
      <c r="L667" s="12">
        <v>55.0</v>
      </c>
      <c r="M667" s="2" t="s">
        <v>1744</v>
      </c>
      <c r="N667" s="2" t="str">
        <f>IFERROR(__xludf.DUMMYFUNCTION("""COMPUTED_VALUE"""),"")</f>
        <v/>
      </c>
    </row>
    <row r="668">
      <c r="A668" s="2" t="s">
        <v>33</v>
      </c>
      <c r="B668" s="12">
        <v>658429.0</v>
      </c>
      <c r="C668" s="12">
        <v>659871.0</v>
      </c>
      <c r="D668" s="2"/>
      <c r="E668" s="2" t="s">
        <v>38</v>
      </c>
      <c r="F668" s="2" t="s">
        <v>250</v>
      </c>
      <c r="G668" s="2"/>
      <c r="H668" s="12">
        <v>0.0</v>
      </c>
      <c r="I668" s="2" t="s">
        <v>40</v>
      </c>
      <c r="J668" s="2"/>
      <c r="K668" s="2" t="s">
        <v>1745</v>
      </c>
      <c r="L668" s="12">
        <v>480.0</v>
      </c>
      <c r="M668" s="2" t="s">
        <v>1746</v>
      </c>
      <c r="N668" s="2" t="str">
        <f>IFERROR(__xludf.DUMMYFUNCTION("""COMPUTED_VALUE"""),"")</f>
        <v/>
      </c>
    </row>
    <row r="669">
      <c r="A669" s="2" t="s">
        <v>33</v>
      </c>
      <c r="B669" s="12">
        <v>659990.0</v>
      </c>
      <c r="C669" s="12">
        <v>660604.0</v>
      </c>
      <c r="D669" s="2"/>
      <c r="E669" s="2" t="s">
        <v>34</v>
      </c>
      <c r="F669" s="2" t="s">
        <v>1747</v>
      </c>
      <c r="G669" s="2"/>
      <c r="H669" s="12">
        <v>0.0</v>
      </c>
      <c r="I669" s="2" t="s">
        <v>40</v>
      </c>
      <c r="J669" s="2"/>
      <c r="K669" s="2" t="s">
        <v>1748</v>
      </c>
      <c r="L669" s="12">
        <v>204.0</v>
      </c>
      <c r="M669" s="2" t="s">
        <v>1749</v>
      </c>
      <c r="N669" s="2" t="str">
        <f>IFERROR(__xludf.DUMMYFUNCTION("""COMPUTED_VALUE"""),"")</f>
        <v/>
      </c>
    </row>
    <row r="670">
      <c r="A670" s="2" t="s">
        <v>33</v>
      </c>
      <c r="B670" s="12">
        <v>660658.0</v>
      </c>
      <c r="C670" s="12">
        <v>661887.0</v>
      </c>
      <c r="D670" s="2"/>
      <c r="E670" s="2" t="s">
        <v>38</v>
      </c>
      <c r="F670" s="2" t="s">
        <v>88</v>
      </c>
      <c r="G670" s="2"/>
      <c r="H670" s="12">
        <v>0.0</v>
      </c>
      <c r="I670" s="2" t="s">
        <v>40</v>
      </c>
      <c r="J670" s="2"/>
      <c r="K670" s="2" t="s">
        <v>1750</v>
      </c>
      <c r="L670" s="12">
        <v>409.0</v>
      </c>
      <c r="M670" s="2" t="s">
        <v>1751</v>
      </c>
      <c r="N670" s="2" t="str">
        <f>IFERROR(__xludf.DUMMYFUNCTION("""COMPUTED_VALUE"""),"")</f>
        <v/>
      </c>
    </row>
    <row r="671">
      <c r="A671" s="2" t="s">
        <v>33</v>
      </c>
      <c r="B671" s="12">
        <v>662123.0</v>
      </c>
      <c r="C671" s="12">
        <v>662329.0</v>
      </c>
      <c r="D671" s="2"/>
      <c r="E671" s="2" t="s">
        <v>38</v>
      </c>
      <c r="F671" s="2" t="s">
        <v>1752</v>
      </c>
      <c r="G671" s="2"/>
      <c r="H671" s="12">
        <v>0.0</v>
      </c>
      <c r="I671" s="2" t="s">
        <v>40</v>
      </c>
      <c r="J671" s="2"/>
      <c r="K671" s="2" t="s">
        <v>1753</v>
      </c>
      <c r="L671" s="12">
        <v>68.0</v>
      </c>
      <c r="M671" s="2" t="s">
        <v>1754</v>
      </c>
      <c r="N671" s="2" t="str">
        <f>IFERROR(__xludf.DUMMYFUNCTION("""COMPUTED_VALUE"""),"")</f>
        <v/>
      </c>
    </row>
    <row r="672">
      <c r="A672" s="2" t="s">
        <v>33</v>
      </c>
      <c r="B672" s="12">
        <v>662452.0</v>
      </c>
      <c r="C672" s="12">
        <v>663294.0</v>
      </c>
      <c r="D672" s="2"/>
      <c r="E672" s="2" t="s">
        <v>38</v>
      </c>
      <c r="F672" s="2" t="s">
        <v>1407</v>
      </c>
      <c r="G672" s="2"/>
      <c r="H672" s="12">
        <v>0.0</v>
      </c>
      <c r="I672" s="2" t="s">
        <v>40</v>
      </c>
      <c r="J672" s="2"/>
      <c r="K672" s="2" t="s">
        <v>1755</v>
      </c>
      <c r="L672" s="12">
        <v>280.0</v>
      </c>
      <c r="M672" s="2" t="s">
        <v>1756</v>
      </c>
      <c r="N672" s="2" t="str">
        <f>IFERROR(__xludf.DUMMYFUNCTION("""COMPUTED_VALUE"""),"")</f>
        <v/>
      </c>
    </row>
    <row r="673">
      <c r="A673" s="2" t="s">
        <v>33</v>
      </c>
      <c r="B673" s="12">
        <v>663332.0</v>
      </c>
      <c r="C673" s="12">
        <v>664315.0</v>
      </c>
      <c r="D673" s="2"/>
      <c r="E673" s="2" t="s">
        <v>38</v>
      </c>
      <c r="F673" s="2" t="s">
        <v>1757</v>
      </c>
      <c r="G673" s="2"/>
      <c r="H673" s="12">
        <v>0.0</v>
      </c>
      <c r="I673" s="2" t="s">
        <v>40</v>
      </c>
      <c r="J673" s="2"/>
      <c r="K673" s="2" t="s">
        <v>1758</v>
      </c>
      <c r="L673" s="12">
        <v>327.0</v>
      </c>
      <c r="M673" s="2" t="s">
        <v>1759</v>
      </c>
      <c r="N673" s="2" t="str">
        <f>IFERROR(__xludf.DUMMYFUNCTION("""COMPUTED_VALUE"""),"")</f>
        <v/>
      </c>
    </row>
    <row r="674">
      <c r="A674" s="2" t="s">
        <v>33</v>
      </c>
      <c r="B674" s="12">
        <v>664339.0</v>
      </c>
      <c r="C674" s="12">
        <v>664614.0</v>
      </c>
      <c r="D674" s="2"/>
      <c r="E674" s="2" t="s">
        <v>38</v>
      </c>
      <c r="F674" s="2" t="s">
        <v>1760</v>
      </c>
      <c r="G674" s="2" t="s">
        <v>1761</v>
      </c>
      <c r="H674" s="12">
        <v>0.0</v>
      </c>
      <c r="I674" s="2" t="s">
        <v>40</v>
      </c>
      <c r="J674" s="2"/>
      <c r="K674" s="2" t="s">
        <v>1762</v>
      </c>
      <c r="L674" s="12">
        <v>91.0</v>
      </c>
      <c r="M674" s="2" t="s">
        <v>1763</v>
      </c>
      <c r="N674" s="2" t="str">
        <f>IFERROR(__xludf.DUMMYFUNCTION("""COMPUTED_VALUE"""),"")</f>
        <v/>
      </c>
    </row>
    <row r="675">
      <c r="A675" s="2" t="s">
        <v>33</v>
      </c>
      <c r="B675" s="12">
        <v>664611.0</v>
      </c>
      <c r="C675" s="12">
        <v>665849.0</v>
      </c>
      <c r="D675" s="2"/>
      <c r="E675" s="2" t="s">
        <v>38</v>
      </c>
      <c r="F675" s="2" t="s">
        <v>1764</v>
      </c>
      <c r="G675" s="2"/>
      <c r="H675" s="12">
        <v>0.0</v>
      </c>
      <c r="I675" s="2" t="s">
        <v>40</v>
      </c>
      <c r="J675" s="2"/>
      <c r="K675" s="2" t="s">
        <v>1765</v>
      </c>
      <c r="L675" s="12">
        <v>412.0</v>
      </c>
      <c r="M675" s="2" t="s">
        <v>1766</v>
      </c>
      <c r="N675" s="2" t="str">
        <f>IFERROR(__xludf.DUMMYFUNCTION("""COMPUTED_VALUE"""),"")</f>
        <v/>
      </c>
    </row>
    <row r="676">
      <c r="A676" s="2" t="s">
        <v>33</v>
      </c>
      <c r="B676" s="12">
        <v>665836.0</v>
      </c>
      <c r="C676" s="12">
        <v>667674.0</v>
      </c>
      <c r="D676" s="2"/>
      <c r="E676" s="2" t="s">
        <v>38</v>
      </c>
      <c r="F676" s="2" t="s">
        <v>1767</v>
      </c>
      <c r="G676" s="2"/>
      <c r="H676" s="12">
        <v>0.0</v>
      </c>
      <c r="I676" s="2" t="s">
        <v>40</v>
      </c>
      <c r="J676" s="2"/>
      <c r="K676" s="2" t="s">
        <v>1768</v>
      </c>
      <c r="L676" s="12">
        <v>612.0</v>
      </c>
      <c r="M676" s="2" t="s">
        <v>1769</v>
      </c>
      <c r="N676" s="2" t="str">
        <f>IFERROR(__xludf.DUMMYFUNCTION("""COMPUTED_VALUE"""),"")</f>
        <v/>
      </c>
    </row>
    <row r="677">
      <c r="A677" s="2" t="s">
        <v>33</v>
      </c>
      <c r="B677" s="12">
        <v>667735.0</v>
      </c>
      <c r="C677" s="12">
        <v>669543.0</v>
      </c>
      <c r="D677" s="2"/>
      <c r="E677" s="2" t="s">
        <v>38</v>
      </c>
      <c r="F677" s="2" t="s">
        <v>1767</v>
      </c>
      <c r="G677" s="2"/>
      <c r="H677" s="12">
        <v>0.0</v>
      </c>
      <c r="I677" s="2" t="s">
        <v>40</v>
      </c>
      <c r="J677" s="2"/>
      <c r="K677" s="2" t="s">
        <v>1770</v>
      </c>
      <c r="L677" s="12">
        <v>602.0</v>
      </c>
      <c r="M677" s="2" t="s">
        <v>1771</v>
      </c>
      <c r="N677" s="2" t="str">
        <f>IFERROR(__xludf.DUMMYFUNCTION("""COMPUTED_VALUE"""),"")</f>
        <v/>
      </c>
    </row>
    <row r="678">
      <c r="A678" s="2" t="s">
        <v>33</v>
      </c>
      <c r="B678" s="12">
        <v>669841.0</v>
      </c>
      <c r="C678" s="12">
        <v>670362.0</v>
      </c>
      <c r="D678" s="2"/>
      <c r="E678" s="2" t="s">
        <v>38</v>
      </c>
      <c r="F678" s="2" t="s">
        <v>367</v>
      </c>
      <c r="G678" s="2"/>
      <c r="H678" s="12">
        <v>0.0</v>
      </c>
      <c r="I678" s="2" t="s">
        <v>40</v>
      </c>
      <c r="J678" s="2"/>
      <c r="K678" s="2" t="s">
        <v>1772</v>
      </c>
      <c r="L678" s="12">
        <v>173.0</v>
      </c>
      <c r="M678" s="2" t="s">
        <v>1773</v>
      </c>
      <c r="N678" s="2" t="str">
        <f>IFERROR(__xludf.DUMMYFUNCTION("""COMPUTED_VALUE"""),"")</f>
        <v/>
      </c>
    </row>
    <row r="679">
      <c r="A679" s="2" t="s">
        <v>33</v>
      </c>
      <c r="B679" s="12">
        <v>670459.0</v>
      </c>
      <c r="C679" s="12">
        <v>671139.0</v>
      </c>
      <c r="D679" s="2"/>
      <c r="E679" s="2" t="s">
        <v>38</v>
      </c>
      <c r="F679" s="2" t="s">
        <v>1774</v>
      </c>
      <c r="G679" s="2"/>
      <c r="H679" s="12">
        <v>0.0</v>
      </c>
      <c r="I679" s="2" t="s">
        <v>40</v>
      </c>
      <c r="J679" s="2"/>
      <c r="K679" s="2" t="s">
        <v>1775</v>
      </c>
      <c r="L679" s="12">
        <v>226.0</v>
      </c>
      <c r="M679" s="2" t="s">
        <v>1776</v>
      </c>
      <c r="N679" s="2" t="str">
        <f>IFERROR(__xludf.DUMMYFUNCTION("""COMPUTED_VALUE"""),"")</f>
        <v/>
      </c>
    </row>
    <row r="680">
      <c r="A680" s="2" t="s">
        <v>33</v>
      </c>
      <c r="B680" s="12">
        <v>671299.0</v>
      </c>
      <c r="C680" s="12">
        <v>671955.0</v>
      </c>
      <c r="D680" s="2"/>
      <c r="E680" s="2" t="s">
        <v>38</v>
      </c>
      <c r="F680" s="2" t="s">
        <v>1777</v>
      </c>
      <c r="G680" s="2"/>
      <c r="H680" s="12">
        <v>0.0</v>
      </c>
      <c r="I680" s="2" t="s">
        <v>40</v>
      </c>
      <c r="J680" s="2"/>
      <c r="K680" s="2" t="s">
        <v>1778</v>
      </c>
      <c r="L680" s="12">
        <v>218.0</v>
      </c>
      <c r="M680" s="2" t="s">
        <v>1779</v>
      </c>
      <c r="N680" s="2" t="str">
        <f>IFERROR(__xludf.DUMMYFUNCTION("""COMPUTED_VALUE"""),"")</f>
        <v/>
      </c>
    </row>
    <row r="681">
      <c r="A681" s="2" t="s">
        <v>33</v>
      </c>
      <c r="B681" s="12">
        <v>671970.0</v>
      </c>
      <c r="C681" s="12">
        <v>672791.0</v>
      </c>
      <c r="D681" s="2"/>
      <c r="E681" s="2" t="s">
        <v>38</v>
      </c>
      <c r="F681" s="2" t="s">
        <v>1780</v>
      </c>
      <c r="G681" s="2"/>
      <c r="H681" s="12">
        <v>0.0</v>
      </c>
      <c r="I681" s="2" t="s">
        <v>40</v>
      </c>
      <c r="J681" s="2"/>
      <c r="K681" s="2" t="s">
        <v>1781</v>
      </c>
      <c r="L681" s="12">
        <v>273.0</v>
      </c>
      <c r="M681" s="2" t="s">
        <v>1782</v>
      </c>
      <c r="N681" s="2" t="str">
        <f>IFERROR(__xludf.DUMMYFUNCTION("""COMPUTED_VALUE"""),"")</f>
        <v/>
      </c>
    </row>
    <row r="682">
      <c r="A682" s="2" t="s">
        <v>33</v>
      </c>
      <c r="B682" s="12">
        <v>672893.0</v>
      </c>
      <c r="C682" s="12">
        <v>674251.0</v>
      </c>
      <c r="D682" s="2"/>
      <c r="E682" s="2" t="s">
        <v>38</v>
      </c>
      <c r="F682" s="2" t="s">
        <v>382</v>
      </c>
      <c r="G682" s="2"/>
      <c r="H682" s="12">
        <v>0.0</v>
      </c>
      <c r="I682" s="2" t="s">
        <v>40</v>
      </c>
      <c r="J682" s="2"/>
      <c r="K682" s="2" t="s">
        <v>1783</v>
      </c>
      <c r="L682" s="12">
        <v>452.0</v>
      </c>
      <c r="M682" s="2" t="s">
        <v>1784</v>
      </c>
      <c r="N682" s="2" t="str">
        <f>IFERROR(__xludf.DUMMYFUNCTION("""COMPUTED_VALUE"""),"")</f>
        <v/>
      </c>
    </row>
    <row r="683">
      <c r="A683" s="2" t="s">
        <v>33</v>
      </c>
      <c r="B683" s="12">
        <v>674248.0</v>
      </c>
      <c r="C683" s="12">
        <v>674937.0</v>
      </c>
      <c r="D683" s="2"/>
      <c r="E683" s="2" t="s">
        <v>38</v>
      </c>
      <c r="F683" s="2" t="s">
        <v>379</v>
      </c>
      <c r="G683" s="2"/>
      <c r="H683" s="12">
        <v>0.0</v>
      </c>
      <c r="I683" s="2" t="s">
        <v>40</v>
      </c>
      <c r="J683" s="2"/>
      <c r="K683" s="2" t="s">
        <v>1785</v>
      </c>
      <c r="L683" s="12">
        <v>229.0</v>
      </c>
      <c r="M683" s="2" t="s">
        <v>1786</v>
      </c>
      <c r="N683" s="2" t="str">
        <f>IFERROR(__xludf.DUMMYFUNCTION("""COMPUTED_VALUE"""),"")</f>
        <v/>
      </c>
    </row>
    <row r="684">
      <c r="A684" s="2" t="s">
        <v>33</v>
      </c>
      <c r="B684" s="12">
        <v>674950.0</v>
      </c>
      <c r="C684" s="12">
        <v>676197.0</v>
      </c>
      <c r="D684" s="2"/>
      <c r="E684" s="2" t="s">
        <v>38</v>
      </c>
      <c r="F684" s="2" t="s">
        <v>39</v>
      </c>
      <c r="G684" s="2"/>
      <c r="H684" s="12">
        <v>0.0</v>
      </c>
      <c r="I684" s="2" t="s">
        <v>40</v>
      </c>
      <c r="J684" s="2"/>
      <c r="K684" s="2" t="s">
        <v>1787</v>
      </c>
      <c r="L684" s="12">
        <v>415.0</v>
      </c>
      <c r="M684" s="2" t="s">
        <v>1788</v>
      </c>
      <c r="N684" s="2" t="str">
        <f>IFERROR(__xludf.DUMMYFUNCTION("""COMPUTED_VALUE"""),"")</f>
        <v/>
      </c>
    </row>
    <row r="685">
      <c r="A685" s="2" t="s">
        <v>33</v>
      </c>
      <c r="B685" s="12">
        <v>676362.0</v>
      </c>
      <c r="C685" s="12">
        <v>677363.0</v>
      </c>
      <c r="D685" s="2"/>
      <c r="E685" s="2" t="s">
        <v>38</v>
      </c>
      <c r="F685" s="2" t="s">
        <v>1789</v>
      </c>
      <c r="G685" s="2"/>
      <c r="H685" s="12">
        <v>0.0</v>
      </c>
      <c r="I685" s="2" t="s">
        <v>40</v>
      </c>
      <c r="J685" s="2"/>
      <c r="K685" s="2" t="s">
        <v>1790</v>
      </c>
      <c r="L685" s="12">
        <v>333.0</v>
      </c>
      <c r="M685" s="2" t="s">
        <v>1791</v>
      </c>
      <c r="N685" s="2" t="str">
        <f>IFERROR(__xludf.DUMMYFUNCTION("""COMPUTED_VALUE"""),"")</f>
        <v/>
      </c>
    </row>
    <row r="686">
      <c r="A686" s="2" t="s">
        <v>33</v>
      </c>
      <c r="B686" s="12">
        <v>677684.0</v>
      </c>
      <c r="C686" s="12">
        <v>679987.0</v>
      </c>
      <c r="D686" s="2"/>
      <c r="E686" s="2" t="s">
        <v>38</v>
      </c>
      <c r="F686" s="2" t="s">
        <v>1792</v>
      </c>
      <c r="G686" s="2"/>
      <c r="H686" s="12">
        <v>0.0</v>
      </c>
      <c r="I686" s="2" t="s">
        <v>40</v>
      </c>
      <c r="J686" s="2"/>
      <c r="K686" s="2" t="s">
        <v>1793</v>
      </c>
      <c r="L686" s="12">
        <v>767.0</v>
      </c>
      <c r="M686" s="2" t="s">
        <v>1794</v>
      </c>
      <c r="N686" s="2" t="str">
        <f>IFERROR(__xludf.DUMMYFUNCTION("""COMPUTED_VALUE"""),"")</f>
        <v/>
      </c>
    </row>
    <row r="687">
      <c r="A687" s="2" t="s">
        <v>33</v>
      </c>
      <c r="B687" s="12">
        <v>680195.0</v>
      </c>
      <c r="C687" s="12">
        <v>680404.0</v>
      </c>
      <c r="D687" s="2"/>
      <c r="E687" s="2" t="s">
        <v>38</v>
      </c>
      <c r="F687" s="2" t="s">
        <v>1795</v>
      </c>
      <c r="G687" s="2"/>
      <c r="H687" s="12">
        <v>0.0</v>
      </c>
      <c r="I687" s="2" t="s">
        <v>40</v>
      </c>
      <c r="J687" s="2"/>
      <c r="K687" s="2" t="s">
        <v>1796</v>
      </c>
      <c r="L687" s="12">
        <v>69.0</v>
      </c>
      <c r="M687" s="2" t="s">
        <v>1797</v>
      </c>
      <c r="N687" s="2" t="str">
        <f>IFERROR(__xludf.DUMMYFUNCTION("""COMPUTED_VALUE"""),"")</f>
        <v/>
      </c>
    </row>
    <row r="688">
      <c r="A688" s="2" t="s">
        <v>33</v>
      </c>
      <c r="B688" s="12">
        <v>680538.0</v>
      </c>
      <c r="C688" s="12">
        <v>681431.0</v>
      </c>
      <c r="D688" s="2"/>
      <c r="E688" s="2" t="s">
        <v>38</v>
      </c>
      <c r="F688" s="2" t="s">
        <v>1798</v>
      </c>
      <c r="G688" s="2" t="s">
        <v>1799</v>
      </c>
      <c r="H688" s="12">
        <v>0.0</v>
      </c>
      <c r="I688" s="2" t="s">
        <v>40</v>
      </c>
      <c r="J688" s="2"/>
      <c r="K688" s="2" t="s">
        <v>1800</v>
      </c>
      <c r="L688" s="12">
        <v>297.0</v>
      </c>
      <c r="M688" s="2" t="s">
        <v>1801</v>
      </c>
      <c r="N688" s="2" t="str">
        <f>IFERROR(__xludf.DUMMYFUNCTION("""COMPUTED_VALUE"""),"")</f>
        <v/>
      </c>
    </row>
    <row r="689">
      <c r="A689" s="2" t="s">
        <v>33</v>
      </c>
      <c r="B689" s="12">
        <v>681428.0</v>
      </c>
      <c r="C689" s="12">
        <v>682486.0</v>
      </c>
      <c r="D689" s="2"/>
      <c r="E689" s="2" t="s">
        <v>38</v>
      </c>
      <c r="F689" s="2" t="s">
        <v>1802</v>
      </c>
      <c r="G689" s="2" t="s">
        <v>1803</v>
      </c>
      <c r="H689" s="12">
        <v>0.0</v>
      </c>
      <c r="I689" s="2" t="s">
        <v>40</v>
      </c>
      <c r="J689" s="2"/>
      <c r="K689" s="2" t="s">
        <v>1804</v>
      </c>
      <c r="L689" s="12">
        <v>352.0</v>
      </c>
      <c r="M689" s="2" t="s">
        <v>1805</v>
      </c>
      <c r="N689" s="2" t="str">
        <f>IFERROR(__xludf.DUMMYFUNCTION("""COMPUTED_VALUE"""),"")</f>
        <v/>
      </c>
    </row>
    <row r="690">
      <c r="A690" s="2" t="s">
        <v>33</v>
      </c>
      <c r="B690" s="12">
        <v>682479.0</v>
      </c>
      <c r="C690" s="12">
        <v>683774.0</v>
      </c>
      <c r="D690" s="2"/>
      <c r="E690" s="2" t="s">
        <v>38</v>
      </c>
      <c r="F690" s="2" t="s">
        <v>253</v>
      </c>
      <c r="G690" s="2"/>
      <c r="H690" s="12">
        <v>0.0</v>
      </c>
      <c r="I690" s="2" t="s">
        <v>40</v>
      </c>
      <c r="J690" s="2"/>
      <c r="K690" s="2" t="s">
        <v>1806</v>
      </c>
      <c r="L690" s="12">
        <v>431.0</v>
      </c>
      <c r="M690" s="2" t="s">
        <v>1807</v>
      </c>
      <c r="N690" s="2" t="str">
        <f>IFERROR(__xludf.DUMMYFUNCTION("""COMPUTED_VALUE"""),"")</f>
        <v/>
      </c>
    </row>
    <row r="691">
      <c r="A691" s="2" t="s">
        <v>33</v>
      </c>
      <c r="B691" s="12">
        <v>684891.0</v>
      </c>
      <c r="C691" s="12">
        <v>685529.0</v>
      </c>
      <c r="D691" s="2"/>
      <c r="E691" s="2" t="s">
        <v>38</v>
      </c>
      <c r="F691" s="2" t="s">
        <v>1808</v>
      </c>
      <c r="G691" s="2"/>
      <c r="H691" s="12">
        <v>0.0</v>
      </c>
      <c r="I691" s="2" t="s">
        <v>40</v>
      </c>
      <c r="J691" s="2"/>
      <c r="K691" s="2" t="s">
        <v>1809</v>
      </c>
      <c r="L691" s="12">
        <v>212.0</v>
      </c>
      <c r="M691" s="2" t="s">
        <v>1810</v>
      </c>
      <c r="N691" s="2" t="str">
        <f>IFERROR(__xludf.DUMMYFUNCTION("""COMPUTED_VALUE"""),"")</f>
        <v/>
      </c>
    </row>
    <row r="692">
      <c r="A692" s="2" t="s">
        <v>33</v>
      </c>
      <c r="B692" s="12">
        <v>685611.0</v>
      </c>
      <c r="C692" s="12">
        <v>686219.0</v>
      </c>
      <c r="D692" s="2"/>
      <c r="E692" s="2" t="s">
        <v>34</v>
      </c>
      <c r="F692" s="2" t="s">
        <v>1546</v>
      </c>
      <c r="G692" s="2"/>
      <c r="H692" s="12">
        <v>0.0</v>
      </c>
      <c r="I692" s="2" t="s">
        <v>40</v>
      </c>
      <c r="J692" s="2"/>
      <c r="K692" s="2" t="s">
        <v>1811</v>
      </c>
      <c r="L692" s="12">
        <v>202.0</v>
      </c>
      <c r="M692" s="2" t="s">
        <v>1812</v>
      </c>
      <c r="N692" s="2" t="str">
        <f>IFERROR(__xludf.DUMMYFUNCTION("""COMPUTED_VALUE"""),"")</f>
        <v/>
      </c>
    </row>
    <row r="693">
      <c r="A693" s="2" t="s">
        <v>33</v>
      </c>
      <c r="B693" s="12">
        <v>686267.0</v>
      </c>
      <c r="C693" s="12">
        <v>686605.0</v>
      </c>
      <c r="D693" s="2"/>
      <c r="E693" s="2" t="s">
        <v>38</v>
      </c>
      <c r="F693" s="2" t="s">
        <v>1813</v>
      </c>
      <c r="G693" s="2"/>
      <c r="H693" s="12">
        <v>0.0</v>
      </c>
      <c r="I693" s="2" t="s">
        <v>40</v>
      </c>
      <c r="J693" s="2"/>
      <c r="K693" s="2" t="s">
        <v>1814</v>
      </c>
      <c r="L693" s="12">
        <v>112.0</v>
      </c>
      <c r="M693" s="2" t="s">
        <v>1815</v>
      </c>
      <c r="N693" s="2" t="str">
        <f>IFERROR(__xludf.DUMMYFUNCTION("""COMPUTED_VALUE"""),"")</f>
        <v/>
      </c>
    </row>
    <row r="694">
      <c r="A694" s="2" t="s">
        <v>33</v>
      </c>
      <c r="B694" s="12">
        <v>686677.0</v>
      </c>
      <c r="C694" s="12">
        <v>687504.0</v>
      </c>
      <c r="D694" s="2"/>
      <c r="E694" s="2" t="s">
        <v>38</v>
      </c>
      <c r="F694" s="2" t="s">
        <v>1780</v>
      </c>
      <c r="G694" s="2"/>
      <c r="H694" s="12">
        <v>0.0</v>
      </c>
      <c r="I694" s="2" t="s">
        <v>40</v>
      </c>
      <c r="J694" s="2"/>
      <c r="K694" s="2" t="s">
        <v>1816</v>
      </c>
      <c r="L694" s="12">
        <v>275.0</v>
      </c>
      <c r="M694" s="2" t="s">
        <v>1817</v>
      </c>
      <c r="N694" s="2" t="str">
        <f>IFERROR(__xludf.DUMMYFUNCTION("""COMPUTED_VALUE"""),"")</f>
        <v/>
      </c>
    </row>
    <row r="695">
      <c r="A695" s="2" t="s">
        <v>33</v>
      </c>
      <c r="B695" s="12">
        <v>687623.0</v>
      </c>
      <c r="C695" s="12">
        <v>688495.0</v>
      </c>
      <c r="D695" s="2"/>
      <c r="E695" s="2" t="s">
        <v>38</v>
      </c>
      <c r="F695" s="2" t="s">
        <v>1818</v>
      </c>
      <c r="G695" s="2"/>
      <c r="H695" s="12">
        <v>0.0</v>
      </c>
      <c r="I695" s="2" t="s">
        <v>40</v>
      </c>
      <c r="J695" s="2"/>
      <c r="K695" s="2" t="s">
        <v>1819</v>
      </c>
      <c r="L695" s="12">
        <v>290.0</v>
      </c>
      <c r="M695" s="2" t="s">
        <v>1820</v>
      </c>
      <c r="N695" s="2" t="str">
        <f>IFERROR(__xludf.DUMMYFUNCTION("""COMPUTED_VALUE"""),"")</f>
        <v/>
      </c>
    </row>
    <row r="696">
      <c r="A696" s="2" t="s">
        <v>33</v>
      </c>
      <c r="B696" s="12">
        <v>688786.0</v>
      </c>
      <c r="C696" s="12">
        <v>689505.0</v>
      </c>
      <c r="D696" s="2"/>
      <c r="E696" s="2" t="s">
        <v>38</v>
      </c>
      <c r="F696" s="2" t="s">
        <v>1821</v>
      </c>
      <c r="G696" s="2"/>
      <c r="H696" s="12">
        <v>0.0</v>
      </c>
      <c r="I696" s="2" t="s">
        <v>40</v>
      </c>
      <c r="J696" s="2"/>
      <c r="K696" s="2" t="s">
        <v>1822</v>
      </c>
      <c r="L696" s="12">
        <v>239.0</v>
      </c>
      <c r="M696" s="2" t="s">
        <v>1823</v>
      </c>
      <c r="N696" s="2" t="str">
        <f>IFERROR(__xludf.DUMMYFUNCTION("""COMPUTED_VALUE"""),"")</f>
        <v/>
      </c>
    </row>
    <row r="697">
      <c r="A697" s="2" t="s">
        <v>33</v>
      </c>
      <c r="B697" s="12">
        <v>689796.0</v>
      </c>
      <c r="C697" s="12">
        <v>690869.0</v>
      </c>
      <c r="D697" s="2"/>
      <c r="E697" s="2" t="s">
        <v>38</v>
      </c>
      <c r="F697" s="2" t="s">
        <v>1824</v>
      </c>
      <c r="G697" s="2" t="s">
        <v>1825</v>
      </c>
      <c r="H697" s="12">
        <v>0.0</v>
      </c>
      <c r="I697" s="2" t="s">
        <v>40</v>
      </c>
      <c r="J697" s="2"/>
      <c r="K697" s="2" t="s">
        <v>1826</v>
      </c>
      <c r="L697" s="12">
        <v>357.0</v>
      </c>
      <c r="M697" s="2" t="s">
        <v>1827</v>
      </c>
      <c r="N697" s="2" t="str">
        <f>IFERROR(__xludf.DUMMYFUNCTION("""COMPUTED_VALUE"""),"")</f>
        <v/>
      </c>
    </row>
    <row r="698">
      <c r="A698" s="2" t="s">
        <v>33</v>
      </c>
      <c r="B698" s="12">
        <v>690866.0</v>
      </c>
      <c r="C698" s="12">
        <v>691543.0</v>
      </c>
      <c r="D698" s="2"/>
      <c r="E698" s="2" t="s">
        <v>38</v>
      </c>
      <c r="F698" s="2" t="s">
        <v>1828</v>
      </c>
      <c r="G698" s="2" t="s">
        <v>1829</v>
      </c>
      <c r="H698" s="12">
        <v>0.0</v>
      </c>
      <c r="I698" s="2" t="s">
        <v>40</v>
      </c>
      <c r="J698" s="2"/>
      <c r="K698" s="2" t="s">
        <v>1830</v>
      </c>
      <c r="L698" s="12">
        <v>225.0</v>
      </c>
      <c r="M698" s="2" t="s">
        <v>1831</v>
      </c>
      <c r="N698" s="2" t="str">
        <f>IFERROR(__xludf.DUMMYFUNCTION("""COMPUTED_VALUE"""),"")</f>
        <v/>
      </c>
    </row>
    <row r="699">
      <c r="A699" s="2" t="s">
        <v>33</v>
      </c>
      <c r="B699" s="12">
        <v>691629.0</v>
      </c>
      <c r="C699" s="12">
        <v>693389.0</v>
      </c>
      <c r="D699" s="2"/>
      <c r="E699" s="2" t="s">
        <v>38</v>
      </c>
      <c r="F699" s="2" t="s">
        <v>432</v>
      </c>
      <c r="G699" s="2"/>
      <c r="H699" s="12">
        <v>0.0</v>
      </c>
      <c r="I699" s="2" t="s">
        <v>40</v>
      </c>
      <c r="J699" s="2"/>
      <c r="K699" s="2" t="s">
        <v>1832</v>
      </c>
      <c r="L699" s="12">
        <v>586.0</v>
      </c>
      <c r="M699" s="2" t="s">
        <v>1833</v>
      </c>
      <c r="N699" s="2" t="str">
        <f>IFERROR(__xludf.DUMMYFUNCTION("""COMPUTED_VALUE"""),"")</f>
        <v/>
      </c>
    </row>
    <row r="700">
      <c r="A700" s="2" t="s">
        <v>33</v>
      </c>
      <c r="B700" s="12">
        <v>693630.0</v>
      </c>
      <c r="C700" s="12">
        <v>694394.0</v>
      </c>
      <c r="D700" s="2"/>
      <c r="E700" s="2" t="s">
        <v>34</v>
      </c>
      <c r="F700" s="2" t="s">
        <v>326</v>
      </c>
      <c r="G700" s="2"/>
      <c r="H700" s="12">
        <v>0.0</v>
      </c>
      <c r="I700" s="2" t="s">
        <v>40</v>
      </c>
      <c r="J700" s="2"/>
      <c r="K700" s="2" t="s">
        <v>1834</v>
      </c>
      <c r="L700" s="12">
        <v>254.0</v>
      </c>
      <c r="M700" s="2" t="s">
        <v>1835</v>
      </c>
      <c r="N700" s="2" t="str">
        <f>IFERROR(__xludf.DUMMYFUNCTION("""COMPUTED_VALUE"""),"")</f>
        <v/>
      </c>
    </row>
    <row r="701">
      <c r="A701" s="2" t="s">
        <v>33</v>
      </c>
      <c r="B701" s="12">
        <v>694494.0</v>
      </c>
      <c r="C701" s="12">
        <v>695786.0</v>
      </c>
      <c r="D701" s="2"/>
      <c r="E701" s="2" t="s">
        <v>38</v>
      </c>
      <c r="F701" s="2" t="s">
        <v>1836</v>
      </c>
      <c r="G701" s="2" t="s">
        <v>1837</v>
      </c>
      <c r="H701" s="12">
        <v>0.0</v>
      </c>
      <c r="I701" s="2" t="s">
        <v>40</v>
      </c>
      <c r="J701" s="2"/>
      <c r="K701" s="2" t="s">
        <v>1838</v>
      </c>
      <c r="L701" s="12">
        <v>430.0</v>
      </c>
      <c r="M701" s="2" t="s">
        <v>1839</v>
      </c>
      <c r="N701" s="2" t="str">
        <f>IFERROR(__xludf.DUMMYFUNCTION("""COMPUTED_VALUE"""),"")</f>
        <v/>
      </c>
    </row>
    <row r="702">
      <c r="A702" s="2" t="s">
        <v>33</v>
      </c>
      <c r="B702" s="12">
        <v>696524.0</v>
      </c>
      <c r="C702" s="12">
        <v>696694.0</v>
      </c>
      <c r="D702" s="2"/>
      <c r="E702" s="2" t="s">
        <v>34</v>
      </c>
      <c r="F702" s="2" t="s">
        <v>39</v>
      </c>
      <c r="G702" s="2"/>
      <c r="H702" s="12">
        <v>0.0</v>
      </c>
      <c r="I702" s="2" t="s">
        <v>40</v>
      </c>
      <c r="J702" s="2"/>
      <c r="K702" s="2" t="s">
        <v>1840</v>
      </c>
      <c r="L702" s="12">
        <v>56.0</v>
      </c>
      <c r="M702" s="2" t="s">
        <v>1841</v>
      </c>
      <c r="N702" s="2" t="str">
        <f>IFERROR(__xludf.DUMMYFUNCTION("""COMPUTED_VALUE"""),"")</f>
        <v/>
      </c>
    </row>
    <row r="703">
      <c r="A703" s="2" t="s">
        <v>33</v>
      </c>
      <c r="B703" s="12">
        <v>696742.0</v>
      </c>
      <c r="C703" s="12">
        <v>697344.0</v>
      </c>
      <c r="D703" s="2"/>
      <c r="E703" s="2" t="s">
        <v>38</v>
      </c>
      <c r="F703" s="2" t="s">
        <v>1106</v>
      </c>
      <c r="G703" s="2"/>
      <c r="H703" s="12">
        <v>0.0</v>
      </c>
      <c r="I703" s="2" t="s">
        <v>40</v>
      </c>
      <c r="J703" s="2"/>
      <c r="K703" s="2" t="s">
        <v>1842</v>
      </c>
      <c r="L703" s="12">
        <v>200.0</v>
      </c>
      <c r="M703" s="2" t="s">
        <v>1843</v>
      </c>
      <c r="N703" s="2" t="str">
        <f>IFERROR(__xludf.DUMMYFUNCTION("""COMPUTED_VALUE"""),"")</f>
        <v/>
      </c>
    </row>
    <row r="704">
      <c r="A704" s="2" t="s">
        <v>33</v>
      </c>
      <c r="B704" s="12">
        <v>697592.0</v>
      </c>
      <c r="C704" s="12">
        <v>698545.0</v>
      </c>
      <c r="D704" s="2"/>
      <c r="E704" s="2" t="s">
        <v>38</v>
      </c>
      <c r="F704" s="2" t="s">
        <v>385</v>
      </c>
      <c r="G704" s="2"/>
      <c r="H704" s="12">
        <v>0.0</v>
      </c>
      <c r="I704" s="2" t="s">
        <v>40</v>
      </c>
      <c r="J704" s="2"/>
      <c r="K704" s="2" t="s">
        <v>1844</v>
      </c>
      <c r="L704" s="12">
        <v>317.0</v>
      </c>
      <c r="M704" s="2" t="s">
        <v>1845</v>
      </c>
      <c r="N704" s="2" t="str">
        <f>IFERROR(__xludf.DUMMYFUNCTION("""COMPUTED_VALUE"""),"")</f>
        <v/>
      </c>
    </row>
    <row r="705">
      <c r="A705" s="2" t="s">
        <v>33</v>
      </c>
      <c r="B705" s="12">
        <v>698807.0</v>
      </c>
      <c r="C705" s="12">
        <v>699808.0</v>
      </c>
      <c r="D705" s="2"/>
      <c r="E705" s="2" t="s">
        <v>34</v>
      </c>
      <c r="F705" s="2" t="s">
        <v>1846</v>
      </c>
      <c r="G705" s="2"/>
      <c r="H705" s="12">
        <v>0.0</v>
      </c>
      <c r="I705" s="2" t="s">
        <v>40</v>
      </c>
      <c r="J705" s="2"/>
      <c r="K705" s="2" t="s">
        <v>1847</v>
      </c>
      <c r="L705" s="12">
        <v>333.0</v>
      </c>
      <c r="M705" s="2" t="s">
        <v>1848</v>
      </c>
      <c r="N705" s="2" t="str">
        <f>IFERROR(__xludf.DUMMYFUNCTION("""COMPUTED_VALUE"""),"")</f>
        <v/>
      </c>
    </row>
    <row r="706">
      <c r="A706" s="2" t="s">
        <v>33</v>
      </c>
      <c r="B706" s="12">
        <v>699952.0</v>
      </c>
      <c r="C706" s="12">
        <v>700293.0</v>
      </c>
      <c r="D706" s="2"/>
      <c r="E706" s="2" t="s">
        <v>34</v>
      </c>
      <c r="F706" s="2" t="s">
        <v>1849</v>
      </c>
      <c r="G706" s="2"/>
      <c r="H706" s="12">
        <v>0.0</v>
      </c>
      <c r="I706" s="2" t="s">
        <v>40</v>
      </c>
      <c r="J706" s="2"/>
      <c r="K706" s="2" t="s">
        <v>1850</v>
      </c>
      <c r="L706" s="12">
        <v>113.0</v>
      </c>
      <c r="M706" s="2" t="s">
        <v>1851</v>
      </c>
      <c r="N706" s="2" t="str">
        <f>IFERROR(__xludf.DUMMYFUNCTION("""COMPUTED_VALUE"""),"")</f>
        <v/>
      </c>
    </row>
    <row r="707">
      <c r="A707" s="2" t="s">
        <v>33</v>
      </c>
      <c r="B707" s="12">
        <v>700286.0</v>
      </c>
      <c r="C707" s="12">
        <v>700624.0</v>
      </c>
      <c r="D707" s="2"/>
      <c r="E707" s="2" t="s">
        <v>34</v>
      </c>
      <c r="F707" s="2" t="s">
        <v>1849</v>
      </c>
      <c r="G707" s="2"/>
      <c r="H707" s="12">
        <v>0.0</v>
      </c>
      <c r="I707" s="2" t="s">
        <v>40</v>
      </c>
      <c r="J707" s="2"/>
      <c r="K707" s="2" t="s">
        <v>1852</v>
      </c>
      <c r="L707" s="12">
        <v>112.0</v>
      </c>
      <c r="M707" s="2" t="s">
        <v>1853</v>
      </c>
      <c r="N707" s="2" t="str">
        <f>IFERROR(__xludf.DUMMYFUNCTION("""COMPUTED_VALUE"""),"")</f>
        <v/>
      </c>
    </row>
    <row r="708">
      <c r="A708" s="2" t="s">
        <v>33</v>
      </c>
      <c r="B708" s="12">
        <v>700660.0</v>
      </c>
      <c r="C708" s="12">
        <v>701106.0</v>
      </c>
      <c r="D708" s="2"/>
      <c r="E708" s="2" t="s">
        <v>38</v>
      </c>
      <c r="F708" s="2" t="s">
        <v>112</v>
      </c>
      <c r="G708" s="2"/>
      <c r="H708" s="12">
        <v>0.0</v>
      </c>
      <c r="I708" s="2" t="s">
        <v>40</v>
      </c>
      <c r="J708" s="2"/>
      <c r="K708" s="2" t="s">
        <v>1854</v>
      </c>
      <c r="L708" s="12">
        <v>148.0</v>
      </c>
      <c r="M708" s="2" t="s">
        <v>1855</v>
      </c>
      <c r="N708" s="2" t="str">
        <f>IFERROR(__xludf.DUMMYFUNCTION("""COMPUTED_VALUE"""),"")</f>
        <v/>
      </c>
    </row>
    <row r="709">
      <c r="A709" s="2" t="s">
        <v>33</v>
      </c>
      <c r="B709" s="12">
        <v>701197.0</v>
      </c>
      <c r="C709" s="12">
        <v>701418.0</v>
      </c>
      <c r="D709" s="2"/>
      <c r="E709" s="2" t="s">
        <v>38</v>
      </c>
      <c r="F709" s="2" t="s">
        <v>39</v>
      </c>
      <c r="G709" s="2"/>
      <c r="H709" s="12">
        <v>0.0</v>
      </c>
      <c r="I709" s="2" t="s">
        <v>40</v>
      </c>
      <c r="J709" s="2"/>
      <c r="K709" s="2" t="s">
        <v>1856</v>
      </c>
      <c r="L709" s="12">
        <v>73.0</v>
      </c>
      <c r="M709" s="2" t="s">
        <v>1857</v>
      </c>
      <c r="N709" s="2" t="str">
        <f>IFERROR(__xludf.DUMMYFUNCTION("""COMPUTED_VALUE"""),"")</f>
        <v/>
      </c>
    </row>
    <row r="710">
      <c r="A710" s="2" t="s">
        <v>33</v>
      </c>
      <c r="B710" s="12">
        <v>701603.0</v>
      </c>
      <c r="C710" s="12">
        <v>702169.0</v>
      </c>
      <c r="D710" s="2"/>
      <c r="E710" s="2" t="s">
        <v>38</v>
      </c>
      <c r="F710" s="2" t="s">
        <v>1858</v>
      </c>
      <c r="G710" s="2"/>
      <c r="H710" s="12">
        <v>0.0</v>
      </c>
      <c r="I710" s="2" t="s">
        <v>40</v>
      </c>
      <c r="J710" s="2"/>
      <c r="K710" s="2" t="s">
        <v>1859</v>
      </c>
      <c r="L710" s="12">
        <v>188.0</v>
      </c>
      <c r="M710" s="2" t="s">
        <v>1860</v>
      </c>
      <c r="N710" s="2" t="str">
        <f>IFERROR(__xludf.DUMMYFUNCTION("""COMPUTED_VALUE"""),"")</f>
        <v/>
      </c>
    </row>
    <row r="711">
      <c r="A711" s="2" t="s">
        <v>33</v>
      </c>
      <c r="B711" s="12">
        <v>702162.0</v>
      </c>
      <c r="C711" s="12">
        <v>703292.0</v>
      </c>
      <c r="D711" s="2"/>
      <c r="E711" s="2" t="s">
        <v>38</v>
      </c>
      <c r="F711" s="2" t="s">
        <v>1861</v>
      </c>
      <c r="G711" s="2"/>
      <c r="H711" s="12">
        <v>0.0</v>
      </c>
      <c r="I711" s="2" t="s">
        <v>40</v>
      </c>
      <c r="J711" s="2"/>
      <c r="K711" s="2" t="s">
        <v>1862</v>
      </c>
      <c r="L711" s="12">
        <v>376.0</v>
      </c>
      <c r="M711" s="2" t="s">
        <v>1863</v>
      </c>
      <c r="N711" s="2" t="str">
        <f>IFERROR(__xludf.DUMMYFUNCTION("""COMPUTED_VALUE"""),"")</f>
        <v/>
      </c>
    </row>
    <row r="712">
      <c r="A712" s="2" t="s">
        <v>33</v>
      </c>
      <c r="B712" s="12">
        <v>703312.0</v>
      </c>
      <c r="C712" s="12">
        <v>705873.0</v>
      </c>
      <c r="D712" s="2"/>
      <c r="E712" s="2" t="s">
        <v>38</v>
      </c>
      <c r="F712" s="2" t="s">
        <v>1056</v>
      </c>
      <c r="G712" s="2"/>
      <c r="H712" s="12">
        <v>0.0</v>
      </c>
      <c r="I712" s="2" t="s">
        <v>40</v>
      </c>
      <c r="J712" s="2"/>
      <c r="K712" s="2" t="s">
        <v>1864</v>
      </c>
      <c r="L712" s="12">
        <v>853.0</v>
      </c>
      <c r="M712" s="2" t="s">
        <v>1865</v>
      </c>
      <c r="N712" s="2" t="str">
        <f>IFERROR(__xludf.DUMMYFUNCTION("""COMPUTED_VALUE"""),"")</f>
        <v/>
      </c>
    </row>
    <row r="713">
      <c r="A713" s="2" t="s">
        <v>33</v>
      </c>
      <c r="B713" s="12">
        <v>705981.0</v>
      </c>
      <c r="C713" s="12">
        <v>707129.0</v>
      </c>
      <c r="D713" s="2"/>
      <c r="E713" s="2" t="s">
        <v>38</v>
      </c>
      <c r="F713" s="2" t="s">
        <v>39</v>
      </c>
      <c r="G713" s="2"/>
      <c r="H713" s="12">
        <v>0.0</v>
      </c>
      <c r="I713" s="2" t="s">
        <v>40</v>
      </c>
      <c r="J713" s="2"/>
      <c r="K713" s="2" t="s">
        <v>1866</v>
      </c>
      <c r="L713" s="12">
        <v>382.0</v>
      </c>
      <c r="M713" s="2" t="s">
        <v>1867</v>
      </c>
      <c r="N713" s="2" t="str">
        <f>IFERROR(__xludf.DUMMYFUNCTION("""COMPUTED_VALUE"""),"")</f>
        <v/>
      </c>
    </row>
    <row r="714">
      <c r="A714" s="2" t="s">
        <v>33</v>
      </c>
      <c r="B714" s="12">
        <v>707263.0</v>
      </c>
      <c r="C714" s="12">
        <v>708987.0</v>
      </c>
      <c r="D714" s="2"/>
      <c r="E714" s="2" t="s">
        <v>38</v>
      </c>
      <c r="F714" s="2" t="s">
        <v>1868</v>
      </c>
      <c r="G714" s="2" t="s">
        <v>1869</v>
      </c>
      <c r="H714" s="12">
        <v>0.0</v>
      </c>
      <c r="I714" s="2" t="s">
        <v>40</v>
      </c>
      <c r="J714" s="2"/>
      <c r="K714" s="2" t="s">
        <v>1870</v>
      </c>
      <c r="L714" s="12">
        <v>574.0</v>
      </c>
      <c r="M714" s="2" t="s">
        <v>1871</v>
      </c>
      <c r="N714" s="2" t="str">
        <f>IFERROR(__xludf.DUMMYFUNCTION("""COMPUTED_VALUE"""),"")</f>
        <v/>
      </c>
    </row>
    <row r="715">
      <c r="A715" s="2" t="s">
        <v>33</v>
      </c>
      <c r="B715" s="12">
        <v>708984.0</v>
      </c>
      <c r="C715" s="12">
        <v>710705.0</v>
      </c>
      <c r="D715" s="2"/>
      <c r="E715" s="2" t="s">
        <v>38</v>
      </c>
      <c r="F715" s="2" t="s">
        <v>1872</v>
      </c>
      <c r="G715" s="2" t="s">
        <v>1873</v>
      </c>
      <c r="H715" s="12">
        <v>0.0</v>
      </c>
      <c r="I715" s="2" t="s">
        <v>40</v>
      </c>
      <c r="J715" s="2"/>
      <c r="K715" s="2" t="s">
        <v>1874</v>
      </c>
      <c r="L715" s="12">
        <v>573.0</v>
      </c>
      <c r="M715" s="2" t="s">
        <v>1875</v>
      </c>
      <c r="N715" s="2" t="str">
        <f>IFERROR(__xludf.DUMMYFUNCTION("""COMPUTED_VALUE"""),"")</f>
        <v/>
      </c>
    </row>
    <row r="716">
      <c r="A716" s="2" t="s">
        <v>33</v>
      </c>
      <c r="B716" s="12">
        <v>710705.0</v>
      </c>
      <c r="C716" s="12">
        <v>711721.0</v>
      </c>
      <c r="D716" s="2"/>
      <c r="E716" s="2" t="s">
        <v>38</v>
      </c>
      <c r="F716" s="2" t="s">
        <v>1876</v>
      </c>
      <c r="G716" s="2" t="s">
        <v>1877</v>
      </c>
      <c r="H716" s="12">
        <v>0.0</v>
      </c>
      <c r="I716" s="2" t="s">
        <v>40</v>
      </c>
      <c r="J716" s="2"/>
      <c r="K716" s="2" t="s">
        <v>1878</v>
      </c>
      <c r="L716" s="12">
        <v>338.0</v>
      </c>
      <c r="M716" s="2" t="s">
        <v>1879</v>
      </c>
      <c r="N716" s="2" t="str">
        <f>IFERROR(__xludf.DUMMYFUNCTION("""COMPUTED_VALUE"""),"")</f>
        <v/>
      </c>
    </row>
    <row r="717">
      <c r="A717" s="2" t="s">
        <v>33</v>
      </c>
      <c r="B717" s="12">
        <v>711708.0</v>
      </c>
      <c r="C717" s="12">
        <v>713111.0</v>
      </c>
      <c r="D717" s="2"/>
      <c r="E717" s="2" t="s">
        <v>38</v>
      </c>
      <c r="F717" s="2" t="s">
        <v>1880</v>
      </c>
      <c r="G717" s="2" t="s">
        <v>1881</v>
      </c>
      <c r="H717" s="12">
        <v>0.0</v>
      </c>
      <c r="I717" s="2" t="s">
        <v>40</v>
      </c>
      <c r="J717" s="2"/>
      <c r="K717" s="2" t="s">
        <v>1882</v>
      </c>
      <c r="L717" s="12">
        <v>467.0</v>
      </c>
      <c r="M717" s="2" t="s">
        <v>1883</v>
      </c>
      <c r="N717" s="2" t="str">
        <f>IFERROR(__xludf.DUMMYFUNCTION("""COMPUTED_VALUE"""),"")</f>
        <v/>
      </c>
    </row>
    <row r="718">
      <c r="A718" s="2" t="s">
        <v>33</v>
      </c>
      <c r="B718" s="12">
        <v>713704.0</v>
      </c>
      <c r="C718" s="12">
        <v>714759.0</v>
      </c>
      <c r="D718" s="2"/>
      <c r="E718" s="2" t="s">
        <v>38</v>
      </c>
      <c r="F718" s="2" t="s">
        <v>1669</v>
      </c>
      <c r="G718" s="2"/>
      <c r="H718" s="12">
        <v>0.0</v>
      </c>
      <c r="I718" s="2" t="s">
        <v>40</v>
      </c>
      <c r="J718" s="2"/>
      <c r="K718" s="2" t="s">
        <v>1884</v>
      </c>
      <c r="L718" s="12">
        <v>351.0</v>
      </c>
      <c r="M718" s="2" t="s">
        <v>1885</v>
      </c>
      <c r="N718" s="2" t="str">
        <f>IFERROR(__xludf.DUMMYFUNCTION("""COMPUTED_VALUE"""),"")</f>
        <v/>
      </c>
    </row>
    <row r="719">
      <c r="A719" s="2" t="s">
        <v>33</v>
      </c>
      <c r="B719" s="12">
        <v>714878.0</v>
      </c>
      <c r="C719" s="12">
        <v>715321.0</v>
      </c>
      <c r="D719" s="2"/>
      <c r="E719" s="2" t="s">
        <v>38</v>
      </c>
      <c r="F719" s="2" t="s">
        <v>534</v>
      </c>
      <c r="G719" s="2"/>
      <c r="H719" s="12">
        <v>0.0</v>
      </c>
      <c r="I719" s="2" t="s">
        <v>40</v>
      </c>
      <c r="J719" s="2"/>
      <c r="K719" s="2" t="s">
        <v>1886</v>
      </c>
      <c r="L719" s="12">
        <v>147.0</v>
      </c>
      <c r="M719" s="2" t="s">
        <v>1887</v>
      </c>
      <c r="N719" s="2" t="str">
        <f>IFERROR(__xludf.DUMMYFUNCTION("""COMPUTED_VALUE"""),"")</f>
        <v/>
      </c>
    </row>
    <row r="720">
      <c r="A720" s="2" t="s">
        <v>33</v>
      </c>
      <c r="B720" s="12">
        <v>715689.0</v>
      </c>
      <c r="C720" s="12">
        <v>716228.0</v>
      </c>
      <c r="D720" s="2"/>
      <c r="E720" s="2" t="s">
        <v>38</v>
      </c>
      <c r="F720" s="2" t="s">
        <v>1888</v>
      </c>
      <c r="G720" s="2"/>
      <c r="H720" s="12">
        <v>0.0</v>
      </c>
      <c r="I720" s="2" t="s">
        <v>40</v>
      </c>
      <c r="J720" s="2"/>
      <c r="K720" s="2" t="s">
        <v>1889</v>
      </c>
      <c r="L720" s="12">
        <v>179.0</v>
      </c>
      <c r="M720" s="2" t="s">
        <v>1890</v>
      </c>
      <c r="N720" s="2" t="str">
        <f>IFERROR(__xludf.DUMMYFUNCTION("""COMPUTED_VALUE"""),"")</f>
        <v/>
      </c>
    </row>
    <row r="721">
      <c r="A721" s="2" t="s">
        <v>33</v>
      </c>
      <c r="B721" s="12">
        <v>716533.0</v>
      </c>
      <c r="C721" s="12">
        <v>717276.0</v>
      </c>
      <c r="D721" s="2"/>
      <c r="E721" s="2" t="s">
        <v>34</v>
      </c>
      <c r="F721" s="2" t="s">
        <v>39</v>
      </c>
      <c r="G721" s="2"/>
      <c r="H721" s="12">
        <v>0.0</v>
      </c>
      <c r="I721" s="2" t="s">
        <v>40</v>
      </c>
      <c r="J721" s="2"/>
      <c r="K721" s="2" t="s">
        <v>1891</v>
      </c>
      <c r="L721" s="12">
        <v>247.0</v>
      </c>
      <c r="M721" s="2" t="s">
        <v>1892</v>
      </c>
      <c r="N721" s="2" t="str">
        <f>IFERROR(__xludf.DUMMYFUNCTION("""COMPUTED_VALUE"""),"")</f>
        <v/>
      </c>
    </row>
    <row r="722">
      <c r="A722" s="2" t="s">
        <v>33</v>
      </c>
      <c r="B722" s="12">
        <v>717365.0</v>
      </c>
      <c r="C722" s="12">
        <v>717913.0</v>
      </c>
      <c r="D722" s="2"/>
      <c r="E722" s="2" t="s">
        <v>38</v>
      </c>
      <c r="F722" s="2" t="s">
        <v>1893</v>
      </c>
      <c r="G722" s="2"/>
      <c r="H722" s="12">
        <v>0.0</v>
      </c>
      <c r="I722" s="2" t="s">
        <v>40</v>
      </c>
      <c r="J722" s="2"/>
      <c r="K722" s="2" t="s">
        <v>1894</v>
      </c>
      <c r="L722" s="12">
        <v>182.0</v>
      </c>
      <c r="M722" s="2" t="s">
        <v>1895</v>
      </c>
      <c r="N722" s="2" t="str">
        <f>IFERROR(__xludf.DUMMYFUNCTION("""COMPUTED_VALUE"""),"")</f>
        <v/>
      </c>
    </row>
    <row r="723">
      <c r="A723" s="2" t="s">
        <v>33</v>
      </c>
      <c r="B723" s="12">
        <v>718034.0</v>
      </c>
      <c r="C723" s="12">
        <v>718822.0</v>
      </c>
      <c r="D723" s="2"/>
      <c r="E723" s="2" t="s">
        <v>34</v>
      </c>
      <c r="F723" s="2" t="s">
        <v>694</v>
      </c>
      <c r="G723" s="2"/>
      <c r="H723" s="12">
        <v>0.0</v>
      </c>
      <c r="I723" s="2" t="s">
        <v>40</v>
      </c>
      <c r="J723" s="2"/>
      <c r="K723" s="2" t="s">
        <v>1896</v>
      </c>
      <c r="L723" s="12">
        <v>262.0</v>
      </c>
      <c r="M723" s="2" t="s">
        <v>1897</v>
      </c>
      <c r="N723" s="2" t="str">
        <f>IFERROR(__xludf.DUMMYFUNCTION("""COMPUTED_VALUE"""),"")</f>
        <v/>
      </c>
    </row>
    <row r="724">
      <c r="A724" s="2" t="s">
        <v>33</v>
      </c>
      <c r="B724" s="12">
        <v>718884.0</v>
      </c>
      <c r="C724" s="12">
        <v>719837.0</v>
      </c>
      <c r="D724" s="2"/>
      <c r="E724" s="2" t="s">
        <v>38</v>
      </c>
      <c r="F724" s="2" t="s">
        <v>1898</v>
      </c>
      <c r="G724" s="2"/>
      <c r="H724" s="12">
        <v>0.0</v>
      </c>
      <c r="I724" s="2" t="s">
        <v>40</v>
      </c>
      <c r="J724" s="2"/>
      <c r="K724" s="2" t="s">
        <v>1899</v>
      </c>
      <c r="L724" s="12">
        <v>317.0</v>
      </c>
      <c r="M724" s="2" t="s">
        <v>1900</v>
      </c>
      <c r="N724" s="2" t="str">
        <f>IFERROR(__xludf.DUMMYFUNCTION("""COMPUTED_VALUE"""),"")</f>
        <v/>
      </c>
    </row>
    <row r="725">
      <c r="A725" s="2" t="s">
        <v>33</v>
      </c>
      <c r="B725" s="12">
        <v>719887.0</v>
      </c>
      <c r="C725" s="12">
        <v>720747.0</v>
      </c>
      <c r="D725" s="2"/>
      <c r="E725" s="2" t="s">
        <v>38</v>
      </c>
      <c r="F725" s="2" t="s">
        <v>1898</v>
      </c>
      <c r="G725" s="2"/>
      <c r="H725" s="12">
        <v>0.0</v>
      </c>
      <c r="I725" s="2" t="s">
        <v>40</v>
      </c>
      <c r="J725" s="2"/>
      <c r="K725" s="2" t="s">
        <v>1901</v>
      </c>
      <c r="L725" s="12">
        <v>286.0</v>
      </c>
      <c r="M725" s="2" t="s">
        <v>1902</v>
      </c>
      <c r="N725" s="2" t="str">
        <f>IFERROR(__xludf.DUMMYFUNCTION("""COMPUTED_VALUE"""),"")</f>
        <v/>
      </c>
    </row>
    <row r="726">
      <c r="A726" s="2" t="s">
        <v>33</v>
      </c>
      <c r="B726" s="12">
        <v>720769.0</v>
      </c>
      <c r="C726" s="12">
        <v>721470.0</v>
      </c>
      <c r="D726" s="2"/>
      <c r="E726" s="2" t="s">
        <v>38</v>
      </c>
      <c r="F726" s="2" t="s">
        <v>432</v>
      </c>
      <c r="G726" s="2"/>
      <c r="H726" s="12">
        <v>0.0</v>
      </c>
      <c r="I726" s="2" t="s">
        <v>40</v>
      </c>
      <c r="J726" s="2"/>
      <c r="K726" s="2" t="s">
        <v>1903</v>
      </c>
      <c r="L726" s="12">
        <v>233.0</v>
      </c>
      <c r="M726" s="2" t="s">
        <v>1904</v>
      </c>
      <c r="N726" s="2" t="str">
        <f>IFERROR(__xludf.DUMMYFUNCTION("""COMPUTED_VALUE"""),"")</f>
        <v/>
      </c>
    </row>
    <row r="727">
      <c r="A727" s="2" t="s">
        <v>33</v>
      </c>
      <c r="B727" s="12">
        <v>721448.0</v>
      </c>
      <c r="C727" s="12">
        <v>722221.0</v>
      </c>
      <c r="D727" s="2"/>
      <c r="E727" s="2" t="s">
        <v>38</v>
      </c>
      <c r="F727" s="2" t="s">
        <v>432</v>
      </c>
      <c r="G727" s="2"/>
      <c r="H727" s="12">
        <v>0.0</v>
      </c>
      <c r="I727" s="2" t="s">
        <v>40</v>
      </c>
      <c r="J727" s="2"/>
      <c r="K727" s="2" t="s">
        <v>1905</v>
      </c>
      <c r="L727" s="12">
        <v>257.0</v>
      </c>
      <c r="M727" s="2" t="s">
        <v>1906</v>
      </c>
      <c r="N727" s="2" t="str">
        <f>IFERROR(__xludf.DUMMYFUNCTION("""COMPUTED_VALUE"""),"")</f>
        <v/>
      </c>
    </row>
    <row r="728">
      <c r="A728" s="2" t="s">
        <v>33</v>
      </c>
      <c r="B728" s="12">
        <v>722311.0</v>
      </c>
      <c r="C728" s="12">
        <v>723528.0</v>
      </c>
      <c r="D728" s="2"/>
      <c r="E728" s="2" t="s">
        <v>38</v>
      </c>
      <c r="F728" s="2" t="s">
        <v>1907</v>
      </c>
      <c r="G728" s="2"/>
      <c r="H728" s="12">
        <v>0.0</v>
      </c>
      <c r="I728" s="2" t="s">
        <v>40</v>
      </c>
      <c r="J728" s="2"/>
      <c r="K728" s="2" t="s">
        <v>1908</v>
      </c>
      <c r="L728" s="12">
        <v>405.0</v>
      </c>
      <c r="M728" s="2" t="s">
        <v>1909</v>
      </c>
      <c r="N728" s="2" t="str">
        <f>IFERROR(__xludf.DUMMYFUNCTION("""COMPUTED_VALUE"""),"")</f>
        <v/>
      </c>
    </row>
    <row r="729">
      <c r="A729" s="2" t="s">
        <v>33</v>
      </c>
      <c r="B729" s="12">
        <v>723791.0</v>
      </c>
      <c r="C729" s="12">
        <v>724714.0</v>
      </c>
      <c r="D729" s="2"/>
      <c r="E729" s="2" t="s">
        <v>38</v>
      </c>
      <c r="F729" s="2" t="s">
        <v>1655</v>
      </c>
      <c r="G729" s="2"/>
      <c r="H729" s="12">
        <v>0.0</v>
      </c>
      <c r="I729" s="2" t="s">
        <v>40</v>
      </c>
      <c r="J729" s="2"/>
      <c r="K729" s="2" t="s">
        <v>1910</v>
      </c>
      <c r="L729" s="12">
        <v>307.0</v>
      </c>
      <c r="M729" s="2" t="s">
        <v>1911</v>
      </c>
      <c r="N729" s="2" t="str">
        <f>IFERROR(__xludf.DUMMYFUNCTION("""COMPUTED_VALUE"""),"")</f>
        <v/>
      </c>
    </row>
    <row r="730">
      <c r="A730" s="2" t="s">
        <v>33</v>
      </c>
      <c r="B730" s="12">
        <v>724821.0</v>
      </c>
      <c r="C730" s="12">
        <v>726257.0</v>
      </c>
      <c r="D730" s="2"/>
      <c r="E730" s="2" t="s">
        <v>38</v>
      </c>
      <c r="F730" s="2" t="s">
        <v>1912</v>
      </c>
      <c r="G730" s="2"/>
      <c r="H730" s="12">
        <v>0.0</v>
      </c>
      <c r="I730" s="2" t="s">
        <v>40</v>
      </c>
      <c r="J730" s="2"/>
      <c r="K730" s="2" t="s">
        <v>1913</v>
      </c>
      <c r="L730" s="12">
        <v>478.0</v>
      </c>
      <c r="M730" s="2" t="s">
        <v>1914</v>
      </c>
      <c r="N730" s="2" t="str">
        <f>IFERROR(__xludf.DUMMYFUNCTION("""COMPUTED_VALUE"""),"")</f>
        <v/>
      </c>
    </row>
    <row r="731">
      <c r="A731" s="2" t="s">
        <v>33</v>
      </c>
      <c r="B731" s="12">
        <v>726458.0</v>
      </c>
      <c r="C731" s="12">
        <v>727402.0</v>
      </c>
      <c r="D731" s="2"/>
      <c r="E731" s="2" t="s">
        <v>34</v>
      </c>
      <c r="F731" s="2" t="s">
        <v>1915</v>
      </c>
      <c r="G731" s="2"/>
      <c r="H731" s="12">
        <v>0.0</v>
      </c>
      <c r="I731" s="2" t="s">
        <v>40</v>
      </c>
      <c r="J731" s="2"/>
      <c r="K731" s="2" t="s">
        <v>1916</v>
      </c>
      <c r="L731" s="12">
        <v>314.0</v>
      </c>
      <c r="M731" s="2" t="s">
        <v>1917</v>
      </c>
      <c r="N731" s="2" t="str">
        <f>IFERROR(__xludf.DUMMYFUNCTION("""COMPUTED_VALUE"""),"")</f>
        <v/>
      </c>
    </row>
    <row r="732">
      <c r="A732" s="2" t="s">
        <v>33</v>
      </c>
      <c r="B732" s="12">
        <v>727489.0</v>
      </c>
      <c r="C732" s="12">
        <v>728502.0</v>
      </c>
      <c r="D732" s="2"/>
      <c r="E732" s="2" t="s">
        <v>38</v>
      </c>
      <c r="F732" s="2" t="s">
        <v>1918</v>
      </c>
      <c r="G732" s="2"/>
      <c r="H732" s="12">
        <v>0.0</v>
      </c>
      <c r="I732" s="2" t="s">
        <v>40</v>
      </c>
      <c r="J732" s="2"/>
      <c r="K732" s="2" t="s">
        <v>1919</v>
      </c>
      <c r="L732" s="12">
        <v>337.0</v>
      </c>
      <c r="M732" s="2" t="s">
        <v>1920</v>
      </c>
      <c r="N732" s="2" t="str">
        <f>IFERROR(__xludf.DUMMYFUNCTION("""COMPUTED_VALUE"""),"")</f>
        <v/>
      </c>
    </row>
    <row r="733">
      <c r="A733" s="2" t="s">
        <v>33</v>
      </c>
      <c r="B733" s="12">
        <v>728681.0</v>
      </c>
      <c r="C733" s="12">
        <v>729682.0</v>
      </c>
      <c r="D733" s="2"/>
      <c r="E733" s="2" t="s">
        <v>38</v>
      </c>
      <c r="F733" s="2" t="s">
        <v>35</v>
      </c>
      <c r="G733" s="2"/>
      <c r="H733" s="12">
        <v>0.0</v>
      </c>
      <c r="I733" s="2" t="s">
        <v>36</v>
      </c>
      <c r="J733" s="2"/>
      <c r="K733" s="2"/>
      <c r="L733" s="2"/>
      <c r="M733" s="2" t="s">
        <v>1921</v>
      </c>
      <c r="N733" s="2" t="str">
        <f>IFERROR(__xludf.DUMMYFUNCTION("""COMPUTED_VALUE"""),"")</f>
        <v/>
      </c>
    </row>
    <row r="734">
      <c r="A734" s="2" t="s">
        <v>33</v>
      </c>
      <c r="B734" s="12">
        <v>729711.0</v>
      </c>
      <c r="C734" s="12">
        <v>731183.0</v>
      </c>
      <c r="D734" s="2"/>
      <c r="E734" s="2" t="s">
        <v>38</v>
      </c>
      <c r="F734" s="2" t="s">
        <v>1922</v>
      </c>
      <c r="G734" s="2"/>
      <c r="H734" s="12">
        <v>0.0</v>
      </c>
      <c r="I734" s="2" t="s">
        <v>40</v>
      </c>
      <c r="J734" s="2"/>
      <c r="K734" s="2" t="s">
        <v>1923</v>
      </c>
      <c r="L734" s="12">
        <v>490.0</v>
      </c>
      <c r="M734" s="2" t="s">
        <v>1924</v>
      </c>
      <c r="N734" s="2" t="str">
        <f>IFERROR(__xludf.DUMMYFUNCTION("""COMPUTED_VALUE"""),"")</f>
        <v/>
      </c>
    </row>
    <row r="735">
      <c r="A735" s="2" t="s">
        <v>33</v>
      </c>
      <c r="B735" s="12">
        <v>731494.0</v>
      </c>
      <c r="C735" s="12">
        <v>731709.0</v>
      </c>
      <c r="D735" s="2"/>
      <c r="E735" s="2" t="s">
        <v>38</v>
      </c>
      <c r="F735" s="2" t="s">
        <v>39</v>
      </c>
      <c r="G735" s="2"/>
      <c r="H735" s="12">
        <v>0.0</v>
      </c>
      <c r="I735" s="2" t="s">
        <v>40</v>
      </c>
      <c r="J735" s="2"/>
      <c r="K735" s="2" t="s">
        <v>1925</v>
      </c>
      <c r="L735" s="12">
        <v>71.0</v>
      </c>
      <c r="M735" s="2" t="s">
        <v>1926</v>
      </c>
      <c r="N735" s="2" t="str">
        <f>IFERROR(__xludf.DUMMYFUNCTION("""COMPUTED_VALUE"""),"")</f>
        <v/>
      </c>
    </row>
    <row r="736">
      <c r="A736" s="2" t="s">
        <v>33</v>
      </c>
      <c r="B736" s="12">
        <v>731729.0</v>
      </c>
      <c r="C736" s="12">
        <v>731917.0</v>
      </c>
      <c r="D736" s="2"/>
      <c r="E736" s="2" t="s">
        <v>38</v>
      </c>
      <c r="F736" s="2" t="s">
        <v>39</v>
      </c>
      <c r="G736" s="2"/>
      <c r="H736" s="12">
        <v>0.0</v>
      </c>
      <c r="I736" s="2" t="s">
        <v>40</v>
      </c>
      <c r="J736" s="2"/>
      <c r="K736" s="2" t="s">
        <v>1927</v>
      </c>
      <c r="L736" s="12">
        <v>62.0</v>
      </c>
      <c r="M736" s="2" t="s">
        <v>1928</v>
      </c>
      <c r="N736" s="2" t="str">
        <f>IFERROR(__xludf.DUMMYFUNCTION("""COMPUTED_VALUE"""),"")</f>
        <v/>
      </c>
    </row>
    <row r="737">
      <c r="A737" s="2" t="s">
        <v>33</v>
      </c>
      <c r="B737" s="12">
        <v>731925.0</v>
      </c>
      <c r="C737" s="12">
        <v>732158.0</v>
      </c>
      <c r="D737" s="2"/>
      <c r="E737" s="2" t="s">
        <v>38</v>
      </c>
      <c r="F737" s="2" t="s">
        <v>39</v>
      </c>
      <c r="G737" s="2"/>
      <c r="H737" s="12">
        <v>0.0</v>
      </c>
      <c r="I737" s="2" t="s">
        <v>40</v>
      </c>
      <c r="J737" s="2"/>
      <c r="K737" s="2" t="s">
        <v>1929</v>
      </c>
      <c r="L737" s="12">
        <v>77.0</v>
      </c>
      <c r="M737" s="2" t="s">
        <v>1930</v>
      </c>
      <c r="N737" s="2" t="str">
        <f>IFERROR(__xludf.DUMMYFUNCTION("""COMPUTED_VALUE"""),"")</f>
        <v/>
      </c>
    </row>
    <row r="738">
      <c r="A738" s="2" t="s">
        <v>33</v>
      </c>
      <c r="B738" s="12">
        <v>732158.0</v>
      </c>
      <c r="C738" s="12">
        <v>732781.0</v>
      </c>
      <c r="D738" s="2"/>
      <c r="E738" s="2" t="s">
        <v>38</v>
      </c>
      <c r="F738" s="2" t="s">
        <v>1931</v>
      </c>
      <c r="G738" s="2"/>
      <c r="H738" s="12">
        <v>0.0</v>
      </c>
      <c r="I738" s="2" t="s">
        <v>40</v>
      </c>
      <c r="J738" s="2"/>
      <c r="K738" s="2" t="s">
        <v>1932</v>
      </c>
      <c r="L738" s="12">
        <v>207.0</v>
      </c>
      <c r="M738" s="2" t="s">
        <v>1933</v>
      </c>
      <c r="N738" s="2" t="str">
        <f>IFERROR(__xludf.DUMMYFUNCTION("""COMPUTED_VALUE"""),"")</f>
        <v/>
      </c>
    </row>
    <row r="739">
      <c r="A739" s="2" t="s">
        <v>33</v>
      </c>
      <c r="B739" s="12">
        <v>732723.0</v>
      </c>
      <c r="C739" s="12">
        <v>733907.0</v>
      </c>
      <c r="D739" s="2"/>
      <c r="E739" s="2" t="s">
        <v>38</v>
      </c>
      <c r="F739" s="2" t="s">
        <v>1934</v>
      </c>
      <c r="G739" s="2"/>
      <c r="H739" s="12">
        <v>0.0</v>
      </c>
      <c r="I739" s="2" t="s">
        <v>40</v>
      </c>
      <c r="J739" s="2"/>
      <c r="K739" s="2" t="s">
        <v>1935</v>
      </c>
      <c r="L739" s="12">
        <v>394.0</v>
      </c>
      <c r="M739" s="2" t="s">
        <v>1936</v>
      </c>
      <c r="N739" s="2" t="str">
        <f>IFERROR(__xludf.DUMMYFUNCTION("""COMPUTED_VALUE"""),"")</f>
        <v/>
      </c>
    </row>
    <row r="740">
      <c r="A740" s="2" t="s">
        <v>33</v>
      </c>
      <c r="B740" s="12">
        <v>734023.0</v>
      </c>
      <c r="C740" s="12">
        <v>734205.0</v>
      </c>
      <c r="D740" s="2"/>
      <c r="E740" s="2" t="s">
        <v>38</v>
      </c>
      <c r="F740" s="2" t="s">
        <v>39</v>
      </c>
      <c r="G740" s="2"/>
      <c r="H740" s="12">
        <v>0.0</v>
      </c>
      <c r="I740" s="2" t="s">
        <v>40</v>
      </c>
      <c r="J740" s="2"/>
      <c r="K740" s="2" t="s">
        <v>1937</v>
      </c>
      <c r="L740" s="12">
        <v>60.0</v>
      </c>
      <c r="M740" s="2" t="s">
        <v>1938</v>
      </c>
      <c r="N740" s="2" t="str">
        <f>IFERROR(__xludf.DUMMYFUNCTION("""COMPUTED_VALUE"""),"")</f>
        <v/>
      </c>
    </row>
    <row r="741">
      <c r="A741" s="2" t="s">
        <v>33</v>
      </c>
      <c r="B741" s="12">
        <v>734202.0</v>
      </c>
      <c r="C741" s="12">
        <v>734504.0</v>
      </c>
      <c r="D741" s="2"/>
      <c r="E741" s="2" t="s">
        <v>38</v>
      </c>
      <c r="F741" s="2" t="s">
        <v>39</v>
      </c>
      <c r="G741" s="2"/>
      <c r="H741" s="12">
        <v>0.0</v>
      </c>
      <c r="I741" s="2" t="s">
        <v>40</v>
      </c>
      <c r="J741" s="2"/>
      <c r="K741" s="2" t="s">
        <v>1939</v>
      </c>
      <c r="L741" s="12">
        <v>100.0</v>
      </c>
      <c r="M741" s="2" t="s">
        <v>1940</v>
      </c>
      <c r="N741" s="2" t="str">
        <f>IFERROR(__xludf.DUMMYFUNCTION("""COMPUTED_VALUE"""),"")</f>
        <v/>
      </c>
    </row>
    <row r="742">
      <c r="A742" s="2" t="s">
        <v>33</v>
      </c>
      <c r="B742" s="12">
        <v>734501.0</v>
      </c>
      <c r="C742" s="12">
        <v>734770.0</v>
      </c>
      <c r="D742" s="2"/>
      <c r="E742" s="2" t="s">
        <v>38</v>
      </c>
      <c r="F742" s="2" t="s">
        <v>39</v>
      </c>
      <c r="G742" s="2"/>
      <c r="H742" s="12">
        <v>0.0</v>
      </c>
      <c r="I742" s="2" t="s">
        <v>40</v>
      </c>
      <c r="J742" s="2"/>
      <c r="K742" s="2" t="s">
        <v>1941</v>
      </c>
      <c r="L742" s="12">
        <v>89.0</v>
      </c>
      <c r="M742" s="2" t="s">
        <v>1942</v>
      </c>
      <c r="N742" s="2" t="str">
        <f>IFERROR(__xludf.DUMMYFUNCTION("""COMPUTED_VALUE"""),"")</f>
        <v/>
      </c>
    </row>
    <row r="743">
      <c r="A743" s="2" t="s">
        <v>33</v>
      </c>
      <c r="B743" s="12">
        <v>734956.0</v>
      </c>
      <c r="C743" s="12">
        <v>735156.0</v>
      </c>
      <c r="D743" s="2"/>
      <c r="E743" s="2" t="s">
        <v>34</v>
      </c>
      <c r="F743" s="2" t="s">
        <v>220</v>
      </c>
      <c r="G743" s="2"/>
      <c r="H743" s="12">
        <v>0.0</v>
      </c>
      <c r="I743" s="2" t="s">
        <v>40</v>
      </c>
      <c r="J743" s="2"/>
      <c r="K743" s="2" t="s">
        <v>1943</v>
      </c>
      <c r="L743" s="12">
        <v>66.0</v>
      </c>
      <c r="M743" s="2" t="s">
        <v>1944</v>
      </c>
      <c r="N743" s="2" t="str">
        <f>IFERROR(__xludf.DUMMYFUNCTION("""COMPUTED_VALUE"""),"")</f>
        <v/>
      </c>
    </row>
    <row r="744">
      <c r="A744" s="2" t="s">
        <v>33</v>
      </c>
      <c r="B744" s="12">
        <v>735794.0</v>
      </c>
      <c r="C744" s="12">
        <v>735916.0</v>
      </c>
      <c r="D744" s="2"/>
      <c r="E744" s="2" t="s">
        <v>38</v>
      </c>
      <c r="F744" s="2" t="s">
        <v>1945</v>
      </c>
      <c r="G744" s="2"/>
      <c r="H744" s="12">
        <v>0.0</v>
      </c>
      <c r="I744" s="2" t="s">
        <v>40</v>
      </c>
      <c r="J744" s="2"/>
      <c r="K744" s="2" t="s">
        <v>1946</v>
      </c>
      <c r="L744" s="12">
        <v>40.0</v>
      </c>
      <c r="M744" s="2" t="s">
        <v>1947</v>
      </c>
      <c r="N744" s="2" t="str">
        <f>IFERROR(__xludf.DUMMYFUNCTION("""COMPUTED_VALUE"""),"")</f>
        <v/>
      </c>
    </row>
    <row r="745">
      <c r="A745" s="2" t="s">
        <v>33</v>
      </c>
      <c r="B745" s="12">
        <v>736097.0</v>
      </c>
      <c r="C745" s="12">
        <v>736336.0</v>
      </c>
      <c r="D745" s="2"/>
      <c r="E745" s="2" t="s">
        <v>34</v>
      </c>
      <c r="F745" s="2" t="s">
        <v>220</v>
      </c>
      <c r="G745" s="2"/>
      <c r="H745" s="12">
        <v>0.0</v>
      </c>
      <c r="I745" s="2" t="s">
        <v>40</v>
      </c>
      <c r="J745" s="2"/>
      <c r="K745" s="2" t="s">
        <v>1948</v>
      </c>
      <c r="L745" s="12">
        <v>79.0</v>
      </c>
      <c r="M745" s="2" t="s">
        <v>1949</v>
      </c>
      <c r="N745" s="2" t="str">
        <f>IFERROR(__xludf.DUMMYFUNCTION("""COMPUTED_VALUE"""),"")</f>
        <v/>
      </c>
    </row>
    <row r="746">
      <c r="A746" s="2" t="s">
        <v>33</v>
      </c>
      <c r="B746" s="12">
        <v>736413.0</v>
      </c>
      <c r="C746" s="12">
        <v>736739.0</v>
      </c>
      <c r="D746" s="2"/>
      <c r="E746" s="2" t="s">
        <v>34</v>
      </c>
      <c r="F746" s="2" t="s">
        <v>39</v>
      </c>
      <c r="G746" s="2"/>
      <c r="H746" s="12">
        <v>0.0</v>
      </c>
      <c r="I746" s="2" t="s">
        <v>40</v>
      </c>
      <c r="J746" s="2"/>
      <c r="K746" s="2" t="s">
        <v>1950</v>
      </c>
      <c r="L746" s="12">
        <v>108.0</v>
      </c>
      <c r="M746" s="2" t="s">
        <v>1951</v>
      </c>
      <c r="N746" s="2" t="str">
        <f>IFERROR(__xludf.DUMMYFUNCTION("""COMPUTED_VALUE"""),"")</f>
        <v/>
      </c>
    </row>
    <row r="747">
      <c r="A747" s="2" t="s">
        <v>33</v>
      </c>
      <c r="B747" s="12">
        <v>736812.0</v>
      </c>
      <c r="C747" s="12">
        <v>738473.0</v>
      </c>
      <c r="D747" s="2"/>
      <c r="E747" s="2" t="s">
        <v>34</v>
      </c>
      <c r="F747" s="2" t="s">
        <v>1952</v>
      </c>
      <c r="G747" s="2"/>
      <c r="H747" s="12">
        <v>0.0</v>
      </c>
      <c r="I747" s="2" t="s">
        <v>40</v>
      </c>
      <c r="J747" s="2"/>
      <c r="K747" s="2" t="s">
        <v>1953</v>
      </c>
      <c r="L747" s="12">
        <v>553.0</v>
      </c>
      <c r="M747" s="2" t="s">
        <v>1954</v>
      </c>
      <c r="N747" s="2" t="str">
        <f>IFERROR(__xludf.DUMMYFUNCTION("""COMPUTED_VALUE"""),"")</f>
        <v/>
      </c>
    </row>
    <row r="748">
      <c r="A748" s="2" t="s">
        <v>33</v>
      </c>
      <c r="B748" s="12">
        <v>739009.0</v>
      </c>
      <c r="C748" s="12">
        <v>740073.0</v>
      </c>
      <c r="D748" s="2"/>
      <c r="E748" s="2" t="s">
        <v>38</v>
      </c>
      <c r="F748" s="2" t="s">
        <v>1116</v>
      </c>
      <c r="G748" s="2"/>
      <c r="H748" s="12">
        <v>0.0</v>
      </c>
      <c r="I748" s="2" t="s">
        <v>40</v>
      </c>
      <c r="J748" s="2"/>
      <c r="K748" s="2" t="s">
        <v>1955</v>
      </c>
      <c r="L748" s="12">
        <v>354.0</v>
      </c>
      <c r="M748" s="2" t="s">
        <v>1956</v>
      </c>
      <c r="N748" s="2" t="str">
        <f>IFERROR(__xludf.DUMMYFUNCTION("""COMPUTED_VALUE"""),"")</f>
        <v/>
      </c>
    </row>
    <row r="749">
      <c r="A749" s="2" t="s">
        <v>33</v>
      </c>
      <c r="B749" s="12">
        <v>740070.0</v>
      </c>
      <c r="C749" s="12">
        <v>740309.0</v>
      </c>
      <c r="D749" s="2"/>
      <c r="E749" s="2" t="s">
        <v>38</v>
      </c>
      <c r="F749" s="2" t="s">
        <v>39</v>
      </c>
      <c r="G749" s="2"/>
      <c r="H749" s="12">
        <v>0.0</v>
      </c>
      <c r="I749" s="2" t="s">
        <v>40</v>
      </c>
      <c r="J749" s="2"/>
      <c r="K749" s="2" t="s">
        <v>1957</v>
      </c>
      <c r="L749" s="12">
        <v>79.0</v>
      </c>
      <c r="M749" s="2" t="s">
        <v>1958</v>
      </c>
      <c r="N749" s="2" t="str">
        <f>IFERROR(__xludf.DUMMYFUNCTION("""COMPUTED_VALUE"""),"")</f>
        <v/>
      </c>
    </row>
    <row r="750">
      <c r="A750" s="2" t="s">
        <v>33</v>
      </c>
      <c r="B750" s="12">
        <v>740309.0</v>
      </c>
      <c r="C750" s="12">
        <v>740545.0</v>
      </c>
      <c r="D750" s="2"/>
      <c r="E750" s="2" t="s">
        <v>38</v>
      </c>
      <c r="F750" s="2" t="s">
        <v>1959</v>
      </c>
      <c r="G750" s="2"/>
      <c r="H750" s="12">
        <v>0.0</v>
      </c>
      <c r="I750" s="2" t="s">
        <v>40</v>
      </c>
      <c r="J750" s="2"/>
      <c r="K750" s="2" t="s">
        <v>1960</v>
      </c>
      <c r="L750" s="12">
        <v>78.0</v>
      </c>
      <c r="M750" s="2" t="s">
        <v>1961</v>
      </c>
      <c r="N750" s="2" t="str">
        <f>IFERROR(__xludf.DUMMYFUNCTION("""COMPUTED_VALUE"""),"")</f>
        <v/>
      </c>
    </row>
    <row r="751">
      <c r="A751" s="2" t="s">
        <v>33</v>
      </c>
      <c r="B751" s="12">
        <v>740637.0</v>
      </c>
      <c r="C751" s="12">
        <v>745613.0</v>
      </c>
      <c r="D751" s="2"/>
      <c r="E751" s="2" t="s">
        <v>38</v>
      </c>
      <c r="F751" s="2" t="s">
        <v>124</v>
      </c>
      <c r="G751" s="2"/>
      <c r="H751" s="12">
        <v>0.0</v>
      </c>
      <c r="I751" s="2" t="s">
        <v>40</v>
      </c>
      <c r="J751" s="2"/>
      <c r="K751" s="2" t="s">
        <v>1962</v>
      </c>
      <c r="L751" s="12">
        <v>1658.0</v>
      </c>
      <c r="M751" s="2" t="s">
        <v>1963</v>
      </c>
      <c r="N751" s="2" t="str">
        <f>IFERROR(__xludf.DUMMYFUNCTION("""COMPUTED_VALUE"""),"")</f>
        <v/>
      </c>
    </row>
    <row r="752">
      <c r="A752" s="2" t="s">
        <v>33</v>
      </c>
      <c r="B752" s="12">
        <v>745610.0</v>
      </c>
      <c r="C752" s="12">
        <v>747106.0</v>
      </c>
      <c r="D752" s="2"/>
      <c r="E752" s="2" t="s">
        <v>38</v>
      </c>
      <c r="F752" s="2" t="s">
        <v>555</v>
      </c>
      <c r="G752" s="2"/>
      <c r="H752" s="12">
        <v>0.0</v>
      </c>
      <c r="I752" s="2" t="s">
        <v>40</v>
      </c>
      <c r="J752" s="2"/>
      <c r="K752" s="2" t="s">
        <v>1964</v>
      </c>
      <c r="L752" s="12">
        <v>498.0</v>
      </c>
      <c r="M752" s="2" t="s">
        <v>1965</v>
      </c>
      <c r="N752" s="2" t="str">
        <f>IFERROR(__xludf.DUMMYFUNCTION("""COMPUTED_VALUE"""),"")</f>
        <v/>
      </c>
    </row>
    <row r="753">
      <c r="A753" s="2" t="s">
        <v>33</v>
      </c>
      <c r="B753" s="12">
        <v>747121.0</v>
      </c>
      <c r="C753" s="12">
        <v>751017.0</v>
      </c>
      <c r="D753" s="2"/>
      <c r="E753" s="2" t="s">
        <v>38</v>
      </c>
      <c r="F753" s="2" t="s">
        <v>1966</v>
      </c>
      <c r="G753" s="2"/>
      <c r="H753" s="12">
        <v>0.0</v>
      </c>
      <c r="I753" s="2" t="s">
        <v>40</v>
      </c>
      <c r="J753" s="2"/>
      <c r="K753" s="2" t="s">
        <v>1967</v>
      </c>
      <c r="L753" s="12">
        <v>1298.0</v>
      </c>
      <c r="M753" s="2" t="s">
        <v>1968</v>
      </c>
      <c r="N753" s="2" t="str">
        <f>IFERROR(__xludf.DUMMYFUNCTION("""COMPUTED_VALUE"""),"")</f>
        <v/>
      </c>
    </row>
    <row r="754">
      <c r="A754" s="2" t="s">
        <v>33</v>
      </c>
      <c r="B754" s="12">
        <v>751054.0</v>
      </c>
      <c r="C754" s="12">
        <v>751308.0</v>
      </c>
      <c r="D754" s="2"/>
      <c r="E754" s="2" t="s">
        <v>38</v>
      </c>
      <c r="F754" s="2" t="s">
        <v>39</v>
      </c>
      <c r="G754" s="2"/>
      <c r="H754" s="12">
        <v>0.0</v>
      </c>
      <c r="I754" s="2" t="s">
        <v>40</v>
      </c>
      <c r="J754" s="2"/>
      <c r="K754" s="2" t="s">
        <v>1969</v>
      </c>
      <c r="L754" s="12">
        <v>84.0</v>
      </c>
      <c r="M754" s="2" t="s">
        <v>1970</v>
      </c>
      <c r="N754" s="2" t="str">
        <f>IFERROR(__xludf.DUMMYFUNCTION("""COMPUTED_VALUE"""),"")</f>
        <v/>
      </c>
    </row>
    <row r="755">
      <c r="A755" s="2" t="s">
        <v>33</v>
      </c>
      <c r="B755" s="12">
        <v>751398.0</v>
      </c>
      <c r="C755" s="12">
        <v>751775.0</v>
      </c>
      <c r="D755" s="2"/>
      <c r="E755" s="2" t="s">
        <v>38</v>
      </c>
      <c r="F755" s="2" t="s">
        <v>1971</v>
      </c>
      <c r="G755" s="2"/>
      <c r="H755" s="12">
        <v>0.0</v>
      </c>
      <c r="I755" s="2" t="s">
        <v>40</v>
      </c>
      <c r="J755" s="2"/>
      <c r="K755" s="2" t="s">
        <v>1972</v>
      </c>
      <c r="L755" s="12">
        <v>125.0</v>
      </c>
      <c r="M755" s="2" t="s">
        <v>1973</v>
      </c>
      <c r="N755" s="2" t="str">
        <f>IFERROR(__xludf.DUMMYFUNCTION("""COMPUTED_VALUE"""),"")</f>
        <v/>
      </c>
    </row>
    <row r="756">
      <c r="A756" s="2" t="s">
        <v>33</v>
      </c>
      <c r="B756" s="12">
        <v>751843.0</v>
      </c>
      <c r="C756" s="12">
        <v>752058.0</v>
      </c>
      <c r="D756" s="2"/>
      <c r="E756" s="2" t="s">
        <v>38</v>
      </c>
      <c r="F756" s="2" t="s">
        <v>39</v>
      </c>
      <c r="G756" s="2"/>
      <c r="H756" s="12">
        <v>0.0</v>
      </c>
      <c r="I756" s="2" t="s">
        <v>40</v>
      </c>
      <c r="J756" s="2"/>
      <c r="K756" s="2" t="s">
        <v>1974</v>
      </c>
      <c r="L756" s="12">
        <v>71.0</v>
      </c>
      <c r="M756" s="2" t="s">
        <v>1975</v>
      </c>
      <c r="N756" s="2" t="str">
        <f>IFERROR(__xludf.DUMMYFUNCTION("""COMPUTED_VALUE"""),"")</f>
        <v/>
      </c>
    </row>
    <row r="757">
      <c r="A757" s="2" t="s">
        <v>33</v>
      </c>
      <c r="B757" s="12">
        <v>752045.0</v>
      </c>
      <c r="C757" s="12">
        <v>752404.0</v>
      </c>
      <c r="D757" s="2"/>
      <c r="E757" s="2" t="s">
        <v>38</v>
      </c>
      <c r="F757" s="2" t="s">
        <v>39</v>
      </c>
      <c r="G757" s="2"/>
      <c r="H757" s="12">
        <v>0.0</v>
      </c>
      <c r="I757" s="2" t="s">
        <v>40</v>
      </c>
      <c r="J757" s="2"/>
      <c r="K757" s="2" t="s">
        <v>1976</v>
      </c>
      <c r="L757" s="12">
        <v>119.0</v>
      </c>
      <c r="M757" s="2" t="s">
        <v>1977</v>
      </c>
      <c r="N757" s="2" t="str">
        <f>IFERROR(__xludf.DUMMYFUNCTION("""COMPUTED_VALUE"""),"")</f>
        <v/>
      </c>
    </row>
    <row r="758">
      <c r="A758" s="2" t="s">
        <v>33</v>
      </c>
      <c r="B758" s="12">
        <v>752428.0</v>
      </c>
      <c r="C758" s="12">
        <v>752934.0</v>
      </c>
      <c r="D758" s="2"/>
      <c r="E758" s="2" t="s">
        <v>38</v>
      </c>
      <c r="F758" s="2" t="s">
        <v>1978</v>
      </c>
      <c r="G758" s="2"/>
      <c r="H758" s="12">
        <v>0.0</v>
      </c>
      <c r="I758" s="2" t="s">
        <v>40</v>
      </c>
      <c r="J758" s="2"/>
      <c r="K758" s="2" t="s">
        <v>1979</v>
      </c>
      <c r="L758" s="12">
        <v>168.0</v>
      </c>
      <c r="M758" s="2" t="s">
        <v>1980</v>
      </c>
      <c r="N758" s="2" t="str">
        <f>IFERROR(__xludf.DUMMYFUNCTION("""COMPUTED_VALUE"""),"")</f>
        <v/>
      </c>
    </row>
    <row r="759">
      <c r="A759" s="2" t="s">
        <v>33</v>
      </c>
      <c r="B759" s="12">
        <v>752948.0</v>
      </c>
      <c r="C759" s="12">
        <v>753355.0</v>
      </c>
      <c r="D759" s="2"/>
      <c r="E759" s="2" t="s">
        <v>38</v>
      </c>
      <c r="F759" s="2" t="s">
        <v>39</v>
      </c>
      <c r="G759" s="2"/>
      <c r="H759" s="12">
        <v>0.0</v>
      </c>
      <c r="I759" s="2" t="s">
        <v>40</v>
      </c>
      <c r="J759" s="2"/>
      <c r="K759" s="2" t="s">
        <v>1981</v>
      </c>
      <c r="L759" s="12">
        <v>135.0</v>
      </c>
      <c r="M759" s="2" t="s">
        <v>1982</v>
      </c>
      <c r="N759" s="2" t="str">
        <f>IFERROR(__xludf.DUMMYFUNCTION("""COMPUTED_VALUE"""),"")</f>
        <v/>
      </c>
    </row>
    <row r="760">
      <c r="A760" s="2" t="s">
        <v>33</v>
      </c>
      <c r="B760" s="12">
        <v>753358.0</v>
      </c>
      <c r="C760" s="12">
        <v>753717.0</v>
      </c>
      <c r="D760" s="2"/>
      <c r="E760" s="2" t="s">
        <v>38</v>
      </c>
      <c r="F760" s="2" t="s">
        <v>39</v>
      </c>
      <c r="G760" s="2"/>
      <c r="H760" s="12">
        <v>0.0</v>
      </c>
      <c r="I760" s="2" t="s">
        <v>40</v>
      </c>
      <c r="J760" s="2"/>
      <c r="K760" s="2" t="s">
        <v>1983</v>
      </c>
      <c r="L760" s="12">
        <v>119.0</v>
      </c>
      <c r="M760" s="2" t="s">
        <v>1984</v>
      </c>
      <c r="N760" s="2" t="str">
        <f>IFERROR(__xludf.DUMMYFUNCTION("""COMPUTED_VALUE"""),"")</f>
        <v/>
      </c>
    </row>
    <row r="761">
      <c r="A761" s="2" t="s">
        <v>33</v>
      </c>
      <c r="B761" s="12">
        <v>753717.0</v>
      </c>
      <c r="C761" s="12">
        <v>754091.0</v>
      </c>
      <c r="D761" s="2"/>
      <c r="E761" s="2" t="s">
        <v>38</v>
      </c>
      <c r="F761" s="2" t="s">
        <v>39</v>
      </c>
      <c r="G761" s="2"/>
      <c r="H761" s="12">
        <v>0.0</v>
      </c>
      <c r="I761" s="2" t="s">
        <v>40</v>
      </c>
      <c r="J761" s="2"/>
      <c r="K761" s="2" t="s">
        <v>1985</v>
      </c>
      <c r="L761" s="12">
        <v>124.0</v>
      </c>
      <c r="M761" s="2" t="s">
        <v>1986</v>
      </c>
      <c r="N761" s="2" t="str">
        <f>IFERROR(__xludf.DUMMYFUNCTION("""COMPUTED_VALUE"""),"")</f>
        <v/>
      </c>
    </row>
    <row r="762">
      <c r="A762" s="2" t="s">
        <v>33</v>
      </c>
      <c r="B762" s="12">
        <v>754095.0</v>
      </c>
      <c r="C762" s="12">
        <v>754901.0</v>
      </c>
      <c r="D762" s="2"/>
      <c r="E762" s="2" t="s">
        <v>38</v>
      </c>
      <c r="F762" s="2" t="s">
        <v>39</v>
      </c>
      <c r="G762" s="2"/>
      <c r="H762" s="12">
        <v>0.0</v>
      </c>
      <c r="I762" s="2" t="s">
        <v>40</v>
      </c>
      <c r="J762" s="2"/>
      <c r="K762" s="2" t="s">
        <v>1987</v>
      </c>
      <c r="L762" s="12">
        <v>268.0</v>
      </c>
      <c r="M762" s="2" t="s">
        <v>1988</v>
      </c>
      <c r="N762" s="2" t="str">
        <f>IFERROR(__xludf.DUMMYFUNCTION("""COMPUTED_VALUE"""),"")</f>
        <v/>
      </c>
    </row>
    <row r="763">
      <c r="A763" s="2" t="s">
        <v>33</v>
      </c>
      <c r="B763" s="12">
        <v>754906.0</v>
      </c>
      <c r="C763" s="12">
        <v>755247.0</v>
      </c>
      <c r="D763" s="2"/>
      <c r="E763" s="2" t="s">
        <v>38</v>
      </c>
      <c r="F763" s="2" t="s">
        <v>39</v>
      </c>
      <c r="G763" s="2"/>
      <c r="H763" s="12">
        <v>0.0</v>
      </c>
      <c r="I763" s="2" t="s">
        <v>40</v>
      </c>
      <c r="J763" s="2"/>
      <c r="K763" s="2" t="s">
        <v>1989</v>
      </c>
      <c r="L763" s="12">
        <v>113.0</v>
      </c>
      <c r="M763" s="2" t="s">
        <v>1990</v>
      </c>
      <c r="N763" s="2" t="str">
        <f>IFERROR(__xludf.DUMMYFUNCTION("""COMPUTED_VALUE"""),"")</f>
        <v/>
      </c>
    </row>
    <row r="764">
      <c r="A764" s="2" t="s">
        <v>33</v>
      </c>
      <c r="B764" s="12">
        <v>755276.0</v>
      </c>
      <c r="C764" s="12">
        <v>755500.0</v>
      </c>
      <c r="D764" s="2"/>
      <c r="E764" s="2" t="s">
        <v>38</v>
      </c>
      <c r="F764" s="2" t="s">
        <v>1991</v>
      </c>
      <c r="G764" s="2"/>
      <c r="H764" s="12">
        <v>0.0</v>
      </c>
      <c r="I764" s="2" t="s">
        <v>40</v>
      </c>
      <c r="J764" s="2"/>
      <c r="K764" s="2" t="s">
        <v>1992</v>
      </c>
      <c r="L764" s="12">
        <v>74.0</v>
      </c>
      <c r="M764" s="2" t="s">
        <v>1993</v>
      </c>
      <c r="N764" s="2" t="str">
        <f>IFERROR(__xludf.DUMMYFUNCTION("""COMPUTED_VALUE"""),"")</f>
        <v/>
      </c>
    </row>
    <row r="765">
      <c r="A765" s="2" t="s">
        <v>33</v>
      </c>
      <c r="B765" s="12">
        <v>755550.0</v>
      </c>
      <c r="C765" s="12">
        <v>756674.0</v>
      </c>
      <c r="D765" s="2"/>
      <c r="E765" s="2" t="s">
        <v>38</v>
      </c>
      <c r="F765" s="2" t="s">
        <v>1994</v>
      </c>
      <c r="G765" s="2"/>
      <c r="H765" s="12">
        <v>0.0</v>
      </c>
      <c r="I765" s="2" t="s">
        <v>40</v>
      </c>
      <c r="J765" s="2"/>
      <c r="K765" s="2" t="s">
        <v>1995</v>
      </c>
      <c r="L765" s="12">
        <v>374.0</v>
      </c>
      <c r="M765" s="2" t="s">
        <v>1996</v>
      </c>
      <c r="N765" s="2" t="str">
        <f>IFERROR(__xludf.DUMMYFUNCTION("""COMPUTED_VALUE"""),"")</f>
        <v/>
      </c>
    </row>
    <row r="766">
      <c r="A766" s="2" t="s">
        <v>33</v>
      </c>
      <c r="B766" s="12">
        <v>756734.0</v>
      </c>
      <c r="C766" s="12">
        <v>757501.0</v>
      </c>
      <c r="D766" s="2"/>
      <c r="E766" s="2" t="s">
        <v>38</v>
      </c>
      <c r="F766" s="2" t="s">
        <v>1997</v>
      </c>
      <c r="G766" s="2"/>
      <c r="H766" s="12">
        <v>0.0</v>
      </c>
      <c r="I766" s="2" t="s">
        <v>40</v>
      </c>
      <c r="J766" s="2"/>
      <c r="K766" s="2" t="s">
        <v>1998</v>
      </c>
      <c r="L766" s="12">
        <v>255.0</v>
      </c>
      <c r="M766" s="2" t="s">
        <v>1999</v>
      </c>
      <c r="N766" s="2" t="str">
        <f>IFERROR(__xludf.DUMMYFUNCTION("""COMPUTED_VALUE"""),"")</f>
        <v/>
      </c>
    </row>
    <row r="767">
      <c r="A767" s="2" t="s">
        <v>33</v>
      </c>
      <c r="B767" s="12">
        <v>757575.0</v>
      </c>
      <c r="C767" s="12">
        <v>759092.0</v>
      </c>
      <c r="D767" s="2"/>
      <c r="E767" s="2" t="s">
        <v>38</v>
      </c>
      <c r="F767" s="2" t="s">
        <v>2000</v>
      </c>
      <c r="G767" s="2"/>
      <c r="H767" s="12">
        <v>0.0</v>
      </c>
      <c r="I767" s="2" t="s">
        <v>40</v>
      </c>
      <c r="J767" s="2"/>
      <c r="K767" s="2" t="s">
        <v>2001</v>
      </c>
      <c r="L767" s="12">
        <v>505.0</v>
      </c>
      <c r="M767" s="2" t="s">
        <v>2002</v>
      </c>
      <c r="N767" s="2" t="str">
        <f>IFERROR(__xludf.DUMMYFUNCTION("""COMPUTED_VALUE"""),"")</f>
        <v/>
      </c>
    </row>
    <row r="768">
      <c r="A768" s="2" t="s">
        <v>33</v>
      </c>
      <c r="B768" s="12">
        <v>759109.0</v>
      </c>
      <c r="C768" s="12">
        <v>760824.0</v>
      </c>
      <c r="D768" s="2"/>
      <c r="E768" s="2" t="s">
        <v>38</v>
      </c>
      <c r="F768" s="2" t="s">
        <v>2003</v>
      </c>
      <c r="G768" s="2" t="s">
        <v>2004</v>
      </c>
      <c r="H768" s="12">
        <v>0.0</v>
      </c>
      <c r="I768" s="2" t="s">
        <v>40</v>
      </c>
      <c r="J768" s="2"/>
      <c r="K768" s="2" t="s">
        <v>2005</v>
      </c>
      <c r="L768" s="12">
        <v>571.0</v>
      </c>
      <c r="M768" s="2" t="s">
        <v>2006</v>
      </c>
      <c r="N768" s="2" t="str">
        <f>IFERROR(__xludf.DUMMYFUNCTION("""COMPUTED_VALUE"""),"")</f>
        <v/>
      </c>
    </row>
    <row r="769">
      <c r="A769" s="2" t="s">
        <v>33</v>
      </c>
      <c r="B769" s="12">
        <v>760841.0</v>
      </c>
      <c r="C769" s="12">
        <v>761269.0</v>
      </c>
      <c r="D769" s="2"/>
      <c r="E769" s="2" t="s">
        <v>38</v>
      </c>
      <c r="F769" s="2" t="s">
        <v>2007</v>
      </c>
      <c r="G769" s="2"/>
      <c r="H769" s="12">
        <v>0.0</v>
      </c>
      <c r="I769" s="2" t="s">
        <v>40</v>
      </c>
      <c r="J769" s="2"/>
      <c r="K769" s="2" t="s">
        <v>2008</v>
      </c>
      <c r="L769" s="12">
        <v>142.0</v>
      </c>
      <c r="M769" s="2" t="s">
        <v>2009</v>
      </c>
      <c r="N769" s="2" t="str">
        <f>IFERROR(__xludf.DUMMYFUNCTION("""COMPUTED_VALUE"""),"")</f>
        <v/>
      </c>
    </row>
    <row r="770">
      <c r="A770" s="2" t="s">
        <v>33</v>
      </c>
      <c r="B770" s="12">
        <v>761983.0</v>
      </c>
      <c r="C770" s="12">
        <v>762363.0</v>
      </c>
      <c r="D770" s="2"/>
      <c r="E770" s="2" t="s">
        <v>38</v>
      </c>
      <c r="F770" s="2" t="s">
        <v>39</v>
      </c>
      <c r="G770" s="2"/>
      <c r="H770" s="12">
        <v>0.0</v>
      </c>
      <c r="I770" s="2" t="s">
        <v>40</v>
      </c>
      <c r="J770" s="2"/>
      <c r="K770" s="2" t="s">
        <v>2010</v>
      </c>
      <c r="L770" s="12">
        <v>126.0</v>
      </c>
      <c r="M770" s="2" t="s">
        <v>2011</v>
      </c>
      <c r="N770" s="2" t="str">
        <f>IFERROR(__xludf.DUMMYFUNCTION("""COMPUTED_VALUE"""),"")</f>
        <v/>
      </c>
    </row>
    <row r="771">
      <c r="A771" s="2" t="s">
        <v>33</v>
      </c>
      <c r="B771" s="12">
        <v>762619.0</v>
      </c>
      <c r="C771" s="12">
        <v>762948.0</v>
      </c>
      <c r="D771" s="2"/>
      <c r="E771" s="2" t="s">
        <v>38</v>
      </c>
      <c r="F771" s="2" t="s">
        <v>39</v>
      </c>
      <c r="G771" s="2"/>
      <c r="H771" s="12">
        <v>0.0</v>
      </c>
      <c r="I771" s="2" t="s">
        <v>40</v>
      </c>
      <c r="J771" s="2"/>
      <c r="K771" s="2" t="s">
        <v>2012</v>
      </c>
      <c r="L771" s="12">
        <v>109.0</v>
      </c>
      <c r="M771" s="2" t="s">
        <v>2013</v>
      </c>
      <c r="N771" s="2" t="str">
        <f>IFERROR(__xludf.DUMMYFUNCTION("""COMPUTED_VALUE"""),"")</f>
        <v/>
      </c>
    </row>
    <row r="772">
      <c r="A772" s="2" t="s">
        <v>33</v>
      </c>
      <c r="B772" s="12">
        <v>762985.0</v>
      </c>
      <c r="C772" s="12">
        <v>763512.0</v>
      </c>
      <c r="D772" s="2"/>
      <c r="E772" s="2" t="s">
        <v>38</v>
      </c>
      <c r="F772" s="2" t="s">
        <v>39</v>
      </c>
      <c r="G772" s="2"/>
      <c r="H772" s="12">
        <v>0.0</v>
      </c>
      <c r="I772" s="2" t="s">
        <v>40</v>
      </c>
      <c r="J772" s="2"/>
      <c r="K772" s="2" t="s">
        <v>2014</v>
      </c>
      <c r="L772" s="12">
        <v>175.0</v>
      </c>
      <c r="M772" s="2" t="s">
        <v>2015</v>
      </c>
      <c r="N772" s="2" t="str">
        <f>IFERROR(__xludf.DUMMYFUNCTION("""COMPUTED_VALUE"""),"")</f>
        <v/>
      </c>
    </row>
    <row r="773">
      <c r="A773" s="2" t="s">
        <v>33</v>
      </c>
      <c r="B773" s="12">
        <v>763512.0</v>
      </c>
      <c r="C773" s="12">
        <v>763775.0</v>
      </c>
      <c r="D773" s="2"/>
      <c r="E773" s="2" t="s">
        <v>38</v>
      </c>
      <c r="F773" s="2" t="s">
        <v>39</v>
      </c>
      <c r="G773" s="2"/>
      <c r="H773" s="12">
        <v>0.0</v>
      </c>
      <c r="I773" s="2" t="s">
        <v>40</v>
      </c>
      <c r="J773" s="2"/>
      <c r="K773" s="2" t="s">
        <v>2016</v>
      </c>
      <c r="L773" s="12">
        <v>87.0</v>
      </c>
      <c r="M773" s="2" t="s">
        <v>2017</v>
      </c>
      <c r="N773" s="2" t="str">
        <f>IFERROR(__xludf.DUMMYFUNCTION("""COMPUTED_VALUE"""),"")</f>
        <v/>
      </c>
    </row>
    <row r="774">
      <c r="A774" s="2" t="s">
        <v>33</v>
      </c>
      <c r="B774" s="12">
        <v>763966.0</v>
      </c>
      <c r="C774" s="12">
        <v>764163.0</v>
      </c>
      <c r="D774" s="2"/>
      <c r="E774" s="2" t="s">
        <v>38</v>
      </c>
      <c r="F774" s="2" t="s">
        <v>39</v>
      </c>
      <c r="G774" s="2"/>
      <c r="H774" s="12">
        <v>0.0</v>
      </c>
      <c r="I774" s="2" t="s">
        <v>40</v>
      </c>
      <c r="J774" s="2"/>
      <c r="K774" s="2" t="s">
        <v>2018</v>
      </c>
      <c r="L774" s="12">
        <v>65.0</v>
      </c>
      <c r="M774" s="2" t="s">
        <v>2019</v>
      </c>
      <c r="N774" s="2" t="str">
        <f>IFERROR(__xludf.DUMMYFUNCTION("""COMPUTED_VALUE"""),"")</f>
        <v/>
      </c>
    </row>
    <row r="775">
      <c r="A775" s="2" t="s">
        <v>33</v>
      </c>
      <c r="B775" s="12">
        <v>764165.0</v>
      </c>
      <c r="C775" s="12">
        <v>764446.0</v>
      </c>
      <c r="D775" s="2"/>
      <c r="E775" s="2" t="s">
        <v>38</v>
      </c>
      <c r="F775" s="2" t="s">
        <v>504</v>
      </c>
      <c r="G775" s="2"/>
      <c r="H775" s="12">
        <v>0.0</v>
      </c>
      <c r="I775" s="2" t="s">
        <v>40</v>
      </c>
      <c r="J775" s="2"/>
      <c r="K775" s="2" t="s">
        <v>2020</v>
      </c>
      <c r="L775" s="12">
        <v>93.0</v>
      </c>
      <c r="M775" s="2" t="s">
        <v>2021</v>
      </c>
      <c r="N775" s="2" t="str">
        <f>IFERROR(__xludf.DUMMYFUNCTION("""COMPUTED_VALUE"""),"")</f>
        <v/>
      </c>
    </row>
    <row r="776">
      <c r="A776" s="2" t="s">
        <v>33</v>
      </c>
      <c r="B776" s="12">
        <v>764443.0</v>
      </c>
      <c r="C776" s="12">
        <v>764823.0</v>
      </c>
      <c r="D776" s="2"/>
      <c r="E776" s="2" t="s">
        <v>38</v>
      </c>
      <c r="F776" s="2" t="s">
        <v>39</v>
      </c>
      <c r="G776" s="2"/>
      <c r="H776" s="12">
        <v>0.0</v>
      </c>
      <c r="I776" s="2" t="s">
        <v>40</v>
      </c>
      <c r="J776" s="2"/>
      <c r="K776" s="2" t="s">
        <v>2022</v>
      </c>
      <c r="L776" s="12">
        <v>126.0</v>
      </c>
      <c r="M776" s="2" t="s">
        <v>2023</v>
      </c>
      <c r="N776" s="2" t="str">
        <f>IFERROR(__xludf.DUMMYFUNCTION("""COMPUTED_VALUE"""),"")</f>
        <v/>
      </c>
    </row>
    <row r="777">
      <c r="A777" s="2" t="s">
        <v>33</v>
      </c>
      <c r="B777" s="12">
        <v>764848.0</v>
      </c>
      <c r="C777" s="12">
        <v>765045.0</v>
      </c>
      <c r="D777" s="2"/>
      <c r="E777" s="2" t="s">
        <v>38</v>
      </c>
      <c r="F777" s="2" t="s">
        <v>39</v>
      </c>
      <c r="G777" s="2"/>
      <c r="H777" s="12">
        <v>0.0</v>
      </c>
      <c r="I777" s="2" t="s">
        <v>40</v>
      </c>
      <c r="J777" s="2"/>
      <c r="K777" s="2" t="s">
        <v>2024</v>
      </c>
      <c r="L777" s="12">
        <v>65.0</v>
      </c>
      <c r="M777" s="2" t="s">
        <v>2025</v>
      </c>
      <c r="N777" s="2" t="str">
        <f>IFERROR(__xludf.DUMMYFUNCTION("""COMPUTED_VALUE"""),"")</f>
        <v/>
      </c>
    </row>
    <row r="778">
      <c r="A778" s="2" t="s">
        <v>33</v>
      </c>
      <c r="B778" s="12">
        <v>765171.0</v>
      </c>
      <c r="C778" s="12">
        <v>765317.0</v>
      </c>
      <c r="D778" s="2"/>
      <c r="E778" s="2" t="s">
        <v>38</v>
      </c>
      <c r="F778" s="2" t="s">
        <v>2026</v>
      </c>
      <c r="G778" s="2"/>
      <c r="H778" s="12">
        <v>0.0</v>
      </c>
      <c r="I778" s="2" t="s">
        <v>40</v>
      </c>
      <c r="J778" s="2"/>
      <c r="K778" s="2" t="s">
        <v>2027</v>
      </c>
      <c r="L778" s="12">
        <v>48.0</v>
      </c>
      <c r="M778" s="2" t="s">
        <v>2028</v>
      </c>
      <c r="N778" s="2" t="str">
        <f>IFERROR(__xludf.DUMMYFUNCTION("""COMPUTED_VALUE"""),"")</f>
        <v/>
      </c>
    </row>
    <row r="779">
      <c r="A779" s="2" t="s">
        <v>33</v>
      </c>
      <c r="B779" s="12">
        <v>765320.0</v>
      </c>
      <c r="C779" s="12">
        <v>766261.0</v>
      </c>
      <c r="D779" s="2"/>
      <c r="E779" s="2" t="s">
        <v>38</v>
      </c>
      <c r="F779" s="2" t="s">
        <v>39</v>
      </c>
      <c r="G779" s="2"/>
      <c r="H779" s="12">
        <v>0.0</v>
      </c>
      <c r="I779" s="2" t="s">
        <v>40</v>
      </c>
      <c r="J779" s="2"/>
      <c r="K779" s="2" t="s">
        <v>2029</v>
      </c>
      <c r="L779" s="12">
        <v>313.0</v>
      </c>
      <c r="M779" s="2" t="s">
        <v>2030</v>
      </c>
      <c r="N779" s="2" t="str">
        <f>IFERROR(__xludf.DUMMYFUNCTION("""COMPUTED_VALUE"""),"")</f>
        <v/>
      </c>
    </row>
    <row r="780">
      <c r="A780" s="2" t="s">
        <v>33</v>
      </c>
      <c r="B780" s="12">
        <v>766278.0</v>
      </c>
      <c r="C780" s="12">
        <v>766595.0</v>
      </c>
      <c r="D780" s="2"/>
      <c r="E780" s="2" t="s">
        <v>38</v>
      </c>
      <c r="F780" s="2" t="s">
        <v>2031</v>
      </c>
      <c r="G780" s="2"/>
      <c r="H780" s="12">
        <v>0.0</v>
      </c>
      <c r="I780" s="2" t="s">
        <v>40</v>
      </c>
      <c r="J780" s="2"/>
      <c r="K780" s="2" t="s">
        <v>2032</v>
      </c>
      <c r="L780" s="12">
        <v>105.0</v>
      </c>
      <c r="M780" s="2" t="s">
        <v>2033</v>
      </c>
      <c r="N780" s="2" t="str">
        <f>IFERROR(__xludf.DUMMYFUNCTION("""COMPUTED_VALUE"""),"")</f>
        <v/>
      </c>
    </row>
    <row r="781">
      <c r="A781" s="2" t="s">
        <v>33</v>
      </c>
      <c r="B781" s="12">
        <v>766592.0</v>
      </c>
      <c r="C781" s="12">
        <v>766774.0</v>
      </c>
      <c r="D781" s="2"/>
      <c r="E781" s="2" t="s">
        <v>38</v>
      </c>
      <c r="F781" s="2" t="s">
        <v>39</v>
      </c>
      <c r="G781" s="2"/>
      <c r="H781" s="12">
        <v>0.0</v>
      </c>
      <c r="I781" s="2" t="s">
        <v>40</v>
      </c>
      <c r="J781" s="2"/>
      <c r="K781" s="2" t="s">
        <v>2034</v>
      </c>
      <c r="L781" s="12">
        <v>60.0</v>
      </c>
      <c r="M781" s="2" t="s">
        <v>2035</v>
      </c>
      <c r="N781" s="2" t="str">
        <f>IFERROR(__xludf.DUMMYFUNCTION("""COMPUTED_VALUE"""),"")</f>
        <v/>
      </c>
    </row>
    <row r="782">
      <c r="A782" s="2" t="s">
        <v>33</v>
      </c>
      <c r="B782" s="12">
        <v>766789.0</v>
      </c>
      <c r="C782" s="12">
        <v>767433.0</v>
      </c>
      <c r="D782" s="2"/>
      <c r="E782" s="2" t="s">
        <v>38</v>
      </c>
      <c r="F782" s="2" t="s">
        <v>39</v>
      </c>
      <c r="G782" s="2"/>
      <c r="H782" s="12">
        <v>0.0</v>
      </c>
      <c r="I782" s="2" t="s">
        <v>40</v>
      </c>
      <c r="J782" s="2"/>
      <c r="K782" s="2" t="s">
        <v>2036</v>
      </c>
      <c r="L782" s="12">
        <v>214.0</v>
      </c>
      <c r="M782" s="2" t="s">
        <v>2037</v>
      </c>
      <c r="N782" s="2" t="str">
        <f>IFERROR(__xludf.DUMMYFUNCTION("""COMPUTED_VALUE"""),"")</f>
        <v/>
      </c>
    </row>
    <row r="783">
      <c r="A783" s="2" t="s">
        <v>33</v>
      </c>
      <c r="B783" s="12">
        <v>767420.0</v>
      </c>
      <c r="C783" s="12">
        <v>767845.0</v>
      </c>
      <c r="D783" s="2"/>
      <c r="E783" s="2" t="s">
        <v>38</v>
      </c>
      <c r="F783" s="2" t="s">
        <v>39</v>
      </c>
      <c r="G783" s="2"/>
      <c r="H783" s="12">
        <v>0.0</v>
      </c>
      <c r="I783" s="2" t="s">
        <v>40</v>
      </c>
      <c r="J783" s="2"/>
      <c r="K783" s="2" t="s">
        <v>2038</v>
      </c>
      <c r="L783" s="12">
        <v>141.0</v>
      </c>
      <c r="M783" s="2" t="s">
        <v>2039</v>
      </c>
      <c r="N783" s="2" t="str">
        <f>IFERROR(__xludf.DUMMYFUNCTION("""COMPUTED_VALUE"""),"")</f>
        <v/>
      </c>
    </row>
    <row r="784">
      <c r="A784" s="2" t="s">
        <v>33</v>
      </c>
      <c r="B784" s="12">
        <v>767878.0</v>
      </c>
      <c r="C784" s="12">
        <v>768465.0</v>
      </c>
      <c r="D784" s="2"/>
      <c r="E784" s="2" t="s">
        <v>38</v>
      </c>
      <c r="F784" s="2" t="s">
        <v>2040</v>
      </c>
      <c r="G784" s="2"/>
      <c r="H784" s="12">
        <v>0.0</v>
      </c>
      <c r="I784" s="2" t="s">
        <v>40</v>
      </c>
      <c r="J784" s="2"/>
      <c r="K784" s="2" t="s">
        <v>2041</v>
      </c>
      <c r="L784" s="12">
        <v>195.0</v>
      </c>
      <c r="M784" s="2" t="s">
        <v>2042</v>
      </c>
      <c r="N784" s="2" t="str">
        <f>IFERROR(__xludf.DUMMYFUNCTION("""COMPUTED_VALUE"""),"")</f>
        <v/>
      </c>
    </row>
    <row r="785">
      <c r="A785" s="2" t="s">
        <v>33</v>
      </c>
      <c r="B785" s="12">
        <v>768468.0</v>
      </c>
      <c r="C785" s="12">
        <v>768698.0</v>
      </c>
      <c r="D785" s="2"/>
      <c r="E785" s="2" t="s">
        <v>38</v>
      </c>
      <c r="F785" s="2" t="s">
        <v>39</v>
      </c>
      <c r="G785" s="2"/>
      <c r="H785" s="12">
        <v>0.0</v>
      </c>
      <c r="I785" s="2" t="s">
        <v>40</v>
      </c>
      <c r="J785" s="2"/>
      <c r="K785" s="2" t="s">
        <v>2043</v>
      </c>
      <c r="L785" s="12">
        <v>76.0</v>
      </c>
      <c r="M785" s="2" t="s">
        <v>2044</v>
      </c>
      <c r="N785" s="2" t="str">
        <f>IFERROR(__xludf.DUMMYFUNCTION("""COMPUTED_VALUE"""),"")</f>
        <v/>
      </c>
    </row>
    <row r="786">
      <c r="A786" s="2" t="s">
        <v>33</v>
      </c>
      <c r="B786" s="12">
        <v>768744.0</v>
      </c>
      <c r="C786" s="12">
        <v>768989.0</v>
      </c>
      <c r="D786" s="2"/>
      <c r="E786" s="2" t="s">
        <v>38</v>
      </c>
      <c r="F786" s="2" t="s">
        <v>39</v>
      </c>
      <c r="G786" s="2"/>
      <c r="H786" s="12">
        <v>0.0</v>
      </c>
      <c r="I786" s="2" t="s">
        <v>40</v>
      </c>
      <c r="J786" s="2"/>
      <c r="K786" s="2" t="s">
        <v>2045</v>
      </c>
      <c r="L786" s="12">
        <v>81.0</v>
      </c>
      <c r="M786" s="2" t="s">
        <v>2046</v>
      </c>
      <c r="N786" s="2" t="str">
        <f>IFERROR(__xludf.DUMMYFUNCTION("""COMPUTED_VALUE"""),"")</f>
        <v/>
      </c>
    </row>
    <row r="787">
      <c r="A787" s="2" t="s">
        <v>33</v>
      </c>
      <c r="B787" s="12">
        <v>769023.0</v>
      </c>
      <c r="C787" s="12">
        <v>769175.0</v>
      </c>
      <c r="D787" s="2"/>
      <c r="E787" s="2" t="s">
        <v>38</v>
      </c>
      <c r="F787" s="2" t="s">
        <v>39</v>
      </c>
      <c r="G787" s="2"/>
      <c r="H787" s="12">
        <v>0.0</v>
      </c>
      <c r="I787" s="2" t="s">
        <v>40</v>
      </c>
      <c r="J787" s="2"/>
      <c r="K787" s="2" t="s">
        <v>2047</v>
      </c>
      <c r="L787" s="12">
        <v>50.0</v>
      </c>
      <c r="M787" s="2" t="s">
        <v>2048</v>
      </c>
      <c r="N787" s="2" t="str">
        <f>IFERROR(__xludf.DUMMYFUNCTION("""COMPUTED_VALUE"""),"")</f>
        <v/>
      </c>
    </row>
    <row r="788">
      <c r="A788" s="2" t="s">
        <v>33</v>
      </c>
      <c r="B788" s="12">
        <v>769216.0</v>
      </c>
      <c r="C788" s="12">
        <v>769524.0</v>
      </c>
      <c r="D788" s="2"/>
      <c r="E788" s="2" t="s">
        <v>38</v>
      </c>
      <c r="F788" s="2" t="s">
        <v>2049</v>
      </c>
      <c r="G788" s="2"/>
      <c r="H788" s="12">
        <v>0.0</v>
      </c>
      <c r="I788" s="2" t="s">
        <v>40</v>
      </c>
      <c r="J788" s="2"/>
      <c r="K788" s="2" t="s">
        <v>2050</v>
      </c>
      <c r="L788" s="12">
        <v>102.0</v>
      </c>
      <c r="M788" s="2" t="s">
        <v>2051</v>
      </c>
      <c r="N788" s="2" t="str">
        <f>IFERROR(__xludf.DUMMYFUNCTION("""COMPUTED_VALUE"""),"")</f>
        <v/>
      </c>
    </row>
    <row r="789">
      <c r="A789" s="2" t="s">
        <v>33</v>
      </c>
      <c r="B789" s="12">
        <v>769691.0</v>
      </c>
      <c r="C789" s="12">
        <v>770092.0</v>
      </c>
      <c r="D789" s="2"/>
      <c r="E789" s="2" t="s">
        <v>38</v>
      </c>
      <c r="F789" s="2" t="s">
        <v>2052</v>
      </c>
      <c r="G789" s="2"/>
      <c r="H789" s="12">
        <v>0.0</v>
      </c>
      <c r="I789" s="2" t="s">
        <v>40</v>
      </c>
      <c r="J789" s="2"/>
      <c r="K789" s="2" t="s">
        <v>2053</v>
      </c>
      <c r="L789" s="12">
        <v>133.0</v>
      </c>
      <c r="M789" s="2" t="s">
        <v>2054</v>
      </c>
      <c r="N789" s="2" t="str">
        <f>IFERROR(__xludf.DUMMYFUNCTION("""COMPUTED_VALUE"""),"")</f>
        <v/>
      </c>
    </row>
    <row r="790">
      <c r="A790" s="2" t="s">
        <v>33</v>
      </c>
      <c r="B790" s="12">
        <v>770485.0</v>
      </c>
      <c r="C790" s="12">
        <v>770739.0</v>
      </c>
      <c r="D790" s="2"/>
      <c r="E790" s="2" t="s">
        <v>38</v>
      </c>
      <c r="F790" s="2" t="s">
        <v>39</v>
      </c>
      <c r="G790" s="2"/>
      <c r="H790" s="12">
        <v>0.0</v>
      </c>
      <c r="I790" s="2" t="s">
        <v>40</v>
      </c>
      <c r="J790" s="2"/>
      <c r="K790" s="2" t="s">
        <v>2055</v>
      </c>
      <c r="L790" s="12">
        <v>84.0</v>
      </c>
      <c r="M790" s="2" t="s">
        <v>2056</v>
      </c>
      <c r="N790" s="2" t="str">
        <f>IFERROR(__xludf.DUMMYFUNCTION("""COMPUTED_VALUE"""),"")</f>
        <v/>
      </c>
    </row>
    <row r="791">
      <c r="A791" s="2" t="s">
        <v>33</v>
      </c>
      <c r="B791" s="12">
        <v>770953.0</v>
      </c>
      <c r="C791" s="12">
        <v>771729.0</v>
      </c>
      <c r="D791" s="2"/>
      <c r="E791" s="2" t="s">
        <v>38</v>
      </c>
      <c r="F791" s="2" t="s">
        <v>39</v>
      </c>
      <c r="G791" s="2"/>
      <c r="H791" s="12">
        <v>0.0</v>
      </c>
      <c r="I791" s="2" t="s">
        <v>40</v>
      </c>
      <c r="J791" s="2"/>
      <c r="K791" s="2" t="s">
        <v>2057</v>
      </c>
      <c r="L791" s="12">
        <v>258.0</v>
      </c>
      <c r="M791" s="2" t="s">
        <v>2058</v>
      </c>
      <c r="N791" s="2" t="str">
        <f>IFERROR(__xludf.DUMMYFUNCTION("""COMPUTED_VALUE"""),"")</f>
        <v/>
      </c>
    </row>
    <row r="792">
      <c r="A792" s="2" t="s">
        <v>33</v>
      </c>
      <c r="B792" s="12">
        <v>771744.0</v>
      </c>
      <c r="C792" s="12">
        <v>771956.0</v>
      </c>
      <c r="D792" s="2"/>
      <c r="E792" s="2" t="s">
        <v>38</v>
      </c>
      <c r="F792" s="2" t="s">
        <v>2059</v>
      </c>
      <c r="G792" s="2"/>
      <c r="H792" s="12">
        <v>0.0</v>
      </c>
      <c r="I792" s="2" t="s">
        <v>40</v>
      </c>
      <c r="J792" s="2"/>
      <c r="K792" s="2" t="s">
        <v>2060</v>
      </c>
      <c r="L792" s="12">
        <v>70.0</v>
      </c>
      <c r="M792" s="2" t="s">
        <v>2061</v>
      </c>
      <c r="N792" s="2" t="str">
        <f>IFERROR(__xludf.DUMMYFUNCTION("""COMPUTED_VALUE"""),"")</f>
        <v/>
      </c>
    </row>
    <row r="793">
      <c r="A793" s="2" t="s">
        <v>33</v>
      </c>
      <c r="B793" s="12">
        <v>771949.0</v>
      </c>
      <c r="C793" s="12">
        <v>772284.0</v>
      </c>
      <c r="D793" s="2"/>
      <c r="E793" s="2" t="s">
        <v>38</v>
      </c>
      <c r="F793" s="2" t="s">
        <v>2062</v>
      </c>
      <c r="G793" s="2"/>
      <c r="H793" s="12">
        <v>0.0</v>
      </c>
      <c r="I793" s="2" t="s">
        <v>40</v>
      </c>
      <c r="J793" s="2"/>
      <c r="K793" s="2" t="s">
        <v>2063</v>
      </c>
      <c r="L793" s="12">
        <v>111.0</v>
      </c>
      <c r="M793" s="2" t="s">
        <v>2064</v>
      </c>
      <c r="N793" s="2" t="str">
        <f>IFERROR(__xludf.DUMMYFUNCTION("""COMPUTED_VALUE"""),"")</f>
        <v/>
      </c>
    </row>
    <row r="794">
      <c r="A794" s="2" t="s">
        <v>33</v>
      </c>
      <c r="B794" s="12">
        <v>772281.0</v>
      </c>
      <c r="C794" s="12">
        <v>772583.0</v>
      </c>
      <c r="D794" s="2"/>
      <c r="E794" s="2" t="s">
        <v>38</v>
      </c>
      <c r="F794" s="2" t="s">
        <v>39</v>
      </c>
      <c r="G794" s="2"/>
      <c r="H794" s="12">
        <v>0.0</v>
      </c>
      <c r="I794" s="2" t="s">
        <v>40</v>
      </c>
      <c r="J794" s="2"/>
      <c r="K794" s="2" t="s">
        <v>2065</v>
      </c>
      <c r="L794" s="12">
        <v>100.0</v>
      </c>
      <c r="M794" s="2" t="s">
        <v>2066</v>
      </c>
      <c r="N794" s="2" t="str">
        <f>IFERROR(__xludf.DUMMYFUNCTION("""COMPUTED_VALUE"""),"")</f>
        <v/>
      </c>
    </row>
    <row r="795">
      <c r="A795" s="2" t="s">
        <v>33</v>
      </c>
      <c r="B795" s="12">
        <v>772600.0</v>
      </c>
      <c r="C795" s="12">
        <v>772965.0</v>
      </c>
      <c r="D795" s="2"/>
      <c r="E795" s="2" t="s">
        <v>38</v>
      </c>
      <c r="F795" s="2" t="s">
        <v>39</v>
      </c>
      <c r="G795" s="2"/>
      <c r="H795" s="12">
        <v>0.0</v>
      </c>
      <c r="I795" s="2" t="s">
        <v>40</v>
      </c>
      <c r="J795" s="2"/>
      <c r="K795" s="2" t="s">
        <v>2067</v>
      </c>
      <c r="L795" s="12">
        <v>121.0</v>
      </c>
      <c r="M795" s="2" t="s">
        <v>2068</v>
      </c>
      <c r="N795" s="2" t="str">
        <f>IFERROR(__xludf.DUMMYFUNCTION("""COMPUTED_VALUE"""),"")</f>
        <v/>
      </c>
    </row>
    <row r="796">
      <c r="A796" s="2" t="s">
        <v>33</v>
      </c>
      <c r="B796" s="12">
        <v>772991.0</v>
      </c>
      <c r="C796" s="12">
        <v>773248.0</v>
      </c>
      <c r="D796" s="2"/>
      <c r="E796" s="2" t="s">
        <v>38</v>
      </c>
      <c r="F796" s="2" t="s">
        <v>39</v>
      </c>
      <c r="G796" s="2"/>
      <c r="H796" s="12">
        <v>0.0</v>
      </c>
      <c r="I796" s="2" t="s">
        <v>40</v>
      </c>
      <c r="J796" s="2"/>
      <c r="K796" s="2" t="s">
        <v>2069</v>
      </c>
      <c r="L796" s="12">
        <v>85.0</v>
      </c>
      <c r="M796" s="2" t="s">
        <v>2070</v>
      </c>
      <c r="N796" s="2" t="str">
        <f>IFERROR(__xludf.DUMMYFUNCTION("""COMPUTED_VALUE"""),"")</f>
        <v/>
      </c>
    </row>
    <row r="797">
      <c r="A797" s="2" t="s">
        <v>33</v>
      </c>
      <c r="B797" s="12">
        <v>773211.0</v>
      </c>
      <c r="C797" s="12">
        <v>773483.0</v>
      </c>
      <c r="D797" s="2"/>
      <c r="E797" s="2" t="s">
        <v>38</v>
      </c>
      <c r="F797" s="2" t="s">
        <v>39</v>
      </c>
      <c r="G797" s="2"/>
      <c r="H797" s="12">
        <v>0.0</v>
      </c>
      <c r="I797" s="2" t="s">
        <v>40</v>
      </c>
      <c r="J797" s="2"/>
      <c r="K797" s="2" t="s">
        <v>2071</v>
      </c>
      <c r="L797" s="12">
        <v>90.0</v>
      </c>
      <c r="M797" s="2" t="s">
        <v>2072</v>
      </c>
      <c r="N797" s="2" t="str">
        <f>IFERROR(__xludf.DUMMYFUNCTION("""COMPUTED_VALUE"""),"")</f>
        <v/>
      </c>
    </row>
    <row r="798">
      <c r="A798" s="2" t="s">
        <v>33</v>
      </c>
      <c r="B798" s="12">
        <v>773487.0</v>
      </c>
      <c r="C798" s="12">
        <v>775913.0</v>
      </c>
      <c r="D798" s="2"/>
      <c r="E798" s="2" t="s">
        <v>38</v>
      </c>
      <c r="F798" s="2" t="s">
        <v>2073</v>
      </c>
      <c r="G798" s="2"/>
      <c r="H798" s="12">
        <v>0.0</v>
      </c>
      <c r="I798" s="2" t="s">
        <v>40</v>
      </c>
      <c r="J798" s="2"/>
      <c r="K798" s="2" t="s">
        <v>2074</v>
      </c>
      <c r="L798" s="12">
        <v>808.0</v>
      </c>
      <c r="M798" s="2" t="s">
        <v>2075</v>
      </c>
      <c r="N798" s="2" t="str">
        <f>IFERROR(__xludf.DUMMYFUNCTION("""COMPUTED_VALUE"""),"")</f>
        <v/>
      </c>
    </row>
    <row r="799">
      <c r="A799" s="2" t="s">
        <v>33</v>
      </c>
      <c r="B799" s="12">
        <v>775937.0</v>
      </c>
      <c r="C799" s="12">
        <v>779023.0</v>
      </c>
      <c r="D799" s="2"/>
      <c r="E799" s="2" t="s">
        <v>38</v>
      </c>
      <c r="F799" s="2" t="s">
        <v>2076</v>
      </c>
      <c r="G799" s="2"/>
      <c r="H799" s="12">
        <v>0.0</v>
      </c>
      <c r="I799" s="2" t="s">
        <v>40</v>
      </c>
      <c r="J799" s="2"/>
      <c r="K799" s="2" t="s">
        <v>2077</v>
      </c>
      <c r="L799" s="12">
        <v>1028.0</v>
      </c>
      <c r="M799" s="2" t="s">
        <v>2078</v>
      </c>
      <c r="N799" s="2" t="str">
        <f>IFERROR(__xludf.DUMMYFUNCTION("""COMPUTED_VALUE"""),"")</f>
        <v/>
      </c>
    </row>
    <row r="800">
      <c r="A800" s="2" t="s">
        <v>33</v>
      </c>
      <c r="B800" s="12">
        <v>779043.0</v>
      </c>
      <c r="C800" s="12">
        <v>779786.0</v>
      </c>
      <c r="D800" s="2"/>
      <c r="E800" s="2" t="s">
        <v>38</v>
      </c>
      <c r="F800" s="2" t="s">
        <v>39</v>
      </c>
      <c r="G800" s="2"/>
      <c r="H800" s="12">
        <v>0.0</v>
      </c>
      <c r="I800" s="2" t="s">
        <v>40</v>
      </c>
      <c r="J800" s="2"/>
      <c r="K800" s="2" t="s">
        <v>2079</v>
      </c>
      <c r="L800" s="12">
        <v>247.0</v>
      </c>
      <c r="M800" s="2" t="s">
        <v>2080</v>
      </c>
      <c r="N800" s="2" t="str">
        <f>IFERROR(__xludf.DUMMYFUNCTION("""COMPUTED_VALUE"""),"")</f>
        <v/>
      </c>
    </row>
    <row r="801">
      <c r="A801" s="2" t="s">
        <v>33</v>
      </c>
      <c r="B801" s="12">
        <v>779786.0</v>
      </c>
      <c r="C801" s="12">
        <v>780064.0</v>
      </c>
      <c r="D801" s="2"/>
      <c r="E801" s="2" t="s">
        <v>38</v>
      </c>
      <c r="F801" s="2" t="s">
        <v>39</v>
      </c>
      <c r="G801" s="2"/>
      <c r="H801" s="12">
        <v>0.0</v>
      </c>
      <c r="I801" s="2" t="s">
        <v>40</v>
      </c>
      <c r="J801" s="2"/>
      <c r="K801" s="2" t="s">
        <v>2081</v>
      </c>
      <c r="L801" s="12">
        <v>92.0</v>
      </c>
      <c r="M801" s="2" t="s">
        <v>2082</v>
      </c>
      <c r="N801" s="2" t="str">
        <f>IFERROR(__xludf.DUMMYFUNCTION("""COMPUTED_VALUE"""),"")</f>
        <v/>
      </c>
    </row>
    <row r="802">
      <c r="A802" s="2" t="s">
        <v>33</v>
      </c>
      <c r="B802" s="12">
        <v>780154.0</v>
      </c>
      <c r="C802" s="12">
        <v>781746.0</v>
      </c>
      <c r="D802" s="2"/>
      <c r="E802" s="2" t="s">
        <v>38</v>
      </c>
      <c r="F802" s="2" t="s">
        <v>594</v>
      </c>
      <c r="G802" s="2"/>
      <c r="H802" s="12">
        <v>0.0</v>
      </c>
      <c r="I802" s="2" t="s">
        <v>40</v>
      </c>
      <c r="J802" s="2"/>
      <c r="K802" s="2" t="s">
        <v>2083</v>
      </c>
      <c r="L802" s="12">
        <v>530.0</v>
      </c>
      <c r="M802" s="2" t="s">
        <v>2084</v>
      </c>
      <c r="N802" s="2" t="str">
        <f>IFERROR(__xludf.DUMMYFUNCTION("""COMPUTED_VALUE"""),"")</f>
        <v/>
      </c>
    </row>
    <row r="803">
      <c r="A803" s="2" t="s">
        <v>33</v>
      </c>
      <c r="B803" s="12">
        <v>781830.0</v>
      </c>
      <c r="C803" s="12">
        <v>782348.0</v>
      </c>
      <c r="D803" s="2"/>
      <c r="E803" s="2" t="s">
        <v>38</v>
      </c>
      <c r="F803" s="2" t="s">
        <v>39</v>
      </c>
      <c r="G803" s="2"/>
      <c r="H803" s="12">
        <v>0.0</v>
      </c>
      <c r="I803" s="2" t="s">
        <v>40</v>
      </c>
      <c r="J803" s="2"/>
      <c r="K803" s="2" t="s">
        <v>2085</v>
      </c>
      <c r="L803" s="12">
        <v>172.0</v>
      </c>
      <c r="M803" s="2" t="s">
        <v>2086</v>
      </c>
      <c r="N803" s="2" t="str">
        <f>IFERROR(__xludf.DUMMYFUNCTION("""COMPUTED_VALUE"""),"")</f>
        <v/>
      </c>
    </row>
    <row r="804">
      <c r="A804" s="2" t="s">
        <v>33</v>
      </c>
      <c r="B804" s="12">
        <v>782358.0</v>
      </c>
      <c r="C804" s="12">
        <v>782909.0</v>
      </c>
      <c r="D804" s="2"/>
      <c r="E804" s="2" t="s">
        <v>38</v>
      </c>
      <c r="F804" s="2" t="s">
        <v>39</v>
      </c>
      <c r="G804" s="2"/>
      <c r="H804" s="12">
        <v>0.0</v>
      </c>
      <c r="I804" s="2" t="s">
        <v>40</v>
      </c>
      <c r="J804" s="2"/>
      <c r="K804" s="2" t="s">
        <v>2087</v>
      </c>
      <c r="L804" s="12">
        <v>183.0</v>
      </c>
      <c r="M804" s="2" t="s">
        <v>2088</v>
      </c>
      <c r="N804" s="2" t="str">
        <f>IFERROR(__xludf.DUMMYFUNCTION("""COMPUTED_VALUE"""),"")</f>
        <v/>
      </c>
    </row>
    <row r="805">
      <c r="A805" s="2" t="s">
        <v>33</v>
      </c>
      <c r="B805" s="12">
        <v>782902.0</v>
      </c>
      <c r="C805" s="12">
        <v>783204.0</v>
      </c>
      <c r="D805" s="2"/>
      <c r="E805" s="2" t="s">
        <v>38</v>
      </c>
      <c r="F805" s="2" t="s">
        <v>39</v>
      </c>
      <c r="G805" s="2"/>
      <c r="H805" s="12">
        <v>0.0</v>
      </c>
      <c r="I805" s="2" t="s">
        <v>40</v>
      </c>
      <c r="J805" s="2"/>
      <c r="K805" s="2" t="s">
        <v>2089</v>
      </c>
      <c r="L805" s="12">
        <v>100.0</v>
      </c>
      <c r="M805" s="2" t="s">
        <v>2090</v>
      </c>
      <c r="N805" s="2" t="str">
        <f>IFERROR(__xludf.DUMMYFUNCTION("""COMPUTED_VALUE"""),"")</f>
        <v/>
      </c>
    </row>
    <row r="806">
      <c r="A806" s="2" t="s">
        <v>33</v>
      </c>
      <c r="B806" s="12">
        <v>783201.0</v>
      </c>
      <c r="C806" s="12">
        <v>784184.0</v>
      </c>
      <c r="D806" s="2"/>
      <c r="E806" s="2" t="s">
        <v>38</v>
      </c>
      <c r="F806" s="2" t="s">
        <v>437</v>
      </c>
      <c r="G806" s="2"/>
      <c r="H806" s="12">
        <v>0.0</v>
      </c>
      <c r="I806" s="2" t="s">
        <v>40</v>
      </c>
      <c r="J806" s="2"/>
      <c r="K806" s="2" t="s">
        <v>2091</v>
      </c>
      <c r="L806" s="12">
        <v>327.0</v>
      </c>
      <c r="M806" s="2" t="s">
        <v>2092</v>
      </c>
      <c r="N806" s="2" t="str">
        <f>IFERROR(__xludf.DUMMYFUNCTION("""COMPUTED_VALUE"""),"")</f>
        <v/>
      </c>
    </row>
    <row r="807">
      <c r="A807" s="2" t="s">
        <v>33</v>
      </c>
      <c r="B807" s="12">
        <v>784230.0</v>
      </c>
      <c r="C807" s="12">
        <v>784607.0</v>
      </c>
      <c r="D807" s="2"/>
      <c r="E807" s="2" t="s">
        <v>38</v>
      </c>
      <c r="F807" s="2" t="s">
        <v>39</v>
      </c>
      <c r="G807" s="2"/>
      <c r="H807" s="12">
        <v>0.0</v>
      </c>
      <c r="I807" s="2" t="s">
        <v>40</v>
      </c>
      <c r="J807" s="2"/>
      <c r="K807" s="2" t="s">
        <v>2093</v>
      </c>
      <c r="L807" s="12">
        <v>125.0</v>
      </c>
      <c r="M807" s="2" t="s">
        <v>2094</v>
      </c>
      <c r="N807" s="2" t="str">
        <f>IFERROR(__xludf.DUMMYFUNCTION("""COMPUTED_VALUE"""),"")</f>
        <v/>
      </c>
    </row>
    <row r="808">
      <c r="A808" s="2" t="s">
        <v>33</v>
      </c>
      <c r="B808" s="12">
        <v>784624.0</v>
      </c>
      <c r="C808" s="12">
        <v>785259.0</v>
      </c>
      <c r="D808" s="2"/>
      <c r="E808" s="2" t="s">
        <v>38</v>
      </c>
      <c r="F808" s="2" t="s">
        <v>2095</v>
      </c>
      <c r="G808" s="2"/>
      <c r="H808" s="12">
        <v>0.0</v>
      </c>
      <c r="I808" s="2" t="s">
        <v>40</v>
      </c>
      <c r="J808" s="2"/>
      <c r="K808" s="2" t="s">
        <v>2096</v>
      </c>
      <c r="L808" s="12">
        <v>211.0</v>
      </c>
      <c r="M808" s="2" t="s">
        <v>2097</v>
      </c>
      <c r="N808" s="2" t="str">
        <f>IFERROR(__xludf.DUMMYFUNCTION("""COMPUTED_VALUE"""),"")</f>
        <v/>
      </c>
    </row>
    <row r="809">
      <c r="A809" s="2" t="s">
        <v>33</v>
      </c>
      <c r="B809" s="12">
        <v>785273.0</v>
      </c>
      <c r="C809" s="12">
        <v>785506.0</v>
      </c>
      <c r="D809" s="2"/>
      <c r="E809" s="2" t="s">
        <v>38</v>
      </c>
      <c r="F809" s="2" t="s">
        <v>39</v>
      </c>
      <c r="G809" s="2"/>
      <c r="H809" s="12">
        <v>0.0</v>
      </c>
      <c r="I809" s="2" t="s">
        <v>40</v>
      </c>
      <c r="J809" s="2"/>
      <c r="K809" s="2" t="s">
        <v>2098</v>
      </c>
      <c r="L809" s="12">
        <v>77.0</v>
      </c>
      <c r="M809" s="2" t="s">
        <v>2099</v>
      </c>
      <c r="N809" s="2" t="str">
        <f>IFERROR(__xludf.DUMMYFUNCTION("""COMPUTED_VALUE"""),"")</f>
        <v/>
      </c>
    </row>
    <row r="810">
      <c r="A810" s="2" t="s">
        <v>33</v>
      </c>
      <c r="B810" s="12">
        <v>785506.0</v>
      </c>
      <c r="C810" s="12">
        <v>785808.0</v>
      </c>
      <c r="D810" s="2"/>
      <c r="E810" s="2" t="s">
        <v>38</v>
      </c>
      <c r="F810" s="2" t="s">
        <v>39</v>
      </c>
      <c r="G810" s="2"/>
      <c r="H810" s="12">
        <v>0.0</v>
      </c>
      <c r="I810" s="2" t="s">
        <v>40</v>
      </c>
      <c r="J810" s="2"/>
      <c r="K810" s="2" t="s">
        <v>2100</v>
      </c>
      <c r="L810" s="12">
        <v>100.0</v>
      </c>
      <c r="M810" s="2" t="s">
        <v>2101</v>
      </c>
      <c r="N810" s="2" t="str">
        <f>IFERROR(__xludf.DUMMYFUNCTION("""COMPUTED_VALUE"""),"")</f>
        <v/>
      </c>
    </row>
    <row r="811">
      <c r="A811" s="2" t="s">
        <v>33</v>
      </c>
      <c r="B811" s="12">
        <v>785822.0</v>
      </c>
      <c r="C811" s="12">
        <v>787378.0</v>
      </c>
      <c r="D811" s="2"/>
      <c r="E811" s="2" t="s">
        <v>38</v>
      </c>
      <c r="F811" s="2" t="s">
        <v>712</v>
      </c>
      <c r="G811" s="2"/>
      <c r="H811" s="12">
        <v>0.0</v>
      </c>
      <c r="I811" s="2" t="s">
        <v>40</v>
      </c>
      <c r="J811" s="2"/>
      <c r="K811" s="2" t="s">
        <v>2102</v>
      </c>
      <c r="L811" s="12">
        <v>518.0</v>
      </c>
      <c r="M811" s="2" t="s">
        <v>2103</v>
      </c>
      <c r="N811" s="2" t="str">
        <f>IFERROR(__xludf.DUMMYFUNCTION("""COMPUTED_VALUE"""),"")</f>
        <v/>
      </c>
    </row>
    <row r="812">
      <c r="A812" s="2" t="s">
        <v>33</v>
      </c>
      <c r="B812" s="12">
        <v>787368.0</v>
      </c>
      <c r="C812" s="12">
        <v>787523.0</v>
      </c>
      <c r="D812" s="2"/>
      <c r="E812" s="2" t="s">
        <v>38</v>
      </c>
      <c r="F812" s="2" t="s">
        <v>39</v>
      </c>
      <c r="G812" s="2"/>
      <c r="H812" s="12">
        <v>0.0</v>
      </c>
      <c r="I812" s="2" t="s">
        <v>40</v>
      </c>
      <c r="J812" s="2"/>
      <c r="K812" s="2" t="s">
        <v>2104</v>
      </c>
      <c r="L812" s="12">
        <v>51.0</v>
      </c>
      <c r="M812" s="2" t="s">
        <v>2105</v>
      </c>
      <c r="N812" s="2" t="str">
        <f>IFERROR(__xludf.DUMMYFUNCTION("""COMPUTED_VALUE"""),"")</f>
        <v/>
      </c>
    </row>
    <row r="813">
      <c r="A813" s="2" t="s">
        <v>33</v>
      </c>
      <c r="B813" s="12">
        <v>787547.0</v>
      </c>
      <c r="C813" s="12">
        <v>787693.0</v>
      </c>
      <c r="D813" s="2"/>
      <c r="E813" s="2" t="s">
        <v>38</v>
      </c>
      <c r="F813" s="2" t="s">
        <v>39</v>
      </c>
      <c r="G813" s="2"/>
      <c r="H813" s="12">
        <v>0.0</v>
      </c>
      <c r="I813" s="2" t="s">
        <v>40</v>
      </c>
      <c r="J813" s="2"/>
      <c r="K813" s="2" t="s">
        <v>2106</v>
      </c>
      <c r="L813" s="12">
        <v>48.0</v>
      </c>
      <c r="M813" s="2" t="s">
        <v>2107</v>
      </c>
      <c r="N813" s="2" t="str">
        <f>IFERROR(__xludf.DUMMYFUNCTION("""COMPUTED_VALUE"""),"")</f>
        <v/>
      </c>
    </row>
    <row r="814">
      <c r="A814" s="2" t="s">
        <v>33</v>
      </c>
      <c r="B814" s="12">
        <v>787699.0</v>
      </c>
      <c r="C814" s="12">
        <v>788100.0</v>
      </c>
      <c r="D814" s="2"/>
      <c r="E814" s="2" t="s">
        <v>38</v>
      </c>
      <c r="F814" s="2" t="s">
        <v>220</v>
      </c>
      <c r="G814" s="2"/>
      <c r="H814" s="12">
        <v>0.0</v>
      </c>
      <c r="I814" s="2" t="s">
        <v>40</v>
      </c>
      <c r="J814" s="2"/>
      <c r="K814" s="2" t="s">
        <v>2108</v>
      </c>
      <c r="L814" s="12">
        <v>133.0</v>
      </c>
      <c r="M814" s="2" t="s">
        <v>2109</v>
      </c>
      <c r="N814" s="2" t="str">
        <f>IFERROR(__xludf.DUMMYFUNCTION("""COMPUTED_VALUE"""),"")</f>
        <v/>
      </c>
    </row>
    <row r="815">
      <c r="A815" s="2" t="s">
        <v>33</v>
      </c>
      <c r="B815" s="12">
        <v>788273.0</v>
      </c>
      <c r="C815" s="12">
        <v>788611.0</v>
      </c>
      <c r="D815" s="2"/>
      <c r="E815" s="2" t="s">
        <v>34</v>
      </c>
      <c r="F815" s="2" t="s">
        <v>216</v>
      </c>
      <c r="G815" s="2"/>
      <c r="H815" s="12">
        <v>0.0</v>
      </c>
      <c r="I815" s="2" t="s">
        <v>40</v>
      </c>
      <c r="J815" s="2"/>
      <c r="K815" s="2" t="s">
        <v>2110</v>
      </c>
      <c r="L815" s="12">
        <v>112.0</v>
      </c>
      <c r="M815" s="2" t="s">
        <v>2111</v>
      </c>
      <c r="N815" s="2" t="str">
        <f>IFERROR(__xludf.DUMMYFUNCTION("""COMPUTED_VALUE"""),"")</f>
        <v/>
      </c>
    </row>
    <row r="816">
      <c r="A816" s="2" t="s">
        <v>33</v>
      </c>
      <c r="B816" s="12">
        <v>788634.0</v>
      </c>
      <c r="C816" s="12">
        <v>788807.0</v>
      </c>
      <c r="D816" s="2"/>
      <c r="E816" s="2" t="s">
        <v>38</v>
      </c>
      <c r="F816" s="2" t="s">
        <v>39</v>
      </c>
      <c r="G816" s="2"/>
      <c r="H816" s="12">
        <v>0.0</v>
      </c>
      <c r="I816" s="2" t="s">
        <v>40</v>
      </c>
      <c r="J816" s="2"/>
      <c r="K816" s="2" t="s">
        <v>2112</v>
      </c>
      <c r="L816" s="12">
        <v>57.0</v>
      </c>
      <c r="M816" s="2" t="s">
        <v>2113</v>
      </c>
      <c r="N816" s="2" t="str">
        <f>IFERROR(__xludf.DUMMYFUNCTION("""COMPUTED_VALUE"""),"")</f>
        <v/>
      </c>
    </row>
    <row r="817">
      <c r="A817" s="2" t="s">
        <v>33</v>
      </c>
      <c r="B817" s="12">
        <v>788931.0</v>
      </c>
      <c r="C817" s="12">
        <v>789065.0</v>
      </c>
      <c r="D817" s="2"/>
      <c r="E817" s="2" t="s">
        <v>38</v>
      </c>
      <c r="F817" s="2" t="s">
        <v>39</v>
      </c>
      <c r="G817" s="2"/>
      <c r="H817" s="12">
        <v>0.0</v>
      </c>
      <c r="I817" s="2" t="s">
        <v>40</v>
      </c>
      <c r="J817" s="2"/>
      <c r="K817" s="2" t="s">
        <v>2114</v>
      </c>
      <c r="L817" s="12">
        <v>44.0</v>
      </c>
      <c r="M817" s="2" t="s">
        <v>2115</v>
      </c>
      <c r="N817" s="2" t="str">
        <f>IFERROR(__xludf.DUMMYFUNCTION("""COMPUTED_VALUE"""),"")</f>
        <v/>
      </c>
    </row>
    <row r="818">
      <c r="A818" s="2" t="s">
        <v>33</v>
      </c>
      <c r="B818" s="12">
        <v>789079.0</v>
      </c>
      <c r="C818" s="12">
        <v>790176.0</v>
      </c>
      <c r="D818" s="2"/>
      <c r="E818" s="2" t="s">
        <v>38</v>
      </c>
      <c r="F818" s="2" t="s">
        <v>227</v>
      </c>
      <c r="G818" s="2"/>
      <c r="H818" s="12">
        <v>0.0</v>
      </c>
      <c r="I818" s="2" t="s">
        <v>40</v>
      </c>
      <c r="J818" s="2"/>
      <c r="K818" s="2" t="s">
        <v>2116</v>
      </c>
      <c r="L818" s="12">
        <v>365.0</v>
      </c>
      <c r="M818" s="2" t="s">
        <v>2117</v>
      </c>
      <c r="N818" s="2" t="str">
        <f>IFERROR(__xludf.DUMMYFUNCTION("""COMPUTED_VALUE"""),"")</f>
        <v/>
      </c>
    </row>
    <row r="819">
      <c r="A819" s="2" t="s">
        <v>33</v>
      </c>
      <c r="B819" s="12">
        <v>790611.0</v>
      </c>
      <c r="C819" s="12">
        <v>790955.0</v>
      </c>
      <c r="D819" s="2"/>
      <c r="E819" s="2" t="s">
        <v>34</v>
      </c>
      <c r="F819" s="2" t="s">
        <v>216</v>
      </c>
      <c r="G819" s="2"/>
      <c r="H819" s="12">
        <v>0.0</v>
      </c>
      <c r="I819" s="2" t="s">
        <v>40</v>
      </c>
      <c r="J819" s="2"/>
      <c r="K819" s="2" t="s">
        <v>2118</v>
      </c>
      <c r="L819" s="12">
        <v>114.0</v>
      </c>
      <c r="M819" s="2" t="s">
        <v>2119</v>
      </c>
      <c r="N819" s="2" t="str">
        <f>IFERROR(__xludf.DUMMYFUNCTION("""COMPUTED_VALUE"""),"")</f>
        <v/>
      </c>
    </row>
    <row r="820">
      <c r="A820" s="2" t="s">
        <v>33</v>
      </c>
      <c r="B820" s="12">
        <v>791075.0</v>
      </c>
      <c r="C820" s="12">
        <v>791683.0</v>
      </c>
      <c r="D820" s="2"/>
      <c r="E820" s="2" t="s">
        <v>38</v>
      </c>
      <c r="F820" s="2" t="s">
        <v>35</v>
      </c>
      <c r="G820" s="2"/>
      <c r="H820" s="12">
        <v>0.0</v>
      </c>
      <c r="I820" s="2" t="s">
        <v>36</v>
      </c>
      <c r="J820" s="2"/>
      <c r="K820" s="2"/>
      <c r="L820" s="2"/>
      <c r="M820" s="2" t="s">
        <v>2120</v>
      </c>
      <c r="N820" s="2" t="str">
        <f>IFERROR(__xludf.DUMMYFUNCTION("""COMPUTED_VALUE"""),"")</f>
        <v/>
      </c>
    </row>
    <row r="821">
      <c r="A821" s="2" t="s">
        <v>33</v>
      </c>
      <c r="B821" s="12">
        <v>791795.0</v>
      </c>
      <c r="C821" s="12">
        <v>791926.0</v>
      </c>
      <c r="D821" s="2"/>
      <c r="E821" s="2" t="s">
        <v>38</v>
      </c>
      <c r="F821" s="2" t="s">
        <v>39</v>
      </c>
      <c r="G821" s="2"/>
      <c r="H821" s="12">
        <v>0.0</v>
      </c>
      <c r="I821" s="2" t="s">
        <v>40</v>
      </c>
      <c r="J821" s="2"/>
      <c r="K821" s="2" t="s">
        <v>2121</v>
      </c>
      <c r="L821" s="12">
        <v>43.0</v>
      </c>
      <c r="M821" s="2" t="s">
        <v>2122</v>
      </c>
      <c r="N821" s="2" t="str">
        <f>IFERROR(__xludf.DUMMYFUNCTION("""COMPUTED_VALUE"""),"")</f>
        <v/>
      </c>
    </row>
    <row r="822">
      <c r="A822" s="2" t="s">
        <v>33</v>
      </c>
      <c r="B822" s="12">
        <v>792053.0</v>
      </c>
      <c r="C822" s="12">
        <v>792655.0</v>
      </c>
      <c r="D822" s="2"/>
      <c r="E822" s="2" t="s">
        <v>38</v>
      </c>
      <c r="F822" s="2" t="s">
        <v>1106</v>
      </c>
      <c r="G822" s="2"/>
      <c r="H822" s="12">
        <v>0.0</v>
      </c>
      <c r="I822" s="2" t="s">
        <v>40</v>
      </c>
      <c r="J822" s="2"/>
      <c r="K822" s="2" t="s">
        <v>2123</v>
      </c>
      <c r="L822" s="12">
        <v>200.0</v>
      </c>
      <c r="M822" s="2" t="s">
        <v>2124</v>
      </c>
      <c r="N822" s="2" t="str">
        <f>IFERROR(__xludf.DUMMYFUNCTION("""COMPUTED_VALUE"""),"")</f>
        <v/>
      </c>
    </row>
    <row r="823">
      <c r="A823" s="2" t="s">
        <v>33</v>
      </c>
      <c r="B823" s="12">
        <v>792713.0</v>
      </c>
      <c r="C823" s="12">
        <v>793363.0</v>
      </c>
      <c r="D823" s="2"/>
      <c r="E823" s="2" t="s">
        <v>38</v>
      </c>
      <c r="F823" s="2" t="s">
        <v>2125</v>
      </c>
      <c r="G823" s="2"/>
      <c r="H823" s="12">
        <v>0.0</v>
      </c>
      <c r="I823" s="2" t="s">
        <v>40</v>
      </c>
      <c r="J823" s="2"/>
      <c r="K823" s="2" t="s">
        <v>2126</v>
      </c>
      <c r="L823" s="12">
        <v>216.0</v>
      </c>
      <c r="M823" s="2" t="s">
        <v>2127</v>
      </c>
      <c r="N823" s="2" t="str">
        <f>IFERROR(__xludf.DUMMYFUNCTION("""COMPUTED_VALUE"""),"")</f>
        <v/>
      </c>
    </row>
    <row r="824">
      <c r="A824" s="2" t="s">
        <v>33</v>
      </c>
      <c r="B824" s="12">
        <v>793434.0</v>
      </c>
      <c r="C824" s="12">
        <v>793865.0</v>
      </c>
      <c r="D824" s="2"/>
      <c r="E824" s="2" t="s">
        <v>38</v>
      </c>
      <c r="F824" s="2" t="s">
        <v>2128</v>
      </c>
      <c r="G824" s="2"/>
      <c r="H824" s="12">
        <v>0.0</v>
      </c>
      <c r="I824" s="2" t="s">
        <v>40</v>
      </c>
      <c r="J824" s="2"/>
      <c r="K824" s="2" t="s">
        <v>2129</v>
      </c>
      <c r="L824" s="12">
        <v>143.0</v>
      </c>
      <c r="M824" s="2" t="s">
        <v>2130</v>
      </c>
      <c r="N824" s="2" t="str">
        <f>IFERROR(__xludf.DUMMYFUNCTION("""COMPUTED_VALUE"""),"")</f>
        <v/>
      </c>
    </row>
    <row r="825">
      <c r="A825" s="2" t="s">
        <v>33</v>
      </c>
      <c r="B825" s="12">
        <v>793986.0</v>
      </c>
      <c r="C825" s="12">
        <v>794855.0</v>
      </c>
      <c r="D825" s="2"/>
      <c r="E825" s="2" t="s">
        <v>38</v>
      </c>
      <c r="F825" s="2" t="s">
        <v>694</v>
      </c>
      <c r="G825" s="2"/>
      <c r="H825" s="12">
        <v>0.0</v>
      </c>
      <c r="I825" s="2" t="s">
        <v>40</v>
      </c>
      <c r="J825" s="2"/>
      <c r="K825" s="2" t="s">
        <v>2131</v>
      </c>
      <c r="L825" s="12">
        <v>289.0</v>
      </c>
      <c r="M825" s="2" t="s">
        <v>2132</v>
      </c>
      <c r="N825" s="2" t="str">
        <f>IFERROR(__xludf.DUMMYFUNCTION("""COMPUTED_VALUE"""),"")</f>
        <v/>
      </c>
    </row>
    <row r="826">
      <c r="A826" s="2" t="s">
        <v>33</v>
      </c>
      <c r="B826" s="12">
        <v>794953.0</v>
      </c>
      <c r="C826" s="12">
        <v>795858.0</v>
      </c>
      <c r="D826" s="2"/>
      <c r="E826" s="2" t="s">
        <v>34</v>
      </c>
      <c r="F826" s="2" t="s">
        <v>738</v>
      </c>
      <c r="G826" s="2"/>
      <c r="H826" s="12">
        <v>0.0</v>
      </c>
      <c r="I826" s="2" t="s">
        <v>40</v>
      </c>
      <c r="J826" s="2"/>
      <c r="K826" s="2" t="s">
        <v>2133</v>
      </c>
      <c r="L826" s="12">
        <v>301.0</v>
      </c>
      <c r="M826" s="2" t="s">
        <v>2134</v>
      </c>
      <c r="N826" s="2" t="str">
        <f>IFERROR(__xludf.DUMMYFUNCTION("""COMPUTED_VALUE"""),"")</f>
        <v/>
      </c>
    </row>
    <row r="827">
      <c r="A827" s="2" t="s">
        <v>33</v>
      </c>
      <c r="B827" s="12">
        <v>795901.0</v>
      </c>
      <c r="C827" s="12">
        <v>796521.0</v>
      </c>
      <c r="D827" s="2"/>
      <c r="E827" s="2" t="s">
        <v>38</v>
      </c>
      <c r="F827" s="2" t="s">
        <v>2135</v>
      </c>
      <c r="G827" s="2"/>
      <c r="H827" s="12">
        <v>0.0</v>
      </c>
      <c r="I827" s="2" t="s">
        <v>40</v>
      </c>
      <c r="J827" s="2"/>
      <c r="K827" s="2" t="s">
        <v>2136</v>
      </c>
      <c r="L827" s="12">
        <v>206.0</v>
      </c>
      <c r="M827" s="2" t="s">
        <v>2137</v>
      </c>
      <c r="N827" s="2" t="str">
        <f>IFERROR(__xludf.DUMMYFUNCTION("""COMPUTED_VALUE"""),"")</f>
        <v/>
      </c>
    </row>
    <row r="828">
      <c r="A828" s="2" t="s">
        <v>33</v>
      </c>
      <c r="B828" s="12">
        <v>796611.0</v>
      </c>
      <c r="C828" s="12">
        <v>798260.0</v>
      </c>
      <c r="D828" s="2"/>
      <c r="E828" s="2" t="s">
        <v>38</v>
      </c>
      <c r="F828" s="2" t="s">
        <v>2138</v>
      </c>
      <c r="G828" s="2"/>
      <c r="H828" s="12">
        <v>0.0</v>
      </c>
      <c r="I828" s="2" t="s">
        <v>40</v>
      </c>
      <c r="J828" s="2"/>
      <c r="K828" s="2" t="s">
        <v>2139</v>
      </c>
      <c r="L828" s="12">
        <v>549.0</v>
      </c>
      <c r="M828" s="2" t="s">
        <v>2140</v>
      </c>
      <c r="N828" s="2" t="str">
        <f>IFERROR(__xludf.DUMMYFUNCTION("""COMPUTED_VALUE"""),"")</f>
        <v/>
      </c>
    </row>
    <row r="829">
      <c r="A829" s="2" t="s">
        <v>33</v>
      </c>
      <c r="B829" s="12">
        <v>798589.0</v>
      </c>
      <c r="C829" s="12">
        <v>799008.0</v>
      </c>
      <c r="D829" s="2"/>
      <c r="E829" s="2" t="s">
        <v>38</v>
      </c>
      <c r="F829" s="2" t="s">
        <v>541</v>
      </c>
      <c r="G829" s="2"/>
      <c r="H829" s="12">
        <v>0.0</v>
      </c>
      <c r="I829" s="2" t="s">
        <v>40</v>
      </c>
      <c r="J829" s="2"/>
      <c r="K829" s="2" t="s">
        <v>2141</v>
      </c>
      <c r="L829" s="12">
        <v>139.0</v>
      </c>
      <c r="M829" s="2" t="s">
        <v>2142</v>
      </c>
      <c r="N829" s="2" t="str">
        <f>IFERROR(__xludf.DUMMYFUNCTION("""COMPUTED_VALUE"""),"")</f>
        <v/>
      </c>
    </row>
    <row r="830">
      <c r="A830" s="2" t="s">
        <v>33</v>
      </c>
      <c r="B830" s="12">
        <v>799093.0</v>
      </c>
      <c r="C830" s="12">
        <v>800451.0</v>
      </c>
      <c r="D830" s="2"/>
      <c r="E830" s="2" t="s">
        <v>38</v>
      </c>
      <c r="F830" s="2" t="s">
        <v>2143</v>
      </c>
      <c r="G830" s="2" t="s">
        <v>2144</v>
      </c>
      <c r="H830" s="12">
        <v>0.0</v>
      </c>
      <c r="I830" s="2" t="s">
        <v>40</v>
      </c>
      <c r="J830" s="2"/>
      <c r="K830" s="2" t="s">
        <v>2145</v>
      </c>
      <c r="L830" s="12">
        <v>452.0</v>
      </c>
      <c r="M830" s="2" t="s">
        <v>2146</v>
      </c>
      <c r="N830" s="2" t="str">
        <f>IFERROR(__xludf.DUMMYFUNCTION("""COMPUTED_VALUE"""),"")</f>
        <v/>
      </c>
    </row>
    <row r="831">
      <c r="A831" s="2" t="s">
        <v>33</v>
      </c>
      <c r="B831" s="12">
        <v>800690.0</v>
      </c>
      <c r="C831" s="12">
        <v>801382.0</v>
      </c>
      <c r="D831" s="2"/>
      <c r="E831" s="2" t="s">
        <v>38</v>
      </c>
      <c r="F831" s="2" t="s">
        <v>1153</v>
      </c>
      <c r="G831" s="2"/>
      <c r="H831" s="12">
        <v>0.0</v>
      </c>
      <c r="I831" s="2" t="s">
        <v>40</v>
      </c>
      <c r="J831" s="2"/>
      <c r="K831" s="2" t="s">
        <v>2147</v>
      </c>
      <c r="L831" s="12">
        <v>230.0</v>
      </c>
      <c r="M831" s="2" t="s">
        <v>2148</v>
      </c>
      <c r="N831" s="2" t="str">
        <f>IFERROR(__xludf.DUMMYFUNCTION("""COMPUTED_VALUE"""),"")</f>
        <v/>
      </c>
    </row>
    <row r="832">
      <c r="A832" s="2" t="s">
        <v>33</v>
      </c>
      <c r="B832" s="12">
        <v>801675.0</v>
      </c>
      <c r="C832" s="12">
        <v>802640.0</v>
      </c>
      <c r="D832" s="2"/>
      <c r="E832" s="2" t="s">
        <v>34</v>
      </c>
      <c r="F832" s="2" t="s">
        <v>2149</v>
      </c>
      <c r="G832" s="2"/>
      <c r="H832" s="12">
        <v>0.0</v>
      </c>
      <c r="I832" s="2" t="s">
        <v>40</v>
      </c>
      <c r="J832" s="2"/>
      <c r="K832" s="2" t="s">
        <v>2150</v>
      </c>
      <c r="L832" s="12">
        <v>321.0</v>
      </c>
      <c r="M832" s="2" t="s">
        <v>2151</v>
      </c>
      <c r="N832" s="2" t="str">
        <f>IFERROR(__xludf.DUMMYFUNCTION("""COMPUTED_VALUE"""),"")</f>
        <v/>
      </c>
    </row>
    <row r="833">
      <c r="A833" s="2" t="s">
        <v>33</v>
      </c>
      <c r="B833" s="12">
        <v>802845.0</v>
      </c>
      <c r="C833" s="12">
        <v>804092.0</v>
      </c>
      <c r="D833" s="2"/>
      <c r="E833" s="2" t="s">
        <v>38</v>
      </c>
      <c r="F833" s="2" t="s">
        <v>2152</v>
      </c>
      <c r="G833" s="2"/>
      <c r="H833" s="12">
        <v>0.0</v>
      </c>
      <c r="I833" s="2" t="s">
        <v>40</v>
      </c>
      <c r="J833" s="2"/>
      <c r="K833" s="2" t="s">
        <v>2153</v>
      </c>
      <c r="L833" s="12">
        <v>415.0</v>
      </c>
      <c r="M833" s="2" t="s">
        <v>2154</v>
      </c>
      <c r="N833" s="2" t="str">
        <f>IFERROR(__xludf.DUMMYFUNCTION("""COMPUTED_VALUE"""),"")</f>
        <v/>
      </c>
    </row>
    <row r="834">
      <c r="A834" s="2" t="s">
        <v>33</v>
      </c>
      <c r="B834" s="12">
        <v>804297.0</v>
      </c>
      <c r="C834" s="12">
        <v>806441.0</v>
      </c>
      <c r="D834" s="2"/>
      <c r="E834" s="2" t="s">
        <v>38</v>
      </c>
      <c r="F834" s="2" t="s">
        <v>2155</v>
      </c>
      <c r="G834" s="2" t="s">
        <v>2156</v>
      </c>
      <c r="H834" s="12">
        <v>0.0</v>
      </c>
      <c r="I834" s="2" t="s">
        <v>40</v>
      </c>
      <c r="J834" s="2"/>
      <c r="K834" s="2" t="s">
        <v>2157</v>
      </c>
      <c r="L834" s="12">
        <v>714.0</v>
      </c>
      <c r="M834" s="2" t="s">
        <v>2158</v>
      </c>
      <c r="N834" s="2" t="str">
        <f>IFERROR(__xludf.DUMMYFUNCTION("""COMPUTED_VALUE"""),"")</f>
        <v/>
      </c>
    </row>
    <row r="835">
      <c r="A835" s="2" t="s">
        <v>33</v>
      </c>
      <c r="B835" s="12">
        <v>806775.0</v>
      </c>
      <c r="C835" s="12">
        <v>807320.0</v>
      </c>
      <c r="D835" s="2"/>
      <c r="E835" s="2" t="s">
        <v>34</v>
      </c>
      <c r="F835" s="2" t="s">
        <v>39</v>
      </c>
      <c r="G835" s="2"/>
      <c r="H835" s="12">
        <v>0.0</v>
      </c>
      <c r="I835" s="2" t="s">
        <v>40</v>
      </c>
      <c r="J835" s="2"/>
      <c r="K835" s="2" t="s">
        <v>2159</v>
      </c>
      <c r="L835" s="12">
        <v>181.0</v>
      </c>
      <c r="M835" s="2" t="s">
        <v>2160</v>
      </c>
      <c r="N835" s="2" t="str">
        <f>IFERROR(__xludf.DUMMYFUNCTION("""COMPUTED_VALUE"""),"")</f>
        <v/>
      </c>
    </row>
    <row r="836">
      <c r="A836" s="2" t="s">
        <v>33</v>
      </c>
      <c r="B836" s="12">
        <v>807372.0</v>
      </c>
      <c r="C836" s="12">
        <v>809012.0</v>
      </c>
      <c r="D836" s="2"/>
      <c r="E836" s="2" t="s">
        <v>38</v>
      </c>
      <c r="F836" s="2" t="s">
        <v>2161</v>
      </c>
      <c r="G836" s="2"/>
      <c r="H836" s="12">
        <v>0.0</v>
      </c>
      <c r="I836" s="2" t="s">
        <v>40</v>
      </c>
      <c r="J836" s="2"/>
      <c r="K836" s="2" t="s">
        <v>2162</v>
      </c>
      <c r="L836" s="12">
        <v>546.0</v>
      </c>
      <c r="M836" s="2" t="s">
        <v>2163</v>
      </c>
      <c r="N836" s="2" t="str">
        <f>IFERROR(__xludf.DUMMYFUNCTION("""COMPUTED_VALUE"""),"")</f>
        <v/>
      </c>
    </row>
    <row r="837">
      <c r="A837" s="2" t="s">
        <v>33</v>
      </c>
      <c r="B837" s="12">
        <v>809379.0</v>
      </c>
      <c r="C837" s="12">
        <v>810014.0</v>
      </c>
      <c r="D837" s="2"/>
      <c r="E837" s="2" t="s">
        <v>34</v>
      </c>
      <c r="F837" s="2" t="s">
        <v>2164</v>
      </c>
      <c r="G837" s="2"/>
      <c r="H837" s="12">
        <v>0.0</v>
      </c>
      <c r="I837" s="2" t="s">
        <v>40</v>
      </c>
      <c r="J837" s="2"/>
      <c r="K837" s="2" t="s">
        <v>2165</v>
      </c>
      <c r="L837" s="12">
        <v>211.0</v>
      </c>
      <c r="M837" s="2" t="s">
        <v>2166</v>
      </c>
      <c r="N837" s="2" t="str">
        <f>IFERROR(__xludf.DUMMYFUNCTION("""COMPUTED_VALUE"""),"")</f>
        <v/>
      </c>
    </row>
    <row r="838">
      <c r="A838" s="2" t="s">
        <v>33</v>
      </c>
      <c r="B838" s="12">
        <v>810109.0</v>
      </c>
      <c r="C838" s="12">
        <v>811392.0</v>
      </c>
      <c r="D838" s="2"/>
      <c r="E838" s="2" t="s">
        <v>38</v>
      </c>
      <c r="F838" s="2" t="s">
        <v>2167</v>
      </c>
      <c r="G838" s="2"/>
      <c r="H838" s="12">
        <v>0.0</v>
      </c>
      <c r="I838" s="2" t="s">
        <v>40</v>
      </c>
      <c r="J838" s="2"/>
      <c r="K838" s="2" t="s">
        <v>2168</v>
      </c>
      <c r="L838" s="12">
        <v>427.0</v>
      </c>
      <c r="M838" s="2" t="s">
        <v>2169</v>
      </c>
      <c r="N838" s="2" t="str">
        <f>IFERROR(__xludf.DUMMYFUNCTION("""COMPUTED_VALUE"""),"")</f>
        <v/>
      </c>
    </row>
    <row r="839">
      <c r="A839" s="2" t="s">
        <v>33</v>
      </c>
      <c r="B839" s="12">
        <v>811582.0</v>
      </c>
      <c r="C839" s="12">
        <v>811812.0</v>
      </c>
      <c r="D839" s="2"/>
      <c r="E839" s="2" t="s">
        <v>34</v>
      </c>
      <c r="F839" s="2" t="s">
        <v>2170</v>
      </c>
      <c r="G839" s="2"/>
      <c r="H839" s="12">
        <v>0.0</v>
      </c>
      <c r="I839" s="2" t="s">
        <v>40</v>
      </c>
      <c r="J839" s="2"/>
      <c r="K839" s="2" t="s">
        <v>2171</v>
      </c>
      <c r="L839" s="12">
        <v>76.0</v>
      </c>
      <c r="M839" s="2" t="s">
        <v>2172</v>
      </c>
      <c r="N839" s="2" t="str">
        <f>IFERROR(__xludf.DUMMYFUNCTION("""COMPUTED_VALUE"""),"")</f>
        <v/>
      </c>
    </row>
    <row r="840">
      <c r="A840" s="2" t="s">
        <v>33</v>
      </c>
      <c r="B840" s="12">
        <v>811860.0</v>
      </c>
      <c r="C840" s="12">
        <v>812339.0</v>
      </c>
      <c r="D840" s="2"/>
      <c r="E840" s="2" t="s">
        <v>38</v>
      </c>
      <c r="F840" s="2" t="s">
        <v>2173</v>
      </c>
      <c r="G840" s="2"/>
      <c r="H840" s="12">
        <v>0.0</v>
      </c>
      <c r="I840" s="2" t="s">
        <v>40</v>
      </c>
      <c r="J840" s="2"/>
      <c r="K840" s="2" t="s">
        <v>2174</v>
      </c>
      <c r="L840" s="12">
        <v>159.0</v>
      </c>
      <c r="M840" s="2" t="s">
        <v>2175</v>
      </c>
      <c r="N840" s="2" t="str">
        <f>IFERROR(__xludf.DUMMYFUNCTION("""COMPUTED_VALUE"""),"")</f>
        <v/>
      </c>
    </row>
    <row r="841">
      <c r="A841" s="2" t="s">
        <v>33</v>
      </c>
      <c r="B841" s="12">
        <v>812556.0</v>
      </c>
      <c r="C841" s="12">
        <v>813913.0</v>
      </c>
      <c r="D841" s="2"/>
      <c r="E841" s="2" t="s">
        <v>38</v>
      </c>
      <c r="F841" s="2" t="s">
        <v>754</v>
      </c>
      <c r="G841" s="2"/>
      <c r="H841" s="12">
        <v>0.0</v>
      </c>
      <c r="I841" s="2" t="s">
        <v>40</v>
      </c>
      <c r="J841" s="2"/>
      <c r="K841" s="2" t="s">
        <v>2176</v>
      </c>
      <c r="L841" s="12">
        <v>452.0</v>
      </c>
      <c r="M841" s="2" t="s">
        <v>2177</v>
      </c>
      <c r="N841" s="2" t="str">
        <f>IFERROR(__xludf.DUMMYFUNCTION("""COMPUTED_VALUE"""),"")</f>
        <v/>
      </c>
    </row>
    <row r="842">
      <c r="A842" s="2" t="s">
        <v>33</v>
      </c>
      <c r="B842" s="12">
        <v>814000.0</v>
      </c>
      <c r="C842" s="12">
        <v>814395.0</v>
      </c>
      <c r="D842" s="2"/>
      <c r="E842" s="2" t="s">
        <v>38</v>
      </c>
      <c r="F842" s="2" t="s">
        <v>2178</v>
      </c>
      <c r="G842" s="2"/>
      <c r="H842" s="12">
        <v>0.0</v>
      </c>
      <c r="I842" s="2" t="s">
        <v>40</v>
      </c>
      <c r="J842" s="2"/>
      <c r="K842" s="2" t="s">
        <v>2179</v>
      </c>
      <c r="L842" s="12">
        <v>131.0</v>
      </c>
      <c r="M842" s="2" t="s">
        <v>2180</v>
      </c>
      <c r="N842" s="2" t="str">
        <f>IFERROR(__xludf.DUMMYFUNCTION("""COMPUTED_VALUE"""),"")</f>
        <v/>
      </c>
    </row>
    <row r="843">
      <c r="A843" s="2" t="s">
        <v>33</v>
      </c>
      <c r="B843" s="12">
        <v>814429.0</v>
      </c>
      <c r="C843" s="12">
        <v>815730.0</v>
      </c>
      <c r="D843" s="2"/>
      <c r="E843" s="2" t="s">
        <v>38</v>
      </c>
      <c r="F843" s="2" t="s">
        <v>2181</v>
      </c>
      <c r="G843" s="2"/>
      <c r="H843" s="12">
        <v>0.0</v>
      </c>
      <c r="I843" s="2" t="s">
        <v>40</v>
      </c>
      <c r="J843" s="2"/>
      <c r="K843" s="2" t="s">
        <v>2182</v>
      </c>
      <c r="L843" s="12">
        <v>433.0</v>
      </c>
      <c r="M843" s="2" t="s">
        <v>2183</v>
      </c>
      <c r="N843" s="2" t="str">
        <f>IFERROR(__xludf.DUMMYFUNCTION("""COMPUTED_VALUE"""),"")</f>
        <v/>
      </c>
    </row>
    <row r="844">
      <c r="A844" s="2" t="s">
        <v>33</v>
      </c>
      <c r="B844" s="12">
        <v>815767.0</v>
      </c>
      <c r="C844" s="12">
        <v>816948.0</v>
      </c>
      <c r="D844" s="2"/>
      <c r="E844" s="2" t="s">
        <v>38</v>
      </c>
      <c r="F844" s="2" t="s">
        <v>2184</v>
      </c>
      <c r="G844" s="2"/>
      <c r="H844" s="12">
        <v>0.0</v>
      </c>
      <c r="I844" s="2" t="s">
        <v>40</v>
      </c>
      <c r="J844" s="2"/>
      <c r="K844" s="2" t="s">
        <v>2185</v>
      </c>
      <c r="L844" s="12">
        <v>393.0</v>
      </c>
      <c r="M844" s="2" t="s">
        <v>2186</v>
      </c>
      <c r="N844" s="2" t="str">
        <f>IFERROR(__xludf.DUMMYFUNCTION("""COMPUTED_VALUE"""),"")</f>
        <v/>
      </c>
    </row>
    <row r="845">
      <c r="A845" s="2" t="s">
        <v>33</v>
      </c>
      <c r="B845" s="12">
        <v>817048.0</v>
      </c>
      <c r="C845" s="12">
        <v>817719.0</v>
      </c>
      <c r="D845" s="2"/>
      <c r="E845" s="2" t="s">
        <v>38</v>
      </c>
      <c r="F845" s="2" t="s">
        <v>2187</v>
      </c>
      <c r="G845" s="2" t="s">
        <v>2188</v>
      </c>
      <c r="H845" s="12">
        <v>0.0</v>
      </c>
      <c r="I845" s="2" t="s">
        <v>40</v>
      </c>
      <c r="J845" s="2"/>
      <c r="K845" s="2" t="s">
        <v>2189</v>
      </c>
      <c r="L845" s="12">
        <v>223.0</v>
      </c>
      <c r="M845" s="2" t="s">
        <v>2190</v>
      </c>
      <c r="N845" s="2" t="str">
        <f>IFERROR(__xludf.DUMMYFUNCTION("""COMPUTED_VALUE"""),"")</f>
        <v/>
      </c>
    </row>
    <row r="846">
      <c r="A846" s="2" t="s">
        <v>33</v>
      </c>
      <c r="B846" s="12">
        <v>818024.0</v>
      </c>
      <c r="C846" s="12">
        <v>818971.0</v>
      </c>
      <c r="D846" s="2"/>
      <c r="E846" s="2" t="s">
        <v>38</v>
      </c>
      <c r="F846" s="2" t="s">
        <v>2191</v>
      </c>
      <c r="G846" s="2"/>
      <c r="H846" s="12">
        <v>0.0</v>
      </c>
      <c r="I846" s="2" t="s">
        <v>40</v>
      </c>
      <c r="J846" s="2"/>
      <c r="K846" s="2" t="s">
        <v>2192</v>
      </c>
      <c r="L846" s="12">
        <v>315.0</v>
      </c>
      <c r="M846" s="2" t="s">
        <v>2193</v>
      </c>
      <c r="N846" s="2" t="str">
        <f>IFERROR(__xludf.DUMMYFUNCTION("""COMPUTED_VALUE"""),"")</f>
        <v/>
      </c>
    </row>
    <row r="847">
      <c r="A847" s="2" t="s">
        <v>33</v>
      </c>
      <c r="B847" s="12">
        <v>819342.0</v>
      </c>
      <c r="C847" s="12">
        <v>819932.0</v>
      </c>
      <c r="D847" s="2"/>
      <c r="E847" s="2" t="s">
        <v>38</v>
      </c>
      <c r="F847" s="2" t="s">
        <v>427</v>
      </c>
      <c r="G847" s="2"/>
      <c r="H847" s="12">
        <v>0.0</v>
      </c>
      <c r="I847" s="2" t="s">
        <v>40</v>
      </c>
      <c r="J847" s="2"/>
      <c r="K847" s="2" t="s">
        <v>2194</v>
      </c>
      <c r="L847" s="12">
        <v>196.0</v>
      </c>
      <c r="M847" s="2" t="s">
        <v>2195</v>
      </c>
      <c r="N847" s="2" t="str">
        <f>IFERROR(__xludf.DUMMYFUNCTION("""COMPUTED_VALUE"""),"")</f>
        <v/>
      </c>
    </row>
    <row r="848">
      <c r="A848" s="2" t="s">
        <v>33</v>
      </c>
      <c r="B848" s="12">
        <v>820626.0</v>
      </c>
      <c r="C848" s="12">
        <v>821276.0</v>
      </c>
      <c r="D848" s="2"/>
      <c r="E848" s="2" t="s">
        <v>34</v>
      </c>
      <c r="F848" s="2" t="s">
        <v>2196</v>
      </c>
      <c r="G848" s="2"/>
      <c r="H848" s="12">
        <v>0.0</v>
      </c>
      <c r="I848" s="2" t="s">
        <v>40</v>
      </c>
      <c r="J848" s="2"/>
      <c r="K848" s="2" t="s">
        <v>2197</v>
      </c>
      <c r="L848" s="12">
        <v>216.0</v>
      </c>
      <c r="M848" s="2" t="s">
        <v>2198</v>
      </c>
      <c r="N848" s="2" t="str">
        <f>IFERROR(__xludf.DUMMYFUNCTION("""COMPUTED_VALUE"""),"")</f>
        <v/>
      </c>
    </row>
    <row r="849">
      <c r="A849" s="2" t="s">
        <v>33</v>
      </c>
      <c r="B849" s="12">
        <v>821426.0</v>
      </c>
      <c r="C849" s="12">
        <v>821737.0</v>
      </c>
      <c r="D849" s="2"/>
      <c r="E849" s="2" t="s">
        <v>34</v>
      </c>
      <c r="F849" s="2" t="s">
        <v>2199</v>
      </c>
      <c r="G849" s="2"/>
      <c r="H849" s="12">
        <v>0.0</v>
      </c>
      <c r="I849" s="2" t="s">
        <v>40</v>
      </c>
      <c r="J849" s="2"/>
      <c r="K849" s="2" t="s">
        <v>2200</v>
      </c>
      <c r="L849" s="12">
        <v>103.0</v>
      </c>
      <c r="M849" s="2" t="s">
        <v>2201</v>
      </c>
      <c r="N849" s="2" t="str">
        <f>IFERROR(__xludf.DUMMYFUNCTION("""COMPUTED_VALUE"""),"")</f>
        <v/>
      </c>
    </row>
    <row r="850">
      <c r="A850" s="2" t="s">
        <v>33</v>
      </c>
      <c r="B850" s="12">
        <v>822022.0</v>
      </c>
      <c r="C850" s="12">
        <v>822645.0</v>
      </c>
      <c r="D850" s="2"/>
      <c r="E850" s="2" t="s">
        <v>38</v>
      </c>
      <c r="F850" s="2" t="s">
        <v>2202</v>
      </c>
      <c r="G850" s="2"/>
      <c r="H850" s="12">
        <v>0.0</v>
      </c>
      <c r="I850" s="2" t="s">
        <v>40</v>
      </c>
      <c r="J850" s="2"/>
      <c r="K850" s="2" t="s">
        <v>2203</v>
      </c>
      <c r="L850" s="12">
        <v>207.0</v>
      </c>
      <c r="M850" s="2" t="s">
        <v>2204</v>
      </c>
      <c r="N850" s="2" t="str">
        <f>IFERROR(__xludf.DUMMYFUNCTION("""COMPUTED_VALUE"""),"")</f>
        <v/>
      </c>
    </row>
    <row r="851">
      <c r="A851" s="2" t="s">
        <v>33</v>
      </c>
      <c r="B851" s="12">
        <v>822709.0</v>
      </c>
      <c r="C851" s="12">
        <v>823293.0</v>
      </c>
      <c r="D851" s="2"/>
      <c r="E851" s="2" t="s">
        <v>38</v>
      </c>
      <c r="F851" s="2" t="s">
        <v>427</v>
      </c>
      <c r="G851" s="2"/>
      <c r="H851" s="12">
        <v>0.0</v>
      </c>
      <c r="I851" s="2" t="s">
        <v>40</v>
      </c>
      <c r="J851" s="2"/>
      <c r="K851" s="2" t="s">
        <v>2205</v>
      </c>
      <c r="L851" s="12">
        <v>194.0</v>
      </c>
      <c r="M851" s="2" t="s">
        <v>2206</v>
      </c>
      <c r="N851" s="2" t="str">
        <f>IFERROR(__xludf.DUMMYFUNCTION("""COMPUTED_VALUE"""),"")</f>
        <v/>
      </c>
    </row>
    <row r="852">
      <c r="A852" s="2" t="s">
        <v>33</v>
      </c>
      <c r="B852" s="12">
        <v>823557.0</v>
      </c>
      <c r="C852" s="12">
        <v>824927.0</v>
      </c>
      <c r="D852" s="2"/>
      <c r="E852" s="2" t="s">
        <v>38</v>
      </c>
      <c r="F852" s="2" t="s">
        <v>2207</v>
      </c>
      <c r="G852" s="2"/>
      <c r="H852" s="12">
        <v>0.0</v>
      </c>
      <c r="I852" s="2" t="s">
        <v>40</v>
      </c>
      <c r="J852" s="2"/>
      <c r="K852" s="2" t="s">
        <v>2208</v>
      </c>
      <c r="L852" s="12">
        <v>456.0</v>
      </c>
      <c r="M852" s="2" t="s">
        <v>2209</v>
      </c>
      <c r="N852" s="2" t="str">
        <f>IFERROR(__xludf.DUMMYFUNCTION("""COMPUTED_VALUE"""),"")</f>
        <v/>
      </c>
    </row>
    <row r="853">
      <c r="A853" s="2" t="s">
        <v>33</v>
      </c>
      <c r="B853" s="12">
        <v>825074.0</v>
      </c>
      <c r="C853" s="12">
        <v>826303.0</v>
      </c>
      <c r="D853" s="2"/>
      <c r="E853" s="2" t="s">
        <v>38</v>
      </c>
      <c r="F853" s="2" t="s">
        <v>2210</v>
      </c>
      <c r="G853" s="2"/>
      <c r="H853" s="12">
        <v>0.0</v>
      </c>
      <c r="I853" s="2" t="s">
        <v>40</v>
      </c>
      <c r="J853" s="2"/>
      <c r="K853" s="2" t="s">
        <v>2211</v>
      </c>
      <c r="L853" s="12">
        <v>409.0</v>
      </c>
      <c r="M853" s="2" t="s">
        <v>2212</v>
      </c>
      <c r="N853" s="2" t="str">
        <f>IFERROR(__xludf.DUMMYFUNCTION("""COMPUTED_VALUE"""),"")</f>
        <v/>
      </c>
    </row>
    <row r="854">
      <c r="A854" s="2" t="s">
        <v>33</v>
      </c>
      <c r="B854" s="12">
        <v>826552.0</v>
      </c>
      <c r="C854" s="12">
        <v>826683.0</v>
      </c>
      <c r="D854" s="2"/>
      <c r="E854" s="2" t="s">
        <v>38</v>
      </c>
      <c r="F854" s="2" t="s">
        <v>39</v>
      </c>
      <c r="G854" s="2"/>
      <c r="H854" s="12">
        <v>0.0</v>
      </c>
      <c r="I854" s="2" t="s">
        <v>40</v>
      </c>
      <c r="J854" s="2"/>
      <c r="K854" s="2" t="s">
        <v>2213</v>
      </c>
      <c r="L854" s="12">
        <v>43.0</v>
      </c>
      <c r="M854" s="2" t="s">
        <v>2214</v>
      </c>
      <c r="N854" s="2" t="str">
        <f>IFERROR(__xludf.DUMMYFUNCTION("""COMPUTED_VALUE"""),"")</f>
        <v/>
      </c>
    </row>
    <row r="855">
      <c r="A855" s="2" t="s">
        <v>33</v>
      </c>
      <c r="B855" s="12">
        <v>826902.0</v>
      </c>
      <c r="C855" s="12">
        <v>827981.0</v>
      </c>
      <c r="D855" s="2"/>
      <c r="E855" s="2" t="s">
        <v>38</v>
      </c>
      <c r="F855" s="2" t="s">
        <v>2215</v>
      </c>
      <c r="G855" s="2" t="s">
        <v>2216</v>
      </c>
      <c r="H855" s="12">
        <v>0.0</v>
      </c>
      <c r="I855" s="2" t="s">
        <v>40</v>
      </c>
      <c r="J855" s="2"/>
      <c r="K855" s="2" t="s">
        <v>2217</v>
      </c>
      <c r="L855" s="12">
        <v>359.0</v>
      </c>
      <c r="M855" s="2" t="s">
        <v>2218</v>
      </c>
      <c r="N855" s="2" t="str">
        <f>IFERROR(__xludf.DUMMYFUNCTION("""COMPUTED_VALUE"""),"")</f>
        <v/>
      </c>
    </row>
    <row r="856">
      <c r="A856" s="2" t="s">
        <v>33</v>
      </c>
      <c r="B856" s="12">
        <v>828089.0</v>
      </c>
      <c r="C856" s="12">
        <v>829297.0</v>
      </c>
      <c r="D856" s="2"/>
      <c r="E856" s="2" t="s">
        <v>38</v>
      </c>
      <c r="F856" s="2" t="s">
        <v>2219</v>
      </c>
      <c r="G856" s="2" t="s">
        <v>2220</v>
      </c>
      <c r="H856" s="12">
        <v>0.0</v>
      </c>
      <c r="I856" s="2" t="s">
        <v>40</v>
      </c>
      <c r="J856" s="2"/>
      <c r="K856" s="2" t="s">
        <v>2221</v>
      </c>
      <c r="L856" s="12">
        <v>402.0</v>
      </c>
      <c r="M856" s="2" t="s">
        <v>2222</v>
      </c>
      <c r="N856" s="2" t="str">
        <f>IFERROR(__xludf.DUMMYFUNCTION("""COMPUTED_VALUE"""),"")</f>
        <v/>
      </c>
    </row>
    <row r="857">
      <c r="A857" s="2" t="s">
        <v>33</v>
      </c>
      <c r="B857" s="12">
        <v>829335.0</v>
      </c>
      <c r="C857" s="12">
        <v>830495.0</v>
      </c>
      <c r="D857" s="2"/>
      <c r="E857" s="2" t="s">
        <v>38</v>
      </c>
      <c r="F857" s="2" t="s">
        <v>2223</v>
      </c>
      <c r="G857" s="2" t="s">
        <v>2224</v>
      </c>
      <c r="H857" s="12">
        <v>0.0</v>
      </c>
      <c r="I857" s="2" t="s">
        <v>40</v>
      </c>
      <c r="J857" s="2"/>
      <c r="K857" s="2" t="s">
        <v>2225</v>
      </c>
      <c r="L857" s="12">
        <v>386.0</v>
      </c>
      <c r="M857" s="2" t="s">
        <v>2226</v>
      </c>
      <c r="N857" s="2" t="str">
        <f>IFERROR(__xludf.DUMMYFUNCTION("""COMPUTED_VALUE"""),"")</f>
        <v/>
      </c>
    </row>
    <row r="858">
      <c r="A858" s="2" t="s">
        <v>33</v>
      </c>
      <c r="B858" s="12">
        <v>831094.0</v>
      </c>
      <c r="C858" s="12">
        <v>832920.0</v>
      </c>
      <c r="D858" s="2"/>
      <c r="E858" s="2" t="s">
        <v>38</v>
      </c>
      <c r="F858" s="2" t="s">
        <v>2227</v>
      </c>
      <c r="G858" s="2"/>
      <c r="H858" s="12">
        <v>0.0</v>
      </c>
      <c r="I858" s="2" t="s">
        <v>40</v>
      </c>
      <c r="J858" s="2"/>
      <c r="K858" s="2" t="s">
        <v>2228</v>
      </c>
      <c r="L858" s="12">
        <v>608.0</v>
      </c>
      <c r="M858" s="2" t="s">
        <v>2229</v>
      </c>
      <c r="N858" s="2" t="str">
        <f>IFERROR(__xludf.DUMMYFUNCTION("""COMPUTED_VALUE"""),"")</f>
        <v/>
      </c>
    </row>
    <row r="859">
      <c r="A859" s="2" t="s">
        <v>33</v>
      </c>
      <c r="B859" s="12">
        <v>833352.0</v>
      </c>
      <c r="C859" s="12">
        <v>833480.0</v>
      </c>
      <c r="D859" s="2"/>
      <c r="E859" s="2" t="s">
        <v>34</v>
      </c>
      <c r="F859" s="2" t="s">
        <v>39</v>
      </c>
      <c r="G859" s="2"/>
      <c r="H859" s="12">
        <v>0.0</v>
      </c>
      <c r="I859" s="2" t="s">
        <v>40</v>
      </c>
      <c r="J859" s="2"/>
      <c r="K859" s="2" t="s">
        <v>2230</v>
      </c>
      <c r="L859" s="12">
        <v>42.0</v>
      </c>
      <c r="M859" s="2" t="s">
        <v>2231</v>
      </c>
      <c r="N859" s="2" t="str">
        <f>IFERROR(__xludf.DUMMYFUNCTION("""COMPUTED_VALUE"""),"")</f>
        <v/>
      </c>
    </row>
    <row r="860">
      <c r="A860" s="2" t="s">
        <v>33</v>
      </c>
      <c r="B860" s="12">
        <v>833544.0</v>
      </c>
      <c r="C860" s="12">
        <v>834488.0</v>
      </c>
      <c r="D860" s="2"/>
      <c r="E860" s="2" t="s">
        <v>38</v>
      </c>
      <c r="F860" s="2" t="s">
        <v>2232</v>
      </c>
      <c r="G860" s="2" t="s">
        <v>2233</v>
      </c>
      <c r="H860" s="12">
        <v>0.0</v>
      </c>
      <c r="I860" s="2" t="s">
        <v>40</v>
      </c>
      <c r="J860" s="2"/>
      <c r="K860" s="2" t="s">
        <v>2234</v>
      </c>
      <c r="L860" s="12">
        <v>314.0</v>
      </c>
      <c r="M860" s="2" t="s">
        <v>2235</v>
      </c>
      <c r="N860" s="2" t="str">
        <f>IFERROR(__xludf.DUMMYFUNCTION("""COMPUTED_VALUE"""),"")</f>
        <v/>
      </c>
    </row>
    <row r="861">
      <c r="A861" s="2" t="s">
        <v>33</v>
      </c>
      <c r="B861" s="12">
        <v>834664.0</v>
      </c>
      <c r="C861" s="12">
        <v>836139.0</v>
      </c>
      <c r="D861" s="2"/>
      <c r="E861" s="2" t="s">
        <v>34</v>
      </c>
      <c r="F861" s="2" t="s">
        <v>39</v>
      </c>
      <c r="G861" s="2"/>
      <c r="H861" s="12">
        <v>0.0</v>
      </c>
      <c r="I861" s="2" t="s">
        <v>40</v>
      </c>
      <c r="J861" s="2"/>
      <c r="K861" s="2" t="s">
        <v>2236</v>
      </c>
      <c r="L861" s="12">
        <v>491.0</v>
      </c>
      <c r="M861" s="2" t="s">
        <v>2237</v>
      </c>
      <c r="N861" s="2" t="str">
        <f>IFERROR(__xludf.DUMMYFUNCTION("""COMPUTED_VALUE"""),"")</f>
        <v/>
      </c>
    </row>
    <row r="862">
      <c r="A862" s="2" t="s">
        <v>33</v>
      </c>
      <c r="B862" s="12">
        <v>836340.0</v>
      </c>
      <c r="C862" s="12">
        <v>837299.0</v>
      </c>
      <c r="D862" s="2"/>
      <c r="E862" s="2" t="s">
        <v>38</v>
      </c>
      <c r="F862" s="2" t="s">
        <v>2238</v>
      </c>
      <c r="G862" s="2"/>
      <c r="H862" s="12">
        <v>0.0</v>
      </c>
      <c r="I862" s="2" t="s">
        <v>40</v>
      </c>
      <c r="J862" s="2"/>
      <c r="K862" s="2" t="s">
        <v>2239</v>
      </c>
      <c r="L862" s="12">
        <v>319.0</v>
      </c>
      <c r="M862" s="2" t="s">
        <v>2240</v>
      </c>
      <c r="N862" s="2" t="str">
        <f>IFERROR(__xludf.DUMMYFUNCTION("""COMPUTED_VALUE"""),"")</f>
        <v/>
      </c>
    </row>
    <row r="863">
      <c r="A863" s="2" t="s">
        <v>33</v>
      </c>
      <c r="B863" s="12">
        <v>837778.0</v>
      </c>
      <c r="C863" s="12">
        <v>839073.0</v>
      </c>
      <c r="D863" s="2"/>
      <c r="E863" s="2" t="s">
        <v>34</v>
      </c>
      <c r="F863" s="2" t="s">
        <v>2241</v>
      </c>
      <c r="G863" s="2"/>
      <c r="H863" s="12">
        <v>0.0</v>
      </c>
      <c r="I863" s="2" t="s">
        <v>40</v>
      </c>
      <c r="J863" s="2"/>
      <c r="K863" s="2" t="s">
        <v>2242</v>
      </c>
      <c r="L863" s="12">
        <v>431.0</v>
      </c>
      <c r="M863" s="2" t="s">
        <v>2243</v>
      </c>
      <c r="N863" s="2" t="str">
        <f>IFERROR(__xludf.DUMMYFUNCTION("""COMPUTED_VALUE"""),"")</f>
        <v/>
      </c>
    </row>
    <row r="864">
      <c r="A864" s="2" t="s">
        <v>33</v>
      </c>
      <c r="B864" s="12">
        <v>839134.0</v>
      </c>
      <c r="C864" s="12">
        <v>839994.0</v>
      </c>
      <c r="D864" s="2"/>
      <c r="E864" s="2" t="s">
        <v>38</v>
      </c>
      <c r="F864" s="2" t="s">
        <v>2244</v>
      </c>
      <c r="G864" s="2"/>
      <c r="H864" s="12">
        <v>0.0</v>
      </c>
      <c r="I864" s="2" t="s">
        <v>40</v>
      </c>
      <c r="J864" s="2"/>
      <c r="K864" s="2" t="s">
        <v>2245</v>
      </c>
      <c r="L864" s="12">
        <v>286.0</v>
      </c>
      <c r="M864" s="2" t="s">
        <v>2246</v>
      </c>
      <c r="N864" s="2" t="str">
        <f>IFERROR(__xludf.DUMMYFUNCTION("""COMPUTED_VALUE"""),"")</f>
        <v/>
      </c>
    </row>
    <row r="865">
      <c r="A865" s="2" t="s">
        <v>33</v>
      </c>
      <c r="B865" s="12">
        <v>840066.0</v>
      </c>
      <c r="C865" s="12">
        <v>841166.0</v>
      </c>
      <c r="D865" s="2"/>
      <c r="E865" s="2" t="s">
        <v>38</v>
      </c>
      <c r="F865" s="2" t="s">
        <v>382</v>
      </c>
      <c r="G865" s="2"/>
      <c r="H865" s="12">
        <v>0.0</v>
      </c>
      <c r="I865" s="2" t="s">
        <v>40</v>
      </c>
      <c r="J865" s="2"/>
      <c r="K865" s="2" t="s">
        <v>2247</v>
      </c>
      <c r="L865" s="12">
        <v>366.0</v>
      </c>
      <c r="M865" s="2" t="s">
        <v>2248</v>
      </c>
      <c r="N865" s="2" t="str">
        <f>IFERROR(__xludf.DUMMYFUNCTION("""COMPUTED_VALUE"""),"")</f>
        <v/>
      </c>
    </row>
    <row r="866">
      <c r="A866" s="2" t="s">
        <v>33</v>
      </c>
      <c r="B866" s="12">
        <v>841132.0</v>
      </c>
      <c r="C866" s="12">
        <v>841830.0</v>
      </c>
      <c r="D866" s="2"/>
      <c r="E866" s="2" t="s">
        <v>38</v>
      </c>
      <c r="F866" s="2" t="s">
        <v>379</v>
      </c>
      <c r="G866" s="2"/>
      <c r="H866" s="12">
        <v>0.0</v>
      </c>
      <c r="I866" s="2" t="s">
        <v>40</v>
      </c>
      <c r="J866" s="2"/>
      <c r="K866" s="2" t="s">
        <v>2249</v>
      </c>
      <c r="L866" s="12">
        <v>232.0</v>
      </c>
      <c r="M866" s="2" t="s">
        <v>2250</v>
      </c>
      <c r="N866" s="2" t="str">
        <f>IFERROR(__xludf.DUMMYFUNCTION("""COMPUTED_VALUE"""),"")</f>
        <v/>
      </c>
    </row>
    <row r="867">
      <c r="A867" s="2" t="s">
        <v>33</v>
      </c>
      <c r="B867" s="12">
        <v>841972.0</v>
      </c>
      <c r="C867" s="12">
        <v>842502.0</v>
      </c>
      <c r="D867" s="2"/>
      <c r="E867" s="2" t="s">
        <v>34</v>
      </c>
      <c r="F867" s="2" t="s">
        <v>367</v>
      </c>
      <c r="G867" s="2"/>
      <c r="H867" s="12">
        <v>0.0</v>
      </c>
      <c r="I867" s="2" t="s">
        <v>40</v>
      </c>
      <c r="J867" s="2"/>
      <c r="K867" s="2" t="s">
        <v>2251</v>
      </c>
      <c r="L867" s="12">
        <v>176.0</v>
      </c>
      <c r="M867" s="2" t="s">
        <v>2252</v>
      </c>
      <c r="N867" s="2" t="str">
        <f>IFERROR(__xludf.DUMMYFUNCTION("""COMPUTED_VALUE"""),"")</f>
        <v/>
      </c>
    </row>
    <row r="868">
      <c r="A868" s="2" t="s">
        <v>33</v>
      </c>
      <c r="B868" s="12">
        <v>842620.0</v>
      </c>
      <c r="C868" s="12">
        <v>842896.0</v>
      </c>
      <c r="D868" s="2"/>
      <c r="E868" s="2" t="s">
        <v>38</v>
      </c>
      <c r="F868" s="2" t="s">
        <v>35</v>
      </c>
      <c r="G868" s="2"/>
      <c r="H868" s="12">
        <v>0.0</v>
      </c>
      <c r="I868" s="2" t="s">
        <v>36</v>
      </c>
      <c r="J868" s="2"/>
      <c r="K868" s="2"/>
      <c r="L868" s="2"/>
      <c r="M868" s="2" t="s">
        <v>2253</v>
      </c>
      <c r="N868" s="2" t="str">
        <f>IFERROR(__xludf.DUMMYFUNCTION("""COMPUTED_VALUE"""),"")</f>
        <v/>
      </c>
    </row>
    <row r="869">
      <c r="A869" s="2" t="s">
        <v>33</v>
      </c>
      <c r="B869" s="12">
        <v>843014.0</v>
      </c>
      <c r="C869" s="12">
        <v>845059.0</v>
      </c>
      <c r="D869" s="2"/>
      <c r="E869" s="2" t="s">
        <v>38</v>
      </c>
      <c r="F869" s="2" t="s">
        <v>289</v>
      </c>
      <c r="G869" s="2"/>
      <c r="H869" s="12">
        <v>0.0</v>
      </c>
      <c r="I869" s="2" t="s">
        <v>40</v>
      </c>
      <c r="J869" s="2"/>
      <c r="K869" s="2" t="s">
        <v>2254</v>
      </c>
      <c r="L869" s="12">
        <v>681.0</v>
      </c>
      <c r="M869" s="2" t="s">
        <v>2255</v>
      </c>
      <c r="N869" s="2" t="str">
        <f>IFERROR(__xludf.DUMMYFUNCTION("""COMPUTED_VALUE"""),"")</f>
        <v/>
      </c>
    </row>
    <row r="870">
      <c r="A870" s="2" t="s">
        <v>33</v>
      </c>
      <c r="B870" s="12">
        <v>845388.0</v>
      </c>
      <c r="C870" s="12">
        <v>845768.0</v>
      </c>
      <c r="D870" s="2"/>
      <c r="E870" s="2" t="s">
        <v>38</v>
      </c>
      <c r="F870" s="2" t="s">
        <v>2256</v>
      </c>
      <c r="G870" s="2"/>
      <c r="H870" s="12">
        <v>0.0</v>
      </c>
      <c r="I870" s="2" t="s">
        <v>40</v>
      </c>
      <c r="J870" s="2"/>
      <c r="K870" s="2" t="s">
        <v>2257</v>
      </c>
      <c r="L870" s="12">
        <v>126.0</v>
      </c>
      <c r="M870" s="2" t="s">
        <v>2258</v>
      </c>
      <c r="N870" s="2" t="str">
        <f>IFERROR(__xludf.DUMMYFUNCTION("""COMPUTED_VALUE"""),"")</f>
        <v/>
      </c>
    </row>
    <row r="871">
      <c r="A871" s="2" t="s">
        <v>33</v>
      </c>
      <c r="B871" s="12">
        <v>845892.0</v>
      </c>
      <c r="C871" s="12">
        <v>846693.0</v>
      </c>
      <c r="D871" s="2"/>
      <c r="E871" s="2" t="s">
        <v>38</v>
      </c>
      <c r="F871" s="2" t="s">
        <v>35</v>
      </c>
      <c r="G871" s="2"/>
      <c r="H871" s="12">
        <v>0.0</v>
      </c>
      <c r="I871" s="2" t="s">
        <v>36</v>
      </c>
      <c r="J871" s="2"/>
      <c r="K871" s="2"/>
      <c r="L871" s="2"/>
      <c r="M871" s="2" t="s">
        <v>2259</v>
      </c>
      <c r="N871" s="2" t="str">
        <f>IFERROR(__xludf.DUMMYFUNCTION("""COMPUTED_VALUE"""),"")</f>
        <v/>
      </c>
    </row>
    <row r="872">
      <c r="A872" s="2" t="s">
        <v>33</v>
      </c>
      <c r="B872" s="12">
        <v>847038.0</v>
      </c>
      <c r="C872" s="12">
        <v>848666.0</v>
      </c>
      <c r="D872" s="2"/>
      <c r="E872" s="2" t="s">
        <v>38</v>
      </c>
      <c r="F872" s="2" t="s">
        <v>1632</v>
      </c>
      <c r="G872" s="2"/>
      <c r="H872" s="12">
        <v>0.0</v>
      </c>
      <c r="I872" s="2" t="s">
        <v>40</v>
      </c>
      <c r="J872" s="2"/>
      <c r="K872" s="2" t="s">
        <v>2260</v>
      </c>
      <c r="L872" s="12">
        <v>542.0</v>
      </c>
      <c r="M872" s="2" t="s">
        <v>2261</v>
      </c>
      <c r="N872" s="2" t="str">
        <f>IFERROR(__xludf.DUMMYFUNCTION("""COMPUTED_VALUE"""),"")</f>
        <v/>
      </c>
    </row>
    <row r="873">
      <c r="A873" s="2" t="s">
        <v>33</v>
      </c>
      <c r="B873" s="12">
        <v>848820.0</v>
      </c>
      <c r="C873" s="12">
        <v>850145.0</v>
      </c>
      <c r="D873" s="2"/>
      <c r="E873" s="2" t="s">
        <v>38</v>
      </c>
      <c r="F873" s="2" t="s">
        <v>2262</v>
      </c>
      <c r="G873" s="2"/>
      <c r="H873" s="12">
        <v>0.0</v>
      </c>
      <c r="I873" s="2" t="s">
        <v>40</v>
      </c>
      <c r="J873" s="2"/>
      <c r="K873" s="2" t="s">
        <v>2263</v>
      </c>
      <c r="L873" s="12">
        <v>441.0</v>
      </c>
      <c r="M873" s="2" t="s">
        <v>2264</v>
      </c>
      <c r="N873" s="2" t="str">
        <f>IFERROR(__xludf.DUMMYFUNCTION("""COMPUTED_VALUE"""),"")</f>
        <v/>
      </c>
    </row>
    <row r="874">
      <c r="A874" s="2" t="s">
        <v>33</v>
      </c>
      <c r="B874" s="12">
        <v>850199.0</v>
      </c>
      <c r="C874" s="12">
        <v>850558.0</v>
      </c>
      <c r="D874" s="2"/>
      <c r="E874" s="2" t="s">
        <v>38</v>
      </c>
      <c r="F874" s="2" t="s">
        <v>39</v>
      </c>
      <c r="G874" s="2"/>
      <c r="H874" s="12">
        <v>0.0</v>
      </c>
      <c r="I874" s="2" t="s">
        <v>40</v>
      </c>
      <c r="J874" s="2"/>
      <c r="K874" s="2" t="s">
        <v>2265</v>
      </c>
      <c r="L874" s="12">
        <v>119.0</v>
      </c>
      <c r="M874" s="2" t="s">
        <v>2266</v>
      </c>
      <c r="N874" s="2" t="str">
        <f>IFERROR(__xludf.DUMMYFUNCTION("""COMPUTED_VALUE"""),"")</f>
        <v/>
      </c>
    </row>
    <row r="875">
      <c r="A875" s="2" t="s">
        <v>33</v>
      </c>
      <c r="B875" s="12">
        <v>850586.0</v>
      </c>
      <c r="C875" s="12">
        <v>851029.0</v>
      </c>
      <c r="D875" s="2"/>
      <c r="E875" s="2" t="s">
        <v>38</v>
      </c>
      <c r="F875" s="2" t="s">
        <v>367</v>
      </c>
      <c r="G875" s="2"/>
      <c r="H875" s="12">
        <v>0.0</v>
      </c>
      <c r="I875" s="2" t="s">
        <v>40</v>
      </c>
      <c r="J875" s="2"/>
      <c r="K875" s="2" t="s">
        <v>2267</v>
      </c>
      <c r="L875" s="12">
        <v>147.0</v>
      </c>
      <c r="M875" s="2" t="s">
        <v>2268</v>
      </c>
      <c r="N875" s="2" t="str">
        <f>IFERROR(__xludf.DUMMYFUNCTION("""COMPUTED_VALUE"""),"")</f>
        <v/>
      </c>
    </row>
    <row r="876">
      <c r="A876" s="2" t="s">
        <v>33</v>
      </c>
      <c r="B876" s="12">
        <v>851268.0</v>
      </c>
      <c r="C876" s="12">
        <v>852782.0</v>
      </c>
      <c r="D876" s="2"/>
      <c r="E876" s="2" t="s">
        <v>38</v>
      </c>
      <c r="F876" s="2" t="s">
        <v>2269</v>
      </c>
      <c r="G876" s="2"/>
      <c r="H876" s="12">
        <v>0.0</v>
      </c>
      <c r="I876" s="2" t="s">
        <v>40</v>
      </c>
      <c r="J876" s="2"/>
      <c r="K876" s="2" t="s">
        <v>2270</v>
      </c>
      <c r="L876" s="12">
        <v>504.0</v>
      </c>
      <c r="M876" s="2" t="s">
        <v>2271</v>
      </c>
      <c r="N876" s="2" t="str">
        <f>IFERROR(__xludf.DUMMYFUNCTION("""COMPUTED_VALUE"""),"")</f>
        <v/>
      </c>
    </row>
    <row r="877">
      <c r="A877" s="2" t="s">
        <v>33</v>
      </c>
      <c r="B877" s="12">
        <v>852910.0</v>
      </c>
      <c r="C877" s="12">
        <v>853554.0</v>
      </c>
      <c r="D877" s="2"/>
      <c r="E877" s="2" t="s">
        <v>38</v>
      </c>
      <c r="F877" s="2" t="s">
        <v>2272</v>
      </c>
      <c r="G877" s="2"/>
      <c r="H877" s="12">
        <v>0.0</v>
      </c>
      <c r="I877" s="2" t="s">
        <v>40</v>
      </c>
      <c r="J877" s="2"/>
      <c r="K877" s="2" t="s">
        <v>2273</v>
      </c>
      <c r="L877" s="12">
        <v>214.0</v>
      </c>
      <c r="M877" s="2" t="s">
        <v>2274</v>
      </c>
      <c r="N877" s="2" t="str">
        <f>IFERROR(__xludf.DUMMYFUNCTION("""COMPUTED_VALUE"""),"")</f>
        <v/>
      </c>
    </row>
    <row r="878">
      <c r="A878" s="2" t="s">
        <v>33</v>
      </c>
      <c r="B878" s="12">
        <v>853820.0</v>
      </c>
      <c r="C878" s="12">
        <v>854743.0</v>
      </c>
      <c r="D878" s="2"/>
      <c r="E878" s="2" t="s">
        <v>38</v>
      </c>
      <c r="F878" s="2" t="s">
        <v>1672</v>
      </c>
      <c r="G878" s="2"/>
      <c r="H878" s="12">
        <v>0.0</v>
      </c>
      <c r="I878" s="2" t="s">
        <v>40</v>
      </c>
      <c r="J878" s="2"/>
      <c r="K878" s="2" t="s">
        <v>2275</v>
      </c>
      <c r="L878" s="12">
        <v>307.0</v>
      </c>
      <c r="M878" s="2" t="s">
        <v>2276</v>
      </c>
      <c r="N878" s="2" t="str">
        <f>IFERROR(__xludf.DUMMYFUNCTION("""COMPUTED_VALUE"""),"")</f>
        <v/>
      </c>
    </row>
    <row r="879">
      <c r="A879" s="2" t="s">
        <v>33</v>
      </c>
      <c r="B879" s="12">
        <v>854955.0</v>
      </c>
      <c r="C879" s="12">
        <v>855716.0</v>
      </c>
      <c r="D879" s="2"/>
      <c r="E879" s="2" t="s">
        <v>34</v>
      </c>
      <c r="F879" s="2" t="s">
        <v>2277</v>
      </c>
      <c r="G879" s="2"/>
      <c r="H879" s="12">
        <v>0.0</v>
      </c>
      <c r="I879" s="2" t="s">
        <v>40</v>
      </c>
      <c r="J879" s="2"/>
      <c r="K879" s="2" t="s">
        <v>2278</v>
      </c>
      <c r="L879" s="12">
        <v>253.0</v>
      </c>
      <c r="M879" s="2" t="s">
        <v>2279</v>
      </c>
      <c r="N879" s="2" t="str">
        <f>IFERROR(__xludf.DUMMYFUNCTION("""COMPUTED_VALUE"""),"")</f>
        <v/>
      </c>
    </row>
    <row r="880">
      <c r="A880" s="2" t="s">
        <v>33</v>
      </c>
      <c r="B880" s="12">
        <v>855770.0</v>
      </c>
      <c r="C880" s="12">
        <v>856984.0</v>
      </c>
      <c r="D880" s="2"/>
      <c r="E880" s="2" t="s">
        <v>38</v>
      </c>
      <c r="F880" s="2" t="s">
        <v>2280</v>
      </c>
      <c r="G880" s="2"/>
      <c r="H880" s="12">
        <v>0.0</v>
      </c>
      <c r="I880" s="2" t="s">
        <v>40</v>
      </c>
      <c r="J880" s="2"/>
      <c r="K880" s="2" t="s">
        <v>2281</v>
      </c>
      <c r="L880" s="12">
        <v>404.0</v>
      </c>
      <c r="M880" s="2" t="s">
        <v>2282</v>
      </c>
      <c r="N880" s="2" t="str">
        <f>IFERROR(__xludf.DUMMYFUNCTION("""COMPUTED_VALUE"""),"")</f>
        <v/>
      </c>
    </row>
    <row r="881">
      <c r="A881" s="2" t="s">
        <v>33</v>
      </c>
      <c r="B881" s="12">
        <v>857152.0</v>
      </c>
      <c r="C881" s="12">
        <v>858012.0</v>
      </c>
      <c r="D881" s="2"/>
      <c r="E881" s="2" t="s">
        <v>38</v>
      </c>
      <c r="F881" s="2" t="s">
        <v>367</v>
      </c>
      <c r="G881" s="2"/>
      <c r="H881" s="12">
        <v>0.0</v>
      </c>
      <c r="I881" s="2" t="s">
        <v>40</v>
      </c>
      <c r="J881" s="2"/>
      <c r="K881" s="2" t="s">
        <v>2283</v>
      </c>
      <c r="L881" s="12">
        <v>286.0</v>
      </c>
      <c r="M881" s="2" t="s">
        <v>2284</v>
      </c>
      <c r="N881" s="2" t="str">
        <f>IFERROR(__xludf.DUMMYFUNCTION("""COMPUTED_VALUE"""),"")</f>
        <v/>
      </c>
    </row>
    <row r="882">
      <c r="A882" s="2" t="s">
        <v>33</v>
      </c>
      <c r="B882" s="12">
        <v>858031.0</v>
      </c>
      <c r="C882" s="12">
        <v>858747.0</v>
      </c>
      <c r="D882" s="2"/>
      <c r="E882" s="2" t="s">
        <v>38</v>
      </c>
      <c r="F882" s="2" t="s">
        <v>2285</v>
      </c>
      <c r="G882" s="2"/>
      <c r="H882" s="12">
        <v>0.0</v>
      </c>
      <c r="I882" s="2" t="s">
        <v>40</v>
      </c>
      <c r="J882" s="2"/>
      <c r="K882" s="2" t="s">
        <v>2286</v>
      </c>
      <c r="L882" s="12">
        <v>238.0</v>
      </c>
      <c r="M882" s="2" t="s">
        <v>2287</v>
      </c>
      <c r="N882" s="2" t="str">
        <f>IFERROR(__xludf.DUMMYFUNCTION("""COMPUTED_VALUE"""),"")</f>
        <v/>
      </c>
    </row>
    <row r="883">
      <c r="A883" s="2" t="s">
        <v>33</v>
      </c>
      <c r="B883" s="12">
        <v>858951.0</v>
      </c>
      <c r="C883" s="12">
        <v>860054.0</v>
      </c>
      <c r="D883" s="2"/>
      <c r="E883" s="2" t="s">
        <v>34</v>
      </c>
      <c r="F883" s="2" t="s">
        <v>2288</v>
      </c>
      <c r="G883" s="2"/>
      <c r="H883" s="12">
        <v>0.0</v>
      </c>
      <c r="I883" s="2" t="s">
        <v>40</v>
      </c>
      <c r="J883" s="2"/>
      <c r="K883" s="2" t="s">
        <v>2289</v>
      </c>
      <c r="L883" s="12">
        <v>367.0</v>
      </c>
      <c r="M883" s="2" t="s">
        <v>2290</v>
      </c>
      <c r="N883" s="2" t="str">
        <f>IFERROR(__xludf.DUMMYFUNCTION("""COMPUTED_VALUE"""),"")</f>
        <v/>
      </c>
    </row>
    <row r="884">
      <c r="A884" s="2" t="s">
        <v>33</v>
      </c>
      <c r="B884" s="12">
        <v>860107.0</v>
      </c>
      <c r="C884" s="12">
        <v>860333.0</v>
      </c>
      <c r="D884" s="2"/>
      <c r="E884" s="2" t="s">
        <v>34</v>
      </c>
      <c r="F884" s="2" t="s">
        <v>35</v>
      </c>
      <c r="G884" s="2"/>
      <c r="H884" s="12">
        <v>0.0</v>
      </c>
      <c r="I884" s="2" t="s">
        <v>36</v>
      </c>
      <c r="J884" s="2"/>
      <c r="K884" s="2"/>
      <c r="L884" s="2"/>
      <c r="M884" s="2" t="s">
        <v>2291</v>
      </c>
      <c r="N884" s="2" t="str">
        <f>IFERROR(__xludf.DUMMYFUNCTION("""COMPUTED_VALUE"""),"")</f>
        <v/>
      </c>
    </row>
    <row r="885">
      <c r="A885" s="2" t="s">
        <v>33</v>
      </c>
      <c r="B885" s="12">
        <v>860414.0</v>
      </c>
      <c r="C885" s="12">
        <v>861676.0</v>
      </c>
      <c r="D885" s="2"/>
      <c r="E885" s="2" t="s">
        <v>38</v>
      </c>
      <c r="F885" s="2" t="s">
        <v>2292</v>
      </c>
      <c r="G885" s="2" t="s">
        <v>2293</v>
      </c>
      <c r="H885" s="12">
        <v>0.0</v>
      </c>
      <c r="I885" s="2" t="s">
        <v>40</v>
      </c>
      <c r="J885" s="2"/>
      <c r="K885" s="2" t="s">
        <v>2294</v>
      </c>
      <c r="L885" s="12">
        <v>420.0</v>
      </c>
      <c r="M885" s="2" t="s">
        <v>2295</v>
      </c>
      <c r="N885" s="2" t="str">
        <f>IFERROR(__xludf.DUMMYFUNCTION("""COMPUTED_VALUE"""),"")</f>
        <v/>
      </c>
    </row>
    <row r="886">
      <c r="A886" s="2" t="s">
        <v>33</v>
      </c>
      <c r="B886" s="12">
        <v>861708.0</v>
      </c>
      <c r="C886" s="12">
        <v>863381.0</v>
      </c>
      <c r="D886" s="2"/>
      <c r="E886" s="2" t="s">
        <v>38</v>
      </c>
      <c r="F886" s="2" t="s">
        <v>2296</v>
      </c>
      <c r="G886" s="2" t="s">
        <v>2297</v>
      </c>
      <c r="H886" s="12">
        <v>0.0</v>
      </c>
      <c r="I886" s="2" t="s">
        <v>40</v>
      </c>
      <c r="J886" s="2"/>
      <c r="K886" s="2" t="s">
        <v>2298</v>
      </c>
      <c r="L886" s="12">
        <v>557.0</v>
      </c>
      <c r="M886" s="2" t="s">
        <v>2299</v>
      </c>
      <c r="N886" s="2" t="str">
        <f>IFERROR(__xludf.DUMMYFUNCTION("""COMPUTED_VALUE"""),"")</f>
        <v/>
      </c>
    </row>
    <row r="887">
      <c r="A887" s="2" t="s">
        <v>33</v>
      </c>
      <c r="B887" s="12">
        <v>863428.0</v>
      </c>
      <c r="C887" s="12">
        <v>864435.0</v>
      </c>
      <c r="D887" s="2"/>
      <c r="E887" s="2" t="s">
        <v>38</v>
      </c>
      <c r="F887" s="2" t="s">
        <v>2300</v>
      </c>
      <c r="G887" s="2" t="s">
        <v>2301</v>
      </c>
      <c r="H887" s="12">
        <v>0.0</v>
      </c>
      <c r="I887" s="2" t="s">
        <v>40</v>
      </c>
      <c r="J887" s="2"/>
      <c r="K887" s="2" t="s">
        <v>2302</v>
      </c>
      <c r="L887" s="12">
        <v>335.0</v>
      </c>
      <c r="M887" s="2" t="s">
        <v>2303</v>
      </c>
      <c r="N887" s="2" t="str">
        <f>IFERROR(__xludf.DUMMYFUNCTION("""COMPUTED_VALUE"""),"")</f>
        <v/>
      </c>
    </row>
    <row r="888">
      <c r="A888" s="2" t="s">
        <v>33</v>
      </c>
      <c r="B888" s="12">
        <v>864450.0</v>
      </c>
      <c r="C888" s="12">
        <v>864680.0</v>
      </c>
      <c r="D888" s="2"/>
      <c r="E888" s="2" t="s">
        <v>38</v>
      </c>
      <c r="F888" s="2" t="s">
        <v>2304</v>
      </c>
      <c r="G888" s="2"/>
      <c r="H888" s="12">
        <v>0.0</v>
      </c>
      <c r="I888" s="2" t="s">
        <v>40</v>
      </c>
      <c r="J888" s="2"/>
      <c r="K888" s="2" t="s">
        <v>2305</v>
      </c>
      <c r="L888" s="12">
        <v>76.0</v>
      </c>
      <c r="M888" s="2" t="s">
        <v>2306</v>
      </c>
      <c r="N888" s="2" t="str">
        <f>IFERROR(__xludf.DUMMYFUNCTION("""COMPUTED_VALUE"""),"")</f>
        <v/>
      </c>
    </row>
    <row r="889">
      <c r="A889" s="2" t="s">
        <v>33</v>
      </c>
      <c r="B889" s="12">
        <v>864677.0</v>
      </c>
      <c r="C889" s="12">
        <v>866392.0</v>
      </c>
      <c r="D889" s="2"/>
      <c r="E889" s="2" t="s">
        <v>38</v>
      </c>
      <c r="F889" s="2" t="s">
        <v>2307</v>
      </c>
      <c r="G889" s="2" t="s">
        <v>2308</v>
      </c>
      <c r="H889" s="12">
        <v>0.0</v>
      </c>
      <c r="I889" s="2" t="s">
        <v>40</v>
      </c>
      <c r="J889" s="2"/>
      <c r="K889" s="2" t="s">
        <v>2309</v>
      </c>
      <c r="L889" s="12">
        <v>571.0</v>
      </c>
      <c r="M889" s="2" t="s">
        <v>2310</v>
      </c>
      <c r="N889" s="2" t="str">
        <f>IFERROR(__xludf.DUMMYFUNCTION("""COMPUTED_VALUE"""),"")</f>
        <v/>
      </c>
    </row>
    <row r="890">
      <c r="A890" s="2" t="s">
        <v>33</v>
      </c>
      <c r="B890" s="12">
        <v>866415.0</v>
      </c>
      <c r="C890" s="12">
        <v>867314.0</v>
      </c>
      <c r="D890" s="2"/>
      <c r="E890" s="2" t="s">
        <v>38</v>
      </c>
      <c r="F890" s="2" t="s">
        <v>2311</v>
      </c>
      <c r="G890" s="2" t="s">
        <v>2312</v>
      </c>
      <c r="H890" s="12">
        <v>0.0</v>
      </c>
      <c r="I890" s="2" t="s">
        <v>40</v>
      </c>
      <c r="J890" s="2"/>
      <c r="K890" s="2" t="s">
        <v>2313</v>
      </c>
      <c r="L890" s="12">
        <v>299.0</v>
      </c>
      <c r="M890" s="2" t="s">
        <v>2314</v>
      </c>
      <c r="N890" s="2" t="str">
        <f>IFERROR(__xludf.DUMMYFUNCTION("""COMPUTED_VALUE"""),"")</f>
        <v/>
      </c>
    </row>
    <row r="891">
      <c r="A891" s="2" t="s">
        <v>33</v>
      </c>
      <c r="B891" s="12">
        <v>868252.0</v>
      </c>
      <c r="C891" s="12">
        <v>869010.0</v>
      </c>
      <c r="D891" s="2"/>
      <c r="E891" s="2" t="s">
        <v>34</v>
      </c>
      <c r="F891" s="2" t="s">
        <v>333</v>
      </c>
      <c r="G891" s="2"/>
      <c r="H891" s="12">
        <v>0.0</v>
      </c>
      <c r="I891" s="2" t="s">
        <v>40</v>
      </c>
      <c r="J891" s="2"/>
      <c r="K891" s="2" t="s">
        <v>2315</v>
      </c>
      <c r="L891" s="12">
        <v>252.0</v>
      </c>
      <c r="M891" s="2" t="s">
        <v>2316</v>
      </c>
      <c r="N891" s="2" t="str">
        <f>IFERROR(__xludf.DUMMYFUNCTION("""COMPUTED_VALUE"""),"")</f>
        <v/>
      </c>
    </row>
    <row r="892">
      <c r="A892" s="2" t="s">
        <v>33</v>
      </c>
      <c r="B892" s="12">
        <v>869101.0</v>
      </c>
      <c r="C892" s="12">
        <v>869637.0</v>
      </c>
      <c r="D892" s="2"/>
      <c r="E892" s="2" t="s">
        <v>34</v>
      </c>
      <c r="F892" s="2" t="s">
        <v>2317</v>
      </c>
      <c r="G892" s="2" t="s">
        <v>2318</v>
      </c>
      <c r="H892" s="12">
        <v>0.0</v>
      </c>
      <c r="I892" s="2" t="s">
        <v>40</v>
      </c>
      <c r="J892" s="2"/>
      <c r="K892" s="2" t="s">
        <v>2319</v>
      </c>
      <c r="L892" s="12">
        <v>178.0</v>
      </c>
      <c r="M892" s="2" t="s">
        <v>2320</v>
      </c>
      <c r="N892" s="2" t="str">
        <f>IFERROR(__xludf.DUMMYFUNCTION("""COMPUTED_VALUE"""),"")</f>
        <v/>
      </c>
    </row>
    <row r="893">
      <c r="A893" s="2" t="s">
        <v>33</v>
      </c>
      <c r="B893" s="12">
        <v>869801.0</v>
      </c>
      <c r="C893" s="12">
        <v>870001.0</v>
      </c>
      <c r="D893" s="2"/>
      <c r="E893" s="2" t="s">
        <v>38</v>
      </c>
      <c r="F893" s="2" t="s">
        <v>39</v>
      </c>
      <c r="G893" s="2"/>
      <c r="H893" s="12">
        <v>0.0</v>
      </c>
      <c r="I893" s="2" t="s">
        <v>40</v>
      </c>
      <c r="J893" s="2"/>
      <c r="K893" s="2" t="s">
        <v>2321</v>
      </c>
      <c r="L893" s="12">
        <v>66.0</v>
      </c>
      <c r="M893" s="2" t="s">
        <v>2322</v>
      </c>
      <c r="N893" s="2" t="str">
        <f>IFERROR(__xludf.DUMMYFUNCTION("""COMPUTED_VALUE"""),"")</f>
        <v/>
      </c>
    </row>
    <row r="894">
      <c r="A894" s="2" t="s">
        <v>33</v>
      </c>
      <c r="B894" s="12">
        <v>870227.0</v>
      </c>
      <c r="C894" s="12">
        <v>871114.0</v>
      </c>
      <c r="D894" s="2"/>
      <c r="E894" s="2" t="s">
        <v>38</v>
      </c>
      <c r="F894" s="2" t="s">
        <v>2323</v>
      </c>
      <c r="G894" s="2"/>
      <c r="H894" s="12">
        <v>0.0</v>
      </c>
      <c r="I894" s="2" t="s">
        <v>40</v>
      </c>
      <c r="J894" s="2"/>
      <c r="K894" s="2" t="s">
        <v>2324</v>
      </c>
      <c r="L894" s="12">
        <v>295.0</v>
      </c>
      <c r="M894" s="2" t="s">
        <v>2325</v>
      </c>
      <c r="N894" s="2" t="str">
        <f>IFERROR(__xludf.DUMMYFUNCTION("""COMPUTED_VALUE"""),"")</f>
        <v/>
      </c>
    </row>
    <row r="895">
      <c r="A895" s="2" t="s">
        <v>33</v>
      </c>
      <c r="B895" s="12">
        <v>871257.0</v>
      </c>
      <c r="C895" s="12">
        <v>871898.0</v>
      </c>
      <c r="D895" s="2"/>
      <c r="E895" s="2" t="s">
        <v>38</v>
      </c>
      <c r="F895" s="2" t="s">
        <v>2326</v>
      </c>
      <c r="G895" s="2"/>
      <c r="H895" s="12">
        <v>0.0</v>
      </c>
      <c r="I895" s="2" t="s">
        <v>40</v>
      </c>
      <c r="J895" s="2"/>
      <c r="K895" s="2" t="s">
        <v>2327</v>
      </c>
      <c r="L895" s="12">
        <v>213.0</v>
      </c>
      <c r="M895" s="2" t="s">
        <v>2328</v>
      </c>
      <c r="N895" s="2" t="str">
        <f>IFERROR(__xludf.DUMMYFUNCTION("""COMPUTED_VALUE"""),"")</f>
        <v/>
      </c>
    </row>
    <row r="896">
      <c r="A896" s="2" t="s">
        <v>33</v>
      </c>
      <c r="B896" s="12">
        <v>872009.0</v>
      </c>
      <c r="C896" s="12">
        <v>872695.0</v>
      </c>
      <c r="D896" s="2"/>
      <c r="E896" s="2" t="s">
        <v>38</v>
      </c>
      <c r="F896" s="2" t="s">
        <v>293</v>
      </c>
      <c r="G896" s="2"/>
      <c r="H896" s="12">
        <v>0.0</v>
      </c>
      <c r="I896" s="2" t="s">
        <v>40</v>
      </c>
      <c r="J896" s="2"/>
      <c r="K896" s="2" t="s">
        <v>2329</v>
      </c>
      <c r="L896" s="12">
        <v>228.0</v>
      </c>
      <c r="M896" s="2" t="s">
        <v>2330</v>
      </c>
      <c r="N896" s="2" t="str">
        <f>IFERROR(__xludf.DUMMYFUNCTION("""COMPUTED_VALUE"""),"")</f>
        <v/>
      </c>
    </row>
    <row r="897">
      <c r="A897" s="2" t="s">
        <v>33</v>
      </c>
      <c r="B897" s="12">
        <v>872856.0</v>
      </c>
      <c r="C897" s="12">
        <v>873119.0</v>
      </c>
      <c r="D897" s="2"/>
      <c r="E897" s="2" t="s">
        <v>38</v>
      </c>
      <c r="F897" s="2" t="s">
        <v>2331</v>
      </c>
      <c r="G897" s="2"/>
      <c r="H897" s="12">
        <v>0.0</v>
      </c>
      <c r="I897" s="2" t="s">
        <v>40</v>
      </c>
      <c r="J897" s="2"/>
      <c r="K897" s="2" t="s">
        <v>2332</v>
      </c>
      <c r="L897" s="12">
        <v>87.0</v>
      </c>
      <c r="M897" s="2" t="s">
        <v>2333</v>
      </c>
      <c r="N897" s="2" t="str">
        <f>IFERROR(__xludf.DUMMYFUNCTION("""COMPUTED_VALUE"""),"")</f>
        <v/>
      </c>
    </row>
    <row r="898">
      <c r="A898" s="2" t="s">
        <v>33</v>
      </c>
      <c r="B898" s="12">
        <v>873446.0</v>
      </c>
      <c r="C898" s="12">
        <v>874150.0</v>
      </c>
      <c r="D898" s="2"/>
      <c r="E898" s="2" t="s">
        <v>34</v>
      </c>
      <c r="F898" s="2" t="s">
        <v>2334</v>
      </c>
      <c r="G898" s="2"/>
      <c r="H898" s="12">
        <v>0.0</v>
      </c>
      <c r="I898" s="2" t="s">
        <v>40</v>
      </c>
      <c r="J898" s="2"/>
      <c r="K898" s="2" t="s">
        <v>2335</v>
      </c>
      <c r="L898" s="12">
        <v>234.0</v>
      </c>
      <c r="M898" s="2" t="s">
        <v>2336</v>
      </c>
      <c r="N898" s="2" t="str">
        <f>IFERROR(__xludf.DUMMYFUNCTION("""COMPUTED_VALUE"""),"")</f>
        <v/>
      </c>
    </row>
    <row r="899">
      <c r="A899" s="2" t="s">
        <v>33</v>
      </c>
      <c r="B899" s="12">
        <v>874190.0</v>
      </c>
      <c r="C899" s="12">
        <v>875527.0</v>
      </c>
      <c r="D899" s="2"/>
      <c r="E899" s="2" t="s">
        <v>38</v>
      </c>
      <c r="F899" s="2" t="s">
        <v>1214</v>
      </c>
      <c r="G899" s="2"/>
      <c r="H899" s="12">
        <v>0.0</v>
      </c>
      <c r="I899" s="2" t="s">
        <v>40</v>
      </c>
      <c r="J899" s="2"/>
      <c r="K899" s="2" t="s">
        <v>2337</v>
      </c>
      <c r="L899" s="12">
        <v>445.0</v>
      </c>
      <c r="M899" s="2" t="s">
        <v>2338</v>
      </c>
      <c r="N899" s="2" t="str">
        <f>IFERROR(__xludf.DUMMYFUNCTION("""COMPUTED_VALUE"""),"")</f>
        <v/>
      </c>
    </row>
    <row r="900">
      <c r="A900" s="2" t="s">
        <v>33</v>
      </c>
      <c r="B900" s="12">
        <v>876293.0</v>
      </c>
      <c r="C900" s="12">
        <v>876868.0</v>
      </c>
      <c r="D900" s="2"/>
      <c r="E900" s="2" t="s">
        <v>38</v>
      </c>
      <c r="F900" s="2" t="s">
        <v>39</v>
      </c>
      <c r="G900" s="2"/>
      <c r="H900" s="12">
        <v>0.0</v>
      </c>
      <c r="I900" s="2" t="s">
        <v>40</v>
      </c>
      <c r="J900" s="2"/>
      <c r="K900" s="2" t="s">
        <v>2339</v>
      </c>
      <c r="L900" s="12">
        <v>191.0</v>
      </c>
      <c r="M900" s="2" t="s">
        <v>2340</v>
      </c>
      <c r="N900" s="2" t="str">
        <f>IFERROR(__xludf.DUMMYFUNCTION("""COMPUTED_VALUE"""),"")</f>
        <v/>
      </c>
    </row>
    <row r="901">
      <c r="A901" s="2" t="s">
        <v>33</v>
      </c>
      <c r="B901" s="12">
        <v>876892.0</v>
      </c>
      <c r="C901" s="12">
        <v>877719.0</v>
      </c>
      <c r="D901" s="2"/>
      <c r="E901" s="2" t="s">
        <v>38</v>
      </c>
      <c r="F901" s="2" t="s">
        <v>2341</v>
      </c>
      <c r="G901" s="2"/>
      <c r="H901" s="12">
        <v>0.0</v>
      </c>
      <c r="I901" s="2" t="s">
        <v>40</v>
      </c>
      <c r="J901" s="2"/>
      <c r="K901" s="2" t="s">
        <v>2342</v>
      </c>
      <c r="L901" s="12">
        <v>275.0</v>
      </c>
      <c r="M901" s="2" t="s">
        <v>2343</v>
      </c>
      <c r="N901" s="2" t="str">
        <f>IFERROR(__xludf.DUMMYFUNCTION("""COMPUTED_VALUE"""),"")</f>
        <v/>
      </c>
    </row>
    <row r="902">
      <c r="A902" s="2" t="s">
        <v>33</v>
      </c>
      <c r="B902" s="12">
        <v>877812.0</v>
      </c>
      <c r="C902" s="12">
        <v>878324.0</v>
      </c>
      <c r="D902" s="2"/>
      <c r="E902" s="2" t="s">
        <v>38</v>
      </c>
      <c r="F902" s="2" t="s">
        <v>367</v>
      </c>
      <c r="G902" s="2"/>
      <c r="H902" s="12">
        <v>0.0</v>
      </c>
      <c r="I902" s="2" t="s">
        <v>40</v>
      </c>
      <c r="J902" s="2"/>
      <c r="K902" s="2" t="s">
        <v>2344</v>
      </c>
      <c r="L902" s="12">
        <v>170.0</v>
      </c>
      <c r="M902" s="2" t="s">
        <v>2345</v>
      </c>
      <c r="N902" s="2" t="str">
        <f>IFERROR(__xludf.DUMMYFUNCTION("""COMPUTED_VALUE"""),"")</f>
        <v/>
      </c>
    </row>
    <row r="903">
      <c r="A903" s="2" t="s">
        <v>33</v>
      </c>
      <c r="B903" s="12">
        <v>878403.0</v>
      </c>
      <c r="C903" s="12">
        <v>879320.0</v>
      </c>
      <c r="D903" s="2"/>
      <c r="E903" s="2" t="s">
        <v>38</v>
      </c>
      <c r="F903" s="2" t="s">
        <v>2346</v>
      </c>
      <c r="G903" s="2" t="s">
        <v>2347</v>
      </c>
      <c r="H903" s="12">
        <v>0.0</v>
      </c>
      <c r="I903" s="2" t="s">
        <v>40</v>
      </c>
      <c r="J903" s="2"/>
      <c r="K903" s="2" t="s">
        <v>2348</v>
      </c>
      <c r="L903" s="12">
        <v>305.0</v>
      </c>
      <c r="M903" s="2" t="s">
        <v>2349</v>
      </c>
      <c r="N903" s="2" t="str">
        <f>IFERROR(__xludf.DUMMYFUNCTION("""COMPUTED_VALUE"""),"")</f>
        <v/>
      </c>
    </row>
    <row r="904">
      <c r="A904" s="2" t="s">
        <v>33</v>
      </c>
      <c r="B904" s="12">
        <v>879331.0</v>
      </c>
      <c r="C904" s="12">
        <v>880542.0</v>
      </c>
      <c r="D904" s="2"/>
      <c r="E904" s="2" t="s">
        <v>38</v>
      </c>
      <c r="F904" s="2" t="s">
        <v>88</v>
      </c>
      <c r="G904" s="2"/>
      <c r="H904" s="12">
        <v>0.0</v>
      </c>
      <c r="I904" s="2" t="s">
        <v>40</v>
      </c>
      <c r="J904" s="2"/>
      <c r="K904" s="2" t="s">
        <v>2350</v>
      </c>
      <c r="L904" s="12">
        <v>403.0</v>
      </c>
      <c r="M904" s="2" t="s">
        <v>2351</v>
      </c>
      <c r="N904" s="2" t="str">
        <f>IFERROR(__xludf.DUMMYFUNCTION("""COMPUTED_VALUE"""),"")</f>
        <v/>
      </c>
    </row>
    <row r="905">
      <c r="A905" s="2" t="s">
        <v>33</v>
      </c>
      <c r="B905" s="12">
        <v>880756.0</v>
      </c>
      <c r="C905" s="12">
        <v>882015.0</v>
      </c>
      <c r="D905" s="2"/>
      <c r="E905" s="2" t="s">
        <v>38</v>
      </c>
      <c r="F905" s="2" t="s">
        <v>2352</v>
      </c>
      <c r="G905" s="2" t="s">
        <v>2353</v>
      </c>
      <c r="H905" s="12">
        <v>0.0</v>
      </c>
      <c r="I905" s="2" t="s">
        <v>40</v>
      </c>
      <c r="J905" s="2"/>
      <c r="K905" s="2" t="s">
        <v>2354</v>
      </c>
      <c r="L905" s="12">
        <v>419.0</v>
      </c>
      <c r="M905" s="2" t="s">
        <v>2355</v>
      </c>
      <c r="N905" s="2" t="str">
        <f>IFERROR(__xludf.DUMMYFUNCTION("""COMPUTED_VALUE"""),"")</f>
        <v/>
      </c>
    </row>
    <row r="906">
      <c r="A906" s="2" t="s">
        <v>33</v>
      </c>
      <c r="B906" s="12">
        <v>882707.0</v>
      </c>
      <c r="C906" s="12">
        <v>883690.0</v>
      </c>
      <c r="D906" s="2"/>
      <c r="E906" s="2" t="s">
        <v>34</v>
      </c>
      <c r="F906" s="2" t="s">
        <v>2356</v>
      </c>
      <c r="G906" s="2"/>
      <c r="H906" s="12">
        <v>0.0</v>
      </c>
      <c r="I906" s="2" t="s">
        <v>40</v>
      </c>
      <c r="J906" s="2"/>
      <c r="K906" s="2" t="s">
        <v>2357</v>
      </c>
      <c r="L906" s="12">
        <v>327.0</v>
      </c>
      <c r="M906" s="2" t="s">
        <v>2358</v>
      </c>
      <c r="N906" s="2" t="str">
        <f>IFERROR(__xludf.DUMMYFUNCTION("""COMPUTED_VALUE"""),"")</f>
        <v/>
      </c>
    </row>
    <row r="907">
      <c r="A907" s="2" t="s">
        <v>33</v>
      </c>
      <c r="B907" s="12">
        <v>883737.0</v>
      </c>
      <c r="C907" s="12">
        <v>885011.0</v>
      </c>
      <c r="D907" s="2"/>
      <c r="E907" s="2" t="s">
        <v>38</v>
      </c>
      <c r="F907" s="2" t="s">
        <v>88</v>
      </c>
      <c r="G907" s="2"/>
      <c r="H907" s="12">
        <v>0.0</v>
      </c>
      <c r="I907" s="2" t="s">
        <v>40</v>
      </c>
      <c r="J907" s="2"/>
      <c r="K907" s="2" t="s">
        <v>2359</v>
      </c>
      <c r="L907" s="12">
        <v>424.0</v>
      </c>
      <c r="M907" s="2" t="s">
        <v>2360</v>
      </c>
      <c r="N907" s="2" t="str">
        <f>IFERROR(__xludf.DUMMYFUNCTION("""COMPUTED_VALUE"""),"")</f>
        <v/>
      </c>
    </row>
    <row r="908">
      <c r="A908" s="2" t="s">
        <v>33</v>
      </c>
      <c r="B908" s="12">
        <v>885186.0</v>
      </c>
      <c r="C908" s="12">
        <v>887051.0</v>
      </c>
      <c r="D908" s="2"/>
      <c r="E908" s="2" t="s">
        <v>34</v>
      </c>
      <c r="F908" s="2" t="s">
        <v>39</v>
      </c>
      <c r="G908" s="2"/>
      <c r="H908" s="12">
        <v>0.0</v>
      </c>
      <c r="I908" s="2" t="s">
        <v>40</v>
      </c>
      <c r="J908" s="2"/>
      <c r="K908" s="2" t="s">
        <v>2361</v>
      </c>
      <c r="L908" s="12">
        <v>621.0</v>
      </c>
      <c r="M908" s="2" t="s">
        <v>2362</v>
      </c>
      <c r="N908" s="2" t="str">
        <f>IFERROR(__xludf.DUMMYFUNCTION("""COMPUTED_VALUE"""),"")</f>
        <v/>
      </c>
    </row>
    <row r="909">
      <c r="A909" s="2" t="s">
        <v>33</v>
      </c>
      <c r="B909" s="12">
        <v>887088.0</v>
      </c>
      <c r="C909" s="12">
        <v>888836.0</v>
      </c>
      <c r="D909" s="2"/>
      <c r="E909" s="2" t="s">
        <v>38</v>
      </c>
      <c r="F909" s="2" t="s">
        <v>832</v>
      </c>
      <c r="G909" s="2"/>
      <c r="H909" s="12">
        <v>0.0</v>
      </c>
      <c r="I909" s="2" t="s">
        <v>40</v>
      </c>
      <c r="J909" s="2"/>
      <c r="K909" s="2" t="s">
        <v>2363</v>
      </c>
      <c r="L909" s="12">
        <v>582.0</v>
      </c>
      <c r="M909" s="2" t="s">
        <v>2364</v>
      </c>
      <c r="N909" s="2" t="str">
        <f>IFERROR(__xludf.DUMMYFUNCTION("""COMPUTED_VALUE"""),"")</f>
        <v/>
      </c>
    </row>
    <row r="910">
      <c r="A910" s="2" t="s">
        <v>33</v>
      </c>
      <c r="B910" s="12">
        <v>888873.0</v>
      </c>
      <c r="C910" s="12">
        <v>889412.0</v>
      </c>
      <c r="D910" s="2"/>
      <c r="E910" s="2" t="s">
        <v>38</v>
      </c>
      <c r="F910" s="2" t="s">
        <v>2365</v>
      </c>
      <c r="G910" s="2"/>
      <c r="H910" s="12">
        <v>0.0</v>
      </c>
      <c r="I910" s="2" t="s">
        <v>40</v>
      </c>
      <c r="J910" s="2"/>
      <c r="K910" s="2" t="s">
        <v>2366</v>
      </c>
      <c r="L910" s="12">
        <v>179.0</v>
      </c>
      <c r="M910" s="2" t="s">
        <v>2367</v>
      </c>
      <c r="N910" s="2" t="str">
        <f>IFERROR(__xludf.DUMMYFUNCTION("""COMPUTED_VALUE"""),"")</f>
        <v/>
      </c>
    </row>
    <row r="911">
      <c r="A911" s="2" t="s">
        <v>33</v>
      </c>
      <c r="B911" s="12">
        <v>889565.0</v>
      </c>
      <c r="C911" s="12">
        <v>890368.0</v>
      </c>
      <c r="D911" s="2"/>
      <c r="E911" s="2" t="s">
        <v>38</v>
      </c>
      <c r="F911" s="2" t="s">
        <v>2368</v>
      </c>
      <c r="G911" s="2"/>
      <c r="H911" s="12">
        <v>0.0</v>
      </c>
      <c r="I911" s="2" t="s">
        <v>40</v>
      </c>
      <c r="J911" s="2"/>
      <c r="K911" s="2" t="s">
        <v>2369</v>
      </c>
      <c r="L911" s="12">
        <v>267.0</v>
      </c>
      <c r="M911" s="2" t="s">
        <v>2370</v>
      </c>
      <c r="N911" s="2" t="str">
        <f>IFERROR(__xludf.DUMMYFUNCTION("""COMPUTED_VALUE"""),"")</f>
        <v/>
      </c>
    </row>
    <row r="912">
      <c r="A912" s="2" t="s">
        <v>33</v>
      </c>
      <c r="B912" s="12">
        <v>890774.0</v>
      </c>
      <c r="C912" s="12">
        <v>891238.0</v>
      </c>
      <c r="D912" s="2"/>
      <c r="E912" s="2" t="s">
        <v>34</v>
      </c>
      <c r="F912" s="2" t="s">
        <v>39</v>
      </c>
      <c r="G912" s="2"/>
      <c r="H912" s="12">
        <v>0.0</v>
      </c>
      <c r="I912" s="2" t="s">
        <v>40</v>
      </c>
      <c r="J912" s="2"/>
      <c r="K912" s="2" t="s">
        <v>2371</v>
      </c>
      <c r="L912" s="12">
        <v>154.0</v>
      </c>
      <c r="M912" s="2" t="s">
        <v>2372</v>
      </c>
      <c r="N912" s="2" t="str">
        <f>IFERROR(__xludf.DUMMYFUNCTION("""COMPUTED_VALUE"""),"")</f>
        <v/>
      </c>
    </row>
    <row r="913">
      <c r="A913" s="2" t="s">
        <v>33</v>
      </c>
      <c r="B913" s="12">
        <v>891454.0</v>
      </c>
      <c r="C913" s="12">
        <v>892716.0</v>
      </c>
      <c r="D913" s="2"/>
      <c r="E913" s="2" t="s">
        <v>38</v>
      </c>
      <c r="F913" s="2" t="s">
        <v>88</v>
      </c>
      <c r="G913" s="2"/>
      <c r="H913" s="12">
        <v>0.0</v>
      </c>
      <c r="I913" s="2" t="s">
        <v>40</v>
      </c>
      <c r="J913" s="2"/>
      <c r="K913" s="2" t="s">
        <v>2373</v>
      </c>
      <c r="L913" s="12">
        <v>420.0</v>
      </c>
      <c r="M913" s="2" t="s">
        <v>2374</v>
      </c>
      <c r="N913" s="2" t="str">
        <f>IFERROR(__xludf.DUMMYFUNCTION("""COMPUTED_VALUE"""),"")</f>
        <v/>
      </c>
    </row>
    <row r="914">
      <c r="A914" s="2" t="s">
        <v>33</v>
      </c>
      <c r="B914" s="12">
        <v>892854.0</v>
      </c>
      <c r="C914" s="12">
        <v>893339.0</v>
      </c>
      <c r="D914" s="2"/>
      <c r="E914" s="2" t="s">
        <v>34</v>
      </c>
      <c r="F914" s="2" t="s">
        <v>2375</v>
      </c>
      <c r="G914" s="2"/>
      <c r="H914" s="12">
        <v>0.0</v>
      </c>
      <c r="I914" s="2" t="s">
        <v>40</v>
      </c>
      <c r="J914" s="2"/>
      <c r="K914" s="2" t="s">
        <v>2376</v>
      </c>
      <c r="L914" s="12">
        <v>161.0</v>
      </c>
      <c r="M914" s="2" t="s">
        <v>2377</v>
      </c>
      <c r="N914" s="2" t="str">
        <f>IFERROR(__xludf.DUMMYFUNCTION("""COMPUTED_VALUE"""),"")</f>
        <v/>
      </c>
    </row>
    <row r="915">
      <c r="A915" s="2" t="s">
        <v>33</v>
      </c>
      <c r="B915" s="12">
        <v>893369.0</v>
      </c>
      <c r="C915" s="12">
        <v>894994.0</v>
      </c>
      <c r="D915" s="2"/>
      <c r="E915" s="2" t="s">
        <v>38</v>
      </c>
      <c r="F915" s="2" t="s">
        <v>2378</v>
      </c>
      <c r="G915" s="2"/>
      <c r="H915" s="12">
        <v>0.0</v>
      </c>
      <c r="I915" s="2" t="s">
        <v>40</v>
      </c>
      <c r="J915" s="2"/>
      <c r="K915" s="2" t="s">
        <v>2379</v>
      </c>
      <c r="L915" s="12">
        <v>541.0</v>
      </c>
      <c r="M915" s="2" t="s">
        <v>2380</v>
      </c>
      <c r="N915" s="2" t="str">
        <f>IFERROR(__xludf.DUMMYFUNCTION("""COMPUTED_VALUE"""),"")</f>
        <v/>
      </c>
    </row>
    <row r="916">
      <c r="A916" s="2" t="s">
        <v>33</v>
      </c>
      <c r="B916" s="12">
        <v>895000.0</v>
      </c>
      <c r="C916" s="12">
        <v>895611.0</v>
      </c>
      <c r="D916" s="2"/>
      <c r="E916" s="2" t="s">
        <v>38</v>
      </c>
      <c r="F916" s="2" t="s">
        <v>2381</v>
      </c>
      <c r="G916" s="2"/>
      <c r="H916" s="12">
        <v>0.0</v>
      </c>
      <c r="I916" s="2" t="s">
        <v>40</v>
      </c>
      <c r="J916" s="2"/>
      <c r="K916" s="2" t="s">
        <v>2382</v>
      </c>
      <c r="L916" s="12">
        <v>203.0</v>
      </c>
      <c r="M916" s="2" t="s">
        <v>2383</v>
      </c>
      <c r="N916" s="2" t="str">
        <f>IFERROR(__xludf.DUMMYFUNCTION("""COMPUTED_VALUE"""),"")</f>
        <v/>
      </c>
    </row>
    <row r="917">
      <c r="A917" s="2" t="s">
        <v>33</v>
      </c>
      <c r="B917" s="12">
        <v>895616.0</v>
      </c>
      <c r="C917" s="12">
        <v>896524.0</v>
      </c>
      <c r="D917" s="2"/>
      <c r="E917" s="2" t="s">
        <v>38</v>
      </c>
      <c r="F917" s="2" t="s">
        <v>2384</v>
      </c>
      <c r="G917" s="2"/>
      <c r="H917" s="12">
        <v>0.0</v>
      </c>
      <c r="I917" s="2" t="s">
        <v>40</v>
      </c>
      <c r="J917" s="2"/>
      <c r="K917" s="2" t="s">
        <v>2385</v>
      </c>
      <c r="L917" s="12">
        <v>302.0</v>
      </c>
      <c r="M917" s="2" t="s">
        <v>2386</v>
      </c>
      <c r="N917" s="2" t="str">
        <f>IFERROR(__xludf.DUMMYFUNCTION("""COMPUTED_VALUE"""),"")</f>
        <v/>
      </c>
    </row>
    <row r="918">
      <c r="A918" s="2" t="s">
        <v>33</v>
      </c>
      <c r="B918" s="12">
        <v>897107.0</v>
      </c>
      <c r="C918" s="12">
        <v>898336.0</v>
      </c>
      <c r="D918" s="2"/>
      <c r="E918" s="2" t="s">
        <v>34</v>
      </c>
      <c r="F918" s="2" t="s">
        <v>2387</v>
      </c>
      <c r="G918" s="2"/>
      <c r="H918" s="12">
        <v>0.0</v>
      </c>
      <c r="I918" s="2" t="s">
        <v>40</v>
      </c>
      <c r="J918" s="2"/>
      <c r="K918" s="2" t="s">
        <v>2388</v>
      </c>
      <c r="L918" s="12">
        <v>409.0</v>
      </c>
      <c r="M918" s="2" t="s">
        <v>2389</v>
      </c>
      <c r="N918" s="2" t="str">
        <f>IFERROR(__xludf.DUMMYFUNCTION("""COMPUTED_VALUE"""),"")</f>
        <v/>
      </c>
    </row>
    <row r="919">
      <c r="A919" s="2" t="s">
        <v>33</v>
      </c>
      <c r="B919" s="12">
        <v>898566.0</v>
      </c>
      <c r="C919" s="12">
        <v>899018.0</v>
      </c>
      <c r="D919" s="2"/>
      <c r="E919" s="2" t="s">
        <v>34</v>
      </c>
      <c r="F919" s="2" t="s">
        <v>541</v>
      </c>
      <c r="G919" s="2"/>
      <c r="H919" s="12">
        <v>0.0</v>
      </c>
      <c r="I919" s="2" t="s">
        <v>40</v>
      </c>
      <c r="J919" s="2"/>
      <c r="K919" s="2" t="s">
        <v>2390</v>
      </c>
      <c r="L919" s="12">
        <v>150.0</v>
      </c>
      <c r="M919" s="2" t="s">
        <v>2391</v>
      </c>
      <c r="N919" s="2" t="str">
        <f>IFERROR(__xludf.DUMMYFUNCTION("""COMPUTED_VALUE"""),"")</f>
        <v/>
      </c>
    </row>
    <row r="920">
      <c r="A920" s="2" t="s">
        <v>33</v>
      </c>
      <c r="B920" s="12">
        <v>899077.0</v>
      </c>
      <c r="C920" s="12">
        <v>900060.0</v>
      </c>
      <c r="D920" s="2"/>
      <c r="E920" s="2" t="s">
        <v>38</v>
      </c>
      <c r="F920" s="2" t="s">
        <v>2392</v>
      </c>
      <c r="G920" s="2" t="s">
        <v>2393</v>
      </c>
      <c r="H920" s="12">
        <v>0.0</v>
      </c>
      <c r="I920" s="2" t="s">
        <v>40</v>
      </c>
      <c r="J920" s="2"/>
      <c r="K920" s="2" t="s">
        <v>2394</v>
      </c>
      <c r="L920" s="12">
        <v>327.0</v>
      </c>
      <c r="M920" s="2" t="s">
        <v>2395</v>
      </c>
      <c r="N920" s="2" t="str">
        <f>IFERROR(__xludf.DUMMYFUNCTION("""COMPUTED_VALUE"""),"")</f>
        <v/>
      </c>
    </row>
    <row r="921">
      <c r="A921" s="2" t="s">
        <v>33</v>
      </c>
      <c r="B921" s="12">
        <v>900796.0</v>
      </c>
      <c r="C921" s="12">
        <v>900930.0</v>
      </c>
      <c r="D921" s="2"/>
      <c r="E921" s="2" t="s">
        <v>34</v>
      </c>
      <c r="F921" s="2" t="s">
        <v>2396</v>
      </c>
      <c r="G921" s="2"/>
      <c r="H921" s="12">
        <v>0.0</v>
      </c>
      <c r="I921" s="2" t="s">
        <v>40</v>
      </c>
      <c r="J921" s="2"/>
      <c r="K921" s="2" t="s">
        <v>2397</v>
      </c>
      <c r="L921" s="12">
        <v>44.0</v>
      </c>
      <c r="M921" s="2" t="s">
        <v>2398</v>
      </c>
      <c r="N921" s="2" t="str">
        <f>IFERROR(__xludf.DUMMYFUNCTION("""COMPUTED_VALUE"""),"")</f>
        <v/>
      </c>
    </row>
    <row r="922">
      <c r="A922" s="2" t="s">
        <v>33</v>
      </c>
      <c r="B922" s="12">
        <v>901029.0</v>
      </c>
      <c r="C922" s="12">
        <v>904223.0</v>
      </c>
      <c r="D922" s="2"/>
      <c r="E922" s="2" t="s">
        <v>38</v>
      </c>
      <c r="F922" s="2" t="s">
        <v>594</v>
      </c>
      <c r="G922" s="2"/>
      <c r="H922" s="12">
        <v>0.0</v>
      </c>
      <c r="I922" s="2" t="s">
        <v>40</v>
      </c>
      <c r="J922" s="2"/>
      <c r="K922" s="2" t="s">
        <v>2399</v>
      </c>
      <c r="L922" s="12">
        <v>1064.0</v>
      </c>
      <c r="M922" s="2" t="s">
        <v>2400</v>
      </c>
      <c r="N922" s="2" t="str">
        <f>IFERROR(__xludf.DUMMYFUNCTION("""COMPUTED_VALUE"""),"")</f>
        <v/>
      </c>
    </row>
    <row r="923">
      <c r="A923" s="2" t="s">
        <v>33</v>
      </c>
      <c r="B923" s="12">
        <v>904342.0</v>
      </c>
      <c r="C923" s="12">
        <v>905274.0</v>
      </c>
      <c r="D923" s="2"/>
      <c r="E923" s="2" t="s">
        <v>38</v>
      </c>
      <c r="F923" s="2" t="s">
        <v>2401</v>
      </c>
      <c r="G923" s="2"/>
      <c r="H923" s="12">
        <v>0.0</v>
      </c>
      <c r="I923" s="2" t="s">
        <v>40</v>
      </c>
      <c r="J923" s="2"/>
      <c r="K923" s="2" t="s">
        <v>2402</v>
      </c>
      <c r="L923" s="12">
        <v>310.0</v>
      </c>
      <c r="M923" s="2" t="s">
        <v>2403</v>
      </c>
      <c r="N923" s="2" t="str">
        <f>IFERROR(__xludf.DUMMYFUNCTION("""COMPUTED_VALUE"""),"")</f>
        <v/>
      </c>
    </row>
    <row r="924">
      <c r="A924" s="2" t="s">
        <v>33</v>
      </c>
      <c r="B924" s="12">
        <v>905277.0</v>
      </c>
      <c r="C924" s="12">
        <v>906575.0</v>
      </c>
      <c r="D924" s="2"/>
      <c r="E924" s="2" t="s">
        <v>38</v>
      </c>
      <c r="F924" s="2" t="s">
        <v>2404</v>
      </c>
      <c r="G924" s="2"/>
      <c r="H924" s="12">
        <v>0.0</v>
      </c>
      <c r="I924" s="2" t="s">
        <v>40</v>
      </c>
      <c r="J924" s="2"/>
      <c r="K924" s="2" t="s">
        <v>2405</v>
      </c>
      <c r="L924" s="12">
        <v>432.0</v>
      </c>
      <c r="M924" s="2" t="s">
        <v>2406</v>
      </c>
      <c r="N924" s="2" t="str">
        <f>IFERROR(__xludf.DUMMYFUNCTION("""COMPUTED_VALUE"""),"")</f>
        <v/>
      </c>
    </row>
    <row r="925">
      <c r="A925" s="2" t="s">
        <v>33</v>
      </c>
      <c r="B925" s="12">
        <v>906640.0</v>
      </c>
      <c r="C925" s="12">
        <v>908352.0</v>
      </c>
      <c r="D925" s="2"/>
      <c r="E925" s="2" t="s">
        <v>38</v>
      </c>
      <c r="F925" s="2" t="s">
        <v>2407</v>
      </c>
      <c r="G925" s="2" t="s">
        <v>2408</v>
      </c>
      <c r="H925" s="12">
        <v>0.0</v>
      </c>
      <c r="I925" s="2" t="s">
        <v>40</v>
      </c>
      <c r="J925" s="2"/>
      <c r="K925" s="2" t="s">
        <v>2409</v>
      </c>
      <c r="L925" s="12">
        <v>570.0</v>
      </c>
      <c r="M925" s="2" t="s">
        <v>2410</v>
      </c>
      <c r="N925" s="2" t="str">
        <f>IFERROR(__xludf.DUMMYFUNCTION("""COMPUTED_VALUE"""),"")</f>
        <v/>
      </c>
    </row>
    <row r="926">
      <c r="A926" s="2" t="s">
        <v>33</v>
      </c>
      <c r="B926" s="12">
        <v>908428.0</v>
      </c>
      <c r="C926" s="12">
        <v>909867.0</v>
      </c>
      <c r="D926" s="2"/>
      <c r="E926" s="2" t="s">
        <v>38</v>
      </c>
      <c r="F926" s="2" t="s">
        <v>2411</v>
      </c>
      <c r="G926" s="2" t="s">
        <v>2412</v>
      </c>
      <c r="H926" s="12">
        <v>0.0</v>
      </c>
      <c r="I926" s="2" t="s">
        <v>40</v>
      </c>
      <c r="J926" s="2"/>
      <c r="K926" s="2" t="s">
        <v>2413</v>
      </c>
      <c r="L926" s="12">
        <v>479.0</v>
      </c>
      <c r="M926" s="2" t="s">
        <v>2414</v>
      </c>
      <c r="N926" s="2" t="str">
        <f>IFERROR(__xludf.DUMMYFUNCTION("""COMPUTED_VALUE"""),"")</f>
        <v/>
      </c>
    </row>
    <row r="927">
      <c r="A927" s="2" t="s">
        <v>33</v>
      </c>
      <c r="B927" s="12">
        <v>909892.0</v>
      </c>
      <c r="C927" s="12">
        <v>911163.0</v>
      </c>
      <c r="D927" s="2"/>
      <c r="E927" s="2" t="s">
        <v>38</v>
      </c>
      <c r="F927" s="2" t="s">
        <v>2415</v>
      </c>
      <c r="G927" s="2"/>
      <c r="H927" s="12">
        <v>0.0</v>
      </c>
      <c r="I927" s="2" t="s">
        <v>40</v>
      </c>
      <c r="J927" s="2"/>
      <c r="K927" s="2" t="s">
        <v>2416</v>
      </c>
      <c r="L927" s="12">
        <v>423.0</v>
      </c>
      <c r="M927" s="2" t="s">
        <v>2417</v>
      </c>
      <c r="N927" s="2" t="str">
        <f>IFERROR(__xludf.DUMMYFUNCTION("""COMPUTED_VALUE"""),"")</f>
        <v/>
      </c>
    </row>
    <row r="928">
      <c r="A928" s="2" t="s">
        <v>33</v>
      </c>
      <c r="B928" s="12">
        <v>911540.0</v>
      </c>
      <c r="C928" s="12">
        <v>912283.0</v>
      </c>
      <c r="D928" s="2"/>
      <c r="E928" s="2" t="s">
        <v>34</v>
      </c>
      <c r="F928" s="2" t="s">
        <v>2418</v>
      </c>
      <c r="G928" s="2" t="s">
        <v>2419</v>
      </c>
      <c r="H928" s="12">
        <v>0.0</v>
      </c>
      <c r="I928" s="2" t="s">
        <v>40</v>
      </c>
      <c r="J928" s="2"/>
      <c r="K928" s="2" t="s">
        <v>2420</v>
      </c>
      <c r="L928" s="12">
        <v>247.0</v>
      </c>
      <c r="M928" s="2" t="s">
        <v>2421</v>
      </c>
      <c r="N928" s="2" t="str">
        <f>IFERROR(__xludf.DUMMYFUNCTION("""COMPUTED_VALUE"""),"")</f>
        <v/>
      </c>
    </row>
    <row r="929">
      <c r="A929" s="2" t="s">
        <v>33</v>
      </c>
      <c r="B929" s="12">
        <v>912338.0</v>
      </c>
      <c r="C929" s="12">
        <v>913549.0</v>
      </c>
      <c r="D929" s="2"/>
      <c r="E929" s="2" t="s">
        <v>38</v>
      </c>
      <c r="F929" s="2" t="s">
        <v>2422</v>
      </c>
      <c r="G929" s="2"/>
      <c r="H929" s="12">
        <v>0.0</v>
      </c>
      <c r="I929" s="2" t="s">
        <v>40</v>
      </c>
      <c r="J929" s="2"/>
      <c r="K929" s="2" t="s">
        <v>2423</v>
      </c>
      <c r="L929" s="12">
        <v>403.0</v>
      </c>
      <c r="M929" s="2" t="s">
        <v>2424</v>
      </c>
      <c r="N929" s="2" t="str">
        <f>IFERROR(__xludf.DUMMYFUNCTION("""COMPUTED_VALUE"""),"")</f>
        <v/>
      </c>
    </row>
    <row r="930">
      <c r="A930" s="2" t="s">
        <v>33</v>
      </c>
      <c r="B930" s="12">
        <v>913660.0</v>
      </c>
      <c r="C930" s="12">
        <v>914805.0</v>
      </c>
      <c r="D930" s="2"/>
      <c r="E930" s="2" t="s">
        <v>38</v>
      </c>
      <c r="F930" s="2" t="s">
        <v>265</v>
      </c>
      <c r="G930" s="2"/>
      <c r="H930" s="12">
        <v>0.0</v>
      </c>
      <c r="I930" s="2" t="s">
        <v>40</v>
      </c>
      <c r="J930" s="2"/>
      <c r="K930" s="2" t="s">
        <v>2425</v>
      </c>
      <c r="L930" s="12">
        <v>381.0</v>
      </c>
      <c r="M930" s="2" t="s">
        <v>2426</v>
      </c>
      <c r="N930" s="2" t="str">
        <f>IFERROR(__xludf.DUMMYFUNCTION("""COMPUTED_VALUE"""),"")</f>
        <v/>
      </c>
    </row>
    <row r="931">
      <c r="A931" s="2" t="s">
        <v>33</v>
      </c>
      <c r="B931" s="12">
        <v>914807.0</v>
      </c>
      <c r="C931" s="12">
        <v>915916.0</v>
      </c>
      <c r="D931" s="2"/>
      <c r="E931" s="2" t="s">
        <v>38</v>
      </c>
      <c r="F931" s="2" t="s">
        <v>265</v>
      </c>
      <c r="G931" s="2"/>
      <c r="H931" s="12">
        <v>0.0</v>
      </c>
      <c r="I931" s="2" t="s">
        <v>40</v>
      </c>
      <c r="J931" s="2"/>
      <c r="K931" s="2" t="s">
        <v>2427</v>
      </c>
      <c r="L931" s="12">
        <v>369.0</v>
      </c>
      <c r="M931" s="2" t="s">
        <v>2428</v>
      </c>
      <c r="N931" s="2" t="str">
        <f>IFERROR(__xludf.DUMMYFUNCTION("""COMPUTED_VALUE"""),"")</f>
        <v/>
      </c>
    </row>
    <row r="932">
      <c r="A932" s="2" t="s">
        <v>33</v>
      </c>
      <c r="B932" s="12">
        <v>915954.0</v>
      </c>
      <c r="C932" s="12">
        <v>916892.0</v>
      </c>
      <c r="D932" s="2"/>
      <c r="E932" s="2" t="s">
        <v>38</v>
      </c>
      <c r="F932" s="2" t="s">
        <v>2429</v>
      </c>
      <c r="G932" s="2"/>
      <c r="H932" s="12">
        <v>0.0</v>
      </c>
      <c r="I932" s="2" t="s">
        <v>40</v>
      </c>
      <c r="J932" s="2"/>
      <c r="K932" s="2" t="s">
        <v>2430</v>
      </c>
      <c r="L932" s="12">
        <v>312.0</v>
      </c>
      <c r="M932" s="2" t="s">
        <v>2431</v>
      </c>
      <c r="N932" s="2" t="str">
        <f>IFERROR(__xludf.DUMMYFUNCTION("""COMPUTED_VALUE"""),"")</f>
        <v/>
      </c>
    </row>
    <row r="933">
      <c r="A933" s="2" t="s">
        <v>33</v>
      </c>
      <c r="B933" s="12">
        <v>917031.0</v>
      </c>
      <c r="C933" s="12">
        <v>918131.0</v>
      </c>
      <c r="D933" s="2"/>
      <c r="E933" s="2" t="s">
        <v>38</v>
      </c>
      <c r="F933" s="2" t="s">
        <v>2404</v>
      </c>
      <c r="G933" s="2"/>
      <c r="H933" s="12">
        <v>0.0</v>
      </c>
      <c r="I933" s="2" t="s">
        <v>40</v>
      </c>
      <c r="J933" s="2"/>
      <c r="K933" s="2" t="s">
        <v>2432</v>
      </c>
      <c r="L933" s="12">
        <v>366.0</v>
      </c>
      <c r="M933" s="2" t="s">
        <v>2433</v>
      </c>
      <c r="N933" s="2" t="str">
        <f>IFERROR(__xludf.DUMMYFUNCTION("""COMPUTED_VALUE"""),"")</f>
        <v/>
      </c>
    </row>
    <row r="934">
      <c r="A934" s="2" t="s">
        <v>33</v>
      </c>
      <c r="B934" s="12">
        <v>918136.0</v>
      </c>
      <c r="C934" s="12">
        <v>918774.0</v>
      </c>
      <c r="D934" s="2"/>
      <c r="E934" s="2" t="s">
        <v>38</v>
      </c>
      <c r="F934" s="2" t="s">
        <v>379</v>
      </c>
      <c r="G934" s="2"/>
      <c r="H934" s="12">
        <v>0.0</v>
      </c>
      <c r="I934" s="2" t="s">
        <v>40</v>
      </c>
      <c r="J934" s="2"/>
      <c r="K934" s="2" t="s">
        <v>2434</v>
      </c>
      <c r="L934" s="12">
        <v>212.0</v>
      </c>
      <c r="M934" s="2" t="s">
        <v>2435</v>
      </c>
      <c r="N934" s="2" t="str">
        <f>IFERROR(__xludf.DUMMYFUNCTION("""COMPUTED_VALUE"""),"")</f>
        <v/>
      </c>
    </row>
    <row r="935">
      <c r="A935" s="2" t="s">
        <v>33</v>
      </c>
      <c r="B935" s="12">
        <v>919052.0</v>
      </c>
      <c r="C935" s="12">
        <v>919540.0</v>
      </c>
      <c r="D935" s="2"/>
      <c r="E935" s="2" t="s">
        <v>34</v>
      </c>
      <c r="F935" s="2" t="s">
        <v>2436</v>
      </c>
      <c r="G935" s="2"/>
      <c r="H935" s="12">
        <v>0.0</v>
      </c>
      <c r="I935" s="2" t="s">
        <v>40</v>
      </c>
      <c r="J935" s="2"/>
      <c r="K935" s="2" t="s">
        <v>2437</v>
      </c>
      <c r="L935" s="12">
        <v>162.0</v>
      </c>
      <c r="M935" s="2" t="s">
        <v>2438</v>
      </c>
      <c r="N935" s="2" t="str">
        <f>IFERROR(__xludf.DUMMYFUNCTION("""COMPUTED_VALUE"""),"")</f>
        <v/>
      </c>
    </row>
    <row r="936">
      <c r="A936" s="2" t="s">
        <v>33</v>
      </c>
      <c r="B936" s="12">
        <v>919537.0</v>
      </c>
      <c r="C936" s="12">
        <v>919980.0</v>
      </c>
      <c r="D936" s="2"/>
      <c r="E936" s="2" t="s">
        <v>34</v>
      </c>
      <c r="F936" s="2" t="s">
        <v>39</v>
      </c>
      <c r="G936" s="2"/>
      <c r="H936" s="12">
        <v>0.0</v>
      </c>
      <c r="I936" s="2" t="s">
        <v>40</v>
      </c>
      <c r="J936" s="2"/>
      <c r="K936" s="2" t="s">
        <v>2439</v>
      </c>
      <c r="L936" s="12">
        <v>147.0</v>
      </c>
      <c r="M936" s="2" t="s">
        <v>2440</v>
      </c>
      <c r="N936" s="2" t="str">
        <f>IFERROR(__xludf.DUMMYFUNCTION("""COMPUTED_VALUE"""),"")</f>
        <v/>
      </c>
    </row>
    <row r="937">
      <c r="A937" s="2" t="s">
        <v>33</v>
      </c>
      <c r="B937" s="12">
        <v>919973.0</v>
      </c>
      <c r="C937" s="12">
        <v>921043.0</v>
      </c>
      <c r="D937" s="2"/>
      <c r="E937" s="2" t="s">
        <v>34</v>
      </c>
      <c r="F937" s="2" t="s">
        <v>39</v>
      </c>
      <c r="G937" s="2"/>
      <c r="H937" s="12">
        <v>0.0</v>
      </c>
      <c r="I937" s="2" t="s">
        <v>40</v>
      </c>
      <c r="J937" s="2"/>
      <c r="K937" s="2" t="s">
        <v>2441</v>
      </c>
      <c r="L937" s="12">
        <v>356.0</v>
      </c>
      <c r="M937" s="2" t="s">
        <v>2442</v>
      </c>
      <c r="N937" s="2" t="str">
        <f>IFERROR(__xludf.DUMMYFUNCTION("""COMPUTED_VALUE"""),"")</f>
        <v/>
      </c>
    </row>
    <row r="938">
      <c r="A938" s="2" t="s">
        <v>33</v>
      </c>
      <c r="B938" s="12">
        <v>921040.0</v>
      </c>
      <c r="C938" s="12">
        <v>921996.0</v>
      </c>
      <c r="D938" s="2"/>
      <c r="E938" s="2" t="s">
        <v>34</v>
      </c>
      <c r="F938" s="2" t="s">
        <v>2443</v>
      </c>
      <c r="G938" s="2" t="s">
        <v>2444</v>
      </c>
      <c r="H938" s="12">
        <v>0.0</v>
      </c>
      <c r="I938" s="2" t="s">
        <v>40</v>
      </c>
      <c r="J938" s="2"/>
      <c r="K938" s="2" t="s">
        <v>2445</v>
      </c>
      <c r="L938" s="12">
        <v>318.0</v>
      </c>
      <c r="M938" s="2" t="s">
        <v>2446</v>
      </c>
      <c r="N938" s="2" t="str">
        <f>IFERROR(__xludf.DUMMYFUNCTION("""COMPUTED_VALUE"""),"")</f>
        <v/>
      </c>
    </row>
    <row r="939">
      <c r="A939" s="2" t="s">
        <v>33</v>
      </c>
      <c r="B939" s="12">
        <v>922027.0</v>
      </c>
      <c r="C939" s="12">
        <v>923274.0</v>
      </c>
      <c r="D939" s="2"/>
      <c r="E939" s="2" t="s">
        <v>38</v>
      </c>
      <c r="F939" s="2" t="s">
        <v>2447</v>
      </c>
      <c r="G939" s="2"/>
      <c r="H939" s="12">
        <v>0.0</v>
      </c>
      <c r="I939" s="2" t="s">
        <v>40</v>
      </c>
      <c r="J939" s="2"/>
      <c r="K939" s="2" t="s">
        <v>2448</v>
      </c>
      <c r="L939" s="12">
        <v>415.0</v>
      </c>
      <c r="M939" s="2" t="s">
        <v>2449</v>
      </c>
      <c r="N939" s="2" t="str">
        <f>IFERROR(__xludf.DUMMYFUNCTION("""COMPUTED_VALUE"""),"")</f>
        <v/>
      </c>
    </row>
    <row r="940">
      <c r="A940" s="2" t="s">
        <v>33</v>
      </c>
      <c r="B940" s="12">
        <v>923428.0</v>
      </c>
      <c r="C940" s="12">
        <v>924760.0</v>
      </c>
      <c r="D940" s="2"/>
      <c r="E940" s="2" t="s">
        <v>38</v>
      </c>
      <c r="F940" s="2" t="s">
        <v>35</v>
      </c>
      <c r="G940" s="2"/>
      <c r="H940" s="12">
        <v>0.0</v>
      </c>
      <c r="I940" s="2" t="s">
        <v>36</v>
      </c>
      <c r="J940" s="2"/>
      <c r="K940" s="2"/>
      <c r="L940" s="2"/>
      <c r="M940" s="2" t="s">
        <v>2450</v>
      </c>
      <c r="N940" s="2" t="str">
        <f>IFERROR(__xludf.DUMMYFUNCTION("""COMPUTED_VALUE"""),"")</f>
        <v/>
      </c>
    </row>
    <row r="941">
      <c r="A941" s="2" t="s">
        <v>33</v>
      </c>
      <c r="B941" s="12">
        <v>924911.0</v>
      </c>
      <c r="C941" s="12">
        <v>925456.0</v>
      </c>
      <c r="D941" s="2"/>
      <c r="E941" s="2" t="s">
        <v>34</v>
      </c>
      <c r="F941" s="2" t="s">
        <v>216</v>
      </c>
      <c r="G941" s="2"/>
      <c r="H941" s="12">
        <v>0.0</v>
      </c>
      <c r="I941" s="2" t="s">
        <v>40</v>
      </c>
      <c r="J941" s="2"/>
      <c r="K941" s="2" t="s">
        <v>2451</v>
      </c>
      <c r="L941" s="12">
        <v>181.0</v>
      </c>
      <c r="M941" s="2" t="s">
        <v>2452</v>
      </c>
      <c r="N941" s="2" t="str">
        <f>IFERROR(__xludf.DUMMYFUNCTION("""COMPUTED_VALUE"""),"")</f>
        <v/>
      </c>
    </row>
    <row r="942">
      <c r="A942" s="2" t="s">
        <v>33</v>
      </c>
      <c r="B942" s="12">
        <v>925511.0</v>
      </c>
      <c r="C942" s="12">
        <v>926191.0</v>
      </c>
      <c r="D942" s="2"/>
      <c r="E942" s="2" t="s">
        <v>38</v>
      </c>
      <c r="F942" s="2" t="s">
        <v>2453</v>
      </c>
      <c r="G942" s="2"/>
      <c r="H942" s="12">
        <v>0.0</v>
      </c>
      <c r="I942" s="2" t="s">
        <v>40</v>
      </c>
      <c r="J942" s="2"/>
      <c r="K942" s="2" t="s">
        <v>2454</v>
      </c>
      <c r="L942" s="12">
        <v>226.0</v>
      </c>
      <c r="M942" s="2" t="s">
        <v>2455</v>
      </c>
      <c r="N942" s="2" t="str">
        <f>IFERROR(__xludf.DUMMYFUNCTION("""COMPUTED_VALUE"""),"")</f>
        <v/>
      </c>
    </row>
    <row r="943">
      <c r="A943" s="2" t="s">
        <v>33</v>
      </c>
      <c r="B943" s="12">
        <v>926209.0</v>
      </c>
      <c r="C943" s="12">
        <v>926763.0</v>
      </c>
      <c r="D943" s="2"/>
      <c r="E943" s="2" t="s">
        <v>38</v>
      </c>
      <c r="F943" s="2" t="s">
        <v>2456</v>
      </c>
      <c r="G943" s="2"/>
      <c r="H943" s="12">
        <v>0.0</v>
      </c>
      <c r="I943" s="2" t="s">
        <v>40</v>
      </c>
      <c r="J943" s="2"/>
      <c r="K943" s="2" t="s">
        <v>2457</v>
      </c>
      <c r="L943" s="12">
        <v>184.0</v>
      </c>
      <c r="M943" s="2" t="s">
        <v>2458</v>
      </c>
      <c r="N943" s="2" t="str">
        <f>IFERROR(__xludf.DUMMYFUNCTION("""COMPUTED_VALUE"""),"")</f>
        <v/>
      </c>
    </row>
    <row r="944">
      <c r="A944" s="2" t="s">
        <v>33</v>
      </c>
      <c r="B944" s="12">
        <v>926782.0</v>
      </c>
      <c r="C944" s="12">
        <v>927495.0</v>
      </c>
      <c r="D944" s="2"/>
      <c r="E944" s="2" t="s">
        <v>38</v>
      </c>
      <c r="F944" s="2" t="s">
        <v>2459</v>
      </c>
      <c r="G944" s="2" t="s">
        <v>2460</v>
      </c>
      <c r="H944" s="12">
        <v>0.0</v>
      </c>
      <c r="I944" s="2" t="s">
        <v>40</v>
      </c>
      <c r="J944" s="2"/>
      <c r="K944" s="2" t="s">
        <v>2461</v>
      </c>
      <c r="L944" s="12">
        <v>237.0</v>
      </c>
      <c r="M944" s="2" t="s">
        <v>2462</v>
      </c>
      <c r="N944" s="2" t="str">
        <f>IFERROR(__xludf.DUMMYFUNCTION("""COMPUTED_VALUE"""),"")</f>
        <v/>
      </c>
    </row>
    <row r="945">
      <c r="A945" s="2" t="s">
        <v>33</v>
      </c>
      <c r="B945" s="12">
        <v>927549.0</v>
      </c>
      <c r="C945" s="12">
        <v>928361.0</v>
      </c>
      <c r="D945" s="2"/>
      <c r="E945" s="2" t="s">
        <v>38</v>
      </c>
      <c r="F945" s="2" t="s">
        <v>2463</v>
      </c>
      <c r="G945" s="2"/>
      <c r="H945" s="12">
        <v>0.0</v>
      </c>
      <c r="I945" s="2" t="s">
        <v>40</v>
      </c>
      <c r="J945" s="2"/>
      <c r="K945" s="2" t="s">
        <v>2464</v>
      </c>
      <c r="L945" s="12">
        <v>270.0</v>
      </c>
      <c r="M945" s="2" t="s">
        <v>2465</v>
      </c>
      <c r="N945" s="2" t="str">
        <f>IFERROR(__xludf.DUMMYFUNCTION("""COMPUTED_VALUE"""),"")</f>
        <v/>
      </c>
    </row>
    <row r="946">
      <c r="A946" s="2" t="s">
        <v>33</v>
      </c>
      <c r="B946" s="12">
        <v>928363.0</v>
      </c>
      <c r="C946" s="12">
        <v>928779.0</v>
      </c>
      <c r="D946" s="2"/>
      <c r="E946" s="2" t="s">
        <v>38</v>
      </c>
      <c r="F946" s="2" t="s">
        <v>2466</v>
      </c>
      <c r="G946" s="2"/>
      <c r="H946" s="12">
        <v>0.0</v>
      </c>
      <c r="I946" s="2" t="s">
        <v>40</v>
      </c>
      <c r="J946" s="2"/>
      <c r="K946" s="2" t="s">
        <v>2467</v>
      </c>
      <c r="L946" s="12">
        <v>138.0</v>
      </c>
      <c r="M946" s="2" t="s">
        <v>2468</v>
      </c>
      <c r="N946" s="2" t="str">
        <f>IFERROR(__xludf.DUMMYFUNCTION("""COMPUTED_VALUE"""),"")</f>
        <v/>
      </c>
    </row>
    <row r="947">
      <c r="A947" s="2" t="s">
        <v>33</v>
      </c>
      <c r="B947" s="12">
        <v>928887.0</v>
      </c>
      <c r="C947" s="12">
        <v>929285.0</v>
      </c>
      <c r="D947" s="2"/>
      <c r="E947" s="2" t="s">
        <v>38</v>
      </c>
      <c r="F947" s="2" t="s">
        <v>167</v>
      </c>
      <c r="G947" s="2"/>
      <c r="H947" s="12">
        <v>0.0</v>
      </c>
      <c r="I947" s="2" t="s">
        <v>40</v>
      </c>
      <c r="J947" s="2"/>
      <c r="K947" s="2" t="s">
        <v>2469</v>
      </c>
      <c r="L947" s="12">
        <v>132.0</v>
      </c>
      <c r="M947" s="2" t="s">
        <v>2470</v>
      </c>
      <c r="N947" s="2" t="str">
        <f>IFERROR(__xludf.DUMMYFUNCTION("""COMPUTED_VALUE"""),"")</f>
        <v/>
      </c>
    </row>
    <row r="948">
      <c r="A948" s="2" t="s">
        <v>33</v>
      </c>
      <c r="B948" s="12">
        <v>929678.0</v>
      </c>
      <c r="C948" s="12">
        <v>930376.0</v>
      </c>
      <c r="D948" s="2"/>
      <c r="E948" s="2" t="s">
        <v>34</v>
      </c>
      <c r="F948" s="2" t="s">
        <v>2471</v>
      </c>
      <c r="G948" s="2"/>
      <c r="H948" s="12">
        <v>0.0</v>
      </c>
      <c r="I948" s="2" t="s">
        <v>40</v>
      </c>
      <c r="J948" s="2"/>
      <c r="K948" s="2" t="s">
        <v>2472</v>
      </c>
      <c r="L948" s="12">
        <v>232.0</v>
      </c>
      <c r="M948" s="2" t="s">
        <v>2473</v>
      </c>
      <c r="N948" s="2" t="str">
        <f>IFERROR(__xludf.DUMMYFUNCTION("""COMPUTED_VALUE"""),"")</f>
        <v/>
      </c>
    </row>
    <row r="949">
      <c r="A949" s="2" t="s">
        <v>33</v>
      </c>
      <c r="B949" s="12">
        <v>930433.0</v>
      </c>
      <c r="C949" s="12">
        <v>931842.0</v>
      </c>
      <c r="D949" s="2"/>
      <c r="E949" s="2" t="s">
        <v>38</v>
      </c>
      <c r="F949" s="2" t="s">
        <v>2474</v>
      </c>
      <c r="G949" s="2"/>
      <c r="H949" s="12">
        <v>0.0</v>
      </c>
      <c r="I949" s="2" t="s">
        <v>40</v>
      </c>
      <c r="J949" s="2"/>
      <c r="K949" s="2" t="s">
        <v>2475</v>
      </c>
      <c r="L949" s="12">
        <v>469.0</v>
      </c>
      <c r="M949" s="2" t="s">
        <v>2476</v>
      </c>
      <c r="N949" s="2" t="str">
        <f>IFERROR(__xludf.DUMMYFUNCTION("""COMPUTED_VALUE"""),"")</f>
        <v/>
      </c>
    </row>
    <row r="950">
      <c r="A950" s="2" t="s">
        <v>33</v>
      </c>
      <c r="B950" s="12">
        <v>931940.0</v>
      </c>
      <c r="C950" s="12">
        <v>932704.0</v>
      </c>
      <c r="D950" s="2"/>
      <c r="E950" s="2" t="s">
        <v>38</v>
      </c>
      <c r="F950" s="2" t="s">
        <v>2477</v>
      </c>
      <c r="G950" s="2"/>
      <c r="H950" s="12">
        <v>0.0</v>
      </c>
      <c r="I950" s="2" t="s">
        <v>40</v>
      </c>
      <c r="J950" s="2"/>
      <c r="K950" s="2" t="s">
        <v>2478</v>
      </c>
      <c r="L950" s="12">
        <v>254.0</v>
      </c>
      <c r="M950" s="2" t="s">
        <v>2479</v>
      </c>
      <c r="N950" s="2" t="str">
        <f>IFERROR(__xludf.DUMMYFUNCTION("""COMPUTED_VALUE"""),"")</f>
        <v/>
      </c>
    </row>
    <row r="951">
      <c r="A951" s="2" t="s">
        <v>33</v>
      </c>
      <c r="B951" s="12">
        <v>933395.0</v>
      </c>
      <c r="C951" s="12">
        <v>933817.0</v>
      </c>
      <c r="D951" s="2"/>
      <c r="E951" s="2" t="s">
        <v>34</v>
      </c>
      <c r="F951" s="2" t="s">
        <v>2480</v>
      </c>
      <c r="G951" s="2"/>
      <c r="H951" s="12">
        <v>0.0</v>
      </c>
      <c r="I951" s="2" t="s">
        <v>40</v>
      </c>
      <c r="J951" s="2"/>
      <c r="K951" s="2" t="s">
        <v>2481</v>
      </c>
      <c r="L951" s="12">
        <v>140.0</v>
      </c>
      <c r="M951" s="2" t="s">
        <v>2482</v>
      </c>
      <c r="N951" s="2" t="str">
        <f>IFERROR(__xludf.DUMMYFUNCTION("""COMPUTED_VALUE"""),"")</f>
        <v/>
      </c>
    </row>
    <row r="952">
      <c r="A952" s="2" t="s">
        <v>33</v>
      </c>
      <c r="B952" s="12">
        <v>933913.0</v>
      </c>
      <c r="C952" s="12">
        <v>935301.0</v>
      </c>
      <c r="D952" s="2"/>
      <c r="E952" s="2" t="s">
        <v>38</v>
      </c>
      <c r="F952" s="2" t="s">
        <v>2483</v>
      </c>
      <c r="G952" s="2" t="s">
        <v>2484</v>
      </c>
      <c r="H952" s="12">
        <v>0.0</v>
      </c>
      <c r="I952" s="2" t="s">
        <v>40</v>
      </c>
      <c r="J952" s="2"/>
      <c r="K952" s="2" t="s">
        <v>2485</v>
      </c>
      <c r="L952" s="12">
        <v>462.0</v>
      </c>
      <c r="M952" s="2" t="s">
        <v>2486</v>
      </c>
      <c r="N952" s="2" t="str">
        <f>IFERROR(__xludf.DUMMYFUNCTION("""COMPUTED_VALUE"""),"")</f>
        <v/>
      </c>
    </row>
    <row r="953">
      <c r="A953" s="2" t="s">
        <v>33</v>
      </c>
      <c r="B953" s="12">
        <v>935493.0</v>
      </c>
      <c r="C953" s="12">
        <v>936203.0</v>
      </c>
      <c r="D953" s="2"/>
      <c r="E953" s="2" t="s">
        <v>34</v>
      </c>
      <c r="F953" s="2" t="s">
        <v>2487</v>
      </c>
      <c r="G953" s="2"/>
      <c r="H953" s="12">
        <v>0.0</v>
      </c>
      <c r="I953" s="2" t="s">
        <v>40</v>
      </c>
      <c r="J953" s="2"/>
      <c r="K953" s="2" t="s">
        <v>2488</v>
      </c>
      <c r="L953" s="12">
        <v>236.0</v>
      </c>
      <c r="M953" s="2" t="s">
        <v>2489</v>
      </c>
      <c r="N953" s="2" t="str">
        <f>IFERROR(__xludf.DUMMYFUNCTION("""COMPUTED_VALUE"""),"")</f>
        <v/>
      </c>
    </row>
    <row r="954">
      <c r="A954" s="2" t="s">
        <v>33</v>
      </c>
      <c r="B954" s="12">
        <v>936220.0</v>
      </c>
      <c r="C954" s="12">
        <v>936600.0</v>
      </c>
      <c r="D954" s="2"/>
      <c r="E954" s="2" t="s">
        <v>34</v>
      </c>
      <c r="F954" s="2" t="s">
        <v>338</v>
      </c>
      <c r="G954" s="2"/>
      <c r="H954" s="12">
        <v>0.0</v>
      </c>
      <c r="I954" s="2" t="s">
        <v>40</v>
      </c>
      <c r="J954" s="2"/>
      <c r="K954" s="2" t="s">
        <v>2490</v>
      </c>
      <c r="L954" s="12">
        <v>126.0</v>
      </c>
      <c r="M954" s="2" t="s">
        <v>2491</v>
      </c>
      <c r="N954" s="2" t="str">
        <f>IFERROR(__xludf.DUMMYFUNCTION("""COMPUTED_VALUE"""),"")</f>
        <v/>
      </c>
    </row>
    <row r="955">
      <c r="A955" s="2" t="s">
        <v>33</v>
      </c>
      <c r="B955" s="12">
        <v>936641.0</v>
      </c>
      <c r="C955" s="12">
        <v>938044.0</v>
      </c>
      <c r="D955" s="2"/>
      <c r="E955" s="2" t="s">
        <v>38</v>
      </c>
      <c r="F955" s="2" t="s">
        <v>2492</v>
      </c>
      <c r="G955" s="2" t="s">
        <v>2493</v>
      </c>
      <c r="H955" s="12">
        <v>0.0</v>
      </c>
      <c r="I955" s="2" t="s">
        <v>40</v>
      </c>
      <c r="J955" s="2"/>
      <c r="K955" s="2" t="s">
        <v>2494</v>
      </c>
      <c r="L955" s="12">
        <v>467.0</v>
      </c>
      <c r="M955" s="2" t="s">
        <v>2495</v>
      </c>
      <c r="N955" s="2" t="str">
        <f>IFERROR(__xludf.DUMMYFUNCTION("""COMPUTED_VALUE"""),"")</f>
        <v/>
      </c>
    </row>
    <row r="956">
      <c r="A956" s="2" t="s">
        <v>33</v>
      </c>
      <c r="B956" s="12">
        <v>938508.0</v>
      </c>
      <c r="C956" s="12">
        <v>939167.0</v>
      </c>
      <c r="D956" s="2"/>
      <c r="E956" s="2" t="s">
        <v>38</v>
      </c>
      <c r="F956" s="2" t="s">
        <v>289</v>
      </c>
      <c r="G956" s="2"/>
      <c r="H956" s="12">
        <v>0.0</v>
      </c>
      <c r="I956" s="2" t="s">
        <v>40</v>
      </c>
      <c r="J956" s="2"/>
      <c r="K956" s="2" t="s">
        <v>2496</v>
      </c>
      <c r="L956" s="12">
        <v>219.0</v>
      </c>
      <c r="M956" s="2" t="s">
        <v>2497</v>
      </c>
      <c r="N956" s="2" t="str">
        <f>IFERROR(__xludf.DUMMYFUNCTION("""COMPUTED_VALUE"""),"")</f>
        <v/>
      </c>
    </row>
    <row r="957">
      <c r="A957" s="2" t="s">
        <v>33</v>
      </c>
      <c r="B957" s="12">
        <v>939280.0</v>
      </c>
      <c r="C957" s="12">
        <v>940164.0</v>
      </c>
      <c r="D957" s="2"/>
      <c r="E957" s="2" t="s">
        <v>38</v>
      </c>
      <c r="F957" s="2" t="s">
        <v>1596</v>
      </c>
      <c r="G957" s="2"/>
      <c r="H957" s="12">
        <v>0.0</v>
      </c>
      <c r="I957" s="2" t="s">
        <v>40</v>
      </c>
      <c r="J957" s="2"/>
      <c r="K957" s="2" t="s">
        <v>2498</v>
      </c>
      <c r="L957" s="12">
        <v>294.0</v>
      </c>
      <c r="M957" s="2" t="s">
        <v>2499</v>
      </c>
      <c r="N957" s="2" t="str">
        <f>IFERROR(__xludf.DUMMYFUNCTION("""COMPUTED_VALUE"""),"")</f>
        <v/>
      </c>
    </row>
    <row r="958">
      <c r="A958" s="2" t="s">
        <v>33</v>
      </c>
      <c r="B958" s="12">
        <v>940178.0</v>
      </c>
      <c r="C958" s="12">
        <v>941170.0</v>
      </c>
      <c r="D958" s="2"/>
      <c r="E958" s="2" t="s">
        <v>38</v>
      </c>
      <c r="F958" s="2" t="s">
        <v>1599</v>
      </c>
      <c r="G958" s="2"/>
      <c r="H958" s="12">
        <v>0.0</v>
      </c>
      <c r="I958" s="2" t="s">
        <v>40</v>
      </c>
      <c r="J958" s="2"/>
      <c r="K958" s="2" t="s">
        <v>2500</v>
      </c>
      <c r="L958" s="12">
        <v>330.0</v>
      </c>
      <c r="M958" s="2" t="s">
        <v>2501</v>
      </c>
      <c r="N958" s="2" t="str">
        <f>IFERROR(__xludf.DUMMYFUNCTION("""COMPUTED_VALUE"""),"")</f>
        <v/>
      </c>
    </row>
    <row r="959">
      <c r="A959" s="2" t="s">
        <v>33</v>
      </c>
      <c r="B959" s="12">
        <v>941339.0</v>
      </c>
      <c r="C959" s="12">
        <v>942526.0</v>
      </c>
      <c r="D959" s="2"/>
      <c r="E959" s="2" t="s">
        <v>34</v>
      </c>
      <c r="F959" s="2" t="s">
        <v>1655</v>
      </c>
      <c r="G959" s="2"/>
      <c r="H959" s="12">
        <v>0.0</v>
      </c>
      <c r="I959" s="2" t="s">
        <v>40</v>
      </c>
      <c r="J959" s="2"/>
      <c r="K959" s="2" t="s">
        <v>2502</v>
      </c>
      <c r="L959" s="12">
        <v>395.0</v>
      </c>
      <c r="M959" s="2" t="s">
        <v>2503</v>
      </c>
      <c r="N959" s="2" t="str">
        <f>IFERROR(__xludf.DUMMYFUNCTION("""COMPUTED_VALUE"""),"")</f>
        <v/>
      </c>
    </row>
    <row r="960">
      <c r="A960" s="2" t="s">
        <v>33</v>
      </c>
      <c r="B960" s="12">
        <v>942562.0</v>
      </c>
      <c r="C960" s="12">
        <v>942873.0</v>
      </c>
      <c r="D960" s="2"/>
      <c r="E960" s="2" t="s">
        <v>38</v>
      </c>
      <c r="F960" s="2" t="s">
        <v>2504</v>
      </c>
      <c r="G960" s="2"/>
      <c r="H960" s="12">
        <v>0.0</v>
      </c>
      <c r="I960" s="2" t="s">
        <v>40</v>
      </c>
      <c r="J960" s="2"/>
      <c r="K960" s="2" t="s">
        <v>2505</v>
      </c>
      <c r="L960" s="12">
        <v>103.0</v>
      </c>
      <c r="M960" s="2" t="s">
        <v>2506</v>
      </c>
      <c r="N960" s="2" t="str">
        <f>IFERROR(__xludf.DUMMYFUNCTION("""COMPUTED_VALUE"""),"")</f>
        <v/>
      </c>
    </row>
    <row r="961">
      <c r="A961" s="2" t="s">
        <v>33</v>
      </c>
      <c r="B961" s="12">
        <v>943010.0</v>
      </c>
      <c r="C961" s="12">
        <v>943975.0</v>
      </c>
      <c r="D961" s="2"/>
      <c r="E961" s="2" t="s">
        <v>34</v>
      </c>
      <c r="F961" s="2" t="s">
        <v>738</v>
      </c>
      <c r="G961" s="2"/>
      <c r="H961" s="12">
        <v>0.0</v>
      </c>
      <c r="I961" s="2" t="s">
        <v>40</v>
      </c>
      <c r="J961" s="2"/>
      <c r="K961" s="2" t="s">
        <v>2507</v>
      </c>
      <c r="L961" s="12">
        <v>321.0</v>
      </c>
      <c r="M961" s="2" t="s">
        <v>2508</v>
      </c>
      <c r="N961" s="2" t="str">
        <f>IFERROR(__xludf.DUMMYFUNCTION("""COMPUTED_VALUE"""),"")</f>
        <v/>
      </c>
    </row>
    <row r="962">
      <c r="A962" s="2" t="s">
        <v>33</v>
      </c>
      <c r="B962" s="12">
        <v>943992.0</v>
      </c>
      <c r="C962" s="12">
        <v>944663.0</v>
      </c>
      <c r="D962" s="2"/>
      <c r="E962" s="2" t="s">
        <v>34</v>
      </c>
      <c r="F962" s="2" t="s">
        <v>2509</v>
      </c>
      <c r="G962" s="2"/>
      <c r="H962" s="12">
        <v>0.0</v>
      </c>
      <c r="I962" s="2" t="s">
        <v>40</v>
      </c>
      <c r="J962" s="2"/>
      <c r="K962" s="2" t="s">
        <v>2510</v>
      </c>
      <c r="L962" s="12">
        <v>223.0</v>
      </c>
      <c r="M962" s="2" t="s">
        <v>2511</v>
      </c>
      <c r="N962" s="2" t="str">
        <f>IFERROR(__xludf.DUMMYFUNCTION("""COMPUTED_VALUE"""),"")</f>
        <v/>
      </c>
    </row>
    <row r="963">
      <c r="A963" s="2" t="s">
        <v>33</v>
      </c>
      <c r="B963" s="12">
        <v>944720.0</v>
      </c>
      <c r="C963" s="12">
        <v>944890.0</v>
      </c>
      <c r="D963" s="2"/>
      <c r="E963" s="2" t="s">
        <v>38</v>
      </c>
      <c r="F963" s="2" t="s">
        <v>2512</v>
      </c>
      <c r="G963" s="2" t="s">
        <v>2513</v>
      </c>
      <c r="H963" s="12">
        <v>0.0</v>
      </c>
      <c r="I963" s="2" t="s">
        <v>40</v>
      </c>
      <c r="J963" s="2"/>
      <c r="K963" s="2" t="s">
        <v>2514</v>
      </c>
      <c r="L963" s="12">
        <v>56.0</v>
      </c>
      <c r="M963" s="2" t="s">
        <v>2515</v>
      </c>
      <c r="N963" s="2" t="str">
        <f>IFERROR(__xludf.DUMMYFUNCTION("""COMPUTED_VALUE"""),"")</f>
        <v/>
      </c>
    </row>
    <row r="964">
      <c r="A964" s="2" t="s">
        <v>33</v>
      </c>
      <c r="B964" s="12">
        <v>945084.0</v>
      </c>
      <c r="C964" s="12">
        <v>945983.0</v>
      </c>
      <c r="D964" s="2"/>
      <c r="E964" s="2" t="s">
        <v>38</v>
      </c>
      <c r="F964" s="2" t="s">
        <v>960</v>
      </c>
      <c r="G964" s="2"/>
      <c r="H964" s="12">
        <v>0.0</v>
      </c>
      <c r="I964" s="2" t="s">
        <v>40</v>
      </c>
      <c r="J964" s="2"/>
      <c r="K964" s="2" t="s">
        <v>2516</v>
      </c>
      <c r="L964" s="12">
        <v>299.0</v>
      </c>
      <c r="M964" s="2" t="s">
        <v>2517</v>
      </c>
      <c r="N964" s="2" t="str">
        <f>IFERROR(__xludf.DUMMYFUNCTION("""COMPUTED_VALUE"""),"")</f>
        <v/>
      </c>
    </row>
    <row r="965">
      <c r="A965" s="2" t="s">
        <v>33</v>
      </c>
      <c r="B965" s="12">
        <v>946194.0</v>
      </c>
      <c r="C965" s="12">
        <v>947267.0</v>
      </c>
      <c r="D965" s="2"/>
      <c r="E965" s="2" t="s">
        <v>34</v>
      </c>
      <c r="F965" s="2" t="s">
        <v>2518</v>
      </c>
      <c r="G965" s="2"/>
      <c r="H965" s="12">
        <v>0.0</v>
      </c>
      <c r="I965" s="2" t="s">
        <v>40</v>
      </c>
      <c r="J965" s="2"/>
      <c r="K965" s="2" t="s">
        <v>2519</v>
      </c>
      <c r="L965" s="12">
        <v>357.0</v>
      </c>
      <c r="M965" s="2" t="s">
        <v>2520</v>
      </c>
      <c r="N965" s="2" t="str">
        <f>IFERROR(__xludf.DUMMYFUNCTION("""COMPUTED_VALUE"""),"")</f>
        <v/>
      </c>
    </row>
    <row r="966">
      <c r="A966" s="2" t="s">
        <v>33</v>
      </c>
      <c r="B966" s="12">
        <v>947309.0</v>
      </c>
      <c r="C966" s="12">
        <v>948415.0</v>
      </c>
      <c r="D966" s="2"/>
      <c r="E966" s="2" t="s">
        <v>38</v>
      </c>
      <c r="F966" s="2" t="s">
        <v>2521</v>
      </c>
      <c r="G966" s="2"/>
      <c r="H966" s="12">
        <v>0.0</v>
      </c>
      <c r="I966" s="2" t="s">
        <v>40</v>
      </c>
      <c r="J966" s="2"/>
      <c r="K966" s="2" t="s">
        <v>2522</v>
      </c>
      <c r="L966" s="12">
        <v>368.0</v>
      </c>
      <c r="M966" s="2" t="s">
        <v>2523</v>
      </c>
      <c r="N966" s="2" t="str">
        <f>IFERROR(__xludf.DUMMYFUNCTION("""COMPUTED_VALUE"""),"")</f>
        <v/>
      </c>
    </row>
    <row r="967">
      <c r="A967" s="2" t="s">
        <v>33</v>
      </c>
      <c r="B967" s="12">
        <v>948412.0</v>
      </c>
      <c r="C967" s="12">
        <v>948978.0</v>
      </c>
      <c r="D967" s="2"/>
      <c r="E967" s="2" t="s">
        <v>38</v>
      </c>
      <c r="F967" s="2" t="s">
        <v>651</v>
      </c>
      <c r="G967" s="2"/>
      <c r="H967" s="12">
        <v>0.0</v>
      </c>
      <c r="I967" s="2" t="s">
        <v>40</v>
      </c>
      <c r="J967" s="2"/>
      <c r="K967" s="2" t="s">
        <v>2524</v>
      </c>
      <c r="L967" s="12">
        <v>188.0</v>
      </c>
      <c r="M967" s="2" t="s">
        <v>2525</v>
      </c>
      <c r="N967" s="2" t="str">
        <f>IFERROR(__xludf.DUMMYFUNCTION("""COMPUTED_VALUE"""),"")</f>
        <v/>
      </c>
    </row>
    <row r="968">
      <c r="A968" s="2" t="s">
        <v>33</v>
      </c>
      <c r="B968" s="12">
        <v>949231.0</v>
      </c>
      <c r="C968" s="12">
        <v>951054.0</v>
      </c>
      <c r="D968" s="2"/>
      <c r="E968" s="2" t="s">
        <v>34</v>
      </c>
      <c r="F968" s="2" t="s">
        <v>1123</v>
      </c>
      <c r="G968" s="2" t="s">
        <v>1124</v>
      </c>
      <c r="H968" s="12">
        <v>0.0</v>
      </c>
      <c r="I968" s="2" t="s">
        <v>40</v>
      </c>
      <c r="J968" s="2"/>
      <c r="K968" s="2" t="s">
        <v>2526</v>
      </c>
      <c r="L968" s="12">
        <v>607.0</v>
      </c>
      <c r="M968" s="2" t="s">
        <v>2527</v>
      </c>
      <c r="N968" s="2" t="str">
        <f>IFERROR(__xludf.DUMMYFUNCTION("""COMPUTED_VALUE"""),"")</f>
        <v/>
      </c>
    </row>
    <row r="969">
      <c r="A969" s="2" t="s">
        <v>33</v>
      </c>
      <c r="B969" s="12">
        <v>951097.0</v>
      </c>
      <c r="C969" s="12">
        <v>951924.0</v>
      </c>
      <c r="D969" s="2"/>
      <c r="E969" s="2" t="s">
        <v>38</v>
      </c>
      <c r="F969" s="2" t="s">
        <v>2528</v>
      </c>
      <c r="G969" s="2"/>
      <c r="H969" s="12">
        <v>0.0</v>
      </c>
      <c r="I969" s="2" t="s">
        <v>40</v>
      </c>
      <c r="J969" s="2"/>
      <c r="K969" s="2" t="s">
        <v>2529</v>
      </c>
      <c r="L969" s="12">
        <v>275.0</v>
      </c>
      <c r="M969" s="2" t="s">
        <v>2530</v>
      </c>
      <c r="N969" s="2" t="str">
        <f>IFERROR(__xludf.DUMMYFUNCTION("""COMPUTED_VALUE"""),"")</f>
        <v/>
      </c>
    </row>
    <row r="970">
      <c r="A970" s="2" t="s">
        <v>33</v>
      </c>
      <c r="B970" s="12">
        <v>952046.0</v>
      </c>
      <c r="C970" s="12">
        <v>952456.0</v>
      </c>
      <c r="D970" s="2"/>
      <c r="E970" s="2" t="s">
        <v>34</v>
      </c>
      <c r="F970" s="2" t="s">
        <v>534</v>
      </c>
      <c r="G970" s="2"/>
      <c r="H970" s="12">
        <v>0.0</v>
      </c>
      <c r="I970" s="2" t="s">
        <v>40</v>
      </c>
      <c r="J970" s="2"/>
      <c r="K970" s="2" t="s">
        <v>2531</v>
      </c>
      <c r="L970" s="12">
        <v>136.0</v>
      </c>
      <c r="M970" s="2" t="s">
        <v>2532</v>
      </c>
      <c r="N970" s="2" t="str">
        <f>IFERROR(__xludf.DUMMYFUNCTION("""COMPUTED_VALUE"""),"")</f>
        <v/>
      </c>
    </row>
    <row r="971">
      <c r="A971" s="2" t="s">
        <v>33</v>
      </c>
      <c r="B971" s="12">
        <v>952440.0</v>
      </c>
      <c r="C971" s="12">
        <v>952769.0</v>
      </c>
      <c r="D971" s="2"/>
      <c r="E971" s="2" t="s">
        <v>34</v>
      </c>
      <c r="F971" s="2" t="s">
        <v>2533</v>
      </c>
      <c r="G971" s="2"/>
      <c r="H971" s="12">
        <v>0.0</v>
      </c>
      <c r="I971" s="2" t="s">
        <v>40</v>
      </c>
      <c r="J971" s="2"/>
      <c r="K971" s="2" t="s">
        <v>2534</v>
      </c>
      <c r="L971" s="12">
        <v>109.0</v>
      </c>
      <c r="M971" s="2" t="s">
        <v>2535</v>
      </c>
      <c r="N971" s="2" t="str">
        <f>IFERROR(__xludf.DUMMYFUNCTION("""COMPUTED_VALUE"""),"")</f>
        <v/>
      </c>
    </row>
    <row r="972">
      <c r="A972" s="2" t="s">
        <v>33</v>
      </c>
      <c r="B972" s="12">
        <v>952730.0</v>
      </c>
      <c r="C972" s="12">
        <v>953662.0</v>
      </c>
      <c r="D972" s="2"/>
      <c r="E972" s="2" t="s">
        <v>34</v>
      </c>
      <c r="F972" s="2" t="s">
        <v>326</v>
      </c>
      <c r="G972" s="2"/>
      <c r="H972" s="12">
        <v>0.0</v>
      </c>
      <c r="I972" s="2" t="s">
        <v>40</v>
      </c>
      <c r="J972" s="2"/>
      <c r="K972" s="2" t="s">
        <v>2536</v>
      </c>
      <c r="L972" s="12">
        <v>310.0</v>
      </c>
      <c r="M972" s="2" t="s">
        <v>2537</v>
      </c>
      <c r="N972" s="2" t="str">
        <f>IFERROR(__xludf.DUMMYFUNCTION("""COMPUTED_VALUE"""),"")</f>
        <v/>
      </c>
    </row>
    <row r="973">
      <c r="A973" s="2" t="s">
        <v>33</v>
      </c>
      <c r="B973" s="12">
        <v>953681.0</v>
      </c>
      <c r="C973" s="12">
        <v>954052.0</v>
      </c>
      <c r="D973" s="2"/>
      <c r="E973" s="2" t="s">
        <v>38</v>
      </c>
      <c r="F973" s="2" t="s">
        <v>39</v>
      </c>
      <c r="G973" s="2"/>
      <c r="H973" s="12">
        <v>0.0</v>
      </c>
      <c r="I973" s="2" t="s">
        <v>40</v>
      </c>
      <c r="J973" s="2"/>
      <c r="K973" s="2" t="s">
        <v>2538</v>
      </c>
      <c r="L973" s="12">
        <v>123.0</v>
      </c>
      <c r="M973" s="2" t="s">
        <v>2539</v>
      </c>
      <c r="N973" s="2" t="str">
        <f>IFERROR(__xludf.DUMMYFUNCTION("""COMPUTED_VALUE"""),"")</f>
        <v/>
      </c>
    </row>
    <row r="974">
      <c r="A974" s="2" t="s">
        <v>33</v>
      </c>
      <c r="B974" s="12">
        <v>954142.0</v>
      </c>
      <c r="C974" s="12">
        <v>954717.0</v>
      </c>
      <c r="D974" s="2"/>
      <c r="E974" s="2" t="s">
        <v>38</v>
      </c>
      <c r="F974" s="2" t="s">
        <v>1528</v>
      </c>
      <c r="G974" s="2"/>
      <c r="H974" s="12">
        <v>0.0</v>
      </c>
      <c r="I974" s="2" t="s">
        <v>40</v>
      </c>
      <c r="J974" s="2"/>
      <c r="K974" s="2" t="s">
        <v>2540</v>
      </c>
      <c r="L974" s="12">
        <v>191.0</v>
      </c>
      <c r="M974" s="2" t="s">
        <v>2541</v>
      </c>
      <c r="N974" s="2" t="str">
        <f>IFERROR(__xludf.DUMMYFUNCTION("""COMPUTED_VALUE"""),"")</f>
        <v/>
      </c>
    </row>
    <row r="975">
      <c r="A975" s="2" t="s">
        <v>33</v>
      </c>
      <c r="B975" s="12">
        <v>954831.0</v>
      </c>
      <c r="C975" s="12">
        <v>955925.0</v>
      </c>
      <c r="D975" s="2"/>
      <c r="E975" s="2" t="s">
        <v>38</v>
      </c>
      <c r="F975" s="2" t="s">
        <v>455</v>
      </c>
      <c r="G975" s="2"/>
      <c r="H975" s="12">
        <v>0.0</v>
      </c>
      <c r="I975" s="2" t="s">
        <v>40</v>
      </c>
      <c r="J975" s="2"/>
      <c r="K975" s="2" t="s">
        <v>2542</v>
      </c>
      <c r="L975" s="12">
        <v>364.0</v>
      </c>
      <c r="M975" s="2" t="s">
        <v>2543</v>
      </c>
      <c r="N975" s="2" t="str">
        <f>IFERROR(__xludf.DUMMYFUNCTION("""COMPUTED_VALUE"""),"")</f>
        <v/>
      </c>
    </row>
    <row r="976">
      <c r="A976" s="2" t="s">
        <v>33</v>
      </c>
      <c r="B976" s="12">
        <v>956103.0</v>
      </c>
      <c r="C976" s="12">
        <v>956264.0</v>
      </c>
      <c r="D976" s="2"/>
      <c r="E976" s="2" t="s">
        <v>38</v>
      </c>
      <c r="F976" s="2" t="s">
        <v>39</v>
      </c>
      <c r="G976" s="2"/>
      <c r="H976" s="12">
        <v>0.0</v>
      </c>
      <c r="I976" s="2" t="s">
        <v>40</v>
      </c>
      <c r="J976" s="2"/>
      <c r="K976" s="2" t="s">
        <v>2544</v>
      </c>
      <c r="L976" s="12">
        <v>53.0</v>
      </c>
      <c r="M976" s="2" t="s">
        <v>2545</v>
      </c>
      <c r="N976" s="2" t="str">
        <f>IFERROR(__xludf.DUMMYFUNCTION("""COMPUTED_VALUE"""),"")</f>
        <v/>
      </c>
    </row>
    <row r="977">
      <c r="A977" s="2" t="s">
        <v>33</v>
      </c>
      <c r="B977" s="12">
        <v>956330.0</v>
      </c>
      <c r="C977" s="12">
        <v>956446.0</v>
      </c>
      <c r="D977" s="2"/>
      <c r="E977" s="2" t="s">
        <v>38</v>
      </c>
      <c r="F977" s="2" t="s">
        <v>39</v>
      </c>
      <c r="G977" s="2"/>
      <c r="H977" s="12">
        <v>0.0</v>
      </c>
      <c r="I977" s="2" t="s">
        <v>40</v>
      </c>
      <c r="J977" s="2"/>
      <c r="K977" s="2" t="s">
        <v>2546</v>
      </c>
      <c r="L977" s="12">
        <v>38.0</v>
      </c>
      <c r="M977" s="2" t="s">
        <v>2547</v>
      </c>
      <c r="N977" s="2" t="str">
        <f>IFERROR(__xludf.DUMMYFUNCTION("""COMPUTED_VALUE"""),"")</f>
        <v/>
      </c>
    </row>
    <row r="978">
      <c r="A978" s="2" t="s">
        <v>33</v>
      </c>
      <c r="B978" s="12">
        <v>956488.0</v>
      </c>
      <c r="C978" s="12">
        <v>956910.0</v>
      </c>
      <c r="D978" s="2"/>
      <c r="E978" s="2" t="s">
        <v>34</v>
      </c>
      <c r="F978" s="2" t="s">
        <v>2548</v>
      </c>
      <c r="G978" s="2"/>
      <c r="H978" s="12">
        <v>0.0</v>
      </c>
      <c r="I978" s="2" t="s">
        <v>40</v>
      </c>
      <c r="J978" s="2"/>
      <c r="K978" s="2" t="s">
        <v>2549</v>
      </c>
      <c r="L978" s="12">
        <v>140.0</v>
      </c>
      <c r="M978" s="2" t="s">
        <v>2550</v>
      </c>
      <c r="N978" s="2" t="str">
        <f>IFERROR(__xludf.DUMMYFUNCTION("""COMPUTED_VALUE"""),"")</f>
        <v/>
      </c>
    </row>
    <row r="979">
      <c r="A979" s="2" t="s">
        <v>33</v>
      </c>
      <c r="B979" s="12">
        <v>956960.0</v>
      </c>
      <c r="C979" s="12">
        <v>957793.0</v>
      </c>
      <c r="D979" s="2"/>
      <c r="E979" s="2" t="s">
        <v>38</v>
      </c>
      <c r="F979" s="2" t="s">
        <v>39</v>
      </c>
      <c r="G979" s="2"/>
      <c r="H979" s="12">
        <v>0.0</v>
      </c>
      <c r="I979" s="2" t="s">
        <v>40</v>
      </c>
      <c r="J979" s="2"/>
      <c r="K979" s="2" t="s">
        <v>2551</v>
      </c>
      <c r="L979" s="12">
        <v>277.0</v>
      </c>
      <c r="M979" s="2" t="s">
        <v>2552</v>
      </c>
      <c r="N979" s="2" t="str">
        <f>IFERROR(__xludf.DUMMYFUNCTION("""COMPUTED_VALUE"""),"")</f>
        <v/>
      </c>
    </row>
    <row r="980">
      <c r="A980" s="2" t="s">
        <v>33</v>
      </c>
      <c r="B980" s="12">
        <v>957814.0</v>
      </c>
      <c r="C980" s="12">
        <v>959076.0</v>
      </c>
      <c r="D980" s="2"/>
      <c r="E980" s="2" t="s">
        <v>38</v>
      </c>
      <c r="F980" s="2" t="s">
        <v>599</v>
      </c>
      <c r="G980" s="2"/>
      <c r="H980" s="12">
        <v>0.0</v>
      </c>
      <c r="I980" s="2" t="s">
        <v>40</v>
      </c>
      <c r="J980" s="2"/>
      <c r="K980" s="2" t="s">
        <v>2553</v>
      </c>
      <c r="L980" s="12">
        <v>420.0</v>
      </c>
      <c r="M980" s="2" t="s">
        <v>2554</v>
      </c>
      <c r="N980" s="2" t="str">
        <f>IFERROR(__xludf.DUMMYFUNCTION("""COMPUTED_VALUE"""),"")</f>
        <v/>
      </c>
    </row>
    <row r="981">
      <c r="A981" s="2" t="s">
        <v>33</v>
      </c>
      <c r="B981" s="12">
        <v>959073.0</v>
      </c>
      <c r="C981" s="12">
        <v>960743.0</v>
      </c>
      <c r="D981" s="2"/>
      <c r="E981" s="2" t="s">
        <v>38</v>
      </c>
      <c r="F981" s="2" t="s">
        <v>2555</v>
      </c>
      <c r="G981" s="2"/>
      <c r="H981" s="12">
        <v>0.0</v>
      </c>
      <c r="I981" s="2" t="s">
        <v>40</v>
      </c>
      <c r="J981" s="2"/>
      <c r="K981" s="2" t="s">
        <v>2556</v>
      </c>
      <c r="L981" s="12">
        <v>556.0</v>
      </c>
      <c r="M981" s="2" t="s">
        <v>2557</v>
      </c>
      <c r="N981" s="2" t="str">
        <f>IFERROR(__xludf.DUMMYFUNCTION("""COMPUTED_VALUE"""),"")</f>
        <v/>
      </c>
    </row>
    <row r="982">
      <c r="A982" s="2" t="s">
        <v>33</v>
      </c>
      <c r="B982" s="12">
        <v>960756.0</v>
      </c>
      <c r="C982" s="12">
        <v>961781.0</v>
      </c>
      <c r="D982" s="2"/>
      <c r="E982" s="2" t="s">
        <v>38</v>
      </c>
      <c r="F982" s="2" t="s">
        <v>1113</v>
      </c>
      <c r="G982" s="2"/>
      <c r="H982" s="12">
        <v>0.0</v>
      </c>
      <c r="I982" s="2" t="s">
        <v>40</v>
      </c>
      <c r="J982" s="2"/>
      <c r="K982" s="2" t="s">
        <v>2558</v>
      </c>
      <c r="L982" s="12">
        <v>341.0</v>
      </c>
      <c r="M982" s="2" t="s">
        <v>2559</v>
      </c>
      <c r="N982" s="2" t="str">
        <f>IFERROR(__xludf.DUMMYFUNCTION("""COMPUTED_VALUE"""),"")</f>
        <v/>
      </c>
    </row>
    <row r="983">
      <c r="A983" s="2" t="s">
        <v>33</v>
      </c>
      <c r="B983" s="12">
        <v>961759.0</v>
      </c>
      <c r="C983" s="12">
        <v>962751.0</v>
      </c>
      <c r="D983" s="2"/>
      <c r="E983" s="2" t="s">
        <v>38</v>
      </c>
      <c r="F983" s="2" t="s">
        <v>432</v>
      </c>
      <c r="G983" s="2"/>
      <c r="H983" s="12">
        <v>0.0</v>
      </c>
      <c r="I983" s="2" t="s">
        <v>40</v>
      </c>
      <c r="J983" s="2"/>
      <c r="K983" s="2" t="s">
        <v>2560</v>
      </c>
      <c r="L983" s="12">
        <v>330.0</v>
      </c>
      <c r="M983" s="2" t="s">
        <v>2561</v>
      </c>
      <c r="N983" s="2" t="str">
        <f>IFERROR(__xludf.DUMMYFUNCTION("""COMPUTED_VALUE"""),"")</f>
        <v/>
      </c>
    </row>
    <row r="984">
      <c r="A984" s="2" t="s">
        <v>33</v>
      </c>
      <c r="B984" s="12">
        <v>962914.0</v>
      </c>
      <c r="C984" s="12">
        <v>963807.0</v>
      </c>
      <c r="D984" s="2"/>
      <c r="E984" s="2" t="s">
        <v>34</v>
      </c>
      <c r="F984" s="2" t="s">
        <v>694</v>
      </c>
      <c r="G984" s="2"/>
      <c r="H984" s="12">
        <v>0.0</v>
      </c>
      <c r="I984" s="2" t="s">
        <v>40</v>
      </c>
      <c r="J984" s="2"/>
      <c r="K984" s="2" t="s">
        <v>2562</v>
      </c>
      <c r="L984" s="12">
        <v>297.0</v>
      </c>
      <c r="M984" s="2" t="s">
        <v>2563</v>
      </c>
      <c r="N984" s="2" t="str">
        <f>IFERROR(__xludf.DUMMYFUNCTION("""COMPUTED_VALUE"""),"")</f>
        <v/>
      </c>
    </row>
    <row r="985">
      <c r="A985" s="2" t="s">
        <v>33</v>
      </c>
      <c r="B985" s="12">
        <v>963848.0</v>
      </c>
      <c r="C985" s="12">
        <v>964372.0</v>
      </c>
      <c r="D985" s="2"/>
      <c r="E985" s="2" t="s">
        <v>38</v>
      </c>
      <c r="F985" s="2" t="s">
        <v>2564</v>
      </c>
      <c r="G985" s="2"/>
      <c r="H985" s="12">
        <v>0.0</v>
      </c>
      <c r="I985" s="2" t="s">
        <v>40</v>
      </c>
      <c r="J985" s="2"/>
      <c r="K985" s="2" t="s">
        <v>2565</v>
      </c>
      <c r="L985" s="12">
        <v>174.0</v>
      </c>
      <c r="M985" s="2" t="s">
        <v>2566</v>
      </c>
      <c r="N985" s="2" t="str">
        <f>IFERROR(__xludf.DUMMYFUNCTION("""COMPUTED_VALUE"""),"")</f>
        <v/>
      </c>
    </row>
    <row r="986">
      <c r="A986" s="2" t="s">
        <v>33</v>
      </c>
      <c r="B986" s="12">
        <v>964499.0</v>
      </c>
      <c r="C986" s="12">
        <v>965767.0</v>
      </c>
      <c r="D986" s="2"/>
      <c r="E986" s="2" t="s">
        <v>38</v>
      </c>
      <c r="F986" s="2" t="s">
        <v>88</v>
      </c>
      <c r="G986" s="2"/>
      <c r="H986" s="12">
        <v>0.0</v>
      </c>
      <c r="I986" s="2" t="s">
        <v>40</v>
      </c>
      <c r="J986" s="2"/>
      <c r="K986" s="2" t="s">
        <v>2567</v>
      </c>
      <c r="L986" s="12">
        <v>422.0</v>
      </c>
      <c r="M986" s="2" t="s">
        <v>2568</v>
      </c>
      <c r="N986" s="2" t="str">
        <f>IFERROR(__xludf.DUMMYFUNCTION("""COMPUTED_VALUE"""),"")</f>
        <v/>
      </c>
    </row>
    <row r="987">
      <c r="A987" s="2" t="s">
        <v>33</v>
      </c>
      <c r="B987" s="12">
        <v>965887.0</v>
      </c>
      <c r="C987" s="12">
        <v>967101.0</v>
      </c>
      <c r="D987" s="2"/>
      <c r="E987" s="2" t="s">
        <v>34</v>
      </c>
      <c r="F987" s="2" t="s">
        <v>220</v>
      </c>
      <c r="G987" s="2"/>
      <c r="H987" s="12">
        <v>0.0</v>
      </c>
      <c r="I987" s="2" t="s">
        <v>40</v>
      </c>
      <c r="J987" s="2"/>
      <c r="K987" s="2" t="s">
        <v>2569</v>
      </c>
      <c r="L987" s="12">
        <v>404.0</v>
      </c>
      <c r="M987" s="2" t="s">
        <v>2570</v>
      </c>
      <c r="N987" s="2" t="str">
        <f>IFERROR(__xludf.DUMMYFUNCTION("""COMPUTED_VALUE"""),"")</f>
        <v/>
      </c>
    </row>
    <row r="988">
      <c r="A988" s="2" t="s">
        <v>33</v>
      </c>
      <c r="B988" s="12">
        <v>967168.0</v>
      </c>
      <c r="C988" s="12">
        <v>967347.0</v>
      </c>
      <c r="D988" s="2"/>
      <c r="E988" s="2" t="s">
        <v>34</v>
      </c>
      <c r="F988" s="2" t="s">
        <v>2571</v>
      </c>
      <c r="G988" s="2"/>
      <c r="H988" s="12">
        <v>0.0</v>
      </c>
      <c r="I988" s="2" t="s">
        <v>40</v>
      </c>
      <c r="J988" s="2"/>
      <c r="K988" s="2" t="s">
        <v>2572</v>
      </c>
      <c r="L988" s="12">
        <v>59.0</v>
      </c>
      <c r="M988" s="2" t="s">
        <v>2573</v>
      </c>
      <c r="N988" s="2" t="str">
        <f>IFERROR(__xludf.DUMMYFUNCTION("""COMPUTED_VALUE"""),"")</f>
        <v/>
      </c>
    </row>
    <row r="989">
      <c r="A989" s="2" t="s">
        <v>33</v>
      </c>
      <c r="B989" s="12">
        <v>967575.0</v>
      </c>
      <c r="C989" s="12">
        <v>967868.0</v>
      </c>
      <c r="D989" s="2"/>
      <c r="E989" s="2" t="s">
        <v>34</v>
      </c>
      <c r="F989" s="2" t="s">
        <v>2574</v>
      </c>
      <c r="G989" s="2"/>
      <c r="H989" s="12">
        <v>0.0</v>
      </c>
      <c r="I989" s="2" t="s">
        <v>40</v>
      </c>
      <c r="J989" s="2"/>
      <c r="K989" s="2" t="s">
        <v>2575</v>
      </c>
      <c r="L989" s="12">
        <v>97.0</v>
      </c>
      <c r="M989" s="2" t="s">
        <v>2576</v>
      </c>
      <c r="N989" s="2" t="str">
        <f>IFERROR(__xludf.DUMMYFUNCTION("""COMPUTED_VALUE"""),"")</f>
        <v/>
      </c>
    </row>
    <row r="990">
      <c r="A990" s="2" t="s">
        <v>33</v>
      </c>
      <c r="B990" s="12">
        <v>967871.0</v>
      </c>
      <c r="C990" s="12">
        <v>968476.0</v>
      </c>
      <c r="D990" s="2"/>
      <c r="E990" s="2" t="s">
        <v>34</v>
      </c>
      <c r="F990" s="2" t="s">
        <v>2577</v>
      </c>
      <c r="G990" s="2"/>
      <c r="H990" s="12">
        <v>0.0</v>
      </c>
      <c r="I990" s="2" t="s">
        <v>40</v>
      </c>
      <c r="J990" s="2"/>
      <c r="K990" s="2" t="s">
        <v>2578</v>
      </c>
      <c r="L990" s="12">
        <v>201.0</v>
      </c>
      <c r="M990" s="2" t="s">
        <v>2579</v>
      </c>
      <c r="N990" s="2" t="str">
        <f>IFERROR(__xludf.DUMMYFUNCTION("""COMPUTED_VALUE"""),"")</f>
        <v/>
      </c>
    </row>
    <row r="991">
      <c r="A991" s="2" t="s">
        <v>33</v>
      </c>
      <c r="B991" s="12">
        <v>968477.0</v>
      </c>
      <c r="C991" s="12">
        <v>968836.0</v>
      </c>
      <c r="D991" s="2"/>
      <c r="E991" s="2" t="s">
        <v>34</v>
      </c>
      <c r="F991" s="2" t="s">
        <v>39</v>
      </c>
      <c r="G991" s="2"/>
      <c r="H991" s="12">
        <v>0.0</v>
      </c>
      <c r="I991" s="2" t="s">
        <v>40</v>
      </c>
      <c r="J991" s="2"/>
      <c r="K991" s="2" t="s">
        <v>2580</v>
      </c>
      <c r="L991" s="12">
        <v>119.0</v>
      </c>
      <c r="M991" s="2" t="s">
        <v>2581</v>
      </c>
      <c r="N991" s="2" t="str">
        <f>IFERROR(__xludf.DUMMYFUNCTION("""COMPUTED_VALUE"""),"")</f>
        <v/>
      </c>
    </row>
    <row r="992">
      <c r="A992" s="2" t="s">
        <v>33</v>
      </c>
      <c r="B992" s="12">
        <v>968862.0</v>
      </c>
      <c r="C992" s="12">
        <v>969032.0</v>
      </c>
      <c r="D992" s="2"/>
      <c r="E992" s="2" t="s">
        <v>38</v>
      </c>
      <c r="F992" s="2" t="s">
        <v>2582</v>
      </c>
      <c r="G992" s="2"/>
      <c r="H992" s="12">
        <v>0.0</v>
      </c>
      <c r="I992" s="2" t="s">
        <v>40</v>
      </c>
      <c r="J992" s="2"/>
      <c r="K992" s="2" t="s">
        <v>2583</v>
      </c>
      <c r="L992" s="12">
        <v>56.0</v>
      </c>
      <c r="M992" s="2" t="s">
        <v>2584</v>
      </c>
      <c r="N992" s="2" t="str">
        <f>IFERROR(__xludf.DUMMYFUNCTION("""COMPUTED_VALUE"""),"")</f>
        <v/>
      </c>
    </row>
    <row r="993">
      <c r="A993" s="2" t="s">
        <v>33</v>
      </c>
      <c r="B993" s="12">
        <v>969095.0</v>
      </c>
      <c r="C993" s="12">
        <v>969406.0</v>
      </c>
      <c r="D993" s="2"/>
      <c r="E993" s="2" t="s">
        <v>38</v>
      </c>
      <c r="F993" s="2" t="s">
        <v>2585</v>
      </c>
      <c r="G993" s="2"/>
      <c r="H993" s="12">
        <v>0.0</v>
      </c>
      <c r="I993" s="2" t="s">
        <v>40</v>
      </c>
      <c r="J993" s="2"/>
      <c r="K993" s="2" t="s">
        <v>2586</v>
      </c>
      <c r="L993" s="12">
        <v>103.0</v>
      </c>
      <c r="M993" s="2" t="s">
        <v>2587</v>
      </c>
      <c r="N993" s="2" t="str">
        <f>IFERROR(__xludf.DUMMYFUNCTION("""COMPUTED_VALUE"""),"")</f>
        <v/>
      </c>
    </row>
    <row r="994">
      <c r="A994" s="2" t="s">
        <v>33</v>
      </c>
      <c r="B994" s="12">
        <v>969397.0</v>
      </c>
      <c r="C994" s="12">
        <v>970122.0</v>
      </c>
      <c r="D994" s="2"/>
      <c r="E994" s="2" t="s">
        <v>38</v>
      </c>
      <c r="F994" s="2" t="s">
        <v>2588</v>
      </c>
      <c r="G994" s="2"/>
      <c r="H994" s="12">
        <v>0.0</v>
      </c>
      <c r="I994" s="2" t="s">
        <v>40</v>
      </c>
      <c r="J994" s="2"/>
      <c r="K994" s="2" t="s">
        <v>2589</v>
      </c>
      <c r="L994" s="12">
        <v>241.0</v>
      </c>
      <c r="M994" s="2" t="s">
        <v>2590</v>
      </c>
      <c r="N994" s="2" t="str">
        <f>IFERROR(__xludf.DUMMYFUNCTION("""COMPUTED_VALUE"""),"")</f>
        <v/>
      </c>
    </row>
    <row r="995">
      <c r="A995" s="2" t="s">
        <v>33</v>
      </c>
      <c r="B995" s="12">
        <v>970115.0</v>
      </c>
      <c r="C995" s="12">
        <v>970951.0</v>
      </c>
      <c r="D995" s="2"/>
      <c r="E995" s="2" t="s">
        <v>38</v>
      </c>
      <c r="F995" s="2" t="s">
        <v>2591</v>
      </c>
      <c r="G995" s="2"/>
      <c r="H995" s="12">
        <v>0.0</v>
      </c>
      <c r="I995" s="2" t="s">
        <v>40</v>
      </c>
      <c r="J995" s="2"/>
      <c r="K995" s="2" t="s">
        <v>2592</v>
      </c>
      <c r="L995" s="12">
        <v>278.0</v>
      </c>
      <c r="M995" s="2" t="s">
        <v>2593</v>
      </c>
      <c r="N995" s="2" t="str">
        <f>IFERROR(__xludf.DUMMYFUNCTION("""COMPUTED_VALUE"""),"")</f>
        <v/>
      </c>
    </row>
    <row r="996">
      <c r="A996" s="2" t="s">
        <v>33</v>
      </c>
      <c r="B996" s="12">
        <v>970969.0</v>
      </c>
      <c r="C996" s="12">
        <v>971679.0</v>
      </c>
      <c r="D996" s="2"/>
      <c r="E996" s="2" t="s">
        <v>38</v>
      </c>
      <c r="F996" s="2" t="s">
        <v>2594</v>
      </c>
      <c r="G996" s="2"/>
      <c r="H996" s="12">
        <v>0.0</v>
      </c>
      <c r="I996" s="2" t="s">
        <v>40</v>
      </c>
      <c r="J996" s="2"/>
      <c r="K996" s="2" t="s">
        <v>2595</v>
      </c>
      <c r="L996" s="12">
        <v>236.0</v>
      </c>
      <c r="M996" s="2" t="s">
        <v>2596</v>
      </c>
      <c r="N996" s="2" t="str">
        <f>IFERROR(__xludf.DUMMYFUNCTION("""COMPUTED_VALUE"""),"")</f>
        <v/>
      </c>
    </row>
    <row r="997">
      <c r="A997" s="2" t="s">
        <v>33</v>
      </c>
      <c r="B997" s="12">
        <v>971797.0</v>
      </c>
      <c r="C997" s="12">
        <v>972570.0</v>
      </c>
      <c r="D997" s="2"/>
      <c r="E997" s="2" t="s">
        <v>38</v>
      </c>
      <c r="F997" s="2" t="s">
        <v>2597</v>
      </c>
      <c r="G997" s="2"/>
      <c r="H997" s="12">
        <v>0.0</v>
      </c>
      <c r="I997" s="2" t="s">
        <v>40</v>
      </c>
      <c r="J997" s="2"/>
      <c r="K997" s="2" t="s">
        <v>2598</v>
      </c>
      <c r="L997" s="12">
        <v>257.0</v>
      </c>
      <c r="M997" s="2" t="s">
        <v>2599</v>
      </c>
      <c r="N997" s="2" t="str">
        <f>IFERROR(__xludf.DUMMYFUNCTION("""COMPUTED_VALUE"""),"")</f>
        <v/>
      </c>
    </row>
    <row r="998">
      <c r="A998" s="2" t="s">
        <v>33</v>
      </c>
      <c r="B998" s="12">
        <v>972613.0</v>
      </c>
      <c r="C998" s="12">
        <v>973932.0</v>
      </c>
      <c r="D998" s="2"/>
      <c r="E998" s="2" t="s">
        <v>38</v>
      </c>
      <c r="F998" s="2" t="s">
        <v>2600</v>
      </c>
      <c r="G998" s="2" t="s">
        <v>2601</v>
      </c>
      <c r="H998" s="12">
        <v>0.0</v>
      </c>
      <c r="I998" s="2" t="s">
        <v>40</v>
      </c>
      <c r="J998" s="2"/>
      <c r="K998" s="2" t="s">
        <v>2602</v>
      </c>
      <c r="L998" s="12">
        <v>439.0</v>
      </c>
      <c r="M998" s="2" t="s">
        <v>2603</v>
      </c>
      <c r="N998" s="2" t="str">
        <f>IFERROR(__xludf.DUMMYFUNCTION("""COMPUTED_VALUE"""),"")</f>
        <v/>
      </c>
    </row>
    <row r="999">
      <c r="A999" s="2" t="s">
        <v>33</v>
      </c>
      <c r="B999" s="12">
        <v>973947.0</v>
      </c>
      <c r="C999" s="12">
        <v>976013.0</v>
      </c>
      <c r="D999" s="2"/>
      <c r="E999" s="2" t="s">
        <v>38</v>
      </c>
      <c r="F999" s="2" t="s">
        <v>2604</v>
      </c>
      <c r="G999" s="2" t="s">
        <v>2605</v>
      </c>
      <c r="H999" s="12">
        <v>0.0</v>
      </c>
      <c r="I999" s="2" t="s">
        <v>40</v>
      </c>
      <c r="J999" s="2"/>
      <c r="K999" s="2" t="s">
        <v>2606</v>
      </c>
      <c r="L999" s="12">
        <v>688.0</v>
      </c>
      <c r="M999" s="2" t="s">
        <v>2607</v>
      </c>
      <c r="N999" s="2" t="str">
        <f>IFERROR(__xludf.DUMMYFUNCTION("""COMPUTED_VALUE"""),"")</f>
        <v/>
      </c>
    </row>
    <row r="1000">
      <c r="A1000" s="2" t="s">
        <v>33</v>
      </c>
      <c r="B1000" s="12">
        <v>976037.0</v>
      </c>
      <c r="C1000" s="12">
        <v>977083.0</v>
      </c>
      <c r="D1000" s="2"/>
      <c r="E1000" s="2" t="s">
        <v>38</v>
      </c>
      <c r="F1000" s="2" t="s">
        <v>2608</v>
      </c>
      <c r="G1000" s="2" t="s">
        <v>2609</v>
      </c>
      <c r="H1000" s="12">
        <v>0.0</v>
      </c>
      <c r="I1000" s="2" t="s">
        <v>40</v>
      </c>
      <c r="J1000" s="2"/>
      <c r="K1000" s="2" t="s">
        <v>2610</v>
      </c>
      <c r="L1000" s="12">
        <v>348.0</v>
      </c>
      <c r="M1000" s="2" t="s">
        <v>2611</v>
      </c>
      <c r="N1000" s="2" t="str">
        <f>IFERROR(__xludf.DUMMYFUNCTION("""COMPUTED_VALUE"""),"")</f>
        <v/>
      </c>
    </row>
    <row r="1001">
      <c r="A1001" s="2" t="s">
        <v>33</v>
      </c>
      <c r="B1001" s="12">
        <v>977094.0</v>
      </c>
      <c r="C1001" s="12">
        <v>977855.0</v>
      </c>
      <c r="D1001" s="2"/>
      <c r="E1001" s="2" t="s">
        <v>38</v>
      </c>
      <c r="F1001" s="2" t="s">
        <v>2612</v>
      </c>
      <c r="G1001" s="2"/>
      <c r="H1001" s="12">
        <v>0.0</v>
      </c>
      <c r="I1001" s="2" t="s">
        <v>40</v>
      </c>
      <c r="J1001" s="2"/>
      <c r="K1001" s="2" t="s">
        <v>2613</v>
      </c>
      <c r="L1001" s="12">
        <v>253.0</v>
      </c>
      <c r="M1001" s="2" t="s">
        <v>2614</v>
      </c>
      <c r="N1001" s="2" t="str">
        <f>IFERROR(__xludf.DUMMYFUNCTION("""COMPUTED_VALUE"""),"")</f>
        <v/>
      </c>
    </row>
    <row r="1002">
      <c r="A1002" s="2" t="s">
        <v>33</v>
      </c>
      <c r="B1002" s="12">
        <v>977871.0</v>
      </c>
      <c r="C1002" s="12">
        <v>978146.0</v>
      </c>
      <c r="D1002" s="2"/>
      <c r="E1002" s="2" t="s">
        <v>38</v>
      </c>
      <c r="F1002" s="2" t="s">
        <v>2615</v>
      </c>
      <c r="G1002" s="2"/>
      <c r="H1002" s="12">
        <v>0.0</v>
      </c>
      <c r="I1002" s="2" t="s">
        <v>40</v>
      </c>
      <c r="J1002" s="2"/>
      <c r="K1002" s="2" t="s">
        <v>2616</v>
      </c>
      <c r="L1002" s="12">
        <v>91.0</v>
      </c>
      <c r="M1002" s="2" t="s">
        <v>2617</v>
      </c>
      <c r="N1002" s="2" t="str">
        <f>IFERROR(__xludf.DUMMYFUNCTION("""COMPUTED_VALUE"""),"")</f>
        <v/>
      </c>
    </row>
    <row r="1003">
      <c r="A1003" s="2" t="s">
        <v>33</v>
      </c>
      <c r="B1003" s="12">
        <v>978180.0</v>
      </c>
      <c r="C1003" s="12">
        <v>978938.0</v>
      </c>
      <c r="D1003" s="2"/>
      <c r="E1003" s="2" t="s">
        <v>38</v>
      </c>
      <c r="F1003" s="2" t="s">
        <v>2618</v>
      </c>
      <c r="G1003" s="2"/>
      <c r="H1003" s="12">
        <v>0.0</v>
      </c>
      <c r="I1003" s="2" t="s">
        <v>40</v>
      </c>
      <c r="J1003" s="2"/>
      <c r="K1003" s="2" t="s">
        <v>2619</v>
      </c>
      <c r="L1003" s="12">
        <v>252.0</v>
      </c>
      <c r="M1003" s="2" t="s">
        <v>2620</v>
      </c>
      <c r="N1003" s="2" t="str">
        <f>IFERROR(__xludf.DUMMYFUNCTION("""COMPUTED_VALUE"""),"")</f>
        <v/>
      </c>
    </row>
    <row r="1004">
      <c r="A1004" s="2" t="s">
        <v>33</v>
      </c>
      <c r="B1004" s="12">
        <v>978935.0</v>
      </c>
      <c r="C1004" s="12">
        <v>979255.0</v>
      </c>
      <c r="D1004" s="2"/>
      <c r="E1004" s="2" t="s">
        <v>38</v>
      </c>
      <c r="F1004" s="2" t="s">
        <v>39</v>
      </c>
      <c r="G1004" s="2"/>
      <c r="H1004" s="12">
        <v>0.0</v>
      </c>
      <c r="I1004" s="2" t="s">
        <v>40</v>
      </c>
      <c r="J1004" s="2"/>
      <c r="K1004" s="2" t="s">
        <v>2621</v>
      </c>
      <c r="L1004" s="12">
        <v>106.0</v>
      </c>
      <c r="M1004" s="2" t="s">
        <v>2622</v>
      </c>
      <c r="N1004" s="2" t="str">
        <f>IFERROR(__xludf.DUMMYFUNCTION("""COMPUTED_VALUE"""),"")</f>
        <v/>
      </c>
    </row>
    <row r="1005">
      <c r="A1005" s="2" t="s">
        <v>33</v>
      </c>
      <c r="B1005" s="12">
        <v>979268.0</v>
      </c>
      <c r="C1005" s="12">
        <v>979627.0</v>
      </c>
      <c r="D1005" s="2"/>
      <c r="E1005" s="2" t="s">
        <v>38</v>
      </c>
      <c r="F1005" s="2" t="s">
        <v>2623</v>
      </c>
      <c r="G1005" s="2" t="s">
        <v>2624</v>
      </c>
      <c r="H1005" s="12">
        <v>0.0</v>
      </c>
      <c r="I1005" s="2" t="s">
        <v>40</v>
      </c>
      <c r="J1005" s="2"/>
      <c r="K1005" s="2" t="s">
        <v>2625</v>
      </c>
      <c r="L1005" s="12">
        <v>119.0</v>
      </c>
      <c r="M1005" s="2" t="s">
        <v>2626</v>
      </c>
      <c r="N1005" s="2" t="str">
        <f>IFERROR(__xludf.DUMMYFUNCTION("""COMPUTED_VALUE"""),"")</f>
        <v/>
      </c>
    </row>
    <row r="1006">
      <c r="A1006" s="2" t="s">
        <v>33</v>
      </c>
      <c r="B1006" s="12">
        <v>979638.0</v>
      </c>
      <c r="C1006" s="12">
        <v>980624.0</v>
      </c>
      <c r="D1006" s="2"/>
      <c r="E1006" s="2" t="s">
        <v>38</v>
      </c>
      <c r="F1006" s="2" t="s">
        <v>2627</v>
      </c>
      <c r="G1006" s="2" t="s">
        <v>2628</v>
      </c>
      <c r="H1006" s="12">
        <v>0.0</v>
      </c>
      <c r="I1006" s="2" t="s">
        <v>40</v>
      </c>
      <c r="J1006" s="2"/>
      <c r="K1006" s="2" t="s">
        <v>2629</v>
      </c>
      <c r="L1006" s="12">
        <v>328.0</v>
      </c>
      <c r="M1006" s="2" t="s">
        <v>2630</v>
      </c>
      <c r="N1006" s="2" t="str">
        <f>IFERROR(__xludf.DUMMYFUNCTION("""COMPUTED_VALUE"""),"")</f>
        <v/>
      </c>
    </row>
    <row r="1007">
      <c r="A1007" s="2" t="s">
        <v>33</v>
      </c>
      <c r="B1007" s="12">
        <v>980639.0</v>
      </c>
      <c r="C1007" s="12">
        <v>980863.0</v>
      </c>
      <c r="D1007" s="2"/>
      <c r="E1007" s="2" t="s">
        <v>38</v>
      </c>
      <c r="F1007" s="2" t="s">
        <v>2623</v>
      </c>
      <c r="G1007" s="2"/>
      <c r="H1007" s="12">
        <v>0.0</v>
      </c>
      <c r="I1007" s="2" t="s">
        <v>40</v>
      </c>
      <c r="J1007" s="2"/>
      <c r="K1007" s="2" t="s">
        <v>2631</v>
      </c>
      <c r="L1007" s="12">
        <v>74.0</v>
      </c>
      <c r="M1007" s="2" t="s">
        <v>2632</v>
      </c>
      <c r="N1007" s="2" t="str">
        <f>IFERROR(__xludf.DUMMYFUNCTION("""COMPUTED_VALUE"""),"")</f>
        <v/>
      </c>
    </row>
    <row r="1008">
      <c r="A1008" s="2" t="s">
        <v>33</v>
      </c>
      <c r="B1008" s="12">
        <v>980926.0</v>
      </c>
      <c r="C1008" s="12">
        <v>981711.0</v>
      </c>
      <c r="D1008" s="2"/>
      <c r="E1008" s="2" t="s">
        <v>38</v>
      </c>
      <c r="F1008" s="2" t="s">
        <v>2633</v>
      </c>
      <c r="G1008" s="2"/>
      <c r="H1008" s="12">
        <v>0.0</v>
      </c>
      <c r="I1008" s="2" t="s">
        <v>40</v>
      </c>
      <c r="J1008" s="2"/>
      <c r="K1008" s="2" t="s">
        <v>2634</v>
      </c>
      <c r="L1008" s="12">
        <v>261.0</v>
      </c>
      <c r="M1008" s="2" t="s">
        <v>2635</v>
      </c>
      <c r="N1008" s="2" t="str">
        <f>IFERROR(__xludf.DUMMYFUNCTION("""COMPUTED_VALUE"""),"")</f>
        <v/>
      </c>
    </row>
    <row r="1009">
      <c r="A1009" s="2" t="s">
        <v>33</v>
      </c>
      <c r="B1009" s="12">
        <v>981968.0</v>
      </c>
      <c r="C1009" s="12">
        <v>982786.0</v>
      </c>
      <c r="D1009" s="2"/>
      <c r="E1009" s="2" t="s">
        <v>34</v>
      </c>
      <c r="F1009" s="2" t="s">
        <v>2636</v>
      </c>
      <c r="G1009" s="2"/>
      <c r="H1009" s="12">
        <v>0.0</v>
      </c>
      <c r="I1009" s="2" t="s">
        <v>40</v>
      </c>
      <c r="J1009" s="2"/>
      <c r="K1009" s="2" t="s">
        <v>2637</v>
      </c>
      <c r="L1009" s="12">
        <v>272.0</v>
      </c>
      <c r="M1009" s="2" t="s">
        <v>2638</v>
      </c>
      <c r="N1009" s="2" t="str">
        <f>IFERROR(__xludf.DUMMYFUNCTION("""COMPUTED_VALUE"""),"")</f>
        <v/>
      </c>
    </row>
    <row r="1010">
      <c r="A1010" s="2" t="s">
        <v>33</v>
      </c>
      <c r="B1010" s="12">
        <v>982871.0</v>
      </c>
      <c r="C1010" s="12">
        <v>983692.0</v>
      </c>
      <c r="D1010" s="2"/>
      <c r="E1010" s="2" t="s">
        <v>34</v>
      </c>
      <c r="F1010" s="2" t="s">
        <v>2636</v>
      </c>
      <c r="G1010" s="2"/>
      <c r="H1010" s="12">
        <v>0.0</v>
      </c>
      <c r="I1010" s="2" t="s">
        <v>40</v>
      </c>
      <c r="J1010" s="2"/>
      <c r="K1010" s="2" t="s">
        <v>2639</v>
      </c>
      <c r="L1010" s="12">
        <v>273.0</v>
      </c>
      <c r="M1010" s="2" t="s">
        <v>2640</v>
      </c>
      <c r="N1010" s="2" t="str">
        <f>IFERROR(__xludf.DUMMYFUNCTION("""COMPUTED_VALUE"""),"")</f>
        <v/>
      </c>
    </row>
    <row r="1011">
      <c r="A1011" s="2" t="s">
        <v>33</v>
      </c>
      <c r="B1011" s="12">
        <v>983777.0</v>
      </c>
      <c r="C1011" s="12">
        <v>984595.0</v>
      </c>
      <c r="D1011" s="2"/>
      <c r="E1011" s="2" t="s">
        <v>34</v>
      </c>
      <c r="F1011" s="2" t="s">
        <v>2636</v>
      </c>
      <c r="G1011" s="2"/>
      <c r="H1011" s="12">
        <v>0.0</v>
      </c>
      <c r="I1011" s="2" t="s">
        <v>40</v>
      </c>
      <c r="J1011" s="2"/>
      <c r="K1011" s="2" t="s">
        <v>2641</v>
      </c>
      <c r="L1011" s="12">
        <v>272.0</v>
      </c>
      <c r="M1011" s="2" t="s">
        <v>2642</v>
      </c>
      <c r="N1011" s="2" t="str">
        <f>IFERROR(__xludf.DUMMYFUNCTION("""COMPUTED_VALUE"""),"")</f>
        <v/>
      </c>
    </row>
    <row r="1012">
      <c r="A1012" s="2" t="s">
        <v>33</v>
      </c>
      <c r="B1012" s="12">
        <v>984834.0</v>
      </c>
      <c r="C1012" s="12">
        <v>985634.0</v>
      </c>
      <c r="D1012" s="2"/>
      <c r="E1012" s="2" t="s">
        <v>34</v>
      </c>
      <c r="F1012" s="2" t="s">
        <v>2636</v>
      </c>
      <c r="G1012" s="2"/>
      <c r="H1012" s="12">
        <v>0.0</v>
      </c>
      <c r="I1012" s="2" t="s">
        <v>40</v>
      </c>
      <c r="J1012" s="2"/>
      <c r="K1012" s="2" t="s">
        <v>2643</v>
      </c>
      <c r="L1012" s="12">
        <v>266.0</v>
      </c>
      <c r="M1012" s="2" t="s">
        <v>2644</v>
      </c>
      <c r="N1012" s="2" t="str">
        <f>IFERROR(__xludf.DUMMYFUNCTION("""COMPUTED_VALUE"""),"")</f>
        <v/>
      </c>
    </row>
    <row r="1013">
      <c r="A1013" s="2" t="s">
        <v>33</v>
      </c>
      <c r="B1013" s="12">
        <v>985730.0</v>
      </c>
      <c r="C1013" s="12">
        <v>986677.0</v>
      </c>
      <c r="D1013" s="2"/>
      <c r="E1013" s="2" t="s">
        <v>38</v>
      </c>
      <c r="F1013" s="2" t="s">
        <v>2645</v>
      </c>
      <c r="G1013" s="2"/>
      <c r="H1013" s="12">
        <v>0.0</v>
      </c>
      <c r="I1013" s="2" t="s">
        <v>40</v>
      </c>
      <c r="J1013" s="2"/>
      <c r="K1013" s="2" t="s">
        <v>2646</v>
      </c>
      <c r="L1013" s="12">
        <v>315.0</v>
      </c>
      <c r="M1013" s="2" t="s">
        <v>2647</v>
      </c>
      <c r="N1013" s="2" t="str">
        <f>IFERROR(__xludf.DUMMYFUNCTION("""COMPUTED_VALUE"""),"")</f>
        <v/>
      </c>
    </row>
    <row r="1014">
      <c r="A1014" s="2" t="s">
        <v>33</v>
      </c>
      <c r="B1014" s="12">
        <v>987401.0</v>
      </c>
      <c r="C1014" s="12">
        <v>988309.0</v>
      </c>
      <c r="D1014" s="2"/>
      <c r="E1014" s="2" t="s">
        <v>38</v>
      </c>
      <c r="F1014" s="2" t="s">
        <v>2648</v>
      </c>
      <c r="G1014" s="2"/>
      <c r="H1014" s="12">
        <v>0.0</v>
      </c>
      <c r="I1014" s="2" t="s">
        <v>40</v>
      </c>
      <c r="J1014" s="2"/>
      <c r="K1014" s="2" t="s">
        <v>2649</v>
      </c>
      <c r="L1014" s="12">
        <v>302.0</v>
      </c>
      <c r="M1014" s="2" t="s">
        <v>2650</v>
      </c>
      <c r="N1014" s="2" t="str">
        <f>IFERROR(__xludf.DUMMYFUNCTION("""COMPUTED_VALUE"""),"")</f>
        <v/>
      </c>
    </row>
    <row r="1015">
      <c r="A1015" s="2" t="s">
        <v>33</v>
      </c>
      <c r="B1015" s="12">
        <v>988433.0</v>
      </c>
      <c r="C1015" s="12">
        <v>988918.0</v>
      </c>
      <c r="D1015" s="2"/>
      <c r="E1015" s="2" t="s">
        <v>38</v>
      </c>
      <c r="F1015" s="2" t="s">
        <v>39</v>
      </c>
      <c r="G1015" s="2"/>
      <c r="H1015" s="12">
        <v>0.0</v>
      </c>
      <c r="I1015" s="2" t="s">
        <v>40</v>
      </c>
      <c r="J1015" s="2"/>
      <c r="K1015" s="2" t="s">
        <v>2651</v>
      </c>
      <c r="L1015" s="12">
        <v>161.0</v>
      </c>
      <c r="M1015" s="2" t="s">
        <v>2652</v>
      </c>
      <c r="N1015" s="2" t="str">
        <f>IFERROR(__xludf.DUMMYFUNCTION("""COMPUTED_VALUE"""),"")</f>
        <v/>
      </c>
    </row>
    <row r="1016">
      <c r="A1016" s="2" t="s">
        <v>33</v>
      </c>
      <c r="B1016" s="12">
        <v>989124.0</v>
      </c>
      <c r="C1016" s="12">
        <v>989459.0</v>
      </c>
      <c r="D1016" s="2"/>
      <c r="E1016" s="2" t="s">
        <v>38</v>
      </c>
      <c r="F1016" s="2" t="s">
        <v>2653</v>
      </c>
      <c r="G1016" s="2"/>
      <c r="H1016" s="12">
        <v>0.0</v>
      </c>
      <c r="I1016" s="2" t="s">
        <v>40</v>
      </c>
      <c r="J1016" s="2"/>
      <c r="K1016" s="2" t="s">
        <v>2654</v>
      </c>
      <c r="L1016" s="12">
        <v>111.0</v>
      </c>
      <c r="M1016" s="2" t="s">
        <v>2655</v>
      </c>
      <c r="N1016" s="2" t="str">
        <f>IFERROR(__xludf.DUMMYFUNCTION("""COMPUTED_VALUE"""),"")</f>
        <v/>
      </c>
    </row>
    <row r="1017">
      <c r="A1017" s="2" t="s">
        <v>33</v>
      </c>
      <c r="B1017" s="12">
        <v>989508.0</v>
      </c>
      <c r="C1017" s="12">
        <v>990821.0</v>
      </c>
      <c r="D1017" s="2"/>
      <c r="E1017" s="2" t="s">
        <v>38</v>
      </c>
      <c r="F1017" s="2" t="s">
        <v>2656</v>
      </c>
      <c r="G1017" s="2" t="s">
        <v>2657</v>
      </c>
      <c r="H1017" s="12">
        <v>0.0</v>
      </c>
      <c r="I1017" s="2" t="s">
        <v>40</v>
      </c>
      <c r="J1017" s="2"/>
      <c r="K1017" s="2" t="s">
        <v>2658</v>
      </c>
      <c r="L1017" s="12">
        <v>437.0</v>
      </c>
      <c r="M1017" s="2" t="s">
        <v>2659</v>
      </c>
      <c r="N1017" s="2" t="str">
        <f>IFERROR(__xludf.DUMMYFUNCTION("""COMPUTED_VALUE"""),"")</f>
        <v/>
      </c>
    </row>
    <row r="1018">
      <c r="A1018" s="2" t="s">
        <v>33</v>
      </c>
      <c r="B1018" s="12">
        <v>990843.0</v>
      </c>
      <c r="C1018" s="12">
        <v>991415.0</v>
      </c>
      <c r="D1018" s="2"/>
      <c r="E1018" s="2" t="s">
        <v>38</v>
      </c>
      <c r="F1018" s="2" t="s">
        <v>2660</v>
      </c>
      <c r="G1018" s="2"/>
      <c r="H1018" s="12">
        <v>0.0</v>
      </c>
      <c r="I1018" s="2" t="s">
        <v>40</v>
      </c>
      <c r="J1018" s="2"/>
      <c r="K1018" s="2" t="s">
        <v>2661</v>
      </c>
      <c r="L1018" s="12">
        <v>190.0</v>
      </c>
      <c r="M1018" s="2" t="s">
        <v>2662</v>
      </c>
      <c r="N1018" s="2" t="str">
        <f>IFERROR(__xludf.DUMMYFUNCTION("""COMPUTED_VALUE"""),"")</f>
        <v/>
      </c>
    </row>
    <row r="1019">
      <c r="A1019" s="2" t="s">
        <v>33</v>
      </c>
      <c r="B1019" s="12">
        <v>991419.0</v>
      </c>
      <c r="C1019" s="12">
        <v>992528.0</v>
      </c>
      <c r="D1019" s="2"/>
      <c r="E1019" s="2" t="s">
        <v>38</v>
      </c>
      <c r="F1019" s="2" t="s">
        <v>2663</v>
      </c>
      <c r="G1019" s="2"/>
      <c r="H1019" s="12">
        <v>0.0</v>
      </c>
      <c r="I1019" s="2" t="s">
        <v>40</v>
      </c>
      <c r="J1019" s="2"/>
      <c r="K1019" s="2" t="s">
        <v>2664</v>
      </c>
      <c r="L1019" s="12">
        <v>369.0</v>
      </c>
      <c r="M1019" s="2" t="s">
        <v>2665</v>
      </c>
      <c r="N1019" s="2" t="str">
        <f>IFERROR(__xludf.DUMMYFUNCTION("""COMPUTED_VALUE"""),"")</f>
        <v/>
      </c>
    </row>
    <row r="1020">
      <c r="A1020" s="2" t="s">
        <v>33</v>
      </c>
      <c r="B1020" s="12">
        <v>992539.0</v>
      </c>
      <c r="C1020" s="12">
        <v>992949.0</v>
      </c>
      <c r="D1020" s="2"/>
      <c r="E1020" s="2" t="s">
        <v>38</v>
      </c>
      <c r="F1020" s="2" t="s">
        <v>39</v>
      </c>
      <c r="G1020" s="2"/>
      <c r="H1020" s="12">
        <v>0.0</v>
      </c>
      <c r="I1020" s="2" t="s">
        <v>40</v>
      </c>
      <c r="J1020" s="2"/>
      <c r="K1020" s="2" t="s">
        <v>2666</v>
      </c>
      <c r="L1020" s="12">
        <v>136.0</v>
      </c>
      <c r="M1020" s="2" t="s">
        <v>2667</v>
      </c>
      <c r="N1020" s="2" t="str">
        <f>IFERROR(__xludf.DUMMYFUNCTION("""COMPUTED_VALUE"""),"")</f>
        <v/>
      </c>
    </row>
    <row r="1021">
      <c r="A1021" s="2" t="s">
        <v>33</v>
      </c>
      <c r="B1021" s="12">
        <v>993066.0</v>
      </c>
      <c r="C1021" s="12">
        <v>994370.0</v>
      </c>
      <c r="D1021" s="2"/>
      <c r="E1021" s="2" t="s">
        <v>38</v>
      </c>
      <c r="F1021" s="2" t="s">
        <v>2668</v>
      </c>
      <c r="G1021" s="2" t="s">
        <v>2669</v>
      </c>
      <c r="H1021" s="12">
        <v>0.0</v>
      </c>
      <c r="I1021" s="2" t="s">
        <v>40</v>
      </c>
      <c r="J1021" s="2"/>
      <c r="K1021" s="2" t="s">
        <v>2670</v>
      </c>
      <c r="L1021" s="12">
        <v>434.0</v>
      </c>
      <c r="M1021" s="2" t="s">
        <v>2671</v>
      </c>
      <c r="N1021" s="2" t="str">
        <f>IFERROR(__xludf.DUMMYFUNCTION("""COMPUTED_VALUE"""),"")</f>
        <v/>
      </c>
    </row>
    <row r="1022">
      <c r="A1022" s="2" t="s">
        <v>33</v>
      </c>
      <c r="B1022" s="12">
        <v>994367.0</v>
      </c>
      <c r="C1022" s="12">
        <v>995056.0</v>
      </c>
      <c r="D1022" s="2"/>
      <c r="E1022" s="2" t="s">
        <v>38</v>
      </c>
      <c r="F1022" s="2" t="s">
        <v>2672</v>
      </c>
      <c r="G1022" s="2"/>
      <c r="H1022" s="12">
        <v>0.0</v>
      </c>
      <c r="I1022" s="2" t="s">
        <v>40</v>
      </c>
      <c r="J1022" s="2"/>
      <c r="K1022" s="2" t="s">
        <v>2673</v>
      </c>
      <c r="L1022" s="12">
        <v>229.0</v>
      </c>
      <c r="M1022" s="2" t="s">
        <v>2674</v>
      </c>
      <c r="N1022" s="2" t="str">
        <f>IFERROR(__xludf.DUMMYFUNCTION("""COMPUTED_VALUE"""),"")</f>
        <v/>
      </c>
    </row>
    <row r="1023">
      <c r="A1023" s="2" t="s">
        <v>33</v>
      </c>
      <c r="B1023" s="12">
        <v>995043.0</v>
      </c>
      <c r="C1023" s="12">
        <v>996047.0</v>
      </c>
      <c r="D1023" s="2"/>
      <c r="E1023" s="2" t="s">
        <v>38</v>
      </c>
      <c r="F1023" s="2" t="s">
        <v>2675</v>
      </c>
      <c r="G1023" s="2" t="s">
        <v>2676</v>
      </c>
      <c r="H1023" s="12">
        <v>0.0</v>
      </c>
      <c r="I1023" s="2" t="s">
        <v>40</v>
      </c>
      <c r="J1023" s="2"/>
      <c r="K1023" s="2" t="s">
        <v>2677</v>
      </c>
      <c r="L1023" s="12">
        <v>334.0</v>
      </c>
      <c r="M1023" s="2" t="s">
        <v>2678</v>
      </c>
      <c r="N1023" s="2" t="str">
        <f>IFERROR(__xludf.DUMMYFUNCTION("""COMPUTED_VALUE"""),"")</f>
        <v/>
      </c>
    </row>
    <row r="1024">
      <c r="A1024" s="2" t="s">
        <v>33</v>
      </c>
      <c r="B1024" s="12">
        <v>996061.0</v>
      </c>
      <c r="C1024" s="12">
        <v>997635.0</v>
      </c>
      <c r="D1024" s="2"/>
      <c r="E1024" s="2" t="s">
        <v>38</v>
      </c>
      <c r="F1024" s="2" t="s">
        <v>2679</v>
      </c>
      <c r="G1024" s="2"/>
      <c r="H1024" s="12">
        <v>0.0</v>
      </c>
      <c r="I1024" s="2" t="s">
        <v>40</v>
      </c>
      <c r="J1024" s="2"/>
      <c r="K1024" s="2" t="s">
        <v>2680</v>
      </c>
      <c r="L1024" s="12">
        <v>524.0</v>
      </c>
      <c r="M1024" s="2" t="s">
        <v>2681</v>
      </c>
      <c r="N1024" s="2" t="str">
        <f>IFERROR(__xludf.DUMMYFUNCTION("""COMPUTED_VALUE"""),"")</f>
        <v/>
      </c>
    </row>
    <row r="1025">
      <c r="A1025" s="2" t="s">
        <v>33</v>
      </c>
      <c r="B1025" s="12">
        <v>997658.0</v>
      </c>
      <c r="C1025" s="12">
        <v>997957.0</v>
      </c>
      <c r="D1025" s="2"/>
      <c r="E1025" s="2" t="s">
        <v>38</v>
      </c>
      <c r="F1025" s="2" t="s">
        <v>2682</v>
      </c>
      <c r="G1025" s="2" t="s">
        <v>2683</v>
      </c>
      <c r="H1025" s="12">
        <v>0.0</v>
      </c>
      <c r="I1025" s="2" t="s">
        <v>40</v>
      </c>
      <c r="J1025" s="2"/>
      <c r="K1025" s="2" t="s">
        <v>2684</v>
      </c>
      <c r="L1025" s="12">
        <v>99.0</v>
      </c>
      <c r="M1025" s="2" t="s">
        <v>2685</v>
      </c>
      <c r="N1025" s="2" t="str">
        <f>IFERROR(__xludf.DUMMYFUNCTION("""COMPUTED_VALUE"""),"")</f>
        <v/>
      </c>
    </row>
    <row r="1026">
      <c r="A1026" s="2" t="s">
        <v>33</v>
      </c>
      <c r="B1026" s="12">
        <v>997974.0</v>
      </c>
      <c r="C1026" s="12">
        <v>998387.0</v>
      </c>
      <c r="D1026" s="2"/>
      <c r="E1026" s="2" t="s">
        <v>38</v>
      </c>
      <c r="F1026" s="2" t="s">
        <v>2686</v>
      </c>
      <c r="G1026" s="2" t="s">
        <v>2687</v>
      </c>
      <c r="H1026" s="12">
        <v>0.0</v>
      </c>
      <c r="I1026" s="2" t="s">
        <v>40</v>
      </c>
      <c r="J1026" s="2"/>
      <c r="K1026" s="2" t="s">
        <v>2688</v>
      </c>
      <c r="L1026" s="12">
        <v>137.0</v>
      </c>
      <c r="M1026" s="2" t="s">
        <v>2689</v>
      </c>
      <c r="N1026" s="2" t="str">
        <f>IFERROR(__xludf.DUMMYFUNCTION("""COMPUTED_VALUE"""),"")</f>
        <v/>
      </c>
    </row>
    <row r="1027">
      <c r="A1027" s="2" t="s">
        <v>33</v>
      </c>
      <c r="B1027" s="12">
        <v>998409.0</v>
      </c>
      <c r="C1027" s="12">
        <v>998867.0</v>
      </c>
      <c r="D1027" s="2"/>
      <c r="E1027" s="2" t="s">
        <v>38</v>
      </c>
      <c r="F1027" s="2" t="s">
        <v>2690</v>
      </c>
      <c r="G1027" s="2" t="s">
        <v>2691</v>
      </c>
      <c r="H1027" s="12">
        <v>0.0</v>
      </c>
      <c r="I1027" s="2" t="s">
        <v>40</v>
      </c>
      <c r="J1027" s="2"/>
      <c r="K1027" s="2" t="s">
        <v>2692</v>
      </c>
      <c r="L1027" s="12">
        <v>152.0</v>
      </c>
      <c r="M1027" s="2" t="s">
        <v>2693</v>
      </c>
      <c r="N1027" s="2" t="str">
        <f>IFERROR(__xludf.DUMMYFUNCTION("""COMPUTED_VALUE"""),"")</f>
        <v/>
      </c>
    </row>
    <row r="1028">
      <c r="A1028" s="2" t="s">
        <v>33</v>
      </c>
      <c r="B1028" s="12">
        <v>999186.0</v>
      </c>
      <c r="C1028" s="12">
        <v>999458.0</v>
      </c>
      <c r="D1028" s="2"/>
      <c r="E1028" s="2" t="s">
        <v>38</v>
      </c>
      <c r="F1028" s="2" t="s">
        <v>39</v>
      </c>
      <c r="G1028" s="2"/>
      <c r="H1028" s="12">
        <v>0.0</v>
      </c>
      <c r="I1028" s="2" t="s">
        <v>40</v>
      </c>
      <c r="J1028" s="2"/>
      <c r="K1028" s="2" t="s">
        <v>2694</v>
      </c>
      <c r="L1028" s="12">
        <v>90.0</v>
      </c>
      <c r="M1028" s="2" t="s">
        <v>2695</v>
      </c>
      <c r="N1028" s="2" t="str">
        <f>IFERROR(__xludf.DUMMYFUNCTION("""COMPUTED_VALUE"""),"")</f>
        <v/>
      </c>
    </row>
    <row r="1029">
      <c r="A1029" s="2" t="s">
        <v>33</v>
      </c>
      <c r="B1029" s="12">
        <v>999448.0</v>
      </c>
      <c r="C1029" s="12">
        <v>999816.0</v>
      </c>
      <c r="D1029" s="2"/>
      <c r="E1029" s="2" t="s">
        <v>38</v>
      </c>
      <c r="F1029" s="2" t="s">
        <v>2696</v>
      </c>
      <c r="G1029" s="2" t="s">
        <v>2697</v>
      </c>
      <c r="H1029" s="12">
        <v>0.0</v>
      </c>
      <c r="I1029" s="2" t="s">
        <v>40</v>
      </c>
      <c r="J1029" s="2"/>
      <c r="K1029" s="2" t="s">
        <v>2698</v>
      </c>
      <c r="L1029" s="12">
        <v>122.0</v>
      </c>
      <c r="M1029" s="2" t="s">
        <v>2699</v>
      </c>
      <c r="N1029" s="2" t="str">
        <f>IFERROR(__xludf.DUMMYFUNCTION("""COMPUTED_VALUE"""),"")</f>
        <v/>
      </c>
    </row>
    <row r="1030">
      <c r="A1030" s="2" t="s">
        <v>33</v>
      </c>
      <c r="B1030" s="12">
        <v>999839.0</v>
      </c>
      <c r="C1030" s="12">
        <v>1001215.0</v>
      </c>
      <c r="D1030" s="2"/>
      <c r="E1030" s="2" t="s">
        <v>38</v>
      </c>
      <c r="F1030" s="2" t="s">
        <v>2700</v>
      </c>
      <c r="G1030" s="2"/>
      <c r="H1030" s="12">
        <v>0.0</v>
      </c>
      <c r="I1030" s="2" t="s">
        <v>40</v>
      </c>
      <c r="J1030" s="2"/>
      <c r="K1030" s="2" t="s">
        <v>2701</v>
      </c>
      <c r="L1030" s="12">
        <v>458.0</v>
      </c>
      <c r="M1030" s="2" t="s">
        <v>2702</v>
      </c>
      <c r="N1030" s="2" t="str">
        <f>IFERROR(__xludf.DUMMYFUNCTION("""COMPUTED_VALUE"""),"")</f>
        <v/>
      </c>
    </row>
    <row r="1031">
      <c r="A1031" s="2" t="s">
        <v>33</v>
      </c>
      <c r="B1031" s="12">
        <v>1001235.0</v>
      </c>
      <c r="C1031" s="12">
        <v>1002098.0</v>
      </c>
      <c r="D1031" s="2"/>
      <c r="E1031" s="2" t="s">
        <v>38</v>
      </c>
      <c r="F1031" s="2" t="s">
        <v>2703</v>
      </c>
      <c r="G1031" s="2"/>
      <c r="H1031" s="12">
        <v>0.0</v>
      </c>
      <c r="I1031" s="2" t="s">
        <v>40</v>
      </c>
      <c r="J1031" s="2"/>
      <c r="K1031" s="2" t="s">
        <v>2704</v>
      </c>
      <c r="L1031" s="12">
        <v>287.0</v>
      </c>
      <c r="M1031" s="2" t="s">
        <v>2705</v>
      </c>
      <c r="N1031" s="2" t="str">
        <f>IFERROR(__xludf.DUMMYFUNCTION("""COMPUTED_VALUE"""),"")</f>
        <v/>
      </c>
    </row>
    <row r="1032">
      <c r="A1032" s="2" t="s">
        <v>33</v>
      </c>
      <c r="B1032" s="12">
        <v>1002150.0</v>
      </c>
      <c r="C1032" s="12">
        <v>1003448.0</v>
      </c>
      <c r="D1032" s="2"/>
      <c r="E1032" s="2" t="s">
        <v>38</v>
      </c>
      <c r="F1032" s="2" t="s">
        <v>2706</v>
      </c>
      <c r="G1032" s="2" t="s">
        <v>2707</v>
      </c>
      <c r="H1032" s="12">
        <v>0.0</v>
      </c>
      <c r="I1032" s="2" t="s">
        <v>40</v>
      </c>
      <c r="J1032" s="2"/>
      <c r="K1032" s="2" t="s">
        <v>2708</v>
      </c>
      <c r="L1032" s="12">
        <v>432.0</v>
      </c>
      <c r="M1032" s="2" t="s">
        <v>2709</v>
      </c>
      <c r="N1032" s="2" t="str">
        <f>IFERROR(__xludf.DUMMYFUNCTION("""COMPUTED_VALUE"""),"")</f>
        <v/>
      </c>
    </row>
    <row r="1033">
      <c r="A1033" s="2" t="s">
        <v>33</v>
      </c>
      <c r="B1033" s="12">
        <v>1003466.0</v>
      </c>
      <c r="C1033" s="12">
        <v>1003918.0</v>
      </c>
      <c r="D1033" s="2"/>
      <c r="E1033" s="2" t="s">
        <v>38</v>
      </c>
      <c r="F1033" s="2" t="s">
        <v>39</v>
      </c>
      <c r="G1033" s="2"/>
      <c r="H1033" s="12">
        <v>0.0</v>
      </c>
      <c r="I1033" s="2" t="s">
        <v>40</v>
      </c>
      <c r="J1033" s="2"/>
      <c r="K1033" s="2" t="s">
        <v>2710</v>
      </c>
      <c r="L1033" s="12">
        <v>150.0</v>
      </c>
      <c r="M1033" s="2" t="s">
        <v>2711</v>
      </c>
      <c r="N1033" s="2" t="str">
        <f>IFERROR(__xludf.DUMMYFUNCTION("""COMPUTED_VALUE"""),"")</f>
        <v/>
      </c>
    </row>
    <row r="1034">
      <c r="A1034" s="2" t="s">
        <v>33</v>
      </c>
      <c r="B1034" s="12">
        <v>1003934.0</v>
      </c>
      <c r="C1034" s="12">
        <v>1004398.0</v>
      </c>
      <c r="D1034" s="2"/>
      <c r="E1034" s="2" t="s">
        <v>38</v>
      </c>
      <c r="F1034" s="2" t="s">
        <v>2712</v>
      </c>
      <c r="G1034" s="2"/>
      <c r="H1034" s="12">
        <v>0.0</v>
      </c>
      <c r="I1034" s="2" t="s">
        <v>40</v>
      </c>
      <c r="J1034" s="2"/>
      <c r="K1034" s="2" t="s">
        <v>2713</v>
      </c>
      <c r="L1034" s="12">
        <v>154.0</v>
      </c>
      <c r="M1034" s="2" t="s">
        <v>2714</v>
      </c>
      <c r="N1034" s="2" t="str">
        <f>IFERROR(__xludf.DUMMYFUNCTION("""COMPUTED_VALUE"""),"")</f>
        <v/>
      </c>
    </row>
    <row r="1035">
      <c r="A1035" s="2" t="s">
        <v>33</v>
      </c>
      <c r="B1035" s="12">
        <v>1004542.0</v>
      </c>
      <c r="C1035" s="12">
        <v>1005039.0</v>
      </c>
      <c r="D1035" s="2"/>
      <c r="E1035" s="2" t="s">
        <v>34</v>
      </c>
      <c r="F1035" s="2" t="s">
        <v>2675</v>
      </c>
      <c r="G1035" s="2"/>
      <c r="H1035" s="12">
        <v>0.0</v>
      </c>
      <c r="I1035" s="2" t="s">
        <v>40</v>
      </c>
      <c r="J1035" s="2"/>
      <c r="K1035" s="2" t="s">
        <v>2715</v>
      </c>
      <c r="L1035" s="12">
        <v>165.0</v>
      </c>
      <c r="M1035" s="2" t="s">
        <v>2716</v>
      </c>
      <c r="N1035" s="2" t="str">
        <f>IFERROR(__xludf.DUMMYFUNCTION("""COMPUTED_VALUE"""),"")</f>
        <v/>
      </c>
    </row>
    <row r="1036">
      <c r="A1036" s="2" t="s">
        <v>33</v>
      </c>
      <c r="B1036" s="12">
        <v>1005079.0</v>
      </c>
      <c r="C1036" s="12">
        <v>1005861.0</v>
      </c>
      <c r="D1036" s="2"/>
      <c r="E1036" s="2" t="s">
        <v>34</v>
      </c>
      <c r="F1036" s="2" t="s">
        <v>2717</v>
      </c>
      <c r="G1036" s="2" t="s">
        <v>2718</v>
      </c>
      <c r="H1036" s="12">
        <v>0.0</v>
      </c>
      <c r="I1036" s="2" t="s">
        <v>40</v>
      </c>
      <c r="J1036" s="2"/>
      <c r="K1036" s="2" t="s">
        <v>2719</v>
      </c>
      <c r="L1036" s="12">
        <v>260.0</v>
      </c>
      <c r="M1036" s="2" t="s">
        <v>2720</v>
      </c>
      <c r="N1036" s="2" t="str">
        <f>IFERROR(__xludf.DUMMYFUNCTION("""COMPUTED_VALUE"""),"")</f>
        <v/>
      </c>
    </row>
    <row r="1037">
      <c r="A1037" s="2" t="s">
        <v>33</v>
      </c>
      <c r="B1037" s="12">
        <v>1005893.0</v>
      </c>
      <c r="C1037" s="12">
        <v>1006609.0</v>
      </c>
      <c r="D1037" s="2"/>
      <c r="E1037" s="2" t="s">
        <v>38</v>
      </c>
      <c r="F1037" s="2" t="s">
        <v>39</v>
      </c>
      <c r="G1037" s="2"/>
      <c r="H1037" s="12">
        <v>0.0</v>
      </c>
      <c r="I1037" s="2" t="s">
        <v>40</v>
      </c>
      <c r="J1037" s="2"/>
      <c r="K1037" s="2" t="s">
        <v>2721</v>
      </c>
      <c r="L1037" s="12">
        <v>238.0</v>
      </c>
      <c r="M1037" s="2" t="s">
        <v>2722</v>
      </c>
      <c r="N1037" s="2" t="str">
        <f>IFERROR(__xludf.DUMMYFUNCTION("""COMPUTED_VALUE"""),"")</f>
        <v/>
      </c>
    </row>
    <row r="1038">
      <c r="A1038" s="2" t="s">
        <v>33</v>
      </c>
      <c r="B1038" s="12">
        <v>1006637.0</v>
      </c>
      <c r="C1038" s="12">
        <v>1008007.0</v>
      </c>
      <c r="D1038" s="2"/>
      <c r="E1038" s="2" t="s">
        <v>38</v>
      </c>
      <c r="F1038" s="2" t="s">
        <v>39</v>
      </c>
      <c r="G1038" s="2"/>
      <c r="H1038" s="12">
        <v>0.0</v>
      </c>
      <c r="I1038" s="2" t="s">
        <v>40</v>
      </c>
      <c r="J1038" s="2"/>
      <c r="K1038" s="2" t="s">
        <v>2723</v>
      </c>
      <c r="L1038" s="12">
        <v>456.0</v>
      </c>
      <c r="M1038" s="2" t="s">
        <v>2724</v>
      </c>
      <c r="N1038" s="2" t="str">
        <f>IFERROR(__xludf.DUMMYFUNCTION("""COMPUTED_VALUE"""),"")</f>
        <v/>
      </c>
    </row>
    <row r="1039">
      <c r="A1039" s="2" t="s">
        <v>33</v>
      </c>
      <c r="B1039" s="12">
        <v>1008037.0</v>
      </c>
      <c r="C1039" s="12">
        <v>1009677.0</v>
      </c>
      <c r="D1039" s="2"/>
      <c r="E1039" s="2" t="s">
        <v>38</v>
      </c>
      <c r="F1039" s="2" t="s">
        <v>2725</v>
      </c>
      <c r="G1039" s="2"/>
      <c r="H1039" s="12">
        <v>0.0</v>
      </c>
      <c r="I1039" s="2" t="s">
        <v>40</v>
      </c>
      <c r="J1039" s="2"/>
      <c r="K1039" s="2" t="s">
        <v>2726</v>
      </c>
      <c r="L1039" s="12">
        <v>546.0</v>
      </c>
      <c r="M1039" s="2" t="s">
        <v>2727</v>
      </c>
      <c r="N1039" s="2" t="str">
        <f>IFERROR(__xludf.DUMMYFUNCTION("""COMPUTED_VALUE"""),"")</f>
        <v/>
      </c>
    </row>
    <row r="1040">
      <c r="A1040" s="2" t="s">
        <v>33</v>
      </c>
      <c r="B1040" s="12">
        <v>1009847.0</v>
      </c>
      <c r="C1040" s="12">
        <v>1011865.0</v>
      </c>
      <c r="D1040" s="2"/>
      <c r="E1040" s="2" t="s">
        <v>38</v>
      </c>
      <c r="F1040" s="2" t="s">
        <v>2728</v>
      </c>
      <c r="G1040" s="2"/>
      <c r="H1040" s="12">
        <v>0.0</v>
      </c>
      <c r="I1040" s="2" t="s">
        <v>40</v>
      </c>
      <c r="J1040" s="2"/>
      <c r="K1040" s="2" t="s">
        <v>2729</v>
      </c>
      <c r="L1040" s="12">
        <v>672.0</v>
      </c>
      <c r="M1040" s="2" t="s">
        <v>2730</v>
      </c>
      <c r="N1040" s="2" t="str">
        <f>IFERROR(__xludf.DUMMYFUNCTION("""COMPUTED_VALUE"""),"")</f>
        <v/>
      </c>
    </row>
    <row r="1041">
      <c r="A1041" s="2" t="s">
        <v>33</v>
      </c>
      <c r="B1041" s="12">
        <v>1011995.0</v>
      </c>
      <c r="C1041" s="12">
        <v>1012363.0</v>
      </c>
      <c r="D1041" s="2"/>
      <c r="E1041" s="2" t="s">
        <v>38</v>
      </c>
      <c r="F1041" s="2" t="s">
        <v>2401</v>
      </c>
      <c r="G1041" s="2"/>
      <c r="H1041" s="12">
        <v>0.0</v>
      </c>
      <c r="I1041" s="2" t="s">
        <v>40</v>
      </c>
      <c r="J1041" s="2"/>
      <c r="K1041" s="2" t="s">
        <v>2731</v>
      </c>
      <c r="L1041" s="12">
        <v>122.0</v>
      </c>
      <c r="M1041" s="2" t="s">
        <v>2732</v>
      </c>
      <c r="N1041" s="2" t="str">
        <f>IFERROR(__xludf.DUMMYFUNCTION("""COMPUTED_VALUE"""),"")</f>
        <v/>
      </c>
    </row>
    <row r="1042">
      <c r="A1042" s="2" t="s">
        <v>33</v>
      </c>
      <c r="B1042" s="12">
        <v>1012514.0</v>
      </c>
      <c r="C1042" s="12">
        <v>1013191.0</v>
      </c>
      <c r="D1042" s="2"/>
      <c r="E1042" s="2" t="s">
        <v>38</v>
      </c>
      <c r="F1042" s="2" t="s">
        <v>2733</v>
      </c>
      <c r="G1042" s="2"/>
      <c r="H1042" s="12">
        <v>0.0</v>
      </c>
      <c r="I1042" s="2" t="s">
        <v>40</v>
      </c>
      <c r="J1042" s="2"/>
      <c r="K1042" s="2" t="s">
        <v>2734</v>
      </c>
      <c r="L1042" s="12">
        <v>225.0</v>
      </c>
      <c r="M1042" s="2" t="s">
        <v>2735</v>
      </c>
      <c r="N1042" s="2" t="str">
        <f>IFERROR(__xludf.DUMMYFUNCTION("""COMPUTED_VALUE"""),"")</f>
        <v/>
      </c>
    </row>
    <row r="1043">
      <c r="A1043" s="2" t="s">
        <v>33</v>
      </c>
      <c r="B1043" s="12">
        <v>1013211.0</v>
      </c>
      <c r="C1043" s="12">
        <v>1014044.0</v>
      </c>
      <c r="D1043" s="2"/>
      <c r="E1043" s="2" t="s">
        <v>38</v>
      </c>
      <c r="F1043" s="2" t="s">
        <v>2736</v>
      </c>
      <c r="G1043" s="2"/>
      <c r="H1043" s="12">
        <v>0.0</v>
      </c>
      <c r="I1043" s="2" t="s">
        <v>40</v>
      </c>
      <c r="J1043" s="2"/>
      <c r="K1043" s="2" t="s">
        <v>2737</v>
      </c>
      <c r="L1043" s="12">
        <v>277.0</v>
      </c>
      <c r="M1043" s="2" t="s">
        <v>2738</v>
      </c>
      <c r="N1043" s="2" t="str">
        <f>IFERROR(__xludf.DUMMYFUNCTION("""COMPUTED_VALUE"""),"")</f>
        <v/>
      </c>
    </row>
    <row r="1044">
      <c r="A1044" s="2" t="s">
        <v>33</v>
      </c>
      <c r="B1044" s="12">
        <v>1014217.0</v>
      </c>
      <c r="C1044" s="12">
        <v>1014819.0</v>
      </c>
      <c r="D1044" s="2"/>
      <c r="E1044" s="2" t="s">
        <v>34</v>
      </c>
      <c r="F1044" s="2" t="s">
        <v>1265</v>
      </c>
      <c r="G1044" s="2"/>
      <c r="H1044" s="12">
        <v>0.0</v>
      </c>
      <c r="I1044" s="2" t="s">
        <v>40</v>
      </c>
      <c r="J1044" s="2"/>
      <c r="K1044" s="2" t="s">
        <v>2739</v>
      </c>
      <c r="L1044" s="12">
        <v>200.0</v>
      </c>
      <c r="M1044" s="2" t="s">
        <v>2740</v>
      </c>
      <c r="N1044" s="2" t="str">
        <f>IFERROR(__xludf.DUMMYFUNCTION("""COMPUTED_VALUE"""),"")</f>
        <v/>
      </c>
    </row>
    <row r="1045">
      <c r="A1045" s="2" t="s">
        <v>33</v>
      </c>
      <c r="B1045" s="12">
        <v>1014847.0</v>
      </c>
      <c r="C1045" s="12">
        <v>1015035.0</v>
      </c>
      <c r="D1045" s="2"/>
      <c r="E1045" s="2" t="s">
        <v>38</v>
      </c>
      <c r="F1045" s="2" t="s">
        <v>2741</v>
      </c>
      <c r="G1045" s="2" t="s">
        <v>2742</v>
      </c>
      <c r="H1045" s="12">
        <v>0.0</v>
      </c>
      <c r="I1045" s="2" t="s">
        <v>40</v>
      </c>
      <c r="J1045" s="2"/>
      <c r="K1045" s="2" t="s">
        <v>2743</v>
      </c>
      <c r="L1045" s="12">
        <v>62.0</v>
      </c>
      <c r="M1045" s="2" t="s">
        <v>2744</v>
      </c>
      <c r="N1045" s="2" t="str">
        <f>IFERROR(__xludf.DUMMYFUNCTION("""COMPUTED_VALUE"""),"")</f>
        <v/>
      </c>
    </row>
    <row r="1046">
      <c r="A1046" s="2" t="s">
        <v>33</v>
      </c>
      <c r="B1046" s="12">
        <v>1015089.0</v>
      </c>
      <c r="C1046" s="12">
        <v>1015307.0</v>
      </c>
      <c r="D1046" s="2"/>
      <c r="E1046" s="2" t="s">
        <v>38</v>
      </c>
      <c r="F1046" s="2" t="s">
        <v>731</v>
      </c>
      <c r="G1046" s="2"/>
      <c r="H1046" s="12">
        <v>0.0</v>
      </c>
      <c r="I1046" s="2" t="s">
        <v>40</v>
      </c>
      <c r="J1046" s="2"/>
      <c r="K1046" s="2" t="s">
        <v>2745</v>
      </c>
      <c r="L1046" s="12">
        <v>72.0</v>
      </c>
      <c r="M1046" s="2" t="s">
        <v>2746</v>
      </c>
      <c r="N1046" s="2" t="str">
        <f>IFERROR(__xludf.DUMMYFUNCTION("""COMPUTED_VALUE"""),"")</f>
        <v/>
      </c>
    </row>
    <row r="1047">
      <c r="A1047" s="2" t="s">
        <v>33</v>
      </c>
      <c r="B1047" s="12">
        <v>1015540.0</v>
      </c>
      <c r="C1047" s="12">
        <v>1015659.0</v>
      </c>
      <c r="D1047" s="2"/>
      <c r="E1047" s="2" t="s">
        <v>34</v>
      </c>
      <c r="F1047" s="2" t="s">
        <v>560</v>
      </c>
      <c r="G1047" s="2"/>
      <c r="H1047" s="12">
        <v>0.0</v>
      </c>
      <c r="I1047" s="2" t="s">
        <v>40</v>
      </c>
      <c r="J1047" s="2"/>
      <c r="K1047" s="2" t="s">
        <v>2747</v>
      </c>
      <c r="L1047" s="12">
        <v>39.0</v>
      </c>
      <c r="M1047" s="2" t="s">
        <v>2748</v>
      </c>
      <c r="N1047" s="2" t="str">
        <f>IFERROR(__xludf.DUMMYFUNCTION("""COMPUTED_VALUE"""),"")</f>
        <v/>
      </c>
    </row>
    <row r="1048">
      <c r="A1048" s="2" t="s">
        <v>33</v>
      </c>
      <c r="B1048" s="12">
        <v>1015949.0</v>
      </c>
      <c r="C1048" s="12">
        <v>1017148.0</v>
      </c>
      <c r="D1048" s="2"/>
      <c r="E1048" s="2" t="s">
        <v>34</v>
      </c>
      <c r="F1048" s="2" t="s">
        <v>88</v>
      </c>
      <c r="G1048" s="2"/>
      <c r="H1048" s="12">
        <v>0.0</v>
      </c>
      <c r="I1048" s="2" t="s">
        <v>40</v>
      </c>
      <c r="J1048" s="2"/>
      <c r="K1048" s="2" t="s">
        <v>2749</v>
      </c>
      <c r="L1048" s="12">
        <v>399.0</v>
      </c>
      <c r="M1048" s="2" t="s">
        <v>2750</v>
      </c>
      <c r="N1048" s="2" t="str">
        <f>IFERROR(__xludf.DUMMYFUNCTION("""COMPUTED_VALUE"""),"")</f>
        <v/>
      </c>
    </row>
    <row r="1049">
      <c r="A1049" s="2" t="s">
        <v>33</v>
      </c>
      <c r="B1049" s="12">
        <v>1017370.0</v>
      </c>
      <c r="C1049" s="12">
        <v>1018095.0</v>
      </c>
      <c r="D1049" s="2"/>
      <c r="E1049" s="2" t="s">
        <v>34</v>
      </c>
      <c r="F1049" s="2" t="s">
        <v>2751</v>
      </c>
      <c r="G1049" s="2"/>
      <c r="H1049" s="12">
        <v>0.0</v>
      </c>
      <c r="I1049" s="2" t="s">
        <v>40</v>
      </c>
      <c r="J1049" s="2"/>
      <c r="K1049" s="2" t="s">
        <v>2752</v>
      </c>
      <c r="L1049" s="12">
        <v>241.0</v>
      </c>
      <c r="M1049" s="2" t="s">
        <v>2753</v>
      </c>
      <c r="N1049" s="2" t="str">
        <f>IFERROR(__xludf.DUMMYFUNCTION("""COMPUTED_VALUE"""),"")</f>
        <v/>
      </c>
    </row>
    <row r="1050">
      <c r="A1050" s="2" t="s">
        <v>33</v>
      </c>
      <c r="B1050" s="12">
        <v>1018471.0</v>
      </c>
      <c r="C1050" s="12">
        <v>1019205.0</v>
      </c>
      <c r="D1050" s="2"/>
      <c r="E1050" s="2" t="s">
        <v>38</v>
      </c>
      <c r="F1050" s="2" t="s">
        <v>2754</v>
      </c>
      <c r="G1050" s="2" t="s">
        <v>2755</v>
      </c>
      <c r="H1050" s="12">
        <v>0.0</v>
      </c>
      <c r="I1050" s="2" t="s">
        <v>40</v>
      </c>
      <c r="J1050" s="2"/>
      <c r="K1050" s="2" t="s">
        <v>2756</v>
      </c>
      <c r="L1050" s="12">
        <v>244.0</v>
      </c>
      <c r="M1050" s="2" t="s">
        <v>2757</v>
      </c>
      <c r="N1050" s="2" t="str">
        <f>IFERROR(__xludf.DUMMYFUNCTION("""COMPUTED_VALUE"""),"")</f>
        <v/>
      </c>
    </row>
    <row r="1051">
      <c r="A1051" s="2" t="s">
        <v>33</v>
      </c>
      <c r="B1051" s="12">
        <v>1019355.0</v>
      </c>
      <c r="C1051" s="12">
        <v>1019672.0</v>
      </c>
      <c r="D1051" s="2"/>
      <c r="E1051" s="2" t="s">
        <v>38</v>
      </c>
      <c r="F1051" s="2" t="s">
        <v>2758</v>
      </c>
      <c r="G1051" s="2"/>
      <c r="H1051" s="12">
        <v>0.0</v>
      </c>
      <c r="I1051" s="2" t="s">
        <v>40</v>
      </c>
      <c r="J1051" s="2"/>
      <c r="K1051" s="2" t="s">
        <v>2759</v>
      </c>
      <c r="L1051" s="12">
        <v>105.0</v>
      </c>
      <c r="M1051" s="2" t="s">
        <v>2760</v>
      </c>
      <c r="N1051" s="2" t="str">
        <f>IFERROR(__xludf.DUMMYFUNCTION("""COMPUTED_VALUE"""),"")</f>
        <v/>
      </c>
    </row>
    <row r="1052">
      <c r="A1052" s="2" t="s">
        <v>33</v>
      </c>
      <c r="B1052" s="12">
        <v>1019821.0</v>
      </c>
      <c r="C1052" s="12">
        <v>1020399.0</v>
      </c>
      <c r="D1052" s="2"/>
      <c r="E1052" s="2" t="s">
        <v>38</v>
      </c>
      <c r="F1052" s="2" t="s">
        <v>1046</v>
      </c>
      <c r="G1052" s="2"/>
      <c r="H1052" s="12">
        <v>0.0</v>
      </c>
      <c r="I1052" s="2" t="s">
        <v>40</v>
      </c>
      <c r="J1052" s="2"/>
      <c r="K1052" s="2" t="s">
        <v>2761</v>
      </c>
      <c r="L1052" s="12">
        <v>192.0</v>
      </c>
      <c r="M1052" s="2" t="s">
        <v>2762</v>
      </c>
      <c r="N1052" s="2" t="str">
        <f>IFERROR(__xludf.DUMMYFUNCTION("""COMPUTED_VALUE"""),"")</f>
        <v/>
      </c>
    </row>
    <row r="1053">
      <c r="A1053" s="2" t="s">
        <v>33</v>
      </c>
      <c r="B1053" s="12">
        <v>1020560.0</v>
      </c>
      <c r="C1053" s="12">
        <v>1021225.0</v>
      </c>
      <c r="D1053" s="2"/>
      <c r="E1053" s="2" t="s">
        <v>34</v>
      </c>
      <c r="F1053" s="2" t="s">
        <v>293</v>
      </c>
      <c r="G1053" s="2"/>
      <c r="H1053" s="12">
        <v>0.0</v>
      </c>
      <c r="I1053" s="2" t="s">
        <v>40</v>
      </c>
      <c r="J1053" s="2"/>
      <c r="K1053" s="2" t="s">
        <v>2763</v>
      </c>
      <c r="L1053" s="12">
        <v>221.0</v>
      </c>
      <c r="M1053" s="2" t="s">
        <v>2764</v>
      </c>
      <c r="N1053" s="2" t="str">
        <f>IFERROR(__xludf.DUMMYFUNCTION("""COMPUTED_VALUE"""),"")</f>
        <v/>
      </c>
    </row>
    <row r="1054">
      <c r="A1054" s="2" t="s">
        <v>33</v>
      </c>
      <c r="B1054" s="12">
        <v>1021262.0</v>
      </c>
      <c r="C1054" s="12">
        <v>1022617.0</v>
      </c>
      <c r="D1054" s="2"/>
      <c r="E1054" s="2" t="s">
        <v>38</v>
      </c>
      <c r="F1054" s="2" t="s">
        <v>2474</v>
      </c>
      <c r="G1054" s="2"/>
      <c r="H1054" s="12">
        <v>0.0</v>
      </c>
      <c r="I1054" s="2" t="s">
        <v>40</v>
      </c>
      <c r="J1054" s="2"/>
      <c r="K1054" s="2" t="s">
        <v>2765</v>
      </c>
      <c r="L1054" s="12">
        <v>451.0</v>
      </c>
      <c r="M1054" s="2" t="s">
        <v>2766</v>
      </c>
      <c r="N1054" s="2" t="str">
        <f>IFERROR(__xludf.DUMMYFUNCTION("""COMPUTED_VALUE"""),"")</f>
        <v/>
      </c>
    </row>
    <row r="1055">
      <c r="A1055" s="2" t="s">
        <v>33</v>
      </c>
      <c r="B1055" s="12">
        <v>1022760.0</v>
      </c>
      <c r="C1055" s="12">
        <v>1023590.0</v>
      </c>
      <c r="D1055" s="2"/>
      <c r="E1055" s="2" t="s">
        <v>38</v>
      </c>
      <c r="F1055" s="2" t="s">
        <v>338</v>
      </c>
      <c r="G1055" s="2"/>
      <c r="H1055" s="12">
        <v>0.0</v>
      </c>
      <c r="I1055" s="2" t="s">
        <v>40</v>
      </c>
      <c r="J1055" s="2"/>
      <c r="K1055" s="2" t="s">
        <v>2767</v>
      </c>
      <c r="L1055" s="12">
        <v>276.0</v>
      </c>
      <c r="M1055" s="2" t="s">
        <v>2768</v>
      </c>
      <c r="N1055" s="2" t="str">
        <f>IFERROR(__xludf.DUMMYFUNCTION("""COMPUTED_VALUE"""),"")</f>
        <v/>
      </c>
    </row>
    <row r="1056">
      <c r="A1056" s="2" t="s">
        <v>33</v>
      </c>
      <c r="B1056" s="12">
        <v>1023684.0</v>
      </c>
      <c r="C1056" s="12">
        <v>1025357.0</v>
      </c>
      <c r="D1056" s="2"/>
      <c r="E1056" s="2" t="s">
        <v>38</v>
      </c>
      <c r="F1056" s="2" t="s">
        <v>2769</v>
      </c>
      <c r="G1056" s="2"/>
      <c r="H1056" s="12">
        <v>0.0</v>
      </c>
      <c r="I1056" s="2" t="s">
        <v>40</v>
      </c>
      <c r="J1056" s="2"/>
      <c r="K1056" s="2" t="s">
        <v>2770</v>
      </c>
      <c r="L1056" s="12">
        <v>557.0</v>
      </c>
      <c r="M1056" s="2" t="s">
        <v>2771</v>
      </c>
      <c r="N1056" s="2" t="str">
        <f>IFERROR(__xludf.DUMMYFUNCTION("""COMPUTED_VALUE"""),"")</f>
        <v/>
      </c>
    </row>
    <row r="1057">
      <c r="A1057" s="2" t="s">
        <v>33</v>
      </c>
      <c r="B1057" s="12">
        <v>1025689.0</v>
      </c>
      <c r="C1057" s="12">
        <v>1026852.0</v>
      </c>
      <c r="D1057" s="2"/>
      <c r="E1057" s="2" t="s">
        <v>34</v>
      </c>
      <c r="F1057" s="2" t="s">
        <v>2772</v>
      </c>
      <c r="G1057" s="2"/>
      <c r="H1057" s="12">
        <v>0.0</v>
      </c>
      <c r="I1057" s="2" t="s">
        <v>40</v>
      </c>
      <c r="J1057" s="2"/>
      <c r="K1057" s="2" t="s">
        <v>2773</v>
      </c>
      <c r="L1057" s="12">
        <v>387.0</v>
      </c>
      <c r="M1057" s="2" t="s">
        <v>2774</v>
      </c>
      <c r="N1057" s="2" t="str">
        <f>IFERROR(__xludf.DUMMYFUNCTION("""COMPUTED_VALUE"""),"")</f>
        <v/>
      </c>
    </row>
    <row r="1058">
      <c r="A1058" s="2" t="s">
        <v>33</v>
      </c>
      <c r="B1058" s="12">
        <v>1026915.0</v>
      </c>
      <c r="C1058" s="12">
        <v>1027193.0</v>
      </c>
      <c r="D1058" s="2"/>
      <c r="E1058" s="2" t="s">
        <v>38</v>
      </c>
      <c r="F1058" s="2" t="s">
        <v>2775</v>
      </c>
      <c r="G1058" s="2"/>
      <c r="H1058" s="12">
        <v>0.0</v>
      </c>
      <c r="I1058" s="2" t="s">
        <v>40</v>
      </c>
      <c r="J1058" s="2"/>
      <c r="K1058" s="2" t="s">
        <v>2776</v>
      </c>
      <c r="L1058" s="12">
        <v>92.0</v>
      </c>
      <c r="M1058" s="2" t="s">
        <v>2777</v>
      </c>
      <c r="N1058" s="2" t="str">
        <f>IFERROR(__xludf.DUMMYFUNCTION("""COMPUTED_VALUE"""),"")</f>
        <v/>
      </c>
    </row>
    <row r="1059">
      <c r="A1059" s="2" t="s">
        <v>33</v>
      </c>
      <c r="B1059" s="12">
        <v>1027258.0</v>
      </c>
      <c r="C1059" s="12">
        <v>1028607.0</v>
      </c>
      <c r="D1059" s="2"/>
      <c r="E1059" s="2" t="s">
        <v>38</v>
      </c>
      <c r="F1059" s="2" t="s">
        <v>1010</v>
      </c>
      <c r="G1059" s="2"/>
      <c r="H1059" s="12">
        <v>0.0</v>
      </c>
      <c r="I1059" s="2" t="s">
        <v>40</v>
      </c>
      <c r="J1059" s="2"/>
      <c r="K1059" s="2" t="s">
        <v>2778</v>
      </c>
      <c r="L1059" s="12">
        <v>449.0</v>
      </c>
      <c r="M1059" s="2" t="s">
        <v>2779</v>
      </c>
      <c r="N1059" s="2" t="str">
        <f>IFERROR(__xludf.DUMMYFUNCTION("""COMPUTED_VALUE"""),"")</f>
        <v/>
      </c>
    </row>
    <row r="1060">
      <c r="A1060" s="2" t="s">
        <v>33</v>
      </c>
      <c r="B1060" s="12">
        <v>1028799.0</v>
      </c>
      <c r="C1060" s="12">
        <v>1030349.0</v>
      </c>
      <c r="D1060" s="2"/>
      <c r="E1060" s="2" t="s">
        <v>38</v>
      </c>
      <c r="F1060" s="2" t="s">
        <v>2780</v>
      </c>
      <c r="G1060" s="2"/>
      <c r="H1060" s="12">
        <v>0.0</v>
      </c>
      <c r="I1060" s="2" t="s">
        <v>40</v>
      </c>
      <c r="J1060" s="2"/>
      <c r="K1060" s="2" t="s">
        <v>2781</v>
      </c>
      <c r="L1060" s="12">
        <v>516.0</v>
      </c>
      <c r="M1060" s="2" t="s">
        <v>2782</v>
      </c>
      <c r="N1060" s="2" t="str">
        <f>IFERROR(__xludf.DUMMYFUNCTION("""COMPUTED_VALUE"""),"")</f>
        <v/>
      </c>
    </row>
    <row r="1061">
      <c r="A1061" s="2" t="s">
        <v>33</v>
      </c>
      <c r="B1061" s="12">
        <v>1030352.0</v>
      </c>
      <c r="C1061" s="12">
        <v>1030693.0</v>
      </c>
      <c r="D1061" s="2"/>
      <c r="E1061" s="2" t="s">
        <v>38</v>
      </c>
      <c r="F1061" s="2" t="s">
        <v>2783</v>
      </c>
      <c r="G1061" s="2"/>
      <c r="H1061" s="12">
        <v>0.0</v>
      </c>
      <c r="I1061" s="2" t="s">
        <v>40</v>
      </c>
      <c r="J1061" s="2"/>
      <c r="K1061" s="2" t="s">
        <v>2784</v>
      </c>
      <c r="L1061" s="12">
        <v>113.0</v>
      </c>
      <c r="M1061" s="2" t="s">
        <v>2785</v>
      </c>
      <c r="N1061" s="2" t="str">
        <f>IFERROR(__xludf.DUMMYFUNCTION("""COMPUTED_VALUE"""),"")</f>
        <v/>
      </c>
    </row>
    <row r="1062">
      <c r="A1062" s="2" t="s">
        <v>33</v>
      </c>
      <c r="B1062" s="12">
        <v>1030916.0</v>
      </c>
      <c r="C1062" s="12">
        <v>1031545.0</v>
      </c>
      <c r="D1062" s="2"/>
      <c r="E1062" s="2" t="s">
        <v>38</v>
      </c>
      <c r="F1062" s="2" t="s">
        <v>2786</v>
      </c>
      <c r="G1062" s="2"/>
      <c r="H1062" s="12">
        <v>0.0</v>
      </c>
      <c r="I1062" s="2" t="s">
        <v>40</v>
      </c>
      <c r="J1062" s="2"/>
      <c r="K1062" s="2" t="s">
        <v>2787</v>
      </c>
      <c r="L1062" s="12">
        <v>209.0</v>
      </c>
      <c r="M1062" s="2" t="s">
        <v>2788</v>
      </c>
      <c r="N1062" s="2" t="str">
        <f>IFERROR(__xludf.DUMMYFUNCTION("""COMPUTED_VALUE"""),"")</f>
        <v/>
      </c>
    </row>
    <row r="1063">
      <c r="A1063" s="2" t="s">
        <v>33</v>
      </c>
      <c r="B1063" s="12">
        <v>1031624.0</v>
      </c>
      <c r="C1063" s="12">
        <v>1031917.0</v>
      </c>
      <c r="D1063" s="2"/>
      <c r="E1063" s="2" t="s">
        <v>38</v>
      </c>
      <c r="F1063" s="2" t="s">
        <v>39</v>
      </c>
      <c r="G1063" s="2"/>
      <c r="H1063" s="12">
        <v>0.0</v>
      </c>
      <c r="I1063" s="2" t="s">
        <v>40</v>
      </c>
      <c r="J1063" s="2"/>
      <c r="K1063" s="2" t="s">
        <v>2789</v>
      </c>
      <c r="L1063" s="12">
        <v>97.0</v>
      </c>
      <c r="M1063" s="2" t="s">
        <v>2790</v>
      </c>
      <c r="N1063" s="2" t="str">
        <f>IFERROR(__xludf.DUMMYFUNCTION("""COMPUTED_VALUE"""),"")</f>
        <v/>
      </c>
    </row>
    <row r="1064">
      <c r="A1064" s="2" t="s">
        <v>33</v>
      </c>
      <c r="B1064" s="12">
        <v>1031937.0</v>
      </c>
      <c r="C1064" s="12">
        <v>1032680.0</v>
      </c>
      <c r="D1064" s="2"/>
      <c r="E1064" s="2" t="s">
        <v>38</v>
      </c>
      <c r="F1064" s="2" t="s">
        <v>670</v>
      </c>
      <c r="G1064" s="2"/>
      <c r="H1064" s="12">
        <v>0.0</v>
      </c>
      <c r="I1064" s="2" t="s">
        <v>40</v>
      </c>
      <c r="J1064" s="2"/>
      <c r="K1064" s="2" t="s">
        <v>2791</v>
      </c>
      <c r="L1064" s="12">
        <v>247.0</v>
      </c>
      <c r="M1064" s="2" t="s">
        <v>2792</v>
      </c>
      <c r="N1064" s="2" t="str">
        <f>IFERROR(__xludf.DUMMYFUNCTION("""COMPUTED_VALUE"""),"")</f>
        <v/>
      </c>
    </row>
    <row r="1065">
      <c r="A1065" s="2" t="s">
        <v>33</v>
      </c>
      <c r="B1065" s="12">
        <v>1032695.0</v>
      </c>
      <c r="C1065" s="12">
        <v>1033423.0</v>
      </c>
      <c r="D1065" s="2"/>
      <c r="E1065" s="2" t="s">
        <v>38</v>
      </c>
      <c r="F1065" s="2" t="s">
        <v>2793</v>
      </c>
      <c r="G1065" s="2"/>
      <c r="H1065" s="12">
        <v>0.0</v>
      </c>
      <c r="I1065" s="2" t="s">
        <v>40</v>
      </c>
      <c r="J1065" s="2"/>
      <c r="K1065" s="2" t="s">
        <v>2794</v>
      </c>
      <c r="L1065" s="12">
        <v>242.0</v>
      </c>
      <c r="M1065" s="2" t="s">
        <v>2795</v>
      </c>
      <c r="N1065" s="2" t="str">
        <f>IFERROR(__xludf.DUMMYFUNCTION("""COMPUTED_VALUE"""),"")</f>
        <v/>
      </c>
    </row>
    <row r="1066">
      <c r="A1066" s="2" t="s">
        <v>33</v>
      </c>
      <c r="B1066" s="12">
        <v>1033688.0</v>
      </c>
      <c r="C1066" s="12">
        <v>1033885.0</v>
      </c>
      <c r="D1066" s="2"/>
      <c r="E1066" s="2" t="s">
        <v>34</v>
      </c>
      <c r="F1066" s="2" t="s">
        <v>2796</v>
      </c>
      <c r="G1066" s="2" t="s">
        <v>2797</v>
      </c>
      <c r="H1066" s="12">
        <v>0.0</v>
      </c>
      <c r="I1066" s="2" t="s">
        <v>40</v>
      </c>
      <c r="J1066" s="2"/>
      <c r="K1066" s="2" t="s">
        <v>2798</v>
      </c>
      <c r="L1066" s="12">
        <v>65.0</v>
      </c>
      <c r="M1066" s="2" t="s">
        <v>2799</v>
      </c>
      <c r="N1066" s="2" t="str">
        <f>IFERROR(__xludf.DUMMYFUNCTION("""COMPUTED_VALUE"""),"")</f>
        <v/>
      </c>
    </row>
    <row r="1067">
      <c r="A1067" s="2" t="s">
        <v>33</v>
      </c>
      <c r="B1067" s="12">
        <v>1034005.0</v>
      </c>
      <c r="C1067" s="12">
        <v>1034253.0</v>
      </c>
      <c r="D1067" s="2"/>
      <c r="E1067" s="2" t="s">
        <v>34</v>
      </c>
      <c r="F1067" s="2" t="s">
        <v>2800</v>
      </c>
      <c r="G1067" s="2"/>
      <c r="H1067" s="12">
        <v>0.0</v>
      </c>
      <c r="I1067" s="2" t="s">
        <v>40</v>
      </c>
      <c r="J1067" s="2"/>
      <c r="K1067" s="2" t="s">
        <v>2801</v>
      </c>
      <c r="L1067" s="12">
        <v>82.0</v>
      </c>
      <c r="M1067" s="2" t="s">
        <v>2802</v>
      </c>
      <c r="N1067" s="2" t="str">
        <f>IFERROR(__xludf.DUMMYFUNCTION("""COMPUTED_VALUE"""),"")</f>
        <v/>
      </c>
    </row>
    <row r="1068">
      <c r="A1068" s="2" t="s">
        <v>33</v>
      </c>
      <c r="B1068" s="12">
        <v>1034287.0</v>
      </c>
      <c r="C1068" s="12">
        <v>1034463.0</v>
      </c>
      <c r="D1068" s="2"/>
      <c r="E1068" s="2" t="s">
        <v>38</v>
      </c>
      <c r="F1068" s="2" t="s">
        <v>2803</v>
      </c>
      <c r="G1068" s="2"/>
      <c r="H1068" s="12">
        <v>0.0</v>
      </c>
      <c r="I1068" s="2" t="s">
        <v>40</v>
      </c>
      <c r="J1068" s="2"/>
      <c r="K1068" s="2" t="s">
        <v>2804</v>
      </c>
      <c r="L1068" s="12">
        <v>58.0</v>
      </c>
      <c r="M1068" s="2" t="s">
        <v>2805</v>
      </c>
      <c r="N1068" s="2" t="str">
        <f>IFERROR(__xludf.DUMMYFUNCTION("""COMPUTED_VALUE"""),"")</f>
        <v/>
      </c>
    </row>
    <row r="1069">
      <c r="A1069" s="2" t="s">
        <v>33</v>
      </c>
      <c r="B1069" s="12">
        <v>1034476.0</v>
      </c>
      <c r="C1069" s="12">
        <v>1035135.0</v>
      </c>
      <c r="D1069" s="2"/>
      <c r="E1069" s="2" t="s">
        <v>38</v>
      </c>
      <c r="F1069" s="2" t="s">
        <v>2806</v>
      </c>
      <c r="G1069" s="2"/>
      <c r="H1069" s="12">
        <v>0.0</v>
      </c>
      <c r="I1069" s="2" t="s">
        <v>40</v>
      </c>
      <c r="J1069" s="2"/>
      <c r="K1069" s="2" t="s">
        <v>2807</v>
      </c>
      <c r="L1069" s="12">
        <v>219.0</v>
      </c>
      <c r="M1069" s="2" t="s">
        <v>2808</v>
      </c>
      <c r="N1069" s="2" t="str">
        <f>IFERROR(__xludf.DUMMYFUNCTION("""COMPUTED_VALUE"""),"")</f>
        <v/>
      </c>
    </row>
    <row r="1070">
      <c r="A1070" s="2" t="s">
        <v>33</v>
      </c>
      <c r="B1070" s="12">
        <v>1035287.0</v>
      </c>
      <c r="C1070" s="12">
        <v>1035772.0</v>
      </c>
      <c r="D1070" s="2"/>
      <c r="E1070" s="2" t="s">
        <v>38</v>
      </c>
      <c r="F1070" s="2" t="s">
        <v>2809</v>
      </c>
      <c r="G1070" s="2"/>
      <c r="H1070" s="12">
        <v>0.0</v>
      </c>
      <c r="I1070" s="2" t="s">
        <v>40</v>
      </c>
      <c r="J1070" s="2"/>
      <c r="K1070" s="2" t="s">
        <v>2810</v>
      </c>
      <c r="L1070" s="12">
        <v>161.0</v>
      </c>
      <c r="M1070" s="2" t="s">
        <v>2811</v>
      </c>
      <c r="N1070" s="2" t="str">
        <f>IFERROR(__xludf.DUMMYFUNCTION("""COMPUTED_VALUE"""),"")</f>
        <v/>
      </c>
    </row>
    <row r="1071">
      <c r="A1071" s="2" t="s">
        <v>33</v>
      </c>
      <c r="B1071" s="12">
        <v>1035956.0</v>
      </c>
      <c r="C1071" s="12">
        <v>1036828.0</v>
      </c>
      <c r="D1071" s="2"/>
      <c r="E1071" s="2" t="s">
        <v>34</v>
      </c>
      <c r="F1071" s="2" t="s">
        <v>2812</v>
      </c>
      <c r="G1071" s="2"/>
      <c r="H1071" s="12">
        <v>0.0</v>
      </c>
      <c r="I1071" s="2" t="s">
        <v>40</v>
      </c>
      <c r="J1071" s="2"/>
      <c r="K1071" s="2" t="s">
        <v>2813</v>
      </c>
      <c r="L1071" s="12">
        <v>290.0</v>
      </c>
      <c r="M1071" s="2" t="s">
        <v>2814</v>
      </c>
      <c r="N1071" s="2" t="str">
        <f>IFERROR(__xludf.DUMMYFUNCTION("""COMPUTED_VALUE"""),"")</f>
        <v/>
      </c>
    </row>
    <row r="1072">
      <c r="A1072" s="2" t="s">
        <v>33</v>
      </c>
      <c r="B1072" s="12">
        <v>1036898.0</v>
      </c>
      <c r="C1072" s="12">
        <v>1037284.0</v>
      </c>
      <c r="D1072" s="2"/>
      <c r="E1072" s="2" t="s">
        <v>34</v>
      </c>
      <c r="F1072" s="2" t="s">
        <v>2815</v>
      </c>
      <c r="G1072" s="2"/>
      <c r="H1072" s="12">
        <v>0.0</v>
      </c>
      <c r="I1072" s="2" t="s">
        <v>40</v>
      </c>
      <c r="J1072" s="2"/>
      <c r="K1072" s="2" t="s">
        <v>2816</v>
      </c>
      <c r="L1072" s="12">
        <v>128.0</v>
      </c>
      <c r="M1072" s="2" t="s">
        <v>2817</v>
      </c>
      <c r="N1072" s="2" t="str">
        <f>IFERROR(__xludf.DUMMYFUNCTION("""COMPUTED_VALUE"""),"")</f>
        <v/>
      </c>
    </row>
    <row r="1073">
      <c r="A1073" s="2" t="s">
        <v>33</v>
      </c>
      <c r="B1073" s="12">
        <v>1037298.0</v>
      </c>
      <c r="C1073" s="12">
        <v>1038203.0</v>
      </c>
      <c r="D1073" s="2"/>
      <c r="E1073" s="2" t="s">
        <v>34</v>
      </c>
      <c r="F1073" s="2" t="s">
        <v>738</v>
      </c>
      <c r="G1073" s="2"/>
      <c r="H1073" s="12">
        <v>0.0</v>
      </c>
      <c r="I1073" s="2" t="s">
        <v>40</v>
      </c>
      <c r="J1073" s="2"/>
      <c r="K1073" s="2" t="s">
        <v>2818</v>
      </c>
      <c r="L1073" s="12">
        <v>301.0</v>
      </c>
      <c r="M1073" s="2" t="s">
        <v>2819</v>
      </c>
      <c r="N1073" s="2" t="str">
        <f>IFERROR(__xludf.DUMMYFUNCTION("""COMPUTED_VALUE"""),"")</f>
        <v/>
      </c>
    </row>
    <row r="1074">
      <c r="A1074" s="2" t="s">
        <v>33</v>
      </c>
      <c r="B1074" s="12">
        <v>1038206.0</v>
      </c>
      <c r="C1074" s="12">
        <v>1038466.0</v>
      </c>
      <c r="D1074" s="2"/>
      <c r="E1074" s="2" t="s">
        <v>38</v>
      </c>
      <c r="F1074" s="2" t="s">
        <v>2820</v>
      </c>
      <c r="G1074" s="2"/>
      <c r="H1074" s="12">
        <v>0.0</v>
      </c>
      <c r="I1074" s="2" t="s">
        <v>40</v>
      </c>
      <c r="J1074" s="2"/>
      <c r="K1074" s="2" t="s">
        <v>2821</v>
      </c>
      <c r="L1074" s="12">
        <v>86.0</v>
      </c>
      <c r="M1074" s="2" t="s">
        <v>2822</v>
      </c>
      <c r="N1074" s="2" t="str">
        <f>IFERROR(__xludf.DUMMYFUNCTION("""COMPUTED_VALUE"""),"")</f>
        <v/>
      </c>
    </row>
    <row r="1075">
      <c r="A1075" s="2" t="s">
        <v>33</v>
      </c>
      <c r="B1075" s="12">
        <v>1038649.0</v>
      </c>
      <c r="C1075" s="12">
        <v>1039209.0</v>
      </c>
      <c r="D1075" s="2"/>
      <c r="E1075" s="2" t="s">
        <v>34</v>
      </c>
      <c r="F1075" s="2" t="s">
        <v>1099</v>
      </c>
      <c r="G1075" s="2"/>
      <c r="H1075" s="12">
        <v>0.0</v>
      </c>
      <c r="I1075" s="2" t="s">
        <v>40</v>
      </c>
      <c r="J1075" s="2"/>
      <c r="K1075" s="2" t="s">
        <v>2823</v>
      </c>
      <c r="L1075" s="12">
        <v>186.0</v>
      </c>
      <c r="M1075" s="2" t="s">
        <v>2824</v>
      </c>
      <c r="N1075" s="2" t="str">
        <f>IFERROR(__xludf.DUMMYFUNCTION("""COMPUTED_VALUE"""),"")</f>
        <v/>
      </c>
    </row>
    <row r="1076">
      <c r="A1076" s="2" t="s">
        <v>33</v>
      </c>
      <c r="B1076" s="12">
        <v>1039244.0</v>
      </c>
      <c r="C1076" s="12">
        <v>1040104.0</v>
      </c>
      <c r="D1076" s="2"/>
      <c r="E1076" s="2" t="s">
        <v>38</v>
      </c>
      <c r="F1076" s="2" t="s">
        <v>367</v>
      </c>
      <c r="G1076" s="2"/>
      <c r="H1076" s="12">
        <v>0.0</v>
      </c>
      <c r="I1076" s="2" t="s">
        <v>40</v>
      </c>
      <c r="J1076" s="2"/>
      <c r="K1076" s="2" t="s">
        <v>2825</v>
      </c>
      <c r="L1076" s="12">
        <v>286.0</v>
      </c>
      <c r="M1076" s="2" t="s">
        <v>2826</v>
      </c>
      <c r="N1076" s="2" t="str">
        <f>IFERROR(__xludf.DUMMYFUNCTION("""COMPUTED_VALUE"""),"")</f>
        <v/>
      </c>
    </row>
    <row r="1077">
      <c r="A1077" s="2" t="s">
        <v>33</v>
      </c>
      <c r="B1077" s="12">
        <v>1040227.0</v>
      </c>
      <c r="C1077" s="12">
        <v>1055280.0</v>
      </c>
      <c r="D1077" s="2"/>
      <c r="E1077" s="2" t="s">
        <v>34</v>
      </c>
      <c r="F1077" s="2" t="s">
        <v>2827</v>
      </c>
      <c r="G1077" s="2"/>
      <c r="H1077" s="12">
        <v>0.0</v>
      </c>
      <c r="I1077" s="2" t="s">
        <v>40</v>
      </c>
      <c r="J1077" s="2"/>
      <c r="K1077" s="2" t="s">
        <v>2828</v>
      </c>
      <c r="L1077" s="12">
        <v>5017.0</v>
      </c>
      <c r="M1077" s="2" t="s">
        <v>2829</v>
      </c>
      <c r="N1077" s="2" t="str">
        <f>IFERROR(__xludf.DUMMYFUNCTION("""COMPUTED_VALUE"""),"")</f>
        <v/>
      </c>
    </row>
    <row r="1078">
      <c r="A1078" s="2" t="s">
        <v>33</v>
      </c>
      <c r="B1078" s="12">
        <v>1055393.0</v>
      </c>
      <c r="C1078" s="12">
        <v>1056940.0</v>
      </c>
      <c r="D1078" s="2"/>
      <c r="E1078" s="2" t="s">
        <v>38</v>
      </c>
      <c r="F1078" s="2" t="s">
        <v>39</v>
      </c>
      <c r="G1078" s="2"/>
      <c r="H1078" s="12">
        <v>0.0</v>
      </c>
      <c r="I1078" s="2" t="s">
        <v>40</v>
      </c>
      <c r="J1078" s="2"/>
      <c r="K1078" s="2" t="s">
        <v>2830</v>
      </c>
      <c r="L1078" s="12">
        <v>515.0</v>
      </c>
      <c r="M1078" s="2" t="s">
        <v>2831</v>
      </c>
      <c r="N1078" s="2" t="str">
        <f>IFERROR(__xludf.DUMMYFUNCTION("""COMPUTED_VALUE"""),"")</f>
        <v/>
      </c>
    </row>
    <row r="1079">
      <c r="A1079" s="2" t="s">
        <v>33</v>
      </c>
      <c r="B1079" s="12">
        <v>1057034.0</v>
      </c>
      <c r="C1079" s="12">
        <v>1058086.0</v>
      </c>
      <c r="D1079" s="2"/>
      <c r="E1079" s="2" t="s">
        <v>38</v>
      </c>
      <c r="F1079" s="2" t="s">
        <v>2832</v>
      </c>
      <c r="G1079" s="2"/>
      <c r="H1079" s="12">
        <v>0.0</v>
      </c>
      <c r="I1079" s="2" t="s">
        <v>40</v>
      </c>
      <c r="J1079" s="2"/>
      <c r="K1079" s="2" t="s">
        <v>2833</v>
      </c>
      <c r="L1079" s="12">
        <v>350.0</v>
      </c>
      <c r="M1079" s="2" t="s">
        <v>2834</v>
      </c>
      <c r="N1079" s="2" t="str">
        <f>IFERROR(__xludf.DUMMYFUNCTION("""COMPUTED_VALUE"""),"")</f>
        <v/>
      </c>
    </row>
    <row r="1080">
      <c r="A1080" s="2" t="s">
        <v>33</v>
      </c>
      <c r="B1080" s="12">
        <v>1058083.0</v>
      </c>
      <c r="C1080" s="12">
        <v>1058883.0</v>
      </c>
      <c r="D1080" s="2"/>
      <c r="E1080" s="2" t="s">
        <v>38</v>
      </c>
      <c r="F1080" s="2" t="s">
        <v>1056</v>
      </c>
      <c r="G1080" s="2"/>
      <c r="H1080" s="12">
        <v>0.0</v>
      </c>
      <c r="I1080" s="2" t="s">
        <v>40</v>
      </c>
      <c r="J1080" s="2"/>
      <c r="K1080" s="2" t="s">
        <v>2835</v>
      </c>
      <c r="L1080" s="12">
        <v>266.0</v>
      </c>
      <c r="M1080" s="2" t="s">
        <v>2836</v>
      </c>
      <c r="N1080" s="2" t="str">
        <f>IFERROR(__xludf.DUMMYFUNCTION("""COMPUTED_VALUE"""),"")</f>
        <v/>
      </c>
    </row>
    <row r="1081">
      <c r="A1081" s="2" t="s">
        <v>33</v>
      </c>
      <c r="B1081" s="12">
        <v>1058858.0</v>
      </c>
      <c r="C1081" s="12">
        <v>1060072.0</v>
      </c>
      <c r="D1081" s="2"/>
      <c r="E1081" s="2" t="s">
        <v>38</v>
      </c>
      <c r="F1081" s="2" t="s">
        <v>2837</v>
      </c>
      <c r="G1081" s="2"/>
      <c r="H1081" s="12">
        <v>0.0</v>
      </c>
      <c r="I1081" s="2" t="s">
        <v>40</v>
      </c>
      <c r="J1081" s="2"/>
      <c r="K1081" s="2" t="s">
        <v>2838</v>
      </c>
      <c r="L1081" s="12">
        <v>404.0</v>
      </c>
      <c r="M1081" s="2" t="s">
        <v>2839</v>
      </c>
      <c r="N1081" s="2" t="str">
        <f>IFERROR(__xludf.DUMMYFUNCTION("""COMPUTED_VALUE"""),"")</f>
        <v/>
      </c>
    </row>
    <row r="1082">
      <c r="A1082" s="2" t="s">
        <v>33</v>
      </c>
      <c r="B1082" s="12">
        <v>1060076.0</v>
      </c>
      <c r="C1082" s="12">
        <v>1061512.0</v>
      </c>
      <c r="D1082" s="2"/>
      <c r="E1082" s="2" t="s">
        <v>38</v>
      </c>
      <c r="F1082" s="2" t="s">
        <v>2840</v>
      </c>
      <c r="G1082" s="2"/>
      <c r="H1082" s="12">
        <v>0.0</v>
      </c>
      <c r="I1082" s="2" t="s">
        <v>40</v>
      </c>
      <c r="J1082" s="2"/>
      <c r="K1082" s="2" t="s">
        <v>2841</v>
      </c>
      <c r="L1082" s="12">
        <v>478.0</v>
      </c>
      <c r="M1082" s="2" t="s">
        <v>2842</v>
      </c>
      <c r="N1082" s="2" t="str">
        <f>IFERROR(__xludf.DUMMYFUNCTION("""COMPUTED_VALUE"""),"")</f>
        <v/>
      </c>
    </row>
    <row r="1083">
      <c r="A1083" s="2" t="s">
        <v>33</v>
      </c>
      <c r="B1083" s="12">
        <v>1061569.0</v>
      </c>
      <c r="C1083" s="12">
        <v>1062207.0</v>
      </c>
      <c r="D1083" s="2"/>
      <c r="E1083" s="2" t="s">
        <v>38</v>
      </c>
      <c r="F1083" s="2" t="s">
        <v>2843</v>
      </c>
      <c r="G1083" s="2"/>
      <c r="H1083" s="12">
        <v>0.0</v>
      </c>
      <c r="I1083" s="2" t="s">
        <v>40</v>
      </c>
      <c r="J1083" s="2"/>
      <c r="K1083" s="2" t="s">
        <v>2844</v>
      </c>
      <c r="L1083" s="12">
        <v>212.0</v>
      </c>
      <c r="M1083" s="2" t="s">
        <v>2845</v>
      </c>
      <c r="N1083" s="2" t="str">
        <f>IFERROR(__xludf.DUMMYFUNCTION("""COMPUTED_VALUE"""),"")</f>
        <v/>
      </c>
    </row>
    <row r="1084">
      <c r="A1084" s="2" t="s">
        <v>33</v>
      </c>
      <c r="B1084" s="12">
        <v>1062226.0</v>
      </c>
      <c r="C1084" s="12">
        <v>1062846.0</v>
      </c>
      <c r="D1084" s="2"/>
      <c r="E1084" s="2" t="s">
        <v>38</v>
      </c>
      <c r="F1084" s="2" t="s">
        <v>2846</v>
      </c>
      <c r="G1084" s="2"/>
      <c r="H1084" s="12">
        <v>0.0</v>
      </c>
      <c r="I1084" s="2" t="s">
        <v>40</v>
      </c>
      <c r="J1084" s="2"/>
      <c r="K1084" s="2" t="s">
        <v>2847</v>
      </c>
      <c r="L1084" s="12">
        <v>206.0</v>
      </c>
      <c r="M1084" s="2" t="s">
        <v>2848</v>
      </c>
      <c r="N1084" s="2" t="str">
        <f>IFERROR(__xludf.DUMMYFUNCTION("""COMPUTED_VALUE"""),"")</f>
        <v/>
      </c>
    </row>
    <row r="1085">
      <c r="A1085" s="2" t="s">
        <v>33</v>
      </c>
      <c r="B1085" s="12">
        <v>1062833.0</v>
      </c>
      <c r="C1085" s="12">
        <v>1063576.0</v>
      </c>
      <c r="D1085" s="2"/>
      <c r="E1085" s="2" t="s">
        <v>38</v>
      </c>
      <c r="F1085" s="2" t="s">
        <v>2849</v>
      </c>
      <c r="G1085" s="2"/>
      <c r="H1085" s="12">
        <v>0.0</v>
      </c>
      <c r="I1085" s="2" t="s">
        <v>40</v>
      </c>
      <c r="J1085" s="2"/>
      <c r="K1085" s="2" t="s">
        <v>2850</v>
      </c>
      <c r="L1085" s="12">
        <v>247.0</v>
      </c>
      <c r="M1085" s="2" t="s">
        <v>2851</v>
      </c>
      <c r="N1085" s="2" t="str">
        <f>IFERROR(__xludf.DUMMYFUNCTION("""COMPUTED_VALUE"""),"")</f>
        <v/>
      </c>
    </row>
    <row r="1086">
      <c r="A1086" s="2" t="s">
        <v>33</v>
      </c>
      <c r="B1086" s="12">
        <v>1063577.0</v>
      </c>
      <c r="C1086" s="12">
        <v>1064770.0</v>
      </c>
      <c r="D1086" s="2"/>
      <c r="E1086" s="2" t="s">
        <v>38</v>
      </c>
      <c r="F1086" s="2" t="s">
        <v>1858</v>
      </c>
      <c r="G1086" s="2"/>
      <c r="H1086" s="12">
        <v>0.0</v>
      </c>
      <c r="I1086" s="2" t="s">
        <v>40</v>
      </c>
      <c r="J1086" s="2"/>
      <c r="K1086" s="2" t="s">
        <v>2852</v>
      </c>
      <c r="L1086" s="12">
        <v>397.0</v>
      </c>
      <c r="M1086" s="2" t="s">
        <v>2853</v>
      </c>
      <c r="N1086" s="2" t="str">
        <f>IFERROR(__xludf.DUMMYFUNCTION("""COMPUTED_VALUE"""),"")</f>
        <v/>
      </c>
    </row>
    <row r="1087">
      <c r="A1087" s="2" t="s">
        <v>33</v>
      </c>
      <c r="B1087" s="12">
        <v>1065100.0</v>
      </c>
      <c r="C1087" s="12">
        <v>1065240.0</v>
      </c>
      <c r="D1087" s="2"/>
      <c r="E1087" s="2" t="s">
        <v>38</v>
      </c>
      <c r="F1087" s="2" t="s">
        <v>2854</v>
      </c>
      <c r="G1087" s="2"/>
      <c r="H1087" s="12">
        <v>0.0</v>
      </c>
      <c r="I1087" s="2" t="s">
        <v>40</v>
      </c>
      <c r="J1087" s="2"/>
      <c r="K1087" s="2" t="s">
        <v>2855</v>
      </c>
      <c r="L1087" s="12">
        <v>46.0</v>
      </c>
      <c r="M1087" s="2" t="s">
        <v>2856</v>
      </c>
      <c r="N1087" s="2" t="str">
        <f>IFERROR(__xludf.DUMMYFUNCTION("""COMPUTED_VALUE"""),"")</f>
        <v/>
      </c>
    </row>
    <row r="1088">
      <c r="A1088" s="2" t="s">
        <v>33</v>
      </c>
      <c r="B1088" s="12">
        <v>1065596.0</v>
      </c>
      <c r="C1088" s="12">
        <v>1066462.0</v>
      </c>
      <c r="D1088" s="2"/>
      <c r="E1088" s="2" t="s">
        <v>38</v>
      </c>
      <c r="F1088" s="2" t="s">
        <v>2857</v>
      </c>
      <c r="G1088" s="2"/>
      <c r="H1088" s="12">
        <v>0.0</v>
      </c>
      <c r="I1088" s="2" t="s">
        <v>40</v>
      </c>
      <c r="J1088" s="2"/>
      <c r="K1088" s="2" t="s">
        <v>2858</v>
      </c>
      <c r="L1088" s="12">
        <v>288.0</v>
      </c>
      <c r="M1088" s="2" t="s">
        <v>2859</v>
      </c>
      <c r="N1088" s="2" t="str">
        <f>IFERROR(__xludf.DUMMYFUNCTION("""COMPUTED_VALUE"""),"")</f>
        <v/>
      </c>
    </row>
    <row r="1089">
      <c r="A1089" s="2" t="s">
        <v>33</v>
      </c>
      <c r="B1089" s="12">
        <v>1066595.0</v>
      </c>
      <c r="C1089" s="12">
        <v>1067320.0</v>
      </c>
      <c r="D1089" s="2"/>
      <c r="E1089" s="2" t="s">
        <v>38</v>
      </c>
      <c r="F1089" s="2" t="s">
        <v>2860</v>
      </c>
      <c r="G1089" s="2"/>
      <c r="H1089" s="12">
        <v>0.0</v>
      </c>
      <c r="I1089" s="2" t="s">
        <v>40</v>
      </c>
      <c r="J1089" s="2"/>
      <c r="K1089" s="2" t="s">
        <v>2861</v>
      </c>
      <c r="L1089" s="12">
        <v>241.0</v>
      </c>
      <c r="M1089" s="2" t="s">
        <v>2862</v>
      </c>
      <c r="N1089" s="2" t="str">
        <f>IFERROR(__xludf.DUMMYFUNCTION("""COMPUTED_VALUE"""),"")</f>
        <v/>
      </c>
    </row>
    <row r="1090">
      <c r="A1090" s="2" t="s">
        <v>33</v>
      </c>
      <c r="B1090" s="12">
        <v>1068026.0</v>
      </c>
      <c r="C1090" s="12">
        <v>1068412.0</v>
      </c>
      <c r="D1090" s="2"/>
      <c r="E1090" s="2" t="s">
        <v>38</v>
      </c>
      <c r="F1090" s="2" t="s">
        <v>2863</v>
      </c>
      <c r="G1090" s="2"/>
      <c r="H1090" s="12">
        <v>0.0</v>
      </c>
      <c r="I1090" s="2" t="s">
        <v>40</v>
      </c>
      <c r="J1090" s="2"/>
      <c r="K1090" s="2" t="s">
        <v>2864</v>
      </c>
      <c r="L1090" s="12">
        <v>128.0</v>
      </c>
      <c r="M1090" s="2" t="s">
        <v>2865</v>
      </c>
      <c r="N1090" s="2" t="str">
        <f>IFERROR(__xludf.DUMMYFUNCTION("""COMPUTED_VALUE"""),"")</f>
        <v/>
      </c>
    </row>
    <row r="1091">
      <c r="A1091" s="2" t="s">
        <v>33</v>
      </c>
      <c r="B1091" s="12">
        <v>1068405.0</v>
      </c>
      <c r="C1091" s="12">
        <v>1069643.0</v>
      </c>
      <c r="D1091" s="2"/>
      <c r="E1091" s="2" t="s">
        <v>38</v>
      </c>
      <c r="F1091" s="2" t="s">
        <v>2866</v>
      </c>
      <c r="G1091" s="2"/>
      <c r="H1091" s="12">
        <v>0.0</v>
      </c>
      <c r="I1091" s="2" t="s">
        <v>40</v>
      </c>
      <c r="J1091" s="2"/>
      <c r="K1091" s="2" t="s">
        <v>2867</v>
      </c>
      <c r="L1091" s="12">
        <v>412.0</v>
      </c>
      <c r="M1091" s="2" t="s">
        <v>2868</v>
      </c>
      <c r="N1091" s="2" t="str">
        <f>IFERROR(__xludf.DUMMYFUNCTION("""COMPUTED_VALUE"""),"")</f>
        <v/>
      </c>
    </row>
    <row r="1092">
      <c r="A1092" s="2" t="s">
        <v>33</v>
      </c>
      <c r="B1092" s="12">
        <v>1069647.0</v>
      </c>
      <c r="C1092" s="12">
        <v>1069958.0</v>
      </c>
      <c r="D1092" s="2"/>
      <c r="E1092" s="2" t="s">
        <v>38</v>
      </c>
      <c r="F1092" s="2" t="s">
        <v>39</v>
      </c>
      <c r="G1092" s="2"/>
      <c r="H1092" s="12">
        <v>0.0</v>
      </c>
      <c r="I1092" s="2" t="s">
        <v>40</v>
      </c>
      <c r="J1092" s="2"/>
      <c r="K1092" s="2" t="s">
        <v>2869</v>
      </c>
      <c r="L1092" s="12">
        <v>103.0</v>
      </c>
      <c r="M1092" s="2" t="s">
        <v>2870</v>
      </c>
      <c r="N1092" s="2" t="str">
        <f>IFERROR(__xludf.DUMMYFUNCTION("""COMPUTED_VALUE"""),"")</f>
        <v/>
      </c>
    </row>
    <row r="1093">
      <c r="A1093" s="2" t="s">
        <v>33</v>
      </c>
      <c r="B1093" s="12">
        <v>1070042.0</v>
      </c>
      <c r="C1093" s="12">
        <v>1070491.0</v>
      </c>
      <c r="D1093" s="2"/>
      <c r="E1093" s="2" t="s">
        <v>34</v>
      </c>
      <c r="F1093" s="2" t="s">
        <v>39</v>
      </c>
      <c r="G1093" s="2"/>
      <c r="H1093" s="12">
        <v>0.0</v>
      </c>
      <c r="I1093" s="2" t="s">
        <v>40</v>
      </c>
      <c r="J1093" s="2"/>
      <c r="K1093" s="2" t="s">
        <v>2871</v>
      </c>
      <c r="L1093" s="12">
        <v>149.0</v>
      </c>
      <c r="M1093" s="2" t="s">
        <v>2872</v>
      </c>
      <c r="N1093" s="2" t="str">
        <f>IFERROR(__xludf.DUMMYFUNCTION("""COMPUTED_VALUE"""),"")</f>
        <v/>
      </c>
    </row>
    <row r="1094">
      <c r="A1094" s="2" t="s">
        <v>33</v>
      </c>
      <c r="B1094" s="12">
        <v>1070546.0</v>
      </c>
      <c r="C1094" s="12">
        <v>1070729.0</v>
      </c>
      <c r="D1094" s="2"/>
      <c r="E1094" s="2" t="s">
        <v>38</v>
      </c>
      <c r="F1094" s="2" t="s">
        <v>2873</v>
      </c>
      <c r="G1094" s="2" t="s">
        <v>2874</v>
      </c>
      <c r="H1094" s="12">
        <v>0.0</v>
      </c>
      <c r="I1094" s="2" t="s">
        <v>2875</v>
      </c>
      <c r="J1094" s="2"/>
      <c r="K1094" s="2"/>
      <c r="L1094" s="2"/>
      <c r="M1094" s="2" t="s">
        <v>2876</v>
      </c>
      <c r="N1094" s="2" t="str">
        <f>IFERROR(__xludf.DUMMYFUNCTION("""COMPUTED_VALUE"""),"")</f>
        <v/>
      </c>
    </row>
    <row r="1095">
      <c r="A1095" s="2" t="s">
        <v>33</v>
      </c>
      <c r="B1095" s="12">
        <v>1070751.0</v>
      </c>
      <c r="C1095" s="12">
        <v>1070933.0</v>
      </c>
      <c r="D1095" s="2"/>
      <c r="E1095" s="2" t="s">
        <v>38</v>
      </c>
      <c r="F1095" s="2" t="s">
        <v>2873</v>
      </c>
      <c r="G1095" s="2" t="s">
        <v>2874</v>
      </c>
      <c r="H1095" s="12">
        <v>0.0</v>
      </c>
      <c r="I1095" s="2" t="s">
        <v>2875</v>
      </c>
      <c r="J1095" s="2"/>
      <c r="K1095" s="2"/>
      <c r="L1095" s="2"/>
      <c r="M1095" s="2" t="s">
        <v>2877</v>
      </c>
      <c r="N1095" s="2" t="str">
        <f>IFERROR(__xludf.DUMMYFUNCTION("""COMPUTED_VALUE"""),"")</f>
        <v/>
      </c>
    </row>
    <row r="1096">
      <c r="A1096" s="2" t="s">
        <v>33</v>
      </c>
      <c r="B1096" s="12">
        <v>1071050.0</v>
      </c>
      <c r="C1096" s="12">
        <v>1071883.0</v>
      </c>
      <c r="D1096" s="2"/>
      <c r="E1096" s="2" t="s">
        <v>38</v>
      </c>
      <c r="F1096" s="2" t="s">
        <v>2878</v>
      </c>
      <c r="G1096" s="2"/>
      <c r="H1096" s="12">
        <v>0.0</v>
      </c>
      <c r="I1096" s="2" t="s">
        <v>40</v>
      </c>
      <c r="J1096" s="2"/>
      <c r="K1096" s="2" t="s">
        <v>2879</v>
      </c>
      <c r="L1096" s="12">
        <v>277.0</v>
      </c>
      <c r="M1096" s="2" t="s">
        <v>2880</v>
      </c>
      <c r="N1096" s="2" t="str">
        <f>IFERROR(__xludf.DUMMYFUNCTION("""COMPUTED_VALUE"""),"")</f>
        <v/>
      </c>
    </row>
    <row r="1097">
      <c r="A1097" s="2" t="s">
        <v>33</v>
      </c>
      <c r="B1097" s="12">
        <v>1071886.0</v>
      </c>
      <c r="C1097" s="12">
        <v>1072158.0</v>
      </c>
      <c r="D1097" s="2"/>
      <c r="E1097" s="2" t="s">
        <v>38</v>
      </c>
      <c r="F1097" s="2" t="s">
        <v>2881</v>
      </c>
      <c r="G1097" s="2"/>
      <c r="H1097" s="12">
        <v>0.0</v>
      </c>
      <c r="I1097" s="2" t="s">
        <v>40</v>
      </c>
      <c r="J1097" s="2"/>
      <c r="K1097" s="2" t="s">
        <v>2882</v>
      </c>
      <c r="L1097" s="12">
        <v>90.0</v>
      </c>
      <c r="M1097" s="2" t="s">
        <v>2883</v>
      </c>
      <c r="N1097" s="2" t="str">
        <f>IFERROR(__xludf.DUMMYFUNCTION("""COMPUTED_VALUE"""),"")</f>
        <v/>
      </c>
    </row>
    <row r="1098">
      <c r="A1098" s="2" t="s">
        <v>33</v>
      </c>
      <c r="B1098" s="12">
        <v>1072179.0</v>
      </c>
      <c r="C1098" s="12">
        <v>1072646.0</v>
      </c>
      <c r="D1098" s="2"/>
      <c r="E1098" s="2" t="s">
        <v>38</v>
      </c>
      <c r="F1098" s="2" t="s">
        <v>2202</v>
      </c>
      <c r="G1098" s="2"/>
      <c r="H1098" s="12">
        <v>0.0</v>
      </c>
      <c r="I1098" s="2" t="s">
        <v>40</v>
      </c>
      <c r="J1098" s="2"/>
      <c r="K1098" s="2" t="s">
        <v>2884</v>
      </c>
      <c r="L1098" s="12">
        <v>155.0</v>
      </c>
      <c r="M1098" s="2" t="s">
        <v>2885</v>
      </c>
      <c r="N1098" s="2" t="str">
        <f>IFERROR(__xludf.DUMMYFUNCTION("""COMPUTED_VALUE"""),"")</f>
        <v/>
      </c>
    </row>
    <row r="1099">
      <c r="A1099" s="2" t="s">
        <v>33</v>
      </c>
      <c r="B1099" s="12">
        <v>1072719.0</v>
      </c>
      <c r="C1099" s="12">
        <v>1072973.0</v>
      </c>
      <c r="D1099" s="2"/>
      <c r="E1099" s="2" t="s">
        <v>34</v>
      </c>
      <c r="F1099" s="2" t="s">
        <v>2886</v>
      </c>
      <c r="G1099" s="2"/>
      <c r="H1099" s="12">
        <v>0.0</v>
      </c>
      <c r="I1099" s="2" t="s">
        <v>40</v>
      </c>
      <c r="J1099" s="2"/>
      <c r="K1099" s="2" t="s">
        <v>2887</v>
      </c>
      <c r="L1099" s="12">
        <v>84.0</v>
      </c>
      <c r="M1099" s="2" t="s">
        <v>2888</v>
      </c>
      <c r="N1099" s="2" t="str">
        <f>IFERROR(__xludf.DUMMYFUNCTION("""COMPUTED_VALUE"""),"")</f>
        <v/>
      </c>
    </row>
    <row r="1100">
      <c r="A1100" s="2" t="s">
        <v>33</v>
      </c>
      <c r="B1100" s="12">
        <v>1072977.0</v>
      </c>
      <c r="C1100" s="12">
        <v>1076636.0</v>
      </c>
      <c r="D1100" s="2"/>
      <c r="E1100" s="2" t="s">
        <v>38</v>
      </c>
      <c r="F1100" s="2" t="s">
        <v>2889</v>
      </c>
      <c r="G1100" s="2"/>
      <c r="H1100" s="12">
        <v>0.0</v>
      </c>
      <c r="I1100" s="2" t="s">
        <v>40</v>
      </c>
      <c r="J1100" s="2"/>
      <c r="K1100" s="2" t="s">
        <v>2890</v>
      </c>
      <c r="L1100" s="12">
        <v>1219.0</v>
      </c>
      <c r="M1100" s="2" t="s">
        <v>2891</v>
      </c>
      <c r="N1100" s="2" t="str">
        <f>IFERROR(__xludf.DUMMYFUNCTION("""COMPUTED_VALUE"""),"")</f>
        <v/>
      </c>
    </row>
    <row r="1101">
      <c r="A1101" s="2" t="s">
        <v>33</v>
      </c>
      <c r="B1101" s="12">
        <v>1076805.0</v>
      </c>
      <c r="C1101" s="12">
        <v>1076960.0</v>
      </c>
      <c r="D1101" s="2"/>
      <c r="E1101" s="2" t="s">
        <v>34</v>
      </c>
      <c r="F1101" s="2" t="s">
        <v>39</v>
      </c>
      <c r="G1101" s="2"/>
      <c r="H1101" s="12">
        <v>0.0</v>
      </c>
      <c r="I1101" s="2" t="s">
        <v>40</v>
      </c>
      <c r="J1101" s="2"/>
      <c r="K1101" s="2" t="s">
        <v>2892</v>
      </c>
      <c r="L1101" s="12">
        <v>51.0</v>
      </c>
      <c r="M1101" s="2" t="s">
        <v>2893</v>
      </c>
      <c r="N1101" s="2" t="str">
        <f>IFERROR(__xludf.DUMMYFUNCTION("""COMPUTED_VALUE"""),"")</f>
        <v/>
      </c>
    </row>
    <row r="1102">
      <c r="A1102" s="2" t="s">
        <v>33</v>
      </c>
      <c r="B1102" s="12">
        <v>1077187.0</v>
      </c>
      <c r="C1102" s="12">
        <v>1078350.0</v>
      </c>
      <c r="D1102" s="2"/>
      <c r="E1102" s="2" t="s">
        <v>34</v>
      </c>
      <c r="F1102" s="2" t="s">
        <v>2894</v>
      </c>
      <c r="G1102" s="2"/>
      <c r="H1102" s="12">
        <v>0.0</v>
      </c>
      <c r="I1102" s="2" t="s">
        <v>40</v>
      </c>
      <c r="J1102" s="2"/>
      <c r="K1102" s="2" t="s">
        <v>2895</v>
      </c>
      <c r="L1102" s="12">
        <v>387.0</v>
      </c>
      <c r="M1102" s="2" t="s">
        <v>2896</v>
      </c>
      <c r="N1102" s="2" t="str">
        <f>IFERROR(__xludf.DUMMYFUNCTION("""COMPUTED_VALUE"""),"")</f>
        <v/>
      </c>
    </row>
    <row r="1103">
      <c r="A1103" s="2" t="s">
        <v>33</v>
      </c>
      <c r="B1103" s="12">
        <v>1078366.0</v>
      </c>
      <c r="C1103" s="12">
        <v>1079688.0</v>
      </c>
      <c r="D1103" s="2"/>
      <c r="E1103" s="2" t="s">
        <v>38</v>
      </c>
      <c r="F1103" s="2" t="s">
        <v>2897</v>
      </c>
      <c r="G1103" s="2" t="s">
        <v>2898</v>
      </c>
      <c r="H1103" s="12">
        <v>0.0</v>
      </c>
      <c r="I1103" s="2" t="s">
        <v>40</v>
      </c>
      <c r="J1103" s="2"/>
      <c r="K1103" s="2" t="s">
        <v>2899</v>
      </c>
      <c r="L1103" s="12">
        <v>440.0</v>
      </c>
      <c r="M1103" s="2" t="s">
        <v>2900</v>
      </c>
      <c r="N1103" s="2" t="str">
        <f>IFERROR(__xludf.DUMMYFUNCTION("""COMPUTED_VALUE"""),"")</f>
        <v/>
      </c>
    </row>
    <row r="1104">
      <c r="A1104" s="2" t="s">
        <v>33</v>
      </c>
      <c r="B1104" s="12">
        <v>1079692.0</v>
      </c>
      <c r="C1104" s="12">
        <v>1080285.0</v>
      </c>
      <c r="D1104" s="2"/>
      <c r="E1104" s="2" t="s">
        <v>38</v>
      </c>
      <c r="F1104" s="2" t="s">
        <v>2901</v>
      </c>
      <c r="G1104" s="2"/>
      <c r="H1104" s="12">
        <v>0.0</v>
      </c>
      <c r="I1104" s="2" t="s">
        <v>40</v>
      </c>
      <c r="J1104" s="2"/>
      <c r="K1104" s="2" t="s">
        <v>2902</v>
      </c>
      <c r="L1104" s="12">
        <v>197.0</v>
      </c>
      <c r="M1104" s="2" t="s">
        <v>2903</v>
      </c>
      <c r="N1104" s="2" t="str">
        <f>IFERROR(__xludf.DUMMYFUNCTION("""COMPUTED_VALUE"""),"")</f>
        <v/>
      </c>
    </row>
    <row r="1105">
      <c r="A1105" s="2" t="s">
        <v>33</v>
      </c>
      <c r="B1105" s="12">
        <v>1080612.0</v>
      </c>
      <c r="C1105" s="12">
        <v>1081358.0</v>
      </c>
      <c r="D1105" s="2"/>
      <c r="E1105" s="2" t="s">
        <v>38</v>
      </c>
      <c r="F1105" s="2" t="s">
        <v>2904</v>
      </c>
      <c r="G1105" s="2"/>
      <c r="H1105" s="12">
        <v>0.0</v>
      </c>
      <c r="I1105" s="2" t="s">
        <v>40</v>
      </c>
      <c r="J1105" s="2"/>
      <c r="K1105" s="2" t="s">
        <v>2905</v>
      </c>
      <c r="L1105" s="12">
        <v>248.0</v>
      </c>
      <c r="M1105" s="2" t="s">
        <v>2906</v>
      </c>
      <c r="N1105" s="2" t="str">
        <f>IFERROR(__xludf.DUMMYFUNCTION("""COMPUTED_VALUE"""),"")</f>
        <v/>
      </c>
    </row>
    <row r="1106">
      <c r="A1106" s="2" t="s">
        <v>33</v>
      </c>
      <c r="B1106" s="12">
        <v>1081497.0</v>
      </c>
      <c r="C1106" s="12">
        <v>1081970.0</v>
      </c>
      <c r="D1106" s="2"/>
      <c r="E1106" s="2" t="s">
        <v>38</v>
      </c>
      <c r="F1106" s="2" t="s">
        <v>367</v>
      </c>
      <c r="G1106" s="2"/>
      <c r="H1106" s="12">
        <v>0.0</v>
      </c>
      <c r="I1106" s="2" t="s">
        <v>40</v>
      </c>
      <c r="J1106" s="2"/>
      <c r="K1106" s="2" t="s">
        <v>2907</v>
      </c>
      <c r="L1106" s="12">
        <v>157.0</v>
      </c>
      <c r="M1106" s="2" t="s">
        <v>2908</v>
      </c>
      <c r="N1106" s="2" t="str">
        <f>IFERROR(__xludf.DUMMYFUNCTION("""COMPUTED_VALUE"""),"")</f>
        <v/>
      </c>
    </row>
    <row r="1107">
      <c r="A1107" s="2" t="s">
        <v>33</v>
      </c>
      <c r="B1107" s="12">
        <v>1082018.0</v>
      </c>
      <c r="C1107" s="12">
        <v>1083535.0</v>
      </c>
      <c r="D1107" s="2"/>
      <c r="E1107" s="2" t="s">
        <v>38</v>
      </c>
      <c r="F1107" s="2" t="s">
        <v>2909</v>
      </c>
      <c r="G1107" s="2" t="s">
        <v>2910</v>
      </c>
      <c r="H1107" s="12">
        <v>0.0</v>
      </c>
      <c r="I1107" s="2" t="s">
        <v>40</v>
      </c>
      <c r="J1107" s="2"/>
      <c r="K1107" s="2" t="s">
        <v>2911</v>
      </c>
      <c r="L1107" s="12">
        <v>505.0</v>
      </c>
      <c r="M1107" s="2" t="s">
        <v>2912</v>
      </c>
      <c r="N1107" s="2" t="str">
        <f>IFERROR(__xludf.DUMMYFUNCTION("""COMPUTED_VALUE"""),"")</f>
        <v/>
      </c>
    </row>
    <row r="1108">
      <c r="A1108" s="2" t="s">
        <v>33</v>
      </c>
      <c r="B1108" s="12">
        <v>1083637.0</v>
      </c>
      <c r="C1108" s="12">
        <v>1085574.0</v>
      </c>
      <c r="D1108" s="2"/>
      <c r="E1108" s="2" t="s">
        <v>38</v>
      </c>
      <c r="F1108" s="2" t="s">
        <v>2913</v>
      </c>
      <c r="G1108" s="2"/>
      <c r="H1108" s="12">
        <v>0.0</v>
      </c>
      <c r="I1108" s="2" t="s">
        <v>40</v>
      </c>
      <c r="J1108" s="2"/>
      <c r="K1108" s="2" t="s">
        <v>2914</v>
      </c>
      <c r="L1108" s="12">
        <v>645.0</v>
      </c>
      <c r="M1108" s="2" t="s">
        <v>2915</v>
      </c>
      <c r="N1108" s="2" t="str">
        <f>IFERROR(__xludf.DUMMYFUNCTION("""COMPUTED_VALUE"""),"")</f>
        <v/>
      </c>
    </row>
    <row r="1109">
      <c r="A1109" s="2" t="s">
        <v>33</v>
      </c>
      <c r="B1109" s="12">
        <v>1085714.0</v>
      </c>
      <c r="C1109" s="12">
        <v>1085896.0</v>
      </c>
      <c r="D1109" s="2"/>
      <c r="E1109" s="2" t="s">
        <v>38</v>
      </c>
      <c r="F1109" s="2" t="s">
        <v>2916</v>
      </c>
      <c r="G1109" s="2"/>
      <c r="H1109" s="12">
        <v>0.0</v>
      </c>
      <c r="I1109" s="2" t="s">
        <v>40</v>
      </c>
      <c r="J1109" s="2"/>
      <c r="K1109" s="2" t="s">
        <v>2917</v>
      </c>
      <c r="L1109" s="12">
        <v>60.0</v>
      </c>
      <c r="M1109" s="2" t="s">
        <v>2918</v>
      </c>
      <c r="N1109" s="2" t="str">
        <f>IFERROR(__xludf.DUMMYFUNCTION("""COMPUTED_VALUE"""),"")</f>
        <v/>
      </c>
    </row>
    <row r="1110">
      <c r="A1110" s="2" t="s">
        <v>33</v>
      </c>
      <c r="B1110" s="12">
        <v>1085958.0</v>
      </c>
      <c r="C1110" s="12">
        <v>1087097.0</v>
      </c>
      <c r="D1110" s="2"/>
      <c r="E1110" s="2" t="s">
        <v>38</v>
      </c>
      <c r="F1110" s="2" t="s">
        <v>2919</v>
      </c>
      <c r="G1110" s="2"/>
      <c r="H1110" s="12">
        <v>0.0</v>
      </c>
      <c r="I1110" s="2" t="s">
        <v>40</v>
      </c>
      <c r="J1110" s="2"/>
      <c r="K1110" s="2" t="s">
        <v>2920</v>
      </c>
      <c r="L1110" s="12">
        <v>379.0</v>
      </c>
      <c r="M1110" s="2" t="s">
        <v>2921</v>
      </c>
      <c r="N1110" s="2" t="str">
        <f>IFERROR(__xludf.DUMMYFUNCTION("""COMPUTED_VALUE"""),"")</f>
        <v/>
      </c>
    </row>
    <row r="1111">
      <c r="A1111" s="2" t="s">
        <v>33</v>
      </c>
      <c r="B1111" s="12">
        <v>1087278.0</v>
      </c>
      <c r="C1111" s="12">
        <v>1087668.0</v>
      </c>
      <c r="D1111" s="2"/>
      <c r="E1111" s="2" t="s">
        <v>38</v>
      </c>
      <c r="F1111" s="2" t="s">
        <v>2922</v>
      </c>
      <c r="G1111" s="2" t="s">
        <v>2923</v>
      </c>
      <c r="H1111" s="12">
        <v>0.0</v>
      </c>
      <c r="I1111" s="2" t="s">
        <v>2924</v>
      </c>
      <c r="J1111" s="2"/>
      <c r="K1111" s="2"/>
      <c r="L1111" s="2"/>
      <c r="M1111" s="2" t="s">
        <v>2925</v>
      </c>
      <c r="N1111" s="2" t="str">
        <f>IFERROR(__xludf.DUMMYFUNCTION("""COMPUTED_VALUE"""),"")</f>
        <v/>
      </c>
    </row>
    <row r="1112">
      <c r="A1112" s="2" t="s">
        <v>33</v>
      </c>
      <c r="B1112" s="12">
        <v>1087755.0</v>
      </c>
      <c r="C1112" s="12">
        <v>1088090.0</v>
      </c>
      <c r="D1112" s="2"/>
      <c r="E1112" s="2" t="s">
        <v>38</v>
      </c>
      <c r="F1112" s="2" t="s">
        <v>2926</v>
      </c>
      <c r="G1112" s="2" t="s">
        <v>2927</v>
      </c>
      <c r="H1112" s="12">
        <v>0.0</v>
      </c>
      <c r="I1112" s="2" t="s">
        <v>40</v>
      </c>
      <c r="J1112" s="2"/>
      <c r="K1112" s="2" t="s">
        <v>2928</v>
      </c>
      <c r="L1112" s="12">
        <v>111.0</v>
      </c>
      <c r="M1112" s="2" t="s">
        <v>2929</v>
      </c>
      <c r="N1112" s="2" t="str">
        <f>IFERROR(__xludf.DUMMYFUNCTION("""COMPUTED_VALUE"""),"")</f>
        <v/>
      </c>
    </row>
    <row r="1113">
      <c r="A1113" s="2" t="s">
        <v>33</v>
      </c>
      <c r="B1113" s="12">
        <v>1088188.0</v>
      </c>
      <c r="C1113" s="12">
        <v>1088742.0</v>
      </c>
      <c r="D1113" s="2"/>
      <c r="E1113" s="2" t="s">
        <v>38</v>
      </c>
      <c r="F1113" s="2" t="s">
        <v>2930</v>
      </c>
      <c r="G1113" s="2"/>
      <c r="H1113" s="12">
        <v>0.0</v>
      </c>
      <c r="I1113" s="2" t="s">
        <v>40</v>
      </c>
      <c r="J1113" s="2"/>
      <c r="K1113" s="2" t="s">
        <v>2931</v>
      </c>
      <c r="L1113" s="12">
        <v>184.0</v>
      </c>
      <c r="M1113" s="2" t="s">
        <v>2932</v>
      </c>
      <c r="N1113" s="2" t="str">
        <f>IFERROR(__xludf.DUMMYFUNCTION("""COMPUTED_VALUE"""),"")</f>
        <v/>
      </c>
    </row>
    <row r="1114">
      <c r="A1114" s="2" t="s">
        <v>33</v>
      </c>
      <c r="B1114" s="12">
        <v>1088799.0</v>
      </c>
      <c r="C1114" s="12">
        <v>1089227.0</v>
      </c>
      <c r="D1114" s="2"/>
      <c r="E1114" s="2" t="s">
        <v>38</v>
      </c>
      <c r="F1114" s="2" t="s">
        <v>2933</v>
      </c>
      <c r="G1114" s="2"/>
      <c r="H1114" s="12">
        <v>0.0</v>
      </c>
      <c r="I1114" s="2" t="s">
        <v>40</v>
      </c>
      <c r="J1114" s="2"/>
      <c r="K1114" s="2" t="s">
        <v>2934</v>
      </c>
      <c r="L1114" s="12">
        <v>142.0</v>
      </c>
      <c r="M1114" s="2" t="s">
        <v>2935</v>
      </c>
      <c r="N1114" s="2" t="str">
        <f>IFERROR(__xludf.DUMMYFUNCTION("""COMPUTED_VALUE"""),"")</f>
        <v/>
      </c>
    </row>
    <row r="1115">
      <c r="A1115" s="2" t="s">
        <v>33</v>
      </c>
      <c r="B1115" s="12">
        <v>1089383.0</v>
      </c>
      <c r="C1115" s="12">
        <v>1089949.0</v>
      </c>
      <c r="D1115" s="2"/>
      <c r="E1115" s="2" t="s">
        <v>38</v>
      </c>
      <c r="F1115" s="2" t="s">
        <v>2936</v>
      </c>
      <c r="G1115" s="2"/>
      <c r="H1115" s="12">
        <v>0.0</v>
      </c>
      <c r="I1115" s="2" t="s">
        <v>40</v>
      </c>
      <c r="J1115" s="2"/>
      <c r="K1115" s="2" t="s">
        <v>2937</v>
      </c>
      <c r="L1115" s="12">
        <v>188.0</v>
      </c>
      <c r="M1115" s="2" t="s">
        <v>2938</v>
      </c>
      <c r="N1115" s="2" t="str">
        <f>IFERROR(__xludf.DUMMYFUNCTION("""COMPUTED_VALUE"""),"")</f>
        <v/>
      </c>
    </row>
    <row r="1116">
      <c r="A1116" s="2" t="s">
        <v>33</v>
      </c>
      <c r="B1116" s="12">
        <v>1090127.0</v>
      </c>
      <c r="C1116" s="12">
        <v>1090318.0</v>
      </c>
      <c r="D1116" s="2"/>
      <c r="E1116" s="2" t="s">
        <v>34</v>
      </c>
      <c r="F1116" s="2" t="s">
        <v>2939</v>
      </c>
      <c r="G1116" s="2"/>
      <c r="H1116" s="12">
        <v>0.0</v>
      </c>
      <c r="I1116" s="2" t="s">
        <v>40</v>
      </c>
      <c r="J1116" s="2"/>
      <c r="K1116" s="2" t="s">
        <v>2940</v>
      </c>
      <c r="L1116" s="12">
        <v>63.0</v>
      </c>
      <c r="M1116" s="2" t="s">
        <v>2941</v>
      </c>
      <c r="N1116" s="2" t="str">
        <f>IFERROR(__xludf.DUMMYFUNCTION("""COMPUTED_VALUE"""),"")</f>
        <v/>
      </c>
    </row>
    <row r="1117">
      <c r="A1117" s="2" t="s">
        <v>33</v>
      </c>
      <c r="B1117" s="12">
        <v>1090345.0</v>
      </c>
      <c r="C1117" s="12">
        <v>1090689.0</v>
      </c>
      <c r="D1117" s="2"/>
      <c r="E1117" s="2" t="s">
        <v>38</v>
      </c>
      <c r="F1117" s="2" t="s">
        <v>2942</v>
      </c>
      <c r="G1117" s="2"/>
      <c r="H1117" s="12">
        <v>0.0</v>
      </c>
      <c r="I1117" s="2" t="s">
        <v>40</v>
      </c>
      <c r="J1117" s="2"/>
      <c r="K1117" s="2" t="s">
        <v>2943</v>
      </c>
      <c r="L1117" s="12">
        <v>114.0</v>
      </c>
      <c r="M1117" s="2" t="s">
        <v>2944</v>
      </c>
      <c r="N1117" s="2" t="str">
        <f>IFERROR(__xludf.DUMMYFUNCTION("""COMPUTED_VALUE"""),"")</f>
        <v/>
      </c>
    </row>
    <row r="1118">
      <c r="A1118" s="2" t="s">
        <v>33</v>
      </c>
      <c r="B1118" s="12">
        <v>1090705.0</v>
      </c>
      <c r="C1118" s="12">
        <v>1090947.0</v>
      </c>
      <c r="D1118" s="2"/>
      <c r="E1118" s="2" t="s">
        <v>38</v>
      </c>
      <c r="F1118" s="2" t="s">
        <v>39</v>
      </c>
      <c r="G1118" s="2"/>
      <c r="H1118" s="12">
        <v>0.0</v>
      </c>
      <c r="I1118" s="2" t="s">
        <v>40</v>
      </c>
      <c r="J1118" s="2"/>
      <c r="K1118" s="2" t="s">
        <v>2945</v>
      </c>
      <c r="L1118" s="12">
        <v>80.0</v>
      </c>
      <c r="M1118" s="2" t="s">
        <v>2946</v>
      </c>
      <c r="N1118" s="2" t="str">
        <f>IFERROR(__xludf.DUMMYFUNCTION("""COMPUTED_VALUE"""),"")</f>
        <v/>
      </c>
    </row>
    <row r="1119">
      <c r="A1119" s="2" t="s">
        <v>33</v>
      </c>
      <c r="B1119" s="12">
        <v>1091033.0</v>
      </c>
      <c r="C1119" s="12">
        <v>1091212.0</v>
      </c>
      <c r="D1119" s="2"/>
      <c r="E1119" s="2" t="s">
        <v>34</v>
      </c>
      <c r="F1119" s="2" t="s">
        <v>39</v>
      </c>
      <c r="G1119" s="2"/>
      <c r="H1119" s="12">
        <v>0.0</v>
      </c>
      <c r="I1119" s="2" t="s">
        <v>40</v>
      </c>
      <c r="J1119" s="2"/>
      <c r="K1119" s="2" t="s">
        <v>2947</v>
      </c>
      <c r="L1119" s="12">
        <v>59.0</v>
      </c>
      <c r="M1119" s="2" t="s">
        <v>2948</v>
      </c>
      <c r="N1119" s="2" t="str">
        <f>IFERROR(__xludf.DUMMYFUNCTION("""COMPUTED_VALUE"""),"")</f>
        <v/>
      </c>
    </row>
    <row r="1120">
      <c r="A1120" s="2" t="s">
        <v>33</v>
      </c>
      <c r="B1120" s="12">
        <v>1091364.0</v>
      </c>
      <c r="C1120" s="12">
        <v>1092389.0</v>
      </c>
      <c r="D1120" s="2"/>
      <c r="E1120" s="2" t="s">
        <v>38</v>
      </c>
      <c r="F1120" s="2" t="s">
        <v>2949</v>
      </c>
      <c r="G1120" s="2"/>
      <c r="H1120" s="12">
        <v>0.0</v>
      </c>
      <c r="I1120" s="2" t="s">
        <v>40</v>
      </c>
      <c r="J1120" s="2"/>
      <c r="K1120" s="2" t="s">
        <v>2950</v>
      </c>
      <c r="L1120" s="12">
        <v>341.0</v>
      </c>
      <c r="M1120" s="2" t="s">
        <v>2951</v>
      </c>
      <c r="N1120" s="2" t="str">
        <f>IFERROR(__xludf.DUMMYFUNCTION("""COMPUTED_VALUE"""),"")</f>
        <v/>
      </c>
    </row>
    <row r="1121">
      <c r="A1121" s="2" t="s">
        <v>33</v>
      </c>
      <c r="B1121" s="12">
        <v>1092493.0</v>
      </c>
      <c r="C1121" s="12">
        <v>1093095.0</v>
      </c>
      <c r="D1121" s="2"/>
      <c r="E1121" s="2" t="s">
        <v>34</v>
      </c>
      <c r="F1121" s="2" t="s">
        <v>2952</v>
      </c>
      <c r="G1121" s="2" t="s">
        <v>2953</v>
      </c>
      <c r="H1121" s="12">
        <v>0.0</v>
      </c>
      <c r="I1121" s="2" t="s">
        <v>40</v>
      </c>
      <c r="J1121" s="2"/>
      <c r="K1121" s="2" t="s">
        <v>2954</v>
      </c>
      <c r="L1121" s="12">
        <v>200.0</v>
      </c>
      <c r="M1121" s="2" t="s">
        <v>2955</v>
      </c>
      <c r="N1121" s="2" t="str">
        <f>IFERROR(__xludf.DUMMYFUNCTION("""COMPUTED_VALUE"""),"")</f>
        <v/>
      </c>
    </row>
    <row r="1122">
      <c r="A1122" s="2" t="s">
        <v>33</v>
      </c>
      <c r="B1122" s="12">
        <v>1093162.0</v>
      </c>
      <c r="C1122" s="12">
        <v>1093755.0</v>
      </c>
      <c r="D1122" s="2"/>
      <c r="E1122" s="2" t="s">
        <v>34</v>
      </c>
      <c r="F1122" s="2" t="s">
        <v>35</v>
      </c>
      <c r="G1122" s="2"/>
      <c r="H1122" s="12">
        <v>0.0</v>
      </c>
      <c r="I1122" s="2" t="s">
        <v>36</v>
      </c>
      <c r="J1122" s="2"/>
      <c r="K1122" s="2"/>
      <c r="L1122" s="2"/>
      <c r="M1122" s="2" t="s">
        <v>2956</v>
      </c>
      <c r="N1122" s="2" t="str">
        <f>IFERROR(__xludf.DUMMYFUNCTION("""COMPUTED_VALUE"""),"")</f>
        <v/>
      </c>
    </row>
    <row r="1123">
      <c r="A1123" s="2" t="s">
        <v>33</v>
      </c>
      <c r="B1123" s="12">
        <v>1093912.0</v>
      </c>
      <c r="C1123" s="12">
        <v>1094991.0</v>
      </c>
      <c r="D1123" s="2"/>
      <c r="E1123" s="2" t="s">
        <v>38</v>
      </c>
      <c r="F1123" s="2" t="s">
        <v>76</v>
      </c>
      <c r="G1123" s="2"/>
      <c r="H1123" s="12">
        <v>0.0</v>
      </c>
      <c r="I1123" s="2" t="s">
        <v>40</v>
      </c>
      <c r="J1123" s="2"/>
      <c r="K1123" s="2" t="s">
        <v>77</v>
      </c>
      <c r="L1123" s="12">
        <v>359.0</v>
      </c>
      <c r="M1123" s="2" t="s">
        <v>2957</v>
      </c>
      <c r="N1123" s="2" t="str">
        <f>IFERROR(__xludf.DUMMYFUNCTION("""COMPUTED_VALUE"""),"")</f>
        <v/>
      </c>
    </row>
    <row r="1124">
      <c r="A1124" s="2" t="s">
        <v>33</v>
      </c>
      <c r="B1124" s="12">
        <v>1094997.0</v>
      </c>
      <c r="C1124" s="12">
        <v>1095398.0</v>
      </c>
      <c r="D1124" s="2"/>
      <c r="E1124" s="2" t="s">
        <v>38</v>
      </c>
      <c r="F1124" s="2" t="s">
        <v>748</v>
      </c>
      <c r="G1124" s="2" t="s">
        <v>79</v>
      </c>
      <c r="H1124" s="12">
        <v>0.0</v>
      </c>
      <c r="I1124" s="2" t="s">
        <v>40</v>
      </c>
      <c r="J1124" s="2"/>
      <c r="K1124" s="2" t="s">
        <v>749</v>
      </c>
      <c r="L1124" s="12">
        <v>133.0</v>
      </c>
      <c r="M1124" s="2" t="s">
        <v>2958</v>
      </c>
      <c r="N1124" s="2" t="str">
        <f>IFERROR(__xludf.DUMMYFUNCTION("""COMPUTED_VALUE"""),"")</f>
        <v/>
      </c>
    </row>
    <row r="1125">
      <c r="A1125" s="2" t="s">
        <v>33</v>
      </c>
      <c r="B1125" s="12">
        <v>1095561.0</v>
      </c>
      <c r="C1125" s="12">
        <v>1097663.0</v>
      </c>
      <c r="D1125" s="2"/>
      <c r="E1125" s="2" t="s">
        <v>34</v>
      </c>
      <c r="F1125" s="2" t="s">
        <v>35</v>
      </c>
      <c r="G1125" s="2"/>
      <c r="H1125" s="12">
        <v>0.0</v>
      </c>
      <c r="I1125" s="2" t="s">
        <v>36</v>
      </c>
      <c r="J1125" s="2"/>
      <c r="K1125" s="2"/>
      <c r="L1125" s="2"/>
      <c r="M1125" s="2" t="s">
        <v>2959</v>
      </c>
      <c r="N1125" s="2" t="str">
        <f>IFERROR(__xludf.DUMMYFUNCTION("""COMPUTED_VALUE"""),"")</f>
        <v/>
      </c>
    </row>
    <row r="1126">
      <c r="A1126" s="2" t="s">
        <v>33</v>
      </c>
      <c r="B1126" s="12">
        <v>1097689.0</v>
      </c>
      <c r="C1126" s="12">
        <v>1098207.0</v>
      </c>
      <c r="D1126" s="2"/>
      <c r="E1126" s="2" t="s">
        <v>38</v>
      </c>
      <c r="F1126" s="2" t="s">
        <v>2960</v>
      </c>
      <c r="G1126" s="2"/>
      <c r="H1126" s="12">
        <v>0.0</v>
      </c>
      <c r="I1126" s="2" t="s">
        <v>40</v>
      </c>
      <c r="J1126" s="2"/>
      <c r="K1126" s="2" t="s">
        <v>2961</v>
      </c>
      <c r="L1126" s="12">
        <v>172.0</v>
      </c>
      <c r="M1126" s="2" t="s">
        <v>2962</v>
      </c>
      <c r="N1126" s="2" t="str">
        <f>IFERROR(__xludf.DUMMYFUNCTION("""COMPUTED_VALUE"""),"")</f>
        <v/>
      </c>
    </row>
    <row r="1127">
      <c r="A1127" s="2" t="s">
        <v>33</v>
      </c>
      <c r="B1127" s="12">
        <v>1098211.0</v>
      </c>
      <c r="C1127" s="12">
        <v>1098858.0</v>
      </c>
      <c r="D1127" s="2"/>
      <c r="E1127" s="2" t="s">
        <v>38</v>
      </c>
      <c r="F1127" s="2" t="s">
        <v>2963</v>
      </c>
      <c r="G1127" s="2" t="s">
        <v>2964</v>
      </c>
      <c r="H1127" s="12">
        <v>0.0</v>
      </c>
      <c r="I1127" s="2" t="s">
        <v>40</v>
      </c>
      <c r="J1127" s="2"/>
      <c r="K1127" s="2" t="s">
        <v>2965</v>
      </c>
      <c r="L1127" s="12">
        <v>215.0</v>
      </c>
      <c r="M1127" s="2" t="s">
        <v>2966</v>
      </c>
      <c r="N1127" s="2" t="str">
        <f>IFERROR(__xludf.DUMMYFUNCTION("""COMPUTED_VALUE"""),"")</f>
        <v/>
      </c>
    </row>
    <row r="1128">
      <c r="A1128" s="2" t="s">
        <v>33</v>
      </c>
      <c r="B1128" s="12">
        <v>1098874.0</v>
      </c>
      <c r="C1128" s="12">
        <v>1099581.0</v>
      </c>
      <c r="D1128" s="2"/>
      <c r="E1128" s="2" t="s">
        <v>38</v>
      </c>
      <c r="F1128" s="2" t="s">
        <v>2967</v>
      </c>
      <c r="G1128" s="2" t="s">
        <v>2968</v>
      </c>
      <c r="H1128" s="12">
        <v>0.0</v>
      </c>
      <c r="I1128" s="2" t="s">
        <v>40</v>
      </c>
      <c r="J1128" s="2"/>
      <c r="K1128" s="2" t="s">
        <v>2969</v>
      </c>
      <c r="L1128" s="12">
        <v>235.0</v>
      </c>
      <c r="M1128" s="2" t="s">
        <v>2970</v>
      </c>
      <c r="N1128" s="2" t="str">
        <f>IFERROR(__xludf.DUMMYFUNCTION("""COMPUTED_VALUE"""),"")</f>
        <v/>
      </c>
    </row>
    <row r="1129">
      <c r="A1129" s="2" t="s">
        <v>33</v>
      </c>
      <c r="B1129" s="12">
        <v>1099702.0</v>
      </c>
      <c r="C1129" s="12">
        <v>1100889.0</v>
      </c>
      <c r="D1129" s="2"/>
      <c r="E1129" s="2" t="s">
        <v>38</v>
      </c>
      <c r="F1129" s="2" t="s">
        <v>2971</v>
      </c>
      <c r="G1129" s="2" t="s">
        <v>2972</v>
      </c>
      <c r="H1129" s="12">
        <v>0.0</v>
      </c>
      <c r="I1129" s="2" t="s">
        <v>40</v>
      </c>
      <c r="J1129" s="2"/>
      <c r="K1129" s="2" t="s">
        <v>2973</v>
      </c>
      <c r="L1129" s="12">
        <v>395.0</v>
      </c>
      <c r="M1129" s="2" t="s">
        <v>2974</v>
      </c>
      <c r="N1129" s="2" t="str">
        <f>IFERROR(__xludf.DUMMYFUNCTION("""COMPUTED_VALUE"""),"")</f>
        <v/>
      </c>
    </row>
    <row r="1130">
      <c r="A1130" s="2" t="s">
        <v>33</v>
      </c>
      <c r="B1130" s="12">
        <v>1100908.0</v>
      </c>
      <c r="C1130" s="12">
        <v>1101411.0</v>
      </c>
      <c r="D1130" s="2"/>
      <c r="E1130" s="2" t="s">
        <v>38</v>
      </c>
      <c r="F1130" s="2" t="s">
        <v>2975</v>
      </c>
      <c r="G1130" s="2"/>
      <c r="H1130" s="12">
        <v>0.0</v>
      </c>
      <c r="I1130" s="2" t="s">
        <v>40</v>
      </c>
      <c r="J1130" s="2"/>
      <c r="K1130" s="2" t="s">
        <v>2976</v>
      </c>
      <c r="L1130" s="12">
        <v>167.0</v>
      </c>
      <c r="M1130" s="2" t="s">
        <v>2977</v>
      </c>
      <c r="N1130" s="2" t="str">
        <f>IFERROR(__xludf.DUMMYFUNCTION("""COMPUTED_VALUE"""),"")</f>
        <v/>
      </c>
    </row>
    <row r="1131">
      <c r="A1131" s="2" t="s">
        <v>33</v>
      </c>
      <c r="B1131" s="12">
        <v>1101419.0</v>
      </c>
      <c r="C1131" s="12">
        <v>1101589.0</v>
      </c>
      <c r="D1131" s="2"/>
      <c r="E1131" s="2" t="s">
        <v>38</v>
      </c>
      <c r="F1131" s="2" t="s">
        <v>2978</v>
      </c>
      <c r="G1131" s="2"/>
      <c r="H1131" s="12">
        <v>0.0</v>
      </c>
      <c r="I1131" s="2" t="s">
        <v>40</v>
      </c>
      <c r="J1131" s="2"/>
      <c r="K1131" s="2" t="s">
        <v>2979</v>
      </c>
      <c r="L1131" s="12">
        <v>56.0</v>
      </c>
      <c r="M1131" s="2" t="s">
        <v>2980</v>
      </c>
      <c r="N1131" s="2" t="str">
        <f>IFERROR(__xludf.DUMMYFUNCTION("""COMPUTED_VALUE"""),"")</f>
        <v/>
      </c>
    </row>
    <row r="1132">
      <c r="A1132" s="2" t="s">
        <v>33</v>
      </c>
      <c r="B1132" s="12">
        <v>1101840.0</v>
      </c>
      <c r="C1132" s="12">
        <v>1104644.0</v>
      </c>
      <c r="D1132" s="2"/>
      <c r="E1132" s="2" t="s">
        <v>38</v>
      </c>
      <c r="F1132" s="2" t="s">
        <v>2981</v>
      </c>
      <c r="G1132" s="2" t="s">
        <v>2982</v>
      </c>
      <c r="H1132" s="12">
        <v>0.0</v>
      </c>
      <c r="I1132" s="2" t="s">
        <v>40</v>
      </c>
      <c r="J1132" s="2"/>
      <c r="K1132" s="2" t="s">
        <v>2983</v>
      </c>
      <c r="L1132" s="12">
        <v>934.0</v>
      </c>
      <c r="M1132" s="2" t="s">
        <v>2984</v>
      </c>
      <c r="N1132" s="2" t="str">
        <f>IFERROR(__xludf.DUMMYFUNCTION("""COMPUTED_VALUE"""),"")</f>
        <v/>
      </c>
    </row>
    <row r="1133">
      <c r="A1133" s="2" t="s">
        <v>33</v>
      </c>
      <c r="B1133" s="12">
        <v>1104776.0</v>
      </c>
      <c r="C1133" s="12">
        <v>1105159.0</v>
      </c>
      <c r="D1133" s="2"/>
      <c r="E1133" s="2" t="s">
        <v>38</v>
      </c>
      <c r="F1133" s="2" t="s">
        <v>2985</v>
      </c>
      <c r="G1133" s="2" t="s">
        <v>2986</v>
      </c>
      <c r="H1133" s="12">
        <v>0.0</v>
      </c>
      <c r="I1133" s="2" t="s">
        <v>40</v>
      </c>
      <c r="J1133" s="2"/>
      <c r="K1133" s="2" t="s">
        <v>2987</v>
      </c>
      <c r="L1133" s="12">
        <v>127.0</v>
      </c>
      <c r="M1133" s="2" t="s">
        <v>2988</v>
      </c>
      <c r="N1133" s="2" t="str">
        <f>IFERROR(__xludf.DUMMYFUNCTION("""COMPUTED_VALUE"""),"")</f>
        <v/>
      </c>
    </row>
    <row r="1134">
      <c r="A1134" s="2" t="s">
        <v>33</v>
      </c>
      <c r="B1134" s="12">
        <v>1105172.0</v>
      </c>
      <c r="C1134" s="12">
        <v>1106020.0</v>
      </c>
      <c r="D1134" s="2"/>
      <c r="E1134" s="2" t="s">
        <v>38</v>
      </c>
      <c r="F1134" s="2" t="s">
        <v>2989</v>
      </c>
      <c r="G1134" s="2" t="s">
        <v>2990</v>
      </c>
      <c r="H1134" s="12">
        <v>0.0</v>
      </c>
      <c r="I1134" s="2" t="s">
        <v>40</v>
      </c>
      <c r="J1134" s="2"/>
      <c r="K1134" s="2" t="s">
        <v>2991</v>
      </c>
      <c r="L1134" s="12">
        <v>282.0</v>
      </c>
      <c r="M1134" s="2" t="s">
        <v>2992</v>
      </c>
      <c r="N1134" s="2" t="str">
        <f>IFERROR(__xludf.DUMMYFUNCTION("""COMPUTED_VALUE"""),"")</f>
        <v/>
      </c>
    </row>
    <row r="1135">
      <c r="A1135" s="2" t="s">
        <v>33</v>
      </c>
      <c r="B1135" s="12">
        <v>1106020.0</v>
      </c>
      <c r="C1135" s="12">
        <v>1106856.0</v>
      </c>
      <c r="D1135" s="2"/>
      <c r="E1135" s="2" t="s">
        <v>38</v>
      </c>
      <c r="F1135" s="2" t="s">
        <v>2993</v>
      </c>
      <c r="G1135" s="2" t="s">
        <v>2994</v>
      </c>
      <c r="H1135" s="12">
        <v>0.0</v>
      </c>
      <c r="I1135" s="2" t="s">
        <v>40</v>
      </c>
      <c r="J1135" s="2"/>
      <c r="K1135" s="2" t="s">
        <v>2995</v>
      </c>
      <c r="L1135" s="12">
        <v>278.0</v>
      </c>
      <c r="M1135" s="2" t="s">
        <v>2996</v>
      </c>
      <c r="N1135" s="2" t="str">
        <f>IFERROR(__xludf.DUMMYFUNCTION("""COMPUTED_VALUE"""),"")</f>
        <v/>
      </c>
    </row>
    <row r="1136">
      <c r="A1136" s="2" t="s">
        <v>33</v>
      </c>
      <c r="B1136" s="12">
        <v>1107339.0</v>
      </c>
      <c r="C1136" s="12">
        <v>1107728.0</v>
      </c>
      <c r="D1136" s="2"/>
      <c r="E1136" s="2" t="s">
        <v>34</v>
      </c>
      <c r="F1136" s="2" t="s">
        <v>2997</v>
      </c>
      <c r="G1136" s="2"/>
      <c r="H1136" s="12">
        <v>0.0</v>
      </c>
      <c r="I1136" s="2" t="s">
        <v>40</v>
      </c>
      <c r="J1136" s="2"/>
      <c r="K1136" s="2" t="s">
        <v>2998</v>
      </c>
      <c r="L1136" s="12">
        <v>129.0</v>
      </c>
      <c r="M1136" s="2" t="s">
        <v>2999</v>
      </c>
      <c r="N1136" s="2" t="str">
        <f>IFERROR(__xludf.DUMMYFUNCTION("""COMPUTED_VALUE"""),"")</f>
        <v/>
      </c>
    </row>
    <row r="1137">
      <c r="A1137" s="2" t="s">
        <v>33</v>
      </c>
      <c r="B1137" s="12">
        <v>1107856.0</v>
      </c>
      <c r="C1137" s="12">
        <v>1108836.0</v>
      </c>
      <c r="D1137" s="2"/>
      <c r="E1137" s="2" t="s">
        <v>38</v>
      </c>
      <c r="F1137" s="2" t="s">
        <v>3000</v>
      </c>
      <c r="G1137" s="2"/>
      <c r="H1137" s="12">
        <v>0.0</v>
      </c>
      <c r="I1137" s="2" t="s">
        <v>40</v>
      </c>
      <c r="J1137" s="2"/>
      <c r="K1137" s="2" t="s">
        <v>3001</v>
      </c>
      <c r="L1137" s="12">
        <v>326.0</v>
      </c>
      <c r="M1137" s="2" t="s">
        <v>3002</v>
      </c>
      <c r="N1137" s="2" t="str">
        <f>IFERROR(__xludf.DUMMYFUNCTION("""COMPUTED_VALUE"""),"")</f>
        <v/>
      </c>
    </row>
    <row r="1138">
      <c r="A1138" s="2" t="s">
        <v>33</v>
      </c>
      <c r="B1138" s="12">
        <v>1108821.0</v>
      </c>
      <c r="C1138" s="12">
        <v>1110014.0</v>
      </c>
      <c r="D1138" s="2"/>
      <c r="E1138" s="2" t="s">
        <v>38</v>
      </c>
      <c r="F1138" s="2" t="s">
        <v>3003</v>
      </c>
      <c r="G1138" s="2"/>
      <c r="H1138" s="12">
        <v>0.0</v>
      </c>
      <c r="I1138" s="2" t="s">
        <v>40</v>
      </c>
      <c r="J1138" s="2"/>
      <c r="K1138" s="2" t="s">
        <v>3004</v>
      </c>
      <c r="L1138" s="12">
        <v>397.0</v>
      </c>
      <c r="M1138" s="2" t="s">
        <v>3005</v>
      </c>
      <c r="N1138" s="2" t="str">
        <f>IFERROR(__xludf.DUMMYFUNCTION("""COMPUTED_VALUE"""),"")</f>
        <v/>
      </c>
    </row>
    <row r="1139">
      <c r="A1139" s="2" t="s">
        <v>33</v>
      </c>
      <c r="B1139" s="12">
        <v>1110001.0</v>
      </c>
      <c r="C1139" s="12">
        <v>1111146.0</v>
      </c>
      <c r="D1139" s="2"/>
      <c r="E1139" s="2" t="s">
        <v>38</v>
      </c>
      <c r="F1139" s="2" t="s">
        <v>3006</v>
      </c>
      <c r="G1139" s="2" t="s">
        <v>3007</v>
      </c>
      <c r="H1139" s="12">
        <v>0.0</v>
      </c>
      <c r="I1139" s="2" t="s">
        <v>40</v>
      </c>
      <c r="J1139" s="2"/>
      <c r="K1139" s="2" t="s">
        <v>3008</v>
      </c>
      <c r="L1139" s="12">
        <v>381.0</v>
      </c>
      <c r="M1139" s="2" t="s">
        <v>3009</v>
      </c>
      <c r="N1139" s="2" t="str">
        <f>IFERROR(__xludf.DUMMYFUNCTION("""COMPUTED_VALUE"""),"")</f>
        <v/>
      </c>
    </row>
    <row r="1140">
      <c r="A1140" s="2" t="s">
        <v>33</v>
      </c>
      <c r="B1140" s="12">
        <v>1111143.0</v>
      </c>
      <c r="C1140" s="12">
        <v>1111847.0</v>
      </c>
      <c r="D1140" s="2"/>
      <c r="E1140" s="2" t="s">
        <v>38</v>
      </c>
      <c r="F1140" s="2" t="s">
        <v>3010</v>
      </c>
      <c r="G1140" s="2" t="s">
        <v>3011</v>
      </c>
      <c r="H1140" s="12">
        <v>0.0</v>
      </c>
      <c r="I1140" s="2" t="s">
        <v>40</v>
      </c>
      <c r="J1140" s="2"/>
      <c r="K1140" s="2" t="s">
        <v>3012</v>
      </c>
      <c r="L1140" s="12">
        <v>234.0</v>
      </c>
      <c r="M1140" s="2" t="s">
        <v>3013</v>
      </c>
      <c r="N1140" s="2" t="str">
        <f>IFERROR(__xludf.DUMMYFUNCTION("""COMPUTED_VALUE"""),"")</f>
        <v/>
      </c>
    </row>
    <row r="1141">
      <c r="A1141" s="2" t="s">
        <v>33</v>
      </c>
      <c r="B1141" s="12">
        <v>1111859.0</v>
      </c>
      <c r="C1141" s="12">
        <v>1112254.0</v>
      </c>
      <c r="D1141" s="2"/>
      <c r="E1141" s="2" t="s">
        <v>38</v>
      </c>
      <c r="F1141" s="2" t="s">
        <v>3014</v>
      </c>
      <c r="G1141" s="2" t="s">
        <v>3015</v>
      </c>
      <c r="H1141" s="12">
        <v>0.0</v>
      </c>
      <c r="I1141" s="2" t="s">
        <v>40</v>
      </c>
      <c r="J1141" s="2"/>
      <c r="K1141" s="2" t="s">
        <v>3016</v>
      </c>
      <c r="L1141" s="12">
        <v>131.0</v>
      </c>
      <c r="M1141" s="2" t="s">
        <v>3017</v>
      </c>
      <c r="N1141" s="2" t="str">
        <f>IFERROR(__xludf.DUMMYFUNCTION("""COMPUTED_VALUE"""),"")</f>
        <v/>
      </c>
    </row>
    <row r="1142">
      <c r="A1142" s="2" t="s">
        <v>33</v>
      </c>
      <c r="B1142" s="12">
        <v>1112269.0</v>
      </c>
      <c r="C1142" s="12">
        <v>1113069.0</v>
      </c>
      <c r="D1142" s="2"/>
      <c r="E1142" s="2" t="s">
        <v>38</v>
      </c>
      <c r="F1142" s="2" t="s">
        <v>3018</v>
      </c>
      <c r="G1142" s="2" t="s">
        <v>3019</v>
      </c>
      <c r="H1142" s="12">
        <v>0.0</v>
      </c>
      <c r="I1142" s="2" t="s">
        <v>40</v>
      </c>
      <c r="J1142" s="2"/>
      <c r="K1142" s="2" t="s">
        <v>3020</v>
      </c>
      <c r="L1142" s="12">
        <v>266.0</v>
      </c>
      <c r="M1142" s="2" t="s">
        <v>3021</v>
      </c>
      <c r="N1142" s="2" t="str">
        <f>IFERROR(__xludf.DUMMYFUNCTION("""COMPUTED_VALUE"""),"")</f>
        <v/>
      </c>
    </row>
    <row r="1143">
      <c r="A1143" s="2" t="s">
        <v>33</v>
      </c>
      <c r="B1143" s="12">
        <v>1113069.0</v>
      </c>
      <c r="C1143" s="12">
        <v>1113410.0</v>
      </c>
      <c r="D1143" s="2"/>
      <c r="E1143" s="2" t="s">
        <v>38</v>
      </c>
      <c r="F1143" s="2" t="s">
        <v>3022</v>
      </c>
      <c r="G1143" s="2"/>
      <c r="H1143" s="12">
        <v>0.0</v>
      </c>
      <c r="I1143" s="2" t="s">
        <v>40</v>
      </c>
      <c r="J1143" s="2"/>
      <c r="K1143" s="2" t="s">
        <v>3023</v>
      </c>
      <c r="L1143" s="12">
        <v>113.0</v>
      </c>
      <c r="M1143" s="2" t="s">
        <v>3024</v>
      </c>
      <c r="N1143" s="2" t="str">
        <f>IFERROR(__xludf.DUMMYFUNCTION("""COMPUTED_VALUE"""),"")</f>
        <v/>
      </c>
    </row>
    <row r="1144">
      <c r="A1144" s="2" t="s">
        <v>33</v>
      </c>
      <c r="B1144" s="12">
        <v>1113903.0</v>
      </c>
      <c r="C1144" s="12">
        <v>1114784.0</v>
      </c>
      <c r="D1144" s="2"/>
      <c r="E1144" s="2" t="s">
        <v>34</v>
      </c>
      <c r="F1144" s="2" t="s">
        <v>1506</v>
      </c>
      <c r="G1144" s="2"/>
      <c r="H1144" s="12">
        <v>0.0</v>
      </c>
      <c r="I1144" s="2" t="s">
        <v>40</v>
      </c>
      <c r="J1144" s="2"/>
      <c r="K1144" s="2" t="s">
        <v>3025</v>
      </c>
      <c r="L1144" s="12">
        <v>293.0</v>
      </c>
      <c r="M1144" s="2" t="s">
        <v>3026</v>
      </c>
      <c r="N1144" s="2" t="str">
        <f>IFERROR(__xludf.DUMMYFUNCTION("""COMPUTED_VALUE"""),"")</f>
        <v/>
      </c>
    </row>
    <row r="1145">
      <c r="A1145" s="2" t="s">
        <v>33</v>
      </c>
      <c r="B1145" s="12">
        <v>1114813.0</v>
      </c>
      <c r="C1145" s="12">
        <v>1115454.0</v>
      </c>
      <c r="D1145" s="2"/>
      <c r="E1145" s="2" t="s">
        <v>38</v>
      </c>
      <c r="F1145" s="2" t="s">
        <v>3027</v>
      </c>
      <c r="G1145" s="2"/>
      <c r="H1145" s="12">
        <v>0.0</v>
      </c>
      <c r="I1145" s="2" t="s">
        <v>40</v>
      </c>
      <c r="J1145" s="2"/>
      <c r="K1145" s="2" t="s">
        <v>3028</v>
      </c>
      <c r="L1145" s="12">
        <v>213.0</v>
      </c>
      <c r="M1145" s="2" t="s">
        <v>3029</v>
      </c>
      <c r="N1145" s="2" t="str">
        <f>IFERROR(__xludf.DUMMYFUNCTION("""COMPUTED_VALUE"""),"")</f>
        <v/>
      </c>
    </row>
    <row r="1146">
      <c r="A1146" s="2" t="s">
        <v>33</v>
      </c>
      <c r="B1146" s="12">
        <v>1115556.0</v>
      </c>
      <c r="C1146" s="12">
        <v>1116239.0</v>
      </c>
      <c r="D1146" s="2"/>
      <c r="E1146" s="2" t="s">
        <v>38</v>
      </c>
      <c r="F1146" s="2" t="s">
        <v>3030</v>
      </c>
      <c r="G1146" s="2"/>
      <c r="H1146" s="12">
        <v>0.0</v>
      </c>
      <c r="I1146" s="2" t="s">
        <v>40</v>
      </c>
      <c r="J1146" s="2"/>
      <c r="K1146" s="2" t="s">
        <v>3031</v>
      </c>
      <c r="L1146" s="12">
        <v>227.0</v>
      </c>
      <c r="M1146" s="2" t="s">
        <v>3032</v>
      </c>
      <c r="N1146" s="2" t="str">
        <f>IFERROR(__xludf.DUMMYFUNCTION("""COMPUTED_VALUE"""),"")</f>
        <v/>
      </c>
    </row>
    <row r="1147">
      <c r="A1147" s="2" t="s">
        <v>33</v>
      </c>
      <c r="B1147" s="12">
        <v>1116341.0</v>
      </c>
      <c r="C1147" s="12">
        <v>1117129.0</v>
      </c>
      <c r="D1147" s="2"/>
      <c r="E1147" s="2" t="s">
        <v>38</v>
      </c>
      <c r="F1147" s="2" t="s">
        <v>3033</v>
      </c>
      <c r="G1147" s="2" t="s">
        <v>3034</v>
      </c>
      <c r="H1147" s="12">
        <v>0.0</v>
      </c>
      <c r="I1147" s="2" t="s">
        <v>40</v>
      </c>
      <c r="J1147" s="2"/>
      <c r="K1147" s="2" t="s">
        <v>3035</v>
      </c>
      <c r="L1147" s="12">
        <v>262.0</v>
      </c>
      <c r="M1147" s="2" t="s">
        <v>3036</v>
      </c>
      <c r="N1147" s="2" t="str">
        <f>IFERROR(__xludf.DUMMYFUNCTION("""COMPUTED_VALUE"""),"")</f>
        <v/>
      </c>
    </row>
    <row r="1148">
      <c r="A1148" s="2" t="s">
        <v>33</v>
      </c>
      <c r="B1148" s="12">
        <v>1117236.0</v>
      </c>
      <c r="C1148" s="12">
        <v>1117922.0</v>
      </c>
      <c r="D1148" s="2"/>
      <c r="E1148" s="2" t="s">
        <v>38</v>
      </c>
      <c r="F1148" s="2" t="s">
        <v>3037</v>
      </c>
      <c r="G1148" s="2"/>
      <c r="H1148" s="12">
        <v>0.0</v>
      </c>
      <c r="I1148" s="2" t="s">
        <v>40</v>
      </c>
      <c r="J1148" s="2"/>
      <c r="K1148" s="2" t="s">
        <v>3038</v>
      </c>
      <c r="L1148" s="12">
        <v>228.0</v>
      </c>
      <c r="M1148" s="2" t="s">
        <v>3039</v>
      </c>
      <c r="N1148" s="2" t="str">
        <f>IFERROR(__xludf.DUMMYFUNCTION("""COMPUTED_VALUE"""),"")</f>
        <v/>
      </c>
    </row>
    <row r="1149">
      <c r="A1149" s="2" t="s">
        <v>33</v>
      </c>
      <c r="B1149" s="12">
        <v>1117948.0</v>
      </c>
      <c r="C1149" s="12">
        <v>1118538.0</v>
      </c>
      <c r="D1149" s="2"/>
      <c r="E1149" s="2" t="s">
        <v>38</v>
      </c>
      <c r="F1149" s="2" t="s">
        <v>3040</v>
      </c>
      <c r="G1149" s="2"/>
      <c r="H1149" s="12">
        <v>0.0</v>
      </c>
      <c r="I1149" s="2" t="s">
        <v>40</v>
      </c>
      <c r="J1149" s="2"/>
      <c r="K1149" s="2" t="s">
        <v>3041</v>
      </c>
      <c r="L1149" s="12">
        <v>196.0</v>
      </c>
      <c r="M1149" s="2" t="s">
        <v>3042</v>
      </c>
      <c r="N1149" s="2" t="str">
        <f>IFERROR(__xludf.DUMMYFUNCTION("""COMPUTED_VALUE"""),"")</f>
        <v/>
      </c>
    </row>
    <row r="1150">
      <c r="A1150" s="2" t="s">
        <v>33</v>
      </c>
      <c r="B1150" s="12">
        <v>1118658.0</v>
      </c>
      <c r="C1150" s="12">
        <v>1119425.0</v>
      </c>
      <c r="D1150" s="2"/>
      <c r="E1150" s="2" t="s">
        <v>38</v>
      </c>
      <c r="F1150" s="2" t="s">
        <v>3043</v>
      </c>
      <c r="G1150" s="2" t="s">
        <v>3044</v>
      </c>
      <c r="H1150" s="12">
        <v>0.0</v>
      </c>
      <c r="I1150" s="2" t="s">
        <v>40</v>
      </c>
      <c r="J1150" s="2"/>
      <c r="K1150" s="2" t="s">
        <v>3045</v>
      </c>
      <c r="L1150" s="12">
        <v>255.0</v>
      </c>
      <c r="M1150" s="2" t="s">
        <v>3046</v>
      </c>
      <c r="N1150" s="2" t="str">
        <f>IFERROR(__xludf.DUMMYFUNCTION("""COMPUTED_VALUE"""),"")</f>
        <v/>
      </c>
    </row>
    <row r="1151">
      <c r="A1151" s="2" t="s">
        <v>33</v>
      </c>
      <c r="B1151" s="12">
        <v>1119469.0</v>
      </c>
      <c r="C1151" s="12">
        <v>1120143.0</v>
      </c>
      <c r="D1151" s="2"/>
      <c r="E1151" s="2" t="s">
        <v>38</v>
      </c>
      <c r="F1151" s="2" t="s">
        <v>3047</v>
      </c>
      <c r="G1151" s="2" t="s">
        <v>3048</v>
      </c>
      <c r="H1151" s="12">
        <v>0.0</v>
      </c>
      <c r="I1151" s="2" t="s">
        <v>40</v>
      </c>
      <c r="J1151" s="2"/>
      <c r="K1151" s="2" t="s">
        <v>3049</v>
      </c>
      <c r="L1151" s="12">
        <v>224.0</v>
      </c>
      <c r="M1151" s="2" t="s">
        <v>3050</v>
      </c>
      <c r="N1151" s="2" t="str">
        <f>IFERROR(__xludf.DUMMYFUNCTION("""COMPUTED_VALUE"""),"")</f>
        <v/>
      </c>
    </row>
    <row r="1152">
      <c r="A1152" s="2" t="s">
        <v>33</v>
      </c>
      <c r="B1152" s="12">
        <v>1120144.0</v>
      </c>
      <c r="C1152" s="12">
        <v>1120656.0</v>
      </c>
      <c r="D1152" s="2"/>
      <c r="E1152" s="2" t="s">
        <v>38</v>
      </c>
      <c r="F1152" s="2" t="s">
        <v>3051</v>
      </c>
      <c r="G1152" s="2" t="s">
        <v>3052</v>
      </c>
      <c r="H1152" s="12">
        <v>0.0</v>
      </c>
      <c r="I1152" s="2" t="s">
        <v>40</v>
      </c>
      <c r="J1152" s="2"/>
      <c r="K1152" s="2" t="s">
        <v>3053</v>
      </c>
      <c r="L1152" s="12">
        <v>170.0</v>
      </c>
      <c r="M1152" s="2" t="s">
        <v>3054</v>
      </c>
      <c r="N1152" s="2" t="str">
        <f>IFERROR(__xludf.DUMMYFUNCTION("""COMPUTED_VALUE"""),"")</f>
        <v/>
      </c>
    </row>
    <row r="1153">
      <c r="A1153" s="2" t="s">
        <v>33</v>
      </c>
      <c r="B1153" s="12">
        <v>1120797.0</v>
      </c>
      <c r="C1153" s="12">
        <v>1121255.0</v>
      </c>
      <c r="D1153" s="2"/>
      <c r="E1153" s="2" t="s">
        <v>38</v>
      </c>
      <c r="F1153" s="2" t="s">
        <v>3055</v>
      </c>
      <c r="G1153" s="2"/>
      <c r="H1153" s="12">
        <v>0.0</v>
      </c>
      <c r="I1153" s="2" t="s">
        <v>40</v>
      </c>
      <c r="J1153" s="2"/>
      <c r="K1153" s="2" t="s">
        <v>3056</v>
      </c>
      <c r="L1153" s="12">
        <v>152.0</v>
      </c>
      <c r="M1153" s="2" t="s">
        <v>3057</v>
      </c>
      <c r="N1153" s="2" t="str">
        <f>IFERROR(__xludf.DUMMYFUNCTION("""COMPUTED_VALUE"""),"")</f>
        <v/>
      </c>
    </row>
    <row r="1154">
      <c r="A1154" s="2" t="s">
        <v>33</v>
      </c>
      <c r="B1154" s="12">
        <v>1121410.0</v>
      </c>
      <c r="C1154" s="12">
        <v>1121946.0</v>
      </c>
      <c r="D1154" s="2"/>
      <c r="E1154" s="2" t="s">
        <v>38</v>
      </c>
      <c r="F1154" s="2" t="s">
        <v>3058</v>
      </c>
      <c r="G1154" s="2"/>
      <c r="H1154" s="12">
        <v>0.0</v>
      </c>
      <c r="I1154" s="2" t="s">
        <v>40</v>
      </c>
      <c r="J1154" s="2"/>
      <c r="K1154" s="2" t="s">
        <v>3059</v>
      </c>
      <c r="L1154" s="12">
        <v>178.0</v>
      </c>
      <c r="M1154" s="2" t="s">
        <v>3060</v>
      </c>
      <c r="N1154" s="2" t="str">
        <f>IFERROR(__xludf.DUMMYFUNCTION("""COMPUTED_VALUE"""),"")</f>
        <v/>
      </c>
    </row>
    <row r="1155">
      <c r="A1155" s="2" t="s">
        <v>33</v>
      </c>
      <c r="B1155" s="12">
        <v>1122020.0</v>
      </c>
      <c r="C1155" s="12">
        <v>1123282.0</v>
      </c>
      <c r="D1155" s="2"/>
      <c r="E1155" s="2" t="s">
        <v>38</v>
      </c>
      <c r="F1155" s="2" t="s">
        <v>1273</v>
      </c>
      <c r="G1155" s="2"/>
      <c r="H1155" s="12">
        <v>0.0</v>
      </c>
      <c r="I1155" s="2" t="s">
        <v>40</v>
      </c>
      <c r="J1155" s="2"/>
      <c r="K1155" s="2" t="s">
        <v>3061</v>
      </c>
      <c r="L1155" s="12">
        <v>420.0</v>
      </c>
      <c r="M1155" s="2" t="s">
        <v>3062</v>
      </c>
      <c r="N1155" s="2" t="str">
        <f>IFERROR(__xludf.DUMMYFUNCTION("""COMPUTED_VALUE"""),"")</f>
        <v/>
      </c>
    </row>
    <row r="1156">
      <c r="A1156" s="2" t="s">
        <v>33</v>
      </c>
      <c r="B1156" s="12">
        <v>1123611.0</v>
      </c>
      <c r="C1156" s="12">
        <v>1124723.0</v>
      </c>
      <c r="D1156" s="2"/>
      <c r="E1156" s="2" t="s">
        <v>38</v>
      </c>
      <c r="F1156" s="2" t="s">
        <v>3063</v>
      </c>
      <c r="G1156" s="2" t="s">
        <v>3064</v>
      </c>
      <c r="H1156" s="12">
        <v>0.0</v>
      </c>
      <c r="I1156" s="2" t="s">
        <v>40</v>
      </c>
      <c r="J1156" s="2"/>
      <c r="K1156" s="2" t="s">
        <v>3065</v>
      </c>
      <c r="L1156" s="12">
        <v>370.0</v>
      </c>
      <c r="M1156" s="2" t="s">
        <v>3066</v>
      </c>
      <c r="N1156" s="2" t="str">
        <f>IFERROR(__xludf.DUMMYFUNCTION("""COMPUTED_VALUE"""),"")</f>
        <v/>
      </c>
    </row>
    <row r="1157">
      <c r="A1157" s="2" t="s">
        <v>33</v>
      </c>
      <c r="B1157" s="12">
        <v>1124856.0</v>
      </c>
      <c r="C1157" s="12">
        <v>1125941.0</v>
      </c>
      <c r="D1157" s="2"/>
      <c r="E1157" s="2" t="s">
        <v>38</v>
      </c>
      <c r="F1157" s="2" t="s">
        <v>3067</v>
      </c>
      <c r="G1157" s="2" t="s">
        <v>3068</v>
      </c>
      <c r="H1157" s="12">
        <v>0.0</v>
      </c>
      <c r="I1157" s="2" t="s">
        <v>40</v>
      </c>
      <c r="J1157" s="2"/>
      <c r="K1157" s="2" t="s">
        <v>3069</v>
      </c>
      <c r="L1157" s="12">
        <v>361.0</v>
      </c>
      <c r="M1157" s="2" t="s">
        <v>3070</v>
      </c>
      <c r="N1157" s="2" t="str">
        <f>IFERROR(__xludf.DUMMYFUNCTION("""COMPUTED_VALUE"""),"")</f>
        <v/>
      </c>
    </row>
    <row r="1158">
      <c r="A1158" s="2" t="s">
        <v>33</v>
      </c>
      <c r="B1158" s="12">
        <v>1125941.0</v>
      </c>
      <c r="C1158" s="12">
        <v>1127113.0</v>
      </c>
      <c r="D1158" s="2"/>
      <c r="E1158" s="2" t="s">
        <v>38</v>
      </c>
      <c r="F1158" s="2" t="s">
        <v>3071</v>
      </c>
      <c r="G1158" s="2" t="s">
        <v>3072</v>
      </c>
      <c r="H1158" s="12">
        <v>0.0</v>
      </c>
      <c r="I1158" s="2" t="s">
        <v>40</v>
      </c>
      <c r="J1158" s="2"/>
      <c r="K1158" s="2" t="s">
        <v>3073</v>
      </c>
      <c r="L1158" s="12">
        <v>390.0</v>
      </c>
      <c r="M1158" s="2" t="s">
        <v>3074</v>
      </c>
      <c r="N1158" s="2" t="str">
        <f>IFERROR(__xludf.DUMMYFUNCTION("""COMPUTED_VALUE"""),"")</f>
        <v/>
      </c>
    </row>
    <row r="1159">
      <c r="A1159" s="2" t="s">
        <v>33</v>
      </c>
      <c r="B1159" s="12">
        <v>1127378.0</v>
      </c>
      <c r="C1159" s="12">
        <v>1127824.0</v>
      </c>
      <c r="D1159" s="2"/>
      <c r="E1159" s="2" t="s">
        <v>38</v>
      </c>
      <c r="F1159" s="2" t="s">
        <v>3075</v>
      </c>
      <c r="G1159" s="2" t="s">
        <v>3076</v>
      </c>
      <c r="H1159" s="12">
        <v>0.0</v>
      </c>
      <c r="I1159" s="2" t="s">
        <v>40</v>
      </c>
      <c r="J1159" s="2"/>
      <c r="K1159" s="2" t="s">
        <v>3077</v>
      </c>
      <c r="L1159" s="12">
        <v>148.0</v>
      </c>
      <c r="M1159" s="2" t="s">
        <v>3078</v>
      </c>
      <c r="N1159" s="2" t="str">
        <f>IFERROR(__xludf.DUMMYFUNCTION("""COMPUTED_VALUE"""),"")</f>
        <v/>
      </c>
    </row>
    <row r="1160">
      <c r="A1160" s="2" t="s">
        <v>33</v>
      </c>
      <c r="B1160" s="12">
        <v>1127949.0</v>
      </c>
      <c r="C1160" s="12">
        <v>1128911.0</v>
      </c>
      <c r="D1160" s="2"/>
      <c r="E1160" s="2" t="s">
        <v>38</v>
      </c>
      <c r="F1160" s="2" t="s">
        <v>3079</v>
      </c>
      <c r="G1160" s="2" t="s">
        <v>3080</v>
      </c>
      <c r="H1160" s="12">
        <v>0.0</v>
      </c>
      <c r="I1160" s="2" t="s">
        <v>40</v>
      </c>
      <c r="J1160" s="2"/>
      <c r="K1160" s="2" t="s">
        <v>3081</v>
      </c>
      <c r="L1160" s="12">
        <v>320.0</v>
      </c>
      <c r="M1160" s="2" t="s">
        <v>3082</v>
      </c>
      <c r="N1160" s="2" t="str">
        <f>IFERROR(__xludf.DUMMYFUNCTION("""COMPUTED_VALUE"""),"")</f>
        <v/>
      </c>
    </row>
    <row r="1161">
      <c r="A1161" s="2" t="s">
        <v>33</v>
      </c>
      <c r="B1161" s="12">
        <v>1128943.0</v>
      </c>
      <c r="C1161" s="12">
        <v>1129656.0</v>
      </c>
      <c r="D1161" s="2"/>
      <c r="E1161" s="2" t="s">
        <v>38</v>
      </c>
      <c r="F1161" s="2" t="s">
        <v>3083</v>
      </c>
      <c r="G1161" s="2" t="s">
        <v>3084</v>
      </c>
      <c r="H1161" s="12">
        <v>0.0</v>
      </c>
      <c r="I1161" s="2" t="s">
        <v>40</v>
      </c>
      <c r="J1161" s="2"/>
      <c r="K1161" s="2" t="s">
        <v>3085</v>
      </c>
      <c r="L1161" s="12">
        <v>237.0</v>
      </c>
      <c r="M1161" s="2" t="s">
        <v>3086</v>
      </c>
      <c r="N1161" s="2" t="str">
        <f>IFERROR(__xludf.DUMMYFUNCTION("""COMPUTED_VALUE"""),"")</f>
        <v/>
      </c>
    </row>
    <row r="1162">
      <c r="A1162" s="2" t="s">
        <v>33</v>
      </c>
      <c r="B1162" s="12">
        <v>1129695.0</v>
      </c>
      <c r="C1162" s="12">
        <v>1130429.0</v>
      </c>
      <c r="D1162" s="2"/>
      <c r="E1162" s="2" t="s">
        <v>38</v>
      </c>
      <c r="F1162" s="2" t="s">
        <v>3087</v>
      </c>
      <c r="G1162" s="2"/>
      <c r="H1162" s="12">
        <v>0.0</v>
      </c>
      <c r="I1162" s="2" t="s">
        <v>40</v>
      </c>
      <c r="J1162" s="2"/>
      <c r="K1162" s="2" t="s">
        <v>3088</v>
      </c>
      <c r="L1162" s="12">
        <v>244.0</v>
      </c>
      <c r="M1162" s="2" t="s">
        <v>3089</v>
      </c>
      <c r="N1162" s="2" t="str">
        <f>IFERROR(__xludf.DUMMYFUNCTION("""COMPUTED_VALUE"""),"")</f>
        <v/>
      </c>
    </row>
    <row r="1163">
      <c r="A1163" s="2" t="s">
        <v>33</v>
      </c>
      <c r="B1163" s="12">
        <v>1130613.0</v>
      </c>
      <c r="C1163" s="12">
        <v>1131182.0</v>
      </c>
      <c r="D1163" s="2"/>
      <c r="E1163" s="2" t="s">
        <v>38</v>
      </c>
      <c r="F1163" s="2" t="s">
        <v>3090</v>
      </c>
      <c r="G1163" s="2" t="s">
        <v>3091</v>
      </c>
      <c r="H1163" s="12">
        <v>0.0</v>
      </c>
      <c r="I1163" s="2" t="s">
        <v>40</v>
      </c>
      <c r="J1163" s="2"/>
      <c r="K1163" s="2" t="s">
        <v>3092</v>
      </c>
      <c r="L1163" s="12">
        <v>189.0</v>
      </c>
      <c r="M1163" s="2" t="s">
        <v>3093</v>
      </c>
      <c r="N1163" s="2" t="str">
        <f>IFERROR(__xludf.DUMMYFUNCTION("""COMPUTED_VALUE"""),"")</f>
        <v/>
      </c>
    </row>
    <row r="1164">
      <c r="A1164" s="2" t="s">
        <v>33</v>
      </c>
      <c r="B1164" s="12">
        <v>1131303.0</v>
      </c>
      <c r="C1164" s="12">
        <v>1131575.0</v>
      </c>
      <c r="D1164" s="2"/>
      <c r="E1164" s="2" t="s">
        <v>38</v>
      </c>
      <c r="F1164" s="2" t="s">
        <v>823</v>
      </c>
      <c r="G1164" s="2"/>
      <c r="H1164" s="12">
        <v>0.0</v>
      </c>
      <c r="I1164" s="2" t="s">
        <v>40</v>
      </c>
      <c r="J1164" s="2"/>
      <c r="K1164" s="2" t="s">
        <v>3094</v>
      </c>
      <c r="L1164" s="12">
        <v>90.0</v>
      </c>
      <c r="M1164" s="2" t="s">
        <v>3095</v>
      </c>
      <c r="N1164" s="2" t="str">
        <f>IFERROR(__xludf.DUMMYFUNCTION("""COMPUTED_VALUE"""),"")</f>
        <v/>
      </c>
    </row>
    <row r="1165">
      <c r="A1165" s="2" t="s">
        <v>33</v>
      </c>
      <c r="B1165" s="12">
        <v>1131875.0</v>
      </c>
      <c r="C1165" s="12">
        <v>1133353.0</v>
      </c>
      <c r="D1165" s="2"/>
      <c r="E1165" s="2" t="s">
        <v>38</v>
      </c>
      <c r="F1165" s="2" t="s">
        <v>3096</v>
      </c>
      <c r="G1165" s="2" t="s">
        <v>3097</v>
      </c>
      <c r="H1165" s="12">
        <v>0.0</v>
      </c>
      <c r="I1165" s="2" t="s">
        <v>40</v>
      </c>
      <c r="J1165" s="2"/>
      <c r="K1165" s="2" t="s">
        <v>3098</v>
      </c>
      <c r="L1165" s="12">
        <v>492.0</v>
      </c>
      <c r="M1165" s="2" t="s">
        <v>3099</v>
      </c>
      <c r="N1165" s="2" t="str">
        <f>IFERROR(__xludf.DUMMYFUNCTION("""COMPUTED_VALUE"""),"")</f>
        <v/>
      </c>
    </row>
    <row r="1166">
      <c r="A1166" s="2" t="s">
        <v>33</v>
      </c>
      <c r="B1166" s="12">
        <v>1133599.0</v>
      </c>
      <c r="C1166" s="12">
        <v>1134309.0</v>
      </c>
      <c r="D1166" s="2"/>
      <c r="E1166" s="2" t="s">
        <v>38</v>
      </c>
      <c r="F1166" s="2" t="s">
        <v>39</v>
      </c>
      <c r="G1166" s="2"/>
      <c r="H1166" s="12">
        <v>0.0</v>
      </c>
      <c r="I1166" s="2" t="s">
        <v>40</v>
      </c>
      <c r="J1166" s="2"/>
      <c r="K1166" s="2" t="s">
        <v>3100</v>
      </c>
      <c r="L1166" s="12">
        <v>236.0</v>
      </c>
      <c r="M1166" s="2" t="s">
        <v>3101</v>
      </c>
      <c r="N1166" s="2" t="str">
        <f>IFERROR(__xludf.DUMMYFUNCTION("""COMPUTED_VALUE"""),"")</f>
        <v/>
      </c>
    </row>
    <row r="1167">
      <c r="A1167" s="2" t="s">
        <v>33</v>
      </c>
      <c r="B1167" s="12">
        <v>1134373.0</v>
      </c>
      <c r="C1167" s="12">
        <v>1134576.0</v>
      </c>
      <c r="D1167" s="2"/>
      <c r="E1167" s="2" t="s">
        <v>38</v>
      </c>
      <c r="F1167" s="2" t="s">
        <v>3102</v>
      </c>
      <c r="G1167" s="2"/>
      <c r="H1167" s="12">
        <v>0.0</v>
      </c>
      <c r="I1167" s="2" t="s">
        <v>40</v>
      </c>
      <c r="J1167" s="2"/>
      <c r="K1167" s="2" t="s">
        <v>3103</v>
      </c>
      <c r="L1167" s="12">
        <v>67.0</v>
      </c>
      <c r="M1167" s="2" t="s">
        <v>3104</v>
      </c>
      <c r="N1167" s="2" t="str">
        <f>IFERROR(__xludf.DUMMYFUNCTION("""COMPUTED_VALUE"""),"")</f>
        <v/>
      </c>
    </row>
    <row r="1168">
      <c r="A1168" s="2" t="s">
        <v>33</v>
      </c>
      <c r="B1168" s="12">
        <v>1134844.0</v>
      </c>
      <c r="C1168" s="12">
        <v>1135095.0</v>
      </c>
      <c r="D1168" s="2"/>
      <c r="E1168" s="2" t="s">
        <v>38</v>
      </c>
      <c r="F1168" s="2" t="s">
        <v>3105</v>
      </c>
      <c r="G1168" s="2"/>
      <c r="H1168" s="12">
        <v>0.0</v>
      </c>
      <c r="I1168" s="2" t="s">
        <v>40</v>
      </c>
      <c r="J1168" s="2"/>
      <c r="K1168" s="2" t="s">
        <v>3106</v>
      </c>
      <c r="L1168" s="12">
        <v>83.0</v>
      </c>
      <c r="M1168" s="2" t="s">
        <v>3107</v>
      </c>
      <c r="N1168" s="2" t="str">
        <f>IFERROR(__xludf.DUMMYFUNCTION("""COMPUTED_VALUE"""),"")</f>
        <v/>
      </c>
    </row>
    <row r="1169">
      <c r="A1169" s="2" t="s">
        <v>33</v>
      </c>
      <c r="B1169" s="12">
        <v>1135211.0</v>
      </c>
      <c r="C1169" s="12">
        <v>1136233.0</v>
      </c>
      <c r="D1169" s="2"/>
      <c r="E1169" s="2" t="s">
        <v>38</v>
      </c>
      <c r="F1169" s="2" t="s">
        <v>3108</v>
      </c>
      <c r="G1169" s="2"/>
      <c r="H1169" s="12">
        <v>0.0</v>
      </c>
      <c r="I1169" s="2" t="s">
        <v>40</v>
      </c>
      <c r="J1169" s="2"/>
      <c r="K1169" s="2" t="s">
        <v>3109</v>
      </c>
      <c r="L1169" s="12">
        <v>340.0</v>
      </c>
      <c r="M1169" s="2" t="s">
        <v>3110</v>
      </c>
      <c r="N1169" s="2" t="str">
        <f>IFERROR(__xludf.DUMMYFUNCTION("""COMPUTED_VALUE"""),"")</f>
        <v/>
      </c>
    </row>
    <row r="1170">
      <c r="A1170" s="2" t="s">
        <v>33</v>
      </c>
      <c r="B1170" s="12">
        <v>1136252.0</v>
      </c>
      <c r="C1170" s="12">
        <v>1137562.0</v>
      </c>
      <c r="D1170" s="2"/>
      <c r="E1170" s="2" t="s">
        <v>38</v>
      </c>
      <c r="F1170" s="2" t="s">
        <v>3111</v>
      </c>
      <c r="G1170" s="2" t="s">
        <v>3112</v>
      </c>
      <c r="H1170" s="12">
        <v>0.0</v>
      </c>
      <c r="I1170" s="2" t="s">
        <v>40</v>
      </c>
      <c r="J1170" s="2"/>
      <c r="K1170" s="2" t="s">
        <v>3113</v>
      </c>
      <c r="L1170" s="12">
        <v>436.0</v>
      </c>
      <c r="M1170" s="2" t="s">
        <v>3114</v>
      </c>
      <c r="N1170" s="2" t="str">
        <f>IFERROR(__xludf.DUMMYFUNCTION("""COMPUTED_VALUE"""),"")</f>
        <v/>
      </c>
    </row>
    <row r="1171">
      <c r="A1171" s="2" t="s">
        <v>33</v>
      </c>
      <c r="B1171" s="12">
        <v>1137687.0</v>
      </c>
      <c r="C1171" s="12">
        <v>1137872.0</v>
      </c>
      <c r="D1171" s="2"/>
      <c r="E1171" s="2" t="s">
        <v>38</v>
      </c>
      <c r="F1171" s="2" t="s">
        <v>3115</v>
      </c>
      <c r="G1171" s="2"/>
      <c r="H1171" s="12">
        <v>0.0</v>
      </c>
      <c r="I1171" s="2" t="s">
        <v>40</v>
      </c>
      <c r="J1171" s="2"/>
      <c r="K1171" s="2" t="s">
        <v>3116</v>
      </c>
      <c r="L1171" s="12">
        <v>61.0</v>
      </c>
      <c r="M1171" s="2" t="s">
        <v>3117</v>
      </c>
      <c r="N1171" s="2" t="str">
        <f>IFERROR(__xludf.DUMMYFUNCTION("""COMPUTED_VALUE"""),"")</f>
        <v/>
      </c>
    </row>
    <row r="1172">
      <c r="A1172" s="2" t="s">
        <v>33</v>
      </c>
      <c r="B1172" s="12">
        <v>1137869.0</v>
      </c>
      <c r="C1172" s="12">
        <v>1138762.0</v>
      </c>
      <c r="D1172" s="2"/>
      <c r="E1172" s="2" t="s">
        <v>38</v>
      </c>
      <c r="F1172" s="2" t="s">
        <v>3118</v>
      </c>
      <c r="G1172" s="2"/>
      <c r="H1172" s="12">
        <v>0.0</v>
      </c>
      <c r="I1172" s="2" t="s">
        <v>40</v>
      </c>
      <c r="J1172" s="2"/>
      <c r="K1172" s="2" t="s">
        <v>3119</v>
      </c>
      <c r="L1172" s="12">
        <v>297.0</v>
      </c>
      <c r="M1172" s="2" t="s">
        <v>3120</v>
      </c>
      <c r="N1172" s="2" t="str">
        <f>IFERROR(__xludf.DUMMYFUNCTION("""COMPUTED_VALUE"""),"")</f>
        <v/>
      </c>
    </row>
    <row r="1173">
      <c r="A1173" s="2" t="s">
        <v>33</v>
      </c>
      <c r="B1173" s="12">
        <v>1138755.0</v>
      </c>
      <c r="C1173" s="12">
        <v>1139366.0</v>
      </c>
      <c r="D1173" s="2"/>
      <c r="E1173" s="2" t="s">
        <v>38</v>
      </c>
      <c r="F1173" s="2" t="s">
        <v>39</v>
      </c>
      <c r="G1173" s="2"/>
      <c r="H1173" s="12">
        <v>0.0</v>
      </c>
      <c r="I1173" s="2" t="s">
        <v>40</v>
      </c>
      <c r="J1173" s="2"/>
      <c r="K1173" s="2" t="s">
        <v>3121</v>
      </c>
      <c r="L1173" s="12">
        <v>203.0</v>
      </c>
      <c r="M1173" s="2" t="s">
        <v>3122</v>
      </c>
      <c r="N1173" s="2" t="str">
        <f>IFERROR(__xludf.DUMMYFUNCTION("""COMPUTED_VALUE"""),"")</f>
        <v/>
      </c>
    </row>
    <row r="1174">
      <c r="A1174" s="2" t="s">
        <v>33</v>
      </c>
      <c r="B1174" s="12">
        <v>1139484.0</v>
      </c>
      <c r="C1174" s="12">
        <v>1139618.0</v>
      </c>
      <c r="D1174" s="2"/>
      <c r="E1174" s="2" t="s">
        <v>34</v>
      </c>
      <c r="F1174" s="2" t="s">
        <v>3123</v>
      </c>
      <c r="G1174" s="2"/>
      <c r="H1174" s="12">
        <v>0.0</v>
      </c>
      <c r="I1174" s="2" t="s">
        <v>40</v>
      </c>
      <c r="J1174" s="2"/>
      <c r="K1174" s="2" t="s">
        <v>3124</v>
      </c>
      <c r="L1174" s="12">
        <v>44.0</v>
      </c>
      <c r="M1174" s="2" t="s">
        <v>3125</v>
      </c>
      <c r="N1174" s="2" t="str">
        <f>IFERROR(__xludf.DUMMYFUNCTION("""COMPUTED_VALUE"""),"")</f>
        <v/>
      </c>
    </row>
    <row r="1175">
      <c r="A1175" s="2" t="s">
        <v>33</v>
      </c>
      <c r="B1175" s="12">
        <v>1139926.0</v>
      </c>
      <c r="C1175" s="12">
        <v>1140975.0</v>
      </c>
      <c r="D1175" s="2"/>
      <c r="E1175" s="2" t="s">
        <v>38</v>
      </c>
      <c r="F1175" s="2" t="s">
        <v>3126</v>
      </c>
      <c r="G1175" s="2"/>
      <c r="H1175" s="12">
        <v>0.0</v>
      </c>
      <c r="I1175" s="2" t="s">
        <v>40</v>
      </c>
      <c r="J1175" s="2"/>
      <c r="K1175" s="2" t="s">
        <v>3127</v>
      </c>
      <c r="L1175" s="12">
        <v>349.0</v>
      </c>
      <c r="M1175" s="2" t="s">
        <v>3128</v>
      </c>
      <c r="N1175" s="2" t="str">
        <f>IFERROR(__xludf.DUMMYFUNCTION("""COMPUTED_VALUE"""),"")</f>
        <v/>
      </c>
    </row>
    <row r="1176">
      <c r="A1176" s="2" t="s">
        <v>33</v>
      </c>
      <c r="B1176" s="12">
        <v>1140988.0</v>
      </c>
      <c r="C1176" s="12">
        <v>1142136.0</v>
      </c>
      <c r="D1176" s="2"/>
      <c r="E1176" s="2" t="s">
        <v>38</v>
      </c>
      <c r="F1176" s="2" t="s">
        <v>3129</v>
      </c>
      <c r="G1176" s="2" t="s">
        <v>3130</v>
      </c>
      <c r="H1176" s="12">
        <v>0.0</v>
      </c>
      <c r="I1176" s="2" t="s">
        <v>40</v>
      </c>
      <c r="J1176" s="2"/>
      <c r="K1176" s="2" t="s">
        <v>3131</v>
      </c>
      <c r="L1176" s="12">
        <v>382.0</v>
      </c>
      <c r="M1176" s="2" t="s">
        <v>3132</v>
      </c>
      <c r="N1176" s="2" t="str">
        <f>IFERROR(__xludf.DUMMYFUNCTION("""COMPUTED_VALUE"""),"")</f>
        <v/>
      </c>
    </row>
    <row r="1177">
      <c r="A1177" s="2" t="s">
        <v>33</v>
      </c>
      <c r="B1177" s="12">
        <v>1142471.0</v>
      </c>
      <c r="C1177" s="12">
        <v>1143148.0</v>
      </c>
      <c r="D1177" s="2"/>
      <c r="E1177" s="2" t="s">
        <v>38</v>
      </c>
      <c r="F1177" s="2" t="s">
        <v>3133</v>
      </c>
      <c r="G1177" s="2" t="s">
        <v>3134</v>
      </c>
      <c r="H1177" s="12">
        <v>0.0</v>
      </c>
      <c r="I1177" s="2" t="s">
        <v>40</v>
      </c>
      <c r="J1177" s="2"/>
      <c r="K1177" s="2" t="s">
        <v>3135</v>
      </c>
      <c r="L1177" s="12">
        <v>225.0</v>
      </c>
      <c r="M1177" s="2" t="s">
        <v>3136</v>
      </c>
      <c r="N1177" s="2" t="str">
        <f>IFERROR(__xludf.DUMMYFUNCTION("""COMPUTED_VALUE"""),"")</f>
        <v/>
      </c>
    </row>
    <row r="1178">
      <c r="A1178" s="2" t="s">
        <v>33</v>
      </c>
      <c r="B1178" s="12">
        <v>1143278.0</v>
      </c>
      <c r="C1178" s="12">
        <v>1143451.0</v>
      </c>
      <c r="D1178" s="2"/>
      <c r="E1178" s="2" t="s">
        <v>38</v>
      </c>
      <c r="F1178" s="2" t="s">
        <v>3137</v>
      </c>
      <c r="G1178" s="2"/>
      <c r="H1178" s="12">
        <v>0.0</v>
      </c>
      <c r="I1178" s="2" t="s">
        <v>40</v>
      </c>
      <c r="J1178" s="2"/>
      <c r="K1178" s="2" t="s">
        <v>3138</v>
      </c>
      <c r="L1178" s="12">
        <v>57.0</v>
      </c>
      <c r="M1178" s="2" t="s">
        <v>3139</v>
      </c>
      <c r="N1178" s="2" t="str">
        <f>IFERROR(__xludf.DUMMYFUNCTION("""COMPUTED_VALUE"""),"")</f>
        <v/>
      </c>
    </row>
    <row r="1179">
      <c r="A1179" s="2" t="s">
        <v>33</v>
      </c>
      <c r="B1179" s="12">
        <v>1143632.0</v>
      </c>
      <c r="C1179" s="12">
        <v>1144606.0</v>
      </c>
      <c r="D1179" s="2"/>
      <c r="E1179" s="2" t="s">
        <v>34</v>
      </c>
      <c r="F1179" s="2" t="s">
        <v>3140</v>
      </c>
      <c r="G1179" s="2" t="s">
        <v>3141</v>
      </c>
      <c r="H1179" s="12">
        <v>0.0</v>
      </c>
      <c r="I1179" s="2" t="s">
        <v>40</v>
      </c>
      <c r="J1179" s="2"/>
      <c r="K1179" s="2" t="s">
        <v>3142</v>
      </c>
      <c r="L1179" s="12">
        <v>324.0</v>
      </c>
      <c r="M1179" s="2" t="s">
        <v>3143</v>
      </c>
      <c r="N1179" s="2" t="str">
        <f>IFERROR(__xludf.DUMMYFUNCTION("""COMPUTED_VALUE"""),"")</f>
        <v/>
      </c>
    </row>
    <row r="1180">
      <c r="A1180" s="2" t="s">
        <v>33</v>
      </c>
      <c r="B1180" s="12">
        <v>1144642.0</v>
      </c>
      <c r="C1180" s="12">
        <v>1145622.0</v>
      </c>
      <c r="D1180" s="2"/>
      <c r="E1180" s="2" t="s">
        <v>38</v>
      </c>
      <c r="F1180" s="2" t="s">
        <v>3144</v>
      </c>
      <c r="G1180" s="2"/>
      <c r="H1180" s="12">
        <v>0.0</v>
      </c>
      <c r="I1180" s="2" t="s">
        <v>40</v>
      </c>
      <c r="J1180" s="2"/>
      <c r="K1180" s="2" t="s">
        <v>3145</v>
      </c>
      <c r="L1180" s="12">
        <v>326.0</v>
      </c>
      <c r="M1180" s="2" t="s">
        <v>3146</v>
      </c>
      <c r="N1180" s="2" t="str">
        <f>IFERROR(__xludf.DUMMYFUNCTION("""COMPUTED_VALUE"""),"")</f>
        <v/>
      </c>
    </row>
    <row r="1181">
      <c r="A1181" s="2" t="s">
        <v>33</v>
      </c>
      <c r="B1181" s="12">
        <v>1145731.0</v>
      </c>
      <c r="C1181" s="12">
        <v>1146261.0</v>
      </c>
      <c r="D1181" s="2"/>
      <c r="E1181" s="2" t="s">
        <v>38</v>
      </c>
      <c r="F1181" s="2" t="s">
        <v>3147</v>
      </c>
      <c r="G1181" s="2"/>
      <c r="H1181" s="12">
        <v>0.0</v>
      </c>
      <c r="I1181" s="2" t="s">
        <v>40</v>
      </c>
      <c r="J1181" s="2"/>
      <c r="K1181" s="2" t="s">
        <v>3148</v>
      </c>
      <c r="L1181" s="12">
        <v>176.0</v>
      </c>
      <c r="M1181" s="2" t="s">
        <v>3149</v>
      </c>
      <c r="N1181" s="2" t="str">
        <f>IFERROR(__xludf.DUMMYFUNCTION("""COMPUTED_VALUE"""),"")</f>
        <v/>
      </c>
    </row>
    <row r="1182">
      <c r="A1182" s="2" t="s">
        <v>33</v>
      </c>
      <c r="B1182" s="12">
        <v>1146341.0</v>
      </c>
      <c r="C1182" s="12">
        <v>1146577.0</v>
      </c>
      <c r="D1182" s="2"/>
      <c r="E1182" s="2" t="s">
        <v>38</v>
      </c>
      <c r="F1182" s="2" t="s">
        <v>1945</v>
      </c>
      <c r="G1182" s="2"/>
      <c r="H1182" s="12">
        <v>0.0</v>
      </c>
      <c r="I1182" s="2" t="s">
        <v>40</v>
      </c>
      <c r="J1182" s="2"/>
      <c r="K1182" s="2" t="s">
        <v>3150</v>
      </c>
      <c r="L1182" s="12">
        <v>78.0</v>
      </c>
      <c r="M1182" s="2" t="s">
        <v>3151</v>
      </c>
      <c r="N1182" s="2" t="str">
        <f>IFERROR(__xludf.DUMMYFUNCTION("""COMPUTED_VALUE"""),"")</f>
        <v/>
      </c>
    </row>
    <row r="1183">
      <c r="A1183" s="2" t="s">
        <v>33</v>
      </c>
      <c r="B1183" s="12">
        <v>1146670.0</v>
      </c>
      <c r="C1183" s="12">
        <v>1146879.0</v>
      </c>
      <c r="D1183" s="2"/>
      <c r="E1183" s="2" t="s">
        <v>38</v>
      </c>
      <c r="F1183" s="2" t="s">
        <v>39</v>
      </c>
      <c r="G1183" s="2"/>
      <c r="H1183" s="12">
        <v>0.0</v>
      </c>
      <c r="I1183" s="2" t="s">
        <v>40</v>
      </c>
      <c r="J1183" s="2"/>
      <c r="K1183" s="2" t="s">
        <v>3152</v>
      </c>
      <c r="L1183" s="12">
        <v>69.0</v>
      </c>
      <c r="M1183" s="2" t="s">
        <v>3153</v>
      </c>
      <c r="N1183" s="2" t="str">
        <f>IFERROR(__xludf.DUMMYFUNCTION("""COMPUTED_VALUE"""),"")</f>
        <v/>
      </c>
    </row>
    <row r="1184">
      <c r="A1184" s="2" t="s">
        <v>33</v>
      </c>
      <c r="B1184" s="12">
        <v>1146960.0</v>
      </c>
      <c r="C1184" s="12">
        <v>1148246.0</v>
      </c>
      <c r="D1184" s="2"/>
      <c r="E1184" s="2" t="s">
        <v>38</v>
      </c>
      <c r="F1184" s="2" t="s">
        <v>3154</v>
      </c>
      <c r="G1184" s="2" t="s">
        <v>3155</v>
      </c>
      <c r="H1184" s="12">
        <v>0.0</v>
      </c>
      <c r="I1184" s="2" t="s">
        <v>40</v>
      </c>
      <c r="J1184" s="2"/>
      <c r="K1184" s="2" t="s">
        <v>3156</v>
      </c>
      <c r="L1184" s="12">
        <v>428.0</v>
      </c>
      <c r="M1184" s="2" t="s">
        <v>3157</v>
      </c>
      <c r="N1184" s="2" t="str">
        <f>IFERROR(__xludf.DUMMYFUNCTION("""COMPUTED_VALUE"""),"")</f>
        <v/>
      </c>
    </row>
    <row r="1185">
      <c r="A1185" s="2" t="s">
        <v>33</v>
      </c>
      <c r="B1185" s="12">
        <v>1148558.0</v>
      </c>
      <c r="C1185" s="12">
        <v>1149166.0</v>
      </c>
      <c r="D1185" s="2"/>
      <c r="E1185" s="2" t="s">
        <v>38</v>
      </c>
      <c r="F1185" s="2" t="s">
        <v>3158</v>
      </c>
      <c r="G1185" s="2"/>
      <c r="H1185" s="12">
        <v>0.0</v>
      </c>
      <c r="I1185" s="2" t="s">
        <v>40</v>
      </c>
      <c r="J1185" s="2"/>
      <c r="K1185" s="2" t="s">
        <v>3159</v>
      </c>
      <c r="L1185" s="12">
        <v>202.0</v>
      </c>
      <c r="M1185" s="2" t="s">
        <v>3160</v>
      </c>
      <c r="N1185" s="2" t="str">
        <f>IFERROR(__xludf.DUMMYFUNCTION("""COMPUTED_VALUE"""),"")</f>
        <v/>
      </c>
    </row>
    <row r="1186">
      <c r="A1186" s="2" t="s">
        <v>33</v>
      </c>
      <c r="B1186" s="12">
        <v>1149244.0</v>
      </c>
      <c r="C1186" s="12">
        <v>1150119.0</v>
      </c>
      <c r="D1186" s="2"/>
      <c r="E1186" s="2" t="s">
        <v>38</v>
      </c>
      <c r="F1186" s="2" t="s">
        <v>338</v>
      </c>
      <c r="G1186" s="2"/>
      <c r="H1186" s="12">
        <v>0.0</v>
      </c>
      <c r="I1186" s="2" t="s">
        <v>40</v>
      </c>
      <c r="J1186" s="2"/>
      <c r="K1186" s="2" t="s">
        <v>3161</v>
      </c>
      <c r="L1186" s="12">
        <v>291.0</v>
      </c>
      <c r="M1186" s="2" t="s">
        <v>3162</v>
      </c>
      <c r="N1186" s="2" t="str">
        <f>IFERROR(__xludf.DUMMYFUNCTION("""COMPUTED_VALUE"""),"")</f>
        <v/>
      </c>
    </row>
    <row r="1187">
      <c r="A1187" s="2" t="s">
        <v>33</v>
      </c>
      <c r="B1187" s="12">
        <v>1150119.0</v>
      </c>
      <c r="C1187" s="12">
        <v>1150895.0</v>
      </c>
      <c r="D1187" s="2"/>
      <c r="E1187" s="2" t="s">
        <v>38</v>
      </c>
      <c r="F1187" s="2" t="s">
        <v>437</v>
      </c>
      <c r="G1187" s="2"/>
      <c r="H1187" s="12">
        <v>0.0</v>
      </c>
      <c r="I1187" s="2" t="s">
        <v>40</v>
      </c>
      <c r="J1187" s="2"/>
      <c r="K1187" s="2" t="s">
        <v>3163</v>
      </c>
      <c r="L1187" s="12">
        <v>258.0</v>
      </c>
      <c r="M1187" s="2" t="s">
        <v>3164</v>
      </c>
      <c r="N1187" s="2" t="str">
        <f>IFERROR(__xludf.DUMMYFUNCTION("""COMPUTED_VALUE"""),"")</f>
        <v/>
      </c>
    </row>
    <row r="1188">
      <c r="A1188" s="2" t="s">
        <v>33</v>
      </c>
      <c r="B1188" s="12">
        <v>1150962.0</v>
      </c>
      <c r="C1188" s="12">
        <v>1151441.0</v>
      </c>
      <c r="D1188" s="2"/>
      <c r="E1188" s="2" t="s">
        <v>38</v>
      </c>
      <c r="F1188" s="2" t="s">
        <v>3165</v>
      </c>
      <c r="G1188" s="2"/>
      <c r="H1188" s="12">
        <v>0.0</v>
      </c>
      <c r="I1188" s="2" t="s">
        <v>40</v>
      </c>
      <c r="J1188" s="2"/>
      <c r="K1188" s="2" t="s">
        <v>3166</v>
      </c>
      <c r="L1188" s="12">
        <v>159.0</v>
      </c>
      <c r="M1188" s="2" t="s">
        <v>3167</v>
      </c>
      <c r="N1188" s="2" t="str">
        <f>IFERROR(__xludf.DUMMYFUNCTION("""COMPUTED_VALUE"""),"")</f>
        <v/>
      </c>
    </row>
    <row r="1189">
      <c r="A1189" s="2" t="s">
        <v>33</v>
      </c>
      <c r="B1189" s="12">
        <v>1151464.0</v>
      </c>
      <c r="C1189" s="12">
        <v>1152027.0</v>
      </c>
      <c r="D1189" s="2"/>
      <c r="E1189" s="2" t="s">
        <v>38</v>
      </c>
      <c r="F1189" s="2" t="s">
        <v>306</v>
      </c>
      <c r="G1189" s="2"/>
      <c r="H1189" s="12">
        <v>0.0</v>
      </c>
      <c r="I1189" s="2" t="s">
        <v>40</v>
      </c>
      <c r="J1189" s="2"/>
      <c r="K1189" s="2" t="s">
        <v>3168</v>
      </c>
      <c r="L1189" s="12">
        <v>187.0</v>
      </c>
      <c r="M1189" s="2" t="s">
        <v>3169</v>
      </c>
      <c r="N1189" s="2" t="str">
        <f>IFERROR(__xludf.DUMMYFUNCTION("""COMPUTED_VALUE"""),"")</f>
        <v/>
      </c>
    </row>
    <row r="1190">
      <c r="A1190" s="2" t="s">
        <v>33</v>
      </c>
      <c r="B1190" s="12">
        <v>1152027.0</v>
      </c>
      <c r="C1190" s="12">
        <v>1153556.0</v>
      </c>
      <c r="D1190" s="2"/>
      <c r="E1190" s="2" t="s">
        <v>38</v>
      </c>
      <c r="F1190" s="2" t="s">
        <v>3170</v>
      </c>
      <c r="G1190" s="2" t="s">
        <v>3171</v>
      </c>
      <c r="H1190" s="12">
        <v>0.0</v>
      </c>
      <c r="I1190" s="2" t="s">
        <v>40</v>
      </c>
      <c r="J1190" s="2"/>
      <c r="K1190" s="2" t="s">
        <v>3172</v>
      </c>
      <c r="L1190" s="12">
        <v>509.0</v>
      </c>
      <c r="M1190" s="2" t="s">
        <v>3173</v>
      </c>
      <c r="N1190" s="2" t="str">
        <f>IFERROR(__xludf.DUMMYFUNCTION("""COMPUTED_VALUE"""),"")</f>
        <v/>
      </c>
    </row>
    <row r="1191">
      <c r="A1191" s="2" t="s">
        <v>33</v>
      </c>
      <c r="B1191" s="12">
        <v>1153546.0</v>
      </c>
      <c r="C1191" s="12">
        <v>1154607.0</v>
      </c>
      <c r="D1191" s="2"/>
      <c r="E1191" s="2" t="s">
        <v>38</v>
      </c>
      <c r="F1191" s="2" t="s">
        <v>216</v>
      </c>
      <c r="G1191" s="2"/>
      <c r="H1191" s="12">
        <v>0.0</v>
      </c>
      <c r="I1191" s="2" t="s">
        <v>40</v>
      </c>
      <c r="J1191" s="2"/>
      <c r="K1191" s="2" t="s">
        <v>3174</v>
      </c>
      <c r="L1191" s="12">
        <v>353.0</v>
      </c>
      <c r="M1191" s="2" t="s">
        <v>3175</v>
      </c>
      <c r="N1191" s="2" t="str">
        <f>IFERROR(__xludf.DUMMYFUNCTION("""COMPUTED_VALUE"""),"")</f>
        <v/>
      </c>
    </row>
    <row r="1192">
      <c r="A1192" s="2" t="s">
        <v>33</v>
      </c>
      <c r="B1192" s="12">
        <v>1154906.0</v>
      </c>
      <c r="C1192" s="12">
        <v>1155154.0</v>
      </c>
      <c r="D1192" s="2"/>
      <c r="E1192" s="2" t="s">
        <v>34</v>
      </c>
      <c r="F1192" s="2" t="s">
        <v>3176</v>
      </c>
      <c r="G1192" s="2"/>
      <c r="H1192" s="12">
        <v>0.0</v>
      </c>
      <c r="I1192" s="2" t="s">
        <v>40</v>
      </c>
      <c r="J1192" s="2"/>
      <c r="K1192" s="2" t="s">
        <v>3177</v>
      </c>
      <c r="L1192" s="12">
        <v>82.0</v>
      </c>
      <c r="M1192" s="2" t="s">
        <v>3178</v>
      </c>
      <c r="N1192" s="2" t="str">
        <f>IFERROR(__xludf.DUMMYFUNCTION("""COMPUTED_VALUE"""),"")</f>
        <v/>
      </c>
    </row>
    <row r="1193">
      <c r="A1193" s="2" t="s">
        <v>33</v>
      </c>
      <c r="B1193" s="12">
        <v>1155276.0</v>
      </c>
      <c r="C1193" s="12">
        <v>1155854.0</v>
      </c>
      <c r="D1193" s="2"/>
      <c r="E1193" s="2" t="s">
        <v>38</v>
      </c>
      <c r="F1193" s="2" t="s">
        <v>3179</v>
      </c>
      <c r="G1193" s="2"/>
      <c r="H1193" s="12">
        <v>0.0</v>
      </c>
      <c r="I1193" s="2" t="s">
        <v>40</v>
      </c>
      <c r="J1193" s="2"/>
      <c r="K1193" s="2" t="s">
        <v>3180</v>
      </c>
      <c r="L1193" s="12">
        <v>192.0</v>
      </c>
      <c r="M1193" s="2" t="s">
        <v>3181</v>
      </c>
      <c r="N1193" s="2" t="str">
        <f>IFERROR(__xludf.DUMMYFUNCTION("""COMPUTED_VALUE"""),"")</f>
        <v/>
      </c>
    </row>
    <row r="1194">
      <c r="A1194" s="2" t="s">
        <v>33</v>
      </c>
      <c r="B1194" s="12">
        <v>1156405.0</v>
      </c>
      <c r="C1194" s="12">
        <v>1157091.0</v>
      </c>
      <c r="D1194" s="2"/>
      <c r="E1194" s="2" t="s">
        <v>34</v>
      </c>
      <c r="F1194" s="2" t="s">
        <v>39</v>
      </c>
      <c r="G1194" s="2"/>
      <c r="H1194" s="12">
        <v>0.0</v>
      </c>
      <c r="I1194" s="2" t="s">
        <v>40</v>
      </c>
      <c r="J1194" s="2"/>
      <c r="K1194" s="2" t="s">
        <v>3182</v>
      </c>
      <c r="L1194" s="12">
        <v>228.0</v>
      </c>
      <c r="M1194" s="2" t="s">
        <v>3183</v>
      </c>
      <c r="N1194" s="2" t="str">
        <f>IFERROR(__xludf.DUMMYFUNCTION("""COMPUTED_VALUE"""),"")</f>
        <v/>
      </c>
    </row>
    <row r="1195">
      <c r="A1195" s="2" t="s">
        <v>33</v>
      </c>
      <c r="B1195" s="12">
        <v>1157256.0</v>
      </c>
      <c r="C1195" s="12">
        <v>1157870.0</v>
      </c>
      <c r="D1195" s="2"/>
      <c r="E1195" s="2" t="s">
        <v>38</v>
      </c>
      <c r="F1195" s="2" t="s">
        <v>3184</v>
      </c>
      <c r="G1195" s="2"/>
      <c r="H1195" s="12">
        <v>0.0</v>
      </c>
      <c r="I1195" s="2" t="s">
        <v>40</v>
      </c>
      <c r="J1195" s="2"/>
      <c r="K1195" s="2" t="s">
        <v>3185</v>
      </c>
      <c r="L1195" s="12">
        <v>204.0</v>
      </c>
      <c r="M1195" s="2" t="s">
        <v>3186</v>
      </c>
      <c r="N1195" s="2" t="str">
        <f>IFERROR(__xludf.DUMMYFUNCTION("""COMPUTED_VALUE"""),"")</f>
        <v/>
      </c>
    </row>
    <row r="1196">
      <c r="A1196" s="2" t="s">
        <v>33</v>
      </c>
      <c r="B1196" s="12">
        <v>1157955.0</v>
      </c>
      <c r="C1196" s="12">
        <v>1158536.0</v>
      </c>
      <c r="D1196" s="2"/>
      <c r="E1196" s="2" t="s">
        <v>38</v>
      </c>
      <c r="F1196" s="2" t="s">
        <v>3187</v>
      </c>
      <c r="G1196" s="2"/>
      <c r="H1196" s="12">
        <v>0.0</v>
      </c>
      <c r="I1196" s="2" t="s">
        <v>40</v>
      </c>
      <c r="J1196" s="2"/>
      <c r="K1196" s="2" t="s">
        <v>3188</v>
      </c>
      <c r="L1196" s="12">
        <v>193.0</v>
      </c>
      <c r="M1196" s="2" t="s">
        <v>3189</v>
      </c>
      <c r="N1196" s="2" t="str">
        <f>IFERROR(__xludf.DUMMYFUNCTION("""COMPUTED_VALUE"""),"")</f>
        <v/>
      </c>
    </row>
    <row r="1197">
      <c r="A1197" s="2" t="s">
        <v>33</v>
      </c>
      <c r="B1197" s="12">
        <v>1158673.0</v>
      </c>
      <c r="C1197" s="12">
        <v>1160448.0</v>
      </c>
      <c r="D1197" s="2"/>
      <c r="E1197" s="2" t="s">
        <v>38</v>
      </c>
      <c r="F1197" s="2" t="s">
        <v>3190</v>
      </c>
      <c r="G1197" s="2" t="s">
        <v>3191</v>
      </c>
      <c r="H1197" s="12">
        <v>0.0</v>
      </c>
      <c r="I1197" s="2" t="s">
        <v>40</v>
      </c>
      <c r="J1197" s="2"/>
      <c r="K1197" s="2" t="s">
        <v>3192</v>
      </c>
      <c r="L1197" s="12">
        <v>591.0</v>
      </c>
      <c r="M1197" s="2" t="s">
        <v>3193</v>
      </c>
      <c r="N1197" s="2" t="str">
        <f>IFERROR(__xludf.DUMMYFUNCTION("""COMPUTED_VALUE"""),"")</f>
        <v/>
      </c>
    </row>
    <row r="1198">
      <c r="A1198" s="2" t="s">
        <v>33</v>
      </c>
      <c r="B1198" s="12">
        <v>1160448.0</v>
      </c>
      <c r="C1198" s="12">
        <v>1161164.0</v>
      </c>
      <c r="D1198" s="2"/>
      <c r="E1198" s="2" t="s">
        <v>38</v>
      </c>
      <c r="F1198" s="2" t="s">
        <v>3194</v>
      </c>
      <c r="G1198" s="2" t="s">
        <v>3195</v>
      </c>
      <c r="H1198" s="12">
        <v>0.0</v>
      </c>
      <c r="I1198" s="2" t="s">
        <v>40</v>
      </c>
      <c r="J1198" s="2"/>
      <c r="K1198" s="2" t="s">
        <v>3196</v>
      </c>
      <c r="L1198" s="12">
        <v>238.0</v>
      </c>
      <c r="M1198" s="2" t="s">
        <v>3197</v>
      </c>
      <c r="N1198" s="2" t="str">
        <f>IFERROR(__xludf.DUMMYFUNCTION("""COMPUTED_VALUE"""),"")</f>
        <v/>
      </c>
    </row>
    <row r="1199">
      <c r="A1199" s="2" t="s">
        <v>33</v>
      </c>
      <c r="B1199" s="12">
        <v>1161468.0</v>
      </c>
      <c r="C1199" s="12">
        <v>1162625.0</v>
      </c>
      <c r="D1199" s="2"/>
      <c r="E1199" s="2" t="s">
        <v>38</v>
      </c>
      <c r="F1199" s="2" t="s">
        <v>3198</v>
      </c>
      <c r="G1199" s="2" t="s">
        <v>3199</v>
      </c>
      <c r="H1199" s="12">
        <v>0.0</v>
      </c>
      <c r="I1199" s="2" t="s">
        <v>40</v>
      </c>
      <c r="J1199" s="2"/>
      <c r="K1199" s="2" t="s">
        <v>3200</v>
      </c>
      <c r="L1199" s="12">
        <v>385.0</v>
      </c>
      <c r="M1199" s="2" t="s">
        <v>3201</v>
      </c>
      <c r="N1199" s="2" t="str">
        <f>IFERROR(__xludf.DUMMYFUNCTION("""COMPUTED_VALUE"""),"")</f>
        <v/>
      </c>
    </row>
    <row r="1200">
      <c r="A1200" s="2" t="s">
        <v>33</v>
      </c>
      <c r="B1200" s="12">
        <v>1162640.0</v>
      </c>
      <c r="C1200" s="12">
        <v>1164265.0</v>
      </c>
      <c r="D1200" s="2"/>
      <c r="E1200" s="2" t="s">
        <v>38</v>
      </c>
      <c r="F1200" s="2" t="s">
        <v>3202</v>
      </c>
      <c r="G1200" s="2" t="s">
        <v>3203</v>
      </c>
      <c r="H1200" s="12">
        <v>0.0</v>
      </c>
      <c r="I1200" s="2" t="s">
        <v>40</v>
      </c>
      <c r="J1200" s="2"/>
      <c r="K1200" s="2" t="s">
        <v>3204</v>
      </c>
      <c r="L1200" s="12">
        <v>541.0</v>
      </c>
      <c r="M1200" s="2" t="s">
        <v>3205</v>
      </c>
      <c r="N1200" s="2" t="str">
        <f>IFERROR(__xludf.DUMMYFUNCTION("""COMPUTED_VALUE"""),"")</f>
        <v/>
      </c>
    </row>
    <row r="1201">
      <c r="A1201" s="2" t="s">
        <v>33</v>
      </c>
      <c r="B1201" s="12">
        <v>1164387.0</v>
      </c>
      <c r="C1201" s="12">
        <v>1164908.0</v>
      </c>
      <c r="D1201" s="2"/>
      <c r="E1201" s="2" t="s">
        <v>38</v>
      </c>
      <c r="F1201" s="2" t="s">
        <v>3206</v>
      </c>
      <c r="G1201" s="2" t="s">
        <v>3207</v>
      </c>
      <c r="H1201" s="12">
        <v>0.0</v>
      </c>
      <c r="I1201" s="2" t="s">
        <v>40</v>
      </c>
      <c r="J1201" s="2"/>
      <c r="K1201" s="2" t="s">
        <v>3208</v>
      </c>
      <c r="L1201" s="12">
        <v>173.0</v>
      </c>
      <c r="M1201" s="2" t="s">
        <v>3209</v>
      </c>
      <c r="N1201" s="2" t="str">
        <f>IFERROR(__xludf.DUMMYFUNCTION("""COMPUTED_VALUE"""),"")</f>
        <v/>
      </c>
    </row>
    <row r="1202">
      <c r="A1202" s="2" t="s">
        <v>33</v>
      </c>
      <c r="B1202" s="12">
        <v>1165015.0</v>
      </c>
      <c r="C1202" s="12">
        <v>1165743.0</v>
      </c>
      <c r="D1202" s="2"/>
      <c r="E1202" s="2" t="s">
        <v>38</v>
      </c>
      <c r="F1202" s="2" t="s">
        <v>3210</v>
      </c>
      <c r="G1202" s="2" t="s">
        <v>3211</v>
      </c>
      <c r="H1202" s="12">
        <v>0.0</v>
      </c>
      <c r="I1202" s="2" t="s">
        <v>40</v>
      </c>
      <c r="J1202" s="2"/>
      <c r="K1202" s="2" t="s">
        <v>3212</v>
      </c>
      <c r="L1202" s="12">
        <v>242.0</v>
      </c>
      <c r="M1202" s="2" t="s">
        <v>3213</v>
      </c>
      <c r="N1202" s="2" t="str">
        <f>IFERROR(__xludf.DUMMYFUNCTION("""COMPUTED_VALUE"""),"")</f>
        <v/>
      </c>
    </row>
    <row r="1203">
      <c r="A1203" s="2" t="s">
        <v>33</v>
      </c>
      <c r="B1203" s="12">
        <v>1166033.0</v>
      </c>
      <c r="C1203" s="12">
        <v>1166563.0</v>
      </c>
      <c r="D1203" s="2"/>
      <c r="E1203" s="2" t="s">
        <v>38</v>
      </c>
      <c r="F1203" s="2" t="s">
        <v>3214</v>
      </c>
      <c r="G1203" s="2" t="s">
        <v>3215</v>
      </c>
      <c r="H1203" s="12">
        <v>0.0</v>
      </c>
      <c r="I1203" s="2" t="s">
        <v>40</v>
      </c>
      <c r="J1203" s="2"/>
      <c r="K1203" s="2" t="s">
        <v>3216</v>
      </c>
      <c r="L1203" s="12">
        <v>176.0</v>
      </c>
      <c r="M1203" s="2" t="s">
        <v>3217</v>
      </c>
      <c r="N1203" s="2" t="str">
        <f>IFERROR(__xludf.DUMMYFUNCTION("""COMPUTED_VALUE"""),"")</f>
        <v/>
      </c>
    </row>
    <row r="1204">
      <c r="A1204" s="2" t="s">
        <v>33</v>
      </c>
      <c r="B1204" s="12">
        <v>1166560.0</v>
      </c>
      <c r="C1204" s="12">
        <v>1167156.0</v>
      </c>
      <c r="D1204" s="2"/>
      <c r="E1204" s="2" t="s">
        <v>38</v>
      </c>
      <c r="F1204" s="2" t="s">
        <v>3218</v>
      </c>
      <c r="G1204" s="2" t="s">
        <v>3219</v>
      </c>
      <c r="H1204" s="12">
        <v>0.0</v>
      </c>
      <c r="I1204" s="2" t="s">
        <v>40</v>
      </c>
      <c r="J1204" s="2"/>
      <c r="K1204" s="2" t="s">
        <v>3220</v>
      </c>
      <c r="L1204" s="12">
        <v>198.0</v>
      </c>
      <c r="M1204" s="2" t="s">
        <v>3221</v>
      </c>
      <c r="N1204" s="2" t="str">
        <f>IFERROR(__xludf.DUMMYFUNCTION("""COMPUTED_VALUE"""),"")</f>
        <v/>
      </c>
    </row>
    <row r="1205">
      <c r="A1205" s="2" t="s">
        <v>33</v>
      </c>
      <c r="B1205" s="12">
        <v>1167149.0</v>
      </c>
      <c r="C1205" s="12">
        <v>1168273.0</v>
      </c>
      <c r="D1205" s="2"/>
      <c r="E1205" s="2" t="s">
        <v>38</v>
      </c>
      <c r="F1205" s="2" t="s">
        <v>3222</v>
      </c>
      <c r="G1205" s="2" t="s">
        <v>3223</v>
      </c>
      <c r="H1205" s="12">
        <v>0.0</v>
      </c>
      <c r="I1205" s="2" t="s">
        <v>40</v>
      </c>
      <c r="J1205" s="2"/>
      <c r="K1205" s="2" t="s">
        <v>3224</v>
      </c>
      <c r="L1205" s="12">
        <v>374.0</v>
      </c>
      <c r="M1205" s="2" t="s">
        <v>3225</v>
      </c>
      <c r="N1205" s="2" t="str">
        <f>IFERROR(__xludf.DUMMYFUNCTION("""COMPUTED_VALUE"""),"")</f>
        <v/>
      </c>
    </row>
    <row r="1206">
      <c r="A1206" s="2" t="s">
        <v>33</v>
      </c>
      <c r="B1206" s="12">
        <v>1168386.0</v>
      </c>
      <c r="C1206" s="12">
        <v>1169300.0</v>
      </c>
      <c r="D1206" s="2"/>
      <c r="E1206" s="2" t="s">
        <v>38</v>
      </c>
      <c r="F1206" s="2" t="s">
        <v>3226</v>
      </c>
      <c r="G1206" s="2"/>
      <c r="H1206" s="12">
        <v>0.0</v>
      </c>
      <c r="I1206" s="2" t="s">
        <v>40</v>
      </c>
      <c r="J1206" s="2"/>
      <c r="K1206" s="2" t="s">
        <v>3227</v>
      </c>
      <c r="L1206" s="12">
        <v>304.0</v>
      </c>
      <c r="M1206" s="2" t="s">
        <v>3228</v>
      </c>
      <c r="N1206" s="2" t="str">
        <f>IFERROR(__xludf.DUMMYFUNCTION("""COMPUTED_VALUE"""),"")</f>
        <v/>
      </c>
    </row>
    <row r="1207">
      <c r="A1207" s="2" t="s">
        <v>33</v>
      </c>
      <c r="B1207" s="12">
        <v>1169406.0</v>
      </c>
      <c r="C1207" s="12">
        <v>1169897.0</v>
      </c>
      <c r="D1207" s="2"/>
      <c r="E1207" s="2" t="s">
        <v>38</v>
      </c>
      <c r="F1207" s="2" t="s">
        <v>3229</v>
      </c>
      <c r="G1207" s="2"/>
      <c r="H1207" s="12">
        <v>0.0</v>
      </c>
      <c r="I1207" s="2" t="s">
        <v>40</v>
      </c>
      <c r="J1207" s="2"/>
      <c r="K1207" s="2" t="s">
        <v>3230</v>
      </c>
      <c r="L1207" s="12">
        <v>163.0</v>
      </c>
      <c r="M1207" s="2" t="s">
        <v>3231</v>
      </c>
      <c r="N1207" s="2" t="str">
        <f>IFERROR(__xludf.DUMMYFUNCTION("""COMPUTED_VALUE"""),"")</f>
        <v/>
      </c>
    </row>
    <row r="1208">
      <c r="A1208" s="2" t="s">
        <v>33</v>
      </c>
      <c r="B1208" s="12">
        <v>1169920.0</v>
      </c>
      <c r="C1208" s="12">
        <v>1170309.0</v>
      </c>
      <c r="D1208" s="2"/>
      <c r="E1208" s="2" t="s">
        <v>38</v>
      </c>
      <c r="F1208" s="2" t="s">
        <v>39</v>
      </c>
      <c r="G1208" s="2"/>
      <c r="H1208" s="12">
        <v>0.0</v>
      </c>
      <c r="I1208" s="2" t="s">
        <v>40</v>
      </c>
      <c r="J1208" s="2"/>
      <c r="K1208" s="2" t="s">
        <v>3232</v>
      </c>
      <c r="L1208" s="12">
        <v>129.0</v>
      </c>
      <c r="M1208" s="2" t="s">
        <v>3233</v>
      </c>
      <c r="N1208" s="2" t="str">
        <f>IFERROR(__xludf.DUMMYFUNCTION("""COMPUTED_VALUE"""),"")</f>
        <v/>
      </c>
    </row>
    <row r="1209">
      <c r="A1209" s="2" t="s">
        <v>33</v>
      </c>
      <c r="B1209" s="12">
        <v>1170494.0</v>
      </c>
      <c r="C1209" s="12">
        <v>1173073.0</v>
      </c>
      <c r="D1209" s="2"/>
      <c r="E1209" s="2" t="s">
        <v>34</v>
      </c>
      <c r="F1209" s="2" t="s">
        <v>3234</v>
      </c>
      <c r="G1209" s="2" t="s">
        <v>3235</v>
      </c>
      <c r="H1209" s="12">
        <v>0.0</v>
      </c>
      <c r="I1209" s="2" t="s">
        <v>40</v>
      </c>
      <c r="J1209" s="2"/>
      <c r="K1209" s="2" t="s">
        <v>3236</v>
      </c>
      <c r="L1209" s="12">
        <v>859.0</v>
      </c>
      <c r="M1209" s="2" t="s">
        <v>3237</v>
      </c>
      <c r="N1209" s="2" t="str">
        <f>IFERROR(__xludf.DUMMYFUNCTION("""COMPUTED_VALUE"""),"")</f>
        <v/>
      </c>
    </row>
    <row r="1210">
      <c r="A1210" s="2" t="s">
        <v>33</v>
      </c>
      <c r="B1210" s="12">
        <v>1173078.0</v>
      </c>
      <c r="C1210" s="12">
        <v>1173866.0</v>
      </c>
      <c r="D1210" s="2"/>
      <c r="E1210" s="2" t="s">
        <v>38</v>
      </c>
      <c r="F1210" s="2" t="s">
        <v>39</v>
      </c>
      <c r="G1210" s="2"/>
      <c r="H1210" s="12">
        <v>0.0</v>
      </c>
      <c r="I1210" s="2" t="s">
        <v>40</v>
      </c>
      <c r="J1210" s="2"/>
      <c r="K1210" s="2" t="s">
        <v>3238</v>
      </c>
      <c r="L1210" s="12">
        <v>262.0</v>
      </c>
      <c r="M1210" s="2" t="s">
        <v>3239</v>
      </c>
      <c r="N1210" s="2" t="str">
        <f>IFERROR(__xludf.DUMMYFUNCTION("""COMPUTED_VALUE"""),"")</f>
        <v/>
      </c>
    </row>
    <row r="1211">
      <c r="A1211" s="2" t="s">
        <v>33</v>
      </c>
      <c r="B1211" s="12">
        <v>1174044.0</v>
      </c>
      <c r="C1211" s="12">
        <v>1174751.0</v>
      </c>
      <c r="D1211" s="2"/>
      <c r="E1211" s="2" t="s">
        <v>34</v>
      </c>
      <c r="F1211" s="2" t="s">
        <v>3240</v>
      </c>
      <c r="G1211" s="2" t="s">
        <v>3241</v>
      </c>
      <c r="H1211" s="12">
        <v>0.0</v>
      </c>
      <c r="I1211" s="2" t="s">
        <v>40</v>
      </c>
      <c r="J1211" s="2"/>
      <c r="K1211" s="2" t="s">
        <v>3242</v>
      </c>
      <c r="L1211" s="12">
        <v>235.0</v>
      </c>
      <c r="M1211" s="2" t="s">
        <v>3243</v>
      </c>
      <c r="N1211" s="2" t="str">
        <f>IFERROR(__xludf.DUMMYFUNCTION("""COMPUTED_VALUE"""),"")</f>
        <v/>
      </c>
    </row>
    <row r="1212">
      <c r="A1212" s="2" t="s">
        <v>33</v>
      </c>
      <c r="B1212" s="12">
        <v>1174986.0</v>
      </c>
      <c r="C1212" s="12">
        <v>1176800.0</v>
      </c>
      <c r="D1212" s="2"/>
      <c r="E1212" s="2" t="s">
        <v>34</v>
      </c>
      <c r="F1212" s="2" t="s">
        <v>382</v>
      </c>
      <c r="G1212" s="2"/>
      <c r="H1212" s="12">
        <v>0.0</v>
      </c>
      <c r="I1212" s="2" t="s">
        <v>40</v>
      </c>
      <c r="J1212" s="2"/>
      <c r="K1212" s="2" t="s">
        <v>3244</v>
      </c>
      <c r="L1212" s="12">
        <v>604.0</v>
      </c>
      <c r="M1212" s="2" t="s">
        <v>3245</v>
      </c>
      <c r="N1212" s="2" t="str">
        <f>IFERROR(__xludf.DUMMYFUNCTION("""COMPUTED_VALUE"""),"")</f>
        <v/>
      </c>
    </row>
    <row r="1213">
      <c r="A1213" s="2" t="s">
        <v>33</v>
      </c>
      <c r="B1213" s="12">
        <v>1176908.0</v>
      </c>
      <c r="C1213" s="12">
        <v>1177438.0</v>
      </c>
      <c r="D1213" s="2"/>
      <c r="E1213" s="2" t="s">
        <v>34</v>
      </c>
      <c r="F1213" s="2" t="s">
        <v>55</v>
      </c>
      <c r="G1213" s="2"/>
      <c r="H1213" s="12">
        <v>0.0</v>
      </c>
      <c r="I1213" s="2" t="s">
        <v>40</v>
      </c>
      <c r="J1213" s="2"/>
      <c r="K1213" s="2" t="s">
        <v>3246</v>
      </c>
      <c r="L1213" s="12">
        <v>176.0</v>
      </c>
      <c r="M1213" s="2" t="s">
        <v>3247</v>
      </c>
      <c r="N1213" s="2" t="str">
        <f>IFERROR(__xludf.DUMMYFUNCTION("""COMPUTED_VALUE"""),"")</f>
        <v/>
      </c>
    </row>
    <row r="1214">
      <c r="A1214" s="2" t="s">
        <v>33</v>
      </c>
      <c r="B1214" s="12">
        <v>1177560.0</v>
      </c>
      <c r="C1214" s="12">
        <v>1177754.0</v>
      </c>
      <c r="D1214" s="2"/>
      <c r="E1214" s="2" t="s">
        <v>34</v>
      </c>
      <c r="F1214" s="2" t="s">
        <v>3248</v>
      </c>
      <c r="G1214" s="2"/>
      <c r="H1214" s="12">
        <v>0.0</v>
      </c>
      <c r="I1214" s="2" t="s">
        <v>40</v>
      </c>
      <c r="J1214" s="2"/>
      <c r="K1214" s="2" t="s">
        <v>3249</v>
      </c>
      <c r="L1214" s="12">
        <v>64.0</v>
      </c>
      <c r="M1214" s="2" t="s">
        <v>3250</v>
      </c>
      <c r="N1214" s="2" t="str">
        <f>IFERROR(__xludf.DUMMYFUNCTION("""COMPUTED_VALUE"""),"")</f>
        <v/>
      </c>
    </row>
    <row r="1215">
      <c r="A1215" s="2" t="s">
        <v>33</v>
      </c>
      <c r="B1215" s="12">
        <v>1177969.0</v>
      </c>
      <c r="C1215" s="12">
        <v>1178814.0</v>
      </c>
      <c r="D1215" s="2"/>
      <c r="E1215" s="2" t="s">
        <v>38</v>
      </c>
      <c r="F1215" s="2" t="s">
        <v>3251</v>
      </c>
      <c r="G1215" s="2"/>
      <c r="H1215" s="12">
        <v>0.0</v>
      </c>
      <c r="I1215" s="2" t="s">
        <v>40</v>
      </c>
      <c r="J1215" s="2"/>
      <c r="K1215" s="2" t="s">
        <v>3252</v>
      </c>
      <c r="L1215" s="12">
        <v>281.0</v>
      </c>
      <c r="M1215" s="2" t="s">
        <v>3253</v>
      </c>
      <c r="N1215" s="2" t="str">
        <f>IFERROR(__xludf.DUMMYFUNCTION("""COMPUTED_VALUE"""),"")</f>
        <v/>
      </c>
    </row>
    <row r="1216">
      <c r="A1216" s="2" t="s">
        <v>33</v>
      </c>
      <c r="B1216" s="12">
        <v>1178954.0</v>
      </c>
      <c r="C1216" s="12">
        <v>1180225.0</v>
      </c>
      <c r="D1216" s="2"/>
      <c r="E1216" s="2" t="s">
        <v>34</v>
      </c>
      <c r="F1216" s="2" t="s">
        <v>66</v>
      </c>
      <c r="G1216" s="2"/>
      <c r="H1216" s="12">
        <v>0.0</v>
      </c>
      <c r="I1216" s="2" t="s">
        <v>40</v>
      </c>
      <c r="J1216" s="2"/>
      <c r="K1216" s="2" t="s">
        <v>3254</v>
      </c>
      <c r="L1216" s="12">
        <v>423.0</v>
      </c>
      <c r="M1216" s="2" t="s">
        <v>3255</v>
      </c>
      <c r="N1216" s="2" t="str">
        <f>IFERROR(__xludf.DUMMYFUNCTION("""COMPUTED_VALUE"""),"")</f>
        <v/>
      </c>
    </row>
    <row r="1217">
      <c r="A1217" s="2" t="s">
        <v>33</v>
      </c>
      <c r="B1217" s="12">
        <v>1180450.0</v>
      </c>
      <c r="C1217" s="12">
        <v>1180728.0</v>
      </c>
      <c r="D1217" s="2"/>
      <c r="E1217" s="2" t="s">
        <v>34</v>
      </c>
      <c r="F1217" s="2" t="s">
        <v>39</v>
      </c>
      <c r="G1217" s="2"/>
      <c r="H1217" s="12">
        <v>0.0</v>
      </c>
      <c r="I1217" s="2" t="s">
        <v>40</v>
      </c>
      <c r="J1217" s="2"/>
      <c r="K1217" s="2" t="s">
        <v>3256</v>
      </c>
      <c r="L1217" s="12">
        <v>92.0</v>
      </c>
      <c r="M1217" s="2" t="s">
        <v>3257</v>
      </c>
      <c r="N1217" s="2" t="str">
        <f>IFERROR(__xludf.DUMMYFUNCTION("""COMPUTED_VALUE"""),"")</f>
        <v/>
      </c>
    </row>
    <row r="1218">
      <c r="A1218" s="2" t="s">
        <v>33</v>
      </c>
      <c r="B1218" s="12">
        <v>1180945.0</v>
      </c>
      <c r="C1218" s="12">
        <v>1181373.0</v>
      </c>
      <c r="D1218" s="2"/>
      <c r="E1218" s="2" t="s">
        <v>34</v>
      </c>
      <c r="F1218" s="2" t="s">
        <v>39</v>
      </c>
      <c r="G1218" s="2"/>
      <c r="H1218" s="12">
        <v>0.0</v>
      </c>
      <c r="I1218" s="2" t="s">
        <v>40</v>
      </c>
      <c r="J1218" s="2"/>
      <c r="K1218" s="2" t="s">
        <v>3258</v>
      </c>
      <c r="L1218" s="12">
        <v>142.0</v>
      </c>
      <c r="M1218" s="2" t="s">
        <v>3259</v>
      </c>
      <c r="N1218" s="2" t="str">
        <f>IFERROR(__xludf.DUMMYFUNCTION("""COMPUTED_VALUE"""),"")</f>
        <v/>
      </c>
    </row>
    <row r="1219">
      <c r="A1219" s="2" t="s">
        <v>33</v>
      </c>
      <c r="B1219" s="12">
        <v>1181498.0</v>
      </c>
      <c r="C1219" s="12">
        <v>1183540.0</v>
      </c>
      <c r="D1219" s="2"/>
      <c r="E1219" s="2" t="s">
        <v>38</v>
      </c>
      <c r="F1219" s="2" t="s">
        <v>3260</v>
      </c>
      <c r="G1219" s="2"/>
      <c r="H1219" s="12">
        <v>0.0</v>
      </c>
      <c r="I1219" s="2" t="s">
        <v>40</v>
      </c>
      <c r="J1219" s="2"/>
      <c r="K1219" s="2" t="s">
        <v>3261</v>
      </c>
      <c r="L1219" s="12">
        <v>680.0</v>
      </c>
      <c r="M1219" s="2" t="s">
        <v>3262</v>
      </c>
      <c r="N1219" s="2" t="str">
        <f>IFERROR(__xludf.DUMMYFUNCTION("""COMPUTED_VALUE"""),"")</f>
        <v/>
      </c>
    </row>
    <row r="1220">
      <c r="A1220" s="2" t="s">
        <v>33</v>
      </c>
      <c r="B1220" s="12">
        <v>1183852.0</v>
      </c>
      <c r="C1220" s="12">
        <v>1184472.0</v>
      </c>
      <c r="D1220" s="2"/>
      <c r="E1220" s="2" t="s">
        <v>34</v>
      </c>
      <c r="F1220" s="2" t="s">
        <v>3263</v>
      </c>
      <c r="G1220" s="2"/>
      <c r="H1220" s="12">
        <v>0.0</v>
      </c>
      <c r="I1220" s="2" t="s">
        <v>40</v>
      </c>
      <c r="J1220" s="2"/>
      <c r="K1220" s="2" t="s">
        <v>3264</v>
      </c>
      <c r="L1220" s="12">
        <v>206.0</v>
      </c>
      <c r="M1220" s="2" t="s">
        <v>3265</v>
      </c>
      <c r="N1220" s="2" t="str">
        <f>IFERROR(__xludf.DUMMYFUNCTION("""COMPUTED_VALUE"""),"")</f>
        <v/>
      </c>
    </row>
    <row r="1221">
      <c r="A1221" s="2" t="s">
        <v>33</v>
      </c>
      <c r="B1221" s="12">
        <v>1184484.0</v>
      </c>
      <c r="C1221" s="12">
        <v>1185482.0</v>
      </c>
      <c r="D1221" s="2"/>
      <c r="E1221" s="2" t="s">
        <v>34</v>
      </c>
      <c r="F1221" s="2" t="s">
        <v>3266</v>
      </c>
      <c r="G1221" s="2"/>
      <c r="H1221" s="12">
        <v>0.0</v>
      </c>
      <c r="I1221" s="2" t="s">
        <v>40</v>
      </c>
      <c r="J1221" s="2"/>
      <c r="K1221" s="2" t="s">
        <v>3267</v>
      </c>
      <c r="L1221" s="12">
        <v>332.0</v>
      </c>
      <c r="M1221" s="2" t="s">
        <v>3268</v>
      </c>
      <c r="N1221" s="2" t="str">
        <f>IFERROR(__xludf.DUMMYFUNCTION("""COMPUTED_VALUE"""),"")</f>
        <v/>
      </c>
    </row>
    <row r="1222">
      <c r="A1222" s="2" t="s">
        <v>33</v>
      </c>
      <c r="B1222" s="12">
        <v>1185600.0</v>
      </c>
      <c r="C1222" s="12">
        <v>1186400.0</v>
      </c>
      <c r="D1222" s="2"/>
      <c r="E1222" s="2" t="s">
        <v>34</v>
      </c>
      <c r="F1222" s="2" t="s">
        <v>2751</v>
      </c>
      <c r="G1222" s="2"/>
      <c r="H1222" s="12">
        <v>0.0</v>
      </c>
      <c r="I1222" s="2" t="s">
        <v>40</v>
      </c>
      <c r="J1222" s="2"/>
      <c r="K1222" s="2" t="s">
        <v>3269</v>
      </c>
      <c r="L1222" s="12">
        <v>266.0</v>
      </c>
      <c r="M1222" s="2" t="s">
        <v>3270</v>
      </c>
      <c r="N1222" s="2" t="str">
        <f>IFERROR(__xludf.DUMMYFUNCTION("""COMPUTED_VALUE"""),"")</f>
        <v/>
      </c>
    </row>
    <row r="1223">
      <c r="A1223" s="2" t="s">
        <v>33</v>
      </c>
      <c r="B1223" s="12">
        <v>1186694.0</v>
      </c>
      <c r="C1223" s="12">
        <v>1186921.0</v>
      </c>
      <c r="D1223" s="2"/>
      <c r="E1223" s="2" t="s">
        <v>38</v>
      </c>
      <c r="F1223" s="2" t="s">
        <v>39</v>
      </c>
      <c r="G1223" s="2"/>
      <c r="H1223" s="12">
        <v>0.0</v>
      </c>
      <c r="I1223" s="2" t="s">
        <v>40</v>
      </c>
      <c r="J1223" s="2"/>
      <c r="K1223" s="2" t="s">
        <v>3271</v>
      </c>
      <c r="L1223" s="12">
        <v>75.0</v>
      </c>
      <c r="M1223" s="2" t="s">
        <v>3272</v>
      </c>
      <c r="N1223" s="2" t="str">
        <f>IFERROR(__xludf.DUMMYFUNCTION("""COMPUTED_VALUE"""),"")</f>
        <v/>
      </c>
    </row>
    <row r="1224">
      <c r="A1224" s="2" t="s">
        <v>33</v>
      </c>
      <c r="B1224" s="12">
        <v>1187092.0</v>
      </c>
      <c r="C1224" s="12">
        <v>1187604.0</v>
      </c>
      <c r="D1224" s="2"/>
      <c r="E1224" s="2" t="s">
        <v>34</v>
      </c>
      <c r="F1224" s="2" t="s">
        <v>770</v>
      </c>
      <c r="G1224" s="2"/>
      <c r="H1224" s="12">
        <v>0.0</v>
      </c>
      <c r="I1224" s="2" t="s">
        <v>40</v>
      </c>
      <c r="J1224" s="2"/>
      <c r="K1224" s="2" t="s">
        <v>3273</v>
      </c>
      <c r="L1224" s="12">
        <v>170.0</v>
      </c>
      <c r="M1224" s="2" t="s">
        <v>3274</v>
      </c>
      <c r="N1224" s="2" t="str">
        <f>IFERROR(__xludf.DUMMYFUNCTION("""COMPUTED_VALUE"""),"")</f>
        <v/>
      </c>
    </row>
    <row r="1225">
      <c r="A1225" s="2" t="s">
        <v>33</v>
      </c>
      <c r="B1225" s="12">
        <v>1187622.0</v>
      </c>
      <c r="C1225" s="12">
        <v>1188830.0</v>
      </c>
      <c r="D1225" s="2"/>
      <c r="E1225" s="2" t="s">
        <v>38</v>
      </c>
      <c r="F1225" s="2" t="s">
        <v>3275</v>
      </c>
      <c r="G1225" s="2" t="s">
        <v>3276</v>
      </c>
      <c r="H1225" s="12">
        <v>0.0</v>
      </c>
      <c r="I1225" s="2" t="s">
        <v>40</v>
      </c>
      <c r="J1225" s="2"/>
      <c r="K1225" s="2" t="s">
        <v>3277</v>
      </c>
      <c r="L1225" s="12">
        <v>402.0</v>
      </c>
      <c r="M1225" s="2" t="s">
        <v>3278</v>
      </c>
      <c r="N1225" s="2" t="str">
        <f>IFERROR(__xludf.DUMMYFUNCTION("""COMPUTED_VALUE"""),"")</f>
        <v/>
      </c>
    </row>
    <row r="1226">
      <c r="A1226" s="2" t="s">
        <v>33</v>
      </c>
      <c r="B1226" s="12">
        <v>1188990.0</v>
      </c>
      <c r="C1226" s="12">
        <v>1189508.0</v>
      </c>
      <c r="D1226" s="2"/>
      <c r="E1226" s="2" t="s">
        <v>38</v>
      </c>
      <c r="F1226" s="2" t="s">
        <v>39</v>
      </c>
      <c r="G1226" s="2"/>
      <c r="H1226" s="12">
        <v>0.0</v>
      </c>
      <c r="I1226" s="2" t="s">
        <v>40</v>
      </c>
      <c r="J1226" s="2"/>
      <c r="K1226" s="2" t="s">
        <v>3279</v>
      </c>
      <c r="L1226" s="12">
        <v>172.0</v>
      </c>
      <c r="M1226" s="2" t="s">
        <v>3280</v>
      </c>
      <c r="N1226" s="2" t="str">
        <f>IFERROR(__xludf.DUMMYFUNCTION("""COMPUTED_VALUE"""),"")</f>
        <v/>
      </c>
    </row>
    <row r="1227">
      <c r="A1227" s="2" t="s">
        <v>33</v>
      </c>
      <c r="B1227" s="12">
        <v>1189623.0</v>
      </c>
      <c r="C1227" s="12">
        <v>1190720.0</v>
      </c>
      <c r="D1227" s="2"/>
      <c r="E1227" s="2" t="s">
        <v>38</v>
      </c>
      <c r="F1227" s="2" t="s">
        <v>3281</v>
      </c>
      <c r="G1227" s="2"/>
      <c r="H1227" s="12">
        <v>0.0</v>
      </c>
      <c r="I1227" s="2" t="s">
        <v>40</v>
      </c>
      <c r="J1227" s="2"/>
      <c r="K1227" s="2" t="s">
        <v>3282</v>
      </c>
      <c r="L1227" s="12">
        <v>365.0</v>
      </c>
      <c r="M1227" s="2" t="s">
        <v>3283</v>
      </c>
      <c r="N1227" s="2" t="str">
        <f>IFERROR(__xludf.DUMMYFUNCTION("""COMPUTED_VALUE"""),"")</f>
        <v/>
      </c>
    </row>
    <row r="1228">
      <c r="A1228" s="2" t="s">
        <v>33</v>
      </c>
      <c r="B1228" s="12">
        <v>1190872.0</v>
      </c>
      <c r="C1228" s="12">
        <v>1191069.0</v>
      </c>
      <c r="D1228" s="2"/>
      <c r="E1228" s="2" t="s">
        <v>34</v>
      </c>
      <c r="F1228" s="2" t="s">
        <v>39</v>
      </c>
      <c r="G1228" s="2"/>
      <c r="H1228" s="12">
        <v>0.0</v>
      </c>
      <c r="I1228" s="2" t="s">
        <v>40</v>
      </c>
      <c r="J1228" s="2"/>
      <c r="K1228" s="2" t="s">
        <v>3284</v>
      </c>
      <c r="L1228" s="12">
        <v>65.0</v>
      </c>
      <c r="M1228" s="2" t="s">
        <v>3285</v>
      </c>
      <c r="N1228" s="2" t="str">
        <f>IFERROR(__xludf.DUMMYFUNCTION("""COMPUTED_VALUE"""),"")</f>
        <v/>
      </c>
    </row>
    <row r="1229">
      <c r="A1229" s="2" t="s">
        <v>33</v>
      </c>
      <c r="B1229" s="12">
        <v>1191177.0</v>
      </c>
      <c r="C1229" s="12">
        <v>1192031.0</v>
      </c>
      <c r="D1229" s="2"/>
      <c r="E1229" s="2" t="s">
        <v>38</v>
      </c>
      <c r="F1229" s="2" t="s">
        <v>39</v>
      </c>
      <c r="G1229" s="2"/>
      <c r="H1229" s="12">
        <v>0.0</v>
      </c>
      <c r="I1229" s="2" t="s">
        <v>40</v>
      </c>
      <c r="J1229" s="2"/>
      <c r="K1229" s="2" t="s">
        <v>3286</v>
      </c>
      <c r="L1229" s="12">
        <v>284.0</v>
      </c>
      <c r="M1229" s="2" t="s">
        <v>3287</v>
      </c>
      <c r="N1229" s="2" t="str">
        <f>IFERROR(__xludf.DUMMYFUNCTION("""COMPUTED_VALUE"""),"")</f>
        <v/>
      </c>
    </row>
    <row r="1230">
      <c r="A1230" s="2" t="s">
        <v>33</v>
      </c>
      <c r="B1230" s="12">
        <v>1192140.0</v>
      </c>
      <c r="C1230" s="12">
        <v>1192916.0</v>
      </c>
      <c r="D1230" s="2"/>
      <c r="E1230" s="2" t="s">
        <v>34</v>
      </c>
      <c r="F1230" s="2" t="s">
        <v>289</v>
      </c>
      <c r="G1230" s="2"/>
      <c r="H1230" s="12">
        <v>0.0</v>
      </c>
      <c r="I1230" s="2" t="s">
        <v>40</v>
      </c>
      <c r="J1230" s="2"/>
      <c r="K1230" s="2" t="s">
        <v>3288</v>
      </c>
      <c r="L1230" s="12">
        <v>258.0</v>
      </c>
      <c r="M1230" s="2" t="s">
        <v>3289</v>
      </c>
      <c r="N1230" s="2" t="str">
        <f>IFERROR(__xludf.DUMMYFUNCTION("""COMPUTED_VALUE"""),"")</f>
        <v/>
      </c>
    </row>
    <row r="1231">
      <c r="A1231" s="2" t="s">
        <v>33</v>
      </c>
      <c r="B1231" s="12">
        <v>1192957.0</v>
      </c>
      <c r="C1231" s="12">
        <v>1193166.0</v>
      </c>
      <c r="D1231" s="2"/>
      <c r="E1231" s="2" t="s">
        <v>38</v>
      </c>
      <c r="F1231" s="2" t="s">
        <v>39</v>
      </c>
      <c r="G1231" s="2"/>
      <c r="H1231" s="12">
        <v>0.0</v>
      </c>
      <c r="I1231" s="2" t="s">
        <v>40</v>
      </c>
      <c r="J1231" s="2"/>
      <c r="K1231" s="2" t="s">
        <v>3290</v>
      </c>
      <c r="L1231" s="12">
        <v>69.0</v>
      </c>
      <c r="M1231" s="2" t="s">
        <v>3291</v>
      </c>
      <c r="N1231" s="2" t="str">
        <f>IFERROR(__xludf.DUMMYFUNCTION("""COMPUTED_VALUE"""),"")</f>
        <v/>
      </c>
    </row>
    <row r="1232">
      <c r="A1232" s="2" t="s">
        <v>33</v>
      </c>
      <c r="B1232" s="12">
        <v>1193752.0</v>
      </c>
      <c r="C1232" s="12">
        <v>1195107.0</v>
      </c>
      <c r="D1232" s="2"/>
      <c r="E1232" s="2" t="s">
        <v>34</v>
      </c>
      <c r="F1232" s="2" t="s">
        <v>3292</v>
      </c>
      <c r="G1232" s="2" t="s">
        <v>3293</v>
      </c>
      <c r="H1232" s="12">
        <v>0.0</v>
      </c>
      <c r="I1232" s="2" t="s">
        <v>40</v>
      </c>
      <c r="J1232" s="2"/>
      <c r="K1232" s="2" t="s">
        <v>3294</v>
      </c>
      <c r="L1232" s="12">
        <v>451.0</v>
      </c>
      <c r="M1232" s="2" t="s">
        <v>3295</v>
      </c>
      <c r="N1232" s="2" t="str">
        <f>IFERROR(__xludf.DUMMYFUNCTION("""COMPUTED_VALUE"""),"")</f>
        <v/>
      </c>
    </row>
    <row r="1233">
      <c r="A1233" s="2" t="s">
        <v>33</v>
      </c>
      <c r="B1233" s="12">
        <v>1195132.0</v>
      </c>
      <c r="C1233" s="12">
        <v>1195470.0</v>
      </c>
      <c r="D1233" s="2"/>
      <c r="E1233" s="2" t="s">
        <v>38</v>
      </c>
      <c r="F1233" s="2" t="s">
        <v>3296</v>
      </c>
      <c r="G1233" s="2"/>
      <c r="H1233" s="12">
        <v>0.0</v>
      </c>
      <c r="I1233" s="2" t="s">
        <v>40</v>
      </c>
      <c r="J1233" s="2"/>
      <c r="K1233" s="2" t="s">
        <v>3297</v>
      </c>
      <c r="L1233" s="12">
        <v>112.0</v>
      </c>
      <c r="M1233" s="2" t="s">
        <v>3298</v>
      </c>
      <c r="N1233" s="2" t="str">
        <f>IFERROR(__xludf.DUMMYFUNCTION("""COMPUTED_VALUE"""),"")</f>
        <v/>
      </c>
    </row>
    <row r="1234">
      <c r="A1234" s="2" t="s">
        <v>33</v>
      </c>
      <c r="B1234" s="12">
        <v>1195644.0</v>
      </c>
      <c r="C1234" s="12">
        <v>1196276.0</v>
      </c>
      <c r="D1234" s="2"/>
      <c r="E1234" s="2" t="s">
        <v>38</v>
      </c>
      <c r="F1234" s="2" t="s">
        <v>379</v>
      </c>
      <c r="G1234" s="2"/>
      <c r="H1234" s="12">
        <v>0.0</v>
      </c>
      <c r="I1234" s="2" t="s">
        <v>40</v>
      </c>
      <c r="J1234" s="2"/>
      <c r="K1234" s="2" t="s">
        <v>3299</v>
      </c>
      <c r="L1234" s="12">
        <v>210.0</v>
      </c>
      <c r="M1234" s="2" t="s">
        <v>3300</v>
      </c>
      <c r="N1234" s="2" t="str">
        <f>IFERROR(__xludf.DUMMYFUNCTION("""COMPUTED_VALUE"""),"")</f>
        <v/>
      </c>
    </row>
    <row r="1235">
      <c r="A1235" s="2" t="s">
        <v>33</v>
      </c>
      <c r="B1235" s="12">
        <v>1196273.0</v>
      </c>
      <c r="C1235" s="12">
        <v>1197328.0</v>
      </c>
      <c r="D1235" s="2"/>
      <c r="E1235" s="2" t="s">
        <v>38</v>
      </c>
      <c r="F1235" s="2" t="s">
        <v>2404</v>
      </c>
      <c r="G1235" s="2"/>
      <c r="H1235" s="12">
        <v>0.0</v>
      </c>
      <c r="I1235" s="2" t="s">
        <v>40</v>
      </c>
      <c r="J1235" s="2"/>
      <c r="K1235" s="2" t="s">
        <v>3301</v>
      </c>
      <c r="L1235" s="12">
        <v>351.0</v>
      </c>
      <c r="M1235" s="2" t="s">
        <v>3302</v>
      </c>
      <c r="N1235" s="2" t="str">
        <f>IFERROR(__xludf.DUMMYFUNCTION("""COMPUTED_VALUE"""),"")</f>
        <v/>
      </c>
    </row>
    <row r="1236">
      <c r="A1236" s="2" t="s">
        <v>33</v>
      </c>
      <c r="B1236" s="12">
        <v>1197328.0</v>
      </c>
      <c r="C1236" s="12">
        <v>1198068.0</v>
      </c>
      <c r="D1236" s="2"/>
      <c r="E1236" s="2" t="s">
        <v>38</v>
      </c>
      <c r="F1236" s="2" t="s">
        <v>3303</v>
      </c>
      <c r="G1236" s="2" t="s">
        <v>3304</v>
      </c>
      <c r="H1236" s="12">
        <v>0.0</v>
      </c>
      <c r="I1236" s="2" t="s">
        <v>40</v>
      </c>
      <c r="J1236" s="2"/>
      <c r="K1236" s="2" t="s">
        <v>3305</v>
      </c>
      <c r="L1236" s="12">
        <v>246.0</v>
      </c>
      <c r="M1236" s="2" t="s">
        <v>3306</v>
      </c>
      <c r="N1236" s="2" t="str">
        <f>IFERROR(__xludf.DUMMYFUNCTION("""COMPUTED_VALUE"""),"")</f>
        <v/>
      </c>
    </row>
    <row r="1237">
      <c r="A1237" s="2" t="s">
        <v>33</v>
      </c>
      <c r="B1237" s="12">
        <v>1198175.0</v>
      </c>
      <c r="C1237" s="12">
        <v>1198837.0</v>
      </c>
      <c r="D1237" s="2"/>
      <c r="E1237" s="2" t="s">
        <v>38</v>
      </c>
      <c r="F1237" s="2" t="s">
        <v>3307</v>
      </c>
      <c r="G1237" s="2"/>
      <c r="H1237" s="12">
        <v>0.0</v>
      </c>
      <c r="I1237" s="2" t="s">
        <v>40</v>
      </c>
      <c r="J1237" s="2"/>
      <c r="K1237" s="2" t="s">
        <v>3308</v>
      </c>
      <c r="L1237" s="12">
        <v>220.0</v>
      </c>
      <c r="M1237" s="2" t="s">
        <v>3309</v>
      </c>
      <c r="N1237" s="2" t="str">
        <f>IFERROR(__xludf.DUMMYFUNCTION("""COMPUTED_VALUE"""),"")</f>
        <v/>
      </c>
    </row>
    <row r="1238">
      <c r="A1238" s="2" t="s">
        <v>33</v>
      </c>
      <c r="B1238" s="12">
        <v>1198885.0</v>
      </c>
      <c r="C1238" s="12">
        <v>1199241.0</v>
      </c>
      <c r="D1238" s="2"/>
      <c r="E1238" s="2" t="s">
        <v>38</v>
      </c>
      <c r="F1238" s="2" t="s">
        <v>39</v>
      </c>
      <c r="G1238" s="2"/>
      <c r="H1238" s="12">
        <v>0.0</v>
      </c>
      <c r="I1238" s="2" t="s">
        <v>40</v>
      </c>
      <c r="J1238" s="2"/>
      <c r="K1238" s="2" t="s">
        <v>3310</v>
      </c>
      <c r="L1238" s="12">
        <v>118.0</v>
      </c>
      <c r="M1238" s="2" t="s">
        <v>3311</v>
      </c>
      <c r="N1238" s="2" t="str">
        <f>IFERROR(__xludf.DUMMYFUNCTION("""COMPUTED_VALUE"""),"")</f>
        <v/>
      </c>
    </row>
    <row r="1239">
      <c r="A1239" s="2" t="s">
        <v>33</v>
      </c>
      <c r="B1239" s="12">
        <v>1199423.0</v>
      </c>
      <c r="C1239" s="12">
        <v>1200739.0</v>
      </c>
      <c r="D1239" s="2"/>
      <c r="E1239" s="2" t="s">
        <v>38</v>
      </c>
      <c r="F1239" s="2" t="s">
        <v>3312</v>
      </c>
      <c r="G1239" s="2"/>
      <c r="H1239" s="12">
        <v>0.0</v>
      </c>
      <c r="I1239" s="2" t="s">
        <v>40</v>
      </c>
      <c r="J1239" s="2"/>
      <c r="K1239" s="2" t="s">
        <v>3313</v>
      </c>
      <c r="L1239" s="12">
        <v>438.0</v>
      </c>
      <c r="M1239" s="2" t="s">
        <v>3314</v>
      </c>
      <c r="N1239" s="2" t="str">
        <f>IFERROR(__xludf.DUMMYFUNCTION("""COMPUTED_VALUE"""),"")</f>
        <v/>
      </c>
    </row>
    <row r="1240">
      <c r="A1240" s="2" t="s">
        <v>33</v>
      </c>
      <c r="B1240" s="12">
        <v>1201060.0</v>
      </c>
      <c r="C1240" s="12">
        <v>1201578.0</v>
      </c>
      <c r="D1240" s="2"/>
      <c r="E1240" s="2" t="s">
        <v>38</v>
      </c>
      <c r="F1240" s="2" t="s">
        <v>3315</v>
      </c>
      <c r="G1240" s="2"/>
      <c r="H1240" s="12">
        <v>0.0</v>
      </c>
      <c r="I1240" s="2" t="s">
        <v>40</v>
      </c>
      <c r="J1240" s="2"/>
      <c r="K1240" s="2" t="s">
        <v>3316</v>
      </c>
      <c r="L1240" s="12">
        <v>172.0</v>
      </c>
      <c r="M1240" s="2" t="s">
        <v>3317</v>
      </c>
      <c r="N1240" s="2" t="str">
        <f>IFERROR(__xludf.DUMMYFUNCTION("""COMPUTED_VALUE"""),"")</f>
        <v/>
      </c>
    </row>
    <row r="1241">
      <c r="A1241" s="2" t="s">
        <v>33</v>
      </c>
      <c r="B1241" s="12">
        <v>1201647.0</v>
      </c>
      <c r="C1241" s="12">
        <v>1202921.0</v>
      </c>
      <c r="D1241" s="2"/>
      <c r="E1241" s="2" t="s">
        <v>38</v>
      </c>
      <c r="F1241" s="2" t="s">
        <v>3318</v>
      </c>
      <c r="G1241" s="2" t="s">
        <v>3319</v>
      </c>
      <c r="H1241" s="12">
        <v>0.0</v>
      </c>
      <c r="I1241" s="2" t="s">
        <v>40</v>
      </c>
      <c r="J1241" s="2"/>
      <c r="K1241" s="2" t="s">
        <v>3320</v>
      </c>
      <c r="L1241" s="12">
        <v>424.0</v>
      </c>
      <c r="M1241" s="2" t="s">
        <v>3321</v>
      </c>
      <c r="N1241" s="2" t="str">
        <f>IFERROR(__xludf.DUMMYFUNCTION("""COMPUTED_VALUE"""),"")</f>
        <v/>
      </c>
    </row>
    <row r="1242">
      <c r="A1242" s="2" t="s">
        <v>33</v>
      </c>
      <c r="B1242" s="12">
        <v>1203417.0</v>
      </c>
      <c r="C1242" s="12">
        <v>1204682.0</v>
      </c>
      <c r="D1242" s="2"/>
      <c r="E1242" s="2" t="s">
        <v>34</v>
      </c>
      <c r="F1242" s="2" t="s">
        <v>3322</v>
      </c>
      <c r="G1242" s="2"/>
      <c r="H1242" s="12">
        <v>0.0</v>
      </c>
      <c r="I1242" s="2" t="s">
        <v>40</v>
      </c>
      <c r="J1242" s="2"/>
      <c r="K1242" s="2" t="s">
        <v>3323</v>
      </c>
      <c r="L1242" s="12">
        <v>421.0</v>
      </c>
      <c r="M1242" s="2" t="s">
        <v>3324</v>
      </c>
      <c r="N1242" s="2" t="str">
        <f>IFERROR(__xludf.DUMMYFUNCTION("""COMPUTED_VALUE"""),"")</f>
        <v/>
      </c>
    </row>
    <row r="1243">
      <c r="A1243" s="2" t="s">
        <v>33</v>
      </c>
      <c r="B1243" s="12">
        <v>1204784.0</v>
      </c>
      <c r="C1243" s="12">
        <v>1204942.0</v>
      </c>
      <c r="D1243" s="2"/>
      <c r="E1243" s="2" t="s">
        <v>34</v>
      </c>
      <c r="F1243" s="2" t="s">
        <v>39</v>
      </c>
      <c r="G1243" s="2"/>
      <c r="H1243" s="12">
        <v>0.0</v>
      </c>
      <c r="I1243" s="2" t="s">
        <v>40</v>
      </c>
      <c r="J1243" s="2"/>
      <c r="K1243" s="2" t="s">
        <v>3325</v>
      </c>
      <c r="L1243" s="12">
        <v>52.0</v>
      </c>
      <c r="M1243" s="2" t="s">
        <v>3326</v>
      </c>
      <c r="N1243" s="2" t="str">
        <f>IFERROR(__xludf.DUMMYFUNCTION("""COMPUTED_VALUE"""),"")</f>
        <v/>
      </c>
    </row>
    <row r="1244">
      <c r="A1244" s="2" t="s">
        <v>33</v>
      </c>
      <c r="B1244" s="12">
        <v>1204969.0</v>
      </c>
      <c r="C1244" s="12">
        <v>1206324.0</v>
      </c>
      <c r="D1244" s="2"/>
      <c r="E1244" s="2" t="s">
        <v>38</v>
      </c>
      <c r="F1244" s="2" t="s">
        <v>1214</v>
      </c>
      <c r="G1244" s="2"/>
      <c r="H1244" s="12">
        <v>0.0</v>
      </c>
      <c r="I1244" s="2" t="s">
        <v>40</v>
      </c>
      <c r="J1244" s="2"/>
      <c r="K1244" s="2" t="s">
        <v>3327</v>
      </c>
      <c r="L1244" s="12">
        <v>451.0</v>
      </c>
      <c r="M1244" s="2" t="s">
        <v>3328</v>
      </c>
      <c r="N1244" s="2" t="str">
        <f>IFERROR(__xludf.DUMMYFUNCTION("""COMPUTED_VALUE"""),"")</f>
        <v/>
      </c>
    </row>
    <row r="1245">
      <c r="A1245" s="2" t="s">
        <v>33</v>
      </c>
      <c r="B1245" s="12">
        <v>1206749.0</v>
      </c>
      <c r="C1245" s="12">
        <v>1207363.0</v>
      </c>
      <c r="D1245" s="2"/>
      <c r="E1245" s="2" t="s">
        <v>38</v>
      </c>
      <c r="F1245" s="2" t="s">
        <v>3329</v>
      </c>
      <c r="G1245" s="2"/>
      <c r="H1245" s="12">
        <v>0.0</v>
      </c>
      <c r="I1245" s="2" t="s">
        <v>40</v>
      </c>
      <c r="J1245" s="2"/>
      <c r="K1245" s="2" t="s">
        <v>3330</v>
      </c>
      <c r="L1245" s="12">
        <v>204.0</v>
      </c>
      <c r="M1245" s="2" t="s">
        <v>3331</v>
      </c>
      <c r="N1245" s="2" t="str">
        <f>IFERROR(__xludf.DUMMYFUNCTION("""COMPUTED_VALUE"""),"")</f>
        <v/>
      </c>
    </row>
    <row r="1246">
      <c r="A1246" s="2" t="s">
        <v>33</v>
      </c>
      <c r="B1246" s="12">
        <v>1207338.0</v>
      </c>
      <c r="C1246" s="12">
        <v>1208093.0</v>
      </c>
      <c r="D1246" s="2"/>
      <c r="E1246" s="2" t="s">
        <v>38</v>
      </c>
      <c r="F1246" s="2" t="s">
        <v>1318</v>
      </c>
      <c r="G1246" s="2"/>
      <c r="H1246" s="12">
        <v>0.0</v>
      </c>
      <c r="I1246" s="2" t="s">
        <v>40</v>
      </c>
      <c r="J1246" s="2"/>
      <c r="K1246" s="2" t="s">
        <v>3332</v>
      </c>
      <c r="L1246" s="12">
        <v>251.0</v>
      </c>
      <c r="M1246" s="2" t="s">
        <v>3333</v>
      </c>
      <c r="N1246" s="2" t="str">
        <f>IFERROR(__xludf.DUMMYFUNCTION("""COMPUTED_VALUE"""),"")</f>
        <v/>
      </c>
    </row>
    <row r="1247">
      <c r="A1247" s="2" t="s">
        <v>33</v>
      </c>
      <c r="B1247" s="12">
        <v>1208095.0</v>
      </c>
      <c r="C1247" s="12">
        <v>1208871.0</v>
      </c>
      <c r="D1247" s="2"/>
      <c r="E1247" s="2" t="s">
        <v>38</v>
      </c>
      <c r="F1247" s="2" t="s">
        <v>3334</v>
      </c>
      <c r="G1247" s="2" t="s">
        <v>3335</v>
      </c>
      <c r="H1247" s="12">
        <v>0.0</v>
      </c>
      <c r="I1247" s="2" t="s">
        <v>40</v>
      </c>
      <c r="J1247" s="2"/>
      <c r="K1247" s="2" t="s">
        <v>3336</v>
      </c>
      <c r="L1247" s="12">
        <v>258.0</v>
      </c>
      <c r="M1247" s="2" t="s">
        <v>3337</v>
      </c>
      <c r="N1247" s="2" t="str">
        <f>IFERROR(__xludf.DUMMYFUNCTION("""COMPUTED_VALUE"""),"")</f>
        <v/>
      </c>
    </row>
    <row r="1248">
      <c r="A1248" s="2" t="s">
        <v>33</v>
      </c>
      <c r="B1248" s="12">
        <v>1208956.0</v>
      </c>
      <c r="C1248" s="12">
        <v>1209156.0</v>
      </c>
      <c r="D1248" s="2"/>
      <c r="E1248" s="2" t="s">
        <v>38</v>
      </c>
      <c r="F1248" s="2" t="s">
        <v>3338</v>
      </c>
      <c r="G1248" s="2"/>
      <c r="H1248" s="12">
        <v>0.0</v>
      </c>
      <c r="I1248" s="2" t="s">
        <v>40</v>
      </c>
      <c r="J1248" s="2"/>
      <c r="K1248" s="2" t="s">
        <v>3339</v>
      </c>
      <c r="L1248" s="12">
        <v>66.0</v>
      </c>
      <c r="M1248" s="2" t="s">
        <v>3340</v>
      </c>
      <c r="N1248" s="2" t="str">
        <f>IFERROR(__xludf.DUMMYFUNCTION("""COMPUTED_VALUE"""),"")</f>
        <v/>
      </c>
    </row>
    <row r="1249">
      <c r="A1249" s="2" t="s">
        <v>33</v>
      </c>
      <c r="B1249" s="12">
        <v>1209167.0</v>
      </c>
      <c r="C1249" s="12">
        <v>1210789.0</v>
      </c>
      <c r="D1249" s="2"/>
      <c r="E1249" s="2" t="s">
        <v>38</v>
      </c>
      <c r="F1249" s="2" t="s">
        <v>3341</v>
      </c>
      <c r="G1249" s="2"/>
      <c r="H1249" s="12">
        <v>0.0</v>
      </c>
      <c r="I1249" s="2" t="s">
        <v>40</v>
      </c>
      <c r="J1249" s="2"/>
      <c r="K1249" s="2" t="s">
        <v>3342</v>
      </c>
      <c r="L1249" s="12">
        <v>540.0</v>
      </c>
      <c r="M1249" s="2" t="s">
        <v>3343</v>
      </c>
      <c r="N1249" s="2" t="str">
        <f>IFERROR(__xludf.DUMMYFUNCTION("""COMPUTED_VALUE"""),"")</f>
        <v/>
      </c>
    </row>
    <row r="1250">
      <c r="A1250" s="2" t="s">
        <v>33</v>
      </c>
      <c r="B1250" s="12">
        <v>1210801.0</v>
      </c>
      <c r="C1250" s="12">
        <v>1211394.0</v>
      </c>
      <c r="D1250" s="2"/>
      <c r="E1250" s="2" t="s">
        <v>38</v>
      </c>
      <c r="F1250" s="2" t="s">
        <v>3344</v>
      </c>
      <c r="G1250" s="2" t="s">
        <v>3345</v>
      </c>
      <c r="H1250" s="12">
        <v>0.0</v>
      </c>
      <c r="I1250" s="2" t="s">
        <v>40</v>
      </c>
      <c r="J1250" s="2"/>
      <c r="K1250" s="2" t="s">
        <v>3346</v>
      </c>
      <c r="L1250" s="12">
        <v>197.0</v>
      </c>
      <c r="M1250" s="2" t="s">
        <v>3347</v>
      </c>
      <c r="N1250" s="2" t="str">
        <f>IFERROR(__xludf.DUMMYFUNCTION("""COMPUTED_VALUE"""),"")</f>
        <v/>
      </c>
    </row>
    <row r="1251">
      <c r="A1251" s="2" t="s">
        <v>33</v>
      </c>
      <c r="B1251" s="12">
        <v>1211407.0</v>
      </c>
      <c r="C1251" s="12">
        <v>1212543.0</v>
      </c>
      <c r="D1251" s="2"/>
      <c r="E1251" s="2" t="s">
        <v>38</v>
      </c>
      <c r="F1251" s="2" t="s">
        <v>3348</v>
      </c>
      <c r="G1251" s="2" t="s">
        <v>3349</v>
      </c>
      <c r="H1251" s="12">
        <v>0.0</v>
      </c>
      <c r="I1251" s="2" t="s">
        <v>40</v>
      </c>
      <c r="J1251" s="2"/>
      <c r="K1251" s="2" t="s">
        <v>3350</v>
      </c>
      <c r="L1251" s="12">
        <v>378.0</v>
      </c>
      <c r="M1251" s="2" t="s">
        <v>3351</v>
      </c>
      <c r="N1251" s="2" t="str">
        <f>IFERROR(__xludf.DUMMYFUNCTION("""COMPUTED_VALUE"""),"")</f>
        <v/>
      </c>
    </row>
    <row r="1252">
      <c r="A1252" s="2" t="s">
        <v>33</v>
      </c>
      <c r="B1252" s="12">
        <v>1212583.0</v>
      </c>
      <c r="C1252" s="12">
        <v>1213287.0</v>
      </c>
      <c r="D1252" s="2"/>
      <c r="E1252" s="2" t="s">
        <v>38</v>
      </c>
      <c r="F1252" s="2" t="s">
        <v>3352</v>
      </c>
      <c r="G1252" s="2"/>
      <c r="H1252" s="12">
        <v>0.0</v>
      </c>
      <c r="I1252" s="2" t="s">
        <v>40</v>
      </c>
      <c r="J1252" s="2"/>
      <c r="K1252" s="2" t="s">
        <v>3353</v>
      </c>
      <c r="L1252" s="12">
        <v>234.0</v>
      </c>
      <c r="M1252" s="2" t="s">
        <v>3354</v>
      </c>
      <c r="N1252" s="2" t="str">
        <f>IFERROR(__xludf.DUMMYFUNCTION("""COMPUTED_VALUE"""),"")</f>
        <v/>
      </c>
    </row>
    <row r="1253">
      <c r="A1253" s="2" t="s">
        <v>33</v>
      </c>
      <c r="B1253" s="12">
        <v>1213375.0</v>
      </c>
      <c r="C1253" s="12">
        <v>1213518.0</v>
      </c>
      <c r="D1253" s="2"/>
      <c r="E1253" s="2" t="s">
        <v>38</v>
      </c>
      <c r="F1253" s="2" t="s">
        <v>3355</v>
      </c>
      <c r="G1253" s="2"/>
      <c r="H1253" s="12">
        <v>0.0</v>
      </c>
      <c r="I1253" s="2" t="s">
        <v>40</v>
      </c>
      <c r="J1253" s="2"/>
      <c r="K1253" s="2" t="s">
        <v>3356</v>
      </c>
      <c r="L1253" s="12">
        <v>47.0</v>
      </c>
      <c r="M1253" s="2" t="s">
        <v>3357</v>
      </c>
      <c r="N1253" s="2" t="str">
        <f>IFERROR(__xludf.DUMMYFUNCTION("""COMPUTED_VALUE"""),"")</f>
        <v/>
      </c>
    </row>
    <row r="1254">
      <c r="A1254" s="2" t="s">
        <v>33</v>
      </c>
      <c r="B1254" s="12">
        <v>1213816.0</v>
      </c>
      <c r="C1254" s="12">
        <v>1215132.0</v>
      </c>
      <c r="D1254" s="2"/>
      <c r="E1254" s="2" t="s">
        <v>38</v>
      </c>
      <c r="F1254" s="2" t="s">
        <v>3358</v>
      </c>
      <c r="G1254" s="2" t="s">
        <v>3359</v>
      </c>
      <c r="H1254" s="12">
        <v>0.0</v>
      </c>
      <c r="I1254" s="2" t="s">
        <v>40</v>
      </c>
      <c r="J1254" s="2"/>
      <c r="K1254" s="2" t="s">
        <v>3360</v>
      </c>
      <c r="L1254" s="12">
        <v>438.0</v>
      </c>
      <c r="M1254" s="2" t="s">
        <v>3361</v>
      </c>
      <c r="N1254" s="2" t="str">
        <f>IFERROR(__xludf.DUMMYFUNCTION("""COMPUTED_VALUE"""),"")</f>
        <v/>
      </c>
    </row>
    <row r="1255">
      <c r="A1255" s="2" t="s">
        <v>33</v>
      </c>
      <c r="B1255" s="12">
        <v>1215584.0</v>
      </c>
      <c r="C1255" s="12">
        <v>1215979.0</v>
      </c>
      <c r="D1255" s="2"/>
      <c r="E1255" s="2" t="s">
        <v>38</v>
      </c>
      <c r="F1255" s="2" t="s">
        <v>3362</v>
      </c>
      <c r="G1255" s="2"/>
      <c r="H1255" s="12">
        <v>0.0</v>
      </c>
      <c r="I1255" s="2" t="s">
        <v>40</v>
      </c>
      <c r="J1255" s="2"/>
      <c r="K1255" s="2" t="s">
        <v>3363</v>
      </c>
      <c r="L1255" s="12">
        <v>131.0</v>
      </c>
      <c r="M1255" s="2" t="s">
        <v>3364</v>
      </c>
      <c r="N1255" s="2" t="str">
        <f>IFERROR(__xludf.DUMMYFUNCTION("""COMPUTED_VALUE"""),"")</f>
        <v/>
      </c>
    </row>
    <row r="1256">
      <c r="A1256" s="2" t="s">
        <v>33</v>
      </c>
      <c r="B1256" s="12">
        <v>1216234.0</v>
      </c>
      <c r="C1256" s="12">
        <v>1218120.0</v>
      </c>
      <c r="D1256" s="2"/>
      <c r="E1256" s="2" t="s">
        <v>34</v>
      </c>
      <c r="F1256" s="2" t="s">
        <v>3365</v>
      </c>
      <c r="G1256" s="2"/>
      <c r="H1256" s="12">
        <v>0.0</v>
      </c>
      <c r="I1256" s="2" t="s">
        <v>40</v>
      </c>
      <c r="J1256" s="2"/>
      <c r="K1256" s="2" t="s">
        <v>3366</v>
      </c>
      <c r="L1256" s="12">
        <v>628.0</v>
      </c>
      <c r="M1256" s="2" t="s">
        <v>3367</v>
      </c>
      <c r="N1256" s="2" t="str">
        <f>IFERROR(__xludf.DUMMYFUNCTION("""COMPUTED_VALUE"""),"")</f>
        <v/>
      </c>
    </row>
    <row r="1257">
      <c r="A1257" s="2" t="s">
        <v>33</v>
      </c>
      <c r="B1257" s="12">
        <v>1218309.0</v>
      </c>
      <c r="C1257" s="12">
        <v>1219010.0</v>
      </c>
      <c r="D1257" s="2"/>
      <c r="E1257" s="2" t="s">
        <v>34</v>
      </c>
      <c r="F1257" s="2" t="s">
        <v>3368</v>
      </c>
      <c r="G1257" s="2" t="s">
        <v>3369</v>
      </c>
      <c r="H1257" s="12">
        <v>0.0</v>
      </c>
      <c r="I1257" s="2" t="s">
        <v>40</v>
      </c>
      <c r="J1257" s="2"/>
      <c r="K1257" s="2" t="s">
        <v>3370</v>
      </c>
      <c r="L1257" s="12">
        <v>233.0</v>
      </c>
      <c r="M1257" s="2" t="s">
        <v>3371</v>
      </c>
      <c r="N1257" s="2" t="str">
        <f>IFERROR(__xludf.DUMMYFUNCTION("""COMPUTED_VALUE"""),"")</f>
        <v/>
      </c>
    </row>
    <row r="1258">
      <c r="A1258" s="2" t="s">
        <v>33</v>
      </c>
      <c r="B1258" s="12">
        <v>1219041.0</v>
      </c>
      <c r="C1258" s="12">
        <v>1220012.0</v>
      </c>
      <c r="D1258" s="2"/>
      <c r="E1258" s="2" t="s">
        <v>38</v>
      </c>
      <c r="F1258" s="2" t="s">
        <v>296</v>
      </c>
      <c r="G1258" s="2"/>
      <c r="H1258" s="12">
        <v>0.0</v>
      </c>
      <c r="I1258" s="2" t="s">
        <v>40</v>
      </c>
      <c r="J1258" s="2"/>
      <c r="K1258" s="2" t="s">
        <v>3372</v>
      </c>
      <c r="L1258" s="12">
        <v>323.0</v>
      </c>
      <c r="M1258" s="2" t="s">
        <v>3373</v>
      </c>
      <c r="N1258" s="2" t="str">
        <f>IFERROR(__xludf.DUMMYFUNCTION("""COMPUTED_VALUE"""),"")</f>
        <v/>
      </c>
    </row>
    <row r="1259">
      <c r="A1259" s="2" t="s">
        <v>33</v>
      </c>
      <c r="B1259" s="12">
        <v>1220157.0</v>
      </c>
      <c r="C1259" s="12">
        <v>1220324.0</v>
      </c>
      <c r="D1259" s="2"/>
      <c r="E1259" s="2" t="s">
        <v>38</v>
      </c>
      <c r="F1259" s="2" t="s">
        <v>3374</v>
      </c>
      <c r="G1259" s="2"/>
      <c r="H1259" s="12">
        <v>0.0</v>
      </c>
      <c r="I1259" s="2" t="s">
        <v>40</v>
      </c>
      <c r="J1259" s="2"/>
      <c r="K1259" s="2" t="s">
        <v>3375</v>
      </c>
      <c r="L1259" s="12">
        <v>55.0</v>
      </c>
      <c r="M1259" s="2" t="s">
        <v>3376</v>
      </c>
      <c r="N1259" s="2" t="str">
        <f>IFERROR(__xludf.DUMMYFUNCTION("""COMPUTED_VALUE"""),"")</f>
        <v/>
      </c>
    </row>
    <row r="1260">
      <c r="A1260" s="2" t="s">
        <v>33</v>
      </c>
      <c r="B1260" s="12">
        <v>1220393.0</v>
      </c>
      <c r="C1260" s="12">
        <v>1221409.0</v>
      </c>
      <c r="D1260" s="2"/>
      <c r="E1260" s="2" t="s">
        <v>38</v>
      </c>
      <c r="F1260" s="2" t="s">
        <v>3377</v>
      </c>
      <c r="G1260" s="2"/>
      <c r="H1260" s="12">
        <v>0.0</v>
      </c>
      <c r="I1260" s="2" t="s">
        <v>40</v>
      </c>
      <c r="J1260" s="2"/>
      <c r="K1260" s="2" t="s">
        <v>3378</v>
      </c>
      <c r="L1260" s="12">
        <v>338.0</v>
      </c>
      <c r="M1260" s="2" t="s">
        <v>3379</v>
      </c>
      <c r="N1260" s="2" t="str">
        <f>IFERROR(__xludf.DUMMYFUNCTION("""COMPUTED_VALUE"""),"")</f>
        <v/>
      </c>
    </row>
    <row r="1261">
      <c r="A1261" s="2" t="s">
        <v>33</v>
      </c>
      <c r="B1261" s="12">
        <v>1221422.0</v>
      </c>
      <c r="C1261" s="12">
        <v>1221745.0</v>
      </c>
      <c r="D1261" s="2"/>
      <c r="E1261" s="2" t="s">
        <v>38</v>
      </c>
      <c r="F1261" s="2" t="s">
        <v>3380</v>
      </c>
      <c r="G1261" s="2" t="s">
        <v>3381</v>
      </c>
      <c r="H1261" s="12">
        <v>0.0</v>
      </c>
      <c r="I1261" s="2" t="s">
        <v>40</v>
      </c>
      <c r="J1261" s="2"/>
      <c r="K1261" s="2" t="s">
        <v>3382</v>
      </c>
      <c r="L1261" s="12">
        <v>107.0</v>
      </c>
      <c r="M1261" s="2" t="s">
        <v>3383</v>
      </c>
      <c r="N1261" s="2" t="str">
        <f>IFERROR(__xludf.DUMMYFUNCTION("""COMPUTED_VALUE"""),"")</f>
        <v/>
      </c>
    </row>
    <row r="1262">
      <c r="A1262" s="2" t="s">
        <v>33</v>
      </c>
      <c r="B1262" s="12">
        <v>1221756.0</v>
      </c>
      <c r="C1262" s="12">
        <v>1222061.0</v>
      </c>
      <c r="D1262" s="2"/>
      <c r="E1262" s="2" t="s">
        <v>38</v>
      </c>
      <c r="F1262" s="2" t="s">
        <v>3384</v>
      </c>
      <c r="G1262" s="2" t="s">
        <v>3385</v>
      </c>
      <c r="H1262" s="12">
        <v>0.0</v>
      </c>
      <c r="I1262" s="2" t="s">
        <v>40</v>
      </c>
      <c r="J1262" s="2"/>
      <c r="K1262" s="2" t="s">
        <v>3386</v>
      </c>
      <c r="L1262" s="12">
        <v>101.0</v>
      </c>
      <c r="M1262" s="2" t="s">
        <v>3387</v>
      </c>
      <c r="N1262" s="2" t="str">
        <f>IFERROR(__xludf.DUMMYFUNCTION("""COMPUTED_VALUE"""),"")</f>
        <v/>
      </c>
    </row>
    <row r="1263">
      <c r="A1263" s="2" t="s">
        <v>33</v>
      </c>
      <c r="B1263" s="12">
        <v>1222058.0</v>
      </c>
      <c r="C1263" s="12">
        <v>1222816.0</v>
      </c>
      <c r="D1263" s="2"/>
      <c r="E1263" s="2" t="s">
        <v>38</v>
      </c>
      <c r="F1263" s="2" t="s">
        <v>3388</v>
      </c>
      <c r="G1263" s="2" t="s">
        <v>3389</v>
      </c>
      <c r="H1263" s="12">
        <v>0.0</v>
      </c>
      <c r="I1263" s="2" t="s">
        <v>40</v>
      </c>
      <c r="J1263" s="2"/>
      <c r="K1263" s="2" t="s">
        <v>3390</v>
      </c>
      <c r="L1263" s="12">
        <v>252.0</v>
      </c>
      <c r="M1263" s="2" t="s">
        <v>3391</v>
      </c>
      <c r="N1263" s="2" t="str">
        <f>IFERROR(__xludf.DUMMYFUNCTION("""COMPUTED_VALUE"""),"")</f>
        <v/>
      </c>
    </row>
    <row r="1264">
      <c r="A1264" s="2" t="s">
        <v>33</v>
      </c>
      <c r="B1264" s="12">
        <v>1222810.0</v>
      </c>
      <c r="C1264" s="12">
        <v>1223529.0</v>
      </c>
      <c r="D1264" s="2"/>
      <c r="E1264" s="2" t="s">
        <v>38</v>
      </c>
      <c r="F1264" s="2" t="s">
        <v>3392</v>
      </c>
      <c r="G1264" s="2" t="s">
        <v>3393</v>
      </c>
      <c r="H1264" s="12">
        <v>0.0</v>
      </c>
      <c r="I1264" s="2" t="s">
        <v>40</v>
      </c>
      <c r="J1264" s="2"/>
      <c r="K1264" s="2" t="s">
        <v>3394</v>
      </c>
      <c r="L1264" s="12">
        <v>239.0</v>
      </c>
      <c r="M1264" s="2" t="s">
        <v>3395</v>
      </c>
      <c r="N1264" s="2" t="str">
        <f>IFERROR(__xludf.DUMMYFUNCTION("""COMPUTED_VALUE"""),"")</f>
        <v/>
      </c>
    </row>
    <row r="1265">
      <c r="A1265" s="2" t="s">
        <v>33</v>
      </c>
      <c r="B1265" s="12">
        <v>1223502.0</v>
      </c>
      <c r="C1265" s="12">
        <v>1224131.0</v>
      </c>
      <c r="D1265" s="2"/>
      <c r="E1265" s="2" t="s">
        <v>38</v>
      </c>
      <c r="F1265" s="2" t="s">
        <v>3396</v>
      </c>
      <c r="G1265" s="2" t="s">
        <v>3397</v>
      </c>
      <c r="H1265" s="12">
        <v>0.0</v>
      </c>
      <c r="I1265" s="2" t="s">
        <v>40</v>
      </c>
      <c r="J1265" s="2"/>
      <c r="K1265" s="2" t="s">
        <v>3398</v>
      </c>
      <c r="L1265" s="12">
        <v>209.0</v>
      </c>
      <c r="M1265" s="2" t="s">
        <v>3399</v>
      </c>
      <c r="N1265" s="2" t="str">
        <f>IFERROR(__xludf.DUMMYFUNCTION("""COMPUTED_VALUE"""),"")</f>
        <v/>
      </c>
    </row>
    <row r="1266">
      <c r="A1266" s="2" t="s">
        <v>33</v>
      </c>
      <c r="B1266" s="12">
        <v>1224132.0</v>
      </c>
      <c r="C1266" s="12">
        <v>1224716.0</v>
      </c>
      <c r="D1266" s="2"/>
      <c r="E1266" s="2" t="s">
        <v>38</v>
      </c>
      <c r="F1266" s="2" t="s">
        <v>3400</v>
      </c>
      <c r="G1266" s="2" t="s">
        <v>3401</v>
      </c>
      <c r="H1266" s="12">
        <v>0.0</v>
      </c>
      <c r="I1266" s="2" t="s">
        <v>40</v>
      </c>
      <c r="J1266" s="2"/>
      <c r="K1266" s="2" t="s">
        <v>3402</v>
      </c>
      <c r="L1266" s="12">
        <v>194.0</v>
      </c>
      <c r="M1266" s="2" t="s">
        <v>3403</v>
      </c>
      <c r="N1266" s="2" t="str">
        <f>IFERROR(__xludf.DUMMYFUNCTION("""COMPUTED_VALUE"""),"")</f>
        <v/>
      </c>
    </row>
    <row r="1267">
      <c r="A1267" s="2" t="s">
        <v>33</v>
      </c>
      <c r="B1267" s="12">
        <v>1224716.0</v>
      </c>
      <c r="C1267" s="12">
        <v>1226005.0</v>
      </c>
      <c r="D1267" s="2"/>
      <c r="E1267" s="2" t="s">
        <v>38</v>
      </c>
      <c r="F1267" s="2" t="s">
        <v>3404</v>
      </c>
      <c r="G1267" s="2" t="s">
        <v>3405</v>
      </c>
      <c r="H1267" s="12">
        <v>0.0</v>
      </c>
      <c r="I1267" s="2" t="s">
        <v>40</v>
      </c>
      <c r="J1267" s="2"/>
      <c r="K1267" s="2" t="s">
        <v>3406</v>
      </c>
      <c r="L1267" s="12">
        <v>429.0</v>
      </c>
      <c r="M1267" s="2" t="s">
        <v>3407</v>
      </c>
      <c r="N1267" s="2" t="str">
        <f>IFERROR(__xludf.DUMMYFUNCTION("""COMPUTED_VALUE"""),"")</f>
        <v/>
      </c>
    </row>
    <row r="1268">
      <c r="A1268" s="2" t="s">
        <v>33</v>
      </c>
      <c r="B1268" s="12">
        <v>1226017.0</v>
      </c>
      <c r="C1268" s="12">
        <v>1226652.0</v>
      </c>
      <c r="D1268" s="2"/>
      <c r="E1268" s="2" t="s">
        <v>38</v>
      </c>
      <c r="F1268" s="2" t="s">
        <v>3408</v>
      </c>
      <c r="G1268" s="2" t="s">
        <v>3409</v>
      </c>
      <c r="H1268" s="12">
        <v>0.0</v>
      </c>
      <c r="I1268" s="2" t="s">
        <v>40</v>
      </c>
      <c r="J1268" s="2"/>
      <c r="K1268" s="2" t="s">
        <v>3410</v>
      </c>
      <c r="L1268" s="12">
        <v>211.0</v>
      </c>
      <c r="M1268" s="2" t="s">
        <v>3411</v>
      </c>
      <c r="N1268" s="2" t="str">
        <f>IFERROR(__xludf.DUMMYFUNCTION("""COMPUTED_VALUE"""),"")</f>
        <v/>
      </c>
    </row>
    <row r="1269">
      <c r="A1269" s="2" t="s">
        <v>33</v>
      </c>
      <c r="B1269" s="12">
        <v>1226628.0</v>
      </c>
      <c r="C1269" s="12">
        <v>1227890.0</v>
      </c>
      <c r="D1269" s="2"/>
      <c r="E1269" s="2" t="s">
        <v>38</v>
      </c>
      <c r="F1269" s="2" t="s">
        <v>3412</v>
      </c>
      <c r="G1269" s="2"/>
      <c r="H1269" s="12">
        <v>0.0</v>
      </c>
      <c r="I1269" s="2" t="s">
        <v>40</v>
      </c>
      <c r="J1269" s="2"/>
      <c r="K1269" s="2" t="s">
        <v>3413</v>
      </c>
      <c r="L1269" s="12">
        <v>420.0</v>
      </c>
      <c r="M1269" s="2" t="s">
        <v>3414</v>
      </c>
      <c r="N1269" s="2" t="str">
        <f>IFERROR(__xludf.DUMMYFUNCTION("""COMPUTED_VALUE"""),"")</f>
        <v/>
      </c>
    </row>
    <row r="1270">
      <c r="A1270" s="2" t="s">
        <v>33</v>
      </c>
      <c r="B1270" s="12">
        <v>1228201.0</v>
      </c>
      <c r="C1270" s="12">
        <v>1228782.0</v>
      </c>
      <c r="D1270" s="2"/>
      <c r="E1270" s="2" t="s">
        <v>38</v>
      </c>
      <c r="F1270" s="2" t="s">
        <v>3415</v>
      </c>
      <c r="G1270" s="2" t="s">
        <v>3416</v>
      </c>
      <c r="H1270" s="12">
        <v>0.0</v>
      </c>
      <c r="I1270" s="2" t="s">
        <v>40</v>
      </c>
      <c r="J1270" s="2"/>
      <c r="K1270" s="2" t="s">
        <v>3417</v>
      </c>
      <c r="L1270" s="12">
        <v>193.0</v>
      </c>
      <c r="M1270" s="2" t="s">
        <v>3418</v>
      </c>
      <c r="N1270" s="2" t="str">
        <f>IFERROR(__xludf.DUMMYFUNCTION("""COMPUTED_VALUE"""),"")</f>
        <v/>
      </c>
    </row>
    <row r="1271">
      <c r="A1271" s="2" t="s">
        <v>33</v>
      </c>
      <c r="B1271" s="12">
        <v>1228760.0</v>
      </c>
      <c r="C1271" s="12">
        <v>1230154.0</v>
      </c>
      <c r="D1271" s="2"/>
      <c r="E1271" s="2" t="s">
        <v>38</v>
      </c>
      <c r="F1271" s="2" t="s">
        <v>3419</v>
      </c>
      <c r="G1271" s="2" t="s">
        <v>3420</v>
      </c>
      <c r="H1271" s="12">
        <v>0.0</v>
      </c>
      <c r="I1271" s="2" t="s">
        <v>40</v>
      </c>
      <c r="J1271" s="2"/>
      <c r="K1271" s="2" t="s">
        <v>3421</v>
      </c>
      <c r="L1271" s="12">
        <v>464.0</v>
      </c>
      <c r="M1271" s="2" t="s">
        <v>3422</v>
      </c>
      <c r="N1271" s="2" t="str">
        <f>IFERROR(__xludf.DUMMYFUNCTION("""COMPUTED_VALUE"""),"")</f>
        <v/>
      </c>
    </row>
    <row r="1272">
      <c r="A1272" s="2" t="s">
        <v>33</v>
      </c>
      <c r="B1272" s="12">
        <v>1230154.0</v>
      </c>
      <c r="C1272" s="12">
        <v>1231218.0</v>
      </c>
      <c r="D1272" s="2"/>
      <c r="E1272" s="2" t="s">
        <v>38</v>
      </c>
      <c r="F1272" s="2" t="s">
        <v>3423</v>
      </c>
      <c r="G1272" s="2" t="s">
        <v>3424</v>
      </c>
      <c r="H1272" s="12">
        <v>0.0</v>
      </c>
      <c r="I1272" s="2" t="s">
        <v>40</v>
      </c>
      <c r="J1272" s="2"/>
      <c r="K1272" s="2" t="s">
        <v>3425</v>
      </c>
      <c r="L1272" s="12">
        <v>354.0</v>
      </c>
      <c r="M1272" s="2" t="s">
        <v>3426</v>
      </c>
      <c r="N1272" s="2" t="str">
        <f>IFERROR(__xludf.DUMMYFUNCTION("""COMPUTED_VALUE"""),"")</f>
        <v/>
      </c>
    </row>
    <row r="1273">
      <c r="A1273" s="2" t="s">
        <v>33</v>
      </c>
      <c r="B1273" s="12">
        <v>1231296.0</v>
      </c>
      <c r="C1273" s="12">
        <v>1232816.0</v>
      </c>
      <c r="D1273" s="2"/>
      <c r="E1273" s="2" t="s">
        <v>38</v>
      </c>
      <c r="F1273" s="2" t="s">
        <v>3427</v>
      </c>
      <c r="G1273" s="2" t="s">
        <v>3428</v>
      </c>
      <c r="H1273" s="12">
        <v>0.0</v>
      </c>
      <c r="I1273" s="2" t="s">
        <v>40</v>
      </c>
      <c r="J1273" s="2"/>
      <c r="K1273" s="2" t="s">
        <v>3429</v>
      </c>
      <c r="L1273" s="12">
        <v>506.0</v>
      </c>
      <c r="M1273" s="2" t="s">
        <v>3430</v>
      </c>
      <c r="N1273" s="2" t="str">
        <f>IFERROR(__xludf.DUMMYFUNCTION("""COMPUTED_VALUE"""),"")</f>
        <v/>
      </c>
    </row>
    <row r="1274">
      <c r="A1274" s="2" t="s">
        <v>33</v>
      </c>
      <c r="B1274" s="12">
        <v>1232818.0</v>
      </c>
      <c r="C1274" s="12">
        <v>1233828.0</v>
      </c>
      <c r="D1274" s="2"/>
      <c r="E1274" s="2" t="s">
        <v>38</v>
      </c>
      <c r="F1274" s="2" t="s">
        <v>2300</v>
      </c>
      <c r="G1274" s="2" t="s">
        <v>2301</v>
      </c>
      <c r="H1274" s="12">
        <v>0.0</v>
      </c>
      <c r="I1274" s="2" t="s">
        <v>40</v>
      </c>
      <c r="J1274" s="2"/>
      <c r="K1274" s="2" t="s">
        <v>3431</v>
      </c>
      <c r="L1274" s="12">
        <v>336.0</v>
      </c>
      <c r="M1274" s="2" t="s">
        <v>3432</v>
      </c>
      <c r="N1274" s="2" t="str">
        <f>IFERROR(__xludf.DUMMYFUNCTION("""COMPUTED_VALUE"""),"")</f>
        <v/>
      </c>
    </row>
    <row r="1275">
      <c r="A1275" s="2" t="s">
        <v>33</v>
      </c>
      <c r="B1275" s="12">
        <v>1233855.0</v>
      </c>
      <c r="C1275" s="12">
        <v>1234364.0</v>
      </c>
      <c r="D1275" s="2"/>
      <c r="E1275" s="2" t="s">
        <v>38</v>
      </c>
      <c r="F1275" s="2" t="s">
        <v>3433</v>
      </c>
      <c r="G1275" s="2" t="s">
        <v>3434</v>
      </c>
      <c r="H1275" s="12">
        <v>0.0</v>
      </c>
      <c r="I1275" s="2" t="s">
        <v>40</v>
      </c>
      <c r="J1275" s="2"/>
      <c r="K1275" s="2" t="s">
        <v>3435</v>
      </c>
      <c r="L1275" s="12">
        <v>169.0</v>
      </c>
      <c r="M1275" s="2" t="s">
        <v>3436</v>
      </c>
      <c r="N1275" s="2" t="str">
        <f>IFERROR(__xludf.DUMMYFUNCTION("""COMPUTED_VALUE"""),"")</f>
        <v/>
      </c>
    </row>
    <row r="1276">
      <c r="A1276" s="2" t="s">
        <v>33</v>
      </c>
      <c r="B1276" s="12">
        <v>1234361.0</v>
      </c>
      <c r="C1276" s="12">
        <v>1236061.0</v>
      </c>
      <c r="D1276" s="2"/>
      <c r="E1276" s="2" t="s">
        <v>38</v>
      </c>
      <c r="F1276" s="2" t="s">
        <v>2307</v>
      </c>
      <c r="G1276" s="2" t="s">
        <v>2308</v>
      </c>
      <c r="H1276" s="12">
        <v>0.0</v>
      </c>
      <c r="I1276" s="2" t="s">
        <v>40</v>
      </c>
      <c r="J1276" s="2"/>
      <c r="K1276" s="2" t="s">
        <v>3437</v>
      </c>
      <c r="L1276" s="12">
        <v>566.0</v>
      </c>
      <c r="M1276" s="2" t="s">
        <v>3438</v>
      </c>
      <c r="N1276" s="2" t="str">
        <f>IFERROR(__xludf.DUMMYFUNCTION("""COMPUTED_VALUE"""),"")</f>
        <v/>
      </c>
    </row>
    <row r="1277">
      <c r="A1277" s="2" t="s">
        <v>33</v>
      </c>
      <c r="B1277" s="12">
        <v>1236377.0</v>
      </c>
      <c r="C1277" s="12">
        <v>1237273.0</v>
      </c>
      <c r="D1277" s="2"/>
      <c r="E1277" s="2" t="s">
        <v>38</v>
      </c>
      <c r="F1277" s="2" t="s">
        <v>2311</v>
      </c>
      <c r="G1277" s="2" t="s">
        <v>2312</v>
      </c>
      <c r="H1277" s="12">
        <v>0.0</v>
      </c>
      <c r="I1277" s="2" t="s">
        <v>40</v>
      </c>
      <c r="J1277" s="2"/>
      <c r="K1277" s="2" t="s">
        <v>3439</v>
      </c>
      <c r="L1277" s="12">
        <v>298.0</v>
      </c>
      <c r="M1277" s="2" t="s">
        <v>3440</v>
      </c>
      <c r="N1277" s="2" t="str">
        <f>IFERROR(__xludf.DUMMYFUNCTION("""COMPUTED_VALUE"""),"")</f>
        <v/>
      </c>
    </row>
    <row r="1278">
      <c r="A1278" s="2" t="s">
        <v>33</v>
      </c>
      <c r="B1278" s="12">
        <v>1237688.0</v>
      </c>
      <c r="C1278" s="12">
        <v>1237930.0</v>
      </c>
      <c r="D1278" s="2"/>
      <c r="E1278" s="2" t="s">
        <v>34</v>
      </c>
      <c r="F1278" s="2" t="s">
        <v>3441</v>
      </c>
      <c r="G1278" s="2"/>
      <c r="H1278" s="12">
        <v>0.0</v>
      </c>
      <c r="I1278" s="2" t="s">
        <v>40</v>
      </c>
      <c r="J1278" s="2"/>
      <c r="K1278" s="2" t="s">
        <v>3442</v>
      </c>
      <c r="L1278" s="12">
        <v>80.0</v>
      </c>
      <c r="M1278" s="2" t="s">
        <v>3443</v>
      </c>
      <c r="N1278" s="2" t="str">
        <f>IFERROR(__xludf.DUMMYFUNCTION("""COMPUTED_VALUE"""),"")</f>
        <v/>
      </c>
    </row>
    <row r="1279">
      <c r="A1279" s="2" t="s">
        <v>33</v>
      </c>
      <c r="B1279" s="12">
        <v>1238018.0</v>
      </c>
      <c r="C1279" s="12">
        <v>1238257.0</v>
      </c>
      <c r="D1279" s="2"/>
      <c r="E1279" s="2" t="s">
        <v>34</v>
      </c>
      <c r="F1279" s="2" t="s">
        <v>3444</v>
      </c>
      <c r="G1279" s="2"/>
      <c r="H1279" s="12">
        <v>0.0</v>
      </c>
      <c r="I1279" s="2" t="s">
        <v>40</v>
      </c>
      <c r="J1279" s="2"/>
      <c r="K1279" s="2" t="s">
        <v>3445</v>
      </c>
      <c r="L1279" s="12">
        <v>79.0</v>
      </c>
      <c r="M1279" s="2" t="s">
        <v>3446</v>
      </c>
      <c r="N1279" s="2" t="str">
        <f>IFERROR(__xludf.DUMMYFUNCTION("""COMPUTED_VALUE"""),"")</f>
        <v/>
      </c>
    </row>
    <row r="1280">
      <c r="A1280" s="2" t="s">
        <v>33</v>
      </c>
      <c r="B1280" s="12">
        <v>1238610.0</v>
      </c>
      <c r="C1280" s="12">
        <v>1238699.0</v>
      </c>
      <c r="D1280" s="2"/>
      <c r="E1280" s="2" t="s">
        <v>38</v>
      </c>
      <c r="F1280" s="2" t="s">
        <v>39</v>
      </c>
      <c r="G1280" s="2"/>
      <c r="H1280" s="12">
        <v>0.0</v>
      </c>
      <c r="I1280" s="2" t="s">
        <v>40</v>
      </c>
      <c r="J1280" s="2"/>
      <c r="K1280" s="2" t="s">
        <v>3447</v>
      </c>
      <c r="L1280" s="12">
        <v>29.0</v>
      </c>
      <c r="M1280" s="2" t="s">
        <v>3448</v>
      </c>
      <c r="N1280" s="2" t="str">
        <f>IFERROR(__xludf.DUMMYFUNCTION("""COMPUTED_VALUE"""),"")</f>
        <v/>
      </c>
    </row>
    <row r="1281">
      <c r="A1281" s="2" t="s">
        <v>33</v>
      </c>
      <c r="B1281" s="12">
        <v>1238808.0</v>
      </c>
      <c r="C1281" s="12">
        <v>1239275.0</v>
      </c>
      <c r="D1281" s="2"/>
      <c r="E1281" s="2" t="s">
        <v>38</v>
      </c>
      <c r="F1281" s="2" t="s">
        <v>1428</v>
      </c>
      <c r="G1281" s="2" t="s">
        <v>1429</v>
      </c>
      <c r="H1281" s="12">
        <v>0.0</v>
      </c>
      <c r="I1281" s="2" t="s">
        <v>40</v>
      </c>
      <c r="J1281" s="2"/>
      <c r="K1281" s="2" t="s">
        <v>3449</v>
      </c>
      <c r="L1281" s="12">
        <v>155.0</v>
      </c>
      <c r="M1281" s="2" t="s">
        <v>3450</v>
      </c>
      <c r="N1281" s="2" t="str">
        <f>IFERROR(__xludf.DUMMYFUNCTION("""COMPUTED_VALUE"""),"")</f>
        <v/>
      </c>
    </row>
    <row r="1282">
      <c r="A1282" s="2" t="s">
        <v>33</v>
      </c>
      <c r="B1282" s="12">
        <v>1239464.0</v>
      </c>
      <c r="C1282" s="12">
        <v>1239838.0</v>
      </c>
      <c r="D1282" s="2"/>
      <c r="E1282" s="2" t="s">
        <v>34</v>
      </c>
      <c r="F1282" s="2" t="s">
        <v>39</v>
      </c>
      <c r="G1282" s="2"/>
      <c r="H1282" s="12">
        <v>0.0</v>
      </c>
      <c r="I1282" s="2" t="s">
        <v>40</v>
      </c>
      <c r="J1282" s="2"/>
      <c r="K1282" s="2" t="s">
        <v>3451</v>
      </c>
      <c r="L1282" s="12">
        <v>124.0</v>
      </c>
      <c r="M1282" s="2" t="s">
        <v>3452</v>
      </c>
      <c r="N1282" s="2" t="str">
        <f>IFERROR(__xludf.DUMMYFUNCTION("""COMPUTED_VALUE"""),"")</f>
        <v/>
      </c>
    </row>
    <row r="1283">
      <c r="A1283" s="2" t="s">
        <v>33</v>
      </c>
      <c r="B1283" s="12">
        <v>1239874.0</v>
      </c>
      <c r="C1283" s="12">
        <v>1241217.0</v>
      </c>
      <c r="D1283" s="2"/>
      <c r="E1283" s="2" t="s">
        <v>38</v>
      </c>
      <c r="F1283" s="2" t="s">
        <v>3453</v>
      </c>
      <c r="G1283" s="2"/>
      <c r="H1283" s="12">
        <v>0.0</v>
      </c>
      <c r="I1283" s="2" t="s">
        <v>40</v>
      </c>
      <c r="J1283" s="2"/>
      <c r="K1283" s="2" t="s">
        <v>3454</v>
      </c>
      <c r="L1283" s="12">
        <v>447.0</v>
      </c>
      <c r="M1283" s="2" t="s">
        <v>3455</v>
      </c>
      <c r="N1283" s="2" t="str">
        <f>IFERROR(__xludf.DUMMYFUNCTION("""COMPUTED_VALUE"""),"")</f>
        <v/>
      </c>
    </row>
    <row r="1284">
      <c r="A1284" s="2" t="s">
        <v>33</v>
      </c>
      <c r="B1284" s="12">
        <v>1242496.0</v>
      </c>
      <c r="C1284" s="12">
        <v>1243731.0</v>
      </c>
      <c r="D1284" s="2"/>
      <c r="E1284" s="2" t="s">
        <v>34</v>
      </c>
      <c r="F1284" s="2" t="s">
        <v>3456</v>
      </c>
      <c r="G1284" s="2"/>
      <c r="H1284" s="12">
        <v>0.0</v>
      </c>
      <c r="I1284" s="2" t="s">
        <v>40</v>
      </c>
      <c r="J1284" s="2"/>
      <c r="K1284" s="2" t="s">
        <v>3457</v>
      </c>
      <c r="L1284" s="12">
        <v>411.0</v>
      </c>
      <c r="M1284" s="2" t="s">
        <v>3458</v>
      </c>
      <c r="N1284" s="2" t="str">
        <f>IFERROR(__xludf.DUMMYFUNCTION("""COMPUTED_VALUE"""),"")</f>
        <v/>
      </c>
    </row>
    <row r="1285">
      <c r="A1285" s="2" t="s">
        <v>33</v>
      </c>
      <c r="B1285" s="12">
        <v>1243754.0</v>
      </c>
      <c r="C1285" s="12">
        <v>1243909.0</v>
      </c>
      <c r="D1285" s="2"/>
      <c r="E1285" s="2" t="s">
        <v>38</v>
      </c>
      <c r="F1285" s="2" t="s">
        <v>39</v>
      </c>
      <c r="G1285" s="2"/>
      <c r="H1285" s="12">
        <v>0.0</v>
      </c>
      <c r="I1285" s="2" t="s">
        <v>40</v>
      </c>
      <c r="J1285" s="2"/>
      <c r="K1285" s="2" t="s">
        <v>3459</v>
      </c>
      <c r="L1285" s="12">
        <v>51.0</v>
      </c>
      <c r="M1285" s="2" t="s">
        <v>3460</v>
      </c>
      <c r="N1285" s="2" t="str">
        <f>IFERROR(__xludf.DUMMYFUNCTION("""COMPUTED_VALUE"""),"")</f>
        <v/>
      </c>
    </row>
    <row r="1286">
      <c r="A1286" s="2" t="s">
        <v>33</v>
      </c>
      <c r="B1286" s="12">
        <v>1244064.0</v>
      </c>
      <c r="C1286" s="12">
        <v>1244483.0</v>
      </c>
      <c r="D1286" s="2"/>
      <c r="E1286" s="2" t="s">
        <v>38</v>
      </c>
      <c r="F1286" s="2" t="s">
        <v>534</v>
      </c>
      <c r="G1286" s="2"/>
      <c r="H1286" s="12">
        <v>0.0</v>
      </c>
      <c r="I1286" s="2" t="s">
        <v>40</v>
      </c>
      <c r="J1286" s="2"/>
      <c r="K1286" s="2" t="s">
        <v>3461</v>
      </c>
      <c r="L1286" s="12">
        <v>139.0</v>
      </c>
      <c r="M1286" s="2" t="s">
        <v>3462</v>
      </c>
      <c r="N1286" s="2" t="str">
        <f>IFERROR(__xludf.DUMMYFUNCTION("""COMPUTED_VALUE"""),"")</f>
        <v/>
      </c>
    </row>
    <row r="1287">
      <c r="A1287" s="2" t="s">
        <v>33</v>
      </c>
      <c r="B1287" s="12">
        <v>1244644.0</v>
      </c>
      <c r="C1287" s="12">
        <v>1245075.0</v>
      </c>
      <c r="D1287" s="2"/>
      <c r="E1287" s="2" t="s">
        <v>34</v>
      </c>
      <c r="F1287" s="2" t="s">
        <v>3463</v>
      </c>
      <c r="G1287" s="2"/>
      <c r="H1287" s="12">
        <v>0.0</v>
      </c>
      <c r="I1287" s="2" t="s">
        <v>40</v>
      </c>
      <c r="J1287" s="2"/>
      <c r="K1287" s="2" t="s">
        <v>3464</v>
      </c>
      <c r="L1287" s="12">
        <v>143.0</v>
      </c>
      <c r="M1287" s="2" t="s">
        <v>3465</v>
      </c>
      <c r="N1287" s="2" t="str">
        <f>IFERROR(__xludf.DUMMYFUNCTION("""COMPUTED_VALUE"""),"")</f>
        <v/>
      </c>
    </row>
    <row r="1288">
      <c r="A1288" s="2" t="s">
        <v>33</v>
      </c>
      <c r="B1288" s="12">
        <v>1245109.0</v>
      </c>
      <c r="C1288" s="12">
        <v>1245696.0</v>
      </c>
      <c r="D1288" s="2"/>
      <c r="E1288" s="2" t="s">
        <v>34</v>
      </c>
      <c r="F1288" s="2" t="s">
        <v>3466</v>
      </c>
      <c r="G1288" s="2"/>
      <c r="H1288" s="12">
        <v>0.0</v>
      </c>
      <c r="I1288" s="2" t="s">
        <v>40</v>
      </c>
      <c r="J1288" s="2"/>
      <c r="K1288" s="2" t="s">
        <v>3467</v>
      </c>
      <c r="L1288" s="12">
        <v>195.0</v>
      </c>
      <c r="M1288" s="2" t="s">
        <v>3468</v>
      </c>
      <c r="N1288" s="2" t="str">
        <f>IFERROR(__xludf.DUMMYFUNCTION("""COMPUTED_VALUE"""),"")</f>
        <v/>
      </c>
    </row>
    <row r="1289">
      <c r="A1289" s="2" t="s">
        <v>33</v>
      </c>
      <c r="B1289" s="12">
        <v>1245726.0</v>
      </c>
      <c r="C1289" s="12">
        <v>1246517.0</v>
      </c>
      <c r="D1289" s="2"/>
      <c r="E1289" s="2" t="s">
        <v>38</v>
      </c>
      <c r="F1289" s="2" t="s">
        <v>3469</v>
      </c>
      <c r="G1289" s="2" t="s">
        <v>3470</v>
      </c>
      <c r="H1289" s="12">
        <v>0.0</v>
      </c>
      <c r="I1289" s="2" t="s">
        <v>40</v>
      </c>
      <c r="J1289" s="2"/>
      <c r="K1289" s="2" t="s">
        <v>3471</v>
      </c>
      <c r="L1289" s="12">
        <v>263.0</v>
      </c>
      <c r="M1289" s="2" t="s">
        <v>3472</v>
      </c>
      <c r="N1289" s="2" t="str">
        <f>IFERROR(__xludf.DUMMYFUNCTION("""COMPUTED_VALUE"""),"")</f>
        <v/>
      </c>
    </row>
    <row r="1290">
      <c r="A1290" s="2" t="s">
        <v>33</v>
      </c>
      <c r="B1290" s="12">
        <v>1246704.0</v>
      </c>
      <c r="C1290" s="12">
        <v>1248062.0</v>
      </c>
      <c r="D1290" s="2"/>
      <c r="E1290" s="2" t="s">
        <v>34</v>
      </c>
      <c r="F1290" s="2" t="s">
        <v>2474</v>
      </c>
      <c r="G1290" s="2"/>
      <c r="H1290" s="12">
        <v>0.0</v>
      </c>
      <c r="I1290" s="2" t="s">
        <v>40</v>
      </c>
      <c r="J1290" s="2"/>
      <c r="K1290" s="2" t="s">
        <v>3473</v>
      </c>
      <c r="L1290" s="12">
        <v>452.0</v>
      </c>
      <c r="M1290" s="2" t="s">
        <v>3474</v>
      </c>
      <c r="N1290" s="2" t="str">
        <f>IFERROR(__xludf.DUMMYFUNCTION("""COMPUTED_VALUE"""),"")</f>
        <v/>
      </c>
    </row>
    <row r="1291">
      <c r="A1291" s="2" t="s">
        <v>33</v>
      </c>
      <c r="B1291" s="12">
        <v>1248139.0</v>
      </c>
      <c r="C1291" s="12">
        <v>1248312.0</v>
      </c>
      <c r="D1291" s="2"/>
      <c r="E1291" s="2" t="s">
        <v>34</v>
      </c>
      <c r="F1291" s="2" t="s">
        <v>39</v>
      </c>
      <c r="G1291" s="2"/>
      <c r="H1291" s="12">
        <v>0.0</v>
      </c>
      <c r="I1291" s="2" t="s">
        <v>40</v>
      </c>
      <c r="J1291" s="2"/>
      <c r="K1291" s="2" t="s">
        <v>3475</v>
      </c>
      <c r="L1291" s="12">
        <v>57.0</v>
      </c>
      <c r="M1291" s="2" t="s">
        <v>3476</v>
      </c>
      <c r="N1291" s="2" t="str">
        <f>IFERROR(__xludf.DUMMYFUNCTION("""COMPUTED_VALUE"""),"")</f>
        <v/>
      </c>
    </row>
    <row r="1292">
      <c r="A1292" s="2" t="s">
        <v>33</v>
      </c>
      <c r="B1292" s="12">
        <v>1248331.0</v>
      </c>
      <c r="C1292" s="12">
        <v>1248480.0</v>
      </c>
      <c r="D1292" s="2"/>
      <c r="E1292" s="2" t="s">
        <v>34</v>
      </c>
      <c r="F1292" s="2" t="s">
        <v>39</v>
      </c>
      <c r="G1292" s="2"/>
      <c r="H1292" s="12">
        <v>0.0</v>
      </c>
      <c r="I1292" s="2" t="s">
        <v>40</v>
      </c>
      <c r="J1292" s="2"/>
      <c r="K1292" s="2" t="s">
        <v>3477</v>
      </c>
      <c r="L1292" s="12">
        <v>49.0</v>
      </c>
      <c r="M1292" s="2" t="s">
        <v>3478</v>
      </c>
      <c r="N1292" s="2" t="str">
        <f>IFERROR(__xludf.DUMMYFUNCTION("""COMPUTED_VALUE"""),"")</f>
        <v/>
      </c>
    </row>
    <row r="1293">
      <c r="A1293" s="2" t="s">
        <v>33</v>
      </c>
      <c r="B1293" s="12">
        <v>1248562.0</v>
      </c>
      <c r="C1293" s="12">
        <v>1249086.0</v>
      </c>
      <c r="D1293" s="2"/>
      <c r="E1293" s="2" t="s">
        <v>38</v>
      </c>
      <c r="F1293" s="2" t="s">
        <v>39</v>
      </c>
      <c r="G1293" s="2"/>
      <c r="H1293" s="12">
        <v>0.0</v>
      </c>
      <c r="I1293" s="2" t="s">
        <v>40</v>
      </c>
      <c r="J1293" s="2"/>
      <c r="K1293" s="2" t="s">
        <v>3479</v>
      </c>
      <c r="L1293" s="12">
        <v>174.0</v>
      </c>
      <c r="M1293" s="2" t="s">
        <v>3480</v>
      </c>
      <c r="N1293" s="2" t="str">
        <f>IFERROR(__xludf.DUMMYFUNCTION("""COMPUTED_VALUE"""),"")</f>
        <v/>
      </c>
    </row>
    <row r="1294">
      <c r="A1294" s="2" t="s">
        <v>33</v>
      </c>
      <c r="B1294" s="12">
        <v>1249170.0</v>
      </c>
      <c r="C1294" s="12">
        <v>1250072.0</v>
      </c>
      <c r="D1294" s="2"/>
      <c r="E1294" s="2" t="s">
        <v>34</v>
      </c>
      <c r="F1294" s="2" t="s">
        <v>322</v>
      </c>
      <c r="G1294" s="2"/>
      <c r="H1294" s="12">
        <v>0.0</v>
      </c>
      <c r="I1294" s="2" t="s">
        <v>40</v>
      </c>
      <c r="J1294" s="2"/>
      <c r="K1294" s="2" t="s">
        <v>3481</v>
      </c>
      <c r="L1294" s="12">
        <v>300.0</v>
      </c>
      <c r="M1294" s="2" t="s">
        <v>3482</v>
      </c>
      <c r="N1294" s="2" t="str">
        <f>IFERROR(__xludf.DUMMYFUNCTION("""COMPUTED_VALUE"""),"")</f>
        <v/>
      </c>
    </row>
    <row r="1295">
      <c r="A1295" s="2" t="s">
        <v>33</v>
      </c>
      <c r="B1295" s="12">
        <v>1250075.0</v>
      </c>
      <c r="C1295" s="12">
        <v>1250236.0</v>
      </c>
      <c r="D1295" s="2"/>
      <c r="E1295" s="2" t="s">
        <v>38</v>
      </c>
      <c r="F1295" s="2" t="s">
        <v>39</v>
      </c>
      <c r="G1295" s="2"/>
      <c r="H1295" s="12">
        <v>0.0</v>
      </c>
      <c r="I1295" s="2" t="s">
        <v>40</v>
      </c>
      <c r="J1295" s="2"/>
      <c r="K1295" s="2" t="s">
        <v>3483</v>
      </c>
      <c r="L1295" s="12">
        <v>53.0</v>
      </c>
      <c r="M1295" s="2" t="s">
        <v>3484</v>
      </c>
      <c r="N1295" s="2" t="str">
        <f>IFERROR(__xludf.DUMMYFUNCTION("""COMPUTED_VALUE"""),"")</f>
        <v/>
      </c>
    </row>
    <row r="1296">
      <c r="A1296" s="2" t="s">
        <v>33</v>
      </c>
      <c r="B1296" s="12">
        <v>1250420.0</v>
      </c>
      <c r="C1296" s="12">
        <v>1251193.0</v>
      </c>
      <c r="D1296" s="2"/>
      <c r="E1296" s="2" t="s">
        <v>38</v>
      </c>
      <c r="F1296" s="2" t="s">
        <v>39</v>
      </c>
      <c r="G1296" s="2"/>
      <c r="H1296" s="12">
        <v>0.0</v>
      </c>
      <c r="I1296" s="2" t="s">
        <v>40</v>
      </c>
      <c r="J1296" s="2"/>
      <c r="K1296" s="2" t="s">
        <v>3485</v>
      </c>
      <c r="L1296" s="12">
        <v>257.0</v>
      </c>
      <c r="M1296" s="2" t="s">
        <v>3486</v>
      </c>
      <c r="N1296" s="2" t="str">
        <f>IFERROR(__xludf.DUMMYFUNCTION("""COMPUTED_VALUE"""),"")</f>
        <v/>
      </c>
    </row>
    <row r="1297">
      <c r="A1297" s="2" t="s">
        <v>33</v>
      </c>
      <c r="B1297" s="12">
        <v>1251218.0</v>
      </c>
      <c r="C1297" s="12">
        <v>1251664.0</v>
      </c>
      <c r="D1297" s="2"/>
      <c r="E1297" s="2" t="s">
        <v>38</v>
      </c>
      <c r="F1297" s="2" t="s">
        <v>3487</v>
      </c>
      <c r="G1297" s="2"/>
      <c r="H1297" s="12">
        <v>0.0</v>
      </c>
      <c r="I1297" s="2" t="s">
        <v>40</v>
      </c>
      <c r="J1297" s="2"/>
      <c r="K1297" s="2" t="s">
        <v>3488</v>
      </c>
      <c r="L1297" s="12">
        <v>148.0</v>
      </c>
      <c r="M1297" s="2" t="s">
        <v>3489</v>
      </c>
      <c r="N1297" s="2" t="str">
        <f>IFERROR(__xludf.DUMMYFUNCTION("""COMPUTED_VALUE"""),"")</f>
        <v/>
      </c>
    </row>
    <row r="1298">
      <c r="A1298" s="2" t="s">
        <v>33</v>
      </c>
      <c r="B1298" s="12">
        <v>1251657.0</v>
      </c>
      <c r="C1298" s="12">
        <v>1251833.0</v>
      </c>
      <c r="D1298" s="2"/>
      <c r="E1298" s="2" t="s">
        <v>38</v>
      </c>
      <c r="F1298" s="2" t="s">
        <v>39</v>
      </c>
      <c r="G1298" s="2"/>
      <c r="H1298" s="12">
        <v>0.0</v>
      </c>
      <c r="I1298" s="2" t="s">
        <v>40</v>
      </c>
      <c r="J1298" s="2"/>
      <c r="K1298" s="2" t="s">
        <v>3490</v>
      </c>
      <c r="L1298" s="12">
        <v>58.0</v>
      </c>
      <c r="M1298" s="2" t="s">
        <v>3491</v>
      </c>
      <c r="N1298" s="2" t="str">
        <f>IFERROR(__xludf.DUMMYFUNCTION("""COMPUTED_VALUE"""),"")</f>
        <v/>
      </c>
    </row>
    <row r="1299">
      <c r="A1299" s="2" t="s">
        <v>33</v>
      </c>
      <c r="B1299" s="12">
        <v>1252058.0</v>
      </c>
      <c r="C1299" s="12">
        <v>1253227.0</v>
      </c>
      <c r="D1299" s="2"/>
      <c r="E1299" s="2" t="s">
        <v>38</v>
      </c>
      <c r="F1299" s="2" t="s">
        <v>3492</v>
      </c>
      <c r="G1299" s="2" t="s">
        <v>3493</v>
      </c>
      <c r="H1299" s="12">
        <v>0.0</v>
      </c>
      <c r="I1299" s="2" t="s">
        <v>40</v>
      </c>
      <c r="J1299" s="2"/>
      <c r="K1299" s="2" t="s">
        <v>3494</v>
      </c>
      <c r="L1299" s="12">
        <v>389.0</v>
      </c>
      <c r="M1299" s="2" t="s">
        <v>3495</v>
      </c>
      <c r="N1299" s="2" t="str">
        <f>IFERROR(__xludf.DUMMYFUNCTION("""COMPUTED_VALUE"""),"")</f>
        <v/>
      </c>
    </row>
    <row r="1300">
      <c r="A1300" s="2" t="s">
        <v>33</v>
      </c>
      <c r="B1300" s="12">
        <v>1253565.0</v>
      </c>
      <c r="C1300" s="12">
        <v>1253711.0</v>
      </c>
      <c r="D1300" s="2"/>
      <c r="E1300" s="2" t="s">
        <v>34</v>
      </c>
      <c r="F1300" s="2" t="s">
        <v>3496</v>
      </c>
      <c r="G1300" s="2"/>
      <c r="H1300" s="12">
        <v>0.0</v>
      </c>
      <c r="I1300" s="2" t="s">
        <v>40</v>
      </c>
      <c r="J1300" s="2"/>
      <c r="K1300" s="2" t="s">
        <v>3497</v>
      </c>
      <c r="L1300" s="12">
        <v>48.0</v>
      </c>
      <c r="M1300" s="2" t="s">
        <v>3498</v>
      </c>
      <c r="N1300" s="2" t="str">
        <f>IFERROR(__xludf.DUMMYFUNCTION("""COMPUTED_VALUE"""),"")</f>
        <v/>
      </c>
    </row>
    <row r="1301">
      <c r="A1301" s="2" t="s">
        <v>33</v>
      </c>
      <c r="B1301" s="12">
        <v>1253724.0</v>
      </c>
      <c r="C1301" s="12">
        <v>1255238.0</v>
      </c>
      <c r="D1301" s="2"/>
      <c r="E1301" s="2" t="s">
        <v>34</v>
      </c>
      <c r="F1301" s="2" t="s">
        <v>3499</v>
      </c>
      <c r="G1301" s="2" t="s">
        <v>3500</v>
      </c>
      <c r="H1301" s="12">
        <v>0.0</v>
      </c>
      <c r="I1301" s="2" t="s">
        <v>40</v>
      </c>
      <c r="J1301" s="2"/>
      <c r="K1301" s="2" t="s">
        <v>3501</v>
      </c>
      <c r="L1301" s="12">
        <v>504.0</v>
      </c>
      <c r="M1301" s="2" t="s">
        <v>3502</v>
      </c>
      <c r="N1301" s="2" t="str">
        <f>IFERROR(__xludf.DUMMYFUNCTION("""COMPUTED_VALUE"""),"")</f>
        <v/>
      </c>
    </row>
    <row r="1302">
      <c r="A1302" s="2" t="s">
        <v>33</v>
      </c>
      <c r="B1302" s="12">
        <v>1255235.0</v>
      </c>
      <c r="C1302" s="12">
        <v>1256410.0</v>
      </c>
      <c r="D1302" s="2"/>
      <c r="E1302" s="2" t="s">
        <v>34</v>
      </c>
      <c r="F1302" s="2" t="s">
        <v>3503</v>
      </c>
      <c r="G1302" s="2" t="s">
        <v>3504</v>
      </c>
      <c r="H1302" s="12">
        <v>0.0</v>
      </c>
      <c r="I1302" s="2" t="s">
        <v>40</v>
      </c>
      <c r="J1302" s="2"/>
      <c r="K1302" s="2" t="s">
        <v>3505</v>
      </c>
      <c r="L1302" s="12">
        <v>391.0</v>
      </c>
      <c r="M1302" s="2" t="s">
        <v>3506</v>
      </c>
      <c r="N1302" s="2" t="str">
        <f>IFERROR(__xludf.DUMMYFUNCTION("""COMPUTED_VALUE"""),"")</f>
        <v/>
      </c>
    </row>
    <row r="1303">
      <c r="A1303" s="2" t="s">
        <v>33</v>
      </c>
      <c r="B1303" s="12">
        <v>1256478.0</v>
      </c>
      <c r="C1303" s="12">
        <v>1256717.0</v>
      </c>
      <c r="D1303" s="2"/>
      <c r="E1303" s="2" t="s">
        <v>34</v>
      </c>
      <c r="F1303" s="2" t="s">
        <v>3507</v>
      </c>
      <c r="G1303" s="2" t="s">
        <v>3508</v>
      </c>
      <c r="H1303" s="12">
        <v>0.0</v>
      </c>
      <c r="I1303" s="2" t="s">
        <v>40</v>
      </c>
      <c r="J1303" s="2"/>
      <c r="K1303" s="2" t="s">
        <v>3509</v>
      </c>
      <c r="L1303" s="12">
        <v>79.0</v>
      </c>
      <c r="M1303" s="2" t="s">
        <v>3510</v>
      </c>
      <c r="N1303" s="2" t="str">
        <f>IFERROR(__xludf.DUMMYFUNCTION("""COMPUTED_VALUE"""),"")</f>
        <v/>
      </c>
    </row>
    <row r="1304">
      <c r="A1304" s="2" t="s">
        <v>33</v>
      </c>
      <c r="B1304" s="12">
        <v>1256714.0</v>
      </c>
      <c r="C1304" s="12">
        <v>1257889.0</v>
      </c>
      <c r="D1304" s="2"/>
      <c r="E1304" s="2" t="s">
        <v>34</v>
      </c>
      <c r="F1304" s="2" t="s">
        <v>3511</v>
      </c>
      <c r="G1304" s="2" t="s">
        <v>3512</v>
      </c>
      <c r="H1304" s="12">
        <v>0.0</v>
      </c>
      <c r="I1304" s="2" t="s">
        <v>40</v>
      </c>
      <c r="J1304" s="2"/>
      <c r="K1304" s="2" t="s">
        <v>3513</v>
      </c>
      <c r="L1304" s="12">
        <v>391.0</v>
      </c>
      <c r="M1304" s="2" t="s">
        <v>3514</v>
      </c>
      <c r="N1304" s="2" t="str">
        <f>IFERROR(__xludf.DUMMYFUNCTION("""COMPUTED_VALUE"""),"")</f>
        <v/>
      </c>
    </row>
    <row r="1305">
      <c r="A1305" s="2" t="s">
        <v>33</v>
      </c>
      <c r="B1305" s="12">
        <v>1257911.0</v>
      </c>
      <c r="C1305" s="12">
        <v>1258999.0</v>
      </c>
      <c r="D1305" s="2"/>
      <c r="E1305" s="2" t="s">
        <v>38</v>
      </c>
      <c r="F1305" s="2" t="s">
        <v>3515</v>
      </c>
      <c r="G1305" s="2"/>
      <c r="H1305" s="12">
        <v>0.0</v>
      </c>
      <c r="I1305" s="2" t="s">
        <v>40</v>
      </c>
      <c r="J1305" s="2"/>
      <c r="K1305" s="2" t="s">
        <v>3516</v>
      </c>
      <c r="L1305" s="12">
        <v>362.0</v>
      </c>
      <c r="M1305" s="2" t="s">
        <v>3517</v>
      </c>
      <c r="N1305" s="2" t="str">
        <f>IFERROR(__xludf.DUMMYFUNCTION("""COMPUTED_VALUE"""),"")</f>
        <v/>
      </c>
    </row>
    <row r="1306">
      <c r="A1306" s="2" t="s">
        <v>33</v>
      </c>
      <c r="B1306" s="12">
        <v>1259115.0</v>
      </c>
      <c r="C1306" s="12">
        <v>1260035.0</v>
      </c>
      <c r="D1306" s="2"/>
      <c r="E1306" s="2" t="s">
        <v>34</v>
      </c>
      <c r="F1306" s="2" t="s">
        <v>3518</v>
      </c>
      <c r="G1306" s="2"/>
      <c r="H1306" s="12">
        <v>0.0</v>
      </c>
      <c r="I1306" s="2" t="s">
        <v>40</v>
      </c>
      <c r="J1306" s="2"/>
      <c r="K1306" s="2" t="s">
        <v>3519</v>
      </c>
      <c r="L1306" s="12">
        <v>306.0</v>
      </c>
      <c r="M1306" s="2" t="s">
        <v>3520</v>
      </c>
      <c r="N1306" s="2" t="str">
        <f>IFERROR(__xludf.DUMMYFUNCTION("""COMPUTED_VALUE"""),"")</f>
        <v/>
      </c>
    </row>
    <row r="1307">
      <c r="A1307" s="2" t="s">
        <v>33</v>
      </c>
      <c r="B1307" s="12">
        <v>1260063.0</v>
      </c>
      <c r="C1307" s="12">
        <v>1260461.0</v>
      </c>
      <c r="D1307" s="2"/>
      <c r="E1307" s="2" t="s">
        <v>38</v>
      </c>
      <c r="F1307" s="2" t="s">
        <v>3521</v>
      </c>
      <c r="G1307" s="2"/>
      <c r="H1307" s="12">
        <v>0.0</v>
      </c>
      <c r="I1307" s="2" t="s">
        <v>40</v>
      </c>
      <c r="J1307" s="2"/>
      <c r="K1307" s="2" t="s">
        <v>3522</v>
      </c>
      <c r="L1307" s="12">
        <v>132.0</v>
      </c>
      <c r="M1307" s="2" t="s">
        <v>3523</v>
      </c>
      <c r="N1307" s="2" t="str">
        <f>IFERROR(__xludf.DUMMYFUNCTION("""COMPUTED_VALUE"""),"")</f>
        <v/>
      </c>
    </row>
    <row r="1308">
      <c r="A1308" s="2" t="s">
        <v>33</v>
      </c>
      <c r="B1308" s="12">
        <v>1260548.0</v>
      </c>
      <c r="C1308" s="12">
        <v>1261102.0</v>
      </c>
      <c r="D1308" s="2"/>
      <c r="E1308" s="2" t="s">
        <v>38</v>
      </c>
      <c r="F1308" s="2" t="s">
        <v>1099</v>
      </c>
      <c r="G1308" s="2"/>
      <c r="H1308" s="12">
        <v>0.0</v>
      </c>
      <c r="I1308" s="2" t="s">
        <v>40</v>
      </c>
      <c r="J1308" s="2"/>
      <c r="K1308" s="2" t="s">
        <v>3524</v>
      </c>
      <c r="L1308" s="12">
        <v>184.0</v>
      </c>
      <c r="M1308" s="2" t="s">
        <v>3525</v>
      </c>
      <c r="N1308" s="2" t="str">
        <f>IFERROR(__xludf.DUMMYFUNCTION("""COMPUTED_VALUE"""),"")</f>
        <v/>
      </c>
    </row>
    <row r="1309">
      <c r="A1309" s="2" t="s">
        <v>33</v>
      </c>
      <c r="B1309" s="12">
        <v>1261113.0</v>
      </c>
      <c r="C1309" s="12">
        <v>1261523.0</v>
      </c>
      <c r="D1309" s="2"/>
      <c r="E1309" s="2" t="s">
        <v>38</v>
      </c>
      <c r="F1309" s="2" t="s">
        <v>3526</v>
      </c>
      <c r="G1309" s="2"/>
      <c r="H1309" s="12">
        <v>0.0</v>
      </c>
      <c r="I1309" s="2" t="s">
        <v>40</v>
      </c>
      <c r="J1309" s="2"/>
      <c r="K1309" s="2" t="s">
        <v>3527</v>
      </c>
      <c r="L1309" s="12">
        <v>136.0</v>
      </c>
      <c r="M1309" s="2" t="s">
        <v>3528</v>
      </c>
      <c r="N1309" s="2" t="str">
        <f>IFERROR(__xludf.DUMMYFUNCTION("""COMPUTED_VALUE"""),"")</f>
        <v/>
      </c>
    </row>
    <row r="1310">
      <c r="A1310" s="2" t="s">
        <v>33</v>
      </c>
      <c r="B1310" s="12">
        <v>1261650.0</v>
      </c>
      <c r="C1310" s="12">
        <v>1262102.0</v>
      </c>
      <c r="D1310" s="2"/>
      <c r="E1310" s="2" t="s">
        <v>34</v>
      </c>
      <c r="F1310" s="2" t="s">
        <v>3529</v>
      </c>
      <c r="G1310" s="2"/>
      <c r="H1310" s="12">
        <v>0.0</v>
      </c>
      <c r="I1310" s="2" t="s">
        <v>40</v>
      </c>
      <c r="J1310" s="2"/>
      <c r="K1310" s="2" t="s">
        <v>3530</v>
      </c>
      <c r="L1310" s="12">
        <v>150.0</v>
      </c>
      <c r="M1310" s="2" t="s">
        <v>3531</v>
      </c>
      <c r="N1310" s="2" t="str">
        <f>IFERROR(__xludf.DUMMYFUNCTION("""COMPUTED_VALUE"""),"")</f>
        <v/>
      </c>
    </row>
    <row r="1311">
      <c r="A1311" s="2" t="s">
        <v>33</v>
      </c>
      <c r="B1311" s="12">
        <v>1262203.0</v>
      </c>
      <c r="C1311" s="12">
        <v>1262385.0</v>
      </c>
      <c r="D1311" s="2"/>
      <c r="E1311" s="2" t="s">
        <v>34</v>
      </c>
      <c r="F1311" s="2" t="s">
        <v>3532</v>
      </c>
      <c r="G1311" s="2"/>
      <c r="H1311" s="12">
        <v>0.0</v>
      </c>
      <c r="I1311" s="2" t="s">
        <v>40</v>
      </c>
      <c r="J1311" s="2"/>
      <c r="K1311" s="2" t="s">
        <v>3533</v>
      </c>
      <c r="L1311" s="12">
        <v>60.0</v>
      </c>
      <c r="M1311" s="2" t="s">
        <v>3534</v>
      </c>
      <c r="N1311" s="2" t="str">
        <f>IFERROR(__xludf.DUMMYFUNCTION("""COMPUTED_VALUE"""),"")</f>
        <v/>
      </c>
    </row>
    <row r="1312">
      <c r="A1312" s="2" t="s">
        <v>33</v>
      </c>
      <c r="B1312" s="12">
        <v>1262415.0</v>
      </c>
      <c r="C1312" s="12">
        <v>1263428.0</v>
      </c>
      <c r="D1312" s="2"/>
      <c r="E1312" s="2" t="s">
        <v>38</v>
      </c>
      <c r="F1312" s="2" t="s">
        <v>306</v>
      </c>
      <c r="G1312" s="2"/>
      <c r="H1312" s="12">
        <v>0.0</v>
      </c>
      <c r="I1312" s="2" t="s">
        <v>40</v>
      </c>
      <c r="J1312" s="2"/>
      <c r="K1312" s="2" t="s">
        <v>3535</v>
      </c>
      <c r="L1312" s="12">
        <v>337.0</v>
      </c>
      <c r="M1312" s="2" t="s">
        <v>3536</v>
      </c>
      <c r="N1312" s="2" t="str">
        <f>IFERROR(__xludf.DUMMYFUNCTION("""COMPUTED_VALUE"""),"")</f>
        <v/>
      </c>
    </row>
    <row r="1313">
      <c r="A1313" s="2" t="s">
        <v>33</v>
      </c>
      <c r="B1313" s="12">
        <v>1263631.0</v>
      </c>
      <c r="C1313" s="12">
        <v>1264407.0</v>
      </c>
      <c r="D1313" s="2"/>
      <c r="E1313" s="2" t="s">
        <v>38</v>
      </c>
      <c r="F1313" s="2" t="s">
        <v>265</v>
      </c>
      <c r="G1313" s="2"/>
      <c r="H1313" s="12">
        <v>0.0</v>
      </c>
      <c r="I1313" s="2" t="s">
        <v>40</v>
      </c>
      <c r="J1313" s="2"/>
      <c r="K1313" s="2" t="s">
        <v>3537</v>
      </c>
      <c r="L1313" s="12">
        <v>258.0</v>
      </c>
      <c r="M1313" s="2" t="s">
        <v>3538</v>
      </c>
      <c r="N1313" s="2" t="str">
        <f>IFERROR(__xludf.DUMMYFUNCTION("""COMPUTED_VALUE"""),"")</f>
        <v/>
      </c>
    </row>
    <row r="1314">
      <c r="A1314" s="2" t="s">
        <v>33</v>
      </c>
      <c r="B1314" s="12">
        <v>1264407.0</v>
      </c>
      <c r="C1314" s="12">
        <v>1265309.0</v>
      </c>
      <c r="D1314" s="2"/>
      <c r="E1314" s="2" t="s">
        <v>38</v>
      </c>
      <c r="F1314" s="2" t="s">
        <v>432</v>
      </c>
      <c r="G1314" s="2"/>
      <c r="H1314" s="12">
        <v>0.0</v>
      </c>
      <c r="I1314" s="2" t="s">
        <v>40</v>
      </c>
      <c r="J1314" s="2"/>
      <c r="K1314" s="2" t="s">
        <v>3539</v>
      </c>
      <c r="L1314" s="12">
        <v>300.0</v>
      </c>
      <c r="M1314" s="2" t="s">
        <v>3540</v>
      </c>
      <c r="N1314" s="2" t="str">
        <f>IFERROR(__xludf.DUMMYFUNCTION("""COMPUTED_VALUE"""),"")</f>
        <v/>
      </c>
    </row>
    <row r="1315">
      <c r="A1315" s="2" t="s">
        <v>33</v>
      </c>
      <c r="B1315" s="12">
        <v>1265324.0</v>
      </c>
      <c r="C1315" s="12">
        <v>1266115.0</v>
      </c>
      <c r="D1315" s="2"/>
      <c r="E1315" s="2" t="s">
        <v>38</v>
      </c>
      <c r="F1315" s="2" t="s">
        <v>265</v>
      </c>
      <c r="G1315" s="2"/>
      <c r="H1315" s="12">
        <v>0.0</v>
      </c>
      <c r="I1315" s="2" t="s">
        <v>40</v>
      </c>
      <c r="J1315" s="2"/>
      <c r="K1315" s="2" t="s">
        <v>3541</v>
      </c>
      <c r="L1315" s="12">
        <v>263.0</v>
      </c>
      <c r="M1315" s="2" t="s">
        <v>3542</v>
      </c>
      <c r="N1315" s="2" t="str">
        <f>IFERROR(__xludf.DUMMYFUNCTION("""COMPUTED_VALUE"""),"")</f>
        <v/>
      </c>
    </row>
    <row r="1316">
      <c r="A1316" s="2" t="s">
        <v>33</v>
      </c>
      <c r="B1316" s="12">
        <v>1266112.0</v>
      </c>
      <c r="C1316" s="12">
        <v>1266810.0</v>
      </c>
      <c r="D1316" s="2"/>
      <c r="E1316" s="2" t="s">
        <v>38</v>
      </c>
      <c r="F1316" s="2" t="s">
        <v>432</v>
      </c>
      <c r="G1316" s="2"/>
      <c r="H1316" s="12">
        <v>0.0</v>
      </c>
      <c r="I1316" s="2" t="s">
        <v>40</v>
      </c>
      <c r="J1316" s="2"/>
      <c r="K1316" s="2" t="s">
        <v>3543</v>
      </c>
      <c r="L1316" s="12">
        <v>232.0</v>
      </c>
      <c r="M1316" s="2" t="s">
        <v>3544</v>
      </c>
      <c r="N1316" s="2" t="str">
        <f>IFERROR(__xludf.DUMMYFUNCTION("""COMPUTED_VALUE"""),"")</f>
        <v/>
      </c>
    </row>
    <row r="1317">
      <c r="A1317" s="2" t="s">
        <v>33</v>
      </c>
      <c r="B1317" s="12">
        <v>1266807.0</v>
      </c>
      <c r="C1317" s="12">
        <v>1267187.0</v>
      </c>
      <c r="D1317" s="2"/>
      <c r="E1317" s="2" t="s">
        <v>38</v>
      </c>
      <c r="F1317" s="2" t="s">
        <v>2509</v>
      </c>
      <c r="G1317" s="2"/>
      <c r="H1317" s="12">
        <v>0.0</v>
      </c>
      <c r="I1317" s="2" t="s">
        <v>40</v>
      </c>
      <c r="J1317" s="2"/>
      <c r="K1317" s="2" t="s">
        <v>3545</v>
      </c>
      <c r="L1317" s="12">
        <v>126.0</v>
      </c>
      <c r="M1317" s="2" t="s">
        <v>3546</v>
      </c>
      <c r="N1317" s="2" t="str">
        <f>IFERROR(__xludf.DUMMYFUNCTION("""COMPUTED_VALUE"""),"")</f>
        <v/>
      </c>
    </row>
    <row r="1318">
      <c r="A1318" s="2" t="s">
        <v>33</v>
      </c>
      <c r="B1318" s="12">
        <v>1267404.0</v>
      </c>
      <c r="C1318" s="12">
        <v>1268372.0</v>
      </c>
      <c r="D1318" s="2"/>
      <c r="E1318" s="2" t="s">
        <v>38</v>
      </c>
      <c r="F1318" s="2" t="s">
        <v>3547</v>
      </c>
      <c r="G1318" s="2" t="s">
        <v>3548</v>
      </c>
      <c r="H1318" s="12">
        <v>0.0</v>
      </c>
      <c r="I1318" s="2" t="s">
        <v>40</v>
      </c>
      <c r="J1318" s="2"/>
      <c r="K1318" s="2" t="s">
        <v>3549</v>
      </c>
      <c r="L1318" s="12">
        <v>322.0</v>
      </c>
      <c r="M1318" s="2" t="s">
        <v>3550</v>
      </c>
      <c r="N1318" s="2" t="str">
        <f>IFERROR(__xludf.DUMMYFUNCTION("""COMPUTED_VALUE"""),"")</f>
        <v/>
      </c>
    </row>
    <row r="1319">
      <c r="A1319" s="2" t="s">
        <v>33</v>
      </c>
      <c r="B1319" s="12">
        <v>1268454.0</v>
      </c>
      <c r="C1319" s="12">
        <v>1270538.0</v>
      </c>
      <c r="D1319" s="2"/>
      <c r="E1319" s="2" t="s">
        <v>38</v>
      </c>
      <c r="F1319" s="2" t="s">
        <v>3551</v>
      </c>
      <c r="G1319" s="2" t="s">
        <v>3552</v>
      </c>
      <c r="H1319" s="12">
        <v>0.0</v>
      </c>
      <c r="I1319" s="2" t="s">
        <v>40</v>
      </c>
      <c r="J1319" s="2"/>
      <c r="K1319" s="2" t="s">
        <v>3553</v>
      </c>
      <c r="L1319" s="12">
        <v>694.0</v>
      </c>
      <c r="M1319" s="2" t="s">
        <v>3554</v>
      </c>
      <c r="N1319" s="2" t="str">
        <f>IFERROR(__xludf.DUMMYFUNCTION("""COMPUTED_VALUE"""),"")</f>
        <v/>
      </c>
    </row>
    <row r="1320">
      <c r="A1320" s="2" t="s">
        <v>33</v>
      </c>
      <c r="B1320" s="12">
        <v>1270525.0</v>
      </c>
      <c r="C1320" s="12">
        <v>1270884.0</v>
      </c>
      <c r="D1320" s="2"/>
      <c r="E1320" s="2" t="s">
        <v>38</v>
      </c>
      <c r="F1320" s="2" t="s">
        <v>3555</v>
      </c>
      <c r="G1320" s="2" t="s">
        <v>3556</v>
      </c>
      <c r="H1320" s="12">
        <v>0.0</v>
      </c>
      <c r="I1320" s="2" t="s">
        <v>40</v>
      </c>
      <c r="J1320" s="2"/>
      <c r="K1320" s="2" t="s">
        <v>3557</v>
      </c>
      <c r="L1320" s="12">
        <v>119.0</v>
      </c>
      <c r="M1320" s="2" t="s">
        <v>3558</v>
      </c>
      <c r="N1320" s="2" t="str">
        <f>IFERROR(__xludf.DUMMYFUNCTION("""COMPUTED_VALUE"""),"")</f>
        <v/>
      </c>
    </row>
    <row r="1321">
      <c r="A1321" s="2" t="s">
        <v>33</v>
      </c>
      <c r="B1321" s="12">
        <v>1271042.0</v>
      </c>
      <c r="C1321" s="12">
        <v>1271218.0</v>
      </c>
      <c r="D1321" s="2"/>
      <c r="E1321" s="2" t="s">
        <v>34</v>
      </c>
      <c r="F1321" s="2" t="s">
        <v>39</v>
      </c>
      <c r="G1321" s="2"/>
      <c r="H1321" s="12">
        <v>0.0</v>
      </c>
      <c r="I1321" s="2" t="s">
        <v>40</v>
      </c>
      <c r="J1321" s="2"/>
      <c r="K1321" s="2" t="s">
        <v>3559</v>
      </c>
      <c r="L1321" s="12">
        <v>58.0</v>
      </c>
      <c r="M1321" s="2" t="s">
        <v>3560</v>
      </c>
      <c r="N1321" s="2" t="str">
        <f>IFERROR(__xludf.DUMMYFUNCTION("""COMPUTED_VALUE"""),"")</f>
        <v/>
      </c>
    </row>
    <row r="1322">
      <c r="A1322" s="2" t="s">
        <v>33</v>
      </c>
      <c r="B1322" s="12">
        <v>1271362.0</v>
      </c>
      <c r="C1322" s="12">
        <v>1271679.0</v>
      </c>
      <c r="D1322" s="2"/>
      <c r="E1322" s="2" t="s">
        <v>38</v>
      </c>
      <c r="F1322" s="2" t="s">
        <v>39</v>
      </c>
      <c r="G1322" s="2"/>
      <c r="H1322" s="12">
        <v>0.0</v>
      </c>
      <c r="I1322" s="2" t="s">
        <v>40</v>
      </c>
      <c r="J1322" s="2"/>
      <c r="K1322" s="2" t="s">
        <v>3561</v>
      </c>
      <c r="L1322" s="12">
        <v>105.0</v>
      </c>
      <c r="M1322" s="2" t="s">
        <v>3562</v>
      </c>
      <c r="N1322" s="2" t="str">
        <f>IFERROR(__xludf.DUMMYFUNCTION("""COMPUTED_VALUE"""),"")</f>
        <v/>
      </c>
    </row>
    <row r="1323">
      <c r="A1323" s="2" t="s">
        <v>33</v>
      </c>
      <c r="B1323" s="12">
        <v>1271780.0</v>
      </c>
      <c r="C1323" s="12">
        <v>1271974.0</v>
      </c>
      <c r="D1323" s="2"/>
      <c r="E1323" s="2" t="s">
        <v>38</v>
      </c>
      <c r="F1323" s="2" t="s">
        <v>39</v>
      </c>
      <c r="G1323" s="2"/>
      <c r="H1323" s="12">
        <v>0.0</v>
      </c>
      <c r="I1323" s="2" t="s">
        <v>40</v>
      </c>
      <c r="J1323" s="2"/>
      <c r="K1323" s="2" t="s">
        <v>3563</v>
      </c>
      <c r="L1323" s="12">
        <v>64.0</v>
      </c>
      <c r="M1323" s="2" t="s">
        <v>3564</v>
      </c>
      <c r="N1323" s="2" t="str">
        <f>IFERROR(__xludf.DUMMYFUNCTION("""COMPUTED_VALUE"""),"")</f>
        <v/>
      </c>
    </row>
    <row r="1324">
      <c r="A1324" s="2" t="s">
        <v>33</v>
      </c>
      <c r="B1324" s="12">
        <v>1272309.0</v>
      </c>
      <c r="C1324" s="12">
        <v>1272887.0</v>
      </c>
      <c r="D1324" s="2"/>
      <c r="E1324" s="2" t="s">
        <v>34</v>
      </c>
      <c r="F1324" s="2" t="s">
        <v>367</v>
      </c>
      <c r="G1324" s="2"/>
      <c r="H1324" s="12">
        <v>0.0</v>
      </c>
      <c r="I1324" s="2" t="s">
        <v>40</v>
      </c>
      <c r="J1324" s="2"/>
      <c r="K1324" s="2" t="s">
        <v>3565</v>
      </c>
      <c r="L1324" s="12">
        <v>192.0</v>
      </c>
      <c r="M1324" s="2" t="s">
        <v>3566</v>
      </c>
      <c r="N1324" s="2" t="str">
        <f>IFERROR(__xludf.DUMMYFUNCTION("""COMPUTED_VALUE"""),"")</f>
        <v/>
      </c>
    </row>
    <row r="1325">
      <c r="A1325" s="2" t="s">
        <v>33</v>
      </c>
      <c r="B1325" s="12">
        <v>1272923.0</v>
      </c>
      <c r="C1325" s="12">
        <v>1273525.0</v>
      </c>
      <c r="D1325" s="2"/>
      <c r="E1325" s="2" t="s">
        <v>38</v>
      </c>
      <c r="F1325" s="2" t="s">
        <v>39</v>
      </c>
      <c r="G1325" s="2"/>
      <c r="H1325" s="12">
        <v>0.0</v>
      </c>
      <c r="I1325" s="2" t="s">
        <v>40</v>
      </c>
      <c r="J1325" s="2"/>
      <c r="K1325" s="2" t="s">
        <v>3567</v>
      </c>
      <c r="L1325" s="12">
        <v>200.0</v>
      </c>
      <c r="M1325" s="2" t="s">
        <v>3568</v>
      </c>
      <c r="N1325" s="2" t="str">
        <f>IFERROR(__xludf.DUMMYFUNCTION("""COMPUTED_VALUE"""),"")</f>
        <v/>
      </c>
    </row>
    <row r="1326">
      <c r="A1326" s="2" t="s">
        <v>33</v>
      </c>
      <c r="B1326" s="12">
        <v>1273614.0</v>
      </c>
      <c r="C1326" s="12">
        <v>1273796.0</v>
      </c>
      <c r="D1326" s="2"/>
      <c r="E1326" s="2" t="s">
        <v>38</v>
      </c>
      <c r="F1326" s="2" t="s">
        <v>39</v>
      </c>
      <c r="G1326" s="2"/>
      <c r="H1326" s="12">
        <v>0.0</v>
      </c>
      <c r="I1326" s="2" t="s">
        <v>40</v>
      </c>
      <c r="J1326" s="2"/>
      <c r="K1326" s="2" t="s">
        <v>3569</v>
      </c>
      <c r="L1326" s="12">
        <v>60.0</v>
      </c>
      <c r="M1326" s="2" t="s">
        <v>3570</v>
      </c>
      <c r="N1326" s="2" t="str">
        <f>IFERROR(__xludf.DUMMYFUNCTION("""COMPUTED_VALUE"""),"")</f>
        <v/>
      </c>
    </row>
    <row r="1327">
      <c r="A1327" s="2" t="s">
        <v>33</v>
      </c>
      <c r="B1327" s="12">
        <v>1274030.0</v>
      </c>
      <c r="C1327" s="12">
        <v>1274215.0</v>
      </c>
      <c r="D1327" s="2"/>
      <c r="E1327" s="2" t="s">
        <v>34</v>
      </c>
      <c r="F1327" s="2" t="s">
        <v>3571</v>
      </c>
      <c r="G1327" s="2"/>
      <c r="H1327" s="12">
        <v>0.0</v>
      </c>
      <c r="I1327" s="2" t="s">
        <v>40</v>
      </c>
      <c r="J1327" s="2"/>
      <c r="K1327" s="2" t="s">
        <v>3572</v>
      </c>
      <c r="L1327" s="12">
        <v>61.0</v>
      </c>
      <c r="M1327" s="2" t="s">
        <v>3573</v>
      </c>
      <c r="N1327" s="2" t="str">
        <f>IFERROR(__xludf.DUMMYFUNCTION("""COMPUTED_VALUE"""),"")</f>
        <v/>
      </c>
    </row>
    <row r="1328">
      <c r="A1328" s="2" t="s">
        <v>33</v>
      </c>
      <c r="B1328" s="12">
        <v>1274264.0</v>
      </c>
      <c r="C1328" s="12">
        <v>1274761.0</v>
      </c>
      <c r="D1328" s="2"/>
      <c r="E1328" s="2" t="s">
        <v>38</v>
      </c>
      <c r="F1328" s="2" t="s">
        <v>3574</v>
      </c>
      <c r="G1328" s="2" t="s">
        <v>3575</v>
      </c>
      <c r="H1328" s="12">
        <v>0.0</v>
      </c>
      <c r="I1328" s="2" t="s">
        <v>40</v>
      </c>
      <c r="J1328" s="2"/>
      <c r="K1328" s="2" t="s">
        <v>3576</v>
      </c>
      <c r="L1328" s="12">
        <v>165.0</v>
      </c>
      <c r="M1328" s="2" t="s">
        <v>3577</v>
      </c>
      <c r="N1328" s="2" t="str">
        <f>IFERROR(__xludf.DUMMYFUNCTION("""COMPUTED_VALUE"""),"")</f>
        <v/>
      </c>
    </row>
    <row r="1329">
      <c r="A1329" s="2" t="s">
        <v>33</v>
      </c>
      <c r="B1329" s="12">
        <v>1274780.0</v>
      </c>
      <c r="C1329" s="12">
        <v>1275496.0</v>
      </c>
      <c r="D1329" s="2"/>
      <c r="E1329" s="2" t="s">
        <v>38</v>
      </c>
      <c r="F1329" s="2" t="s">
        <v>3578</v>
      </c>
      <c r="G1329" s="2" t="s">
        <v>3579</v>
      </c>
      <c r="H1329" s="12">
        <v>0.0</v>
      </c>
      <c r="I1329" s="2" t="s">
        <v>40</v>
      </c>
      <c r="J1329" s="2"/>
      <c r="K1329" s="2" t="s">
        <v>3580</v>
      </c>
      <c r="L1329" s="12">
        <v>238.0</v>
      </c>
      <c r="M1329" s="2" t="s">
        <v>3581</v>
      </c>
      <c r="N1329" s="2" t="str">
        <f>IFERROR(__xludf.DUMMYFUNCTION("""COMPUTED_VALUE"""),"")</f>
        <v/>
      </c>
    </row>
    <row r="1330">
      <c r="A1330" s="2" t="s">
        <v>33</v>
      </c>
      <c r="B1330" s="12">
        <v>1275489.0</v>
      </c>
      <c r="C1330" s="12">
        <v>1275980.0</v>
      </c>
      <c r="D1330" s="2"/>
      <c r="E1330" s="2" t="s">
        <v>38</v>
      </c>
      <c r="F1330" s="2" t="s">
        <v>3582</v>
      </c>
      <c r="G1330" s="2" t="s">
        <v>3583</v>
      </c>
      <c r="H1330" s="12">
        <v>0.0</v>
      </c>
      <c r="I1330" s="2" t="s">
        <v>40</v>
      </c>
      <c r="J1330" s="2"/>
      <c r="K1330" s="2" t="s">
        <v>3584</v>
      </c>
      <c r="L1330" s="12">
        <v>163.0</v>
      </c>
      <c r="M1330" s="2" t="s">
        <v>3585</v>
      </c>
      <c r="N1330" s="2" t="str">
        <f>IFERROR(__xludf.DUMMYFUNCTION("""COMPUTED_VALUE"""),"")</f>
        <v/>
      </c>
    </row>
    <row r="1331">
      <c r="A1331" s="2" t="s">
        <v>33</v>
      </c>
      <c r="B1331" s="12">
        <v>1275980.0</v>
      </c>
      <c r="C1331" s="12">
        <v>1276642.0</v>
      </c>
      <c r="D1331" s="2"/>
      <c r="E1331" s="2" t="s">
        <v>38</v>
      </c>
      <c r="F1331" s="2" t="s">
        <v>3586</v>
      </c>
      <c r="G1331" s="2" t="s">
        <v>3587</v>
      </c>
      <c r="H1331" s="12">
        <v>0.0</v>
      </c>
      <c r="I1331" s="2" t="s">
        <v>40</v>
      </c>
      <c r="J1331" s="2"/>
      <c r="K1331" s="2" t="s">
        <v>3588</v>
      </c>
      <c r="L1331" s="12">
        <v>220.0</v>
      </c>
      <c r="M1331" s="2" t="s">
        <v>3589</v>
      </c>
      <c r="N1331" s="2" t="str">
        <f>IFERROR(__xludf.DUMMYFUNCTION("""COMPUTED_VALUE"""),"")</f>
        <v/>
      </c>
    </row>
    <row r="1332">
      <c r="A1332" s="2" t="s">
        <v>33</v>
      </c>
      <c r="B1332" s="12">
        <v>1276986.0</v>
      </c>
      <c r="C1332" s="12">
        <v>1278194.0</v>
      </c>
      <c r="D1332" s="2"/>
      <c r="E1332" s="2" t="s">
        <v>34</v>
      </c>
      <c r="F1332" s="2" t="s">
        <v>3590</v>
      </c>
      <c r="G1332" s="2" t="s">
        <v>3591</v>
      </c>
      <c r="H1332" s="12">
        <v>0.0</v>
      </c>
      <c r="I1332" s="2" t="s">
        <v>40</v>
      </c>
      <c r="J1332" s="2"/>
      <c r="K1332" s="2" t="s">
        <v>3592</v>
      </c>
      <c r="L1332" s="12">
        <v>402.0</v>
      </c>
      <c r="M1332" s="2" t="s">
        <v>3593</v>
      </c>
      <c r="N1332" s="2" t="str">
        <f>IFERROR(__xludf.DUMMYFUNCTION("""COMPUTED_VALUE"""),"")</f>
        <v/>
      </c>
    </row>
    <row r="1333">
      <c r="A1333" s="2" t="s">
        <v>33</v>
      </c>
      <c r="B1333" s="12">
        <v>1278206.0</v>
      </c>
      <c r="C1333" s="12">
        <v>1278322.0</v>
      </c>
      <c r="D1333" s="2"/>
      <c r="E1333" s="2" t="s">
        <v>38</v>
      </c>
      <c r="F1333" s="2" t="s">
        <v>3594</v>
      </c>
      <c r="G1333" s="2"/>
      <c r="H1333" s="12">
        <v>0.0</v>
      </c>
      <c r="I1333" s="2" t="s">
        <v>40</v>
      </c>
      <c r="J1333" s="2"/>
      <c r="K1333" s="2" t="s">
        <v>3595</v>
      </c>
      <c r="L1333" s="12">
        <v>38.0</v>
      </c>
      <c r="M1333" s="2" t="s">
        <v>3596</v>
      </c>
      <c r="N1333" s="2" t="str">
        <f>IFERROR(__xludf.DUMMYFUNCTION("""COMPUTED_VALUE"""),"")</f>
        <v/>
      </c>
    </row>
    <row r="1334">
      <c r="A1334" s="2" t="s">
        <v>33</v>
      </c>
      <c r="B1334" s="12">
        <v>1278424.0</v>
      </c>
      <c r="C1334" s="12">
        <v>1278957.0</v>
      </c>
      <c r="D1334" s="2"/>
      <c r="E1334" s="2" t="s">
        <v>38</v>
      </c>
      <c r="F1334" s="2" t="s">
        <v>817</v>
      </c>
      <c r="G1334" s="2"/>
      <c r="H1334" s="12">
        <v>0.0</v>
      </c>
      <c r="I1334" s="2" t="s">
        <v>40</v>
      </c>
      <c r="J1334" s="2"/>
      <c r="K1334" s="2" t="s">
        <v>3597</v>
      </c>
      <c r="L1334" s="12">
        <v>177.0</v>
      </c>
      <c r="M1334" s="2" t="s">
        <v>3598</v>
      </c>
      <c r="N1334" s="2" t="str">
        <f>IFERROR(__xludf.DUMMYFUNCTION("""COMPUTED_VALUE"""),"")</f>
        <v/>
      </c>
    </row>
    <row r="1335">
      <c r="A1335" s="2" t="s">
        <v>33</v>
      </c>
      <c r="B1335" s="12">
        <v>1279093.0</v>
      </c>
      <c r="C1335" s="12">
        <v>1280787.0</v>
      </c>
      <c r="D1335" s="2"/>
      <c r="E1335" s="2" t="s">
        <v>38</v>
      </c>
      <c r="F1335" s="2" t="s">
        <v>315</v>
      </c>
      <c r="G1335" s="2"/>
      <c r="H1335" s="12">
        <v>0.0</v>
      </c>
      <c r="I1335" s="2" t="s">
        <v>40</v>
      </c>
      <c r="J1335" s="2"/>
      <c r="K1335" s="2" t="s">
        <v>3599</v>
      </c>
      <c r="L1335" s="12">
        <v>564.0</v>
      </c>
      <c r="M1335" s="2" t="s">
        <v>3600</v>
      </c>
      <c r="N1335" s="2" t="str">
        <f>IFERROR(__xludf.DUMMYFUNCTION("""COMPUTED_VALUE"""),"")</f>
        <v/>
      </c>
    </row>
    <row r="1336">
      <c r="A1336" s="2" t="s">
        <v>33</v>
      </c>
      <c r="B1336" s="12">
        <v>1280944.0</v>
      </c>
      <c r="C1336" s="12">
        <v>1281390.0</v>
      </c>
      <c r="D1336" s="2"/>
      <c r="E1336" s="2" t="s">
        <v>38</v>
      </c>
      <c r="F1336" s="2" t="s">
        <v>534</v>
      </c>
      <c r="G1336" s="2"/>
      <c r="H1336" s="12">
        <v>0.0</v>
      </c>
      <c r="I1336" s="2" t="s">
        <v>40</v>
      </c>
      <c r="J1336" s="2"/>
      <c r="K1336" s="2" t="s">
        <v>3601</v>
      </c>
      <c r="L1336" s="12">
        <v>148.0</v>
      </c>
      <c r="M1336" s="2" t="s">
        <v>3602</v>
      </c>
      <c r="N1336" s="2" t="str">
        <f>IFERROR(__xludf.DUMMYFUNCTION("""COMPUTED_VALUE"""),"")</f>
        <v/>
      </c>
    </row>
    <row r="1337">
      <c r="A1337" s="2" t="s">
        <v>33</v>
      </c>
      <c r="B1337" s="12">
        <v>1281586.0</v>
      </c>
      <c r="C1337" s="12">
        <v>1283082.0</v>
      </c>
      <c r="D1337" s="2"/>
      <c r="E1337" s="2" t="s">
        <v>34</v>
      </c>
      <c r="F1337" s="2" t="s">
        <v>3603</v>
      </c>
      <c r="G1337" s="2"/>
      <c r="H1337" s="12">
        <v>0.0</v>
      </c>
      <c r="I1337" s="2" t="s">
        <v>40</v>
      </c>
      <c r="J1337" s="2"/>
      <c r="K1337" s="2" t="s">
        <v>3604</v>
      </c>
      <c r="L1337" s="12">
        <v>498.0</v>
      </c>
      <c r="M1337" s="2" t="s">
        <v>3605</v>
      </c>
      <c r="N1337" s="2" t="str">
        <f>IFERROR(__xludf.DUMMYFUNCTION("""COMPUTED_VALUE"""),"")</f>
        <v/>
      </c>
    </row>
    <row r="1338">
      <c r="A1338" s="2" t="s">
        <v>33</v>
      </c>
      <c r="B1338" s="12">
        <v>1283112.0</v>
      </c>
      <c r="C1338" s="12">
        <v>1283393.0</v>
      </c>
      <c r="D1338" s="2"/>
      <c r="E1338" s="2" t="s">
        <v>38</v>
      </c>
      <c r="F1338" s="2" t="s">
        <v>731</v>
      </c>
      <c r="G1338" s="2"/>
      <c r="H1338" s="12">
        <v>0.0</v>
      </c>
      <c r="I1338" s="2" t="s">
        <v>40</v>
      </c>
      <c r="J1338" s="2"/>
      <c r="K1338" s="2" t="s">
        <v>3606</v>
      </c>
      <c r="L1338" s="12">
        <v>93.0</v>
      </c>
      <c r="M1338" s="2" t="s">
        <v>3607</v>
      </c>
      <c r="N1338" s="2" t="str">
        <f>IFERROR(__xludf.DUMMYFUNCTION("""COMPUTED_VALUE"""),"")</f>
        <v/>
      </c>
    </row>
    <row r="1339">
      <c r="A1339" s="2" t="s">
        <v>33</v>
      </c>
      <c r="B1339" s="12">
        <v>1283875.0</v>
      </c>
      <c r="C1339" s="12">
        <v>1284645.0</v>
      </c>
      <c r="D1339" s="2"/>
      <c r="E1339" s="2" t="s">
        <v>34</v>
      </c>
      <c r="F1339" s="2" t="s">
        <v>3608</v>
      </c>
      <c r="G1339" s="2"/>
      <c r="H1339" s="12">
        <v>0.0</v>
      </c>
      <c r="I1339" s="2" t="s">
        <v>40</v>
      </c>
      <c r="J1339" s="2"/>
      <c r="K1339" s="2" t="s">
        <v>3609</v>
      </c>
      <c r="L1339" s="12">
        <v>256.0</v>
      </c>
      <c r="M1339" s="2" t="s">
        <v>3610</v>
      </c>
      <c r="N1339" s="2" t="str">
        <f>IFERROR(__xludf.DUMMYFUNCTION("""COMPUTED_VALUE"""),"")</f>
        <v/>
      </c>
    </row>
    <row r="1340">
      <c r="A1340" s="2" t="s">
        <v>33</v>
      </c>
      <c r="B1340" s="12">
        <v>1284818.0</v>
      </c>
      <c r="C1340" s="12">
        <v>1285441.0</v>
      </c>
      <c r="D1340" s="2"/>
      <c r="E1340" s="2" t="s">
        <v>38</v>
      </c>
      <c r="F1340" s="2" t="s">
        <v>1569</v>
      </c>
      <c r="G1340" s="2" t="s">
        <v>1570</v>
      </c>
      <c r="H1340" s="12">
        <v>0.0</v>
      </c>
      <c r="I1340" s="2" t="s">
        <v>40</v>
      </c>
      <c r="J1340" s="2"/>
      <c r="K1340" s="2" t="s">
        <v>3611</v>
      </c>
      <c r="L1340" s="12">
        <v>207.0</v>
      </c>
      <c r="M1340" s="2" t="s">
        <v>3612</v>
      </c>
      <c r="N1340" s="2" t="str">
        <f>IFERROR(__xludf.DUMMYFUNCTION("""COMPUTED_VALUE"""),"")</f>
        <v/>
      </c>
    </row>
    <row r="1341">
      <c r="A1341" s="2" t="s">
        <v>33</v>
      </c>
      <c r="B1341" s="12">
        <v>1285568.0</v>
      </c>
      <c r="C1341" s="12">
        <v>1286196.0</v>
      </c>
      <c r="D1341" s="2"/>
      <c r="E1341" s="2" t="s">
        <v>38</v>
      </c>
      <c r="F1341" s="2" t="s">
        <v>35</v>
      </c>
      <c r="G1341" s="2"/>
      <c r="H1341" s="12">
        <v>0.0</v>
      </c>
      <c r="I1341" s="2" t="s">
        <v>36</v>
      </c>
      <c r="J1341" s="2"/>
      <c r="K1341" s="2"/>
      <c r="L1341" s="2"/>
      <c r="M1341" s="2" t="s">
        <v>3613</v>
      </c>
      <c r="N1341" s="2" t="str">
        <f>IFERROR(__xludf.DUMMYFUNCTION("""COMPUTED_VALUE"""),"")</f>
        <v/>
      </c>
    </row>
    <row r="1342">
      <c r="A1342" s="2" t="s">
        <v>33</v>
      </c>
      <c r="B1342" s="12">
        <v>1286529.0</v>
      </c>
      <c r="C1342" s="12">
        <v>1288829.0</v>
      </c>
      <c r="D1342" s="2"/>
      <c r="E1342" s="2" t="s">
        <v>38</v>
      </c>
      <c r="F1342" s="2" t="s">
        <v>3614</v>
      </c>
      <c r="G1342" s="2"/>
      <c r="H1342" s="12">
        <v>0.0</v>
      </c>
      <c r="I1342" s="2" t="s">
        <v>40</v>
      </c>
      <c r="J1342" s="2"/>
      <c r="K1342" s="2" t="s">
        <v>3615</v>
      </c>
      <c r="L1342" s="12">
        <v>766.0</v>
      </c>
      <c r="M1342" s="2" t="s">
        <v>3616</v>
      </c>
      <c r="N1342" s="2" t="str">
        <f>IFERROR(__xludf.DUMMYFUNCTION("""COMPUTED_VALUE"""),"")</f>
        <v/>
      </c>
    </row>
    <row r="1343">
      <c r="A1343" s="2" t="s">
        <v>33</v>
      </c>
      <c r="B1343" s="12">
        <v>1289251.0</v>
      </c>
      <c r="C1343" s="12">
        <v>1290033.0</v>
      </c>
      <c r="D1343" s="2"/>
      <c r="E1343" s="2" t="s">
        <v>38</v>
      </c>
      <c r="F1343" s="2" t="s">
        <v>3617</v>
      </c>
      <c r="G1343" s="2"/>
      <c r="H1343" s="12">
        <v>0.0</v>
      </c>
      <c r="I1343" s="2" t="s">
        <v>40</v>
      </c>
      <c r="J1343" s="2"/>
      <c r="K1343" s="2" t="s">
        <v>3618</v>
      </c>
      <c r="L1343" s="12">
        <v>260.0</v>
      </c>
      <c r="M1343" s="2" t="s">
        <v>3619</v>
      </c>
      <c r="N1343" s="2" t="str">
        <f>IFERROR(__xludf.DUMMYFUNCTION("""COMPUTED_VALUE"""),"")</f>
        <v/>
      </c>
    </row>
    <row r="1344">
      <c r="A1344" s="2" t="s">
        <v>33</v>
      </c>
      <c r="B1344" s="12">
        <v>1290074.0</v>
      </c>
      <c r="C1344" s="12">
        <v>1291258.0</v>
      </c>
      <c r="D1344" s="2"/>
      <c r="E1344" s="2" t="s">
        <v>38</v>
      </c>
      <c r="F1344" s="2" t="s">
        <v>3620</v>
      </c>
      <c r="G1344" s="2"/>
      <c r="H1344" s="12">
        <v>0.0</v>
      </c>
      <c r="I1344" s="2" t="s">
        <v>40</v>
      </c>
      <c r="J1344" s="2"/>
      <c r="K1344" s="2" t="s">
        <v>3621</v>
      </c>
      <c r="L1344" s="12">
        <v>394.0</v>
      </c>
      <c r="M1344" s="2" t="s">
        <v>3622</v>
      </c>
      <c r="N1344" s="2" t="str">
        <f>IFERROR(__xludf.DUMMYFUNCTION("""COMPUTED_VALUE"""),"")</f>
        <v/>
      </c>
    </row>
    <row r="1345">
      <c r="A1345" s="2" t="s">
        <v>33</v>
      </c>
      <c r="B1345" s="12">
        <v>1291255.0</v>
      </c>
      <c r="C1345" s="12">
        <v>1292352.0</v>
      </c>
      <c r="D1345" s="2"/>
      <c r="E1345" s="2" t="s">
        <v>38</v>
      </c>
      <c r="F1345" s="2" t="s">
        <v>3623</v>
      </c>
      <c r="G1345" s="2" t="s">
        <v>3624</v>
      </c>
      <c r="H1345" s="12">
        <v>0.0</v>
      </c>
      <c r="I1345" s="2" t="s">
        <v>40</v>
      </c>
      <c r="J1345" s="2"/>
      <c r="K1345" s="2" t="s">
        <v>3625</v>
      </c>
      <c r="L1345" s="12">
        <v>365.0</v>
      </c>
      <c r="M1345" s="2" t="s">
        <v>3626</v>
      </c>
      <c r="N1345" s="2" t="str">
        <f>IFERROR(__xludf.DUMMYFUNCTION("""COMPUTED_VALUE"""),"")</f>
        <v/>
      </c>
    </row>
    <row r="1346">
      <c r="A1346" s="2" t="s">
        <v>33</v>
      </c>
      <c r="B1346" s="12">
        <v>1292368.0</v>
      </c>
      <c r="C1346" s="12">
        <v>1293162.0</v>
      </c>
      <c r="D1346" s="2"/>
      <c r="E1346" s="2" t="s">
        <v>38</v>
      </c>
      <c r="F1346" s="2" t="s">
        <v>3627</v>
      </c>
      <c r="G1346" s="2" t="s">
        <v>3628</v>
      </c>
      <c r="H1346" s="12">
        <v>0.0</v>
      </c>
      <c r="I1346" s="2" t="s">
        <v>40</v>
      </c>
      <c r="J1346" s="2"/>
      <c r="K1346" s="2" t="s">
        <v>3629</v>
      </c>
      <c r="L1346" s="12">
        <v>264.0</v>
      </c>
      <c r="M1346" s="2" t="s">
        <v>3630</v>
      </c>
      <c r="N1346" s="2" t="str">
        <f>IFERROR(__xludf.DUMMYFUNCTION("""COMPUTED_VALUE"""),"")</f>
        <v/>
      </c>
    </row>
    <row r="1347">
      <c r="A1347" s="2" t="s">
        <v>33</v>
      </c>
      <c r="B1347" s="12">
        <v>1293184.0</v>
      </c>
      <c r="C1347" s="12">
        <v>1294941.0</v>
      </c>
      <c r="D1347" s="2"/>
      <c r="E1347" s="2" t="s">
        <v>38</v>
      </c>
      <c r="F1347" s="2" t="s">
        <v>3631</v>
      </c>
      <c r="G1347" s="2"/>
      <c r="H1347" s="12">
        <v>0.0</v>
      </c>
      <c r="I1347" s="2" t="s">
        <v>40</v>
      </c>
      <c r="J1347" s="2"/>
      <c r="K1347" s="2" t="s">
        <v>3632</v>
      </c>
      <c r="L1347" s="12">
        <v>585.0</v>
      </c>
      <c r="M1347" s="2" t="s">
        <v>3633</v>
      </c>
      <c r="N1347" s="2" t="str">
        <f>IFERROR(__xludf.DUMMYFUNCTION("""COMPUTED_VALUE"""),"")</f>
        <v/>
      </c>
    </row>
    <row r="1348">
      <c r="A1348" s="2" t="s">
        <v>33</v>
      </c>
      <c r="B1348" s="12">
        <v>1294942.0</v>
      </c>
      <c r="C1348" s="12">
        <v>1295943.0</v>
      </c>
      <c r="D1348" s="2"/>
      <c r="E1348" s="2" t="s">
        <v>38</v>
      </c>
      <c r="F1348" s="2" t="s">
        <v>3634</v>
      </c>
      <c r="G1348" s="2"/>
      <c r="H1348" s="12">
        <v>0.0</v>
      </c>
      <c r="I1348" s="2" t="s">
        <v>40</v>
      </c>
      <c r="J1348" s="2"/>
      <c r="K1348" s="2" t="s">
        <v>3635</v>
      </c>
      <c r="L1348" s="12">
        <v>333.0</v>
      </c>
      <c r="M1348" s="2" t="s">
        <v>3636</v>
      </c>
      <c r="N1348" s="2" t="str">
        <f>IFERROR(__xludf.DUMMYFUNCTION("""COMPUTED_VALUE"""),"")</f>
        <v/>
      </c>
    </row>
    <row r="1349">
      <c r="A1349" s="2" t="s">
        <v>33</v>
      </c>
      <c r="B1349" s="12">
        <v>1295963.0</v>
      </c>
      <c r="C1349" s="12">
        <v>1297039.0</v>
      </c>
      <c r="D1349" s="2"/>
      <c r="E1349" s="2" t="s">
        <v>38</v>
      </c>
      <c r="F1349" s="2" t="s">
        <v>3637</v>
      </c>
      <c r="G1349" s="2"/>
      <c r="H1349" s="12">
        <v>0.0</v>
      </c>
      <c r="I1349" s="2" t="s">
        <v>40</v>
      </c>
      <c r="J1349" s="2"/>
      <c r="K1349" s="2" t="s">
        <v>3638</v>
      </c>
      <c r="L1349" s="12">
        <v>358.0</v>
      </c>
      <c r="M1349" s="2" t="s">
        <v>3639</v>
      </c>
      <c r="N1349" s="2" t="str">
        <f>IFERROR(__xludf.DUMMYFUNCTION("""COMPUTED_VALUE"""),"")</f>
        <v/>
      </c>
    </row>
    <row r="1350">
      <c r="A1350" s="2" t="s">
        <v>33</v>
      </c>
      <c r="B1350" s="12">
        <v>1297268.0</v>
      </c>
      <c r="C1350" s="12">
        <v>1297420.0</v>
      </c>
      <c r="D1350" s="2"/>
      <c r="E1350" s="2" t="s">
        <v>38</v>
      </c>
      <c r="F1350" s="2" t="s">
        <v>39</v>
      </c>
      <c r="G1350" s="2"/>
      <c r="H1350" s="12">
        <v>0.0</v>
      </c>
      <c r="I1350" s="2" t="s">
        <v>40</v>
      </c>
      <c r="J1350" s="2"/>
      <c r="K1350" s="2" t="s">
        <v>3640</v>
      </c>
      <c r="L1350" s="12">
        <v>50.0</v>
      </c>
      <c r="M1350" s="2" t="s">
        <v>3641</v>
      </c>
      <c r="N1350" s="2" t="str">
        <f>IFERROR(__xludf.DUMMYFUNCTION("""COMPUTED_VALUE"""),"")</f>
        <v/>
      </c>
    </row>
    <row r="1351">
      <c r="A1351" s="2" t="s">
        <v>33</v>
      </c>
      <c r="B1351" s="12">
        <v>1297569.0</v>
      </c>
      <c r="C1351" s="12">
        <v>1297904.0</v>
      </c>
      <c r="D1351" s="2"/>
      <c r="E1351" s="2" t="s">
        <v>34</v>
      </c>
      <c r="F1351" s="2" t="s">
        <v>3642</v>
      </c>
      <c r="G1351" s="2"/>
      <c r="H1351" s="12">
        <v>0.0</v>
      </c>
      <c r="I1351" s="2" t="s">
        <v>40</v>
      </c>
      <c r="J1351" s="2"/>
      <c r="K1351" s="2" t="s">
        <v>3643</v>
      </c>
      <c r="L1351" s="12">
        <v>111.0</v>
      </c>
      <c r="M1351" s="2" t="s">
        <v>3644</v>
      </c>
      <c r="N1351" s="2" t="str">
        <f>IFERROR(__xludf.DUMMYFUNCTION("""COMPUTED_VALUE"""),"")</f>
        <v/>
      </c>
    </row>
    <row r="1352">
      <c r="A1352" s="2" t="s">
        <v>33</v>
      </c>
      <c r="B1352" s="12">
        <v>1297943.0</v>
      </c>
      <c r="C1352" s="12">
        <v>1299292.0</v>
      </c>
      <c r="D1352" s="2"/>
      <c r="E1352" s="2" t="s">
        <v>38</v>
      </c>
      <c r="F1352" s="2" t="s">
        <v>3453</v>
      </c>
      <c r="G1352" s="2"/>
      <c r="H1352" s="12">
        <v>0.0</v>
      </c>
      <c r="I1352" s="2" t="s">
        <v>40</v>
      </c>
      <c r="J1352" s="2"/>
      <c r="K1352" s="2" t="s">
        <v>3645</v>
      </c>
      <c r="L1352" s="12">
        <v>449.0</v>
      </c>
      <c r="M1352" s="2" t="s">
        <v>3646</v>
      </c>
      <c r="N1352" s="2" t="str">
        <f>IFERROR(__xludf.DUMMYFUNCTION("""COMPUTED_VALUE"""),"")</f>
        <v/>
      </c>
    </row>
    <row r="1353">
      <c r="A1353" s="2" t="s">
        <v>33</v>
      </c>
      <c r="B1353" s="12">
        <v>1299316.0</v>
      </c>
      <c r="C1353" s="12">
        <v>1300512.0</v>
      </c>
      <c r="D1353" s="2"/>
      <c r="E1353" s="2" t="s">
        <v>38</v>
      </c>
      <c r="F1353" s="2" t="s">
        <v>3647</v>
      </c>
      <c r="G1353" s="2"/>
      <c r="H1353" s="12">
        <v>0.0</v>
      </c>
      <c r="I1353" s="2" t="s">
        <v>40</v>
      </c>
      <c r="J1353" s="2"/>
      <c r="K1353" s="2" t="s">
        <v>3648</v>
      </c>
      <c r="L1353" s="12">
        <v>398.0</v>
      </c>
      <c r="M1353" s="2" t="s">
        <v>3649</v>
      </c>
      <c r="N1353" s="2" t="str">
        <f>IFERROR(__xludf.DUMMYFUNCTION("""COMPUTED_VALUE"""),"")</f>
        <v/>
      </c>
    </row>
    <row r="1354">
      <c r="A1354" s="2" t="s">
        <v>33</v>
      </c>
      <c r="B1354" s="12">
        <v>1300607.0</v>
      </c>
      <c r="C1354" s="12">
        <v>1301692.0</v>
      </c>
      <c r="D1354" s="2"/>
      <c r="E1354" s="2" t="s">
        <v>38</v>
      </c>
      <c r="F1354" s="2" t="s">
        <v>3650</v>
      </c>
      <c r="G1354" s="2" t="s">
        <v>3651</v>
      </c>
      <c r="H1354" s="12">
        <v>0.0</v>
      </c>
      <c r="I1354" s="2" t="s">
        <v>40</v>
      </c>
      <c r="J1354" s="2"/>
      <c r="K1354" s="2" t="s">
        <v>3652</v>
      </c>
      <c r="L1354" s="12">
        <v>361.0</v>
      </c>
      <c r="M1354" s="2" t="s">
        <v>3653</v>
      </c>
      <c r="N1354" s="2" t="str">
        <f>IFERROR(__xludf.DUMMYFUNCTION("""COMPUTED_VALUE"""),"")</f>
        <v/>
      </c>
    </row>
    <row r="1355">
      <c r="A1355" s="2" t="s">
        <v>33</v>
      </c>
      <c r="B1355" s="12">
        <v>1301775.0</v>
      </c>
      <c r="C1355" s="12">
        <v>1302518.0</v>
      </c>
      <c r="D1355" s="2"/>
      <c r="E1355" s="2" t="s">
        <v>38</v>
      </c>
      <c r="F1355" s="2" t="s">
        <v>3654</v>
      </c>
      <c r="G1355" s="2"/>
      <c r="H1355" s="12">
        <v>0.0</v>
      </c>
      <c r="I1355" s="2" t="s">
        <v>40</v>
      </c>
      <c r="J1355" s="2"/>
      <c r="K1355" s="2" t="s">
        <v>3655</v>
      </c>
      <c r="L1355" s="12">
        <v>247.0</v>
      </c>
      <c r="M1355" s="2" t="s">
        <v>3656</v>
      </c>
      <c r="N1355" s="2" t="str">
        <f>IFERROR(__xludf.DUMMYFUNCTION("""COMPUTED_VALUE"""),"")</f>
        <v/>
      </c>
    </row>
    <row r="1356">
      <c r="A1356" s="2" t="s">
        <v>33</v>
      </c>
      <c r="B1356" s="12">
        <v>1302669.0</v>
      </c>
      <c r="C1356" s="12">
        <v>1303151.0</v>
      </c>
      <c r="D1356" s="2"/>
      <c r="E1356" s="2" t="s">
        <v>38</v>
      </c>
      <c r="F1356" s="2" t="s">
        <v>3657</v>
      </c>
      <c r="G1356" s="2" t="s">
        <v>3658</v>
      </c>
      <c r="H1356" s="12">
        <v>0.0</v>
      </c>
      <c r="I1356" s="2" t="s">
        <v>40</v>
      </c>
      <c r="J1356" s="2"/>
      <c r="K1356" s="2" t="s">
        <v>3659</v>
      </c>
      <c r="L1356" s="12">
        <v>160.0</v>
      </c>
      <c r="M1356" s="2" t="s">
        <v>3660</v>
      </c>
      <c r="N1356" s="2" t="str">
        <f>IFERROR(__xludf.DUMMYFUNCTION("""COMPUTED_VALUE"""),"")</f>
        <v/>
      </c>
    </row>
    <row r="1357">
      <c r="A1357" s="2" t="s">
        <v>33</v>
      </c>
      <c r="B1357" s="12">
        <v>1303349.0</v>
      </c>
      <c r="C1357" s="12">
        <v>1303801.0</v>
      </c>
      <c r="D1357" s="2"/>
      <c r="E1357" s="2" t="s">
        <v>34</v>
      </c>
      <c r="F1357" s="2" t="s">
        <v>3661</v>
      </c>
      <c r="G1357" s="2" t="s">
        <v>3662</v>
      </c>
      <c r="H1357" s="12">
        <v>0.0</v>
      </c>
      <c r="I1357" s="2" t="s">
        <v>40</v>
      </c>
      <c r="J1357" s="2"/>
      <c r="K1357" s="2" t="s">
        <v>3663</v>
      </c>
      <c r="L1357" s="12">
        <v>150.0</v>
      </c>
      <c r="M1357" s="2" t="s">
        <v>3664</v>
      </c>
      <c r="N1357" s="2" t="str">
        <f>IFERROR(__xludf.DUMMYFUNCTION("""COMPUTED_VALUE"""),"")</f>
        <v/>
      </c>
    </row>
    <row r="1358">
      <c r="A1358" s="2" t="s">
        <v>33</v>
      </c>
      <c r="B1358" s="12">
        <v>1303844.0</v>
      </c>
      <c r="C1358" s="12">
        <v>1304368.0</v>
      </c>
      <c r="D1358" s="2"/>
      <c r="E1358" s="2" t="s">
        <v>34</v>
      </c>
      <c r="F1358" s="2" t="s">
        <v>3665</v>
      </c>
      <c r="G1358" s="2" t="s">
        <v>3666</v>
      </c>
      <c r="H1358" s="12">
        <v>0.0</v>
      </c>
      <c r="I1358" s="2" t="s">
        <v>40</v>
      </c>
      <c r="J1358" s="2"/>
      <c r="K1358" s="2" t="s">
        <v>3667</v>
      </c>
      <c r="L1358" s="12">
        <v>174.0</v>
      </c>
      <c r="M1358" s="2" t="s">
        <v>3668</v>
      </c>
      <c r="N1358" s="2" t="str">
        <f>IFERROR(__xludf.DUMMYFUNCTION("""COMPUTED_VALUE"""),"")</f>
        <v/>
      </c>
    </row>
    <row r="1359">
      <c r="A1359" s="2" t="s">
        <v>33</v>
      </c>
      <c r="B1359" s="12">
        <v>1304470.0</v>
      </c>
      <c r="C1359" s="12">
        <v>1304913.0</v>
      </c>
      <c r="D1359" s="2"/>
      <c r="E1359" s="2" t="s">
        <v>34</v>
      </c>
      <c r="F1359" s="2" t="s">
        <v>3669</v>
      </c>
      <c r="G1359" s="2"/>
      <c r="H1359" s="12">
        <v>0.0</v>
      </c>
      <c r="I1359" s="2" t="s">
        <v>40</v>
      </c>
      <c r="J1359" s="2"/>
      <c r="K1359" s="2" t="s">
        <v>3670</v>
      </c>
      <c r="L1359" s="12">
        <v>147.0</v>
      </c>
      <c r="M1359" s="2" t="s">
        <v>3671</v>
      </c>
      <c r="N1359" s="2" t="str">
        <f>IFERROR(__xludf.DUMMYFUNCTION("""COMPUTED_VALUE"""),"")</f>
        <v/>
      </c>
    </row>
    <row r="1360">
      <c r="A1360" s="2" t="s">
        <v>33</v>
      </c>
      <c r="B1360" s="12">
        <v>1305061.0</v>
      </c>
      <c r="C1360" s="12">
        <v>1305246.0</v>
      </c>
      <c r="D1360" s="2"/>
      <c r="E1360" s="2" t="s">
        <v>34</v>
      </c>
      <c r="F1360" s="2" t="s">
        <v>1752</v>
      </c>
      <c r="G1360" s="2"/>
      <c r="H1360" s="12">
        <v>0.0</v>
      </c>
      <c r="I1360" s="2" t="s">
        <v>40</v>
      </c>
      <c r="J1360" s="2"/>
      <c r="K1360" s="2" t="s">
        <v>3672</v>
      </c>
      <c r="L1360" s="12">
        <v>61.0</v>
      </c>
      <c r="M1360" s="2" t="s">
        <v>3673</v>
      </c>
      <c r="N1360" s="2" t="str">
        <f>IFERROR(__xludf.DUMMYFUNCTION("""COMPUTED_VALUE"""),"")</f>
        <v/>
      </c>
    </row>
    <row r="1361">
      <c r="A1361" s="2" t="s">
        <v>33</v>
      </c>
      <c r="B1361" s="12">
        <v>1305361.0</v>
      </c>
      <c r="C1361" s="12">
        <v>1306680.0</v>
      </c>
      <c r="D1361" s="2"/>
      <c r="E1361" s="2" t="s">
        <v>34</v>
      </c>
      <c r="F1361" s="2" t="s">
        <v>3453</v>
      </c>
      <c r="G1361" s="2"/>
      <c r="H1361" s="12">
        <v>0.0</v>
      </c>
      <c r="I1361" s="2" t="s">
        <v>40</v>
      </c>
      <c r="J1361" s="2"/>
      <c r="K1361" s="2" t="s">
        <v>3674</v>
      </c>
      <c r="L1361" s="12">
        <v>439.0</v>
      </c>
      <c r="M1361" s="2" t="s">
        <v>3675</v>
      </c>
      <c r="N1361" s="2" t="str">
        <f>IFERROR(__xludf.DUMMYFUNCTION("""COMPUTED_VALUE"""),"")</f>
        <v/>
      </c>
    </row>
    <row r="1362">
      <c r="A1362" s="2" t="s">
        <v>33</v>
      </c>
      <c r="B1362" s="12">
        <v>1306976.0</v>
      </c>
      <c r="C1362" s="12">
        <v>1307770.0</v>
      </c>
      <c r="D1362" s="2"/>
      <c r="E1362" s="2" t="s">
        <v>34</v>
      </c>
      <c r="F1362" s="2" t="s">
        <v>3676</v>
      </c>
      <c r="G1362" s="2"/>
      <c r="H1362" s="12">
        <v>0.0</v>
      </c>
      <c r="I1362" s="2" t="s">
        <v>40</v>
      </c>
      <c r="J1362" s="2"/>
      <c r="K1362" s="2" t="s">
        <v>3677</v>
      </c>
      <c r="L1362" s="12">
        <v>264.0</v>
      </c>
      <c r="M1362" s="2" t="s">
        <v>3678</v>
      </c>
      <c r="N1362" s="2" t="str">
        <f>IFERROR(__xludf.DUMMYFUNCTION("""COMPUTED_VALUE"""),"")</f>
        <v/>
      </c>
    </row>
    <row r="1363">
      <c r="A1363" s="2" t="s">
        <v>33</v>
      </c>
      <c r="B1363" s="12">
        <v>1307972.0</v>
      </c>
      <c r="C1363" s="12">
        <v>1308823.0</v>
      </c>
      <c r="D1363" s="2"/>
      <c r="E1363" s="2" t="s">
        <v>34</v>
      </c>
      <c r="F1363" s="2" t="s">
        <v>3679</v>
      </c>
      <c r="G1363" s="2"/>
      <c r="H1363" s="12">
        <v>0.0</v>
      </c>
      <c r="I1363" s="2" t="s">
        <v>40</v>
      </c>
      <c r="J1363" s="2"/>
      <c r="K1363" s="2" t="s">
        <v>3680</v>
      </c>
      <c r="L1363" s="12">
        <v>283.0</v>
      </c>
      <c r="M1363" s="2" t="s">
        <v>3681</v>
      </c>
      <c r="N1363" s="2" t="str">
        <f>IFERROR(__xludf.DUMMYFUNCTION("""COMPUTED_VALUE"""),"")</f>
        <v/>
      </c>
    </row>
    <row r="1364">
      <c r="A1364" s="2" t="s">
        <v>33</v>
      </c>
      <c r="B1364" s="12">
        <v>1308851.0</v>
      </c>
      <c r="C1364" s="12">
        <v>1309162.0</v>
      </c>
      <c r="D1364" s="2"/>
      <c r="E1364" s="2" t="s">
        <v>38</v>
      </c>
      <c r="F1364" s="2" t="s">
        <v>3682</v>
      </c>
      <c r="G1364" s="2"/>
      <c r="H1364" s="12">
        <v>0.0</v>
      </c>
      <c r="I1364" s="2" t="s">
        <v>40</v>
      </c>
      <c r="J1364" s="2"/>
      <c r="K1364" s="2" t="s">
        <v>3683</v>
      </c>
      <c r="L1364" s="12">
        <v>103.0</v>
      </c>
      <c r="M1364" s="2" t="s">
        <v>3684</v>
      </c>
      <c r="N1364" s="2" t="str">
        <f>IFERROR(__xludf.DUMMYFUNCTION("""COMPUTED_VALUE"""),"")</f>
        <v/>
      </c>
    </row>
    <row r="1365">
      <c r="A1365" s="2" t="s">
        <v>33</v>
      </c>
      <c r="B1365" s="12">
        <v>1309177.0</v>
      </c>
      <c r="C1365" s="12">
        <v>1309899.0</v>
      </c>
      <c r="D1365" s="2"/>
      <c r="E1365" s="2" t="s">
        <v>38</v>
      </c>
      <c r="F1365" s="2" t="s">
        <v>3685</v>
      </c>
      <c r="G1365" s="2"/>
      <c r="H1365" s="12">
        <v>0.0</v>
      </c>
      <c r="I1365" s="2" t="s">
        <v>40</v>
      </c>
      <c r="J1365" s="2"/>
      <c r="K1365" s="2" t="s">
        <v>3686</v>
      </c>
      <c r="L1365" s="12">
        <v>240.0</v>
      </c>
      <c r="M1365" s="2" t="s">
        <v>3687</v>
      </c>
      <c r="N1365" s="2" t="str">
        <f>IFERROR(__xludf.DUMMYFUNCTION("""COMPUTED_VALUE"""),"")</f>
        <v/>
      </c>
    </row>
    <row r="1366">
      <c r="A1366" s="2" t="s">
        <v>33</v>
      </c>
      <c r="B1366" s="12">
        <v>1310013.0</v>
      </c>
      <c r="C1366" s="12">
        <v>1310723.0</v>
      </c>
      <c r="D1366" s="2"/>
      <c r="E1366" s="2" t="s">
        <v>38</v>
      </c>
      <c r="F1366" s="2" t="s">
        <v>3688</v>
      </c>
      <c r="G1366" s="2"/>
      <c r="H1366" s="12">
        <v>0.0</v>
      </c>
      <c r="I1366" s="2" t="s">
        <v>40</v>
      </c>
      <c r="J1366" s="2"/>
      <c r="K1366" s="2" t="s">
        <v>3689</v>
      </c>
      <c r="L1366" s="12">
        <v>236.0</v>
      </c>
      <c r="M1366" s="2" t="s">
        <v>3690</v>
      </c>
      <c r="N1366" s="2" t="str">
        <f>IFERROR(__xludf.DUMMYFUNCTION("""COMPUTED_VALUE"""),"")</f>
        <v/>
      </c>
    </row>
    <row r="1367">
      <c r="A1367" s="2" t="s">
        <v>33</v>
      </c>
      <c r="B1367" s="12">
        <v>1310723.0</v>
      </c>
      <c r="C1367" s="12">
        <v>1312144.0</v>
      </c>
      <c r="D1367" s="2"/>
      <c r="E1367" s="2" t="s">
        <v>38</v>
      </c>
      <c r="F1367" s="2" t="s">
        <v>3691</v>
      </c>
      <c r="G1367" s="2"/>
      <c r="H1367" s="12">
        <v>0.0</v>
      </c>
      <c r="I1367" s="2" t="s">
        <v>40</v>
      </c>
      <c r="J1367" s="2"/>
      <c r="K1367" s="2" t="s">
        <v>3692</v>
      </c>
      <c r="L1367" s="12">
        <v>473.0</v>
      </c>
      <c r="M1367" s="2" t="s">
        <v>3693</v>
      </c>
      <c r="N1367" s="2" t="str">
        <f>IFERROR(__xludf.DUMMYFUNCTION("""COMPUTED_VALUE"""),"")</f>
        <v/>
      </c>
    </row>
    <row r="1368">
      <c r="A1368" s="2" t="s">
        <v>33</v>
      </c>
      <c r="B1368" s="12">
        <v>1312161.0</v>
      </c>
      <c r="C1368" s="12">
        <v>1312880.0</v>
      </c>
      <c r="D1368" s="2"/>
      <c r="E1368" s="2" t="s">
        <v>38</v>
      </c>
      <c r="F1368" s="2" t="s">
        <v>3694</v>
      </c>
      <c r="G1368" s="2"/>
      <c r="H1368" s="12">
        <v>0.0</v>
      </c>
      <c r="I1368" s="2" t="s">
        <v>40</v>
      </c>
      <c r="J1368" s="2"/>
      <c r="K1368" s="2" t="s">
        <v>3695</v>
      </c>
      <c r="L1368" s="12">
        <v>239.0</v>
      </c>
      <c r="M1368" s="2" t="s">
        <v>3696</v>
      </c>
      <c r="N1368" s="2" t="str">
        <f>IFERROR(__xludf.DUMMYFUNCTION("""COMPUTED_VALUE"""),"")</f>
        <v/>
      </c>
    </row>
    <row r="1369">
      <c r="A1369" s="2" t="s">
        <v>33</v>
      </c>
      <c r="B1369" s="12">
        <v>1313049.0</v>
      </c>
      <c r="C1369" s="12">
        <v>1313738.0</v>
      </c>
      <c r="D1369" s="2"/>
      <c r="E1369" s="2" t="s">
        <v>38</v>
      </c>
      <c r="F1369" s="2" t="s">
        <v>3697</v>
      </c>
      <c r="G1369" s="2"/>
      <c r="H1369" s="12">
        <v>0.0</v>
      </c>
      <c r="I1369" s="2" t="s">
        <v>40</v>
      </c>
      <c r="J1369" s="2"/>
      <c r="K1369" s="2" t="s">
        <v>3698</v>
      </c>
      <c r="L1369" s="12">
        <v>229.0</v>
      </c>
      <c r="M1369" s="2" t="s">
        <v>3699</v>
      </c>
      <c r="N1369" s="2" t="str">
        <f>IFERROR(__xludf.DUMMYFUNCTION("""COMPUTED_VALUE"""),"")</f>
        <v/>
      </c>
    </row>
    <row r="1370">
      <c r="A1370" s="2" t="s">
        <v>33</v>
      </c>
      <c r="B1370" s="12">
        <v>1314121.0</v>
      </c>
      <c r="C1370" s="12">
        <v>1315521.0</v>
      </c>
      <c r="D1370" s="2"/>
      <c r="E1370" s="2" t="s">
        <v>38</v>
      </c>
      <c r="F1370" s="2" t="s">
        <v>382</v>
      </c>
      <c r="G1370" s="2"/>
      <c r="H1370" s="12">
        <v>0.0</v>
      </c>
      <c r="I1370" s="2" t="s">
        <v>40</v>
      </c>
      <c r="J1370" s="2"/>
      <c r="K1370" s="2" t="s">
        <v>3700</v>
      </c>
      <c r="L1370" s="12">
        <v>466.0</v>
      </c>
      <c r="M1370" s="2" t="s">
        <v>3701</v>
      </c>
      <c r="N1370" s="2" t="str">
        <f>IFERROR(__xludf.DUMMYFUNCTION("""COMPUTED_VALUE"""),"")</f>
        <v/>
      </c>
    </row>
    <row r="1371">
      <c r="A1371" s="2" t="s">
        <v>33</v>
      </c>
      <c r="B1371" s="12">
        <v>1315525.0</v>
      </c>
      <c r="C1371" s="12">
        <v>1316196.0</v>
      </c>
      <c r="D1371" s="2"/>
      <c r="E1371" s="2" t="s">
        <v>38</v>
      </c>
      <c r="F1371" s="2" t="s">
        <v>379</v>
      </c>
      <c r="G1371" s="2"/>
      <c r="H1371" s="12">
        <v>0.0</v>
      </c>
      <c r="I1371" s="2" t="s">
        <v>40</v>
      </c>
      <c r="J1371" s="2"/>
      <c r="K1371" s="2" t="s">
        <v>3702</v>
      </c>
      <c r="L1371" s="12">
        <v>223.0</v>
      </c>
      <c r="M1371" s="2" t="s">
        <v>3703</v>
      </c>
      <c r="N1371" s="2" t="str">
        <f>IFERROR(__xludf.DUMMYFUNCTION("""COMPUTED_VALUE"""),"")</f>
        <v/>
      </c>
    </row>
    <row r="1372">
      <c r="A1372" s="2" t="s">
        <v>33</v>
      </c>
      <c r="B1372" s="12">
        <v>1316189.0</v>
      </c>
      <c r="C1372" s="12">
        <v>1317163.0</v>
      </c>
      <c r="D1372" s="2"/>
      <c r="E1372" s="2" t="s">
        <v>38</v>
      </c>
      <c r="F1372" s="2" t="s">
        <v>3704</v>
      </c>
      <c r="G1372" s="2"/>
      <c r="H1372" s="12">
        <v>0.0</v>
      </c>
      <c r="I1372" s="2" t="s">
        <v>40</v>
      </c>
      <c r="J1372" s="2"/>
      <c r="K1372" s="2" t="s">
        <v>3705</v>
      </c>
      <c r="L1372" s="12">
        <v>324.0</v>
      </c>
      <c r="M1372" s="2" t="s">
        <v>3706</v>
      </c>
      <c r="N1372" s="2" t="str">
        <f>IFERROR(__xludf.DUMMYFUNCTION("""COMPUTED_VALUE"""),"")</f>
        <v/>
      </c>
    </row>
    <row r="1373">
      <c r="A1373" s="2" t="s">
        <v>33</v>
      </c>
      <c r="B1373" s="12">
        <v>1317291.0</v>
      </c>
      <c r="C1373" s="12">
        <v>1318415.0</v>
      </c>
      <c r="D1373" s="2"/>
      <c r="E1373" s="2" t="s">
        <v>34</v>
      </c>
      <c r="F1373" s="2" t="s">
        <v>3707</v>
      </c>
      <c r="G1373" s="2"/>
      <c r="H1373" s="12">
        <v>0.0</v>
      </c>
      <c r="I1373" s="2" t="s">
        <v>40</v>
      </c>
      <c r="J1373" s="2"/>
      <c r="K1373" s="2" t="s">
        <v>3708</v>
      </c>
      <c r="L1373" s="12">
        <v>374.0</v>
      </c>
      <c r="M1373" s="2" t="s">
        <v>3709</v>
      </c>
      <c r="N1373" s="2" t="str">
        <f>IFERROR(__xludf.DUMMYFUNCTION("""COMPUTED_VALUE"""),"")</f>
        <v/>
      </c>
    </row>
    <row r="1374">
      <c r="A1374" s="2" t="s">
        <v>33</v>
      </c>
      <c r="B1374" s="12">
        <v>1318533.0</v>
      </c>
      <c r="C1374" s="12">
        <v>1319945.0</v>
      </c>
      <c r="D1374" s="2"/>
      <c r="E1374" s="2" t="s">
        <v>34</v>
      </c>
      <c r="F1374" s="2" t="s">
        <v>3710</v>
      </c>
      <c r="G1374" s="2" t="s">
        <v>3711</v>
      </c>
      <c r="H1374" s="12">
        <v>0.0</v>
      </c>
      <c r="I1374" s="2" t="s">
        <v>40</v>
      </c>
      <c r="J1374" s="2"/>
      <c r="K1374" s="2" t="s">
        <v>3712</v>
      </c>
      <c r="L1374" s="12">
        <v>470.0</v>
      </c>
      <c r="M1374" s="2" t="s">
        <v>3713</v>
      </c>
      <c r="N1374" s="2" t="str">
        <f>IFERROR(__xludf.DUMMYFUNCTION("""COMPUTED_VALUE"""),"")</f>
        <v/>
      </c>
    </row>
    <row r="1375">
      <c r="A1375" s="2" t="s">
        <v>33</v>
      </c>
      <c r="B1375" s="12">
        <v>1319942.0</v>
      </c>
      <c r="C1375" s="12">
        <v>1321270.0</v>
      </c>
      <c r="D1375" s="2"/>
      <c r="E1375" s="2" t="s">
        <v>34</v>
      </c>
      <c r="F1375" s="2" t="s">
        <v>3694</v>
      </c>
      <c r="G1375" s="2"/>
      <c r="H1375" s="12">
        <v>0.0</v>
      </c>
      <c r="I1375" s="2" t="s">
        <v>40</v>
      </c>
      <c r="J1375" s="2"/>
      <c r="K1375" s="2" t="s">
        <v>3714</v>
      </c>
      <c r="L1375" s="12">
        <v>442.0</v>
      </c>
      <c r="M1375" s="2" t="s">
        <v>3715</v>
      </c>
      <c r="N1375" s="2" t="str">
        <f>IFERROR(__xludf.DUMMYFUNCTION("""COMPUTED_VALUE"""),"")</f>
        <v/>
      </c>
    </row>
    <row r="1376">
      <c r="A1376" s="2" t="s">
        <v>33</v>
      </c>
      <c r="B1376" s="12">
        <v>1321726.0</v>
      </c>
      <c r="C1376" s="12">
        <v>1322553.0</v>
      </c>
      <c r="D1376" s="2"/>
      <c r="E1376" s="2" t="s">
        <v>34</v>
      </c>
      <c r="F1376" s="2" t="s">
        <v>3716</v>
      </c>
      <c r="G1376" s="2"/>
      <c r="H1376" s="12">
        <v>0.0</v>
      </c>
      <c r="I1376" s="2" t="s">
        <v>40</v>
      </c>
      <c r="J1376" s="2"/>
      <c r="K1376" s="2" t="s">
        <v>3717</v>
      </c>
      <c r="L1376" s="12">
        <v>275.0</v>
      </c>
      <c r="M1376" s="2" t="s">
        <v>3718</v>
      </c>
      <c r="N1376" s="2" t="str">
        <f>IFERROR(__xludf.DUMMYFUNCTION("""COMPUTED_VALUE"""),"")</f>
        <v/>
      </c>
    </row>
    <row r="1377">
      <c r="A1377" s="2" t="s">
        <v>33</v>
      </c>
      <c r="B1377" s="12">
        <v>1322594.0</v>
      </c>
      <c r="C1377" s="12">
        <v>1323211.0</v>
      </c>
      <c r="D1377" s="2"/>
      <c r="E1377" s="2" t="s">
        <v>38</v>
      </c>
      <c r="F1377" s="2" t="s">
        <v>1497</v>
      </c>
      <c r="G1377" s="2"/>
      <c r="H1377" s="12">
        <v>0.0</v>
      </c>
      <c r="I1377" s="2" t="s">
        <v>40</v>
      </c>
      <c r="J1377" s="2"/>
      <c r="K1377" s="2" t="s">
        <v>3719</v>
      </c>
      <c r="L1377" s="12">
        <v>205.0</v>
      </c>
      <c r="M1377" s="2" t="s">
        <v>3720</v>
      </c>
      <c r="N1377" s="2" t="str">
        <f>IFERROR(__xludf.DUMMYFUNCTION("""COMPUTED_VALUE"""),"")</f>
        <v/>
      </c>
    </row>
    <row r="1378">
      <c r="A1378" s="2" t="s">
        <v>33</v>
      </c>
      <c r="B1378" s="12">
        <v>1323303.0</v>
      </c>
      <c r="C1378" s="12">
        <v>1324226.0</v>
      </c>
      <c r="D1378" s="2"/>
      <c r="E1378" s="2" t="s">
        <v>38</v>
      </c>
      <c r="F1378" s="2" t="s">
        <v>3721</v>
      </c>
      <c r="G1378" s="2"/>
      <c r="H1378" s="12">
        <v>0.0</v>
      </c>
      <c r="I1378" s="2" t="s">
        <v>40</v>
      </c>
      <c r="J1378" s="2"/>
      <c r="K1378" s="2" t="s">
        <v>3722</v>
      </c>
      <c r="L1378" s="12">
        <v>307.0</v>
      </c>
      <c r="M1378" s="2" t="s">
        <v>3723</v>
      </c>
      <c r="N1378" s="2" t="str">
        <f>IFERROR(__xludf.DUMMYFUNCTION("""COMPUTED_VALUE"""),"")</f>
        <v/>
      </c>
    </row>
    <row r="1379">
      <c r="A1379" s="2" t="s">
        <v>33</v>
      </c>
      <c r="B1379" s="12">
        <v>1324327.0</v>
      </c>
      <c r="C1379" s="12">
        <v>1324743.0</v>
      </c>
      <c r="D1379" s="2"/>
      <c r="E1379" s="2" t="s">
        <v>38</v>
      </c>
      <c r="F1379" s="2" t="s">
        <v>39</v>
      </c>
      <c r="G1379" s="2"/>
      <c r="H1379" s="12">
        <v>0.0</v>
      </c>
      <c r="I1379" s="2" t="s">
        <v>40</v>
      </c>
      <c r="J1379" s="2"/>
      <c r="K1379" s="2" t="s">
        <v>3724</v>
      </c>
      <c r="L1379" s="12">
        <v>138.0</v>
      </c>
      <c r="M1379" s="2" t="s">
        <v>3725</v>
      </c>
      <c r="N1379" s="2" t="str">
        <f>IFERROR(__xludf.DUMMYFUNCTION("""COMPUTED_VALUE"""),"")</f>
        <v/>
      </c>
    </row>
    <row r="1380">
      <c r="A1380" s="2" t="s">
        <v>33</v>
      </c>
      <c r="B1380" s="12">
        <v>1324845.0</v>
      </c>
      <c r="C1380" s="12">
        <v>1327037.0</v>
      </c>
      <c r="D1380" s="2"/>
      <c r="E1380" s="2" t="s">
        <v>38</v>
      </c>
      <c r="F1380" s="2" t="s">
        <v>757</v>
      </c>
      <c r="G1380" s="2"/>
      <c r="H1380" s="12">
        <v>0.0</v>
      </c>
      <c r="I1380" s="2" t="s">
        <v>40</v>
      </c>
      <c r="J1380" s="2"/>
      <c r="K1380" s="2" t="s">
        <v>3726</v>
      </c>
      <c r="L1380" s="12">
        <v>730.0</v>
      </c>
      <c r="M1380" s="2" t="s">
        <v>3727</v>
      </c>
      <c r="N1380" s="2" t="str">
        <f>IFERROR(__xludf.DUMMYFUNCTION("""COMPUTED_VALUE"""),"")</f>
        <v/>
      </c>
    </row>
    <row r="1381">
      <c r="A1381" s="2" t="s">
        <v>33</v>
      </c>
      <c r="B1381" s="12">
        <v>1327148.0</v>
      </c>
      <c r="C1381" s="12">
        <v>1327795.0</v>
      </c>
      <c r="D1381" s="2"/>
      <c r="E1381" s="2" t="s">
        <v>38</v>
      </c>
      <c r="F1381" s="2" t="s">
        <v>963</v>
      </c>
      <c r="G1381" s="2"/>
      <c r="H1381" s="12">
        <v>0.0</v>
      </c>
      <c r="I1381" s="2" t="s">
        <v>40</v>
      </c>
      <c r="J1381" s="2"/>
      <c r="K1381" s="2" t="s">
        <v>3728</v>
      </c>
      <c r="L1381" s="12">
        <v>215.0</v>
      </c>
      <c r="M1381" s="2" t="s">
        <v>3729</v>
      </c>
      <c r="N1381" s="2" t="str">
        <f>IFERROR(__xludf.DUMMYFUNCTION("""COMPUTED_VALUE"""),"")</f>
        <v/>
      </c>
    </row>
    <row r="1382">
      <c r="A1382" s="2" t="s">
        <v>33</v>
      </c>
      <c r="B1382" s="12">
        <v>1327855.0</v>
      </c>
      <c r="C1382" s="12">
        <v>1328904.0</v>
      </c>
      <c r="D1382" s="2"/>
      <c r="E1382" s="2" t="s">
        <v>38</v>
      </c>
      <c r="F1382" s="2" t="s">
        <v>3730</v>
      </c>
      <c r="G1382" s="2" t="s">
        <v>3731</v>
      </c>
      <c r="H1382" s="12">
        <v>0.0</v>
      </c>
      <c r="I1382" s="2" t="s">
        <v>40</v>
      </c>
      <c r="J1382" s="2"/>
      <c r="K1382" s="2" t="s">
        <v>3732</v>
      </c>
      <c r="L1382" s="12">
        <v>349.0</v>
      </c>
      <c r="M1382" s="2" t="s">
        <v>3733</v>
      </c>
      <c r="N1382" s="2" t="str">
        <f>IFERROR(__xludf.DUMMYFUNCTION("""COMPUTED_VALUE"""),"")</f>
        <v/>
      </c>
    </row>
    <row r="1383">
      <c r="A1383" s="2" t="s">
        <v>33</v>
      </c>
      <c r="B1383" s="12">
        <v>1328943.0</v>
      </c>
      <c r="C1383" s="12">
        <v>1329743.0</v>
      </c>
      <c r="D1383" s="2"/>
      <c r="E1383" s="2" t="s">
        <v>38</v>
      </c>
      <c r="F1383" s="2" t="s">
        <v>3734</v>
      </c>
      <c r="G1383" s="2" t="s">
        <v>3735</v>
      </c>
      <c r="H1383" s="12">
        <v>0.0</v>
      </c>
      <c r="I1383" s="2" t="s">
        <v>40</v>
      </c>
      <c r="J1383" s="2"/>
      <c r="K1383" s="2" t="s">
        <v>3736</v>
      </c>
      <c r="L1383" s="12">
        <v>266.0</v>
      </c>
      <c r="M1383" s="2" t="s">
        <v>3737</v>
      </c>
      <c r="N1383" s="2" t="str">
        <f>IFERROR(__xludf.DUMMYFUNCTION("""COMPUTED_VALUE"""),"")</f>
        <v/>
      </c>
    </row>
    <row r="1384">
      <c r="A1384" s="2" t="s">
        <v>33</v>
      </c>
      <c r="B1384" s="12">
        <v>1329750.0</v>
      </c>
      <c r="C1384" s="12">
        <v>1330598.0</v>
      </c>
      <c r="D1384" s="2"/>
      <c r="E1384" s="2" t="s">
        <v>38</v>
      </c>
      <c r="F1384" s="2" t="s">
        <v>3738</v>
      </c>
      <c r="G1384" s="2" t="s">
        <v>3739</v>
      </c>
      <c r="H1384" s="12">
        <v>0.0</v>
      </c>
      <c r="I1384" s="2" t="s">
        <v>40</v>
      </c>
      <c r="J1384" s="2"/>
      <c r="K1384" s="2" t="s">
        <v>3740</v>
      </c>
      <c r="L1384" s="12">
        <v>282.0</v>
      </c>
      <c r="M1384" s="2" t="s">
        <v>3741</v>
      </c>
      <c r="N1384" s="2" t="str">
        <f>IFERROR(__xludf.DUMMYFUNCTION("""COMPUTED_VALUE"""),"")</f>
        <v/>
      </c>
    </row>
    <row r="1385">
      <c r="A1385" s="2" t="s">
        <v>33</v>
      </c>
      <c r="B1385" s="12">
        <v>1330595.0</v>
      </c>
      <c r="C1385" s="12">
        <v>1331578.0</v>
      </c>
      <c r="D1385" s="2"/>
      <c r="E1385" s="2" t="s">
        <v>38</v>
      </c>
      <c r="F1385" s="2" t="s">
        <v>3742</v>
      </c>
      <c r="G1385" s="2" t="s">
        <v>3743</v>
      </c>
      <c r="H1385" s="12">
        <v>0.0</v>
      </c>
      <c r="I1385" s="2" t="s">
        <v>40</v>
      </c>
      <c r="J1385" s="2"/>
      <c r="K1385" s="2" t="s">
        <v>3744</v>
      </c>
      <c r="L1385" s="12">
        <v>327.0</v>
      </c>
      <c r="M1385" s="2" t="s">
        <v>3745</v>
      </c>
      <c r="N1385" s="2" t="str">
        <f>IFERROR(__xludf.DUMMYFUNCTION("""COMPUTED_VALUE"""),"")</f>
        <v/>
      </c>
    </row>
    <row r="1386">
      <c r="A1386" s="2" t="s">
        <v>33</v>
      </c>
      <c r="B1386" s="12">
        <v>1331819.0</v>
      </c>
      <c r="C1386" s="12">
        <v>1333186.0</v>
      </c>
      <c r="D1386" s="2"/>
      <c r="E1386" s="2" t="s">
        <v>38</v>
      </c>
      <c r="F1386" s="2" t="s">
        <v>3746</v>
      </c>
      <c r="G1386" s="2"/>
      <c r="H1386" s="12">
        <v>0.0</v>
      </c>
      <c r="I1386" s="2" t="s">
        <v>40</v>
      </c>
      <c r="J1386" s="2"/>
      <c r="K1386" s="2" t="s">
        <v>3747</v>
      </c>
      <c r="L1386" s="12">
        <v>455.0</v>
      </c>
      <c r="M1386" s="2" t="s">
        <v>3748</v>
      </c>
      <c r="N1386" s="2" t="str">
        <f>IFERROR(__xludf.DUMMYFUNCTION("""COMPUTED_VALUE"""),"")</f>
        <v/>
      </c>
    </row>
    <row r="1387">
      <c r="A1387" s="2" t="s">
        <v>33</v>
      </c>
      <c r="B1387" s="12">
        <v>1333358.0</v>
      </c>
      <c r="C1387" s="12">
        <v>1335748.0</v>
      </c>
      <c r="D1387" s="2"/>
      <c r="E1387" s="2" t="s">
        <v>38</v>
      </c>
      <c r="F1387" s="2" t="s">
        <v>3749</v>
      </c>
      <c r="G1387" s="2" t="s">
        <v>3750</v>
      </c>
      <c r="H1387" s="12">
        <v>0.0</v>
      </c>
      <c r="I1387" s="2" t="s">
        <v>40</v>
      </c>
      <c r="J1387" s="2"/>
      <c r="K1387" s="2" t="s">
        <v>3751</v>
      </c>
      <c r="L1387" s="12">
        <v>796.0</v>
      </c>
      <c r="M1387" s="2" t="s">
        <v>3752</v>
      </c>
      <c r="N1387" s="2" t="str">
        <f>IFERROR(__xludf.DUMMYFUNCTION("""COMPUTED_VALUE"""),"")</f>
        <v/>
      </c>
    </row>
    <row r="1388">
      <c r="A1388" s="2" t="s">
        <v>33</v>
      </c>
      <c r="B1388" s="12">
        <v>1336091.0</v>
      </c>
      <c r="C1388" s="12">
        <v>1336225.0</v>
      </c>
      <c r="D1388" s="2"/>
      <c r="E1388" s="2" t="s">
        <v>34</v>
      </c>
      <c r="F1388" s="2" t="s">
        <v>3753</v>
      </c>
      <c r="G1388" s="2"/>
      <c r="H1388" s="12">
        <v>0.0</v>
      </c>
      <c r="I1388" s="2" t="s">
        <v>40</v>
      </c>
      <c r="J1388" s="2"/>
      <c r="K1388" s="2" t="s">
        <v>3754</v>
      </c>
      <c r="L1388" s="12">
        <v>44.0</v>
      </c>
      <c r="M1388" s="2" t="s">
        <v>3755</v>
      </c>
      <c r="N1388" s="2" t="str">
        <f>IFERROR(__xludf.DUMMYFUNCTION("""COMPUTED_VALUE"""),"")</f>
        <v/>
      </c>
    </row>
    <row r="1389">
      <c r="A1389" s="2" t="s">
        <v>33</v>
      </c>
      <c r="B1389" s="12">
        <v>1336305.0</v>
      </c>
      <c r="C1389" s="12">
        <v>1336628.0</v>
      </c>
      <c r="D1389" s="2"/>
      <c r="E1389" s="2" t="s">
        <v>34</v>
      </c>
      <c r="F1389" s="2" t="s">
        <v>216</v>
      </c>
      <c r="G1389" s="2"/>
      <c r="H1389" s="12">
        <v>0.0</v>
      </c>
      <c r="I1389" s="2" t="s">
        <v>40</v>
      </c>
      <c r="J1389" s="2"/>
      <c r="K1389" s="2" t="s">
        <v>3756</v>
      </c>
      <c r="L1389" s="12">
        <v>107.0</v>
      </c>
      <c r="M1389" s="2" t="s">
        <v>3757</v>
      </c>
      <c r="N1389" s="2" t="str">
        <f>IFERROR(__xludf.DUMMYFUNCTION("""COMPUTED_VALUE"""),"")</f>
        <v/>
      </c>
    </row>
    <row r="1390">
      <c r="A1390" s="2" t="s">
        <v>33</v>
      </c>
      <c r="B1390" s="12">
        <v>1336701.0</v>
      </c>
      <c r="C1390" s="12">
        <v>1337294.0</v>
      </c>
      <c r="D1390" s="2"/>
      <c r="E1390" s="2" t="s">
        <v>38</v>
      </c>
      <c r="F1390" s="2" t="s">
        <v>3758</v>
      </c>
      <c r="G1390" s="2" t="s">
        <v>3759</v>
      </c>
      <c r="H1390" s="12">
        <v>0.0</v>
      </c>
      <c r="I1390" s="2" t="s">
        <v>40</v>
      </c>
      <c r="J1390" s="2"/>
      <c r="K1390" s="2" t="s">
        <v>3760</v>
      </c>
      <c r="L1390" s="12">
        <v>197.0</v>
      </c>
      <c r="M1390" s="2" t="s">
        <v>3761</v>
      </c>
      <c r="N1390" s="2" t="str">
        <f>IFERROR(__xludf.DUMMYFUNCTION("""COMPUTED_VALUE"""),"")</f>
        <v/>
      </c>
    </row>
    <row r="1391">
      <c r="A1391" s="2" t="s">
        <v>33</v>
      </c>
      <c r="B1391" s="12">
        <v>1337681.0</v>
      </c>
      <c r="C1391" s="12">
        <v>1338505.0</v>
      </c>
      <c r="D1391" s="2"/>
      <c r="E1391" s="2" t="s">
        <v>38</v>
      </c>
      <c r="F1391" s="2" t="s">
        <v>3762</v>
      </c>
      <c r="G1391" s="2"/>
      <c r="H1391" s="12">
        <v>0.0</v>
      </c>
      <c r="I1391" s="2" t="s">
        <v>40</v>
      </c>
      <c r="J1391" s="2"/>
      <c r="K1391" s="2" t="s">
        <v>3763</v>
      </c>
      <c r="L1391" s="12">
        <v>274.0</v>
      </c>
      <c r="M1391" s="2" t="s">
        <v>3764</v>
      </c>
      <c r="N1391" s="2" t="str">
        <f>IFERROR(__xludf.DUMMYFUNCTION("""COMPUTED_VALUE"""),"")</f>
        <v/>
      </c>
    </row>
    <row r="1392">
      <c r="A1392" s="2" t="s">
        <v>33</v>
      </c>
      <c r="B1392" s="12">
        <v>1338636.0</v>
      </c>
      <c r="C1392" s="12">
        <v>1339223.0</v>
      </c>
      <c r="D1392" s="2"/>
      <c r="E1392" s="2" t="s">
        <v>38</v>
      </c>
      <c r="F1392" s="2" t="s">
        <v>3765</v>
      </c>
      <c r="G1392" s="2"/>
      <c r="H1392" s="12">
        <v>0.0</v>
      </c>
      <c r="I1392" s="2" t="s">
        <v>40</v>
      </c>
      <c r="J1392" s="2"/>
      <c r="K1392" s="2" t="s">
        <v>3766</v>
      </c>
      <c r="L1392" s="12">
        <v>195.0</v>
      </c>
      <c r="M1392" s="2" t="s">
        <v>3767</v>
      </c>
      <c r="N1392" s="2" t="str">
        <f>IFERROR(__xludf.DUMMYFUNCTION("""COMPUTED_VALUE"""),"")</f>
        <v/>
      </c>
    </row>
    <row r="1393">
      <c r="A1393" s="2" t="s">
        <v>33</v>
      </c>
      <c r="B1393" s="12">
        <v>1339284.0</v>
      </c>
      <c r="C1393" s="12">
        <v>1339853.0</v>
      </c>
      <c r="D1393" s="2"/>
      <c r="E1393" s="2" t="s">
        <v>38</v>
      </c>
      <c r="F1393" s="2" t="s">
        <v>3768</v>
      </c>
      <c r="G1393" s="2" t="s">
        <v>3769</v>
      </c>
      <c r="H1393" s="12">
        <v>0.0</v>
      </c>
      <c r="I1393" s="2" t="s">
        <v>40</v>
      </c>
      <c r="J1393" s="2"/>
      <c r="K1393" s="2" t="s">
        <v>3770</v>
      </c>
      <c r="L1393" s="12">
        <v>189.0</v>
      </c>
      <c r="M1393" s="2" t="s">
        <v>3771</v>
      </c>
      <c r="N1393" s="2" t="str">
        <f>IFERROR(__xludf.DUMMYFUNCTION("""COMPUTED_VALUE"""),"")</f>
        <v/>
      </c>
    </row>
    <row r="1394">
      <c r="A1394" s="2" t="s">
        <v>33</v>
      </c>
      <c r="B1394" s="12">
        <v>1340044.0</v>
      </c>
      <c r="C1394" s="12">
        <v>1341330.0</v>
      </c>
      <c r="D1394" s="2"/>
      <c r="E1394" s="2" t="s">
        <v>38</v>
      </c>
      <c r="F1394" s="2" t="s">
        <v>385</v>
      </c>
      <c r="G1394" s="2"/>
      <c r="H1394" s="12">
        <v>0.0</v>
      </c>
      <c r="I1394" s="2" t="s">
        <v>40</v>
      </c>
      <c r="J1394" s="2"/>
      <c r="K1394" s="2" t="s">
        <v>3772</v>
      </c>
      <c r="L1394" s="12">
        <v>428.0</v>
      </c>
      <c r="M1394" s="2" t="s">
        <v>3773</v>
      </c>
      <c r="N1394" s="2" t="str">
        <f>IFERROR(__xludf.DUMMYFUNCTION("""COMPUTED_VALUE"""),"")</f>
        <v/>
      </c>
    </row>
    <row r="1395">
      <c r="A1395" s="2" t="s">
        <v>33</v>
      </c>
      <c r="B1395" s="12">
        <v>1341482.0</v>
      </c>
      <c r="C1395" s="12">
        <v>1341709.0</v>
      </c>
      <c r="D1395" s="2"/>
      <c r="E1395" s="2" t="s">
        <v>38</v>
      </c>
      <c r="F1395" s="2" t="s">
        <v>39</v>
      </c>
      <c r="G1395" s="2"/>
      <c r="H1395" s="12">
        <v>0.0</v>
      </c>
      <c r="I1395" s="2" t="s">
        <v>40</v>
      </c>
      <c r="J1395" s="2"/>
      <c r="K1395" s="2" t="s">
        <v>3774</v>
      </c>
      <c r="L1395" s="12">
        <v>75.0</v>
      </c>
      <c r="M1395" s="2" t="s">
        <v>3775</v>
      </c>
      <c r="N1395" s="2" t="str">
        <f>IFERROR(__xludf.DUMMYFUNCTION("""COMPUTED_VALUE"""),"")</f>
        <v/>
      </c>
    </row>
    <row r="1396">
      <c r="A1396" s="2" t="s">
        <v>33</v>
      </c>
      <c r="B1396" s="12">
        <v>1342231.0</v>
      </c>
      <c r="C1396" s="12">
        <v>1342986.0</v>
      </c>
      <c r="D1396" s="2"/>
      <c r="E1396" s="2" t="s">
        <v>34</v>
      </c>
      <c r="F1396" s="2" t="s">
        <v>289</v>
      </c>
      <c r="G1396" s="2"/>
      <c r="H1396" s="12">
        <v>0.0</v>
      </c>
      <c r="I1396" s="2" t="s">
        <v>40</v>
      </c>
      <c r="J1396" s="2"/>
      <c r="K1396" s="2" t="s">
        <v>3776</v>
      </c>
      <c r="L1396" s="12">
        <v>251.0</v>
      </c>
      <c r="M1396" s="2" t="s">
        <v>3777</v>
      </c>
      <c r="N1396" s="2" t="str">
        <f>IFERROR(__xludf.DUMMYFUNCTION("""COMPUTED_VALUE"""),"")</f>
        <v/>
      </c>
    </row>
    <row r="1397">
      <c r="A1397" s="2" t="s">
        <v>33</v>
      </c>
      <c r="B1397" s="12">
        <v>1343154.0</v>
      </c>
      <c r="C1397" s="12">
        <v>1343375.0</v>
      </c>
      <c r="D1397" s="2"/>
      <c r="E1397" s="2" t="s">
        <v>34</v>
      </c>
      <c r="F1397" s="2" t="s">
        <v>39</v>
      </c>
      <c r="G1397" s="2"/>
      <c r="H1397" s="12">
        <v>0.0</v>
      </c>
      <c r="I1397" s="2" t="s">
        <v>40</v>
      </c>
      <c r="J1397" s="2"/>
      <c r="K1397" s="2" t="s">
        <v>3778</v>
      </c>
      <c r="L1397" s="12">
        <v>73.0</v>
      </c>
      <c r="M1397" s="2" t="s">
        <v>3779</v>
      </c>
      <c r="N1397" s="2" t="str">
        <f>IFERROR(__xludf.DUMMYFUNCTION("""COMPUTED_VALUE"""),"")</f>
        <v/>
      </c>
    </row>
    <row r="1398">
      <c r="A1398" s="2" t="s">
        <v>33</v>
      </c>
      <c r="B1398" s="12">
        <v>1343983.0</v>
      </c>
      <c r="C1398" s="12">
        <v>1344447.0</v>
      </c>
      <c r="D1398" s="2"/>
      <c r="E1398" s="2" t="s">
        <v>34</v>
      </c>
      <c r="F1398" s="2" t="s">
        <v>39</v>
      </c>
      <c r="G1398" s="2"/>
      <c r="H1398" s="12">
        <v>0.0</v>
      </c>
      <c r="I1398" s="2" t="s">
        <v>40</v>
      </c>
      <c r="J1398" s="2"/>
      <c r="K1398" s="2" t="s">
        <v>3780</v>
      </c>
      <c r="L1398" s="12">
        <v>154.0</v>
      </c>
      <c r="M1398" s="2" t="s">
        <v>3781</v>
      </c>
      <c r="N1398" s="2" t="str">
        <f>IFERROR(__xludf.DUMMYFUNCTION("""COMPUTED_VALUE"""),"")</f>
        <v/>
      </c>
    </row>
    <row r="1399">
      <c r="A1399" s="2" t="s">
        <v>33</v>
      </c>
      <c r="B1399" s="12">
        <v>1344718.0</v>
      </c>
      <c r="C1399" s="12">
        <v>1344790.0</v>
      </c>
      <c r="D1399" s="2"/>
      <c r="E1399" s="2" t="s">
        <v>34</v>
      </c>
      <c r="F1399" s="2" t="s">
        <v>3782</v>
      </c>
      <c r="G1399" s="2"/>
      <c r="H1399" s="12">
        <v>0.0</v>
      </c>
      <c r="I1399" s="2" t="s">
        <v>3783</v>
      </c>
      <c r="J1399" s="2"/>
      <c r="K1399" s="2"/>
      <c r="L1399" s="2"/>
      <c r="M1399" s="2" t="s">
        <v>3784</v>
      </c>
      <c r="N1399" s="2" t="str">
        <f>IFERROR(__xludf.DUMMYFUNCTION("""COMPUTED_VALUE"""),"")</f>
        <v/>
      </c>
    </row>
    <row r="1400">
      <c r="A1400" s="2" t="s">
        <v>33</v>
      </c>
      <c r="B1400" s="12">
        <v>1344889.0</v>
      </c>
      <c r="C1400" s="12">
        <v>1346001.0</v>
      </c>
      <c r="D1400" s="2"/>
      <c r="E1400" s="2" t="s">
        <v>38</v>
      </c>
      <c r="F1400" s="2" t="s">
        <v>176</v>
      </c>
      <c r="G1400" s="2"/>
      <c r="H1400" s="12">
        <v>0.0</v>
      </c>
      <c r="I1400" s="2" t="s">
        <v>40</v>
      </c>
      <c r="J1400" s="2"/>
      <c r="K1400" s="2" t="s">
        <v>3785</v>
      </c>
      <c r="L1400" s="12">
        <v>370.0</v>
      </c>
      <c r="M1400" s="2" t="s">
        <v>3786</v>
      </c>
      <c r="N1400" s="2" t="str">
        <f>IFERROR(__xludf.DUMMYFUNCTION("""COMPUTED_VALUE"""),"")</f>
        <v/>
      </c>
    </row>
    <row r="1401">
      <c r="A1401" s="2" t="s">
        <v>33</v>
      </c>
      <c r="B1401" s="12">
        <v>1346354.0</v>
      </c>
      <c r="C1401" s="12">
        <v>1348009.0</v>
      </c>
      <c r="D1401" s="2"/>
      <c r="E1401" s="2" t="s">
        <v>38</v>
      </c>
      <c r="F1401" s="2" t="s">
        <v>1952</v>
      </c>
      <c r="G1401" s="2"/>
      <c r="H1401" s="12">
        <v>0.0</v>
      </c>
      <c r="I1401" s="2" t="s">
        <v>40</v>
      </c>
      <c r="J1401" s="2"/>
      <c r="K1401" s="2" t="s">
        <v>3787</v>
      </c>
      <c r="L1401" s="12">
        <v>551.0</v>
      </c>
      <c r="M1401" s="2" t="s">
        <v>3788</v>
      </c>
      <c r="N1401" s="2" t="str">
        <f>IFERROR(__xludf.DUMMYFUNCTION("""COMPUTED_VALUE"""),"")</f>
        <v/>
      </c>
    </row>
    <row r="1402">
      <c r="A1402" s="2" t="s">
        <v>33</v>
      </c>
      <c r="B1402" s="12">
        <v>1348263.0</v>
      </c>
      <c r="C1402" s="12">
        <v>1349108.0</v>
      </c>
      <c r="D1402" s="2"/>
      <c r="E1402" s="2" t="s">
        <v>38</v>
      </c>
      <c r="F1402" s="2" t="s">
        <v>39</v>
      </c>
      <c r="G1402" s="2"/>
      <c r="H1402" s="12">
        <v>0.0</v>
      </c>
      <c r="I1402" s="2" t="s">
        <v>40</v>
      </c>
      <c r="J1402" s="2"/>
      <c r="K1402" s="2" t="s">
        <v>3789</v>
      </c>
      <c r="L1402" s="12">
        <v>281.0</v>
      </c>
      <c r="M1402" s="2" t="s">
        <v>3790</v>
      </c>
      <c r="N1402" s="2" t="str">
        <f>IFERROR(__xludf.DUMMYFUNCTION("""COMPUTED_VALUE"""),"")</f>
        <v/>
      </c>
    </row>
    <row r="1403">
      <c r="A1403" s="2" t="s">
        <v>33</v>
      </c>
      <c r="B1403" s="12">
        <v>1349531.0</v>
      </c>
      <c r="C1403" s="12">
        <v>1350283.0</v>
      </c>
      <c r="D1403" s="2"/>
      <c r="E1403" s="2" t="s">
        <v>38</v>
      </c>
      <c r="F1403" s="2" t="s">
        <v>3791</v>
      </c>
      <c r="G1403" s="2"/>
      <c r="H1403" s="12">
        <v>0.0</v>
      </c>
      <c r="I1403" s="2" t="s">
        <v>40</v>
      </c>
      <c r="J1403" s="2"/>
      <c r="K1403" s="2" t="s">
        <v>3792</v>
      </c>
      <c r="L1403" s="12">
        <v>250.0</v>
      </c>
      <c r="M1403" s="2" t="s">
        <v>3793</v>
      </c>
      <c r="N1403" s="2" t="str">
        <f>IFERROR(__xludf.DUMMYFUNCTION("""COMPUTED_VALUE"""),"")</f>
        <v/>
      </c>
    </row>
    <row r="1404">
      <c r="A1404" s="2" t="s">
        <v>33</v>
      </c>
      <c r="B1404" s="12">
        <v>1350636.0</v>
      </c>
      <c r="C1404" s="12">
        <v>1351132.0</v>
      </c>
      <c r="D1404" s="2"/>
      <c r="E1404" s="2" t="s">
        <v>34</v>
      </c>
      <c r="F1404" s="2" t="s">
        <v>35</v>
      </c>
      <c r="G1404" s="2"/>
      <c r="H1404" s="12">
        <v>0.0</v>
      </c>
      <c r="I1404" s="2" t="s">
        <v>36</v>
      </c>
      <c r="J1404" s="2"/>
      <c r="K1404" s="2"/>
      <c r="L1404" s="2"/>
      <c r="M1404" s="2" t="s">
        <v>3794</v>
      </c>
      <c r="N1404" s="2" t="str">
        <f>IFERROR(__xludf.DUMMYFUNCTION("""COMPUTED_VALUE"""),"")</f>
        <v/>
      </c>
    </row>
    <row r="1405">
      <c r="A1405" s="2" t="s">
        <v>33</v>
      </c>
      <c r="B1405" s="12">
        <v>1351423.0</v>
      </c>
      <c r="C1405" s="12">
        <v>1352655.0</v>
      </c>
      <c r="D1405" s="2"/>
      <c r="E1405" s="2" t="s">
        <v>34</v>
      </c>
      <c r="F1405" s="2" t="s">
        <v>39</v>
      </c>
      <c r="G1405" s="2"/>
      <c r="H1405" s="12">
        <v>0.0</v>
      </c>
      <c r="I1405" s="2" t="s">
        <v>40</v>
      </c>
      <c r="J1405" s="2"/>
      <c r="K1405" s="2" t="s">
        <v>3795</v>
      </c>
      <c r="L1405" s="12">
        <v>410.0</v>
      </c>
      <c r="M1405" s="2" t="s">
        <v>3796</v>
      </c>
      <c r="N1405" s="2" t="str">
        <f>IFERROR(__xludf.DUMMYFUNCTION("""COMPUTED_VALUE"""),"")</f>
        <v/>
      </c>
    </row>
    <row r="1406">
      <c r="A1406" s="2" t="s">
        <v>33</v>
      </c>
      <c r="B1406" s="12">
        <v>1352809.0</v>
      </c>
      <c r="C1406" s="12">
        <v>1353792.0</v>
      </c>
      <c r="D1406" s="2"/>
      <c r="E1406" s="2" t="s">
        <v>38</v>
      </c>
      <c r="F1406" s="2" t="s">
        <v>39</v>
      </c>
      <c r="G1406" s="2"/>
      <c r="H1406" s="12">
        <v>0.0</v>
      </c>
      <c r="I1406" s="2" t="s">
        <v>40</v>
      </c>
      <c r="J1406" s="2"/>
      <c r="K1406" s="2" t="s">
        <v>3797</v>
      </c>
      <c r="L1406" s="12">
        <v>327.0</v>
      </c>
      <c r="M1406" s="2" t="s">
        <v>3798</v>
      </c>
      <c r="N1406" s="2" t="str">
        <f>IFERROR(__xludf.DUMMYFUNCTION("""COMPUTED_VALUE"""),"")</f>
        <v/>
      </c>
    </row>
    <row r="1407">
      <c r="A1407" s="2" t="s">
        <v>33</v>
      </c>
      <c r="B1407" s="12">
        <v>1354119.0</v>
      </c>
      <c r="C1407" s="12">
        <v>1355363.0</v>
      </c>
      <c r="D1407" s="2"/>
      <c r="E1407" s="2" t="s">
        <v>38</v>
      </c>
      <c r="F1407" s="2" t="s">
        <v>3799</v>
      </c>
      <c r="G1407" s="2"/>
      <c r="H1407" s="12">
        <v>0.0</v>
      </c>
      <c r="I1407" s="2" t="s">
        <v>40</v>
      </c>
      <c r="J1407" s="2"/>
      <c r="K1407" s="2" t="s">
        <v>3800</v>
      </c>
      <c r="L1407" s="12">
        <v>414.0</v>
      </c>
      <c r="M1407" s="2" t="s">
        <v>3801</v>
      </c>
      <c r="N1407" s="2" t="str">
        <f>IFERROR(__xludf.DUMMYFUNCTION("""COMPUTED_VALUE"""),"")</f>
        <v/>
      </c>
    </row>
    <row r="1408">
      <c r="A1408" s="2" t="s">
        <v>33</v>
      </c>
      <c r="B1408" s="12">
        <v>1356326.0</v>
      </c>
      <c r="C1408" s="12">
        <v>1357324.0</v>
      </c>
      <c r="D1408" s="2"/>
      <c r="E1408" s="2" t="s">
        <v>38</v>
      </c>
      <c r="F1408" s="2" t="s">
        <v>3802</v>
      </c>
      <c r="G1408" s="2"/>
      <c r="H1408" s="12">
        <v>0.0</v>
      </c>
      <c r="I1408" s="2" t="s">
        <v>40</v>
      </c>
      <c r="J1408" s="2"/>
      <c r="K1408" s="2" t="s">
        <v>3803</v>
      </c>
      <c r="L1408" s="12">
        <v>332.0</v>
      </c>
      <c r="M1408" s="2" t="s">
        <v>3804</v>
      </c>
      <c r="N1408" s="2" t="str">
        <f>IFERROR(__xludf.DUMMYFUNCTION("""COMPUTED_VALUE"""),"")</f>
        <v/>
      </c>
    </row>
    <row r="1409">
      <c r="A1409" s="2" t="s">
        <v>33</v>
      </c>
      <c r="B1409" s="12">
        <v>1357331.0</v>
      </c>
      <c r="C1409" s="12">
        <v>1358848.0</v>
      </c>
      <c r="D1409" s="2"/>
      <c r="E1409" s="2" t="s">
        <v>38</v>
      </c>
      <c r="F1409" s="2" t="s">
        <v>712</v>
      </c>
      <c r="G1409" s="2"/>
      <c r="H1409" s="12">
        <v>0.0</v>
      </c>
      <c r="I1409" s="2" t="s">
        <v>40</v>
      </c>
      <c r="J1409" s="2"/>
      <c r="K1409" s="2" t="s">
        <v>3805</v>
      </c>
      <c r="L1409" s="12">
        <v>505.0</v>
      </c>
      <c r="M1409" s="2" t="s">
        <v>3806</v>
      </c>
      <c r="N1409" s="2" t="str">
        <f>IFERROR(__xludf.DUMMYFUNCTION("""COMPUTED_VALUE"""),"")</f>
        <v/>
      </c>
    </row>
    <row r="1410">
      <c r="A1410" s="2" t="s">
        <v>33</v>
      </c>
      <c r="B1410" s="12">
        <v>1359509.0</v>
      </c>
      <c r="C1410" s="12">
        <v>1360105.0</v>
      </c>
      <c r="D1410" s="2"/>
      <c r="E1410" s="2" t="s">
        <v>38</v>
      </c>
      <c r="F1410" s="2" t="s">
        <v>39</v>
      </c>
      <c r="G1410" s="2"/>
      <c r="H1410" s="12">
        <v>0.0</v>
      </c>
      <c r="I1410" s="2" t="s">
        <v>40</v>
      </c>
      <c r="J1410" s="2"/>
      <c r="K1410" s="2" t="s">
        <v>3807</v>
      </c>
      <c r="L1410" s="12">
        <v>198.0</v>
      </c>
      <c r="M1410" s="2" t="s">
        <v>3808</v>
      </c>
      <c r="N1410" s="2" t="str">
        <f>IFERROR(__xludf.DUMMYFUNCTION("""COMPUTED_VALUE"""),"")</f>
        <v/>
      </c>
    </row>
    <row r="1411">
      <c r="A1411" s="2" t="s">
        <v>33</v>
      </c>
      <c r="B1411" s="12">
        <v>1360263.0</v>
      </c>
      <c r="C1411" s="12">
        <v>1360808.0</v>
      </c>
      <c r="D1411" s="2"/>
      <c r="E1411" s="2" t="s">
        <v>38</v>
      </c>
      <c r="F1411" s="2" t="s">
        <v>35</v>
      </c>
      <c r="G1411" s="2"/>
      <c r="H1411" s="12">
        <v>0.0</v>
      </c>
      <c r="I1411" s="2" t="s">
        <v>36</v>
      </c>
      <c r="J1411" s="2"/>
      <c r="K1411" s="2"/>
      <c r="L1411" s="2"/>
      <c r="M1411" s="2" t="s">
        <v>3809</v>
      </c>
      <c r="N1411" s="2" t="str">
        <f>IFERROR(__xludf.DUMMYFUNCTION("""COMPUTED_VALUE"""),"")</f>
        <v/>
      </c>
    </row>
    <row r="1412">
      <c r="A1412" s="2" t="s">
        <v>33</v>
      </c>
      <c r="B1412" s="12">
        <v>1360890.0</v>
      </c>
      <c r="C1412" s="12">
        <v>1361063.0</v>
      </c>
      <c r="D1412" s="2"/>
      <c r="E1412" s="2" t="s">
        <v>38</v>
      </c>
      <c r="F1412" s="2" t="s">
        <v>39</v>
      </c>
      <c r="G1412" s="2"/>
      <c r="H1412" s="12">
        <v>0.0</v>
      </c>
      <c r="I1412" s="2" t="s">
        <v>40</v>
      </c>
      <c r="J1412" s="2"/>
      <c r="K1412" s="2" t="s">
        <v>3810</v>
      </c>
      <c r="L1412" s="12">
        <v>57.0</v>
      </c>
      <c r="M1412" s="2" t="s">
        <v>3811</v>
      </c>
      <c r="N1412" s="2" t="str">
        <f>IFERROR(__xludf.DUMMYFUNCTION("""COMPUTED_VALUE"""),"")</f>
        <v/>
      </c>
    </row>
    <row r="1413">
      <c r="A1413" s="2" t="s">
        <v>33</v>
      </c>
      <c r="B1413" s="12">
        <v>1361159.0</v>
      </c>
      <c r="C1413" s="12">
        <v>1361521.0</v>
      </c>
      <c r="D1413" s="2"/>
      <c r="E1413" s="2" t="s">
        <v>38</v>
      </c>
      <c r="F1413" s="2" t="s">
        <v>39</v>
      </c>
      <c r="G1413" s="2"/>
      <c r="H1413" s="12">
        <v>0.0</v>
      </c>
      <c r="I1413" s="2" t="s">
        <v>40</v>
      </c>
      <c r="J1413" s="2"/>
      <c r="K1413" s="2" t="s">
        <v>3812</v>
      </c>
      <c r="L1413" s="12">
        <v>120.0</v>
      </c>
      <c r="M1413" s="2" t="s">
        <v>3813</v>
      </c>
      <c r="N1413" s="2" t="str">
        <f>IFERROR(__xludf.DUMMYFUNCTION("""COMPUTED_VALUE"""),"")</f>
        <v/>
      </c>
    </row>
    <row r="1414">
      <c r="A1414" s="2" t="s">
        <v>33</v>
      </c>
      <c r="B1414" s="12">
        <v>1361655.0</v>
      </c>
      <c r="C1414" s="12">
        <v>1361837.0</v>
      </c>
      <c r="D1414" s="2"/>
      <c r="E1414" s="2" t="s">
        <v>38</v>
      </c>
      <c r="F1414" s="2" t="s">
        <v>3814</v>
      </c>
      <c r="G1414" s="2"/>
      <c r="H1414" s="12">
        <v>0.0</v>
      </c>
      <c r="I1414" s="2" t="s">
        <v>40</v>
      </c>
      <c r="J1414" s="2"/>
      <c r="K1414" s="2" t="s">
        <v>3815</v>
      </c>
      <c r="L1414" s="12">
        <v>60.0</v>
      </c>
      <c r="M1414" s="2" t="s">
        <v>3816</v>
      </c>
      <c r="N1414" s="2" t="str">
        <f>IFERROR(__xludf.DUMMYFUNCTION("""COMPUTED_VALUE"""),"")</f>
        <v/>
      </c>
    </row>
    <row r="1415">
      <c r="A1415" s="2" t="s">
        <v>33</v>
      </c>
      <c r="B1415" s="12">
        <v>1361866.0</v>
      </c>
      <c r="C1415" s="12">
        <v>1362243.0</v>
      </c>
      <c r="D1415" s="2"/>
      <c r="E1415" s="2" t="s">
        <v>38</v>
      </c>
      <c r="F1415" s="2" t="s">
        <v>39</v>
      </c>
      <c r="G1415" s="2"/>
      <c r="H1415" s="12">
        <v>0.0</v>
      </c>
      <c r="I1415" s="2" t="s">
        <v>40</v>
      </c>
      <c r="J1415" s="2"/>
      <c r="K1415" s="2" t="s">
        <v>3817</v>
      </c>
      <c r="L1415" s="12">
        <v>125.0</v>
      </c>
      <c r="M1415" s="2" t="s">
        <v>3818</v>
      </c>
      <c r="N1415" s="2" t="str">
        <f>IFERROR(__xludf.DUMMYFUNCTION("""COMPUTED_VALUE"""),"")</f>
        <v/>
      </c>
    </row>
    <row r="1416">
      <c r="A1416" s="2" t="s">
        <v>33</v>
      </c>
      <c r="B1416" s="12">
        <v>1362246.0</v>
      </c>
      <c r="C1416" s="12">
        <v>1362455.0</v>
      </c>
      <c r="D1416" s="2"/>
      <c r="E1416" s="2" t="s">
        <v>38</v>
      </c>
      <c r="F1416" s="2" t="s">
        <v>220</v>
      </c>
      <c r="G1416" s="2"/>
      <c r="H1416" s="12">
        <v>0.0</v>
      </c>
      <c r="I1416" s="2" t="s">
        <v>40</v>
      </c>
      <c r="J1416" s="2"/>
      <c r="K1416" s="2" t="s">
        <v>3819</v>
      </c>
      <c r="L1416" s="12">
        <v>69.0</v>
      </c>
      <c r="M1416" s="2" t="s">
        <v>3820</v>
      </c>
      <c r="N1416" s="2" t="str">
        <f>IFERROR(__xludf.DUMMYFUNCTION("""COMPUTED_VALUE"""),"")</f>
        <v/>
      </c>
    </row>
    <row r="1417">
      <c r="A1417" s="2" t="s">
        <v>33</v>
      </c>
      <c r="B1417" s="12">
        <v>1363279.0</v>
      </c>
      <c r="C1417" s="12">
        <v>1366146.0</v>
      </c>
      <c r="D1417" s="2"/>
      <c r="E1417" s="2" t="s">
        <v>34</v>
      </c>
      <c r="F1417" s="2" t="s">
        <v>3821</v>
      </c>
      <c r="G1417" s="2" t="s">
        <v>3822</v>
      </c>
      <c r="H1417" s="12">
        <v>0.0</v>
      </c>
      <c r="I1417" s="2" t="s">
        <v>40</v>
      </c>
      <c r="J1417" s="2"/>
      <c r="K1417" s="2" t="s">
        <v>3823</v>
      </c>
      <c r="L1417" s="12">
        <v>955.0</v>
      </c>
      <c r="M1417" s="2" t="s">
        <v>3824</v>
      </c>
      <c r="N1417" s="2" t="str">
        <f>IFERROR(__xludf.DUMMYFUNCTION("""COMPUTED_VALUE"""),"")</f>
        <v/>
      </c>
    </row>
    <row r="1418">
      <c r="A1418" s="2" t="s">
        <v>33</v>
      </c>
      <c r="B1418" s="12">
        <v>1366280.0</v>
      </c>
      <c r="C1418" s="12">
        <v>1367539.0</v>
      </c>
      <c r="D1418" s="2"/>
      <c r="E1418" s="2" t="s">
        <v>34</v>
      </c>
      <c r="F1418" s="2" t="s">
        <v>3825</v>
      </c>
      <c r="G1418" s="2" t="s">
        <v>3826</v>
      </c>
      <c r="H1418" s="12">
        <v>0.0</v>
      </c>
      <c r="I1418" s="2" t="s">
        <v>40</v>
      </c>
      <c r="J1418" s="2"/>
      <c r="K1418" s="2" t="s">
        <v>3827</v>
      </c>
      <c r="L1418" s="12">
        <v>419.0</v>
      </c>
      <c r="M1418" s="2" t="s">
        <v>3828</v>
      </c>
      <c r="N1418" s="2" t="str">
        <f>IFERROR(__xludf.DUMMYFUNCTION("""COMPUTED_VALUE"""),"")</f>
        <v/>
      </c>
    </row>
    <row r="1419">
      <c r="A1419" s="2" t="s">
        <v>33</v>
      </c>
      <c r="B1419" s="12">
        <v>1367664.0</v>
      </c>
      <c r="C1419" s="12">
        <v>1369583.0</v>
      </c>
      <c r="D1419" s="2"/>
      <c r="E1419" s="2" t="s">
        <v>34</v>
      </c>
      <c r="F1419" s="2" t="s">
        <v>3829</v>
      </c>
      <c r="G1419" s="2"/>
      <c r="H1419" s="12">
        <v>0.0</v>
      </c>
      <c r="I1419" s="2" t="s">
        <v>40</v>
      </c>
      <c r="J1419" s="2"/>
      <c r="K1419" s="2" t="s">
        <v>3830</v>
      </c>
      <c r="L1419" s="12">
        <v>639.0</v>
      </c>
      <c r="M1419" s="2" t="s">
        <v>3831</v>
      </c>
      <c r="N1419" s="2" t="str">
        <f>IFERROR(__xludf.DUMMYFUNCTION("""COMPUTED_VALUE"""),"")</f>
        <v/>
      </c>
    </row>
    <row r="1420">
      <c r="A1420" s="2" t="s">
        <v>33</v>
      </c>
      <c r="B1420" s="12">
        <v>1369580.0</v>
      </c>
      <c r="C1420" s="12">
        <v>1371529.0</v>
      </c>
      <c r="D1420" s="2"/>
      <c r="E1420" s="2" t="s">
        <v>34</v>
      </c>
      <c r="F1420" s="2" t="s">
        <v>3832</v>
      </c>
      <c r="G1420" s="2"/>
      <c r="H1420" s="12">
        <v>0.0</v>
      </c>
      <c r="I1420" s="2" t="s">
        <v>40</v>
      </c>
      <c r="J1420" s="2"/>
      <c r="K1420" s="2" t="s">
        <v>3833</v>
      </c>
      <c r="L1420" s="12">
        <v>649.0</v>
      </c>
      <c r="M1420" s="2" t="s">
        <v>3834</v>
      </c>
      <c r="N1420" s="2" t="str">
        <f>IFERROR(__xludf.DUMMYFUNCTION("""COMPUTED_VALUE"""),"")</f>
        <v/>
      </c>
    </row>
    <row r="1421">
      <c r="A1421" s="2" t="s">
        <v>33</v>
      </c>
      <c r="B1421" s="12">
        <v>1371545.0</v>
      </c>
      <c r="C1421" s="12">
        <v>1373086.0</v>
      </c>
      <c r="D1421" s="2"/>
      <c r="E1421" s="2" t="s">
        <v>34</v>
      </c>
      <c r="F1421" s="2" t="s">
        <v>3835</v>
      </c>
      <c r="G1421" s="2"/>
      <c r="H1421" s="12">
        <v>0.0</v>
      </c>
      <c r="I1421" s="2" t="s">
        <v>40</v>
      </c>
      <c r="J1421" s="2"/>
      <c r="K1421" s="2" t="s">
        <v>3836</v>
      </c>
      <c r="L1421" s="12">
        <v>513.0</v>
      </c>
      <c r="M1421" s="2" t="s">
        <v>3837</v>
      </c>
      <c r="N1421" s="2" t="str">
        <f>IFERROR(__xludf.DUMMYFUNCTION("""COMPUTED_VALUE"""),"")</f>
        <v/>
      </c>
    </row>
    <row r="1422">
      <c r="A1422" s="2" t="s">
        <v>33</v>
      </c>
      <c r="B1422" s="12">
        <v>1373117.0</v>
      </c>
      <c r="C1422" s="12">
        <v>1373527.0</v>
      </c>
      <c r="D1422" s="2"/>
      <c r="E1422" s="2" t="s">
        <v>38</v>
      </c>
      <c r="F1422" s="2" t="s">
        <v>3838</v>
      </c>
      <c r="G1422" s="2"/>
      <c r="H1422" s="12">
        <v>0.0</v>
      </c>
      <c r="I1422" s="2" t="s">
        <v>40</v>
      </c>
      <c r="J1422" s="2"/>
      <c r="K1422" s="2" t="s">
        <v>3839</v>
      </c>
      <c r="L1422" s="12">
        <v>136.0</v>
      </c>
      <c r="M1422" s="2" t="s">
        <v>3840</v>
      </c>
      <c r="N1422" s="2" t="str">
        <f>IFERROR(__xludf.DUMMYFUNCTION("""COMPUTED_VALUE"""),"")</f>
        <v/>
      </c>
    </row>
    <row r="1423">
      <c r="A1423" s="2" t="s">
        <v>33</v>
      </c>
      <c r="B1423" s="12">
        <v>1373688.0</v>
      </c>
      <c r="C1423" s="12">
        <v>1375022.0</v>
      </c>
      <c r="D1423" s="2"/>
      <c r="E1423" s="2" t="s">
        <v>38</v>
      </c>
      <c r="F1423" s="2" t="s">
        <v>1663</v>
      </c>
      <c r="G1423" s="2"/>
      <c r="H1423" s="12">
        <v>0.0</v>
      </c>
      <c r="I1423" s="2" t="s">
        <v>40</v>
      </c>
      <c r="J1423" s="2"/>
      <c r="K1423" s="2" t="s">
        <v>3841</v>
      </c>
      <c r="L1423" s="12">
        <v>444.0</v>
      </c>
      <c r="M1423" s="2" t="s">
        <v>3842</v>
      </c>
      <c r="N1423" s="2" t="str">
        <f>IFERROR(__xludf.DUMMYFUNCTION("""COMPUTED_VALUE"""),"")</f>
        <v/>
      </c>
    </row>
    <row r="1424">
      <c r="A1424" s="2" t="s">
        <v>33</v>
      </c>
      <c r="B1424" s="12">
        <v>1375220.0</v>
      </c>
      <c r="C1424" s="12">
        <v>1375651.0</v>
      </c>
      <c r="D1424" s="2"/>
      <c r="E1424" s="2" t="s">
        <v>34</v>
      </c>
      <c r="F1424" s="2" t="s">
        <v>39</v>
      </c>
      <c r="G1424" s="2"/>
      <c r="H1424" s="12">
        <v>0.0</v>
      </c>
      <c r="I1424" s="2" t="s">
        <v>40</v>
      </c>
      <c r="J1424" s="2"/>
      <c r="K1424" s="2" t="s">
        <v>3843</v>
      </c>
      <c r="L1424" s="12">
        <v>143.0</v>
      </c>
      <c r="M1424" s="2" t="s">
        <v>3844</v>
      </c>
      <c r="N1424" s="2" t="str">
        <f>IFERROR(__xludf.DUMMYFUNCTION("""COMPUTED_VALUE"""),"")</f>
        <v/>
      </c>
    </row>
    <row r="1425">
      <c r="A1425" s="2" t="s">
        <v>33</v>
      </c>
      <c r="B1425" s="12">
        <v>1375697.0</v>
      </c>
      <c r="C1425" s="12">
        <v>1376932.0</v>
      </c>
      <c r="D1425" s="2"/>
      <c r="E1425" s="2" t="s">
        <v>38</v>
      </c>
      <c r="F1425" s="2" t="s">
        <v>3845</v>
      </c>
      <c r="G1425" s="2"/>
      <c r="H1425" s="12">
        <v>0.0</v>
      </c>
      <c r="I1425" s="2" t="s">
        <v>40</v>
      </c>
      <c r="J1425" s="2"/>
      <c r="K1425" s="2" t="s">
        <v>3846</v>
      </c>
      <c r="L1425" s="12">
        <v>411.0</v>
      </c>
      <c r="M1425" s="2" t="s">
        <v>3847</v>
      </c>
      <c r="N1425" s="2" t="str">
        <f>IFERROR(__xludf.DUMMYFUNCTION("""COMPUTED_VALUE"""),"")</f>
        <v/>
      </c>
    </row>
    <row r="1426">
      <c r="A1426" s="2" t="s">
        <v>33</v>
      </c>
      <c r="B1426" s="12">
        <v>1376952.0</v>
      </c>
      <c r="C1426" s="12">
        <v>1377722.0</v>
      </c>
      <c r="D1426" s="2"/>
      <c r="E1426" s="2" t="s">
        <v>38</v>
      </c>
      <c r="F1426" s="2" t="s">
        <v>3848</v>
      </c>
      <c r="G1426" s="2"/>
      <c r="H1426" s="12">
        <v>0.0</v>
      </c>
      <c r="I1426" s="2" t="s">
        <v>40</v>
      </c>
      <c r="J1426" s="2"/>
      <c r="K1426" s="2" t="s">
        <v>3849</v>
      </c>
      <c r="L1426" s="12">
        <v>256.0</v>
      </c>
      <c r="M1426" s="2" t="s">
        <v>3850</v>
      </c>
      <c r="N1426" s="2" t="str">
        <f>IFERROR(__xludf.DUMMYFUNCTION("""COMPUTED_VALUE"""),"")</f>
        <v/>
      </c>
    </row>
    <row r="1427">
      <c r="A1427" s="2" t="s">
        <v>33</v>
      </c>
      <c r="B1427" s="12">
        <v>1377919.0</v>
      </c>
      <c r="C1427" s="12">
        <v>1378752.0</v>
      </c>
      <c r="D1427" s="2"/>
      <c r="E1427" s="2" t="s">
        <v>34</v>
      </c>
      <c r="F1427" s="2" t="s">
        <v>39</v>
      </c>
      <c r="G1427" s="2"/>
      <c r="H1427" s="12">
        <v>0.0</v>
      </c>
      <c r="I1427" s="2" t="s">
        <v>40</v>
      </c>
      <c r="J1427" s="2"/>
      <c r="K1427" s="2" t="s">
        <v>3851</v>
      </c>
      <c r="L1427" s="12">
        <v>277.0</v>
      </c>
      <c r="M1427" s="2" t="s">
        <v>3852</v>
      </c>
      <c r="N1427" s="2" t="str">
        <f>IFERROR(__xludf.DUMMYFUNCTION("""COMPUTED_VALUE"""),"")</f>
        <v/>
      </c>
    </row>
    <row r="1428">
      <c r="A1428" s="2" t="s">
        <v>33</v>
      </c>
      <c r="B1428" s="12">
        <v>1378764.0</v>
      </c>
      <c r="C1428" s="12">
        <v>1379450.0</v>
      </c>
      <c r="D1428" s="2"/>
      <c r="E1428" s="2" t="s">
        <v>38</v>
      </c>
      <c r="F1428" s="2" t="s">
        <v>3853</v>
      </c>
      <c r="G1428" s="2"/>
      <c r="H1428" s="12">
        <v>0.0</v>
      </c>
      <c r="I1428" s="2" t="s">
        <v>40</v>
      </c>
      <c r="J1428" s="2"/>
      <c r="K1428" s="2" t="s">
        <v>3854</v>
      </c>
      <c r="L1428" s="12">
        <v>228.0</v>
      </c>
      <c r="M1428" s="2" t="s">
        <v>3855</v>
      </c>
      <c r="N1428" s="2" t="str">
        <f>IFERROR(__xludf.DUMMYFUNCTION("""COMPUTED_VALUE"""),"")</f>
        <v/>
      </c>
    </row>
    <row r="1429">
      <c r="A1429" s="2" t="s">
        <v>33</v>
      </c>
      <c r="B1429" s="12">
        <v>1379541.0</v>
      </c>
      <c r="C1429" s="12">
        <v>1381040.0</v>
      </c>
      <c r="D1429" s="2"/>
      <c r="E1429" s="2" t="s">
        <v>38</v>
      </c>
      <c r="F1429" s="2" t="s">
        <v>3856</v>
      </c>
      <c r="G1429" s="2"/>
      <c r="H1429" s="12">
        <v>0.0</v>
      </c>
      <c r="I1429" s="2" t="s">
        <v>40</v>
      </c>
      <c r="J1429" s="2"/>
      <c r="K1429" s="2" t="s">
        <v>3857</v>
      </c>
      <c r="L1429" s="12">
        <v>499.0</v>
      </c>
      <c r="M1429" s="2" t="s">
        <v>3858</v>
      </c>
      <c r="N1429" s="2" t="str">
        <f>IFERROR(__xludf.DUMMYFUNCTION("""COMPUTED_VALUE"""),"")</f>
        <v/>
      </c>
    </row>
    <row r="1430">
      <c r="A1430" s="2" t="s">
        <v>33</v>
      </c>
      <c r="B1430" s="12">
        <v>1381155.0</v>
      </c>
      <c r="C1430" s="12">
        <v>1381514.0</v>
      </c>
      <c r="D1430" s="2"/>
      <c r="E1430" s="2" t="s">
        <v>38</v>
      </c>
      <c r="F1430" s="2" t="s">
        <v>3859</v>
      </c>
      <c r="G1430" s="2"/>
      <c r="H1430" s="12">
        <v>0.0</v>
      </c>
      <c r="I1430" s="2" t="s">
        <v>40</v>
      </c>
      <c r="J1430" s="2"/>
      <c r="K1430" s="2" t="s">
        <v>3860</v>
      </c>
      <c r="L1430" s="12">
        <v>119.0</v>
      </c>
      <c r="M1430" s="2" t="s">
        <v>3861</v>
      </c>
      <c r="N1430" s="2" t="str">
        <f>IFERROR(__xludf.DUMMYFUNCTION("""COMPUTED_VALUE"""),"")</f>
        <v/>
      </c>
    </row>
    <row r="1431">
      <c r="A1431" s="2" t="s">
        <v>33</v>
      </c>
      <c r="B1431" s="12">
        <v>1381588.0</v>
      </c>
      <c r="C1431" s="12">
        <v>1382364.0</v>
      </c>
      <c r="D1431" s="2"/>
      <c r="E1431" s="2" t="s">
        <v>38</v>
      </c>
      <c r="F1431" s="2" t="s">
        <v>3862</v>
      </c>
      <c r="G1431" s="2" t="s">
        <v>3863</v>
      </c>
      <c r="H1431" s="12">
        <v>0.0</v>
      </c>
      <c r="I1431" s="2" t="s">
        <v>40</v>
      </c>
      <c r="J1431" s="2"/>
      <c r="K1431" s="2" t="s">
        <v>3864</v>
      </c>
      <c r="L1431" s="12">
        <v>258.0</v>
      </c>
      <c r="M1431" s="2" t="s">
        <v>3865</v>
      </c>
      <c r="N1431" s="2" t="str">
        <f>IFERROR(__xludf.DUMMYFUNCTION("""COMPUTED_VALUE"""),"")</f>
        <v/>
      </c>
    </row>
    <row r="1432">
      <c r="A1432" s="2" t="s">
        <v>33</v>
      </c>
      <c r="B1432" s="12">
        <v>1382368.0</v>
      </c>
      <c r="C1432" s="12">
        <v>1383561.0</v>
      </c>
      <c r="D1432" s="2"/>
      <c r="E1432" s="2" t="s">
        <v>38</v>
      </c>
      <c r="F1432" s="2" t="s">
        <v>3866</v>
      </c>
      <c r="G1432" s="2" t="s">
        <v>3867</v>
      </c>
      <c r="H1432" s="12">
        <v>0.0</v>
      </c>
      <c r="I1432" s="2" t="s">
        <v>40</v>
      </c>
      <c r="J1432" s="2"/>
      <c r="K1432" s="2" t="s">
        <v>3868</v>
      </c>
      <c r="L1432" s="12">
        <v>397.0</v>
      </c>
      <c r="M1432" s="2" t="s">
        <v>3869</v>
      </c>
      <c r="N1432" s="2" t="str">
        <f>IFERROR(__xludf.DUMMYFUNCTION("""COMPUTED_VALUE"""),"")</f>
        <v/>
      </c>
    </row>
    <row r="1433">
      <c r="A1433" s="2" t="s">
        <v>33</v>
      </c>
      <c r="B1433" s="12">
        <v>1383558.0</v>
      </c>
      <c r="C1433" s="12">
        <v>1384172.0</v>
      </c>
      <c r="D1433" s="2"/>
      <c r="E1433" s="2" t="s">
        <v>38</v>
      </c>
      <c r="F1433" s="2" t="s">
        <v>3870</v>
      </c>
      <c r="G1433" s="2"/>
      <c r="H1433" s="12">
        <v>0.0</v>
      </c>
      <c r="I1433" s="2" t="s">
        <v>40</v>
      </c>
      <c r="J1433" s="2"/>
      <c r="K1433" s="2" t="s">
        <v>3871</v>
      </c>
      <c r="L1433" s="12">
        <v>204.0</v>
      </c>
      <c r="M1433" s="2" t="s">
        <v>3872</v>
      </c>
      <c r="N1433" s="2" t="str">
        <f>IFERROR(__xludf.DUMMYFUNCTION("""COMPUTED_VALUE"""),"")</f>
        <v/>
      </c>
    </row>
    <row r="1434">
      <c r="A1434" s="2" t="s">
        <v>33</v>
      </c>
      <c r="B1434" s="12">
        <v>1384169.0</v>
      </c>
      <c r="C1434" s="12">
        <v>1384930.0</v>
      </c>
      <c r="D1434" s="2"/>
      <c r="E1434" s="2" t="s">
        <v>38</v>
      </c>
      <c r="F1434" s="2" t="s">
        <v>3873</v>
      </c>
      <c r="G1434" s="2" t="s">
        <v>3874</v>
      </c>
      <c r="H1434" s="12">
        <v>0.0</v>
      </c>
      <c r="I1434" s="2" t="s">
        <v>40</v>
      </c>
      <c r="J1434" s="2"/>
      <c r="K1434" s="2" t="s">
        <v>3875</v>
      </c>
      <c r="L1434" s="12">
        <v>253.0</v>
      </c>
      <c r="M1434" s="2" t="s">
        <v>3876</v>
      </c>
      <c r="N1434" s="2" t="str">
        <f>IFERROR(__xludf.DUMMYFUNCTION("""COMPUTED_VALUE"""),"")</f>
        <v/>
      </c>
    </row>
    <row r="1435">
      <c r="A1435" s="2" t="s">
        <v>33</v>
      </c>
      <c r="B1435" s="12">
        <v>1384932.0</v>
      </c>
      <c r="C1435" s="12">
        <v>1385957.0</v>
      </c>
      <c r="D1435" s="2"/>
      <c r="E1435" s="2" t="s">
        <v>38</v>
      </c>
      <c r="F1435" s="2" t="s">
        <v>3877</v>
      </c>
      <c r="G1435" s="2" t="s">
        <v>3878</v>
      </c>
      <c r="H1435" s="12">
        <v>0.0</v>
      </c>
      <c r="I1435" s="2" t="s">
        <v>40</v>
      </c>
      <c r="J1435" s="2"/>
      <c r="K1435" s="2" t="s">
        <v>3879</v>
      </c>
      <c r="L1435" s="12">
        <v>341.0</v>
      </c>
      <c r="M1435" s="2" t="s">
        <v>3880</v>
      </c>
      <c r="N1435" s="2" t="str">
        <f>IFERROR(__xludf.DUMMYFUNCTION("""COMPUTED_VALUE"""),"")</f>
        <v/>
      </c>
    </row>
    <row r="1436">
      <c r="A1436" s="2" t="s">
        <v>33</v>
      </c>
      <c r="B1436" s="12">
        <v>1385954.0</v>
      </c>
      <c r="C1436" s="12">
        <v>1386541.0</v>
      </c>
      <c r="D1436" s="2"/>
      <c r="E1436" s="2" t="s">
        <v>38</v>
      </c>
      <c r="F1436" s="2" t="s">
        <v>3881</v>
      </c>
      <c r="G1436" s="2"/>
      <c r="H1436" s="12">
        <v>0.0</v>
      </c>
      <c r="I1436" s="2" t="s">
        <v>40</v>
      </c>
      <c r="J1436" s="2"/>
      <c r="K1436" s="2" t="s">
        <v>3882</v>
      </c>
      <c r="L1436" s="12">
        <v>195.0</v>
      </c>
      <c r="M1436" s="2" t="s">
        <v>3883</v>
      </c>
      <c r="N1436" s="2" t="str">
        <f>IFERROR(__xludf.DUMMYFUNCTION("""COMPUTED_VALUE"""),"")</f>
        <v/>
      </c>
    </row>
    <row r="1437">
      <c r="A1437" s="2" t="s">
        <v>33</v>
      </c>
      <c r="B1437" s="12">
        <v>1386538.0</v>
      </c>
      <c r="C1437" s="12">
        <v>1387956.0</v>
      </c>
      <c r="D1437" s="2"/>
      <c r="E1437" s="2" t="s">
        <v>38</v>
      </c>
      <c r="F1437" s="2" t="s">
        <v>3884</v>
      </c>
      <c r="G1437" s="2" t="s">
        <v>3885</v>
      </c>
      <c r="H1437" s="12">
        <v>0.0</v>
      </c>
      <c r="I1437" s="2" t="s">
        <v>40</v>
      </c>
      <c r="J1437" s="2"/>
      <c r="K1437" s="2" t="s">
        <v>3886</v>
      </c>
      <c r="L1437" s="12">
        <v>472.0</v>
      </c>
      <c r="M1437" s="2" t="s">
        <v>3887</v>
      </c>
      <c r="N1437" s="2" t="str">
        <f>IFERROR(__xludf.DUMMYFUNCTION("""COMPUTED_VALUE"""),"")</f>
        <v/>
      </c>
    </row>
    <row r="1438">
      <c r="A1438" s="2" t="s">
        <v>33</v>
      </c>
      <c r="B1438" s="12">
        <v>1388839.0</v>
      </c>
      <c r="C1438" s="12">
        <v>1390317.0</v>
      </c>
      <c r="D1438" s="2"/>
      <c r="E1438" s="2" t="s">
        <v>34</v>
      </c>
      <c r="F1438" s="2" t="s">
        <v>3888</v>
      </c>
      <c r="G1438" s="2" t="s">
        <v>3889</v>
      </c>
      <c r="H1438" s="12">
        <v>0.0</v>
      </c>
      <c r="I1438" s="2" t="s">
        <v>40</v>
      </c>
      <c r="J1438" s="2"/>
      <c r="K1438" s="2" t="s">
        <v>3890</v>
      </c>
      <c r="L1438" s="12">
        <v>492.0</v>
      </c>
      <c r="M1438" s="2" t="s">
        <v>3891</v>
      </c>
      <c r="N1438" s="2" t="str">
        <f>IFERROR(__xludf.DUMMYFUNCTION("""COMPUTED_VALUE"""),"")</f>
        <v/>
      </c>
    </row>
    <row r="1439">
      <c r="A1439" s="2" t="s">
        <v>33</v>
      </c>
      <c r="B1439" s="12">
        <v>1390473.0</v>
      </c>
      <c r="C1439" s="12">
        <v>1390871.0</v>
      </c>
      <c r="D1439" s="2"/>
      <c r="E1439" s="2" t="s">
        <v>34</v>
      </c>
      <c r="F1439" s="2" t="s">
        <v>3892</v>
      </c>
      <c r="G1439" s="2"/>
      <c r="H1439" s="12">
        <v>0.0</v>
      </c>
      <c r="I1439" s="2" t="s">
        <v>40</v>
      </c>
      <c r="J1439" s="2"/>
      <c r="K1439" s="2" t="s">
        <v>3893</v>
      </c>
      <c r="L1439" s="12">
        <v>132.0</v>
      </c>
      <c r="M1439" s="2" t="s">
        <v>3894</v>
      </c>
      <c r="N1439" s="2" t="str">
        <f>IFERROR(__xludf.DUMMYFUNCTION("""COMPUTED_VALUE"""),"")</f>
        <v/>
      </c>
    </row>
    <row r="1440">
      <c r="A1440" s="2" t="s">
        <v>33</v>
      </c>
      <c r="B1440" s="12">
        <v>1390896.0</v>
      </c>
      <c r="C1440" s="12">
        <v>1391292.0</v>
      </c>
      <c r="D1440" s="2"/>
      <c r="E1440" s="2" t="s">
        <v>38</v>
      </c>
      <c r="F1440" s="2" t="s">
        <v>35</v>
      </c>
      <c r="G1440" s="2"/>
      <c r="H1440" s="12">
        <v>0.0</v>
      </c>
      <c r="I1440" s="2" t="s">
        <v>36</v>
      </c>
      <c r="J1440" s="2"/>
      <c r="K1440" s="2"/>
      <c r="L1440" s="2"/>
      <c r="M1440" s="2" t="s">
        <v>3895</v>
      </c>
      <c r="N1440" s="2" t="str">
        <f>IFERROR(__xludf.DUMMYFUNCTION("""COMPUTED_VALUE"""),"")</f>
        <v/>
      </c>
    </row>
    <row r="1441">
      <c r="A1441" s="2" t="s">
        <v>33</v>
      </c>
      <c r="B1441" s="12">
        <v>1391369.0</v>
      </c>
      <c r="C1441" s="12">
        <v>1392280.0</v>
      </c>
      <c r="D1441" s="2"/>
      <c r="E1441" s="2" t="s">
        <v>38</v>
      </c>
      <c r="F1441" s="2" t="s">
        <v>738</v>
      </c>
      <c r="G1441" s="2"/>
      <c r="H1441" s="12">
        <v>0.0</v>
      </c>
      <c r="I1441" s="2" t="s">
        <v>40</v>
      </c>
      <c r="J1441" s="2"/>
      <c r="K1441" s="2" t="s">
        <v>3896</v>
      </c>
      <c r="L1441" s="12">
        <v>303.0</v>
      </c>
      <c r="M1441" s="2" t="s">
        <v>3897</v>
      </c>
      <c r="N1441" s="2" t="str">
        <f>IFERROR(__xludf.DUMMYFUNCTION("""COMPUTED_VALUE"""),"")</f>
        <v/>
      </c>
    </row>
    <row r="1442">
      <c r="A1442" s="2" t="s">
        <v>33</v>
      </c>
      <c r="B1442" s="12">
        <v>1392484.0</v>
      </c>
      <c r="C1442" s="12">
        <v>1393215.0</v>
      </c>
      <c r="D1442" s="2"/>
      <c r="E1442" s="2" t="s">
        <v>34</v>
      </c>
      <c r="F1442" s="2" t="s">
        <v>3898</v>
      </c>
      <c r="G1442" s="2"/>
      <c r="H1442" s="12">
        <v>0.0</v>
      </c>
      <c r="I1442" s="2" t="s">
        <v>40</v>
      </c>
      <c r="J1442" s="2"/>
      <c r="K1442" s="2" t="s">
        <v>3899</v>
      </c>
      <c r="L1442" s="12">
        <v>243.0</v>
      </c>
      <c r="M1442" s="2" t="s">
        <v>3900</v>
      </c>
      <c r="N1442" s="2" t="str">
        <f>IFERROR(__xludf.DUMMYFUNCTION("""COMPUTED_VALUE"""),"")</f>
        <v/>
      </c>
    </row>
    <row r="1443">
      <c r="A1443" s="2" t="s">
        <v>33</v>
      </c>
      <c r="B1443" s="12">
        <v>1393309.0</v>
      </c>
      <c r="C1443" s="12">
        <v>1393827.0</v>
      </c>
      <c r="D1443" s="2"/>
      <c r="E1443" s="2" t="s">
        <v>34</v>
      </c>
      <c r="F1443" s="2" t="s">
        <v>3901</v>
      </c>
      <c r="G1443" s="2"/>
      <c r="H1443" s="12">
        <v>0.0</v>
      </c>
      <c r="I1443" s="2" t="s">
        <v>40</v>
      </c>
      <c r="J1443" s="2"/>
      <c r="K1443" s="2" t="s">
        <v>3902</v>
      </c>
      <c r="L1443" s="12">
        <v>172.0</v>
      </c>
      <c r="M1443" s="2" t="s">
        <v>3903</v>
      </c>
      <c r="N1443" s="2" t="str">
        <f>IFERROR(__xludf.DUMMYFUNCTION("""COMPUTED_VALUE"""),"")</f>
        <v/>
      </c>
    </row>
    <row r="1444">
      <c r="A1444" s="2" t="s">
        <v>33</v>
      </c>
      <c r="B1444" s="12">
        <v>1393829.0</v>
      </c>
      <c r="C1444" s="12">
        <v>1394251.0</v>
      </c>
      <c r="D1444" s="2"/>
      <c r="E1444" s="2" t="s">
        <v>34</v>
      </c>
      <c r="F1444" s="2" t="s">
        <v>367</v>
      </c>
      <c r="G1444" s="2"/>
      <c r="H1444" s="12">
        <v>0.0</v>
      </c>
      <c r="I1444" s="2" t="s">
        <v>40</v>
      </c>
      <c r="J1444" s="2"/>
      <c r="K1444" s="2" t="s">
        <v>3904</v>
      </c>
      <c r="L1444" s="12">
        <v>140.0</v>
      </c>
      <c r="M1444" s="2" t="s">
        <v>3905</v>
      </c>
      <c r="N1444" s="2" t="str">
        <f>IFERROR(__xludf.DUMMYFUNCTION("""COMPUTED_VALUE"""),"")</f>
        <v/>
      </c>
    </row>
    <row r="1445">
      <c r="A1445" s="2" t="s">
        <v>33</v>
      </c>
      <c r="B1445" s="12">
        <v>1394352.0</v>
      </c>
      <c r="C1445" s="12">
        <v>1396418.0</v>
      </c>
      <c r="D1445" s="2"/>
      <c r="E1445" s="2" t="s">
        <v>34</v>
      </c>
      <c r="F1445" s="2" t="s">
        <v>3906</v>
      </c>
      <c r="G1445" s="2"/>
      <c r="H1445" s="12">
        <v>0.0</v>
      </c>
      <c r="I1445" s="2" t="s">
        <v>40</v>
      </c>
      <c r="J1445" s="2"/>
      <c r="K1445" s="2" t="s">
        <v>3907</v>
      </c>
      <c r="L1445" s="12">
        <v>688.0</v>
      </c>
      <c r="M1445" s="2" t="s">
        <v>3908</v>
      </c>
      <c r="N1445" s="2" t="str">
        <f>IFERROR(__xludf.DUMMYFUNCTION("""COMPUTED_VALUE"""),"")</f>
        <v/>
      </c>
    </row>
    <row r="1446">
      <c r="A1446" s="2" t="s">
        <v>33</v>
      </c>
      <c r="B1446" s="12">
        <v>1396561.0</v>
      </c>
      <c r="C1446" s="12">
        <v>1397031.0</v>
      </c>
      <c r="D1446" s="2"/>
      <c r="E1446" s="2" t="s">
        <v>34</v>
      </c>
      <c r="F1446" s="2" t="s">
        <v>3909</v>
      </c>
      <c r="G1446" s="2" t="s">
        <v>3910</v>
      </c>
      <c r="H1446" s="12">
        <v>0.0</v>
      </c>
      <c r="I1446" s="2" t="s">
        <v>40</v>
      </c>
      <c r="J1446" s="2"/>
      <c r="K1446" s="2" t="s">
        <v>3911</v>
      </c>
      <c r="L1446" s="12">
        <v>156.0</v>
      </c>
      <c r="M1446" s="2" t="s">
        <v>3912</v>
      </c>
      <c r="N1446" s="2" t="str">
        <f>IFERROR(__xludf.DUMMYFUNCTION("""COMPUTED_VALUE"""),"")</f>
        <v/>
      </c>
    </row>
    <row r="1447">
      <c r="A1447" s="2" t="s">
        <v>33</v>
      </c>
      <c r="B1447" s="12">
        <v>1397199.0</v>
      </c>
      <c r="C1447" s="12">
        <v>1397702.0</v>
      </c>
      <c r="D1447" s="2"/>
      <c r="E1447" s="2" t="s">
        <v>34</v>
      </c>
      <c r="F1447" s="2" t="s">
        <v>678</v>
      </c>
      <c r="G1447" s="2" t="s">
        <v>679</v>
      </c>
      <c r="H1447" s="12">
        <v>0.0</v>
      </c>
      <c r="I1447" s="2" t="s">
        <v>40</v>
      </c>
      <c r="J1447" s="2"/>
      <c r="K1447" s="2" t="s">
        <v>3913</v>
      </c>
      <c r="L1447" s="12">
        <v>167.0</v>
      </c>
      <c r="M1447" s="2" t="s">
        <v>3914</v>
      </c>
      <c r="N1447" s="2" t="str">
        <f>IFERROR(__xludf.DUMMYFUNCTION("""COMPUTED_VALUE"""),"")</f>
        <v/>
      </c>
    </row>
    <row r="1448">
      <c r="A1448" s="2" t="s">
        <v>33</v>
      </c>
      <c r="B1448" s="12">
        <v>1397777.0</v>
      </c>
      <c r="C1448" s="12">
        <v>1397962.0</v>
      </c>
      <c r="D1448" s="2"/>
      <c r="E1448" s="2" t="s">
        <v>38</v>
      </c>
      <c r="F1448" s="2" t="s">
        <v>39</v>
      </c>
      <c r="G1448" s="2"/>
      <c r="H1448" s="12">
        <v>0.0</v>
      </c>
      <c r="I1448" s="2" t="s">
        <v>40</v>
      </c>
      <c r="J1448" s="2"/>
      <c r="K1448" s="2" t="s">
        <v>3915</v>
      </c>
      <c r="L1448" s="12">
        <v>61.0</v>
      </c>
      <c r="M1448" s="2" t="s">
        <v>3916</v>
      </c>
      <c r="N1448" s="2" t="str">
        <f>IFERROR(__xludf.DUMMYFUNCTION("""COMPUTED_VALUE"""),"")</f>
        <v/>
      </c>
    </row>
    <row r="1449">
      <c r="A1449" s="2" t="s">
        <v>33</v>
      </c>
      <c r="B1449" s="12">
        <v>1398064.0</v>
      </c>
      <c r="C1449" s="12">
        <v>1398423.0</v>
      </c>
      <c r="D1449" s="2"/>
      <c r="E1449" s="2" t="s">
        <v>38</v>
      </c>
      <c r="F1449" s="2" t="s">
        <v>3917</v>
      </c>
      <c r="G1449" s="2"/>
      <c r="H1449" s="12">
        <v>0.0</v>
      </c>
      <c r="I1449" s="2" t="s">
        <v>40</v>
      </c>
      <c r="J1449" s="2"/>
      <c r="K1449" s="2" t="s">
        <v>3918</v>
      </c>
      <c r="L1449" s="12">
        <v>119.0</v>
      </c>
      <c r="M1449" s="2" t="s">
        <v>3919</v>
      </c>
      <c r="N1449" s="2" t="str">
        <f>IFERROR(__xludf.DUMMYFUNCTION("""COMPUTED_VALUE"""),"")</f>
        <v/>
      </c>
    </row>
    <row r="1450">
      <c r="A1450" s="2" t="s">
        <v>33</v>
      </c>
      <c r="B1450" s="12">
        <v>1398549.0</v>
      </c>
      <c r="C1450" s="12">
        <v>1399007.0</v>
      </c>
      <c r="D1450" s="2"/>
      <c r="E1450" s="2" t="s">
        <v>34</v>
      </c>
      <c r="F1450" s="2" t="s">
        <v>3920</v>
      </c>
      <c r="G1450" s="2" t="s">
        <v>3921</v>
      </c>
      <c r="H1450" s="12">
        <v>0.0</v>
      </c>
      <c r="I1450" s="2" t="s">
        <v>40</v>
      </c>
      <c r="J1450" s="2"/>
      <c r="K1450" s="2" t="s">
        <v>3922</v>
      </c>
      <c r="L1450" s="12">
        <v>152.0</v>
      </c>
      <c r="M1450" s="2" t="s">
        <v>3923</v>
      </c>
      <c r="N1450" s="2" t="str">
        <f>IFERROR(__xludf.DUMMYFUNCTION("""COMPUTED_VALUE"""),"")</f>
        <v/>
      </c>
    </row>
    <row r="1451">
      <c r="A1451" s="2" t="s">
        <v>33</v>
      </c>
      <c r="B1451" s="12">
        <v>1399068.0</v>
      </c>
      <c r="C1451" s="12">
        <v>1399613.0</v>
      </c>
      <c r="D1451" s="2"/>
      <c r="E1451" s="2" t="s">
        <v>38</v>
      </c>
      <c r="F1451" s="2" t="s">
        <v>3924</v>
      </c>
      <c r="G1451" s="2"/>
      <c r="H1451" s="12">
        <v>0.0</v>
      </c>
      <c r="I1451" s="2" t="s">
        <v>40</v>
      </c>
      <c r="J1451" s="2"/>
      <c r="K1451" s="2" t="s">
        <v>3925</v>
      </c>
      <c r="L1451" s="12">
        <v>181.0</v>
      </c>
      <c r="M1451" s="2" t="s">
        <v>3926</v>
      </c>
      <c r="N1451" s="2" t="str">
        <f>IFERROR(__xludf.DUMMYFUNCTION("""COMPUTED_VALUE"""),"")</f>
        <v/>
      </c>
    </row>
    <row r="1452">
      <c r="A1452" s="2" t="s">
        <v>33</v>
      </c>
      <c r="B1452" s="12">
        <v>1399754.0</v>
      </c>
      <c r="C1452" s="12">
        <v>1400524.0</v>
      </c>
      <c r="D1452" s="2"/>
      <c r="E1452" s="2" t="s">
        <v>38</v>
      </c>
      <c r="F1452" s="2" t="s">
        <v>3927</v>
      </c>
      <c r="G1452" s="2" t="s">
        <v>3928</v>
      </c>
      <c r="H1452" s="12">
        <v>0.0</v>
      </c>
      <c r="I1452" s="2" t="s">
        <v>40</v>
      </c>
      <c r="J1452" s="2"/>
      <c r="K1452" s="2" t="s">
        <v>3929</v>
      </c>
      <c r="L1452" s="12">
        <v>256.0</v>
      </c>
      <c r="M1452" s="2" t="s">
        <v>3930</v>
      </c>
      <c r="N1452" s="2" t="str">
        <f>IFERROR(__xludf.DUMMYFUNCTION("""COMPUTED_VALUE"""),"")</f>
        <v/>
      </c>
    </row>
    <row r="1453">
      <c r="A1453" s="2" t="s">
        <v>33</v>
      </c>
      <c r="B1453" s="12">
        <v>1400633.0</v>
      </c>
      <c r="C1453" s="12">
        <v>1401487.0</v>
      </c>
      <c r="D1453" s="2"/>
      <c r="E1453" s="2" t="s">
        <v>38</v>
      </c>
      <c r="F1453" s="2" t="s">
        <v>3931</v>
      </c>
      <c r="G1453" s="2" t="s">
        <v>3932</v>
      </c>
      <c r="H1453" s="12">
        <v>0.0</v>
      </c>
      <c r="I1453" s="2" t="s">
        <v>40</v>
      </c>
      <c r="J1453" s="2"/>
      <c r="K1453" s="2" t="s">
        <v>3933</v>
      </c>
      <c r="L1453" s="12">
        <v>284.0</v>
      </c>
      <c r="M1453" s="2" t="s">
        <v>3934</v>
      </c>
      <c r="N1453" s="2" t="str">
        <f>IFERROR(__xludf.DUMMYFUNCTION("""COMPUTED_VALUE"""),"")</f>
        <v/>
      </c>
    </row>
    <row r="1454">
      <c r="A1454" s="2" t="s">
        <v>33</v>
      </c>
      <c r="B1454" s="12">
        <v>1401500.0</v>
      </c>
      <c r="C1454" s="12">
        <v>1402471.0</v>
      </c>
      <c r="D1454" s="2"/>
      <c r="E1454" s="2" t="s">
        <v>38</v>
      </c>
      <c r="F1454" s="2" t="s">
        <v>3935</v>
      </c>
      <c r="G1454" s="2" t="s">
        <v>3936</v>
      </c>
      <c r="H1454" s="12">
        <v>0.0</v>
      </c>
      <c r="I1454" s="2" t="s">
        <v>40</v>
      </c>
      <c r="J1454" s="2"/>
      <c r="K1454" s="2" t="s">
        <v>3937</v>
      </c>
      <c r="L1454" s="12">
        <v>323.0</v>
      </c>
      <c r="M1454" s="2" t="s">
        <v>3938</v>
      </c>
      <c r="N1454" s="2" t="str">
        <f>IFERROR(__xludf.DUMMYFUNCTION("""COMPUTED_VALUE"""),"")</f>
        <v/>
      </c>
    </row>
    <row r="1455">
      <c r="A1455" s="2" t="s">
        <v>33</v>
      </c>
      <c r="B1455" s="12">
        <v>1402487.0</v>
      </c>
      <c r="C1455" s="12">
        <v>1403032.0</v>
      </c>
      <c r="D1455" s="2"/>
      <c r="E1455" s="2" t="s">
        <v>38</v>
      </c>
      <c r="F1455" s="2" t="s">
        <v>3939</v>
      </c>
      <c r="G1455" s="2" t="s">
        <v>3940</v>
      </c>
      <c r="H1455" s="12">
        <v>0.0</v>
      </c>
      <c r="I1455" s="2" t="s">
        <v>40</v>
      </c>
      <c r="J1455" s="2"/>
      <c r="K1455" s="2" t="s">
        <v>3941</v>
      </c>
      <c r="L1455" s="12">
        <v>181.0</v>
      </c>
      <c r="M1455" s="2" t="s">
        <v>3942</v>
      </c>
      <c r="N1455" s="2" t="str">
        <f>IFERROR(__xludf.DUMMYFUNCTION("""COMPUTED_VALUE"""),"")</f>
        <v/>
      </c>
    </row>
    <row r="1456">
      <c r="A1456" s="2" t="s">
        <v>33</v>
      </c>
      <c r="B1456" s="12">
        <v>1403041.0</v>
      </c>
      <c r="C1456" s="12">
        <v>1403778.0</v>
      </c>
      <c r="D1456" s="2"/>
      <c r="E1456" s="2" t="s">
        <v>38</v>
      </c>
      <c r="F1456" s="2" t="s">
        <v>3943</v>
      </c>
      <c r="G1456" s="2"/>
      <c r="H1456" s="12">
        <v>0.0</v>
      </c>
      <c r="I1456" s="2" t="s">
        <v>40</v>
      </c>
      <c r="J1456" s="2"/>
      <c r="K1456" s="2" t="s">
        <v>3944</v>
      </c>
      <c r="L1456" s="12">
        <v>245.0</v>
      </c>
      <c r="M1456" s="2" t="s">
        <v>3945</v>
      </c>
      <c r="N1456" s="2" t="str">
        <f>IFERROR(__xludf.DUMMYFUNCTION("""COMPUTED_VALUE"""),"")</f>
        <v/>
      </c>
    </row>
    <row r="1457">
      <c r="A1457" s="2" t="s">
        <v>33</v>
      </c>
      <c r="B1457" s="12">
        <v>1403793.0</v>
      </c>
      <c r="C1457" s="12">
        <v>1404473.0</v>
      </c>
      <c r="D1457" s="2"/>
      <c r="E1457" s="2" t="s">
        <v>38</v>
      </c>
      <c r="F1457" s="2" t="s">
        <v>3946</v>
      </c>
      <c r="G1457" s="2"/>
      <c r="H1457" s="12">
        <v>0.0</v>
      </c>
      <c r="I1457" s="2" t="s">
        <v>40</v>
      </c>
      <c r="J1457" s="2"/>
      <c r="K1457" s="2" t="s">
        <v>3947</v>
      </c>
      <c r="L1457" s="12">
        <v>226.0</v>
      </c>
      <c r="M1457" s="2" t="s">
        <v>3948</v>
      </c>
      <c r="N1457" s="2" t="str">
        <f>IFERROR(__xludf.DUMMYFUNCTION("""COMPUTED_VALUE"""),"")</f>
        <v/>
      </c>
    </row>
    <row r="1458">
      <c r="A1458" s="2" t="s">
        <v>33</v>
      </c>
      <c r="B1458" s="12">
        <v>1404488.0</v>
      </c>
      <c r="C1458" s="12">
        <v>1405174.0</v>
      </c>
      <c r="D1458" s="2"/>
      <c r="E1458" s="2" t="s">
        <v>38</v>
      </c>
      <c r="F1458" s="2" t="s">
        <v>3946</v>
      </c>
      <c r="G1458" s="2"/>
      <c r="H1458" s="12">
        <v>0.0</v>
      </c>
      <c r="I1458" s="2" t="s">
        <v>40</v>
      </c>
      <c r="J1458" s="2"/>
      <c r="K1458" s="2" t="s">
        <v>3949</v>
      </c>
      <c r="L1458" s="12">
        <v>228.0</v>
      </c>
      <c r="M1458" s="2" t="s">
        <v>3950</v>
      </c>
      <c r="N1458" s="2" t="str">
        <f>IFERROR(__xludf.DUMMYFUNCTION("""COMPUTED_VALUE"""),"")</f>
        <v/>
      </c>
    </row>
    <row r="1459">
      <c r="A1459" s="2" t="s">
        <v>33</v>
      </c>
      <c r="B1459" s="12">
        <v>1405171.0</v>
      </c>
      <c r="C1459" s="12">
        <v>1405860.0</v>
      </c>
      <c r="D1459" s="2"/>
      <c r="E1459" s="2" t="s">
        <v>38</v>
      </c>
      <c r="F1459" s="2" t="s">
        <v>3951</v>
      </c>
      <c r="G1459" s="2"/>
      <c r="H1459" s="12">
        <v>0.0</v>
      </c>
      <c r="I1459" s="2" t="s">
        <v>40</v>
      </c>
      <c r="J1459" s="2"/>
      <c r="K1459" s="2" t="s">
        <v>3952</v>
      </c>
      <c r="L1459" s="12">
        <v>229.0</v>
      </c>
      <c r="M1459" s="2" t="s">
        <v>3953</v>
      </c>
      <c r="N1459" s="2" t="str">
        <f>IFERROR(__xludf.DUMMYFUNCTION("""COMPUTED_VALUE"""),"")</f>
        <v/>
      </c>
    </row>
    <row r="1460">
      <c r="A1460" s="2" t="s">
        <v>33</v>
      </c>
      <c r="B1460" s="12">
        <v>1406072.0</v>
      </c>
      <c r="C1460" s="12">
        <v>1407169.0</v>
      </c>
      <c r="D1460" s="2"/>
      <c r="E1460" s="2" t="s">
        <v>38</v>
      </c>
      <c r="F1460" s="2" t="s">
        <v>3954</v>
      </c>
      <c r="G1460" s="2"/>
      <c r="H1460" s="12">
        <v>0.0</v>
      </c>
      <c r="I1460" s="2" t="s">
        <v>40</v>
      </c>
      <c r="J1460" s="2"/>
      <c r="K1460" s="2" t="s">
        <v>3955</v>
      </c>
      <c r="L1460" s="12">
        <v>365.0</v>
      </c>
      <c r="M1460" s="2" t="s">
        <v>3956</v>
      </c>
      <c r="N1460" s="2" t="str">
        <f>IFERROR(__xludf.DUMMYFUNCTION("""COMPUTED_VALUE"""),"")</f>
        <v/>
      </c>
    </row>
    <row r="1461">
      <c r="A1461" s="2" t="s">
        <v>33</v>
      </c>
      <c r="B1461" s="12">
        <v>1407335.0</v>
      </c>
      <c r="C1461" s="12">
        <v>1408222.0</v>
      </c>
      <c r="D1461" s="2"/>
      <c r="E1461" s="2" t="s">
        <v>34</v>
      </c>
      <c r="F1461" s="2" t="s">
        <v>3957</v>
      </c>
      <c r="G1461" s="2"/>
      <c r="H1461" s="12">
        <v>0.0</v>
      </c>
      <c r="I1461" s="2" t="s">
        <v>40</v>
      </c>
      <c r="J1461" s="2"/>
      <c r="K1461" s="2" t="s">
        <v>3958</v>
      </c>
      <c r="L1461" s="12">
        <v>295.0</v>
      </c>
      <c r="M1461" s="2" t="s">
        <v>3959</v>
      </c>
      <c r="N1461" s="2" t="str">
        <f>IFERROR(__xludf.DUMMYFUNCTION("""COMPUTED_VALUE"""),"")</f>
        <v/>
      </c>
    </row>
    <row r="1462">
      <c r="A1462" s="2" t="s">
        <v>33</v>
      </c>
      <c r="B1462" s="12">
        <v>1408345.0</v>
      </c>
      <c r="C1462" s="12">
        <v>1409190.0</v>
      </c>
      <c r="D1462" s="2"/>
      <c r="E1462" s="2" t="s">
        <v>34</v>
      </c>
      <c r="F1462" s="2" t="s">
        <v>3960</v>
      </c>
      <c r="G1462" s="2"/>
      <c r="H1462" s="12">
        <v>0.0</v>
      </c>
      <c r="I1462" s="2" t="s">
        <v>40</v>
      </c>
      <c r="J1462" s="2"/>
      <c r="K1462" s="2" t="s">
        <v>3961</v>
      </c>
      <c r="L1462" s="12">
        <v>281.0</v>
      </c>
      <c r="M1462" s="2" t="s">
        <v>3962</v>
      </c>
      <c r="N1462" s="2" t="str">
        <f>IFERROR(__xludf.DUMMYFUNCTION("""COMPUTED_VALUE"""),"")</f>
        <v/>
      </c>
    </row>
    <row r="1463">
      <c r="A1463" s="2" t="s">
        <v>33</v>
      </c>
      <c r="B1463" s="12">
        <v>1409375.0</v>
      </c>
      <c r="C1463" s="12">
        <v>1410127.0</v>
      </c>
      <c r="D1463" s="2"/>
      <c r="E1463" s="2" t="s">
        <v>34</v>
      </c>
      <c r="F1463" s="2" t="s">
        <v>289</v>
      </c>
      <c r="G1463" s="2"/>
      <c r="H1463" s="12">
        <v>0.0</v>
      </c>
      <c r="I1463" s="2" t="s">
        <v>40</v>
      </c>
      <c r="J1463" s="2"/>
      <c r="K1463" s="2" t="s">
        <v>3963</v>
      </c>
      <c r="L1463" s="12">
        <v>250.0</v>
      </c>
      <c r="M1463" s="2" t="s">
        <v>3964</v>
      </c>
      <c r="N1463" s="2" t="str">
        <f>IFERROR(__xludf.DUMMYFUNCTION("""COMPUTED_VALUE"""),"")</f>
        <v/>
      </c>
    </row>
    <row r="1464">
      <c r="A1464" s="2" t="s">
        <v>33</v>
      </c>
      <c r="B1464" s="12">
        <v>1410141.0</v>
      </c>
      <c r="C1464" s="12">
        <v>1411067.0</v>
      </c>
      <c r="D1464" s="2"/>
      <c r="E1464" s="2" t="s">
        <v>34</v>
      </c>
      <c r="F1464" s="2" t="s">
        <v>1056</v>
      </c>
      <c r="G1464" s="2"/>
      <c r="H1464" s="12">
        <v>0.0</v>
      </c>
      <c r="I1464" s="2" t="s">
        <v>40</v>
      </c>
      <c r="J1464" s="2"/>
      <c r="K1464" s="2" t="s">
        <v>3965</v>
      </c>
      <c r="L1464" s="12">
        <v>308.0</v>
      </c>
      <c r="M1464" s="2" t="s">
        <v>3966</v>
      </c>
      <c r="N1464" s="2" t="str">
        <f>IFERROR(__xludf.DUMMYFUNCTION("""COMPUTED_VALUE"""),"")</f>
        <v/>
      </c>
    </row>
    <row r="1465">
      <c r="A1465" s="2" t="s">
        <v>33</v>
      </c>
      <c r="B1465" s="12">
        <v>1411306.0</v>
      </c>
      <c r="C1465" s="12">
        <v>1412466.0</v>
      </c>
      <c r="D1465" s="2"/>
      <c r="E1465" s="2" t="s">
        <v>34</v>
      </c>
      <c r="F1465" s="2" t="s">
        <v>3967</v>
      </c>
      <c r="G1465" s="2"/>
      <c r="H1465" s="12">
        <v>0.0</v>
      </c>
      <c r="I1465" s="2" t="s">
        <v>40</v>
      </c>
      <c r="J1465" s="2"/>
      <c r="K1465" s="2" t="s">
        <v>3968</v>
      </c>
      <c r="L1465" s="12">
        <v>386.0</v>
      </c>
      <c r="M1465" s="2" t="s">
        <v>3969</v>
      </c>
      <c r="N1465" s="2" t="str">
        <f>IFERROR(__xludf.DUMMYFUNCTION("""COMPUTED_VALUE"""),"")</f>
        <v/>
      </c>
    </row>
    <row r="1466">
      <c r="A1466" s="2" t="s">
        <v>33</v>
      </c>
      <c r="B1466" s="12">
        <v>1412543.0</v>
      </c>
      <c r="C1466" s="12">
        <v>1413283.0</v>
      </c>
      <c r="D1466" s="2"/>
      <c r="E1466" s="2" t="s">
        <v>34</v>
      </c>
      <c r="F1466" s="2" t="s">
        <v>3970</v>
      </c>
      <c r="G1466" s="2" t="s">
        <v>3971</v>
      </c>
      <c r="H1466" s="12">
        <v>0.0</v>
      </c>
      <c r="I1466" s="2" t="s">
        <v>40</v>
      </c>
      <c r="J1466" s="2"/>
      <c r="K1466" s="2" t="s">
        <v>3972</v>
      </c>
      <c r="L1466" s="12">
        <v>246.0</v>
      </c>
      <c r="M1466" s="2" t="s">
        <v>3973</v>
      </c>
      <c r="N1466" s="2" t="str">
        <f>IFERROR(__xludf.DUMMYFUNCTION("""COMPUTED_VALUE"""),"")</f>
        <v/>
      </c>
    </row>
    <row r="1467">
      <c r="A1467" s="2" t="s">
        <v>33</v>
      </c>
      <c r="B1467" s="12">
        <v>1413420.0</v>
      </c>
      <c r="C1467" s="12">
        <v>1414808.0</v>
      </c>
      <c r="D1467" s="2"/>
      <c r="E1467" s="2" t="s">
        <v>34</v>
      </c>
      <c r="F1467" s="2" t="s">
        <v>3974</v>
      </c>
      <c r="G1467" s="2"/>
      <c r="H1467" s="12">
        <v>0.0</v>
      </c>
      <c r="I1467" s="2" t="s">
        <v>40</v>
      </c>
      <c r="J1467" s="2"/>
      <c r="K1467" s="2" t="s">
        <v>3975</v>
      </c>
      <c r="L1467" s="12">
        <v>462.0</v>
      </c>
      <c r="M1467" s="2" t="s">
        <v>3976</v>
      </c>
      <c r="N1467" s="2" t="str">
        <f>IFERROR(__xludf.DUMMYFUNCTION("""COMPUTED_VALUE"""),"")</f>
        <v/>
      </c>
    </row>
    <row r="1468">
      <c r="A1468" s="2" t="s">
        <v>33</v>
      </c>
      <c r="B1468" s="12">
        <v>1414857.0</v>
      </c>
      <c r="C1468" s="12">
        <v>1415750.0</v>
      </c>
      <c r="D1468" s="2"/>
      <c r="E1468" s="2" t="s">
        <v>38</v>
      </c>
      <c r="F1468" s="2" t="s">
        <v>3721</v>
      </c>
      <c r="G1468" s="2"/>
      <c r="H1468" s="12">
        <v>0.0</v>
      </c>
      <c r="I1468" s="2" t="s">
        <v>40</v>
      </c>
      <c r="J1468" s="2"/>
      <c r="K1468" s="2" t="s">
        <v>3977</v>
      </c>
      <c r="L1468" s="12">
        <v>297.0</v>
      </c>
      <c r="M1468" s="2" t="s">
        <v>3978</v>
      </c>
      <c r="N1468" s="2" t="str">
        <f>IFERROR(__xludf.DUMMYFUNCTION("""COMPUTED_VALUE"""),"")</f>
        <v/>
      </c>
    </row>
    <row r="1469">
      <c r="A1469" s="2" t="s">
        <v>33</v>
      </c>
      <c r="B1469" s="12">
        <v>1415765.0</v>
      </c>
      <c r="C1469" s="12">
        <v>1416562.0</v>
      </c>
      <c r="D1469" s="2"/>
      <c r="E1469" s="2" t="s">
        <v>38</v>
      </c>
      <c r="F1469" s="2" t="s">
        <v>3979</v>
      </c>
      <c r="G1469" s="2"/>
      <c r="H1469" s="12">
        <v>0.0</v>
      </c>
      <c r="I1469" s="2" t="s">
        <v>40</v>
      </c>
      <c r="J1469" s="2"/>
      <c r="K1469" s="2" t="s">
        <v>3980</v>
      </c>
      <c r="L1469" s="12">
        <v>265.0</v>
      </c>
      <c r="M1469" s="2" t="s">
        <v>3981</v>
      </c>
      <c r="N1469" s="2" t="str">
        <f>IFERROR(__xludf.DUMMYFUNCTION("""COMPUTED_VALUE"""),"")</f>
        <v/>
      </c>
    </row>
    <row r="1470">
      <c r="A1470" s="2" t="s">
        <v>33</v>
      </c>
      <c r="B1470" s="12">
        <v>1416581.0</v>
      </c>
      <c r="C1470" s="12">
        <v>1417219.0</v>
      </c>
      <c r="D1470" s="2"/>
      <c r="E1470" s="2" t="s">
        <v>38</v>
      </c>
      <c r="F1470" s="2" t="s">
        <v>3982</v>
      </c>
      <c r="G1470" s="2"/>
      <c r="H1470" s="12">
        <v>0.0</v>
      </c>
      <c r="I1470" s="2" t="s">
        <v>40</v>
      </c>
      <c r="J1470" s="2"/>
      <c r="K1470" s="2" t="s">
        <v>3983</v>
      </c>
      <c r="L1470" s="12">
        <v>212.0</v>
      </c>
      <c r="M1470" s="2" t="s">
        <v>3984</v>
      </c>
      <c r="N1470" s="2" t="str">
        <f>IFERROR(__xludf.DUMMYFUNCTION("""COMPUTED_VALUE"""),"")</f>
        <v/>
      </c>
    </row>
    <row r="1471">
      <c r="A1471" s="2" t="s">
        <v>33</v>
      </c>
      <c r="B1471" s="12">
        <v>1417250.0</v>
      </c>
      <c r="C1471" s="12">
        <v>1417621.0</v>
      </c>
      <c r="D1471" s="2"/>
      <c r="E1471" s="2" t="s">
        <v>38</v>
      </c>
      <c r="F1471" s="2" t="s">
        <v>39</v>
      </c>
      <c r="G1471" s="2"/>
      <c r="H1471" s="12">
        <v>0.0</v>
      </c>
      <c r="I1471" s="2" t="s">
        <v>40</v>
      </c>
      <c r="J1471" s="2"/>
      <c r="K1471" s="2" t="s">
        <v>3985</v>
      </c>
      <c r="L1471" s="12">
        <v>123.0</v>
      </c>
      <c r="M1471" s="2" t="s">
        <v>3986</v>
      </c>
      <c r="N1471" s="2" t="str">
        <f>IFERROR(__xludf.DUMMYFUNCTION("""COMPUTED_VALUE"""),"")</f>
        <v/>
      </c>
    </row>
    <row r="1472">
      <c r="A1472" s="2" t="s">
        <v>33</v>
      </c>
      <c r="B1472" s="12">
        <v>1417766.0</v>
      </c>
      <c r="C1472" s="12">
        <v>1418344.0</v>
      </c>
      <c r="D1472" s="2"/>
      <c r="E1472" s="2" t="s">
        <v>34</v>
      </c>
      <c r="F1472" s="2" t="s">
        <v>3987</v>
      </c>
      <c r="G1472" s="2"/>
      <c r="H1472" s="12">
        <v>0.0</v>
      </c>
      <c r="I1472" s="2" t="s">
        <v>40</v>
      </c>
      <c r="J1472" s="2"/>
      <c r="K1472" s="2" t="s">
        <v>3988</v>
      </c>
      <c r="L1472" s="12">
        <v>192.0</v>
      </c>
      <c r="M1472" s="2" t="s">
        <v>3989</v>
      </c>
      <c r="N1472" s="2" t="str">
        <f>IFERROR(__xludf.DUMMYFUNCTION("""COMPUTED_VALUE"""),"")</f>
        <v/>
      </c>
    </row>
    <row r="1473">
      <c r="A1473" s="2" t="s">
        <v>33</v>
      </c>
      <c r="B1473" s="12">
        <v>1418513.0</v>
      </c>
      <c r="C1473" s="12">
        <v>1418911.0</v>
      </c>
      <c r="D1473" s="2"/>
      <c r="E1473" s="2" t="s">
        <v>34</v>
      </c>
      <c r="F1473" s="2" t="s">
        <v>39</v>
      </c>
      <c r="G1473" s="2"/>
      <c r="H1473" s="12">
        <v>0.0</v>
      </c>
      <c r="I1473" s="2" t="s">
        <v>40</v>
      </c>
      <c r="J1473" s="2"/>
      <c r="K1473" s="2" t="s">
        <v>3990</v>
      </c>
      <c r="L1473" s="12">
        <v>132.0</v>
      </c>
      <c r="M1473" s="2" t="s">
        <v>3991</v>
      </c>
      <c r="N1473" s="2" t="str">
        <f>IFERROR(__xludf.DUMMYFUNCTION("""COMPUTED_VALUE"""),"")</f>
        <v/>
      </c>
    </row>
    <row r="1474">
      <c r="A1474" s="2" t="s">
        <v>33</v>
      </c>
      <c r="B1474" s="12">
        <v>1418911.0</v>
      </c>
      <c r="C1474" s="12">
        <v>1419804.0</v>
      </c>
      <c r="D1474" s="2"/>
      <c r="E1474" s="2" t="s">
        <v>34</v>
      </c>
      <c r="F1474" s="2" t="s">
        <v>3992</v>
      </c>
      <c r="G1474" s="2"/>
      <c r="H1474" s="12">
        <v>0.0</v>
      </c>
      <c r="I1474" s="2" t="s">
        <v>40</v>
      </c>
      <c r="J1474" s="2"/>
      <c r="K1474" s="2" t="s">
        <v>3993</v>
      </c>
      <c r="L1474" s="12">
        <v>297.0</v>
      </c>
      <c r="M1474" s="2" t="s">
        <v>3994</v>
      </c>
      <c r="N1474" s="2" t="str">
        <f>IFERROR(__xludf.DUMMYFUNCTION("""COMPUTED_VALUE"""),"")</f>
        <v/>
      </c>
    </row>
    <row r="1475">
      <c r="A1475" s="2" t="s">
        <v>33</v>
      </c>
      <c r="B1475" s="12">
        <v>1420034.0</v>
      </c>
      <c r="C1475" s="12">
        <v>1420207.0</v>
      </c>
      <c r="D1475" s="2"/>
      <c r="E1475" s="2" t="s">
        <v>34</v>
      </c>
      <c r="F1475" s="2" t="s">
        <v>39</v>
      </c>
      <c r="G1475" s="2"/>
      <c r="H1475" s="12">
        <v>0.0</v>
      </c>
      <c r="I1475" s="2" t="s">
        <v>40</v>
      </c>
      <c r="J1475" s="2"/>
      <c r="K1475" s="2" t="s">
        <v>3995</v>
      </c>
      <c r="L1475" s="12">
        <v>57.0</v>
      </c>
      <c r="M1475" s="2" t="s">
        <v>3996</v>
      </c>
      <c r="N1475" s="2" t="str">
        <f>IFERROR(__xludf.DUMMYFUNCTION("""COMPUTED_VALUE"""),"")</f>
        <v/>
      </c>
    </row>
    <row r="1476">
      <c r="A1476" s="2" t="s">
        <v>33</v>
      </c>
      <c r="B1476" s="12">
        <v>1420337.0</v>
      </c>
      <c r="C1476" s="12">
        <v>1422163.0</v>
      </c>
      <c r="D1476" s="2"/>
      <c r="E1476" s="2" t="s">
        <v>38</v>
      </c>
      <c r="F1476" s="2" t="s">
        <v>3997</v>
      </c>
      <c r="G1476" s="2" t="s">
        <v>3998</v>
      </c>
      <c r="H1476" s="12">
        <v>0.0</v>
      </c>
      <c r="I1476" s="2" t="s">
        <v>40</v>
      </c>
      <c r="J1476" s="2"/>
      <c r="K1476" s="2" t="s">
        <v>3999</v>
      </c>
      <c r="L1476" s="12">
        <v>608.0</v>
      </c>
      <c r="M1476" s="2" t="s">
        <v>4000</v>
      </c>
      <c r="N1476" s="2" t="str">
        <f>IFERROR(__xludf.DUMMYFUNCTION("""COMPUTED_VALUE"""),"")</f>
        <v/>
      </c>
    </row>
    <row r="1477">
      <c r="A1477" s="2" t="s">
        <v>33</v>
      </c>
      <c r="B1477" s="12">
        <v>1422215.0</v>
      </c>
      <c r="C1477" s="12">
        <v>1423459.0</v>
      </c>
      <c r="D1477" s="2"/>
      <c r="E1477" s="2" t="s">
        <v>38</v>
      </c>
      <c r="F1477" s="2" t="s">
        <v>4001</v>
      </c>
      <c r="G1477" s="2"/>
      <c r="H1477" s="12">
        <v>0.0</v>
      </c>
      <c r="I1477" s="2" t="s">
        <v>40</v>
      </c>
      <c r="J1477" s="2"/>
      <c r="K1477" s="2" t="s">
        <v>4002</v>
      </c>
      <c r="L1477" s="12">
        <v>414.0</v>
      </c>
      <c r="M1477" s="2" t="s">
        <v>4003</v>
      </c>
      <c r="N1477" s="2" t="str">
        <f>IFERROR(__xludf.DUMMYFUNCTION("""COMPUTED_VALUE"""),"")</f>
        <v/>
      </c>
    </row>
    <row r="1478">
      <c r="A1478" s="2" t="s">
        <v>33</v>
      </c>
      <c r="B1478" s="12">
        <v>1423540.0</v>
      </c>
      <c r="C1478" s="12">
        <v>1425084.0</v>
      </c>
      <c r="D1478" s="2"/>
      <c r="E1478" s="2" t="s">
        <v>38</v>
      </c>
      <c r="F1478" s="2" t="s">
        <v>1587</v>
      </c>
      <c r="G1478" s="2"/>
      <c r="H1478" s="12">
        <v>0.0</v>
      </c>
      <c r="I1478" s="2" t="s">
        <v>40</v>
      </c>
      <c r="J1478" s="2"/>
      <c r="K1478" s="2" t="s">
        <v>4004</v>
      </c>
      <c r="L1478" s="12">
        <v>514.0</v>
      </c>
      <c r="M1478" s="2" t="s">
        <v>4005</v>
      </c>
      <c r="N1478" s="2" t="str">
        <f>IFERROR(__xludf.DUMMYFUNCTION("""COMPUTED_VALUE"""),"")</f>
        <v/>
      </c>
    </row>
    <row r="1479">
      <c r="A1479" s="2" t="s">
        <v>33</v>
      </c>
      <c r="B1479" s="12">
        <v>1425157.0</v>
      </c>
      <c r="C1479" s="12">
        <v>1425840.0</v>
      </c>
      <c r="D1479" s="2"/>
      <c r="E1479" s="2" t="s">
        <v>38</v>
      </c>
      <c r="F1479" s="2" t="s">
        <v>4006</v>
      </c>
      <c r="G1479" s="2" t="s">
        <v>4007</v>
      </c>
      <c r="H1479" s="12">
        <v>0.0</v>
      </c>
      <c r="I1479" s="2" t="s">
        <v>40</v>
      </c>
      <c r="J1479" s="2"/>
      <c r="K1479" s="2" t="s">
        <v>4008</v>
      </c>
      <c r="L1479" s="12">
        <v>227.0</v>
      </c>
      <c r="M1479" s="2" t="s">
        <v>4009</v>
      </c>
      <c r="N1479" s="2" t="str">
        <f>IFERROR(__xludf.DUMMYFUNCTION("""COMPUTED_VALUE"""),"")</f>
        <v/>
      </c>
    </row>
    <row r="1480">
      <c r="A1480" s="2" t="s">
        <v>33</v>
      </c>
      <c r="B1480" s="12">
        <v>1426186.0</v>
      </c>
      <c r="C1480" s="12">
        <v>1426860.0</v>
      </c>
      <c r="D1480" s="2"/>
      <c r="E1480" s="2" t="s">
        <v>34</v>
      </c>
      <c r="F1480" s="2" t="s">
        <v>3676</v>
      </c>
      <c r="G1480" s="2"/>
      <c r="H1480" s="12">
        <v>0.0</v>
      </c>
      <c r="I1480" s="2" t="s">
        <v>40</v>
      </c>
      <c r="J1480" s="2"/>
      <c r="K1480" s="2" t="s">
        <v>4010</v>
      </c>
      <c r="L1480" s="12">
        <v>224.0</v>
      </c>
      <c r="M1480" s="2" t="s">
        <v>4011</v>
      </c>
      <c r="N1480" s="2" t="str">
        <f>IFERROR(__xludf.DUMMYFUNCTION("""COMPUTED_VALUE"""),"")</f>
        <v/>
      </c>
    </row>
    <row r="1481">
      <c r="A1481" s="2" t="s">
        <v>33</v>
      </c>
      <c r="B1481" s="12">
        <v>1426910.0</v>
      </c>
      <c r="C1481" s="12">
        <v>1427305.0</v>
      </c>
      <c r="D1481" s="2"/>
      <c r="E1481" s="2" t="s">
        <v>38</v>
      </c>
      <c r="F1481" s="2" t="s">
        <v>4012</v>
      </c>
      <c r="G1481" s="2" t="s">
        <v>4013</v>
      </c>
      <c r="H1481" s="12">
        <v>0.0</v>
      </c>
      <c r="I1481" s="2" t="s">
        <v>40</v>
      </c>
      <c r="J1481" s="2"/>
      <c r="K1481" s="2" t="s">
        <v>4014</v>
      </c>
      <c r="L1481" s="12">
        <v>131.0</v>
      </c>
      <c r="M1481" s="2" t="s">
        <v>4015</v>
      </c>
      <c r="N1481" s="2" t="str">
        <f>IFERROR(__xludf.DUMMYFUNCTION("""COMPUTED_VALUE"""),"")</f>
        <v/>
      </c>
    </row>
    <row r="1482">
      <c r="A1482" s="2" t="s">
        <v>33</v>
      </c>
      <c r="B1482" s="12">
        <v>1427899.0</v>
      </c>
      <c r="C1482" s="12">
        <v>1428102.0</v>
      </c>
      <c r="D1482" s="2"/>
      <c r="E1482" s="2" t="s">
        <v>34</v>
      </c>
      <c r="F1482" s="2" t="s">
        <v>39</v>
      </c>
      <c r="G1482" s="2"/>
      <c r="H1482" s="12">
        <v>0.0</v>
      </c>
      <c r="I1482" s="2" t="s">
        <v>40</v>
      </c>
      <c r="J1482" s="2"/>
      <c r="K1482" s="2" t="s">
        <v>4016</v>
      </c>
      <c r="L1482" s="12">
        <v>67.0</v>
      </c>
      <c r="M1482" s="2" t="s">
        <v>4017</v>
      </c>
      <c r="N1482" s="2" t="str">
        <f>IFERROR(__xludf.DUMMYFUNCTION("""COMPUTED_VALUE"""),"")</f>
        <v/>
      </c>
    </row>
    <row r="1483">
      <c r="A1483" s="2" t="s">
        <v>33</v>
      </c>
      <c r="B1483" s="12">
        <v>1428133.0</v>
      </c>
      <c r="C1483" s="12">
        <v>1429779.0</v>
      </c>
      <c r="D1483" s="2"/>
      <c r="E1483" s="2" t="s">
        <v>38</v>
      </c>
      <c r="F1483" s="2" t="s">
        <v>1632</v>
      </c>
      <c r="G1483" s="2"/>
      <c r="H1483" s="12">
        <v>0.0</v>
      </c>
      <c r="I1483" s="2" t="s">
        <v>40</v>
      </c>
      <c r="J1483" s="2"/>
      <c r="K1483" s="2" t="s">
        <v>4018</v>
      </c>
      <c r="L1483" s="12">
        <v>548.0</v>
      </c>
      <c r="M1483" s="2" t="s">
        <v>4019</v>
      </c>
      <c r="N1483" s="2" t="str">
        <f>IFERROR(__xludf.DUMMYFUNCTION("""COMPUTED_VALUE"""),"")</f>
        <v/>
      </c>
    </row>
    <row r="1484">
      <c r="A1484" s="2" t="s">
        <v>33</v>
      </c>
      <c r="B1484" s="12">
        <v>1430132.0</v>
      </c>
      <c r="C1484" s="12">
        <v>1431577.0</v>
      </c>
      <c r="D1484" s="2"/>
      <c r="E1484" s="2" t="s">
        <v>34</v>
      </c>
      <c r="F1484" s="2" t="s">
        <v>2474</v>
      </c>
      <c r="G1484" s="2"/>
      <c r="H1484" s="12">
        <v>0.0</v>
      </c>
      <c r="I1484" s="2" t="s">
        <v>40</v>
      </c>
      <c r="J1484" s="2"/>
      <c r="K1484" s="2" t="s">
        <v>4020</v>
      </c>
      <c r="L1484" s="12">
        <v>481.0</v>
      </c>
      <c r="M1484" s="2" t="s">
        <v>4021</v>
      </c>
      <c r="N1484" s="2" t="str">
        <f>IFERROR(__xludf.DUMMYFUNCTION("""COMPUTED_VALUE"""),"")</f>
        <v/>
      </c>
    </row>
    <row r="1485">
      <c r="A1485" s="2" t="s">
        <v>33</v>
      </c>
      <c r="B1485" s="12">
        <v>1431721.0</v>
      </c>
      <c r="C1485" s="12">
        <v>1432656.0</v>
      </c>
      <c r="D1485" s="2"/>
      <c r="E1485" s="2" t="s">
        <v>38</v>
      </c>
      <c r="F1485" s="2" t="s">
        <v>432</v>
      </c>
      <c r="G1485" s="2"/>
      <c r="H1485" s="12">
        <v>0.0</v>
      </c>
      <c r="I1485" s="2" t="s">
        <v>40</v>
      </c>
      <c r="J1485" s="2"/>
      <c r="K1485" s="2" t="s">
        <v>4022</v>
      </c>
      <c r="L1485" s="12">
        <v>311.0</v>
      </c>
      <c r="M1485" s="2" t="s">
        <v>4023</v>
      </c>
      <c r="N1485" s="2" t="str">
        <f>IFERROR(__xludf.DUMMYFUNCTION("""COMPUTED_VALUE"""),"")</f>
        <v/>
      </c>
    </row>
    <row r="1486">
      <c r="A1486" s="2" t="s">
        <v>33</v>
      </c>
      <c r="B1486" s="12">
        <v>1432649.0</v>
      </c>
      <c r="C1486" s="12">
        <v>1433692.0</v>
      </c>
      <c r="D1486" s="2"/>
      <c r="E1486" s="2" t="s">
        <v>38</v>
      </c>
      <c r="F1486" s="2" t="s">
        <v>432</v>
      </c>
      <c r="G1486" s="2"/>
      <c r="H1486" s="12">
        <v>0.0</v>
      </c>
      <c r="I1486" s="2" t="s">
        <v>40</v>
      </c>
      <c r="J1486" s="2"/>
      <c r="K1486" s="2" t="s">
        <v>4024</v>
      </c>
      <c r="L1486" s="12">
        <v>347.0</v>
      </c>
      <c r="M1486" s="2" t="s">
        <v>4025</v>
      </c>
      <c r="N1486" s="2" t="str">
        <f>IFERROR(__xludf.DUMMYFUNCTION("""COMPUTED_VALUE"""),"")</f>
        <v/>
      </c>
    </row>
    <row r="1487">
      <c r="A1487" s="2" t="s">
        <v>33</v>
      </c>
      <c r="B1487" s="12">
        <v>1433711.0</v>
      </c>
      <c r="C1487" s="12">
        <v>1434727.0</v>
      </c>
      <c r="D1487" s="2"/>
      <c r="E1487" s="2" t="s">
        <v>38</v>
      </c>
      <c r="F1487" s="2" t="s">
        <v>4026</v>
      </c>
      <c r="G1487" s="2" t="s">
        <v>4027</v>
      </c>
      <c r="H1487" s="12">
        <v>0.0</v>
      </c>
      <c r="I1487" s="2" t="s">
        <v>40</v>
      </c>
      <c r="J1487" s="2"/>
      <c r="K1487" s="2" t="s">
        <v>4028</v>
      </c>
      <c r="L1487" s="12">
        <v>338.0</v>
      </c>
      <c r="M1487" s="2" t="s">
        <v>4029</v>
      </c>
      <c r="N1487" s="2" t="str">
        <f>IFERROR(__xludf.DUMMYFUNCTION("""COMPUTED_VALUE"""),"")</f>
        <v/>
      </c>
    </row>
    <row r="1488">
      <c r="A1488" s="2" t="s">
        <v>33</v>
      </c>
      <c r="B1488" s="12">
        <v>1434724.0</v>
      </c>
      <c r="C1488" s="12">
        <v>1435653.0</v>
      </c>
      <c r="D1488" s="2"/>
      <c r="E1488" s="2" t="s">
        <v>38</v>
      </c>
      <c r="F1488" s="2" t="s">
        <v>4026</v>
      </c>
      <c r="G1488" s="2" t="s">
        <v>4030</v>
      </c>
      <c r="H1488" s="12">
        <v>0.0</v>
      </c>
      <c r="I1488" s="2" t="s">
        <v>40</v>
      </c>
      <c r="J1488" s="2"/>
      <c r="K1488" s="2" t="s">
        <v>4031</v>
      </c>
      <c r="L1488" s="12">
        <v>309.0</v>
      </c>
      <c r="M1488" s="2" t="s">
        <v>4032</v>
      </c>
      <c r="N1488" s="2" t="str">
        <f>IFERROR(__xludf.DUMMYFUNCTION("""COMPUTED_VALUE"""),"")</f>
        <v/>
      </c>
    </row>
    <row r="1489">
      <c r="A1489" s="2" t="s">
        <v>33</v>
      </c>
      <c r="B1489" s="12">
        <v>1435780.0</v>
      </c>
      <c r="C1489" s="12">
        <v>1437435.0</v>
      </c>
      <c r="D1489" s="2"/>
      <c r="E1489" s="2" t="s">
        <v>38</v>
      </c>
      <c r="F1489" s="2" t="s">
        <v>1632</v>
      </c>
      <c r="G1489" s="2"/>
      <c r="H1489" s="12">
        <v>0.0</v>
      </c>
      <c r="I1489" s="2" t="s">
        <v>40</v>
      </c>
      <c r="J1489" s="2"/>
      <c r="K1489" s="2" t="s">
        <v>4033</v>
      </c>
      <c r="L1489" s="12">
        <v>551.0</v>
      </c>
      <c r="M1489" s="2" t="s">
        <v>4034</v>
      </c>
      <c r="N1489" s="2" t="str">
        <f>IFERROR(__xludf.DUMMYFUNCTION("""COMPUTED_VALUE"""),"")</f>
        <v/>
      </c>
    </row>
    <row r="1490">
      <c r="A1490" s="2" t="s">
        <v>33</v>
      </c>
      <c r="B1490" s="12">
        <v>1437755.0</v>
      </c>
      <c r="C1490" s="12">
        <v>1438135.0</v>
      </c>
      <c r="D1490" s="2"/>
      <c r="E1490" s="2" t="s">
        <v>34</v>
      </c>
      <c r="F1490" s="2" t="s">
        <v>4035</v>
      </c>
      <c r="G1490" s="2"/>
      <c r="H1490" s="12">
        <v>0.0</v>
      </c>
      <c r="I1490" s="2" t="s">
        <v>40</v>
      </c>
      <c r="J1490" s="2"/>
      <c r="K1490" s="2" t="s">
        <v>4036</v>
      </c>
      <c r="L1490" s="12">
        <v>126.0</v>
      </c>
      <c r="M1490" s="2" t="s">
        <v>4037</v>
      </c>
      <c r="N1490" s="2" t="str">
        <f>IFERROR(__xludf.DUMMYFUNCTION("""COMPUTED_VALUE"""),"")</f>
        <v/>
      </c>
    </row>
    <row r="1491">
      <c r="A1491" s="2" t="s">
        <v>33</v>
      </c>
      <c r="B1491" s="12">
        <v>1438534.0</v>
      </c>
      <c r="C1491" s="12">
        <v>1439523.0</v>
      </c>
      <c r="D1491" s="2"/>
      <c r="E1491" s="2" t="s">
        <v>34</v>
      </c>
      <c r="F1491" s="2" t="s">
        <v>4038</v>
      </c>
      <c r="G1491" s="2" t="s">
        <v>4039</v>
      </c>
      <c r="H1491" s="12">
        <v>0.0</v>
      </c>
      <c r="I1491" s="2" t="s">
        <v>40</v>
      </c>
      <c r="J1491" s="2"/>
      <c r="K1491" s="2" t="s">
        <v>4040</v>
      </c>
      <c r="L1491" s="12">
        <v>329.0</v>
      </c>
      <c r="M1491" s="2" t="s">
        <v>4041</v>
      </c>
      <c r="N1491" s="2" t="str">
        <f>IFERROR(__xludf.DUMMYFUNCTION("""COMPUTED_VALUE"""),"")</f>
        <v/>
      </c>
    </row>
    <row r="1492">
      <c r="A1492" s="2" t="s">
        <v>33</v>
      </c>
      <c r="B1492" s="12">
        <v>1439722.0</v>
      </c>
      <c r="C1492" s="12">
        <v>1439859.0</v>
      </c>
      <c r="D1492" s="2"/>
      <c r="E1492" s="2" t="s">
        <v>34</v>
      </c>
      <c r="F1492" s="2" t="s">
        <v>39</v>
      </c>
      <c r="G1492" s="2"/>
      <c r="H1492" s="12">
        <v>0.0</v>
      </c>
      <c r="I1492" s="2" t="s">
        <v>40</v>
      </c>
      <c r="J1492" s="2"/>
      <c r="K1492" s="2" t="s">
        <v>4042</v>
      </c>
      <c r="L1492" s="12">
        <v>45.0</v>
      </c>
      <c r="M1492" s="2" t="s">
        <v>4043</v>
      </c>
      <c r="N1492" s="2" t="str">
        <f>IFERROR(__xludf.DUMMYFUNCTION("""COMPUTED_VALUE"""),"")</f>
        <v/>
      </c>
    </row>
    <row r="1493">
      <c r="A1493" s="2" t="s">
        <v>33</v>
      </c>
      <c r="B1493" s="12">
        <v>1439882.0</v>
      </c>
      <c r="C1493" s="12">
        <v>1440628.0</v>
      </c>
      <c r="D1493" s="2"/>
      <c r="E1493" s="2" t="s">
        <v>38</v>
      </c>
      <c r="F1493" s="2" t="s">
        <v>4044</v>
      </c>
      <c r="G1493" s="2"/>
      <c r="H1493" s="12">
        <v>0.0</v>
      </c>
      <c r="I1493" s="2" t="s">
        <v>40</v>
      </c>
      <c r="J1493" s="2"/>
      <c r="K1493" s="2" t="s">
        <v>4045</v>
      </c>
      <c r="L1493" s="12">
        <v>248.0</v>
      </c>
      <c r="M1493" s="2" t="s">
        <v>4046</v>
      </c>
      <c r="N1493" s="2" t="str">
        <f>IFERROR(__xludf.DUMMYFUNCTION("""COMPUTED_VALUE"""),"")</f>
        <v/>
      </c>
    </row>
    <row r="1494">
      <c r="A1494" s="2" t="s">
        <v>33</v>
      </c>
      <c r="B1494" s="12">
        <v>1440772.0</v>
      </c>
      <c r="C1494" s="12">
        <v>1441560.0</v>
      </c>
      <c r="D1494" s="2"/>
      <c r="E1494" s="2" t="s">
        <v>38</v>
      </c>
      <c r="F1494" s="2" t="s">
        <v>4047</v>
      </c>
      <c r="G1494" s="2"/>
      <c r="H1494" s="12">
        <v>0.0</v>
      </c>
      <c r="I1494" s="2" t="s">
        <v>40</v>
      </c>
      <c r="J1494" s="2"/>
      <c r="K1494" s="2" t="s">
        <v>4048</v>
      </c>
      <c r="L1494" s="12">
        <v>262.0</v>
      </c>
      <c r="M1494" s="2" t="s">
        <v>4049</v>
      </c>
      <c r="N1494" s="2" t="str">
        <f>IFERROR(__xludf.DUMMYFUNCTION("""COMPUTED_VALUE"""),"")</f>
        <v/>
      </c>
    </row>
    <row r="1495">
      <c r="A1495" s="2" t="s">
        <v>33</v>
      </c>
      <c r="B1495" s="12">
        <v>1441667.0</v>
      </c>
      <c r="C1495" s="12">
        <v>1442905.0</v>
      </c>
      <c r="D1495" s="2"/>
      <c r="E1495" s="2" t="s">
        <v>38</v>
      </c>
      <c r="F1495" s="2" t="s">
        <v>4050</v>
      </c>
      <c r="G1495" s="2" t="s">
        <v>4051</v>
      </c>
      <c r="H1495" s="12">
        <v>0.0</v>
      </c>
      <c r="I1495" s="2" t="s">
        <v>40</v>
      </c>
      <c r="J1495" s="2"/>
      <c r="K1495" s="2" t="s">
        <v>4052</v>
      </c>
      <c r="L1495" s="12">
        <v>412.0</v>
      </c>
      <c r="M1495" s="2" t="s">
        <v>4053</v>
      </c>
      <c r="N1495" s="2" t="str">
        <f>IFERROR(__xludf.DUMMYFUNCTION("""COMPUTED_VALUE"""),"")</f>
        <v/>
      </c>
    </row>
    <row r="1496">
      <c r="A1496" s="2" t="s">
        <v>33</v>
      </c>
      <c r="B1496" s="12">
        <v>1442937.0</v>
      </c>
      <c r="C1496" s="12">
        <v>1443869.0</v>
      </c>
      <c r="D1496" s="2"/>
      <c r="E1496" s="2" t="s">
        <v>38</v>
      </c>
      <c r="F1496" s="2" t="s">
        <v>4054</v>
      </c>
      <c r="G1496" s="2" t="s">
        <v>4055</v>
      </c>
      <c r="H1496" s="12">
        <v>0.0</v>
      </c>
      <c r="I1496" s="2" t="s">
        <v>40</v>
      </c>
      <c r="J1496" s="2"/>
      <c r="K1496" s="2" t="s">
        <v>4056</v>
      </c>
      <c r="L1496" s="12">
        <v>310.0</v>
      </c>
      <c r="M1496" s="2" t="s">
        <v>4057</v>
      </c>
      <c r="N1496" s="2" t="str">
        <f>IFERROR(__xludf.DUMMYFUNCTION("""COMPUTED_VALUE"""),"")</f>
        <v/>
      </c>
    </row>
    <row r="1497">
      <c r="A1497" s="2" t="s">
        <v>33</v>
      </c>
      <c r="B1497" s="12">
        <v>1444576.0</v>
      </c>
      <c r="C1497" s="12">
        <v>1444752.0</v>
      </c>
      <c r="D1497" s="2"/>
      <c r="E1497" s="2" t="s">
        <v>38</v>
      </c>
      <c r="F1497" s="2" t="s">
        <v>4058</v>
      </c>
      <c r="G1497" s="2"/>
      <c r="H1497" s="12">
        <v>0.0</v>
      </c>
      <c r="I1497" s="2" t="s">
        <v>40</v>
      </c>
      <c r="J1497" s="2"/>
      <c r="K1497" s="2" t="s">
        <v>4059</v>
      </c>
      <c r="L1497" s="12">
        <v>58.0</v>
      </c>
      <c r="M1497" s="2" t="s">
        <v>4060</v>
      </c>
      <c r="N1497" s="2" t="str">
        <f>IFERROR(__xludf.DUMMYFUNCTION("""COMPUTED_VALUE"""),"")</f>
        <v/>
      </c>
    </row>
    <row r="1498">
      <c r="A1498" s="2" t="s">
        <v>33</v>
      </c>
      <c r="B1498" s="12">
        <v>1444807.0</v>
      </c>
      <c r="C1498" s="12">
        <v>1445679.0</v>
      </c>
      <c r="D1498" s="2"/>
      <c r="E1498" s="2" t="s">
        <v>38</v>
      </c>
      <c r="F1498" s="2" t="s">
        <v>296</v>
      </c>
      <c r="G1498" s="2"/>
      <c r="H1498" s="12">
        <v>0.0</v>
      </c>
      <c r="I1498" s="2" t="s">
        <v>40</v>
      </c>
      <c r="J1498" s="2"/>
      <c r="K1498" s="2" t="s">
        <v>4061</v>
      </c>
      <c r="L1498" s="12">
        <v>290.0</v>
      </c>
      <c r="M1498" s="2" t="s">
        <v>4062</v>
      </c>
      <c r="N1498" s="2" t="str">
        <f>IFERROR(__xludf.DUMMYFUNCTION("""COMPUTED_VALUE"""),"")</f>
        <v/>
      </c>
    </row>
    <row r="1499">
      <c r="A1499" s="2" t="s">
        <v>33</v>
      </c>
      <c r="B1499" s="12">
        <v>1445709.0</v>
      </c>
      <c r="C1499" s="12">
        <v>1446443.0</v>
      </c>
      <c r="D1499" s="2"/>
      <c r="E1499" s="2" t="s">
        <v>38</v>
      </c>
      <c r="F1499" s="2" t="s">
        <v>4063</v>
      </c>
      <c r="G1499" s="2"/>
      <c r="H1499" s="12">
        <v>0.0</v>
      </c>
      <c r="I1499" s="2" t="s">
        <v>40</v>
      </c>
      <c r="J1499" s="2"/>
      <c r="K1499" s="2" t="s">
        <v>4064</v>
      </c>
      <c r="L1499" s="12">
        <v>244.0</v>
      </c>
      <c r="M1499" s="2" t="s">
        <v>4065</v>
      </c>
      <c r="N1499" s="2" t="str">
        <f>IFERROR(__xludf.DUMMYFUNCTION("""COMPUTED_VALUE"""),"")</f>
        <v/>
      </c>
    </row>
    <row r="1500">
      <c r="A1500" s="2" t="s">
        <v>33</v>
      </c>
      <c r="B1500" s="12">
        <v>1446600.0</v>
      </c>
      <c r="C1500" s="12">
        <v>1446782.0</v>
      </c>
      <c r="D1500" s="2"/>
      <c r="E1500" s="2" t="s">
        <v>34</v>
      </c>
      <c r="F1500" s="2" t="s">
        <v>4066</v>
      </c>
      <c r="G1500" s="2"/>
      <c r="H1500" s="12">
        <v>0.0</v>
      </c>
      <c r="I1500" s="2" t="s">
        <v>40</v>
      </c>
      <c r="J1500" s="2"/>
      <c r="K1500" s="2" t="s">
        <v>4067</v>
      </c>
      <c r="L1500" s="12">
        <v>60.0</v>
      </c>
      <c r="M1500" s="2" t="s">
        <v>4068</v>
      </c>
      <c r="N1500" s="2" t="str">
        <f>IFERROR(__xludf.DUMMYFUNCTION("""COMPUTED_VALUE"""),"")</f>
        <v/>
      </c>
    </row>
    <row r="1501">
      <c r="A1501" s="2" t="s">
        <v>33</v>
      </c>
      <c r="B1501" s="12">
        <v>1446821.0</v>
      </c>
      <c r="C1501" s="12">
        <v>1449421.0</v>
      </c>
      <c r="D1501" s="2"/>
      <c r="E1501" s="2" t="s">
        <v>38</v>
      </c>
      <c r="F1501" s="2" t="s">
        <v>4069</v>
      </c>
      <c r="G1501" s="2" t="s">
        <v>4070</v>
      </c>
      <c r="H1501" s="12">
        <v>0.0</v>
      </c>
      <c r="I1501" s="2" t="s">
        <v>40</v>
      </c>
      <c r="J1501" s="2"/>
      <c r="K1501" s="2" t="s">
        <v>4071</v>
      </c>
      <c r="L1501" s="12">
        <v>866.0</v>
      </c>
      <c r="M1501" s="2" t="s">
        <v>4072</v>
      </c>
      <c r="N1501" s="2" t="str">
        <f>IFERROR(__xludf.DUMMYFUNCTION("""COMPUTED_VALUE"""),"")</f>
        <v/>
      </c>
    </row>
    <row r="1502">
      <c r="A1502" s="2" t="s">
        <v>33</v>
      </c>
      <c r="B1502" s="12">
        <v>1449631.0</v>
      </c>
      <c r="C1502" s="12">
        <v>1449810.0</v>
      </c>
      <c r="D1502" s="2"/>
      <c r="E1502" s="2" t="s">
        <v>38</v>
      </c>
      <c r="F1502" s="2" t="s">
        <v>4073</v>
      </c>
      <c r="G1502" s="2"/>
      <c r="H1502" s="12">
        <v>0.0</v>
      </c>
      <c r="I1502" s="2" t="s">
        <v>40</v>
      </c>
      <c r="J1502" s="2"/>
      <c r="K1502" s="2" t="s">
        <v>4074</v>
      </c>
      <c r="L1502" s="12">
        <v>59.0</v>
      </c>
      <c r="M1502" s="2" t="s">
        <v>4075</v>
      </c>
      <c r="N1502" s="2" t="str">
        <f>IFERROR(__xludf.DUMMYFUNCTION("""COMPUTED_VALUE"""),"")</f>
        <v/>
      </c>
    </row>
    <row r="1503">
      <c r="A1503" s="2" t="s">
        <v>33</v>
      </c>
      <c r="B1503" s="12">
        <v>1450302.0</v>
      </c>
      <c r="C1503" s="12">
        <v>1451111.0</v>
      </c>
      <c r="D1503" s="2"/>
      <c r="E1503" s="2" t="s">
        <v>34</v>
      </c>
      <c r="F1503" s="2" t="s">
        <v>69</v>
      </c>
      <c r="G1503" s="2"/>
      <c r="H1503" s="12">
        <v>0.0</v>
      </c>
      <c r="I1503" s="2" t="s">
        <v>40</v>
      </c>
      <c r="J1503" s="2"/>
      <c r="K1503" s="2" t="s">
        <v>4076</v>
      </c>
      <c r="L1503" s="12">
        <v>269.0</v>
      </c>
      <c r="M1503" s="2" t="s">
        <v>4077</v>
      </c>
      <c r="N1503" s="2" t="str">
        <f>IFERROR(__xludf.DUMMYFUNCTION("""COMPUTED_VALUE"""),"")</f>
        <v/>
      </c>
    </row>
    <row r="1504">
      <c r="A1504" s="2" t="s">
        <v>33</v>
      </c>
      <c r="B1504" s="12">
        <v>1451217.0</v>
      </c>
      <c r="C1504" s="12">
        <v>1451357.0</v>
      </c>
      <c r="D1504" s="2"/>
      <c r="E1504" s="2" t="s">
        <v>34</v>
      </c>
      <c r="F1504" s="2" t="s">
        <v>39</v>
      </c>
      <c r="G1504" s="2"/>
      <c r="H1504" s="12">
        <v>0.0</v>
      </c>
      <c r="I1504" s="2" t="s">
        <v>40</v>
      </c>
      <c r="J1504" s="2"/>
      <c r="K1504" s="2" t="s">
        <v>4078</v>
      </c>
      <c r="L1504" s="12">
        <v>46.0</v>
      </c>
      <c r="M1504" s="2" t="s">
        <v>4079</v>
      </c>
      <c r="N1504" s="2" t="str">
        <f>IFERROR(__xludf.DUMMYFUNCTION("""COMPUTED_VALUE"""),"")</f>
        <v/>
      </c>
    </row>
    <row r="1505">
      <c r="A1505" s="2" t="s">
        <v>33</v>
      </c>
      <c r="B1505" s="12">
        <v>1451358.0</v>
      </c>
      <c r="C1505" s="12">
        <v>1451555.0</v>
      </c>
      <c r="D1505" s="2"/>
      <c r="E1505" s="2" t="s">
        <v>34</v>
      </c>
      <c r="F1505" s="2" t="s">
        <v>4080</v>
      </c>
      <c r="G1505" s="2"/>
      <c r="H1505" s="12">
        <v>0.0</v>
      </c>
      <c r="I1505" s="2" t="s">
        <v>40</v>
      </c>
      <c r="J1505" s="2"/>
      <c r="K1505" s="2" t="s">
        <v>4081</v>
      </c>
      <c r="L1505" s="12">
        <v>65.0</v>
      </c>
      <c r="M1505" s="2" t="s">
        <v>4082</v>
      </c>
      <c r="N1505" s="2" t="str">
        <f>IFERROR(__xludf.DUMMYFUNCTION("""COMPUTED_VALUE"""),"")</f>
        <v/>
      </c>
    </row>
    <row r="1506">
      <c r="A1506" s="2" t="s">
        <v>33</v>
      </c>
      <c r="B1506" s="12">
        <v>1451581.0</v>
      </c>
      <c r="C1506" s="12">
        <v>1452438.0</v>
      </c>
      <c r="D1506" s="2"/>
      <c r="E1506" s="2" t="s">
        <v>38</v>
      </c>
      <c r="F1506" s="2" t="s">
        <v>1506</v>
      </c>
      <c r="G1506" s="2"/>
      <c r="H1506" s="12">
        <v>0.0</v>
      </c>
      <c r="I1506" s="2" t="s">
        <v>40</v>
      </c>
      <c r="J1506" s="2"/>
      <c r="K1506" s="2" t="s">
        <v>4083</v>
      </c>
      <c r="L1506" s="12">
        <v>285.0</v>
      </c>
      <c r="M1506" s="2" t="s">
        <v>4084</v>
      </c>
      <c r="N1506" s="2" t="str">
        <f>IFERROR(__xludf.DUMMYFUNCTION("""COMPUTED_VALUE"""),"")</f>
        <v/>
      </c>
    </row>
    <row r="1507">
      <c r="A1507" s="2" t="s">
        <v>33</v>
      </c>
      <c r="B1507" s="12">
        <v>1452539.0</v>
      </c>
      <c r="C1507" s="12">
        <v>1452670.0</v>
      </c>
      <c r="D1507" s="2"/>
      <c r="E1507" s="2" t="s">
        <v>34</v>
      </c>
      <c r="F1507" s="2" t="s">
        <v>4085</v>
      </c>
      <c r="G1507" s="2"/>
      <c r="H1507" s="12">
        <v>0.0</v>
      </c>
      <c r="I1507" s="2" t="s">
        <v>40</v>
      </c>
      <c r="J1507" s="2"/>
      <c r="K1507" s="2" t="s">
        <v>4086</v>
      </c>
      <c r="L1507" s="12">
        <v>43.0</v>
      </c>
      <c r="M1507" s="2" t="s">
        <v>4087</v>
      </c>
      <c r="N1507" s="2" t="str">
        <f>IFERROR(__xludf.DUMMYFUNCTION("""COMPUTED_VALUE"""),"")</f>
        <v/>
      </c>
    </row>
    <row r="1508">
      <c r="A1508" s="2" t="s">
        <v>33</v>
      </c>
      <c r="B1508" s="12">
        <v>1452799.0</v>
      </c>
      <c r="C1508" s="12">
        <v>1453656.0</v>
      </c>
      <c r="D1508" s="2"/>
      <c r="E1508" s="2" t="s">
        <v>34</v>
      </c>
      <c r="F1508" s="2" t="s">
        <v>934</v>
      </c>
      <c r="G1508" s="2" t="s">
        <v>4088</v>
      </c>
      <c r="H1508" s="12">
        <v>0.0</v>
      </c>
      <c r="I1508" s="2" t="s">
        <v>40</v>
      </c>
      <c r="J1508" s="2"/>
      <c r="K1508" s="2" t="s">
        <v>4089</v>
      </c>
      <c r="L1508" s="12">
        <v>285.0</v>
      </c>
      <c r="M1508" s="2" t="s">
        <v>4090</v>
      </c>
      <c r="N1508" s="2" t="str">
        <f>IFERROR(__xludf.DUMMYFUNCTION("""COMPUTED_VALUE"""),"")</f>
        <v/>
      </c>
    </row>
    <row r="1509">
      <c r="A1509" s="2" t="s">
        <v>33</v>
      </c>
      <c r="B1509" s="12">
        <v>1453710.0</v>
      </c>
      <c r="C1509" s="12">
        <v>1454564.0</v>
      </c>
      <c r="D1509" s="2"/>
      <c r="E1509" s="2" t="s">
        <v>38</v>
      </c>
      <c r="F1509" s="2" t="s">
        <v>4091</v>
      </c>
      <c r="G1509" s="2"/>
      <c r="H1509" s="12">
        <v>0.0</v>
      </c>
      <c r="I1509" s="2" t="s">
        <v>40</v>
      </c>
      <c r="J1509" s="2"/>
      <c r="K1509" s="2" t="s">
        <v>4092</v>
      </c>
      <c r="L1509" s="12">
        <v>284.0</v>
      </c>
      <c r="M1509" s="2" t="s">
        <v>4093</v>
      </c>
      <c r="N1509" s="2" t="str">
        <f>IFERROR(__xludf.DUMMYFUNCTION("""COMPUTED_VALUE"""),"")</f>
        <v/>
      </c>
    </row>
    <row r="1510">
      <c r="A1510" s="2" t="s">
        <v>33</v>
      </c>
      <c r="B1510" s="12">
        <v>1454795.0</v>
      </c>
      <c r="C1510" s="12">
        <v>1455286.0</v>
      </c>
      <c r="D1510" s="2"/>
      <c r="E1510" s="2" t="s">
        <v>34</v>
      </c>
      <c r="F1510" s="2" t="s">
        <v>4094</v>
      </c>
      <c r="G1510" s="2"/>
      <c r="H1510" s="12">
        <v>0.0</v>
      </c>
      <c r="I1510" s="2" t="s">
        <v>40</v>
      </c>
      <c r="J1510" s="2"/>
      <c r="K1510" s="2" t="s">
        <v>4095</v>
      </c>
      <c r="L1510" s="12">
        <v>163.0</v>
      </c>
      <c r="M1510" s="2" t="s">
        <v>4096</v>
      </c>
      <c r="N1510" s="2" t="str">
        <f>IFERROR(__xludf.DUMMYFUNCTION("""COMPUTED_VALUE"""),"")</f>
        <v/>
      </c>
    </row>
    <row r="1511">
      <c r="A1511" s="2" t="s">
        <v>33</v>
      </c>
      <c r="B1511" s="12">
        <v>1456140.0</v>
      </c>
      <c r="C1511" s="12">
        <v>1457036.0</v>
      </c>
      <c r="D1511" s="2"/>
      <c r="E1511" s="2" t="s">
        <v>38</v>
      </c>
      <c r="F1511" s="2" t="s">
        <v>216</v>
      </c>
      <c r="G1511" s="2"/>
      <c r="H1511" s="12">
        <v>0.0</v>
      </c>
      <c r="I1511" s="2" t="s">
        <v>40</v>
      </c>
      <c r="J1511" s="2"/>
      <c r="K1511" s="2" t="s">
        <v>4097</v>
      </c>
      <c r="L1511" s="12">
        <v>298.0</v>
      </c>
      <c r="M1511" s="2" t="s">
        <v>4098</v>
      </c>
      <c r="N1511" s="2" t="str">
        <f>IFERROR(__xludf.DUMMYFUNCTION("""COMPUTED_VALUE"""),"")</f>
        <v/>
      </c>
    </row>
    <row r="1512">
      <c r="A1512" s="2" t="s">
        <v>33</v>
      </c>
      <c r="B1512" s="12">
        <v>1457342.0</v>
      </c>
      <c r="C1512" s="12">
        <v>1458697.0</v>
      </c>
      <c r="D1512" s="2"/>
      <c r="E1512" s="2" t="s">
        <v>38</v>
      </c>
      <c r="F1512" s="2" t="s">
        <v>4099</v>
      </c>
      <c r="G1512" s="2"/>
      <c r="H1512" s="12">
        <v>0.0</v>
      </c>
      <c r="I1512" s="2" t="s">
        <v>40</v>
      </c>
      <c r="J1512" s="2"/>
      <c r="K1512" s="2" t="s">
        <v>4100</v>
      </c>
      <c r="L1512" s="12">
        <v>451.0</v>
      </c>
      <c r="M1512" s="2" t="s">
        <v>4101</v>
      </c>
      <c r="N1512" s="2" t="str">
        <f>IFERROR(__xludf.DUMMYFUNCTION("""COMPUTED_VALUE"""),"")</f>
        <v/>
      </c>
    </row>
    <row r="1513">
      <c r="A1513" s="2" t="s">
        <v>33</v>
      </c>
      <c r="B1513" s="12">
        <v>1458856.0</v>
      </c>
      <c r="C1513" s="12">
        <v>1460088.0</v>
      </c>
      <c r="D1513" s="2"/>
      <c r="E1513" s="2" t="s">
        <v>34</v>
      </c>
      <c r="F1513" s="2" t="s">
        <v>4102</v>
      </c>
      <c r="G1513" s="2"/>
      <c r="H1513" s="12">
        <v>0.0</v>
      </c>
      <c r="I1513" s="2" t="s">
        <v>40</v>
      </c>
      <c r="J1513" s="2"/>
      <c r="K1513" s="2" t="s">
        <v>4103</v>
      </c>
      <c r="L1513" s="12">
        <v>410.0</v>
      </c>
      <c r="M1513" s="2" t="s">
        <v>4104</v>
      </c>
      <c r="N1513" s="2" t="str">
        <f>IFERROR(__xludf.DUMMYFUNCTION("""COMPUTED_VALUE"""),"")</f>
        <v/>
      </c>
    </row>
    <row r="1514">
      <c r="A1514" s="2" t="s">
        <v>33</v>
      </c>
      <c r="B1514" s="12">
        <v>1460356.0</v>
      </c>
      <c r="C1514" s="12">
        <v>1461822.0</v>
      </c>
      <c r="D1514" s="2"/>
      <c r="E1514" s="2" t="s">
        <v>38</v>
      </c>
      <c r="F1514" s="2" t="s">
        <v>4105</v>
      </c>
      <c r="G1514" s="2" t="s">
        <v>4106</v>
      </c>
      <c r="H1514" s="12">
        <v>0.0</v>
      </c>
      <c r="I1514" s="2" t="s">
        <v>40</v>
      </c>
      <c r="J1514" s="2"/>
      <c r="K1514" s="2" t="s">
        <v>4107</v>
      </c>
      <c r="L1514" s="12">
        <v>488.0</v>
      </c>
      <c r="M1514" s="2" t="s">
        <v>4108</v>
      </c>
      <c r="N1514" s="2" t="str">
        <f>IFERROR(__xludf.DUMMYFUNCTION("""COMPUTED_VALUE"""),"")</f>
        <v/>
      </c>
    </row>
    <row r="1515">
      <c r="A1515" s="2" t="s">
        <v>33</v>
      </c>
      <c r="B1515" s="12">
        <v>1461882.0</v>
      </c>
      <c r="C1515" s="12">
        <v>1462841.0</v>
      </c>
      <c r="D1515" s="2"/>
      <c r="E1515" s="2" t="s">
        <v>38</v>
      </c>
      <c r="F1515" s="2" t="s">
        <v>4109</v>
      </c>
      <c r="G1515" s="2" t="s">
        <v>4110</v>
      </c>
      <c r="H1515" s="12">
        <v>0.0</v>
      </c>
      <c r="I1515" s="2" t="s">
        <v>40</v>
      </c>
      <c r="J1515" s="2"/>
      <c r="K1515" s="2" t="s">
        <v>4111</v>
      </c>
      <c r="L1515" s="12">
        <v>319.0</v>
      </c>
      <c r="M1515" s="2" t="s">
        <v>4112</v>
      </c>
      <c r="N1515" s="2" t="str">
        <f>IFERROR(__xludf.DUMMYFUNCTION("""COMPUTED_VALUE"""),"")</f>
        <v/>
      </c>
    </row>
    <row r="1516">
      <c r="A1516" s="2" t="s">
        <v>33</v>
      </c>
      <c r="B1516" s="12">
        <v>1463030.0</v>
      </c>
      <c r="C1516" s="12">
        <v>1464877.0</v>
      </c>
      <c r="D1516" s="2"/>
      <c r="E1516" s="2" t="s">
        <v>38</v>
      </c>
      <c r="F1516" s="2" t="s">
        <v>1123</v>
      </c>
      <c r="G1516" s="2" t="s">
        <v>1124</v>
      </c>
      <c r="H1516" s="12">
        <v>0.0</v>
      </c>
      <c r="I1516" s="2" t="s">
        <v>40</v>
      </c>
      <c r="J1516" s="2"/>
      <c r="K1516" s="2" t="s">
        <v>4113</v>
      </c>
      <c r="L1516" s="12">
        <v>615.0</v>
      </c>
      <c r="M1516" s="2" t="s">
        <v>4114</v>
      </c>
      <c r="N1516" s="2" t="str">
        <f>IFERROR(__xludf.DUMMYFUNCTION("""COMPUTED_VALUE"""),"")</f>
        <v/>
      </c>
    </row>
    <row r="1517">
      <c r="A1517" s="2" t="s">
        <v>33</v>
      </c>
      <c r="B1517" s="12">
        <v>1465117.0</v>
      </c>
      <c r="C1517" s="12">
        <v>1465671.0</v>
      </c>
      <c r="D1517" s="2"/>
      <c r="E1517" s="2" t="s">
        <v>34</v>
      </c>
      <c r="F1517" s="2" t="s">
        <v>4115</v>
      </c>
      <c r="G1517" s="2"/>
      <c r="H1517" s="12">
        <v>0.0</v>
      </c>
      <c r="I1517" s="2" t="s">
        <v>40</v>
      </c>
      <c r="J1517" s="2"/>
      <c r="K1517" s="2" t="s">
        <v>4116</v>
      </c>
      <c r="L1517" s="12">
        <v>184.0</v>
      </c>
      <c r="M1517" s="2" t="s">
        <v>4117</v>
      </c>
      <c r="N1517" s="2" t="str">
        <f>IFERROR(__xludf.DUMMYFUNCTION("""COMPUTED_VALUE"""),"")</f>
        <v/>
      </c>
    </row>
    <row r="1518">
      <c r="A1518" s="2" t="s">
        <v>33</v>
      </c>
      <c r="B1518" s="12">
        <v>1465802.0</v>
      </c>
      <c r="C1518" s="12">
        <v>1466167.0</v>
      </c>
      <c r="D1518" s="2"/>
      <c r="E1518" s="2" t="s">
        <v>38</v>
      </c>
      <c r="F1518" s="2" t="s">
        <v>4118</v>
      </c>
      <c r="G1518" s="2"/>
      <c r="H1518" s="12">
        <v>0.0</v>
      </c>
      <c r="I1518" s="2" t="s">
        <v>40</v>
      </c>
      <c r="J1518" s="2"/>
      <c r="K1518" s="2" t="s">
        <v>4119</v>
      </c>
      <c r="L1518" s="12">
        <v>121.0</v>
      </c>
      <c r="M1518" s="2" t="s">
        <v>4120</v>
      </c>
      <c r="N1518" s="2" t="str">
        <f>IFERROR(__xludf.DUMMYFUNCTION("""COMPUTED_VALUE"""),"")</f>
        <v/>
      </c>
    </row>
    <row r="1519">
      <c r="A1519" s="2" t="s">
        <v>33</v>
      </c>
      <c r="B1519" s="12">
        <v>1466318.0</v>
      </c>
      <c r="C1519" s="12">
        <v>1467508.0</v>
      </c>
      <c r="D1519" s="2"/>
      <c r="E1519" s="2" t="s">
        <v>34</v>
      </c>
      <c r="F1519" s="2" t="s">
        <v>4121</v>
      </c>
      <c r="G1519" s="2" t="s">
        <v>4122</v>
      </c>
      <c r="H1519" s="12">
        <v>0.0</v>
      </c>
      <c r="I1519" s="2" t="s">
        <v>40</v>
      </c>
      <c r="J1519" s="2"/>
      <c r="K1519" s="2" t="s">
        <v>4123</v>
      </c>
      <c r="L1519" s="12">
        <v>396.0</v>
      </c>
      <c r="M1519" s="2" t="s">
        <v>4124</v>
      </c>
      <c r="N1519" s="2" t="str">
        <f>IFERROR(__xludf.DUMMYFUNCTION("""COMPUTED_VALUE"""),"")</f>
        <v/>
      </c>
    </row>
    <row r="1520">
      <c r="A1520" s="2" t="s">
        <v>33</v>
      </c>
      <c r="B1520" s="12">
        <v>1467619.0</v>
      </c>
      <c r="C1520" s="12">
        <v>1467900.0</v>
      </c>
      <c r="D1520" s="2"/>
      <c r="E1520" s="2" t="s">
        <v>34</v>
      </c>
      <c r="F1520" s="2" t="s">
        <v>39</v>
      </c>
      <c r="G1520" s="2"/>
      <c r="H1520" s="12">
        <v>0.0</v>
      </c>
      <c r="I1520" s="2" t="s">
        <v>40</v>
      </c>
      <c r="J1520" s="2"/>
      <c r="K1520" s="2" t="s">
        <v>4125</v>
      </c>
      <c r="L1520" s="12">
        <v>93.0</v>
      </c>
      <c r="M1520" s="2" t="s">
        <v>4126</v>
      </c>
      <c r="N1520" s="2" t="str">
        <f>IFERROR(__xludf.DUMMYFUNCTION("""COMPUTED_VALUE"""),"")</f>
        <v/>
      </c>
    </row>
    <row r="1521">
      <c r="A1521" s="2" t="s">
        <v>33</v>
      </c>
      <c r="B1521" s="12">
        <v>1467937.0</v>
      </c>
      <c r="C1521" s="12">
        <v>1468836.0</v>
      </c>
      <c r="D1521" s="2"/>
      <c r="E1521" s="2" t="s">
        <v>38</v>
      </c>
      <c r="F1521" s="2" t="s">
        <v>4127</v>
      </c>
      <c r="G1521" s="2"/>
      <c r="H1521" s="12">
        <v>0.0</v>
      </c>
      <c r="I1521" s="2" t="s">
        <v>40</v>
      </c>
      <c r="J1521" s="2"/>
      <c r="K1521" s="2" t="s">
        <v>4128</v>
      </c>
      <c r="L1521" s="12">
        <v>299.0</v>
      </c>
      <c r="M1521" s="2" t="s">
        <v>4129</v>
      </c>
      <c r="N1521" s="2" t="str">
        <f>IFERROR(__xludf.DUMMYFUNCTION("""COMPUTED_VALUE"""),"")</f>
        <v/>
      </c>
    </row>
    <row r="1522">
      <c r="A1522" s="2" t="s">
        <v>33</v>
      </c>
      <c r="B1522" s="12">
        <v>1469084.0</v>
      </c>
      <c r="C1522" s="12">
        <v>1469263.0</v>
      </c>
      <c r="D1522" s="2"/>
      <c r="E1522" s="2" t="s">
        <v>34</v>
      </c>
      <c r="F1522" s="2" t="s">
        <v>731</v>
      </c>
      <c r="G1522" s="2"/>
      <c r="H1522" s="12">
        <v>0.0</v>
      </c>
      <c r="I1522" s="2" t="s">
        <v>40</v>
      </c>
      <c r="J1522" s="2"/>
      <c r="K1522" s="2" t="s">
        <v>4130</v>
      </c>
      <c r="L1522" s="12">
        <v>59.0</v>
      </c>
      <c r="M1522" s="2" t="s">
        <v>4131</v>
      </c>
      <c r="N1522" s="2" t="str">
        <f>IFERROR(__xludf.DUMMYFUNCTION("""COMPUTED_VALUE"""),"")</f>
        <v/>
      </c>
    </row>
    <row r="1523">
      <c r="A1523" s="2" t="s">
        <v>33</v>
      </c>
      <c r="B1523" s="12">
        <v>1469360.0</v>
      </c>
      <c r="C1523" s="12">
        <v>1469581.0</v>
      </c>
      <c r="D1523" s="2"/>
      <c r="E1523" s="2" t="s">
        <v>34</v>
      </c>
      <c r="F1523" s="2" t="s">
        <v>4132</v>
      </c>
      <c r="G1523" s="2" t="s">
        <v>4133</v>
      </c>
      <c r="H1523" s="12">
        <v>0.0</v>
      </c>
      <c r="I1523" s="2" t="s">
        <v>40</v>
      </c>
      <c r="J1523" s="2"/>
      <c r="K1523" s="2" t="s">
        <v>4134</v>
      </c>
      <c r="L1523" s="12">
        <v>73.0</v>
      </c>
      <c r="M1523" s="2" t="s">
        <v>4135</v>
      </c>
      <c r="N1523" s="2" t="str">
        <f>IFERROR(__xludf.DUMMYFUNCTION("""COMPUTED_VALUE"""),"")</f>
        <v/>
      </c>
    </row>
    <row r="1524">
      <c r="A1524" s="2" t="s">
        <v>33</v>
      </c>
      <c r="B1524" s="12">
        <v>1469596.0</v>
      </c>
      <c r="C1524" s="12">
        <v>1469802.0</v>
      </c>
      <c r="D1524" s="2"/>
      <c r="E1524" s="2" t="s">
        <v>34</v>
      </c>
      <c r="F1524" s="2" t="s">
        <v>4136</v>
      </c>
      <c r="G1524" s="2" t="s">
        <v>4137</v>
      </c>
      <c r="H1524" s="12">
        <v>0.0</v>
      </c>
      <c r="I1524" s="2" t="s">
        <v>40</v>
      </c>
      <c r="J1524" s="2"/>
      <c r="K1524" s="2" t="s">
        <v>4138</v>
      </c>
      <c r="L1524" s="12">
        <v>68.0</v>
      </c>
      <c r="M1524" s="2" t="s">
        <v>4139</v>
      </c>
      <c r="N1524" s="2" t="str">
        <f>IFERROR(__xludf.DUMMYFUNCTION("""COMPUTED_VALUE"""),"")</f>
        <v/>
      </c>
    </row>
    <row r="1525">
      <c r="A1525" s="2" t="s">
        <v>33</v>
      </c>
      <c r="B1525" s="12">
        <v>1469870.0</v>
      </c>
      <c r="C1525" s="12">
        <v>1470484.0</v>
      </c>
      <c r="D1525" s="2"/>
      <c r="E1525" s="2" t="s">
        <v>34</v>
      </c>
      <c r="F1525" s="2" t="s">
        <v>4140</v>
      </c>
      <c r="G1525" s="2" t="s">
        <v>4141</v>
      </c>
      <c r="H1525" s="12">
        <v>0.0</v>
      </c>
      <c r="I1525" s="2" t="s">
        <v>40</v>
      </c>
      <c r="J1525" s="2"/>
      <c r="K1525" s="2" t="s">
        <v>4142</v>
      </c>
      <c r="L1525" s="12">
        <v>204.0</v>
      </c>
      <c r="M1525" s="2" t="s">
        <v>4143</v>
      </c>
      <c r="N1525" s="2" t="str">
        <f>IFERROR(__xludf.DUMMYFUNCTION("""COMPUTED_VALUE"""),"")</f>
        <v/>
      </c>
    </row>
    <row r="1526">
      <c r="A1526" s="2" t="s">
        <v>33</v>
      </c>
      <c r="B1526" s="12">
        <v>1470491.0</v>
      </c>
      <c r="C1526" s="12">
        <v>1470685.0</v>
      </c>
      <c r="D1526" s="2"/>
      <c r="E1526" s="2" t="s">
        <v>34</v>
      </c>
      <c r="F1526" s="2" t="s">
        <v>4144</v>
      </c>
      <c r="G1526" s="2" t="s">
        <v>4145</v>
      </c>
      <c r="H1526" s="12">
        <v>0.0</v>
      </c>
      <c r="I1526" s="2" t="s">
        <v>40</v>
      </c>
      <c r="J1526" s="2"/>
      <c r="K1526" s="2" t="s">
        <v>4146</v>
      </c>
      <c r="L1526" s="12">
        <v>64.0</v>
      </c>
      <c r="M1526" s="2" t="s">
        <v>4147</v>
      </c>
      <c r="N1526" s="2" t="str">
        <f>IFERROR(__xludf.DUMMYFUNCTION("""COMPUTED_VALUE"""),"")</f>
        <v/>
      </c>
    </row>
    <row r="1527">
      <c r="A1527" s="2" t="s">
        <v>33</v>
      </c>
      <c r="B1527" s="12">
        <v>1470701.0</v>
      </c>
      <c r="C1527" s="12">
        <v>1471087.0</v>
      </c>
      <c r="D1527" s="2"/>
      <c r="E1527" s="2" t="s">
        <v>34</v>
      </c>
      <c r="F1527" s="2" t="s">
        <v>4148</v>
      </c>
      <c r="G1527" s="2"/>
      <c r="H1527" s="12">
        <v>0.0</v>
      </c>
      <c r="I1527" s="2" t="s">
        <v>40</v>
      </c>
      <c r="J1527" s="2"/>
      <c r="K1527" s="2" t="s">
        <v>4149</v>
      </c>
      <c r="L1527" s="12">
        <v>128.0</v>
      </c>
      <c r="M1527" s="2" t="s">
        <v>4150</v>
      </c>
      <c r="N1527" s="2" t="str">
        <f>IFERROR(__xludf.DUMMYFUNCTION("""COMPUTED_VALUE"""),"")</f>
        <v/>
      </c>
    </row>
    <row r="1528">
      <c r="A1528" s="2" t="s">
        <v>33</v>
      </c>
      <c r="B1528" s="12">
        <v>1471131.0</v>
      </c>
      <c r="C1528" s="12">
        <v>1471346.0</v>
      </c>
      <c r="D1528" s="2"/>
      <c r="E1528" s="2" t="s">
        <v>34</v>
      </c>
      <c r="F1528" s="2" t="s">
        <v>923</v>
      </c>
      <c r="G1528" s="2" t="s">
        <v>924</v>
      </c>
      <c r="H1528" s="12">
        <v>0.0</v>
      </c>
      <c r="I1528" s="2" t="s">
        <v>40</v>
      </c>
      <c r="J1528" s="2"/>
      <c r="K1528" s="2" t="s">
        <v>4151</v>
      </c>
      <c r="L1528" s="12">
        <v>71.0</v>
      </c>
      <c r="M1528" s="2" t="s">
        <v>4152</v>
      </c>
      <c r="N1528" s="2" t="str">
        <f>IFERROR(__xludf.DUMMYFUNCTION("""COMPUTED_VALUE"""),"")</f>
        <v/>
      </c>
    </row>
    <row r="1529">
      <c r="A1529" s="2" t="s">
        <v>33</v>
      </c>
      <c r="B1529" s="12">
        <v>1471479.0</v>
      </c>
      <c r="C1529" s="12">
        <v>1471766.0</v>
      </c>
      <c r="D1529" s="2"/>
      <c r="E1529" s="2" t="s">
        <v>38</v>
      </c>
      <c r="F1529" s="2" t="s">
        <v>4153</v>
      </c>
      <c r="G1529" s="2"/>
      <c r="H1529" s="12">
        <v>0.0</v>
      </c>
      <c r="I1529" s="2" t="s">
        <v>40</v>
      </c>
      <c r="J1529" s="2"/>
      <c r="K1529" s="2" t="s">
        <v>4154</v>
      </c>
      <c r="L1529" s="12">
        <v>95.0</v>
      </c>
      <c r="M1529" s="2" t="s">
        <v>4155</v>
      </c>
      <c r="N1529" s="2" t="str">
        <f>IFERROR(__xludf.DUMMYFUNCTION("""COMPUTED_VALUE"""),"")</f>
        <v/>
      </c>
    </row>
    <row r="1530">
      <c r="A1530" s="2" t="s">
        <v>33</v>
      </c>
      <c r="B1530" s="12">
        <v>1471779.0</v>
      </c>
      <c r="C1530" s="12">
        <v>1475504.0</v>
      </c>
      <c r="D1530" s="2"/>
      <c r="E1530" s="2" t="s">
        <v>38</v>
      </c>
      <c r="F1530" s="2" t="s">
        <v>4156</v>
      </c>
      <c r="G1530" s="2" t="s">
        <v>4157</v>
      </c>
      <c r="H1530" s="12">
        <v>0.0</v>
      </c>
      <c r="I1530" s="2" t="s">
        <v>40</v>
      </c>
      <c r="J1530" s="2"/>
      <c r="K1530" s="2" t="s">
        <v>4158</v>
      </c>
      <c r="L1530" s="12">
        <v>1241.0</v>
      </c>
      <c r="M1530" s="2" t="s">
        <v>4159</v>
      </c>
      <c r="N1530" s="2" t="str">
        <f>IFERROR(__xludf.DUMMYFUNCTION("""COMPUTED_VALUE"""),"")</f>
        <v/>
      </c>
    </row>
    <row r="1531">
      <c r="A1531" s="2" t="s">
        <v>33</v>
      </c>
      <c r="B1531" s="12">
        <v>1475501.0</v>
      </c>
      <c r="C1531" s="12">
        <v>1479016.0</v>
      </c>
      <c r="D1531" s="2"/>
      <c r="E1531" s="2" t="s">
        <v>38</v>
      </c>
      <c r="F1531" s="2" t="s">
        <v>4160</v>
      </c>
      <c r="G1531" s="2" t="s">
        <v>4161</v>
      </c>
      <c r="H1531" s="12">
        <v>0.0</v>
      </c>
      <c r="I1531" s="2" t="s">
        <v>40</v>
      </c>
      <c r="J1531" s="2"/>
      <c r="K1531" s="2" t="s">
        <v>4162</v>
      </c>
      <c r="L1531" s="12">
        <v>1171.0</v>
      </c>
      <c r="M1531" s="2" t="s">
        <v>4163</v>
      </c>
      <c r="N1531" s="2" t="str">
        <f>IFERROR(__xludf.DUMMYFUNCTION("""COMPUTED_VALUE"""),"")</f>
        <v/>
      </c>
    </row>
    <row r="1532">
      <c r="A1532" s="2" t="s">
        <v>33</v>
      </c>
      <c r="B1532" s="12">
        <v>1479133.0</v>
      </c>
      <c r="C1532" s="12">
        <v>1479696.0</v>
      </c>
      <c r="D1532" s="2"/>
      <c r="E1532" s="2" t="s">
        <v>38</v>
      </c>
      <c r="F1532" s="2" t="s">
        <v>4164</v>
      </c>
      <c r="G1532" s="2" t="s">
        <v>61</v>
      </c>
      <c r="H1532" s="12">
        <v>0.0</v>
      </c>
      <c r="I1532" s="2" t="s">
        <v>40</v>
      </c>
      <c r="J1532" s="2"/>
      <c r="K1532" s="2" t="s">
        <v>4165</v>
      </c>
      <c r="L1532" s="12">
        <v>187.0</v>
      </c>
      <c r="M1532" s="2" t="s">
        <v>4166</v>
      </c>
      <c r="N1532" s="2" t="str">
        <f>IFERROR(__xludf.DUMMYFUNCTION("""COMPUTED_VALUE"""),"")</f>
        <v/>
      </c>
    </row>
    <row r="1533">
      <c r="A1533" s="2" t="s">
        <v>33</v>
      </c>
      <c r="B1533" s="12">
        <v>1479753.0</v>
      </c>
      <c r="C1533" s="12">
        <v>1480346.0</v>
      </c>
      <c r="D1533" s="2"/>
      <c r="E1533" s="2" t="s">
        <v>38</v>
      </c>
      <c r="F1533" s="2" t="s">
        <v>4167</v>
      </c>
      <c r="G1533" s="2"/>
      <c r="H1533" s="12">
        <v>0.0</v>
      </c>
      <c r="I1533" s="2" t="s">
        <v>40</v>
      </c>
      <c r="J1533" s="2"/>
      <c r="K1533" s="2" t="s">
        <v>4168</v>
      </c>
      <c r="L1533" s="12">
        <v>197.0</v>
      </c>
      <c r="M1533" s="2" t="s">
        <v>4169</v>
      </c>
      <c r="N1533" s="2" t="str">
        <f>IFERROR(__xludf.DUMMYFUNCTION("""COMPUTED_VALUE"""),"")</f>
        <v/>
      </c>
    </row>
    <row r="1534">
      <c r="A1534" s="2" t="s">
        <v>33</v>
      </c>
      <c r="B1534" s="12">
        <v>1480782.0</v>
      </c>
      <c r="C1534" s="12">
        <v>1481363.0</v>
      </c>
      <c r="D1534" s="2"/>
      <c r="E1534" s="2" t="s">
        <v>38</v>
      </c>
      <c r="F1534" s="2" t="s">
        <v>4170</v>
      </c>
      <c r="G1534" s="2"/>
      <c r="H1534" s="12">
        <v>0.0</v>
      </c>
      <c r="I1534" s="2" t="s">
        <v>40</v>
      </c>
      <c r="J1534" s="2"/>
      <c r="K1534" s="2" t="s">
        <v>4171</v>
      </c>
      <c r="L1534" s="12">
        <v>193.0</v>
      </c>
      <c r="M1534" s="2" t="s">
        <v>4172</v>
      </c>
      <c r="N1534" s="2" t="str">
        <f>IFERROR(__xludf.DUMMYFUNCTION("""COMPUTED_VALUE"""),"")</f>
        <v/>
      </c>
    </row>
    <row r="1535">
      <c r="A1535" s="2" t="s">
        <v>33</v>
      </c>
      <c r="B1535" s="12">
        <v>1481648.0</v>
      </c>
      <c r="C1535" s="12">
        <v>1481833.0</v>
      </c>
      <c r="D1535" s="2"/>
      <c r="E1535" s="2" t="s">
        <v>34</v>
      </c>
      <c r="F1535" s="2" t="s">
        <v>39</v>
      </c>
      <c r="G1535" s="2"/>
      <c r="H1535" s="12">
        <v>0.0</v>
      </c>
      <c r="I1535" s="2" t="s">
        <v>40</v>
      </c>
      <c r="J1535" s="2"/>
      <c r="K1535" s="2" t="s">
        <v>4173</v>
      </c>
      <c r="L1535" s="12">
        <v>61.0</v>
      </c>
      <c r="M1535" s="2" t="s">
        <v>4174</v>
      </c>
      <c r="N1535" s="2" t="str">
        <f>IFERROR(__xludf.DUMMYFUNCTION("""COMPUTED_VALUE"""),"")</f>
        <v/>
      </c>
    </row>
    <row r="1536">
      <c r="A1536" s="2" t="s">
        <v>33</v>
      </c>
      <c r="B1536" s="12">
        <v>1482180.0</v>
      </c>
      <c r="C1536" s="12">
        <v>1482383.0</v>
      </c>
      <c r="D1536" s="2"/>
      <c r="E1536" s="2" t="s">
        <v>34</v>
      </c>
      <c r="F1536" s="2" t="s">
        <v>39</v>
      </c>
      <c r="G1536" s="2"/>
      <c r="H1536" s="12">
        <v>0.0</v>
      </c>
      <c r="I1536" s="2" t="s">
        <v>40</v>
      </c>
      <c r="J1536" s="2"/>
      <c r="K1536" s="2" t="s">
        <v>4175</v>
      </c>
      <c r="L1536" s="12">
        <v>67.0</v>
      </c>
      <c r="M1536" s="2" t="s">
        <v>4176</v>
      </c>
      <c r="N1536" s="2" t="str">
        <f>IFERROR(__xludf.DUMMYFUNCTION("""COMPUTED_VALUE"""),"")</f>
        <v/>
      </c>
    </row>
    <row r="1537">
      <c r="A1537" s="2" t="s">
        <v>33</v>
      </c>
      <c r="B1537" s="12">
        <v>1482581.0</v>
      </c>
      <c r="C1537" s="12">
        <v>1482784.0</v>
      </c>
      <c r="D1537" s="2"/>
      <c r="E1537" s="2" t="s">
        <v>38</v>
      </c>
      <c r="F1537" s="2" t="s">
        <v>4177</v>
      </c>
      <c r="G1537" s="2" t="s">
        <v>4178</v>
      </c>
      <c r="H1537" s="12">
        <v>0.0</v>
      </c>
      <c r="I1537" s="2" t="s">
        <v>40</v>
      </c>
      <c r="J1537" s="2"/>
      <c r="K1537" s="2" t="s">
        <v>4179</v>
      </c>
      <c r="L1537" s="12">
        <v>67.0</v>
      </c>
      <c r="M1537" s="2" t="s">
        <v>4180</v>
      </c>
      <c r="N1537" s="2" t="str">
        <f>IFERROR(__xludf.DUMMYFUNCTION("""COMPUTED_VALUE"""),"")</f>
        <v/>
      </c>
    </row>
    <row r="1538">
      <c r="A1538" s="2" t="s">
        <v>33</v>
      </c>
      <c r="B1538" s="12">
        <v>1483068.0</v>
      </c>
      <c r="C1538" s="12">
        <v>1483562.0</v>
      </c>
      <c r="D1538" s="2"/>
      <c r="E1538" s="2" t="s">
        <v>34</v>
      </c>
      <c r="F1538" s="2" t="s">
        <v>4181</v>
      </c>
      <c r="G1538" s="2"/>
      <c r="H1538" s="12">
        <v>0.0</v>
      </c>
      <c r="I1538" s="2" t="s">
        <v>40</v>
      </c>
      <c r="J1538" s="2"/>
      <c r="K1538" s="2" t="s">
        <v>4182</v>
      </c>
      <c r="L1538" s="12">
        <v>164.0</v>
      </c>
      <c r="M1538" s="2" t="s">
        <v>4183</v>
      </c>
      <c r="N1538" s="2" t="str">
        <f>IFERROR(__xludf.DUMMYFUNCTION("""COMPUTED_VALUE"""),"")</f>
        <v/>
      </c>
    </row>
    <row r="1539">
      <c r="A1539" s="2" t="s">
        <v>33</v>
      </c>
      <c r="B1539" s="12">
        <v>1483582.0</v>
      </c>
      <c r="C1539" s="12">
        <v>1484373.0</v>
      </c>
      <c r="D1539" s="2"/>
      <c r="E1539" s="2" t="s">
        <v>34</v>
      </c>
      <c r="F1539" s="2" t="s">
        <v>4184</v>
      </c>
      <c r="G1539" s="2"/>
      <c r="H1539" s="12">
        <v>0.0</v>
      </c>
      <c r="I1539" s="2" t="s">
        <v>40</v>
      </c>
      <c r="J1539" s="2"/>
      <c r="K1539" s="2" t="s">
        <v>4185</v>
      </c>
      <c r="L1539" s="12">
        <v>263.0</v>
      </c>
      <c r="M1539" s="2" t="s">
        <v>4186</v>
      </c>
      <c r="N1539" s="2" t="str">
        <f>IFERROR(__xludf.DUMMYFUNCTION("""COMPUTED_VALUE"""),"")</f>
        <v/>
      </c>
    </row>
    <row r="1540">
      <c r="A1540" s="2" t="s">
        <v>33</v>
      </c>
      <c r="B1540" s="12">
        <v>1484483.0</v>
      </c>
      <c r="C1540" s="12">
        <v>1485760.0</v>
      </c>
      <c r="D1540" s="2"/>
      <c r="E1540" s="2" t="s">
        <v>38</v>
      </c>
      <c r="F1540" s="2" t="s">
        <v>4187</v>
      </c>
      <c r="G1540" s="2" t="s">
        <v>4188</v>
      </c>
      <c r="H1540" s="12">
        <v>0.0</v>
      </c>
      <c r="I1540" s="2" t="s">
        <v>40</v>
      </c>
      <c r="J1540" s="2"/>
      <c r="K1540" s="2" t="s">
        <v>4189</v>
      </c>
      <c r="L1540" s="12">
        <v>425.0</v>
      </c>
      <c r="M1540" s="2" t="s">
        <v>4190</v>
      </c>
      <c r="N1540" s="2" t="str">
        <f>IFERROR(__xludf.DUMMYFUNCTION("""COMPUTED_VALUE"""),"")</f>
        <v/>
      </c>
    </row>
    <row r="1541">
      <c r="A1541" s="2" t="s">
        <v>33</v>
      </c>
      <c r="B1541" s="12">
        <v>1485784.0</v>
      </c>
      <c r="C1541" s="12">
        <v>1487373.0</v>
      </c>
      <c r="D1541" s="2"/>
      <c r="E1541" s="2" t="s">
        <v>38</v>
      </c>
      <c r="F1541" s="2" t="s">
        <v>4191</v>
      </c>
      <c r="G1541" s="2" t="s">
        <v>4192</v>
      </c>
      <c r="H1541" s="12">
        <v>0.0</v>
      </c>
      <c r="I1541" s="2" t="s">
        <v>40</v>
      </c>
      <c r="J1541" s="2"/>
      <c r="K1541" s="2" t="s">
        <v>4193</v>
      </c>
      <c r="L1541" s="12">
        <v>529.0</v>
      </c>
      <c r="M1541" s="2" t="s">
        <v>4194</v>
      </c>
      <c r="N1541" s="2" t="str">
        <f>IFERROR(__xludf.DUMMYFUNCTION("""COMPUTED_VALUE"""),"")</f>
        <v/>
      </c>
    </row>
    <row r="1542">
      <c r="A1542" s="2" t="s">
        <v>33</v>
      </c>
      <c r="B1542" s="12">
        <v>1487593.0</v>
      </c>
      <c r="C1542" s="12">
        <v>1488360.0</v>
      </c>
      <c r="D1542" s="2"/>
      <c r="E1542" s="2" t="s">
        <v>38</v>
      </c>
      <c r="F1542" s="2" t="s">
        <v>4195</v>
      </c>
      <c r="G1542" s="2"/>
      <c r="H1542" s="12">
        <v>0.0</v>
      </c>
      <c r="I1542" s="2" t="s">
        <v>40</v>
      </c>
      <c r="J1542" s="2"/>
      <c r="K1542" s="2" t="s">
        <v>4196</v>
      </c>
      <c r="L1542" s="12">
        <v>255.0</v>
      </c>
      <c r="M1542" s="2" t="s">
        <v>4197</v>
      </c>
      <c r="N1542" s="2" t="str">
        <f>IFERROR(__xludf.DUMMYFUNCTION("""COMPUTED_VALUE"""),"")</f>
        <v/>
      </c>
    </row>
    <row r="1543">
      <c r="A1543" s="2" t="s">
        <v>33</v>
      </c>
      <c r="B1543" s="12">
        <v>1488499.0</v>
      </c>
      <c r="C1543" s="12">
        <v>1489155.0</v>
      </c>
      <c r="D1543" s="2"/>
      <c r="E1543" s="2" t="s">
        <v>38</v>
      </c>
      <c r="F1543" s="2" t="s">
        <v>4195</v>
      </c>
      <c r="G1543" s="2"/>
      <c r="H1543" s="12">
        <v>0.0</v>
      </c>
      <c r="I1543" s="2" t="s">
        <v>40</v>
      </c>
      <c r="J1543" s="2"/>
      <c r="K1543" s="2" t="s">
        <v>4198</v>
      </c>
      <c r="L1543" s="12">
        <v>218.0</v>
      </c>
      <c r="M1543" s="2" t="s">
        <v>4199</v>
      </c>
      <c r="N1543" s="2" t="str">
        <f>IFERROR(__xludf.DUMMYFUNCTION("""COMPUTED_VALUE"""),"")</f>
        <v/>
      </c>
    </row>
    <row r="1544">
      <c r="A1544" s="2" t="s">
        <v>33</v>
      </c>
      <c r="B1544" s="12">
        <v>1489595.0</v>
      </c>
      <c r="C1544" s="12">
        <v>1490548.0</v>
      </c>
      <c r="D1544" s="2"/>
      <c r="E1544" s="2" t="s">
        <v>38</v>
      </c>
      <c r="F1544" s="2" t="s">
        <v>1689</v>
      </c>
      <c r="G1544" s="2"/>
      <c r="H1544" s="12">
        <v>0.0</v>
      </c>
      <c r="I1544" s="2" t="s">
        <v>40</v>
      </c>
      <c r="J1544" s="2"/>
      <c r="K1544" s="2" t="s">
        <v>4200</v>
      </c>
      <c r="L1544" s="12">
        <v>317.0</v>
      </c>
      <c r="M1544" s="2" t="s">
        <v>4201</v>
      </c>
      <c r="N1544" s="2" t="str">
        <f>IFERROR(__xludf.DUMMYFUNCTION("""COMPUTED_VALUE"""),"")</f>
        <v/>
      </c>
    </row>
    <row r="1545">
      <c r="A1545" s="2" t="s">
        <v>33</v>
      </c>
      <c r="B1545" s="12">
        <v>1490543.0</v>
      </c>
      <c r="C1545" s="12">
        <v>1491322.0</v>
      </c>
      <c r="D1545" s="2"/>
      <c r="E1545" s="2" t="s">
        <v>38</v>
      </c>
      <c r="F1545" s="2" t="s">
        <v>35</v>
      </c>
      <c r="G1545" s="2"/>
      <c r="H1545" s="12">
        <v>0.0</v>
      </c>
      <c r="I1545" s="2" t="s">
        <v>36</v>
      </c>
      <c r="J1545" s="2"/>
      <c r="K1545" s="2"/>
      <c r="L1545" s="2"/>
      <c r="M1545" s="2" t="s">
        <v>4202</v>
      </c>
      <c r="N1545" s="2" t="str">
        <f>IFERROR(__xludf.DUMMYFUNCTION("""COMPUTED_VALUE"""),"")</f>
        <v/>
      </c>
    </row>
    <row r="1546">
      <c r="A1546" s="2" t="s">
        <v>33</v>
      </c>
      <c r="B1546" s="12">
        <v>1491457.0</v>
      </c>
      <c r="C1546" s="12">
        <v>1492725.0</v>
      </c>
      <c r="D1546" s="2"/>
      <c r="E1546" s="2" t="s">
        <v>38</v>
      </c>
      <c r="F1546" s="2" t="s">
        <v>4203</v>
      </c>
      <c r="G1546" s="2"/>
      <c r="H1546" s="12">
        <v>0.0</v>
      </c>
      <c r="I1546" s="2" t="s">
        <v>40</v>
      </c>
      <c r="J1546" s="2"/>
      <c r="K1546" s="2" t="s">
        <v>4204</v>
      </c>
      <c r="L1546" s="12">
        <v>422.0</v>
      </c>
      <c r="M1546" s="2" t="s">
        <v>4205</v>
      </c>
      <c r="N1546" s="2" t="str">
        <f>IFERROR(__xludf.DUMMYFUNCTION("""COMPUTED_VALUE"""),"")</f>
        <v/>
      </c>
    </row>
    <row r="1547">
      <c r="A1547" s="2" t="s">
        <v>33</v>
      </c>
      <c r="B1547" s="12">
        <v>1492964.0</v>
      </c>
      <c r="C1547" s="12">
        <v>1493263.0</v>
      </c>
      <c r="D1547" s="2"/>
      <c r="E1547" s="2" t="s">
        <v>38</v>
      </c>
      <c r="F1547" s="2" t="s">
        <v>4206</v>
      </c>
      <c r="G1547" s="2"/>
      <c r="H1547" s="12">
        <v>0.0</v>
      </c>
      <c r="I1547" s="2" t="s">
        <v>40</v>
      </c>
      <c r="J1547" s="2"/>
      <c r="K1547" s="2" t="s">
        <v>4207</v>
      </c>
      <c r="L1547" s="12">
        <v>99.0</v>
      </c>
      <c r="M1547" s="2" t="s">
        <v>4208</v>
      </c>
      <c r="N1547" s="2" t="str">
        <f>IFERROR(__xludf.DUMMYFUNCTION("""COMPUTED_VALUE"""),"")</f>
        <v/>
      </c>
    </row>
    <row r="1548">
      <c r="A1548" s="2" t="s">
        <v>33</v>
      </c>
      <c r="B1548" s="12">
        <v>1493295.0</v>
      </c>
      <c r="C1548" s="12">
        <v>1493651.0</v>
      </c>
      <c r="D1548" s="2"/>
      <c r="E1548" s="2" t="s">
        <v>38</v>
      </c>
      <c r="F1548" s="2" t="s">
        <v>35</v>
      </c>
      <c r="G1548" s="2"/>
      <c r="H1548" s="12">
        <v>0.0</v>
      </c>
      <c r="I1548" s="2" t="s">
        <v>36</v>
      </c>
      <c r="J1548" s="2"/>
      <c r="K1548" s="2"/>
      <c r="L1548" s="2"/>
      <c r="M1548" s="2" t="s">
        <v>4209</v>
      </c>
      <c r="N1548" s="2" t="str">
        <f>IFERROR(__xludf.DUMMYFUNCTION("""COMPUTED_VALUE"""),"")</f>
        <v/>
      </c>
    </row>
    <row r="1549">
      <c r="A1549" s="2" t="s">
        <v>33</v>
      </c>
      <c r="B1549" s="12">
        <v>1493653.0</v>
      </c>
      <c r="C1549" s="12">
        <v>1494501.0</v>
      </c>
      <c r="D1549" s="2"/>
      <c r="E1549" s="2" t="s">
        <v>38</v>
      </c>
      <c r="F1549" s="2" t="s">
        <v>306</v>
      </c>
      <c r="G1549" s="2"/>
      <c r="H1549" s="12">
        <v>0.0</v>
      </c>
      <c r="I1549" s="2" t="s">
        <v>40</v>
      </c>
      <c r="J1549" s="2"/>
      <c r="K1549" s="2" t="s">
        <v>4210</v>
      </c>
      <c r="L1549" s="12">
        <v>282.0</v>
      </c>
      <c r="M1549" s="2" t="s">
        <v>4211</v>
      </c>
      <c r="N1549" s="2" t="str">
        <f>IFERROR(__xludf.DUMMYFUNCTION("""COMPUTED_VALUE"""),"")</f>
        <v/>
      </c>
    </row>
    <row r="1550">
      <c r="A1550" s="2" t="s">
        <v>33</v>
      </c>
      <c r="B1550" s="12">
        <v>1494642.0</v>
      </c>
      <c r="C1550" s="12">
        <v>1495346.0</v>
      </c>
      <c r="D1550" s="2"/>
      <c r="E1550" s="2" t="s">
        <v>34</v>
      </c>
      <c r="F1550" s="2" t="s">
        <v>379</v>
      </c>
      <c r="G1550" s="2"/>
      <c r="H1550" s="12">
        <v>0.0</v>
      </c>
      <c r="I1550" s="2" t="s">
        <v>40</v>
      </c>
      <c r="J1550" s="2"/>
      <c r="K1550" s="2" t="s">
        <v>4212</v>
      </c>
      <c r="L1550" s="12">
        <v>234.0</v>
      </c>
      <c r="M1550" s="2" t="s">
        <v>4213</v>
      </c>
      <c r="N1550" s="2" t="str">
        <f>IFERROR(__xludf.DUMMYFUNCTION("""COMPUTED_VALUE"""),"")</f>
        <v/>
      </c>
    </row>
    <row r="1551">
      <c r="A1551" s="2" t="s">
        <v>33</v>
      </c>
      <c r="B1551" s="12">
        <v>1495356.0</v>
      </c>
      <c r="C1551" s="12">
        <v>1497098.0</v>
      </c>
      <c r="D1551" s="2"/>
      <c r="E1551" s="2" t="s">
        <v>34</v>
      </c>
      <c r="F1551" s="2" t="s">
        <v>4214</v>
      </c>
      <c r="G1551" s="2"/>
      <c r="H1551" s="12">
        <v>0.0</v>
      </c>
      <c r="I1551" s="2" t="s">
        <v>40</v>
      </c>
      <c r="J1551" s="2"/>
      <c r="K1551" s="2" t="s">
        <v>4215</v>
      </c>
      <c r="L1551" s="12">
        <v>580.0</v>
      </c>
      <c r="M1551" s="2" t="s">
        <v>4216</v>
      </c>
      <c r="N1551" s="2" t="str">
        <f>IFERROR(__xludf.DUMMYFUNCTION("""COMPUTED_VALUE"""),"")</f>
        <v/>
      </c>
    </row>
    <row r="1552">
      <c r="A1552" s="2" t="s">
        <v>33</v>
      </c>
      <c r="B1552" s="12">
        <v>1497480.0</v>
      </c>
      <c r="C1552" s="12">
        <v>1497632.0</v>
      </c>
      <c r="D1552" s="2"/>
      <c r="E1552" s="2" t="s">
        <v>38</v>
      </c>
      <c r="F1552" s="2" t="s">
        <v>39</v>
      </c>
      <c r="G1552" s="2"/>
      <c r="H1552" s="12">
        <v>0.0</v>
      </c>
      <c r="I1552" s="2" t="s">
        <v>40</v>
      </c>
      <c r="J1552" s="2"/>
      <c r="K1552" s="2" t="s">
        <v>4217</v>
      </c>
      <c r="L1552" s="12">
        <v>50.0</v>
      </c>
      <c r="M1552" s="2" t="s">
        <v>4218</v>
      </c>
      <c r="N1552" s="2" t="str">
        <f>IFERROR(__xludf.DUMMYFUNCTION("""COMPUTED_VALUE"""),"")</f>
        <v/>
      </c>
    </row>
    <row r="1553">
      <c r="A1553" s="2" t="s">
        <v>33</v>
      </c>
      <c r="B1553" s="12">
        <v>1497902.0</v>
      </c>
      <c r="C1553" s="12">
        <v>1498267.0</v>
      </c>
      <c r="D1553" s="2"/>
      <c r="E1553" s="2" t="s">
        <v>38</v>
      </c>
      <c r="F1553" s="2" t="s">
        <v>541</v>
      </c>
      <c r="G1553" s="2"/>
      <c r="H1553" s="12">
        <v>0.0</v>
      </c>
      <c r="I1553" s="2" t="s">
        <v>40</v>
      </c>
      <c r="J1553" s="2"/>
      <c r="K1553" s="2" t="s">
        <v>4219</v>
      </c>
      <c r="L1553" s="12">
        <v>121.0</v>
      </c>
      <c r="M1553" s="2" t="s">
        <v>4220</v>
      </c>
      <c r="N1553" s="2" t="str">
        <f>IFERROR(__xludf.DUMMYFUNCTION("""COMPUTED_VALUE"""),"")</f>
        <v/>
      </c>
    </row>
    <row r="1554">
      <c r="A1554" s="2" t="s">
        <v>33</v>
      </c>
      <c r="B1554" s="12">
        <v>1498328.0</v>
      </c>
      <c r="C1554" s="12">
        <v>1499230.0</v>
      </c>
      <c r="D1554" s="2"/>
      <c r="E1554" s="2" t="s">
        <v>38</v>
      </c>
      <c r="F1554" s="2" t="s">
        <v>359</v>
      </c>
      <c r="G1554" s="2"/>
      <c r="H1554" s="12">
        <v>0.0</v>
      </c>
      <c r="I1554" s="2" t="s">
        <v>40</v>
      </c>
      <c r="J1554" s="2"/>
      <c r="K1554" s="2" t="s">
        <v>4221</v>
      </c>
      <c r="L1554" s="12">
        <v>300.0</v>
      </c>
      <c r="M1554" s="2" t="s">
        <v>4222</v>
      </c>
      <c r="N1554" s="2" t="str">
        <f>IFERROR(__xludf.DUMMYFUNCTION("""COMPUTED_VALUE"""),"")</f>
        <v/>
      </c>
    </row>
    <row r="1555">
      <c r="A1555" s="2" t="s">
        <v>33</v>
      </c>
      <c r="B1555" s="12">
        <v>1499368.0</v>
      </c>
      <c r="C1555" s="12">
        <v>1499853.0</v>
      </c>
      <c r="D1555" s="2"/>
      <c r="E1555" s="2" t="s">
        <v>34</v>
      </c>
      <c r="F1555" s="2" t="s">
        <v>2436</v>
      </c>
      <c r="G1555" s="2"/>
      <c r="H1555" s="12">
        <v>0.0</v>
      </c>
      <c r="I1555" s="2" t="s">
        <v>40</v>
      </c>
      <c r="J1555" s="2"/>
      <c r="K1555" s="2" t="s">
        <v>4223</v>
      </c>
      <c r="L1555" s="12">
        <v>161.0</v>
      </c>
      <c r="M1555" s="2" t="s">
        <v>4224</v>
      </c>
      <c r="N1555" s="2" t="str">
        <f>IFERROR(__xludf.DUMMYFUNCTION("""COMPUTED_VALUE"""),"")</f>
        <v/>
      </c>
    </row>
    <row r="1556">
      <c r="A1556" s="2" t="s">
        <v>33</v>
      </c>
      <c r="B1556" s="12">
        <v>1499859.0</v>
      </c>
      <c r="C1556" s="12">
        <v>1500983.0</v>
      </c>
      <c r="D1556" s="2"/>
      <c r="E1556" s="2" t="s">
        <v>34</v>
      </c>
      <c r="F1556" s="2" t="s">
        <v>4225</v>
      </c>
      <c r="G1556" s="2"/>
      <c r="H1556" s="12">
        <v>0.0</v>
      </c>
      <c r="I1556" s="2" t="s">
        <v>40</v>
      </c>
      <c r="J1556" s="2"/>
      <c r="K1556" s="2" t="s">
        <v>4226</v>
      </c>
      <c r="L1556" s="12">
        <v>374.0</v>
      </c>
      <c r="M1556" s="2" t="s">
        <v>4227</v>
      </c>
      <c r="N1556" s="2" t="str">
        <f>IFERROR(__xludf.DUMMYFUNCTION("""COMPUTED_VALUE"""),"")</f>
        <v/>
      </c>
    </row>
    <row r="1557">
      <c r="A1557" s="2" t="s">
        <v>33</v>
      </c>
      <c r="B1557" s="12">
        <v>1501027.0</v>
      </c>
      <c r="C1557" s="12">
        <v>1502004.0</v>
      </c>
      <c r="D1557" s="2"/>
      <c r="E1557" s="2" t="s">
        <v>38</v>
      </c>
      <c r="F1557" s="2" t="s">
        <v>1265</v>
      </c>
      <c r="G1557" s="2"/>
      <c r="H1557" s="12">
        <v>0.0</v>
      </c>
      <c r="I1557" s="2" t="s">
        <v>40</v>
      </c>
      <c r="J1557" s="2"/>
      <c r="K1557" s="2" t="s">
        <v>4228</v>
      </c>
      <c r="L1557" s="12">
        <v>325.0</v>
      </c>
      <c r="M1557" s="2" t="s">
        <v>4229</v>
      </c>
      <c r="N1557" s="2" t="str">
        <f>IFERROR(__xludf.DUMMYFUNCTION("""COMPUTED_VALUE"""),"")</f>
        <v/>
      </c>
    </row>
    <row r="1558">
      <c r="A1558" s="2" t="s">
        <v>33</v>
      </c>
      <c r="B1558" s="12">
        <v>1502138.0</v>
      </c>
      <c r="C1558" s="12">
        <v>1503244.0</v>
      </c>
      <c r="D1558" s="2"/>
      <c r="E1558" s="2" t="s">
        <v>38</v>
      </c>
      <c r="F1558" s="2" t="s">
        <v>437</v>
      </c>
      <c r="G1558" s="2"/>
      <c r="H1558" s="12">
        <v>0.0</v>
      </c>
      <c r="I1558" s="2" t="s">
        <v>40</v>
      </c>
      <c r="J1558" s="2"/>
      <c r="K1558" s="2" t="s">
        <v>4230</v>
      </c>
      <c r="L1558" s="12">
        <v>368.0</v>
      </c>
      <c r="M1558" s="2" t="s">
        <v>4231</v>
      </c>
      <c r="N1558" s="2" t="str">
        <f>IFERROR(__xludf.DUMMYFUNCTION("""COMPUTED_VALUE"""),"")</f>
        <v/>
      </c>
    </row>
    <row r="1559">
      <c r="A1559" s="2" t="s">
        <v>33</v>
      </c>
      <c r="B1559" s="12">
        <v>1503279.0</v>
      </c>
      <c r="C1559" s="12">
        <v>1503392.0</v>
      </c>
      <c r="D1559" s="2"/>
      <c r="E1559" s="2" t="s">
        <v>34</v>
      </c>
      <c r="F1559" s="2" t="s">
        <v>35</v>
      </c>
      <c r="G1559" s="2"/>
      <c r="H1559" s="12">
        <v>0.0</v>
      </c>
      <c r="I1559" s="2" t="s">
        <v>36</v>
      </c>
      <c r="J1559" s="2"/>
      <c r="K1559" s="2"/>
      <c r="L1559" s="2"/>
      <c r="M1559" s="2" t="s">
        <v>4232</v>
      </c>
      <c r="N1559" s="2" t="str">
        <f>IFERROR(__xludf.DUMMYFUNCTION("""COMPUTED_VALUE"""),"")</f>
        <v/>
      </c>
    </row>
    <row r="1560">
      <c r="A1560" s="2" t="s">
        <v>33</v>
      </c>
      <c r="B1560" s="12">
        <v>1503536.0</v>
      </c>
      <c r="C1560" s="12">
        <v>1504546.0</v>
      </c>
      <c r="D1560" s="2"/>
      <c r="E1560" s="2" t="s">
        <v>34</v>
      </c>
      <c r="F1560" s="2" t="s">
        <v>4233</v>
      </c>
      <c r="G1560" s="2" t="s">
        <v>4234</v>
      </c>
      <c r="H1560" s="12">
        <v>0.0</v>
      </c>
      <c r="I1560" s="2" t="s">
        <v>40</v>
      </c>
      <c r="J1560" s="2"/>
      <c r="K1560" s="2" t="s">
        <v>4235</v>
      </c>
      <c r="L1560" s="12">
        <v>336.0</v>
      </c>
      <c r="M1560" s="2" t="s">
        <v>4236</v>
      </c>
      <c r="N1560" s="2" t="str">
        <f>IFERROR(__xludf.DUMMYFUNCTION("""COMPUTED_VALUE"""),"")</f>
        <v/>
      </c>
    </row>
    <row r="1561">
      <c r="A1561" s="2" t="s">
        <v>33</v>
      </c>
      <c r="B1561" s="12">
        <v>1504891.0</v>
      </c>
      <c r="C1561" s="12">
        <v>1505373.0</v>
      </c>
      <c r="D1561" s="2"/>
      <c r="E1561" s="2" t="s">
        <v>38</v>
      </c>
      <c r="F1561" s="2" t="s">
        <v>39</v>
      </c>
      <c r="G1561" s="2"/>
      <c r="H1561" s="12">
        <v>0.0</v>
      </c>
      <c r="I1561" s="2" t="s">
        <v>40</v>
      </c>
      <c r="J1561" s="2"/>
      <c r="K1561" s="2" t="s">
        <v>4237</v>
      </c>
      <c r="L1561" s="12">
        <v>160.0</v>
      </c>
      <c r="M1561" s="2" t="s">
        <v>4238</v>
      </c>
      <c r="N1561" s="2" t="str">
        <f>IFERROR(__xludf.DUMMYFUNCTION("""COMPUTED_VALUE"""),"")</f>
        <v/>
      </c>
    </row>
    <row r="1562">
      <c r="A1562" s="2" t="s">
        <v>33</v>
      </c>
      <c r="B1562" s="12">
        <v>1505384.0</v>
      </c>
      <c r="C1562" s="12">
        <v>1506232.0</v>
      </c>
      <c r="D1562" s="2"/>
      <c r="E1562" s="2" t="s">
        <v>38</v>
      </c>
      <c r="F1562" s="2" t="s">
        <v>39</v>
      </c>
      <c r="G1562" s="2"/>
      <c r="H1562" s="12">
        <v>0.0</v>
      </c>
      <c r="I1562" s="2" t="s">
        <v>40</v>
      </c>
      <c r="J1562" s="2"/>
      <c r="K1562" s="2" t="s">
        <v>4239</v>
      </c>
      <c r="L1562" s="12">
        <v>282.0</v>
      </c>
      <c r="M1562" s="2" t="s">
        <v>4240</v>
      </c>
      <c r="N1562" s="2" t="str">
        <f>IFERROR(__xludf.DUMMYFUNCTION("""COMPUTED_VALUE"""),"")</f>
        <v/>
      </c>
    </row>
    <row r="1563">
      <c r="A1563" s="2" t="s">
        <v>33</v>
      </c>
      <c r="B1563" s="12">
        <v>1506341.0</v>
      </c>
      <c r="C1563" s="12">
        <v>1506967.0</v>
      </c>
      <c r="D1563" s="2"/>
      <c r="E1563" s="2" t="s">
        <v>38</v>
      </c>
      <c r="F1563" s="2" t="s">
        <v>4241</v>
      </c>
      <c r="G1563" s="2"/>
      <c r="H1563" s="12">
        <v>0.0</v>
      </c>
      <c r="I1563" s="2" t="s">
        <v>40</v>
      </c>
      <c r="J1563" s="2"/>
      <c r="K1563" s="2" t="s">
        <v>4242</v>
      </c>
      <c r="L1563" s="12">
        <v>208.0</v>
      </c>
      <c r="M1563" s="2" t="s">
        <v>4243</v>
      </c>
      <c r="N1563" s="2" t="str">
        <f>IFERROR(__xludf.DUMMYFUNCTION("""COMPUTED_VALUE"""),"")</f>
        <v/>
      </c>
    </row>
    <row r="1564">
      <c r="A1564" s="2" t="s">
        <v>33</v>
      </c>
      <c r="B1564" s="12">
        <v>1507008.0</v>
      </c>
      <c r="C1564" s="12">
        <v>1507565.0</v>
      </c>
      <c r="D1564" s="2"/>
      <c r="E1564" s="2" t="s">
        <v>38</v>
      </c>
      <c r="F1564" s="2" t="s">
        <v>39</v>
      </c>
      <c r="G1564" s="2"/>
      <c r="H1564" s="12">
        <v>0.0</v>
      </c>
      <c r="I1564" s="2" t="s">
        <v>40</v>
      </c>
      <c r="J1564" s="2"/>
      <c r="K1564" s="2" t="s">
        <v>4244</v>
      </c>
      <c r="L1564" s="12">
        <v>185.0</v>
      </c>
      <c r="M1564" s="2" t="s">
        <v>4245</v>
      </c>
      <c r="N1564" s="2" t="str">
        <f>IFERROR(__xludf.DUMMYFUNCTION("""COMPUTED_VALUE"""),"")</f>
        <v/>
      </c>
    </row>
    <row r="1565">
      <c r="A1565" s="2" t="s">
        <v>33</v>
      </c>
      <c r="B1565" s="12">
        <v>1507800.0</v>
      </c>
      <c r="C1565" s="12">
        <v>1508264.0</v>
      </c>
      <c r="D1565" s="2"/>
      <c r="E1565" s="2" t="s">
        <v>38</v>
      </c>
      <c r="F1565" s="2" t="s">
        <v>4246</v>
      </c>
      <c r="G1565" s="2"/>
      <c r="H1565" s="12">
        <v>0.0</v>
      </c>
      <c r="I1565" s="2" t="s">
        <v>40</v>
      </c>
      <c r="J1565" s="2"/>
      <c r="K1565" s="2" t="s">
        <v>4247</v>
      </c>
      <c r="L1565" s="12">
        <v>154.0</v>
      </c>
      <c r="M1565" s="2" t="s">
        <v>4248</v>
      </c>
      <c r="N1565" s="2" t="str">
        <f>IFERROR(__xludf.DUMMYFUNCTION("""COMPUTED_VALUE"""),"")</f>
        <v/>
      </c>
    </row>
    <row r="1566">
      <c r="A1566" s="2" t="s">
        <v>33</v>
      </c>
      <c r="B1566" s="12">
        <v>1508532.0</v>
      </c>
      <c r="C1566" s="12">
        <v>1508849.0</v>
      </c>
      <c r="D1566" s="2"/>
      <c r="E1566" s="2" t="s">
        <v>38</v>
      </c>
      <c r="F1566" s="2" t="s">
        <v>4249</v>
      </c>
      <c r="G1566" s="2"/>
      <c r="H1566" s="12">
        <v>0.0</v>
      </c>
      <c r="I1566" s="2" t="s">
        <v>40</v>
      </c>
      <c r="J1566" s="2"/>
      <c r="K1566" s="2" t="s">
        <v>4250</v>
      </c>
      <c r="L1566" s="12">
        <v>105.0</v>
      </c>
      <c r="M1566" s="2" t="s">
        <v>4251</v>
      </c>
      <c r="N1566" s="2" t="str">
        <f>IFERROR(__xludf.DUMMYFUNCTION("""COMPUTED_VALUE"""),"")</f>
        <v/>
      </c>
    </row>
    <row r="1567">
      <c r="A1567" s="2" t="s">
        <v>33</v>
      </c>
      <c r="B1567" s="12">
        <v>1509287.0</v>
      </c>
      <c r="C1567" s="12">
        <v>1509649.0</v>
      </c>
      <c r="D1567" s="2"/>
      <c r="E1567" s="2" t="s">
        <v>38</v>
      </c>
      <c r="F1567" s="2" t="s">
        <v>39</v>
      </c>
      <c r="G1567" s="2"/>
      <c r="H1567" s="12">
        <v>0.0</v>
      </c>
      <c r="I1567" s="2" t="s">
        <v>40</v>
      </c>
      <c r="J1567" s="2"/>
      <c r="K1567" s="2" t="s">
        <v>4252</v>
      </c>
      <c r="L1567" s="12">
        <v>120.0</v>
      </c>
      <c r="M1567" s="2" t="s">
        <v>4253</v>
      </c>
      <c r="N1567" s="2" t="str">
        <f>IFERROR(__xludf.DUMMYFUNCTION("""COMPUTED_VALUE"""),"")</f>
        <v/>
      </c>
    </row>
    <row r="1568">
      <c r="A1568" s="2" t="s">
        <v>33</v>
      </c>
      <c r="B1568" s="12">
        <v>1509741.0</v>
      </c>
      <c r="C1568" s="12">
        <v>1510094.0</v>
      </c>
      <c r="D1568" s="2"/>
      <c r="E1568" s="2" t="s">
        <v>38</v>
      </c>
      <c r="F1568" s="2" t="s">
        <v>39</v>
      </c>
      <c r="G1568" s="2"/>
      <c r="H1568" s="12">
        <v>0.0</v>
      </c>
      <c r="I1568" s="2" t="s">
        <v>40</v>
      </c>
      <c r="J1568" s="2"/>
      <c r="K1568" s="2" t="s">
        <v>4254</v>
      </c>
      <c r="L1568" s="12">
        <v>117.0</v>
      </c>
      <c r="M1568" s="2" t="s">
        <v>4255</v>
      </c>
      <c r="N1568" s="2" t="str">
        <f>IFERROR(__xludf.DUMMYFUNCTION("""COMPUTED_VALUE"""),"")</f>
        <v/>
      </c>
    </row>
    <row r="1569">
      <c r="A1569" s="2" t="s">
        <v>33</v>
      </c>
      <c r="B1569" s="12">
        <v>1510264.0</v>
      </c>
      <c r="C1569" s="12">
        <v>1510557.0</v>
      </c>
      <c r="D1569" s="2"/>
      <c r="E1569" s="2" t="s">
        <v>38</v>
      </c>
      <c r="F1569" s="2" t="s">
        <v>35</v>
      </c>
      <c r="G1569" s="2"/>
      <c r="H1569" s="12">
        <v>0.0</v>
      </c>
      <c r="I1569" s="2" t="s">
        <v>36</v>
      </c>
      <c r="J1569" s="2"/>
      <c r="K1569" s="2"/>
      <c r="L1569" s="2"/>
      <c r="M1569" s="2" t="s">
        <v>4256</v>
      </c>
      <c r="N1569" s="2" t="str">
        <f>IFERROR(__xludf.DUMMYFUNCTION("""COMPUTED_VALUE"""),"")</f>
        <v/>
      </c>
    </row>
    <row r="1570">
      <c r="A1570" s="2" t="s">
        <v>33</v>
      </c>
      <c r="B1570" s="12">
        <v>1510613.0</v>
      </c>
      <c r="C1570" s="12">
        <v>1510867.0</v>
      </c>
      <c r="D1570" s="2"/>
      <c r="E1570" s="2" t="s">
        <v>38</v>
      </c>
      <c r="F1570" s="2" t="s">
        <v>39</v>
      </c>
      <c r="G1570" s="2"/>
      <c r="H1570" s="12">
        <v>0.0</v>
      </c>
      <c r="I1570" s="2" t="s">
        <v>40</v>
      </c>
      <c r="J1570" s="2"/>
      <c r="K1570" s="2" t="s">
        <v>4257</v>
      </c>
      <c r="L1570" s="12">
        <v>84.0</v>
      </c>
      <c r="M1570" s="2" t="s">
        <v>4258</v>
      </c>
      <c r="N1570" s="2" t="str">
        <f>IFERROR(__xludf.DUMMYFUNCTION("""COMPUTED_VALUE"""),"")</f>
        <v/>
      </c>
    </row>
    <row r="1571">
      <c r="A1571" s="2" t="s">
        <v>33</v>
      </c>
      <c r="B1571" s="12">
        <v>1510914.0</v>
      </c>
      <c r="C1571" s="12">
        <v>1511705.0</v>
      </c>
      <c r="D1571" s="2"/>
      <c r="E1571" s="2" t="s">
        <v>38</v>
      </c>
      <c r="F1571" s="2" t="s">
        <v>4259</v>
      </c>
      <c r="G1571" s="2"/>
      <c r="H1571" s="12">
        <v>0.0</v>
      </c>
      <c r="I1571" s="2" t="s">
        <v>40</v>
      </c>
      <c r="J1571" s="2"/>
      <c r="K1571" s="2" t="s">
        <v>4260</v>
      </c>
      <c r="L1571" s="12">
        <v>263.0</v>
      </c>
      <c r="M1571" s="2" t="s">
        <v>4261</v>
      </c>
      <c r="N1571" s="2" t="str">
        <f>IFERROR(__xludf.DUMMYFUNCTION("""COMPUTED_VALUE"""),"")</f>
        <v/>
      </c>
    </row>
    <row r="1572">
      <c r="A1572" s="2" t="s">
        <v>33</v>
      </c>
      <c r="B1572" s="12">
        <v>1511914.0</v>
      </c>
      <c r="C1572" s="12">
        <v>1512324.0</v>
      </c>
      <c r="D1572" s="2"/>
      <c r="E1572" s="2" t="s">
        <v>38</v>
      </c>
      <c r="F1572" s="2" t="s">
        <v>4262</v>
      </c>
      <c r="G1572" s="2"/>
      <c r="H1572" s="12">
        <v>0.0</v>
      </c>
      <c r="I1572" s="2" t="s">
        <v>40</v>
      </c>
      <c r="J1572" s="2"/>
      <c r="K1572" s="2" t="s">
        <v>4263</v>
      </c>
      <c r="L1572" s="12">
        <v>136.0</v>
      </c>
      <c r="M1572" s="2" t="s">
        <v>4264</v>
      </c>
      <c r="N1572" s="2" t="str">
        <f>IFERROR(__xludf.DUMMYFUNCTION("""COMPUTED_VALUE"""),"")</f>
        <v/>
      </c>
    </row>
    <row r="1573">
      <c r="A1573" s="2" t="s">
        <v>33</v>
      </c>
      <c r="B1573" s="12">
        <v>1512998.0</v>
      </c>
      <c r="C1573" s="12">
        <v>1513531.0</v>
      </c>
      <c r="D1573" s="2"/>
      <c r="E1573" s="2" t="s">
        <v>38</v>
      </c>
      <c r="F1573" s="2" t="s">
        <v>39</v>
      </c>
      <c r="G1573" s="2"/>
      <c r="H1573" s="12">
        <v>0.0</v>
      </c>
      <c r="I1573" s="2" t="s">
        <v>40</v>
      </c>
      <c r="J1573" s="2"/>
      <c r="K1573" s="2" t="s">
        <v>4265</v>
      </c>
      <c r="L1573" s="12">
        <v>177.0</v>
      </c>
      <c r="M1573" s="2" t="s">
        <v>4266</v>
      </c>
      <c r="N1573" s="2" t="str">
        <f>IFERROR(__xludf.DUMMYFUNCTION("""COMPUTED_VALUE"""),"")</f>
        <v/>
      </c>
    </row>
    <row r="1574">
      <c r="A1574" s="2" t="s">
        <v>33</v>
      </c>
      <c r="B1574" s="12">
        <v>1513763.0</v>
      </c>
      <c r="C1574" s="12">
        <v>1514242.0</v>
      </c>
      <c r="D1574" s="2"/>
      <c r="E1574" s="2" t="s">
        <v>38</v>
      </c>
      <c r="F1574" s="2" t="s">
        <v>39</v>
      </c>
      <c r="G1574" s="2"/>
      <c r="H1574" s="12">
        <v>0.0</v>
      </c>
      <c r="I1574" s="2" t="s">
        <v>40</v>
      </c>
      <c r="J1574" s="2"/>
      <c r="K1574" s="2" t="s">
        <v>4267</v>
      </c>
      <c r="L1574" s="12">
        <v>159.0</v>
      </c>
      <c r="M1574" s="2" t="s">
        <v>4268</v>
      </c>
      <c r="N1574" s="2" t="str">
        <f>IFERROR(__xludf.DUMMYFUNCTION("""COMPUTED_VALUE"""),"")</f>
        <v/>
      </c>
    </row>
    <row r="1575">
      <c r="A1575" s="2" t="s">
        <v>33</v>
      </c>
      <c r="B1575" s="12">
        <v>1514292.0</v>
      </c>
      <c r="C1575" s="12">
        <v>1514510.0</v>
      </c>
      <c r="D1575" s="2"/>
      <c r="E1575" s="2" t="s">
        <v>38</v>
      </c>
      <c r="F1575" s="2" t="s">
        <v>39</v>
      </c>
      <c r="G1575" s="2"/>
      <c r="H1575" s="12">
        <v>0.0</v>
      </c>
      <c r="I1575" s="2" t="s">
        <v>40</v>
      </c>
      <c r="J1575" s="2"/>
      <c r="K1575" s="2" t="s">
        <v>4269</v>
      </c>
      <c r="L1575" s="12">
        <v>72.0</v>
      </c>
      <c r="M1575" s="2" t="s">
        <v>4270</v>
      </c>
      <c r="N1575" s="2" t="str">
        <f>IFERROR(__xludf.DUMMYFUNCTION("""COMPUTED_VALUE"""),"")</f>
        <v/>
      </c>
    </row>
    <row r="1576">
      <c r="A1576" s="2" t="s">
        <v>33</v>
      </c>
      <c r="B1576" s="12">
        <v>1514731.0</v>
      </c>
      <c r="C1576" s="12">
        <v>1514976.0</v>
      </c>
      <c r="D1576" s="2"/>
      <c r="E1576" s="2" t="s">
        <v>38</v>
      </c>
      <c r="F1576" s="2" t="s">
        <v>39</v>
      </c>
      <c r="G1576" s="2"/>
      <c r="H1576" s="12">
        <v>0.0</v>
      </c>
      <c r="I1576" s="2" t="s">
        <v>40</v>
      </c>
      <c r="J1576" s="2"/>
      <c r="K1576" s="2" t="s">
        <v>4271</v>
      </c>
      <c r="L1576" s="12">
        <v>81.0</v>
      </c>
      <c r="M1576" s="2" t="s">
        <v>4272</v>
      </c>
      <c r="N1576" s="2" t="str">
        <f>IFERROR(__xludf.DUMMYFUNCTION("""COMPUTED_VALUE"""),"")</f>
        <v/>
      </c>
    </row>
    <row r="1577">
      <c r="A1577" s="2" t="s">
        <v>33</v>
      </c>
      <c r="B1577" s="12">
        <v>1515489.0</v>
      </c>
      <c r="C1577" s="12">
        <v>1516076.0</v>
      </c>
      <c r="D1577" s="2"/>
      <c r="E1577" s="2" t="s">
        <v>34</v>
      </c>
      <c r="F1577" s="2" t="s">
        <v>39</v>
      </c>
      <c r="G1577" s="2"/>
      <c r="H1577" s="12">
        <v>0.0</v>
      </c>
      <c r="I1577" s="2" t="s">
        <v>40</v>
      </c>
      <c r="J1577" s="2"/>
      <c r="K1577" s="2" t="s">
        <v>4273</v>
      </c>
      <c r="L1577" s="12">
        <v>195.0</v>
      </c>
      <c r="M1577" s="2" t="s">
        <v>4274</v>
      </c>
      <c r="N1577" s="2" t="str">
        <f>IFERROR(__xludf.DUMMYFUNCTION("""COMPUTED_VALUE"""),"")</f>
        <v/>
      </c>
    </row>
    <row r="1578">
      <c r="A1578" s="2" t="s">
        <v>33</v>
      </c>
      <c r="B1578" s="12">
        <v>1516286.0</v>
      </c>
      <c r="C1578" s="12">
        <v>1517359.0</v>
      </c>
      <c r="D1578" s="2"/>
      <c r="E1578" s="2" t="s">
        <v>38</v>
      </c>
      <c r="F1578" s="2" t="s">
        <v>4275</v>
      </c>
      <c r="G1578" s="2"/>
      <c r="H1578" s="12">
        <v>0.0</v>
      </c>
      <c r="I1578" s="2" t="s">
        <v>40</v>
      </c>
      <c r="J1578" s="2"/>
      <c r="K1578" s="2" t="s">
        <v>4276</v>
      </c>
      <c r="L1578" s="12">
        <v>357.0</v>
      </c>
      <c r="M1578" s="2" t="s">
        <v>4277</v>
      </c>
      <c r="N1578" s="2" t="str">
        <f>IFERROR(__xludf.DUMMYFUNCTION("""COMPUTED_VALUE"""),"")</f>
        <v/>
      </c>
    </row>
    <row r="1579">
      <c r="A1579" s="2" t="s">
        <v>33</v>
      </c>
      <c r="B1579" s="12">
        <v>1517373.0</v>
      </c>
      <c r="C1579" s="12">
        <v>1518230.0</v>
      </c>
      <c r="D1579" s="2"/>
      <c r="E1579" s="2" t="s">
        <v>38</v>
      </c>
      <c r="F1579" s="2" t="s">
        <v>4278</v>
      </c>
      <c r="G1579" s="2" t="s">
        <v>4279</v>
      </c>
      <c r="H1579" s="12">
        <v>0.0</v>
      </c>
      <c r="I1579" s="2" t="s">
        <v>40</v>
      </c>
      <c r="J1579" s="2"/>
      <c r="K1579" s="2" t="s">
        <v>4280</v>
      </c>
      <c r="L1579" s="12">
        <v>285.0</v>
      </c>
      <c r="M1579" s="2" t="s">
        <v>4281</v>
      </c>
      <c r="N1579" s="2" t="str">
        <f>IFERROR(__xludf.DUMMYFUNCTION("""COMPUTED_VALUE"""),"")</f>
        <v/>
      </c>
    </row>
    <row r="1580">
      <c r="A1580" s="2" t="s">
        <v>33</v>
      </c>
      <c r="B1580" s="12">
        <v>1518242.0</v>
      </c>
      <c r="C1580" s="12">
        <v>1519069.0</v>
      </c>
      <c r="D1580" s="2"/>
      <c r="E1580" s="2" t="s">
        <v>38</v>
      </c>
      <c r="F1580" s="2" t="s">
        <v>4282</v>
      </c>
      <c r="G1580" s="2" t="s">
        <v>4283</v>
      </c>
      <c r="H1580" s="12">
        <v>0.0</v>
      </c>
      <c r="I1580" s="2" t="s">
        <v>40</v>
      </c>
      <c r="J1580" s="2"/>
      <c r="K1580" s="2" t="s">
        <v>4284</v>
      </c>
      <c r="L1580" s="12">
        <v>275.0</v>
      </c>
      <c r="M1580" s="2" t="s">
        <v>4285</v>
      </c>
      <c r="N1580" s="2" t="str">
        <f>IFERROR(__xludf.DUMMYFUNCTION("""COMPUTED_VALUE"""),"")</f>
        <v/>
      </c>
    </row>
    <row r="1581">
      <c r="A1581" s="2" t="s">
        <v>33</v>
      </c>
      <c r="B1581" s="12">
        <v>1519104.0</v>
      </c>
      <c r="C1581" s="12">
        <v>1520159.0</v>
      </c>
      <c r="D1581" s="2"/>
      <c r="E1581" s="2" t="s">
        <v>38</v>
      </c>
      <c r="F1581" s="2" t="s">
        <v>4286</v>
      </c>
      <c r="G1581" s="2"/>
      <c r="H1581" s="12">
        <v>0.0</v>
      </c>
      <c r="I1581" s="2" t="s">
        <v>40</v>
      </c>
      <c r="J1581" s="2"/>
      <c r="K1581" s="2" t="s">
        <v>4287</v>
      </c>
      <c r="L1581" s="12">
        <v>351.0</v>
      </c>
      <c r="M1581" s="2" t="s">
        <v>4288</v>
      </c>
      <c r="N1581" s="2" t="str">
        <f>IFERROR(__xludf.DUMMYFUNCTION("""COMPUTED_VALUE"""),"")</f>
        <v/>
      </c>
    </row>
    <row r="1582">
      <c r="A1582" s="2" t="s">
        <v>33</v>
      </c>
      <c r="B1582" s="12">
        <v>1520334.0</v>
      </c>
      <c r="C1582" s="12">
        <v>1520510.0</v>
      </c>
      <c r="D1582" s="2"/>
      <c r="E1582" s="2" t="s">
        <v>38</v>
      </c>
      <c r="F1582" s="2" t="s">
        <v>39</v>
      </c>
      <c r="G1582" s="2"/>
      <c r="H1582" s="12">
        <v>0.0</v>
      </c>
      <c r="I1582" s="2" t="s">
        <v>40</v>
      </c>
      <c r="J1582" s="2"/>
      <c r="K1582" s="2" t="s">
        <v>4289</v>
      </c>
      <c r="L1582" s="12">
        <v>58.0</v>
      </c>
      <c r="M1582" s="2" t="s">
        <v>4290</v>
      </c>
      <c r="N1582" s="2" t="str">
        <f>IFERROR(__xludf.DUMMYFUNCTION("""COMPUTED_VALUE"""),"")</f>
        <v/>
      </c>
    </row>
    <row r="1583">
      <c r="A1583" s="2" t="s">
        <v>33</v>
      </c>
      <c r="B1583" s="12">
        <v>1520678.0</v>
      </c>
      <c r="C1583" s="12">
        <v>1522210.0</v>
      </c>
      <c r="D1583" s="2"/>
      <c r="E1583" s="2" t="s">
        <v>38</v>
      </c>
      <c r="F1583" s="2" t="s">
        <v>4291</v>
      </c>
      <c r="G1583" s="2"/>
      <c r="H1583" s="12">
        <v>0.0</v>
      </c>
      <c r="I1583" s="2" t="s">
        <v>40</v>
      </c>
      <c r="J1583" s="2"/>
      <c r="K1583" s="2" t="s">
        <v>4292</v>
      </c>
      <c r="L1583" s="12">
        <v>510.0</v>
      </c>
      <c r="M1583" s="2" t="s">
        <v>4293</v>
      </c>
      <c r="N1583" s="2" t="str">
        <f>IFERROR(__xludf.DUMMYFUNCTION("""COMPUTED_VALUE"""),"")</f>
        <v/>
      </c>
    </row>
    <row r="1584">
      <c r="A1584" s="2" t="s">
        <v>33</v>
      </c>
      <c r="B1584" s="12">
        <v>1522372.0</v>
      </c>
      <c r="C1584" s="12">
        <v>1522800.0</v>
      </c>
      <c r="D1584" s="2"/>
      <c r="E1584" s="2" t="s">
        <v>38</v>
      </c>
      <c r="F1584" s="2" t="s">
        <v>39</v>
      </c>
      <c r="G1584" s="2"/>
      <c r="H1584" s="12">
        <v>0.0</v>
      </c>
      <c r="I1584" s="2" t="s">
        <v>40</v>
      </c>
      <c r="J1584" s="2"/>
      <c r="K1584" s="2" t="s">
        <v>4294</v>
      </c>
      <c r="L1584" s="12">
        <v>142.0</v>
      </c>
      <c r="M1584" s="2" t="s">
        <v>4295</v>
      </c>
      <c r="N1584" s="2" t="str">
        <f>IFERROR(__xludf.DUMMYFUNCTION("""COMPUTED_VALUE"""),"")</f>
        <v/>
      </c>
    </row>
    <row r="1585">
      <c r="A1585" s="2" t="s">
        <v>33</v>
      </c>
      <c r="B1585" s="12">
        <v>1522940.0</v>
      </c>
      <c r="C1585" s="12">
        <v>1523929.0</v>
      </c>
      <c r="D1585" s="2"/>
      <c r="E1585" s="2" t="s">
        <v>38</v>
      </c>
      <c r="F1585" s="2" t="s">
        <v>4296</v>
      </c>
      <c r="G1585" s="2"/>
      <c r="H1585" s="12">
        <v>0.0</v>
      </c>
      <c r="I1585" s="2" t="s">
        <v>40</v>
      </c>
      <c r="J1585" s="2"/>
      <c r="K1585" s="2" t="s">
        <v>4297</v>
      </c>
      <c r="L1585" s="12">
        <v>329.0</v>
      </c>
      <c r="M1585" s="2" t="s">
        <v>4298</v>
      </c>
      <c r="N1585" s="2" t="str">
        <f>IFERROR(__xludf.DUMMYFUNCTION("""COMPUTED_VALUE"""),"")</f>
        <v/>
      </c>
    </row>
    <row r="1586">
      <c r="A1586" s="2" t="s">
        <v>33</v>
      </c>
      <c r="B1586" s="12">
        <v>1523939.0</v>
      </c>
      <c r="C1586" s="12">
        <v>1524673.0</v>
      </c>
      <c r="D1586" s="2"/>
      <c r="E1586" s="2" t="s">
        <v>38</v>
      </c>
      <c r="F1586" s="2" t="s">
        <v>599</v>
      </c>
      <c r="G1586" s="2"/>
      <c r="H1586" s="12">
        <v>0.0</v>
      </c>
      <c r="I1586" s="2" t="s">
        <v>40</v>
      </c>
      <c r="J1586" s="2"/>
      <c r="K1586" s="2" t="s">
        <v>4299</v>
      </c>
      <c r="L1586" s="12">
        <v>244.0</v>
      </c>
      <c r="M1586" s="2" t="s">
        <v>4300</v>
      </c>
      <c r="N1586" s="2" t="str">
        <f>IFERROR(__xludf.DUMMYFUNCTION("""COMPUTED_VALUE"""),"")</f>
        <v/>
      </c>
    </row>
    <row r="1587">
      <c r="A1587" s="2" t="s">
        <v>33</v>
      </c>
      <c r="B1587" s="12">
        <v>1524883.0</v>
      </c>
      <c r="C1587" s="12">
        <v>1525011.0</v>
      </c>
      <c r="D1587" s="2"/>
      <c r="E1587" s="2" t="s">
        <v>34</v>
      </c>
      <c r="F1587" s="2" t="s">
        <v>4301</v>
      </c>
      <c r="G1587" s="2" t="s">
        <v>4302</v>
      </c>
      <c r="H1587" s="12">
        <v>0.0</v>
      </c>
      <c r="I1587" s="2" t="s">
        <v>40</v>
      </c>
      <c r="J1587" s="2"/>
      <c r="K1587" s="2" t="s">
        <v>4303</v>
      </c>
      <c r="L1587" s="12">
        <v>42.0</v>
      </c>
      <c r="M1587" s="2" t="s">
        <v>4304</v>
      </c>
      <c r="N1587" s="2" t="str">
        <f>IFERROR(__xludf.DUMMYFUNCTION("""COMPUTED_VALUE"""),"")</f>
        <v/>
      </c>
    </row>
    <row r="1588">
      <c r="A1588" s="2" t="s">
        <v>33</v>
      </c>
      <c r="B1588" s="12">
        <v>1525051.0</v>
      </c>
      <c r="C1588" s="12">
        <v>1526064.0</v>
      </c>
      <c r="D1588" s="2"/>
      <c r="E1588" s="2" t="s">
        <v>38</v>
      </c>
      <c r="F1588" s="2" t="s">
        <v>4305</v>
      </c>
      <c r="G1588" s="2"/>
      <c r="H1588" s="12">
        <v>0.0</v>
      </c>
      <c r="I1588" s="2" t="s">
        <v>40</v>
      </c>
      <c r="J1588" s="2"/>
      <c r="K1588" s="2" t="s">
        <v>4306</v>
      </c>
      <c r="L1588" s="12">
        <v>337.0</v>
      </c>
      <c r="M1588" s="2" t="s">
        <v>4307</v>
      </c>
      <c r="N1588" s="2" t="str">
        <f>IFERROR(__xludf.DUMMYFUNCTION("""COMPUTED_VALUE"""),"")</f>
        <v/>
      </c>
    </row>
    <row r="1589">
      <c r="A1589" s="2" t="s">
        <v>33</v>
      </c>
      <c r="B1589" s="12">
        <v>1526259.0</v>
      </c>
      <c r="C1589" s="12">
        <v>1526768.0</v>
      </c>
      <c r="D1589" s="2"/>
      <c r="E1589" s="2" t="s">
        <v>38</v>
      </c>
      <c r="F1589" s="2" t="s">
        <v>367</v>
      </c>
      <c r="G1589" s="2"/>
      <c r="H1589" s="12">
        <v>0.0</v>
      </c>
      <c r="I1589" s="2" t="s">
        <v>40</v>
      </c>
      <c r="J1589" s="2"/>
      <c r="K1589" s="2" t="s">
        <v>4308</v>
      </c>
      <c r="L1589" s="12">
        <v>169.0</v>
      </c>
      <c r="M1589" s="2" t="s">
        <v>4309</v>
      </c>
      <c r="N1589" s="2" t="str">
        <f>IFERROR(__xludf.DUMMYFUNCTION("""COMPUTED_VALUE"""),"")</f>
        <v/>
      </c>
    </row>
    <row r="1590">
      <c r="A1590" s="2" t="s">
        <v>33</v>
      </c>
      <c r="B1590" s="12">
        <v>1526902.0</v>
      </c>
      <c r="C1590" s="12">
        <v>1527255.0</v>
      </c>
      <c r="D1590" s="2"/>
      <c r="E1590" s="2" t="s">
        <v>34</v>
      </c>
      <c r="F1590" s="2" t="s">
        <v>2480</v>
      </c>
      <c r="G1590" s="2"/>
      <c r="H1590" s="12">
        <v>0.0</v>
      </c>
      <c r="I1590" s="2" t="s">
        <v>40</v>
      </c>
      <c r="J1590" s="2"/>
      <c r="K1590" s="2" t="s">
        <v>4310</v>
      </c>
      <c r="L1590" s="12">
        <v>117.0</v>
      </c>
      <c r="M1590" s="2" t="s">
        <v>4311</v>
      </c>
      <c r="N1590" s="2" t="str">
        <f>IFERROR(__xludf.DUMMYFUNCTION("""COMPUTED_VALUE"""),"")</f>
        <v/>
      </c>
    </row>
    <row r="1591">
      <c r="A1591" s="2" t="s">
        <v>33</v>
      </c>
      <c r="B1591" s="12">
        <v>1527282.0</v>
      </c>
      <c r="C1591" s="12">
        <v>1527587.0</v>
      </c>
      <c r="D1591" s="2"/>
      <c r="E1591" s="2" t="s">
        <v>38</v>
      </c>
      <c r="F1591" s="2" t="s">
        <v>2477</v>
      </c>
      <c r="G1591" s="2"/>
      <c r="H1591" s="12">
        <v>0.0</v>
      </c>
      <c r="I1591" s="2" t="s">
        <v>40</v>
      </c>
      <c r="J1591" s="2"/>
      <c r="K1591" s="2" t="s">
        <v>4312</v>
      </c>
      <c r="L1591" s="12">
        <v>101.0</v>
      </c>
      <c r="M1591" s="2" t="s">
        <v>4313</v>
      </c>
      <c r="N1591" s="2" t="str">
        <f>IFERROR(__xludf.DUMMYFUNCTION("""COMPUTED_VALUE"""),"")</f>
        <v/>
      </c>
    </row>
    <row r="1592">
      <c r="A1592" s="2" t="s">
        <v>33</v>
      </c>
      <c r="B1592" s="12">
        <v>1527592.0</v>
      </c>
      <c r="C1592" s="12">
        <v>1527804.0</v>
      </c>
      <c r="D1592" s="2"/>
      <c r="E1592" s="2" t="s">
        <v>38</v>
      </c>
      <c r="F1592" s="2" t="s">
        <v>39</v>
      </c>
      <c r="G1592" s="2"/>
      <c r="H1592" s="12">
        <v>0.0</v>
      </c>
      <c r="I1592" s="2" t="s">
        <v>40</v>
      </c>
      <c r="J1592" s="2"/>
      <c r="K1592" s="2" t="s">
        <v>4314</v>
      </c>
      <c r="L1592" s="12">
        <v>70.0</v>
      </c>
      <c r="M1592" s="2" t="s">
        <v>4315</v>
      </c>
      <c r="N1592" s="2" t="str">
        <f>IFERROR(__xludf.DUMMYFUNCTION("""COMPUTED_VALUE"""),"")</f>
        <v/>
      </c>
    </row>
    <row r="1593">
      <c r="A1593" s="2" t="s">
        <v>33</v>
      </c>
      <c r="B1593" s="12">
        <v>1527950.0</v>
      </c>
      <c r="C1593" s="12">
        <v>1531054.0</v>
      </c>
      <c r="D1593" s="2"/>
      <c r="E1593" s="2" t="s">
        <v>38</v>
      </c>
      <c r="F1593" s="2" t="s">
        <v>4316</v>
      </c>
      <c r="G1593" s="2"/>
      <c r="H1593" s="12">
        <v>0.0</v>
      </c>
      <c r="I1593" s="2" t="s">
        <v>40</v>
      </c>
      <c r="J1593" s="2"/>
      <c r="K1593" s="2" t="s">
        <v>4317</v>
      </c>
      <c r="L1593" s="12">
        <v>1034.0</v>
      </c>
      <c r="M1593" s="2" t="s">
        <v>4318</v>
      </c>
      <c r="N1593" s="2" t="str">
        <f>IFERROR(__xludf.DUMMYFUNCTION("""COMPUTED_VALUE"""),"")</f>
        <v/>
      </c>
    </row>
    <row r="1594">
      <c r="A1594" s="2" t="s">
        <v>33</v>
      </c>
      <c r="B1594" s="12">
        <v>1531272.0</v>
      </c>
      <c r="C1594" s="12">
        <v>1531844.0</v>
      </c>
      <c r="D1594" s="2"/>
      <c r="E1594" s="2" t="s">
        <v>38</v>
      </c>
      <c r="F1594" s="2" t="s">
        <v>427</v>
      </c>
      <c r="G1594" s="2"/>
      <c r="H1594" s="12">
        <v>0.0</v>
      </c>
      <c r="I1594" s="2" t="s">
        <v>40</v>
      </c>
      <c r="J1594" s="2"/>
      <c r="K1594" s="2" t="s">
        <v>4319</v>
      </c>
      <c r="L1594" s="12">
        <v>190.0</v>
      </c>
      <c r="M1594" s="2" t="s">
        <v>4320</v>
      </c>
      <c r="N1594" s="2" t="str">
        <f>IFERROR(__xludf.DUMMYFUNCTION("""COMPUTED_VALUE"""),"")</f>
        <v/>
      </c>
    </row>
    <row r="1595">
      <c r="A1595" s="2" t="s">
        <v>33</v>
      </c>
      <c r="B1595" s="12">
        <v>1532118.0</v>
      </c>
      <c r="C1595" s="12">
        <v>1534066.0</v>
      </c>
      <c r="D1595" s="2"/>
      <c r="E1595" s="2" t="s">
        <v>38</v>
      </c>
      <c r="F1595" s="2" t="s">
        <v>35</v>
      </c>
      <c r="G1595" s="2"/>
      <c r="H1595" s="12">
        <v>0.0</v>
      </c>
      <c r="I1595" s="2" t="s">
        <v>36</v>
      </c>
      <c r="J1595" s="2"/>
      <c r="K1595" s="2"/>
      <c r="L1595" s="2"/>
      <c r="M1595" s="2" t="s">
        <v>4321</v>
      </c>
      <c r="N1595" s="2" t="str">
        <f>IFERROR(__xludf.DUMMYFUNCTION("""COMPUTED_VALUE"""),"")</f>
        <v/>
      </c>
    </row>
    <row r="1596">
      <c r="A1596" s="2" t="s">
        <v>33</v>
      </c>
      <c r="B1596" s="12">
        <v>1534069.0</v>
      </c>
      <c r="C1596" s="12">
        <v>1534470.0</v>
      </c>
      <c r="D1596" s="2"/>
      <c r="E1596" s="2" t="s">
        <v>38</v>
      </c>
      <c r="F1596" s="2" t="s">
        <v>2466</v>
      </c>
      <c r="G1596" s="2"/>
      <c r="H1596" s="12">
        <v>0.0</v>
      </c>
      <c r="I1596" s="2" t="s">
        <v>40</v>
      </c>
      <c r="J1596" s="2"/>
      <c r="K1596" s="2" t="s">
        <v>4322</v>
      </c>
      <c r="L1596" s="12">
        <v>133.0</v>
      </c>
      <c r="M1596" s="2" t="s">
        <v>4323</v>
      </c>
      <c r="N1596" s="2" t="str">
        <f>IFERROR(__xludf.DUMMYFUNCTION("""COMPUTED_VALUE"""),"")</f>
        <v/>
      </c>
    </row>
    <row r="1597">
      <c r="A1597" s="2" t="s">
        <v>33</v>
      </c>
      <c r="B1597" s="12">
        <v>1534701.0</v>
      </c>
      <c r="C1597" s="12">
        <v>1535546.0</v>
      </c>
      <c r="D1597" s="2"/>
      <c r="E1597" s="2" t="s">
        <v>34</v>
      </c>
      <c r="F1597" s="2" t="s">
        <v>4324</v>
      </c>
      <c r="G1597" s="2"/>
      <c r="H1597" s="12">
        <v>0.0</v>
      </c>
      <c r="I1597" s="2" t="s">
        <v>40</v>
      </c>
      <c r="J1597" s="2"/>
      <c r="K1597" s="2" t="s">
        <v>4325</v>
      </c>
      <c r="L1597" s="12">
        <v>281.0</v>
      </c>
      <c r="M1597" s="2" t="s">
        <v>4326</v>
      </c>
      <c r="N1597" s="2" t="str">
        <f>IFERROR(__xludf.DUMMYFUNCTION("""COMPUTED_VALUE"""),"")</f>
        <v/>
      </c>
    </row>
    <row r="1598">
      <c r="A1598" s="2" t="s">
        <v>33</v>
      </c>
      <c r="B1598" s="12">
        <v>1535601.0</v>
      </c>
      <c r="C1598" s="12">
        <v>1535900.0</v>
      </c>
      <c r="D1598" s="2"/>
      <c r="E1598" s="2" t="s">
        <v>38</v>
      </c>
      <c r="F1598" s="2" t="s">
        <v>39</v>
      </c>
      <c r="G1598" s="2"/>
      <c r="H1598" s="12">
        <v>0.0</v>
      </c>
      <c r="I1598" s="2" t="s">
        <v>40</v>
      </c>
      <c r="J1598" s="2"/>
      <c r="K1598" s="2" t="s">
        <v>4327</v>
      </c>
      <c r="L1598" s="12">
        <v>99.0</v>
      </c>
      <c r="M1598" s="2" t="s">
        <v>4328</v>
      </c>
      <c r="N1598" s="2" t="str">
        <f>IFERROR(__xludf.DUMMYFUNCTION("""COMPUTED_VALUE"""),"")</f>
        <v/>
      </c>
    </row>
    <row r="1599">
      <c r="A1599" s="2" t="s">
        <v>33</v>
      </c>
      <c r="B1599" s="12">
        <v>1536034.0</v>
      </c>
      <c r="C1599" s="12">
        <v>1538400.0</v>
      </c>
      <c r="D1599" s="2"/>
      <c r="E1599" s="2" t="s">
        <v>38</v>
      </c>
      <c r="F1599" s="2" t="s">
        <v>4329</v>
      </c>
      <c r="G1599" s="2"/>
      <c r="H1599" s="12">
        <v>0.0</v>
      </c>
      <c r="I1599" s="2" t="s">
        <v>40</v>
      </c>
      <c r="J1599" s="2"/>
      <c r="K1599" s="2" t="s">
        <v>4330</v>
      </c>
      <c r="L1599" s="12">
        <v>788.0</v>
      </c>
      <c r="M1599" s="2" t="s">
        <v>4331</v>
      </c>
      <c r="N1599" s="2" t="str">
        <f>IFERROR(__xludf.DUMMYFUNCTION("""COMPUTED_VALUE"""),"")</f>
        <v/>
      </c>
    </row>
    <row r="1600">
      <c r="A1600" s="2" t="s">
        <v>33</v>
      </c>
      <c r="B1600" s="12">
        <v>1538642.0</v>
      </c>
      <c r="C1600" s="12">
        <v>1539994.0</v>
      </c>
      <c r="D1600" s="2"/>
      <c r="E1600" s="2" t="s">
        <v>34</v>
      </c>
      <c r="F1600" s="2" t="s">
        <v>4332</v>
      </c>
      <c r="G1600" s="2"/>
      <c r="H1600" s="12">
        <v>0.0</v>
      </c>
      <c r="I1600" s="2" t="s">
        <v>40</v>
      </c>
      <c r="J1600" s="2"/>
      <c r="K1600" s="2" t="s">
        <v>4333</v>
      </c>
      <c r="L1600" s="12">
        <v>450.0</v>
      </c>
      <c r="M1600" s="2" t="s">
        <v>4334</v>
      </c>
      <c r="N1600" s="2" t="str">
        <f>IFERROR(__xludf.DUMMYFUNCTION("""COMPUTED_VALUE"""),"")</f>
        <v/>
      </c>
    </row>
    <row r="1601">
      <c r="A1601" s="2" t="s">
        <v>33</v>
      </c>
      <c r="B1601" s="12">
        <v>1540051.0</v>
      </c>
      <c r="C1601" s="12">
        <v>1541472.0</v>
      </c>
      <c r="D1601" s="2"/>
      <c r="E1601" s="2" t="s">
        <v>38</v>
      </c>
      <c r="F1601" s="2" t="s">
        <v>728</v>
      </c>
      <c r="G1601" s="2" t="s">
        <v>4335</v>
      </c>
      <c r="H1601" s="12">
        <v>0.0</v>
      </c>
      <c r="I1601" s="2" t="s">
        <v>40</v>
      </c>
      <c r="J1601" s="2"/>
      <c r="K1601" s="2" t="s">
        <v>4336</v>
      </c>
      <c r="L1601" s="12">
        <v>473.0</v>
      </c>
      <c r="M1601" s="2" t="s">
        <v>4337</v>
      </c>
      <c r="N1601" s="2" t="str">
        <f>IFERROR(__xludf.DUMMYFUNCTION("""COMPUTED_VALUE"""),"")</f>
        <v/>
      </c>
    </row>
    <row r="1602">
      <c r="A1602" s="2" t="s">
        <v>33</v>
      </c>
      <c r="B1602" s="12">
        <v>1541492.0</v>
      </c>
      <c r="C1602" s="12">
        <v>1542427.0</v>
      </c>
      <c r="D1602" s="2"/>
      <c r="E1602" s="2" t="s">
        <v>38</v>
      </c>
      <c r="F1602" s="2" t="s">
        <v>4109</v>
      </c>
      <c r="G1602" s="2" t="s">
        <v>4110</v>
      </c>
      <c r="H1602" s="12">
        <v>0.0</v>
      </c>
      <c r="I1602" s="2" t="s">
        <v>40</v>
      </c>
      <c r="J1602" s="2"/>
      <c r="K1602" s="2" t="s">
        <v>4338</v>
      </c>
      <c r="L1602" s="12">
        <v>311.0</v>
      </c>
      <c r="M1602" s="2" t="s">
        <v>4339</v>
      </c>
      <c r="N1602" s="2" t="str">
        <f>IFERROR(__xludf.DUMMYFUNCTION("""COMPUTED_VALUE"""),"")</f>
        <v/>
      </c>
    </row>
    <row r="1603">
      <c r="A1603" s="2" t="s">
        <v>33</v>
      </c>
      <c r="B1603" s="12">
        <v>1542442.0</v>
      </c>
      <c r="C1603" s="12">
        <v>1543488.0</v>
      </c>
      <c r="D1603" s="2"/>
      <c r="E1603" s="2" t="s">
        <v>38</v>
      </c>
      <c r="F1603" s="2" t="s">
        <v>4340</v>
      </c>
      <c r="G1603" s="2" t="s">
        <v>4341</v>
      </c>
      <c r="H1603" s="12">
        <v>0.0</v>
      </c>
      <c r="I1603" s="2" t="s">
        <v>40</v>
      </c>
      <c r="J1603" s="2"/>
      <c r="K1603" s="2" t="s">
        <v>4342</v>
      </c>
      <c r="L1603" s="12">
        <v>348.0</v>
      </c>
      <c r="M1603" s="2" t="s">
        <v>4343</v>
      </c>
      <c r="N1603" s="2" t="str">
        <f>IFERROR(__xludf.DUMMYFUNCTION("""COMPUTED_VALUE"""),"")</f>
        <v/>
      </c>
    </row>
    <row r="1604">
      <c r="A1604" s="2" t="s">
        <v>33</v>
      </c>
      <c r="B1604" s="12">
        <v>1543666.0</v>
      </c>
      <c r="C1604" s="12">
        <v>1545783.0</v>
      </c>
      <c r="D1604" s="2"/>
      <c r="E1604" s="2" t="s">
        <v>38</v>
      </c>
      <c r="F1604" s="2" t="s">
        <v>3260</v>
      </c>
      <c r="G1604" s="2"/>
      <c r="H1604" s="12">
        <v>0.0</v>
      </c>
      <c r="I1604" s="2" t="s">
        <v>40</v>
      </c>
      <c r="J1604" s="2"/>
      <c r="K1604" s="2" t="s">
        <v>4344</v>
      </c>
      <c r="L1604" s="12">
        <v>705.0</v>
      </c>
      <c r="M1604" s="2" t="s">
        <v>4345</v>
      </c>
      <c r="N1604" s="2" t="str">
        <f>IFERROR(__xludf.DUMMYFUNCTION("""COMPUTED_VALUE"""),"")</f>
        <v/>
      </c>
    </row>
    <row r="1605">
      <c r="A1605" s="2" t="s">
        <v>33</v>
      </c>
      <c r="B1605" s="12">
        <v>1545911.0</v>
      </c>
      <c r="C1605" s="12">
        <v>1546408.0</v>
      </c>
      <c r="D1605" s="2"/>
      <c r="E1605" s="2" t="s">
        <v>34</v>
      </c>
      <c r="F1605" s="2" t="s">
        <v>4346</v>
      </c>
      <c r="G1605" s="2" t="s">
        <v>4347</v>
      </c>
      <c r="H1605" s="12">
        <v>0.0</v>
      </c>
      <c r="I1605" s="2" t="s">
        <v>40</v>
      </c>
      <c r="J1605" s="2"/>
      <c r="K1605" s="2" t="s">
        <v>4348</v>
      </c>
      <c r="L1605" s="12">
        <v>165.0</v>
      </c>
      <c r="M1605" s="2" t="s">
        <v>4349</v>
      </c>
      <c r="N1605" s="2" t="str">
        <f>IFERROR(__xludf.DUMMYFUNCTION("""COMPUTED_VALUE"""),"")</f>
        <v/>
      </c>
    </row>
    <row r="1606">
      <c r="A1606" s="2" t="s">
        <v>33</v>
      </c>
      <c r="B1606" s="12">
        <v>1546620.0</v>
      </c>
      <c r="C1606" s="12">
        <v>1548035.0</v>
      </c>
      <c r="D1606" s="2"/>
      <c r="E1606" s="2" t="s">
        <v>38</v>
      </c>
      <c r="F1606" s="2" t="s">
        <v>2480</v>
      </c>
      <c r="G1606" s="2"/>
      <c r="H1606" s="12">
        <v>0.0</v>
      </c>
      <c r="I1606" s="2" t="s">
        <v>40</v>
      </c>
      <c r="J1606" s="2"/>
      <c r="K1606" s="2" t="s">
        <v>4350</v>
      </c>
      <c r="L1606" s="12">
        <v>471.0</v>
      </c>
      <c r="M1606" s="2" t="s">
        <v>4351</v>
      </c>
      <c r="N1606" s="2" t="str">
        <f>IFERROR(__xludf.DUMMYFUNCTION("""COMPUTED_VALUE"""),"")</f>
        <v/>
      </c>
    </row>
    <row r="1607">
      <c r="A1607" s="2" t="s">
        <v>33</v>
      </c>
      <c r="B1607" s="12">
        <v>1548028.0</v>
      </c>
      <c r="C1607" s="12">
        <v>1548504.0</v>
      </c>
      <c r="D1607" s="2"/>
      <c r="E1607" s="2" t="s">
        <v>38</v>
      </c>
      <c r="F1607" s="2" t="s">
        <v>2480</v>
      </c>
      <c r="G1607" s="2"/>
      <c r="H1607" s="12">
        <v>0.0</v>
      </c>
      <c r="I1607" s="2" t="s">
        <v>40</v>
      </c>
      <c r="J1607" s="2"/>
      <c r="K1607" s="2" t="s">
        <v>4352</v>
      </c>
      <c r="L1607" s="12">
        <v>158.0</v>
      </c>
      <c r="M1607" s="2" t="s">
        <v>4353</v>
      </c>
      <c r="N1607" s="2" t="str">
        <f>IFERROR(__xludf.DUMMYFUNCTION("""COMPUTED_VALUE"""),"")</f>
        <v/>
      </c>
    </row>
    <row r="1608">
      <c r="A1608" s="2" t="s">
        <v>33</v>
      </c>
      <c r="B1608" s="12">
        <v>1548735.0</v>
      </c>
      <c r="C1608" s="12">
        <v>1549676.0</v>
      </c>
      <c r="D1608" s="2"/>
      <c r="E1608" s="2" t="s">
        <v>38</v>
      </c>
      <c r="F1608" s="2" t="s">
        <v>738</v>
      </c>
      <c r="G1608" s="2"/>
      <c r="H1608" s="12">
        <v>0.0</v>
      </c>
      <c r="I1608" s="2" t="s">
        <v>40</v>
      </c>
      <c r="J1608" s="2"/>
      <c r="K1608" s="2" t="s">
        <v>4354</v>
      </c>
      <c r="L1608" s="12">
        <v>313.0</v>
      </c>
      <c r="M1608" s="2" t="s">
        <v>4355</v>
      </c>
      <c r="N1608" s="2" t="str">
        <f>IFERROR(__xludf.DUMMYFUNCTION("""COMPUTED_VALUE"""),"")</f>
        <v/>
      </c>
    </row>
    <row r="1609">
      <c r="A1609" s="2" t="s">
        <v>33</v>
      </c>
      <c r="B1609" s="12">
        <v>1549766.0</v>
      </c>
      <c r="C1609" s="12">
        <v>1550512.0</v>
      </c>
      <c r="D1609" s="2"/>
      <c r="E1609" s="2" t="s">
        <v>38</v>
      </c>
      <c r="F1609" s="2" t="s">
        <v>2487</v>
      </c>
      <c r="G1609" s="2"/>
      <c r="H1609" s="12">
        <v>0.0</v>
      </c>
      <c r="I1609" s="2" t="s">
        <v>40</v>
      </c>
      <c r="J1609" s="2"/>
      <c r="K1609" s="2" t="s">
        <v>4356</v>
      </c>
      <c r="L1609" s="12">
        <v>248.0</v>
      </c>
      <c r="M1609" s="2" t="s">
        <v>4357</v>
      </c>
      <c r="N1609" s="2" t="str">
        <f>IFERROR(__xludf.DUMMYFUNCTION("""COMPUTED_VALUE"""),"")</f>
        <v/>
      </c>
    </row>
    <row r="1610">
      <c r="A1610" s="2" t="s">
        <v>33</v>
      </c>
      <c r="B1610" s="12">
        <v>1550509.0</v>
      </c>
      <c r="C1610" s="12">
        <v>1551246.0</v>
      </c>
      <c r="D1610" s="2"/>
      <c r="E1610" s="2" t="s">
        <v>38</v>
      </c>
      <c r="F1610" s="2" t="s">
        <v>4358</v>
      </c>
      <c r="G1610" s="2"/>
      <c r="H1610" s="12">
        <v>0.0</v>
      </c>
      <c r="I1610" s="2" t="s">
        <v>40</v>
      </c>
      <c r="J1610" s="2"/>
      <c r="K1610" s="2" t="s">
        <v>4359</v>
      </c>
      <c r="L1610" s="12">
        <v>245.0</v>
      </c>
      <c r="M1610" s="2" t="s">
        <v>4360</v>
      </c>
      <c r="N1610" s="2" t="str">
        <f>IFERROR(__xludf.DUMMYFUNCTION("""COMPUTED_VALUE"""),"")</f>
        <v/>
      </c>
    </row>
    <row r="1611">
      <c r="A1611" s="2" t="s">
        <v>33</v>
      </c>
      <c r="B1611" s="12">
        <v>1551725.0</v>
      </c>
      <c r="C1611" s="12">
        <v>1559059.0</v>
      </c>
      <c r="D1611" s="2"/>
      <c r="E1611" s="2" t="s">
        <v>38</v>
      </c>
      <c r="F1611" s="2" t="s">
        <v>350</v>
      </c>
      <c r="G1611" s="2"/>
      <c r="H1611" s="12">
        <v>0.0</v>
      </c>
      <c r="I1611" s="2" t="s">
        <v>40</v>
      </c>
      <c r="J1611" s="2"/>
      <c r="K1611" s="2" t="s">
        <v>4361</v>
      </c>
      <c r="L1611" s="12">
        <v>2444.0</v>
      </c>
      <c r="M1611" s="2" t="s">
        <v>4362</v>
      </c>
      <c r="N1611" s="2" t="str">
        <f>IFERROR(__xludf.DUMMYFUNCTION("""COMPUTED_VALUE"""),"")</f>
        <v/>
      </c>
    </row>
    <row r="1612">
      <c r="A1612" s="2" t="s">
        <v>33</v>
      </c>
      <c r="B1612" s="12">
        <v>1559384.0</v>
      </c>
      <c r="C1612" s="12">
        <v>1559920.0</v>
      </c>
      <c r="D1612" s="2"/>
      <c r="E1612" s="2" t="s">
        <v>38</v>
      </c>
      <c r="F1612" s="2" t="s">
        <v>427</v>
      </c>
      <c r="G1612" s="2"/>
      <c r="H1612" s="12">
        <v>0.0</v>
      </c>
      <c r="I1612" s="2" t="s">
        <v>40</v>
      </c>
      <c r="J1612" s="2"/>
      <c r="K1612" s="2" t="s">
        <v>4363</v>
      </c>
      <c r="L1612" s="12">
        <v>178.0</v>
      </c>
      <c r="M1612" s="2" t="s">
        <v>4364</v>
      </c>
      <c r="N1612" s="2" t="str">
        <f>IFERROR(__xludf.DUMMYFUNCTION("""COMPUTED_VALUE"""),"")</f>
        <v/>
      </c>
    </row>
    <row r="1613">
      <c r="A1613" s="2" t="s">
        <v>33</v>
      </c>
      <c r="B1613" s="12">
        <v>1560259.0</v>
      </c>
      <c r="C1613" s="12">
        <v>1560525.0</v>
      </c>
      <c r="D1613" s="2"/>
      <c r="E1613" s="2" t="s">
        <v>38</v>
      </c>
      <c r="F1613" s="2" t="s">
        <v>4365</v>
      </c>
      <c r="G1613" s="2"/>
      <c r="H1613" s="12">
        <v>0.0</v>
      </c>
      <c r="I1613" s="2" t="s">
        <v>40</v>
      </c>
      <c r="J1613" s="2"/>
      <c r="K1613" s="2" t="s">
        <v>4366</v>
      </c>
      <c r="L1613" s="12">
        <v>88.0</v>
      </c>
      <c r="M1613" s="2" t="s">
        <v>4367</v>
      </c>
      <c r="N1613" s="2" t="str">
        <f>IFERROR(__xludf.DUMMYFUNCTION("""COMPUTED_VALUE"""),"")</f>
        <v/>
      </c>
    </row>
    <row r="1614">
      <c r="A1614" s="2" t="s">
        <v>33</v>
      </c>
      <c r="B1614" s="12">
        <v>1560522.0</v>
      </c>
      <c r="C1614" s="12">
        <v>1560965.0</v>
      </c>
      <c r="D1614" s="2"/>
      <c r="E1614" s="2" t="s">
        <v>38</v>
      </c>
      <c r="F1614" s="2" t="s">
        <v>39</v>
      </c>
      <c r="G1614" s="2"/>
      <c r="H1614" s="12">
        <v>0.0</v>
      </c>
      <c r="I1614" s="2" t="s">
        <v>40</v>
      </c>
      <c r="J1614" s="2"/>
      <c r="K1614" s="2" t="s">
        <v>4368</v>
      </c>
      <c r="L1614" s="12">
        <v>147.0</v>
      </c>
      <c r="M1614" s="2" t="s">
        <v>4369</v>
      </c>
      <c r="N1614" s="2" t="str">
        <f>IFERROR(__xludf.DUMMYFUNCTION("""COMPUTED_VALUE"""),"")</f>
        <v/>
      </c>
    </row>
    <row r="1615">
      <c r="A1615" s="2" t="s">
        <v>33</v>
      </c>
      <c r="B1615" s="12">
        <v>1561052.0</v>
      </c>
      <c r="C1615" s="12">
        <v>1562503.0</v>
      </c>
      <c r="D1615" s="2"/>
      <c r="E1615" s="2" t="s">
        <v>38</v>
      </c>
      <c r="F1615" s="2" t="s">
        <v>2480</v>
      </c>
      <c r="G1615" s="2"/>
      <c r="H1615" s="12">
        <v>0.0</v>
      </c>
      <c r="I1615" s="2" t="s">
        <v>40</v>
      </c>
      <c r="J1615" s="2"/>
      <c r="K1615" s="2" t="s">
        <v>4370</v>
      </c>
      <c r="L1615" s="12">
        <v>483.0</v>
      </c>
      <c r="M1615" s="2" t="s">
        <v>4371</v>
      </c>
      <c r="N1615" s="2" t="str">
        <f>IFERROR(__xludf.DUMMYFUNCTION("""COMPUTED_VALUE"""),"")</f>
        <v/>
      </c>
    </row>
    <row r="1616">
      <c r="A1616" s="2" t="s">
        <v>33</v>
      </c>
      <c r="B1616" s="12">
        <v>1562496.0</v>
      </c>
      <c r="C1616" s="12">
        <v>1562972.0</v>
      </c>
      <c r="D1616" s="2"/>
      <c r="E1616" s="2" t="s">
        <v>38</v>
      </c>
      <c r="F1616" s="2" t="s">
        <v>2480</v>
      </c>
      <c r="G1616" s="2"/>
      <c r="H1616" s="12">
        <v>0.0</v>
      </c>
      <c r="I1616" s="2" t="s">
        <v>40</v>
      </c>
      <c r="J1616" s="2"/>
      <c r="K1616" s="2" t="s">
        <v>4372</v>
      </c>
      <c r="L1616" s="12">
        <v>158.0</v>
      </c>
      <c r="M1616" s="2" t="s">
        <v>4373</v>
      </c>
      <c r="N1616" s="2" t="str">
        <f>IFERROR(__xludf.DUMMYFUNCTION("""COMPUTED_VALUE"""),"")</f>
        <v/>
      </c>
    </row>
    <row r="1617">
      <c r="A1617" s="2" t="s">
        <v>33</v>
      </c>
      <c r="B1617" s="12">
        <v>1563052.0</v>
      </c>
      <c r="C1617" s="12">
        <v>1563219.0</v>
      </c>
      <c r="D1617" s="2"/>
      <c r="E1617" s="2" t="s">
        <v>38</v>
      </c>
      <c r="F1617" s="2" t="s">
        <v>39</v>
      </c>
      <c r="G1617" s="2"/>
      <c r="H1617" s="12">
        <v>0.0</v>
      </c>
      <c r="I1617" s="2" t="s">
        <v>40</v>
      </c>
      <c r="J1617" s="2"/>
      <c r="K1617" s="2" t="s">
        <v>4374</v>
      </c>
      <c r="L1617" s="12">
        <v>55.0</v>
      </c>
      <c r="M1617" s="2" t="s">
        <v>4375</v>
      </c>
      <c r="N1617" s="2" t="str">
        <f>IFERROR(__xludf.DUMMYFUNCTION("""COMPUTED_VALUE"""),"")</f>
        <v/>
      </c>
    </row>
    <row r="1618">
      <c r="A1618" s="2" t="s">
        <v>33</v>
      </c>
      <c r="B1618" s="12">
        <v>1563222.0</v>
      </c>
      <c r="C1618" s="12">
        <v>1563803.0</v>
      </c>
      <c r="D1618" s="2"/>
      <c r="E1618" s="2" t="s">
        <v>38</v>
      </c>
      <c r="F1618" s="2" t="s">
        <v>427</v>
      </c>
      <c r="G1618" s="2"/>
      <c r="H1618" s="12">
        <v>0.0</v>
      </c>
      <c r="I1618" s="2" t="s">
        <v>40</v>
      </c>
      <c r="J1618" s="2"/>
      <c r="K1618" s="2" t="s">
        <v>4376</v>
      </c>
      <c r="L1618" s="12">
        <v>193.0</v>
      </c>
      <c r="M1618" s="2" t="s">
        <v>4377</v>
      </c>
      <c r="N1618" s="2" t="str">
        <f>IFERROR(__xludf.DUMMYFUNCTION("""COMPUTED_VALUE"""),"")</f>
        <v/>
      </c>
    </row>
    <row r="1619">
      <c r="A1619" s="2" t="s">
        <v>33</v>
      </c>
      <c r="B1619" s="12">
        <v>1563959.0</v>
      </c>
      <c r="C1619" s="12">
        <v>1564084.0</v>
      </c>
      <c r="D1619" s="2"/>
      <c r="E1619" s="2" t="s">
        <v>34</v>
      </c>
      <c r="F1619" s="2" t="s">
        <v>560</v>
      </c>
      <c r="G1619" s="2"/>
      <c r="H1619" s="12">
        <v>0.0</v>
      </c>
      <c r="I1619" s="2" t="s">
        <v>40</v>
      </c>
      <c r="J1619" s="2"/>
      <c r="K1619" s="2" t="s">
        <v>4378</v>
      </c>
      <c r="L1619" s="12">
        <v>41.0</v>
      </c>
      <c r="M1619" s="2" t="s">
        <v>4379</v>
      </c>
      <c r="N1619" s="2" t="str">
        <f>IFERROR(__xludf.DUMMYFUNCTION("""COMPUTED_VALUE"""),"")</f>
        <v/>
      </c>
    </row>
    <row r="1620">
      <c r="A1620" s="2" t="s">
        <v>33</v>
      </c>
      <c r="B1620" s="12">
        <v>1564125.0</v>
      </c>
      <c r="C1620" s="12">
        <v>1564832.0</v>
      </c>
      <c r="D1620" s="2"/>
      <c r="E1620" s="2" t="s">
        <v>38</v>
      </c>
      <c r="F1620" s="2" t="s">
        <v>4380</v>
      </c>
      <c r="G1620" s="2" t="s">
        <v>4381</v>
      </c>
      <c r="H1620" s="12">
        <v>0.0</v>
      </c>
      <c r="I1620" s="2" t="s">
        <v>40</v>
      </c>
      <c r="J1620" s="2"/>
      <c r="K1620" s="2" t="s">
        <v>4382</v>
      </c>
      <c r="L1620" s="12">
        <v>235.0</v>
      </c>
      <c r="M1620" s="2" t="s">
        <v>4383</v>
      </c>
      <c r="N1620" s="2" t="str">
        <f>IFERROR(__xludf.DUMMYFUNCTION("""COMPUTED_VALUE"""),"")</f>
        <v/>
      </c>
    </row>
    <row r="1621">
      <c r="A1621" s="2" t="s">
        <v>33</v>
      </c>
      <c r="B1621" s="12">
        <v>1564846.0</v>
      </c>
      <c r="C1621" s="12">
        <v>1566057.0</v>
      </c>
      <c r="D1621" s="2"/>
      <c r="E1621" s="2" t="s">
        <v>38</v>
      </c>
      <c r="F1621" s="2" t="s">
        <v>4384</v>
      </c>
      <c r="G1621" s="2" t="s">
        <v>4385</v>
      </c>
      <c r="H1621" s="12">
        <v>0.0</v>
      </c>
      <c r="I1621" s="2" t="s">
        <v>40</v>
      </c>
      <c r="J1621" s="2"/>
      <c r="K1621" s="2" t="s">
        <v>4386</v>
      </c>
      <c r="L1621" s="12">
        <v>403.0</v>
      </c>
      <c r="M1621" s="2" t="s">
        <v>4387</v>
      </c>
      <c r="N1621" s="2" t="str">
        <f>IFERROR(__xludf.DUMMYFUNCTION("""COMPUTED_VALUE"""),"")</f>
        <v/>
      </c>
    </row>
    <row r="1622">
      <c r="A1622" s="2" t="s">
        <v>33</v>
      </c>
      <c r="B1622" s="12">
        <v>1566050.0</v>
      </c>
      <c r="C1622" s="12">
        <v>1566793.0</v>
      </c>
      <c r="D1622" s="2"/>
      <c r="E1622" s="2" t="s">
        <v>38</v>
      </c>
      <c r="F1622" s="2" t="s">
        <v>4388</v>
      </c>
      <c r="G1622" s="2" t="s">
        <v>4389</v>
      </c>
      <c r="H1622" s="12">
        <v>0.0</v>
      </c>
      <c r="I1622" s="2" t="s">
        <v>40</v>
      </c>
      <c r="J1622" s="2"/>
      <c r="K1622" s="2" t="s">
        <v>4390</v>
      </c>
      <c r="L1622" s="12">
        <v>247.0</v>
      </c>
      <c r="M1622" s="2" t="s">
        <v>4391</v>
      </c>
      <c r="N1622" s="2" t="str">
        <f>IFERROR(__xludf.DUMMYFUNCTION("""COMPUTED_VALUE"""),"")</f>
        <v/>
      </c>
    </row>
    <row r="1623">
      <c r="A1623" s="2" t="s">
        <v>33</v>
      </c>
      <c r="B1623" s="12">
        <v>1567355.0</v>
      </c>
      <c r="C1623" s="12">
        <v>1567789.0</v>
      </c>
      <c r="D1623" s="2"/>
      <c r="E1623" s="2" t="s">
        <v>34</v>
      </c>
      <c r="F1623" s="2" t="s">
        <v>4392</v>
      </c>
      <c r="G1623" s="2"/>
      <c r="H1623" s="12">
        <v>0.0</v>
      </c>
      <c r="I1623" s="2" t="s">
        <v>40</v>
      </c>
      <c r="J1623" s="2"/>
      <c r="K1623" s="2" t="s">
        <v>4393</v>
      </c>
      <c r="L1623" s="12">
        <v>144.0</v>
      </c>
      <c r="M1623" s="2" t="s">
        <v>4394</v>
      </c>
      <c r="N1623" s="2" t="str">
        <f>IFERROR(__xludf.DUMMYFUNCTION("""COMPUTED_VALUE"""),"")</f>
        <v/>
      </c>
    </row>
    <row r="1624">
      <c r="A1624" s="2" t="s">
        <v>33</v>
      </c>
      <c r="B1624" s="12">
        <v>1567970.0</v>
      </c>
      <c r="C1624" s="12">
        <v>1568332.0</v>
      </c>
      <c r="D1624" s="2"/>
      <c r="E1624" s="2" t="s">
        <v>34</v>
      </c>
      <c r="F1624" s="2" t="s">
        <v>4395</v>
      </c>
      <c r="G1624" s="2"/>
      <c r="H1624" s="12">
        <v>0.0</v>
      </c>
      <c r="I1624" s="2" t="s">
        <v>40</v>
      </c>
      <c r="J1624" s="2"/>
      <c r="K1624" s="2" t="s">
        <v>4396</v>
      </c>
      <c r="L1624" s="12">
        <v>120.0</v>
      </c>
      <c r="M1624" s="2" t="s">
        <v>4397</v>
      </c>
      <c r="N1624" s="2" t="str">
        <f>IFERROR(__xludf.DUMMYFUNCTION("""COMPUTED_VALUE"""),"")</f>
        <v/>
      </c>
    </row>
    <row r="1625">
      <c r="A1625" s="2" t="s">
        <v>33</v>
      </c>
      <c r="B1625" s="12">
        <v>1568631.0</v>
      </c>
      <c r="C1625" s="12">
        <v>1569188.0</v>
      </c>
      <c r="D1625" s="2"/>
      <c r="E1625" s="2" t="s">
        <v>34</v>
      </c>
      <c r="F1625" s="2" t="s">
        <v>4398</v>
      </c>
      <c r="G1625" s="2"/>
      <c r="H1625" s="12">
        <v>0.0</v>
      </c>
      <c r="I1625" s="2" t="s">
        <v>40</v>
      </c>
      <c r="J1625" s="2"/>
      <c r="K1625" s="2" t="s">
        <v>4399</v>
      </c>
      <c r="L1625" s="12">
        <v>185.0</v>
      </c>
      <c r="M1625" s="2" t="s">
        <v>4400</v>
      </c>
      <c r="N1625" s="2" t="str">
        <f>IFERROR(__xludf.DUMMYFUNCTION("""COMPUTED_VALUE"""),"")</f>
        <v/>
      </c>
    </row>
    <row r="1626">
      <c r="A1626" s="2" t="s">
        <v>33</v>
      </c>
      <c r="B1626" s="12">
        <v>1569194.0</v>
      </c>
      <c r="C1626" s="12">
        <v>1569529.0</v>
      </c>
      <c r="D1626" s="2"/>
      <c r="E1626" s="2" t="s">
        <v>38</v>
      </c>
      <c r="F1626" s="2" t="s">
        <v>4401</v>
      </c>
      <c r="G1626" s="2"/>
      <c r="H1626" s="12">
        <v>0.0</v>
      </c>
      <c r="I1626" s="2" t="s">
        <v>40</v>
      </c>
      <c r="J1626" s="2"/>
      <c r="K1626" s="2" t="s">
        <v>4402</v>
      </c>
      <c r="L1626" s="12">
        <v>111.0</v>
      </c>
      <c r="M1626" s="2" t="s">
        <v>4403</v>
      </c>
      <c r="N1626" s="2" t="str">
        <f>IFERROR(__xludf.DUMMYFUNCTION("""COMPUTED_VALUE"""),"")</f>
        <v/>
      </c>
    </row>
    <row r="1627">
      <c r="A1627" s="2" t="s">
        <v>33</v>
      </c>
      <c r="B1627" s="12">
        <v>1569645.0</v>
      </c>
      <c r="C1627" s="12">
        <v>1569839.0</v>
      </c>
      <c r="D1627" s="2"/>
      <c r="E1627" s="2" t="s">
        <v>34</v>
      </c>
      <c r="F1627" s="2" t="s">
        <v>39</v>
      </c>
      <c r="G1627" s="2"/>
      <c r="H1627" s="12">
        <v>0.0</v>
      </c>
      <c r="I1627" s="2" t="s">
        <v>40</v>
      </c>
      <c r="J1627" s="2"/>
      <c r="K1627" s="2" t="s">
        <v>4404</v>
      </c>
      <c r="L1627" s="12">
        <v>64.0</v>
      </c>
      <c r="M1627" s="2" t="s">
        <v>4405</v>
      </c>
      <c r="N1627" s="2" t="str">
        <f>IFERROR(__xludf.DUMMYFUNCTION("""COMPUTED_VALUE"""),"")</f>
        <v/>
      </c>
    </row>
    <row r="1628">
      <c r="A1628" s="2" t="s">
        <v>33</v>
      </c>
      <c r="B1628" s="12">
        <v>1570263.0</v>
      </c>
      <c r="C1628" s="12">
        <v>1571123.0</v>
      </c>
      <c r="D1628" s="2"/>
      <c r="E1628" s="2" t="s">
        <v>34</v>
      </c>
      <c r="F1628" s="2" t="s">
        <v>934</v>
      </c>
      <c r="G1628" s="2" t="s">
        <v>4088</v>
      </c>
      <c r="H1628" s="12">
        <v>0.0</v>
      </c>
      <c r="I1628" s="2" t="s">
        <v>40</v>
      </c>
      <c r="J1628" s="2"/>
      <c r="K1628" s="2" t="s">
        <v>4406</v>
      </c>
      <c r="L1628" s="12">
        <v>286.0</v>
      </c>
      <c r="M1628" s="2" t="s">
        <v>4407</v>
      </c>
      <c r="N1628" s="2" t="str">
        <f>IFERROR(__xludf.DUMMYFUNCTION("""COMPUTED_VALUE"""),"")</f>
        <v/>
      </c>
    </row>
    <row r="1629">
      <c r="A1629" s="2" t="s">
        <v>33</v>
      </c>
      <c r="B1629" s="12">
        <v>1571206.0</v>
      </c>
      <c r="C1629" s="12">
        <v>1571451.0</v>
      </c>
      <c r="D1629" s="2"/>
      <c r="E1629" s="2" t="s">
        <v>38</v>
      </c>
      <c r="F1629" s="2" t="s">
        <v>39</v>
      </c>
      <c r="G1629" s="2"/>
      <c r="H1629" s="12">
        <v>0.0</v>
      </c>
      <c r="I1629" s="2" t="s">
        <v>40</v>
      </c>
      <c r="J1629" s="2"/>
      <c r="K1629" s="2" t="s">
        <v>4408</v>
      </c>
      <c r="L1629" s="12">
        <v>81.0</v>
      </c>
      <c r="M1629" s="2" t="s">
        <v>4409</v>
      </c>
      <c r="N1629" s="2" t="str">
        <f>IFERROR(__xludf.DUMMYFUNCTION("""COMPUTED_VALUE"""),"")</f>
        <v/>
      </c>
    </row>
    <row r="1630">
      <c r="A1630" s="2" t="s">
        <v>33</v>
      </c>
      <c r="B1630" s="12">
        <v>1571732.0</v>
      </c>
      <c r="C1630" s="12">
        <v>1574065.0</v>
      </c>
      <c r="D1630" s="2"/>
      <c r="E1630" s="2" t="s">
        <v>34</v>
      </c>
      <c r="F1630" s="2" t="s">
        <v>4410</v>
      </c>
      <c r="G1630" s="2" t="s">
        <v>4411</v>
      </c>
      <c r="H1630" s="12">
        <v>0.0</v>
      </c>
      <c r="I1630" s="2" t="s">
        <v>40</v>
      </c>
      <c r="J1630" s="2"/>
      <c r="K1630" s="2" t="s">
        <v>4412</v>
      </c>
      <c r="L1630" s="12">
        <v>777.0</v>
      </c>
      <c r="M1630" s="2" t="s">
        <v>4413</v>
      </c>
      <c r="N1630" s="2" t="str">
        <f>IFERROR(__xludf.DUMMYFUNCTION("""COMPUTED_VALUE"""),"")</f>
        <v/>
      </c>
    </row>
    <row r="1631">
      <c r="A1631" s="2" t="s">
        <v>33</v>
      </c>
      <c r="B1631" s="12">
        <v>1574154.0</v>
      </c>
      <c r="C1631" s="12">
        <v>1574717.0</v>
      </c>
      <c r="D1631" s="2"/>
      <c r="E1631" s="2" t="s">
        <v>34</v>
      </c>
      <c r="F1631" s="2" t="s">
        <v>39</v>
      </c>
      <c r="G1631" s="2"/>
      <c r="H1631" s="12">
        <v>0.0</v>
      </c>
      <c r="I1631" s="2" t="s">
        <v>40</v>
      </c>
      <c r="J1631" s="2"/>
      <c r="K1631" s="2" t="s">
        <v>4414</v>
      </c>
      <c r="L1631" s="12">
        <v>187.0</v>
      </c>
      <c r="M1631" s="2" t="s">
        <v>4415</v>
      </c>
      <c r="N1631" s="2" t="str">
        <f>IFERROR(__xludf.DUMMYFUNCTION("""COMPUTED_VALUE"""),"")</f>
        <v/>
      </c>
    </row>
    <row r="1632">
      <c r="A1632" s="2" t="s">
        <v>33</v>
      </c>
      <c r="B1632" s="12">
        <v>1575020.0</v>
      </c>
      <c r="C1632" s="12">
        <v>1575184.0</v>
      </c>
      <c r="D1632" s="2"/>
      <c r="E1632" s="2" t="s">
        <v>34</v>
      </c>
      <c r="F1632" s="2" t="s">
        <v>39</v>
      </c>
      <c r="G1632" s="2"/>
      <c r="H1632" s="12">
        <v>0.0</v>
      </c>
      <c r="I1632" s="2" t="s">
        <v>40</v>
      </c>
      <c r="J1632" s="2"/>
      <c r="K1632" s="2" t="s">
        <v>4416</v>
      </c>
      <c r="L1632" s="12">
        <v>54.0</v>
      </c>
      <c r="M1632" s="2" t="s">
        <v>4417</v>
      </c>
      <c r="N1632" s="2" t="str">
        <f>IFERROR(__xludf.DUMMYFUNCTION("""COMPUTED_VALUE"""),"")</f>
        <v/>
      </c>
    </row>
    <row r="1633">
      <c r="A1633" s="2" t="s">
        <v>33</v>
      </c>
      <c r="B1633" s="12">
        <v>1575624.0</v>
      </c>
      <c r="C1633" s="12">
        <v>1576400.0</v>
      </c>
      <c r="D1633" s="2"/>
      <c r="E1633" s="2" t="s">
        <v>38</v>
      </c>
      <c r="F1633" s="2" t="s">
        <v>4418</v>
      </c>
      <c r="G1633" s="2"/>
      <c r="H1633" s="12">
        <v>0.0</v>
      </c>
      <c r="I1633" s="2" t="s">
        <v>40</v>
      </c>
      <c r="J1633" s="2"/>
      <c r="K1633" s="2" t="s">
        <v>4419</v>
      </c>
      <c r="L1633" s="12">
        <v>258.0</v>
      </c>
      <c r="M1633" s="2" t="s">
        <v>4420</v>
      </c>
      <c r="N1633" s="2" t="str">
        <f>IFERROR(__xludf.DUMMYFUNCTION("""COMPUTED_VALUE"""),"")</f>
        <v/>
      </c>
    </row>
    <row r="1634">
      <c r="A1634" s="2" t="s">
        <v>33</v>
      </c>
      <c r="B1634" s="12">
        <v>1576393.0</v>
      </c>
      <c r="C1634" s="12">
        <v>1576725.0</v>
      </c>
      <c r="D1634" s="2"/>
      <c r="E1634" s="2" t="s">
        <v>38</v>
      </c>
      <c r="F1634" s="2" t="s">
        <v>2365</v>
      </c>
      <c r="G1634" s="2"/>
      <c r="H1634" s="12">
        <v>0.0</v>
      </c>
      <c r="I1634" s="2" t="s">
        <v>40</v>
      </c>
      <c r="J1634" s="2"/>
      <c r="K1634" s="2" t="s">
        <v>4421</v>
      </c>
      <c r="L1634" s="12">
        <v>110.0</v>
      </c>
      <c r="M1634" s="2" t="s">
        <v>4422</v>
      </c>
      <c r="N1634" s="2" t="str">
        <f>IFERROR(__xludf.DUMMYFUNCTION("""COMPUTED_VALUE"""),"")</f>
        <v/>
      </c>
    </row>
    <row r="1635">
      <c r="A1635" s="2" t="s">
        <v>33</v>
      </c>
      <c r="B1635" s="12">
        <v>1576840.0</v>
      </c>
      <c r="C1635" s="12">
        <v>1578522.0</v>
      </c>
      <c r="D1635" s="2"/>
      <c r="E1635" s="2" t="s">
        <v>38</v>
      </c>
      <c r="F1635" s="2" t="s">
        <v>4423</v>
      </c>
      <c r="G1635" s="2" t="s">
        <v>4424</v>
      </c>
      <c r="H1635" s="12">
        <v>0.0</v>
      </c>
      <c r="I1635" s="2" t="s">
        <v>40</v>
      </c>
      <c r="J1635" s="2"/>
      <c r="K1635" s="2" t="s">
        <v>4425</v>
      </c>
      <c r="L1635" s="12">
        <v>560.0</v>
      </c>
      <c r="M1635" s="2" t="s">
        <v>4426</v>
      </c>
      <c r="N1635" s="2" t="str">
        <f>IFERROR(__xludf.DUMMYFUNCTION("""COMPUTED_VALUE"""),"")</f>
        <v/>
      </c>
    </row>
    <row r="1636">
      <c r="A1636" s="2" t="s">
        <v>33</v>
      </c>
      <c r="B1636" s="12">
        <v>1578656.0</v>
      </c>
      <c r="C1636" s="12">
        <v>1580146.0</v>
      </c>
      <c r="D1636" s="2"/>
      <c r="E1636" s="2" t="s">
        <v>38</v>
      </c>
      <c r="F1636" s="2" t="s">
        <v>4427</v>
      </c>
      <c r="G1636" s="2" t="s">
        <v>4428</v>
      </c>
      <c r="H1636" s="12">
        <v>0.0</v>
      </c>
      <c r="I1636" s="2" t="s">
        <v>40</v>
      </c>
      <c r="J1636" s="2"/>
      <c r="K1636" s="2" t="s">
        <v>4429</v>
      </c>
      <c r="L1636" s="12">
        <v>496.0</v>
      </c>
      <c r="M1636" s="2" t="s">
        <v>4430</v>
      </c>
      <c r="N1636" s="2" t="str">
        <f>IFERROR(__xludf.DUMMYFUNCTION("""COMPUTED_VALUE"""),"")</f>
        <v/>
      </c>
    </row>
    <row r="1637">
      <c r="A1637" s="2" t="s">
        <v>33</v>
      </c>
      <c r="B1637" s="12">
        <v>1580160.0</v>
      </c>
      <c r="C1637" s="12">
        <v>1580981.0</v>
      </c>
      <c r="D1637" s="2"/>
      <c r="E1637" s="2" t="s">
        <v>38</v>
      </c>
      <c r="F1637" s="2" t="s">
        <v>4431</v>
      </c>
      <c r="G1637" s="2" t="s">
        <v>4432</v>
      </c>
      <c r="H1637" s="12">
        <v>0.0</v>
      </c>
      <c r="I1637" s="2" t="s">
        <v>40</v>
      </c>
      <c r="J1637" s="2"/>
      <c r="K1637" s="2" t="s">
        <v>4433</v>
      </c>
      <c r="L1637" s="12">
        <v>273.0</v>
      </c>
      <c r="M1637" s="2" t="s">
        <v>4434</v>
      </c>
      <c r="N1637" s="2" t="str">
        <f>IFERROR(__xludf.DUMMYFUNCTION("""COMPUTED_VALUE"""),"")</f>
        <v/>
      </c>
    </row>
    <row r="1638">
      <c r="A1638" s="2" t="s">
        <v>33</v>
      </c>
      <c r="B1638" s="12">
        <v>1581208.0</v>
      </c>
      <c r="C1638" s="12">
        <v>1581768.0</v>
      </c>
      <c r="D1638" s="2"/>
      <c r="E1638" s="2" t="s">
        <v>38</v>
      </c>
      <c r="F1638" s="2" t="s">
        <v>4435</v>
      </c>
      <c r="G1638" s="2" t="s">
        <v>4436</v>
      </c>
      <c r="H1638" s="12">
        <v>0.0</v>
      </c>
      <c r="I1638" s="2" t="s">
        <v>40</v>
      </c>
      <c r="J1638" s="2"/>
      <c r="K1638" s="2" t="s">
        <v>4437</v>
      </c>
      <c r="L1638" s="12">
        <v>186.0</v>
      </c>
      <c r="M1638" s="2" t="s">
        <v>4438</v>
      </c>
      <c r="N1638" s="2" t="str">
        <f>IFERROR(__xludf.DUMMYFUNCTION("""COMPUTED_VALUE"""),"")</f>
        <v/>
      </c>
    </row>
    <row r="1639">
      <c r="A1639" s="2" t="s">
        <v>33</v>
      </c>
      <c r="B1639" s="12">
        <v>1581866.0</v>
      </c>
      <c r="C1639" s="12">
        <v>1582315.0</v>
      </c>
      <c r="D1639" s="2"/>
      <c r="E1639" s="2" t="s">
        <v>38</v>
      </c>
      <c r="F1639" s="2" t="s">
        <v>216</v>
      </c>
      <c r="G1639" s="2"/>
      <c r="H1639" s="12">
        <v>0.0</v>
      </c>
      <c r="I1639" s="2" t="s">
        <v>40</v>
      </c>
      <c r="J1639" s="2"/>
      <c r="K1639" s="2" t="s">
        <v>4439</v>
      </c>
      <c r="L1639" s="12">
        <v>149.0</v>
      </c>
      <c r="M1639" s="2" t="s">
        <v>4440</v>
      </c>
      <c r="N1639" s="2" t="str">
        <f>IFERROR(__xludf.DUMMYFUNCTION("""COMPUTED_VALUE"""),"")</f>
        <v/>
      </c>
    </row>
    <row r="1640">
      <c r="A1640" s="2" t="s">
        <v>33</v>
      </c>
      <c r="B1640" s="12">
        <v>1582699.0</v>
      </c>
      <c r="C1640" s="12">
        <v>1583895.0</v>
      </c>
      <c r="D1640" s="2"/>
      <c r="E1640" s="2" t="s">
        <v>38</v>
      </c>
      <c r="F1640" s="2" t="s">
        <v>4441</v>
      </c>
      <c r="G1640" s="2"/>
      <c r="H1640" s="12">
        <v>0.0</v>
      </c>
      <c r="I1640" s="2" t="s">
        <v>40</v>
      </c>
      <c r="J1640" s="2"/>
      <c r="K1640" s="2" t="s">
        <v>4442</v>
      </c>
      <c r="L1640" s="12">
        <v>398.0</v>
      </c>
      <c r="M1640" s="2" t="s">
        <v>4443</v>
      </c>
      <c r="N1640" s="2" t="str">
        <f>IFERROR(__xludf.DUMMYFUNCTION("""COMPUTED_VALUE"""),"")</f>
        <v/>
      </c>
    </row>
    <row r="1641">
      <c r="A1641" s="2" t="s">
        <v>33</v>
      </c>
      <c r="B1641" s="12">
        <v>1584125.0</v>
      </c>
      <c r="C1641" s="12">
        <v>1584289.0</v>
      </c>
      <c r="D1641" s="2"/>
      <c r="E1641" s="2" t="s">
        <v>38</v>
      </c>
      <c r="F1641" s="2" t="s">
        <v>39</v>
      </c>
      <c r="G1641" s="2"/>
      <c r="H1641" s="12">
        <v>0.0</v>
      </c>
      <c r="I1641" s="2" t="s">
        <v>40</v>
      </c>
      <c r="J1641" s="2"/>
      <c r="K1641" s="2" t="s">
        <v>4444</v>
      </c>
      <c r="L1641" s="12">
        <v>54.0</v>
      </c>
      <c r="M1641" s="2" t="s">
        <v>4445</v>
      </c>
      <c r="N1641" s="2" t="str">
        <f>IFERROR(__xludf.DUMMYFUNCTION("""COMPUTED_VALUE"""),"")</f>
        <v/>
      </c>
    </row>
    <row r="1642">
      <c r="A1642" s="2" t="s">
        <v>33</v>
      </c>
      <c r="B1642" s="12">
        <v>1584249.0</v>
      </c>
      <c r="C1642" s="12">
        <v>1584908.0</v>
      </c>
      <c r="D1642" s="2"/>
      <c r="E1642" s="2" t="s">
        <v>38</v>
      </c>
      <c r="F1642" s="2" t="s">
        <v>4446</v>
      </c>
      <c r="G1642" s="2"/>
      <c r="H1642" s="12">
        <v>0.0</v>
      </c>
      <c r="I1642" s="2" t="s">
        <v>40</v>
      </c>
      <c r="J1642" s="2"/>
      <c r="K1642" s="2" t="s">
        <v>4447</v>
      </c>
      <c r="L1642" s="12">
        <v>219.0</v>
      </c>
      <c r="M1642" s="2" t="s">
        <v>4448</v>
      </c>
      <c r="N1642" s="2" t="str">
        <f>IFERROR(__xludf.DUMMYFUNCTION("""COMPUTED_VALUE"""),"")</f>
        <v/>
      </c>
    </row>
    <row r="1643">
      <c r="A1643" s="2" t="s">
        <v>33</v>
      </c>
      <c r="B1643" s="12">
        <v>1585182.0</v>
      </c>
      <c r="C1643" s="12">
        <v>1586033.0</v>
      </c>
      <c r="D1643" s="2"/>
      <c r="E1643" s="2" t="s">
        <v>38</v>
      </c>
      <c r="F1643" s="2" t="s">
        <v>4449</v>
      </c>
      <c r="G1643" s="2"/>
      <c r="H1643" s="12">
        <v>0.0</v>
      </c>
      <c r="I1643" s="2" t="s">
        <v>40</v>
      </c>
      <c r="J1643" s="2"/>
      <c r="K1643" s="2" t="s">
        <v>4450</v>
      </c>
      <c r="L1643" s="12">
        <v>283.0</v>
      </c>
      <c r="M1643" s="2" t="s">
        <v>4451</v>
      </c>
      <c r="N1643" s="2" t="str">
        <f>IFERROR(__xludf.DUMMYFUNCTION("""COMPUTED_VALUE"""),"")</f>
        <v/>
      </c>
    </row>
    <row r="1644">
      <c r="A1644" s="2" t="s">
        <v>33</v>
      </c>
      <c r="B1644" s="12">
        <v>1586248.0</v>
      </c>
      <c r="C1644" s="12">
        <v>1586448.0</v>
      </c>
      <c r="D1644" s="2"/>
      <c r="E1644" s="2" t="s">
        <v>38</v>
      </c>
      <c r="F1644" s="2" t="s">
        <v>4452</v>
      </c>
      <c r="G1644" s="2"/>
      <c r="H1644" s="12">
        <v>0.0</v>
      </c>
      <c r="I1644" s="2" t="s">
        <v>40</v>
      </c>
      <c r="J1644" s="2"/>
      <c r="K1644" s="2" t="s">
        <v>4453</v>
      </c>
      <c r="L1644" s="12">
        <v>66.0</v>
      </c>
      <c r="M1644" s="2" t="s">
        <v>4454</v>
      </c>
      <c r="N1644" s="2" t="str">
        <f>IFERROR(__xludf.DUMMYFUNCTION("""COMPUTED_VALUE"""),"")</f>
        <v/>
      </c>
    </row>
    <row r="1645">
      <c r="A1645" s="2" t="s">
        <v>33</v>
      </c>
      <c r="B1645" s="12">
        <v>1586527.0</v>
      </c>
      <c r="C1645" s="12">
        <v>1587402.0</v>
      </c>
      <c r="D1645" s="2"/>
      <c r="E1645" s="2" t="s">
        <v>38</v>
      </c>
      <c r="F1645" s="2" t="s">
        <v>326</v>
      </c>
      <c r="G1645" s="2"/>
      <c r="H1645" s="12">
        <v>0.0</v>
      </c>
      <c r="I1645" s="2" t="s">
        <v>40</v>
      </c>
      <c r="J1645" s="2"/>
      <c r="K1645" s="2" t="s">
        <v>4455</v>
      </c>
      <c r="L1645" s="12">
        <v>291.0</v>
      </c>
      <c r="M1645" s="2" t="s">
        <v>4456</v>
      </c>
      <c r="N1645" s="2" t="str">
        <f>IFERROR(__xludf.DUMMYFUNCTION("""COMPUTED_VALUE"""),"")</f>
        <v/>
      </c>
    </row>
    <row r="1646">
      <c r="A1646" s="2" t="s">
        <v>33</v>
      </c>
      <c r="B1646" s="12">
        <v>1587631.0</v>
      </c>
      <c r="C1646" s="12">
        <v>1587762.0</v>
      </c>
      <c r="D1646" s="2"/>
      <c r="E1646" s="2" t="s">
        <v>38</v>
      </c>
      <c r="F1646" s="2" t="s">
        <v>39</v>
      </c>
      <c r="G1646" s="2"/>
      <c r="H1646" s="12">
        <v>0.0</v>
      </c>
      <c r="I1646" s="2" t="s">
        <v>40</v>
      </c>
      <c r="J1646" s="2"/>
      <c r="K1646" s="2" t="s">
        <v>4457</v>
      </c>
      <c r="L1646" s="12">
        <v>43.0</v>
      </c>
      <c r="M1646" s="2" t="s">
        <v>4458</v>
      </c>
      <c r="N1646" s="2" t="str">
        <f>IFERROR(__xludf.DUMMYFUNCTION("""COMPUTED_VALUE"""),"")</f>
        <v/>
      </c>
    </row>
    <row r="1647">
      <c r="A1647" s="2" t="s">
        <v>33</v>
      </c>
      <c r="B1647" s="12">
        <v>1587759.0</v>
      </c>
      <c r="C1647" s="12">
        <v>1588871.0</v>
      </c>
      <c r="D1647" s="2"/>
      <c r="E1647" s="2" t="s">
        <v>38</v>
      </c>
      <c r="F1647" s="2" t="s">
        <v>1273</v>
      </c>
      <c r="G1647" s="2"/>
      <c r="H1647" s="12">
        <v>0.0</v>
      </c>
      <c r="I1647" s="2" t="s">
        <v>40</v>
      </c>
      <c r="J1647" s="2"/>
      <c r="K1647" s="2" t="s">
        <v>4459</v>
      </c>
      <c r="L1647" s="12">
        <v>370.0</v>
      </c>
      <c r="M1647" s="2" t="s">
        <v>4460</v>
      </c>
      <c r="N1647" s="2" t="str">
        <f>IFERROR(__xludf.DUMMYFUNCTION("""COMPUTED_VALUE"""),"")</f>
        <v/>
      </c>
    </row>
    <row r="1648">
      <c r="A1648" s="2" t="s">
        <v>33</v>
      </c>
      <c r="B1648" s="12">
        <v>1589095.0</v>
      </c>
      <c r="C1648" s="12">
        <v>1590072.0</v>
      </c>
      <c r="D1648" s="2"/>
      <c r="E1648" s="2" t="s">
        <v>38</v>
      </c>
      <c r="F1648" s="2" t="s">
        <v>4461</v>
      </c>
      <c r="G1648" s="2"/>
      <c r="H1648" s="12">
        <v>0.0</v>
      </c>
      <c r="I1648" s="2" t="s">
        <v>40</v>
      </c>
      <c r="J1648" s="2"/>
      <c r="K1648" s="2" t="s">
        <v>4462</v>
      </c>
      <c r="L1648" s="12">
        <v>325.0</v>
      </c>
      <c r="M1648" s="2" t="s">
        <v>4463</v>
      </c>
      <c r="N1648" s="2" t="str">
        <f>IFERROR(__xludf.DUMMYFUNCTION("""COMPUTED_VALUE"""),"")</f>
        <v/>
      </c>
    </row>
    <row r="1649">
      <c r="A1649" s="2" t="s">
        <v>33</v>
      </c>
      <c r="B1649" s="12">
        <v>1590128.0</v>
      </c>
      <c r="C1649" s="12">
        <v>1591072.0</v>
      </c>
      <c r="D1649" s="2"/>
      <c r="E1649" s="2" t="s">
        <v>38</v>
      </c>
      <c r="F1649" s="2" t="s">
        <v>4461</v>
      </c>
      <c r="G1649" s="2"/>
      <c r="H1649" s="12">
        <v>0.0</v>
      </c>
      <c r="I1649" s="2" t="s">
        <v>40</v>
      </c>
      <c r="J1649" s="2"/>
      <c r="K1649" s="2" t="s">
        <v>4464</v>
      </c>
      <c r="L1649" s="12">
        <v>314.0</v>
      </c>
      <c r="M1649" s="2" t="s">
        <v>4465</v>
      </c>
      <c r="N1649" s="2" t="str">
        <f>IFERROR(__xludf.DUMMYFUNCTION("""COMPUTED_VALUE"""),"")</f>
        <v/>
      </c>
    </row>
    <row r="1650">
      <c r="A1650" s="2" t="s">
        <v>33</v>
      </c>
      <c r="B1650" s="12">
        <v>1591944.0</v>
      </c>
      <c r="C1650" s="12">
        <v>1592570.0</v>
      </c>
      <c r="D1650" s="2"/>
      <c r="E1650" s="2" t="s">
        <v>34</v>
      </c>
      <c r="F1650" s="2" t="s">
        <v>880</v>
      </c>
      <c r="G1650" s="2"/>
      <c r="H1650" s="12">
        <v>0.0</v>
      </c>
      <c r="I1650" s="2" t="s">
        <v>40</v>
      </c>
      <c r="J1650" s="2"/>
      <c r="K1650" s="2" t="s">
        <v>4466</v>
      </c>
      <c r="L1650" s="12">
        <v>208.0</v>
      </c>
      <c r="M1650" s="2" t="s">
        <v>4467</v>
      </c>
      <c r="N1650" s="2" t="str">
        <f>IFERROR(__xludf.DUMMYFUNCTION("""COMPUTED_VALUE"""),"")</f>
        <v/>
      </c>
    </row>
    <row r="1651">
      <c r="A1651" s="2" t="s">
        <v>33</v>
      </c>
      <c r="B1651" s="12">
        <v>1593031.0</v>
      </c>
      <c r="C1651" s="12">
        <v>1593363.0</v>
      </c>
      <c r="D1651" s="2"/>
      <c r="E1651" s="2" t="s">
        <v>38</v>
      </c>
      <c r="F1651" s="2" t="s">
        <v>4468</v>
      </c>
      <c r="G1651" s="2"/>
      <c r="H1651" s="12">
        <v>0.0</v>
      </c>
      <c r="I1651" s="2" t="s">
        <v>40</v>
      </c>
      <c r="J1651" s="2"/>
      <c r="K1651" s="2" t="s">
        <v>4469</v>
      </c>
      <c r="L1651" s="12">
        <v>110.0</v>
      </c>
      <c r="M1651" s="2" t="s">
        <v>4470</v>
      </c>
      <c r="N1651" s="2" t="str">
        <f>IFERROR(__xludf.DUMMYFUNCTION("""COMPUTED_VALUE"""),"")</f>
        <v/>
      </c>
    </row>
    <row r="1652">
      <c r="A1652" s="2" t="s">
        <v>33</v>
      </c>
      <c r="B1652" s="12">
        <v>1593666.0</v>
      </c>
      <c r="C1652" s="12">
        <v>1594610.0</v>
      </c>
      <c r="D1652" s="2"/>
      <c r="E1652" s="2" t="s">
        <v>38</v>
      </c>
      <c r="F1652" s="2" t="s">
        <v>4471</v>
      </c>
      <c r="G1652" s="2" t="s">
        <v>4472</v>
      </c>
      <c r="H1652" s="12">
        <v>0.0</v>
      </c>
      <c r="I1652" s="2" t="s">
        <v>40</v>
      </c>
      <c r="J1652" s="2"/>
      <c r="K1652" s="2" t="s">
        <v>4473</v>
      </c>
      <c r="L1652" s="12">
        <v>314.0</v>
      </c>
      <c r="M1652" s="2" t="s">
        <v>4474</v>
      </c>
      <c r="N1652" s="2" t="str">
        <f>IFERROR(__xludf.DUMMYFUNCTION("""COMPUTED_VALUE"""),"")</f>
        <v/>
      </c>
    </row>
    <row r="1653">
      <c r="A1653" s="2" t="s">
        <v>33</v>
      </c>
      <c r="B1653" s="12">
        <v>1594652.0</v>
      </c>
      <c r="C1653" s="12">
        <v>1597576.0</v>
      </c>
      <c r="D1653" s="2"/>
      <c r="E1653" s="2" t="s">
        <v>38</v>
      </c>
      <c r="F1653" s="2" t="s">
        <v>712</v>
      </c>
      <c r="G1653" s="2"/>
      <c r="H1653" s="12">
        <v>0.0</v>
      </c>
      <c r="I1653" s="2" t="s">
        <v>40</v>
      </c>
      <c r="J1653" s="2"/>
      <c r="K1653" s="2" t="s">
        <v>4475</v>
      </c>
      <c r="L1653" s="12">
        <v>974.0</v>
      </c>
      <c r="M1653" s="2" t="s">
        <v>4476</v>
      </c>
      <c r="N1653" s="2" t="str">
        <f>IFERROR(__xludf.DUMMYFUNCTION("""COMPUTED_VALUE"""),"")</f>
        <v/>
      </c>
    </row>
    <row r="1654">
      <c r="A1654" s="2" t="s">
        <v>33</v>
      </c>
      <c r="B1654" s="12">
        <v>1597573.0</v>
      </c>
      <c r="C1654" s="12">
        <v>1598814.0</v>
      </c>
      <c r="D1654" s="2"/>
      <c r="E1654" s="2" t="s">
        <v>38</v>
      </c>
      <c r="F1654" s="2" t="s">
        <v>4477</v>
      </c>
      <c r="G1654" s="2"/>
      <c r="H1654" s="12">
        <v>0.0</v>
      </c>
      <c r="I1654" s="2" t="s">
        <v>40</v>
      </c>
      <c r="J1654" s="2"/>
      <c r="K1654" s="2" t="s">
        <v>4478</v>
      </c>
      <c r="L1654" s="12">
        <v>413.0</v>
      </c>
      <c r="M1654" s="2" t="s">
        <v>4479</v>
      </c>
      <c r="N1654" s="2" t="str">
        <f>IFERROR(__xludf.DUMMYFUNCTION("""COMPUTED_VALUE"""),"")</f>
        <v/>
      </c>
    </row>
    <row r="1655">
      <c r="A1655" s="2" t="s">
        <v>33</v>
      </c>
      <c r="B1655" s="12">
        <v>1599023.0</v>
      </c>
      <c r="C1655" s="12">
        <v>1599208.0</v>
      </c>
      <c r="D1655" s="2"/>
      <c r="E1655" s="2" t="s">
        <v>34</v>
      </c>
      <c r="F1655" s="2" t="s">
        <v>4480</v>
      </c>
      <c r="G1655" s="2"/>
      <c r="H1655" s="12">
        <v>0.0</v>
      </c>
      <c r="I1655" s="2" t="s">
        <v>40</v>
      </c>
      <c r="J1655" s="2"/>
      <c r="K1655" s="2" t="s">
        <v>4481</v>
      </c>
      <c r="L1655" s="12">
        <v>61.0</v>
      </c>
      <c r="M1655" s="2" t="s">
        <v>4482</v>
      </c>
      <c r="N1655" s="2" t="str">
        <f>IFERROR(__xludf.DUMMYFUNCTION("""COMPUTED_VALUE"""),"")</f>
        <v/>
      </c>
    </row>
    <row r="1656">
      <c r="A1656" s="2" t="s">
        <v>33</v>
      </c>
      <c r="B1656" s="12">
        <v>1599236.0</v>
      </c>
      <c r="C1656" s="12">
        <v>1599598.0</v>
      </c>
      <c r="D1656" s="2"/>
      <c r="E1656" s="2" t="s">
        <v>38</v>
      </c>
      <c r="F1656" s="2" t="s">
        <v>39</v>
      </c>
      <c r="G1656" s="2"/>
      <c r="H1656" s="12">
        <v>0.0</v>
      </c>
      <c r="I1656" s="2" t="s">
        <v>40</v>
      </c>
      <c r="J1656" s="2"/>
      <c r="K1656" s="2" t="s">
        <v>4483</v>
      </c>
      <c r="L1656" s="12">
        <v>120.0</v>
      </c>
      <c r="M1656" s="2" t="s">
        <v>4484</v>
      </c>
      <c r="N1656" s="2" t="str">
        <f>IFERROR(__xludf.DUMMYFUNCTION("""COMPUTED_VALUE"""),"")</f>
        <v/>
      </c>
    </row>
    <row r="1657">
      <c r="A1657" s="2" t="s">
        <v>33</v>
      </c>
      <c r="B1657" s="12">
        <v>1599753.0</v>
      </c>
      <c r="C1657" s="12">
        <v>1599893.0</v>
      </c>
      <c r="D1657" s="2"/>
      <c r="E1657" s="2" t="s">
        <v>34</v>
      </c>
      <c r="F1657" s="2" t="s">
        <v>4485</v>
      </c>
      <c r="G1657" s="2"/>
      <c r="H1657" s="12">
        <v>0.0</v>
      </c>
      <c r="I1657" s="2" t="s">
        <v>40</v>
      </c>
      <c r="J1657" s="2"/>
      <c r="K1657" s="2" t="s">
        <v>4486</v>
      </c>
      <c r="L1657" s="12">
        <v>46.0</v>
      </c>
      <c r="M1657" s="2" t="s">
        <v>4487</v>
      </c>
      <c r="N1657" s="2" t="str">
        <f>IFERROR(__xludf.DUMMYFUNCTION("""COMPUTED_VALUE"""),"")</f>
        <v/>
      </c>
    </row>
    <row r="1658">
      <c r="A1658" s="2" t="s">
        <v>33</v>
      </c>
      <c r="B1658" s="12">
        <v>1600015.0</v>
      </c>
      <c r="C1658" s="12">
        <v>1601001.0</v>
      </c>
      <c r="D1658" s="2"/>
      <c r="E1658" s="2" t="s">
        <v>38</v>
      </c>
      <c r="F1658" s="2" t="s">
        <v>4488</v>
      </c>
      <c r="G1658" s="2" t="s">
        <v>4489</v>
      </c>
      <c r="H1658" s="12">
        <v>0.0</v>
      </c>
      <c r="I1658" s="2" t="s">
        <v>40</v>
      </c>
      <c r="J1658" s="2"/>
      <c r="K1658" s="2" t="s">
        <v>4490</v>
      </c>
      <c r="L1658" s="12">
        <v>328.0</v>
      </c>
      <c r="M1658" s="2" t="s">
        <v>4491</v>
      </c>
      <c r="N1658" s="2" t="str">
        <f>IFERROR(__xludf.DUMMYFUNCTION("""COMPUTED_VALUE"""),"")</f>
        <v/>
      </c>
    </row>
    <row r="1659">
      <c r="A1659" s="2" t="s">
        <v>33</v>
      </c>
      <c r="B1659" s="12">
        <v>1601177.0</v>
      </c>
      <c r="C1659" s="12">
        <v>1602169.0</v>
      </c>
      <c r="D1659" s="2"/>
      <c r="E1659" s="2" t="s">
        <v>34</v>
      </c>
      <c r="F1659" s="2" t="s">
        <v>4492</v>
      </c>
      <c r="G1659" s="2"/>
      <c r="H1659" s="12">
        <v>0.0</v>
      </c>
      <c r="I1659" s="2" t="s">
        <v>40</v>
      </c>
      <c r="J1659" s="2"/>
      <c r="K1659" s="2" t="s">
        <v>4493</v>
      </c>
      <c r="L1659" s="12">
        <v>330.0</v>
      </c>
      <c r="M1659" s="2" t="s">
        <v>4494</v>
      </c>
      <c r="N1659" s="2" t="str">
        <f>IFERROR(__xludf.DUMMYFUNCTION("""COMPUTED_VALUE"""),"")</f>
        <v/>
      </c>
    </row>
    <row r="1660">
      <c r="A1660" s="2" t="s">
        <v>33</v>
      </c>
      <c r="B1660" s="12">
        <v>1602261.0</v>
      </c>
      <c r="C1660" s="12">
        <v>1602566.0</v>
      </c>
      <c r="D1660" s="2"/>
      <c r="E1660" s="2" t="s">
        <v>34</v>
      </c>
      <c r="F1660" s="2" t="s">
        <v>39</v>
      </c>
      <c r="G1660" s="2"/>
      <c r="H1660" s="12">
        <v>0.0</v>
      </c>
      <c r="I1660" s="2" t="s">
        <v>40</v>
      </c>
      <c r="J1660" s="2"/>
      <c r="K1660" s="2" t="s">
        <v>4495</v>
      </c>
      <c r="L1660" s="12">
        <v>101.0</v>
      </c>
      <c r="M1660" s="2" t="s">
        <v>4496</v>
      </c>
      <c r="N1660" s="2" t="str">
        <f>IFERROR(__xludf.DUMMYFUNCTION("""COMPUTED_VALUE"""),"")</f>
        <v/>
      </c>
    </row>
    <row r="1661">
      <c r="A1661" s="2" t="s">
        <v>33</v>
      </c>
      <c r="B1661" s="12">
        <v>1602663.0</v>
      </c>
      <c r="C1661" s="12">
        <v>1602809.0</v>
      </c>
      <c r="D1661" s="2"/>
      <c r="E1661" s="2" t="s">
        <v>38</v>
      </c>
      <c r="F1661" s="2" t="s">
        <v>39</v>
      </c>
      <c r="G1661" s="2"/>
      <c r="H1661" s="12">
        <v>0.0</v>
      </c>
      <c r="I1661" s="2" t="s">
        <v>40</v>
      </c>
      <c r="J1661" s="2"/>
      <c r="K1661" s="2" t="s">
        <v>4497</v>
      </c>
      <c r="L1661" s="12">
        <v>48.0</v>
      </c>
      <c r="M1661" s="2" t="s">
        <v>4498</v>
      </c>
      <c r="N1661" s="2" t="str">
        <f>IFERROR(__xludf.DUMMYFUNCTION("""COMPUTED_VALUE"""),"")</f>
        <v/>
      </c>
    </row>
    <row r="1662">
      <c r="A1662" s="2" t="s">
        <v>33</v>
      </c>
      <c r="B1662" s="12">
        <v>1603149.0</v>
      </c>
      <c r="C1662" s="12">
        <v>1603460.0</v>
      </c>
      <c r="D1662" s="2"/>
      <c r="E1662" s="2" t="s">
        <v>38</v>
      </c>
      <c r="F1662" s="2" t="s">
        <v>2199</v>
      </c>
      <c r="G1662" s="2"/>
      <c r="H1662" s="12">
        <v>0.0</v>
      </c>
      <c r="I1662" s="2" t="s">
        <v>40</v>
      </c>
      <c r="J1662" s="2"/>
      <c r="K1662" s="2" t="s">
        <v>4499</v>
      </c>
      <c r="L1662" s="12">
        <v>103.0</v>
      </c>
      <c r="M1662" s="2" t="s">
        <v>4500</v>
      </c>
      <c r="N1662" s="2" t="str">
        <f>IFERROR(__xludf.DUMMYFUNCTION("""COMPUTED_VALUE"""),"")</f>
        <v/>
      </c>
    </row>
    <row r="1663">
      <c r="A1663" s="2" t="s">
        <v>33</v>
      </c>
      <c r="B1663" s="12">
        <v>1603597.0</v>
      </c>
      <c r="C1663" s="12">
        <v>1603800.0</v>
      </c>
      <c r="D1663" s="2"/>
      <c r="E1663" s="2" t="s">
        <v>38</v>
      </c>
      <c r="F1663" s="2" t="s">
        <v>4501</v>
      </c>
      <c r="G1663" s="2"/>
      <c r="H1663" s="12">
        <v>0.0</v>
      </c>
      <c r="I1663" s="2" t="s">
        <v>40</v>
      </c>
      <c r="J1663" s="2"/>
      <c r="K1663" s="2" t="s">
        <v>4502</v>
      </c>
      <c r="L1663" s="12">
        <v>67.0</v>
      </c>
      <c r="M1663" s="2" t="s">
        <v>4503</v>
      </c>
      <c r="N1663" s="2" t="str">
        <f>IFERROR(__xludf.DUMMYFUNCTION("""COMPUTED_VALUE"""),"")</f>
        <v/>
      </c>
    </row>
    <row r="1664">
      <c r="A1664" s="2" t="s">
        <v>33</v>
      </c>
      <c r="B1664" s="12">
        <v>1603940.0</v>
      </c>
      <c r="C1664" s="12">
        <v>1604470.0</v>
      </c>
      <c r="D1664" s="2"/>
      <c r="E1664" s="2" t="s">
        <v>38</v>
      </c>
      <c r="F1664" s="2" t="s">
        <v>4504</v>
      </c>
      <c r="G1664" s="2"/>
      <c r="H1664" s="12">
        <v>0.0</v>
      </c>
      <c r="I1664" s="2" t="s">
        <v>40</v>
      </c>
      <c r="J1664" s="2"/>
      <c r="K1664" s="2" t="s">
        <v>4505</v>
      </c>
      <c r="L1664" s="12">
        <v>176.0</v>
      </c>
      <c r="M1664" s="2" t="s">
        <v>4506</v>
      </c>
      <c r="N1664" s="2" t="str">
        <f>IFERROR(__xludf.DUMMYFUNCTION("""COMPUTED_VALUE"""),"")</f>
        <v/>
      </c>
    </row>
    <row r="1665">
      <c r="A1665" s="2" t="s">
        <v>33</v>
      </c>
      <c r="B1665" s="12">
        <v>1604507.0</v>
      </c>
      <c r="C1665" s="12">
        <v>1604647.0</v>
      </c>
      <c r="D1665" s="2"/>
      <c r="E1665" s="2" t="s">
        <v>38</v>
      </c>
      <c r="F1665" s="2" t="s">
        <v>39</v>
      </c>
      <c r="G1665" s="2"/>
      <c r="H1665" s="12">
        <v>0.0</v>
      </c>
      <c r="I1665" s="2" t="s">
        <v>40</v>
      </c>
      <c r="J1665" s="2"/>
      <c r="K1665" s="2" t="s">
        <v>4507</v>
      </c>
      <c r="L1665" s="12">
        <v>46.0</v>
      </c>
      <c r="M1665" s="2" t="s">
        <v>4508</v>
      </c>
      <c r="N1665" s="2" t="str">
        <f>IFERROR(__xludf.DUMMYFUNCTION("""COMPUTED_VALUE"""),"")</f>
        <v/>
      </c>
    </row>
    <row r="1666">
      <c r="A1666" s="2" t="s">
        <v>33</v>
      </c>
      <c r="B1666" s="12">
        <v>1604884.0</v>
      </c>
      <c r="C1666" s="12">
        <v>1605135.0</v>
      </c>
      <c r="D1666" s="2"/>
      <c r="E1666" s="2" t="s">
        <v>34</v>
      </c>
      <c r="F1666" s="2" t="s">
        <v>39</v>
      </c>
      <c r="G1666" s="2"/>
      <c r="H1666" s="12">
        <v>0.0</v>
      </c>
      <c r="I1666" s="2" t="s">
        <v>40</v>
      </c>
      <c r="J1666" s="2"/>
      <c r="K1666" s="2" t="s">
        <v>4509</v>
      </c>
      <c r="L1666" s="12">
        <v>83.0</v>
      </c>
      <c r="M1666" s="2" t="s">
        <v>4510</v>
      </c>
      <c r="N1666" s="2" t="str">
        <f>IFERROR(__xludf.DUMMYFUNCTION("""COMPUTED_VALUE"""),"")</f>
        <v/>
      </c>
    </row>
    <row r="1667">
      <c r="A1667" s="2" t="s">
        <v>33</v>
      </c>
      <c r="B1667" s="12">
        <v>1605340.0</v>
      </c>
      <c r="C1667" s="12">
        <v>1608030.0</v>
      </c>
      <c r="D1667" s="2"/>
      <c r="E1667" s="2" t="s">
        <v>34</v>
      </c>
      <c r="F1667" s="2" t="s">
        <v>66</v>
      </c>
      <c r="G1667" s="2"/>
      <c r="H1667" s="12">
        <v>0.0</v>
      </c>
      <c r="I1667" s="2" t="s">
        <v>40</v>
      </c>
      <c r="J1667" s="2"/>
      <c r="K1667" s="2" t="s">
        <v>4511</v>
      </c>
      <c r="L1667" s="12">
        <v>896.0</v>
      </c>
      <c r="M1667" s="2" t="s">
        <v>4512</v>
      </c>
      <c r="N1667" s="2" t="str">
        <f>IFERROR(__xludf.DUMMYFUNCTION("""COMPUTED_VALUE"""),"")</f>
        <v/>
      </c>
    </row>
    <row r="1668">
      <c r="A1668" s="2" t="s">
        <v>33</v>
      </c>
      <c r="B1668" s="12">
        <v>1608047.0</v>
      </c>
      <c r="C1668" s="12">
        <v>1608904.0</v>
      </c>
      <c r="D1668" s="2"/>
      <c r="E1668" s="2" t="s">
        <v>34</v>
      </c>
      <c r="F1668" s="2" t="s">
        <v>2717</v>
      </c>
      <c r="G1668" s="2"/>
      <c r="H1668" s="12">
        <v>0.0</v>
      </c>
      <c r="I1668" s="2" t="s">
        <v>40</v>
      </c>
      <c r="J1668" s="2"/>
      <c r="K1668" s="2" t="s">
        <v>4513</v>
      </c>
      <c r="L1668" s="12">
        <v>285.0</v>
      </c>
      <c r="M1668" s="2" t="s">
        <v>4514</v>
      </c>
      <c r="N1668" s="2" t="str">
        <f>IFERROR(__xludf.DUMMYFUNCTION("""COMPUTED_VALUE"""),"")</f>
        <v/>
      </c>
    </row>
    <row r="1669">
      <c r="A1669" s="2" t="s">
        <v>33</v>
      </c>
      <c r="B1669" s="12">
        <v>1608944.0</v>
      </c>
      <c r="C1669" s="12">
        <v>1610086.0</v>
      </c>
      <c r="D1669" s="2"/>
      <c r="E1669" s="2" t="s">
        <v>38</v>
      </c>
      <c r="F1669" s="2" t="s">
        <v>4515</v>
      </c>
      <c r="G1669" s="2"/>
      <c r="H1669" s="12">
        <v>0.0</v>
      </c>
      <c r="I1669" s="2" t="s">
        <v>40</v>
      </c>
      <c r="J1669" s="2"/>
      <c r="K1669" s="2" t="s">
        <v>4516</v>
      </c>
      <c r="L1669" s="12">
        <v>380.0</v>
      </c>
      <c r="M1669" s="2" t="s">
        <v>4517</v>
      </c>
      <c r="N1669" s="2" t="str">
        <f>IFERROR(__xludf.DUMMYFUNCTION("""COMPUTED_VALUE"""),"")</f>
        <v/>
      </c>
    </row>
    <row r="1670">
      <c r="A1670" s="2" t="s">
        <v>33</v>
      </c>
      <c r="B1670" s="12">
        <v>1610259.0</v>
      </c>
      <c r="C1670" s="12">
        <v>1610699.0</v>
      </c>
      <c r="D1670" s="2"/>
      <c r="E1670" s="2" t="s">
        <v>38</v>
      </c>
      <c r="F1670" s="2" t="s">
        <v>4518</v>
      </c>
      <c r="G1670" s="2"/>
      <c r="H1670" s="12">
        <v>0.0</v>
      </c>
      <c r="I1670" s="2" t="s">
        <v>40</v>
      </c>
      <c r="J1670" s="2"/>
      <c r="K1670" s="2" t="s">
        <v>4519</v>
      </c>
      <c r="L1670" s="12">
        <v>146.0</v>
      </c>
      <c r="M1670" s="2" t="s">
        <v>4520</v>
      </c>
      <c r="N1670" s="2" t="str">
        <f>IFERROR(__xludf.DUMMYFUNCTION("""COMPUTED_VALUE"""),"")</f>
        <v/>
      </c>
    </row>
    <row r="1671">
      <c r="A1671" s="2" t="s">
        <v>33</v>
      </c>
      <c r="B1671" s="12">
        <v>1610770.0</v>
      </c>
      <c r="C1671" s="12">
        <v>1611546.0</v>
      </c>
      <c r="D1671" s="2"/>
      <c r="E1671" s="2" t="s">
        <v>38</v>
      </c>
      <c r="F1671" s="2" t="s">
        <v>4521</v>
      </c>
      <c r="G1671" s="2" t="s">
        <v>4522</v>
      </c>
      <c r="H1671" s="12">
        <v>0.0</v>
      </c>
      <c r="I1671" s="2" t="s">
        <v>40</v>
      </c>
      <c r="J1671" s="2"/>
      <c r="K1671" s="2" t="s">
        <v>4523</v>
      </c>
      <c r="L1671" s="12">
        <v>258.0</v>
      </c>
      <c r="M1671" s="2" t="s">
        <v>4524</v>
      </c>
      <c r="N1671" s="2" t="str">
        <f>IFERROR(__xludf.DUMMYFUNCTION("""COMPUTED_VALUE"""),"")</f>
        <v/>
      </c>
    </row>
    <row r="1672">
      <c r="A1672" s="2" t="s">
        <v>33</v>
      </c>
      <c r="B1672" s="12">
        <v>1611509.0</v>
      </c>
      <c r="C1672" s="12">
        <v>1611991.0</v>
      </c>
      <c r="D1672" s="2"/>
      <c r="E1672" s="2" t="s">
        <v>38</v>
      </c>
      <c r="F1672" s="2" t="s">
        <v>4525</v>
      </c>
      <c r="G1672" s="2" t="s">
        <v>4526</v>
      </c>
      <c r="H1672" s="12">
        <v>0.0</v>
      </c>
      <c r="I1672" s="2" t="s">
        <v>40</v>
      </c>
      <c r="J1672" s="2"/>
      <c r="K1672" s="2" t="s">
        <v>4527</v>
      </c>
      <c r="L1672" s="12">
        <v>160.0</v>
      </c>
      <c r="M1672" s="2" t="s">
        <v>4528</v>
      </c>
      <c r="N1672" s="2" t="str">
        <f>IFERROR(__xludf.DUMMYFUNCTION("""COMPUTED_VALUE"""),"")</f>
        <v/>
      </c>
    </row>
    <row r="1673">
      <c r="A1673" s="2" t="s">
        <v>33</v>
      </c>
      <c r="B1673" s="12">
        <v>1611998.0</v>
      </c>
      <c r="C1673" s="12">
        <v>1612336.0</v>
      </c>
      <c r="D1673" s="2"/>
      <c r="E1673" s="2" t="s">
        <v>38</v>
      </c>
      <c r="F1673" s="2" t="s">
        <v>4529</v>
      </c>
      <c r="G1673" s="2" t="s">
        <v>4530</v>
      </c>
      <c r="H1673" s="12">
        <v>0.0</v>
      </c>
      <c r="I1673" s="2" t="s">
        <v>40</v>
      </c>
      <c r="J1673" s="2"/>
      <c r="K1673" s="2" t="s">
        <v>4531</v>
      </c>
      <c r="L1673" s="12">
        <v>112.0</v>
      </c>
      <c r="M1673" s="2" t="s">
        <v>4532</v>
      </c>
      <c r="N1673" s="2" t="str">
        <f>IFERROR(__xludf.DUMMYFUNCTION("""COMPUTED_VALUE"""),"")</f>
        <v/>
      </c>
    </row>
    <row r="1674">
      <c r="A1674" s="2" t="s">
        <v>33</v>
      </c>
      <c r="B1674" s="12">
        <v>1612533.0</v>
      </c>
      <c r="C1674" s="12">
        <v>1612733.0</v>
      </c>
      <c r="D1674" s="2"/>
      <c r="E1674" s="2" t="s">
        <v>34</v>
      </c>
      <c r="F1674" s="2" t="s">
        <v>39</v>
      </c>
      <c r="G1674" s="2"/>
      <c r="H1674" s="12">
        <v>0.0</v>
      </c>
      <c r="I1674" s="2" t="s">
        <v>40</v>
      </c>
      <c r="J1674" s="2"/>
      <c r="K1674" s="2" t="s">
        <v>4533</v>
      </c>
      <c r="L1674" s="12">
        <v>66.0</v>
      </c>
      <c r="M1674" s="2" t="s">
        <v>4534</v>
      </c>
      <c r="N1674" s="2" t="str">
        <f>IFERROR(__xludf.DUMMYFUNCTION("""COMPUTED_VALUE"""),"")</f>
        <v/>
      </c>
    </row>
    <row r="1675">
      <c r="A1675" s="2" t="s">
        <v>33</v>
      </c>
      <c r="B1675" s="12">
        <v>1612915.0</v>
      </c>
      <c r="C1675" s="12">
        <v>1613166.0</v>
      </c>
      <c r="D1675" s="2"/>
      <c r="E1675" s="2" t="s">
        <v>38</v>
      </c>
      <c r="F1675" s="2" t="s">
        <v>4535</v>
      </c>
      <c r="G1675" s="2"/>
      <c r="H1675" s="12">
        <v>0.0</v>
      </c>
      <c r="I1675" s="2" t="s">
        <v>40</v>
      </c>
      <c r="J1675" s="2"/>
      <c r="K1675" s="2" t="s">
        <v>4536</v>
      </c>
      <c r="L1675" s="12">
        <v>83.0</v>
      </c>
      <c r="M1675" s="2" t="s">
        <v>4537</v>
      </c>
      <c r="N1675" s="2" t="str">
        <f>IFERROR(__xludf.DUMMYFUNCTION("""COMPUTED_VALUE"""),"")</f>
        <v/>
      </c>
    </row>
    <row r="1676">
      <c r="A1676" s="2" t="s">
        <v>33</v>
      </c>
      <c r="B1676" s="12">
        <v>1613242.0</v>
      </c>
      <c r="C1676" s="12">
        <v>1613442.0</v>
      </c>
      <c r="D1676" s="2"/>
      <c r="E1676" s="2" t="s">
        <v>38</v>
      </c>
      <c r="F1676" s="2" t="s">
        <v>4538</v>
      </c>
      <c r="G1676" s="2"/>
      <c r="H1676" s="12">
        <v>0.0</v>
      </c>
      <c r="I1676" s="2" t="s">
        <v>40</v>
      </c>
      <c r="J1676" s="2"/>
      <c r="K1676" s="2" t="s">
        <v>4539</v>
      </c>
      <c r="L1676" s="12">
        <v>66.0</v>
      </c>
      <c r="M1676" s="2" t="s">
        <v>4540</v>
      </c>
      <c r="N1676" s="2" t="str">
        <f>IFERROR(__xludf.DUMMYFUNCTION("""COMPUTED_VALUE"""),"")</f>
        <v/>
      </c>
    </row>
    <row r="1677">
      <c r="A1677" s="2" t="s">
        <v>33</v>
      </c>
      <c r="B1677" s="12">
        <v>1613493.0</v>
      </c>
      <c r="C1677" s="12">
        <v>1613882.0</v>
      </c>
      <c r="D1677" s="2"/>
      <c r="E1677" s="2" t="s">
        <v>38</v>
      </c>
      <c r="F1677" s="2" t="s">
        <v>4504</v>
      </c>
      <c r="G1677" s="2"/>
      <c r="H1677" s="12">
        <v>0.0</v>
      </c>
      <c r="I1677" s="2" t="s">
        <v>40</v>
      </c>
      <c r="J1677" s="2"/>
      <c r="K1677" s="2" t="s">
        <v>4541</v>
      </c>
      <c r="L1677" s="12">
        <v>129.0</v>
      </c>
      <c r="M1677" s="2" t="s">
        <v>4542</v>
      </c>
      <c r="N1677" s="2" t="str">
        <f>IFERROR(__xludf.DUMMYFUNCTION("""COMPUTED_VALUE"""),"")</f>
        <v/>
      </c>
    </row>
    <row r="1678">
      <c r="A1678" s="2" t="s">
        <v>33</v>
      </c>
      <c r="B1678" s="12">
        <v>1614096.0</v>
      </c>
      <c r="C1678" s="12">
        <v>1614551.0</v>
      </c>
      <c r="D1678" s="2"/>
      <c r="E1678" s="2" t="s">
        <v>34</v>
      </c>
      <c r="F1678" s="2" t="s">
        <v>39</v>
      </c>
      <c r="G1678" s="2"/>
      <c r="H1678" s="12">
        <v>0.0</v>
      </c>
      <c r="I1678" s="2" t="s">
        <v>40</v>
      </c>
      <c r="J1678" s="2"/>
      <c r="K1678" s="2" t="s">
        <v>4543</v>
      </c>
      <c r="L1678" s="12">
        <v>151.0</v>
      </c>
      <c r="M1678" s="2" t="s">
        <v>4544</v>
      </c>
      <c r="N1678" s="2" t="str">
        <f>IFERROR(__xludf.DUMMYFUNCTION("""COMPUTED_VALUE"""),"")</f>
        <v/>
      </c>
    </row>
    <row r="1679">
      <c r="A1679" s="2" t="s">
        <v>33</v>
      </c>
      <c r="B1679" s="12">
        <v>1614636.0</v>
      </c>
      <c r="C1679" s="12">
        <v>1615049.0</v>
      </c>
      <c r="D1679" s="2"/>
      <c r="E1679" s="2" t="s">
        <v>38</v>
      </c>
      <c r="F1679" s="2" t="s">
        <v>39</v>
      </c>
      <c r="G1679" s="2"/>
      <c r="H1679" s="12">
        <v>0.0</v>
      </c>
      <c r="I1679" s="2" t="s">
        <v>40</v>
      </c>
      <c r="J1679" s="2"/>
      <c r="K1679" s="2" t="s">
        <v>4545</v>
      </c>
      <c r="L1679" s="12">
        <v>137.0</v>
      </c>
      <c r="M1679" s="2" t="s">
        <v>4546</v>
      </c>
      <c r="N1679" s="2" t="str">
        <f>IFERROR(__xludf.DUMMYFUNCTION("""COMPUTED_VALUE"""),"")</f>
        <v/>
      </c>
    </row>
    <row r="1680">
      <c r="A1680" s="2" t="s">
        <v>33</v>
      </c>
      <c r="B1680" s="12">
        <v>1615330.0</v>
      </c>
      <c r="C1680" s="12">
        <v>1615569.0</v>
      </c>
      <c r="D1680" s="2"/>
      <c r="E1680" s="2" t="s">
        <v>34</v>
      </c>
      <c r="F1680" s="2" t="s">
        <v>4547</v>
      </c>
      <c r="G1680" s="2"/>
      <c r="H1680" s="12">
        <v>0.0</v>
      </c>
      <c r="I1680" s="2" t="s">
        <v>40</v>
      </c>
      <c r="J1680" s="2"/>
      <c r="K1680" s="2" t="s">
        <v>4548</v>
      </c>
      <c r="L1680" s="12">
        <v>79.0</v>
      </c>
      <c r="M1680" s="2" t="s">
        <v>4549</v>
      </c>
      <c r="N1680" s="2" t="str">
        <f>IFERROR(__xludf.DUMMYFUNCTION("""COMPUTED_VALUE"""),"")</f>
        <v/>
      </c>
    </row>
    <row r="1681">
      <c r="A1681" s="2" t="s">
        <v>33</v>
      </c>
      <c r="B1681" s="12">
        <v>1615917.0</v>
      </c>
      <c r="C1681" s="12">
        <v>1616528.0</v>
      </c>
      <c r="D1681" s="2"/>
      <c r="E1681" s="2" t="s">
        <v>38</v>
      </c>
      <c r="F1681" s="2" t="s">
        <v>4550</v>
      </c>
      <c r="G1681" s="2"/>
      <c r="H1681" s="12">
        <v>0.0</v>
      </c>
      <c r="I1681" s="2" t="s">
        <v>40</v>
      </c>
      <c r="J1681" s="2"/>
      <c r="K1681" s="2" t="s">
        <v>4551</v>
      </c>
      <c r="L1681" s="12">
        <v>203.0</v>
      </c>
      <c r="M1681" s="2" t="s">
        <v>4552</v>
      </c>
      <c r="N1681" s="2" t="str">
        <f>IFERROR(__xludf.DUMMYFUNCTION("""COMPUTED_VALUE"""),"")</f>
        <v/>
      </c>
    </row>
    <row r="1682">
      <c r="A1682" s="2" t="s">
        <v>33</v>
      </c>
      <c r="B1682" s="12">
        <v>1616542.0</v>
      </c>
      <c r="C1682" s="12">
        <v>1616856.0</v>
      </c>
      <c r="D1682" s="2"/>
      <c r="E1682" s="2" t="s">
        <v>38</v>
      </c>
      <c r="F1682" s="2" t="s">
        <v>2365</v>
      </c>
      <c r="G1682" s="2"/>
      <c r="H1682" s="12">
        <v>0.0</v>
      </c>
      <c r="I1682" s="2" t="s">
        <v>40</v>
      </c>
      <c r="J1682" s="2"/>
      <c r="K1682" s="2" t="s">
        <v>4553</v>
      </c>
      <c r="L1682" s="12">
        <v>104.0</v>
      </c>
      <c r="M1682" s="2" t="s">
        <v>4554</v>
      </c>
      <c r="N1682" s="2" t="str">
        <f>IFERROR(__xludf.DUMMYFUNCTION("""COMPUTED_VALUE"""),"")</f>
        <v/>
      </c>
    </row>
    <row r="1683">
      <c r="A1683" s="2" t="s">
        <v>33</v>
      </c>
      <c r="B1683" s="12">
        <v>1617010.0</v>
      </c>
      <c r="C1683" s="12">
        <v>1617654.0</v>
      </c>
      <c r="D1683" s="2"/>
      <c r="E1683" s="2" t="s">
        <v>38</v>
      </c>
      <c r="F1683" s="2" t="s">
        <v>39</v>
      </c>
      <c r="G1683" s="2"/>
      <c r="H1683" s="12">
        <v>0.0</v>
      </c>
      <c r="I1683" s="2" t="s">
        <v>40</v>
      </c>
      <c r="J1683" s="2"/>
      <c r="K1683" s="2" t="s">
        <v>4555</v>
      </c>
      <c r="L1683" s="12">
        <v>214.0</v>
      </c>
      <c r="M1683" s="2" t="s">
        <v>4556</v>
      </c>
      <c r="N1683" s="2" t="str">
        <f>IFERROR(__xludf.DUMMYFUNCTION("""COMPUTED_VALUE"""),"")</f>
        <v/>
      </c>
    </row>
    <row r="1684">
      <c r="A1684" s="2" t="s">
        <v>33</v>
      </c>
      <c r="B1684" s="12">
        <v>1617781.0</v>
      </c>
      <c r="C1684" s="12">
        <v>1619514.0</v>
      </c>
      <c r="D1684" s="2"/>
      <c r="E1684" s="2" t="s">
        <v>38</v>
      </c>
      <c r="F1684" s="2" t="s">
        <v>4195</v>
      </c>
      <c r="G1684" s="2"/>
      <c r="H1684" s="12">
        <v>0.0</v>
      </c>
      <c r="I1684" s="2" t="s">
        <v>40</v>
      </c>
      <c r="J1684" s="2"/>
      <c r="K1684" s="2" t="s">
        <v>4557</v>
      </c>
      <c r="L1684" s="12">
        <v>577.0</v>
      </c>
      <c r="M1684" s="2" t="s">
        <v>4558</v>
      </c>
      <c r="N1684" s="2" t="str">
        <f>IFERROR(__xludf.DUMMYFUNCTION("""COMPUTED_VALUE"""),"")</f>
        <v/>
      </c>
    </row>
    <row r="1685">
      <c r="A1685" s="2" t="s">
        <v>33</v>
      </c>
      <c r="B1685" s="12">
        <v>1620648.0</v>
      </c>
      <c r="C1685" s="12">
        <v>1620929.0</v>
      </c>
      <c r="D1685" s="2"/>
      <c r="E1685" s="2" t="s">
        <v>38</v>
      </c>
      <c r="F1685" s="2" t="s">
        <v>39</v>
      </c>
      <c r="G1685" s="2"/>
      <c r="H1685" s="12">
        <v>0.0</v>
      </c>
      <c r="I1685" s="2" t="s">
        <v>40</v>
      </c>
      <c r="J1685" s="2"/>
      <c r="K1685" s="2" t="s">
        <v>4559</v>
      </c>
      <c r="L1685" s="12">
        <v>93.0</v>
      </c>
      <c r="M1685" s="2" t="s">
        <v>4560</v>
      </c>
      <c r="N1685" s="2" t="str">
        <f>IFERROR(__xludf.DUMMYFUNCTION("""COMPUTED_VALUE"""),"")</f>
        <v/>
      </c>
    </row>
    <row r="1686">
      <c r="A1686" s="2" t="s">
        <v>33</v>
      </c>
      <c r="B1686" s="12">
        <v>1621298.0</v>
      </c>
      <c r="C1686" s="12">
        <v>1622191.0</v>
      </c>
      <c r="D1686" s="2"/>
      <c r="E1686" s="2" t="s">
        <v>34</v>
      </c>
      <c r="F1686" s="2" t="s">
        <v>216</v>
      </c>
      <c r="G1686" s="2"/>
      <c r="H1686" s="12">
        <v>0.0</v>
      </c>
      <c r="I1686" s="2" t="s">
        <v>40</v>
      </c>
      <c r="J1686" s="2"/>
      <c r="K1686" s="2" t="s">
        <v>4561</v>
      </c>
      <c r="L1686" s="12">
        <v>297.0</v>
      </c>
      <c r="M1686" s="2" t="s">
        <v>4562</v>
      </c>
      <c r="N1686" s="2" t="str">
        <f>IFERROR(__xludf.DUMMYFUNCTION("""COMPUTED_VALUE"""),"")</f>
        <v/>
      </c>
    </row>
    <row r="1687">
      <c r="A1687" s="2" t="s">
        <v>33</v>
      </c>
      <c r="B1687" s="12">
        <v>1622618.0</v>
      </c>
      <c r="C1687" s="12">
        <v>1622718.0</v>
      </c>
      <c r="D1687" s="2"/>
      <c r="E1687" s="2" t="s">
        <v>38</v>
      </c>
      <c r="F1687" s="2" t="s">
        <v>35</v>
      </c>
      <c r="G1687" s="2"/>
      <c r="H1687" s="12">
        <v>0.0</v>
      </c>
      <c r="I1687" s="2" t="s">
        <v>36</v>
      </c>
      <c r="J1687" s="2"/>
      <c r="K1687" s="2"/>
      <c r="L1687" s="2"/>
      <c r="M1687" s="2" t="s">
        <v>4563</v>
      </c>
      <c r="N1687" s="2" t="str">
        <f>IFERROR(__xludf.DUMMYFUNCTION("""COMPUTED_VALUE"""),"")</f>
        <v/>
      </c>
    </row>
    <row r="1688">
      <c r="A1688" s="2" t="s">
        <v>33</v>
      </c>
      <c r="B1688" s="12">
        <v>1622813.0</v>
      </c>
      <c r="C1688" s="12">
        <v>1623202.0</v>
      </c>
      <c r="D1688" s="2"/>
      <c r="E1688" s="2" t="s">
        <v>38</v>
      </c>
      <c r="F1688" s="2" t="s">
        <v>39</v>
      </c>
      <c r="G1688" s="2"/>
      <c r="H1688" s="12">
        <v>0.0</v>
      </c>
      <c r="I1688" s="2" t="s">
        <v>40</v>
      </c>
      <c r="J1688" s="2"/>
      <c r="K1688" s="2" t="s">
        <v>4564</v>
      </c>
      <c r="L1688" s="12">
        <v>129.0</v>
      </c>
      <c r="M1688" s="2" t="s">
        <v>4565</v>
      </c>
      <c r="N1688" s="2" t="str">
        <f>IFERROR(__xludf.DUMMYFUNCTION("""COMPUTED_VALUE"""),"")</f>
        <v/>
      </c>
    </row>
    <row r="1689">
      <c r="A1689" s="2" t="s">
        <v>33</v>
      </c>
      <c r="B1689" s="12">
        <v>1623471.0</v>
      </c>
      <c r="C1689" s="12">
        <v>1623599.0</v>
      </c>
      <c r="D1689" s="2"/>
      <c r="E1689" s="2" t="s">
        <v>38</v>
      </c>
      <c r="F1689" s="2" t="s">
        <v>39</v>
      </c>
      <c r="G1689" s="2"/>
      <c r="H1689" s="12">
        <v>0.0</v>
      </c>
      <c r="I1689" s="2" t="s">
        <v>40</v>
      </c>
      <c r="J1689" s="2"/>
      <c r="K1689" s="2" t="s">
        <v>4566</v>
      </c>
      <c r="L1689" s="12">
        <v>42.0</v>
      </c>
      <c r="M1689" s="2" t="s">
        <v>4567</v>
      </c>
      <c r="N1689" s="2" t="str">
        <f>IFERROR(__xludf.DUMMYFUNCTION("""COMPUTED_VALUE"""),"")</f>
        <v/>
      </c>
    </row>
    <row r="1690">
      <c r="A1690" s="2" t="s">
        <v>33</v>
      </c>
      <c r="B1690" s="12">
        <v>1623599.0</v>
      </c>
      <c r="C1690" s="12">
        <v>1624708.0</v>
      </c>
      <c r="D1690" s="2"/>
      <c r="E1690" s="2" t="s">
        <v>38</v>
      </c>
      <c r="F1690" s="2" t="s">
        <v>1273</v>
      </c>
      <c r="G1690" s="2"/>
      <c r="H1690" s="12">
        <v>0.0</v>
      </c>
      <c r="I1690" s="2" t="s">
        <v>40</v>
      </c>
      <c r="J1690" s="2"/>
      <c r="K1690" s="2" t="s">
        <v>4568</v>
      </c>
      <c r="L1690" s="12">
        <v>369.0</v>
      </c>
      <c r="M1690" s="2" t="s">
        <v>4569</v>
      </c>
      <c r="N1690" s="2" t="str">
        <f>IFERROR(__xludf.DUMMYFUNCTION("""COMPUTED_VALUE"""),"")</f>
        <v/>
      </c>
    </row>
    <row r="1691">
      <c r="A1691" s="2" t="s">
        <v>33</v>
      </c>
      <c r="B1691" s="12">
        <v>1625527.0</v>
      </c>
      <c r="C1691" s="12">
        <v>1625985.0</v>
      </c>
      <c r="D1691" s="2"/>
      <c r="E1691" s="2" t="s">
        <v>34</v>
      </c>
      <c r="F1691" s="2" t="s">
        <v>39</v>
      </c>
      <c r="G1691" s="2"/>
      <c r="H1691" s="12">
        <v>0.0</v>
      </c>
      <c r="I1691" s="2" t="s">
        <v>40</v>
      </c>
      <c r="J1691" s="2"/>
      <c r="K1691" s="2" t="s">
        <v>4570</v>
      </c>
      <c r="L1691" s="12">
        <v>152.0</v>
      </c>
      <c r="M1691" s="2" t="s">
        <v>4571</v>
      </c>
      <c r="N1691" s="2" t="str">
        <f>IFERROR(__xludf.DUMMYFUNCTION("""COMPUTED_VALUE"""),"")</f>
        <v/>
      </c>
    </row>
    <row r="1692">
      <c r="A1692" s="2" t="s">
        <v>33</v>
      </c>
      <c r="B1692" s="12">
        <v>1626180.0</v>
      </c>
      <c r="C1692" s="12">
        <v>1626434.0</v>
      </c>
      <c r="D1692" s="2"/>
      <c r="E1692" s="2" t="s">
        <v>38</v>
      </c>
      <c r="F1692" s="2" t="s">
        <v>35</v>
      </c>
      <c r="G1692" s="2"/>
      <c r="H1692" s="12">
        <v>0.0</v>
      </c>
      <c r="I1692" s="2" t="s">
        <v>36</v>
      </c>
      <c r="J1692" s="2"/>
      <c r="K1692" s="2"/>
      <c r="L1692" s="2"/>
      <c r="M1692" s="2" t="s">
        <v>4572</v>
      </c>
      <c r="N1692" s="2" t="str">
        <f>IFERROR(__xludf.DUMMYFUNCTION("""COMPUTED_VALUE"""),"")</f>
        <v/>
      </c>
    </row>
    <row r="1693">
      <c r="A1693" s="2" t="s">
        <v>33</v>
      </c>
      <c r="B1693" s="12">
        <v>1626420.0</v>
      </c>
      <c r="C1693" s="12">
        <v>1626622.0</v>
      </c>
      <c r="D1693" s="2"/>
      <c r="E1693" s="2" t="s">
        <v>38</v>
      </c>
      <c r="F1693" s="2" t="s">
        <v>35</v>
      </c>
      <c r="G1693" s="2"/>
      <c r="H1693" s="12">
        <v>0.0</v>
      </c>
      <c r="I1693" s="2" t="s">
        <v>36</v>
      </c>
      <c r="J1693" s="2"/>
      <c r="K1693" s="2"/>
      <c r="L1693" s="2"/>
      <c r="M1693" s="2" t="s">
        <v>4573</v>
      </c>
      <c r="N1693" s="2" t="str">
        <f>IFERROR(__xludf.DUMMYFUNCTION("""COMPUTED_VALUE"""),"")</f>
        <v/>
      </c>
    </row>
    <row r="1694">
      <c r="A1694" s="2" t="s">
        <v>33</v>
      </c>
      <c r="B1694" s="12">
        <v>1626901.0</v>
      </c>
      <c r="C1694" s="12">
        <v>1627203.0</v>
      </c>
      <c r="D1694" s="2"/>
      <c r="E1694" s="2" t="s">
        <v>34</v>
      </c>
      <c r="F1694" s="2" t="s">
        <v>39</v>
      </c>
      <c r="G1694" s="2"/>
      <c r="H1694" s="12">
        <v>0.0</v>
      </c>
      <c r="I1694" s="2" t="s">
        <v>40</v>
      </c>
      <c r="J1694" s="2"/>
      <c r="K1694" s="2" t="s">
        <v>4574</v>
      </c>
      <c r="L1694" s="12">
        <v>100.0</v>
      </c>
      <c r="M1694" s="2" t="s">
        <v>4575</v>
      </c>
      <c r="N1694" s="2" t="str">
        <f>IFERROR(__xludf.DUMMYFUNCTION("""COMPUTED_VALUE"""),"")</f>
        <v/>
      </c>
    </row>
    <row r="1695">
      <c r="A1695" s="2" t="s">
        <v>33</v>
      </c>
      <c r="B1695" s="12">
        <v>1627368.0</v>
      </c>
      <c r="C1695" s="12">
        <v>1629119.0</v>
      </c>
      <c r="D1695" s="2"/>
      <c r="E1695" s="2" t="s">
        <v>38</v>
      </c>
      <c r="F1695" s="2" t="s">
        <v>4576</v>
      </c>
      <c r="G1695" s="2" t="s">
        <v>4577</v>
      </c>
      <c r="H1695" s="12">
        <v>0.0</v>
      </c>
      <c r="I1695" s="2" t="s">
        <v>40</v>
      </c>
      <c r="J1695" s="2"/>
      <c r="K1695" s="2" t="s">
        <v>4578</v>
      </c>
      <c r="L1695" s="12">
        <v>583.0</v>
      </c>
      <c r="M1695" s="2" t="s">
        <v>4579</v>
      </c>
      <c r="N1695" s="2" t="str">
        <f>IFERROR(__xludf.DUMMYFUNCTION("""COMPUTED_VALUE"""),"")</f>
        <v/>
      </c>
    </row>
    <row r="1696">
      <c r="A1696" s="2" t="s">
        <v>33</v>
      </c>
      <c r="B1696" s="12">
        <v>1629298.0</v>
      </c>
      <c r="C1696" s="12">
        <v>1629864.0</v>
      </c>
      <c r="D1696" s="2"/>
      <c r="E1696" s="2" t="s">
        <v>34</v>
      </c>
      <c r="F1696" s="2" t="s">
        <v>4580</v>
      </c>
      <c r="G1696" s="2" t="s">
        <v>4581</v>
      </c>
      <c r="H1696" s="12">
        <v>0.0</v>
      </c>
      <c r="I1696" s="2" t="s">
        <v>40</v>
      </c>
      <c r="J1696" s="2"/>
      <c r="K1696" s="2" t="s">
        <v>4582</v>
      </c>
      <c r="L1696" s="12">
        <v>188.0</v>
      </c>
      <c r="M1696" s="2" t="s">
        <v>4583</v>
      </c>
      <c r="N1696" s="2" t="str">
        <f>IFERROR(__xludf.DUMMYFUNCTION("""COMPUTED_VALUE"""),"")</f>
        <v/>
      </c>
    </row>
    <row r="1697">
      <c r="A1697" s="2" t="s">
        <v>33</v>
      </c>
      <c r="B1697" s="12">
        <v>1629884.0</v>
      </c>
      <c r="C1697" s="12">
        <v>1630882.0</v>
      </c>
      <c r="D1697" s="2"/>
      <c r="E1697" s="2" t="s">
        <v>34</v>
      </c>
      <c r="F1697" s="2" t="s">
        <v>4584</v>
      </c>
      <c r="G1697" s="2" t="s">
        <v>4585</v>
      </c>
      <c r="H1697" s="12">
        <v>0.0</v>
      </c>
      <c r="I1697" s="2" t="s">
        <v>40</v>
      </c>
      <c r="J1697" s="2"/>
      <c r="K1697" s="2" t="s">
        <v>4586</v>
      </c>
      <c r="L1697" s="12">
        <v>332.0</v>
      </c>
      <c r="M1697" s="2" t="s">
        <v>4587</v>
      </c>
      <c r="N1697" s="2" t="str">
        <f>IFERROR(__xludf.DUMMYFUNCTION("""COMPUTED_VALUE"""),"")</f>
        <v/>
      </c>
    </row>
    <row r="1698">
      <c r="A1698" s="2" t="s">
        <v>33</v>
      </c>
      <c r="B1698" s="12">
        <v>1630982.0</v>
      </c>
      <c r="C1698" s="12">
        <v>1631617.0</v>
      </c>
      <c r="D1698" s="2"/>
      <c r="E1698" s="2" t="s">
        <v>38</v>
      </c>
      <c r="F1698" s="2" t="s">
        <v>4418</v>
      </c>
      <c r="G1698" s="2"/>
      <c r="H1698" s="12">
        <v>0.0</v>
      </c>
      <c r="I1698" s="2" t="s">
        <v>40</v>
      </c>
      <c r="J1698" s="2"/>
      <c r="K1698" s="2" t="s">
        <v>4588</v>
      </c>
      <c r="L1698" s="12">
        <v>211.0</v>
      </c>
      <c r="M1698" s="2" t="s">
        <v>4589</v>
      </c>
      <c r="N1698" s="2" t="str">
        <f>IFERROR(__xludf.DUMMYFUNCTION("""COMPUTED_VALUE"""),"")</f>
        <v/>
      </c>
    </row>
    <row r="1699">
      <c r="A1699" s="2" t="s">
        <v>33</v>
      </c>
      <c r="B1699" s="12">
        <v>1631932.0</v>
      </c>
      <c r="C1699" s="12">
        <v>1632303.0</v>
      </c>
      <c r="D1699" s="2"/>
      <c r="E1699" s="2" t="s">
        <v>38</v>
      </c>
      <c r="F1699" s="2" t="s">
        <v>4590</v>
      </c>
      <c r="G1699" s="2"/>
      <c r="H1699" s="12">
        <v>0.0</v>
      </c>
      <c r="I1699" s="2" t="s">
        <v>40</v>
      </c>
      <c r="J1699" s="2"/>
      <c r="K1699" s="2" t="s">
        <v>4591</v>
      </c>
      <c r="L1699" s="12">
        <v>123.0</v>
      </c>
      <c r="M1699" s="2" t="s">
        <v>4592</v>
      </c>
      <c r="N1699" s="2" t="str">
        <f>IFERROR(__xludf.DUMMYFUNCTION("""COMPUTED_VALUE"""),"")</f>
        <v/>
      </c>
    </row>
    <row r="1700">
      <c r="A1700" s="2" t="s">
        <v>33</v>
      </c>
      <c r="B1700" s="12">
        <v>1632343.0</v>
      </c>
      <c r="C1700" s="12">
        <v>1632876.0</v>
      </c>
      <c r="D1700" s="2"/>
      <c r="E1700" s="2" t="s">
        <v>38</v>
      </c>
      <c r="F1700" s="2" t="s">
        <v>3368</v>
      </c>
      <c r="G1700" s="2" t="s">
        <v>3369</v>
      </c>
      <c r="H1700" s="12">
        <v>0.0</v>
      </c>
      <c r="I1700" s="2" t="s">
        <v>40</v>
      </c>
      <c r="J1700" s="2"/>
      <c r="K1700" s="2" t="s">
        <v>4593</v>
      </c>
      <c r="L1700" s="12">
        <v>177.0</v>
      </c>
      <c r="M1700" s="2" t="s">
        <v>4594</v>
      </c>
      <c r="N1700" s="2" t="str">
        <f>IFERROR(__xludf.DUMMYFUNCTION("""COMPUTED_VALUE"""),"")</f>
        <v/>
      </c>
    </row>
    <row r="1701">
      <c r="A1701" s="2" t="s">
        <v>33</v>
      </c>
      <c r="B1701" s="12">
        <v>1632920.0</v>
      </c>
      <c r="C1701" s="12">
        <v>1633378.0</v>
      </c>
      <c r="D1701" s="2"/>
      <c r="E1701" s="2" t="s">
        <v>38</v>
      </c>
      <c r="F1701" s="2" t="s">
        <v>534</v>
      </c>
      <c r="G1701" s="2"/>
      <c r="H1701" s="12">
        <v>0.0</v>
      </c>
      <c r="I1701" s="2" t="s">
        <v>40</v>
      </c>
      <c r="J1701" s="2"/>
      <c r="K1701" s="2" t="s">
        <v>4595</v>
      </c>
      <c r="L1701" s="12">
        <v>152.0</v>
      </c>
      <c r="M1701" s="2" t="s">
        <v>4596</v>
      </c>
      <c r="N1701" s="2" t="str">
        <f>IFERROR(__xludf.DUMMYFUNCTION("""COMPUTED_VALUE"""),"")</f>
        <v/>
      </c>
    </row>
    <row r="1702">
      <c r="A1702" s="2" t="s">
        <v>33</v>
      </c>
      <c r="B1702" s="12">
        <v>1633818.0</v>
      </c>
      <c r="C1702" s="12">
        <v>1634084.0</v>
      </c>
      <c r="D1702" s="2"/>
      <c r="E1702" s="2" t="s">
        <v>34</v>
      </c>
      <c r="F1702" s="2" t="s">
        <v>4597</v>
      </c>
      <c r="G1702" s="2"/>
      <c r="H1702" s="12">
        <v>0.0</v>
      </c>
      <c r="I1702" s="2" t="s">
        <v>40</v>
      </c>
      <c r="J1702" s="2"/>
      <c r="K1702" s="2" t="s">
        <v>4598</v>
      </c>
      <c r="L1702" s="12">
        <v>88.0</v>
      </c>
      <c r="M1702" s="2" t="s">
        <v>4599</v>
      </c>
      <c r="N1702" s="2" t="str">
        <f>IFERROR(__xludf.DUMMYFUNCTION("""COMPUTED_VALUE"""),"")</f>
        <v/>
      </c>
    </row>
    <row r="1703">
      <c r="A1703" s="2" t="s">
        <v>33</v>
      </c>
      <c r="B1703" s="12">
        <v>1634263.0</v>
      </c>
      <c r="C1703" s="12">
        <v>1634817.0</v>
      </c>
      <c r="D1703" s="2"/>
      <c r="E1703" s="2" t="s">
        <v>38</v>
      </c>
      <c r="F1703" s="2" t="s">
        <v>4600</v>
      </c>
      <c r="G1703" s="2"/>
      <c r="H1703" s="12">
        <v>0.0</v>
      </c>
      <c r="I1703" s="2" t="s">
        <v>40</v>
      </c>
      <c r="J1703" s="2"/>
      <c r="K1703" s="2" t="s">
        <v>4601</v>
      </c>
      <c r="L1703" s="12">
        <v>184.0</v>
      </c>
      <c r="M1703" s="2" t="s">
        <v>4602</v>
      </c>
      <c r="N1703" s="2" t="str">
        <f>IFERROR(__xludf.DUMMYFUNCTION("""COMPUTED_VALUE"""),"")</f>
        <v/>
      </c>
    </row>
    <row r="1704">
      <c r="A1704" s="2" t="s">
        <v>33</v>
      </c>
      <c r="B1704" s="12">
        <v>1634934.0</v>
      </c>
      <c r="C1704" s="12">
        <v>1635518.0</v>
      </c>
      <c r="D1704" s="2"/>
      <c r="E1704" s="2" t="s">
        <v>38</v>
      </c>
      <c r="F1704" s="2" t="s">
        <v>4603</v>
      </c>
      <c r="G1704" s="2"/>
      <c r="H1704" s="12">
        <v>0.0</v>
      </c>
      <c r="I1704" s="2" t="s">
        <v>40</v>
      </c>
      <c r="J1704" s="2"/>
      <c r="K1704" s="2" t="s">
        <v>4604</v>
      </c>
      <c r="L1704" s="12">
        <v>194.0</v>
      </c>
      <c r="M1704" s="2" t="s">
        <v>4605</v>
      </c>
      <c r="N1704" s="2" t="str">
        <f>IFERROR(__xludf.DUMMYFUNCTION("""COMPUTED_VALUE"""),"")</f>
        <v/>
      </c>
    </row>
    <row r="1705">
      <c r="A1705" s="2" t="s">
        <v>33</v>
      </c>
      <c r="B1705" s="12">
        <v>1635946.0</v>
      </c>
      <c r="C1705" s="12">
        <v>1637352.0</v>
      </c>
      <c r="D1705" s="2"/>
      <c r="E1705" s="2" t="s">
        <v>34</v>
      </c>
      <c r="F1705" s="2" t="s">
        <v>326</v>
      </c>
      <c r="G1705" s="2"/>
      <c r="H1705" s="12">
        <v>0.0</v>
      </c>
      <c r="I1705" s="2" t="s">
        <v>40</v>
      </c>
      <c r="J1705" s="2"/>
      <c r="K1705" s="2" t="s">
        <v>4606</v>
      </c>
      <c r="L1705" s="12">
        <v>468.0</v>
      </c>
      <c r="M1705" s="2" t="s">
        <v>4607</v>
      </c>
      <c r="N1705" s="2" t="str">
        <f>IFERROR(__xludf.DUMMYFUNCTION("""COMPUTED_VALUE"""),"")</f>
        <v/>
      </c>
    </row>
    <row r="1706">
      <c r="A1706" s="2" t="s">
        <v>33</v>
      </c>
      <c r="B1706" s="12">
        <v>1637621.0</v>
      </c>
      <c r="C1706" s="12">
        <v>1637881.0</v>
      </c>
      <c r="D1706" s="2"/>
      <c r="E1706" s="2" t="s">
        <v>38</v>
      </c>
      <c r="F1706" s="2" t="s">
        <v>39</v>
      </c>
      <c r="G1706" s="2"/>
      <c r="H1706" s="12">
        <v>0.0</v>
      </c>
      <c r="I1706" s="2" t="s">
        <v>40</v>
      </c>
      <c r="J1706" s="2"/>
      <c r="K1706" s="2" t="s">
        <v>4608</v>
      </c>
      <c r="L1706" s="12">
        <v>86.0</v>
      </c>
      <c r="M1706" s="2" t="s">
        <v>4609</v>
      </c>
      <c r="N1706" s="2" t="str">
        <f>IFERROR(__xludf.DUMMYFUNCTION("""COMPUTED_VALUE"""),"")</f>
        <v/>
      </c>
    </row>
    <row r="1707">
      <c r="A1707" s="2" t="s">
        <v>33</v>
      </c>
      <c r="B1707" s="12">
        <v>1638079.0</v>
      </c>
      <c r="C1707" s="12">
        <v>1638204.0</v>
      </c>
      <c r="D1707" s="2"/>
      <c r="E1707" s="2" t="s">
        <v>34</v>
      </c>
      <c r="F1707" s="2" t="s">
        <v>560</v>
      </c>
      <c r="G1707" s="2"/>
      <c r="H1707" s="12">
        <v>0.0</v>
      </c>
      <c r="I1707" s="2" t="s">
        <v>40</v>
      </c>
      <c r="J1707" s="2"/>
      <c r="K1707" s="2" t="s">
        <v>4610</v>
      </c>
      <c r="L1707" s="12">
        <v>41.0</v>
      </c>
      <c r="M1707" s="2" t="s">
        <v>4611</v>
      </c>
      <c r="N1707" s="2" t="str">
        <f>IFERROR(__xludf.DUMMYFUNCTION("""COMPUTED_VALUE"""),"")</f>
        <v/>
      </c>
    </row>
    <row r="1708">
      <c r="A1708" s="2" t="s">
        <v>33</v>
      </c>
      <c r="B1708" s="12">
        <v>1638455.0</v>
      </c>
      <c r="C1708" s="12">
        <v>1638583.0</v>
      </c>
      <c r="D1708" s="2"/>
      <c r="E1708" s="2" t="s">
        <v>38</v>
      </c>
      <c r="F1708" s="2" t="s">
        <v>39</v>
      </c>
      <c r="G1708" s="2"/>
      <c r="H1708" s="12">
        <v>0.0</v>
      </c>
      <c r="I1708" s="2" t="s">
        <v>40</v>
      </c>
      <c r="J1708" s="2"/>
      <c r="K1708" s="2" t="s">
        <v>4612</v>
      </c>
      <c r="L1708" s="12">
        <v>42.0</v>
      </c>
      <c r="M1708" s="2" t="s">
        <v>4613</v>
      </c>
      <c r="N1708" s="2" t="str">
        <f>IFERROR(__xludf.DUMMYFUNCTION("""COMPUTED_VALUE"""),"")</f>
        <v/>
      </c>
    </row>
    <row r="1709">
      <c r="A1709" s="2" t="s">
        <v>33</v>
      </c>
      <c r="B1709" s="12">
        <v>1638990.0</v>
      </c>
      <c r="C1709" s="12">
        <v>1640372.0</v>
      </c>
      <c r="D1709" s="2"/>
      <c r="E1709" s="2" t="s">
        <v>34</v>
      </c>
      <c r="F1709" s="2" t="s">
        <v>326</v>
      </c>
      <c r="G1709" s="2"/>
      <c r="H1709" s="12">
        <v>0.0</v>
      </c>
      <c r="I1709" s="2" t="s">
        <v>40</v>
      </c>
      <c r="J1709" s="2"/>
      <c r="K1709" s="2" t="s">
        <v>4614</v>
      </c>
      <c r="L1709" s="12">
        <v>460.0</v>
      </c>
      <c r="M1709" s="2" t="s">
        <v>4615</v>
      </c>
      <c r="N1709" s="2" t="str">
        <f>IFERROR(__xludf.DUMMYFUNCTION("""COMPUTED_VALUE"""),"")</f>
        <v/>
      </c>
    </row>
    <row r="1710">
      <c r="A1710" s="2" t="s">
        <v>33</v>
      </c>
      <c r="B1710" s="12">
        <v>1640452.0</v>
      </c>
      <c r="C1710" s="12">
        <v>1640838.0</v>
      </c>
      <c r="D1710" s="2"/>
      <c r="E1710" s="2" t="s">
        <v>38</v>
      </c>
      <c r="F1710" s="2" t="s">
        <v>39</v>
      </c>
      <c r="G1710" s="2"/>
      <c r="H1710" s="12">
        <v>0.0</v>
      </c>
      <c r="I1710" s="2" t="s">
        <v>40</v>
      </c>
      <c r="J1710" s="2"/>
      <c r="K1710" s="2" t="s">
        <v>4616</v>
      </c>
      <c r="L1710" s="12">
        <v>128.0</v>
      </c>
      <c r="M1710" s="2" t="s">
        <v>4617</v>
      </c>
      <c r="N1710" s="2" t="str">
        <f>IFERROR(__xludf.DUMMYFUNCTION("""COMPUTED_VALUE"""),"")</f>
        <v/>
      </c>
    </row>
    <row r="1711">
      <c r="A1711" s="2" t="s">
        <v>33</v>
      </c>
      <c r="B1711" s="12">
        <v>1640867.0</v>
      </c>
      <c r="C1711" s="12">
        <v>1640986.0</v>
      </c>
      <c r="D1711" s="2"/>
      <c r="E1711" s="2" t="s">
        <v>38</v>
      </c>
      <c r="F1711" s="2" t="s">
        <v>35</v>
      </c>
      <c r="G1711" s="2"/>
      <c r="H1711" s="12">
        <v>0.0</v>
      </c>
      <c r="I1711" s="2" t="s">
        <v>36</v>
      </c>
      <c r="J1711" s="2"/>
      <c r="K1711" s="2"/>
      <c r="L1711" s="2"/>
      <c r="M1711" s="2" t="s">
        <v>4618</v>
      </c>
      <c r="N1711" s="2" t="str">
        <f>IFERROR(__xludf.DUMMYFUNCTION("""COMPUTED_VALUE"""),"")</f>
        <v/>
      </c>
    </row>
    <row r="1712">
      <c r="A1712" s="2" t="s">
        <v>33</v>
      </c>
      <c r="B1712" s="12">
        <v>1641175.0</v>
      </c>
      <c r="C1712" s="12">
        <v>1641837.0</v>
      </c>
      <c r="D1712" s="2"/>
      <c r="E1712" s="2" t="s">
        <v>38</v>
      </c>
      <c r="F1712" s="2" t="s">
        <v>4619</v>
      </c>
      <c r="G1712" s="2"/>
      <c r="H1712" s="12">
        <v>0.0</v>
      </c>
      <c r="I1712" s="2" t="s">
        <v>40</v>
      </c>
      <c r="J1712" s="2"/>
      <c r="K1712" s="2" t="s">
        <v>4620</v>
      </c>
      <c r="L1712" s="12">
        <v>220.0</v>
      </c>
      <c r="M1712" s="2" t="s">
        <v>4621</v>
      </c>
      <c r="N1712" s="2" t="str">
        <f>IFERROR(__xludf.DUMMYFUNCTION("""COMPUTED_VALUE"""),"")</f>
        <v/>
      </c>
    </row>
    <row r="1713">
      <c r="A1713" s="2" t="s">
        <v>33</v>
      </c>
      <c r="B1713" s="12">
        <v>1641894.0</v>
      </c>
      <c r="C1713" s="12">
        <v>1642481.0</v>
      </c>
      <c r="D1713" s="2"/>
      <c r="E1713" s="2" t="s">
        <v>38</v>
      </c>
      <c r="F1713" s="2" t="s">
        <v>1300</v>
      </c>
      <c r="G1713" s="2"/>
      <c r="H1713" s="12">
        <v>0.0</v>
      </c>
      <c r="I1713" s="2" t="s">
        <v>40</v>
      </c>
      <c r="J1713" s="2"/>
      <c r="K1713" s="2" t="s">
        <v>4622</v>
      </c>
      <c r="L1713" s="12">
        <v>195.0</v>
      </c>
      <c r="M1713" s="2" t="s">
        <v>4623</v>
      </c>
      <c r="N1713" s="2" t="str">
        <f>IFERROR(__xludf.DUMMYFUNCTION("""COMPUTED_VALUE"""),"")</f>
        <v/>
      </c>
    </row>
    <row r="1714">
      <c r="A1714" s="2" t="s">
        <v>33</v>
      </c>
      <c r="B1714" s="12">
        <v>1642875.0</v>
      </c>
      <c r="C1714" s="12">
        <v>1643108.0</v>
      </c>
      <c r="D1714" s="2"/>
      <c r="E1714" s="2" t="s">
        <v>34</v>
      </c>
      <c r="F1714" s="2" t="s">
        <v>39</v>
      </c>
      <c r="G1714" s="2"/>
      <c r="H1714" s="12">
        <v>0.0</v>
      </c>
      <c r="I1714" s="2" t="s">
        <v>40</v>
      </c>
      <c r="J1714" s="2"/>
      <c r="K1714" s="2" t="s">
        <v>4624</v>
      </c>
      <c r="L1714" s="12">
        <v>77.0</v>
      </c>
      <c r="M1714" s="2" t="s">
        <v>4625</v>
      </c>
      <c r="N1714" s="2" t="str">
        <f>IFERROR(__xludf.DUMMYFUNCTION("""COMPUTED_VALUE"""),"")</f>
        <v/>
      </c>
    </row>
    <row r="1715">
      <c r="A1715" s="2" t="s">
        <v>33</v>
      </c>
      <c r="B1715" s="12">
        <v>1643089.0</v>
      </c>
      <c r="C1715" s="12">
        <v>1643634.0</v>
      </c>
      <c r="D1715" s="2"/>
      <c r="E1715" s="2" t="s">
        <v>38</v>
      </c>
      <c r="F1715" s="2" t="s">
        <v>367</v>
      </c>
      <c r="G1715" s="2"/>
      <c r="H1715" s="12">
        <v>0.0</v>
      </c>
      <c r="I1715" s="2" t="s">
        <v>40</v>
      </c>
      <c r="J1715" s="2"/>
      <c r="K1715" s="2" t="s">
        <v>4626</v>
      </c>
      <c r="L1715" s="12">
        <v>181.0</v>
      </c>
      <c r="M1715" s="2" t="s">
        <v>4627</v>
      </c>
      <c r="N1715" s="2" t="str">
        <f>IFERROR(__xludf.DUMMYFUNCTION("""COMPUTED_VALUE"""),"")</f>
        <v/>
      </c>
    </row>
    <row r="1716">
      <c r="A1716" s="2" t="s">
        <v>33</v>
      </c>
      <c r="B1716" s="12">
        <v>1643767.0</v>
      </c>
      <c r="C1716" s="12">
        <v>1643874.0</v>
      </c>
      <c r="D1716" s="2"/>
      <c r="E1716" s="2" t="s">
        <v>38</v>
      </c>
      <c r="F1716" s="2" t="s">
        <v>560</v>
      </c>
      <c r="G1716" s="2"/>
      <c r="H1716" s="12">
        <v>0.0</v>
      </c>
      <c r="I1716" s="2" t="s">
        <v>40</v>
      </c>
      <c r="J1716" s="2"/>
      <c r="K1716" s="2" t="s">
        <v>4628</v>
      </c>
      <c r="L1716" s="12">
        <v>35.0</v>
      </c>
      <c r="M1716" s="2" t="s">
        <v>4629</v>
      </c>
      <c r="N1716" s="2" t="str">
        <f>IFERROR(__xludf.DUMMYFUNCTION("""COMPUTED_VALUE"""),"")</f>
        <v/>
      </c>
    </row>
    <row r="1717">
      <c r="A1717" s="2" t="s">
        <v>33</v>
      </c>
      <c r="B1717" s="12">
        <v>1644089.0</v>
      </c>
      <c r="C1717" s="12">
        <v>1644223.0</v>
      </c>
      <c r="D1717" s="2"/>
      <c r="E1717" s="2" t="s">
        <v>34</v>
      </c>
      <c r="F1717" s="2" t="s">
        <v>39</v>
      </c>
      <c r="G1717" s="2"/>
      <c r="H1717" s="12">
        <v>0.0</v>
      </c>
      <c r="I1717" s="2" t="s">
        <v>40</v>
      </c>
      <c r="J1717" s="2"/>
      <c r="K1717" s="2" t="s">
        <v>4630</v>
      </c>
      <c r="L1717" s="12">
        <v>44.0</v>
      </c>
      <c r="M1717" s="2" t="s">
        <v>4631</v>
      </c>
      <c r="N1717" s="2" t="str">
        <f>IFERROR(__xludf.DUMMYFUNCTION("""COMPUTED_VALUE"""),"")</f>
        <v/>
      </c>
    </row>
    <row r="1718">
      <c r="A1718" s="2" t="s">
        <v>33</v>
      </c>
      <c r="B1718" s="12">
        <v>1644315.0</v>
      </c>
      <c r="C1718" s="12">
        <v>1644863.0</v>
      </c>
      <c r="D1718" s="2"/>
      <c r="E1718" s="2" t="s">
        <v>38</v>
      </c>
      <c r="F1718" s="2" t="s">
        <v>709</v>
      </c>
      <c r="G1718" s="2"/>
      <c r="H1718" s="12">
        <v>0.0</v>
      </c>
      <c r="I1718" s="2" t="s">
        <v>40</v>
      </c>
      <c r="J1718" s="2"/>
      <c r="K1718" s="2" t="s">
        <v>4632</v>
      </c>
      <c r="L1718" s="12">
        <v>182.0</v>
      </c>
      <c r="M1718" s="2" t="s">
        <v>4633</v>
      </c>
      <c r="N1718" s="2" t="str">
        <f>IFERROR(__xludf.DUMMYFUNCTION("""COMPUTED_VALUE"""),"")</f>
        <v/>
      </c>
    </row>
    <row r="1719">
      <c r="A1719" s="2" t="s">
        <v>33</v>
      </c>
      <c r="B1719" s="12">
        <v>1645215.0</v>
      </c>
      <c r="C1719" s="12">
        <v>1646690.0</v>
      </c>
      <c r="D1719" s="2"/>
      <c r="E1719" s="2" t="s">
        <v>38</v>
      </c>
      <c r="F1719" s="2" t="s">
        <v>832</v>
      </c>
      <c r="G1719" s="2"/>
      <c r="H1719" s="12">
        <v>0.0</v>
      </c>
      <c r="I1719" s="2" t="s">
        <v>40</v>
      </c>
      <c r="J1719" s="2"/>
      <c r="K1719" s="2" t="s">
        <v>4634</v>
      </c>
      <c r="L1719" s="12">
        <v>491.0</v>
      </c>
      <c r="M1719" s="2" t="s">
        <v>4635</v>
      </c>
      <c r="N1719" s="2" t="str">
        <f>IFERROR(__xludf.DUMMYFUNCTION("""COMPUTED_VALUE"""),"")</f>
        <v/>
      </c>
    </row>
    <row r="1720">
      <c r="A1720" s="2" t="s">
        <v>33</v>
      </c>
      <c r="B1720" s="12">
        <v>1646833.0</v>
      </c>
      <c r="C1720" s="12">
        <v>1647408.0</v>
      </c>
      <c r="D1720" s="2"/>
      <c r="E1720" s="2" t="s">
        <v>34</v>
      </c>
      <c r="F1720" s="2" t="s">
        <v>427</v>
      </c>
      <c r="G1720" s="2"/>
      <c r="H1720" s="12">
        <v>0.0</v>
      </c>
      <c r="I1720" s="2" t="s">
        <v>40</v>
      </c>
      <c r="J1720" s="2"/>
      <c r="K1720" s="2" t="s">
        <v>4636</v>
      </c>
      <c r="L1720" s="12">
        <v>191.0</v>
      </c>
      <c r="M1720" s="2" t="s">
        <v>4637</v>
      </c>
      <c r="N1720" s="2" t="str">
        <f>IFERROR(__xludf.DUMMYFUNCTION("""COMPUTED_VALUE"""),"")</f>
        <v/>
      </c>
    </row>
    <row r="1721">
      <c r="A1721" s="2" t="s">
        <v>33</v>
      </c>
      <c r="B1721" s="12">
        <v>1647585.0</v>
      </c>
      <c r="C1721" s="12">
        <v>1647737.0</v>
      </c>
      <c r="D1721" s="2"/>
      <c r="E1721" s="2" t="s">
        <v>38</v>
      </c>
      <c r="F1721" s="2" t="s">
        <v>39</v>
      </c>
      <c r="G1721" s="2"/>
      <c r="H1721" s="12">
        <v>0.0</v>
      </c>
      <c r="I1721" s="2" t="s">
        <v>40</v>
      </c>
      <c r="J1721" s="2"/>
      <c r="K1721" s="2" t="s">
        <v>4638</v>
      </c>
      <c r="L1721" s="12">
        <v>50.0</v>
      </c>
      <c r="M1721" s="2" t="s">
        <v>4639</v>
      </c>
      <c r="N1721" s="2" t="str">
        <f>IFERROR(__xludf.DUMMYFUNCTION("""COMPUTED_VALUE"""),"")</f>
        <v/>
      </c>
    </row>
    <row r="1722">
      <c r="A1722" s="2" t="s">
        <v>33</v>
      </c>
      <c r="B1722" s="12">
        <v>1648035.0</v>
      </c>
      <c r="C1722" s="12">
        <v>1648802.0</v>
      </c>
      <c r="D1722" s="2"/>
      <c r="E1722" s="2" t="s">
        <v>38</v>
      </c>
      <c r="F1722" s="2" t="s">
        <v>499</v>
      </c>
      <c r="G1722" s="2"/>
      <c r="H1722" s="12">
        <v>0.0</v>
      </c>
      <c r="I1722" s="2" t="s">
        <v>40</v>
      </c>
      <c r="J1722" s="2"/>
      <c r="K1722" s="2" t="s">
        <v>4640</v>
      </c>
      <c r="L1722" s="12">
        <v>255.0</v>
      </c>
      <c r="M1722" s="2" t="s">
        <v>4641</v>
      </c>
      <c r="N1722" s="2" t="str">
        <f>IFERROR(__xludf.DUMMYFUNCTION("""COMPUTED_VALUE"""),"")</f>
        <v/>
      </c>
    </row>
    <row r="1723">
      <c r="A1723" s="2" t="s">
        <v>33</v>
      </c>
      <c r="B1723" s="12">
        <v>1649066.0</v>
      </c>
      <c r="C1723" s="12">
        <v>1649851.0</v>
      </c>
      <c r="D1723" s="2"/>
      <c r="E1723" s="2" t="s">
        <v>34</v>
      </c>
      <c r="F1723" s="2" t="s">
        <v>2591</v>
      </c>
      <c r="G1723" s="2"/>
      <c r="H1723" s="12">
        <v>0.0</v>
      </c>
      <c r="I1723" s="2" t="s">
        <v>40</v>
      </c>
      <c r="J1723" s="2"/>
      <c r="K1723" s="2" t="s">
        <v>4642</v>
      </c>
      <c r="L1723" s="12">
        <v>261.0</v>
      </c>
      <c r="M1723" s="2" t="s">
        <v>4643</v>
      </c>
      <c r="N1723" s="2" t="str">
        <f>IFERROR(__xludf.DUMMYFUNCTION("""COMPUTED_VALUE"""),"")</f>
        <v/>
      </c>
    </row>
    <row r="1724">
      <c r="A1724" s="2" t="s">
        <v>33</v>
      </c>
      <c r="B1724" s="12">
        <v>1649991.0</v>
      </c>
      <c r="C1724" s="12">
        <v>1650158.0</v>
      </c>
      <c r="D1724" s="2"/>
      <c r="E1724" s="2" t="s">
        <v>38</v>
      </c>
      <c r="F1724" s="2" t="s">
        <v>39</v>
      </c>
      <c r="G1724" s="2"/>
      <c r="H1724" s="12">
        <v>0.0</v>
      </c>
      <c r="I1724" s="2" t="s">
        <v>40</v>
      </c>
      <c r="J1724" s="2"/>
      <c r="K1724" s="2" t="s">
        <v>4644</v>
      </c>
      <c r="L1724" s="12">
        <v>55.0</v>
      </c>
      <c r="M1724" s="2" t="s">
        <v>4645</v>
      </c>
      <c r="N1724" s="2" t="str">
        <f>IFERROR(__xludf.DUMMYFUNCTION("""COMPUTED_VALUE"""),"")</f>
        <v/>
      </c>
    </row>
    <row r="1725">
      <c r="A1725" s="2" t="s">
        <v>33</v>
      </c>
      <c r="B1725" s="12">
        <v>1650203.0</v>
      </c>
      <c r="C1725" s="12">
        <v>1651489.0</v>
      </c>
      <c r="D1725" s="2"/>
      <c r="E1725" s="2" t="s">
        <v>38</v>
      </c>
      <c r="F1725" s="2" t="s">
        <v>4646</v>
      </c>
      <c r="G1725" s="2" t="s">
        <v>4647</v>
      </c>
      <c r="H1725" s="12">
        <v>0.0</v>
      </c>
      <c r="I1725" s="2" t="s">
        <v>40</v>
      </c>
      <c r="J1725" s="2"/>
      <c r="K1725" s="2" t="s">
        <v>4648</v>
      </c>
      <c r="L1725" s="12">
        <v>428.0</v>
      </c>
      <c r="M1725" s="2" t="s">
        <v>4649</v>
      </c>
      <c r="N1725" s="2" t="str">
        <f>IFERROR(__xludf.DUMMYFUNCTION("""COMPUTED_VALUE"""),"")</f>
        <v/>
      </c>
    </row>
    <row r="1726">
      <c r="A1726" s="2" t="s">
        <v>33</v>
      </c>
      <c r="B1726" s="12">
        <v>1651486.0</v>
      </c>
      <c r="C1726" s="12">
        <v>1652349.0</v>
      </c>
      <c r="D1726" s="2"/>
      <c r="E1726" s="2" t="s">
        <v>38</v>
      </c>
      <c r="F1726" s="2" t="s">
        <v>4650</v>
      </c>
      <c r="G1726" s="2"/>
      <c r="H1726" s="12">
        <v>0.0</v>
      </c>
      <c r="I1726" s="2" t="s">
        <v>40</v>
      </c>
      <c r="J1726" s="2"/>
      <c r="K1726" s="2" t="s">
        <v>4651</v>
      </c>
      <c r="L1726" s="12">
        <v>287.0</v>
      </c>
      <c r="M1726" s="2" t="s">
        <v>4652</v>
      </c>
      <c r="N1726" s="2" t="str">
        <f>IFERROR(__xludf.DUMMYFUNCTION("""COMPUTED_VALUE"""),"")</f>
        <v/>
      </c>
    </row>
    <row r="1727">
      <c r="A1727" s="2" t="s">
        <v>33</v>
      </c>
      <c r="B1727" s="12">
        <v>1652547.0</v>
      </c>
      <c r="C1727" s="12">
        <v>1652872.0</v>
      </c>
      <c r="D1727" s="2"/>
      <c r="E1727" s="2" t="s">
        <v>38</v>
      </c>
      <c r="F1727" s="2" t="s">
        <v>35</v>
      </c>
      <c r="G1727" s="2"/>
      <c r="H1727" s="12">
        <v>0.0</v>
      </c>
      <c r="I1727" s="2" t="s">
        <v>36</v>
      </c>
      <c r="J1727" s="2"/>
      <c r="K1727" s="2"/>
      <c r="L1727" s="2"/>
      <c r="M1727" s="2" t="s">
        <v>4653</v>
      </c>
      <c r="N1727" s="2" t="str">
        <f>IFERROR(__xludf.DUMMYFUNCTION("""COMPUTED_VALUE"""),"")</f>
        <v/>
      </c>
    </row>
    <row r="1728">
      <c r="A1728" s="2" t="s">
        <v>33</v>
      </c>
      <c r="B1728" s="12">
        <v>1652955.0</v>
      </c>
      <c r="C1728" s="12">
        <v>1653683.0</v>
      </c>
      <c r="D1728" s="2"/>
      <c r="E1728" s="2" t="s">
        <v>38</v>
      </c>
      <c r="F1728" s="2" t="s">
        <v>39</v>
      </c>
      <c r="G1728" s="2"/>
      <c r="H1728" s="12">
        <v>0.0</v>
      </c>
      <c r="I1728" s="2" t="s">
        <v>40</v>
      </c>
      <c r="J1728" s="2"/>
      <c r="K1728" s="2" t="s">
        <v>4654</v>
      </c>
      <c r="L1728" s="12">
        <v>242.0</v>
      </c>
      <c r="M1728" s="2" t="s">
        <v>4655</v>
      </c>
      <c r="N1728" s="2" t="str">
        <f>IFERROR(__xludf.DUMMYFUNCTION("""COMPUTED_VALUE"""),"")</f>
        <v/>
      </c>
    </row>
    <row r="1729">
      <c r="A1729" s="2" t="s">
        <v>33</v>
      </c>
      <c r="B1729" s="12">
        <v>1653957.0</v>
      </c>
      <c r="C1729" s="12">
        <v>1654694.0</v>
      </c>
      <c r="D1729" s="2"/>
      <c r="E1729" s="2" t="s">
        <v>38</v>
      </c>
      <c r="F1729" s="2" t="s">
        <v>338</v>
      </c>
      <c r="G1729" s="2"/>
      <c r="H1729" s="12">
        <v>0.0</v>
      </c>
      <c r="I1729" s="2" t="s">
        <v>40</v>
      </c>
      <c r="J1729" s="2"/>
      <c r="K1729" s="2" t="s">
        <v>4656</v>
      </c>
      <c r="L1729" s="12">
        <v>245.0</v>
      </c>
      <c r="M1729" s="2" t="s">
        <v>4657</v>
      </c>
      <c r="N1729" s="2" t="str">
        <f>IFERROR(__xludf.DUMMYFUNCTION("""COMPUTED_VALUE"""),"")</f>
        <v/>
      </c>
    </row>
    <row r="1730">
      <c r="A1730" s="2" t="s">
        <v>33</v>
      </c>
      <c r="B1730" s="12">
        <v>1654703.0</v>
      </c>
      <c r="C1730" s="12">
        <v>1654954.0</v>
      </c>
      <c r="D1730" s="2"/>
      <c r="E1730" s="2" t="s">
        <v>38</v>
      </c>
      <c r="F1730" s="2" t="s">
        <v>39</v>
      </c>
      <c r="G1730" s="2"/>
      <c r="H1730" s="12">
        <v>0.0</v>
      </c>
      <c r="I1730" s="2" t="s">
        <v>40</v>
      </c>
      <c r="J1730" s="2"/>
      <c r="K1730" s="2" t="s">
        <v>4658</v>
      </c>
      <c r="L1730" s="12">
        <v>83.0</v>
      </c>
      <c r="M1730" s="2" t="s">
        <v>4659</v>
      </c>
      <c r="N1730" s="2" t="str">
        <f>IFERROR(__xludf.DUMMYFUNCTION("""COMPUTED_VALUE"""),"")</f>
        <v/>
      </c>
    </row>
    <row r="1731">
      <c r="A1731" s="2" t="s">
        <v>33</v>
      </c>
      <c r="B1731" s="12">
        <v>1654958.0</v>
      </c>
      <c r="C1731" s="12">
        <v>1655296.0</v>
      </c>
      <c r="D1731" s="2"/>
      <c r="E1731" s="2" t="s">
        <v>38</v>
      </c>
      <c r="F1731" s="2" t="s">
        <v>2758</v>
      </c>
      <c r="G1731" s="2"/>
      <c r="H1731" s="12">
        <v>0.0</v>
      </c>
      <c r="I1731" s="2" t="s">
        <v>40</v>
      </c>
      <c r="J1731" s="2"/>
      <c r="K1731" s="2" t="s">
        <v>4660</v>
      </c>
      <c r="L1731" s="12">
        <v>112.0</v>
      </c>
      <c r="M1731" s="2" t="s">
        <v>4661</v>
      </c>
      <c r="N1731" s="2" t="str">
        <f>IFERROR(__xludf.DUMMYFUNCTION("""COMPUTED_VALUE"""),"")</f>
        <v/>
      </c>
    </row>
    <row r="1732">
      <c r="A1732" s="2" t="s">
        <v>33</v>
      </c>
      <c r="B1732" s="12">
        <v>1655753.0</v>
      </c>
      <c r="C1732" s="12">
        <v>1655917.0</v>
      </c>
      <c r="D1732" s="2"/>
      <c r="E1732" s="2" t="s">
        <v>38</v>
      </c>
      <c r="F1732" s="2" t="s">
        <v>4662</v>
      </c>
      <c r="G1732" s="2"/>
      <c r="H1732" s="12">
        <v>0.0</v>
      </c>
      <c r="I1732" s="2" t="s">
        <v>40</v>
      </c>
      <c r="J1732" s="2"/>
      <c r="K1732" s="2" t="s">
        <v>4663</v>
      </c>
      <c r="L1732" s="12">
        <v>54.0</v>
      </c>
      <c r="M1732" s="2" t="s">
        <v>4664</v>
      </c>
      <c r="N1732" s="2" t="str">
        <f>IFERROR(__xludf.DUMMYFUNCTION("""COMPUTED_VALUE"""),"")</f>
        <v/>
      </c>
    </row>
    <row r="1733">
      <c r="A1733" s="2" t="s">
        <v>33</v>
      </c>
      <c r="B1733" s="12">
        <v>1655974.0</v>
      </c>
      <c r="C1733" s="12">
        <v>1660050.0</v>
      </c>
      <c r="D1733" s="2"/>
      <c r="E1733" s="2" t="s">
        <v>38</v>
      </c>
      <c r="F1733" s="2" t="s">
        <v>39</v>
      </c>
      <c r="G1733" s="2"/>
      <c r="H1733" s="12">
        <v>0.0</v>
      </c>
      <c r="I1733" s="2" t="s">
        <v>40</v>
      </c>
      <c r="J1733" s="2"/>
      <c r="K1733" s="2" t="s">
        <v>4665</v>
      </c>
      <c r="L1733" s="12">
        <v>1358.0</v>
      </c>
      <c r="M1733" s="2" t="s">
        <v>4666</v>
      </c>
      <c r="N1733" s="2" t="str">
        <f>IFERROR(__xludf.DUMMYFUNCTION("""COMPUTED_VALUE"""),"")</f>
        <v/>
      </c>
    </row>
    <row r="1734">
      <c r="A1734" s="2" t="s">
        <v>33</v>
      </c>
      <c r="B1734" s="12">
        <v>1660352.0</v>
      </c>
      <c r="C1734" s="12">
        <v>1661104.0</v>
      </c>
      <c r="D1734" s="2"/>
      <c r="E1734" s="2" t="s">
        <v>38</v>
      </c>
      <c r="F1734" s="2" t="s">
        <v>4667</v>
      </c>
      <c r="G1734" s="2"/>
      <c r="H1734" s="12">
        <v>0.0</v>
      </c>
      <c r="I1734" s="2" t="s">
        <v>40</v>
      </c>
      <c r="J1734" s="2"/>
      <c r="K1734" s="2" t="s">
        <v>4668</v>
      </c>
      <c r="L1734" s="12">
        <v>250.0</v>
      </c>
      <c r="M1734" s="2" t="s">
        <v>4669</v>
      </c>
      <c r="N1734" s="2" t="str">
        <f>IFERROR(__xludf.DUMMYFUNCTION("""COMPUTED_VALUE"""),"")</f>
        <v/>
      </c>
    </row>
    <row r="1735">
      <c r="A1735" s="2" t="s">
        <v>33</v>
      </c>
      <c r="B1735" s="12">
        <v>1661076.0</v>
      </c>
      <c r="C1735" s="12">
        <v>1662650.0</v>
      </c>
      <c r="D1735" s="2"/>
      <c r="E1735" s="2" t="s">
        <v>38</v>
      </c>
      <c r="F1735" s="2" t="s">
        <v>39</v>
      </c>
      <c r="G1735" s="2"/>
      <c r="H1735" s="12">
        <v>0.0</v>
      </c>
      <c r="I1735" s="2" t="s">
        <v>40</v>
      </c>
      <c r="J1735" s="2"/>
      <c r="K1735" s="2" t="s">
        <v>4670</v>
      </c>
      <c r="L1735" s="12">
        <v>524.0</v>
      </c>
      <c r="M1735" s="2" t="s">
        <v>4671</v>
      </c>
      <c r="N1735" s="2" t="str">
        <f>IFERROR(__xludf.DUMMYFUNCTION("""COMPUTED_VALUE"""),"")</f>
        <v/>
      </c>
    </row>
    <row r="1736">
      <c r="A1736" s="2" t="s">
        <v>33</v>
      </c>
      <c r="B1736" s="12">
        <v>1662680.0</v>
      </c>
      <c r="C1736" s="12">
        <v>1663756.0</v>
      </c>
      <c r="D1736" s="2"/>
      <c r="E1736" s="2" t="s">
        <v>38</v>
      </c>
      <c r="F1736" s="2" t="s">
        <v>4672</v>
      </c>
      <c r="G1736" s="2"/>
      <c r="H1736" s="12">
        <v>0.0</v>
      </c>
      <c r="I1736" s="2" t="s">
        <v>40</v>
      </c>
      <c r="J1736" s="2"/>
      <c r="K1736" s="2" t="s">
        <v>4673</v>
      </c>
      <c r="L1736" s="12">
        <v>358.0</v>
      </c>
      <c r="M1736" s="2" t="s">
        <v>4674</v>
      </c>
      <c r="N1736" s="2" t="str">
        <f>IFERROR(__xludf.DUMMYFUNCTION("""COMPUTED_VALUE"""),"")</f>
        <v/>
      </c>
    </row>
    <row r="1737">
      <c r="A1737" s="2" t="s">
        <v>33</v>
      </c>
      <c r="B1737" s="12">
        <v>1664472.0</v>
      </c>
      <c r="C1737" s="12">
        <v>1665579.0</v>
      </c>
      <c r="D1737" s="2"/>
      <c r="E1737" s="2" t="s">
        <v>38</v>
      </c>
      <c r="F1737" s="2" t="s">
        <v>35</v>
      </c>
      <c r="G1737" s="2"/>
      <c r="H1737" s="12">
        <v>0.0</v>
      </c>
      <c r="I1737" s="2" t="s">
        <v>36</v>
      </c>
      <c r="J1737" s="2"/>
      <c r="K1737" s="2"/>
      <c r="L1737" s="2"/>
      <c r="M1737" s="2" t="s">
        <v>4675</v>
      </c>
      <c r="N1737" s="2" t="str">
        <f>IFERROR(__xludf.DUMMYFUNCTION("""COMPUTED_VALUE"""),"")</f>
        <v/>
      </c>
    </row>
    <row r="1738">
      <c r="A1738" s="2" t="s">
        <v>33</v>
      </c>
      <c r="B1738" s="12">
        <v>1665804.0</v>
      </c>
      <c r="C1738" s="12">
        <v>1667387.0</v>
      </c>
      <c r="D1738" s="2"/>
      <c r="E1738" s="2" t="s">
        <v>38</v>
      </c>
      <c r="F1738" s="2" t="s">
        <v>4676</v>
      </c>
      <c r="G1738" s="2"/>
      <c r="H1738" s="12">
        <v>0.0</v>
      </c>
      <c r="I1738" s="2" t="s">
        <v>40</v>
      </c>
      <c r="J1738" s="2"/>
      <c r="K1738" s="2" t="s">
        <v>4677</v>
      </c>
      <c r="L1738" s="12">
        <v>527.0</v>
      </c>
      <c r="M1738" s="2" t="s">
        <v>4678</v>
      </c>
      <c r="N1738" s="2" t="str">
        <f>IFERROR(__xludf.DUMMYFUNCTION("""COMPUTED_VALUE"""),"")</f>
        <v/>
      </c>
    </row>
    <row r="1739">
      <c r="A1739" s="2" t="s">
        <v>33</v>
      </c>
      <c r="B1739" s="12">
        <v>1667597.0</v>
      </c>
      <c r="C1739" s="12">
        <v>1667731.0</v>
      </c>
      <c r="D1739" s="2"/>
      <c r="E1739" s="2" t="s">
        <v>38</v>
      </c>
      <c r="F1739" s="2" t="s">
        <v>39</v>
      </c>
      <c r="G1739" s="2"/>
      <c r="H1739" s="12">
        <v>0.0</v>
      </c>
      <c r="I1739" s="2" t="s">
        <v>40</v>
      </c>
      <c r="J1739" s="2"/>
      <c r="K1739" s="2" t="s">
        <v>4679</v>
      </c>
      <c r="L1739" s="12">
        <v>44.0</v>
      </c>
      <c r="M1739" s="2" t="s">
        <v>4680</v>
      </c>
      <c r="N1739" s="2" t="str">
        <f>IFERROR(__xludf.DUMMYFUNCTION("""COMPUTED_VALUE"""),"")</f>
        <v/>
      </c>
    </row>
    <row r="1740">
      <c r="A1740" s="2" t="s">
        <v>33</v>
      </c>
      <c r="B1740" s="12">
        <v>1668016.0</v>
      </c>
      <c r="C1740" s="12">
        <v>1668564.0</v>
      </c>
      <c r="D1740" s="2"/>
      <c r="E1740" s="2" t="s">
        <v>38</v>
      </c>
      <c r="F1740" s="2" t="s">
        <v>39</v>
      </c>
      <c r="G1740" s="2"/>
      <c r="H1740" s="12">
        <v>0.0</v>
      </c>
      <c r="I1740" s="2" t="s">
        <v>40</v>
      </c>
      <c r="J1740" s="2"/>
      <c r="K1740" s="2" t="s">
        <v>4681</v>
      </c>
      <c r="L1740" s="12">
        <v>182.0</v>
      </c>
      <c r="M1740" s="2" t="s">
        <v>4682</v>
      </c>
      <c r="N1740" s="2" t="str">
        <f>IFERROR(__xludf.DUMMYFUNCTION("""COMPUTED_VALUE"""),"")</f>
        <v/>
      </c>
    </row>
    <row r="1741">
      <c r="A1741" s="2" t="s">
        <v>33</v>
      </c>
      <c r="B1741" s="12">
        <v>1668726.0</v>
      </c>
      <c r="C1741" s="12">
        <v>1669481.0</v>
      </c>
      <c r="D1741" s="2"/>
      <c r="E1741" s="2" t="s">
        <v>38</v>
      </c>
      <c r="F1741" s="2" t="s">
        <v>39</v>
      </c>
      <c r="G1741" s="2"/>
      <c r="H1741" s="12">
        <v>0.0</v>
      </c>
      <c r="I1741" s="2" t="s">
        <v>40</v>
      </c>
      <c r="J1741" s="2"/>
      <c r="K1741" s="2" t="s">
        <v>4683</v>
      </c>
      <c r="L1741" s="12">
        <v>251.0</v>
      </c>
      <c r="M1741" s="2" t="s">
        <v>4684</v>
      </c>
      <c r="N1741" s="2" t="str">
        <f>IFERROR(__xludf.DUMMYFUNCTION("""COMPUTED_VALUE"""),"")</f>
        <v/>
      </c>
    </row>
    <row r="1742">
      <c r="A1742" s="2" t="s">
        <v>33</v>
      </c>
      <c r="B1742" s="12">
        <v>1669635.0</v>
      </c>
      <c r="C1742" s="12">
        <v>1669769.0</v>
      </c>
      <c r="D1742" s="2"/>
      <c r="E1742" s="2" t="s">
        <v>38</v>
      </c>
      <c r="F1742" s="2" t="s">
        <v>35</v>
      </c>
      <c r="G1742" s="2"/>
      <c r="H1742" s="12">
        <v>0.0</v>
      </c>
      <c r="I1742" s="2" t="s">
        <v>36</v>
      </c>
      <c r="J1742" s="2"/>
      <c r="K1742" s="2"/>
      <c r="L1742" s="2"/>
      <c r="M1742" s="2" t="s">
        <v>4685</v>
      </c>
      <c r="N1742" s="2" t="str">
        <f>IFERROR(__xludf.DUMMYFUNCTION("""COMPUTED_VALUE"""),"")</f>
        <v/>
      </c>
    </row>
    <row r="1743">
      <c r="A1743" s="2" t="s">
        <v>33</v>
      </c>
      <c r="B1743" s="12">
        <v>1670295.0</v>
      </c>
      <c r="C1743" s="12">
        <v>1671386.0</v>
      </c>
      <c r="D1743" s="2"/>
      <c r="E1743" s="2" t="s">
        <v>38</v>
      </c>
      <c r="F1743" s="2" t="s">
        <v>4686</v>
      </c>
      <c r="G1743" s="2"/>
      <c r="H1743" s="12">
        <v>0.0</v>
      </c>
      <c r="I1743" s="2" t="s">
        <v>40</v>
      </c>
      <c r="J1743" s="2"/>
      <c r="K1743" s="2" t="s">
        <v>4687</v>
      </c>
      <c r="L1743" s="12">
        <v>363.0</v>
      </c>
      <c r="M1743" s="2" t="s">
        <v>4688</v>
      </c>
      <c r="N1743" s="2" t="str">
        <f>IFERROR(__xludf.DUMMYFUNCTION("""COMPUTED_VALUE"""),"")</f>
        <v/>
      </c>
    </row>
    <row r="1744">
      <c r="A1744" s="2" t="s">
        <v>33</v>
      </c>
      <c r="B1744" s="12">
        <v>1671504.0</v>
      </c>
      <c r="C1744" s="12">
        <v>1672838.0</v>
      </c>
      <c r="D1744" s="2"/>
      <c r="E1744" s="2" t="s">
        <v>38</v>
      </c>
      <c r="F1744" s="2" t="s">
        <v>4689</v>
      </c>
      <c r="G1744" s="2"/>
      <c r="H1744" s="12">
        <v>0.0</v>
      </c>
      <c r="I1744" s="2" t="s">
        <v>40</v>
      </c>
      <c r="J1744" s="2"/>
      <c r="K1744" s="2" t="s">
        <v>4690</v>
      </c>
      <c r="L1744" s="12">
        <v>444.0</v>
      </c>
      <c r="M1744" s="2" t="s">
        <v>4691</v>
      </c>
      <c r="N1744" s="2" t="str">
        <f>IFERROR(__xludf.DUMMYFUNCTION("""COMPUTED_VALUE"""),"")</f>
        <v/>
      </c>
    </row>
    <row r="1745">
      <c r="A1745" s="2" t="s">
        <v>33</v>
      </c>
      <c r="B1745" s="12">
        <v>1672831.0</v>
      </c>
      <c r="C1745" s="12">
        <v>1674576.0</v>
      </c>
      <c r="D1745" s="2"/>
      <c r="E1745" s="2" t="s">
        <v>38</v>
      </c>
      <c r="F1745" s="2" t="s">
        <v>712</v>
      </c>
      <c r="G1745" s="2"/>
      <c r="H1745" s="12">
        <v>0.0</v>
      </c>
      <c r="I1745" s="2" t="s">
        <v>40</v>
      </c>
      <c r="J1745" s="2"/>
      <c r="K1745" s="2" t="s">
        <v>4692</v>
      </c>
      <c r="L1745" s="12">
        <v>581.0</v>
      </c>
      <c r="M1745" s="2" t="s">
        <v>4693</v>
      </c>
      <c r="N1745" s="2" t="str">
        <f>IFERROR(__xludf.DUMMYFUNCTION("""COMPUTED_VALUE"""),"")</f>
        <v/>
      </c>
    </row>
    <row r="1746">
      <c r="A1746" s="2" t="s">
        <v>33</v>
      </c>
      <c r="B1746" s="12">
        <v>1674919.0</v>
      </c>
      <c r="C1746" s="12">
        <v>1675932.0</v>
      </c>
      <c r="D1746" s="2"/>
      <c r="E1746" s="2" t="s">
        <v>38</v>
      </c>
      <c r="F1746" s="2" t="s">
        <v>4694</v>
      </c>
      <c r="G1746" s="2"/>
      <c r="H1746" s="12">
        <v>0.0</v>
      </c>
      <c r="I1746" s="2" t="s">
        <v>40</v>
      </c>
      <c r="J1746" s="2"/>
      <c r="K1746" s="2" t="s">
        <v>4695</v>
      </c>
      <c r="L1746" s="12">
        <v>337.0</v>
      </c>
      <c r="M1746" s="2" t="s">
        <v>4696</v>
      </c>
      <c r="N1746" s="2" t="str">
        <f>IFERROR(__xludf.DUMMYFUNCTION("""COMPUTED_VALUE"""),"")</f>
        <v/>
      </c>
    </row>
    <row r="1747">
      <c r="A1747" s="2" t="s">
        <v>33</v>
      </c>
      <c r="B1747" s="12">
        <v>1675929.0</v>
      </c>
      <c r="C1747" s="12">
        <v>1676606.0</v>
      </c>
      <c r="D1747" s="2"/>
      <c r="E1747" s="2" t="s">
        <v>38</v>
      </c>
      <c r="F1747" s="2" t="s">
        <v>2401</v>
      </c>
      <c r="G1747" s="2"/>
      <c r="H1747" s="12">
        <v>0.0</v>
      </c>
      <c r="I1747" s="2" t="s">
        <v>40</v>
      </c>
      <c r="J1747" s="2"/>
      <c r="K1747" s="2" t="s">
        <v>4697</v>
      </c>
      <c r="L1747" s="12">
        <v>225.0</v>
      </c>
      <c r="M1747" s="2" t="s">
        <v>4698</v>
      </c>
      <c r="N1747" s="2" t="str">
        <f>IFERROR(__xludf.DUMMYFUNCTION("""COMPUTED_VALUE"""),"")</f>
        <v/>
      </c>
    </row>
    <row r="1748">
      <c r="A1748" s="2" t="s">
        <v>33</v>
      </c>
      <c r="B1748" s="12">
        <v>1676600.0</v>
      </c>
      <c r="C1748" s="12">
        <v>1678216.0</v>
      </c>
      <c r="D1748" s="2"/>
      <c r="E1748" s="2" t="s">
        <v>38</v>
      </c>
      <c r="F1748" s="2" t="s">
        <v>2404</v>
      </c>
      <c r="G1748" s="2"/>
      <c r="H1748" s="12">
        <v>0.0</v>
      </c>
      <c r="I1748" s="2" t="s">
        <v>40</v>
      </c>
      <c r="J1748" s="2"/>
      <c r="K1748" s="2" t="s">
        <v>4699</v>
      </c>
      <c r="L1748" s="12">
        <v>538.0</v>
      </c>
      <c r="M1748" s="2" t="s">
        <v>4700</v>
      </c>
      <c r="N1748" s="2" t="str">
        <f>IFERROR(__xludf.DUMMYFUNCTION("""COMPUTED_VALUE"""),"")</f>
        <v/>
      </c>
    </row>
    <row r="1749">
      <c r="A1749" s="2" t="s">
        <v>33</v>
      </c>
      <c r="B1749" s="12">
        <v>1678442.0</v>
      </c>
      <c r="C1749" s="12">
        <v>1679764.0</v>
      </c>
      <c r="D1749" s="2"/>
      <c r="E1749" s="2" t="s">
        <v>34</v>
      </c>
      <c r="F1749" s="2" t="s">
        <v>88</v>
      </c>
      <c r="G1749" s="2"/>
      <c r="H1749" s="12">
        <v>0.0</v>
      </c>
      <c r="I1749" s="2" t="s">
        <v>40</v>
      </c>
      <c r="J1749" s="2"/>
      <c r="K1749" s="2" t="s">
        <v>4701</v>
      </c>
      <c r="L1749" s="12">
        <v>440.0</v>
      </c>
      <c r="M1749" s="2" t="s">
        <v>4702</v>
      </c>
      <c r="N1749" s="2" t="str">
        <f>IFERROR(__xludf.DUMMYFUNCTION("""COMPUTED_VALUE"""),"")</f>
        <v/>
      </c>
    </row>
    <row r="1750">
      <c r="A1750" s="2" t="s">
        <v>33</v>
      </c>
      <c r="B1750" s="12">
        <v>1680344.0</v>
      </c>
      <c r="C1750" s="12">
        <v>1680799.0</v>
      </c>
      <c r="D1750" s="2"/>
      <c r="E1750" s="2" t="s">
        <v>34</v>
      </c>
      <c r="F1750" s="2" t="s">
        <v>39</v>
      </c>
      <c r="G1750" s="2"/>
      <c r="H1750" s="12">
        <v>0.0</v>
      </c>
      <c r="I1750" s="2" t="s">
        <v>40</v>
      </c>
      <c r="J1750" s="2"/>
      <c r="K1750" s="2" t="s">
        <v>4703</v>
      </c>
      <c r="L1750" s="12">
        <v>151.0</v>
      </c>
      <c r="M1750" s="2" t="s">
        <v>4704</v>
      </c>
      <c r="N1750" s="2" t="str">
        <f>IFERROR(__xludf.DUMMYFUNCTION("""COMPUTED_VALUE"""),"")</f>
        <v/>
      </c>
    </row>
    <row r="1751">
      <c r="A1751" s="2" t="s">
        <v>33</v>
      </c>
      <c r="B1751" s="12">
        <v>1680888.0</v>
      </c>
      <c r="C1751" s="12">
        <v>1681130.0</v>
      </c>
      <c r="D1751" s="2"/>
      <c r="E1751" s="2" t="s">
        <v>34</v>
      </c>
      <c r="F1751" s="2" t="s">
        <v>39</v>
      </c>
      <c r="G1751" s="2"/>
      <c r="H1751" s="12">
        <v>0.0</v>
      </c>
      <c r="I1751" s="2" t="s">
        <v>40</v>
      </c>
      <c r="J1751" s="2"/>
      <c r="K1751" s="2" t="s">
        <v>4705</v>
      </c>
      <c r="L1751" s="12">
        <v>80.0</v>
      </c>
      <c r="M1751" s="2" t="s">
        <v>4706</v>
      </c>
      <c r="N1751" s="2" t="str">
        <f>IFERROR(__xludf.DUMMYFUNCTION("""COMPUTED_VALUE"""),"")</f>
        <v/>
      </c>
    </row>
    <row r="1752">
      <c r="A1752" s="2" t="s">
        <v>33</v>
      </c>
      <c r="B1752" s="12">
        <v>1681410.0</v>
      </c>
      <c r="C1752" s="12">
        <v>1681766.0</v>
      </c>
      <c r="D1752" s="2"/>
      <c r="E1752" s="2" t="s">
        <v>38</v>
      </c>
      <c r="F1752" s="2" t="s">
        <v>4707</v>
      </c>
      <c r="G1752" s="2"/>
      <c r="H1752" s="12">
        <v>0.0</v>
      </c>
      <c r="I1752" s="2" t="s">
        <v>40</v>
      </c>
      <c r="J1752" s="2"/>
      <c r="K1752" s="2" t="s">
        <v>4708</v>
      </c>
      <c r="L1752" s="12">
        <v>118.0</v>
      </c>
      <c r="M1752" s="2" t="s">
        <v>4709</v>
      </c>
      <c r="N1752" s="2" t="str">
        <f>IFERROR(__xludf.DUMMYFUNCTION("""COMPUTED_VALUE"""),"")</f>
        <v/>
      </c>
    </row>
    <row r="1753">
      <c r="A1753" s="2" t="s">
        <v>33</v>
      </c>
      <c r="B1753" s="12">
        <v>1681735.0</v>
      </c>
      <c r="C1753" s="12">
        <v>1681896.0</v>
      </c>
      <c r="D1753" s="2"/>
      <c r="E1753" s="2" t="s">
        <v>38</v>
      </c>
      <c r="F1753" s="2" t="s">
        <v>39</v>
      </c>
      <c r="G1753" s="2"/>
      <c r="H1753" s="12">
        <v>0.0</v>
      </c>
      <c r="I1753" s="2" t="s">
        <v>40</v>
      </c>
      <c r="J1753" s="2"/>
      <c r="K1753" s="2" t="s">
        <v>4710</v>
      </c>
      <c r="L1753" s="12">
        <v>53.0</v>
      </c>
      <c r="M1753" s="2" t="s">
        <v>4711</v>
      </c>
      <c r="N1753" s="2" t="str">
        <f>IFERROR(__xludf.DUMMYFUNCTION("""COMPUTED_VALUE"""),"")</f>
        <v/>
      </c>
    </row>
    <row r="1754">
      <c r="A1754" s="2" t="s">
        <v>33</v>
      </c>
      <c r="B1754" s="12">
        <v>1681886.0</v>
      </c>
      <c r="C1754" s="12">
        <v>1682077.0</v>
      </c>
      <c r="D1754" s="2"/>
      <c r="E1754" s="2" t="s">
        <v>38</v>
      </c>
      <c r="F1754" s="2" t="s">
        <v>39</v>
      </c>
      <c r="G1754" s="2"/>
      <c r="H1754" s="12">
        <v>0.0</v>
      </c>
      <c r="I1754" s="2" t="s">
        <v>40</v>
      </c>
      <c r="J1754" s="2"/>
      <c r="K1754" s="2" t="s">
        <v>4712</v>
      </c>
      <c r="L1754" s="12">
        <v>63.0</v>
      </c>
      <c r="M1754" s="2" t="s">
        <v>4713</v>
      </c>
      <c r="N1754" s="2" t="str">
        <f>IFERROR(__xludf.DUMMYFUNCTION("""COMPUTED_VALUE"""),"")</f>
        <v/>
      </c>
    </row>
    <row r="1755">
      <c r="A1755" s="2" t="s">
        <v>33</v>
      </c>
      <c r="B1755" s="12">
        <v>1682089.0</v>
      </c>
      <c r="C1755" s="12">
        <v>1682172.0</v>
      </c>
      <c r="D1755" s="2"/>
      <c r="E1755" s="2" t="s">
        <v>38</v>
      </c>
      <c r="F1755" s="2" t="s">
        <v>35</v>
      </c>
      <c r="G1755" s="2"/>
      <c r="H1755" s="12">
        <v>0.0</v>
      </c>
      <c r="I1755" s="2" t="s">
        <v>36</v>
      </c>
      <c r="J1755" s="2"/>
      <c r="K1755" s="2"/>
      <c r="L1755" s="2"/>
      <c r="M1755" s="2" t="s">
        <v>4714</v>
      </c>
      <c r="N1755" s="2" t="str">
        <f>IFERROR(__xludf.DUMMYFUNCTION("""COMPUTED_VALUE"""),"")</f>
        <v/>
      </c>
    </row>
    <row r="1756">
      <c r="A1756" s="2" t="s">
        <v>33</v>
      </c>
      <c r="B1756" s="12">
        <v>1682194.0</v>
      </c>
      <c r="C1756" s="12">
        <v>1682863.0</v>
      </c>
      <c r="D1756" s="2"/>
      <c r="E1756" s="2" t="s">
        <v>38</v>
      </c>
      <c r="F1756" s="2" t="s">
        <v>35</v>
      </c>
      <c r="G1756" s="2"/>
      <c r="H1756" s="12">
        <v>0.0</v>
      </c>
      <c r="I1756" s="2" t="s">
        <v>36</v>
      </c>
      <c r="J1756" s="2"/>
      <c r="K1756" s="2"/>
      <c r="L1756" s="2"/>
      <c r="M1756" s="2" t="s">
        <v>4715</v>
      </c>
      <c r="N1756" s="2" t="str">
        <f>IFERROR(__xludf.DUMMYFUNCTION("""COMPUTED_VALUE"""),"")</f>
        <v/>
      </c>
    </row>
    <row r="1757">
      <c r="A1757" s="2" t="s">
        <v>33</v>
      </c>
      <c r="B1757" s="12">
        <v>1683371.0</v>
      </c>
      <c r="C1757" s="12">
        <v>1683763.0</v>
      </c>
      <c r="D1757" s="2"/>
      <c r="E1757" s="2" t="s">
        <v>38</v>
      </c>
      <c r="F1757" s="2" t="s">
        <v>4716</v>
      </c>
      <c r="G1757" s="2"/>
      <c r="H1757" s="12">
        <v>0.0</v>
      </c>
      <c r="I1757" s="2" t="s">
        <v>40</v>
      </c>
      <c r="J1757" s="2"/>
      <c r="K1757" s="2" t="s">
        <v>4717</v>
      </c>
      <c r="L1757" s="12">
        <v>130.0</v>
      </c>
      <c r="M1757" s="2" t="s">
        <v>4718</v>
      </c>
      <c r="N1757" s="2" t="str">
        <f>IFERROR(__xludf.DUMMYFUNCTION("""COMPUTED_VALUE"""),"")</f>
        <v/>
      </c>
    </row>
    <row r="1758">
      <c r="A1758" s="2" t="s">
        <v>33</v>
      </c>
      <c r="B1758" s="12">
        <v>1683775.0</v>
      </c>
      <c r="C1758" s="12">
        <v>1684032.0</v>
      </c>
      <c r="D1758" s="2"/>
      <c r="E1758" s="2" t="s">
        <v>38</v>
      </c>
      <c r="F1758" s="2" t="s">
        <v>4719</v>
      </c>
      <c r="G1758" s="2"/>
      <c r="H1758" s="12">
        <v>0.0</v>
      </c>
      <c r="I1758" s="2" t="s">
        <v>40</v>
      </c>
      <c r="J1758" s="2"/>
      <c r="K1758" s="2" t="s">
        <v>4720</v>
      </c>
      <c r="L1758" s="12">
        <v>85.0</v>
      </c>
      <c r="M1758" s="2" t="s">
        <v>4721</v>
      </c>
      <c r="N1758" s="2" t="str">
        <f>IFERROR(__xludf.DUMMYFUNCTION("""COMPUTED_VALUE"""),"")</f>
        <v/>
      </c>
    </row>
    <row r="1759">
      <c r="A1759" s="2" t="s">
        <v>33</v>
      </c>
      <c r="B1759" s="12">
        <v>1684208.0</v>
      </c>
      <c r="C1759" s="12">
        <v>1684663.0</v>
      </c>
      <c r="D1759" s="2"/>
      <c r="E1759" s="2" t="s">
        <v>38</v>
      </c>
      <c r="F1759" s="2" t="s">
        <v>4722</v>
      </c>
      <c r="G1759" s="2"/>
      <c r="H1759" s="12">
        <v>0.0</v>
      </c>
      <c r="I1759" s="2" t="s">
        <v>40</v>
      </c>
      <c r="J1759" s="2"/>
      <c r="K1759" s="2" t="s">
        <v>4723</v>
      </c>
      <c r="L1759" s="12">
        <v>151.0</v>
      </c>
      <c r="M1759" s="2" t="s">
        <v>4724</v>
      </c>
      <c r="N1759" s="2" t="str">
        <f>IFERROR(__xludf.DUMMYFUNCTION("""COMPUTED_VALUE"""),"")</f>
        <v/>
      </c>
    </row>
    <row r="1760">
      <c r="A1760" s="2" t="s">
        <v>33</v>
      </c>
      <c r="B1760" s="12">
        <v>1684678.0</v>
      </c>
      <c r="C1760" s="12">
        <v>1685150.0</v>
      </c>
      <c r="D1760" s="2"/>
      <c r="E1760" s="2" t="s">
        <v>38</v>
      </c>
      <c r="F1760" s="2" t="s">
        <v>35</v>
      </c>
      <c r="G1760" s="2"/>
      <c r="H1760" s="12">
        <v>0.0</v>
      </c>
      <c r="I1760" s="2" t="s">
        <v>36</v>
      </c>
      <c r="J1760" s="2"/>
      <c r="K1760" s="2"/>
      <c r="L1760" s="2"/>
      <c r="M1760" s="2" t="s">
        <v>4725</v>
      </c>
      <c r="N1760" s="2" t="str">
        <f>IFERROR(__xludf.DUMMYFUNCTION("""COMPUTED_VALUE"""),"")</f>
        <v/>
      </c>
    </row>
    <row r="1761">
      <c r="A1761" s="2" t="s">
        <v>33</v>
      </c>
      <c r="B1761" s="12">
        <v>1685142.0</v>
      </c>
      <c r="C1761" s="12">
        <v>1685216.0</v>
      </c>
      <c r="D1761" s="2"/>
      <c r="E1761" s="2" t="s">
        <v>34</v>
      </c>
      <c r="F1761" s="2" t="s">
        <v>35</v>
      </c>
      <c r="G1761" s="2"/>
      <c r="H1761" s="12">
        <v>0.0</v>
      </c>
      <c r="I1761" s="2" t="s">
        <v>36</v>
      </c>
      <c r="J1761" s="2"/>
      <c r="K1761" s="2"/>
      <c r="L1761" s="2"/>
      <c r="M1761" s="2" t="s">
        <v>4726</v>
      </c>
      <c r="N1761" s="2" t="str">
        <f>IFERROR(__xludf.DUMMYFUNCTION("""COMPUTED_VALUE"""),"")</f>
        <v/>
      </c>
    </row>
    <row r="1762">
      <c r="A1762" s="2" t="s">
        <v>33</v>
      </c>
      <c r="B1762" s="12">
        <v>1685346.0</v>
      </c>
      <c r="C1762" s="12">
        <v>1685768.0</v>
      </c>
      <c r="D1762" s="2"/>
      <c r="E1762" s="2" t="s">
        <v>38</v>
      </c>
      <c r="F1762" s="2" t="s">
        <v>4722</v>
      </c>
      <c r="G1762" s="2"/>
      <c r="H1762" s="12">
        <v>0.0</v>
      </c>
      <c r="I1762" s="2" t="s">
        <v>40</v>
      </c>
      <c r="J1762" s="2"/>
      <c r="K1762" s="2" t="s">
        <v>4727</v>
      </c>
      <c r="L1762" s="12">
        <v>140.0</v>
      </c>
      <c r="M1762" s="2" t="s">
        <v>4728</v>
      </c>
      <c r="N1762" s="2" t="str">
        <f>IFERROR(__xludf.DUMMYFUNCTION("""COMPUTED_VALUE"""),"")</f>
        <v/>
      </c>
    </row>
    <row r="1763">
      <c r="A1763" s="2" t="s">
        <v>33</v>
      </c>
      <c r="B1763" s="12">
        <v>1685835.0</v>
      </c>
      <c r="C1763" s="12">
        <v>1685939.0</v>
      </c>
      <c r="D1763" s="2"/>
      <c r="E1763" s="2" t="s">
        <v>38</v>
      </c>
      <c r="F1763" s="2" t="s">
        <v>159</v>
      </c>
      <c r="G1763" s="2"/>
      <c r="H1763" s="12">
        <v>0.0</v>
      </c>
      <c r="I1763" s="2" t="s">
        <v>40</v>
      </c>
      <c r="J1763" s="2"/>
      <c r="K1763" s="2" t="s">
        <v>4729</v>
      </c>
      <c r="L1763" s="12">
        <v>34.0</v>
      </c>
      <c r="M1763" s="2" t="s">
        <v>4730</v>
      </c>
      <c r="N1763" s="2" t="str">
        <f>IFERROR(__xludf.DUMMYFUNCTION("""COMPUTED_VALUE"""),"")</f>
        <v/>
      </c>
    </row>
    <row r="1764">
      <c r="A1764" s="2" t="s">
        <v>33</v>
      </c>
      <c r="B1764" s="12">
        <v>1686172.0</v>
      </c>
      <c r="C1764" s="12">
        <v>1686402.0</v>
      </c>
      <c r="D1764" s="2"/>
      <c r="E1764" s="2" t="s">
        <v>38</v>
      </c>
      <c r="F1764" s="2" t="s">
        <v>35</v>
      </c>
      <c r="G1764" s="2"/>
      <c r="H1764" s="12">
        <v>0.0</v>
      </c>
      <c r="I1764" s="2" t="s">
        <v>36</v>
      </c>
      <c r="J1764" s="2"/>
      <c r="K1764" s="2"/>
      <c r="L1764" s="2"/>
      <c r="M1764" s="2" t="s">
        <v>4731</v>
      </c>
      <c r="N1764" s="2" t="str">
        <f>IFERROR(__xludf.DUMMYFUNCTION("""COMPUTED_VALUE"""),"")</f>
        <v/>
      </c>
    </row>
    <row r="1765">
      <c r="A1765" s="2" t="s">
        <v>33</v>
      </c>
      <c r="B1765" s="12">
        <v>1686511.0</v>
      </c>
      <c r="C1765" s="12">
        <v>1686864.0</v>
      </c>
      <c r="D1765" s="2"/>
      <c r="E1765" s="2" t="s">
        <v>38</v>
      </c>
      <c r="F1765" s="2" t="s">
        <v>4732</v>
      </c>
      <c r="G1765" s="2"/>
      <c r="H1765" s="12">
        <v>0.0</v>
      </c>
      <c r="I1765" s="2" t="s">
        <v>40</v>
      </c>
      <c r="J1765" s="2"/>
      <c r="K1765" s="2" t="s">
        <v>4733</v>
      </c>
      <c r="L1765" s="12">
        <v>117.0</v>
      </c>
      <c r="M1765" s="2" t="s">
        <v>4734</v>
      </c>
      <c r="N1765" s="2" t="str">
        <f>IFERROR(__xludf.DUMMYFUNCTION("""COMPUTED_VALUE"""),"")</f>
        <v/>
      </c>
    </row>
    <row r="1766">
      <c r="A1766" s="2" t="s">
        <v>33</v>
      </c>
      <c r="B1766" s="12">
        <v>1686898.0</v>
      </c>
      <c r="C1766" s="12">
        <v>1688535.0</v>
      </c>
      <c r="D1766" s="2"/>
      <c r="E1766" s="2" t="s">
        <v>38</v>
      </c>
      <c r="F1766" s="2" t="s">
        <v>4735</v>
      </c>
      <c r="G1766" s="2"/>
      <c r="H1766" s="12">
        <v>0.0</v>
      </c>
      <c r="I1766" s="2" t="s">
        <v>40</v>
      </c>
      <c r="J1766" s="2"/>
      <c r="K1766" s="2" t="s">
        <v>4736</v>
      </c>
      <c r="L1766" s="12">
        <v>545.0</v>
      </c>
      <c r="M1766" s="2" t="s">
        <v>4737</v>
      </c>
      <c r="N1766" s="2" t="str">
        <f>IFERROR(__xludf.DUMMYFUNCTION("""COMPUTED_VALUE"""),"")</f>
        <v/>
      </c>
    </row>
    <row r="1767">
      <c r="A1767" s="2" t="s">
        <v>33</v>
      </c>
      <c r="B1767" s="12">
        <v>1688532.0</v>
      </c>
      <c r="C1767" s="12">
        <v>1688894.0</v>
      </c>
      <c r="D1767" s="2"/>
      <c r="E1767" s="2" t="s">
        <v>38</v>
      </c>
      <c r="F1767" s="2" t="s">
        <v>4738</v>
      </c>
      <c r="G1767" s="2"/>
      <c r="H1767" s="12">
        <v>0.0</v>
      </c>
      <c r="I1767" s="2" t="s">
        <v>40</v>
      </c>
      <c r="J1767" s="2"/>
      <c r="K1767" s="2" t="s">
        <v>4739</v>
      </c>
      <c r="L1767" s="12">
        <v>120.0</v>
      </c>
      <c r="M1767" s="2" t="s">
        <v>4740</v>
      </c>
      <c r="N1767" s="2" t="str">
        <f>IFERROR(__xludf.DUMMYFUNCTION("""COMPUTED_VALUE"""),"")</f>
        <v/>
      </c>
    </row>
    <row r="1768">
      <c r="A1768" s="2" t="s">
        <v>33</v>
      </c>
      <c r="B1768" s="12">
        <v>1688936.0</v>
      </c>
      <c r="C1768" s="12">
        <v>1689211.0</v>
      </c>
      <c r="D1768" s="2"/>
      <c r="E1768" s="2" t="s">
        <v>38</v>
      </c>
      <c r="F1768" s="2" t="s">
        <v>4741</v>
      </c>
      <c r="G1768" s="2"/>
      <c r="H1768" s="12">
        <v>0.0</v>
      </c>
      <c r="I1768" s="2" t="s">
        <v>40</v>
      </c>
      <c r="J1768" s="2"/>
      <c r="K1768" s="2" t="s">
        <v>4742</v>
      </c>
      <c r="L1768" s="12">
        <v>91.0</v>
      </c>
      <c r="M1768" s="2" t="s">
        <v>4743</v>
      </c>
      <c r="N1768" s="2" t="str">
        <f>IFERROR(__xludf.DUMMYFUNCTION("""COMPUTED_VALUE"""),"")</f>
        <v/>
      </c>
    </row>
    <row r="1769">
      <c r="A1769" s="2" t="s">
        <v>33</v>
      </c>
      <c r="B1769" s="12">
        <v>1689398.0</v>
      </c>
      <c r="C1769" s="12">
        <v>1689694.0</v>
      </c>
      <c r="D1769" s="2"/>
      <c r="E1769" s="2" t="s">
        <v>38</v>
      </c>
      <c r="F1769" s="2" t="s">
        <v>1482</v>
      </c>
      <c r="G1769" s="2"/>
      <c r="H1769" s="12">
        <v>0.0</v>
      </c>
      <c r="I1769" s="2" t="s">
        <v>40</v>
      </c>
      <c r="J1769" s="2"/>
      <c r="K1769" s="2" t="s">
        <v>4744</v>
      </c>
      <c r="L1769" s="12">
        <v>98.0</v>
      </c>
      <c r="M1769" s="2" t="s">
        <v>4745</v>
      </c>
      <c r="N1769" s="2" t="str">
        <f>IFERROR(__xludf.DUMMYFUNCTION("""COMPUTED_VALUE"""),"")</f>
        <v/>
      </c>
    </row>
    <row r="1770">
      <c r="A1770" s="2" t="s">
        <v>33</v>
      </c>
      <c r="B1770" s="12">
        <v>1689821.0</v>
      </c>
      <c r="C1770" s="12">
        <v>1689973.0</v>
      </c>
      <c r="D1770" s="2"/>
      <c r="E1770" s="2" t="s">
        <v>38</v>
      </c>
      <c r="F1770" s="2" t="s">
        <v>4746</v>
      </c>
      <c r="G1770" s="2"/>
      <c r="H1770" s="12">
        <v>0.0</v>
      </c>
      <c r="I1770" s="2" t="s">
        <v>40</v>
      </c>
      <c r="J1770" s="2"/>
      <c r="K1770" s="2" t="s">
        <v>4747</v>
      </c>
      <c r="L1770" s="12">
        <v>50.0</v>
      </c>
      <c r="M1770" s="2" t="s">
        <v>4748</v>
      </c>
      <c r="N1770" s="2" t="str">
        <f>IFERROR(__xludf.DUMMYFUNCTION("""COMPUTED_VALUE"""),"")</f>
        <v/>
      </c>
    </row>
    <row r="1771">
      <c r="A1771" s="2" t="s">
        <v>33</v>
      </c>
      <c r="B1771" s="12">
        <v>1690090.0</v>
      </c>
      <c r="C1771" s="12">
        <v>1690275.0</v>
      </c>
      <c r="D1771" s="2"/>
      <c r="E1771" s="2" t="s">
        <v>38</v>
      </c>
      <c r="F1771" s="2" t="s">
        <v>35</v>
      </c>
      <c r="G1771" s="2"/>
      <c r="H1771" s="12">
        <v>0.0</v>
      </c>
      <c r="I1771" s="2" t="s">
        <v>36</v>
      </c>
      <c r="J1771" s="2"/>
      <c r="K1771" s="2"/>
      <c r="L1771" s="2"/>
      <c r="M1771" s="2" t="s">
        <v>4749</v>
      </c>
      <c r="N1771" s="2" t="str">
        <f>IFERROR(__xludf.DUMMYFUNCTION("""COMPUTED_VALUE"""),"")</f>
        <v/>
      </c>
    </row>
    <row r="1772">
      <c r="A1772" s="2" t="s">
        <v>33</v>
      </c>
      <c r="B1772" s="12">
        <v>1691417.0</v>
      </c>
      <c r="C1772" s="12">
        <v>1691941.0</v>
      </c>
      <c r="D1772" s="2"/>
      <c r="E1772" s="2" t="s">
        <v>38</v>
      </c>
      <c r="F1772" s="2" t="s">
        <v>4750</v>
      </c>
      <c r="G1772" s="2"/>
      <c r="H1772" s="12">
        <v>0.0</v>
      </c>
      <c r="I1772" s="2" t="s">
        <v>40</v>
      </c>
      <c r="J1772" s="2"/>
      <c r="K1772" s="2" t="s">
        <v>4751</v>
      </c>
      <c r="L1772" s="12">
        <v>174.0</v>
      </c>
      <c r="M1772" s="2" t="s">
        <v>4752</v>
      </c>
      <c r="N1772" s="2" t="str">
        <f>IFERROR(__xludf.DUMMYFUNCTION("""COMPUTED_VALUE"""),"")</f>
        <v/>
      </c>
    </row>
    <row r="1773">
      <c r="A1773" s="2" t="s">
        <v>33</v>
      </c>
      <c r="B1773" s="12">
        <v>1692093.0</v>
      </c>
      <c r="C1773" s="12">
        <v>1692485.0</v>
      </c>
      <c r="D1773" s="2"/>
      <c r="E1773" s="2" t="s">
        <v>38</v>
      </c>
      <c r="F1773" s="2" t="s">
        <v>4753</v>
      </c>
      <c r="G1773" s="2"/>
      <c r="H1773" s="12">
        <v>0.0</v>
      </c>
      <c r="I1773" s="2" t="s">
        <v>40</v>
      </c>
      <c r="J1773" s="2"/>
      <c r="K1773" s="2" t="s">
        <v>4754</v>
      </c>
      <c r="L1773" s="12">
        <v>130.0</v>
      </c>
      <c r="M1773" s="2" t="s">
        <v>4755</v>
      </c>
      <c r="N1773" s="2" t="str">
        <f>IFERROR(__xludf.DUMMYFUNCTION("""COMPUTED_VALUE"""),"")</f>
        <v/>
      </c>
    </row>
    <row r="1774">
      <c r="A1774" s="2" t="s">
        <v>33</v>
      </c>
      <c r="B1774" s="12">
        <v>1692490.0</v>
      </c>
      <c r="C1774" s="12">
        <v>1693311.0</v>
      </c>
      <c r="D1774" s="2"/>
      <c r="E1774" s="2" t="s">
        <v>38</v>
      </c>
      <c r="F1774" s="2" t="s">
        <v>39</v>
      </c>
      <c r="G1774" s="2"/>
      <c r="H1774" s="12">
        <v>0.0</v>
      </c>
      <c r="I1774" s="2" t="s">
        <v>40</v>
      </c>
      <c r="J1774" s="2"/>
      <c r="K1774" s="2" t="s">
        <v>4756</v>
      </c>
      <c r="L1774" s="12">
        <v>273.0</v>
      </c>
      <c r="M1774" s="2" t="s">
        <v>4757</v>
      </c>
      <c r="N1774" s="2" t="str">
        <f>IFERROR(__xludf.DUMMYFUNCTION("""COMPUTED_VALUE"""),"")</f>
        <v/>
      </c>
    </row>
    <row r="1775">
      <c r="A1775" s="2" t="s">
        <v>33</v>
      </c>
      <c r="B1775" s="12">
        <v>1693638.0</v>
      </c>
      <c r="C1775" s="12">
        <v>1694258.0</v>
      </c>
      <c r="D1775" s="2"/>
      <c r="E1775" s="2" t="s">
        <v>38</v>
      </c>
      <c r="F1775" s="2" t="s">
        <v>4758</v>
      </c>
      <c r="G1775" s="2"/>
      <c r="H1775" s="12">
        <v>0.0</v>
      </c>
      <c r="I1775" s="2" t="s">
        <v>40</v>
      </c>
      <c r="J1775" s="2"/>
      <c r="K1775" s="2" t="s">
        <v>4759</v>
      </c>
      <c r="L1775" s="12">
        <v>206.0</v>
      </c>
      <c r="M1775" s="2" t="s">
        <v>4760</v>
      </c>
      <c r="N1775" s="2" t="str">
        <f>IFERROR(__xludf.DUMMYFUNCTION("""COMPUTED_VALUE"""),"")</f>
        <v/>
      </c>
    </row>
    <row r="1776">
      <c r="A1776" s="2" t="s">
        <v>33</v>
      </c>
      <c r="B1776" s="12">
        <v>1694882.0</v>
      </c>
      <c r="C1776" s="12">
        <v>1695853.0</v>
      </c>
      <c r="D1776" s="2"/>
      <c r="E1776" s="2" t="s">
        <v>38</v>
      </c>
      <c r="F1776" s="2" t="s">
        <v>432</v>
      </c>
      <c r="G1776" s="2"/>
      <c r="H1776" s="12">
        <v>0.0</v>
      </c>
      <c r="I1776" s="2" t="s">
        <v>40</v>
      </c>
      <c r="J1776" s="2"/>
      <c r="K1776" s="2" t="s">
        <v>4761</v>
      </c>
      <c r="L1776" s="12">
        <v>323.0</v>
      </c>
      <c r="M1776" s="2" t="s">
        <v>4762</v>
      </c>
      <c r="N1776" s="2" t="str">
        <f>IFERROR(__xludf.DUMMYFUNCTION("""COMPUTED_VALUE"""),"")</f>
        <v/>
      </c>
    </row>
    <row r="1777">
      <c r="A1777" s="2" t="s">
        <v>33</v>
      </c>
      <c r="B1777" s="12">
        <v>1695846.0</v>
      </c>
      <c r="C1777" s="12">
        <v>1696838.0</v>
      </c>
      <c r="D1777" s="2"/>
      <c r="E1777" s="2" t="s">
        <v>38</v>
      </c>
      <c r="F1777" s="2" t="s">
        <v>432</v>
      </c>
      <c r="G1777" s="2"/>
      <c r="H1777" s="12">
        <v>0.0</v>
      </c>
      <c r="I1777" s="2" t="s">
        <v>40</v>
      </c>
      <c r="J1777" s="2"/>
      <c r="K1777" s="2" t="s">
        <v>4763</v>
      </c>
      <c r="L1777" s="12">
        <v>330.0</v>
      </c>
      <c r="M1777" s="2" t="s">
        <v>4764</v>
      </c>
      <c r="N1777" s="2" t="str">
        <f>IFERROR(__xludf.DUMMYFUNCTION("""COMPUTED_VALUE"""),"")</f>
        <v/>
      </c>
    </row>
    <row r="1778">
      <c r="A1778" s="2" t="s">
        <v>33</v>
      </c>
      <c r="B1778" s="12">
        <v>1696865.0</v>
      </c>
      <c r="C1778" s="12">
        <v>1697716.0</v>
      </c>
      <c r="D1778" s="2"/>
      <c r="E1778" s="2" t="s">
        <v>38</v>
      </c>
      <c r="F1778" s="2" t="s">
        <v>265</v>
      </c>
      <c r="G1778" s="2"/>
      <c r="H1778" s="12">
        <v>0.0</v>
      </c>
      <c r="I1778" s="2" t="s">
        <v>40</v>
      </c>
      <c r="J1778" s="2"/>
      <c r="K1778" s="2" t="s">
        <v>4765</v>
      </c>
      <c r="L1778" s="12">
        <v>283.0</v>
      </c>
      <c r="M1778" s="2" t="s">
        <v>4766</v>
      </c>
      <c r="N1778" s="2" t="str">
        <f>IFERROR(__xludf.DUMMYFUNCTION("""COMPUTED_VALUE"""),"")</f>
        <v/>
      </c>
    </row>
    <row r="1779">
      <c r="A1779" s="2" t="s">
        <v>33</v>
      </c>
      <c r="B1779" s="12">
        <v>1697723.0</v>
      </c>
      <c r="C1779" s="12">
        <v>1698673.0</v>
      </c>
      <c r="D1779" s="2"/>
      <c r="E1779" s="2" t="s">
        <v>38</v>
      </c>
      <c r="F1779" s="2" t="s">
        <v>265</v>
      </c>
      <c r="G1779" s="2"/>
      <c r="H1779" s="12">
        <v>0.0</v>
      </c>
      <c r="I1779" s="2" t="s">
        <v>40</v>
      </c>
      <c r="J1779" s="2"/>
      <c r="K1779" s="2" t="s">
        <v>4767</v>
      </c>
      <c r="L1779" s="12">
        <v>316.0</v>
      </c>
      <c r="M1779" s="2" t="s">
        <v>4768</v>
      </c>
      <c r="N1779" s="2" t="str">
        <f>IFERROR(__xludf.DUMMYFUNCTION("""COMPUTED_VALUE"""),"")</f>
        <v/>
      </c>
    </row>
    <row r="1780">
      <c r="A1780" s="2" t="s">
        <v>33</v>
      </c>
      <c r="B1780" s="12">
        <v>1698729.0</v>
      </c>
      <c r="C1780" s="12">
        <v>1700312.0</v>
      </c>
      <c r="D1780" s="2"/>
      <c r="E1780" s="2" t="s">
        <v>38</v>
      </c>
      <c r="F1780" s="2" t="s">
        <v>1113</v>
      </c>
      <c r="G1780" s="2"/>
      <c r="H1780" s="12">
        <v>0.0</v>
      </c>
      <c r="I1780" s="2" t="s">
        <v>40</v>
      </c>
      <c r="J1780" s="2"/>
      <c r="K1780" s="2" t="s">
        <v>4769</v>
      </c>
      <c r="L1780" s="12">
        <v>527.0</v>
      </c>
      <c r="M1780" s="2" t="s">
        <v>4770</v>
      </c>
      <c r="N1780" s="2" t="str">
        <f>IFERROR(__xludf.DUMMYFUNCTION("""COMPUTED_VALUE"""),"")</f>
        <v/>
      </c>
    </row>
    <row r="1781">
      <c r="A1781" s="2" t="s">
        <v>33</v>
      </c>
      <c r="B1781" s="12">
        <v>1700674.0</v>
      </c>
      <c r="C1781" s="12">
        <v>1701651.0</v>
      </c>
      <c r="D1781" s="2"/>
      <c r="E1781" s="2" t="s">
        <v>38</v>
      </c>
      <c r="F1781" s="2" t="s">
        <v>4771</v>
      </c>
      <c r="G1781" s="2"/>
      <c r="H1781" s="12">
        <v>0.0</v>
      </c>
      <c r="I1781" s="2" t="s">
        <v>40</v>
      </c>
      <c r="J1781" s="2"/>
      <c r="K1781" s="2" t="s">
        <v>4772</v>
      </c>
      <c r="L1781" s="12">
        <v>325.0</v>
      </c>
      <c r="M1781" s="2" t="s">
        <v>4773</v>
      </c>
      <c r="N1781" s="2" t="str">
        <f>IFERROR(__xludf.DUMMYFUNCTION("""COMPUTED_VALUE"""),"")</f>
        <v/>
      </c>
    </row>
    <row r="1782">
      <c r="A1782" s="2" t="s">
        <v>33</v>
      </c>
      <c r="B1782" s="12">
        <v>1701815.0</v>
      </c>
      <c r="C1782" s="12">
        <v>1702819.0</v>
      </c>
      <c r="D1782" s="2"/>
      <c r="E1782" s="2" t="s">
        <v>38</v>
      </c>
      <c r="F1782" s="2" t="s">
        <v>4774</v>
      </c>
      <c r="G1782" s="2"/>
      <c r="H1782" s="12">
        <v>0.0</v>
      </c>
      <c r="I1782" s="2" t="s">
        <v>40</v>
      </c>
      <c r="J1782" s="2"/>
      <c r="K1782" s="2" t="s">
        <v>4775</v>
      </c>
      <c r="L1782" s="12">
        <v>334.0</v>
      </c>
      <c r="M1782" s="2" t="s">
        <v>4776</v>
      </c>
      <c r="N1782" s="2" t="str">
        <f>IFERROR(__xludf.DUMMYFUNCTION("""COMPUTED_VALUE"""),"")</f>
        <v/>
      </c>
    </row>
    <row r="1783">
      <c r="A1783" s="2" t="s">
        <v>33</v>
      </c>
      <c r="B1783" s="12">
        <v>1702925.0</v>
      </c>
      <c r="C1783" s="12">
        <v>1703200.0</v>
      </c>
      <c r="D1783" s="2"/>
      <c r="E1783" s="2" t="s">
        <v>34</v>
      </c>
      <c r="F1783" s="2" t="s">
        <v>4485</v>
      </c>
      <c r="G1783" s="2"/>
      <c r="H1783" s="12">
        <v>0.0</v>
      </c>
      <c r="I1783" s="2" t="s">
        <v>40</v>
      </c>
      <c r="J1783" s="2"/>
      <c r="K1783" s="2" t="s">
        <v>4777</v>
      </c>
      <c r="L1783" s="12">
        <v>91.0</v>
      </c>
      <c r="M1783" s="2" t="s">
        <v>4778</v>
      </c>
      <c r="N1783" s="2" t="str">
        <f>IFERROR(__xludf.DUMMYFUNCTION("""COMPUTED_VALUE"""),"")</f>
        <v/>
      </c>
    </row>
    <row r="1784">
      <c r="A1784" s="2" t="s">
        <v>33</v>
      </c>
      <c r="B1784" s="12">
        <v>1703306.0</v>
      </c>
      <c r="C1784" s="12">
        <v>1704259.0</v>
      </c>
      <c r="D1784" s="2"/>
      <c r="E1784" s="2" t="s">
        <v>38</v>
      </c>
      <c r="F1784" s="2" t="s">
        <v>4779</v>
      </c>
      <c r="G1784" s="2"/>
      <c r="H1784" s="12">
        <v>0.0</v>
      </c>
      <c r="I1784" s="2" t="s">
        <v>40</v>
      </c>
      <c r="J1784" s="2"/>
      <c r="K1784" s="2" t="s">
        <v>4780</v>
      </c>
      <c r="L1784" s="12">
        <v>317.0</v>
      </c>
      <c r="M1784" s="2" t="s">
        <v>4781</v>
      </c>
      <c r="N1784" s="2" t="str">
        <f>IFERROR(__xludf.DUMMYFUNCTION("""COMPUTED_VALUE"""),"")</f>
        <v/>
      </c>
    </row>
    <row r="1785">
      <c r="A1785" s="2" t="s">
        <v>33</v>
      </c>
      <c r="B1785" s="12">
        <v>1704408.0</v>
      </c>
      <c r="C1785" s="12">
        <v>1706000.0</v>
      </c>
      <c r="D1785" s="2"/>
      <c r="E1785" s="2" t="s">
        <v>38</v>
      </c>
      <c r="F1785" s="2" t="s">
        <v>1116</v>
      </c>
      <c r="G1785" s="2"/>
      <c r="H1785" s="12">
        <v>0.0</v>
      </c>
      <c r="I1785" s="2" t="s">
        <v>40</v>
      </c>
      <c r="J1785" s="2"/>
      <c r="K1785" s="2" t="s">
        <v>4782</v>
      </c>
      <c r="L1785" s="12">
        <v>530.0</v>
      </c>
      <c r="M1785" s="2" t="s">
        <v>4783</v>
      </c>
      <c r="N1785" s="2" t="str">
        <f>IFERROR(__xludf.DUMMYFUNCTION("""COMPUTED_VALUE"""),"")</f>
        <v/>
      </c>
    </row>
    <row r="1786">
      <c r="A1786" s="2" t="s">
        <v>33</v>
      </c>
      <c r="B1786" s="12">
        <v>1706307.0</v>
      </c>
      <c r="C1786" s="12">
        <v>1707356.0</v>
      </c>
      <c r="D1786" s="2"/>
      <c r="E1786" s="2" t="s">
        <v>38</v>
      </c>
      <c r="F1786" s="2" t="s">
        <v>4784</v>
      </c>
      <c r="G1786" s="2"/>
      <c r="H1786" s="12">
        <v>0.0</v>
      </c>
      <c r="I1786" s="2" t="s">
        <v>40</v>
      </c>
      <c r="J1786" s="2"/>
      <c r="K1786" s="2" t="s">
        <v>4785</v>
      </c>
      <c r="L1786" s="12">
        <v>349.0</v>
      </c>
      <c r="M1786" s="2" t="s">
        <v>4786</v>
      </c>
      <c r="N1786" s="2" t="str">
        <f>IFERROR(__xludf.DUMMYFUNCTION("""COMPUTED_VALUE"""),"")</f>
        <v/>
      </c>
    </row>
    <row r="1787">
      <c r="A1787" s="2" t="s">
        <v>33</v>
      </c>
      <c r="B1787" s="12">
        <v>1707683.0</v>
      </c>
      <c r="C1787" s="12">
        <v>1708009.0</v>
      </c>
      <c r="D1787" s="2"/>
      <c r="E1787" s="2" t="s">
        <v>38</v>
      </c>
      <c r="F1787" s="2" t="s">
        <v>4787</v>
      </c>
      <c r="G1787" s="2"/>
      <c r="H1787" s="12">
        <v>0.0</v>
      </c>
      <c r="I1787" s="2" t="s">
        <v>40</v>
      </c>
      <c r="J1787" s="2"/>
      <c r="K1787" s="2" t="s">
        <v>4788</v>
      </c>
      <c r="L1787" s="12">
        <v>108.0</v>
      </c>
      <c r="M1787" s="2" t="s">
        <v>4789</v>
      </c>
      <c r="N1787" s="2" t="str">
        <f>IFERROR(__xludf.DUMMYFUNCTION("""COMPUTED_VALUE"""),"")</f>
        <v/>
      </c>
    </row>
    <row r="1788">
      <c r="A1788" s="2" t="s">
        <v>33</v>
      </c>
      <c r="B1788" s="12">
        <v>1708027.0</v>
      </c>
      <c r="C1788" s="12">
        <v>1708344.0</v>
      </c>
      <c r="D1788" s="2"/>
      <c r="E1788" s="2" t="s">
        <v>38</v>
      </c>
      <c r="F1788" s="2" t="s">
        <v>39</v>
      </c>
      <c r="G1788" s="2"/>
      <c r="H1788" s="12">
        <v>0.0</v>
      </c>
      <c r="I1788" s="2" t="s">
        <v>40</v>
      </c>
      <c r="J1788" s="2"/>
      <c r="K1788" s="2" t="s">
        <v>4790</v>
      </c>
      <c r="L1788" s="12">
        <v>105.0</v>
      </c>
      <c r="M1788" s="2" t="s">
        <v>4791</v>
      </c>
      <c r="N1788" s="2" t="str">
        <f>IFERROR(__xludf.DUMMYFUNCTION("""COMPUTED_VALUE"""),"")</f>
        <v/>
      </c>
    </row>
    <row r="1789">
      <c r="A1789" s="2" t="s">
        <v>33</v>
      </c>
      <c r="B1789" s="12">
        <v>1708466.0</v>
      </c>
      <c r="C1789" s="12">
        <v>1709278.0</v>
      </c>
      <c r="D1789" s="2"/>
      <c r="E1789" s="2" t="s">
        <v>38</v>
      </c>
      <c r="F1789" s="2" t="s">
        <v>405</v>
      </c>
      <c r="G1789" s="2"/>
      <c r="H1789" s="12">
        <v>0.0</v>
      </c>
      <c r="I1789" s="2" t="s">
        <v>40</v>
      </c>
      <c r="J1789" s="2"/>
      <c r="K1789" s="2" t="s">
        <v>4792</v>
      </c>
      <c r="L1789" s="12">
        <v>270.0</v>
      </c>
      <c r="M1789" s="2" t="s">
        <v>4793</v>
      </c>
      <c r="N1789" s="2" t="str">
        <f>IFERROR(__xludf.DUMMYFUNCTION("""COMPUTED_VALUE"""),"")</f>
        <v/>
      </c>
    </row>
    <row r="1790">
      <c r="A1790" s="2" t="s">
        <v>33</v>
      </c>
      <c r="B1790" s="12">
        <v>1709581.0</v>
      </c>
      <c r="C1790" s="12">
        <v>1710975.0</v>
      </c>
      <c r="D1790" s="2"/>
      <c r="E1790" s="2" t="s">
        <v>34</v>
      </c>
      <c r="F1790" s="2" t="s">
        <v>4794</v>
      </c>
      <c r="G1790" s="2"/>
      <c r="H1790" s="12">
        <v>0.0</v>
      </c>
      <c r="I1790" s="2" t="s">
        <v>40</v>
      </c>
      <c r="J1790" s="2"/>
      <c r="K1790" s="2" t="s">
        <v>4795</v>
      </c>
      <c r="L1790" s="12">
        <v>464.0</v>
      </c>
      <c r="M1790" s="2" t="s">
        <v>4796</v>
      </c>
      <c r="N1790" s="2" t="str">
        <f>IFERROR(__xludf.DUMMYFUNCTION("""COMPUTED_VALUE"""),"")</f>
        <v/>
      </c>
    </row>
    <row r="1791">
      <c r="A1791" s="2" t="s">
        <v>33</v>
      </c>
      <c r="B1791" s="12">
        <v>1711022.0</v>
      </c>
      <c r="C1791" s="12">
        <v>1712884.0</v>
      </c>
      <c r="D1791" s="2"/>
      <c r="E1791" s="2" t="s">
        <v>38</v>
      </c>
      <c r="F1791" s="2" t="s">
        <v>4195</v>
      </c>
      <c r="G1791" s="2"/>
      <c r="H1791" s="12">
        <v>0.0</v>
      </c>
      <c r="I1791" s="2" t="s">
        <v>40</v>
      </c>
      <c r="J1791" s="2"/>
      <c r="K1791" s="2" t="s">
        <v>4797</v>
      </c>
      <c r="L1791" s="12">
        <v>620.0</v>
      </c>
      <c r="M1791" s="2" t="s">
        <v>4798</v>
      </c>
      <c r="N1791" s="2" t="str">
        <f>IFERROR(__xludf.DUMMYFUNCTION("""COMPUTED_VALUE"""),"")</f>
        <v/>
      </c>
    </row>
    <row r="1792">
      <c r="A1792" s="2" t="s">
        <v>33</v>
      </c>
      <c r="B1792" s="12">
        <v>1713031.0</v>
      </c>
      <c r="C1792" s="12">
        <v>1714119.0</v>
      </c>
      <c r="D1792" s="2"/>
      <c r="E1792" s="2" t="s">
        <v>38</v>
      </c>
      <c r="F1792" s="2" t="s">
        <v>4799</v>
      </c>
      <c r="G1792" s="2" t="s">
        <v>4800</v>
      </c>
      <c r="H1792" s="12">
        <v>0.0</v>
      </c>
      <c r="I1792" s="2" t="s">
        <v>40</v>
      </c>
      <c r="J1792" s="2"/>
      <c r="K1792" s="2" t="s">
        <v>4801</v>
      </c>
      <c r="L1792" s="12">
        <v>362.0</v>
      </c>
      <c r="M1792" s="2" t="s">
        <v>4802</v>
      </c>
      <c r="N1792" s="2" t="str">
        <f>IFERROR(__xludf.DUMMYFUNCTION("""COMPUTED_VALUE"""),"")</f>
        <v/>
      </c>
    </row>
    <row r="1793">
      <c r="A1793" s="2" t="s">
        <v>33</v>
      </c>
      <c r="B1793" s="12">
        <v>1714263.0</v>
      </c>
      <c r="C1793" s="12">
        <v>1715783.0</v>
      </c>
      <c r="D1793" s="2"/>
      <c r="E1793" s="2" t="s">
        <v>38</v>
      </c>
      <c r="F1793" s="2" t="s">
        <v>1605</v>
      </c>
      <c r="G1793" s="2"/>
      <c r="H1793" s="12">
        <v>0.0</v>
      </c>
      <c r="I1793" s="2" t="s">
        <v>40</v>
      </c>
      <c r="J1793" s="2"/>
      <c r="K1793" s="2" t="s">
        <v>4803</v>
      </c>
      <c r="L1793" s="12">
        <v>506.0</v>
      </c>
      <c r="M1793" s="2" t="s">
        <v>4804</v>
      </c>
      <c r="N1793" s="2" t="str">
        <f>IFERROR(__xludf.DUMMYFUNCTION("""COMPUTED_VALUE"""),"")</f>
        <v/>
      </c>
    </row>
    <row r="1794">
      <c r="A1794" s="2" t="s">
        <v>33</v>
      </c>
      <c r="B1794" s="12">
        <v>1716119.0</v>
      </c>
      <c r="C1794" s="12">
        <v>1717588.0</v>
      </c>
      <c r="D1794" s="2"/>
      <c r="E1794" s="2" t="s">
        <v>38</v>
      </c>
      <c r="F1794" s="2" t="s">
        <v>4805</v>
      </c>
      <c r="G1794" s="2"/>
      <c r="H1794" s="12">
        <v>0.0</v>
      </c>
      <c r="I1794" s="2" t="s">
        <v>40</v>
      </c>
      <c r="J1794" s="2"/>
      <c r="K1794" s="2" t="s">
        <v>4806</v>
      </c>
      <c r="L1794" s="12">
        <v>489.0</v>
      </c>
      <c r="M1794" s="2" t="s">
        <v>4807</v>
      </c>
      <c r="N1794" s="2" t="str">
        <f>IFERROR(__xludf.DUMMYFUNCTION("""COMPUTED_VALUE"""),"")</f>
        <v/>
      </c>
    </row>
    <row r="1795">
      <c r="A1795" s="2" t="s">
        <v>33</v>
      </c>
      <c r="B1795" s="12">
        <v>1717776.0</v>
      </c>
      <c r="C1795" s="12">
        <v>1718240.0</v>
      </c>
      <c r="D1795" s="2"/>
      <c r="E1795" s="2" t="s">
        <v>34</v>
      </c>
      <c r="F1795" s="2" t="s">
        <v>39</v>
      </c>
      <c r="G1795" s="2"/>
      <c r="H1795" s="12">
        <v>0.0</v>
      </c>
      <c r="I1795" s="2" t="s">
        <v>40</v>
      </c>
      <c r="J1795" s="2"/>
      <c r="K1795" s="2" t="s">
        <v>4808</v>
      </c>
      <c r="L1795" s="12">
        <v>154.0</v>
      </c>
      <c r="M1795" s="2" t="s">
        <v>4809</v>
      </c>
      <c r="N1795" s="2" t="str">
        <f>IFERROR(__xludf.DUMMYFUNCTION("""COMPUTED_VALUE"""),"")</f>
        <v/>
      </c>
    </row>
    <row r="1796">
      <c r="A1796" s="2" t="s">
        <v>33</v>
      </c>
      <c r="B1796" s="12">
        <v>1718375.0</v>
      </c>
      <c r="C1796" s="12">
        <v>1718572.0</v>
      </c>
      <c r="D1796" s="2"/>
      <c r="E1796" s="2" t="s">
        <v>34</v>
      </c>
      <c r="F1796" s="2" t="s">
        <v>39</v>
      </c>
      <c r="G1796" s="2"/>
      <c r="H1796" s="12">
        <v>0.0</v>
      </c>
      <c r="I1796" s="2" t="s">
        <v>40</v>
      </c>
      <c r="J1796" s="2"/>
      <c r="K1796" s="2" t="s">
        <v>4810</v>
      </c>
      <c r="L1796" s="12">
        <v>65.0</v>
      </c>
      <c r="M1796" s="2" t="s">
        <v>4811</v>
      </c>
      <c r="N1796" s="2" t="str">
        <f>IFERROR(__xludf.DUMMYFUNCTION("""COMPUTED_VALUE"""),"")</f>
        <v/>
      </c>
    </row>
    <row r="1797">
      <c r="A1797" s="2" t="s">
        <v>33</v>
      </c>
      <c r="B1797" s="12">
        <v>1719125.0</v>
      </c>
      <c r="C1797" s="12">
        <v>1720681.0</v>
      </c>
      <c r="D1797" s="2"/>
      <c r="E1797" s="2" t="s">
        <v>38</v>
      </c>
      <c r="F1797" s="2" t="s">
        <v>4812</v>
      </c>
      <c r="G1797" s="2"/>
      <c r="H1797" s="12">
        <v>0.0</v>
      </c>
      <c r="I1797" s="2" t="s">
        <v>40</v>
      </c>
      <c r="J1797" s="2"/>
      <c r="K1797" s="2" t="s">
        <v>4813</v>
      </c>
      <c r="L1797" s="12">
        <v>518.0</v>
      </c>
      <c r="M1797" s="2" t="s">
        <v>4814</v>
      </c>
      <c r="N1797" s="2" t="str">
        <f>IFERROR(__xludf.DUMMYFUNCTION("""COMPUTED_VALUE"""),"")</f>
        <v/>
      </c>
    </row>
    <row r="1798">
      <c r="A1798" s="2" t="s">
        <v>33</v>
      </c>
      <c r="B1798" s="12">
        <v>1721004.0</v>
      </c>
      <c r="C1798" s="12">
        <v>1722494.0</v>
      </c>
      <c r="D1798" s="2"/>
      <c r="E1798" s="2" t="s">
        <v>38</v>
      </c>
      <c r="F1798" s="2" t="s">
        <v>4815</v>
      </c>
      <c r="G1798" s="2"/>
      <c r="H1798" s="12">
        <v>0.0</v>
      </c>
      <c r="I1798" s="2" t="s">
        <v>40</v>
      </c>
      <c r="J1798" s="2"/>
      <c r="K1798" s="2" t="s">
        <v>4816</v>
      </c>
      <c r="L1798" s="12">
        <v>496.0</v>
      </c>
      <c r="M1798" s="2" t="s">
        <v>4817</v>
      </c>
      <c r="N1798" s="2" t="str">
        <f>IFERROR(__xludf.DUMMYFUNCTION("""COMPUTED_VALUE"""),"")</f>
        <v/>
      </c>
    </row>
    <row r="1799">
      <c r="A1799" s="2" t="s">
        <v>33</v>
      </c>
      <c r="B1799" s="12">
        <v>1722746.0</v>
      </c>
      <c r="C1799" s="12">
        <v>1724449.0</v>
      </c>
      <c r="D1799" s="2"/>
      <c r="E1799" s="2" t="s">
        <v>34</v>
      </c>
      <c r="F1799" s="2" t="s">
        <v>4195</v>
      </c>
      <c r="G1799" s="2"/>
      <c r="H1799" s="12">
        <v>0.0</v>
      </c>
      <c r="I1799" s="2" t="s">
        <v>40</v>
      </c>
      <c r="J1799" s="2"/>
      <c r="K1799" s="2" t="s">
        <v>4818</v>
      </c>
      <c r="L1799" s="12">
        <v>567.0</v>
      </c>
      <c r="M1799" s="2" t="s">
        <v>4819</v>
      </c>
      <c r="N1799" s="2" t="str">
        <f>IFERROR(__xludf.DUMMYFUNCTION("""COMPUTED_VALUE"""),"")</f>
        <v/>
      </c>
    </row>
    <row r="1800">
      <c r="A1800" s="2" t="s">
        <v>33</v>
      </c>
      <c r="B1800" s="12">
        <v>1724544.0</v>
      </c>
      <c r="C1800" s="12">
        <v>1728509.0</v>
      </c>
      <c r="D1800" s="2"/>
      <c r="E1800" s="2" t="s">
        <v>38</v>
      </c>
      <c r="F1800" s="2" t="s">
        <v>350</v>
      </c>
      <c r="G1800" s="2"/>
      <c r="H1800" s="12">
        <v>0.0</v>
      </c>
      <c r="I1800" s="2" t="s">
        <v>40</v>
      </c>
      <c r="J1800" s="2"/>
      <c r="K1800" s="2" t="s">
        <v>4820</v>
      </c>
      <c r="L1800" s="12">
        <v>1321.0</v>
      </c>
      <c r="M1800" s="2" t="s">
        <v>4821</v>
      </c>
      <c r="N1800" s="2" t="str">
        <f>IFERROR(__xludf.DUMMYFUNCTION("""COMPUTED_VALUE"""),"")</f>
        <v/>
      </c>
    </row>
    <row r="1801">
      <c r="A1801" s="2" t="s">
        <v>33</v>
      </c>
      <c r="B1801" s="12">
        <v>1728904.0</v>
      </c>
      <c r="C1801" s="12">
        <v>1729776.0</v>
      </c>
      <c r="D1801" s="2"/>
      <c r="E1801" s="2" t="s">
        <v>38</v>
      </c>
      <c r="F1801" s="2" t="s">
        <v>69</v>
      </c>
      <c r="G1801" s="2"/>
      <c r="H1801" s="12">
        <v>0.0</v>
      </c>
      <c r="I1801" s="2" t="s">
        <v>40</v>
      </c>
      <c r="J1801" s="2"/>
      <c r="K1801" s="2" t="s">
        <v>4822</v>
      </c>
      <c r="L1801" s="12">
        <v>290.0</v>
      </c>
      <c r="M1801" s="2" t="s">
        <v>4823</v>
      </c>
      <c r="N1801" s="2" t="str">
        <f>IFERROR(__xludf.DUMMYFUNCTION("""COMPUTED_VALUE"""),"")</f>
        <v/>
      </c>
    </row>
    <row r="1802">
      <c r="A1802" s="2" t="s">
        <v>33</v>
      </c>
      <c r="B1802" s="12">
        <v>1729911.0</v>
      </c>
      <c r="C1802" s="12">
        <v>1730528.0</v>
      </c>
      <c r="D1802" s="2"/>
      <c r="E1802" s="2" t="s">
        <v>34</v>
      </c>
      <c r="F1802" s="2" t="s">
        <v>4824</v>
      </c>
      <c r="G1802" s="2"/>
      <c r="H1802" s="12">
        <v>0.0</v>
      </c>
      <c r="I1802" s="2" t="s">
        <v>40</v>
      </c>
      <c r="J1802" s="2"/>
      <c r="K1802" s="2" t="s">
        <v>4825</v>
      </c>
      <c r="L1802" s="12">
        <v>205.0</v>
      </c>
      <c r="M1802" s="2" t="s">
        <v>4826</v>
      </c>
      <c r="N1802" s="2" t="str">
        <f>IFERROR(__xludf.DUMMYFUNCTION("""COMPUTED_VALUE"""),"")</f>
        <v/>
      </c>
    </row>
    <row r="1803">
      <c r="A1803" s="2" t="s">
        <v>33</v>
      </c>
      <c r="B1803" s="12">
        <v>1730749.0</v>
      </c>
      <c r="C1803" s="12">
        <v>1731507.0</v>
      </c>
      <c r="D1803" s="2"/>
      <c r="E1803" s="2" t="s">
        <v>38</v>
      </c>
      <c r="F1803" s="2" t="s">
        <v>4827</v>
      </c>
      <c r="G1803" s="2" t="s">
        <v>4828</v>
      </c>
      <c r="H1803" s="12">
        <v>0.0</v>
      </c>
      <c r="I1803" s="2" t="s">
        <v>40</v>
      </c>
      <c r="J1803" s="2"/>
      <c r="K1803" s="2" t="s">
        <v>4829</v>
      </c>
      <c r="L1803" s="12">
        <v>252.0</v>
      </c>
      <c r="M1803" s="2" t="s">
        <v>4830</v>
      </c>
      <c r="N1803" s="2" t="str">
        <f>IFERROR(__xludf.DUMMYFUNCTION("""COMPUTED_VALUE"""),"")</f>
        <v/>
      </c>
    </row>
    <row r="1804">
      <c r="A1804" s="2" t="s">
        <v>33</v>
      </c>
      <c r="B1804" s="12">
        <v>1731524.0</v>
      </c>
      <c r="C1804" s="12">
        <v>1733212.0</v>
      </c>
      <c r="D1804" s="2"/>
      <c r="E1804" s="2" t="s">
        <v>38</v>
      </c>
      <c r="F1804" s="2" t="s">
        <v>4831</v>
      </c>
      <c r="G1804" s="2" t="s">
        <v>4832</v>
      </c>
      <c r="H1804" s="12">
        <v>0.0</v>
      </c>
      <c r="I1804" s="2" t="s">
        <v>40</v>
      </c>
      <c r="J1804" s="2"/>
      <c r="K1804" s="2" t="s">
        <v>4833</v>
      </c>
      <c r="L1804" s="12">
        <v>562.0</v>
      </c>
      <c r="M1804" s="2" t="s">
        <v>4834</v>
      </c>
      <c r="N1804" s="2" t="str">
        <f>IFERROR(__xludf.DUMMYFUNCTION("""COMPUTED_VALUE"""),"")</f>
        <v/>
      </c>
    </row>
    <row r="1805">
      <c r="A1805" s="2" t="s">
        <v>33</v>
      </c>
      <c r="B1805" s="12">
        <v>1733991.0</v>
      </c>
      <c r="C1805" s="12">
        <v>1734647.0</v>
      </c>
      <c r="D1805" s="2"/>
      <c r="E1805" s="2" t="s">
        <v>38</v>
      </c>
      <c r="F1805" s="2" t="s">
        <v>379</v>
      </c>
      <c r="G1805" s="2"/>
      <c r="H1805" s="12">
        <v>0.0</v>
      </c>
      <c r="I1805" s="2" t="s">
        <v>40</v>
      </c>
      <c r="J1805" s="2"/>
      <c r="K1805" s="2" t="s">
        <v>4835</v>
      </c>
      <c r="L1805" s="12">
        <v>218.0</v>
      </c>
      <c r="M1805" s="2" t="s">
        <v>4836</v>
      </c>
      <c r="N1805" s="2" t="str">
        <f>IFERROR(__xludf.DUMMYFUNCTION("""COMPUTED_VALUE"""),"")</f>
        <v/>
      </c>
    </row>
    <row r="1806">
      <c r="A1806" s="2" t="s">
        <v>33</v>
      </c>
      <c r="B1806" s="12">
        <v>1734683.0</v>
      </c>
      <c r="C1806" s="12">
        <v>1736986.0</v>
      </c>
      <c r="D1806" s="2"/>
      <c r="E1806" s="2" t="s">
        <v>38</v>
      </c>
      <c r="F1806" s="2" t="s">
        <v>66</v>
      </c>
      <c r="G1806" s="2"/>
      <c r="H1806" s="12">
        <v>0.0</v>
      </c>
      <c r="I1806" s="2" t="s">
        <v>40</v>
      </c>
      <c r="J1806" s="2"/>
      <c r="K1806" s="2" t="s">
        <v>4837</v>
      </c>
      <c r="L1806" s="12">
        <v>767.0</v>
      </c>
      <c r="M1806" s="2" t="s">
        <v>4838</v>
      </c>
      <c r="N1806" s="2" t="str">
        <f>IFERROR(__xludf.DUMMYFUNCTION("""COMPUTED_VALUE"""),"")</f>
        <v/>
      </c>
    </row>
    <row r="1807">
      <c r="A1807" s="2" t="s">
        <v>33</v>
      </c>
      <c r="B1807" s="12">
        <v>1737536.0</v>
      </c>
      <c r="C1807" s="12">
        <v>1737892.0</v>
      </c>
      <c r="D1807" s="2"/>
      <c r="E1807" s="2" t="s">
        <v>38</v>
      </c>
      <c r="F1807" s="2" t="s">
        <v>4839</v>
      </c>
      <c r="G1807" s="2"/>
      <c r="H1807" s="12">
        <v>0.0</v>
      </c>
      <c r="I1807" s="2" t="s">
        <v>40</v>
      </c>
      <c r="J1807" s="2"/>
      <c r="K1807" s="2" t="s">
        <v>4840</v>
      </c>
      <c r="L1807" s="12">
        <v>118.0</v>
      </c>
      <c r="M1807" s="2" t="s">
        <v>4841</v>
      </c>
      <c r="N1807" s="2" t="str">
        <f>IFERROR(__xludf.DUMMYFUNCTION("""COMPUTED_VALUE"""),"")</f>
        <v/>
      </c>
    </row>
    <row r="1808">
      <c r="A1808" s="2" t="s">
        <v>33</v>
      </c>
      <c r="B1808" s="12">
        <v>1738035.0</v>
      </c>
      <c r="C1808" s="12">
        <v>1739171.0</v>
      </c>
      <c r="D1808" s="2"/>
      <c r="E1808" s="2" t="s">
        <v>38</v>
      </c>
      <c r="F1808" s="2" t="s">
        <v>2447</v>
      </c>
      <c r="G1808" s="2"/>
      <c r="H1808" s="12">
        <v>0.0</v>
      </c>
      <c r="I1808" s="2" t="s">
        <v>40</v>
      </c>
      <c r="J1808" s="2"/>
      <c r="K1808" s="2" t="s">
        <v>4842</v>
      </c>
      <c r="L1808" s="12">
        <v>378.0</v>
      </c>
      <c r="M1808" s="2" t="s">
        <v>4843</v>
      </c>
      <c r="N1808" s="2" t="str">
        <f>IFERROR(__xludf.DUMMYFUNCTION("""COMPUTED_VALUE"""),"")</f>
        <v/>
      </c>
    </row>
    <row r="1809">
      <c r="A1809" s="2" t="s">
        <v>33</v>
      </c>
      <c r="B1809" s="12">
        <v>1739301.0</v>
      </c>
      <c r="C1809" s="12">
        <v>1740353.0</v>
      </c>
      <c r="D1809" s="2"/>
      <c r="E1809" s="2" t="s">
        <v>34</v>
      </c>
      <c r="F1809" s="2" t="s">
        <v>4844</v>
      </c>
      <c r="G1809" s="2"/>
      <c r="H1809" s="12">
        <v>0.0</v>
      </c>
      <c r="I1809" s="2" t="s">
        <v>40</v>
      </c>
      <c r="J1809" s="2"/>
      <c r="K1809" s="2" t="s">
        <v>4845</v>
      </c>
      <c r="L1809" s="12">
        <v>350.0</v>
      </c>
      <c r="M1809" s="2" t="s">
        <v>4846</v>
      </c>
      <c r="N1809" s="2" t="str">
        <f>IFERROR(__xludf.DUMMYFUNCTION("""COMPUTED_VALUE"""),"")</f>
        <v/>
      </c>
    </row>
    <row r="1810">
      <c r="A1810" s="2" t="s">
        <v>33</v>
      </c>
      <c r="B1810" s="12">
        <v>1740374.0</v>
      </c>
      <c r="C1810" s="12">
        <v>1741831.0</v>
      </c>
      <c r="D1810" s="2"/>
      <c r="E1810" s="2" t="s">
        <v>34</v>
      </c>
      <c r="F1810" s="2" t="s">
        <v>4844</v>
      </c>
      <c r="G1810" s="2"/>
      <c r="H1810" s="12">
        <v>0.0</v>
      </c>
      <c r="I1810" s="2" t="s">
        <v>40</v>
      </c>
      <c r="J1810" s="2"/>
      <c r="K1810" s="2" t="s">
        <v>4847</v>
      </c>
      <c r="L1810" s="12">
        <v>485.0</v>
      </c>
      <c r="M1810" s="2" t="s">
        <v>4848</v>
      </c>
      <c r="N1810" s="2" t="str">
        <f>IFERROR(__xludf.DUMMYFUNCTION("""COMPUTED_VALUE"""),"")</f>
        <v/>
      </c>
    </row>
    <row r="1811">
      <c r="A1811" s="2" t="s">
        <v>33</v>
      </c>
      <c r="B1811" s="12">
        <v>1741851.0</v>
      </c>
      <c r="C1811" s="12">
        <v>1742096.0</v>
      </c>
      <c r="D1811" s="2"/>
      <c r="E1811" s="2" t="s">
        <v>38</v>
      </c>
      <c r="F1811" s="2" t="s">
        <v>39</v>
      </c>
      <c r="G1811" s="2"/>
      <c r="H1811" s="12">
        <v>0.0</v>
      </c>
      <c r="I1811" s="2" t="s">
        <v>40</v>
      </c>
      <c r="J1811" s="2"/>
      <c r="K1811" s="2" t="s">
        <v>4849</v>
      </c>
      <c r="L1811" s="12">
        <v>81.0</v>
      </c>
      <c r="M1811" s="2" t="s">
        <v>4850</v>
      </c>
      <c r="N1811" s="2" t="str">
        <f>IFERROR(__xludf.DUMMYFUNCTION("""COMPUTED_VALUE"""),"")</f>
        <v/>
      </c>
    </row>
    <row r="1812">
      <c r="A1812" s="2" t="s">
        <v>33</v>
      </c>
      <c r="B1812" s="12">
        <v>1742555.0</v>
      </c>
      <c r="C1812" s="12">
        <v>1742758.0</v>
      </c>
      <c r="D1812" s="2"/>
      <c r="E1812" s="2" t="s">
        <v>34</v>
      </c>
      <c r="F1812" s="2" t="s">
        <v>4851</v>
      </c>
      <c r="G1812" s="2" t="s">
        <v>4852</v>
      </c>
      <c r="H1812" s="12">
        <v>0.0</v>
      </c>
      <c r="I1812" s="2" t="s">
        <v>40</v>
      </c>
      <c r="J1812" s="2"/>
      <c r="K1812" s="2" t="s">
        <v>4853</v>
      </c>
      <c r="L1812" s="12">
        <v>67.0</v>
      </c>
      <c r="M1812" s="2" t="s">
        <v>4854</v>
      </c>
      <c r="N1812" s="2" t="str">
        <f>IFERROR(__xludf.DUMMYFUNCTION("""COMPUTED_VALUE"""),"")</f>
        <v/>
      </c>
    </row>
    <row r="1813">
      <c r="A1813" s="2" t="s">
        <v>33</v>
      </c>
      <c r="B1813" s="12">
        <v>1742810.0</v>
      </c>
      <c r="C1813" s="12">
        <v>1743544.0</v>
      </c>
      <c r="D1813" s="2"/>
      <c r="E1813" s="2" t="s">
        <v>38</v>
      </c>
      <c r="F1813" s="2" t="s">
        <v>4855</v>
      </c>
      <c r="G1813" s="2"/>
      <c r="H1813" s="12">
        <v>0.0</v>
      </c>
      <c r="I1813" s="2" t="s">
        <v>40</v>
      </c>
      <c r="J1813" s="2"/>
      <c r="K1813" s="2" t="s">
        <v>4856</v>
      </c>
      <c r="L1813" s="12">
        <v>244.0</v>
      </c>
      <c r="M1813" s="2" t="s">
        <v>4857</v>
      </c>
      <c r="N1813" s="2" t="str">
        <f>IFERROR(__xludf.DUMMYFUNCTION("""COMPUTED_VALUE"""),"")</f>
        <v/>
      </c>
    </row>
    <row r="1814">
      <c r="A1814" s="2" t="s">
        <v>33</v>
      </c>
      <c r="B1814" s="12">
        <v>1743573.0</v>
      </c>
      <c r="C1814" s="12">
        <v>1744271.0</v>
      </c>
      <c r="D1814" s="2"/>
      <c r="E1814" s="2" t="s">
        <v>38</v>
      </c>
      <c r="F1814" s="2" t="s">
        <v>4858</v>
      </c>
      <c r="G1814" s="2"/>
      <c r="H1814" s="12">
        <v>0.0</v>
      </c>
      <c r="I1814" s="2" t="s">
        <v>40</v>
      </c>
      <c r="J1814" s="2"/>
      <c r="K1814" s="2" t="s">
        <v>4859</v>
      </c>
      <c r="L1814" s="12">
        <v>232.0</v>
      </c>
      <c r="M1814" s="2" t="s">
        <v>4860</v>
      </c>
      <c r="N1814" s="2" t="str">
        <f>IFERROR(__xludf.DUMMYFUNCTION("""COMPUTED_VALUE"""),"")</f>
        <v/>
      </c>
    </row>
    <row r="1815">
      <c r="A1815" s="2" t="s">
        <v>33</v>
      </c>
      <c r="B1815" s="12">
        <v>1744258.0</v>
      </c>
      <c r="C1815" s="12">
        <v>1745055.0</v>
      </c>
      <c r="D1815" s="2"/>
      <c r="E1815" s="2" t="s">
        <v>38</v>
      </c>
      <c r="F1815" s="2" t="s">
        <v>4861</v>
      </c>
      <c r="G1815" s="2"/>
      <c r="H1815" s="12">
        <v>0.0</v>
      </c>
      <c r="I1815" s="2" t="s">
        <v>40</v>
      </c>
      <c r="J1815" s="2"/>
      <c r="K1815" s="2" t="s">
        <v>4862</v>
      </c>
      <c r="L1815" s="12">
        <v>265.0</v>
      </c>
      <c r="M1815" s="2" t="s">
        <v>4863</v>
      </c>
      <c r="N1815" s="2" t="str">
        <f>IFERROR(__xludf.DUMMYFUNCTION("""COMPUTED_VALUE"""),"")</f>
        <v/>
      </c>
    </row>
    <row r="1816">
      <c r="A1816" s="2" t="s">
        <v>33</v>
      </c>
      <c r="B1816" s="12">
        <v>1745350.0</v>
      </c>
      <c r="C1816" s="12">
        <v>1747350.0</v>
      </c>
      <c r="D1816" s="2"/>
      <c r="E1816" s="2" t="s">
        <v>38</v>
      </c>
      <c r="F1816" s="2" t="s">
        <v>432</v>
      </c>
      <c r="G1816" s="2"/>
      <c r="H1816" s="12">
        <v>0.0</v>
      </c>
      <c r="I1816" s="2" t="s">
        <v>40</v>
      </c>
      <c r="J1816" s="2"/>
      <c r="K1816" s="2" t="s">
        <v>4864</v>
      </c>
      <c r="L1816" s="12">
        <v>666.0</v>
      </c>
      <c r="M1816" s="2" t="s">
        <v>4865</v>
      </c>
      <c r="N1816" s="2" t="str">
        <f>IFERROR(__xludf.DUMMYFUNCTION("""COMPUTED_VALUE"""),"")</f>
        <v/>
      </c>
    </row>
    <row r="1817">
      <c r="A1817" s="2" t="s">
        <v>33</v>
      </c>
      <c r="B1817" s="12">
        <v>1747347.0</v>
      </c>
      <c r="C1817" s="12">
        <v>1749107.0</v>
      </c>
      <c r="D1817" s="2"/>
      <c r="E1817" s="2" t="s">
        <v>38</v>
      </c>
      <c r="F1817" s="2" t="s">
        <v>432</v>
      </c>
      <c r="G1817" s="2"/>
      <c r="H1817" s="12">
        <v>0.0</v>
      </c>
      <c r="I1817" s="2" t="s">
        <v>40</v>
      </c>
      <c r="J1817" s="2"/>
      <c r="K1817" s="2" t="s">
        <v>4866</v>
      </c>
      <c r="L1817" s="12">
        <v>586.0</v>
      </c>
      <c r="M1817" s="2" t="s">
        <v>4867</v>
      </c>
      <c r="N1817" s="2" t="str">
        <f>IFERROR(__xludf.DUMMYFUNCTION("""COMPUTED_VALUE"""),"")</f>
        <v/>
      </c>
    </row>
    <row r="1818">
      <c r="A1818" s="2" t="s">
        <v>33</v>
      </c>
      <c r="B1818" s="12">
        <v>1749704.0</v>
      </c>
      <c r="C1818" s="12">
        <v>1751143.0</v>
      </c>
      <c r="D1818" s="2"/>
      <c r="E1818" s="2" t="s">
        <v>34</v>
      </c>
      <c r="F1818" s="2" t="s">
        <v>4868</v>
      </c>
      <c r="G1818" s="2" t="s">
        <v>4869</v>
      </c>
      <c r="H1818" s="12">
        <v>0.0</v>
      </c>
      <c r="I1818" s="2" t="s">
        <v>40</v>
      </c>
      <c r="J1818" s="2"/>
      <c r="K1818" s="2" t="s">
        <v>4870</v>
      </c>
      <c r="L1818" s="12">
        <v>479.0</v>
      </c>
      <c r="M1818" s="2" t="s">
        <v>4871</v>
      </c>
      <c r="N1818" s="2" t="str">
        <f>IFERROR(__xludf.DUMMYFUNCTION("""COMPUTED_VALUE"""),"")</f>
        <v/>
      </c>
    </row>
    <row r="1819">
      <c r="A1819" s="2" t="s">
        <v>33</v>
      </c>
      <c r="B1819" s="12">
        <v>1751222.0</v>
      </c>
      <c r="C1819" s="12">
        <v>1752307.0</v>
      </c>
      <c r="D1819" s="2"/>
      <c r="E1819" s="2" t="s">
        <v>38</v>
      </c>
      <c r="F1819" s="2" t="s">
        <v>4872</v>
      </c>
      <c r="G1819" s="2"/>
      <c r="H1819" s="12">
        <v>0.0</v>
      </c>
      <c r="I1819" s="2" t="s">
        <v>40</v>
      </c>
      <c r="J1819" s="2"/>
      <c r="K1819" s="2" t="s">
        <v>4873</v>
      </c>
      <c r="L1819" s="12">
        <v>361.0</v>
      </c>
      <c r="M1819" s="2" t="s">
        <v>4874</v>
      </c>
      <c r="N1819" s="2" t="str">
        <f>IFERROR(__xludf.DUMMYFUNCTION("""COMPUTED_VALUE"""),"")</f>
        <v/>
      </c>
    </row>
    <row r="1820">
      <c r="A1820" s="2" t="s">
        <v>33</v>
      </c>
      <c r="B1820" s="12">
        <v>1752418.0</v>
      </c>
      <c r="C1820" s="12">
        <v>1753248.0</v>
      </c>
      <c r="D1820" s="2"/>
      <c r="E1820" s="2" t="s">
        <v>38</v>
      </c>
      <c r="F1820" s="2" t="s">
        <v>4875</v>
      </c>
      <c r="G1820" s="2" t="s">
        <v>4876</v>
      </c>
      <c r="H1820" s="12">
        <v>0.0</v>
      </c>
      <c r="I1820" s="2" t="s">
        <v>40</v>
      </c>
      <c r="J1820" s="2"/>
      <c r="K1820" s="2" t="s">
        <v>4877</v>
      </c>
      <c r="L1820" s="12">
        <v>276.0</v>
      </c>
      <c r="M1820" s="2" t="s">
        <v>4878</v>
      </c>
      <c r="N1820" s="2" t="str">
        <f>IFERROR(__xludf.DUMMYFUNCTION("""COMPUTED_VALUE"""),"")</f>
        <v/>
      </c>
    </row>
    <row r="1821">
      <c r="A1821" s="2" t="s">
        <v>33</v>
      </c>
      <c r="B1821" s="12">
        <v>1753779.0</v>
      </c>
      <c r="C1821" s="12">
        <v>1755203.0</v>
      </c>
      <c r="D1821" s="2"/>
      <c r="E1821" s="2" t="s">
        <v>34</v>
      </c>
      <c r="F1821" s="2" t="s">
        <v>4879</v>
      </c>
      <c r="G1821" s="2"/>
      <c r="H1821" s="12">
        <v>0.0</v>
      </c>
      <c r="I1821" s="2" t="s">
        <v>40</v>
      </c>
      <c r="J1821" s="2"/>
      <c r="K1821" s="2" t="s">
        <v>4880</v>
      </c>
      <c r="L1821" s="12">
        <v>474.0</v>
      </c>
      <c r="M1821" s="2" t="s">
        <v>4881</v>
      </c>
      <c r="N1821" s="2" t="str">
        <f>IFERROR(__xludf.DUMMYFUNCTION("""COMPUTED_VALUE"""),"")</f>
        <v/>
      </c>
    </row>
    <row r="1822">
      <c r="A1822" s="2" t="s">
        <v>33</v>
      </c>
      <c r="B1822" s="12">
        <v>1755264.0</v>
      </c>
      <c r="C1822" s="12">
        <v>1756463.0</v>
      </c>
      <c r="D1822" s="2"/>
      <c r="E1822" s="2" t="s">
        <v>34</v>
      </c>
      <c r="F1822" s="2" t="s">
        <v>265</v>
      </c>
      <c r="G1822" s="2"/>
      <c r="H1822" s="12">
        <v>0.0</v>
      </c>
      <c r="I1822" s="2" t="s">
        <v>40</v>
      </c>
      <c r="J1822" s="2"/>
      <c r="K1822" s="2" t="s">
        <v>4882</v>
      </c>
      <c r="L1822" s="12">
        <v>399.0</v>
      </c>
      <c r="M1822" s="2" t="s">
        <v>4883</v>
      </c>
      <c r="N1822" s="2" t="str">
        <f>IFERROR(__xludf.DUMMYFUNCTION("""COMPUTED_VALUE"""),"")</f>
        <v/>
      </c>
    </row>
    <row r="1823">
      <c r="A1823" s="2" t="s">
        <v>33</v>
      </c>
      <c r="B1823" s="12">
        <v>1756738.0</v>
      </c>
      <c r="C1823" s="12">
        <v>1758735.0</v>
      </c>
      <c r="D1823" s="2"/>
      <c r="E1823" s="2" t="s">
        <v>34</v>
      </c>
      <c r="F1823" s="2" t="s">
        <v>4884</v>
      </c>
      <c r="G1823" s="2"/>
      <c r="H1823" s="12">
        <v>0.0</v>
      </c>
      <c r="I1823" s="2" t="s">
        <v>40</v>
      </c>
      <c r="J1823" s="2"/>
      <c r="K1823" s="2" t="s">
        <v>4885</v>
      </c>
      <c r="L1823" s="12">
        <v>665.0</v>
      </c>
      <c r="M1823" s="2" t="s">
        <v>4886</v>
      </c>
      <c r="N1823" s="2" t="str">
        <f>IFERROR(__xludf.DUMMYFUNCTION("""COMPUTED_VALUE"""),"")</f>
        <v/>
      </c>
    </row>
    <row r="1824">
      <c r="A1824" s="2" t="s">
        <v>33</v>
      </c>
      <c r="B1824" s="12">
        <v>1758754.0</v>
      </c>
      <c r="C1824" s="12">
        <v>1759269.0</v>
      </c>
      <c r="D1824" s="2"/>
      <c r="E1824" s="2" t="s">
        <v>34</v>
      </c>
      <c r="F1824" s="2" t="s">
        <v>4887</v>
      </c>
      <c r="G1824" s="2"/>
      <c r="H1824" s="12">
        <v>0.0</v>
      </c>
      <c r="I1824" s="2" t="s">
        <v>40</v>
      </c>
      <c r="J1824" s="2"/>
      <c r="K1824" s="2" t="s">
        <v>4888</v>
      </c>
      <c r="L1824" s="12">
        <v>171.0</v>
      </c>
      <c r="M1824" s="2" t="s">
        <v>4889</v>
      </c>
      <c r="N1824" s="2" t="str">
        <f>IFERROR(__xludf.DUMMYFUNCTION("""COMPUTED_VALUE"""),"")</f>
        <v/>
      </c>
    </row>
    <row r="1825">
      <c r="A1825" s="2" t="s">
        <v>33</v>
      </c>
      <c r="B1825" s="12">
        <v>1759332.0</v>
      </c>
      <c r="C1825" s="12">
        <v>1759481.0</v>
      </c>
      <c r="D1825" s="2"/>
      <c r="E1825" s="2" t="s">
        <v>38</v>
      </c>
      <c r="F1825" s="2" t="s">
        <v>39</v>
      </c>
      <c r="G1825" s="2"/>
      <c r="H1825" s="12">
        <v>0.0</v>
      </c>
      <c r="I1825" s="2" t="s">
        <v>40</v>
      </c>
      <c r="J1825" s="2"/>
      <c r="K1825" s="2" t="s">
        <v>4890</v>
      </c>
      <c r="L1825" s="12">
        <v>49.0</v>
      </c>
      <c r="M1825" s="2" t="s">
        <v>4891</v>
      </c>
      <c r="N1825" s="2" t="str">
        <f>IFERROR(__xludf.DUMMYFUNCTION("""COMPUTED_VALUE"""),"")</f>
        <v/>
      </c>
    </row>
    <row r="1826">
      <c r="A1826" s="2" t="s">
        <v>33</v>
      </c>
      <c r="B1826" s="12">
        <v>1759580.0</v>
      </c>
      <c r="C1826" s="12">
        <v>1759783.0</v>
      </c>
      <c r="D1826" s="2"/>
      <c r="E1826" s="2" t="s">
        <v>34</v>
      </c>
      <c r="F1826" s="2" t="s">
        <v>39</v>
      </c>
      <c r="G1826" s="2"/>
      <c r="H1826" s="12">
        <v>0.0</v>
      </c>
      <c r="I1826" s="2" t="s">
        <v>40</v>
      </c>
      <c r="J1826" s="2"/>
      <c r="K1826" s="2" t="s">
        <v>4892</v>
      </c>
      <c r="L1826" s="12">
        <v>67.0</v>
      </c>
      <c r="M1826" s="2" t="s">
        <v>4893</v>
      </c>
      <c r="N1826" s="2" t="str">
        <f>IFERROR(__xludf.DUMMYFUNCTION("""COMPUTED_VALUE"""),"")</f>
        <v/>
      </c>
    </row>
    <row r="1827">
      <c r="A1827" s="2" t="s">
        <v>33</v>
      </c>
      <c r="B1827" s="12">
        <v>1759835.0</v>
      </c>
      <c r="C1827" s="12">
        <v>1761097.0</v>
      </c>
      <c r="D1827" s="2"/>
      <c r="E1827" s="2" t="s">
        <v>38</v>
      </c>
      <c r="F1827" s="2" t="s">
        <v>88</v>
      </c>
      <c r="G1827" s="2"/>
      <c r="H1827" s="12">
        <v>0.0</v>
      </c>
      <c r="I1827" s="2" t="s">
        <v>40</v>
      </c>
      <c r="J1827" s="2"/>
      <c r="K1827" s="2" t="s">
        <v>4894</v>
      </c>
      <c r="L1827" s="12">
        <v>420.0</v>
      </c>
      <c r="M1827" s="2" t="s">
        <v>4895</v>
      </c>
      <c r="N1827" s="2" t="str">
        <f>IFERROR(__xludf.DUMMYFUNCTION("""COMPUTED_VALUE"""),"")</f>
        <v/>
      </c>
    </row>
    <row r="1828">
      <c r="A1828" s="2" t="s">
        <v>33</v>
      </c>
      <c r="B1828" s="12">
        <v>1761182.0</v>
      </c>
      <c r="C1828" s="12">
        <v>1762942.0</v>
      </c>
      <c r="D1828" s="2"/>
      <c r="E1828" s="2" t="s">
        <v>34</v>
      </c>
      <c r="F1828" s="2" t="s">
        <v>4896</v>
      </c>
      <c r="G1828" s="2"/>
      <c r="H1828" s="12">
        <v>0.0</v>
      </c>
      <c r="I1828" s="2" t="s">
        <v>40</v>
      </c>
      <c r="J1828" s="2"/>
      <c r="K1828" s="2" t="s">
        <v>4897</v>
      </c>
      <c r="L1828" s="12">
        <v>586.0</v>
      </c>
      <c r="M1828" s="2" t="s">
        <v>4898</v>
      </c>
      <c r="N1828" s="2" t="str">
        <f>IFERROR(__xludf.DUMMYFUNCTION("""COMPUTED_VALUE"""),"")</f>
        <v/>
      </c>
    </row>
    <row r="1829">
      <c r="A1829" s="2" t="s">
        <v>33</v>
      </c>
      <c r="B1829" s="12">
        <v>1763005.0</v>
      </c>
      <c r="C1829" s="12">
        <v>1763553.0</v>
      </c>
      <c r="D1829" s="2"/>
      <c r="E1829" s="2" t="s">
        <v>38</v>
      </c>
      <c r="F1829" s="2" t="s">
        <v>4899</v>
      </c>
      <c r="G1829" s="2"/>
      <c r="H1829" s="12">
        <v>0.0</v>
      </c>
      <c r="I1829" s="2" t="s">
        <v>40</v>
      </c>
      <c r="J1829" s="2"/>
      <c r="K1829" s="2" t="s">
        <v>4900</v>
      </c>
      <c r="L1829" s="12">
        <v>182.0</v>
      </c>
      <c r="M1829" s="2" t="s">
        <v>4901</v>
      </c>
      <c r="N1829" s="2" t="str">
        <f>IFERROR(__xludf.DUMMYFUNCTION("""COMPUTED_VALUE"""),"")</f>
        <v/>
      </c>
    </row>
    <row r="1830">
      <c r="A1830" s="2" t="s">
        <v>33</v>
      </c>
      <c r="B1830" s="12">
        <v>1763577.0</v>
      </c>
      <c r="C1830" s="12">
        <v>1764116.0</v>
      </c>
      <c r="D1830" s="2"/>
      <c r="E1830" s="2" t="s">
        <v>38</v>
      </c>
      <c r="F1830" s="2" t="s">
        <v>4750</v>
      </c>
      <c r="G1830" s="2"/>
      <c r="H1830" s="12">
        <v>0.0</v>
      </c>
      <c r="I1830" s="2" t="s">
        <v>40</v>
      </c>
      <c r="J1830" s="2"/>
      <c r="K1830" s="2" t="s">
        <v>4902</v>
      </c>
      <c r="L1830" s="12">
        <v>179.0</v>
      </c>
      <c r="M1830" s="2" t="s">
        <v>4903</v>
      </c>
      <c r="N1830" s="2" t="str">
        <f>IFERROR(__xludf.DUMMYFUNCTION("""COMPUTED_VALUE"""),"")</f>
        <v/>
      </c>
    </row>
    <row r="1831">
      <c r="A1831" s="2" t="s">
        <v>33</v>
      </c>
      <c r="B1831" s="12">
        <v>1764286.0</v>
      </c>
      <c r="C1831" s="12">
        <v>1764624.0</v>
      </c>
      <c r="D1831" s="2"/>
      <c r="E1831" s="2" t="s">
        <v>34</v>
      </c>
      <c r="F1831" s="2" t="s">
        <v>216</v>
      </c>
      <c r="G1831" s="2"/>
      <c r="H1831" s="12">
        <v>0.0</v>
      </c>
      <c r="I1831" s="2" t="s">
        <v>40</v>
      </c>
      <c r="J1831" s="2"/>
      <c r="K1831" s="2" t="s">
        <v>4904</v>
      </c>
      <c r="L1831" s="12">
        <v>112.0</v>
      </c>
      <c r="M1831" s="2" t="s">
        <v>4905</v>
      </c>
      <c r="N1831" s="2" t="str">
        <f>IFERROR(__xludf.DUMMYFUNCTION("""COMPUTED_VALUE"""),"")</f>
        <v/>
      </c>
    </row>
    <row r="1832">
      <c r="A1832" s="2" t="s">
        <v>33</v>
      </c>
      <c r="B1832" s="12">
        <v>1764658.0</v>
      </c>
      <c r="C1832" s="12">
        <v>1765860.0</v>
      </c>
      <c r="D1832" s="2"/>
      <c r="E1832" s="2" t="s">
        <v>38</v>
      </c>
      <c r="F1832" s="2" t="s">
        <v>607</v>
      </c>
      <c r="G1832" s="2"/>
      <c r="H1832" s="12">
        <v>0.0</v>
      </c>
      <c r="I1832" s="2" t="s">
        <v>40</v>
      </c>
      <c r="J1832" s="2"/>
      <c r="K1832" s="2" t="s">
        <v>4906</v>
      </c>
      <c r="L1832" s="12">
        <v>400.0</v>
      </c>
      <c r="M1832" s="2" t="s">
        <v>4907</v>
      </c>
      <c r="N1832" s="2" t="str">
        <f>IFERROR(__xludf.DUMMYFUNCTION("""COMPUTED_VALUE"""),"")</f>
        <v/>
      </c>
    </row>
    <row r="1833">
      <c r="A1833" s="2" t="s">
        <v>33</v>
      </c>
      <c r="B1833" s="12">
        <v>1766073.0</v>
      </c>
      <c r="C1833" s="12">
        <v>1766651.0</v>
      </c>
      <c r="D1833" s="2"/>
      <c r="E1833" s="2" t="s">
        <v>38</v>
      </c>
      <c r="F1833" s="2" t="s">
        <v>4908</v>
      </c>
      <c r="G1833" s="2"/>
      <c r="H1833" s="12">
        <v>0.0</v>
      </c>
      <c r="I1833" s="2" t="s">
        <v>40</v>
      </c>
      <c r="J1833" s="2"/>
      <c r="K1833" s="2" t="s">
        <v>4909</v>
      </c>
      <c r="L1833" s="12">
        <v>192.0</v>
      </c>
      <c r="M1833" s="2" t="s">
        <v>4910</v>
      </c>
      <c r="N1833" s="2" t="str">
        <f>IFERROR(__xludf.DUMMYFUNCTION("""COMPUTED_VALUE"""),"")</f>
        <v/>
      </c>
    </row>
    <row r="1834">
      <c r="A1834" s="2" t="s">
        <v>33</v>
      </c>
      <c r="B1834" s="12">
        <v>1766803.0</v>
      </c>
      <c r="C1834" s="12">
        <v>1767117.0</v>
      </c>
      <c r="D1834" s="2"/>
      <c r="E1834" s="2" t="s">
        <v>38</v>
      </c>
      <c r="F1834" s="2" t="s">
        <v>4911</v>
      </c>
      <c r="G1834" s="2"/>
      <c r="H1834" s="12">
        <v>0.0</v>
      </c>
      <c r="I1834" s="2" t="s">
        <v>40</v>
      </c>
      <c r="J1834" s="2"/>
      <c r="K1834" s="2" t="s">
        <v>4912</v>
      </c>
      <c r="L1834" s="12">
        <v>104.0</v>
      </c>
      <c r="M1834" s="2" t="s">
        <v>4913</v>
      </c>
      <c r="N1834" s="2" t="str">
        <f>IFERROR(__xludf.DUMMYFUNCTION("""COMPUTED_VALUE"""),"")</f>
        <v/>
      </c>
    </row>
    <row r="1835">
      <c r="A1835" s="2" t="s">
        <v>33</v>
      </c>
      <c r="B1835" s="12">
        <v>1767120.0</v>
      </c>
      <c r="C1835" s="12">
        <v>1767464.0</v>
      </c>
      <c r="D1835" s="2"/>
      <c r="E1835" s="2" t="s">
        <v>38</v>
      </c>
      <c r="F1835" s="2" t="s">
        <v>4911</v>
      </c>
      <c r="G1835" s="2"/>
      <c r="H1835" s="12">
        <v>0.0</v>
      </c>
      <c r="I1835" s="2" t="s">
        <v>40</v>
      </c>
      <c r="J1835" s="2"/>
      <c r="K1835" s="2" t="s">
        <v>4914</v>
      </c>
      <c r="L1835" s="12">
        <v>114.0</v>
      </c>
      <c r="M1835" s="2" t="s">
        <v>4915</v>
      </c>
      <c r="N1835" s="2" t="str">
        <f>IFERROR(__xludf.DUMMYFUNCTION("""COMPUTED_VALUE"""),"")</f>
        <v/>
      </c>
    </row>
    <row r="1836">
      <c r="A1836" s="2" t="s">
        <v>33</v>
      </c>
      <c r="B1836" s="12">
        <v>1767877.0</v>
      </c>
      <c r="C1836" s="12">
        <v>1768236.0</v>
      </c>
      <c r="D1836" s="2"/>
      <c r="E1836" s="2" t="s">
        <v>38</v>
      </c>
      <c r="F1836" s="2" t="s">
        <v>338</v>
      </c>
      <c r="G1836" s="2"/>
      <c r="H1836" s="12">
        <v>0.0</v>
      </c>
      <c r="I1836" s="2" t="s">
        <v>40</v>
      </c>
      <c r="J1836" s="2"/>
      <c r="K1836" s="2" t="s">
        <v>4916</v>
      </c>
      <c r="L1836" s="12">
        <v>119.0</v>
      </c>
      <c r="M1836" s="2" t="s">
        <v>4917</v>
      </c>
      <c r="N1836" s="2" t="str">
        <f>IFERROR(__xludf.DUMMYFUNCTION("""COMPUTED_VALUE"""),"")</f>
        <v/>
      </c>
    </row>
    <row r="1837">
      <c r="A1837" s="2" t="s">
        <v>33</v>
      </c>
      <c r="B1837" s="12">
        <v>1768371.0</v>
      </c>
      <c r="C1837" s="12">
        <v>1769141.0</v>
      </c>
      <c r="D1837" s="2"/>
      <c r="E1837" s="2" t="s">
        <v>34</v>
      </c>
      <c r="F1837" s="2" t="s">
        <v>333</v>
      </c>
      <c r="G1837" s="2"/>
      <c r="H1837" s="12">
        <v>0.0</v>
      </c>
      <c r="I1837" s="2" t="s">
        <v>40</v>
      </c>
      <c r="J1837" s="2"/>
      <c r="K1837" s="2" t="s">
        <v>4918</v>
      </c>
      <c r="L1837" s="12">
        <v>256.0</v>
      </c>
      <c r="M1837" s="2" t="s">
        <v>4919</v>
      </c>
      <c r="N1837" s="2" t="str">
        <f>IFERROR(__xludf.DUMMYFUNCTION("""COMPUTED_VALUE"""),"")</f>
        <v/>
      </c>
    </row>
    <row r="1838">
      <c r="A1838" s="2" t="s">
        <v>33</v>
      </c>
      <c r="B1838" s="12">
        <v>1769222.0</v>
      </c>
      <c r="C1838" s="12">
        <v>1769677.0</v>
      </c>
      <c r="D1838" s="2"/>
      <c r="E1838" s="2" t="s">
        <v>38</v>
      </c>
      <c r="F1838" s="2" t="s">
        <v>2202</v>
      </c>
      <c r="G1838" s="2"/>
      <c r="H1838" s="12">
        <v>0.0</v>
      </c>
      <c r="I1838" s="2" t="s">
        <v>40</v>
      </c>
      <c r="J1838" s="2"/>
      <c r="K1838" s="2" t="s">
        <v>4920</v>
      </c>
      <c r="L1838" s="12">
        <v>151.0</v>
      </c>
      <c r="M1838" s="2" t="s">
        <v>4921</v>
      </c>
      <c r="N1838" s="2" t="str">
        <f>IFERROR(__xludf.DUMMYFUNCTION("""COMPUTED_VALUE"""),"")</f>
        <v/>
      </c>
    </row>
    <row r="1839">
      <c r="A1839" s="2" t="s">
        <v>33</v>
      </c>
      <c r="B1839" s="12">
        <v>1769807.0</v>
      </c>
      <c r="C1839" s="12">
        <v>1770301.0</v>
      </c>
      <c r="D1839" s="2"/>
      <c r="E1839" s="2" t="s">
        <v>38</v>
      </c>
      <c r="F1839" s="2" t="s">
        <v>3529</v>
      </c>
      <c r="G1839" s="2"/>
      <c r="H1839" s="12">
        <v>0.0</v>
      </c>
      <c r="I1839" s="2" t="s">
        <v>40</v>
      </c>
      <c r="J1839" s="2"/>
      <c r="K1839" s="2" t="s">
        <v>4922</v>
      </c>
      <c r="L1839" s="12">
        <v>164.0</v>
      </c>
      <c r="M1839" s="2" t="s">
        <v>4923</v>
      </c>
      <c r="N1839" s="2" t="str">
        <f>IFERROR(__xludf.DUMMYFUNCTION("""COMPUTED_VALUE"""),"")</f>
        <v/>
      </c>
    </row>
    <row r="1840">
      <c r="A1840" s="2" t="s">
        <v>33</v>
      </c>
      <c r="B1840" s="12">
        <v>1770508.0</v>
      </c>
      <c r="C1840" s="12">
        <v>1771419.0</v>
      </c>
      <c r="D1840" s="2"/>
      <c r="E1840" s="2" t="s">
        <v>34</v>
      </c>
      <c r="F1840" s="2" t="s">
        <v>738</v>
      </c>
      <c r="G1840" s="2"/>
      <c r="H1840" s="12">
        <v>0.0</v>
      </c>
      <c r="I1840" s="2" t="s">
        <v>40</v>
      </c>
      <c r="J1840" s="2"/>
      <c r="K1840" s="2" t="s">
        <v>4924</v>
      </c>
      <c r="L1840" s="12">
        <v>303.0</v>
      </c>
      <c r="M1840" s="2" t="s">
        <v>4925</v>
      </c>
      <c r="N1840" s="2" t="str">
        <f>IFERROR(__xludf.DUMMYFUNCTION("""COMPUTED_VALUE"""),"")</f>
        <v/>
      </c>
    </row>
    <row r="1841">
      <c r="A1841" s="2" t="s">
        <v>33</v>
      </c>
      <c r="B1841" s="12">
        <v>1771454.0</v>
      </c>
      <c r="C1841" s="12">
        <v>1771939.0</v>
      </c>
      <c r="D1841" s="2"/>
      <c r="E1841" s="2" t="s">
        <v>38</v>
      </c>
      <c r="F1841" s="2" t="s">
        <v>709</v>
      </c>
      <c r="G1841" s="2"/>
      <c r="H1841" s="12">
        <v>0.0</v>
      </c>
      <c r="I1841" s="2" t="s">
        <v>40</v>
      </c>
      <c r="J1841" s="2"/>
      <c r="K1841" s="2" t="s">
        <v>4926</v>
      </c>
      <c r="L1841" s="12">
        <v>161.0</v>
      </c>
      <c r="M1841" s="2" t="s">
        <v>4927</v>
      </c>
      <c r="N1841" s="2" t="str">
        <f>IFERROR(__xludf.DUMMYFUNCTION("""COMPUTED_VALUE"""),"")</f>
        <v/>
      </c>
    </row>
    <row r="1842">
      <c r="A1842" s="2" t="s">
        <v>33</v>
      </c>
      <c r="B1842" s="12">
        <v>1771939.0</v>
      </c>
      <c r="C1842" s="12">
        <v>1772340.0</v>
      </c>
      <c r="D1842" s="2"/>
      <c r="E1842" s="2" t="s">
        <v>38</v>
      </c>
      <c r="F1842" s="2" t="s">
        <v>4753</v>
      </c>
      <c r="G1842" s="2"/>
      <c r="H1842" s="12">
        <v>0.0</v>
      </c>
      <c r="I1842" s="2" t="s">
        <v>40</v>
      </c>
      <c r="J1842" s="2"/>
      <c r="K1842" s="2" t="s">
        <v>4928</v>
      </c>
      <c r="L1842" s="12">
        <v>133.0</v>
      </c>
      <c r="M1842" s="2" t="s">
        <v>4929</v>
      </c>
      <c r="N1842" s="2" t="str">
        <f>IFERROR(__xludf.DUMMYFUNCTION("""COMPUTED_VALUE"""),"")</f>
        <v/>
      </c>
    </row>
    <row r="1843">
      <c r="A1843" s="2" t="s">
        <v>33</v>
      </c>
      <c r="B1843" s="12">
        <v>1772495.0</v>
      </c>
      <c r="C1843" s="12">
        <v>1772899.0</v>
      </c>
      <c r="D1843" s="2"/>
      <c r="E1843" s="2" t="s">
        <v>38</v>
      </c>
      <c r="F1843" s="2" t="s">
        <v>4930</v>
      </c>
      <c r="G1843" s="2"/>
      <c r="H1843" s="12">
        <v>0.0</v>
      </c>
      <c r="I1843" s="2" t="s">
        <v>40</v>
      </c>
      <c r="J1843" s="2"/>
      <c r="K1843" s="2" t="s">
        <v>4931</v>
      </c>
      <c r="L1843" s="12">
        <v>134.0</v>
      </c>
      <c r="M1843" s="2" t="s">
        <v>4932</v>
      </c>
      <c r="N1843" s="2" t="str">
        <f>IFERROR(__xludf.DUMMYFUNCTION("""COMPUTED_VALUE"""),"")</f>
        <v/>
      </c>
    </row>
    <row r="1844">
      <c r="A1844" s="2" t="s">
        <v>33</v>
      </c>
      <c r="B1844" s="12">
        <v>1773052.0</v>
      </c>
      <c r="C1844" s="12">
        <v>1774125.0</v>
      </c>
      <c r="D1844" s="2"/>
      <c r="E1844" s="2" t="s">
        <v>38</v>
      </c>
      <c r="F1844" s="2" t="s">
        <v>4933</v>
      </c>
      <c r="G1844" s="2"/>
      <c r="H1844" s="12">
        <v>0.0</v>
      </c>
      <c r="I1844" s="2" t="s">
        <v>40</v>
      </c>
      <c r="J1844" s="2"/>
      <c r="K1844" s="2" t="s">
        <v>4934</v>
      </c>
      <c r="L1844" s="12">
        <v>357.0</v>
      </c>
      <c r="M1844" s="2" t="s">
        <v>4935</v>
      </c>
      <c r="N1844" s="2" t="str">
        <f>IFERROR(__xludf.DUMMYFUNCTION("""COMPUTED_VALUE"""),"")</f>
        <v/>
      </c>
    </row>
    <row r="1845">
      <c r="A1845" s="2" t="s">
        <v>33</v>
      </c>
      <c r="B1845" s="12">
        <v>1774174.0</v>
      </c>
      <c r="C1845" s="12">
        <v>1775538.0</v>
      </c>
      <c r="D1845" s="2"/>
      <c r="E1845" s="2" t="s">
        <v>38</v>
      </c>
      <c r="F1845" s="2" t="s">
        <v>4936</v>
      </c>
      <c r="G1845" s="2"/>
      <c r="H1845" s="12">
        <v>0.0</v>
      </c>
      <c r="I1845" s="2" t="s">
        <v>40</v>
      </c>
      <c r="J1845" s="2"/>
      <c r="K1845" s="2" t="s">
        <v>4937</v>
      </c>
      <c r="L1845" s="12">
        <v>454.0</v>
      </c>
      <c r="M1845" s="2" t="s">
        <v>4938</v>
      </c>
      <c r="N1845" s="2" t="str">
        <f>IFERROR(__xludf.DUMMYFUNCTION("""COMPUTED_VALUE"""),"")</f>
        <v/>
      </c>
    </row>
    <row r="1846">
      <c r="A1846" s="2" t="s">
        <v>33</v>
      </c>
      <c r="B1846" s="12">
        <v>1775563.0</v>
      </c>
      <c r="C1846" s="12">
        <v>1776447.0</v>
      </c>
      <c r="D1846" s="2"/>
      <c r="E1846" s="2" t="s">
        <v>38</v>
      </c>
      <c r="F1846" s="2" t="s">
        <v>4939</v>
      </c>
      <c r="G1846" s="2" t="s">
        <v>4940</v>
      </c>
      <c r="H1846" s="12">
        <v>0.0</v>
      </c>
      <c r="I1846" s="2" t="s">
        <v>40</v>
      </c>
      <c r="J1846" s="2"/>
      <c r="K1846" s="2" t="s">
        <v>4941</v>
      </c>
      <c r="L1846" s="12">
        <v>294.0</v>
      </c>
      <c r="M1846" s="2" t="s">
        <v>4942</v>
      </c>
      <c r="N1846" s="2" t="str">
        <f>IFERROR(__xludf.DUMMYFUNCTION("""COMPUTED_VALUE"""),"")</f>
        <v/>
      </c>
    </row>
    <row r="1847">
      <c r="A1847" s="2" t="s">
        <v>33</v>
      </c>
      <c r="B1847" s="12">
        <v>1776755.0</v>
      </c>
      <c r="C1847" s="12">
        <v>1777618.0</v>
      </c>
      <c r="D1847" s="2"/>
      <c r="E1847" s="2" t="s">
        <v>38</v>
      </c>
      <c r="F1847" s="2" t="s">
        <v>1082</v>
      </c>
      <c r="G1847" s="2"/>
      <c r="H1847" s="12">
        <v>0.0</v>
      </c>
      <c r="I1847" s="2" t="s">
        <v>40</v>
      </c>
      <c r="J1847" s="2"/>
      <c r="K1847" s="2" t="s">
        <v>4943</v>
      </c>
      <c r="L1847" s="12">
        <v>287.0</v>
      </c>
      <c r="M1847" s="2" t="s">
        <v>4944</v>
      </c>
      <c r="N1847" s="2" t="str">
        <f>IFERROR(__xludf.DUMMYFUNCTION("""COMPUTED_VALUE"""),"")</f>
        <v/>
      </c>
    </row>
    <row r="1848">
      <c r="A1848" s="2" t="s">
        <v>33</v>
      </c>
      <c r="B1848" s="12">
        <v>1777648.0</v>
      </c>
      <c r="C1848" s="12">
        <v>1777962.0</v>
      </c>
      <c r="D1848" s="2"/>
      <c r="E1848" s="2" t="s">
        <v>38</v>
      </c>
      <c r="F1848" s="2" t="s">
        <v>39</v>
      </c>
      <c r="G1848" s="2"/>
      <c r="H1848" s="12">
        <v>0.0</v>
      </c>
      <c r="I1848" s="2" t="s">
        <v>40</v>
      </c>
      <c r="J1848" s="2"/>
      <c r="K1848" s="2" t="s">
        <v>4945</v>
      </c>
      <c r="L1848" s="12">
        <v>104.0</v>
      </c>
      <c r="M1848" s="2" t="s">
        <v>4946</v>
      </c>
      <c r="N1848" s="2" t="str">
        <f>IFERROR(__xludf.DUMMYFUNCTION("""COMPUTED_VALUE"""),"")</f>
        <v/>
      </c>
    </row>
    <row r="1849">
      <c r="A1849" s="2" t="s">
        <v>33</v>
      </c>
      <c r="B1849" s="12">
        <v>1778087.0</v>
      </c>
      <c r="C1849" s="12">
        <v>1779310.0</v>
      </c>
      <c r="D1849" s="2"/>
      <c r="E1849" s="2" t="s">
        <v>38</v>
      </c>
      <c r="F1849" s="2" t="s">
        <v>2772</v>
      </c>
      <c r="G1849" s="2"/>
      <c r="H1849" s="12">
        <v>0.0</v>
      </c>
      <c r="I1849" s="2" t="s">
        <v>40</v>
      </c>
      <c r="J1849" s="2"/>
      <c r="K1849" s="2" t="s">
        <v>4947</v>
      </c>
      <c r="L1849" s="12">
        <v>407.0</v>
      </c>
      <c r="M1849" s="2" t="s">
        <v>4948</v>
      </c>
      <c r="N1849" s="2" t="str">
        <f>IFERROR(__xludf.DUMMYFUNCTION("""COMPUTED_VALUE"""),"")</f>
        <v/>
      </c>
    </row>
    <row r="1850">
      <c r="A1850" s="2" t="s">
        <v>33</v>
      </c>
      <c r="B1850" s="12">
        <v>1779473.0</v>
      </c>
      <c r="C1850" s="12">
        <v>1780872.0</v>
      </c>
      <c r="D1850" s="2"/>
      <c r="E1850" s="2" t="s">
        <v>34</v>
      </c>
      <c r="F1850" s="2" t="s">
        <v>35</v>
      </c>
      <c r="G1850" s="2"/>
      <c r="H1850" s="12">
        <v>0.0</v>
      </c>
      <c r="I1850" s="2" t="s">
        <v>36</v>
      </c>
      <c r="J1850" s="2"/>
      <c r="K1850" s="2"/>
      <c r="L1850" s="2"/>
      <c r="M1850" s="2" t="s">
        <v>4949</v>
      </c>
      <c r="N1850" s="2" t="str">
        <f>IFERROR(__xludf.DUMMYFUNCTION("""COMPUTED_VALUE"""),"")</f>
        <v/>
      </c>
    </row>
    <row r="1851">
      <c r="A1851" s="2" t="s">
        <v>33</v>
      </c>
      <c r="B1851" s="12">
        <v>1780901.0</v>
      </c>
      <c r="C1851" s="12">
        <v>1781071.0</v>
      </c>
      <c r="D1851" s="2"/>
      <c r="E1851" s="2" t="s">
        <v>38</v>
      </c>
      <c r="F1851" s="2" t="s">
        <v>39</v>
      </c>
      <c r="G1851" s="2"/>
      <c r="H1851" s="12">
        <v>0.0</v>
      </c>
      <c r="I1851" s="2" t="s">
        <v>40</v>
      </c>
      <c r="J1851" s="2"/>
      <c r="K1851" s="2" t="s">
        <v>4950</v>
      </c>
      <c r="L1851" s="12">
        <v>56.0</v>
      </c>
      <c r="M1851" s="2" t="s">
        <v>4951</v>
      </c>
      <c r="N1851" s="2" t="str">
        <f>IFERROR(__xludf.DUMMYFUNCTION("""COMPUTED_VALUE"""),"")</f>
        <v/>
      </c>
    </row>
    <row r="1852">
      <c r="A1852" s="2" t="s">
        <v>33</v>
      </c>
      <c r="B1852" s="12">
        <v>1781084.0</v>
      </c>
      <c r="C1852" s="12">
        <v>1781287.0</v>
      </c>
      <c r="D1852" s="2"/>
      <c r="E1852" s="2" t="s">
        <v>38</v>
      </c>
      <c r="F1852" s="2" t="s">
        <v>39</v>
      </c>
      <c r="G1852" s="2"/>
      <c r="H1852" s="12">
        <v>0.0</v>
      </c>
      <c r="I1852" s="2" t="s">
        <v>40</v>
      </c>
      <c r="J1852" s="2"/>
      <c r="K1852" s="2" t="s">
        <v>4952</v>
      </c>
      <c r="L1852" s="12">
        <v>67.0</v>
      </c>
      <c r="M1852" s="2" t="s">
        <v>4953</v>
      </c>
      <c r="N1852" s="2" t="str">
        <f>IFERROR(__xludf.DUMMYFUNCTION("""COMPUTED_VALUE"""),"")</f>
        <v/>
      </c>
    </row>
    <row r="1853">
      <c r="A1853" s="2" t="s">
        <v>33</v>
      </c>
      <c r="B1853" s="12">
        <v>1781367.0</v>
      </c>
      <c r="C1853" s="12">
        <v>1783826.0</v>
      </c>
      <c r="D1853" s="2"/>
      <c r="E1853" s="2" t="s">
        <v>38</v>
      </c>
      <c r="F1853" s="2" t="s">
        <v>4954</v>
      </c>
      <c r="G1853" s="2"/>
      <c r="H1853" s="12">
        <v>0.0</v>
      </c>
      <c r="I1853" s="2" t="s">
        <v>40</v>
      </c>
      <c r="J1853" s="2"/>
      <c r="K1853" s="2" t="s">
        <v>4955</v>
      </c>
      <c r="L1853" s="12">
        <v>819.0</v>
      </c>
      <c r="M1853" s="2" t="s">
        <v>4956</v>
      </c>
      <c r="N1853" s="2" t="str">
        <f>IFERROR(__xludf.DUMMYFUNCTION("""COMPUTED_VALUE"""),"")</f>
        <v/>
      </c>
    </row>
    <row r="1854">
      <c r="A1854" s="2" t="s">
        <v>33</v>
      </c>
      <c r="B1854" s="12">
        <v>1784178.0</v>
      </c>
      <c r="C1854" s="12">
        <v>1784603.0</v>
      </c>
      <c r="D1854" s="2"/>
      <c r="E1854" s="2" t="s">
        <v>34</v>
      </c>
      <c r="F1854" s="2" t="s">
        <v>4957</v>
      </c>
      <c r="G1854" s="2"/>
      <c r="H1854" s="12">
        <v>0.0</v>
      </c>
      <c r="I1854" s="2" t="s">
        <v>40</v>
      </c>
      <c r="J1854" s="2"/>
      <c r="K1854" s="2" t="s">
        <v>4958</v>
      </c>
      <c r="L1854" s="12">
        <v>141.0</v>
      </c>
      <c r="M1854" s="2" t="s">
        <v>4959</v>
      </c>
      <c r="N1854" s="2" t="str">
        <f>IFERROR(__xludf.DUMMYFUNCTION("""COMPUTED_VALUE"""),"")</f>
        <v/>
      </c>
    </row>
    <row r="1855">
      <c r="A1855" s="2" t="s">
        <v>33</v>
      </c>
      <c r="B1855" s="12">
        <v>1784660.0</v>
      </c>
      <c r="C1855" s="12">
        <v>1785004.0</v>
      </c>
      <c r="D1855" s="2"/>
      <c r="E1855" s="2" t="s">
        <v>38</v>
      </c>
      <c r="F1855" s="2" t="s">
        <v>4960</v>
      </c>
      <c r="G1855" s="2"/>
      <c r="H1855" s="12">
        <v>0.0</v>
      </c>
      <c r="I1855" s="2" t="s">
        <v>40</v>
      </c>
      <c r="J1855" s="2"/>
      <c r="K1855" s="2" t="s">
        <v>4961</v>
      </c>
      <c r="L1855" s="12">
        <v>114.0</v>
      </c>
      <c r="M1855" s="2" t="s">
        <v>4962</v>
      </c>
      <c r="N1855" s="2" t="str">
        <f>IFERROR(__xludf.DUMMYFUNCTION("""COMPUTED_VALUE"""),"")</f>
        <v/>
      </c>
    </row>
    <row r="1856">
      <c r="A1856" s="2" t="s">
        <v>33</v>
      </c>
      <c r="B1856" s="12">
        <v>1785025.0</v>
      </c>
      <c r="C1856" s="12">
        <v>1785393.0</v>
      </c>
      <c r="D1856" s="2"/>
      <c r="E1856" s="2" t="s">
        <v>38</v>
      </c>
      <c r="F1856" s="2" t="s">
        <v>4960</v>
      </c>
      <c r="G1856" s="2"/>
      <c r="H1856" s="12">
        <v>0.0</v>
      </c>
      <c r="I1856" s="2" t="s">
        <v>40</v>
      </c>
      <c r="J1856" s="2"/>
      <c r="K1856" s="2" t="s">
        <v>4963</v>
      </c>
      <c r="L1856" s="12">
        <v>122.0</v>
      </c>
      <c r="M1856" s="2" t="s">
        <v>4964</v>
      </c>
      <c r="N1856" s="2" t="str">
        <f>IFERROR(__xludf.DUMMYFUNCTION("""COMPUTED_VALUE"""),"")</f>
        <v/>
      </c>
    </row>
    <row r="1857">
      <c r="A1857" s="2" t="s">
        <v>33</v>
      </c>
      <c r="B1857" s="12">
        <v>1785500.0</v>
      </c>
      <c r="C1857" s="12">
        <v>1786105.0</v>
      </c>
      <c r="D1857" s="2"/>
      <c r="E1857" s="2" t="s">
        <v>38</v>
      </c>
      <c r="F1857" s="2" t="s">
        <v>1608</v>
      </c>
      <c r="G1857" s="2"/>
      <c r="H1857" s="12">
        <v>0.0</v>
      </c>
      <c r="I1857" s="2" t="s">
        <v>40</v>
      </c>
      <c r="J1857" s="2"/>
      <c r="K1857" s="2" t="s">
        <v>4965</v>
      </c>
      <c r="L1857" s="12">
        <v>201.0</v>
      </c>
      <c r="M1857" s="2" t="s">
        <v>4966</v>
      </c>
      <c r="N1857" s="2" t="str">
        <f>IFERROR(__xludf.DUMMYFUNCTION("""COMPUTED_VALUE"""),"")</f>
        <v/>
      </c>
    </row>
    <row r="1858">
      <c r="A1858" s="2" t="s">
        <v>33</v>
      </c>
      <c r="B1858" s="12">
        <v>1786123.0</v>
      </c>
      <c r="C1858" s="12">
        <v>1786404.0</v>
      </c>
      <c r="D1858" s="2"/>
      <c r="E1858" s="2" t="s">
        <v>38</v>
      </c>
      <c r="F1858" s="2" t="s">
        <v>604</v>
      </c>
      <c r="G1858" s="2"/>
      <c r="H1858" s="12">
        <v>0.0</v>
      </c>
      <c r="I1858" s="2" t="s">
        <v>40</v>
      </c>
      <c r="J1858" s="2"/>
      <c r="K1858" s="2" t="s">
        <v>4967</v>
      </c>
      <c r="L1858" s="12">
        <v>93.0</v>
      </c>
      <c r="M1858" s="2" t="s">
        <v>4968</v>
      </c>
      <c r="N1858" s="2" t="str">
        <f>IFERROR(__xludf.DUMMYFUNCTION("""COMPUTED_VALUE"""),"")</f>
        <v/>
      </c>
    </row>
    <row r="1859">
      <c r="A1859" s="2" t="s">
        <v>33</v>
      </c>
      <c r="B1859" s="12">
        <v>1786756.0</v>
      </c>
      <c r="C1859" s="12">
        <v>1787568.0</v>
      </c>
      <c r="D1859" s="2"/>
      <c r="E1859" s="2" t="s">
        <v>34</v>
      </c>
      <c r="F1859" s="2" t="s">
        <v>4969</v>
      </c>
      <c r="G1859" s="2"/>
      <c r="H1859" s="12">
        <v>0.0</v>
      </c>
      <c r="I1859" s="2" t="s">
        <v>40</v>
      </c>
      <c r="J1859" s="2"/>
      <c r="K1859" s="2" t="s">
        <v>4970</v>
      </c>
      <c r="L1859" s="12">
        <v>270.0</v>
      </c>
      <c r="M1859" s="2" t="s">
        <v>4971</v>
      </c>
      <c r="N1859" s="2" t="str">
        <f>IFERROR(__xludf.DUMMYFUNCTION("""COMPUTED_VALUE"""),"")</f>
        <v/>
      </c>
    </row>
    <row r="1860">
      <c r="A1860" s="2" t="s">
        <v>33</v>
      </c>
      <c r="B1860" s="12">
        <v>1787587.0</v>
      </c>
      <c r="C1860" s="12">
        <v>1788366.0</v>
      </c>
      <c r="D1860" s="2"/>
      <c r="E1860" s="2" t="s">
        <v>38</v>
      </c>
      <c r="F1860" s="2" t="s">
        <v>4449</v>
      </c>
      <c r="G1860" s="2"/>
      <c r="H1860" s="12">
        <v>0.0</v>
      </c>
      <c r="I1860" s="2" t="s">
        <v>40</v>
      </c>
      <c r="J1860" s="2"/>
      <c r="K1860" s="2" t="s">
        <v>4972</v>
      </c>
      <c r="L1860" s="12">
        <v>259.0</v>
      </c>
      <c r="M1860" s="2" t="s">
        <v>4973</v>
      </c>
      <c r="N1860" s="2" t="str">
        <f>IFERROR(__xludf.DUMMYFUNCTION("""COMPUTED_VALUE"""),"")</f>
        <v/>
      </c>
    </row>
    <row r="1861">
      <c r="A1861" s="2" t="s">
        <v>33</v>
      </c>
      <c r="B1861" s="12">
        <v>1788381.0</v>
      </c>
      <c r="C1861" s="12">
        <v>1788809.0</v>
      </c>
      <c r="D1861" s="2"/>
      <c r="E1861" s="2" t="s">
        <v>38</v>
      </c>
      <c r="F1861" s="2" t="s">
        <v>541</v>
      </c>
      <c r="G1861" s="2"/>
      <c r="H1861" s="12">
        <v>0.0</v>
      </c>
      <c r="I1861" s="2" t="s">
        <v>40</v>
      </c>
      <c r="J1861" s="2"/>
      <c r="K1861" s="2" t="s">
        <v>4974</v>
      </c>
      <c r="L1861" s="12">
        <v>142.0</v>
      </c>
      <c r="M1861" s="2" t="s">
        <v>4975</v>
      </c>
      <c r="N1861" s="2" t="str">
        <f>IFERROR(__xludf.DUMMYFUNCTION("""COMPUTED_VALUE"""),"")</f>
        <v/>
      </c>
    </row>
    <row r="1862">
      <c r="A1862" s="2" t="s">
        <v>33</v>
      </c>
      <c r="B1862" s="12">
        <v>1788844.0</v>
      </c>
      <c r="C1862" s="12">
        <v>1789059.0</v>
      </c>
      <c r="D1862" s="2"/>
      <c r="E1862" s="2" t="s">
        <v>34</v>
      </c>
      <c r="F1862" s="2" t="s">
        <v>4976</v>
      </c>
      <c r="G1862" s="2"/>
      <c r="H1862" s="12">
        <v>0.0</v>
      </c>
      <c r="I1862" s="2" t="s">
        <v>40</v>
      </c>
      <c r="J1862" s="2"/>
      <c r="K1862" s="2" t="s">
        <v>4977</v>
      </c>
      <c r="L1862" s="12">
        <v>71.0</v>
      </c>
      <c r="M1862" s="2" t="s">
        <v>4978</v>
      </c>
      <c r="N1862" s="2" t="str">
        <f>IFERROR(__xludf.DUMMYFUNCTION("""COMPUTED_VALUE"""),"")</f>
        <v/>
      </c>
    </row>
    <row r="1863">
      <c r="A1863" s="2" t="s">
        <v>33</v>
      </c>
      <c r="B1863" s="12">
        <v>1789068.0</v>
      </c>
      <c r="C1863" s="12">
        <v>1789331.0</v>
      </c>
      <c r="D1863" s="2"/>
      <c r="E1863" s="2" t="s">
        <v>34</v>
      </c>
      <c r="F1863" s="2" t="s">
        <v>4979</v>
      </c>
      <c r="G1863" s="2" t="s">
        <v>4980</v>
      </c>
      <c r="H1863" s="12">
        <v>0.0</v>
      </c>
      <c r="I1863" s="2" t="s">
        <v>40</v>
      </c>
      <c r="J1863" s="2"/>
      <c r="K1863" s="2" t="s">
        <v>4981</v>
      </c>
      <c r="L1863" s="12">
        <v>87.0</v>
      </c>
      <c r="M1863" s="2" t="s">
        <v>4982</v>
      </c>
      <c r="N1863" s="2" t="str">
        <f>IFERROR(__xludf.DUMMYFUNCTION("""COMPUTED_VALUE"""),"")</f>
        <v/>
      </c>
    </row>
    <row r="1864">
      <c r="A1864" s="2" t="s">
        <v>33</v>
      </c>
      <c r="B1864" s="12">
        <v>1789344.0</v>
      </c>
      <c r="C1864" s="12">
        <v>1789913.0</v>
      </c>
      <c r="D1864" s="2"/>
      <c r="E1864" s="2" t="s">
        <v>34</v>
      </c>
      <c r="F1864" s="2" t="s">
        <v>4983</v>
      </c>
      <c r="G1864" s="2" t="s">
        <v>4984</v>
      </c>
      <c r="H1864" s="12">
        <v>0.0</v>
      </c>
      <c r="I1864" s="2" t="s">
        <v>40</v>
      </c>
      <c r="J1864" s="2"/>
      <c r="K1864" s="2" t="s">
        <v>4985</v>
      </c>
      <c r="L1864" s="12">
        <v>189.0</v>
      </c>
      <c r="M1864" s="2" t="s">
        <v>4986</v>
      </c>
      <c r="N1864" s="2" t="str">
        <f>IFERROR(__xludf.DUMMYFUNCTION("""COMPUTED_VALUE"""),"")</f>
        <v/>
      </c>
    </row>
    <row r="1865">
      <c r="A1865" s="2" t="s">
        <v>33</v>
      </c>
      <c r="B1865" s="12">
        <v>1790132.0</v>
      </c>
      <c r="C1865" s="12">
        <v>1791448.0</v>
      </c>
      <c r="D1865" s="2"/>
      <c r="E1865" s="2" t="s">
        <v>34</v>
      </c>
      <c r="F1865" s="2" t="s">
        <v>4987</v>
      </c>
      <c r="G1865" s="2" t="s">
        <v>4988</v>
      </c>
      <c r="H1865" s="12">
        <v>0.0</v>
      </c>
      <c r="I1865" s="2" t="s">
        <v>40</v>
      </c>
      <c r="J1865" s="2"/>
      <c r="K1865" s="2" t="s">
        <v>4989</v>
      </c>
      <c r="L1865" s="12">
        <v>438.0</v>
      </c>
      <c r="M1865" s="2" t="s">
        <v>4990</v>
      </c>
      <c r="N1865" s="2" t="str">
        <f>IFERROR(__xludf.DUMMYFUNCTION("""COMPUTED_VALUE"""),"")</f>
        <v/>
      </c>
    </row>
    <row r="1866">
      <c r="A1866" s="2" t="s">
        <v>33</v>
      </c>
      <c r="B1866" s="12">
        <v>1791490.0</v>
      </c>
      <c r="C1866" s="12">
        <v>1792494.0</v>
      </c>
      <c r="D1866" s="2"/>
      <c r="E1866" s="2" t="s">
        <v>38</v>
      </c>
      <c r="F1866" s="2" t="s">
        <v>265</v>
      </c>
      <c r="G1866" s="2"/>
      <c r="H1866" s="12">
        <v>0.0</v>
      </c>
      <c r="I1866" s="2" t="s">
        <v>40</v>
      </c>
      <c r="J1866" s="2"/>
      <c r="K1866" s="2" t="s">
        <v>4991</v>
      </c>
      <c r="L1866" s="12">
        <v>334.0</v>
      </c>
      <c r="M1866" s="2" t="s">
        <v>4992</v>
      </c>
      <c r="N1866" s="2" t="str">
        <f>IFERROR(__xludf.DUMMYFUNCTION("""COMPUTED_VALUE"""),"")</f>
        <v/>
      </c>
    </row>
    <row r="1867">
      <c r="A1867" s="2" t="s">
        <v>33</v>
      </c>
      <c r="B1867" s="12">
        <v>1792496.0</v>
      </c>
      <c r="C1867" s="12">
        <v>1793362.0</v>
      </c>
      <c r="D1867" s="2"/>
      <c r="E1867" s="2" t="s">
        <v>38</v>
      </c>
      <c r="F1867" s="2" t="s">
        <v>787</v>
      </c>
      <c r="G1867" s="2"/>
      <c r="H1867" s="12">
        <v>0.0</v>
      </c>
      <c r="I1867" s="2" t="s">
        <v>40</v>
      </c>
      <c r="J1867" s="2"/>
      <c r="K1867" s="2" t="s">
        <v>4993</v>
      </c>
      <c r="L1867" s="12">
        <v>288.0</v>
      </c>
      <c r="M1867" s="2" t="s">
        <v>4994</v>
      </c>
      <c r="N1867" s="2" t="str">
        <f>IFERROR(__xludf.DUMMYFUNCTION("""COMPUTED_VALUE"""),"")</f>
        <v/>
      </c>
    </row>
    <row r="1868">
      <c r="A1868" s="2" t="s">
        <v>33</v>
      </c>
      <c r="B1868" s="12">
        <v>1793452.0</v>
      </c>
      <c r="C1868" s="12">
        <v>1794186.0</v>
      </c>
      <c r="D1868" s="2"/>
      <c r="E1868" s="2" t="s">
        <v>38</v>
      </c>
      <c r="F1868" s="2" t="s">
        <v>4995</v>
      </c>
      <c r="G1868" s="2"/>
      <c r="H1868" s="12">
        <v>0.0</v>
      </c>
      <c r="I1868" s="2" t="s">
        <v>40</v>
      </c>
      <c r="J1868" s="2"/>
      <c r="K1868" s="2" t="s">
        <v>4996</v>
      </c>
      <c r="L1868" s="12">
        <v>244.0</v>
      </c>
      <c r="M1868" s="2" t="s">
        <v>4997</v>
      </c>
      <c r="N1868" s="2" t="str">
        <f>IFERROR(__xludf.DUMMYFUNCTION("""COMPUTED_VALUE"""),"")</f>
        <v/>
      </c>
    </row>
    <row r="1869">
      <c r="A1869" s="2" t="s">
        <v>33</v>
      </c>
      <c r="B1869" s="12">
        <v>1794398.0</v>
      </c>
      <c r="C1869" s="12">
        <v>1795501.0</v>
      </c>
      <c r="D1869" s="2"/>
      <c r="E1869" s="2" t="s">
        <v>34</v>
      </c>
      <c r="F1869" s="2" t="s">
        <v>4998</v>
      </c>
      <c r="G1869" s="2"/>
      <c r="H1869" s="12">
        <v>0.0</v>
      </c>
      <c r="I1869" s="2" t="s">
        <v>40</v>
      </c>
      <c r="J1869" s="2"/>
      <c r="K1869" s="2" t="s">
        <v>4999</v>
      </c>
      <c r="L1869" s="12">
        <v>367.0</v>
      </c>
      <c r="M1869" s="2" t="s">
        <v>5000</v>
      </c>
      <c r="N1869" s="2" t="str">
        <f>IFERROR(__xludf.DUMMYFUNCTION("""COMPUTED_VALUE"""),"")</f>
        <v/>
      </c>
    </row>
    <row r="1870">
      <c r="A1870" s="2" t="s">
        <v>33</v>
      </c>
      <c r="B1870" s="12">
        <v>1795498.0</v>
      </c>
      <c r="C1870" s="12">
        <v>1796172.0</v>
      </c>
      <c r="D1870" s="2"/>
      <c r="E1870" s="2" t="s">
        <v>34</v>
      </c>
      <c r="F1870" s="2" t="s">
        <v>432</v>
      </c>
      <c r="G1870" s="2"/>
      <c r="H1870" s="12">
        <v>0.0</v>
      </c>
      <c r="I1870" s="2" t="s">
        <v>40</v>
      </c>
      <c r="J1870" s="2"/>
      <c r="K1870" s="2" t="s">
        <v>5001</v>
      </c>
      <c r="L1870" s="12">
        <v>224.0</v>
      </c>
      <c r="M1870" s="2" t="s">
        <v>5002</v>
      </c>
      <c r="N1870" s="2" t="str">
        <f>IFERROR(__xludf.DUMMYFUNCTION("""COMPUTED_VALUE"""),"")</f>
        <v/>
      </c>
    </row>
    <row r="1871">
      <c r="A1871" s="2" t="s">
        <v>33</v>
      </c>
      <c r="B1871" s="12">
        <v>1796199.0</v>
      </c>
      <c r="C1871" s="12">
        <v>1797353.0</v>
      </c>
      <c r="D1871" s="2"/>
      <c r="E1871" s="2" t="s">
        <v>34</v>
      </c>
      <c r="F1871" s="2" t="s">
        <v>265</v>
      </c>
      <c r="G1871" s="2"/>
      <c r="H1871" s="12">
        <v>0.0</v>
      </c>
      <c r="I1871" s="2" t="s">
        <v>40</v>
      </c>
      <c r="J1871" s="2"/>
      <c r="K1871" s="2" t="s">
        <v>5003</v>
      </c>
      <c r="L1871" s="12">
        <v>384.0</v>
      </c>
      <c r="M1871" s="2" t="s">
        <v>5004</v>
      </c>
      <c r="N1871" s="2" t="str">
        <f>IFERROR(__xludf.DUMMYFUNCTION("""COMPUTED_VALUE"""),"")</f>
        <v/>
      </c>
    </row>
    <row r="1872">
      <c r="A1872" s="2" t="s">
        <v>33</v>
      </c>
      <c r="B1872" s="12">
        <v>1797811.0</v>
      </c>
      <c r="C1872" s="12">
        <v>1799193.0</v>
      </c>
      <c r="D1872" s="2"/>
      <c r="E1872" s="2" t="s">
        <v>34</v>
      </c>
      <c r="F1872" s="2" t="s">
        <v>5005</v>
      </c>
      <c r="G1872" s="2" t="s">
        <v>5006</v>
      </c>
      <c r="H1872" s="12">
        <v>0.0</v>
      </c>
      <c r="I1872" s="2" t="s">
        <v>40</v>
      </c>
      <c r="J1872" s="2"/>
      <c r="K1872" s="2" t="s">
        <v>5007</v>
      </c>
      <c r="L1872" s="12">
        <v>460.0</v>
      </c>
      <c r="M1872" s="2" t="s">
        <v>5008</v>
      </c>
      <c r="N1872" s="2" t="str">
        <f>IFERROR(__xludf.DUMMYFUNCTION("""COMPUTED_VALUE"""),"")</f>
        <v/>
      </c>
    </row>
    <row r="1873">
      <c r="A1873" s="2" t="s">
        <v>33</v>
      </c>
      <c r="B1873" s="12">
        <v>1799246.0</v>
      </c>
      <c r="C1873" s="12">
        <v>1800169.0</v>
      </c>
      <c r="D1873" s="2"/>
      <c r="E1873" s="2" t="s">
        <v>38</v>
      </c>
      <c r="F1873" s="2" t="s">
        <v>5009</v>
      </c>
      <c r="G1873" s="2"/>
      <c r="H1873" s="12">
        <v>0.0</v>
      </c>
      <c r="I1873" s="2" t="s">
        <v>40</v>
      </c>
      <c r="J1873" s="2"/>
      <c r="K1873" s="2" t="s">
        <v>5010</v>
      </c>
      <c r="L1873" s="12">
        <v>307.0</v>
      </c>
      <c r="M1873" s="2" t="s">
        <v>5011</v>
      </c>
      <c r="N1873" s="2" t="str">
        <f>IFERROR(__xludf.DUMMYFUNCTION("""COMPUTED_VALUE"""),"")</f>
        <v/>
      </c>
    </row>
    <row r="1874">
      <c r="A1874" s="2" t="s">
        <v>33</v>
      </c>
      <c r="B1874" s="12">
        <v>1800278.0</v>
      </c>
      <c r="C1874" s="12">
        <v>1801363.0</v>
      </c>
      <c r="D1874" s="2"/>
      <c r="E1874" s="2" t="s">
        <v>38</v>
      </c>
      <c r="F1874" s="2" t="s">
        <v>4933</v>
      </c>
      <c r="G1874" s="2"/>
      <c r="H1874" s="12">
        <v>0.0</v>
      </c>
      <c r="I1874" s="2" t="s">
        <v>40</v>
      </c>
      <c r="J1874" s="2"/>
      <c r="K1874" s="2" t="s">
        <v>5012</v>
      </c>
      <c r="L1874" s="12">
        <v>361.0</v>
      </c>
      <c r="M1874" s="2" t="s">
        <v>5013</v>
      </c>
      <c r="N1874" s="2" t="str">
        <f>IFERROR(__xludf.DUMMYFUNCTION("""COMPUTED_VALUE"""),"")</f>
        <v/>
      </c>
    </row>
    <row r="1875">
      <c r="A1875" s="2" t="s">
        <v>33</v>
      </c>
      <c r="B1875" s="12">
        <v>1801353.0</v>
      </c>
      <c r="C1875" s="12">
        <v>1801631.0</v>
      </c>
      <c r="D1875" s="2"/>
      <c r="E1875" s="2" t="s">
        <v>38</v>
      </c>
      <c r="F1875" s="2" t="s">
        <v>39</v>
      </c>
      <c r="G1875" s="2"/>
      <c r="H1875" s="12">
        <v>0.0</v>
      </c>
      <c r="I1875" s="2" t="s">
        <v>40</v>
      </c>
      <c r="J1875" s="2"/>
      <c r="K1875" s="2" t="s">
        <v>5014</v>
      </c>
      <c r="L1875" s="12">
        <v>92.0</v>
      </c>
      <c r="M1875" s="2" t="s">
        <v>5015</v>
      </c>
      <c r="N1875" s="2" t="str">
        <f>IFERROR(__xludf.DUMMYFUNCTION("""COMPUTED_VALUE"""),"")</f>
        <v/>
      </c>
    </row>
    <row r="1876">
      <c r="A1876" s="2" t="s">
        <v>33</v>
      </c>
      <c r="B1876" s="12">
        <v>1801607.0</v>
      </c>
      <c r="C1876" s="12">
        <v>1802917.0</v>
      </c>
      <c r="D1876" s="2"/>
      <c r="E1876" s="2" t="s">
        <v>38</v>
      </c>
      <c r="F1876" s="2" t="s">
        <v>630</v>
      </c>
      <c r="G1876" s="2"/>
      <c r="H1876" s="12">
        <v>0.0</v>
      </c>
      <c r="I1876" s="2" t="s">
        <v>40</v>
      </c>
      <c r="J1876" s="2"/>
      <c r="K1876" s="2" t="s">
        <v>5016</v>
      </c>
      <c r="L1876" s="12">
        <v>436.0</v>
      </c>
      <c r="M1876" s="2" t="s">
        <v>5017</v>
      </c>
      <c r="N1876" s="2" t="str">
        <f>IFERROR(__xludf.DUMMYFUNCTION("""COMPUTED_VALUE"""),"")</f>
        <v/>
      </c>
    </row>
    <row r="1877">
      <c r="A1877" s="2" t="s">
        <v>33</v>
      </c>
      <c r="B1877" s="12">
        <v>1803001.0</v>
      </c>
      <c r="C1877" s="12">
        <v>1803306.0</v>
      </c>
      <c r="D1877" s="2"/>
      <c r="E1877" s="2" t="s">
        <v>38</v>
      </c>
      <c r="F1877" s="2" t="s">
        <v>633</v>
      </c>
      <c r="G1877" s="2"/>
      <c r="H1877" s="12">
        <v>0.0</v>
      </c>
      <c r="I1877" s="2" t="s">
        <v>40</v>
      </c>
      <c r="J1877" s="2"/>
      <c r="K1877" s="2" t="s">
        <v>5018</v>
      </c>
      <c r="L1877" s="12">
        <v>101.0</v>
      </c>
      <c r="M1877" s="2" t="s">
        <v>5019</v>
      </c>
      <c r="N1877" s="2" t="str">
        <f>IFERROR(__xludf.DUMMYFUNCTION("""COMPUTED_VALUE"""),"")</f>
        <v/>
      </c>
    </row>
    <row r="1878">
      <c r="A1878" s="2" t="s">
        <v>33</v>
      </c>
      <c r="B1878" s="12">
        <v>1803308.0</v>
      </c>
      <c r="C1878" s="12">
        <v>1803628.0</v>
      </c>
      <c r="D1878" s="2"/>
      <c r="E1878" s="2" t="s">
        <v>38</v>
      </c>
      <c r="F1878" s="2" t="s">
        <v>5020</v>
      </c>
      <c r="G1878" s="2"/>
      <c r="H1878" s="12">
        <v>0.0</v>
      </c>
      <c r="I1878" s="2" t="s">
        <v>40</v>
      </c>
      <c r="J1878" s="2"/>
      <c r="K1878" s="2" t="s">
        <v>5021</v>
      </c>
      <c r="L1878" s="12">
        <v>106.0</v>
      </c>
      <c r="M1878" s="2" t="s">
        <v>5022</v>
      </c>
      <c r="N1878" s="2" t="str">
        <f>IFERROR(__xludf.DUMMYFUNCTION("""COMPUTED_VALUE"""),"")</f>
        <v/>
      </c>
    </row>
    <row r="1879">
      <c r="A1879" s="2" t="s">
        <v>33</v>
      </c>
      <c r="B1879" s="12">
        <v>1803739.0</v>
      </c>
      <c r="C1879" s="12">
        <v>1805679.0</v>
      </c>
      <c r="D1879" s="2"/>
      <c r="E1879" s="2" t="s">
        <v>38</v>
      </c>
      <c r="F1879" s="2" t="s">
        <v>5023</v>
      </c>
      <c r="G1879" s="2"/>
      <c r="H1879" s="12">
        <v>0.0</v>
      </c>
      <c r="I1879" s="2" t="s">
        <v>40</v>
      </c>
      <c r="J1879" s="2"/>
      <c r="K1879" s="2" t="s">
        <v>5024</v>
      </c>
      <c r="L1879" s="12">
        <v>646.0</v>
      </c>
      <c r="M1879" s="2" t="s">
        <v>5025</v>
      </c>
      <c r="N1879" s="2" t="str">
        <f>IFERROR(__xludf.DUMMYFUNCTION("""COMPUTED_VALUE"""),"")</f>
        <v/>
      </c>
    </row>
    <row r="1880">
      <c r="A1880" s="2" t="s">
        <v>33</v>
      </c>
      <c r="B1880" s="12">
        <v>1805756.0</v>
      </c>
      <c r="C1880" s="12">
        <v>1806844.0</v>
      </c>
      <c r="D1880" s="2"/>
      <c r="E1880" s="2" t="s">
        <v>38</v>
      </c>
      <c r="F1880" s="2" t="s">
        <v>4933</v>
      </c>
      <c r="G1880" s="2"/>
      <c r="H1880" s="12">
        <v>0.0</v>
      </c>
      <c r="I1880" s="2" t="s">
        <v>40</v>
      </c>
      <c r="J1880" s="2"/>
      <c r="K1880" s="2" t="s">
        <v>5026</v>
      </c>
      <c r="L1880" s="12">
        <v>362.0</v>
      </c>
      <c r="M1880" s="2" t="s">
        <v>5027</v>
      </c>
      <c r="N1880" s="2" t="str">
        <f>IFERROR(__xludf.DUMMYFUNCTION("""COMPUTED_VALUE"""),"")</f>
        <v/>
      </c>
    </row>
    <row r="1881">
      <c r="A1881" s="2" t="s">
        <v>33</v>
      </c>
      <c r="B1881" s="12">
        <v>1807164.0</v>
      </c>
      <c r="C1881" s="12">
        <v>1808366.0</v>
      </c>
      <c r="D1881" s="2"/>
      <c r="E1881" s="2" t="s">
        <v>34</v>
      </c>
      <c r="F1881" s="2" t="s">
        <v>88</v>
      </c>
      <c r="G1881" s="2"/>
      <c r="H1881" s="12">
        <v>0.0</v>
      </c>
      <c r="I1881" s="2" t="s">
        <v>40</v>
      </c>
      <c r="J1881" s="2"/>
      <c r="K1881" s="2" t="s">
        <v>5028</v>
      </c>
      <c r="L1881" s="12">
        <v>400.0</v>
      </c>
      <c r="M1881" s="2" t="s">
        <v>5029</v>
      </c>
      <c r="N1881" s="2" t="str">
        <f>IFERROR(__xludf.DUMMYFUNCTION("""COMPUTED_VALUE"""),"")</f>
        <v/>
      </c>
    </row>
    <row r="1882">
      <c r="A1882" s="2" t="s">
        <v>33</v>
      </c>
      <c r="B1882" s="12">
        <v>1808718.0</v>
      </c>
      <c r="C1882" s="12">
        <v>1810373.0</v>
      </c>
      <c r="D1882" s="2"/>
      <c r="E1882" s="2" t="s">
        <v>34</v>
      </c>
      <c r="F1882" s="2" t="s">
        <v>5030</v>
      </c>
      <c r="G1882" s="2"/>
      <c r="H1882" s="12">
        <v>0.0</v>
      </c>
      <c r="I1882" s="2" t="s">
        <v>40</v>
      </c>
      <c r="J1882" s="2"/>
      <c r="K1882" s="2" t="s">
        <v>5031</v>
      </c>
      <c r="L1882" s="12">
        <v>551.0</v>
      </c>
      <c r="M1882" s="2" t="s">
        <v>5032</v>
      </c>
      <c r="N1882" s="2" t="str">
        <f>IFERROR(__xludf.DUMMYFUNCTION("""COMPUTED_VALUE"""),"")</f>
        <v/>
      </c>
    </row>
    <row r="1883">
      <c r="A1883" s="2" t="s">
        <v>33</v>
      </c>
      <c r="B1883" s="12">
        <v>1810410.0</v>
      </c>
      <c r="C1883" s="12">
        <v>1811405.0</v>
      </c>
      <c r="D1883" s="2"/>
      <c r="E1883" s="2" t="s">
        <v>38</v>
      </c>
      <c r="F1883" s="2" t="s">
        <v>5033</v>
      </c>
      <c r="G1883" s="2"/>
      <c r="H1883" s="12">
        <v>0.0</v>
      </c>
      <c r="I1883" s="2" t="s">
        <v>40</v>
      </c>
      <c r="J1883" s="2"/>
      <c r="K1883" s="2" t="s">
        <v>5034</v>
      </c>
      <c r="L1883" s="12">
        <v>331.0</v>
      </c>
      <c r="M1883" s="2" t="s">
        <v>5035</v>
      </c>
      <c r="N1883" s="2" t="str">
        <f>IFERROR(__xludf.DUMMYFUNCTION("""COMPUTED_VALUE"""),"")</f>
        <v/>
      </c>
    </row>
    <row r="1884">
      <c r="A1884" s="2" t="s">
        <v>33</v>
      </c>
      <c r="B1884" s="12">
        <v>1811720.0</v>
      </c>
      <c r="C1884" s="12">
        <v>1812919.0</v>
      </c>
      <c r="D1884" s="2"/>
      <c r="E1884" s="2" t="s">
        <v>34</v>
      </c>
      <c r="F1884" s="2" t="s">
        <v>1789</v>
      </c>
      <c r="G1884" s="2"/>
      <c r="H1884" s="12">
        <v>0.0</v>
      </c>
      <c r="I1884" s="2" t="s">
        <v>40</v>
      </c>
      <c r="J1884" s="2"/>
      <c r="K1884" s="2" t="s">
        <v>5036</v>
      </c>
      <c r="L1884" s="12">
        <v>399.0</v>
      </c>
      <c r="M1884" s="2" t="s">
        <v>5037</v>
      </c>
      <c r="N1884" s="2" t="str">
        <f>IFERROR(__xludf.DUMMYFUNCTION("""COMPUTED_VALUE"""),"")</f>
        <v/>
      </c>
    </row>
    <row r="1885">
      <c r="A1885" s="2" t="s">
        <v>33</v>
      </c>
      <c r="B1885" s="12">
        <v>1813068.0</v>
      </c>
      <c r="C1885" s="12">
        <v>1813508.0</v>
      </c>
      <c r="D1885" s="2"/>
      <c r="E1885" s="2" t="s">
        <v>34</v>
      </c>
      <c r="F1885" s="2" t="s">
        <v>39</v>
      </c>
      <c r="G1885" s="2"/>
      <c r="H1885" s="12">
        <v>0.0</v>
      </c>
      <c r="I1885" s="2" t="s">
        <v>40</v>
      </c>
      <c r="J1885" s="2"/>
      <c r="K1885" s="2" t="s">
        <v>5038</v>
      </c>
      <c r="L1885" s="12">
        <v>146.0</v>
      </c>
      <c r="M1885" s="2" t="s">
        <v>5039</v>
      </c>
      <c r="N1885" s="2" t="str">
        <f>IFERROR(__xludf.DUMMYFUNCTION("""COMPUTED_VALUE"""),"")</f>
        <v/>
      </c>
    </row>
    <row r="1886">
      <c r="A1886" s="2" t="s">
        <v>33</v>
      </c>
      <c r="B1886" s="12">
        <v>1813542.0</v>
      </c>
      <c r="C1886" s="12">
        <v>1814306.0</v>
      </c>
      <c r="D1886" s="2"/>
      <c r="E1886" s="2" t="s">
        <v>38</v>
      </c>
      <c r="F1886" s="2" t="s">
        <v>2751</v>
      </c>
      <c r="G1886" s="2"/>
      <c r="H1886" s="12">
        <v>0.0</v>
      </c>
      <c r="I1886" s="2" t="s">
        <v>40</v>
      </c>
      <c r="J1886" s="2"/>
      <c r="K1886" s="2" t="s">
        <v>5040</v>
      </c>
      <c r="L1886" s="12">
        <v>254.0</v>
      </c>
      <c r="M1886" s="2" t="s">
        <v>5041</v>
      </c>
      <c r="N1886" s="2" t="str">
        <f>IFERROR(__xludf.DUMMYFUNCTION("""COMPUTED_VALUE"""),"")</f>
        <v/>
      </c>
    </row>
    <row r="1887">
      <c r="A1887" s="2" t="s">
        <v>33</v>
      </c>
      <c r="B1887" s="12">
        <v>1814339.0</v>
      </c>
      <c r="C1887" s="12">
        <v>1814818.0</v>
      </c>
      <c r="D1887" s="2"/>
      <c r="E1887" s="2" t="s">
        <v>38</v>
      </c>
      <c r="F1887" s="2" t="s">
        <v>5042</v>
      </c>
      <c r="G1887" s="2"/>
      <c r="H1887" s="12">
        <v>0.0</v>
      </c>
      <c r="I1887" s="2" t="s">
        <v>40</v>
      </c>
      <c r="J1887" s="2"/>
      <c r="K1887" s="2" t="s">
        <v>5043</v>
      </c>
      <c r="L1887" s="12">
        <v>159.0</v>
      </c>
      <c r="M1887" s="2" t="s">
        <v>5044</v>
      </c>
      <c r="N1887" s="2" t="str">
        <f>IFERROR(__xludf.DUMMYFUNCTION("""COMPUTED_VALUE"""),"")</f>
        <v/>
      </c>
    </row>
    <row r="1888">
      <c r="A1888" s="2" t="s">
        <v>33</v>
      </c>
      <c r="B1888" s="12">
        <v>1814879.0</v>
      </c>
      <c r="C1888" s="12">
        <v>1815175.0</v>
      </c>
      <c r="D1888" s="2"/>
      <c r="E1888" s="2" t="s">
        <v>38</v>
      </c>
      <c r="F1888" s="2" t="s">
        <v>5045</v>
      </c>
      <c r="G1888" s="2"/>
      <c r="H1888" s="12">
        <v>0.0</v>
      </c>
      <c r="I1888" s="2" t="s">
        <v>40</v>
      </c>
      <c r="J1888" s="2"/>
      <c r="K1888" s="2" t="s">
        <v>5046</v>
      </c>
      <c r="L1888" s="12">
        <v>98.0</v>
      </c>
      <c r="M1888" s="2" t="s">
        <v>5047</v>
      </c>
      <c r="N1888" s="2" t="str">
        <f>IFERROR(__xludf.DUMMYFUNCTION("""COMPUTED_VALUE"""),"")</f>
        <v/>
      </c>
    </row>
    <row r="1889">
      <c r="A1889" s="2" t="s">
        <v>33</v>
      </c>
      <c r="B1889" s="12">
        <v>1815190.0</v>
      </c>
      <c r="C1889" s="12">
        <v>1815549.0</v>
      </c>
      <c r="D1889" s="2"/>
      <c r="E1889" s="2" t="s">
        <v>38</v>
      </c>
      <c r="F1889" s="2" t="s">
        <v>5045</v>
      </c>
      <c r="G1889" s="2"/>
      <c r="H1889" s="12">
        <v>0.0</v>
      </c>
      <c r="I1889" s="2" t="s">
        <v>40</v>
      </c>
      <c r="J1889" s="2"/>
      <c r="K1889" s="2" t="s">
        <v>5048</v>
      </c>
      <c r="L1889" s="12">
        <v>119.0</v>
      </c>
      <c r="M1889" s="2" t="s">
        <v>5049</v>
      </c>
      <c r="N1889" s="2" t="str">
        <f>IFERROR(__xludf.DUMMYFUNCTION("""COMPUTED_VALUE"""),"")</f>
        <v/>
      </c>
    </row>
    <row r="1890">
      <c r="A1890" s="2" t="s">
        <v>33</v>
      </c>
      <c r="B1890" s="12">
        <v>1815588.0</v>
      </c>
      <c r="C1890" s="12">
        <v>1815818.0</v>
      </c>
      <c r="D1890" s="2"/>
      <c r="E1890" s="2" t="s">
        <v>38</v>
      </c>
      <c r="F1890" s="2" t="s">
        <v>5050</v>
      </c>
      <c r="G1890" s="2"/>
      <c r="H1890" s="12">
        <v>0.0</v>
      </c>
      <c r="I1890" s="2" t="s">
        <v>40</v>
      </c>
      <c r="J1890" s="2"/>
      <c r="K1890" s="2" t="s">
        <v>5051</v>
      </c>
      <c r="L1890" s="12">
        <v>76.0</v>
      </c>
      <c r="M1890" s="2" t="s">
        <v>5052</v>
      </c>
      <c r="N1890" s="2" t="str">
        <f>IFERROR(__xludf.DUMMYFUNCTION("""COMPUTED_VALUE"""),"")</f>
        <v/>
      </c>
    </row>
    <row r="1891">
      <c r="A1891" s="2" t="s">
        <v>33</v>
      </c>
      <c r="B1891" s="12">
        <v>1815846.0</v>
      </c>
      <c r="C1891" s="12">
        <v>1816976.0</v>
      </c>
      <c r="D1891" s="2"/>
      <c r="E1891" s="2" t="s">
        <v>38</v>
      </c>
      <c r="F1891" s="2" t="s">
        <v>599</v>
      </c>
      <c r="G1891" s="2"/>
      <c r="H1891" s="12">
        <v>0.0</v>
      </c>
      <c r="I1891" s="2" t="s">
        <v>40</v>
      </c>
      <c r="J1891" s="2"/>
      <c r="K1891" s="2" t="s">
        <v>5053</v>
      </c>
      <c r="L1891" s="12">
        <v>376.0</v>
      </c>
      <c r="M1891" s="2" t="s">
        <v>5054</v>
      </c>
      <c r="N1891" s="2" t="str">
        <f>IFERROR(__xludf.DUMMYFUNCTION("""COMPUTED_VALUE"""),"")</f>
        <v/>
      </c>
    </row>
    <row r="1892">
      <c r="A1892" s="2" t="s">
        <v>33</v>
      </c>
      <c r="B1892" s="12">
        <v>1817015.0</v>
      </c>
      <c r="C1892" s="12">
        <v>1817575.0</v>
      </c>
      <c r="D1892" s="2"/>
      <c r="E1892" s="2" t="s">
        <v>38</v>
      </c>
      <c r="F1892" s="2" t="s">
        <v>5050</v>
      </c>
      <c r="G1892" s="2"/>
      <c r="H1892" s="12">
        <v>0.0</v>
      </c>
      <c r="I1892" s="2" t="s">
        <v>40</v>
      </c>
      <c r="J1892" s="2"/>
      <c r="K1892" s="2" t="s">
        <v>5055</v>
      </c>
      <c r="L1892" s="12">
        <v>186.0</v>
      </c>
      <c r="M1892" s="2" t="s">
        <v>5056</v>
      </c>
      <c r="N1892" s="2" t="str">
        <f>IFERROR(__xludf.DUMMYFUNCTION("""COMPUTED_VALUE"""),"")</f>
        <v/>
      </c>
    </row>
    <row r="1893">
      <c r="A1893" s="2" t="s">
        <v>33</v>
      </c>
      <c r="B1893" s="12">
        <v>1817664.0</v>
      </c>
      <c r="C1893" s="12">
        <v>1817927.0</v>
      </c>
      <c r="D1893" s="2"/>
      <c r="E1893" s="2" t="s">
        <v>38</v>
      </c>
      <c r="F1893" s="2" t="s">
        <v>5057</v>
      </c>
      <c r="G1893" s="2"/>
      <c r="H1893" s="12">
        <v>0.0</v>
      </c>
      <c r="I1893" s="2" t="s">
        <v>40</v>
      </c>
      <c r="J1893" s="2"/>
      <c r="K1893" s="2" t="s">
        <v>5058</v>
      </c>
      <c r="L1893" s="12">
        <v>87.0</v>
      </c>
      <c r="M1893" s="2" t="s">
        <v>5059</v>
      </c>
      <c r="N1893" s="2" t="str">
        <f>IFERROR(__xludf.DUMMYFUNCTION("""COMPUTED_VALUE"""),"")</f>
        <v/>
      </c>
    </row>
    <row r="1894">
      <c r="A1894" s="2" t="s">
        <v>33</v>
      </c>
      <c r="B1894" s="12">
        <v>1818112.0</v>
      </c>
      <c r="C1894" s="12">
        <v>1819776.0</v>
      </c>
      <c r="D1894" s="2"/>
      <c r="E1894" s="2" t="s">
        <v>38</v>
      </c>
      <c r="F1894" s="2" t="s">
        <v>5060</v>
      </c>
      <c r="G1894" s="2" t="s">
        <v>5061</v>
      </c>
      <c r="H1894" s="12">
        <v>0.0</v>
      </c>
      <c r="I1894" s="2" t="s">
        <v>40</v>
      </c>
      <c r="J1894" s="2"/>
      <c r="K1894" s="2" t="s">
        <v>5062</v>
      </c>
      <c r="L1894" s="12">
        <v>554.0</v>
      </c>
      <c r="M1894" s="2" t="s">
        <v>5063</v>
      </c>
      <c r="N1894" s="2" t="str">
        <f>IFERROR(__xludf.DUMMYFUNCTION("""COMPUTED_VALUE"""),"")</f>
        <v/>
      </c>
    </row>
    <row r="1895">
      <c r="A1895" s="2" t="s">
        <v>33</v>
      </c>
      <c r="B1895" s="12">
        <v>1820123.0</v>
      </c>
      <c r="C1895" s="12">
        <v>1820509.0</v>
      </c>
      <c r="D1895" s="2"/>
      <c r="E1895" s="2" t="s">
        <v>38</v>
      </c>
      <c r="F1895" s="2" t="s">
        <v>5064</v>
      </c>
      <c r="G1895" s="2"/>
      <c r="H1895" s="12">
        <v>0.0</v>
      </c>
      <c r="I1895" s="2" t="s">
        <v>40</v>
      </c>
      <c r="J1895" s="2"/>
      <c r="K1895" s="2" t="s">
        <v>5065</v>
      </c>
      <c r="L1895" s="12">
        <v>128.0</v>
      </c>
      <c r="M1895" s="2" t="s">
        <v>5066</v>
      </c>
      <c r="N1895" s="2" t="str">
        <f>IFERROR(__xludf.DUMMYFUNCTION("""COMPUTED_VALUE"""),"")</f>
        <v/>
      </c>
    </row>
    <row r="1896">
      <c r="A1896" s="2" t="s">
        <v>33</v>
      </c>
      <c r="B1896" s="12">
        <v>1820475.0</v>
      </c>
      <c r="C1896" s="12">
        <v>1821446.0</v>
      </c>
      <c r="D1896" s="2"/>
      <c r="E1896" s="2" t="s">
        <v>38</v>
      </c>
      <c r="F1896" s="2" t="s">
        <v>5067</v>
      </c>
      <c r="G1896" s="2"/>
      <c r="H1896" s="12">
        <v>0.0</v>
      </c>
      <c r="I1896" s="2" t="s">
        <v>40</v>
      </c>
      <c r="J1896" s="2"/>
      <c r="K1896" s="2" t="s">
        <v>5068</v>
      </c>
      <c r="L1896" s="12">
        <v>323.0</v>
      </c>
      <c r="M1896" s="2" t="s">
        <v>5069</v>
      </c>
      <c r="N1896" s="2" t="str">
        <f>IFERROR(__xludf.DUMMYFUNCTION("""COMPUTED_VALUE"""),"")</f>
        <v/>
      </c>
    </row>
    <row r="1897">
      <c r="A1897" s="2" t="s">
        <v>33</v>
      </c>
      <c r="B1897" s="12">
        <v>1821621.0</v>
      </c>
      <c r="C1897" s="12">
        <v>1822892.0</v>
      </c>
      <c r="D1897" s="2"/>
      <c r="E1897" s="2" t="s">
        <v>38</v>
      </c>
      <c r="F1897" s="2" t="s">
        <v>5070</v>
      </c>
      <c r="G1897" s="2"/>
      <c r="H1897" s="12">
        <v>0.0</v>
      </c>
      <c r="I1897" s="2" t="s">
        <v>40</v>
      </c>
      <c r="J1897" s="2"/>
      <c r="K1897" s="2" t="s">
        <v>5071</v>
      </c>
      <c r="L1897" s="12">
        <v>423.0</v>
      </c>
      <c r="M1897" s="2" t="s">
        <v>5072</v>
      </c>
      <c r="N1897" s="2" t="str">
        <f>IFERROR(__xludf.DUMMYFUNCTION("""COMPUTED_VALUE"""),"")</f>
        <v/>
      </c>
    </row>
    <row r="1898">
      <c r="A1898" s="2" t="s">
        <v>33</v>
      </c>
      <c r="B1898" s="12">
        <v>1823000.0</v>
      </c>
      <c r="C1898" s="12">
        <v>1824418.0</v>
      </c>
      <c r="D1898" s="2"/>
      <c r="E1898" s="2" t="s">
        <v>38</v>
      </c>
      <c r="F1898" s="2" t="s">
        <v>5073</v>
      </c>
      <c r="G1898" s="2" t="s">
        <v>5074</v>
      </c>
      <c r="H1898" s="12">
        <v>0.0</v>
      </c>
      <c r="I1898" s="2" t="s">
        <v>40</v>
      </c>
      <c r="J1898" s="2"/>
      <c r="K1898" s="2" t="s">
        <v>5075</v>
      </c>
      <c r="L1898" s="12">
        <v>472.0</v>
      </c>
      <c r="M1898" s="2" t="s">
        <v>5076</v>
      </c>
      <c r="N1898" s="2" t="str">
        <f>IFERROR(__xludf.DUMMYFUNCTION("""COMPUTED_VALUE"""),"")</f>
        <v/>
      </c>
    </row>
    <row r="1899">
      <c r="A1899" s="2" t="s">
        <v>33</v>
      </c>
      <c r="B1899" s="12">
        <v>1824533.0</v>
      </c>
      <c r="C1899" s="12">
        <v>1825093.0</v>
      </c>
      <c r="D1899" s="2"/>
      <c r="E1899" s="2" t="s">
        <v>38</v>
      </c>
      <c r="F1899" s="2" t="s">
        <v>5077</v>
      </c>
      <c r="G1899" s="2"/>
      <c r="H1899" s="12">
        <v>0.0</v>
      </c>
      <c r="I1899" s="2" t="s">
        <v>40</v>
      </c>
      <c r="J1899" s="2"/>
      <c r="K1899" s="2" t="s">
        <v>5078</v>
      </c>
      <c r="L1899" s="12">
        <v>186.0</v>
      </c>
      <c r="M1899" s="2" t="s">
        <v>5079</v>
      </c>
      <c r="N1899" s="2" t="str">
        <f>IFERROR(__xludf.DUMMYFUNCTION("""COMPUTED_VALUE"""),"")</f>
        <v/>
      </c>
    </row>
    <row r="1900">
      <c r="A1900" s="2" t="s">
        <v>33</v>
      </c>
      <c r="B1900" s="12">
        <v>1825332.0</v>
      </c>
      <c r="C1900" s="12">
        <v>1825928.0</v>
      </c>
      <c r="D1900" s="2"/>
      <c r="E1900" s="2" t="s">
        <v>34</v>
      </c>
      <c r="F1900" s="2" t="s">
        <v>39</v>
      </c>
      <c r="G1900" s="2"/>
      <c r="H1900" s="12">
        <v>0.0</v>
      </c>
      <c r="I1900" s="2" t="s">
        <v>40</v>
      </c>
      <c r="J1900" s="2"/>
      <c r="K1900" s="2" t="s">
        <v>5080</v>
      </c>
      <c r="L1900" s="12">
        <v>198.0</v>
      </c>
      <c r="M1900" s="2" t="s">
        <v>5081</v>
      </c>
      <c r="N1900" s="2" t="str">
        <f>IFERROR(__xludf.DUMMYFUNCTION("""COMPUTED_VALUE"""),"")</f>
        <v/>
      </c>
    </row>
    <row r="1901">
      <c r="A1901" s="2" t="s">
        <v>33</v>
      </c>
      <c r="B1901" s="12">
        <v>1826054.0</v>
      </c>
      <c r="C1901" s="12">
        <v>1827571.0</v>
      </c>
      <c r="D1901" s="2"/>
      <c r="E1901" s="2" t="s">
        <v>34</v>
      </c>
      <c r="F1901" s="2" t="s">
        <v>5082</v>
      </c>
      <c r="G1901" s="2"/>
      <c r="H1901" s="12">
        <v>0.0</v>
      </c>
      <c r="I1901" s="2" t="s">
        <v>40</v>
      </c>
      <c r="J1901" s="2"/>
      <c r="K1901" s="2" t="s">
        <v>5083</v>
      </c>
      <c r="L1901" s="12">
        <v>505.0</v>
      </c>
      <c r="M1901" s="2" t="s">
        <v>5084</v>
      </c>
      <c r="N1901" s="2" t="str">
        <f>IFERROR(__xludf.DUMMYFUNCTION("""COMPUTED_VALUE"""),"")</f>
        <v/>
      </c>
    </row>
    <row r="1902">
      <c r="A1902" s="2" t="s">
        <v>33</v>
      </c>
      <c r="B1902" s="12">
        <v>1827568.0</v>
      </c>
      <c r="C1902" s="12">
        <v>1828653.0</v>
      </c>
      <c r="D1902" s="2"/>
      <c r="E1902" s="2" t="s">
        <v>34</v>
      </c>
      <c r="F1902" s="2" t="s">
        <v>5085</v>
      </c>
      <c r="G1902" s="2"/>
      <c r="H1902" s="12">
        <v>0.0</v>
      </c>
      <c r="I1902" s="2" t="s">
        <v>40</v>
      </c>
      <c r="J1902" s="2"/>
      <c r="K1902" s="2" t="s">
        <v>5086</v>
      </c>
      <c r="L1902" s="12">
        <v>361.0</v>
      </c>
      <c r="M1902" s="2" t="s">
        <v>5087</v>
      </c>
      <c r="N1902" s="2" t="str">
        <f>IFERROR(__xludf.DUMMYFUNCTION("""COMPUTED_VALUE"""),"")</f>
        <v/>
      </c>
    </row>
    <row r="1903">
      <c r="A1903" s="2" t="s">
        <v>33</v>
      </c>
      <c r="B1903" s="12">
        <v>1828670.0</v>
      </c>
      <c r="C1903" s="12">
        <v>1829779.0</v>
      </c>
      <c r="D1903" s="2"/>
      <c r="E1903" s="2" t="s">
        <v>34</v>
      </c>
      <c r="F1903" s="2" t="s">
        <v>1681</v>
      </c>
      <c r="G1903" s="2"/>
      <c r="H1903" s="12">
        <v>0.0</v>
      </c>
      <c r="I1903" s="2" t="s">
        <v>40</v>
      </c>
      <c r="J1903" s="2"/>
      <c r="K1903" s="2" t="s">
        <v>5088</v>
      </c>
      <c r="L1903" s="12">
        <v>369.0</v>
      </c>
      <c r="M1903" s="2" t="s">
        <v>5089</v>
      </c>
      <c r="N1903" s="2" t="str">
        <f>IFERROR(__xludf.DUMMYFUNCTION("""COMPUTED_VALUE"""),"")</f>
        <v/>
      </c>
    </row>
    <row r="1904">
      <c r="A1904" s="2" t="s">
        <v>33</v>
      </c>
      <c r="B1904" s="12">
        <v>1829825.0</v>
      </c>
      <c r="C1904" s="12">
        <v>1830337.0</v>
      </c>
      <c r="D1904" s="2"/>
      <c r="E1904" s="2" t="s">
        <v>34</v>
      </c>
      <c r="F1904" s="2" t="s">
        <v>5090</v>
      </c>
      <c r="G1904" s="2"/>
      <c r="H1904" s="12">
        <v>0.0</v>
      </c>
      <c r="I1904" s="2" t="s">
        <v>40</v>
      </c>
      <c r="J1904" s="2"/>
      <c r="K1904" s="2" t="s">
        <v>5091</v>
      </c>
      <c r="L1904" s="12">
        <v>170.0</v>
      </c>
      <c r="M1904" s="2" t="s">
        <v>5092</v>
      </c>
      <c r="N1904" s="2" t="str">
        <f>IFERROR(__xludf.DUMMYFUNCTION("""COMPUTED_VALUE"""),"")</f>
        <v/>
      </c>
    </row>
    <row r="1905">
      <c r="A1905" s="2" t="s">
        <v>33</v>
      </c>
      <c r="B1905" s="12">
        <v>1830458.0</v>
      </c>
      <c r="C1905" s="12">
        <v>1830706.0</v>
      </c>
      <c r="D1905" s="2"/>
      <c r="E1905" s="2" t="s">
        <v>34</v>
      </c>
      <c r="F1905" s="2" t="s">
        <v>5093</v>
      </c>
      <c r="G1905" s="2"/>
      <c r="H1905" s="12">
        <v>0.0</v>
      </c>
      <c r="I1905" s="2" t="s">
        <v>40</v>
      </c>
      <c r="J1905" s="2"/>
      <c r="K1905" s="2" t="s">
        <v>5094</v>
      </c>
      <c r="L1905" s="12">
        <v>82.0</v>
      </c>
      <c r="M1905" s="2" t="s">
        <v>5095</v>
      </c>
      <c r="N1905" s="2" t="str">
        <f>IFERROR(__xludf.DUMMYFUNCTION("""COMPUTED_VALUE"""),"")</f>
        <v/>
      </c>
    </row>
    <row r="1906">
      <c r="A1906" s="2" t="s">
        <v>33</v>
      </c>
      <c r="B1906" s="12">
        <v>1830871.0</v>
      </c>
      <c r="C1906" s="12">
        <v>1831290.0</v>
      </c>
      <c r="D1906" s="2"/>
      <c r="E1906" s="2" t="s">
        <v>34</v>
      </c>
      <c r="F1906" s="2" t="s">
        <v>5096</v>
      </c>
      <c r="G1906" s="2"/>
      <c r="H1906" s="12">
        <v>0.0</v>
      </c>
      <c r="I1906" s="2" t="s">
        <v>40</v>
      </c>
      <c r="J1906" s="2"/>
      <c r="K1906" s="2" t="s">
        <v>5097</v>
      </c>
      <c r="L1906" s="12">
        <v>139.0</v>
      </c>
      <c r="M1906" s="2" t="s">
        <v>5098</v>
      </c>
      <c r="N1906" s="2" t="str">
        <f>IFERROR(__xludf.DUMMYFUNCTION("""COMPUTED_VALUE"""),"")</f>
        <v/>
      </c>
    </row>
    <row r="1907">
      <c r="A1907" s="2" t="s">
        <v>33</v>
      </c>
      <c r="B1907" s="12">
        <v>1831303.0</v>
      </c>
      <c r="C1907" s="12">
        <v>1831755.0</v>
      </c>
      <c r="D1907" s="2"/>
      <c r="E1907" s="2" t="s">
        <v>34</v>
      </c>
      <c r="F1907" s="2" t="s">
        <v>3466</v>
      </c>
      <c r="G1907" s="2"/>
      <c r="H1907" s="12">
        <v>0.0</v>
      </c>
      <c r="I1907" s="2" t="s">
        <v>40</v>
      </c>
      <c r="J1907" s="2"/>
      <c r="K1907" s="2" t="s">
        <v>5099</v>
      </c>
      <c r="L1907" s="12">
        <v>150.0</v>
      </c>
      <c r="M1907" s="2" t="s">
        <v>5100</v>
      </c>
      <c r="N1907" s="2" t="str">
        <f>IFERROR(__xludf.DUMMYFUNCTION("""COMPUTED_VALUE"""),"")</f>
        <v/>
      </c>
    </row>
    <row r="1908">
      <c r="A1908" s="2" t="s">
        <v>33</v>
      </c>
      <c r="B1908" s="12">
        <v>1831828.0</v>
      </c>
      <c r="C1908" s="12">
        <v>1832043.0</v>
      </c>
      <c r="D1908" s="2"/>
      <c r="E1908" s="2" t="s">
        <v>34</v>
      </c>
      <c r="F1908" s="2" t="s">
        <v>82</v>
      </c>
      <c r="G1908" s="2"/>
      <c r="H1908" s="12">
        <v>0.0</v>
      </c>
      <c r="I1908" s="2" t="s">
        <v>40</v>
      </c>
      <c r="J1908" s="2"/>
      <c r="K1908" s="2" t="s">
        <v>5101</v>
      </c>
      <c r="L1908" s="12">
        <v>71.0</v>
      </c>
      <c r="M1908" s="2" t="s">
        <v>5102</v>
      </c>
      <c r="N1908" s="2" t="str">
        <f>IFERROR(__xludf.DUMMYFUNCTION("""COMPUTED_VALUE"""),"")</f>
        <v/>
      </c>
    </row>
    <row r="1909">
      <c r="A1909" s="2" t="s">
        <v>33</v>
      </c>
      <c r="B1909" s="12">
        <v>1832161.0</v>
      </c>
      <c r="C1909" s="12">
        <v>1833147.0</v>
      </c>
      <c r="D1909" s="2"/>
      <c r="E1909" s="2" t="s">
        <v>34</v>
      </c>
      <c r="F1909" s="2" t="s">
        <v>4305</v>
      </c>
      <c r="G1909" s="2"/>
      <c r="H1909" s="12">
        <v>0.0</v>
      </c>
      <c r="I1909" s="2" t="s">
        <v>40</v>
      </c>
      <c r="J1909" s="2"/>
      <c r="K1909" s="2" t="s">
        <v>5103</v>
      </c>
      <c r="L1909" s="12">
        <v>328.0</v>
      </c>
      <c r="M1909" s="2" t="s">
        <v>5104</v>
      </c>
      <c r="N1909" s="2" t="str">
        <f>IFERROR(__xludf.DUMMYFUNCTION("""COMPUTED_VALUE"""),"")</f>
        <v/>
      </c>
    </row>
    <row r="1910">
      <c r="A1910" s="2" t="s">
        <v>33</v>
      </c>
      <c r="B1910" s="12">
        <v>1833283.0</v>
      </c>
      <c r="C1910" s="12">
        <v>1834659.0</v>
      </c>
      <c r="D1910" s="2"/>
      <c r="E1910" s="2" t="s">
        <v>34</v>
      </c>
      <c r="F1910" s="2" t="s">
        <v>5105</v>
      </c>
      <c r="G1910" s="2"/>
      <c r="H1910" s="12">
        <v>0.0</v>
      </c>
      <c r="I1910" s="2" t="s">
        <v>40</v>
      </c>
      <c r="J1910" s="2"/>
      <c r="K1910" s="2" t="s">
        <v>5106</v>
      </c>
      <c r="L1910" s="12">
        <v>458.0</v>
      </c>
      <c r="M1910" s="2" t="s">
        <v>5107</v>
      </c>
      <c r="N1910" s="2" t="str">
        <f>IFERROR(__xludf.DUMMYFUNCTION("""COMPUTED_VALUE"""),"")</f>
        <v/>
      </c>
    </row>
    <row r="1911">
      <c r="A1911" s="2" t="s">
        <v>33</v>
      </c>
      <c r="B1911" s="12">
        <v>1834677.0</v>
      </c>
      <c r="C1911" s="12">
        <v>1836152.0</v>
      </c>
      <c r="D1911" s="2"/>
      <c r="E1911" s="2" t="s">
        <v>34</v>
      </c>
      <c r="F1911" s="2" t="s">
        <v>5108</v>
      </c>
      <c r="G1911" s="2" t="s">
        <v>5109</v>
      </c>
      <c r="H1911" s="12">
        <v>0.0</v>
      </c>
      <c r="I1911" s="2" t="s">
        <v>40</v>
      </c>
      <c r="J1911" s="2"/>
      <c r="K1911" s="2" t="s">
        <v>5110</v>
      </c>
      <c r="L1911" s="12">
        <v>491.0</v>
      </c>
      <c r="M1911" s="2" t="s">
        <v>5111</v>
      </c>
      <c r="N1911" s="2" t="str">
        <f>IFERROR(__xludf.DUMMYFUNCTION("""COMPUTED_VALUE"""),"")</f>
        <v/>
      </c>
    </row>
    <row r="1912">
      <c r="A1912" s="2" t="s">
        <v>33</v>
      </c>
      <c r="B1912" s="12">
        <v>1836149.0</v>
      </c>
      <c r="C1912" s="12">
        <v>1837090.0</v>
      </c>
      <c r="D1912" s="2"/>
      <c r="E1912" s="2" t="s">
        <v>34</v>
      </c>
      <c r="F1912" s="2" t="s">
        <v>5112</v>
      </c>
      <c r="G1912" s="2"/>
      <c r="H1912" s="12">
        <v>0.0</v>
      </c>
      <c r="I1912" s="2" t="s">
        <v>40</v>
      </c>
      <c r="J1912" s="2"/>
      <c r="K1912" s="2" t="s">
        <v>5113</v>
      </c>
      <c r="L1912" s="12">
        <v>313.0</v>
      </c>
      <c r="M1912" s="2" t="s">
        <v>5114</v>
      </c>
      <c r="N1912" s="2" t="str">
        <f>IFERROR(__xludf.DUMMYFUNCTION("""COMPUTED_VALUE"""),"")</f>
        <v/>
      </c>
    </row>
    <row r="1913">
      <c r="A1913" s="2" t="s">
        <v>33</v>
      </c>
      <c r="B1913" s="12">
        <v>1837104.0</v>
      </c>
      <c r="C1913" s="12">
        <v>1837355.0</v>
      </c>
      <c r="D1913" s="2"/>
      <c r="E1913" s="2" t="s">
        <v>38</v>
      </c>
      <c r="F1913" s="2" t="s">
        <v>39</v>
      </c>
      <c r="G1913" s="2"/>
      <c r="H1913" s="12">
        <v>0.0</v>
      </c>
      <c r="I1913" s="2" t="s">
        <v>40</v>
      </c>
      <c r="J1913" s="2"/>
      <c r="K1913" s="2" t="s">
        <v>5115</v>
      </c>
      <c r="L1913" s="12">
        <v>83.0</v>
      </c>
      <c r="M1913" s="2" t="s">
        <v>5116</v>
      </c>
      <c r="N1913" s="2" t="str">
        <f>IFERROR(__xludf.DUMMYFUNCTION("""COMPUTED_VALUE"""),"")</f>
        <v/>
      </c>
    </row>
    <row r="1914">
      <c r="A1914" s="2" t="s">
        <v>33</v>
      </c>
      <c r="B1914" s="12">
        <v>1837459.0</v>
      </c>
      <c r="C1914" s="12">
        <v>1838220.0</v>
      </c>
      <c r="D1914" s="2"/>
      <c r="E1914" s="2" t="s">
        <v>38</v>
      </c>
      <c r="F1914" s="2" t="s">
        <v>5117</v>
      </c>
      <c r="G1914" s="2"/>
      <c r="H1914" s="12">
        <v>0.0</v>
      </c>
      <c r="I1914" s="2" t="s">
        <v>40</v>
      </c>
      <c r="J1914" s="2"/>
      <c r="K1914" s="2" t="s">
        <v>5118</v>
      </c>
      <c r="L1914" s="12">
        <v>253.0</v>
      </c>
      <c r="M1914" s="2" t="s">
        <v>5119</v>
      </c>
      <c r="N1914" s="2" t="str">
        <f>IFERROR(__xludf.DUMMYFUNCTION("""COMPUTED_VALUE"""),"")</f>
        <v/>
      </c>
    </row>
    <row r="1915">
      <c r="A1915" s="2" t="s">
        <v>33</v>
      </c>
      <c r="B1915" s="12">
        <v>1838287.0</v>
      </c>
      <c r="C1915" s="12">
        <v>1839153.0</v>
      </c>
      <c r="D1915" s="2"/>
      <c r="E1915" s="2" t="s">
        <v>38</v>
      </c>
      <c r="F1915" s="2" t="s">
        <v>333</v>
      </c>
      <c r="G1915" s="2"/>
      <c r="H1915" s="12">
        <v>0.0</v>
      </c>
      <c r="I1915" s="2" t="s">
        <v>40</v>
      </c>
      <c r="J1915" s="2"/>
      <c r="K1915" s="2" t="s">
        <v>5120</v>
      </c>
      <c r="L1915" s="12">
        <v>288.0</v>
      </c>
      <c r="M1915" s="2" t="s">
        <v>5121</v>
      </c>
      <c r="N1915" s="2" t="str">
        <f>IFERROR(__xludf.DUMMYFUNCTION("""COMPUTED_VALUE"""),"")</f>
        <v/>
      </c>
    </row>
    <row r="1916">
      <c r="A1916" s="2" t="s">
        <v>33</v>
      </c>
      <c r="B1916" s="12">
        <v>1839356.0</v>
      </c>
      <c r="C1916" s="12">
        <v>1840657.0</v>
      </c>
      <c r="D1916" s="2"/>
      <c r="E1916" s="2" t="s">
        <v>34</v>
      </c>
      <c r="F1916" s="2" t="s">
        <v>5122</v>
      </c>
      <c r="G1916" s="2"/>
      <c r="H1916" s="12">
        <v>0.0</v>
      </c>
      <c r="I1916" s="2" t="s">
        <v>40</v>
      </c>
      <c r="J1916" s="2"/>
      <c r="K1916" s="2" t="s">
        <v>5123</v>
      </c>
      <c r="L1916" s="12">
        <v>433.0</v>
      </c>
      <c r="M1916" s="2" t="s">
        <v>5124</v>
      </c>
      <c r="N1916" s="2" t="str">
        <f>IFERROR(__xludf.DUMMYFUNCTION("""COMPUTED_VALUE"""),"")</f>
        <v/>
      </c>
    </row>
    <row r="1917">
      <c r="A1917" s="2" t="s">
        <v>33</v>
      </c>
      <c r="B1917" s="12">
        <v>1840940.0</v>
      </c>
      <c r="C1917" s="12">
        <v>1842052.0</v>
      </c>
      <c r="D1917" s="2"/>
      <c r="E1917" s="2" t="s">
        <v>34</v>
      </c>
      <c r="F1917" s="2" t="s">
        <v>5125</v>
      </c>
      <c r="G1917" s="2"/>
      <c r="H1917" s="12">
        <v>0.0</v>
      </c>
      <c r="I1917" s="2" t="s">
        <v>40</v>
      </c>
      <c r="J1917" s="2"/>
      <c r="K1917" s="2" t="s">
        <v>5126</v>
      </c>
      <c r="L1917" s="12">
        <v>370.0</v>
      </c>
      <c r="M1917" s="2" t="s">
        <v>5127</v>
      </c>
      <c r="N1917" s="2" t="str">
        <f>IFERROR(__xludf.DUMMYFUNCTION("""COMPUTED_VALUE"""),"")</f>
        <v/>
      </c>
    </row>
    <row r="1918">
      <c r="A1918" s="2" t="s">
        <v>33</v>
      </c>
      <c r="B1918" s="12">
        <v>1842049.0</v>
      </c>
      <c r="C1918" s="12">
        <v>1843536.0</v>
      </c>
      <c r="D1918" s="2"/>
      <c r="E1918" s="2" t="s">
        <v>34</v>
      </c>
      <c r="F1918" s="2" t="s">
        <v>5128</v>
      </c>
      <c r="G1918" s="2"/>
      <c r="H1918" s="12">
        <v>0.0</v>
      </c>
      <c r="I1918" s="2" t="s">
        <v>40</v>
      </c>
      <c r="J1918" s="2"/>
      <c r="K1918" s="2" t="s">
        <v>5129</v>
      </c>
      <c r="L1918" s="12">
        <v>495.0</v>
      </c>
      <c r="M1918" s="2" t="s">
        <v>5130</v>
      </c>
      <c r="N1918" s="2" t="str">
        <f>IFERROR(__xludf.DUMMYFUNCTION("""COMPUTED_VALUE"""),"")</f>
        <v/>
      </c>
    </row>
    <row r="1919">
      <c r="A1919" s="2" t="s">
        <v>33</v>
      </c>
      <c r="B1919" s="12">
        <v>1843520.0</v>
      </c>
      <c r="C1919" s="12">
        <v>1844515.0</v>
      </c>
      <c r="D1919" s="2"/>
      <c r="E1919" s="2" t="s">
        <v>34</v>
      </c>
      <c r="F1919" s="2" t="s">
        <v>265</v>
      </c>
      <c r="G1919" s="2"/>
      <c r="H1919" s="12">
        <v>0.0</v>
      </c>
      <c r="I1919" s="2" t="s">
        <v>40</v>
      </c>
      <c r="J1919" s="2"/>
      <c r="K1919" s="2" t="s">
        <v>5131</v>
      </c>
      <c r="L1919" s="12">
        <v>331.0</v>
      </c>
      <c r="M1919" s="2" t="s">
        <v>5132</v>
      </c>
      <c r="N1919" s="2" t="str">
        <f>IFERROR(__xludf.DUMMYFUNCTION("""COMPUTED_VALUE"""),"")</f>
        <v/>
      </c>
    </row>
    <row r="1920">
      <c r="A1920" s="2" t="s">
        <v>33</v>
      </c>
      <c r="B1920" s="12">
        <v>1844541.0</v>
      </c>
      <c r="C1920" s="12">
        <v>1844813.0</v>
      </c>
      <c r="D1920" s="2"/>
      <c r="E1920" s="2" t="s">
        <v>38</v>
      </c>
      <c r="F1920" s="2" t="s">
        <v>39</v>
      </c>
      <c r="G1920" s="2"/>
      <c r="H1920" s="12">
        <v>0.0</v>
      </c>
      <c r="I1920" s="2" t="s">
        <v>40</v>
      </c>
      <c r="J1920" s="2"/>
      <c r="K1920" s="2" t="s">
        <v>5133</v>
      </c>
      <c r="L1920" s="12">
        <v>90.0</v>
      </c>
      <c r="M1920" s="2" t="s">
        <v>5134</v>
      </c>
      <c r="N1920" s="2" t="str">
        <f>IFERROR(__xludf.DUMMYFUNCTION("""COMPUTED_VALUE"""),"")</f>
        <v/>
      </c>
    </row>
    <row r="1921">
      <c r="A1921" s="2" t="s">
        <v>33</v>
      </c>
      <c r="B1921" s="12">
        <v>1844869.0</v>
      </c>
      <c r="C1921" s="12">
        <v>1845096.0</v>
      </c>
      <c r="D1921" s="2"/>
      <c r="E1921" s="2" t="s">
        <v>38</v>
      </c>
      <c r="F1921" s="2" t="s">
        <v>39</v>
      </c>
      <c r="G1921" s="2"/>
      <c r="H1921" s="12">
        <v>0.0</v>
      </c>
      <c r="I1921" s="2" t="s">
        <v>40</v>
      </c>
      <c r="J1921" s="2"/>
      <c r="K1921" s="2" t="s">
        <v>5135</v>
      </c>
      <c r="L1921" s="12">
        <v>75.0</v>
      </c>
      <c r="M1921" s="2" t="s">
        <v>5136</v>
      </c>
      <c r="N1921" s="2" t="str">
        <f>IFERROR(__xludf.DUMMYFUNCTION("""COMPUTED_VALUE"""),"")</f>
        <v/>
      </c>
    </row>
    <row r="1922">
      <c r="A1922" s="2" t="s">
        <v>33</v>
      </c>
      <c r="B1922" s="12">
        <v>1845105.0</v>
      </c>
      <c r="C1922" s="12">
        <v>1845755.0</v>
      </c>
      <c r="D1922" s="2"/>
      <c r="E1922" s="2" t="s">
        <v>38</v>
      </c>
      <c r="F1922" s="2" t="s">
        <v>432</v>
      </c>
      <c r="G1922" s="2"/>
      <c r="H1922" s="12">
        <v>0.0</v>
      </c>
      <c r="I1922" s="2" t="s">
        <v>40</v>
      </c>
      <c r="J1922" s="2"/>
      <c r="K1922" s="2" t="s">
        <v>5137</v>
      </c>
      <c r="L1922" s="12">
        <v>216.0</v>
      </c>
      <c r="M1922" s="2" t="s">
        <v>5138</v>
      </c>
      <c r="N1922" s="2" t="str">
        <f>IFERROR(__xludf.DUMMYFUNCTION("""COMPUTED_VALUE"""),"")</f>
        <v/>
      </c>
    </row>
    <row r="1923">
      <c r="A1923" s="2" t="s">
        <v>33</v>
      </c>
      <c r="B1923" s="12">
        <v>1845756.0</v>
      </c>
      <c r="C1923" s="12">
        <v>1846988.0</v>
      </c>
      <c r="D1923" s="2"/>
      <c r="E1923" s="2" t="s">
        <v>38</v>
      </c>
      <c r="F1923" s="2" t="s">
        <v>265</v>
      </c>
      <c r="G1923" s="2"/>
      <c r="H1923" s="12">
        <v>0.0</v>
      </c>
      <c r="I1923" s="2" t="s">
        <v>40</v>
      </c>
      <c r="J1923" s="2"/>
      <c r="K1923" s="2" t="s">
        <v>5139</v>
      </c>
      <c r="L1923" s="12">
        <v>410.0</v>
      </c>
      <c r="M1923" s="2" t="s">
        <v>5140</v>
      </c>
      <c r="N1923" s="2" t="str">
        <f>IFERROR(__xludf.DUMMYFUNCTION("""COMPUTED_VALUE"""),"")</f>
        <v/>
      </c>
    </row>
    <row r="1924">
      <c r="A1924" s="2" t="s">
        <v>33</v>
      </c>
      <c r="B1924" s="12">
        <v>1846998.0</v>
      </c>
      <c r="C1924" s="12">
        <v>1848071.0</v>
      </c>
      <c r="D1924" s="2"/>
      <c r="E1924" s="2" t="s">
        <v>38</v>
      </c>
      <c r="F1924" s="2" t="s">
        <v>265</v>
      </c>
      <c r="G1924" s="2"/>
      <c r="H1924" s="12">
        <v>0.0</v>
      </c>
      <c r="I1924" s="2" t="s">
        <v>40</v>
      </c>
      <c r="J1924" s="2"/>
      <c r="K1924" s="2" t="s">
        <v>5141</v>
      </c>
      <c r="L1924" s="12">
        <v>357.0</v>
      </c>
      <c r="M1924" s="2" t="s">
        <v>5142</v>
      </c>
      <c r="N1924" s="2" t="str">
        <f>IFERROR(__xludf.DUMMYFUNCTION("""COMPUTED_VALUE"""),"")</f>
        <v/>
      </c>
    </row>
    <row r="1925">
      <c r="A1925" s="2" t="s">
        <v>33</v>
      </c>
      <c r="B1925" s="12">
        <v>1848159.0</v>
      </c>
      <c r="C1925" s="12">
        <v>1848554.0</v>
      </c>
      <c r="D1925" s="2"/>
      <c r="E1925" s="2" t="s">
        <v>38</v>
      </c>
      <c r="F1925" s="2" t="s">
        <v>39</v>
      </c>
      <c r="G1925" s="2"/>
      <c r="H1925" s="12">
        <v>0.0</v>
      </c>
      <c r="I1925" s="2" t="s">
        <v>40</v>
      </c>
      <c r="J1925" s="2"/>
      <c r="K1925" s="2" t="s">
        <v>5143</v>
      </c>
      <c r="L1925" s="12">
        <v>131.0</v>
      </c>
      <c r="M1925" s="2" t="s">
        <v>5144</v>
      </c>
      <c r="N1925" s="2" t="str">
        <f>IFERROR(__xludf.DUMMYFUNCTION("""COMPUTED_VALUE"""),"")</f>
        <v/>
      </c>
    </row>
    <row r="1926">
      <c r="A1926" s="2" t="s">
        <v>33</v>
      </c>
      <c r="B1926" s="12">
        <v>1848751.0</v>
      </c>
      <c r="C1926" s="12">
        <v>1849605.0</v>
      </c>
      <c r="D1926" s="2"/>
      <c r="E1926" s="2" t="s">
        <v>38</v>
      </c>
      <c r="F1926" s="2" t="s">
        <v>5145</v>
      </c>
      <c r="G1926" s="2"/>
      <c r="H1926" s="12">
        <v>0.0</v>
      </c>
      <c r="I1926" s="2" t="s">
        <v>40</v>
      </c>
      <c r="J1926" s="2"/>
      <c r="K1926" s="2" t="s">
        <v>5146</v>
      </c>
      <c r="L1926" s="12">
        <v>284.0</v>
      </c>
      <c r="M1926" s="2" t="s">
        <v>5147</v>
      </c>
      <c r="N1926" s="2" t="str">
        <f>IFERROR(__xludf.DUMMYFUNCTION("""COMPUTED_VALUE"""),"")</f>
        <v/>
      </c>
    </row>
    <row r="1927">
      <c r="A1927" s="2" t="s">
        <v>33</v>
      </c>
      <c r="B1927" s="12">
        <v>1849734.0</v>
      </c>
      <c r="C1927" s="12">
        <v>1850195.0</v>
      </c>
      <c r="D1927" s="2"/>
      <c r="E1927" s="2" t="s">
        <v>38</v>
      </c>
      <c r="F1927" s="2" t="s">
        <v>610</v>
      </c>
      <c r="G1927" s="2"/>
      <c r="H1927" s="12">
        <v>0.0</v>
      </c>
      <c r="I1927" s="2" t="s">
        <v>40</v>
      </c>
      <c r="J1927" s="2"/>
      <c r="K1927" s="2" t="s">
        <v>5148</v>
      </c>
      <c r="L1927" s="12">
        <v>153.0</v>
      </c>
      <c r="M1927" s="2" t="s">
        <v>5149</v>
      </c>
      <c r="N1927" s="2" t="str">
        <f>IFERROR(__xludf.DUMMYFUNCTION("""COMPUTED_VALUE"""),"")</f>
        <v/>
      </c>
    </row>
    <row r="1928">
      <c r="A1928" s="2" t="s">
        <v>33</v>
      </c>
      <c r="B1928" s="12">
        <v>1850336.0</v>
      </c>
      <c r="C1928" s="12">
        <v>1851517.0</v>
      </c>
      <c r="D1928" s="2"/>
      <c r="E1928" s="2" t="s">
        <v>34</v>
      </c>
      <c r="F1928" s="2" t="s">
        <v>88</v>
      </c>
      <c r="G1928" s="2"/>
      <c r="H1928" s="12">
        <v>0.0</v>
      </c>
      <c r="I1928" s="2" t="s">
        <v>40</v>
      </c>
      <c r="J1928" s="2"/>
      <c r="K1928" s="2" t="s">
        <v>5150</v>
      </c>
      <c r="L1928" s="12">
        <v>393.0</v>
      </c>
      <c r="M1928" s="2" t="s">
        <v>5151</v>
      </c>
      <c r="N1928" s="2" t="str">
        <f>IFERROR(__xludf.DUMMYFUNCTION("""COMPUTED_VALUE"""),"")</f>
        <v/>
      </c>
    </row>
    <row r="1929">
      <c r="A1929" s="2" t="s">
        <v>33</v>
      </c>
      <c r="B1929" s="12">
        <v>1851543.0</v>
      </c>
      <c r="C1929" s="12">
        <v>1852697.0</v>
      </c>
      <c r="D1929" s="2"/>
      <c r="E1929" s="2" t="s">
        <v>38</v>
      </c>
      <c r="F1929" s="2" t="s">
        <v>5152</v>
      </c>
      <c r="G1929" s="2" t="s">
        <v>5153</v>
      </c>
      <c r="H1929" s="12">
        <v>0.0</v>
      </c>
      <c r="I1929" s="2" t="s">
        <v>40</v>
      </c>
      <c r="J1929" s="2"/>
      <c r="K1929" s="2" t="s">
        <v>5154</v>
      </c>
      <c r="L1929" s="12">
        <v>384.0</v>
      </c>
      <c r="M1929" s="2" t="s">
        <v>5155</v>
      </c>
      <c r="N1929" s="2" t="str">
        <f>IFERROR(__xludf.DUMMYFUNCTION("""COMPUTED_VALUE"""),"")</f>
        <v/>
      </c>
    </row>
    <row r="1930">
      <c r="A1930" s="2" t="s">
        <v>33</v>
      </c>
      <c r="B1930" s="12">
        <v>1852754.0</v>
      </c>
      <c r="C1930" s="12">
        <v>1853335.0</v>
      </c>
      <c r="D1930" s="2"/>
      <c r="E1930" s="2" t="s">
        <v>38</v>
      </c>
      <c r="F1930" s="2" t="s">
        <v>5156</v>
      </c>
      <c r="G1930" s="2" t="s">
        <v>5157</v>
      </c>
      <c r="H1930" s="12">
        <v>0.0</v>
      </c>
      <c r="I1930" s="2" t="s">
        <v>40</v>
      </c>
      <c r="J1930" s="2"/>
      <c r="K1930" s="2" t="s">
        <v>5158</v>
      </c>
      <c r="L1930" s="12">
        <v>193.0</v>
      </c>
      <c r="M1930" s="2" t="s">
        <v>5159</v>
      </c>
      <c r="N1930" s="2" t="str">
        <f>IFERROR(__xludf.DUMMYFUNCTION("""COMPUTED_VALUE"""),"")</f>
        <v/>
      </c>
    </row>
    <row r="1931">
      <c r="A1931" s="2" t="s">
        <v>33</v>
      </c>
      <c r="B1931" s="12">
        <v>1853352.0</v>
      </c>
      <c r="C1931" s="12">
        <v>1855442.0</v>
      </c>
      <c r="D1931" s="2"/>
      <c r="E1931" s="2" t="s">
        <v>38</v>
      </c>
      <c r="F1931" s="2" t="s">
        <v>5160</v>
      </c>
      <c r="G1931" s="2" t="s">
        <v>5161</v>
      </c>
      <c r="H1931" s="12">
        <v>0.0</v>
      </c>
      <c r="I1931" s="2" t="s">
        <v>40</v>
      </c>
      <c r="J1931" s="2"/>
      <c r="K1931" s="2" t="s">
        <v>5162</v>
      </c>
      <c r="L1931" s="12">
        <v>696.0</v>
      </c>
      <c r="M1931" s="2" t="s">
        <v>5163</v>
      </c>
      <c r="N1931" s="2" t="str">
        <f>IFERROR(__xludf.DUMMYFUNCTION("""COMPUTED_VALUE"""),"")</f>
        <v/>
      </c>
    </row>
    <row r="1932">
      <c r="A1932" s="2" t="s">
        <v>33</v>
      </c>
      <c r="B1932" s="12">
        <v>1855456.0</v>
      </c>
      <c r="C1932" s="12">
        <v>1857123.0</v>
      </c>
      <c r="D1932" s="2"/>
      <c r="E1932" s="2" t="s">
        <v>38</v>
      </c>
      <c r="F1932" s="2" t="s">
        <v>5164</v>
      </c>
      <c r="G1932" s="2" t="s">
        <v>5165</v>
      </c>
      <c r="H1932" s="12">
        <v>0.0</v>
      </c>
      <c r="I1932" s="2" t="s">
        <v>40</v>
      </c>
      <c r="J1932" s="2"/>
      <c r="K1932" s="2" t="s">
        <v>5166</v>
      </c>
      <c r="L1932" s="12">
        <v>555.0</v>
      </c>
      <c r="M1932" s="2" t="s">
        <v>5167</v>
      </c>
      <c r="N1932" s="2" t="str">
        <f>IFERROR(__xludf.DUMMYFUNCTION("""COMPUTED_VALUE"""),"")</f>
        <v/>
      </c>
    </row>
    <row r="1933">
      <c r="A1933" s="2" t="s">
        <v>33</v>
      </c>
      <c r="B1933" s="12">
        <v>1857143.0</v>
      </c>
      <c r="C1933" s="12">
        <v>1857223.0</v>
      </c>
      <c r="D1933" s="2"/>
      <c r="E1933" s="2" t="s">
        <v>38</v>
      </c>
      <c r="F1933" s="2" t="s">
        <v>5168</v>
      </c>
      <c r="G1933" s="2" t="s">
        <v>5169</v>
      </c>
      <c r="H1933" s="12">
        <v>0.0</v>
      </c>
      <c r="I1933" s="2" t="s">
        <v>40</v>
      </c>
      <c r="J1933" s="2"/>
      <c r="K1933" s="2" t="s">
        <v>5170</v>
      </c>
      <c r="L1933" s="12">
        <v>26.0</v>
      </c>
      <c r="M1933" s="2" t="s">
        <v>5171</v>
      </c>
      <c r="N1933" s="2" t="str">
        <f>IFERROR(__xludf.DUMMYFUNCTION("""COMPUTED_VALUE"""),"")</f>
        <v/>
      </c>
    </row>
    <row r="1934">
      <c r="A1934" s="2" t="s">
        <v>33</v>
      </c>
      <c r="B1934" s="12">
        <v>1857220.0</v>
      </c>
      <c r="C1934" s="12">
        <v>1857324.0</v>
      </c>
      <c r="D1934" s="2"/>
      <c r="E1934" s="2" t="s">
        <v>38</v>
      </c>
      <c r="F1934" s="2" t="s">
        <v>5172</v>
      </c>
      <c r="G1934" s="2"/>
      <c r="H1934" s="12">
        <v>0.0</v>
      </c>
      <c r="I1934" s="2" t="s">
        <v>40</v>
      </c>
      <c r="J1934" s="2"/>
      <c r="K1934" s="2" t="s">
        <v>5173</v>
      </c>
      <c r="L1934" s="12">
        <v>34.0</v>
      </c>
      <c r="M1934" s="2" t="s">
        <v>5174</v>
      </c>
      <c r="N1934" s="2" t="str">
        <f>IFERROR(__xludf.DUMMYFUNCTION("""COMPUTED_VALUE"""),"")</f>
        <v/>
      </c>
    </row>
    <row r="1935">
      <c r="A1935" s="2" t="s">
        <v>33</v>
      </c>
      <c r="B1935" s="12">
        <v>1857827.0</v>
      </c>
      <c r="C1935" s="12">
        <v>1858060.0</v>
      </c>
      <c r="D1935" s="2"/>
      <c r="E1935" s="2" t="s">
        <v>38</v>
      </c>
      <c r="F1935" s="2" t="s">
        <v>39</v>
      </c>
      <c r="G1935" s="2"/>
      <c r="H1935" s="12">
        <v>0.0</v>
      </c>
      <c r="I1935" s="2" t="s">
        <v>40</v>
      </c>
      <c r="J1935" s="2"/>
      <c r="K1935" s="2" t="s">
        <v>5175</v>
      </c>
      <c r="L1935" s="12">
        <v>77.0</v>
      </c>
      <c r="M1935" s="2" t="s">
        <v>5176</v>
      </c>
      <c r="N1935" s="2" t="str">
        <f>IFERROR(__xludf.DUMMYFUNCTION("""COMPUTED_VALUE"""),"")</f>
        <v/>
      </c>
    </row>
    <row r="1936">
      <c r="A1936" s="2" t="s">
        <v>33</v>
      </c>
      <c r="B1936" s="12">
        <v>1858074.0</v>
      </c>
      <c r="C1936" s="12">
        <v>1858460.0</v>
      </c>
      <c r="D1936" s="2"/>
      <c r="E1936" s="2" t="s">
        <v>38</v>
      </c>
      <c r="F1936" s="2" t="s">
        <v>39</v>
      </c>
      <c r="G1936" s="2"/>
      <c r="H1936" s="12">
        <v>0.0</v>
      </c>
      <c r="I1936" s="2" t="s">
        <v>40</v>
      </c>
      <c r="J1936" s="2"/>
      <c r="K1936" s="2" t="s">
        <v>5177</v>
      </c>
      <c r="L1936" s="12">
        <v>128.0</v>
      </c>
      <c r="M1936" s="2" t="s">
        <v>5178</v>
      </c>
      <c r="N1936" s="2" t="str">
        <f>IFERROR(__xludf.DUMMYFUNCTION("""COMPUTED_VALUE"""),"")</f>
        <v/>
      </c>
    </row>
    <row r="1937">
      <c r="A1937" s="2" t="s">
        <v>33</v>
      </c>
      <c r="B1937" s="12">
        <v>1858787.0</v>
      </c>
      <c r="C1937" s="12">
        <v>1859599.0</v>
      </c>
      <c r="D1937" s="2"/>
      <c r="E1937" s="2" t="s">
        <v>38</v>
      </c>
      <c r="F1937" s="2" t="s">
        <v>5179</v>
      </c>
      <c r="G1937" s="2" t="s">
        <v>5180</v>
      </c>
      <c r="H1937" s="12">
        <v>0.0</v>
      </c>
      <c r="I1937" s="2" t="s">
        <v>40</v>
      </c>
      <c r="J1937" s="2"/>
      <c r="K1937" s="2" t="s">
        <v>5181</v>
      </c>
      <c r="L1937" s="12">
        <v>270.0</v>
      </c>
      <c r="M1937" s="2" t="s">
        <v>5182</v>
      </c>
      <c r="N1937" s="2" t="str">
        <f>IFERROR(__xludf.DUMMYFUNCTION("""COMPUTED_VALUE"""),"")</f>
        <v/>
      </c>
    </row>
    <row r="1938">
      <c r="A1938" s="2" t="s">
        <v>33</v>
      </c>
      <c r="B1938" s="12">
        <v>1859615.0</v>
      </c>
      <c r="C1938" s="12">
        <v>1860634.0</v>
      </c>
      <c r="D1938" s="2"/>
      <c r="E1938" s="2" t="s">
        <v>38</v>
      </c>
      <c r="F1938" s="2" t="s">
        <v>5183</v>
      </c>
      <c r="G1938" s="2" t="s">
        <v>5184</v>
      </c>
      <c r="H1938" s="12">
        <v>0.0</v>
      </c>
      <c r="I1938" s="2" t="s">
        <v>40</v>
      </c>
      <c r="J1938" s="2"/>
      <c r="K1938" s="2" t="s">
        <v>5185</v>
      </c>
      <c r="L1938" s="12">
        <v>339.0</v>
      </c>
      <c r="M1938" s="2" t="s">
        <v>5186</v>
      </c>
      <c r="N1938" s="2" t="str">
        <f>IFERROR(__xludf.DUMMYFUNCTION("""COMPUTED_VALUE"""),"")</f>
        <v/>
      </c>
    </row>
    <row r="1939">
      <c r="A1939" s="2" t="s">
        <v>33</v>
      </c>
      <c r="B1939" s="12">
        <v>1860627.0</v>
      </c>
      <c r="C1939" s="12">
        <v>1861397.0</v>
      </c>
      <c r="D1939" s="2"/>
      <c r="E1939" s="2" t="s">
        <v>38</v>
      </c>
      <c r="F1939" s="2" t="s">
        <v>5187</v>
      </c>
      <c r="G1939" s="2" t="s">
        <v>5188</v>
      </c>
      <c r="H1939" s="12">
        <v>0.0</v>
      </c>
      <c r="I1939" s="2" t="s">
        <v>40</v>
      </c>
      <c r="J1939" s="2"/>
      <c r="K1939" s="2" t="s">
        <v>5189</v>
      </c>
      <c r="L1939" s="12">
        <v>256.0</v>
      </c>
      <c r="M1939" s="2" t="s">
        <v>5190</v>
      </c>
      <c r="N1939" s="2" t="str">
        <f>IFERROR(__xludf.DUMMYFUNCTION("""COMPUTED_VALUE"""),"")</f>
        <v/>
      </c>
    </row>
    <row r="1940">
      <c r="A1940" s="2" t="s">
        <v>33</v>
      </c>
      <c r="B1940" s="12">
        <v>1861400.0</v>
      </c>
      <c r="C1940" s="12">
        <v>1861603.0</v>
      </c>
      <c r="D1940" s="2"/>
      <c r="E1940" s="2" t="s">
        <v>38</v>
      </c>
      <c r="F1940" s="2" t="s">
        <v>5191</v>
      </c>
      <c r="G1940" s="2" t="s">
        <v>5192</v>
      </c>
      <c r="H1940" s="12">
        <v>0.0</v>
      </c>
      <c r="I1940" s="2" t="s">
        <v>40</v>
      </c>
      <c r="J1940" s="2"/>
      <c r="K1940" s="2" t="s">
        <v>5193</v>
      </c>
      <c r="L1940" s="12">
        <v>67.0</v>
      </c>
      <c r="M1940" s="2" t="s">
        <v>5194</v>
      </c>
      <c r="N1940" s="2" t="str">
        <f>IFERROR(__xludf.DUMMYFUNCTION("""COMPUTED_VALUE"""),"")</f>
        <v/>
      </c>
    </row>
    <row r="1941">
      <c r="A1941" s="2" t="s">
        <v>33</v>
      </c>
      <c r="B1941" s="12">
        <v>1861619.0</v>
      </c>
      <c r="C1941" s="12">
        <v>1862728.0</v>
      </c>
      <c r="D1941" s="2"/>
      <c r="E1941" s="2" t="s">
        <v>38</v>
      </c>
      <c r="F1941" s="2" t="s">
        <v>5195</v>
      </c>
      <c r="G1941" s="2" t="s">
        <v>5196</v>
      </c>
      <c r="H1941" s="12">
        <v>0.0</v>
      </c>
      <c r="I1941" s="2" t="s">
        <v>40</v>
      </c>
      <c r="J1941" s="2"/>
      <c r="K1941" s="2" t="s">
        <v>5197</v>
      </c>
      <c r="L1941" s="12">
        <v>369.0</v>
      </c>
      <c r="M1941" s="2" t="s">
        <v>5198</v>
      </c>
      <c r="N1941" s="2" t="str">
        <f>IFERROR(__xludf.DUMMYFUNCTION("""COMPUTED_VALUE"""),"")</f>
        <v/>
      </c>
    </row>
    <row r="1942">
      <c r="A1942" s="2" t="s">
        <v>33</v>
      </c>
      <c r="B1942" s="12">
        <v>1862721.0</v>
      </c>
      <c r="C1942" s="12">
        <v>1863341.0</v>
      </c>
      <c r="D1942" s="2"/>
      <c r="E1942" s="2" t="s">
        <v>38</v>
      </c>
      <c r="F1942" s="2" t="s">
        <v>5199</v>
      </c>
      <c r="G1942" s="2" t="s">
        <v>5200</v>
      </c>
      <c r="H1942" s="12">
        <v>0.0</v>
      </c>
      <c r="I1942" s="2" t="s">
        <v>40</v>
      </c>
      <c r="J1942" s="2"/>
      <c r="K1942" s="2" t="s">
        <v>5201</v>
      </c>
      <c r="L1942" s="12">
        <v>206.0</v>
      </c>
      <c r="M1942" s="2" t="s">
        <v>5202</v>
      </c>
      <c r="N1942" s="2" t="str">
        <f>IFERROR(__xludf.DUMMYFUNCTION("""COMPUTED_VALUE"""),"")</f>
        <v/>
      </c>
    </row>
    <row r="1943">
      <c r="A1943" s="2" t="s">
        <v>33</v>
      </c>
      <c r="B1943" s="12">
        <v>1863352.0</v>
      </c>
      <c r="C1943" s="12">
        <v>1864353.0</v>
      </c>
      <c r="D1943" s="2"/>
      <c r="E1943" s="2" t="s">
        <v>38</v>
      </c>
      <c r="F1943" s="2" t="s">
        <v>1113</v>
      </c>
      <c r="G1943" s="2"/>
      <c r="H1943" s="12">
        <v>0.0</v>
      </c>
      <c r="I1943" s="2" t="s">
        <v>40</v>
      </c>
      <c r="J1943" s="2"/>
      <c r="K1943" s="2" t="s">
        <v>5203</v>
      </c>
      <c r="L1943" s="12">
        <v>333.0</v>
      </c>
      <c r="M1943" s="2" t="s">
        <v>5204</v>
      </c>
      <c r="N1943" s="2" t="str">
        <f>IFERROR(__xludf.DUMMYFUNCTION("""COMPUTED_VALUE"""),"")</f>
        <v/>
      </c>
    </row>
    <row r="1944">
      <c r="A1944" s="2" t="s">
        <v>33</v>
      </c>
      <c r="B1944" s="12">
        <v>1864350.0</v>
      </c>
      <c r="C1944" s="12">
        <v>1865102.0</v>
      </c>
      <c r="D1944" s="2"/>
      <c r="E1944" s="2" t="s">
        <v>38</v>
      </c>
      <c r="F1944" s="2" t="s">
        <v>265</v>
      </c>
      <c r="G1944" s="2"/>
      <c r="H1944" s="12">
        <v>0.0</v>
      </c>
      <c r="I1944" s="2" t="s">
        <v>40</v>
      </c>
      <c r="J1944" s="2"/>
      <c r="K1944" s="2" t="s">
        <v>5205</v>
      </c>
      <c r="L1944" s="12">
        <v>250.0</v>
      </c>
      <c r="M1944" s="2" t="s">
        <v>5206</v>
      </c>
      <c r="N1944" s="2" t="str">
        <f>IFERROR(__xludf.DUMMYFUNCTION("""COMPUTED_VALUE"""),"")</f>
        <v/>
      </c>
    </row>
    <row r="1945">
      <c r="A1945" s="2" t="s">
        <v>33</v>
      </c>
      <c r="B1945" s="12">
        <v>1865102.0</v>
      </c>
      <c r="C1945" s="12">
        <v>1865851.0</v>
      </c>
      <c r="D1945" s="2"/>
      <c r="E1945" s="2" t="s">
        <v>38</v>
      </c>
      <c r="F1945" s="2" t="s">
        <v>432</v>
      </c>
      <c r="G1945" s="2"/>
      <c r="H1945" s="12">
        <v>0.0</v>
      </c>
      <c r="I1945" s="2" t="s">
        <v>40</v>
      </c>
      <c r="J1945" s="2"/>
      <c r="K1945" s="2" t="s">
        <v>5207</v>
      </c>
      <c r="L1945" s="12">
        <v>249.0</v>
      </c>
      <c r="M1945" s="2" t="s">
        <v>5208</v>
      </c>
      <c r="N1945" s="2" t="str">
        <f>IFERROR(__xludf.DUMMYFUNCTION("""COMPUTED_VALUE"""),"")</f>
        <v/>
      </c>
    </row>
    <row r="1946">
      <c r="A1946" s="2" t="s">
        <v>33</v>
      </c>
      <c r="B1946" s="12">
        <v>1865820.0</v>
      </c>
      <c r="C1946" s="12">
        <v>1866515.0</v>
      </c>
      <c r="D1946" s="2"/>
      <c r="E1946" s="2" t="s">
        <v>38</v>
      </c>
      <c r="F1946" s="2" t="s">
        <v>243</v>
      </c>
      <c r="G1946" s="2" t="s">
        <v>244</v>
      </c>
      <c r="H1946" s="12">
        <v>0.0</v>
      </c>
      <c r="I1946" s="2" t="s">
        <v>40</v>
      </c>
      <c r="J1946" s="2"/>
      <c r="K1946" s="2" t="s">
        <v>5209</v>
      </c>
      <c r="L1946" s="12">
        <v>231.0</v>
      </c>
      <c r="M1946" s="2" t="s">
        <v>5210</v>
      </c>
      <c r="N1946" s="2" t="str">
        <f>IFERROR(__xludf.DUMMYFUNCTION("""COMPUTED_VALUE"""),"")</f>
        <v/>
      </c>
    </row>
    <row r="1947">
      <c r="A1947" s="2" t="s">
        <v>33</v>
      </c>
      <c r="B1947" s="12">
        <v>1867146.0</v>
      </c>
      <c r="C1947" s="12">
        <v>1868300.0</v>
      </c>
      <c r="D1947" s="2"/>
      <c r="E1947" s="2" t="s">
        <v>34</v>
      </c>
      <c r="F1947" s="2" t="s">
        <v>450</v>
      </c>
      <c r="G1947" s="2"/>
      <c r="H1947" s="12">
        <v>0.0</v>
      </c>
      <c r="I1947" s="2" t="s">
        <v>40</v>
      </c>
      <c r="J1947" s="2"/>
      <c r="K1947" s="2" t="s">
        <v>5211</v>
      </c>
      <c r="L1947" s="12">
        <v>384.0</v>
      </c>
      <c r="M1947" s="2" t="s">
        <v>5212</v>
      </c>
      <c r="N1947" s="2" t="str">
        <f>IFERROR(__xludf.DUMMYFUNCTION("""COMPUTED_VALUE"""),"")</f>
        <v/>
      </c>
    </row>
    <row r="1948">
      <c r="A1948" s="2" t="s">
        <v>33</v>
      </c>
      <c r="B1948" s="12">
        <v>1868306.0</v>
      </c>
      <c r="C1948" s="12">
        <v>1868638.0</v>
      </c>
      <c r="D1948" s="2"/>
      <c r="E1948" s="2" t="s">
        <v>34</v>
      </c>
      <c r="F1948" s="2" t="s">
        <v>39</v>
      </c>
      <c r="G1948" s="2"/>
      <c r="H1948" s="12">
        <v>0.0</v>
      </c>
      <c r="I1948" s="2" t="s">
        <v>40</v>
      </c>
      <c r="J1948" s="2"/>
      <c r="K1948" s="2" t="s">
        <v>5213</v>
      </c>
      <c r="L1948" s="12">
        <v>110.0</v>
      </c>
      <c r="M1948" s="2" t="s">
        <v>5214</v>
      </c>
      <c r="N1948" s="2" t="str">
        <f>IFERROR(__xludf.DUMMYFUNCTION("""COMPUTED_VALUE"""),"")</f>
        <v/>
      </c>
    </row>
    <row r="1949">
      <c r="A1949" s="2" t="s">
        <v>33</v>
      </c>
      <c r="B1949" s="12">
        <v>1868879.0</v>
      </c>
      <c r="C1949" s="12">
        <v>1870030.0</v>
      </c>
      <c r="D1949" s="2"/>
      <c r="E1949" s="2" t="s">
        <v>38</v>
      </c>
      <c r="F1949" s="2" t="s">
        <v>5215</v>
      </c>
      <c r="G1949" s="2"/>
      <c r="H1949" s="12">
        <v>0.0</v>
      </c>
      <c r="I1949" s="2" t="s">
        <v>40</v>
      </c>
      <c r="J1949" s="2"/>
      <c r="K1949" s="2" t="s">
        <v>5216</v>
      </c>
      <c r="L1949" s="12">
        <v>383.0</v>
      </c>
      <c r="M1949" s="2" t="s">
        <v>5217</v>
      </c>
      <c r="N1949" s="2" t="str">
        <f>IFERROR(__xludf.DUMMYFUNCTION("""COMPUTED_VALUE"""),"")</f>
        <v/>
      </c>
    </row>
    <row r="1950">
      <c r="A1950" s="2" t="s">
        <v>33</v>
      </c>
      <c r="B1950" s="12">
        <v>1870352.0</v>
      </c>
      <c r="C1950" s="12">
        <v>1870771.0</v>
      </c>
      <c r="D1950" s="2"/>
      <c r="E1950" s="2" t="s">
        <v>38</v>
      </c>
      <c r="F1950" s="2" t="s">
        <v>5218</v>
      </c>
      <c r="G1950" s="2"/>
      <c r="H1950" s="12">
        <v>0.0</v>
      </c>
      <c r="I1950" s="2" t="s">
        <v>40</v>
      </c>
      <c r="J1950" s="2"/>
      <c r="K1950" s="2" t="s">
        <v>5219</v>
      </c>
      <c r="L1950" s="12">
        <v>139.0</v>
      </c>
      <c r="M1950" s="2" t="s">
        <v>5220</v>
      </c>
      <c r="N1950" s="2" t="str">
        <f>IFERROR(__xludf.DUMMYFUNCTION("""COMPUTED_VALUE"""),"")</f>
        <v/>
      </c>
    </row>
    <row r="1951">
      <c r="A1951" s="2" t="s">
        <v>33</v>
      </c>
      <c r="B1951" s="12">
        <v>1870900.0</v>
      </c>
      <c r="C1951" s="12">
        <v>1870971.0</v>
      </c>
      <c r="D1951" s="2"/>
      <c r="E1951" s="2" t="s">
        <v>38</v>
      </c>
      <c r="F1951" s="2" t="s">
        <v>5221</v>
      </c>
      <c r="G1951" s="2"/>
      <c r="H1951" s="12">
        <v>0.0</v>
      </c>
      <c r="I1951" s="2" t="s">
        <v>3783</v>
      </c>
      <c r="J1951" s="2"/>
      <c r="K1951" s="2"/>
      <c r="L1951" s="2"/>
      <c r="M1951" s="2" t="s">
        <v>5222</v>
      </c>
      <c r="N1951" s="2" t="str">
        <f>IFERROR(__xludf.DUMMYFUNCTION("""COMPUTED_VALUE"""),"")</f>
        <v/>
      </c>
    </row>
    <row r="1952">
      <c r="A1952" s="2" t="s">
        <v>33</v>
      </c>
      <c r="B1952" s="12">
        <v>1870973.0</v>
      </c>
      <c r="C1952" s="12">
        <v>1871047.0</v>
      </c>
      <c r="D1952" s="2"/>
      <c r="E1952" s="2" t="s">
        <v>38</v>
      </c>
      <c r="F1952" s="2" t="s">
        <v>5223</v>
      </c>
      <c r="G1952" s="2"/>
      <c r="H1952" s="12">
        <v>0.0</v>
      </c>
      <c r="I1952" s="2" t="s">
        <v>3783</v>
      </c>
      <c r="J1952" s="2"/>
      <c r="K1952" s="2"/>
      <c r="L1952" s="2"/>
      <c r="M1952" s="2" t="s">
        <v>5224</v>
      </c>
      <c r="N1952" s="2" t="str">
        <f>IFERROR(__xludf.DUMMYFUNCTION("""COMPUTED_VALUE"""),"")</f>
        <v/>
      </c>
    </row>
    <row r="1953">
      <c r="A1953" s="2" t="s">
        <v>33</v>
      </c>
      <c r="B1953" s="12">
        <v>1871056.0</v>
      </c>
      <c r="C1953" s="12">
        <v>1871132.0</v>
      </c>
      <c r="D1953" s="2"/>
      <c r="E1953" s="2" t="s">
        <v>38</v>
      </c>
      <c r="F1953" s="2" t="s">
        <v>5225</v>
      </c>
      <c r="G1953" s="2"/>
      <c r="H1953" s="12">
        <v>0.0</v>
      </c>
      <c r="I1953" s="2" t="s">
        <v>3783</v>
      </c>
      <c r="J1953" s="2"/>
      <c r="K1953" s="2"/>
      <c r="L1953" s="2"/>
      <c r="M1953" s="2" t="s">
        <v>5226</v>
      </c>
      <c r="N1953" s="2" t="str">
        <f>IFERROR(__xludf.DUMMYFUNCTION("""COMPUTED_VALUE"""),"")</f>
        <v/>
      </c>
    </row>
    <row r="1954">
      <c r="A1954" s="2" t="s">
        <v>33</v>
      </c>
      <c r="B1954" s="12">
        <v>1871143.0</v>
      </c>
      <c r="C1954" s="12">
        <v>1871213.0</v>
      </c>
      <c r="D1954" s="2"/>
      <c r="E1954" s="2" t="s">
        <v>38</v>
      </c>
      <c r="F1954" s="2" t="s">
        <v>5227</v>
      </c>
      <c r="G1954" s="2"/>
      <c r="H1954" s="12">
        <v>0.0</v>
      </c>
      <c r="I1954" s="2" t="s">
        <v>3783</v>
      </c>
      <c r="J1954" s="2"/>
      <c r="K1954" s="2"/>
      <c r="L1954" s="2"/>
      <c r="M1954" s="2" t="s">
        <v>5228</v>
      </c>
      <c r="N1954" s="2" t="str">
        <f>IFERROR(__xludf.DUMMYFUNCTION("""COMPUTED_VALUE"""),"")</f>
        <v/>
      </c>
    </row>
    <row r="1955">
      <c r="A1955" s="2" t="s">
        <v>33</v>
      </c>
      <c r="B1955" s="12">
        <v>1871220.0</v>
      </c>
      <c r="C1955" s="12">
        <v>1871292.0</v>
      </c>
      <c r="D1955" s="2"/>
      <c r="E1955" s="2" t="s">
        <v>38</v>
      </c>
      <c r="F1955" s="2" t="s">
        <v>5229</v>
      </c>
      <c r="G1955" s="2"/>
      <c r="H1955" s="12">
        <v>0.0</v>
      </c>
      <c r="I1955" s="2" t="s">
        <v>3783</v>
      </c>
      <c r="J1955" s="2"/>
      <c r="K1955" s="2"/>
      <c r="L1955" s="2"/>
      <c r="M1955" s="2" t="s">
        <v>5230</v>
      </c>
      <c r="N1955" s="2" t="str">
        <f>IFERROR(__xludf.DUMMYFUNCTION("""COMPUTED_VALUE"""),"")</f>
        <v/>
      </c>
    </row>
    <row r="1956">
      <c r="A1956" s="2" t="s">
        <v>33</v>
      </c>
      <c r="B1956" s="12">
        <v>1871302.0</v>
      </c>
      <c r="C1956" s="12">
        <v>1871377.0</v>
      </c>
      <c r="D1956" s="2"/>
      <c r="E1956" s="2" t="s">
        <v>38</v>
      </c>
      <c r="F1956" s="2" t="s">
        <v>5231</v>
      </c>
      <c r="G1956" s="2"/>
      <c r="H1956" s="12">
        <v>0.0</v>
      </c>
      <c r="I1956" s="2" t="s">
        <v>3783</v>
      </c>
      <c r="J1956" s="2"/>
      <c r="K1956" s="2"/>
      <c r="L1956" s="2"/>
      <c r="M1956" s="2" t="s">
        <v>5232</v>
      </c>
      <c r="N1956" s="2" t="str">
        <f>IFERROR(__xludf.DUMMYFUNCTION("""COMPUTED_VALUE"""),"")</f>
        <v/>
      </c>
    </row>
    <row r="1957">
      <c r="A1957" s="2" t="s">
        <v>33</v>
      </c>
      <c r="B1957" s="12">
        <v>1871386.0</v>
      </c>
      <c r="C1957" s="12">
        <v>1871461.0</v>
      </c>
      <c r="D1957" s="2"/>
      <c r="E1957" s="2" t="s">
        <v>38</v>
      </c>
      <c r="F1957" s="2" t="s">
        <v>5233</v>
      </c>
      <c r="G1957" s="2"/>
      <c r="H1957" s="12">
        <v>0.0</v>
      </c>
      <c r="I1957" s="2" t="s">
        <v>3783</v>
      </c>
      <c r="J1957" s="2"/>
      <c r="K1957" s="2"/>
      <c r="L1957" s="2"/>
      <c r="M1957" s="2" t="s">
        <v>5234</v>
      </c>
      <c r="N1957" s="2" t="str">
        <f>IFERROR(__xludf.DUMMYFUNCTION("""COMPUTED_VALUE"""),"")</f>
        <v/>
      </c>
    </row>
    <row r="1958">
      <c r="A1958" s="2" t="s">
        <v>33</v>
      </c>
      <c r="B1958" s="12">
        <v>1871465.0</v>
      </c>
      <c r="C1958" s="12">
        <v>1871541.0</v>
      </c>
      <c r="D1958" s="2"/>
      <c r="E1958" s="2" t="s">
        <v>38</v>
      </c>
      <c r="F1958" s="2" t="s">
        <v>5235</v>
      </c>
      <c r="G1958" s="2"/>
      <c r="H1958" s="12">
        <v>0.0</v>
      </c>
      <c r="I1958" s="2" t="s">
        <v>3783</v>
      </c>
      <c r="J1958" s="2"/>
      <c r="K1958" s="2"/>
      <c r="L1958" s="2"/>
      <c r="M1958" s="2" t="s">
        <v>5236</v>
      </c>
      <c r="N1958" s="2" t="str">
        <f>IFERROR(__xludf.DUMMYFUNCTION("""COMPUTED_VALUE"""),"")</f>
        <v/>
      </c>
    </row>
    <row r="1959">
      <c r="A1959" s="2" t="s">
        <v>33</v>
      </c>
      <c r="B1959" s="12">
        <v>1871562.0</v>
      </c>
      <c r="C1959" s="12">
        <v>1871654.0</v>
      </c>
      <c r="D1959" s="2"/>
      <c r="E1959" s="2" t="s">
        <v>38</v>
      </c>
      <c r="F1959" s="2" t="s">
        <v>5237</v>
      </c>
      <c r="G1959" s="2"/>
      <c r="H1959" s="12">
        <v>0.0</v>
      </c>
      <c r="I1959" s="2" t="s">
        <v>3783</v>
      </c>
      <c r="J1959" s="2"/>
      <c r="K1959" s="2"/>
      <c r="L1959" s="2"/>
      <c r="M1959" s="2" t="s">
        <v>5238</v>
      </c>
      <c r="N1959" s="2" t="str">
        <f>IFERROR(__xludf.DUMMYFUNCTION("""COMPUTED_VALUE"""),"")</f>
        <v/>
      </c>
    </row>
    <row r="1960">
      <c r="A1960" s="2" t="s">
        <v>33</v>
      </c>
      <c r="B1960" s="12">
        <v>1871710.0</v>
      </c>
      <c r="C1960" s="12">
        <v>1871802.0</v>
      </c>
      <c r="D1960" s="2"/>
      <c r="E1960" s="2" t="s">
        <v>38</v>
      </c>
      <c r="F1960" s="2" t="s">
        <v>5237</v>
      </c>
      <c r="G1960" s="2"/>
      <c r="H1960" s="12">
        <v>0.0</v>
      </c>
      <c r="I1960" s="2" t="s">
        <v>3783</v>
      </c>
      <c r="J1960" s="2"/>
      <c r="K1960" s="2"/>
      <c r="L1960" s="2"/>
      <c r="M1960" s="2" t="s">
        <v>5239</v>
      </c>
      <c r="N1960" s="2" t="str">
        <f>IFERROR(__xludf.DUMMYFUNCTION("""COMPUTED_VALUE"""),"")</f>
        <v/>
      </c>
    </row>
    <row r="1961">
      <c r="A1961" s="2" t="s">
        <v>33</v>
      </c>
      <c r="B1961" s="12">
        <v>1871823.0</v>
      </c>
      <c r="C1961" s="12">
        <v>1871895.0</v>
      </c>
      <c r="D1961" s="2"/>
      <c r="E1961" s="2" t="s">
        <v>38</v>
      </c>
      <c r="F1961" s="2" t="s">
        <v>5240</v>
      </c>
      <c r="G1961" s="2"/>
      <c r="H1961" s="12">
        <v>0.0</v>
      </c>
      <c r="I1961" s="2" t="s">
        <v>3783</v>
      </c>
      <c r="J1961" s="2"/>
      <c r="K1961" s="2"/>
      <c r="L1961" s="2"/>
      <c r="M1961" s="2" t="s">
        <v>5241</v>
      </c>
      <c r="N1961" s="2" t="str">
        <f>IFERROR(__xludf.DUMMYFUNCTION("""COMPUTED_VALUE"""),"")</f>
        <v/>
      </c>
    </row>
    <row r="1962">
      <c r="A1962" s="2" t="s">
        <v>33</v>
      </c>
      <c r="B1962" s="12">
        <v>1871912.0</v>
      </c>
      <c r="C1962" s="12">
        <v>1871985.0</v>
      </c>
      <c r="D1962" s="2"/>
      <c r="E1962" s="2" t="s">
        <v>38</v>
      </c>
      <c r="F1962" s="2" t="s">
        <v>5242</v>
      </c>
      <c r="G1962" s="2"/>
      <c r="H1962" s="12">
        <v>0.0</v>
      </c>
      <c r="I1962" s="2" t="s">
        <v>3783</v>
      </c>
      <c r="J1962" s="2"/>
      <c r="K1962" s="2"/>
      <c r="L1962" s="2"/>
      <c r="M1962" s="2" t="s">
        <v>5243</v>
      </c>
      <c r="N1962" s="2" t="str">
        <f>IFERROR(__xludf.DUMMYFUNCTION("""COMPUTED_VALUE"""),"")</f>
        <v/>
      </c>
    </row>
    <row r="1963">
      <c r="A1963" s="2" t="s">
        <v>33</v>
      </c>
      <c r="B1963" s="12">
        <v>1871996.0</v>
      </c>
      <c r="C1963" s="12">
        <v>1872069.0</v>
      </c>
      <c r="D1963" s="2"/>
      <c r="E1963" s="2" t="s">
        <v>38</v>
      </c>
      <c r="F1963" s="2" t="s">
        <v>5244</v>
      </c>
      <c r="G1963" s="2"/>
      <c r="H1963" s="12">
        <v>0.0</v>
      </c>
      <c r="I1963" s="2" t="s">
        <v>3783</v>
      </c>
      <c r="J1963" s="2"/>
      <c r="K1963" s="2"/>
      <c r="L1963" s="2"/>
      <c r="M1963" s="2" t="s">
        <v>5245</v>
      </c>
      <c r="N1963" s="2" t="str">
        <f>IFERROR(__xludf.DUMMYFUNCTION("""COMPUTED_VALUE"""),"")</f>
        <v/>
      </c>
    </row>
    <row r="1964">
      <c r="A1964" s="2" t="s">
        <v>33</v>
      </c>
      <c r="B1964" s="12">
        <v>1872073.0</v>
      </c>
      <c r="C1964" s="12">
        <v>1872161.0</v>
      </c>
      <c r="D1964" s="2"/>
      <c r="E1964" s="2" t="s">
        <v>38</v>
      </c>
      <c r="F1964" s="2" t="s">
        <v>5246</v>
      </c>
      <c r="G1964" s="2"/>
      <c r="H1964" s="12">
        <v>0.0</v>
      </c>
      <c r="I1964" s="2" t="s">
        <v>3783</v>
      </c>
      <c r="J1964" s="2"/>
      <c r="K1964" s="2"/>
      <c r="L1964" s="2"/>
      <c r="M1964" s="2" t="s">
        <v>5247</v>
      </c>
      <c r="N1964" s="2" t="str">
        <f>IFERROR(__xludf.DUMMYFUNCTION("""COMPUTED_VALUE"""),"")</f>
        <v/>
      </c>
    </row>
    <row r="1965">
      <c r="A1965" s="2" t="s">
        <v>33</v>
      </c>
      <c r="B1965" s="12">
        <v>1872178.0</v>
      </c>
      <c r="C1965" s="12">
        <v>1872252.0</v>
      </c>
      <c r="D1965" s="2"/>
      <c r="E1965" s="2" t="s">
        <v>38</v>
      </c>
      <c r="F1965" s="2" t="s">
        <v>5248</v>
      </c>
      <c r="G1965" s="2"/>
      <c r="H1965" s="12">
        <v>0.0</v>
      </c>
      <c r="I1965" s="2" t="s">
        <v>3783</v>
      </c>
      <c r="J1965" s="2"/>
      <c r="K1965" s="2"/>
      <c r="L1965" s="2"/>
      <c r="M1965" s="2" t="s">
        <v>5249</v>
      </c>
      <c r="N1965" s="2" t="str">
        <f>IFERROR(__xludf.DUMMYFUNCTION("""COMPUTED_VALUE"""),"")</f>
        <v/>
      </c>
    </row>
    <row r="1966">
      <c r="A1966" s="2" t="s">
        <v>33</v>
      </c>
      <c r="B1966" s="12">
        <v>1872282.0</v>
      </c>
      <c r="C1966" s="12">
        <v>1872362.0</v>
      </c>
      <c r="D1966" s="2"/>
      <c r="E1966" s="2" t="s">
        <v>38</v>
      </c>
      <c r="F1966" s="2" t="s">
        <v>5246</v>
      </c>
      <c r="G1966" s="2"/>
      <c r="H1966" s="12">
        <v>0.0</v>
      </c>
      <c r="I1966" s="2" t="s">
        <v>3783</v>
      </c>
      <c r="J1966" s="2"/>
      <c r="K1966" s="2"/>
      <c r="L1966" s="2"/>
      <c r="M1966" s="2" t="s">
        <v>5250</v>
      </c>
      <c r="N1966" s="2" t="str">
        <f>IFERROR(__xludf.DUMMYFUNCTION("""COMPUTED_VALUE"""),"")</f>
        <v/>
      </c>
    </row>
    <row r="1967">
      <c r="A1967" s="2" t="s">
        <v>33</v>
      </c>
      <c r="B1967" s="12">
        <v>1872377.0</v>
      </c>
      <c r="C1967" s="12">
        <v>1872452.0</v>
      </c>
      <c r="D1967" s="2"/>
      <c r="E1967" s="2" t="s">
        <v>38</v>
      </c>
      <c r="F1967" s="2" t="s">
        <v>5251</v>
      </c>
      <c r="G1967" s="2"/>
      <c r="H1967" s="12">
        <v>0.0</v>
      </c>
      <c r="I1967" s="2" t="s">
        <v>3783</v>
      </c>
      <c r="J1967" s="2"/>
      <c r="K1967" s="2"/>
      <c r="L1967" s="2"/>
      <c r="M1967" s="2" t="s">
        <v>5252</v>
      </c>
      <c r="N1967" s="2" t="str">
        <f>IFERROR(__xludf.DUMMYFUNCTION("""COMPUTED_VALUE"""),"")</f>
        <v/>
      </c>
    </row>
    <row r="1968">
      <c r="A1968" s="2" t="s">
        <v>33</v>
      </c>
      <c r="B1968" s="12">
        <v>1872457.0</v>
      </c>
      <c r="C1968" s="12">
        <v>1872531.0</v>
      </c>
      <c r="D1968" s="2"/>
      <c r="E1968" s="2" t="s">
        <v>38</v>
      </c>
      <c r="F1968" s="2" t="s">
        <v>5253</v>
      </c>
      <c r="G1968" s="2"/>
      <c r="H1968" s="12">
        <v>0.0</v>
      </c>
      <c r="I1968" s="2" t="s">
        <v>3783</v>
      </c>
      <c r="J1968" s="2"/>
      <c r="K1968" s="2"/>
      <c r="L1968" s="2"/>
      <c r="M1968" s="2" t="s">
        <v>5254</v>
      </c>
      <c r="N1968" s="2" t="str">
        <f>IFERROR(__xludf.DUMMYFUNCTION("""COMPUTED_VALUE"""),"")</f>
        <v/>
      </c>
    </row>
    <row r="1969">
      <c r="A1969" s="2" t="s">
        <v>33</v>
      </c>
      <c r="B1969" s="12">
        <v>1872543.0</v>
      </c>
      <c r="C1969" s="12">
        <v>1872626.0</v>
      </c>
      <c r="D1969" s="2"/>
      <c r="E1969" s="2" t="s">
        <v>38</v>
      </c>
      <c r="F1969" s="2" t="s">
        <v>5255</v>
      </c>
      <c r="G1969" s="2"/>
      <c r="H1969" s="12">
        <v>0.0</v>
      </c>
      <c r="I1969" s="2" t="s">
        <v>3783</v>
      </c>
      <c r="J1969" s="2"/>
      <c r="K1969" s="2"/>
      <c r="L1969" s="2"/>
      <c r="M1969" s="2" t="s">
        <v>5256</v>
      </c>
      <c r="N1969" s="2" t="str">
        <f>IFERROR(__xludf.DUMMYFUNCTION("""COMPUTED_VALUE"""),"")</f>
        <v/>
      </c>
    </row>
    <row r="1970">
      <c r="A1970" s="2" t="s">
        <v>33</v>
      </c>
      <c r="B1970" s="12">
        <v>1872635.0</v>
      </c>
      <c r="C1970" s="12">
        <v>1872710.0</v>
      </c>
      <c r="D1970" s="2"/>
      <c r="E1970" s="2" t="s">
        <v>38</v>
      </c>
      <c r="F1970" s="2" t="s">
        <v>3782</v>
      </c>
      <c r="G1970" s="2"/>
      <c r="H1970" s="12">
        <v>0.0</v>
      </c>
      <c r="I1970" s="2" t="s">
        <v>3783</v>
      </c>
      <c r="J1970" s="2"/>
      <c r="K1970" s="2"/>
      <c r="L1970" s="2"/>
      <c r="M1970" s="2" t="s">
        <v>5257</v>
      </c>
      <c r="N1970" s="2" t="str">
        <f>IFERROR(__xludf.DUMMYFUNCTION("""COMPUTED_VALUE"""),"")</f>
        <v/>
      </c>
    </row>
    <row r="1971">
      <c r="A1971" s="2" t="s">
        <v>33</v>
      </c>
      <c r="B1971" s="12">
        <v>1872716.0</v>
      </c>
      <c r="C1971" s="12">
        <v>1872831.0</v>
      </c>
      <c r="D1971" s="2"/>
      <c r="E1971" s="2" t="s">
        <v>38</v>
      </c>
      <c r="F1971" s="2" t="s">
        <v>5258</v>
      </c>
      <c r="G1971" s="2" t="s">
        <v>5259</v>
      </c>
      <c r="H1971" s="12">
        <v>0.0</v>
      </c>
      <c r="I1971" s="2" t="s">
        <v>5260</v>
      </c>
      <c r="J1971" s="2"/>
      <c r="K1971" s="2"/>
      <c r="L1971" s="2"/>
      <c r="M1971" s="2" t="s">
        <v>5261</v>
      </c>
      <c r="N1971" s="2" t="str">
        <f>IFERROR(__xludf.DUMMYFUNCTION("""COMPUTED_VALUE"""),"")</f>
        <v/>
      </c>
    </row>
    <row r="1972">
      <c r="A1972" s="2" t="s">
        <v>33</v>
      </c>
      <c r="B1972" s="12">
        <v>1872934.0</v>
      </c>
      <c r="C1972" s="12">
        <v>1875855.0</v>
      </c>
      <c r="D1972" s="2"/>
      <c r="E1972" s="2" t="s">
        <v>38</v>
      </c>
      <c r="F1972" s="2" t="s">
        <v>5262</v>
      </c>
      <c r="G1972" s="2"/>
      <c r="H1972" s="12">
        <v>0.0</v>
      </c>
      <c r="I1972" s="2" t="s">
        <v>5260</v>
      </c>
      <c r="J1972" s="2"/>
      <c r="K1972" s="2"/>
      <c r="L1972" s="2"/>
      <c r="M1972" s="2" t="s">
        <v>5263</v>
      </c>
      <c r="N1972" s="2" t="str">
        <f>IFERROR(__xludf.DUMMYFUNCTION("""COMPUTED_VALUE"""),"")</f>
        <v/>
      </c>
    </row>
    <row r="1973">
      <c r="A1973" s="2" t="s">
        <v>33</v>
      </c>
      <c r="B1973" s="12">
        <v>1876000.0</v>
      </c>
      <c r="C1973" s="12">
        <v>1877551.0</v>
      </c>
      <c r="D1973" s="2"/>
      <c r="E1973" s="2" t="s">
        <v>38</v>
      </c>
      <c r="F1973" s="2" t="s">
        <v>5264</v>
      </c>
      <c r="G1973" s="2"/>
      <c r="H1973" s="12">
        <v>0.0</v>
      </c>
      <c r="I1973" s="2" t="s">
        <v>5260</v>
      </c>
      <c r="J1973" s="2"/>
      <c r="K1973" s="2"/>
      <c r="L1973" s="2"/>
      <c r="M1973" s="2" t="s">
        <v>5265</v>
      </c>
      <c r="N1973" s="2" t="str">
        <f>IFERROR(__xludf.DUMMYFUNCTION("""COMPUTED_VALUE"""),"")</f>
        <v/>
      </c>
    </row>
    <row r="1974">
      <c r="A1974" s="2" t="s">
        <v>33</v>
      </c>
      <c r="B1974" s="12">
        <v>1878212.0</v>
      </c>
      <c r="C1974" s="12">
        <v>1881256.0</v>
      </c>
      <c r="D1974" s="2"/>
      <c r="E1974" s="2" t="s">
        <v>34</v>
      </c>
      <c r="F1974" s="2" t="s">
        <v>5266</v>
      </c>
      <c r="G1974" s="2"/>
      <c r="H1974" s="12">
        <v>0.0</v>
      </c>
      <c r="I1974" s="2" t="s">
        <v>40</v>
      </c>
      <c r="J1974" s="2"/>
      <c r="K1974" s="2" t="s">
        <v>5267</v>
      </c>
      <c r="L1974" s="12">
        <v>1014.0</v>
      </c>
      <c r="M1974" s="2" t="s">
        <v>5268</v>
      </c>
      <c r="N1974" s="2" t="str">
        <f>IFERROR(__xludf.DUMMYFUNCTION("""COMPUTED_VALUE"""),"")</f>
        <v/>
      </c>
    </row>
    <row r="1975">
      <c r="A1975" s="2" t="s">
        <v>33</v>
      </c>
      <c r="B1975" s="12">
        <v>1881301.0</v>
      </c>
      <c r="C1975" s="12">
        <v>1881825.0</v>
      </c>
      <c r="D1975" s="2"/>
      <c r="E1975" s="2" t="s">
        <v>38</v>
      </c>
      <c r="F1975" s="2" t="s">
        <v>66</v>
      </c>
      <c r="G1975" s="2"/>
      <c r="H1975" s="12">
        <v>0.0</v>
      </c>
      <c r="I1975" s="2" t="s">
        <v>40</v>
      </c>
      <c r="J1975" s="2"/>
      <c r="K1975" s="2" t="s">
        <v>5269</v>
      </c>
      <c r="L1975" s="12">
        <v>174.0</v>
      </c>
      <c r="M1975" s="2" t="s">
        <v>5270</v>
      </c>
      <c r="N1975" s="2" t="str">
        <f>IFERROR(__xludf.DUMMYFUNCTION("""COMPUTED_VALUE"""),"")</f>
        <v/>
      </c>
    </row>
    <row r="1976">
      <c r="A1976" s="2" t="s">
        <v>33</v>
      </c>
      <c r="B1976" s="12">
        <v>1881961.0</v>
      </c>
      <c r="C1976" s="12">
        <v>1882881.0</v>
      </c>
      <c r="D1976" s="2"/>
      <c r="E1976" s="2" t="s">
        <v>38</v>
      </c>
      <c r="F1976" s="2" t="s">
        <v>5271</v>
      </c>
      <c r="G1976" s="2" t="s">
        <v>5272</v>
      </c>
      <c r="H1976" s="12">
        <v>0.0</v>
      </c>
      <c r="I1976" s="2" t="s">
        <v>40</v>
      </c>
      <c r="J1976" s="2"/>
      <c r="K1976" s="2" t="s">
        <v>5273</v>
      </c>
      <c r="L1976" s="12">
        <v>306.0</v>
      </c>
      <c r="M1976" s="2" t="s">
        <v>5274</v>
      </c>
      <c r="N1976" s="2" t="str">
        <f>IFERROR(__xludf.DUMMYFUNCTION("""COMPUTED_VALUE"""),"")</f>
        <v/>
      </c>
    </row>
    <row r="1977">
      <c r="A1977" s="2" t="s">
        <v>33</v>
      </c>
      <c r="B1977" s="12">
        <v>1882884.0</v>
      </c>
      <c r="C1977" s="12">
        <v>1883774.0</v>
      </c>
      <c r="D1977" s="2"/>
      <c r="E1977" s="2" t="s">
        <v>38</v>
      </c>
      <c r="F1977" s="2" t="s">
        <v>5275</v>
      </c>
      <c r="G1977" s="2" t="s">
        <v>5276</v>
      </c>
      <c r="H1977" s="12">
        <v>0.0</v>
      </c>
      <c r="I1977" s="2" t="s">
        <v>40</v>
      </c>
      <c r="J1977" s="2"/>
      <c r="K1977" s="2" t="s">
        <v>5277</v>
      </c>
      <c r="L1977" s="12">
        <v>296.0</v>
      </c>
      <c r="M1977" s="2" t="s">
        <v>5278</v>
      </c>
      <c r="N1977" s="2" t="str">
        <f>IFERROR(__xludf.DUMMYFUNCTION("""COMPUTED_VALUE"""),"")</f>
        <v/>
      </c>
    </row>
    <row r="1978">
      <c r="A1978" s="2" t="s">
        <v>33</v>
      </c>
      <c r="B1978" s="12">
        <v>1883846.0</v>
      </c>
      <c r="C1978" s="12">
        <v>1884748.0</v>
      </c>
      <c r="D1978" s="2"/>
      <c r="E1978" s="2" t="s">
        <v>38</v>
      </c>
      <c r="F1978" s="2" t="s">
        <v>5279</v>
      </c>
      <c r="G1978" s="2"/>
      <c r="H1978" s="12">
        <v>0.0</v>
      </c>
      <c r="I1978" s="2" t="s">
        <v>40</v>
      </c>
      <c r="J1978" s="2"/>
      <c r="K1978" s="2" t="s">
        <v>5280</v>
      </c>
      <c r="L1978" s="12">
        <v>300.0</v>
      </c>
      <c r="M1978" s="2" t="s">
        <v>5281</v>
      </c>
      <c r="N1978" s="2" t="str">
        <f>IFERROR(__xludf.DUMMYFUNCTION("""COMPUTED_VALUE"""),"")</f>
        <v/>
      </c>
    </row>
    <row r="1979">
      <c r="A1979" s="2" t="s">
        <v>33</v>
      </c>
      <c r="B1979" s="12">
        <v>1885258.0</v>
      </c>
      <c r="C1979" s="12">
        <v>1885515.0</v>
      </c>
      <c r="D1979" s="2"/>
      <c r="E1979" s="2" t="s">
        <v>34</v>
      </c>
      <c r="F1979" s="2" t="s">
        <v>5282</v>
      </c>
      <c r="G1979" s="2"/>
      <c r="H1979" s="12">
        <v>0.0</v>
      </c>
      <c r="I1979" s="2" t="s">
        <v>40</v>
      </c>
      <c r="J1979" s="2"/>
      <c r="K1979" s="2" t="s">
        <v>5283</v>
      </c>
      <c r="L1979" s="12">
        <v>85.0</v>
      </c>
      <c r="M1979" s="2" t="s">
        <v>5284</v>
      </c>
      <c r="N1979" s="2" t="str">
        <f>IFERROR(__xludf.DUMMYFUNCTION("""COMPUTED_VALUE"""),"")</f>
        <v/>
      </c>
    </row>
    <row r="1980">
      <c r="A1980" s="2" t="s">
        <v>33</v>
      </c>
      <c r="B1980" s="12">
        <v>1885512.0</v>
      </c>
      <c r="C1980" s="12">
        <v>1886234.0</v>
      </c>
      <c r="D1980" s="2"/>
      <c r="E1980" s="2" t="s">
        <v>34</v>
      </c>
      <c r="F1980" s="2" t="s">
        <v>5285</v>
      </c>
      <c r="G1980" s="2"/>
      <c r="H1980" s="12">
        <v>0.0</v>
      </c>
      <c r="I1980" s="2" t="s">
        <v>40</v>
      </c>
      <c r="J1980" s="2"/>
      <c r="K1980" s="2" t="s">
        <v>5286</v>
      </c>
      <c r="L1980" s="12">
        <v>240.0</v>
      </c>
      <c r="M1980" s="2" t="s">
        <v>5287</v>
      </c>
      <c r="N1980" s="2" t="str">
        <f>IFERROR(__xludf.DUMMYFUNCTION("""COMPUTED_VALUE"""),"")</f>
        <v/>
      </c>
    </row>
    <row r="1981">
      <c r="A1981" s="2" t="s">
        <v>33</v>
      </c>
      <c r="B1981" s="12">
        <v>1886212.0</v>
      </c>
      <c r="C1981" s="12">
        <v>1887612.0</v>
      </c>
      <c r="D1981" s="2"/>
      <c r="E1981" s="2" t="s">
        <v>34</v>
      </c>
      <c r="F1981" s="2" t="s">
        <v>5288</v>
      </c>
      <c r="G1981" s="2"/>
      <c r="H1981" s="12">
        <v>0.0</v>
      </c>
      <c r="I1981" s="2" t="s">
        <v>40</v>
      </c>
      <c r="J1981" s="2"/>
      <c r="K1981" s="2" t="s">
        <v>5289</v>
      </c>
      <c r="L1981" s="12">
        <v>466.0</v>
      </c>
      <c r="M1981" s="2" t="s">
        <v>5290</v>
      </c>
      <c r="N1981" s="2" t="str">
        <f>IFERROR(__xludf.DUMMYFUNCTION("""COMPUTED_VALUE"""),"")</f>
        <v/>
      </c>
    </row>
    <row r="1982">
      <c r="A1982" s="2" t="s">
        <v>33</v>
      </c>
      <c r="B1982" s="12">
        <v>1887675.0</v>
      </c>
      <c r="C1982" s="12">
        <v>1887812.0</v>
      </c>
      <c r="D1982" s="2"/>
      <c r="E1982" s="2" t="s">
        <v>38</v>
      </c>
      <c r="F1982" s="2" t="s">
        <v>39</v>
      </c>
      <c r="G1982" s="2"/>
      <c r="H1982" s="12">
        <v>0.0</v>
      </c>
      <c r="I1982" s="2" t="s">
        <v>40</v>
      </c>
      <c r="J1982" s="2"/>
      <c r="K1982" s="2" t="s">
        <v>5291</v>
      </c>
      <c r="L1982" s="12">
        <v>45.0</v>
      </c>
      <c r="M1982" s="2" t="s">
        <v>5292</v>
      </c>
      <c r="N1982" s="2" t="str">
        <f>IFERROR(__xludf.DUMMYFUNCTION("""COMPUTED_VALUE"""),"")</f>
        <v/>
      </c>
    </row>
    <row r="1983">
      <c r="A1983" s="2" t="s">
        <v>33</v>
      </c>
      <c r="B1983" s="12">
        <v>1887824.0</v>
      </c>
      <c r="C1983" s="12">
        <v>1888990.0</v>
      </c>
      <c r="D1983" s="2"/>
      <c r="E1983" s="2" t="s">
        <v>38</v>
      </c>
      <c r="F1983" s="2" t="s">
        <v>5293</v>
      </c>
      <c r="G1983" s="2" t="s">
        <v>5294</v>
      </c>
      <c r="H1983" s="12">
        <v>0.0</v>
      </c>
      <c r="I1983" s="2" t="s">
        <v>40</v>
      </c>
      <c r="J1983" s="2"/>
      <c r="K1983" s="2" t="s">
        <v>5295</v>
      </c>
      <c r="L1983" s="12">
        <v>388.0</v>
      </c>
      <c r="M1983" s="2" t="s">
        <v>5296</v>
      </c>
      <c r="N1983" s="2" t="str">
        <f>IFERROR(__xludf.DUMMYFUNCTION("""COMPUTED_VALUE"""),"")</f>
        <v/>
      </c>
    </row>
    <row r="1984">
      <c r="A1984" s="2" t="s">
        <v>33</v>
      </c>
      <c r="B1984" s="12">
        <v>1888974.0</v>
      </c>
      <c r="C1984" s="12">
        <v>1890098.0</v>
      </c>
      <c r="D1984" s="2"/>
      <c r="E1984" s="2" t="s">
        <v>38</v>
      </c>
      <c r="F1984" s="2" t="s">
        <v>5297</v>
      </c>
      <c r="G1984" s="2" t="s">
        <v>5298</v>
      </c>
      <c r="H1984" s="12">
        <v>0.0</v>
      </c>
      <c r="I1984" s="2" t="s">
        <v>40</v>
      </c>
      <c r="J1984" s="2"/>
      <c r="K1984" s="2" t="s">
        <v>5299</v>
      </c>
      <c r="L1984" s="12">
        <v>374.0</v>
      </c>
      <c r="M1984" s="2" t="s">
        <v>5300</v>
      </c>
      <c r="N1984" s="2" t="str">
        <f>IFERROR(__xludf.DUMMYFUNCTION("""COMPUTED_VALUE"""),"")</f>
        <v/>
      </c>
    </row>
    <row r="1985">
      <c r="A1985" s="2" t="s">
        <v>33</v>
      </c>
      <c r="B1985" s="12">
        <v>1890099.0</v>
      </c>
      <c r="C1985" s="12">
        <v>1891577.0</v>
      </c>
      <c r="D1985" s="2"/>
      <c r="E1985" s="2" t="s">
        <v>38</v>
      </c>
      <c r="F1985" s="2" t="s">
        <v>5301</v>
      </c>
      <c r="G1985" s="2" t="s">
        <v>5302</v>
      </c>
      <c r="H1985" s="12">
        <v>0.0</v>
      </c>
      <c r="I1985" s="2" t="s">
        <v>40</v>
      </c>
      <c r="J1985" s="2"/>
      <c r="K1985" s="2" t="s">
        <v>5303</v>
      </c>
      <c r="L1985" s="12">
        <v>492.0</v>
      </c>
      <c r="M1985" s="2" t="s">
        <v>5304</v>
      </c>
      <c r="N1985" s="2" t="str">
        <f>IFERROR(__xludf.DUMMYFUNCTION("""COMPUTED_VALUE"""),"")</f>
        <v/>
      </c>
    </row>
    <row r="1986">
      <c r="A1986" s="2" t="s">
        <v>33</v>
      </c>
      <c r="B1986" s="12">
        <v>1891800.0</v>
      </c>
      <c r="C1986" s="12">
        <v>1893272.0</v>
      </c>
      <c r="D1986" s="2"/>
      <c r="E1986" s="2" t="s">
        <v>38</v>
      </c>
      <c r="F1986" s="2" t="s">
        <v>5305</v>
      </c>
      <c r="G1986" s="2"/>
      <c r="H1986" s="12">
        <v>0.0</v>
      </c>
      <c r="I1986" s="2" t="s">
        <v>40</v>
      </c>
      <c r="J1986" s="2"/>
      <c r="K1986" s="2" t="s">
        <v>5306</v>
      </c>
      <c r="L1986" s="12">
        <v>490.0</v>
      </c>
      <c r="M1986" s="2" t="s">
        <v>5307</v>
      </c>
      <c r="N1986" s="2" t="str">
        <f>IFERROR(__xludf.DUMMYFUNCTION("""COMPUTED_VALUE"""),"")</f>
        <v/>
      </c>
    </row>
    <row r="1987">
      <c r="A1987" s="2" t="s">
        <v>33</v>
      </c>
      <c r="B1987" s="12">
        <v>1893269.0</v>
      </c>
      <c r="C1987" s="12">
        <v>1893466.0</v>
      </c>
      <c r="D1987" s="2"/>
      <c r="E1987" s="2" t="s">
        <v>38</v>
      </c>
      <c r="F1987" s="2" t="s">
        <v>5308</v>
      </c>
      <c r="G1987" s="2"/>
      <c r="H1987" s="12">
        <v>0.0</v>
      </c>
      <c r="I1987" s="2" t="s">
        <v>40</v>
      </c>
      <c r="J1987" s="2"/>
      <c r="K1987" s="2" t="s">
        <v>5309</v>
      </c>
      <c r="L1987" s="12">
        <v>65.0</v>
      </c>
      <c r="M1987" s="2" t="s">
        <v>5310</v>
      </c>
      <c r="N1987" s="2" t="str">
        <f>IFERROR(__xludf.DUMMYFUNCTION("""COMPUTED_VALUE"""),"")</f>
        <v/>
      </c>
    </row>
    <row r="1988">
      <c r="A1988" s="2" t="s">
        <v>33</v>
      </c>
      <c r="B1988" s="12">
        <v>1893468.0</v>
      </c>
      <c r="C1988" s="12">
        <v>1894643.0</v>
      </c>
      <c r="D1988" s="2"/>
      <c r="E1988" s="2" t="s">
        <v>38</v>
      </c>
      <c r="F1988" s="2" t="s">
        <v>5311</v>
      </c>
      <c r="G1988" s="2"/>
      <c r="H1988" s="12">
        <v>0.0</v>
      </c>
      <c r="I1988" s="2" t="s">
        <v>40</v>
      </c>
      <c r="J1988" s="2"/>
      <c r="K1988" s="2" t="s">
        <v>5312</v>
      </c>
      <c r="L1988" s="12">
        <v>391.0</v>
      </c>
      <c r="M1988" s="2" t="s">
        <v>5313</v>
      </c>
      <c r="N1988" s="2" t="str">
        <f>IFERROR(__xludf.DUMMYFUNCTION("""COMPUTED_VALUE"""),"")</f>
        <v/>
      </c>
    </row>
    <row r="1989">
      <c r="A1989" s="2" t="s">
        <v>33</v>
      </c>
      <c r="B1989" s="12">
        <v>1894776.0</v>
      </c>
      <c r="C1989" s="12">
        <v>1895486.0</v>
      </c>
      <c r="D1989" s="2"/>
      <c r="E1989" s="2" t="s">
        <v>38</v>
      </c>
      <c r="F1989" s="2" t="s">
        <v>5314</v>
      </c>
      <c r="G1989" s="2"/>
      <c r="H1989" s="12">
        <v>0.0</v>
      </c>
      <c r="I1989" s="2" t="s">
        <v>40</v>
      </c>
      <c r="J1989" s="2"/>
      <c r="K1989" s="2" t="s">
        <v>5315</v>
      </c>
      <c r="L1989" s="12">
        <v>236.0</v>
      </c>
      <c r="M1989" s="2" t="s">
        <v>5316</v>
      </c>
      <c r="N1989" s="2" t="str">
        <f>IFERROR(__xludf.DUMMYFUNCTION("""COMPUTED_VALUE"""),"")</f>
        <v/>
      </c>
    </row>
    <row r="1990">
      <c r="A1990" s="2" t="s">
        <v>33</v>
      </c>
      <c r="B1990" s="12">
        <v>1895863.0</v>
      </c>
      <c r="C1990" s="12">
        <v>1897278.0</v>
      </c>
      <c r="D1990" s="2"/>
      <c r="E1990" s="2" t="s">
        <v>34</v>
      </c>
      <c r="F1990" s="2" t="s">
        <v>4879</v>
      </c>
      <c r="G1990" s="2"/>
      <c r="H1990" s="12">
        <v>0.0</v>
      </c>
      <c r="I1990" s="2" t="s">
        <v>40</v>
      </c>
      <c r="J1990" s="2"/>
      <c r="K1990" s="2" t="s">
        <v>5317</v>
      </c>
      <c r="L1990" s="12">
        <v>471.0</v>
      </c>
      <c r="M1990" s="2" t="s">
        <v>5318</v>
      </c>
      <c r="N1990" s="2" t="str">
        <f>IFERROR(__xludf.DUMMYFUNCTION("""COMPUTED_VALUE"""),"")</f>
        <v/>
      </c>
    </row>
    <row r="1991">
      <c r="A1991" s="2" t="s">
        <v>33</v>
      </c>
      <c r="B1991" s="12">
        <v>1897561.0</v>
      </c>
      <c r="C1991" s="12">
        <v>1898436.0</v>
      </c>
      <c r="D1991" s="2"/>
      <c r="E1991" s="2" t="s">
        <v>34</v>
      </c>
      <c r="F1991" s="2" t="s">
        <v>5319</v>
      </c>
      <c r="G1991" s="2"/>
      <c r="H1991" s="12">
        <v>0.0</v>
      </c>
      <c r="I1991" s="2" t="s">
        <v>40</v>
      </c>
      <c r="J1991" s="2"/>
      <c r="K1991" s="2" t="s">
        <v>5320</v>
      </c>
      <c r="L1991" s="12">
        <v>291.0</v>
      </c>
      <c r="M1991" s="2" t="s">
        <v>5321</v>
      </c>
      <c r="N1991" s="2" t="str">
        <f>IFERROR(__xludf.DUMMYFUNCTION("""COMPUTED_VALUE"""),"")</f>
        <v/>
      </c>
    </row>
    <row r="1992">
      <c r="A1992" s="2" t="s">
        <v>33</v>
      </c>
      <c r="B1992" s="12">
        <v>1898470.0</v>
      </c>
      <c r="C1992" s="12">
        <v>1900404.0</v>
      </c>
      <c r="D1992" s="2"/>
      <c r="E1992" s="2" t="s">
        <v>34</v>
      </c>
      <c r="F1992" s="2" t="s">
        <v>5322</v>
      </c>
      <c r="G1992" s="2" t="s">
        <v>5323</v>
      </c>
      <c r="H1992" s="12">
        <v>0.0</v>
      </c>
      <c r="I1992" s="2" t="s">
        <v>40</v>
      </c>
      <c r="J1992" s="2"/>
      <c r="K1992" s="2" t="s">
        <v>5324</v>
      </c>
      <c r="L1992" s="12">
        <v>644.0</v>
      </c>
      <c r="M1992" s="2" t="s">
        <v>5325</v>
      </c>
      <c r="N1992" s="2" t="str">
        <f>IFERROR(__xludf.DUMMYFUNCTION("""COMPUTED_VALUE"""),"")</f>
        <v/>
      </c>
    </row>
    <row r="1993">
      <c r="A1993" s="2" t="s">
        <v>33</v>
      </c>
      <c r="B1993" s="12">
        <v>1900418.0</v>
      </c>
      <c r="C1993" s="12">
        <v>1901020.0</v>
      </c>
      <c r="D1993" s="2"/>
      <c r="E1993" s="2" t="s">
        <v>34</v>
      </c>
      <c r="F1993" s="2" t="s">
        <v>5326</v>
      </c>
      <c r="G1993" s="2" t="s">
        <v>5327</v>
      </c>
      <c r="H1993" s="12">
        <v>0.0</v>
      </c>
      <c r="I1993" s="2" t="s">
        <v>40</v>
      </c>
      <c r="J1993" s="2"/>
      <c r="K1993" s="2" t="s">
        <v>5328</v>
      </c>
      <c r="L1993" s="12">
        <v>200.0</v>
      </c>
      <c r="M1993" s="2" t="s">
        <v>5329</v>
      </c>
      <c r="N1993" s="2" t="str">
        <f>IFERROR(__xludf.DUMMYFUNCTION("""COMPUTED_VALUE"""),"")</f>
        <v/>
      </c>
    </row>
    <row r="1994">
      <c r="A1994" s="2" t="s">
        <v>33</v>
      </c>
      <c r="B1994" s="12">
        <v>1901021.0</v>
      </c>
      <c r="C1994" s="12">
        <v>1901332.0</v>
      </c>
      <c r="D1994" s="2"/>
      <c r="E1994" s="2" t="s">
        <v>34</v>
      </c>
      <c r="F1994" s="2" t="s">
        <v>5330</v>
      </c>
      <c r="G1994" s="2" t="s">
        <v>5331</v>
      </c>
      <c r="H1994" s="12">
        <v>0.0</v>
      </c>
      <c r="I1994" s="2" t="s">
        <v>40</v>
      </c>
      <c r="J1994" s="2"/>
      <c r="K1994" s="2" t="s">
        <v>5332</v>
      </c>
      <c r="L1994" s="12">
        <v>103.0</v>
      </c>
      <c r="M1994" s="2" t="s">
        <v>5333</v>
      </c>
      <c r="N1994" s="2" t="str">
        <f>IFERROR(__xludf.DUMMYFUNCTION("""COMPUTED_VALUE"""),"")</f>
        <v/>
      </c>
    </row>
    <row r="1995">
      <c r="A1995" s="2" t="s">
        <v>33</v>
      </c>
      <c r="B1995" s="12">
        <v>1901550.0</v>
      </c>
      <c r="C1995" s="12">
        <v>1903379.0</v>
      </c>
      <c r="D1995" s="2"/>
      <c r="E1995" s="2" t="s">
        <v>34</v>
      </c>
      <c r="F1995" s="2" t="s">
        <v>5334</v>
      </c>
      <c r="G1995" s="2"/>
      <c r="H1995" s="12">
        <v>0.0</v>
      </c>
      <c r="I1995" s="2" t="s">
        <v>40</v>
      </c>
      <c r="J1995" s="2"/>
      <c r="K1995" s="2" t="s">
        <v>5335</v>
      </c>
      <c r="L1995" s="12">
        <v>609.0</v>
      </c>
      <c r="M1995" s="2" t="s">
        <v>5336</v>
      </c>
      <c r="N1995" s="2" t="str">
        <f>IFERROR(__xludf.DUMMYFUNCTION("""COMPUTED_VALUE"""),"")</f>
        <v/>
      </c>
    </row>
    <row r="1996">
      <c r="A1996" s="2" t="s">
        <v>33</v>
      </c>
      <c r="B1996" s="12">
        <v>1903432.0</v>
      </c>
      <c r="C1996" s="12">
        <v>1903689.0</v>
      </c>
      <c r="D1996" s="2"/>
      <c r="E1996" s="2" t="s">
        <v>34</v>
      </c>
      <c r="F1996" s="2" t="s">
        <v>5337</v>
      </c>
      <c r="G1996" s="2"/>
      <c r="H1996" s="12">
        <v>0.0</v>
      </c>
      <c r="I1996" s="2" t="s">
        <v>40</v>
      </c>
      <c r="J1996" s="2"/>
      <c r="K1996" s="2" t="s">
        <v>5338</v>
      </c>
      <c r="L1996" s="12">
        <v>85.0</v>
      </c>
      <c r="M1996" s="2" t="s">
        <v>5339</v>
      </c>
      <c r="N1996" s="2" t="str">
        <f>IFERROR(__xludf.DUMMYFUNCTION("""COMPUTED_VALUE"""),"")</f>
        <v/>
      </c>
    </row>
    <row r="1997">
      <c r="A1997" s="2" t="s">
        <v>33</v>
      </c>
      <c r="B1997" s="12">
        <v>1903704.0</v>
      </c>
      <c r="C1997" s="12">
        <v>1904141.0</v>
      </c>
      <c r="D1997" s="2"/>
      <c r="E1997" s="2" t="s">
        <v>34</v>
      </c>
      <c r="F1997" s="2" t="s">
        <v>367</v>
      </c>
      <c r="G1997" s="2"/>
      <c r="H1997" s="12">
        <v>0.0</v>
      </c>
      <c r="I1997" s="2" t="s">
        <v>40</v>
      </c>
      <c r="J1997" s="2"/>
      <c r="K1997" s="2" t="s">
        <v>5340</v>
      </c>
      <c r="L1997" s="12">
        <v>145.0</v>
      </c>
      <c r="M1997" s="2" t="s">
        <v>5341</v>
      </c>
      <c r="N1997" s="2" t="str">
        <f>IFERROR(__xludf.DUMMYFUNCTION("""COMPUTED_VALUE"""),"")</f>
        <v/>
      </c>
    </row>
    <row r="1998">
      <c r="A1998" s="2" t="s">
        <v>33</v>
      </c>
      <c r="B1998" s="12">
        <v>1904181.0</v>
      </c>
      <c r="C1998" s="12">
        <v>1904609.0</v>
      </c>
      <c r="D1998" s="2"/>
      <c r="E1998" s="2" t="s">
        <v>38</v>
      </c>
      <c r="F1998" s="2" t="s">
        <v>39</v>
      </c>
      <c r="G1998" s="2"/>
      <c r="H1998" s="12">
        <v>0.0</v>
      </c>
      <c r="I1998" s="2" t="s">
        <v>40</v>
      </c>
      <c r="J1998" s="2"/>
      <c r="K1998" s="2" t="s">
        <v>5342</v>
      </c>
      <c r="L1998" s="12">
        <v>142.0</v>
      </c>
      <c r="M1998" s="2" t="s">
        <v>5343</v>
      </c>
      <c r="N1998" s="2" t="str">
        <f>IFERROR(__xludf.DUMMYFUNCTION("""COMPUTED_VALUE"""),"")</f>
        <v/>
      </c>
    </row>
    <row r="1999">
      <c r="A1999" s="2" t="s">
        <v>33</v>
      </c>
      <c r="B1999" s="12">
        <v>1904614.0</v>
      </c>
      <c r="C1999" s="12">
        <v>1904814.0</v>
      </c>
      <c r="D1999" s="2"/>
      <c r="E1999" s="2" t="s">
        <v>38</v>
      </c>
      <c r="F1999" s="2" t="s">
        <v>220</v>
      </c>
      <c r="G1999" s="2"/>
      <c r="H1999" s="12">
        <v>0.0</v>
      </c>
      <c r="I1999" s="2" t="s">
        <v>40</v>
      </c>
      <c r="J1999" s="2"/>
      <c r="K1999" s="2" t="s">
        <v>5344</v>
      </c>
      <c r="L1999" s="12">
        <v>66.0</v>
      </c>
      <c r="M1999" s="2" t="s">
        <v>5345</v>
      </c>
      <c r="N1999" s="2" t="str">
        <f>IFERROR(__xludf.DUMMYFUNCTION("""COMPUTED_VALUE"""),"")</f>
        <v/>
      </c>
    </row>
    <row r="2000">
      <c r="A2000" s="2" t="s">
        <v>33</v>
      </c>
      <c r="B2000" s="12">
        <v>1904946.0</v>
      </c>
      <c r="C2000" s="12">
        <v>1906238.0</v>
      </c>
      <c r="D2000" s="2"/>
      <c r="E2000" s="2" t="s">
        <v>38</v>
      </c>
      <c r="F2000" s="2" t="s">
        <v>5122</v>
      </c>
      <c r="G2000" s="2"/>
      <c r="H2000" s="12">
        <v>0.0</v>
      </c>
      <c r="I2000" s="2" t="s">
        <v>40</v>
      </c>
      <c r="J2000" s="2"/>
      <c r="K2000" s="2" t="s">
        <v>5346</v>
      </c>
      <c r="L2000" s="12">
        <v>430.0</v>
      </c>
      <c r="M2000" s="2" t="s">
        <v>5347</v>
      </c>
      <c r="N2000" s="2" t="str">
        <f>IFERROR(__xludf.DUMMYFUNCTION("""COMPUTED_VALUE"""),"")</f>
        <v/>
      </c>
    </row>
    <row r="2001">
      <c r="A2001" s="2" t="s">
        <v>33</v>
      </c>
      <c r="B2001" s="12">
        <v>1906520.0</v>
      </c>
      <c r="C2001" s="12">
        <v>1907911.0</v>
      </c>
      <c r="D2001" s="2"/>
      <c r="E2001" s="2" t="s">
        <v>34</v>
      </c>
      <c r="F2001" s="2" t="s">
        <v>4879</v>
      </c>
      <c r="G2001" s="2"/>
      <c r="H2001" s="12">
        <v>0.0</v>
      </c>
      <c r="I2001" s="2" t="s">
        <v>40</v>
      </c>
      <c r="J2001" s="2"/>
      <c r="K2001" s="2" t="s">
        <v>5348</v>
      </c>
      <c r="L2001" s="12">
        <v>463.0</v>
      </c>
      <c r="M2001" s="2" t="s">
        <v>5349</v>
      </c>
      <c r="N2001" s="2" t="str">
        <f>IFERROR(__xludf.DUMMYFUNCTION("""COMPUTED_VALUE"""),"")</f>
        <v/>
      </c>
    </row>
    <row r="2002">
      <c r="A2002" s="2" t="s">
        <v>33</v>
      </c>
      <c r="B2002" s="12">
        <v>1908093.0</v>
      </c>
      <c r="C2002" s="12">
        <v>1909640.0</v>
      </c>
      <c r="D2002" s="2"/>
      <c r="E2002" s="2" t="s">
        <v>34</v>
      </c>
      <c r="F2002" s="2" t="s">
        <v>39</v>
      </c>
      <c r="G2002" s="2"/>
      <c r="H2002" s="12">
        <v>0.0</v>
      </c>
      <c r="I2002" s="2" t="s">
        <v>40</v>
      </c>
      <c r="J2002" s="2"/>
      <c r="K2002" s="2" t="s">
        <v>5350</v>
      </c>
      <c r="L2002" s="12">
        <v>515.0</v>
      </c>
      <c r="M2002" s="2" t="s">
        <v>5351</v>
      </c>
      <c r="N2002" s="2" t="str">
        <f>IFERROR(__xludf.DUMMYFUNCTION("""COMPUTED_VALUE"""),"")</f>
        <v/>
      </c>
    </row>
    <row r="2003">
      <c r="A2003" s="2" t="s">
        <v>33</v>
      </c>
      <c r="B2003" s="12">
        <v>1909676.0</v>
      </c>
      <c r="C2003" s="12">
        <v>1911397.0</v>
      </c>
      <c r="D2003" s="2"/>
      <c r="E2003" s="2" t="s">
        <v>38</v>
      </c>
      <c r="F2003" s="2" t="s">
        <v>5352</v>
      </c>
      <c r="G2003" s="2"/>
      <c r="H2003" s="12">
        <v>0.0</v>
      </c>
      <c r="I2003" s="2" t="s">
        <v>40</v>
      </c>
      <c r="J2003" s="2"/>
      <c r="K2003" s="2" t="s">
        <v>5353</v>
      </c>
      <c r="L2003" s="12">
        <v>573.0</v>
      </c>
      <c r="M2003" s="2" t="s">
        <v>5354</v>
      </c>
      <c r="N2003" s="2" t="str">
        <f>IFERROR(__xludf.DUMMYFUNCTION("""COMPUTED_VALUE"""),"")</f>
        <v/>
      </c>
    </row>
    <row r="2004">
      <c r="A2004" s="2" t="s">
        <v>33</v>
      </c>
      <c r="B2004" s="12">
        <v>1911538.0</v>
      </c>
      <c r="C2004" s="12">
        <v>1912839.0</v>
      </c>
      <c r="D2004" s="2"/>
      <c r="E2004" s="2" t="s">
        <v>38</v>
      </c>
      <c r="F2004" s="2" t="s">
        <v>5355</v>
      </c>
      <c r="G2004" s="2" t="s">
        <v>5356</v>
      </c>
      <c r="H2004" s="12">
        <v>0.0</v>
      </c>
      <c r="I2004" s="2" t="s">
        <v>40</v>
      </c>
      <c r="J2004" s="2"/>
      <c r="K2004" s="2" t="s">
        <v>5357</v>
      </c>
      <c r="L2004" s="12">
        <v>433.0</v>
      </c>
      <c r="M2004" s="2" t="s">
        <v>5358</v>
      </c>
      <c r="N2004" s="2" t="str">
        <f>IFERROR(__xludf.DUMMYFUNCTION("""COMPUTED_VALUE"""),"")</f>
        <v/>
      </c>
    </row>
    <row r="2005">
      <c r="A2005" s="2" t="s">
        <v>33</v>
      </c>
      <c r="B2005" s="12">
        <v>1913092.0</v>
      </c>
      <c r="C2005" s="12">
        <v>1914477.0</v>
      </c>
      <c r="D2005" s="2"/>
      <c r="E2005" s="2" t="s">
        <v>34</v>
      </c>
      <c r="F2005" s="2" t="s">
        <v>5359</v>
      </c>
      <c r="G2005" s="2"/>
      <c r="H2005" s="12">
        <v>0.0</v>
      </c>
      <c r="I2005" s="2" t="s">
        <v>40</v>
      </c>
      <c r="J2005" s="2"/>
      <c r="K2005" s="2" t="s">
        <v>5360</v>
      </c>
      <c r="L2005" s="12">
        <v>461.0</v>
      </c>
      <c r="M2005" s="2" t="s">
        <v>5361</v>
      </c>
      <c r="N2005" s="2" t="str">
        <f>IFERROR(__xludf.DUMMYFUNCTION("""COMPUTED_VALUE"""),"")</f>
        <v/>
      </c>
    </row>
    <row r="2006">
      <c r="A2006" s="2" t="s">
        <v>33</v>
      </c>
      <c r="B2006" s="12">
        <v>1914508.0</v>
      </c>
      <c r="C2006" s="12">
        <v>1915629.0</v>
      </c>
      <c r="D2006" s="2"/>
      <c r="E2006" s="2" t="s">
        <v>38</v>
      </c>
      <c r="F2006" s="2" t="s">
        <v>5362</v>
      </c>
      <c r="G2006" s="2"/>
      <c r="H2006" s="12">
        <v>0.0</v>
      </c>
      <c r="I2006" s="2" t="s">
        <v>40</v>
      </c>
      <c r="J2006" s="2"/>
      <c r="K2006" s="2" t="s">
        <v>5363</v>
      </c>
      <c r="L2006" s="12">
        <v>373.0</v>
      </c>
      <c r="M2006" s="2" t="s">
        <v>5364</v>
      </c>
      <c r="N2006" s="2" t="str">
        <f>IFERROR(__xludf.DUMMYFUNCTION("""COMPUTED_VALUE"""),"")</f>
        <v/>
      </c>
    </row>
    <row r="2007">
      <c r="A2007" s="2" t="s">
        <v>33</v>
      </c>
      <c r="B2007" s="12">
        <v>1915770.0</v>
      </c>
      <c r="C2007" s="12">
        <v>1916402.0</v>
      </c>
      <c r="D2007" s="2"/>
      <c r="E2007" s="2" t="s">
        <v>38</v>
      </c>
      <c r="F2007" s="2" t="s">
        <v>5365</v>
      </c>
      <c r="G2007" s="2"/>
      <c r="H2007" s="12">
        <v>0.0</v>
      </c>
      <c r="I2007" s="2" t="s">
        <v>40</v>
      </c>
      <c r="J2007" s="2"/>
      <c r="K2007" s="2" t="s">
        <v>5366</v>
      </c>
      <c r="L2007" s="12">
        <v>210.0</v>
      </c>
      <c r="M2007" s="2" t="s">
        <v>5367</v>
      </c>
      <c r="N2007" s="2" t="str">
        <f>IFERROR(__xludf.DUMMYFUNCTION("""COMPUTED_VALUE"""),"")</f>
        <v/>
      </c>
    </row>
    <row r="2008">
      <c r="A2008" s="2" t="s">
        <v>33</v>
      </c>
      <c r="B2008" s="12">
        <v>1916520.0</v>
      </c>
      <c r="C2008" s="12">
        <v>1916993.0</v>
      </c>
      <c r="D2008" s="2"/>
      <c r="E2008" s="2" t="s">
        <v>38</v>
      </c>
      <c r="F2008" s="2" t="s">
        <v>39</v>
      </c>
      <c r="G2008" s="2"/>
      <c r="H2008" s="12">
        <v>0.0</v>
      </c>
      <c r="I2008" s="2" t="s">
        <v>40</v>
      </c>
      <c r="J2008" s="2"/>
      <c r="K2008" s="2" t="s">
        <v>5368</v>
      </c>
      <c r="L2008" s="12">
        <v>157.0</v>
      </c>
      <c r="M2008" s="2" t="s">
        <v>5369</v>
      </c>
      <c r="N2008" s="2" t="str">
        <f>IFERROR(__xludf.DUMMYFUNCTION("""COMPUTED_VALUE"""),"")</f>
        <v/>
      </c>
    </row>
    <row r="2009">
      <c r="A2009" s="2" t="s">
        <v>33</v>
      </c>
      <c r="B2009" s="12">
        <v>1916986.0</v>
      </c>
      <c r="C2009" s="12">
        <v>1917213.0</v>
      </c>
      <c r="D2009" s="2"/>
      <c r="E2009" s="2" t="s">
        <v>38</v>
      </c>
      <c r="F2009" s="2" t="s">
        <v>220</v>
      </c>
      <c r="G2009" s="2"/>
      <c r="H2009" s="12">
        <v>0.0</v>
      </c>
      <c r="I2009" s="2" t="s">
        <v>40</v>
      </c>
      <c r="J2009" s="2"/>
      <c r="K2009" s="2" t="s">
        <v>5370</v>
      </c>
      <c r="L2009" s="12">
        <v>75.0</v>
      </c>
      <c r="M2009" s="2" t="s">
        <v>5371</v>
      </c>
      <c r="N2009" s="2" t="str">
        <f>IFERROR(__xludf.DUMMYFUNCTION("""COMPUTED_VALUE"""),"")</f>
        <v/>
      </c>
    </row>
    <row r="2010">
      <c r="A2010" s="2" t="s">
        <v>33</v>
      </c>
      <c r="B2010" s="12">
        <v>1917317.0</v>
      </c>
      <c r="C2010" s="12">
        <v>1918609.0</v>
      </c>
      <c r="D2010" s="2"/>
      <c r="E2010" s="2" t="s">
        <v>38</v>
      </c>
      <c r="F2010" s="2" t="s">
        <v>5372</v>
      </c>
      <c r="G2010" s="2"/>
      <c r="H2010" s="12">
        <v>0.0</v>
      </c>
      <c r="I2010" s="2" t="s">
        <v>40</v>
      </c>
      <c r="J2010" s="2"/>
      <c r="K2010" s="2" t="s">
        <v>5373</v>
      </c>
      <c r="L2010" s="12">
        <v>430.0</v>
      </c>
      <c r="M2010" s="2" t="s">
        <v>5374</v>
      </c>
      <c r="N2010" s="2" t="str">
        <f>IFERROR(__xludf.DUMMYFUNCTION("""COMPUTED_VALUE"""),"")</f>
        <v/>
      </c>
    </row>
    <row r="2011">
      <c r="A2011" s="2" t="s">
        <v>33</v>
      </c>
      <c r="B2011" s="12">
        <v>1919094.0</v>
      </c>
      <c r="C2011" s="12">
        <v>1919771.0</v>
      </c>
      <c r="D2011" s="2"/>
      <c r="E2011" s="2" t="s">
        <v>34</v>
      </c>
      <c r="F2011" s="2" t="s">
        <v>1689</v>
      </c>
      <c r="G2011" s="2"/>
      <c r="H2011" s="12">
        <v>0.0</v>
      </c>
      <c r="I2011" s="2" t="s">
        <v>40</v>
      </c>
      <c r="J2011" s="2"/>
      <c r="K2011" s="2" t="s">
        <v>5375</v>
      </c>
      <c r="L2011" s="12">
        <v>225.0</v>
      </c>
      <c r="M2011" s="2" t="s">
        <v>5376</v>
      </c>
      <c r="N2011" s="2" t="str">
        <f>IFERROR(__xludf.DUMMYFUNCTION("""COMPUTED_VALUE"""),"")</f>
        <v/>
      </c>
    </row>
    <row r="2012">
      <c r="A2012" s="2" t="s">
        <v>33</v>
      </c>
      <c r="B2012" s="12">
        <v>1919908.0</v>
      </c>
      <c r="C2012" s="12">
        <v>1920720.0</v>
      </c>
      <c r="D2012" s="2"/>
      <c r="E2012" s="2" t="s">
        <v>34</v>
      </c>
      <c r="F2012" s="2" t="s">
        <v>5377</v>
      </c>
      <c r="G2012" s="2"/>
      <c r="H2012" s="12">
        <v>0.0</v>
      </c>
      <c r="I2012" s="2" t="s">
        <v>40</v>
      </c>
      <c r="J2012" s="2"/>
      <c r="K2012" s="2" t="s">
        <v>5378</v>
      </c>
      <c r="L2012" s="12">
        <v>270.0</v>
      </c>
      <c r="M2012" s="2" t="s">
        <v>5379</v>
      </c>
      <c r="N2012" s="2" t="str">
        <f>IFERROR(__xludf.DUMMYFUNCTION("""COMPUTED_VALUE"""),"")</f>
        <v/>
      </c>
    </row>
    <row r="2013">
      <c r="A2013" s="2" t="s">
        <v>33</v>
      </c>
      <c r="B2013" s="12">
        <v>1920900.0</v>
      </c>
      <c r="C2013" s="12">
        <v>1921187.0</v>
      </c>
      <c r="D2013" s="2"/>
      <c r="E2013" s="2" t="s">
        <v>34</v>
      </c>
      <c r="F2013" s="2" t="s">
        <v>39</v>
      </c>
      <c r="G2013" s="2"/>
      <c r="H2013" s="12">
        <v>0.0</v>
      </c>
      <c r="I2013" s="2" t="s">
        <v>40</v>
      </c>
      <c r="J2013" s="2"/>
      <c r="K2013" s="2" t="s">
        <v>5380</v>
      </c>
      <c r="L2013" s="12">
        <v>95.0</v>
      </c>
      <c r="M2013" s="2" t="s">
        <v>5381</v>
      </c>
      <c r="N2013" s="2" t="str">
        <f>IFERROR(__xludf.DUMMYFUNCTION("""COMPUTED_VALUE"""),"")</f>
        <v/>
      </c>
    </row>
    <row r="2014">
      <c r="A2014" s="2" t="s">
        <v>33</v>
      </c>
      <c r="B2014" s="12">
        <v>1921315.0</v>
      </c>
      <c r="C2014" s="12">
        <v>1921518.0</v>
      </c>
      <c r="D2014" s="2"/>
      <c r="E2014" s="2" t="s">
        <v>38</v>
      </c>
      <c r="F2014" s="2" t="s">
        <v>39</v>
      </c>
      <c r="G2014" s="2"/>
      <c r="H2014" s="12">
        <v>0.0</v>
      </c>
      <c r="I2014" s="2" t="s">
        <v>40</v>
      </c>
      <c r="J2014" s="2"/>
      <c r="K2014" s="2" t="s">
        <v>5382</v>
      </c>
      <c r="L2014" s="12">
        <v>67.0</v>
      </c>
      <c r="M2014" s="2" t="s">
        <v>5383</v>
      </c>
      <c r="N2014" s="2" t="str">
        <f>IFERROR(__xludf.DUMMYFUNCTION("""COMPUTED_VALUE"""),"")</f>
        <v/>
      </c>
    </row>
    <row r="2015">
      <c r="A2015" s="2" t="s">
        <v>33</v>
      </c>
      <c r="B2015" s="12">
        <v>1921690.0</v>
      </c>
      <c r="C2015" s="12">
        <v>1922841.0</v>
      </c>
      <c r="D2015" s="2"/>
      <c r="E2015" s="2" t="s">
        <v>34</v>
      </c>
      <c r="F2015" s="2" t="s">
        <v>4418</v>
      </c>
      <c r="G2015" s="2"/>
      <c r="H2015" s="12">
        <v>0.0</v>
      </c>
      <c r="I2015" s="2" t="s">
        <v>40</v>
      </c>
      <c r="J2015" s="2"/>
      <c r="K2015" s="2" t="s">
        <v>5384</v>
      </c>
      <c r="L2015" s="12">
        <v>383.0</v>
      </c>
      <c r="M2015" s="2" t="s">
        <v>5385</v>
      </c>
      <c r="N2015" s="2" t="str">
        <f>IFERROR(__xludf.DUMMYFUNCTION("""COMPUTED_VALUE"""),"")</f>
        <v/>
      </c>
    </row>
    <row r="2016">
      <c r="A2016" s="2" t="s">
        <v>33</v>
      </c>
      <c r="B2016" s="12">
        <v>1922895.0</v>
      </c>
      <c r="C2016" s="12">
        <v>1924211.0</v>
      </c>
      <c r="D2016" s="2"/>
      <c r="E2016" s="2" t="s">
        <v>38</v>
      </c>
      <c r="F2016" s="2" t="s">
        <v>5386</v>
      </c>
      <c r="G2016" s="2"/>
      <c r="H2016" s="12">
        <v>0.0</v>
      </c>
      <c r="I2016" s="2" t="s">
        <v>40</v>
      </c>
      <c r="J2016" s="2"/>
      <c r="K2016" s="2" t="s">
        <v>5387</v>
      </c>
      <c r="L2016" s="12">
        <v>438.0</v>
      </c>
      <c r="M2016" s="2" t="s">
        <v>5388</v>
      </c>
      <c r="N2016" s="2" t="str">
        <f>IFERROR(__xludf.DUMMYFUNCTION("""COMPUTED_VALUE"""),"")</f>
        <v/>
      </c>
    </row>
    <row r="2017">
      <c r="A2017" s="2" t="s">
        <v>33</v>
      </c>
      <c r="B2017" s="12">
        <v>1924199.0</v>
      </c>
      <c r="C2017" s="12">
        <v>1925371.0</v>
      </c>
      <c r="D2017" s="2"/>
      <c r="E2017" s="2" t="s">
        <v>38</v>
      </c>
      <c r="F2017" s="2" t="s">
        <v>5389</v>
      </c>
      <c r="G2017" s="2"/>
      <c r="H2017" s="12">
        <v>0.0</v>
      </c>
      <c r="I2017" s="2" t="s">
        <v>40</v>
      </c>
      <c r="J2017" s="2"/>
      <c r="K2017" s="2" t="s">
        <v>5390</v>
      </c>
      <c r="L2017" s="12">
        <v>390.0</v>
      </c>
      <c r="M2017" s="2" t="s">
        <v>5391</v>
      </c>
      <c r="N2017" s="2" t="str">
        <f>IFERROR(__xludf.DUMMYFUNCTION("""COMPUTED_VALUE"""),"")</f>
        <v/>
      </c>
    </row>
    <row r="2018">
      <c r="A2018" s="2" t="s">
        <v>33</v>
      </c>
      <c r="B2018" s="12">
        <v>1925479.0</v>
      </c>
      <c r="C2018" s="12">
        <v>1926480.0</v>
      </c>
      <c r="D2018" s="2"/>
      <c r="E2018" s="2" t="s">
        <v>38</v>
      </c>
      <c r="F2018" s="2" t="s">
        <v>5392</v>
      </c>
      <c r="G2018" s="2" t="s">
        <v>5393</v>
      </c>
      <c r="H2018" s="12">
        <v>0.0</v>
      </c>
      <c r="I2018" s="2" t="s">
        <v>40</v>
      </c>
      <c r="J2018" s="2"/>
      <c r="K2018" s="2" t="s">
        <v>5394</v>
      </c>
      <c r="L2018" s="12">
        <v>333.0</v>
      </c>
      <c r="M2018" s="2" t="s">
        <v>5395</v>
      </c>
      <c r="N2018" s="2" t="str">
        <f>IFERROR(__xludf.DUMMYFUNCTION("""COMPUTED_VALUE"""),"")</f>
        <v/>
      </c>
    </row>
    <row r="2019">
      <c r="A2019" s="2" t="s">
        <v>33</v>
      </c>
      <c r="B2019" s="12">
        <v>1926557.0</v>
      </c>
      <c r="C2019" s="12">
        <v>1927408.0</v>
      </c>
      <c r="D2019" s="2"/>
      <c r="E2019" s="2" t="s">
        <v>38</v>
      </c>
      <c r="F2019" s="2" t="s">
        <v>5396</v>
      </c>
      <c r="G2019" s="2" t="s">
        <v>5397</v>
      </c>
      <c r="H2019" s="12">
        <v>0.0</v>
      </c>
      <c r="I2019" s="2" t="s">
        <v>40</v>
      </c>
      <c r="J2019" s="2"/>
      <c r="K2019" s="2" t="s">
        <v>5398</v>
      </c>
      <c r="L2019" s="12">
        <v>283.0</v>
      </c>
      <c r="M2019" s="2" t="s">
        <v>5399</v>
      </c>
      <c r="N2019" s="2" t="str">
        <f>IFERROR(__xludf.DUMMYFUNCTION("""COMPUTED_VALUE"""),"")</f>
        <v/>
      </c>
    </row>
    <row r="2020">
      <c r="A2020" s="2" t="s">
        <v>33</v>
      </c>
      <c r="B2020" s="12">
        <v>1927662.0</v>
      </c>
      <c r="C2020" s="12">
        <v>1928006.0</v>
      </c>
      <c r="D2020" s="2"/>
      <c r="E2020" s="2" t="s">
        <v>38</v>
      </c>
      <c r="F2020" s="2" t="s">
        <v>5400</v>
      </c>
      <c r="G2020" s="2"/>
      <c r="H2020" s="12">
        <v>0.0</v>
      </c>
      <c r="I2020" s="2" t="s">
        <v>40</v>
      </c>
      <c r="J2020" s="2"/>
      <c r="K2020" s="2" t="s">
        <v>5401</v>
      </c>
      <c r="L2020" s="12">
        <v>114.0</v>
      </c>
      <c r="M2020" s="2" t="s">
        <v>5402</v>
      </c>
      <c r="N2020" s="2" t="str">
        <f>IFERROR(__xludf.DUMMYFUNCTION("""COMPUTED_VALUE"""),"")</f>
        <v/>
      </c>
    </row>
    <row r="2021">
      <c r="A2021" s="2" t="s">
        <v>33</v>
      </c>
      <c r="B2021" s="12">
        <v>1928126.0</v>
      </c>
      <c r="C2021" s="12">
        <v>1929178.0</v>
      </c>
      <c r="D2021" s="2"/>
      <c r="E2021" s="2" t="s">
        <v>38</v>
      </c>
      <c r="F2021" s="2" t="s">
        <v>5403</v>
      </c>
      <c r="G2021" s="2" t="s">
        <v>5404</v>
      </c>
      <c r="H2021" s="12">
        <v>0.0</v>
      </c>
      <c r="I2021" s="2" t="s">
        <v>40</v>
      </c>
      <c r="J2021" s="2"/>
      <c r="K2021" s="2" t="s">
        <v>5405</v>
      </c>
      <c r="L2021" s="12">
        <v>350.0</v>
      </c>
      <c r="M2021" s="2" t="s">
        <v>5406</v>
      </c>
      <c r="N2021" s="2" t="str">
        <f>IFERROR(__xludf.DUMMYFUNCTION("""COMPUTED_VALUE"""),"")</f>
        <v/>
      </c>
    </row>
    <row r="2022">
      <c r="A2022" s="2" t="s">
        <v>33</v>
      </c>
      <c r="B2022" s="12">
        <v>1929404.0</v>
      </c>
      <c r="C2022" s="12">
        <v>1930558.0</v>
      </c>
      <c r="D2022" s="2"/>
      <c r="E2022" s="2" t="s">
        <v>34</v>
      </c>
      <c r="F2022" s="2" t="s">
        <v>88</v>
      </c>
      <c r="G2022" s="2"/>
      <c r="H2022" s="12">
        <v>0.0</v>
      </c>
      <c r="I2022" s="2" t="s">
        <v>40</v>
      </c>
      <c r="J2022" s="2"/>
      <c r="K2022" s="2" t="s">
        <v>5407</v>
      </c>
      <c r="L2022" s="12">
        <v>384.0</v>
      </c>
      <c r="M2022" s="2" t="s">
        <v>5408</v>
      </c>
      <c r="N2022" s="2" t="str">
        <f>IFERROR(__xludf.DUMMYFUNCTION("""COMPUTED_VALUE"""),"")</f>
        <v/>
      </c>
    </row>
    <row r="2023">
      <c r="A2023" s="2" t="s">
        <v>33</v>
      </c>
      <c r="B2023" s="12">
        <v>1930479.0</v>
      </c>
      <c r="C2023" s="12">
        <v>1930787.0</v>
      </c>
      <c r="D2023" s="2"/>
      <c r="E2023" s="2" t="s">
        <v>38</v>
      </c>
      <c r="F2023" s="2" t="s">
        <v>35</v>
      </c>
      <c r="G2023" s="2"/>
      <c r="H2023" s="12">
        <v>0.0</v>
      </c>
      <c r="I2023" s="2" t="s">
        <v>36</v>
      </c>
      <c r="J2023" s="2"/>
      <c r="K2023" s="2"/>
      <c r="L2023" s="2"/>
      <c r="M2023" s="2" t="s">
        <v>5409</v>
      </c>
      <c r="N2023" s="2" t="str">
        <f>IFERROR(__xludf.DUMMYFUNCTION("""COMPUTED_VALUE"""),"")</f>
        <v/>
      </c>
    </row>
    <row r="2024">
      <c r="A2024" s="2" t="s">
        <v>33</v>
      </c>
      <c r="B2024" s="12">
        <v>1931217.0</v>
      </c>
      <c r="C2024" s="12">
        <v>1933616.0</v>
      </c>
      <c r="D2024" s="2"/>
      <c r="E2024" s="2" t="s">
        <v>38</v>
      </c>
      <c r="F2024" s="2" t="s">
        <v>5410</v>
      </c>
      <c r="G2024" s="2" t="s">
        <v>5411</v>
      </c>
      <c r="H2024" s="12">
        <v>0.0</v>
      </c>
      <c r="I2024" s="2" t="s">
        <v>40</v>
      </c>
      <c r="J2024" s="2"/>
      <c r="K2024" s="2" t="s">
        <v>5412</v>
      </c>
      <c r="L2024" s="12">
        <v>799.0</v>
      </c>
      <c r="M2024" s="2" t="s">
        <v>5413</v>
      </c>
      <c r="N2024" s="2" t="str">
        <f>IFERROR(__xludf.DUMMYFUNCTION("""COMPUTED_VALUE"""),"")</f>
        <v/>
      </c>
    </row>
    <row r="2025">
      <c r="A2025" s="2" t="s">
        <v>33</v>
      </c>
      <c r="B2025" s="12">
        <v>1933998.0</v>
      </c>
      <c r="C2025" s="12">
        <v>1934645.0</v>
      </c>
      <c r="D2025" s="2"/>
      <c r="E2025" s="2" t="s">
        <v>38</v>
      </c>
      <c r="F2025" s="2" t="s">
        <v>5414</v>
      </c>
      <c r="G2025" s="2" t="s">
        <v>5415</v>
      </c>
      <c r="H2025" s="12">
        <v>0.0</v>
      </c>
      <c r="I2025" s="2" t="s">
        <v>40</v>
      </c>
      <c r="J2025" s="2"/>
      <c r="K2025" s="2" t="s">
        <v>5416</v>
      </c>
      <c r="L2025" s="12">
        <v>215.0</v>
      </c>
      <c r="M2025" s="2" t="s">
        <v>5417</v>
      </c>
      <c r="N2025" s="2" t="str">
        <f>IFERROR(__xludf.DUMMYFUNCTION("""COMPUTED_VALUE"""),"")</f>
        <v/>
      </c>
    </row>
    <row r="2026">
      <c r="A2026" s="2" t="s">
        <v>33</v>
      </c>
      <c r="B2026" s="12">
        <v>1934680.0</v>
      </c>
      <c r="C2026" s="12">
        <v>1935606.0</v>
      </c>
      <c r="D2026" s="2"/>
      <c r="E2026" s="2" t="s">
        <v>38</v>
      </c>
      <c r="F2026" s="2" t="s">
        <v>5418</v>
      </c>
      <c r="G2026" s="2" t="s">
        <v>5419</v>
      </c>
      <c r="H2026" s="12">
        <v>0.0</v>
      </c>
      <c r="I2026" s="2" t="s">
        <v>40</v>
      </c>
      <c r="J2026" s="2"/>
      <c r="K2026" s="2" t="s">
        <v>5420</v>
      </c>
      <c r="L2026" s="12">
        <v>308.0</v>
      </c>
      <c r="M2026" s="2" t="s">
        <v>5421</v>
      </c>
      <c r="N2026" s="2" t="str">
        <f>IFERROR(__xludf.DUMMYFUNCTION("""COMPUTED_VALUE"""),"")</f>
        <v/>
      </c>
    </row>
    <row r="2027">
      <c r="A2027" s="2" t="s">
        <v>33</v>
      </c>
      <c r="B2027" s="12">
        <v>1935621.0</v>
      </c>
      <c r="C2027" s="12">
        <v>1936556.0</v>
      </c>
      <c r="D2027" s="2"/>
      <c r="E2027" s="2" t="s">
        <v>38</v>
      </c>
      <c r="F2027" s="2" t="s">
        <v>787</v>
      </c>
      <c r="G2027" s="2"/>
      <c r="H2027" s="12">
        <v>0.0</v>
      </c>
      <c r="I2027" s="2" t="s">
        <v>40</v>
      </c>
      <c r="J2027" s="2"/>
      <c r="K2027" s="2" t="s">
        <v>5422</v>
      </c>
      <c r="L2027" s="12">
        <v>311.0</v>
      </c>
      <c r="M2027" s="2" t="s">
        <v>5423</v>
      </c>
      <c r="N2027" s="2" t="str">
        <f>IFERROR(__xludf.DUMMYFUNCTION("""COMPUTED_VALUE"""),"")</f>
        <v/>
      </c>
    </row>
    <row r="2028">
      <c r="A2028" s="2" t="s">
        <v>33</v>
      </c>
      <c r="B2028" s="12">
        <v>1936559.0</v>
      </c>
      <c r="C2028" s="12">
        <v>1938043.0</v>
      </c>
      <c r="D2028" s="2"/>
      <c r="E2028" s="2" t="s">
        <v>38</v>
      </c>
      <c r="F2028" s="2" t="s">
        <v>5424</v>
      </c>
      <c r="G2028" s="2" t="s">
        <v>5425</v>
      </c>
      <c r="H2028" s="12">
        <v>0.0</v>
      </c>
      <c r="I2028" s="2" t="s">
        <v>40</v>
      </c>
      <c r="J2028" s="2"/>
      <c r="K2028" s="2" t="s">
        <v>5426</v>
      </c>
      <c r="L2028" s="12">
        <v>494.0</v>
      </c>
      <c r="M2028" s="2" t="s">
        <v>5427</v>
      </c>
      <c r="N2028" s="2" t="str">
        <f>IFERROR(__xludf.DUMMYFUNCTION("""COMPUTED_VALUE"""),"")</f>
        <v/>
      </c>
    </row>
    <row r="2029">
      <c r="A2029" s="2" t="s">
        <v>33</v>
      </c>
      <c r="B2029" s="12">
        <v>1938062.0</v>
      </c>
      <c r="C2029" s="12">
        <v>1938457.0</v>
      </c>
      <c r="D2029" s="2"/>
      <c r="E2029" s="2" t="s">
        <v>38</v>
      </c>
      <c r="F2029" s="2" t="s">
        <v>5428</v>
      </c>
      <c r="G2029" s="2" t="s">
        <v>5429</v>
      </c>
      <c r="H2029" s="12">
        <v>0.0</v>
      </c>
      <c r="I2029" s="2" t="s">
        <v>40</v>
      </c>
      <c r="J2029" s="2"/>
      <c r="K2029" s="2" t="s">
        <v>5430</v>
      </c>
      <c r="L2029" s="12">
        <v>131.0</v>
      </c>
      <c r="M2029" s="2" t="s">
        <v>5431</v>
      </c>
      <c r="N2029" s="2" t="str">
        <f>IFERROR(__xludf.DUMMYFUNCTION("""COMPUTED_VALUE"""),"")</f>
        <v/>
      </c>
    </row>
    <row r="2030">
      <c r="A2030" s="2" t="s">
        <v>33</v>
      </c>
      <c r="B2030" s="12">
        <v>1938454.0</v>
      </c>
      <c r="C2030" s="12">
        <v>1939350.0</v>
      </c>
      <c r="D2030" s="2"/>
      <c r="E2030" s="2" t="s">
        <v>38</v>
      </c>
      <c r="F2030" s="2" t="s">
        <v>5432</v>
      </c>
      <c r="G2030" s="2" t="s">
        <v>5433</v>
      </c>
      <c r="H2030" s="12">
        <v>0.0</v>
      </c>
      <c r="I2030" s="2" t="s">
        <v>40</v>
      </c>
      <c r="J2030" s="2"/>
      <c r="K2030" s="2" t="s">
        <v>5434</v>
      </c>
      <c r="L2030" s="12">
        <v>298.0</v>
      </c>
      <c r="M2030" s="2" t="s">
        <v>5435</v>
      </c>
      <c r="N2030" s="2" t="str">
        <f>IFERROR(__xludf.DUMMYFUNCTION("""COMPUTED_VALUE"""),"")</f>
        <v/>
      </c>
    </row>
    <row r="2031">
      <c r="A2031" s="2" t="s">
        <v>33</v>
      </c>
      <c r="B2031" s="12">
        <v>1939364.0</v>
      </c>
      <c r="C2031" s="12">
        <v>1940335.0</v>
      </c>
      <c r="D2031" s="2"/>
      <c r="E2031" s="2" t="s">
        <v>38</v>
      </c>
      <c r="F2031" s="2" t="s">
        <v>5436</v>
      </c>
      <c r="G2031" s="2" t="s">
        <v>5437</v>
      </c>
      <c r="H2031" s="12">
        <v>0.0</v>
      </c>
      <c r="I2031" s="2" t="s">
        <v>40</v>
      </c>
      <c r="J2031" s="2"/>
      <c r="K2031" s="2" t="s">
        <v>5438</v>
      </c>
      <c r="L2031" s="12">
        <v>323.0</v>
      </c>
      <c r="M2031" s="2" t="s">
        <v>5439</v>
      </c>
      <c r="N2031" s="2" t="str">
        <f>IFERROR(__xludf.DUMMYFUNCTION("""COMPUTED_VALUE"""),"")</f>
        <v/>
      </c>
    </row>
    <row r="2032">
      <c r="A2032" s="2" t="s">
        <v>33</v>
      </c>
      <c r="B2032" s="12">
        <v>1940473.0</v>
      </c>
      <c r="C2032" s="12">
        <v>1942086.0</v>
      </c>
      <c r="D2032" s="2"/>
      <c r="E2032" s="2" t="s">
        <v>38</v>
      </c>
      <c r="F2032" s="2" t="s">
        <v>832</v>
      </c>
      <c r="G2032" s="2"/>
      <c r="H2032" s="12">
        <v>0.0</v>
      </c>
      <c r="I2032" s="2" t="s">
        <v>40</v>
      </c>
      <c r="J2032" s="2"/>
      <c r="K2032" s="2" t="s">
        <v>5440</v>
      </c>
      <c r="L2032" s="12">
        <v>537.0</v>
      </c>
      <c r="M2032" s="2" t="s">
        <v>5441</v>
      </c>
      <c r="N2032" s="2" t="str">
        <f>IFERROR(__xludf.DUMMYFUNCTION("""COMPUTED_VALUE"""),"")</f>
        <v/>
      </c>
    </row>
    <row r="2033">
      <c r="A2033" s="2" t="s">
        <v>33</v>
      </c>
      <c r="B2033" s="12">
        <v>1942106.0</v>
      </c>
      <c r="C2033" s="12">
        <v>1942564.0</v>
      </c>
      <c r="D2033" s="2"/>
      <c r="E2033" s="2" t="s">
        <v>38</v>
      </c>
      <c r="F2033" s="2" t="s">
        <v>534</v>
      </c>
      <c r="G2033" s="2"/>
      <c r="H2033" s="12">
        <v>0.0</v>
      </c>
      <c r="I2033" s="2" t="s">
        <v>40</v>
      </c>
      <c r="J2033" s="2"/>
      <c r="K2033" s="2" t="s">
        <v>5442</v>
      </c>
      <c r="L2033" s="12">
        <v>152.0</v>
      </c>
      <c r="M2033" s="2" t="s">
        <v>5443</v>
      </c>
      <c r="N2033" s="2" t="str">
        <f>IFERROR(__xludf.DUMMYFUNCTION("""COMPUTED_VALUE"""),"")</f>
        <v/>
      </c>
    </row>
    <row r="2034">
      <c r="A2034" s="2" t="s">
        <v>33</v>
      </c>
      <c r="B2034" s="12">
        <v>1942834.0</v>
      </c>
      <c r="C2034" s="12">
        <v>1944183.0</v>
      </c>
      <c r="D2034" s="2"/>
      <c r="E2034" s="2" t="s">
        <v>34</v>
      </c>
      <c r="F2034" s="2" t="s">
        <v>5444</v>
      </c>
      <c r="G2034" s="2" t="s">
        <v>5445</v>
      </c>
      <c r="H2034" s="12">
        <v>0.0</v>
      </c>
      <c r="I2034" s="2" t="s">
        <v>40</v>
      </c>
      <c r="J2034" s="2"/>
      <c r="K2034" s="2" t="s">
        <v>5446</v>
      </c>
      <c r="L2034" s="12">
        <v>449.0</v>
      </c>
      <c r="M2034" s="2" t="s">
        <v>5447</v>
      </c>
      <c r="N2034" s="2" t="str">
        <f>IFERROR(__xludf.DUMMYFUNCTION("""COMPUTED_VALUE"""),"")</f>
        <v/>
      </c>
    </row>
    <row r="2035">
      <c r="A2035" s="2" t="s">
        <v>33</v>
      </c>
      <c r="B2035" s="12">
        <v>1944302.0</v>
      </c>
      <c r="C2035" s="12">
        <v>1944418.0</v>
      </c>
      <c r="D2035" s="2"/>
      <c r="E2035" s="2" t="s">
        <v>38</v>
      </c>
      <c r="F2035" s="2" t="s">
        <v>5448</v>
      </c>
      <c r="G2035" s="2"/>
      <c r="H2035" s="12">
        <v>0.0</v>
      </c>
      <c r="I2035" s="2" t="s">
        <v>40</v>
      </c>
      <c r="J2035" s="2"/>
      <c r="K2035" s="2" t="s">
        <v>5449</v>
      </c>
      <c r="L2035" s="12">
        <v>38.0</v>
      </c>
      <c r="M2035" s="2" t="s">
        <v>5450</v>
      </c>
      <c r="N2035" s="2" t="str">
        <f>IFERROR(__xludf.DUMMYFUNCTION("""COMPUTED_VALUE"""),"")</f>
        <v/>
      </c>
    </row>
    <row r="2036">
      <c r="A2036" s="2" t="s">
        <v>33</v>
      </c>
      <c r="B2036" s="12">
        <v>1944622.0</v>
      </c>
      <c r="C2036" s="12">
        <v>1945044.0</v>
      </c>
      <c r="D2036" s="2"/>
      <c r="E2036" s="2" t="s">
        <v>38</v>
      </c>
      <c r="F2036" s="2" t="s">
        <v>5451</v>
      </c>
      <c r="G2036" s="2"/>
      <c r="H2036" s="12">
        <v>0.0</v>
      </c>
      <c r="I2036" s="2" t="s">
        <v>40</v>
      </c>
      <c r="J2036" s="2"/>
      <c r="K2036" s="2" t="s">
        <v>5452</v>
      </c>
      <c r="L2036" s="12">
        <v>140.0</v>
      </c>
      <c r="M2036" s="2" t="s">
        <v>5453</v>
      </c>
      <c r="N2036" s="2" t="str">
        <f>IFERROR(__xludf.DUMMYFUNCTION("""COMPUTED_VALUE"""),"")</f>
        <v/>
      </c>
    </row>
    <row r="2037">
      <c r="A2037" s="2" t="s">
        <v>33</v>
      </c>
      <c r="B2037" s="12">
        <v>1945110.0</v>
      </c>
      <c r="C2037" s="12">
        <v>1946561.0</v>
      </c>
      <c r="D2037" s="2"/>
      <c r="E2037" s="2" t="s">
        <v>38</v>
      </c>
      <c r="F2037" s="2" t="s">
        <v>4805</v>
      </c>
      <c r="G2037" s="2"/>
      <c r="H2037" s="12">
        <v>0.0</v>
      </c>
      <c r="I2037" s="2" t="s">
        <v>40</v>
      </c>
      <c r="J2037" s="2"/>
      <c r="K2037" s="2" t="s">
        <v>5454</v>
      </c>
      <c r="L2037" s="12">
        <v>483.0</v>
      </c>
      <c r="M2037" s="2" t="s">
        <v>5455</v>
      </c>
      <c r="N2037" s="2" t="str">
        <f>IFERROR(__xludf.DUMMYFUNCTION("""COMPUTED_VALUE"""),"")</f>
        <v/>
      </c>
    </row>
    <row r="2038">
      <c r="A2038" s="2" t="s">
        <v>33</v>
      </c>
      <c r="B2038" s="12">
        <v>1946718.0</v>
      </c>
      <c r="C2038" s="12">
        <v>1947965.0</v>
      </c>
      <c r="D2038" s="2"/>
      <c r="E2038" s="2" t="s">
        <v>38</v>
      </c>
      <c r="F2038" s="2" t="s">
        <v>39</v>
      </c>
      <c r="G2038" s="2"/>
      <c r="H2038" s="12">
        <v>0.0</v>
      </c>
      <c r="I2038" s="2" t="s">
        <v>40</v>
      </c>
      <c r="J2038" s="2"/>
      <c r="K2038" s="2" t="s">
        <v>5456</v>
      </c>
      <c r="L2038" s="12">
        <v>415.0</v>
      </c>
      <c r="M2038" s="2" t="s">
        <v>5457</v>
      </c>
      <c r="N2038" s="2" t="str">
        <f>IFERROR(__xludf.DUMMYFUNCTION("""COMPUTED_VALUE"""),"")</f>
        <v/>
      </c>
    </row>
    <row r="2039">
      <c r="A2039" s="2" t="s">
        <v>33</v>
      </c>
      <c r="B2039" s="12">
        <v>1948141.0</v>
      </c>
      <c r="C2039" s="12">
        <v>1948818.0</v>
      </c>
      <c r="D2039" s="2"/>
      <c r="E2039" s="2" t="s">
        <v>34</v>
      </c>
      <c r="F2039" s="2" t="s">
        <v>379</v>
      </c>
      <c r="G2039" s="2"/>
      <c r="H2039" s="12">
        <v>0.0</v>
      </c>
      <c r="I2039" s="2" t="s">
        <v>40</v>
      </c>
      <c r="J2039" s="2"/>
      <c r="K2039" s="2" t="s">
        <v>5458</v>
      </c>
      <c r="L2039" s="12">
        <v>225.0</v>
      </c>
      <c r="M2039" s="2" t="s">
        <v>5459</v>
      </c>
      <c r="N2039" s="2" t="str">
        <f>IFERROR(__xludf.DUMMYFUNCTION("""COMPUTED_VALUE"""),"")</f>
        <v/>
      </c>
    </row>
    <row r="2040">
      <c r="A2040" s="2" t="s">
        <v>33</v>
      </c>
      <c r="B2040" s="12">
        <v>1948830.0</v>
      </c>
      <c r="C2040" s="12">
        <v>1950221.0</v>
      </c>
      <c r="D2040" s="2"/>
      <c r="E2040" s="2" t="s">
        <v>34</v>
      </c>
      <c r="F2040" s="2" t="s">
        <v>5460</v>
      </c>
      <c r="G2040" s="2"/>
      <c r="H2040" s="12">
        <v>0.0</v>
      </c>
      <c r="I2040" s="2" t="s">
        <v>40</v>
      </c>
      <c r="J2040" s="2"/>
      <c r="K2040" s="2" t="s">
        <v>5461</v>
      </c>
      <c r="L2040" s="12">
        <v>463.0</v>
      </c>
      <c r="M2040" s="2" t="s">
        <v>5462</v>
      </c>
      <c r="N2040" s="2" t="str">
        <f>IFERROR(__xludf.DUMMYFUNCTION("""COMPUTED_VALUE"""),"")</f>
        <v/>
      </c>
    </row>
    <row r="2041">
      <c r="A2041" s="2" t="s">
        <v>33</v>
      </c>
      <c r="B2041" s="12">
        <v>1950235.0</v>
      </c>
      <c r="C2041" s="12">
        <v>1950756.0</v>
      </c>
      <c r="D2041" s="2"/>
      <c r="E2041" s="2" t="s">
        <v>38</v>
      </c>
      <c r="F2041" s="2" t="s">
        <v>5463</v>
      </c>
      <c r="G2041" s="2"/>
      <c r="H2041" s="12">
        <v>0.0</v>
      </c>
      <c r="I2041" s="2" t="s">
        <v>40</v>
      </c>
      <c r="J2041" s="2"/>
      <c r="K2041" s="2" t="s">
        <v>5464</v>
      </c>
      <c r="L2041" s="12">
        <v>173.0</v>
      </c>
      <c r="M2041" s="2" t="s">
        <v>5465</v>
      </c>
      <c r="N2041" s="2" t="str">
        <f>IFERROR(__xludf.DUMMYFUNCTION("""COMPUTED_VALUE"""),"")</f>
        <v/>
      </c>
    </row>
    <row r="2042">
      <c r="A2042" s="2" t="s">
        <v>33</v>
      </c>
      <c r="B2042" s="12">
        <v>1950852.0</v>
      </c>
      <c r="C2042" s="12">
        <v>1951814.0</v>
      </c>
      <c r="D2042" s="2"/>
      <c r="E2042" s="2" t="s">
        <v>34</v>
      </c>
      <c r="F2042" s="2" t="s">
        <v>5466</v>
      </c>
      <c r="G2042" s="2"/>
      <c r="H2042" s="12">
        <v>0.0</v>
      </c>
      <c r="I2042" s="2" t="s">
        <v>40</v>
      </c>
      <c r="J2042" s="2"/>
      <c r="K2042" s="2" t="s">
        <v>5467</v>
      </c>
      <c r="L2042" s="12">
        <v>320.0</v>
      </c>
      <c r="M2042" s="2" t="s">
        <v>5468</v>
      </c>
      <c r="N2042" s="2" t="str">
        <f>IFERROR(__xludf.DUMMYFUNCTION("""COMPUTED_VALUE"""),"")</f>
        <v/>
      </c>
    </row>
    <row r="2043">
      <c r="A2043" s="2" t="s">
        <v>33</v>
      </c>
      <c r="B2043" s="12">
        <v>1951844.0</v>
      </c>
      <c r="C2043" s="12">
        <v>1953268.0</v>
      </c>
      <c r="D2043" s="2"/>
      <c r="E2043" s="2" t="s">
        <v>38</v>
      </c>
      <c r="F2043" s="2" t="s">
        <v>5469</v>
      </c>
      <c r="G2043" s="2"/>
      <c r="H2043" s="12">
        <v>0.0</v>
      </c>
      <c r="I2043" s="2" t="s">
        <v>40</v>
      </c>
      <c r="J2043" s="2"/>
      <c r="K2043" s="2" t="s">
        <v>5470</v>
      </c>
      <c r="L2043" s="12">
        <v>474.0</v>
      </c>
      <c r="M2043" s="2" t="s">
        <v>5471</v>
      </c>
      <c r="N2043" s="2" t="str">
        <f>IFERROR(__xludf.DUMMYFUNCTION("""COMPUTED_VALUE"""),"")</f>
        <v/>
      </c>
    </row>
    <row r="2044">
      <c r="A2044" s="2" t="s">
        <v>33</v>
      </c>
      <c r="B2044" s="12">
        <v>1953234.0</v>
      </c>
      <c r="C2044" s="12">
        <v>1953791.0</v>
      </c>
      <c r="D2044" s="2"/>
      <c r="E2044" s="2" t="s">
        <v>38</v>
      </c>
      <c r="F2044" s="2" t="s">
        <v>2436</v>
      </c>
      <c r="G2044" s="2"/>
      <c r="H2044" s="12">
        <v>0.0</v>
      </c>
      <c r="I2044" s="2" t="s">
        <v>40</v>
      </c>
      <c r="J2044" s="2"/>
      <c r="K2044" s="2" t="s">
        <v>5472</v>
      </c>
      <c r="L2044" s="12">
        <v>185.0</v>
      </c>
      <c r="M2044" s="2" t="s">
        <v>5473</v>
      </c>
      <c r="N2044" s="2" t="str">
        <f>IFERROR(__xludf.DUMMYFUNCTION("""COMPUTED_VALUE"""),"")</f>
        <v/>
      </c>
    </row>
    <row r="2045">
      <c r="A2045" s="2" t="s">
        <v>33</v>
      </c>
      <c r="B2045" s="12">
        <v>1953972.0</v>
      </c>
      <c r="C2045" s="12">
        <v>1954399.0</v>
      </c>
      <c r="D2045" s="2"/>
      <c r="E2045" s="2" t="s">
        <v>38</v>
      </c>
      <c r="F2045" s="2" t="s">
        <v>35</v>
      </c>
      <c r="G2045" s="2"/>
      <c r="H2045" s="12">
        <v>0.0</v>
      </c>
      <c r="I2045" s="2" t="s">
        <v>36</v>
      </c>
      <c r="J2045" s="2"/>
      <c r="K2045" s="2"/>
      <c r="L2045" s="2"/>
      <c r="M2045" s="2" t="s">
        <v>5474</v>
      </c>
      <c r="N2045" s="2" t="str">
        <f>IFERROR(__xludf.DUMMYFUNCTION("""COMPUTED_VALUE"""),"")</f>
        <v/>
      </c>
    </row>
    <row r="2046">
      <c r="A2046" s="2" t="s">
        <v>33</v>
      </c>
      <c r="B2046" s="12">
        <v>1954463.0</v>
      </c>
      <c r="C2046" s="12">
        <v>1954840.0</v>
      </c>
      <c r="D2046" s="2"/>
      <c r="E2046" s="2" t="s">
        <v>38</v>
      </c>
      <c r="F2046" s="2" t="s">
        <v>5475</v>
      </c>
      <c r="G2046" s="2"/>
      <c r="H2046" s="12">
        <v>0.0</v>
      </c>
      <c r="I2046" s="2" t="s">
        <v>40</v>
      </c>
      <c r="J2046" s="2"/>
      <c r="K2046" s="2" t="s">
        <v>5476</v>
      </c>
      <c r="L2046" s="12">
        <v>125.0</v>
      </c>
      <c r="M2046" s="2" t="s">
        <v>5477</v>
      </c>
      <c r="N2046" s="2" t="str">
        <f>IFERROR(__xludf.DUMMYFUNCTION("""COMPUTED_VALUE"""),"")</f>
        <v/>
      </c>
    </row>
    <row r="2047">
      <c r="A2047" s="2" t="s">
        <v>33</v>
      </c>
      <c r="B2047" s="12">
        <v>1954815.0</v>
      </c>
      <c r="C2047" s="12">
        <v>1956242.0</v>
      </c>
      <c r="D2047" s="2"/>
      <c r="E2047" s="2" t="s">
        <v>38</v>
      </c>
      <c r="F2047" s="2" t="s">
        <v>4879</v>
      </c>
      <c r="G2047" s="2"/>
      <c r="H2047" s="12">
        <v>0.0</v>
      </c>
      <c r="I2047" s="2" t="s">
        <v>40</v>
      </c>
      <c r="J2047" s="2"/>
      <c r="K2047" s="2" t="s">
        <v>5478</v>
      </c>
      <c r="L2047" s="12">
        <v>475.0</v>
      </c>
      <c r="M2047" s="2" t="s">
        <v>5479</v>
      </c>
      <c r="N2047" s="2" t="str">
        <f>IFERROR(__xludf.DUMMYFUNCTION("""COMPUTED_VALUE"""),"")</f>
        <v/>
      </c>
    </row>
    <row r="2048">
      <c r="A2048" s="2" t="s">
        <v>33</v>
      </c>
      <c r="B2048" s="12">
        <v>1956445.0</v>
      </c>
      <c r="C2048" s="12">
        <v>1957089.0</v>
      </c>
      <c r="D2048" s="2"/>
      <c r="E2048" s="2" t="s">
        <v>38</v>
      </c>
      <c r="F2048" s="2" t="s">
        <v>4858</v>
      </c>
      <c r="G2048" s="2"/>
      <c r="H2048" s="12">
        <v>0.0</v>
      </c>
      <c r="I2048" s="2" t="s">
        <v>40</v>
      </c>
      <c r="J2048" s="2"/>
      <c r="K2048" s="2" t="s">
        <v>5480</v>
      </c>
      <c r="L2048" s="12">
        <v>214.0</v>
      </c>
      <c r="M2048" s="2" t="s">
        <v>5481</v>
      </c>
      <c r="N2048" s="2" t="str">
        <f>IFERROR(__xludf.DUMMYFUNCTION("""COMPUTED_VALUE"""),"")</f>
        <v/>
      </c>
    </row>
    <row r="2049">
      <c r="A2049" s="2" t="s">
        <v>33</v>
      </c>
      <c r="B2049" s="12">
        <v>1957090.0</v>
      </c>
      <c r="C2049" s="12">
        <v>1957746.0</v>
      </c>
      <c r="D2049" s="2"/>
      <c r="E2049" s="2" t="s">
        <v>38</v>
      </c>
      <c r="F2049" s="2" t="s">
        <v>4858</v>
      </c>
      <c r="G2049" s="2"/>
      <c r="H2049" s="12">
        <v>0.0</v>
      </c>
      <c r="I2049" s="2" t="s">
        <v>40</v>
      </c>
      <c r="J2049" s="2"/>
      <c r="K2049" s="2" t="s">
        <v>5482</v>
      </c>
      <c r="L2049" s="12">
        <v>218.0</v>
      </c>
      <c r="M2049" s="2" t="s">
        <v>5483</v>
      </c>
      <c r="N2049" s="2" t="str">
        <f>IFERROR(__xludf.DUMMYFUNCTION("""COMPUTED_VALUE"""),"")</f>
        <v/>
      </c>
    </row>
    <row r="2050">
      <c r="A2050" s="2" t="s">
        <v>33</v>
      </c>
      <c r="B2050" s="12">
        <v>1957847.0</v>
      </c>
      <c r="C2050" s="12">
        <v>1958677.0</v>
      </c>
      <c r="D2050" s="2"/>
      <c r="E2050" s="2" t="s">
        <v>38</v>
      </c>
      <c r="F2050" s="2" t="s">
        <v>5484</v>
      </c>
      <c r="G2050" s="2" t="s">
        <v>5485</v>
      </c>
      <c r="H2050" s="12">
        <v>0.0</v>
      </c>
      <c r="I2050" s="2" t="s">
        <v>40</v>
      </c>
      <c r="J2050" s="2"/>
      <c r="K2050" s="2" t="s">
        <v>5486</v>
      </c>
      <c r="L2050" s="12">
        <v>276.0</v>
      </c>
      <c r="M2050" s="2" t="s">
        <v>5487</v>
      </c>
      <c r="N2050" s="2" t="str">
        <f>IFERROR(__xludf.DUMMYFUNCTION("""COMPUTED_VALUE"""),"")</f>
        <v/>
      </c>
    </row>
    <row r="2051">
      <c r="A2051" s="2" t="s">
        <v>33</v>
      </c>
      <c r="B2051" s="12">
        <v>1958690.0</v>
      </c>
      <c r="C2051" s="12">
        <v>1959418.0</v>
      </c>
      <c r="D2051" s="2"/>
      <c r="E2051" s="2" t="s">
        <v>38</v>
      </c>
      <c r="F2051" s="2" t="s">
        <v>4855</v>
      </c>
      <c r="G2051" s="2"/>
      <c r="H2051" s="12">
        <v>0.0</v>
      </c>
      <c r="I2051" s="2" t="s">
        <v>40</v>
      </c>
      <c r="J2051" s="2"/>
      <c r="K2051" s="2" t="s">
        <v>5488</v>
      </c>
      <c r="L2051" s="12">
        <v>242.0</v>
      </c>
      <c r="M2051" s="2" t="s">
        <v>5489</v>
      </c>
      <c r="N2051" s="2" t="str">
        <f>IFERROR(__xludf.DUMMYFUNCTION("""COMPUTED_VALUE"""),"")</f>
        <v/>
      </c>
    </row>
    <row r="2052">
      <c r="A2052" s="2" t="s">
        <v>33</v>
      </c>
      <c r="B2052" s="12">
        <v>1959561.0</v>
      </c>
      <c r="C2052" s="12">
        <v>1961021.0</v>
      </c>
      <c r="D2052" s="2"/>
      <c r="E2052" s="2" t="s">
        <v>38</v>
      </c>
      <c r="F2052" s="2" t="s">
        <v>811</v>
      </c>
      <c r="G2052" s="2"/>
      <c r="H2052" s="12">
        <v>0.0</v>
      </c>
      <c r="I2052" s="2" t="s">
        <v>40</v>
      </c>
      <c r="J2052" s="2"/>
      <c r="K2052" s="2" t="s">
        <v>5490</v>
      </c>
      <c r="L2052" s="12">
        <v>486.0</v>
      </c>
      <c r="M2052" s="2" t="s">
        <v>5491</v>
      </c>
      <c r="N2052" s="2" t="str">
        <f>IFERROR(__xludf.DUMMYFUNCTION("""COMPUTED_VALUE"""),"")</f>
        <v/>
      </c>
    </row>
    <row r="2053">
      <c r="A2053" s="2" t="s">
        <v>33</v>
      </c>
      <c r="B2053" s="12">
        <v>1961181.0</v>
      </c>
      <c r="C2053" s="12">
        <v>1962152.0</v>
      </c>
      <c r="D2053" s="2"/>
      <c r="E2053" s="2" t="s">
        <v>38</v>
      </c>
      <c r="F2053" s="2" t="s">
        <v>5492</v>
      </c>
      <c r="G2053" s="2"/>
      <c r="H2053" s="12">
        <v>0.0</v>
      </c>
      <c r="I2053" s="2" t="s">
        <v>40</v>
      </c>
      <c r="J2053" s="2"/>
      <c r="K2053" s="2" t="s">
        <v>5493</v>
      </c>
      <c r="L2053" s="12">
        <v>323.0</v>
      </c>
      <c r="M2053" s="2" t="s">
        <v>5494</v>
      </c>
      <c r="N2053" s="2" t="str">
        <f>IFERROR(__xludf.DUMMYFUNCTION("""COMPUTED_VALUE"""),"")</f>
        <v/>
      </c>
    </row>
    <row r="2054">
      <c r="A2054" s="2" t="s">
        <v>33</v>
      </c>
      <c r="B2054" s="12">
        <v>1962176.0</v>
      </c>
      <c r="C2054" s="12">
        <v>1962862.0</v>
      </c>
      <c r="D2054" s="2"/>
      <c r="E2054" s="2" t="s">
        <v>38</v>
      </c>
      <c r="F2054" s="2" t="s">
        <v>306</v>
      </c>
      <c r="G2054" s="2"/>
      <c r="H2054" s="12">
        <v>0.0</v>
      </c>
      <c r="I2054" s="2" t="s">
        <v>40</v>
      </c>
      <c r="J2054" s="2"/>
      <c r="K2054" s="2" t="s">
        <v>5495</v>
      </c>
      <c r="L2054" s="12">
        <v>228.0</v>
      </c>
      <c r="M2054" s="2" t="s">
        <v>5496</v>
      </c>
      <c r="N2054" s="2" t="str">
        <f>IFERROR(__xludf.DUMMYFUNCTION("""COMPUTED_VALUE"""),"")</f>
        <v/>
      </c>
    </row>
    <row r="2055">
      <c r="A2055" s="2" t="s">
        <v>33</v>
      </c>
      <c r="B2055" s="12">
        <v>1963012.0</v>
      </c>
      <c r="C2055" s="12">
        <v>1964514.0</v>
      </c>
      <c r="D2055" s="2"/>
      <c r="E2055" s="2" t="s">
        <v>34</v>
      </c>
      <c r="F2055" s="2" t="s">
        <v>5497</v>
      </c>
      <c r="G2055" s="2" t="s">
        <v>5498</v>
      </c>
      <c r="H2055" s="12">
        <v>0.0</v>
      </c>
      <c r="I2055" s="2" t="s">
        <v>40</v>
      </c>
      <c r="J2055" s="2"/>
      <c r="K2055" s="2" t="s">
        <v>5499</v>
      </c>
      <c r="L2055" s="12">
        <v>500.0</v>
      </c>
      <c r="M2055" s="2" t="s">
        <v>5500</v>
      </c>
      <c r="N2055" s="2" t="str">
        <f>IFERROR(__xludf.DUMMYFUNCTION("""COMPUTED_VALUE"""),"")</f>
        <v/>
      </c>
    </row>
    <row r="2056">
      <c r="A2056" s="2" t="s">
        <v>33</v>
      </c>
      <c r="B2056" s="12">
        <v>1964495.0</v>
      </c>
      <c r="C2056" s="12">
        <v>1965601.0</v>
      </c>
      <c r="D2056" s="2"/>
      <c r="E2056" s="2" t="s">
        <v>34</v>
      </c>
      <c r="F2056" s="2" t="s">
        <v>1681</v>
      </c>
      <c r="G2056" s="2"/>
      <c r="H2056" s="12">
        <v>0.0</v>
      </c>
      <c r="I2056" s="2" t="s">
        <v>40</v>
      </c>
      <c r="J2056" s="2"/>
      <c r="K2056" s="2" t="s">
        <v>5501</v>
      </c>
      <c r="L2056" s="12">
        <v>368.0</v>
      </c>
      <c r="M2056" s="2" t="s">
        <v>5502</v>
      </c>
      <c r="N2056" s="2" t="str">
        <f>IFERROR(__xludf.DUMMYFUNCTION("""COMPUTED_VALUE"""),"")</f>
        <v/>
      </c>
    </row>
    <row r="2057">
      <c r="A2057" s="2" t="s">
        <v>33</v>
      </c>
      <c r="B2057" s="12">
        <v>1965582.0</v>
      </c>
      <c r="C2057" s="12">
        <v>1966706.0</v>
      </c>
      <c r="D2057" s="2"/>
      <c r="E2057" s="2" t="s">
        <v>34</v>
      </c>
      <c r="F2057" s="2" t="s">
        <v>5503</v>
      </c>
      <c r="G2057" s="2" t="s">
        <v>5504</v>
      </c>
      <c r="H2057" s="12">
        <v>0.0</v>
      </c>
      <c r="I2057" s="2" t="s">
        <v>40</v>
      </c>
      <c r="J2057" s="2"/>
      <c r="K2057" s="2" t="s">
        <v>5505</v>
      </c>
      <c r="L2057" s="12">
        <v>374.0</v>
      </c>
      <c r="M2057" s="2" t="s">
        <v>5506</v>
      </c>
      <c r="N2057" s="2" t="str">
        <f>IFERROR(__xludf.DUMMYFUNCTION("""COMPUTED_VALUE"""),"")</f>
        <v/>
      </c>
    </row>
    <row r="2058">
      <c r="A2058" s="2" t="s">
        <v>33</v>
      </c>
      <c r="B2058" s="12">
        <v>1966740.0</v>
      </c>
      <c r="C2058" s="12">
        <v>1968401.0</v>
      </c>
      <c r="D2058" s="2"/>
      <c r="E2058" s="2" t="s">
        <v>38</v>
      </c>
      <c r="F2058" s="2" t="s">
        <v>5507</v>
      </c>
      <c r="G2058" s="2" t="s">
        <v>5508</v>
      </c>
      <c r="H2058" s="12">
        <v>0.0</v>
      </c>
      <c r="I2058" s="2" t="s">
        <v>40</v>
      </c>
      <c r="J2058" s="2"/>
      <c r="K2058" s="2" t="s">
        <v>5509</v>
      </c>
      <c r="L2058" s="12">
        <v>553.0</v>
      </c>
      <c r="M2058" s="2" t="s">
        <v>5510</v>
      </c>
      <c r="N2058" s="2" t="str">
        <f>IFERROR(__xludf.DUMMYFUNCTION("""COMPUTED_VALUE"""),"")</f>
        <v/>
      </c>
    </row>
    <row r="2059">
      <c r="A2059" s="2" t="s">
        <v>33</v>
      </c>
      <c r="B2059" s="12">
        <v>1968415.0</v>
      </c>
      <c r="C2059" s="12">
        <v>1969842.0</v>
      </c>
      <c r="D2059" s="2"/>
      <c r="E2059" s="2" t="s">
        <v>38</v>
      </c>
      <c r="F2059" s="2" t="s">
        <v>5511</v>
      </c>
      <c r="G2059" s="2" t="s">
        <v>5512</v>
      </c>
      <c r="H2059" s="12">
        <v>0.0</v>
      </c>
      <c r="I2059" s="2" t="s">
        <v>40</v>
      </c>
      <c r="J2059" s="2"/>
      <c r="K2059" s="2" t="s">
        <v>5513</v>
      </c>
      <c r="L2059" s="12">
        <v>475.0</v>
      </c>
      <c r="M2059" s="2" t="s">
        <v>5514</v>
      </c>
      <c r="N2059" s="2" t="str">
        <f>IFERROR(__xludf.DUMMYFUNCTION("""COMPUTED_VALUE"""),"")</f>
        <v/>
      </c>
    </row>
    <row r="2060">
      <c r="A2060" s="2" t="s">
        <v>33</v>
      </c>
      <c r="B2060" s="12">
        <v>1969984.0</v>
      </c>
      <c r="C2060" s="12">
        <v>1970694.0</v>
      </c>
      <c r="D2060" s="2"/>
      <c r="E2060" s="2" t="s">
        <v>38</v>
      </c>
      <c r="F2060" s="2" t="s">
        <v>5515</v>
      </c>
      <c r="G2060" s="2" t="s">
        <v>5516</v>
      </c>
      <c r="H2060" s="12">
        <v>0.0</v>
      </c>
      <c r="I2060" s="2" t="s">
        <v>40</v>
      </c>
      <c r="J2060" s="2"/>
      <c r="K2060" s="2" t="s">
        <v>5517</v>
      </c>
      <c r="L2060" s="12">
        <v>236.0</v>
      </c>
      <c r="M2060" s="2" t="s">
        <v>5518</v>
      </c>
      <c r="N2060" s="2" t="str">
        <f>IFERROR(__xludf.DUMMYFUNCTION("""COMPUTED_VALUE"""),"")</f>
        <v/>
      </c>
    </row>
    <row r="2061">
      <c r="A2061" s="2" t="s">
        <v>33</v>
      </c>
      <c r="B2061" s="12">
        <v>1971147.0</v>
      </c>
      <c r="C2061" s="12">
        <v>1972544.0</v>
      </c>
      <c r="D2061" s="2"/>
      <c r="E2061" s="2" t="s">
        <v>34</v>
      </c>
      <c r="F2061" s="2" t="s">
        <v>4879</v>
      </c>
      <c r="G2061" s="2"/>
      <c r="H2061" s="12">
        <v>0.0</v>
      </c>
      <c r="I2061" s="2" t="s">
        <v>40</v>
      </c>
      <c r="J2061" s="2"/>
      <c r="K2061" s="2" t="s">
        <v>5519</v>
      </c>
      <c r="L2061" s="12">
        <v>465.0</v>
      </c>
      <c r="M2061" s="2" t="s">
        <v>5520</v>
      </c>
      <c r="N2061" s="2" t="str">
        <f>IFERROR(__xludf.DUMMYFUNCTION("""COMPUTED_VALUE"""),"")</f>
        <v/>
      </c>
    </row>
    <row r="2062">
      <c r="A2062" s="2" t="s">
        <v>33</v>
      </c>
      <c r="B2062" s="12">
        <v>1972576.0</v>
      </c>
      <c r="C2062" s="12">
        <v>1974279.0</v>
      </c>
      <c r="D2062" s="2"/>
      <c r="E2062" s="2" t="s">
        <v>38</v>
      </c>
      <c r="F2062" s="2" t="s">
        <v>5521</v>
      </c>
      <c r="G2062" s="2"/>
      <c r="H2062" s="12">
        <v>0.0</v>
      </c>
      <c r="I2062" s="2" t="s">
        <v>40</v>
      </c>
      <c r="J2062" s="2"/>
      <c r="K2062" s="2" t="s">
        <v>5522</v>
      </c>
      <c r="L2062" s="12">
        <v>567.0</v>
      </c>
      <c r="M2062" s="2" t="s">
        <v>5523</v>
      </c>
      <c r="N2062" s="2" t="str">
        <f>IFERROR(__xludf.DUMMYFUNCTION("""COMPUTED_VALUE"""),"")</f>
        <v/>
      </c>
    </row>
    <row r="2063">
      <c r="A2063" s="2" t="s">
        <v>33</v>
      </c>
      <c r="B2063" s="12">
        <v>1974760.0</v>
      </c>
      <c r="C2063" s="12">
        <v>1975113.0</v>
      </c>
      <c r="D2063" s="2"/>
      <c r="E2063" s="2" t="s">
        <v>38</v>
      </c>
      <c r="F2063" s="2" t="s">
        <v>39</v>
      </c>
      <c r="G2063" s="2"/>
      <c r="H2063" s="12">
        <v>0.0</v>
      </c>
      <c r="I2063" s="2" t="s">
        <v>40</v>
      </c>
      <c r="J2063" s="2"/>
      <c r="K2063" s="2" t="s">
        <v>5524</v>
      </c>
      <c r="L2063" s="12">
        <v>117.0</v>
      </c>
      <c r="M2063" s="2" t="s">
        <v>5525</v>
      </c>
      <c r="N2063" s="2" t="str">
        <f>IFERROR(__xludf.DUMMYFUNCTION("""COMPUTED_VALUE"""),"")</f>
        <v/>
      </c>
    </row>
    <row r="2064">
      <c r="A2064" s="2" t="s">
        <v>33</v>
      </c>
      <c r="B2064" s="12">
        <v>1975328.0</v>
      </c>
      <c r="C2064" s="12">
        <v>1976857.0</v>
      </c>
      <c r="D2064" s="2"/>
      <c r="E2064" s="2" t="s">
        <v>34</v>
      </c>
      <c r="F2064" s="2" t="s">
        <v>1587</v>
      </c>
      <c r="G2064" s="2"/>
      <c r="H2064" s="12">
        <v>0.0</v>
      </c>
      <c r="I2064" s="2" t="s">
        <v>40</v>
      </c>
      <c r="J2064" s="2"/>
      <c r="K2064" s="2" t="s">
        <v>5526</v>
      </c>
      <c r="L2064" s="12">
        <v>509.0</v>
      </c>
      <c r="M2064" s="2" t="s">
        <v>5527</v>
      </c>
      <c r="N2064" s="2" t="str">
        <f>IFERROR(__xludf.DUMMYFUNCTION("""COMPUTED_VALUE"""),"")</f>
        <v/>
      </c>
    </row>
    <row r="2065">
      <c r="A2065" s="2" t="s">
        <v>33</v>
      </c>
      <c r="B2065" s="12">
        <v>1976985.0</v>
      </c>
      <c r="C2065" s="12">
        <v>1977878.0</v>
      </c>
      <c r="D2065" s="2"/>
      <c r="E2065" s="2" t="s">
        <v>34</v>
      </c>
      <c r="F2065" s="2" t="s">
        <v>712</v>
      </c>
      <c r="G2065" s="2"/>
      <c r="H2065" s="12">
        <v>0.0</v>
      </c>
      <c r="I2065" s="2" t="s">
        <v>40</v>
      </c>
      <c r="J2065" s="2"/>
      <c r="K2065" s="2" t="s">
        <v>5528</v>
      </c>
      <c r="L2065" s="12">
        <v>297.0</v>
      </c>
      <c r="M2065" s="2" t="s">
        <v>5529</v>
      </c>
      <c r="N2065" s="2" t="str">
        <f>IFERROR(__xludf.DUMMYFUNCTION("""COMPUTED_VALUE"""),"")</f>
        <v/>
      </c>
    </row>
    <row r="2066">
      <c r="A2066" s="2" t="s">
        <v>33</v>
      </c>
      <c r="B2066" s="12">
        <v>1977882.0</v>
      </c>
      <c r="C2066" s="12">
        <v>1979765.0</v>
      </c>
      <c r="D2066" s="2"/>
      <c r="E2066" s="2" t="s">
        <v>34</v>
      </c>
      <c r="F2066" s="2" t="s">
        <v>5530</v>
      </c>
      <c r="G2066" s="2"/>
      <c r="H2066" s="12">
        <v>0.0</v>
      </c>
      <c r="I2066" s="2" t="s">
        <v>40</v>
      </c>
      <c r="J2066" s="2"/>
      <c r="K2066" s="2" t="s">
        <v>5531</v>
      </c>
      <c r="L2066" s="12">
        <v>627.0</v>
      </c>
      <c r="M2066" s="2" t="s">
        <v>5532</v>
      </c>
      <c r="N2066" s="2" t="str">
        <f>IFERROR(__xludf.DUMMYFUNCTION("""COMPUTED_VALUE"""),"")</f>
        <v/>
      </c>
    </row>
    <row r="2067">
      <c r="A2067" s="2" t="s">
        <v>33</v>
      </c>
      <c r="B2067" s="12">
        <v>1979803.0</v>
      </c>
      <c r="C2067" s="12">
        <v>1980225.0</v>
      </c>
      <c r="D2067" s="2"/>
      <c r="E2067" s="2" t="s">
        <v>38</v>
      </c>
      <c r="F2067" s="2" t="s">
        <v>1611</v>
      </c>
      <c r="G2067" s="2"/>
      <c r="H2067" s="12">
        <v>0.0</v>
      </c>
      <c r="I2067" s="2" t="s">
        <v>40</v>
      </c>
      <c r="J2067" s="2"/>
      <c r="K2067" s="2" t="s">
        <v>5533</v>
      </c>
      <c r="L2067" s="12">
        <v>140.0</v>
      </c>
      <c r="M2067" s="2" t="s">
        <v>5534</v>
      </c>
      <c r="N2067" s="2" t="str">
        <f>IFERROR(__xludf.DUMMYFUNCTION("""COMPUTED_VALUE"""),"")</f>
        <v/>
      </c>
    </row>
    <row r="2068">
      <c r="A2068" s="2" t="s">
        <v>33</v>
      </c>
      <c r="B2068" s="12">
        <v>1980285.0</v>
      </c>
      <c r="C2068" s="12">
        <v>1981250.0</v>
      </c>
      <c r="D2068" s="2"/>
      <c r="E2068" s="2" t="s">
        <v>38</v>
      </c>
      <c r="F2068" s="2" t="s">
        <v>5535</v>
      </c>
      <c r="G2068" s="2"/>
      <c r="H2068" s="12">
        <v>0.0</v>
      </c>
      <c r="I2068" s="2" t="s">
        <v>40</v>
      </c>
      <c r="J2068" s="2"/>
      <c r="K2068" s="2" t="s">
        <v>5536</v>
      </c>
      <c r="L2068" s="12">
        <v>321.0</v>
      </c>
      <c r="M2068" s="2" t="s">
        <v>5537</v>
      </c>
      <c r="N2068" s="2" t="str">
        <f>IFERROR(__xludf.DUMMYFUNCTION("""COMPUTED_VALUE"""),"")</f>
        <v/>
      </c>
    </row>
    <row r="2069">
      <c r="A2069" s="2" t="s">
        <v>33</v>
      </c>
      <c r="B2069" s="12">
        <v>1981295.0</v>
      </c>
      <c r="C2069" s="12">
        <v>1982485.0</v>
      </c>
      <c r="D2069" s="2"/>
      <c r="E2069" s="2" t="s">
        <v>38</v>
      </c>
      <c r="F2069" s="2" t="s">
        <v>5538</v>
      </c>
      <c r="G2069" s="2"/>
      <c r="H2069" s="12">
        <v>0.0</v>
      </c>
      <c r="I2069" s="2" t="s">
        <v>40</v>
      </c>
      <c r="J2069" s="2"/>
      <c r="K2069" s="2" t="s">
        <v>5539</v>
      </c>
      <c r="L2069" s="12">
        <v>396.0</v>
      </c>
      <c r="M2069" s="2" t="s">
        <v>5540</v>
      </c>
      <c r="N2069" s="2" t="str">
        <f>IFERROR(__xludf.DUMMYFUNCTION("""COMPUTED_VALUE"""),"")</f>
        <v/>
      </c>
    </row>
    <row r="2070">
      <c r="A2070" s="2" t="s">
        <v>33</v>
      </c>
      <c r="B2070" s="12">
        <v>1982699.0</v>
      </c>
      <c r="C2070" s="12">
        <v>1983430.0</v>
      </c>
      <c r="D2070" s="2"/>
      <c r="E2070" s="2" t="s">
        <v>34</v>
      </c>
      <c r="F2070" s="2" t="s">
        <v>289</v>
      </c>
      <c r="G2070" s="2"/>
      <c r="H2070" s="12">
        <v>0.0</v>
      </c>
      <c r="I2070" s="2" t="s">
        <v>40</v>
      </c>
      <c r="J2070" s="2"/>
      <c r="K2070" s="2" t="s">
        <v>5541</v>
      </c>
      <c r="L2070" s="12">
        <v>243.0</v>
      </c>
      <c r="M2070" s="2" t="s">
        <v>5542</v>
      </c>
      <c r="N2070" s="2" t="str">
        <f>IFERROR(__xludf.DUMMYFUNCTION("""COMPUTED_VALUE"""),"")</f>
        <v/>
      </c>
    </row>
    <row r="2071">
      <c r="A2071" s="2" t="s">
        <v>33</v>
      </c>
      <c r="B2071" s="12">
        <v>1983459.0</v>
      </c>
      <c r="C2071" s="12">
        <v>1984280.0</v>
      </c>
      <c r="D2071" s="2"/>
      <c r="E2071" s="2" t="s">
        <v>38</v>
      </c>
      <c r="F2071" s="2" t="s">
        <v>432</v>
      </c>
      <c r="G2071" s="2"/>
      <c r="H2071" s="12">
        <v>0.0</v>
      </c>
      <c r="I2071" s="2" t="s">
        <v>40</v>
      </c>
      <c r="J2071" s="2"/>
      <c r="K2071" s="2" t="s">
        <v>5543</v>
      </c>
      <c r="L2071" s="12">
        <v>273.0</v>
      </c>
      <c r="M2071" s="2" t="s">
        <v>5544</v>
      </c>
      <c r="N2071" s="2" t="str">
        <f>IFERROR(__xludf.DUMMYFUNCTION("""COMPUTED_VALUE"""),"")</f>
        <v/>
      </c>
    </row>
    <row r="2072">
      <c r="A2072" s="2" t="s">
        <v>33</v>
      </c>
      <c r="B2072" s="12">
        <v>1984293.0</v>
      </c>
      <c r="C2072" s="12">
        <v>1985351.0</v>
      </c>
      <c r="D2072" s="2"/>
      <c r="E2072" s="2" t="s">
        <v>38</v>
      </c>
      <c r="F2072" s="2" t="s">
        <v>2555</v>
      </c>
      <c r="G2072" s="2"/>
      <c r="H2072" s="12">
        <v>0.0</v>
      </c>
      <c r="I2072" s="2" t="s">
        <v>40</v>
      </c>
      <c r="J2072" s="2"/>
      <c r="K2072" s="2" t="s">
        <v>5545</v>
      </c>
      <c r="L2072" s="12">
        <v>352.0</v>
      </c>
      <c r="M2072" s="2" t="s">
        <v>5546</v>
      </c>
      <c r="N2072" s="2" t="str">
        <f>IFERROR(__xludf.DUMMYFUNCTION("""COMPUTED_VALUE"""),"")</f>
        <v/>
      </c>
    </row>
    <row r="2073">
      <c r="A2073" s="2" t="s">
        <v>33</v>
      </c>
      <c r="B2073" s="12">
        <v>1985348.0</v>
      </c>
      <c r="C2073" s="12">
        <v>1986352.0</v>
      </c>
      <c r="D2073" s="2"/>
      <c r="E2073" s="2" t="s">
        <v>38</v>
      </c>
      <c r="F2073" s="2" t="s">
        <v>2555</v>
      </c>
      <c r="G2073" s="2"/>
      <c r="H2073" s="12">
        <v>0.0</v>
      </c>
      <c r="I2073" s="2" t="s">
        <v>40</v>
      </c>
      <c r="J2073" s="2"/>
      <c r="K2073" s="2" t="s">
        <v>5547</v>
      </c>
      <c r="L2073" s="12">
        <v>334.0</v>
      </c>
      <c r="M2073" s="2" t="s">
        <v>5548</v>
      </c>
      <c r="N2073" s="2" t="str">
        <f>IFERROR(__xludf.DUMMYFUNCTION("""COMPUTED_VALUE"""),"")</f>
        <v/>
      </c>
    </row>
    <row r="2074">
      <c r="A2074" s="2" t="s">
        <v>33</v>
      </c>
      <c r="B2074" s="12">
        <v>1986525.0</v>
      </c>
      <c r="C2074" s="12">
        <v>1987493.0</v>
      </c>
      <c r="D2074" s="2"/>
      <c r="E2074" s="2" t="s">
        <v>34</v>
      </c>
      <c r="F2074" s="2" t="s">
        <v>1113</v>
      </c>
      <c r="G2074" s="2"/>
      <c r="H2074" s="12">
        <v>0.0</v>
      </c>
      <c r="I2074" s="2" t="s">
        <v>40</v>
      </c>
      <c r="J2074" s="2"/>
      <c r="K2074" s="2" t="s">
        <v>5549</v>
      </c>
      <c r="L2074" s="12">
        <v>322.0</v>
      </c>
      <c r="M2074" s="2" t="s">
        <v>5550</v>
      </c>
      <c r="N2074" s="2" t="str">
        <f>IFERROR(__xludf.DUMMYFUNCTION("""COMPUTED_VALUE"""),"")</f>
        <v/>
      </c>
    </row>
    <row r="2075">
      <c r="A2075" s="2" t="s">
        <v>33</v>
      </c>
      <c r="B2075" s="12">
        <v>1987873.0</v>
      </c>
      <c r="C2075" s="12">
        <v>1989222.0</v>
      </c>
      <c r="D2075" s="2"/>
      <c r="E2075" s="2" t="s">
        <v>34</v>
      </c>
      <c r="F2075" s="2" t="s">
        <v>5359</v>
      </c>
      <c r="G2075" s="2"/>
      <c r="H2075" s="12">
        <v>0.0</v>
      </c>
      <c r="I2075" s="2" t="s">
        <v>40</v>
      </c>
      <c r="J2075" s="2"/>
      <c r="K2075" s="2" t="s">
        <v>5551</v>
      </c>
      <c r="L2075" s="12">
        <v>449.0</v>
      </c>
      <c r="M2075" s="2" t="s">
        <v>5552</v>
      </c>
      <c r="N2075" s="2" t="str">
        <f>IFERROR(__xludf.DUMMYFUNCTION("""COMPUTED_VALUE"""),"")</f>
        <v/>
      </c>
    </row>
    <row r="2076">
      <c r="A2076" s="2" t="s">
        <v>33</v>
      </c>
      <c r="B2076" s="12">
        <v>1989260.0</v>
      </c>
      <c r="C2076" s="12">
        <v>1989439.0</v>
      </c>
      <c r="D2076" s="2"/>
      <c r="E2076" s="2" t="s">
        <v>38</v>
      </c>
      <c r="F2076" s="2" t="s">
        <v>5553</v>
      </c>
      <c r="G2076" s="2"/>
      <c r="H2076" s="12">
        <v>0.0</v>
      </c>
      <c r="I2076" s="2" t="s">
        <v>40</v>
      </c>
      <c r="J2076" s="2"/>
      <c r="K2076" s="2" t="s">
        <v>5554</v>
      </c>
      <c r="L2076" s="12">
        <v>59.0</v>
      </c>
      <c r="M2076" s="2" t="s">
        <v>5555</v>
      </c>
      <c r="N2076" s="2" t="str">
        <f>IFERROR(__xludf.DUMMYFUNCTION("""COMPUTED_VALUE"""),"")</f>
        <v/>
      </c>
    </row>
    <row r="2077">
      <c r="A2077" s="2" t="s">
        <v>33</v>
      </c>
      <c r="B2077" s="12">
        <v>1989631.0</v>
      </c>
      <c r="C2077" s="12">
        <v>1989918.0</v>
      </c>
      <c r="D2077" s="2"/>
      <c r="E2077" s="2" t="s">
        <v>38</v>
      </c>
      <c r="F2077" s="2" t="s">
        <v>220</v>
      </c>
      <c r="G2077" s="2"/>
      <c r="H2077" s="12">
        <v>0.0</v>
      </c>
      <c r="I2077" s="2" t="s">
        <v>40</v>
      </c>
      <c r="J2077" s="2"/>
      <c r="K2077" s="2" t="s">
        <v>5556</v>
      </c>
      <c r="L2077" s="12">
        <v>95.0</v>
      </c>
      <c r="M2077" s="2" t="s">
        <v>5557</v>
      </c>
      <c r="N2077" s="2" t="str">
        <f>IFERROR(__xludf.DUMMYFUNCTION("""COMPUTED_VALUE"""),"")</f>
        <v/>
      </c>
    </row>
    <row r="2078">
      <c r="A2078" s="2" t="s">
        <v>33</v>
      </c>
      <c r="B2078" s="12">
        <v>1990740.0</v>
      </c>
      <c r="C2078" s="12">
        <v>1992359.0</v>
      </c>
      <c r="D2078" s="2"/>
      <c r="E2078" s="2" t="s">
        <v>34</v>
      </c>
      <c r="F2078" s="2" t="s">
        <v>3856</v>
      </c>
      <c r="G2078" s="2"/>
      <c r="H2078" s="12">
        <v>0.0</v>
      </c>
      <c r="I2078" s="2" t="s">
        <v>40</v>
      </c>
      <c r="J2078" s="2"/>
      <c r="K2078" s="2" t="s">
        <v>5558</v>
      </c>
      <c r="L2078" s="12">
        <v>539.0</v>
      </c>
      <c r="M2078" s="2" t="s">
        <v>5559</v>
      </c>
      <c r="N2078" s="2" t="str">
        <f>IFERROR(__xludf.DUMMYFUNCTION("""COMPUTED_VALUE"""),"")</f>
        <v/>
      </c>
    </row>
    <row r="2079">
      <c r="A2079" s="2" t="s">
        <v>33</v>
      </c>
      <c r="B2079" s="12">
        <v>1992399.0</v>
      </c>
      <c r="C2079" s="12">
        <v>1993832.0</v>
      </c>
      <c r="D2079" s="2"/>
      <c r="E2079" s="2" t="s">
        <v>38</v>
      </c>
      <c r="F2079" s="2" t="s">
        <v>2411</v>
      </c>
      <c r="G2079" s="2" t="s">
        <v>2412</v>
      </c>
      <c r="H2079" s="12">
        <v>0.0</v>
      </c>
      <c r="I2079" s="2" t="s">
        <v>40</v>
      </c>
      <c r="J2079" s="2"/>
      <c r="K2079" s="2" t="s">
        <v>5560</v>
      </c>
      <c r="L2079" s="12">
        <v>477.0</v>
      </c>
      <c r="M2079" s="2" t="s">
        <v>5561</v>
      </c>
      <c r="N2079" s="2" t="str">
        <f>IFERROR(__xludf.DUMMYFUNCTION("""COMPUTED_VALUE"""),"")</f>
        <v/>
      </c>
    </row>
    <row r="2080">
      <c r="A2080" s="2" t="s">
        <v>33</v>
      </c>
      <c r="B2080" s="12">
        <v>1994006.0</v>
      </c>
      <c r="C2080" s="12">
        <v>1995304.0</v>
      </c>
      <c r="D2080" s="2"/>
      <c r="E2080" s="2" t="s">
        <v>38</v>
      </c>
      <c r="F2080" s="2" t="s">
        <v>1023</v>
      </c>
      <c r="G2080" s="2"/>
      <c r="H2080" s="12">
        <v>0.0</v>
      </c>
      <c r="I2080" s="2" t="s">
        <v>40</v>
      </c>
      <c r="J2080" s="2"/>
      <c r="K2080" s="2" t="s">
        <v>5562</v>
      </c>
      <c r="L2080" s="12">
        <v>432.0</v>
      </c>
      <c r="M2080" s="2" t="s">
        <v>5563</v>
      </c>
      <c r="N2080" s="2" t="str">
        <f>IFERROR(__xludf.DUMMYFUNCTION("""COMPUTED_VALUE"""),"")</f>
        <v/>
      </c>
    </row>
    <row r="2081">
      <c r="A2081" s="2" t="s">
        <v>33</v>
      </c>
      <c r="B2081" s="12">
        <v>1995413.0</v>
      </c>
      <c r="C2081" s="12">
        <v>1995799.0</v>
      </c>
      <c r="D2081" s="2"/>
      <c r="E2081" s="2" t="s">
        <v>38</v>
      </c>
      <c r="F2081" s="2" t="s">
        <v>541</v>
      </c>
      <c r="G2081" s="2"/>
      <c r="H2081" s="12">
        <v>0.0</v>
      </c>
      <c r="I2081" s="2" t="s">
        <v>40</v>
      </c>
      <c r="J2081" s="2"/>
      <c r="K2081" s="2" t="s">
        <v>5564</v>
      </c>
      <c r="L2081" s="12">
        <v>128.0</v>
      </c>
      <c r="M2081" s="2" t="s">
        <v>5565</v>
      </c>
      <c r="N2081" s="2" t="str">
        <f>IFERROR(__xludf.DUMMYFUNCTION("""COMPUTED_VALUE"""),"")</f>
        <v/>
      </c>
    </row>
    <row r="2082">
      <c r="A2082" s="2" t="s">
        <v>33</v>
      </c>
      <c r="B2082" s="12">
        <v>1995891.0</v>
      </c>
      <c r="C2082" s="12">
        <v>1997069.0</v>
      </c>
      <c r="D2082" s="2"/>
      <c r="E2082" s="2" t="s">
        <v>34</v>
      </c>
      <c r="F2082" s="2" t="s">
        <v>2184</v>
      </c>
      <c r="G2082" s="2"/>
      <c r="H2082" s="12">
        <v>0.0</v>
      </c>
      <c r="I2082" s="2" t="s">
        <v>40</v>
      </c>
      <c r="J2082" s="2"/>
      <c r="K2082" s="2" t="s">
        <v>5566</v>
      </c>
      <c r="L2082" s="12">
        <v>392.0</v>
      </c>
      <c r="M2082" s="2" t="s">
        <v>5567</v>
      </c>
      <c r="N2082" s="2" t="str">
        <f>IFERROR(__xludf.DUMMYFUNCTION("""COMPUTED_VALUE"""),"")</f>
        <v/>
      </c>
    </row>
    <row r="2083">
      <c r="A2083" s="2" t="s">
        <v>33</v>
      </c>
      <c r="B2083" s="12">
        <v>1997256.0</v>
      </c>
      <c r="C2083" s="12">
        <v>1998272.0</v>
      </c>
      <c r="D2083" s="2"/>
      <c r="E2083" s="2" t="s">
        <v>34</v>
      </c>
      <c r="F2083" s="2" t="s">
        <v>1789</v>
      </c>
      <c r="G2083" s="2"/>
      <c r="H2083" s="12">
        <v>0.0</v>
      </c>
      <c r="I2083" s="2" t="s">
        <v>40</v>
      </c>
      <c r="J2083" s="2"/>
      <c r="K2083" s="2" t="s">
        <v>5568</v>
      </c>
      <c r="L2083" s="12">
        <v>338.0</v>
      </c>
      <c r="M2083" s="2" t="s">
        <v>5569</v>
      </c>
      <c r="N2083" s="2" t="str">
        <f>IFERROR(__xludf.DUMMYFUNCTION("""COMPUTED_VALUE"""),"")</f>
        <v/>
      </c>
    </row>
    <row r="2084">
      <c r="A2084" s="2" t="s">
        <v>33</v>
      </c>
      <c r="B2084" s="12">
        <v>1998507.0</v>
      </c>
      <c r="C2084" s="12">
        <v>1999769.0</v>
      </c>
      <c r="D2084" s="2"/>
      <c r="E2084" s="2" t="s">
        <v>34</v>
      </c>
      <c r="F2084" s="2" t="s">
        <v>5570</v>
      </c>
      <c r="G2084" s="2"/>
      <c r="H2084" s="12">
        <v>0.0</v>
      </c>
      <c r="I2084" s="2" t="s">
        <v>40</v>
      </c>
      <c r="J2084" s="2"/>
      <c r="K2084" s="2" t="s">
        <v>5571</v>
      </c>
      <c r="L2084" s="12">
        <v>420.0</v>
      </c>
      <c r="M2084" s="2" t="s">
        <v>5572</v>
      </c>
      <c r="N2084" s="2" t="str">
        <f>IFERROR(__xludf.DUMMYFUNCTION("""COMPUTED_VALUE"""),"")</f>
        <v/>
      </c>
    </row>
    <row r="2085">
      <c r="A2085" s="2" t="s">
        <v>33</v>
      </c>
      <c r="B2085" s="12">
        <v>1999812.0</v>
      </c>
      <c r="C2085" s="12">
        <v>2000084.0</v>
      </c>
      <c r="D2085" s="2"/>
      <c r="E2085" s="2" t="s">
        <v>38</v>
      </c>
      <c r="F2085" s="2" t="s">
        <v>39</v>
      </c>
      <c r="G2085" s="2"/>
      <c r="H2085" s="12">
        <v>0.0</v>
      </c>
      <c r="I2085" s="2" t="s">
        <v>40</v>
      </c>
      <c r="J2085" s="2"/>
      <c r="K2085" s="2" t="s">
        <v>5573</v>
      </c>
      <c r="L2085" s="12">
        <v>90.0</v>
      </c>
      <c r="M2085" s="2" t="s">
        <v>5574</v>
      </c>
      <c r="N2085" s="2" t="str">
        <f>IFERROR(__xludf.DUMMYFUNCTION("""COMPUTED_VALUE"""),"")</f>
        <v/>
      </c>
    </row>
    <row r="2086">
      <c r="A2086" s="2" t="s">
        <v>33</v>
      </c>
      <c r="B2086" s="12">
        <v>2000101.0</v>
      </c>
      <c r="C2086" s="12">
        <v>2000619.0</v>
      </c>
      <c r="D2086" s="2"/>
      <c r="E2086" s="2" t="s">
        <v>38</v>
      </c>
      <c r="F2086" s="2" t="s">
        <v>5575</v>
      </c>
      <c r="G2086" s="2"/>
      <c r="H2086" s="12">
        <v>0.0</v>
      </c>
      <c r="I2086" s="2" t="s">
        <v>40</v>
      </c>
      <c r="J2086" s="2"/>
      <c r="K2086" s="2" t="s">
        <v>5576</v>
      </c>
      <c r="L2086" s="12">
        <v>172.0</v>
      </c>
      <c r="M2086" s="2" t="s">
        <v>5577</v>
      </c>
      <c r="N2086" s="2" t="str">
        <f>IFERROR(__xludf.DUMMYFUNCTION("""COMPUTED_VALUE"""),"")</f>
        <v/>
      </c>
    </row>
    <row r="2087">
      <c r="A2087" s="2" t="s">
        <v>33</v>
      </c>
      <c r="B2087" s="12">
        <v>2001018.0</v>
      </c>
      <c r="C2087" s="12">
        <v>2001566.0</v>
      </c>
      <c r="D2087" s="2"/>
      <c r="E2087" s="2" t="s">
        <v>34</v>
      </c>
      <c r="F2087" s="2" t="s">
        <v>4167</v>
      </c>
      <c r="G2087" s="2"/>
      <c r="H2087" s="12">
        <v>0.0</v>
      </c>
      <c r="I2087" s="2" t="s">
        <v>40</v>
      </c>
      <c r="J2087" s="2"/>
      <c r="K2087" s="2" t="s">
        <v>5578</v>
      </c>
      <c r="L2087" s="12">
        <v>182.0</v>
      </c>
      <c r="M2087" s="2" t="s">
        <v>5579</v>
      </c>
      <c r="N2087" s="2" t="str">
        <f>IFERROR(__xludf.DUMMYFUNCTION("""COMPUTED_VALUE"""),"")</f>
        <v/>
      </c>
    </row>
    <row r="2088">
      <c r="A2088" s="2" t="s">
        <v>33</v>
      </c>
      <c r="B2088" s="12">
        <v>2001630.0</v>
      </c>
      <c r="C2088" s="12">
        <v>2003330.0</v>
      </c>
      <c r="D2088" s="2"/>
      <c r="E2088" s="2" t="s">
        <v>38</v>
      </c>
      <c r="F2088" s="2" t="s">
        <v>362</v>
      </c>
      <c r="G2088" s="2"/>
      <c r="H2088" s="12">
        <v>0.0</v>
      </c>
      <c r="I2088" s="2" t="s">
        <v>40</v>
      </c>
      <c r="J2088" s="2"/>
      <c r="K2088" s="2" t="s">
        <v>5580</v>
      </c>
      <c r="L2088" s="12">
        <v>566.0</v>
      </c>
      <c r="M2088" s="2" t="s">
        <v>5581</v>
      </c>
      <c r="N2088" s="2" t="str">
        <f>IFERROR(__xludf.DUMMYFUNCTION("""COMPUTED_VALUE"""),"")</f>
        <v/>
      </c>
    </row>
    <row r="2089">
      <c r="A2089" s="2" t="s">
        <v>33</v>
      </c>
      <c r="B2089" s="12">
        <v>2003497.0</v>
      </c>
      <c r="C2089" s="12">
        <v>2003628.0</v>
      </c>
      <c r="D2089" s="2"/>
      <c r="E2089" s="2" t="s">
        <v>38</v>
      </c>
      <c r="F2089" s="2" t="s">
        <v>5582</v>
      </c>
      <c r="G2089" s="2" t="s">
        <v>5583</v>
      </c>
      <c r="H2089" s="12">
        <v>0.0</v>
      </c>
      <c r="I2089" s="2" t="s">
        <v>40</v>
      </c>
      <c r="J2089" s="2"/>
      <c r="K2089" s="2" t="s">
        <v>5584</v>
      </c>
      <c r="L2089" s="12">
        <v>43.0</v>
      </c>
      <c r="M2089" s="2" t="s">
        <v>5585</v>
      </c>
      <c r="N2089" s="2" t="str">
        <f>IFERROR(__xludf.DUMMYFUNCTION("""COMPUTED_VALUE"""),"")</f>
        <v/>
      </c>
    </row>
    <row r="2090">
      <c r="A2090" s="2" t="s">
        <v>33</v>
      </c>
      <c r="B2090" s="12">
        <v>2003631.0</v>
      </c>
      <c r="C2090" s="12">
        <v>2004383.0</v>
      </c>
      <c r="D2090" s="2"/>
      <c r="E2090" s="2" t="s">
        <v>38</v>
      </c>
      <c r="F2090" s="2" t="s">
        <v>35</v>
      </c>
      <c r="G2090" s="2"/>
      <c r="H2090" s="12">
        <v>0.0</v>
      </c>
      <c r="I2090" s="2" t="s">
        <v>36</v>
      </c>
      <c r="J2090" s="2"/>
      <c r="K2090" s="2"/>
      <c r="L2090" s="2"/>
      <c r="M2090" s="2" t="s">
        <v>5586</v>
      </c>
      <c r="N2090" s="2" t="str">
        <f>IFERROR(__xludf.DUMMYFUNCTION("""COMPUTED_VALUE"""),"")</f>
        <v/>
      </c>
    </row>
    <row r="2091">
      <c r="A2091" s="2" t="s">
        <v>33</v>
      </c>
      <c r="B2091" s="12">
        <v>2004539.0</v>
      </c>
      <c r="C2091" s="12">
        <v>2005618.0</v>
      </c>
      <c r="D2091" s="2"/>
      <c r="E2091" s="2" t="s">
        <v>38</v>
      </c>
      <c r="F2091" s="2" t="s">
        <v>76</v>
      </c>
      <c r="G2091" s="2"/>
      <c r="H2091" s="12">
        <v>0.0</v>
      </c>
      <c r="I2091" s="2" t="s">
        <v>40</v>
      </c>
      <c r="J2091" s="2"/>
      <c r="K2091" s="2" t="s">
        <v>77</v>
      </c>
      <c r="L2091" s="12">
        <v>359.0</v>
      </c>
      <c r="M2091" s="2" t="s">
        <v>5587</v>
      </c>
      <c r="N2091" s="2" t="str">
        <f>IFERROR(__xludf.DUMMYFUNCTION("""COMPUTED_VALUE"""),"")</f>
        <v/>
      </c>
    </row>
    <row r="2092">
      <c r="A2092" s="2" t="s">
        <v>33</v>
      </c>
      <c r="B2092" s="12">
        <v>2005624.0</v>
      </c>
      <c r="C2092" s="12">
        <v>2006025.0</v>
      </c>
      <c r="D2092" s="2"/>
      <c r="E2092" s="2" t="s">
        <v>38</v>
      </c>
      <c r="F2092" s="2" t="s">
        <v>748</v>
      </c>
      <c r="G2092" s="2" t="s">
        <v>79</v>
      </c>
      <c r="H2092" s="12">
        <v>0.0</v>
      </c>
      <c r="I2092" s="2" t="s">
        <v>40</v>
      </c>
      <c r="J2092" s="2"/>
      <c r="K2092" s="2" t="s">
        <v>749</v>
      </c>
      <c r="L2092" s="12">
        <v>133.0</v>
      </c>
      <c r="M2092" s="2" t="s">
        <v>5588</v>
      </c>
      <c r="N2092" s="2" t="str">
        <f>IFERROR(__xludf.DUMMYFUNCTION("""COMPUTED_VALUE"""),"")</f>
        <v/>
      </c>
    </row>
    <row r="2093">
      <c r="A2093" s="2" t="s">
        <v>33</v>
      </c>
      <c r="B2093" s="12">
        <v>2006189.0</v>
      </c>
      <c r="C2093" s="12">
        <v>2006707.0</v>
      </c>
      <c r="D2093" s="2"/>
      <c r="E2093" s="2" t="s">
        <v>38</v>
      </c>
      <c r="F2093" s="2" t="s">
        <v>35</v>
      </c>
      <c r="G2093" s="2"/>
      <c r="H2093" s="12">
        <v>0.0</v>
      </c>
      <c r="I2093" s="2" t="s">
        <v>36</v>
      </c>
      <c r="J2093" s="2"/>
      <c r="K2093" s="2"/>
      <c r="L2093" s="2"/>
      <c r="M2093" s="2" t="s">
        <v>5589</v>
      </c>
      <c r="N2093" s="2" t="str">
        <f>IFERROR(__xludf.DUMMYFUNCTION("""COMPUTED_VALUE"""),"")</f>
        <v/>
      </c>
    </row>
    <row r="2094">
      <c r="A2094" s="2" t="s">
        <v>33</v>
      </c>
      <c r="B2094" s="12">
        <v>2006907.0</v>
      </c>
      <c r="C2094" s="12">
        <v>2008370.0</v>
      </c>
      <c r="D2094" s="2"/>
      <c r="E2094" s="2" t="s">
        <v>34</v>
      </c>
      <c r="F2094" s="2" t="s">
        <v>5590</v>
      </c>
      <c r="G2094" s="2"/>
      <c r="H2094" s="12">
        <v>0.0</v>
      </c>
      <c r="I2094" s="2" t="s">
        <v>40</v>
      </c>
      <c r="J2094" s="2"/>
      <c r="K2094" s="2" t="s">
        <v>5591</v>
      </c>
      <c r="L2094" s="12">
        <v>487.0</v>
      </c>
      <c r="M2094" s="2" t="s">
        <v>5592</v>
      </c>
      <c r="N2094" s="2" t="str">
        <f>IFERROR(__xludf.DUMMYFUNCTION("""COMPUTED_VALUE"""),"")</f>
        <v/>
      </c>
    </row>
    <row r="2095">
      <c r="A2095" s="2" t="s">
        <v>33</v>
      </c>
      <c r="B2095" s="12">
        <v>2008574.0</v>
      </c>
      <c r="C2095" s="12">
        <v>2010940.0</v>
      </c>
      <c r="D2095" s="2"/>
      <c r="E2095" s="2" t="s">
        <v>38</v>
      </c>
      <c r="F2095" s="2" t="s">
        <v>5593</v>
      </c>
      <c r="G2095" s="2"/>
      <c r="H2095" s="12">
        <v>0.0</v>
      </c>
      <c r="I2095" s="2" t="s">
        <v>40</v>
      </c>
      <c r="J2095" s="2"/>
      <c r="K2095" s="2" t="s">
        <v>5594</v>
      </c>
      <c r="L2095" s="12">
        <v>788.0</v>
      </c>
      <c r="M2095" s="2" t="s">
        <v>5595</v>
      </c>
      <c r="N2095" s="2" t="str">
        <f>IFERROR(__xludf.DUMMYFUNCTION("""COMPUTED_VALUE"""),"")</f>
        <v/>
      </c>
    </row>
    <row r="2096">
      <c r="A2096" s="2" t="s">
        <v>33</v>
      </c>
      <c r="B2096" s="12">
        <v>2010964.0</v>
      </c>
      <c r="C2096" s="12">
        <v>2011341.0</v>
      </c>
      <c r="D2096" s="2"/>
      <c r="E2096" s="2" t="s">
        <v>38</v>
      </c>
      <c r="F2096" s="2" t="s">
        <v>5596</v>
      </c>
      <c r="G2096" s="2"/>
      <c r="H2096" s="12">
        <v>0.0</v>
      </c>
      <c r="I2096" s="2" t="s">
        <v>40</v>
      </c>
      <c r="J2096" s="2"/>
      <c r="K2096" s="2" t="s">
        <v>5597</v>
      </c>
      <c r="L2096" s="12">
        <v>125.0</v>
      </c>
      <c r="M2096" s="2" t="s">
        <v>5598</v>
      </c>
      <c r="N2096" s="2" t="str">
        <f>IFERROR(__xludf.DUMMYFUNCTION("""COMPUTED_VALUE"""),"")</f>
        <v/>
      </c>
    </row>
    <row r="2097">
      <c r="A2097" s="2" t="s">
        <v>33</v>
      </c>
      <c r="B2097" s="12">
        <v>2011670.0</v>
      </c>
      <c r="C2097" s="12">
        <v>2013085.0</v>
      </c>
      <c r="D2097" s="2"/>
      <c r="E2097" s="2" t="s">
        <v>38</v>
      </c>
      <c r="F2097" s="2" t="s">
        <v>4879</v>
      </c>
      <c r="G2097" s="2"/>
      <c r="H2097" s="12">
        <v>0.0</v>
      </c>
      <c r="I2097" s="2" t="s">
        <v>40</v>
      </c>
      <c r="J2097" s="2"/>
      <c r="K2097" s="2" t="s">
        <v>5599</v>
      </c>
      <c r="L2097" s="12">
        <v>471.0</v>
      </c>
      <c r="M2097" s="2" t="s">
        <v>5600</v>
      </c>
      <c r="N2097" s="2" t="str">
        <f>IFERROR(__xludf.DUMMYFUNCTION("""COMPUTED_VALUE"""),"")</f>
        <v/>
      </c>
    </row>
    <row r="2098">
      <c r="A2098" s="2" t="s">
        <v>33</v>
      </c>
      <c r="B2098" s="12">
        <v>2013189.0</v>
      </c>
      <c r="C2098" s="12">
        <v>2014322.0</v>
      </c>
      <c r="D2098" s="2"/>
      <c r="E2098" s="2" t="s">
        <v>38</v>
      </c>
      <c r="F2098" s="2" t="s">
        <v>5601</v>
      </c>
      <c r="G2098" s="2" t="s">
        <v>5602</v>
      </c>
      <c r="H2098" s="12">
        <v>0.0</v>
      </c>
      <c r="I2098" s="2" t="s">
        <v>40</v>
      </c>
      <c r="J2098" s="2"/>
      <c r="K2098" s="2" t="s">
        <v>5603</v>
      </c>
      <c r="L2098" s="12">
        <v>377.0</v>
      </c>
      <c r="M2098" s="2" t="s">
        <v>5604</v>
      </c>
      <c r="N2098" s="2" t="str">
        <f>IFERROR(__xludf.DUMMYFUNCTION("""COMPUTED_VALUE"""),"")</f>
        <v/>
      </c>
    </row>
    <row r="2099">
      <c r="A2099" s="2" t="s">
        <v>33</v>
      </c>
      <c r="B2099" s="12">
        <v>2014692.0</v>
      </c>
      <c r="C2099" s="12">
        <v>2016563.0</v>
      </c>
      <c r="D2099" s="2"/>
      <c r="E2099" s="2" t="s">
        <v>38</v>
      </c>
      <c r="F2099" s="2" t="s">
        <v>5605</v>
      </c>
      <c r="G2099" s="2"/>
      <c r="H2099" s="12">
        <v>0.0</v>
      </c>
      <c r="I2099" s="2" t="s">
        <v>40</v>
      </c>
      <c r="J2099" s="2"/>
      <c r="K2099" s="2" t="s">
        <v>5606</v>
      </c>
      <c r="L2099" s="12">
        <v>623.0</v>
      </c>
      <c r="M2099" s="2" t="s">
        <v>5607</v>
      </c>
      <c r="N2099" s="2" t="str">
        <f>IFERROR(__xludf.DUMMYFUNCTION("""COMPUTED_VALUE"""),"")</f>
        <v/>
      </c>
    </row>
    <row r="2100">
      <c r="A2100" s="2" t="s">
        <v>33</v>
      </c>
      <c r="B2100" s="12">
        <v>2016719.0</v>
      </c>
      <c r="C2100" s="12">
        <v>2017201.0</v>
      </c>
      <c r="D2100" s="2"/>
      <c r="E2100" s="2" t="s">
        <v>38</v>
      </c>
      <c r="F2100" s="2" t="s">
        <v>5608</v>
      </c>
      <c r="G2100" s="2"/>
      <c r="H2100" s="12">
        <v>0.0</v>
      </c>
      <c r="I2100" s="2" t="s">
        <v>40</v>
      </c>
      <c r="J2100" s="2"/>
      <c r="K2100" s="2" t="s">
        <v>5609</v>
      </c>
      <c r="L2100" s="12">
        <v>160.0</v>
      </c>
      <c r="M2100" s="2" t="s">
        <v>5610</v>
      </c>
      <c r="N2100" s="2" t="str">
        <f>IFERROR(__xludf.DUMMYFUNCTION("""COMPUTED_VALUE"""),"")</f>
        <v/>
      </c>
    </row>
    <row r="2101">
      <c r="A2101" s="2" t="s">
        <v>33</v>
      </c>
      <c r="B2101" s="12">
        <v>2017214.0</v>
      </c>
      <c r="C2101" s="12">
        <v>2020150.0</v>
      </c>
      <c r="D2101" s="2"/>
      <c r="E2101" s="2" t="s">
        <v>38</v>
      </c>
      <c r="F2101" s="2" t="s">
        <v>5611</v>
      </c>
      <c r="G2101" s="2" t="s">
        <v>5612</v>
      </c>
      <c r="H2101" s="12">
        <v>0.0</v>
      </c>
      <c r="I2101" s="2" t="s">
        <v>40</v>
      </c>
      <c r="J2101" s="2"/>
      <c r="K2101" s="2" t="s">
        <v>5613</v>
      </c>
      <c r="L2101" s="12">
        <v>978.0</v>
      </c>
      <c r="M2101" s="2" t="s">
        <v>5614</v>
      </c>
      <c r="N2101" s="2" t="str">
        <f>IFERROR(__xludf.DUMMYFUNCTION("""COMPUTED_VALUE"""),"")</f>
        <v/>
      </c>
    </row>
    <row r="2102">
      <c r="A2102" s="2" t="s">
        <v>33</v>
      </c>
      <c r="B2102" s="12">
        <v>2020451.0</v>
      </c>
      <c r="C2102" s="12">
        <v>2021257.0</v>
      </c>
      <c r="D2102" s="2"/>
      <c r="E2102" s="2" t="s">
        <v>34</v>
      </c>
      <c r="F2102" s="2" t="s">
        <v>5615</v>
      </c>
      <c r="G2102" s="2" t="s">
        <v>5616</v>
      </c>
      <c r="H2102" s="12">
        <v>0.0</v>
      </c>
      <c r="I2102" s="2" t="s">
        <v>40</v>
      </c>
      <c r="J2102" s="2"/>
      <c r="K2102" s="2" t="s">
        <v>5617</v>
      </c>
      <c r="L2102" s="12">
        <v>268.0</v>
      </c>
      <c r="M2102" s="2" t="s">
        <v>5618</v>
      </c>
      <c r="N2102" s="2" t="str">
        <f>IFERROR(__xludf.DUMMYFUNCTION("""COMPUTED_VALUE"""),"")</f>
        <v/>
      </c>
    </row>
    <row r="2103">
      <c r="A2103" s="2" t="s">
        <v>33</v>
      </c>
      <c r="B2103" s="12">
        <v>2021489.0</v>
      </c>
      <c r="C2103" s="12">
        <v>2021995.0</v>
      </c>
      <c r="D2103" s="2"/>
      <c r="E2103" s="2" t="s">
        <v>34</v>
      </c>
      <c r="F2103" s="2" t="s">
        <v>367</v>
      </c>
      <c r="G2103" s="2"/>
      <c r="H2103" s="12">
        <v>0.0</v>
      </c>
      <c r="I2103" s="2" t="s">
        <v>40</v>
      </c>
      <c r="J2103" s="2"/>
      <c r="K2103" s="2" t="s">
        <v>5619</v>
      </c>
      <c r="L2103" s="12">
        <v>168.0</v>
      </c>
      <c r="M2103" s="2" t="s">
        <v>5620</v>
      </c>
      <c r="N2103" s="2" t="str">
        <f>IFERROR(__xludf.DUMMYFUNCTION("""COMPUTED_VALUE"""),"")</f>
        <v/>
      </c>
    </row>
    <row r="2104">
      <c r="A2104" s="2" t="s">
        <v>33</v>
      </c>
      <c r="B2104" s="12">
        <v>2022352.0</v>
      </c>
      <c r="C2104" s="12">
        <v>2022474.0</v>
      </c>
      <c r="D2104" s="2"/>
      <c r="E2104" s="2" t="s">
        <v>38</v>
      </c>
      <c r="F2104" s="2" t="s">
        <v>39</v>
      </c>
      <c r="G2104" s="2"/>
      <c r="H2104" s="12">
        <v>0.0</v>
      </c>
      <c r="I2104" s="2" t="s">
        <v>40</v>
      </c>
      <c r="J2104" s="2"/>
      <c r="K2104" s="2" t="s">
        <v>5621</v>
      </c>
      <c r="L2104" s="12">
        <v>40.0</v>
      </c>
      <c r="M2104" s="2" t="s">
        <v>5622</v>
      </c>
      <c r="N2104" s="2" t="str">
        <f>IFERROR(__xludf.DUMMYFUNCTION("""COMPUTED_VALUE"""),"")</f>
        <v/>
      </c>
    </row>
    <row r="2105">
      <c r="A2105" s="2" t="s">
        <v>33</v>
      </c>
      <c r="B2105" s="12">
        <v>2022805.0</v>
      </c>
      <c r="C2105" s="12">
        <v>2023476.0</v>
      </c>
      <c r="D2105" s="2"/>
      <c r="E2105" s="2" t="s">
        <v>34</v>
      </c>
      <c r="F2105" s="2" t="s">
        <v>379</v>
      </c>
      <c r="G2105" s="2"/>
      <c r="H2105" s="12">
        <v>0.0</v>
      </c>
      <c r="I2105" s="2" t="s">
        <v>40</v>
      </c>
      <c r="J2105" s="2"/>
      <c r="K2105" s="2" t="s">
        <v>5623</v>
      </c>
      <c r="L2105" s="12">
        <v>223.0</v>
      </c>
      <c r="M2105" s="2" t="s">
        <v>5624</v>
      </c>
      <c r="N2105" s="2" t="str">
        <f>IFERROR(__xludf.DUMMYFUNCTION("""COMPUTED_VALUE"""),"")</f>
        <v/>
      </c>
    </row>
    <row r="2106">
      <c r="A2106" s="2" t="s">
        <v>33</v>
      </c>
      <c r="B2106" s="12">
        <v>2023542.0</v>
      </c>
      <c r="C2106" s="12">
        <v>2024996.0</v>
      </c>
      <c r="D2106" s="2"/>
      <c r="E2106" s="2" t="s">
        <v>34</v>
      </c>
      <c r="F2106" s="2" t="s">
        <v>5460</v>
      </c>
      <c r="G2106" s="2"/>
      <c r="H2106" s="12">
        <v>0.0</v>
      </c>
      <c r="I2106" s="2" t="s">
        <v>40</v>
      </c>
      <c r="J2106" s="2"/>
      <c r="K2106" s="2" t="s">
        <v>5625</v>
      </c>
      <c r="L2106" s="12">
        <v>484.0</v>
      </c>
      <c r="M2106" s="2" t="s">
        <v>5626</v>
      </c>
      <c r="N2106" s="2" t="str">
        <f>IFERROR(__xludf.DUMMYFUNCTION("""COMPUTED_VALUE"""),"")</f>
        <v/>
      </c>
    </row>
    <row r="2107">
      <c r="A2107" s="2" t="s">
        <v>33</v>
      </c>
      <c r="B2107" s="12">
        <v>2025142.0</v>
      </c>
      <c r="C2107" s="12">
        <v>2025654.0</v>
      </c>
      <c r="D2107" s="2"/>
      <c r="E2107" s="2" t="s">
        <v>34</v>
      </c>
      <c r="F2107" s="2" t="s">
        <v>367</v>
      </c>
      <c r="G2107" s="2"/>
      <c r="H2107" s="12">
        <v>0.0</v>
      </c>
      <c r="I2107" s="2" t="s">
        <v>40</v>
      </c>
      <c r="J2107" s="2"/>
      <c r="K2107" s="2" t="s">
        <v>5627</v>
      </c>
      <c r="L2107" s="12">
        <v>170.0</v>
      </c>
      <c r="M2107" s="2" t="s">
        <v>5628</v>
      </c>
      <c r="N2107" s="2" t="str">
        <f>IFERROR(__xludf.DUMMYFUNCTION("""COMPUTED_VALUE"""),"")</f>
        <v/>
      </c>
    </row>
    <row r="2108">
      <c r="A2108" s="2" t="s">
        <v>33</v>
      </c>
      <c r="B2108" s="12">
        <v>2025687.0</v>
      </c>
      <c r="C2108" s="12">
        <v>2027087.0</v>
      </c>
      <c r="D2108" s="2"/>
      <c r="E2108" s="2" t="s">
        <v>38</v>
      </c>
      <c r="F2108" s="2" t="s">
        <v>250</v>
      </c>
      <c r="G2108" s="2"/>
      <c r="H2108" s="12">
        <v>0.0</v>
      </c>
      <c r="I2108" s="2" t="s">
        <v>40</v>
      </c>
      <c r="J2108" s="2"/>
      <c r="K2108" s="2" t="s">
        <v>5629</v>
      </c>
      <c r="L2108" s="12">
        <v>466.0</v>
      </c>
      <c r="M2108" s="2" t="s">
        <v>5630</v>
      </c>
      <c r="N2108" s="2" t="str">
        <f>IFERROR(__xludf.DUMMYFUNCTION("""COMPUTED_VALUE"""),"")</f>
        <v/>
      </c>
    </row>
    <row r="2109">
      <c r="A2109" s="2" t="s">
        <v>33</v>
      </c>
      <c r="B2109" s="12">
        <v>2027208.0</v>
      </c>
      <c r="C2109" s="12">
        <v>2028134.0</v>
      </c>
      <c r="D2109" s="2"/>
      <c r="E2109" s="2" t="s">
        <v>34</v>
      </c>
      <c r="F2109" s="2" t="s">
        <v>738</v>
      </c>
      <c r="G2109" s="2"/>
      <c r="H2109" s="12">
        <v>0.0</v>
      </c>
      <c r="I2109" s="2" t="s">
        <v>40</v>
      </c>
      <c r="J2109" s="2"/>
      <c r="K2109" s="2" t="s">
        <v>5631</v>
      </c>
      <c r="L2109" s="12">
        <v>308.0</v>
      </c>
      <c r="M2109" s="2" t="s">
        <v>5632</v>
      </c>
      <c r="N2109" s="2" t="str">
        <f>IFERROR(__xludf.DUMMYFUNCTION("""COMPUTED_VALUE"""),"")</f>
        <v/>
      </c>
    </row>
    <row r="2110">
      <c r="A2110" s="2" t="s">
        <v>33</v>
      </c>
      <c r="B2110" s="12">
        <v>2028322.0</v>
      </c>
      <c r="C2110" s="12">
        <v>2028846.0</v>
      </c>
      <c r="D2110" s="2"/>
      <c r="E2110" s="2" t="s">
        <v>34</v>
      </c>
      <c r="F2110" s="2" t="s">
        <v>5633</v>
      </c>
      <c r="G2110" s="2"/>
      <c r="H2110" s="12">
        <v>0.0</v>
      </c>
      <c r="I2110" s="2" t="s">
        <v>40</v>
      </c>
      <c r="J2110" s="2"/>
      <c r="K2110" s="2" t="s">
        <v>5634</v>
      </c>
      <c r="L2110" s="12">
        <v>174.0</v>
      </c>
      <c r="M2110" s="2" t="s">
        <v>5635</v>
      </c>
      <c r="N2110" s="2" t="str">
        <f>IFERROR(__xludf.DUMMYFUNCTION("""COMPUTED_VALUE"""),"")</f>
        <v/>
      </c>
    </row>
    <row r="2111">
      <c r="A2111" s="2" t="s">
        <v>33</v>
      </c>
      <c r="B2111" s="12">
        <v>2029139.0</v>
      </c>
      <c r="C2111" s="12">
        <v>2030338.0</v>
      </c>
      <c r="D2111" s="2"/>
      <c r="E2111" s="2" t="s">
        <v>38</v>
      </c>
      <c r="F2111" s="2" t="s">
        <v>5636</v>
      </c>
      <c r="G2111" s="2"/>
      <c r="H2111" s="12">
        <v>0.0</v>
      </c>
      <c r="I2111" s="2" t="s">
        <v>40</v>
      </c>
      <c r="J2111" s="2"/>
      <c r="K2111" s="2" t="s">
        <v>5637</v>
      </c>
      <c r="L2111" s="12">
        <v>399.0</v>
      </c>
      <c r="M2111" s="2" t="s">
        <v>5638</v>
      </c>
      <c r="N2111" s="2" t="str">
        <f>IFERROR(__xludf.DUMMYFUNCTION("""COMPUTED_VALUE"""),"")</f>
        <v/>
      </c>
    </row>
    <row r="2112">
      <c r="A2112" s="2" t="s">
        <v>33</v>
      </c>
      <c r="B2112" s="12">
        <v>2030398.0</v>
      </c>
      <c r="C2112" s="12">
        <v>2031744.0</v>
      </c>
      <c r="D2112" s="2"/>
      <c r="E2112" s="2" t="s">
        <v>38</v>
      </c>
      <c r="F2112" s="2" t="s">
        <v>5639</v>
      </c>
      <c r="G2112" s="2"/>
      <c r="H2112" s="12">
        <v>0.0</v>
      </c>
      <c r="I2112" s="2" t="s">
        <v>40</v>
      </c>
      <c r="J2112" s="2"/>
      <c r="K2112" s="2" t="s">
        <v>5640</v>
      </c>
      <c r="L2112" s="12">
        <v>448.0</v>
      </c>
      <c r="M2112" s="2" t="s">
        <v>5641</v>
      </c>
      <c r="N2112" s="2" t="str">
        <f>IFERROR(__xludf.DUMMYFUNCTION("""COMPUTED_VALUE"""),"")</f>
        <v/>
      </c>
    </row>
    <row r="2113">
      <c r="A2113" s="2" t="s">
        <v>33</v>
      </c>
      <c r="B2113" s="12">
        <v>2031867.0</v>
      </c>
      <c r="C2113" s="12">
        <v>2032574.0</v>
      </c>
      <c r="D2113" s="2"/>
      <c r="E2113" s="2" t="s">
        <v>38</v>
      </c>
      <c r="F2113" s="2" t="s">
        <v>2401</v>
      </c>
      <c r="G2113" s="2"/>
      <c r="H2113" s="12">
        <v>0.0</v>
      </c>
      <c r="I2113" s="2" t="s">
        <v>40</v>
      </c>
      <c r="J2113" s="2"/>
      <c r="K2113" s="2" t="s">
        <v>5642</v>
      </c>
      <c r="L2113" s="12">
        <v>235.0</v>
      </c>
      <c r="M2113" s="2" t="s">
        <v>5643</v>
      </c>
      <c r="N2113" s="2" t="str">
        <f>IFERROR(__xludf.DUMMYFUNCTION("""COMPUTED_VALUE"""),"")</f>
        <v/>
      </c>
    </row>
    <row r="2114">
      <c r="A2114" s="2" t="s">
        <v>33</v>
      </c>
      <c r="B2114" s="12">
        <v>2032571.0</v>
      </c>
      <c r="C2114" s="12">
        <v>2034175.0</v>
      </c>
      <c r="D2114" s="2"/>
      <c r="E2114" s="2" t="s">
        <v>38</v>
      </c>
      <c r="F2114" s="2" t="s">
        <v>2404</v>
      </c>
      <c r="G2114" s="2"/>
      <c r="H2114" s="12">
        <v>0.0</v>
      </c>
      <c r="I2114" s="2" t="s">
        <v>40</v>
      </c>
      <c r="J2114" s="2"/>
      <c r="K2114" s="2" t="s">
        <v>5644</v>
      </c>
      <c r="L2114" s="12">
        <v>534.0</v>
      </c>
      <c r="M2114" s="2" t="s">
        <v>5645</v>
      </c>
      <c r="N2114" s="2" t="str">
        <f>IFERROR(__xludf.DUMMYFUNCTION("""COMPUTED_VALUE"""),"")</f>
        <v/>
      </c>
    </row>
    <row r="2115">
      <c r="A2115" s="2" t="s">
        <v>33</v>
      </c>
      <c r="B2115" s="12">
        <v>2034254.0</v>
      </c>
      <c r="C2115" s="12">
        <v>2036236.0</v>
      </c>
      <c r="D2115" s="2"/>
      <c r="E2115" s="2" t="s">
        <v>38</v>
      </c>
      <c r="F2115" s="2" t="s">
        <v>1689</v>
      </c>
      <c r="G2115" s="2"/>
      <c r="H2115" s="12">
        <v>0.0</v>
      </c>
      <c r="I2115" s="2" t="s">
        <v>40</v>
      </c>
      <c r="J2115" s="2"/>
      <c r="K2115" s="2" t="s">
        <v>5646</v>
      </c>
      <c r="L2115" s="12">
        <v>660.0</v>
      </c>
      <c r="M2115" s="2" t="s">
        <v>5647</v>
      </c>
      <c r="N2115" s="2" t="str">
        <f>IFERROR(__xludf.DUMMYFUNCTION("""COMPUTED_VALUE"""),"")</f>
        <v/>
      </c>
    </row>
    <row r="2116">
      <c r="A2116" s="2" t="s">
        <v>33</v>
      </c>
      <c r="B2116" s="12">
        <v>2036518.0</v>
      </c>
      <c r="C2116" s="12">
        <v>2037273.0</v>
      </c>
      <c r="D2116" s="2"/>
      <c r="E2116" s="2" t="s">
        <v>38</v>
      </c>
      <c r="F2116" s="2" t="s">
        <v>5314</v>
      </c>
      <c r="G2116" s="2"/>
      <c r="H2116" s="12">
        <v>0.0</v>
      </c>
      <c r="I2116" s="2" t="s">
        <v>40</v>
      </c>
      <c r="J2116" s="2"/>
      <c r="K2116" s="2" t="s">
        <v>5648</v>
      </c>
      <c r="L2116" s="12">
        <v>251.0</v>
      </c>
      <c r="M2116" s="2" t="s">
        <v>5649</v>
      </c>
      <c r="N2116" s="2" t="str">
        <f>IFERROR(__xludf.DUMMYFUNCTION("""COMPUTED_VALUE"""),"")</f>
        <v/>
      </c>
    </row>
    <row r="2117">
      <c r="A2117" s="2" t="s">
        <v>33</v>
      </c>
      <c r="B2117" s="12">
        <v>2037281.0</v>
      </c>
      <c r="C2117" s="12">
        <v>2038102.0</v>
      </c>
      <c r="D2117" s="2"/>
      <c r="E2117" s="2" t="s">
        <v>38</v>
      </c>
      <c r="F2117" s="2" t="s">
        <v>39</v>
      </c>
      <c r="G2117" s="2"/>
      <c r="H2117" s="12">
        <v>0.0</v>
      </c>
      <c r="I2117" s="2" t="s">
        <v>40</v>
      </c>
      <c r="J2117" s="2"/>
      <c r="K2117" s="2" t="s">
        <v>5650</v>
      </c>
      <c r="L2117" s="12">
        <v>273.0</v>
      </c>
      <c r="M2117" s="2" t="s">
        <v>5651</v>
      </c>
      <c r="N2117" s="2" t="str">
        <f>IFERROR(__xludf.DUMMYFUNCTION("""COMPUTED_VALUE"""),"")</f>
        <v/>
      </c>
    </row>
    <row r="2118">
      <c r="A2118" s="2" t="s">
        <v>33</v>
      </c>
      <c r="B2118" s="12">
        <v>2038334.0</v>
      </c>
      <c r="C2118" s="12">
        <v>2039584.0</v>
      </c>
      <c r="D2118" s="2"/>
      <c r="E2118" s="2" t="s">
        <v>38</v>
      </c>
      <c r="F2118" s="2" t="s">
        <v>382</v>
      </c>
      <c r="G2118" s="2"/>
      <c r="H2118" s="12">
        <v>0.0</v>
      </c>
      <c r="I2118" s="2" t="s">
        <v>40</v>
      </c>
      <c r="J2118" s="2"/>
      <c r="K2118" s="2" t="s">
        <v>5652</v>
      </c>
      <c r="L2118" s="12">
        <v>416.0</v>
      </c>
      <c r="M2118" s="2" t="s">
        <v>5653</v>
      </c>
      <c r="N2118" s="2" t="str">
        <f>IFERROR(__xludf.DUMMYFUNCTION("""COMPUTED_VALUE"""),"")</f>
        <v/>
      </c>
    </row>
    <row r="2119">
      <c r="A2119" s="2" t="s">
        <v>33</v>
      </c>
      <c r="B2119" s="12">
        <v>2039581.0</v>
      </c>
      <c r="C2119" s="12">
        <v>2040252.0</v>
      </c>
      <c r="D2119" s="2"/>
      <c r="E2119" s="2" t="s">
        <v>38</v>
      </c>
      <c r="F2119" s="2" t="s">
        <v>379</v>
      </c>
      <c r="G2119" s="2"/>
      <c r="H2119" s="12">
        <v>0.0</v>
      </c>
      <c r="I2119" s="2" t="s">
        <v>40</v>
      </c>
      <c r="J2119" s="2"/>
      <c r="K2119" s="2" t="s">
        <v>5654</v>
      </c>
      <c r="L2119" s="12">
        <v>223.0</v>
      </c>
      <c r="M2119" s="2" t="s">
        <v>5655</v>
      </c>
      <c r="N2119" s="2" t="str">
        <f>IFERROR(__xludf.DUMMYFUNCTION("""COMPUTED_VALUE"""),"")</f>
        <v/>
      </c>
    </row>
    <row r="2120">
      <c r="A2120" s="2" t="s">
        <v>33</v>
      </c>
      <c r="B2120" s="12">
        <v>2040448.0</v>
      </c>
      <c r="C2120" s="12">
        <v>2041152.0</v>
      </c>
      <c r="D2120" s="2"/>
      <c r="E2120" s="2" t="s">
        <v>38</v>
      </c>
      <c r="F2120" s="2" t="s">
        <v>5656</v>
      </c>
      <c r="G2120" s="2"/>
      <c r="H2120" s="12">
        <v>0.0</v>
      </c>
      <c r="I2120" s="2" t="s">
        <v>40</v>
      </c>
      <c r="J2120" s="2"/>
      <c r="K2120" s="2" t="s">
        <v>5657</v>
      </c>
      <c r="L2120" s="12">
        <v>234.0</v>
      </c>
      <c r="M2120" s="2" t="s">
        <v>5658</v>
      </c>
      <c r="N2120" s="2" t="str">
        <f>IFERROR(__xludf.DUMMYFUNCTION("""COMPUTED_VALUE"""),"")</f>
        <v/>
      </c>
    </row>
    <row r="2121">
      <c r="A2121" s="2" t="s">
        <v>33</v>
      </c>
      <c r="B2121" s="12">
        <v>2041590.0</v>
      </c>
      <c r="C2121" s="12">
        <v>2042966.0</v>
      </c>
      <c r="D2121" s="2"/>
      <c r="E2121" s="2" t="s">
        <v>38</v>
      </c>
      <c r="F2121" s="2" t="s">
        <v>1113</v>
      </c>
      <c r="G2121" s="2"/>
      <c r="H2121" s="12">
        <v>0.0</v>
      </c>
      <c r="I2121" s="2" t="s">
        <v>40</v>
      </c>
      <c r="J2121" s="2"/>
      <c r="K2121" s="2" t="s">
        <v>5659</v>
      </c>
      <c r="L2121" s="12">
        <v>458.0</v>
      </c>
      <c r="M2121" s="2" t="s">
        <v>5660</v>
      </c>
      <c r="N2121" s="2" t="str">
        <f>IFERROR(__xludf.DUMMYFUNCTION("""COMPUTED_VALUE"""),"")</f>
        <v/>
      </c>
    </row>
    <row r="2122">
      <c r="A2122" s="2" t="s">
        <v>33</v>
      </c>
      <c r="B2122" s="12">
        <v>2042988.0</v>
      </c>
      <c r="C2122" s="12">
        <v>2043809.0</v>
      </c>
      <c r="D2122" s="2"/>
      <c r="E2122" s="2" t="s">
        <v>38</v>
      </c>
      <c r="F2122" s="2" t="s">
        <v>5661</v>
      </c>
      <c r="G2122" s="2"/>
      <c r="H2122" s="12">
        <v>0.0</v>
      </c>
      <c r="I2122" s="2" t="s">
        <v>40</v>
      </c>
      <c r="J2122" s="2"/>
      <c r="K2122" s="2" t="s">
        <v>5662</v>
      </c>
      <c r="L2122" s="12">
        <v>273.0</v>
      </c>
      <c r="M2122" s="2" t="s">
        <v>5663</v>
      </c>
      <c r="N2122" s="2" t="str">
        <f>IFERROR(__xludf.DUMMYFUNCTION("""COMPUTED_VALUE"""),"")</f>
        <v/>
      </c>
    </row>
    <row r="2123">
      <c r="A2123" s="2" t="s">
        <v>33</v>
      </c>
      <c r="B2123" s="12">
        <v>2043806.0</v>
      </c>
      <c r="C2123" s="12">
        <v>2044738.0</v>
      </c>
      <c r="D2123" s="2"/>
      <c r="E2123" s="2" t="s">
        <v>38</v>
      </c>
      <c r="F2123" s="2" t="s">
        <v>5661</v>
      </c>
      <c r="G2123" s="2"/>
      <c r="H2123" s="12">
        <v>0.0</v>
      </c>
      <c r="I2123" s="2" t="s">
        <v>40</v>
      </c>
      <c r="J2123" s="2"/>
      <c r="K2123" s="2" t="s">
        <v>5664</v>
      </c>
      <c r="L2123" s="12">
        <v>310.0</v>
      </c>
      <c r="M2123" s="2" t="s">
        <v>5665</v>
      </c>
      <c r="N2123" s="2" t="str">
        <f>IFERROR(__xludf.DUMMYFUNCTION("""COMPUTED_VALUE"""),"")</f>
        <v/>
      </c>
    </row>
    <row r="2124">
      <c r="A2124" s="2" t="s">
        <v>33</v>
      </c>
      <c r="B2124" s="12">
        <v>2044738.0</v>
      </c>
      <c r="C2124" s="12">
        <v>2045835.0</v>
      </c>
      <c r="D2124" s="2"/>
      <c r="E2124" s="2" t="s">
        <v>38</v>
      </c>
      <c r="F2124" s="2" t="s">
        <v>432</v>
      </c>
      <c r="G2124" s="2"/>
      <c r="H2124" s="12">
        <v>0.0</v>
      </c>
      <c r="I2124" s="2" t="s">
        <v>40</v>
      </c>
      <c r="J2124" s="2"/>
      <c r="K2124" s="2" t="s">
        <v>5666</v>
      </c>
      <c r="L2124" s="12">
        <v>365.0</v>
      </c>
      <c r="M2124" s="2" t="s">
        <v>5667</v>
      </c>
      <c r="N2124" s="2" t="str">
        <f>IFERROR(__xludf.DUMMYFUNCTION("""COMPUTED_VALUE"""),"")</f>
        <v/>
      </c>
    </row>
    <row r="2125">
      <c r="A2125" s="2" t="s">
        <v>33</v>
      </c>
      <c r="B2125" s="12">
        <v>2045832.0</v>
      </c>
      <c r="C2125" s="12">
        <v>2046398.0</v>
      </c>
      <c r="D2125" s="2"/>
      <c r="E2125" s="2" t="s">
        <v>38</v>
      </c>
      <c r="F2125" s="2" t="s">
        <v>5668</v>
      </c>
      <c r="G2125" s="2"/>
      <c r="H2125" s="12">
        <v>0.0</v>
      </c>
      <c r="I2125" s="2" t="s">
        <v>40</v>
      </c>
      <c r="J2125" s="2"/>
      <c r="K2125" s="2" t="s">
        <v>5669</v>
      </c>
      <c r="L2125" s="12">
        <v>188.0</v>
      </c>
      <c r="M2125" s="2" t="s">
        <v>5670</v>
      </c>
      <c r="N2125" s="2" t="str">
        <f>IFERROR(__xludf.DUMMYFUNCTION("""COMPUTED_VALUE"""),"")</f>
        <v/>
      </c>
    </row>
    <row r="2126">
      <c r="A2126" s="2" t="s">
        <v>33</v>
      </c>
      <c r="B2126" s="12">
        <v>2046867.0</v>
      </c>
      <c r="C2126" s="12">
        <v>2047736.0</v>
      </c>
      <c r="D2126" s="2"/>
      <c r="E2126" s="2" t="s">
        <v>38</v>
      </c>
      <c r="F2126" s="2" t="s">
        <v>5671</v>
      </c>
      <c r="G2126" s="2"/>
      <c r="H2126" s="12">
        <v>0.0</v>
      </c>
      <c r="I2126" s="2" t="s">
        <v>40</v>
      </c>
      <c r="J2126" s="2"/>
      <c r="K2126" s="2" t="s">
        <v>5672</v>
      </c>
      <c r="L2126" s="12">
        <v>289.0</v>
      </c>
      <c r="M2126" s="2" t="s">
        <v>5673</v>
      </c>
      <c r="N2126" s="2" t="str">
        <f>IFERROR(__xludf.DUMMYFUNCTION("""COMPUTED_VALUE"""),"")</f>
        <v/>
      </c>
    </row>
    <row r="2127">
      <c r="A2127" s="2" t="s">
        <v>33</v>
      </c>
      <c r="B2127" s="12">
        <v>2048023.0</v>
      </c>
      <c r="C2127" s="12">
        <v>2048526.0</v>
      </c>
      <c r="D2127" s="2"/>
      <c r="E2127" s="2" t="s">
        <v>38</v>
      </c>
      <c r="F2127" s="2" t="s">
        <v>5674</v>
      </c>
      <c r="G2127" s="2"/>
      <c r="H2127" s="12">
        <v>0.0</v>
      </c>
      <c r="I2127" s="2" t="s">
        <v>40</v>
      </c>
      <c r="J2127" s="2"/>
      <c r="K2127" s="2" t="s">
        <v>5675</v>
      </c>
      <c r="L2127" s="12">
        <v>167.0</v>
      </c>
      <c r="M2127" s="2" t="s">
        <v>5676</v>
      </c>
      <c r="N2127" s="2" t="str">
        <f>IFERROR(__xludf.DUMMYFUNCTION("""COMPUTED_VALUE"""),"")</f>
        <v/>
      </c>
    </row>
    <row r="2128">
      <c r="A2128" s="2" t="s">
        <v>33</v>
      </c>
      <c r="B2128" s="12">
        <v>2048662.0</v>
      </c>
      <c r="C2128" s="12">
        <v>2048916.0</v>
      </c>
      <c r="D2128" s="2"/>
      <c r="E2128" s="2" t="s">
        <v>38</v>
      </c>
      <c r="F2128" s="2" t="s">
        <v>39</v>
      </c>
      <c r="G2128" s="2"/>
      <c r="H2128" s="12">
        <v>0.0</v>
      </c>
      <c r="I2128" s="2" t="s">
        <v>40</v>
      </c>
      <c r="J2128" s="2"/>
      <c r="K2128" s="2" t="s">
        <v>5677</v>
      </c>
      <c r="L2128" s="12">
        <v>84.0</v>
      </c>
      <c r="M2128" s="2" t="s">
        <v>5678</v>
      </c>
      <c r="N2128" s="2" t="str">
        <f>IFERROR(__xludf.DUMMYFUNCTION("""COMPUTED_VALUE"""),"")</f>
        <v/>
      </c>
    </row>
    <row r="2129">
      <c r="A2129" s="2" t="s">
        <v>33</v>
      </c>
      <c r="B2129" s="12">
        <v>2049171.0</v>
      </c>
      <c r="C2129" s="12">
        <v>2050475.0</v>
      </c>
      <c r="D2129" s="2"/>
      <c r="E2129" s="2" t="s">
        <v>34</v>
      </c>
      <c r="F2129" s="2" t="s">
        <v>5679</v>
      </c>
      <c r="G2129" s="2"/>
      <c r="H2129" s="12">
        <v>0.0</v>
      </c>
      <c r="I2129" s="2" t="s">
        <v>40</v>
      </c>
      <c r="J2129" s="2"/>
      <c r="K2129" s="2" t="s">
        <v>5680</v>
      </c>
      <c r="L2129" s="12">
        <v>434.0</v>
      </c>
      <c r="M2129" s="2" t="s">
        <v>5681</v>
      </c>
      <c r="N2129" s="2" t="str">
        <f>IFERROR(__xludf.DUMMYFUNCTION("""COMPUTED_VALUE"""),"")</f>
        <v/>
      </c>
    </row>
    <row r="2130">
      <c r="A2130" s="2" t="s">
        <v>33</v>
      </c>
      <c r="B2130" s="12">
        <v>2050522.0</v>
      </c>
      <c r="C2130" s="12">
        <v>2051214.0</v>
      </c>
      <c r="D2130" s="2"/>
      <c r="E2130" s="2" t="s">
        <v>38</v>
      </c>
      <c r="F2130" s="2" t="s">
        <v>2401</v>
      </c>
      <c r="G2130" s="2"/>
      <c r="H2130" s="12">
        <v>0.0</v>
      </c>
      <c r="I2130" s="2" t="s">
        <v>40</v>
      </c>
      <c r="J2130" s="2"/>
      <c r="K2130" s="2" t="s">
        <v>5682</v>
      </c>
      <c r="L2130" s="12">
        <v>230.0</v>
      </c>
      <c r="M2130" s="2" t="s">
        <v>5683</v>
      </c>
      <c r="N2130" s="2" t="str">
        <f>IFERROR(__xludf.DUMMYFUNCTION("""COMPUTED_VALUE"""),"")</f>
        <v/>
      </c>
    </row>
    <row r="2131">
      <c r="A2131" s="2" t="s">
        <v>33</v>
      </c>
      <c r="B2131" s="12">
        <v>2051217.0</v>
      </c>
      <c r="C2131" s="12">
        <v>2052824.0</v>
      </c>
      <c r="D2131" s="2"/>
      <c r="E2131" s="2" t="s">
        <v>38</v>
      </c>
      <c r="F2131" s="2" t="s">
        <v>2404</v>
      </c>
      <c r="G2131" s="2"/>
      <c r="H2131" s="12">
        <v>0.0</v>
      </c>
      <c r="I2131" s="2" t="s">
        <v>40</v>
      </c>
      <c r="J2131" s="2"/>
      <c r="K2131" s="2" t="s">
        <v>5684</v>
      </c>
      <c r="L2131" s="12">
        <v>535.0</v>
      </c>
      <c r="M2131" s="2" t="s">
        <v>5685</v>
      </c>
      <c r="N2131" s="2" t="str">
        <f>IFERROR(__xludf.DUMMYFUNCTION("""COMPUTED_VALUE"""),"")</f>
        <v/>
      </c>
    </row>
    <row r="2132">
      <c r="A2132" s="2" t="s">
        <v>33</v>
      </c>
      <c r="B2132" s="12">
        <v>2052976.0</v>
      </c>
      <c r="C2132" s="12">
        <v>2053923.0</v>
      </c>
      <c r="D2132" s="2"/>
      <c r="E2132" s="2" t="s">
        <v>38</v>
      </c>
      <c r="F2132" s="2" t="s">
        <v>1689</v>
      </c>
      <c r="G2132" s="2"/>
      <c r="H2132" s="12">
        <v>0.0</v>
      </c>
      <c r="I2132" s="2" t="s">
        <v>40</v>
      </c>
      <c r="J2132" s="2"/>
      <c r="K2132" s="2" t="s">
        <v>5686</v>
      </c>
      <c r="L2132" s="12">
        <v>315.0</v>
      </c>
      <c r="M2132" s="2" t="s">
        <v>5687</v>
      </c>
      <c r="N2132" s="2" t="str">
        <f>IFERROR(__xludf.DUMMYFUNCTION("""COMPUTED_VALUE"""),"")</f>
        <v/>
      </c>
    </row>
    <row r="2133">
      <c r="A2133" s="2" t="s">
        <v>33</v>
      </c>
      <c r="B2133" s="12">
        <v>2053918.0</v>
      </c>
      <c r="C2133" s="12">
        <v>2054952.0</v>
      </c>
      <c r="D2133" s="2"/>
      <c r="E2133" s="2" t="s">
        <v>38</v>
      </c>
      <c r="F2133" s="2" t="s">
        <v>35</v>
      </c>
      <c r="G2133" s="2"/>
      <c r="H2133" s="12">
        <v>0.0</v>
      </c>
      <c r="I2133" s="2" t="s">
        <v>36</v>
      </c>
      <c r="J2133" s="2"/>
      <c r="K2133" s="2"/>
      <c r="L2133" s="2"/>
      <c r="M2133" s="2" t="s">
        <v>5688</v>
      </c>
      <c r="N2133" s="2" t="str">
        <f>IFERROR(__xludf.DUMMYFUNCTION("""COMPUTED_VALUE"""),"")</f>
        <v/>
      </c>
    </row>
    <row r="2134">
      <c r="A2134" s="2" t="s">
        <v>33</v>
      </c>
      <c r="B2134" s="12">
        <v>2055202.0</v>
      </c>
      <c r="C2134" s="12">
        <v>2056776.0</v>
      </c>
      <c r="D2134" s="2"/>
      <c r="E2134" s="2" t="s">
        <v>38</v>
      </c>
      <c r="F2134" s="2" t="s">
        <v>5689</v>
      </c>
      <c r="G2134" s="2"/>
      <c r="H2134" s="12">
        <v>0.0</v>
      </c>
      <c r="I2134" s="2" t="s">
        <v>40</v>
      </c>
      <c r="J2134" s="2"/>
      <c r="K2134" s="2" t="s">
        <v>5690</v>
      </c>
      <c r="L2134" s="12">
        <v>524.0</v>
      </c>
      <c r="M2134" s="2" t="s">
        <v>5691</v>
      </c>
      <c r="N2134" s="2" t="str">
        <f>IFERROR(__xludf.DUMMYFUNCTION("""COMPUTED_VALUE"""),"")</f>
        <v/>
      </c>
    </row>
    <row r="2135">
      <c r="A2135" s="2" t="s">
        <v>33</v>
      </c>
      <c r="B2135" s="12">
        <v>2056789.0</v>
      </c>
      <c r="C2135" s="12">
        <v>2057337.0</v>
      </c>
      <c r="D2135" s="2"/>
      <c r="E2135" s="2" t="s">
        <v>38</v>
      </c>
      <c r="F2135" s="2" t="s">
        <v>1538</v>
      </c>
      <c r="G2135" s="2"/>
      <c r="H2135" s="12">
        <v>0.0</v>
      </c>
      <c r="I2135" s="2" t="s">
        <v>40</v>
      </c>
      <c r="J2135" s="2"/>
      <c r="K2135" s="2" t="s">
        <v>5692</v>
      </c>
      <c r="L2135" s="12">
        <v>182.0</v>
      </c>
      <c r="M2135" s="2" t="s">
        <v>5693</v>
      </c>
      <c r="N2135" s="2" t="str">
        <f>IFERROR(__xludf.DUMMYFUNCTION("""COMPUTED_VALUE"""),"")</f>
        <v/>
      </c>
    </row>
    <row r="2136">
      <c r="A2136" s="2" t="s">
        <v>33</v>
      </c>
      <c r="B2136" s="12">
        <v>2057642.0</v>
      </c>
      <c r="C2136" s="12">
        <v>2060539.0</v>
      </c>
      <c r="D2136" s="2"/>
      <c r="E2136" s="2" t="s">
        <v>38</v>
      </c>
      <c r="F2136" s="2" t="s">
        <v>5694</v>
      </c>
      <c r="G2136" s="2" t="s">
        <v>458</v>
      </c>
      <c r="H2136" s="12">
        <v>0.0</v>
      </c>
      <c r="I2136" s="2" t="s">
        <v>40</v>
      </c>
      <c r="J2136" s="2"/>
      <c r="K2136" s="2" t="s">
        <v>5695</v>
      </c>
      <c r="L2136" s="12">
        <v>965.0</v>
      </c>
      <c r="M2136" s="2" t="s">
        <v>5696</v>
      </c>
      <c r="N2136" s="2" t="str">
        <f>IFERROR(__xludf.DUMMYFUNCTION("""COMPUTED_VALUE"""),"")</f>
        <v/>
      </c>
    </row>
    <row r="2137">
      <c r="A2137" s="2" t="s">
        <v>33</v>
      </c>
      <c r="B2137" s="12">
        <v>2060786.0</v>
      </c>
      <c r="C2137" s="12">
        <v>2062336.0</v>
      </c>
      <c r="D2137" s="2"/>
      <c r="E2137" s="2" t="s">
        <v>34</v>
      </c>
      <c r="F2137" s="2" t="s">
        <v>5697</v>
      </c>
      <c r="G2137" s="2" t="s">
        <v>5698</v>
      </c>
      <c r="H2137" s="12">
        <v>0.0</v>
      </c>
      <c r="I2137" s="2" t="s">
        <v>40</v>
      </c>
      <c r="J2137" s="2"/>
      <c r="K2137" s="2" t="s">
        <v>5699</v>
      </c>
      <c r="L2137" s="12">
        <v>516.0</v>
      </c>
      <c r="M2137" s="2" t="s">
        <v>5700</v>
      </c>
      <c r="N2137" s="2" t="str">
        <f>IFERROR(__xludf.DUMMYFUNCTION("""COMPUTED_VALUE"""),"")</f>
        <v/>
      </c>
    </row>
    <row r="2138">
      <c r="A2138" s="2" t="s">
        <v>33</v>
      </c>
      <c r="B2138" s="12">
        <v>2062438.0</v>
      </c>
      <c r="C2138" s="12">
        <v>2062967.0</v>
      </c>
      <c r="D2138" s="2"/>
      <c r="E2138" s="2" t="s">
        <v>38</v>
      </c>
      <c r="F2138" s="2" t="s">
        <v>35</v>
      </c>
      <c r="G2138" s="2"/>
      <c r="H2138" s="12">
        <v>0.0</v>
      </c>
      <c r="I2138" s="2" t="s">
        <v>36</v>
      </c>
      <c r="J2138" s="2"/>
      <c r="K2138" s="2"/>
      <c r="L2138" s="2"/>
      <c r="M2138" s="2" t="s">
        <v>5701</v>
      </c>
      <c r="N2138" s="2" t="str">
        <f>IFERROR(__xludf.DUMMYFUNCTION("""COMPUTED_VALUE"""),"")</f>
        <v/>
      </c>
    </row>
    <row r="2139">
      <c r="A2139" s="2" t="s">
        <v>33</v>
      </c>
      <c r="B2139" s="12">
        <v>2063124.0</v>
      </c>
      <c r="C2139" s="12">
        <v>2066204.0</v>
      </c>
      <c r="D2139" s="2"/>
      <c r="E2139" s="2" t="s">
        <v>38</v>
      </c>
      <c r="F2139" s="2" t="s">
        <v>5702</v>
      </c>
      <c r="G2139" s="2"/>
      <c r="H2139" s="12">
        <v>0.0</v>
      </c>
      <c r="I2139" s="2" t="s">
        <v>40</v>
      </c>
      <c r="J2139" s="2"/>
      <c r="K2139" s="2" t="s">
        <v>5703</v>
      </c>
      <c r="L2139" s="12">
        <v>1026.0</v>
      </c>
      <c r="M2139" s="2" t="s">
        <v>5704</v>
      </c>
      <c r="N2139" s="2" t="str">
        <f>IFERROR(__xludf.DUMMYFUNCTION("""COMPUTED_VALUE"""),"")</f>
        <v/>
      </c>
    </row>
    <row r="2140">
      <c r="A2140" s="2" t="s">
        <v>33</v>
      </c>
      <c r="B2140" s="12">
        <v>2066333.0</v>
      </c>
      <c r="C2140" s="12">
        <v>2067508.0</v>
      </c>
      <c r="D2140" s="2"/>
      <c r="E2140" s="2" t="s">
        <v>38</v>
      </c>
      <c r="F2140" s="2" t="s">
        <v>5705</v>
      </c>
      <c r="G2140" s="2" t="s">
        <v>5706</v>
      </c>
      <c r="H2140" s="12">
        <v>0.0</v>
      </c>
      <c r="I2140" s="2" t="s">
        <v>40</v>
      </c>
      <c r="J2140" s="2"/>
      <c r="K2140" s="2" t="s">
        <v>5707</v>
      </c>
      <c r="L2140" s="12">
        <v>391.0</v>
      </c>
      <c r="M2140" s="2" t="s">
        <v>5708</v>
      </c>
      <c r="N2140" s="2" t="str">
        <f>IFERROR(__xludf.DUMMYFUNCTION("""COMPUTED_VALUE"""),"")</f>
        <v/>
      </c>
    </row>
    <row r="2141">
      <c r="A2141" s="2" t="s">
        <v>33</v>
      </c>
      <c r="B2141" s="12">
        <v>2067961.0</v>
      </c>
      <c r="C2141" s="12">
        <v>2069856.0</v>
      </c>
      <c r="D2141" s="2"/>
      <c r="E2141" s="2" t="s">
        <v>38</v>
      </c>
      <c r="F2141" s="2" t="s">
        <v>5709</v>
      </c>
      <c r="G2141" s="2"/>
      <c r="H2141" s="12">
        <v>0.0</v>
      </c>
      <c r="I2141" s="2" t="s">
        <v>40</v>
      </c>
      <c r="J2141" s="2"/>
      <c r="K2141" s="2" t="s">
        <v>5710</v>
      </c>
      <c r="L2141" s="12">
        <v>631.0</v>
      </c>
      <c r="M2141" s="2" t="s">
        <v>5711</v>
      </c>
      <c r="N2141" s="2" t="str">
        <f>IFERROR(__xludf.DUMMYFUNCTION("""COMPUTED_VALUE"""),"")</f>
        <v/>
      </c>
    </row>
    <row r="2142">
      <c r="A2142" s="2" t="s">
        <v>33</v>
      </c>
      <c r="B2142" s="12">
        <v>2070242.0</v>
      </c>
      <c r="C2142" s="12">
        <v>2072311.0</v>
      </c>
      <c r="D2142" s="2"/>
      <c r="E2142" s="2" t="s">
        <v>38</v>
      </c>
      <c r="F2142" s="2" t="s">
        <v>5712</v>
      </c>
      <c r="G2142" s="2"/>
      <c r="H2142" s="12">
        <v>0.0</v>
      </c>
      <c r="I2142" s="2" t="s">
        <v>40</v>
      </c>
      <c r="J2142" s="2"/>
      <c r="K2142" s="2" t="s">
        <v>5713</v>
      </c>
      <c r="L2142" s="12">
        <v>689.0</v>
      </c>
      <c r="M2142" s="2" t="s">
        <v>5714</v>
      </c>
      <c r="N2142" s="2" t="str">
        <f>IFERROR(__xludf.DUMMYFUNCTION("""COMPUTED_VALUE"""),"")</f>
        <v/>
      </c>
    </row>
    <row r="2143">
      <c r="A2143" s="2" t="s">
        <v>33</v>
      </c>
      <c r="B2143" s="12">
        <v>2072440.0</v>
      </c>
      <c r="C2143" s="12">
        <v>2072928.0</v>
      </c>
      <c r="D2143" s="2"/>
      <c r="E2143" s="2" t="s">
        <v>38</v>
      </c>
      <c r="F2143" s="2" t="s">
        <v>5715</v>
      </c>
      <c r="G2143" s="2" t="s">
        <v>5716</v>
      </c>
      <c r="H2143" s="12">
        <v>0.0</v>
      </c>
      <c r="I2143" s="2" t="s">
        <v>40</v>
      </c>
      <c r="J2143" s="2"/>
      <c r="K2143" s="2" t="s">
        <v>5717</v>
      </c>
      <c r="L2143" s="12">
        <v>162.0</v>
      </c>
      <c r="M2143" s="2" t="s">
        <v>5718</v>
      </c>
      <c r="N2143" s="2" t="str">
        <f>IFERROR(__xludf.DUMMYFUNCTION("""COMPUTED_VALUE"""),"")</f>
        <v/>
      </c>
    </row>
    <row r="2144">
      <c r="A2144" s="2" t="s">
        <v>33</v>
      </c>
      <c r="B2144" s="12">
        <v>2072987.0</v>
      </c>
      <c r="C2144" s="12">
        <v>2073874.0</v>
      </c>
      <c r="D2144" s="2"/>
      <c r="E2144" s="2" t="s">
        <v>38</v>
      </c>
      <c r="F2144" s="2" t="s">
        <v>5719</v>
      </c>
      <c r="G2144" s="2"/>
      <c r="H2144" s="12">
        <v>0.0</v>
      </c>
      <c r="I2144" s="2" t="s">
        <v>40</v>
      </c>
      <c r="J2144" s="2"/>
      <c r="K2144" s="2" t="s">
        <v>5720</v>
      </c>
      <c r="L2144" s="12">
        <v>295.0</v>
      </c>
      <c r="M2144" s="2" t="s">
        <v>5721</v>
      </c>
      <c r="N2144" s="2" t="str">
        <f>IFERROR(__xludf.DUMMYFUNCTION("""COMPUTED_VALUE"""),"")</f>
        <v/>
      </c>
    </row>
    <row r="2145">
      <c r="A2145" s="2" t="s">
        <v>33</v>
      </c>
      <c r="B2145" s="12">
        <v>2073919.0</v>
      </c>
      <c r="C2145" s="12">
        <v>2075061.0</v>
      </c>
      <c r="D2145" s="2"/>
      <c r="E2145" s="2" t="s">
        <v>38</v>
      </c>
      <c r="F2145" s="2" t="s">
        <v>5722</v>
      </c>
      <c r="G2145" s="2" t="s">
        <v>5723</v>
      </c>
      <c r="H2145" s="12">
        <v>0.0</v>
      </c>
      <c r="I2145" s="2" t="s">
        <v>40</v>
      </c>
      <c r="J2145" s="2"/>
      <c r="K2145" s="2" t="s">
        <v>5724</v>
      </c>
      <c r="L2145" s="12">
        <v>380.0</v>
      </c>
      <c r="M2145" s="2" t="s">
        <v>5725</v>
      </c>
      <c r="N2145" s="2" t="str">
        <f>IFERROR(__xludf.DUMMYFUNCTION("""COMPUTED_VALUE"""),"")</f>
        <v/>
      </c>
    </row>
    <row r="2146">
      <c r="A2146" s="2" t="s">
        <v>33</v>
      </c>
      <c r="B2146" s="12">
        <v>2075261.0</v>
      </c>
      <c r="C2146" s="12">
        <v>2075334.0</v>
      </c>
      <c r="D2146" s="2"/>
      <c r="E2146" s="2" t="s">
        <v>38</v>
      </c>
      <c r="F2146" s="2" t="s">
        <v>5248</v>
      </c>
      <c r="G2146" s="2"/>
      <c r="H2146" s="12">
        <v>0.0</v>
      </c>
      <c r="I2146" s="2" t="s">
        <v>3783</v>
      </c>
      <c r="J2146" s="2"/>
      <c r="K2146" s="2"/>
      <c r="L2146" s="2"/>
      <c r="M2146" s="2" t="s">
        <v>5726</v>
      </c>
      <c r="N2146" s="2" t="str">
        <f>IFERROR(__xludf.DUMMYFUNCTION("""COMPUTED_VALUE"""),"")</f>
        <v/>
      </c>
    </row>
    <row r="2147">
      <c r="A2147" s="2" t="s">
        <v>33</v>
      </c>
      <c r="B2147" s="12">
        <v>2075450.0</v>
      </c>
      <c r="C2147" s="12">
        <v>2076100.0</v>
      </c>
      <c r="D2147" s="2"/>
      <c r="E2147" s="2" t="s">
        <v>38</v>
      </c>
      <c r="F2147" s="2" t="s">
        <v>5727</v>
      </c>
      <c r="G2147" s="2"/>
      <c r="H2147" s="12">
        <v>0.0</v>
      </c>
      <c r="I2147" s="2" t="s">
        <v>40</v>
      </c>
      <c r="J2147" s="2"/>
      <c r="K2147" s="2" t="s">
        <v>5728</v>
      </c>
      <c r="L2147" s="12">
        <v>216.0</v>
      </c>
      <c r="M2147" s="2" t="s">
        <v>5729</v>
      </c>
      <c r="N2147" s="2" t="str">
        <f>IFERROR(__xludf.DUMMYFUNCTION("""COMPUTED_VALUE"""),"")</f>
        <v/>
      </c>
    </row>
    <row r="2148">
      <c r="A2148" s="2" t="s">
        <v>33</v>
      </c>
      <c r="B2148" s="12">
        <v>2076288.0</v>
      </c>
      <c r="C2148" s="12">
        <v>2077064.0</v>
      </c>
      <c r="D2148" s="2"/>
      <c r="E2148" s="2" t="s">
        <v>38</v>
      </c>
      <c r="F2148" s="2" t="s">
        <v>3260</v>
      </c>
      <c r="G2148" s="2"/>
      <c r="H2148" s="12">
        <v>0.0</v>
      </c>
      <c r="I2148" s="2" t="s">
        <v>40</v>
      </c>
      <c r="J2148" s="2"/>
      <c r="K2148" s="2" t="s">
        <v>5730</v>
      </c>
      <c r="L2148" s="12">
        <v>258.0</v>
      </c>
      <c r="M2148" s="2" t="s">
        <v>5731</v>
      </c>
      <c r="N2148" s="2" t="str">
        <f>IFERROR(__xludf.DUMMYFUNCTION("""COMPUTED_VALUE"""),"")</f>
        <v/>
      </c>
    </row>
    <row r="2149">
      <c r="A2149" s="2" t="s">
        <v>33</v>
      </c>
      <c r="B2149" s="12">
        <v>2077558.0</v>
      </c>
      <c r="C2149" s="12">
        <v>2078019.0</v>
      </c>
      <c r="D2149" s="2"/>
      <c r="E2149" s="2" t="s">
        <v>38</v>
      </c>
      <c r="F2149" s="2" t="s">
        <v>1611</v>
      </c>
      <c r="G2149" s="2"/>
      <c r="H2149" s="12">
        <v>0.0</v>
      </c>
      <c r="I2149" s="2" t="s">
        <v>40</v>
      </c>
      <c r="J2149" s="2"/>
      <c r="K2149" s="2" t="s">
        <v>5732</v>
      </c>
      <c r="L2149" s="12">
        <v>153.0</v>
      </c>
      <c r="M2149" s="2" t="s">
        <v>5733</v>
      </c>
      <c r="N2149" s="2" t="str">
        <f>IFERROR(__xludf.DUMMYFUNCTION("""COMPUTED_VALUE"""),"")</f>
        <v/>
      </c>
    </row>
    <row r="2150">
      <c r="A2150" s="2" t="s">
        <v>33</v>
      </c>
      <c r="B2150" s="12">
        <v>2078166.0</v>
      </c>
      <c r="C2150" s="12">
        <v>2078885.0</v>
      </c>
      <c r="D2150" s="2"/>
      <c r="E2150" s="2" t="s">
        <v>38</v>
      </c>
      <c r="F2150" s="2" t="s">
        <v>5734</v>
      </c>
      <c r="G2150" s="2"/>
      <c r="H2150" s="12">
        <v>0.0</v>
      </c>
      <c r="I2150" s="2" t="s">
        <v>40</v>
      </c>
      <c r="J2150" s="2"/>
      <c r="K2150" s="2" t="s">
        <v>5735</v>
      </c>
      <c r="L2150" s="12">
        <v>239.0</v>
      </c>
      <c r="M2150" s="2" t="s">
        <v>5736</v>
      </c>
      <c r="N2150" s="2" t="str">
        <f>IFERROR(__xludf.DUMMYFUNCTION("""COMPUTED_VALUE"""),"")</f>
        <v/>
      </c>
    </row>
    <row r="2151">
      <c r="A2151" s="2" t="s">
        <v>33</v>
      </c>
      <c r="B2151" s="12">
        <v>2079237.0</v>
      </c>
      <c r="C2151" s="12">
        <v>2079557.0</v>
      </c>
      <c r="D2151" s="2"/>
      <c r="E2151" s="2" t="s">
        <v>34</v>
      </c>
      <c r="F2151" s="2" t="s">
        <v>5737</v>
      </c>
      <c r="G2151" s="2"/>
      <c r="H2151" s="12">
        <v>0.0</v>
      </c>
      <c r="I2151" s="2" t="s">
        <v>40</v>
      </c>
      <c r="J2151" s="2"/>
      <c r="K2151" s="2" t="s">
        <v>5738</v>
      </c>
      <c r="L2151" s="12">
        <v>106.0</v>
      </c>
      <c r="M2151" s="2" t="s">
        <v>5739</v>
      </c>
      <c r="N2151" s="2" t="str">
        <f>IFERROR(__xludf.DUMMYFUNCTION("""COMPUTED_VALUE"""),"")</f>
        <v/>
      </c>
    </row>
    <row r="2152">
      <c r="A2152" s="2" t="s">
        <v>33</v>
      </c>
      <c r="B2152" s="12">
        <v>2079767.0</v>
      </c>
      <c r="C2152" s="12">
        <v>2079848.0</v>
      </c>
      <c r="D2152" s="2"/>
      <c r="E2152" s="2" t="s">
        <v>38</v>
      </c>
      <c r="F2152" s="2" t="s">
        <v>5246</v>
      </c>
      <c r="G2152" s="2"/>
      <c r="H2152" s="12">
        <v>0.0</v>
      </c>
      <c r="I2152" s="2" t="s">
        <v>3783</v>
      </c>
      <c r="J2152" s="2"/>
      <c r="K2152" s="2"/>
      <c r="L2152" s="2"/>
      <c r="M2152" s="2" t="s">
        <v>5740</v>
      </c>
      <c r="N2152" s="2" t="str">
        <f>IFERROR(__xludf.DUMMYFUNCTION("""COMPUTED_VALUE"""),"")</f>
        <v/>
      </c>
    </row>
    <row r="2153">
      <c r="A2153" s="2" t="s">
        <v>33</v>
      </c>
      <c r="B2153" s="12">
        <v>2079859.0</v>
      </c>
      <c r="C2153" s="12">
        <v>2079929.0</v>
      </c>
      <c r="D2153" s="2"/>
      <c r="E2153" s="2" t="s">
        <v>38</v>
      </c>
      <c r="F2153" s="2" t="s">
        <v>5741</v>
      </c>
      <c r="G2153" s="2"/>
      <c r="H2153" s="12">
        <v>0.0</v>
      </c>
      <c r="I2153" s="2" t="s">
        <v>3783</v>
      </c>
      <c r="J2153" s="2"/>
      <c r="K2153" s="2"/>
      <c r="L2153" s="2"/>
      <c r="M2153" s="2" t="s">
        <v>5742</v>
      </c>
      <c r="N2153" s="2" t="str">
        <f>IFERROR(__xludf.DUMMYFUNCTION("""COMPUTED_VALUE"""),"")</f>
        <v/>
      </c>
    </row>
    <row r="2154">
      <c r="A2154" s="2" t="s">
        <v>33</v>
      </c>
      <c r="B2154" s="12">
        <v>2079944.0</v>
      </c>
      <c r="C2154" s="12">
        <v>2080018.0</v>
      </c>
      <c r="D2154" s="2"/>
      <c r="E2154" s="2" t="s">
        <v>38</v>
      </c>
      <c r="F2154" s="2" t="s">
        <v>5248</v>
      </c>
      <c r="G2154" s="2"/>
      <c r="H2154" s="12">
        <v>0.0</v>
      </c>
      <c r="I2154" s="2" t="s">
        <v>3783</v>
      </c>
      <c r="J2154" s="2"/>
      <c r="K2154" s="2"/>
      <c r="L2154" s="2"/>
      <c r="M2154" s="2" t="s">
        <v>5743</v>
      </c>
      <c r="N2154" s="2" t="str">
        <f>IFERROR(__xludf.DUMMYFUNCTION("""COMPUTED_VALUE"""),"")</f>
        <v/>
      </c>
    </row>
    <row r="2155">
      <c r="A2155" s="2" t="s">
        <v>33</v>
      </c>
      <c r="B2155" s="12">
        <v>2080024.0</v>
      </c>
      <c r="C2155" s="12">
        <v>2080098.0</v>
      </c>
      <c r="D2155" s="2"/>
      <c r="E2155" s="2" t="s">
        <v>38</v>
      </c>
      <c r="F2155" s="2" t="s">
        <v>5253</v>
      </c>
      <c r="G2155" s="2"/>
      <c r="H2155" s="12">
        <v>0.0</v>
      </c>
      <c r="I2155" s="2" t="s">
        <v>3783</v>
      </c>
      <c r="J2155" s="2"/>
      <c r="K2155" s="2"/>
      <c r="L2155" s="2"/>
      <c r="M2155" s="2" t="s">
        <v>5744</v>
      </c>
      <c r="N2155" s="2" t="str">
        <f>IFERROR(__xludf.DUMMYFUNCTION("""COMPUTED_VALUE"""),"")</f>
        <v/>
      </c>
    </row>
    <row r="2156">
      <c r="A2156" s="2" t="s">
        <v>33</v>
      </c>
      <c r="B2156" s="12">
        <v>2080162.0</v>
      </c>
      <c r="C2156" s="12">
        <v>2080237.0</v>
      </c>
      <c r="D2156" s="2"/>
      <c r="E2156" s="2" t="s">
        <v>38</v>
      </c>
      <c r="F2156" s="2" t="s">
        <v>5745</v>
      </c>
      <c r="G2156" s="2"/>
      <c r="H2156" s="12">
        <v>0.0</v>
      </c>
      <c r="I2156" s="2" t="s">
        <v>3783</v>
      </c>
      <c r="J2156" s="2"/>
      <c r="K2156" s="2"/>
      <c r="L2156" s="2"/>
      <c r="M2156" s="2" t="s">
        <v>5746</v>
      </c>
      <c r="N2156" s="2" t="str">
        <f>IFERROR(__xludf.DUMMYFUNCTION("""COMPUTED_VALUE"""),"")</f>
        <v/>
      </c>
    </row>
    <row r="2157">
      <c r="A2157" s="2" t="s">
        <v>33</v>
      </c>
      <c r="B2157" s="12">
        <v>2080257.0</v>
      </c>
      <c r="C2157" s="12">
        <v>2080330.0</v>
      </c>
      <c r="D2157" s="2"/>
      <c r="E2157" s="2" t="s">
        <v>38</v>
      </c>
      <c r="F2157" s="2" t="s">
        <v>5227</v>
      </c>
      <c r="G2157" s="2"/>
      <c r="H2157" s="12">
        <v>0.0</v>
      </c>
      <c r="I2157" s="2" t="s">
        <v>3783</v>
      </c>
      <c r="J2157" s="2"/>
      <c r="K2157" s="2"/>
      <c r="L2157" s="2"/>
      <c r="M2157" s="2" t="s">
        <v>5747</v>
      </c>
      <c r="N2157" s="2" t="str">
        <f>IFERROR(__xludf.DUMMYFUNCTION("""COMPUTED_VALUE"""),"")</f>
        <v/>
      </c>
    </row>
    <row r="2158">
      <c r="A2158" s="2" t="s">
        <v>33</v>
      </c>
      <c r="B2158" s="12">
        <v>2080338.0</v>
      </c>
      <c r="C2158" s="12">
        <v>2080421.0</v>
      </c>
      <c r="D2158" s="2"/>
      <c r="E2158" s="2" t="s">
        <v>38</v>
      </c>
      <c r="F2158" s="2" t="s">
        <v>5255</v>
      </c>
      <c r="G2158" s="2"/>
      <c r="H2158" s="12">
        <v>0.0</v>
      </c>
      <c r="I2158" s="2" t="s">
        <v>3783</v>
      </c>
      <c r="J2158" s="2"/>
      <c r="K2158" s="2"/>
      <c r="L2158" s="2"/>
      <c r="M2158" s="2" t="s">
        <v>5748</v>
      </c>
      <c r="N2158" s="2" t="str">
        <f>IFERROR(__xludf.DUMMYFUNCTION("""COMPUTED_VALUE"""),"")</f>
        <v/>
      </c>
    </row>
    <row r="2159">
      <c r="A2159" s="2" t="s">
        <v>33</v>
      </c>
      <c r="B2159" s="12">
        <v>2080432.0</v>
      </c>
      <c r="C2159" s="12">
        <v>2080507.0</v>
      </c>
      <c r="D2159" s="2"/>
      <c r="E2159" s="2" t="s">
        <v>38</v>
      </c>
      <c r="F2159" s="2" t="s">
        <v>5229</v>
      </c>
      <c r="G2159" s="2"/>
      <c r="H2159" s="12">
        <v>0.0</v>
      </c>
      <c r="I2159" s="2" t="s">
        <v>3783</v>
      </c>
      <c r="J2159" s="2"/>
      <c r="K2159" s="2"/>
      <c r="L2159" s="2"/>
      <c r="M2159" s="2" t="s">
        <v>5749</v>
      </c>
      <c r="N2159" s="2" t="str">
        <f>IFERROR(__xludf.DUMMYFUNCTION("""COMPUTED_VALUE"""),"")</f>
        <v/>
      </c>
    </row>
    <row r="2160">
      <c r="A2160" s="2" t="s">
        <v>33</v>
      </c>
      <c r="B2160" s="12">
        <v>2080526.0</v>
      </c>
      <c r="C2160" s="12">
        <v>2080601.0</v>
      </c>
      <c r="D2160" s="2"/>
      <c r="E2160" s="2" t="s">
        <v>38</v>
      </c>
      <c r="F2160" s="2" t="s">
        <v>5231</v>
      </c>
      <c r="G2160" s="2"/>
      <c r="H2160" s="12">
        <v>0.0</v>
      </c>
      <c r="I2160" s="2" t="s">
        <v>3783</v>
      </c>
      <c r="J2160" s="2"/>
      <c r="K2160" s="2"/>
      <c r="L2160" s="2"/>
      <c r="M2160" s="2" t="s">
        <v>5750</v>
      </c>
      <c r="N2160" s="2" t="str">
        <f>IFERROR(__xludf.DUMMYFUNCTION("""COMPUTED_VALUE"""),"")</f>
        <v/>
      </c>
    </row>
    <row r="2161">
      <c r="A2161" s="2" t="s">
        <v>33</v>
      </c>
      <c r="B2161" s="12">
        <v>2080611.0</v>
      </c>
      <c r="C2161" s="12">
        <v>2080686.0</v>
      </c>
      <c r="D2161" s="2"/>
      <c r="E2161" s="2" t="s">
        <v>38</v>
      </c>
      <c r="F2161" s="2" t="s">
        <v>5233</v>
      </c>
      <c r="G2161" s="2"/>
      <c r="H2161" s="12">
        <v>0.0</v>
      </c>
      <c r="I2161" s="2" t="s">
        <v>3783</v>
      </c>
      <c r="J2161" s="2"/>
      <c r="K2161" s="2"/>
      <c r="L2161" s="2"/>
      <c r="M2161" s="2" t="s">
        <v>5751</v>
      </c>
      <c r="N2161" s="2" t="str">
        <f>IFERROR(__xludf.DUMMYFUNCTION("""COMPUTED_VALUE"""),"")</f>
        <v/>
      </c>
    </row>
    <row r="2162">
      <c r="A2162" s="2" t="s">
        <v>33</v>
      </c>
      <c r="B2162" s="12">
        <v>2080690.0</v>
      </c>
      <c r="C2162" s="12">
        <v>2080766.0</v>
      </c>
      <c r="D2162" s="2"/>
      <c r="E2162" s="2" t="s">
        <v>38</v>
      </c>
      <c r="F2162" s="2" t="s">
        <v>5235</v>
      </c>
      <c r="G2162" s="2"/>
      <c r="H2162" s="12">
        <v>0.0</v>
      </c>
      <c r="I2162" s="2" t="s">
        <v>3783</v>
      </c>
      <c r="J2162" s="2"/>
      <c r="K2162" s="2"/>
      <c r="L2162" s="2"/>
      <c r="M2162" s="2" t="s">
        <v>5752</v>
      </c>
      <c r="N2162" s="2" t="str">
        <f>IFERROR(__xludf.DUMMYFUNCTION("""COMPUTED_VALUE"""),"")</f>
        <v/>
      </c>
    </row>
    <row r="2163">
      <c r="A2163" s="2" t="s">
        <v>33</v>
      </c>
      <c r="B2163" s="12">
        <v>2080793.0</v>
      </c>
      <c r="C2163" s="12">
        <v>2080868.0</v>
      </c>
      <c r="D2163" s="2"/>
      <c r="E2163" s="2" t="s">
        <v>38</v>
      </c>
      <c r="F2163" s="2" t="s">
        <v>3782</v>
      </c>
      <c r="G2163" s="2"/>
      <c r="H2163" s="12">
        <v>0.0</v>
      </c>
      <c r="I2163" s="2" t="s">
        <v>3783</v>
      </c>
      <c r="J2163" s="2"/>
      <c r="K2163" s="2"/>
      <c r="L2163" s="2"/>
      <c r="M2163" s="2" t="s">
        <v>5753</v>
      </c>
      <c r="N2163" s="2" t="str">
        <f>IFERROR(__xludf.DUMMYFUNCTION("""COMPUTED_VALUE"""),"")</f>
        <v/>
      </c>
    </row>
    <row r="2164">
      <c r="A2164" s="2" t="s">
        <v>33</v>
      </c>
      <c r="B2164" s="12">
        <v>2080873.0</v>
      </c>
      <c r="C2164" s="12">
        <v>2080947.0</v>
      </c>
      <c r="D2164" s="2"/>
      <c r="E2164" s="2" t="s">
        <v>38</v>
      </c>
      <c r="F2164" s="2" t="s">
        <v>5221</v>
      </c>
      <c r="G2164" s="2"/>
      <c r="H2164" s="12">
        <v>0.0</v>
      </c>
      <c r="I2164" s="2" t="s">
        <v>3783</v>
      </c>
      <c r="J2164" s="2"/>
      <c r="K2164" s="2"/>
      <c r="L2164" s="2"/>
      <c r="M2164" s="2" t="s">
        <v>5754</v>
      </c>
      <c r="N2164" s="2" t="str">
        <f>IFERROR(__xludf.DUMMYFUNCTION("""COMPUTED_VALUE"""),"")</f>
        <v/>
      </c>
    </row>
    <row r="2165">
      <c r="A2165" s="2" t="s">
        <v>33</v>
      </c>
      <c r="B2165" s="12">
        <v>2080965.0</v>
      </c>
      <c r="C2165" s="12">
        <v>2081056.0</v>
      </c>
      <c r="D2165" s="2"/>
      <c r="E2165" s="2" t="s">
        <v>38</v>
      </c>
      <c r="F2165" s="2" t="s">
        <v>5237</v>
      </c>
      <c r="G2165" s="2"/>
      <c r="H2165" s="12">
        <v>0.0</v>
      </c>
      <c r="I2165" s="2" t="s">
        <v>3783</v>
      </c>
      <c r="J2165" s="2"/>
      <c r="K2165" s="2"/>
      <c r="L2165" s="2"/>
      <c r="M2165" s="2" t="s">
        <v>5755</v>
      </c>
      <c r="N2165" s="2" t="str">
        <f>IFERROR(__xludf.DUMMYFUNCTION("""COMPUTED_VALUE"""),"")</f>
        <v/>
      </c>
    </row>
    <row r="2166">
      <c r="A2166" s="2" t="s">
        <v>33</v>
      </c>
      <c r="B2166" s="12">
        <v>2081059.0</v>
      </c>
      <c r="C2166" s="12">
        <v>2081133.0</v>
      </c>
      <c r="D2166" s="2"/>
      <c r="E2166" s="2" t="s">
        <v>38</v>
      </c>
      <c r="F2166" s="2" t="s">
        <v>5223</v>
      </c>
      <c r="G2166" s="2"/>
      <c r="H2166" s="12">
        <v>0.0</v>
      </c>
      <c r="I2166" s="2" t="s">
        <v>3783</v>
      </c>
      <c r="J2166" s="2"/>
      <c r="K2166" s="2"/>
      <c r="L2166" s="2"/>
      <c r="M2166" s="2" t="s">
        <v>5756</v>
      </c>
      <c r="N2166" s="2" t="str">
        <f>IFERROR(__xludf.DUMMYFUNCTION("""COMPUTED_VALUE"""),"")</f>
        <v/>
      </c>
    </row>
    <row r="2167">
      <c r="A2167" s="2" t="s">
        <v>33</v>
      </c>
      <c r="B2167" s="12">
        <v>2081142.0</v>
      </c>
      <c r="C2167" s="12">
        <v>2081257.0</v>
      </c>
      <c r="D2167" s="2"/>
      <c r="E2167" s="2" t="s">
        <v>38</v>
      </c>
      <c r="F2167" s="2" t="s">
        <v>5258</v>
      </c>
      <c r="G2167" s="2" t="s">
        <v>5259</v>
      </c>
      <c r="H2167" s="12">
        <v>0.0</v>
      </c>
      <c r="I2167" s="2" t="s">
        <v>5260</v>
      </c>
      <c r="J2167" s="2"/>
      <c r="K2167" s="2"/>
      <c r="L2167" s="2"/>
      <c r="M2167" s="2" t="s">
        <v>5757</v>
      </c>
      <c r="N2167" s="2" t="str">
        <f>IFERROR(__xludf.DUMMYFUNCTION("""COMPUTED_VALUE"""),"")</f>
        <v/>
      </c>
    </row>
    <row r="2168">
      <c r="A2168" s="2" t="s">
        <v>33</v>
      </c>
      <c r="B2168" s="12">
        <v>2081358.0</v>
      </c>
      <c r="C2168" s="12">
        <v>2084279.0</v>
      </c>
      <c r="D2168" s="2"/>
      <c r="E2168" s="2" t="s">
        <v>38</v>
      </c>
      <c r="F2168" s="2" t="s">
        <v>5262</v>
      </c>
      <c r="G2168" s="2"/>
      <c r="H2168" s="12">
        <v>0.0</v>
      </c>
      <c r="I2168" s="2" t="s">
        <v>5260</v>
      </c>
      <c r="J2168" s="2"/>
      <c r="K2168" s="2"/>
      <c r="L2168" s="2"/>
      <c r="M2168" s="2" t="s">
        <v>5758</v>
      </c>
      <c r="N2168" s="2" t="str">
        <f>IFERROR(__xludf.DUMMYFUNCTION("""COMPUTED_VALUE"""),"")</f>
        <v/>
      </c>
    </row>
    <row r="2169">
      <c r="A2169" s="2" t="s">
        <v>33</v>
      </c>
      <c r="B2169" s="12">
        <v>2084424.0</v>
      </c>
      <c r="C2169" s="12">
        <v>2085975.0</v>
      </c>
      <c r="D2169" s="2"/>
      <c r="E2169" s="2" t="s">
        <v>38</v>
      </c>
      <c r="F2169" s="2" t="s">
        <v>5264</v>
      </c>
      <c r="G2169" s="2"/>
      <c r="H2169" s="12">
        <v>0.0</v>
      </c>
      <c r="I2169" s="2" t="s">
        <v>5260</v>
      </c>
      <c r="J2169" s="2"/>
      <c r="K2169" s="2"/>
      <c r="L2169" s="2"/>
      <c r="M2169" s="2" t="s">
        <v>5759</v>
      </c>
      <c r="N2169" s="2" t="str">
        <f>IFERROR(__xludf.DUMMYFUNCTION("""COMPUTED_VALUE"""),"")</f>
        <v/>
      </c>
    </row>
    <row r="2170">
      <c r="A2170" s="2" t="s">
        <v>33</v>
      </c>
      <c r="B2170" s="12">
        <v>2086376.0</v>
      </c>
      <c r="C2170" s="12">
        <v>2086732.0</v>
      </c>
      <c r="D2170" s="2"/>
      <c r="E2170" s="2" t="s">
        <v>34</v>
      </c>
      <c r="F2170" s="2" t="s">
        <v>5760</v>
      </c>
      <c r="G2170" s="2"/>
      <c r="H2170" s="12">
        <v>0.0</v>
      </c>
      <c r="I2170" s="2" t="s">
        <v>40</v>
      </c>
      <c r="J2170" s="2"/>
      <c r="K2170" s="2" t="s">
        <v>5761</v>
      </c>
      <c r="L2170" s="12">
        <v>118.0</v>
      </c>
      <c r="M2170" s="2" t="s">
        <v>5762</v>
      </c>
      <c r="N2170" s="2" t="str">
        <f>IFERROR(__xludf.DUMMYFUNCTION("""COMPUTED_VALUE"""),"")</f>
        <v/>
      </c>
    </row>
    <row r="2171">
      <c r="A2171" s="2" t="s">
        <v>33</v>
      </c>
      <c r="B2171" s="12">
        <v>2086839.0</v>
      </c>
      <c r="C2171" s="12">
        <v>2087258.0</v>
      </c>
      <c r="D2171" s="2"/>
      <c r="E2171" s="2" t="s">
        <v>38</v>
      </c>
      <c r="F2171" s="2" t="s">
        <v>367</v>
      </c>
      <c r="G2171" s="2"/>
      <c r="H2171" s="12">
        <v>0.0</v>
      </c>
      <c r="I2171" s="2" t="s">
        <v>40</v>
      </c>
      <c r="J2171" s="2"/>
      <c r="K2171" s="2" t="s">
        <v>5763</v>
      </c>
      <c r="L2171" s="12">
        <v>139.0</v>
      </c>
      <c r="M2171" s="2" t="s">
        <v>5764</v>
      </c>
      <c r="N2171" s="2" t="str">
        <f>IFERROR(__xludf.DUMMYFUNCTION("""COMPUTED_VALUE"""),"")</f>
        <v/>
      </c>
    </row>
    <row r="2172">
      <c r="A2172" s="2" t="s">
        <v>33</v>
      </c>
      <c r="B2172" s="12">
        <v>2087429.0</v>
      </c>
      <c r="C2172" s="12">
        <v>2087857.0</v>
      </c>
      <c r="D2172" s="2"/>
      <c r="E2172" s="2" t="s">
        <v>38</v>
      </c>
      <c r="F2172" s="2" t="s">
        <v>5765</v>
      </c>
      <c r="G2172" s="2" t="s">
        <v>5766</v>
      </c>
      <c r="H2172" s="12">
        <v>0.0</v>
      </c>
      <c r="I2172" s="2" t="s">
        <v>40</v>
      </c>
      <c r="J2172" s="2"/>
      <c r="K2172" s="2" t="s">
        <v>5767</v>
      </c>
      <c r="L2172" s="12">
        <v>142.0</v>
      </c>
      <c r="M2172" s="2" t="s">
        <v>5768</v>
      </c>
      <c r="N2172" s="2" t="str">
        <f>IFERROR(__xludf.DUMMYFUNCTION("""COMPUTED_VALUE"""),"")</f>
        <v/>
      </c>
    </row>
    <row r="2173">
      <c r="A2173" s="2" t="s">
        <v>33</v>
      </c>
      <c r="B2173" s="12">
        <v>2088158.0</v>
      </c>
      <c r="C2173" s="12">
        <v>2088613.0</v>
      </c>
      <c r="D2173" s="2"/>
      <c r="E2173" s="2" t="s">
        <v>38</v>
      </c>
      <c r="F2173" s="2" t="s">
        <v>5769</v>
      </c>
      <c r="G2173" s="2" t="s">
        <v>5770</v>
      </c>
      <c r="H2173" s="12">
        <v>0.0</v>
      </c>
      <c r="I2173" s="2" t="s">
        <v>40</v>
      </c>
      <c r="J2173" s="2"/>
      <c r="K2173" s="2" t="s">
        <v>5771</v>
      </c>
      <c r="L2173" s="12">
        <v>151.0</v>
      </c>
      <c r="M2173" s="2" t="s">
        <v>5772</v>
      </c>
      <c r="N2173" s="2" t="str">
        <f>IFERROR(__xludf.DUMMYFUNCTION("""COMPUTED_VALUE"""),"")</f>
        <v/>
      </c>
    </row>
    <row r="2174">
      <c r="A2174" s="2" t="s">
        <v>33</v>
      </c>
      <c r="B2174" s="12">
        <v>2088658.0</v>
      </c>
      <c r="C2174" s="12">
        <v>2089062.0</v>
      </c>
      <c r="D2174" s="2"/>
      <c r="E2174" s="2" t="s">
        <v>38</v>
      </c>
      <c r="F2174" s="2" t="s">
        <v>5400</v>
      </c>
      <c r="G2174" s="2"/>
      <c r="H2174" s="12">
        <v>0.0</v>
      </c>
      <c r="I2174" s="2" t="s">
        <v>40</v>
      </c>
      <c r="J2174" s="2"/>
      <c r="K2174" s="2" t="s">
        <v>5773</v>
      </c>
      <c r="L2174" s="12">
        <v>134.0</v>
      </c>
      <c r="M2174" s="2" t="s">
        <v>5774</v>
      </c>
      <c r="N2174" s="2" t="str">
        <f>IFERROR(__xludf.DUMMYFUNCTION("""COMPUTED_VALUE"""),"")</f>
        <v/>
      </c>
    </row>
    <row r="2175">
      <c r="A2175" s="2" t="s">
        <v>33</v>
      </c>
      <c r="B2175" s="12">
        <v>2089135.0</v>
      </c>
      <c r="C2175" s="12">
        <v>2089920.0</v>
      </c>
      <c r="D2175" s="2"/>
      <c r="E2175" s="2" t="s">
        <v>38</v>
      </c>
      <c r="F2175" s="2" t="s">
        <v>265</v>
      </c>
      <c r="G2175" s="2"/>
      <c r="H2175" s="12">
        <v>0.0</v>
      </c>
      <c r="I2175" s="2" t="s">
        <v>40</v>
      </c>
      <c r="J2175" s="2"/>
      <c r="K2175" s="2" t="s">
        <v>5775</v>
      </c>
      <c r="L2175" s="12">
        <v>261.0</v>
      </c>
      <c r="M2175" s="2" t="s">
        <v>5776</v>
      </c>
      <c r="N2175" s="2" t="str">
        <f>IFERROR(__xludf.DUMMYFUNCTION("""COMPUTED_VALUE"""),"")</f>
        <v/>
      </c>
    </row>
    <row r="2176">
      <c r="A2176" s="2" t="s">
        <v>33</v>
      </c>
      <c r="B2176" s="12">
        <v>2089925.0</v>
      </c>
      <c r="C2176" s="12">
        <v>2090716.0</v>
      </c>
      <c r="D2176" s="2"/>
      <c r="E2176" s="2" t="s">
        <v>38</v>
      </c>
      <c r="F2176" s="2" t="s">
        <v>5777</v>
      </c>
      <c r="G2176" s="2"/>
      <c r="H2176" s="12">
        <v>0.0</v>
      </c>
      <c r="I2176" s="2" t="s">
        <v>40</v>
      </c>
      <c r="J2176" s="2"/>
      <c r="K2176" s="2" t="s">
        <v>5778</v>
      </c>
      <c r="L2176" s="12">
        <v>263.0</v>
      </c>
      <c r="M2176" s="2" t="s">
        <v>5779</v>
      </c>
      <c r="N2176" s="2" t="str">
        <f>IFERROR(__xludf.DUMMYFUNCTION("""COMPUTED_VALUE"""),"")</f>
        <v/>
      </c>
    </row>
    <row r="2177">
      <c r="A2177" s="2" t="s">
        <v>33</v>
      </c>
      <c r="B2177" s="12">
        <v>2090709.0</v>
      </c>
      <c r="C2177" s="12">
        <v>2091722.0</v>
      </c>
      <c r="D2177" s="2"/>
      <c r="E2177" s="2" t="s">
        <v>38</v>
      </c>
      <c r="F2177" s="2" t="s">
        <v>2429</v>
      </c>
      <c r="G2177" s="2"/>
      <c r="H2177" s="12">
        <v>0.0</v>
      </c>
      <c r="I2177" s="2" t="s">
        <v>40</v>
      </c>
      <c r="J2177" s="2"/>
      <c r="K2177" s="2" t="s">
        <v>5780</v>
      </c>
      <c r="L2177" s="12">
        <v>337.0</v>
      </c>
      <c r="M2177" s="2" t="s">
        <v>5781</v>
      </c>
      <c r="N2177" s="2" t="str">
        <f>IFERROR(__xludf.DUMMYFUNCTION("""COMPUTED_VALUE"""),"")</f>
        <v/>
      </c>
    </row>
    <row r="2178">
      <c r="A2178" s="2" t="s">
        <v>33</v>
      </c>
      <c r="B2178" s="12">
        <v>2091850.0</v>
      </c>
      <c r="C2178" s="12">
        <v>2093148.0</v>
      </c>
      <c r="D2178" s="2"/>
      <c r="E2178" s="2" t="s">
        <v>34</v>
      </c>
      <c r="F2178" s="2" t="s">
        <v>5782</v>
      </c>
      <c r="G2178" s="2" t="s">
        <v>5783</v>
      </c>
      <c r="H2178" s="12">
        <v>0.0</v>
      </c>
      <c r="I2178" s="2" t="s">
        <v>40</v>
      </c>
      <c r="J2178" s="2"/>
      <c r="K2178" s="2" t="s">
        <v>5784</v>
      </c>
      <c r="L2178" s="12">
        <v>432.0</v>
      </c>
      <c r="M2178" s="2" t="s">
        <v>5785</v>
      </c>
      <c r="N2178" s="2" t="str">
        <f>IFERROR(__xludf.DUMMYFUNCTION("""COMPUTED_VALUE"""),"")</f>
        <v/>
      </c>
    </row>
    <row r="2179">
      <c r="A2179" s="2" t="s">
        <v>33</v>
      </c>
      <c r="B2179" s="12">
        <v>2093347.0</v>
      </c>
      <c r="C2179" s="12">
        <v>2097783.0</v>
      </c>
      <c r="D2179" s="2"/>
      <c r="E2179" s="2" t="s">
        <v>34</v>
      </c>
      <c r="F2179" s="2" t="s">
        <v>5786</v>
      </c>
      <c r="G2179" s="2"/>
      <c r="H2179" s="12">
        <v>0.0</v>
      </c>
      <c r="I2179" s="2" t="s">
        <v>40</v>
      </c>
      <c r="J2179" s="2"/>
      <c r="K2179" s="2" t="s">
        <v>5787</v>
      </c>
      <c r="L2179" s="12">
        <v>1478.0</v>
      </c>
      <c r="M2179" s="2" t="s">
        <v>5788</v>
      </c>
      <c r="N2179" s="2" t="str">
        <f>IFERROR(__xludf.DUMMYFUNCTION("""COMPUTED_VALUE"""),"")</f>
        <v/>
      </c>
    </row>
    <row r="2180">
      <c r="A2180" s="2" t="s">
        <v>33</v>
      </c>
      <c r="B2180" s="12">
        <v>2098140.0</v>
      </c>
      <c r="C2180" s="12">
        <v>2099228.0</v>
      </c>
      <c r="D2180" s="2"/>
      <c r="E2180" s="2" t="s">
        <v>34</v>
      </c>
      <c r="F2180" s="2" t="s">
        <v>5789</v>
      </c>
      <c r="G2180" s="2"/>
      <c r="H2180" s="12">
        <v>0.0</v>
      </c>
      <c r="I2180" s="2" t="s">
        <v>40</v>
      </c>
      <c r="J2180" s="2"/>
      <c r="K2180" s="2" t="s">
        <v>5790</v>
      </c>
      <c r="L2180" s="12">
        <v>362.0</v>
      </c>
      <c r="M2180" s="2" t="s">
        <v>5791</v>
      </c>
      <c r="N2180" s="2" t="str">
        <f>IFERROR(__xludf.DUMMYFUNCTION("""COMPUTED_VALUE"""),"")</f>
        <v/>
      </c>
    </row>
    <row r="2181">
      <c r="A2181" s="2" t="s">
        <v>33</v>
      </c>
      <c r="B2181" s="12">
        <v>2099243.0</v>
      </c>
      <c r="C2181" s="12">
        <v>2101003.0</v>
      </c>
      <c r="D2181" s="2"/>
      <c r="E2181" s="2" t="s">
        <v>38</v>
      </c>
      <c r="F2181" s="2" t="s">
        <v>432</v>
      </c>
      <c r="G2181" s="2"/>
      <c r="H2181" s="12">
        <v>0.0</v>
      </c>
      <c r="I2181" s="2" t="s">
        <v>40</v>
      </c>
      <c r="J2181" s="2"/>
      <c r="K2181" s="2" t="s">
        <v>5792</v>
      </c>
      <c r="L2181" s="12">
        <v>586.0</v>
      </c>
      <c r="M2181" s="2" t="s">
        <v>5793</v>
      </c>
      <c r="N2181" s="2" t="str">
        <f>IFERROR(__xludf.DUMMYFUNCTION("""COMPUTED_VALUE"""),"")</f>
        <v/>
      </c>
    </row>
    <row r="2182">
      <c r="A2182" s="2" t="s">
        <v>33</v>
      </c>
      <c r="B2182" s="12">
        <v>2101058.0</v>
      </c>
      <c r="C2182" s="12">
        <v>2101588.0</v>
      </c>
      <c r="D2182" s="2"/>
      <c r="E2182" s="2" t="s">
        <v>38</v>
      </c>
      <c r="F2182" s="2" t="s">
        <v>3315</v>
      </c>
      <c r="G2182" s="2"/>
      <c r="H2182" s="12">
        <v>0.0</v>
      </c>
      <c r="I2182" s="2" t="s">
        <v>40</v>
      </c>
      <c r="J2182" s="2"/>
      <c r="K2182" s="2" t="s">
        <v>5794</v>
      </c>
      <c r="L2182" s="12">
        <v>176.0</v>
      </c>
      <c r="M2182" s="2" t="s">
        <v>5795</v>
      </c>
      <c r="N2182" s="2" t="str">
        <f>IFERROR(__xludf.DUMMYFUNCTION("""COMPUTED_VALUE"""),"")</f>
        <v/>
      </c>
    </row>
    <row r="2183">
      <c r="A2183" s="2" t="s">
        <v>33</v>
      </c>
      <c r="B2183" s="12">
        <v>2101863.0</v>
      </c>
      <c r="C2183" s="12">
        <v>2102123.0</v>
      </c>
      <c r="D2183" s="2"/>
      <c r="E2183" s="2" t="s">
        <v>38</v>
      </c>
      <c r="F2183" s="2" t="s">
        <v>5796</v>
      </c>
      <c r="G2183" s="2"/>
      <c r="H2183" s="12">
        <v>0.0</v>
      </c>
      <c r="I2183" s="2" t="s">
        <v>40</v>
      </c>
      <c r="J2183" s="2"/>
      <c r="K2183" s="2" t="s">
        <v>5797</v>
      </c>
      <c r="L2183" s="12">
        <v>86.0</v>
      </c>
      <c r="M2183" s="2" t="s">
        <v>5798</v>
      </c>
      <c r="N2183" s="2" t="str">
        <f>IFERROR(__xludf.DUMMYFUNCTION("""COMPUTED_VALUE"""),"")</f>
        <v/>
      </c>
    </row>
    <row r="2184">
      <c r="A2184" s="2" t="s">
        <v>33</v>
      </c>
      <c r="B2184" s="12">
        <v>2102312.0</v>
      </c>
      <c r="C2184" s="12">
        <v>2102593.0</v>
      </c>
      <c r="D2184" s="2"/>
      <c r="E2184" s="2" t="s">
        <v>38</v>
      </c>
      <c r="F2184" s="2" t="s">
        <v>5799</v>
      </c>
      <c r="G2184" s="2"/>
      <c r="H2184" s="12">
        <v>0.0</v>
      </c>
      <c r="I2184" s="2" t="s">
        <v>40</v>
      </c>
      <c r="J2184" s="2"/>
      <c r="K2184" s="2" t="s">
        <v>5800</v>
      </c>
      <c r="L2184" s="12">
        <v>93.0</v>
      </c>
      <c r="M2184" s="2" t="s">
        <v>5801</v>
      </c>
      <c r="N2184" s="2" t="str">
        <f>IFERROR(__xludf.DUMMYFUNCTION("""COMPUTED_VALUE"""),"")</f>
        <v/>
      </c>
    </row>
    <row r="2185">
      <c r="A2185" s="2" t="s">
        <v>33</v>
      </c>
      <c r="B2185" s="12">
        <v>2102719.0</v>
      </c>
      <c r="C2185" s="12">
        <v>2102943.0</v>
      </c>
      <c r="D2185" s="2"/>
      <c r="E2185" s="2" t="s">
        <v>34</v>
      </c>
      <c r="F2185" s="2" t="s">
        <v>39</v>
      </c>
      <c r="G2185" s="2"/>
      <c r="H2185" s="12">
        <v>0.0</v>
      </c>
      <c r="I2185" s="2" t="s">
        <v>40</v>
      </c>
      <c r="J2185" s="2"/>
      <c r="K2185" s="2" t="s">
        <v>5802</v>
      </c>
      <c r="L2185" s="12">
        <v>74.0</v>
      </c>
      <c r="M2185" s="2" t="s">
        <v>5803</v>
      </c>
      <c r="N2185" s="2" t="str">
        <f>IFERROR(__xludf.DUMMYFUNCTION("""COMPUTED_VALUE"""),"")</f>
        <v/>
      </c>
    </row>
    <row r="2186">
      <c r="A2186" s="2" t="s">
        <v>33</v>
      </c>
      <c r="B2186" s="12">
        <v>2102978.0</v>
      </c>
      <c r="C2186" s="12">
        <v>2104075.0</v>
      </c>
      <c r="D2186" s="2"/>
      <c r="E2186" s="2" t="s">
        <v>38</v>
      </c>
      <c r="F2186" s="2" t="s">
        <v>5804</v>
      </c>
      <c r="G2186" s="2" t="s">
        <v>5805</v>
      </c>
      <c r="H2186" s="12">
        <v>0.0</v>
      </c>
      <c r="I2186" s="2" t="s">
        <v>40</v>
      </c>
      <c r="J2186" s="2"/>
      <c r="K2186" s="2" t="s">
        <v>5806</v>
      </c>
      <c r="L2186" s="12">
        <v>365.0</v>
      </c>
      <c r="M2186" s="2" t="s">
        <v>5807</v>
      </c>
      <c r="N2186" s="2" t="str">
        <f>IFERROR(__xludf.DUMMYFUNCTION("""COMPUTED_VALUE"""),"")</f>
        <v/>
      </c>
    </row>
    <row r="2187">
      <c r="A2187" s="2" t="s">
        <v>33</v>
      </c>
      <c r="B2187" s="12">
        <v>2104225.0</v>
      </c>
      <c r="C2187" s="12">
        <v>2105205.0</v>
      </c>
      <c r="D2187" s="2"/>
      <c r="E2187" s="2" t="s">
        <v>34</v>
      </c>
      <c r="F2187" s="2" t="s">
        <v>5808</v>
      </c>
      <c r="G2187" s="2"/>
      <c r="H2187" s="12">
        <v>0.0</v>
      </c>
      <c r="I2187" s="2" t="s">
        <v>40</v>
      </c>
      <c r="J2187" s="2"/>
      <c r="K2187" s="2" t="s">
        <v>5809</v>
      </c>
      <c r="L2187" s="12">
        <v>326.0</v>
      </c>
      <c r="M2187" s="2" t="s">
        <v>5810</v>
      </c>
      <c r="N2187" s="2" t="str">
        <f>IFERROR(__xludf.DUMMYFUNCTION("""COMPUTED_VALUE"""),"")</f>
        <v/>
      </c>
    </row>
    <row r="2188">
      <c r="A2188" s="2" t="s">
        <v>33</v>
      </c>
      <c r="B2188" s="12">
        <v>2105230.0</v>
      </c>
      <c r="C2188" s="12">
        <v>2105496.0</v>
      </c>
      <c r="D2188" s="2"/>
      <c r="E2188" s="2" t="s">
        <v>38</v>
      </c>
      <c r="F2188" s="2" t="s">
        <v>5811</v>
      </c>
      <c r="G2188" s="2"/>
      <c r="H2188" s="12">
        <v>0.0</v>
      </c>
      <c r="I2188" s="2" t="s">
        <v>40</v>
      </c>
      <c r="J2188" s="2"/>
      <c r="K2188" s="2" t="s">
        <v>5812</v>
      </c>
      <c r="L2188" s="12">
        <v>88.0</v>
      </c>
      <c r="M2188" s="2" t="s">
        <v>5813</v>
      </c>
      <c r="N2188" s="2" t="str">
        <f>IFERROR(__xludf.DUMMYFUNCTION("""COMPUTED_VALUE"""),"")</f>
        <v/>
      </c>
    </row>
    <row r="2189">
      <c r="A2189" s="2" t="s">
        <v>33</v>
      </c>
      <c r="B2189" s="12">
        <v>2105619.0</v>
      </c>
      <c r="C2189" s="12">
        <v>2105777.0</v>
      </c>
      <c r="D2189" s="2"/>
      <c r="E2189" s="2" t="s">
        <v>34</v>
      </c>
      <c r="F2189" s="2" t="s">
        <v>5814</v>
      </c>
      <c r="G2189" s="2"/>
      <c r="H2189" s="12">
        <v>0.0</v>
      </c>
      <c r="I2189" s="2" t="s">
        <v>40</v>
      </c>
      <c r="J2189" s="2"/>
      <c r="K2189" s="2" t="s">
        <v>5815</v>
      </c>
      <c r="L2189" s="12">
        <v>52.0</v>
      </c>
      <c r="M2189" s="2" t="s">
        <v>5816</v>
      </c>
      <c r="N2189" s="2" t="str">
        <f>IFERROR(__xludf.DUMMYFUNCTION("""COMPUTED_VALUE"""),"")</f>
        <v/>
      </c>
    </row>
    <row r="2190">
      <c r="A2190" s="2" t="s">
        <v>33</v>
      </c>
      <c r="B2190" s="12">
        <v>2105815.0</v>
      </c>
      <c r="C2190" s="12">
        <v>2105967.0</v>
      </c>
      <c r="D2190" s="2"/>
      <c r="E2190" s="2" t="s">
        <v>34</v>
      </c>
      <c r="F2190" s="2" t="s">
        <v>5817</v>
      </c>
      <c r="G2190" s="2"/>
      <c r="H2190" s="12">
        <v>0.0</v>
      </c>
      <c r="I2190" s="2" t="s">
        <v>40</v>
      </c>
      <c r="J2190" s="2"/>
      <c r="K2190" s="2" t="s">
        <v>5818</v>
      </c>
      <c r="L2190" s="12">
        <v>50.0</v>
      </c>
      <c r="M2190" s="2" t="s">
        <v>5819</v>
      </c>
      <c r="N2190" s="2" t="str">
        <f>IFERROR(__xludf.DUMMYFUNCTION("""COMPUTED_VALUE"""),"")</f>
        <v/>
      </c>
    </row>
    <row r="2191">
      <c r="A2191" s="2" t="s">
        <v>33</v>
      </c>
      <c r="B2191" s="12">
        <v>2106032.0</v>
      </c>
      <c r="C2191" s="12">
        <v>2106349.0</v>
      </c>
      <c r="D2191" s="2"/>
      <c r="E2191" s="2" t="s">
        <v>38</v>
      </c>
      <c r="F2191" s="2" t="s">
        <v>5820</v>
      </c>
      <c r="G2191" s="2"/>
      <c r="H2191" s="12">
        <v>0.0</v>
      </c>
      <c r="I2191" s="2" t="s">
        <v>40</v>
      </c>
      <c r="J2191" s="2"/>
      <c r="K2191" s="2" t="s">
        <v>5821</v>
      </c>
      <c r="L2191" s="12">
        <v>105.0</v>
      </c>
      <c r="M2191" s="2" t="s">
        <v>5822</v>
      </c>
      <c r="N2191" s="2" t="str">
        <f>IFERROR(__xludf.DUMMYFUNCTION("""COMPUTED_VALUE"""),"")</f>
        <v/>
      </c>
    </row>
    <row r="2192">
      <c r="A2192" s="2" t="s">
        <v>33</v>
      </c>
      <c r="B2192" s="12">
        <v>2106360.0</v>
      </c>
      <c r="C2192" s="12">
        <v>2107172.0</v>
      </c>
      <c r="D2192" s="2"/>
      <c r="E2192" s="2" t="s">
        <v>38</v>
      </c>
      <c r="F2192" s="2" t="s">
        <v>5823</v>
      </c>
      <c r="G2192" s="2" t="s">
        <v>5824</v>
      </c>
      <c r="H2192" s="12">
        <v>0.0</v>
      </c>
      <c r="I2192" s="2" t="s">
        <v>40</v>
      </c>
      <c r="J2192" s="2"/>
      <c r="K2192" s="2" t="s">
        <v>5825</v>
      </c>
      <c r="L2192" s="12">
        <v>270.0</v>
      </c>
      <c r="M2192" s="2" t="s">
        <v>5826</v>
      </c>
      <c r="N2192" s="2" t="str">
        <f>IFERROR(__xludf.DUMMYFUNCTION("""COMPUTED_VALUE"""),"")</f>
        <v/>
      </c>
    </row>
    <row r="2193">
      <c r="A2193" s="2" t="s">
        <v>33</v>
      </c>
      <c r="B2193" s="12">
        <v>2107254.0</v>
      </c>
      <c r="C2193" s="12">
        <v>2108159.0</v>
      </c>
      <c r="D2193" s="2"/>
      <c r="E2193" s="2" t="s">
        <v>34</v>
      </c>
      <c r="F2193" s="2" t="s">
        <v>5827</v>
      </c>
      <c r="G2193" s="2"/>
      <c r="H2193" s="12">
        <v>0.0</v>
      </c>
      <c r="I2193" s="2" t="s">
        <v>40</v>
      </c>
      <c r="J2193" s="2"/>
      <c r="K2193" s="2" t="s">
        <v>5828</v>
      </c>
      <c r="L2193" s="12">
        <v>301.0</v>
      </c>
      <c r="M2193" s="2" t="s">
        <v>5829</v>
      </c>
      <c r="N2193" s="2" t="str">
        <f>IFERROR(__xludf.DUMMYFUNCTION("""COMPUTED_VALUE"""),"")</f>
        <v/>
      </c>
    </row>
    <row r="2194">
      <c r="A2194" s="2" t="s">
        <v>33</v>
      </c>
      <c r="B2194" s="12">
        <v>2108299.0</v>
      </c>
      <c r="C2194" s="12">
        <v>2109429.0</v>
      </c>
      <c r="D2194" s="2"/>
      <c r="E2194" s="2" t="s">
        <v>34</v>
      </c>
      <c r="F2194" s="2" t="s">
        <v>5311</v>
      </c>
      <c r="G2194" s="2"/>
      <c r="H2194" s="12">
        <v>0.0</v>
      </c>
      <c r="I2194" s="2" t="s">
        <v>40</v>
      </c>
      <c r="J2194" s="2"/>
      <c r="K2194" s="2" t="s">
        <v>5830</v>
      </c>
      <c r="L2194" s="12">
        <v>376.0</v>
      </c>
      <c r="M2194" s="2" t="s">
        <v>5831</v>
      </c>
      <c r="N2194" s="2" t="str">
        <f>IFERROR(__xludf.DUMMYFUNCTION("""COMPUTED_VALUE"""),"")</f>
        <v/>
      </c>
    </row>
    <row r="2195">
      <c r="A2195" s="2" t="s">
        <v>33</v>
      </c>
      <c r="B2195" s="12">
        <v>2109671.0</v>
      </c>
      <c r="C2195" s="12">
        <v>2110228.0</v>
      </c>
      <c r="D2195" s="2"/>
      <c r="E2195" s="2" t="s">
        <v>34</v>
      </c>
      <c r="F2195" s="2" t="s">
        <v>367</v>
      </c>
      <c r="G2195" s="2"/>
      <c r="H2195" s="12">
        <v>0.0</v>
      </c>
      <c r="I2195" s="2" t="s">
        <v>40</v>
      </c>
      <c r="J2195" s="2"/>
      <c r="K2195" s="2" t="s">
        <v>5832</v>
      </c>
      <c r="L2195" s="12">
        <v>185.0</v>
      </c>
      <c r="M2195" s="2" t="s">
        <v>5833</v>
      </c>
      <c r="N2195" s="2" t="str">
        <f>IFERROR(__xludf.DUMMYFUNCTION("""COMPUTED_VALUE"""),"")</f>
        <v/>
      </c>
    </row>
    <row r="2196">
      <c r="A2196" s="2" t="s">
        <v>33</v>
      </c>
      <c r="B2196" s="12">
        <v>2110338.0</v>
      </c>
      <c r="C2196" s="12">
        <v>2110457.0</v>
      </c>
      <c r="D2196" s="2"/>
      <c r="E2196" s="2" t="s">
        <v>34</v>
      </c>
      <c r="F2196" s="2" t="s">
        <v>5834</v>
      </c>
      <c r="G2196" s="2"/>
      <c r="H2196" s="12">
        <v>0.0</v>
      </c>
      <c r="I2196" s="2" t="s">
        <v>40</v>
      </c>
      <c r="J2196" s="2"/>
      <c r="K2196" s="2" t="s">
        <v>5835</v>
      </c>
      <c r="L2196" s="12">
        <v>39.0</v>
      </c>
      <c r="M2196" s="2" t="s">
        <v>5836</v>
      </c>
      <c r="N2196" s="2" t="str">
        <f>IFERROR(__xludf.DUMMYFUNCTION("""COMPUTED_VALUE"""),"")</f>
        <v/>
      </c>
    </row>
    <row r="2197">
      <c r="A2197" s="2" t="s">
        <v>33</v>
      </c>
      <c r="B2197" s="12">
        <v>2110827.0</v>
      </c>
      <c r="C2197" s="12">
        <v>2111993.0</v>
      </c>
      <c r="D2197" s="2"/>
      <c r="E2197" s="2" t="s">
        <v>38</v>
      </c>
      <c r="F2197" s="2" t="s">
        <v>5837</v>
      </c>
      <c r="G2197" s="2"/>
      <c r="H2197" s="12">
        <v>0.0</v>
      </c>
      <c r="I2197" s="2" t="s">
        <v>40</v>
      </c>
      <c r="J2197" s="2"/>
      <c r="K2197" s="2" t="s">
        <v>5838</v>
      </c>
      <c r="L2197" s="12">
        <v>388.0</v>
      </c>
      <c r="M2197" s="2" t="s">
        <v>5839</v>
      </c>
      <c r="N2197" s="2" t="str">
        <f>IFERROR(__xludf.DUMMYFUNCTION("""COMPUTED_VALUE"""),"")</f>
        <v/>
      </c>
    </row>
    <row r="2198">
      <c r="A2198" s="2" t="s">
        <v>33</v>
      </c>
      <c r="B2198" s="12">
        <v>2112406.0</v>
      </c>
      <c r="C2198" s="12">
        <v>2113137.0</v>
      </c>
      <c r="D2198" s="2"/>
      <c r="E2198" s="2" t="s">
        <v>38</v>
      </c>
      <c r="F2198" s="2" t="s">
        <v>5840</v>
      </c>
      <c r="G2198" s="2" t="s">
        <v>5841</v>
      </c>
      <c r="H2198" s="12">
        <v>0.0</v>
      </c>
      <c r="I2198" s="2" t="s">
        <v>40</v>
      </c>
      <c r="J2198" s="2"/>
      <c r="K2198" s="2" t="s">
        <v>5842</v>
      </c>
      <c r="L2198" s="12">
        <v>243.0</v>
      </c>
      <c r="M2198" s="2" t="s">
        <v>5843</v>
      </c>
      <c r="N2198" s="2" t="str">
        <f>IFERROR(__xludf.DUMMYFUNCTION("""COMPUTED_VALUE"""),"")</f>
        <v/>
      </c>
    </row>
    <row r="2199">
      <c r="A2199" s="2" t="s">
        <v>33</v>
      </c>
      <c r="B2199" s="12">
        <v>2113208.0</v>
      </c>
      <c r="C2199" s="12">
        <v>2115457.0</v>
      </c>
      <c r="D2199" s="2"/>
      <c r="E2199" s="2" t="s">
        <v>38</v>
      </c>
      <c r="F2199" s="2" t="s">
        <v>5844</v>
      </c>
      <c r="G2199" s="2" t="s">
        <v>5845</v>
      </c>
      <c r="H2199" s="12">
        <v>0.0</v>
      </c>
      <c r="I2199" s="2" t="s">
        <v>40</v>
      </c>
      <c r="J2199" s="2"/>
      <c r="K2199" s="2" t="s">
        <v>5846</v>
      </c>
      <c r="L2199" s="12">
        <v>749.0</v>
      </c>
      <c r="M2199" s="2" t="s">
        <v>5847</v>
      </c>
      <c r="N2199" s="2" t="str">
        <f>IFERROR(__xludf.DUMMYFUNCTION("""COMPUTED_VALUE"""),"")</f>
        <v/>
      </c>
    </row>
    <row r="2200">
      <c r="A2200" s="2" t="s">
        <v>33</v>
      </c>
      <c r="B2200" s="12">
        <v>2115610.0</v>
      </c>
      <c r="C2200" s="12">
        <v>2115831.0</v>
      </c>
      <c r="D2200" s="2"/>
      <c r="E2200" s="2" t="s">
        <v>38</v>
      </c>
      <c r="F2200" s="2" t="s">
        <v>39</v>
      </c>
      <c r="G2200" s="2"/>
      <c r="H2200" s="12">
        <v>0.0</v>
      </c>
      <c r="I2200" s="2" t="s">
        <v>40</v>
      </c>
      <c r="J2200" s="2"/>
      <c r="K2200" s="2" t="s">
        <v>5848</v>
      </c>
      <c r="L2200" s="12">
        <v>73.0</v>
      </c>
      <c r="M2200" s="2" t="s">
        <v>5849</v>
      </c>
      <c r="N2200" s="2" t="str">
        <f>IFERROR(__xludf.DUMMYFUNCTION("""COMPUTED_VALUE"""),"")</f>
        <v/>
      </c>
    </row>
    <row r="2201">
      <c r="A2201" s="2" t="s">
        <v>33</v>
      </c>
      <c r="B2201" s="12">
        <v>2115800.0</v>
      </c>
      <c r="C2201" s="12">
        <v>2117344.0</v>
      </c>
      <c r="D2201" s="2"/>
      <c r="E2201" s="2" t="s">
        <v>38</v>
      </c>
      <c r="F2201" s="2" t="s">
        <v>1056</v>
      </c>
      <c r="G2201" s="2"/>
      <c r="H2201" s="12">
        <v>0.0</v>
      </c>
      <c r="I2201" s="2" t="s">
        <v>40</v>
      </c>
      <c r="J2201" s="2"/>
      <c r="K2201" s="2" t="s">
        <v>5850</v>
      </c>
      <c r="L2201" s="12">
        <v>514.0</v>
      </c>
      <c r="M2201" s="2" t="s">
        <v>5851</v>
      </c>
      <c r="N2201" s="2" t="str">
        <f>IFERROR(__xludf.DUMMYFUNCTION("""COMPUTED_VALUE"""),"")</f>
        <v/>
      </c>
    </row>
    <row r="2202">
      <c r="A2202" s="2" t="s">
        <v>33</v>
      </c>
      <c r="B2202" s="12">
        <v>2117337.0</v>
      </c>
      <c r="C2202" s="12">
        <v>2118302.0</v>
      </c>
      <c r="D2202" s="2"/>
      <c r="E2202" s="2" t="s">
        <v>38</v>
      </c>
      <c r="F2202" s="2" t="s">
        <v>296</v>
      </c>
      <c r="G2202" s="2"/>
      <c r="H2202" s="12">
        <v>0.0</v>
      </c>
      <c r="I2202" s="2" t="s">
        <v>40</v>
      </c>
      <c r="J2202" s="2"/>
      <c r="K2202" s="2" t="s">
        <v>5852</v>
      </c>
      <c r="L2202" s="12">
        <v>321.0</v>
      </c>
      <c r="M2202" s="2" t="s">
        <v>5853</v>
      </c>
      <c r="N2202" s="2" t="str">
        <f>IFERROR(__xludf.DUMMYFUNCTION("""COMPUTED_VALUE"""),"")</f>
        <v/>
      </c>
    </row>
    <row r="2203">
      <c r="A2203" s="2" t="s">
        <v>33</v>
      </c>
      <c r="B2203" s="12">
        <v>2118299.0</v>
      </c>
      <c r="C2203" s="12">
        <v>2119540.0</v>
      </c>
      <c r="D2203" s="2"/>
      <c r="E2203" s="2" t="s">
        <v>38</v>
      </c>
      <c r="F2203" s="2" t="s">
        <v>5854</v>
      </c>
      <c r="G2203" s="2"/>
      <c r="H2203" s="12">
        <v>0.0</v>
      </c>
      <c r="I2203" s="2" t="s">
        <v>40</v>
      </c>
      <c r="J2203" s="2"/>
      <c r="K2203" s="2" t="s">
        <v>5855</v>
      </c>
      <c r="L2203" s="12">
        <v>413.0</v>
      </c>
      <c r="M2203" s="2" t="s">
        <v>5856</v>
      </c>
      <c r="N2203" s="2" t="str">
        <f>IFERROR(__xludf.DUMMYFUNCTION("""COMPUTED_VALUE"""),"")</f>
        <v/>
      </c>
    </row>
    <row r="2204">
      <c r="A2204" s="2" t="s">
        <v>33</v>
      </c>
      <c r="B2204" s="12">
        <v>2119533.0</v>
      </c>
      <c r="C2204" s="12">
        <v>2121077.0</v>
      </c>
      <c r="D2204" s="2"/>
      <c r="E2204" s="2" t="s">
        <v>38</v>
      </c>
      <c r="F2204" s="2" t="s">
        <v>1056</v>
      </c>
      <c r="G2204" s="2"/>
      <c r="H2204" s="12">
        <v>0.0</v>
      </c>
      <c r="I2204" s="2" t="s">
        <v>40</v>
      </c>
      <c r="J2204" s="2"/>
      <c r="K2204" s="2" t="s">
        <v>5857</v>
      </c>
      <c r="L2204" s="12">
        <v>514.0</v>
      </c>
      <c r="M2204" s="2" t="s">
        <v>5858</v>
      </c>
      <c r="N2204" s="2" t="str">
        <f>IFERROR(__xludf.DUMMYFUNCTION("""COMPUTED_VALUE"""),"")</f>
        <v/>
      </c>
    </row>
    <row r="2205">
      <c r="A2205" s="2" t="s">
        <v>33</v>
      </c>
      <c r="B2205" s="12">
        <v>2121091.0</v>
      </c>
      <c r="C2205" s="12">
        <v>2121285.0</v>
      </c>
      <c r="D2205" s="2"/>
      <c r="E2205" s="2" t="s">
        <v>38</v>
      </c>
      <c r="F2205" s="2" t="s">
        <v>39</v>
      </c>
      <c r="G2205" s="2"/>
      <c r="H2205" s="12">
        <v>0.0</v>
      </c>
      <c r="I2205" s="2" t="s">
        <v>40</v>
      </c>
      <c r="J2205" s="2"/>
      <c r="K2205" s="2" t="s">
        <v>5859</v>
      </c>
      <c r="L2205" s="12">
        <v>64.0</v>
      </c>
      <c r="M2205" s="2" t="s">
        <v>5860</v>
      </c>
      <c r="N2205" s="2" t="str">
        <f>IFERROR(__xludf.DUMMYFUNCTION("""COMPUTED_VALUE"""),"")</f>
        <v/>
      </c>
    </row>
    <row r="2206">
      <c r="A2206" s="2" t="s">
        <v>33</v>
      </c>
      <c r="B2206" s="12">
        <v>2121302.0</v>
      </c>
      <c r="C2206" s="12">
        <v>2121703.0</v>
      </c>
      <c r="D2206" s="2"/>
      <c r="E2206" s="2" t="s">
        <v>38</v>
      </c>
      <c r="F2206" s="2" t="s">
        <v>39</v>
      </c>
      <c r="G2206" s="2"/>
      <c r="H2206" s="12">
        <v>0.0</v>
      </c>
      <c r="I2206" s="2" t="s">
        <v>40</v>
      </c>
      <c r="J2206" s="2"/>
      <c r="K2206" s="2" t="s">
        <v>5861</v>
      </c>
      <c r="L2206" s="12">
        <v>133.0</v>
      </c>
      <c r="M2206" s="2" t="s">
        <v>5862</v>
      </c>
      <c r="N2206" s="2" t="str">
        <f>IFERROR(__xludf.DUMMYFUNCTION("""COMPUTED_VALUE"""),"")</f>
        <v/>
      </c>
    </row>
    <row r="2207">
      <c r="A2207" s="2" t="s">
        <v>33</v>
      </c>
      <c r="B2207" s="12">
        <v>2121860.0</v>
      </c>
      <c r="C2207" s="12">
        <v>2123107.0</v>
      </c>
      <c r="D2207" s="2"/>
      <c r="E2207" s="2" t="s">
        <v>38</v>
      </c>
      <c r="F2207" s="2" t="s">
        <v>455</v>
      </c>
      <c r="G2207" s="2"/>
      <c r="H2207" s="12">
        <v>0.0</v>
      </c>
      <c r="I2207" s="2" t="s">
        <v>40</v>
      </c>
      <c r="J2207" s="2"/>
      <c r="K2207" s="2" t="s">
        <v>5863</v>
      </c>
      <c r="L2207" s="12">
        <v>415.0</v>
      </c>
      <c r="M2207" s="2" t="s">
        <v>5864</v>
      </c>
      <c r="N2207" s="2" t="str">
        <f>IFERROR(__xludf.DUMMYFUNCTION("""COMPUTED_VALUE"""),"")</f>
        <v/>
      </c>
    </row>
    <row r="2208">
      <c r="A2208" s="2" t="s">
        <v>33</v>
      </c>
      <c r="B2208" s="12">
        <v>2123361.0</v>
      </c>
      <c r="C2208" s="12">
        <v>2124863.0</v>
      </c>
      <c r="D2208" s="2"/>
      <c r="E2208" s="2" t="s">
        <v>38</v>
      </c>
      <c r="F2208" s="2" t="s">
        <v>5865</v>
      </c>
      <c r="G2208" s="2" t="s">
        <v>5866</v>
      </c>
      <c r="H2208" s="12">
        <v>0.0</v>
      </c>
      <c r="I2208" s="2" t="s">
        <v>40</v>
      </c>
      <c r="J2208" s="2"/>
      <c r="K2208" s="2" t="s">
        <v>5867</v>
      </c>
      <c r="L2208" s="12">
        <v>500.0</v>
      </c>
      <c r="M2208" s="2" t="s">
        <v>5868</v>
      </c>
      <c r="N2208" s="2" t="str">
        <f>IFERROR(__xludf.DUMMYFUNCTION("""COMPUTED_VALUE"""),"")</f>
        <v/>
      </c>
    </row>
    <row r="2209">
      <c r="A2209" s="2" t="s">
        <v>33</v>
      </c>
      <c r="B2209" s="12">
        <v>2125005.0</v>
      </c>
      <c r="C2209" s="12">
        <v>2125119.0</v>
      </c>
      <c r="D2209" s="2"/>
      <c r="E2209" s="2" t="s">
        <v>38</v>
      </c>
      <c r="F2209" s="2" t="s">
        <v>35</v>
      </c>
      <c r="G2209" s="2"/>
      <c r="H2209" s="12">
        <v>0.0</v>
      </c>
      <c r="I2209" s="2" t="s">
        <v>36</v>
      </c>
      <c r="J2209" s="2"/>
      <c r="K2209" s="2"/>
      <c r="L2209" s="2"/>
      <c r="M2209" s="2" t="s">
        <v>5869</v>
      </c>
      <c r="N2209" s="2" t="str">
        <f>IFERROR(__xludf.DUMMYFUNCTION("""COMPUTED_VALUE"""),"")</f>
        <v/>
      </c>
    </row>
    <row r="2210">
      <c r="A2210" s="2" t="s">
        <v>33</v>
      </c>
      <c r="B2210" s="12">
        <v>2125189.0</v>
      </c>
      <c r="C2210" s="12">
        <v>2126118.0</v>
      </c>
      <c r="D2210" s="2"/>
      <c r="E2210" s="2" t="s">
        <v>34</v>
      </c>
      <c r="F2210" s="2" t="s">
        <v>5870</v>
      </c>
      <c r="G2210" s="2" t="s">
        <v>5871</v>
      </c>
      <c r="H2210" s="12">
        <v>0.0</v>
      </c>
      <c r="I2210" s="2" t="s">
        <v>40</v>
      </c>
      <c r="J2210" s="2"/>
      <c r="K2210" s="2" t="s">
        <v>5872</v>
      </c>
      <c r="L2210" s="12">
        <v>309.0</v>
      </c>
      <c r="M2210" s="2" t="s">
        <v>5873</v>
      </c>
      <c r="N2210" s="2" t="str">
        <f>IFERROR(__xludf.DUMMYFUNCTION("""COMPUTED_VALUE"""),"")</f>
        <v/>
      </c>
    </row>
    <row r="2211">
      <c r="A2211" s="2" t="s">
        <v>33</v>
      </c>
      <c r="B2211" s="12">
        <v>2126293.0</v>
      </c>
      <c r="C2211" s="12">
        <v>2126634.0</v>
      </c>
      <c r="D2211" s="2"/>
      <c r="E2211" s="2" t="s">
        <v>34</v>
      </c>
      <c r="F2211" s="2" t="s">
        <v>5874</v>
      </c>
      <c r="G2211" s="2"/>
      <c r="H2211" s="12">
        <v>0.0</v>
      </c>
      <c r="I2211" s="2" t="s">
        <v>40</v>
      </c>
      <c r="J2211" s="2"/>
      <c r="K2211" s="2" t="s">
        <v>5875</v>
      </c>
      <c r="L2211" s="12">
        <v>113.0</v>
      </c>
      <c r="M2211" s="2" t="s">
        <v>5876</v>
      </c>
      <c r="N2211" s="2" t="str">
        <f>IFERROR(__xludf.DUMMYFUNCTION("""COMPUTED_VALUE"""),"")</f>
        <v/>
      </c>
    </row>
    <row r="2212">
      <c r="A2212" s="2" t="s">
        <v>33</v>
      </c>
      <c r="B2212" s="12">
        <v>2126657.0</v>
      </c>
      <c r="C2212" s="12">
        <v>2126815.0</v>
      </c>
      <c r="D2212" s="2"/>
      <c r="E2212" s="2" t="s">
        <v>38</v>
      </c>
      <c r="F2212" s="2" t="s">
        <v>39</v>
      </c>
      <c r="G2212" s="2"/>
      <c r="H2212" s="12">
        <v>0.0</v>
      </c>
      <c r="I2212" s="2" t="s">
        <v>40</v>
      </c>
      <c r="J2212" s="2"/>
      <c r="K2212" s="2" t="s">
        <v>5877</v>
      </c>
      <c r="L2212" s="12">
        <v>52.0</v>
      </c>
      <c r="M2212" s="2" t="s">
        <v>5878</v>
      </c>
      <c r="N2212" s="2" t="str">
        <f>IFERROR(__xludf.DUMMYFUNCTION("""COMPUTED_VALUE"""),"")</f>
        <v/>
      </c>
    </row>
    <row r="2213">
      <c r="A2213" s="2" t="s">
        <v>33</v>
      </c>
      <c r="B2213" s="12">
        <v>2126930.0</v>
      </c>
      <c r="C2213" s="12">
        <v>2127541.0</v>
      </c>
      <c r="D2213" s="2"/>
      <c r="E2213" s="2" t="s">
        <v>38</v>
      </c>
      <c r="F2213" s="2" t="s">
        <v>5879</v>
      </c>
      <c r="G2213" s="2"/>
      <c r="H2213" s="12">
        <v>0.0</v>
      </c>
      <c r="I2213" s="2" t="s">
        <v>40</v>
      </c>
      <c r="J2213" s="2"/>
      <c r="K2213" s="2" t="s">
        <v>5880</v>
      </c>
      <c r="L2213" s="12">
        <v>203.0</v>
      </c>
      <c r="M2213" s="2" t="s">
        <v>5881</v>
      </c>
      <c r="N2213" s="2" t="str">
        <f>IFERROR(__xludf.DUMMYFUNCTION("""COMPUTED_VALUE"""),"")</f>
        <v/>
      </c>
    </row>
    <row r="2214">
      <c r="A2214" s="2" t="s">
        <v>33</v>
      </c>
      <c r="B2214" s="12">
        <v>2127671.0</v>
      </c>
      <c r="C2214" s="12">
        <v>2128324.0</v>
      </c>
      <c r="D2214" s="2"/>
      <c r="E2214" s="2" t="s">
        <v>34</v>
      </c>
      <c r="F2214" s="2" t="s">
        <v>216</v>
      </c>
      <c r="G2214" s="2"/>
      <c r="H2214" s="12">
        <v>0.0</v>
      </c>
      <c r="I2214" s="2" t="s">
        <v>40</v>
      </c>
      <c r="J2214" s="2"/>
      <c r="K2214" s="2" t="s">
        <v>5882</v>
      </c>
      <c r="L2214" s="12">
        <v>217.0</v>
      </c>
      <c r="M2214" s="2" t="s">
        <v>5883</v>
      </c>
      <c r="N2214" s="2" t="str">
        <f>IFERROR(__xludf.DUMMYFUNCTION("""COMPUTED_VALUE"""),"")</f>
        <v/>
      </c>
    </row>
    <row r="2215">
      <c r="A2215" s="2" t="s">
        <v>33</v>
      </c>
      <c r="B2215" s="12">
        <v>2128424.0</v>
      </c>
      <c r="C2215" s="12">
        <v>2129746.0</v>
      </c>
      <c r="D2215" s="2"/>
      <c r="E2215" s="2" t="s">
        <v>38</v>
      </c>
      <c r="F2215" s="2" t="s">
        <v>5884</v>
      </c>
      <c r="G2215" s="2"/>
      <c r="H2215" s="12">
        <v>0.0</v>
      </c>
      <c r="I2215" s="2" t="s">
        <v>40</v>
      </c>
      <c r="J2215" s="2"/>
      <c r="K2215" s="2" t="s">
        <v>5885</v>
      </c>
      <c r="L2215" s="12">
        <v>440.0</v>
      </c>
      <c r="M2215" s="2" t="s">
        <v>5886</v>
      </c>
      <c r="N2215" s="2" t="str">
        <f>IFERROR(__xludf.DUMMYFUNCTION("""COMPUTED_VALUE"""),"")</f>
        <v/>
      </c>
    </row>
    <row r="2216">
      <c r="A2216" s="2" t="s">
        <v>33</v>
      </c>
      <c r="B2216" s="12">
        <v>2129795.0</v>
      </c>
      <c r="C2216" s="12">
        <v>2131216.0</v>
      </c>
      <c r="D2216" s="2"/>
      <c r="E2216" s="2" t="s">
        <v>38</v>
      </c>
      <c r="F2216" s="2" t="s">
        <v>4879</v>
      </c>
      <c r="G2216" s="2"/>
      <c r="H2216" s="12">
        <v>0.0</v>
      </c>
      <c r="I2216" s="2" t="s">
        <v>40</v>
      </c>
      <c r="J2216" s="2"/>
      <c r="K2216" s="2" t="s">
        <v>5887</v>
      </c>
      <c r="L2216" s="12">
        <v>473.0</v>
      </c>
      <c r="M2216" s="2" t="s">
        <v>5888</v>
      </c>
      <c r="N2216" s="2" t="str">
        <f>IFERROR(__xludf.DUMMYFUNCTION("""COMPUTED_VALUE"""),"")</f>
        <v/>
      </c>
    </row>
    <row r="2217">
      <c r="A2217" s="2" t="s">
        <v>33</v>
      </c>
      <c r="B2217" s="12">
        <v>2131323.0</v>
      </c>
      <c r="C2217" s="12">
        <v>2131577.0</v>
      </c>
      <c r="D2217" s="2"/>
      <c r="E2217" s="2" t="s">
        <v>38</v>
      </c>
      <c r="F2217" s="2" t="s">
        <v>5889</v>
      </c>
      <c r="G2217" s="2"/>
      <c r="H2217" s="12">
        <v>0.0</v>
      </c>
      <c r="I2217" s="2" t="s">
        <v>40</v>
      </c>
      <c r="J2217" s="2"/>
      <c r="K2217" s="2" t="s">
        <v>5890</v>
      </c>
      <c r="L2217" s="12">
        <v>84.0</v>
      </c>
      <c r="M2217" s="2" t="s">
        <v>5891</v>
      </c>
      <c r="N2217" s="2" t="str">
        <f>IFERROR(__xludf.DUMMYFUNCTION("""COMPUTED_VALUE"""),"")</f>
        <v/>
      </c>
    </row>
    <row r="2218">
      <c r="A2218" s="2" t="s">
        <v>33</v>
      </c>
      <c r="B2218" s="12">
        <v>2131852.0</v>
      </c>
      <c r="C2218" s="12">
        <v>2133255.0</v>
      </c>
      <c r="D2218" s="2"/>
      <c r="E2218" s="2" t="s">
        <v>34</v>
      </c>
      <c r="F2218" s="2" t="s">
        <v>5892</v>
      </c>
      <c r="G2218" s="2"/>
      <c r="H2218" s="12">
        <v>0.0</v>
      </c>
      <c r="I2218" s="2" t="s">
        <v>40</v>
      </c>
      <c r="J2218" s="2"/>
      <c r="K2218" s="2" t="s">
        <v>5893</v>
      </c>
      <c r="L2218" s="12">
        <v>467.0</v>
      </c>
      <c r="M2218" s="2" t="s">
        <v>5894</v>
      </c>
      <c r="N2218" s="2" t="str">
        <f>IFERROR(__xludf.DUMMYFUNCTION("""COMPUTED_VALUE"""),"")</f>
        <v/>
      </c>
    </row>
    <row r="2219">
      <c r="A2219" s="2" t="s">
        <v>33</v>
      </c>
      <c r="B2219" s="12">
        <v>2133339.0</v>
      </c>
      <c r="C2219" s="12">
        <v>2133542.0</v>
      </c>
      <c r="D2219" s="2"/>
      <c r="E2219" s="2" t="s">
        <v>34</v>
      </c>
      <c r="F2219" s="2" t="s">
        <v>39</v>
      </c>
      <c r="G2219" s="2"/>
      <c r="H2219" s="12">
        <v>0.0</v>
      </c>
      <c r="I2219" s="2" t="s">
        <v>40</v>
      </c>
      <c r="J2219" s="2"/>
      <c r="K2219" s="2" t="s">
        <v>5895</v>
      </c>
      <c r="L2219" s="12">
        <v>67.0</v>
      </c>
      <c r="M2219" s="2" t="s">
        <v>5896</v>
      </c>
      <c r="N2219" s="2" t="str">
        <f>IFERROR(__xludf.DUMMYFUNCTION("""COMPUTED_VALUE"""),"")</f>
        <v/>
      </c>
    </row>
    <row r="2220">
      <c r="A2220" s="2" t="s">
        <v>33</v>
      </c>
      <c r="B2220" s="12">
        <v>2133587.0</v>
      </c>
      <c r="C2220" s="12">
        <v>2134324.0</v>
      </c>
      <c r="D2220" s="2"/>
      <c r="E2220" s="2" t="s">
        <v>38</v>
      </c>
      <c r="F2220" s="2" t="s">
        <v>5897</v>
      </c>
      <c r="G2220" s="2" t="s">
        <v>5898</v>
      </c>
      <c r="H2220" s="12">
        <v>0.0</v>
      </c>
      <c r="I2220" s="2" t="s">
        <v>40</v>
      </c>
      <c r="J2220" s="2"/>
      <c r="K2220" s="2" t="s">
        <v>5899</v>
      </c>
      <c r="L2220" s="12">
        <v>245.0</v>
      </c>
      <c r="M2220" s="2" t="s">
        <v>5900</v>
      </c>
      <c r="N2220" s="2" t="str">
        <f>IFERROR(__xludf.DUMMYFUNCTION("""COMPUTED_VALUE"""),"")</f>
        <v/>
      </c>
    </row>
    <row r="2221">
      <c r="A2221" s="2" t="s">
        <v>33</v>
      </c>
      <c r="B2221" s="12">
        <v>2134439.0</v>
      </c>
      <c r="C2221" s="12">
        <v>2135332.0</v>
      </c>
      <c r="D2221" s="2"/>
      <c r="E2221" s="2" t="s">
        <v>38</v>
      </c>
      <c r="F2221" s="2" t="s">
        <v>5901</v>
      </c>
      <c r="G2221" s="2"/>
      <c r="H2221" s="12">
        <v>0.0</v>
      </c>
      <c r="I2221" s="2" t="s">
        <v>40</v>
      </c>
      <c r="J2221" s="2"/>
      <c r="K2221" s="2" t="s">
        <v>5902</v>
      </c>
      <c r="L2221" s="12">
        <v>297.0</v>
      </c>
      <c r="M2221" s="2" t="s">
        <v>5903</v>
      </c>
      <c r="N2221" s="2" t="str">
        <f>IFERROR(__xludf.DUMMYFUNCTION("""COMPUTED_VALUE"""),"")</f>
        <v/>
      </c>
    </row>
    <row r="2222">
      <c r="A2222" s="2" t="s">
        <v>33</v>
      </c>
      <c r="B2222" s="12">
        <v>2135581.0</v>
      </c>
      <c r="C2222" s="12">
        <v>2136960.0</v>
      </c>
      <c r="D2222" s="2"/>
      <c r="E2222" s="2" t="s">
        <v>38</v>
      </c>
      <c r="F2222" s="2" t="s">
        <v>5904</v>
      </c>
      <c r="G2222" s="2" t="s">
        <v>5905</v>
      </c>
      <c r="H2222" s="12">
        <v>0.0</v>
      </c>
      <c r="I2222" s="2" t="s">
        <v>40</v>
      </c>
      <c r="J2222" s="2"/>
      <c r="K2222" s="2" t="s">
        <v>5906</v>
      </c>
      <c r="L2222" s="12">
        <v>459.0</v>
      </c>
      <c r="M2222" s="2" t="s">
        <v>5907</v>
      </c>
      <c r="N2222" s="2" t="str">
        <f>IFERROR(__xludf.DUMMYFUNCTION("""COMPUTED_VALUE"""),"")</f>
        <v/>
      </c>
    </row>
    <row r="2223">
      <c r="A2223" s="2" t="s">
        <v>33</v>
      </c>
      <c r="B2223" s="12">
        <v>2136971.0</v>
      </c>
      <c r="C2223" s="12">
        <v>2137834.0</v>
      </c>
      <c r="D2223" s="2"/>
      <c r="E2223" s="2" t="s">
        <v>38</v>
      </c>
      <c r="F2223" s="2" t="s">
        <v>4824</v>
      </c>
      <c r="G2223" s="2"/>
      <c r="H2223" s="12">
        <v>0.0</v>
      </c>
      <c r="I2223" s="2" t="s">
        <v>40</v>
      </c>
      <c r="J2223" s="2"/>
      <c r="K2223" s="2" t="s">
        <v>5908</v>
      </c>
      <c r="L2223" s="12">
        <v>287.0</v>
      </c>
      <c r="M2223" s="2" t="s">
        <v>5909</v>
      </c>
      <c r="N2223" s="2" t="str">
        <f>IFERROR(__xludf.DUMMYFUNCTION("""COMPUTED_VALUE"""),"")</f>
        <v/>
      </c>
    </row>
    <row r="2224">
      <c r="A2224" s="2" t="s">
        <v>33</v>
      </c>
      <c r="B2224" s="12">
        <v>2137894.0</v>
      </c>
      <c r="C2224" s="12">
        <v>2138676.0</v>
      </c>
      <c r="D2224" s="2"/>
      <c r="E2224" s="2" t="s">
        <v>38</v>
      </c>
      <c r="F2224" s="2" t="s">
        <v>5910</v>
      </c>
      <c r="G2224" s="2" t="s">
        <v>5911</v>
      </c>
      <c r="H2224" s="12">
        <v>0.0</v>
      </c>
      <c r="I2224" s="2" t="s">
        <v>40</v>
      </c>
      <c r="J2224" s="2"/>
      <c r="K2224" s="2" t="s">
        <v>5912</v>
      </c>
      <c r="L2224" s="12">
        <v>260.0</v>
      </c>
      <c r="M2224" s="2" t="s">
        <v>5913</v>
      </c>
      <c r="N2224" s="2" t="str">
        <f>IFERROR(__xludf.DUMMYFUNCTION("""COMPUTED_VALUE"""),"")</f>
        <v/>
      </c>
    </row>
    <row r="2225">
      <c r="A2225" s="2" t="s">
        <v>33</v>
      </c>
      <c r="B2225" s="12">
        <v>2138804.0</v>
      </c>
      <c r="C2225" s="12">
        <v>2140324.0</v>
      </c>
      <c r="D2225" s="2"/>
      <c r="E2225" s="2" t="s">
        <v>38</v>
      </c>
      <c r="F2225" s="2" t="s">
        <v>5914</v>
      </c>
      <c r="G2225" s="2" t="s">
        <v>5915</v>
      </c>
      <c r="H2225" s="12">
        <v>0.0</v>
      </c>
      <c r="I2225" s="2" t="s">
        <v>40</v>
      </c>
      <c r="J2225" s="2"/>
      <c r="K2225" s="2" t="s">
        <v>5916</v>
      </c>
      <c r="L2225" s="12">
        <v>506.0</v>
      </c>
      <c r="M2225" s="2" t="s">
        <v>5917</v>
      </c>
      <c r="N2225" s="2" t="str">
        <f>IFERROR(__xludf.DUMMYFUNCTION("""COMPUTED_VALUE"""),"")</f>
        <v/>
      </c>
    </row>
    <row r="2226">
      <c r="A2226" s="2" t="s">
        <v>33</v>
      </c>
      <c r="B2226" s="12">
        <v>2140531.0</v>
      </c>
      <c r="C2226" s="12">
        <v>2140713.0</v>
      </c>
      <c r="D2226" s="2"/>
      <c r="E2226" s="2" t="s">
        <v>38</v>
      </c>
      <c r="F2226" s="2" t="s">
        <v>5918</v>
      </c>
      <c r="G2226" s="2"/>
      <c r="H2226" s="12">
        <v>0.0</v>
      </c>
      <c r="I2226" s="2" t="s">
        <v>40</v>
      </c>
      <c r="J2226" s="2"/>
      <c r="K2226" s="2" t="s">
        <v>5919</v>
      </c>
      <c r="L2226" s="12">
        <v>60.0</v>
      </c>
      <c r="M2226" s="2" t="s">
        <v>5920</v>
      </c>
      <c r="N2226" s="2" t="str">
        <f>IFERROR(__xludf.DUMMYFUNCTION("""COMPUTED_VALUE"""),"")</f>
        <v/>
      </c>
    </row>
    <row r="2227">
      <c r="A2227" s="2" t="s">
        <v>33</v>
      </c>
      <c r="B2227" s="12">
        <v>2140927.0</v>
      </c>
      <c r="C2227" s="12">
        <v>2142054.0</v>
      </c>
      <c r="D2227" s="2"/>
      <c r="E2227" s="2" t="s">
        <v>34</v>
      </c>
      <c r="F2227" s="2" t="s">
        <v>5921</v>
      </c>
      <c r="G2227" s="2" t="s">
        <v>5922</v>
      </c>
      <c r="H2227" s="12">
        <v>0.0</v>
      </c>
      <c r="I2227" s="2" t="s">
        <v>40</v>
      </c>
      <c r="J2227" s="2"/>
      <c r="K2227" s="2" t="s">
        <v>5923</v>
      </c>
      <c r="L2227" s="12">
        <v>375.0</v>
      </c>
      <c r="M2227" s="2" t="s">
        <v>5924</v>
      </c>
      <c r="N2227" s="2" t="str">
        <f>IFERROR(__xludf.DUMMYFUNCTION("""COMPUTED_VALUE"""),"")</f>
        <v/>
      </c>
    </row>
    <row r="2228">
      <c r="A2228" s="2" t="s">
        <v>33</v>
      </c>
      <c r="B2228" s="12">
        <v>2142090.0</v>
      </c>
      <c r="C2228" s="12">
        <v>2142887.0</v>
      </c>
      <c r="D2228" s="2"/>
      <c r="E2228" s="2" t="s">
        <v>38</v>
      </c>
      <c r="F2228" s="2" t="s">
        <v>5925</v>
      </c>
      <c r="G2228" s="2"/>
      <c r="H2228" s="12">
        <v>0.0</v>
      </c>
      <c r="I2228" s="2" t="s">
        <v>40</v>
      </c>
      <c r="J2228" s="2"/>
      <c r="K2228" s="2" t="s">
        <v>5926</v>
      </c>
      <c r="L2228" s="12">
        <v>265.0</v>
      </c>
      <c r="M2228" s="2" t="s">
        <v>5927</v>
      </c>
      <c r="N2228" s="2" t="str">
        <f>IFERROR(__xludf.DUMMYFUNCTION("""COMPUTED_VALUE"""),"")</f>
        <v/>
      </c>
    </row>
    <row r="2229">
      <c r="A2229" s="2" t="s">
        <v>33</v>
      </c>
      <c r="B2229" s="12">
        <v>2142967.0</v>
      </c>
      <c r="C2229" s="12">
        <v>2144022.0</v>
      </c>
      <c r="D2229" s="2"/>
      <c r="E2229" s="2" t="s">
        <v>38</v>
      </c>
      <c r="F2229" s="2" t="s">
        <v>5928</v>
      </c>
      <c r="G2229" s="2" t="s">
        <v>5929</v>
      </c>
      <c r="H2229" s="12">
        <v>0.0</v>
      </c>
      <c r="I2229" s="2" t="s">
        <v>40</v>
      </c>
      <c r="J2229" s="2"/>
      <c r="K2229" s="2" t="s">
        <v>5930</v>
      </c>
      <c r="L2229" s="12">
        <v>351.0</v>
      </c>
      <c r="M2229" s="2" t="s">
        <v>5931</v>
      </c>
      <c r="N2229" s="2" t="str">
        <f>IFERROR(__xludf.DUMMYFUNCTION("""COMPUTED_VALUE"""),"")</f>
        <v/>
      </c>
    </row>
    <row r="2230">
      <c r="A2230" s="2" t="s">
        <v>33</v>
      </c>
      <c r="B2230" s="12">
        <v>2144202.0</v>
      </c>
      <c r="C2230" s="12">
        <v>2144618.0</v>
      </c>
      <c r="D2230" s="2"/>
      <c r="E2230" s="2" t="s">
        <v>34</v>
      </c>
      <c r="F2230" s="2" t="s">
        <v>1808</v>
      </c>
      <c r="G2230" s="2"/>
      <c r="H2230" s="12">
        <v>0.0</v>
      </c>
      <c r="I2230" s="2" t="s">
        <v>40</v>
      </c>
      <c r="J2230" s="2"/>
      <c r="K2230" s="2" t="s">
        <v>5932</v>
      </c>
      <c r="L2230" s="12">
        <v>138.0</v>
      </c>
      <c r="M2230" s="2" t="s">
        <v>5933</v>
      </c>
      <c r="N2230" s="2" t="str">
        <f>IFERROR(__xludf.DUMMYFUNCTION("""COMPUTED_VALUE"""),"")</f>
        <v/>
      </c>
    </row>
    <row r="2231">
      <c r="A2231" s="2" t="s">
        <v>33</v>
      </c>
      <c r="B2231" s="12">
        <v>2144774.0</v>
      </c>
      <c r="C2231" s="12">
        <v>2144920.0</v>
      </c>
      <c r="D2231" s="2"/>
      <c r="E2231" s="2" t="s">
        <v>34</v>
      </c>
      <c r="F2231" s="2" t="s">
        <v>5934</v>
      </c>
      <c r="G2231" s="2"/>
      <c r="H2231" s="12">
        <v>0.0</v>
      </c>
      <c r="I2231" s="2" t="s">
        <v>40</v>
      </c>
      <c r="J2231" s="2"/>
      <c r="K2231" s="2" t="s">
        <v>5935</v>
      </c>
      <c r="L2231" s="12">
        <v>48.0</v>
      </c>
      <c r="M2231" s="2" t="s">
        <v>5936</v>
      </c>
      <c r="N2231" s="2" t="str">
        <f>IFERROR(__xludf.DUMMYFUNCTION("""COMPUTED_VALUE"""),"")</f>
        <v/>
      </c>
    </row>
    <row r="2232">
      <c r="A2232" s="2" t="s">
        <v>33</v>
      </c>
      <c r="B2232" s="12">
        <v>2145129.0</v>
      </c>
      <c r="C2232" s="12">
        <v>2145557.0</v>
      </c>
      <c r="D2232" s="2"/>
      <c r="E2232" s="2" t="s">
        <v>34</v>
      </c>
      <c r="F2232" s="2" t="s">
        <v>1849</v>
      </c>
      <c r="G2232" s="2"/>
      <c r="H2232" s="12">
        <v>0.0</v>
      </c>
      <c r="I2232" s="2" t="s">
        <v>40</v>
      </c>
      <c r="J2232" s="2"/>
      <c r="K2232" s="2" t="s">
        <v>5937</v>
      </c>
      <c r="L2232" s="12">
        <v>142.0</v>
      </c>
      <c r="M2232" s="2" t="s">
        <v>5938</v>
      </c>
      <c r="N2232" s="2" t="str">
        <f>IFERROR(__xludf.DUMMYFUNCTION("""COMPUTED_VALUE"""),"")</f>
        <v/>
      </c>
    </row>
    <row r="2233">
      <c r="A2233" s="2" t="s">
        <v>33</v>
      </c>
      <c r="B2233" s="12">
        <v>2145569.0</v>
      </c>
      <c r="C2233" s="12">
        <v>2146162.0</v>
      </c>
      <c r="D2233" s="2"/>
      <c r="E2233" s="2" t="s">
        <v>38</v>
      </c>
      <c r="F2233" s="2" t="s">
        <v>1608</v>
      </c>
      <c r="G2233" s="2"/>
      <c r="H2233" s="12">
        <v>0.0</v>
      </c>
      <c r="I2233" s="2" t="s">
        <v>40</v>
      </c>
      <c r="J2233" s="2"/>
      <c r="K2233" s="2" t="s">
        <v>5939</v>
      </c>
      <c r="L2233" s="12">
        <v>197.0</v>
      </c>
      <c r="M2233" s="2" t="s">
        <v>5940</v>
      </c>
      <c r="N2233" s="2" t="str">
        <f>IFERROR(__xludf.DUMMYFUNCTION("""COMPUTED_VALUE"""),"")</f>
        <v/>
      </c>
    </row>
    <row r="2234">
      <c r="A2234" s="2" t="s">
        <v>33</v>
      </c>
      <c r="B2234" s="12">
        <v>2146649.0</v>
      </c>
      <c r="C2234" s="12">
        <v>2149411.0</v>
      </c>
      <c r="D2234" s="2"/>
      <c r="E2234" s="2" t="s">
        <v>34</v>
      </c>
      <c r="F2234" s="2" t="s">
        <v>5941</v>
      </c>
      <c r="G2234" s="2"/>
      <c r="H2234" s="12">
        <v>0.0</v>
      </c>
      <c r="I2234" s="2" t="s">
        <v>40</v>
      </c>
      <c r="J2234" s="2"/>
      <c r="K2234" s="2" t="s">
        <v>5942</v>
      </c>
      <c r="L2234" s="12">
        <v>920.0</v>
      </c>
      <c r="M2234" s="2" t="s">
        <v>5943</v>
      </c>
      <c r="N2234" s="2" t="str">
        <f>IFERROR(__xludf.DUMMYFUNCTION("""COMPUTED_VALUE"""),"")</f>
        <v/>
      </c>
    </row>
    <row r="2235">
      <c r="A2235" s="2" t="s">
        <v>33</v>
      </c>
      <c r="B2235" s="12">
        <v>2149449.0</v>
      </c>
      <c r="C2235" s="12">
        <v>2149985.0</v>
      </c>
      <c r="D2235" s="2"/>
      <c r="E2235" s="2" t="s">
        <v>38</v>
      </c>
      <c r="F2235" s="2" t="s">
        <v>4164</v>
      </c>
      <c r="G2235" s="2" t="s">
        <v>61</v>
      </c>
      <c r="H2235" s="12">
        <v>0.0</v>
      </c>
      <c r="I2235" s="2" t="s">
        <v>40</v>
      </c>
      <c r="J2235" s="2"/>
      <c r="K2235" s="2" t="s">
        <v>5944</v>
      </c>
      <c r="L2235" s="12">
        <v>178.0</v>
      </c>
      <c r="M2235" s="2" t="s">
        <v>5945</v>
      </c>
      <c r="N2235" s="2" t="str">
        <f>IFERROR(__xludf.DUMMYFUNCTION("""COMPUTED_VALUE"""),"")</f>
        <v/>
      </c>
    </row>
    <row r="2236">
      <c r="A2236" s="2" t="s">
        <v>33</v>
      </c>
      <c r="B2236" s="12">
        <v>2150163.0</v>
      </c>
      <c r="C2236" s="12">
        <v>2150843.0</v>
      </c>
      <c r="D2236" s="2"/>
      <c r="E2236" s="2" t="s">
        <v>38</v>
      </c>
      <c r="F2236" s="2" t="s">
        <v>5946</v>
      </c>
      <c r="G2236" s="2"/>
      <c r="H2236" s="12">
        <v>0.0</v>
      </c>
      <c r="I2236" s="2" t="s">
        <v>40</v>
      </c>
      <c r="J2236" s="2"/>
      <c r="K2236" s="2" t="s">
        <v>5947</v>
      </c>
      <c r="L2236" s="12">
        <v>226.0</v>
      </c>
      <c r="M2236" s="2" t="s">
        <v>5948</v>
      </c>
      <c r="N2236" s="2" t="str">
        <f>IFERROR(__xludf.DUMMYFUNCTION("""COMPUTED_VALUE"""),"")</f>
        <v/>
      </c>
    </row>
    <row r="2237">
      <c r="A2237" s="2" t="s">
        <v>33</v>
      </c>
      <c r="B2237" s="12">
        <v>2150964.0</v>
      </c>
      <c r="C2237" s="12">
        <v>2151914.0</v>
      </c>
      <c r="D2237" s="2"/>
      <c r="E2237" s="2" t="s">
        <v>38</v>
      </c>
      <c r="F2237" s="2" t="s">
        <v>738</v>
      </c>
      <c r="G2237" s="2"/>
      <c r="H2237" s="12">
        <v>0.0</v>
      </c>
      <c r="I2237" s="2" t="s">
        <v>40</v>
      </c>
      <c r="J2237" s="2"/>
      <c r="K2237" s="2" t="s">
        <v>5949</v>
      </c>
      <c r="L2237" s="12">
        <v>316.0</v>
      </c>
      <c r="M2237" s="2" t="s">
        <v>5950</v>
      </c>
      <c r="N2237" s="2" t="str">
        <f>IFERROR(__xludf.DUMMYFUNCTION("""COMPUTED_VALUE"""),"")</f>
        <v/>
      </c>
    </row>
    <row r="2238">
      <c r="A2238" s="2" t="s">
        <v>33</v>
      </c>
      <c r="B2238" s="12">
        <v>2152186.0</v>
      </c>
      <c r="C2238" s="12">
        <v>2154111.0</v>
      </c>
      <c r="D2238" s="2"/>
      <c r="E2238" s="2" t="s">
        <v>34</v>
      </c>
      <c r="F2238" s="2" t="s">
        <v>5593</v>
      </c>
      <c r="G2238" s="2"/>
      <c r="H2238" s="12">
        <v>0.0</v>
      </c>
      <c r="I2238" s="2" t="s">
        <v>40</v>
      </c>
      <c r="J2238" s="2"/>
      <c r="K2238" s="2" t="s">
        <v>5951</v>
      </c>
      <c r="L2238" s="12">
        <v>641.0</v>
      </c>
      <c r="M2238" s="2" t="s">
        <v>5952</v>
      </c>
      <c r="N2238" s="2" t="str">
        <f>IFERROR(__xludf.DUMMYFUNCTION("""COMPUTED_VALUE"""),"")</f>
        <v/>
      </c>
    </row>
    <row r="2239">
      <c r="A2239" s="2" t="s">
        <v>33</v>
      </c>
      <c r="B2239" s="12">
        <v>2154299.0</v>
      </c>
      <c r="C2239" s="12">
        <v>2155165.0</v>
      </c>
      <c r="D2239" s="2"/>
      <c r="E2239" s="2" t="s">
        <v>38</v>
      </c>
      <c r="F2239" s="2" t="s">
        <v>5953</v>
      </c>
      <c r="G2239" s="2"/>
      <c r="H2239" s="12">
        <v>0.0</v>
      </c>
      <c r="I2239" s="2" t="s">
        <v>40</v>
      </c>
      <c r="J2239" s="2"/>
      <c r="K2239" s="2" t="s">
        <v>5954</v>
      </c>
      <c r="L2239" s="12">
        <v>288.0</v>
      </c>
      <c r="M2239" s="2" t="s">
        <v>5955</v>
      </c>
      <c r="N2239" s="2" t="str">
        <f>IFERROR(__xludf.DUMMYFUNCTION("""COMPUTED_VALUE"""),"")</f>
        <v/>
      </c>
    </row>
    <row r="2240">
      <c r="A2240" s="2" t="s">
        <v>33</v>
      </c>
      <c r="B2240" s="12">
        <v>2155172.0</v>
      </c>
      <c r="C2240" s="12">
        <v>2155687.0</v>
      </c>
      <c r="D2240" s="2"/>
      <c r="E2240" s="2" t="s">
        <v>38</v>
      </c>
      <c r="F2240" s="2" t="s">
        <v>5956</v>
      </c>
      <c r="G2240" s="2"/>
      <c r="H2240" s="12">
        <v>0.0</v>
      </c>
      <c r="I2240" s="2" t="s">
        <v>40</v>
      </c>
      <c r="J2240" s="2"/>
      <c r="K2240" s="2" t="s">
        <v>5957</v>
      </c>
      <c r="L2240" s="12">
        <v>171.0</v>
      </c>
      <c r="M2240" s="2" t="s">
        <v>5958</v>
      </c>
      <c r="N2240" s="2" t="str">
        <f>IFERROR(__xludf.DUMMYFUNCTION("""COMPUTED_VALUE"""),"")</f>
        <v/>
      </c>
    </row>
    <row r="2241">
      <c r="A2241" s="2" t="s">
        <v>33</v>
      </c>
      <c r="B2241" s="12">
        <v>2155741.0</v>
      </c>
      <c r="C2241" s="12">
        <v>2156205.0</v>
      </c>
      <c r="D2241" s="2"/>
      <c r="E2241" s="2" t="s">
        <v>38</v>
      </c>
      <c r="F2241" s="2" t="s">
        <v>5959</v>
      </c>
      <c r="G2241" s="2"/>
      <c r="H2241" s="12">
        <v>0.0</v>
      </c>
      <c r="I2241" s="2" t="s">
        <v>40</v>
      </c>
      <c r="J2241" s="2"/>
      <c r="K2241" s="2" t="s">
        <v>5960</v>
      </c>
      <c r="L2241" s="12">
        <v>154.0</v>
      </c>
      <c r="M2241" s="2" t="s">
        <v>5961</v>
      </c>
      <c r="N2241" s="2" t="str">
        <f>IFERROR(__xludf.DUMMYFUNCTION("""COMPUTED_VALUE"""),"")</f>
        <v/>
      </c>
    </row>
    <row r="2242">
      <c r="A2242" s="2" t="s">
        <v>33</v>
      </c>
      <c r="B2242" s="12">
        <v>2156380.0</v>
      </c>
      <c r="C2242" s="12">
        <v>2156604.0</v>
      </c>
      <c r="D2242" s="2"/>
      <c r="E2242" s="2" t="s">
        <v>34</v>
      </c>
      <c r="F2242" s="2" t="s">
        <v>5962</v>
      </c>
      <c r="G2242" s="2"/>
      <c r="H2242" s="12">
        <v>0.0</v>
      </c>
      <c r="I2242" s="2" t="s">
        <v>40</v>
      </c>
      <c r="J2242" s="2"/>
      <c r="K2242" s="2" t="s">
        <v>5963</v>
      </c>
      <c r="L2242" s="12">
        <v>74.0</v>
      </c>
      <c r="M2242" s="2" t="s">
        <v>5964</v>
      </c>
      <c r="N2242" s="2" t="str">
        <f>IFERROR(__xludf.DUMMYFUNCTION("""COMPUTED_VALUE"""),"")</f>
        <v/>
      </c>
    </row>
    <row r="2243">
      <c r="A2243" s="2" t="s">
        <v>33</v>
      </c>
      <c r="B2243" s="12">
        <v>2156798.0</v>
      </c>
      <c r="C2243" s="12">
        <v>2159464.0</v>
      </c>
      <c r="D2243" s="2"/>
      <c r="E2243" s="2" t="s">
        <v>34</v>
      </c>
      <c r="F2243" s="2" t="s">
        <v>5965</v>
      </c>
      <c r="G2243" s="2"/>
      <c r="H2243" s="12">
        <v>0.0</v>
      </c>
      <c r="I2243" s="2" t="s">
        <v>40</v>
      </c>
      <c r="J2243" s="2"/>
      <c r="K2243" s="2" t="s">
        <v>5966</v>
      </c>
      <c r="L2243" s="12">
        <v>888.0</v>
      </c>
      <c r="M2243" s="2" t="s">
        <v>5967</v>
      </c>
      <c r="N2243" s="2" t="str">
        <f>IFERROR(__xludf.DUMMYFUNCTION("""COMPUTED_VALUE"""),"")</f>
        <v/>
      </c>
    </row>
    <row r="2244">
      <c r="A2244" s="2" t="s">
        <v>33</v>
      </c>
      <c r="B2244" s="12">
        <v>2159653.0</v>
      </c>
      <c r="C2244" s="12">
        <v>2160735.0</v>
      </c>
      <c r="D2244" s="2"/>
      <c r="E2244" s="2" t="s">
        <v>38</v>
      </c>
      <c r="F2244" s="2" t="s">
        <v>643</v>
      </c>
      <c r="G2244" s="2"/>
      <c r="H2244" s="12">
        <v>0.0</v>
      </c>
      <c r="I2244" s="2" t="s">
        <v>40</v>
      </c>
      <c r="J2244" s="2"/>
      <c r="K2244" s="2" t="s">
        <v>5968</v>
      </c>
      <c r="L2244" s="12">
        <v>360.0</v>
      </c>
      <c r="M2244" s="2" t="s">
        <v>5969</v>
      </c>
      <c r="N2244" s="2" t="str">
        <f>IFERROR(__xludf.DUMMYFUNCTION("""COMPUTED_VALUE"""),"")</f>
        <v/>
      </c>
    </row>
    <row r="2245">
      <c r="A2245" s="2" t="s">
        <v>33</v>
      </c>
      <c r="B2245" s="12">
        <v>2160754.0</v>
      </c>
      <c r="C2245" s="12">
        <v>2162385.0</v>
      </c>
      <c r="D2245" s="2"/>
      <c r="E2245" s="2" t="s">
        <v>38</v>
      </c>
      <c r="F2245" s="2" t="s">
        <v>5970</v>
      </c>
      <c r="G2245" s="2"/>
      <c r="H2245" s="12">
        <v>0.0</v>
      </c>
      <c r="I2245" s="2" t="s">
        <v>40</v>
      </c>
      <c r="J2245" s="2"/>
      <c r="K2245" s="2" t="s">
        <v>5971</v>
      </c>
      <c r="L2245" s="12">
        <v>543.0</v>
      </c>
      <c r="M2245" s="2" t="s">
        <v>5972</v>
      </c>
      <c r="N2245" s="2" t="str">
        <f>IFERROR(__xludf.DUMMYFUNCTION("""COMPUTED_VALUE"""),"")</f>
        <v/>
      </c>
    </row>
    <row r="2246">
      <c r="A2246" s="2" t="s">
        <v>33</v>
      </c>
      <c r="B2246" s="12">
        <v>2162495.0</v>
      </c>
      <c r="C2246" s="12">
        <v>2163286.0</v>
      </c>
      <c r="D2246" s="2"/>
      <c r="E2246" s="2" t="s">
        <v>38</v>
      </c>
      <c r="F2246" s="2" t="s">
        <v>3676</v>
      </c>
      <c r="G2246" s="2"/>
      <c r="H2246" s="12">
        <v>0.0</v>
      </c>
      <c r="I2246" s="2" t="s">
        <v>40</v>
      </c>
      <c r="J2246" s="2"/>
      <c r="K2246" s="2" t="s">
        <v>5973</v>
      </c>
      <c r="L2246" s="12">
        <v>263.0</v>
      </c>
      <c r="M2246" s="2" t="s">
        <v>5974</v>
      </c>
      <c r="N2246" s="2" t="str">
        <f>IFERROR(__xludf.DUMMYFUNCTION("""COMPUTED_VALUE"""),"")</f>
        <v/>
      </c>
    </row>
    <row r="2247">
      <c r="A2247" s="2" t="s">
        <v>33</v>
      </c>
      <c r="B2247" s="12">
        <v>2163359.0</v>
      </c>
      <c r="C2247" s="12">
        <v>2163937.0</v>
      </c>
      <c r="D2247" s="2"/>
      <c r="E2247" s="2" t="s">
        <v>38</v>
      </c>
      <c r="F2247" s="2" t="s">
        <v>5975</v>
      </c>
      <c r="G2247" s="2"/>
      <c r="H2247" s="12">
        <v>0.0</v>
      </c>
      <c r="I2247" s="2" t="s">
        <v>40</v>
      </c>
      <c r="J2247" s="2"/>
      <c r="K2247" s="2" t="s">
        <v>5976</v>
      </c>
      <c r="L2247" s="12">
        <v>192.0</v>
      </c>
      <c r="M2247" s="2" t="s">
        <v>5977</v>
      </c>
      <c r="N2247" s="2" t="str">
        <f>IFERROR(__xludf.DUMMYFUNCTION("""COMPUTED_VALUE"""),"")</f>
        <v/>
      </c>
    </row>
    <row r="2248">
      <c r="A2248" s="2" t="s">
        <v>33</v>
      </c>
      <c r="B2248" s="12">
        <v>2164023.0</v>
      </c>
      <c r="C2248" s="12">
        <v>2164607.0</v>
      </c>
      <c r="D2248" s="2"/>
      <c r="E2248" s="2" t="s">
        <v>38</v>
      </c>
      <c r="F2248" s="2" t="s">
        <v>5975</v>
      </c>
      <c r="G2248" s="2"/>
      <c r="H2248" s="12">
        <v>0.0</v>
      </c>
      <c r="I2248" s="2" t="s">
        <v>40</v>
      </c>
      <c r="J2248" s="2"/>
      <c r="K2248" s="2" t="s">
        <v>5978</v>
      </c>
      <c r="L2248" s="12">
        <v>194.0</v>
      </c>
      <c r="M2248" s="2" t="s">
        <v>5979</v>
      </c>
      <c r="N2248" s="2" t="str">
        <f>IFERROR(__xludf.DUMMYFUNCTION("""COMPUTED_VALUE"""),"")</f>
        <v/>
      </c>
    </row>
    <row r="2249">
      <c r="A2249" s="2" t="s">
        <v>33</v>
      </c>
      <c r="B2249" s="12">
        <v>2164630.0</v>
      </c>
      <c r="C2249" s="12">
        <v>2165226.0</v>
      </c>
      <c r="D2249" s="2"/>
      <c r="E2249" s="2" t="s">
        <v>38</v>
      </c>
      <c r="F2249" s="2" t="s">
        <v>5975</v>
      </c>
      <c r="G2249" s="2"/>
      <c r="H2249" s="12">
        <v>0.0</v>
      </c>
      <c r="I2249" s="2" t="s">
        <v>40</v>
      </c>
      <c r="J2249" s="2"/>
      <c r="K2249" s="2" t="s">
        <v>5980</v>
      </c>
      <c r="L2249" s="12">
        <v>198.0</v>
      </c>
      <c r="M2249" s="2" t="s">
        <v>5981</v>
      </c>
      <c r="N2249" s="2" t="str">
        <f>IFERROR(__xludf.DUMMYFUNCTION("""COMPUTED_VALUE"""),"")</f>
        <v/>
      </c>
    </row>
    <row r="2250">
      <c r="A2250" s="2" t="s">
        <v>33</v>
      </c>
      <c r="B2250" s="12">
        <v>2165355.0</v>
      </c>
      <c r="C2250" s="12">
        <v>2166233.0</v>
      </c>
      <c r="D2250" s="2"/>
      <c r="E2250" s="2" t="s">
        <v>38</v>
      </c>
      <c r="F2250" s="2" t="s">
        <v>5982</v>
      </c>
      <c r="G2250" s="2"/>
      <c r="H2250" s="12">
        <v>0.0</v>
      </c>
      <c r="I2250" s="2" t="s">
        <v>40</v>
      </c>
      <c r="J2250" s="2"/>
      <c r="K2250" s="2" t="s">
        <v>5983</v>
      </c>
      <c r="L2250" s="12">
        <v>292.0</v>
      </c>
      <c r="M2250" s="2" t="s">
        <v>5984</v>
      </c>
      <c r="N2250" s="2" t="str">
        <f>IFERROR(__xludf.DUMMYFUNCTION("""COMPUTED_VALUE"""),"")</f>
        <v/>
      </c>
    </row>
    <row r="2251">
      <c r="A2251" s="2" t="s">
        <v>33</v>
      </c>
      <c r="B2251" s="12">
        <v>2166435.0</v>
      </c>
      <c r="C2251" s="12">
        <v>2167457.0</v>
      </c>
      <c r="D2251" s="2"/>
      <c r="E2251" s="2" t="s">
        <v>34</v>
      </c>
      <c r="F2251" s="2" t="s">
        <v>356</v>
      </c>
      <c r="G2251" s="2"/>
      <c r="H2251" s="12">
        <v>0.0</v>
      </c>
      <c r="I2251" s="2" t="s">
        <v>40</v>
      </c>
      <c r="J2251" s="2"/>
      <c r="K2251" s="2" t="s">
        <v>5985</v>
      </c>
      <c r="L2251" s="12">
        <v>340.0</v>
      </c>
      <c r="M2251" s="2" t="s">
        <v>5986</v>
      </c>
      <c r="N2251" s="2" t="str">
        <f>IFERROR(__xludf.DUMMYFUNCTION("""COMPUTED_VALUE"""),"")</f>
        <v/>
      </c>
    </row>
    <row r="2252">
      <c r="A2252" s="2" t="s">
        <v>33</v>
      </c>
      <c r="B2252" s="12">
        <v>2167573.0</v>
      </c>
      <c r="C2252" s="12">
        <v>2169003.0</v>
      </c>
      <c r="D2252" s="2"/>
      <c r="E2252" s="2" t="s">
        <v>38</v>
      </c>
      <c r="F2252" s="2" t="s">
        <v>5987</v>
      </c>
      <c r="G2252" s="2" t="s">
        <v>5988</v>
      </c>
      <c r="H2252" s="12">
        <v>0.0</v>
      </c>
      <c r="I2252" s="2" t="s">
        <v>40</v>
      </c>
      <c r="J2252" s="2"/>
      <c r="K2252" s="2" t="s">
        <v>5989</v>
      </c>
      <c r="L2252" s="12">
        <v>476.0</v>
      </c>
      <c r="M2252" s="2" t="s">
        <v>5990</v>
      </c>
      <c r="N2252" s="2" t="str">
        <f>IFERROR(__xludf.DUMMYFUNCTION("""COMPUTED_VALUE"""),"")</f>
        <v/>
      </c>
    </row>
    <row r="2253">
      <c r="A2253" s="2" t="s">
        <v>33</v>
      </c>
      <c r="B2253" s="12">
        <v>2169351.0</v>
      </c>
      <c r="C2253" s="12">
        <v>2169644.0</v>
      </c>
      <c r="D2253" s="2"/>
      <c r="E2253" s="2" t="s">
        <v>38</v>
      </c>
      <c r="F2253" s="2" t="s">
        <v>5991</v>
      </c>
      <c r="G2253" s="2"/>
      <c r="H2253" s="12">
        <v>0.0</v>
      </c>
      <c r="I2253" s="2" t="s">
        <v>40</v>
      </c>
      <c r="J2253" s="2"/>
      <c r="K2253" s="2" t="s">
        <v>5992</v>
      </c>
      <c r="L2253" s="12">
        <v>97.0</v>
      </c>
      <c r="M2253" s="2" t="s">
        <v>5993</v>
      </c>
      <c r="N2253" s="2" t="str">
        <f>IFERROR(__xludf.DUMMYFUNCTION("""COMPUTED_VALUE"""),"")</f>
        <v/>
      </c>
    </row>
    <row r="2254">
      <c r="A2254" s="2" t="s">
        <v>33</v>
      </c>
      <c r="B2254" s="12">
        <v>2169799.0</v>
      </c>
      <c r="C2254" s="12">
        <v>2171112.0</v>
      </c>
      <c r="D2254" s="2"/>
      <c r="E2254" s="2" t="s">
        <v>34</v>
      </c>
      <c r="F2254" s="2" t="s">
        <v>5994</v>
      </c>
      <c r="G2254" s="2"/>
      <c r="H2254" s="12">
        <v>0.0</v>
      </c>
      <c r="I2254" s="2" t="s">
        <v>40</v>
      </c>
      <c r="J2254" s="2"/>
      <c r="K2254" s="2" t="s">
        <v>5995</v>
      </c>
      <c r="L2254" s="12">
        <v>437.0</v>
      </c>
      <c r="M2254" s="2" t="s">
        <v>5996</v>
      </c>
      <c r="N2254" s="2" t="str">
        <f>IFERROR(__xludf.DUMMYFUNCTION("""COMPUTED_VALUE"""),"")</f>
        <v/>
      </c>
    </row>
    <row r="2255">
      <c r="A2255" s="2" t="s">
        <v>33</v>
      </c>
      <c r="B2255" s="12">
        <v>2171221.0</v>
      </c>
      <c r="C2255" s="12">
        <v>2172504.0</v>
      </c>
      <c r="D2255" s="2"/>
      <c r="E2255" s="2" t="s">
        <v>34</v>
      </c>
      <c r="F2255" s="2" t="s">
        <v>88</v>
      </c>
      <c r="G2255" s="2"/>
      <c r="H2255" s="12">
        <v>0.0</v>
      </c>
      <c r="I2255" s="2" t="s">
        <v>40</v>
      </c>
      <c r="J2255" s="2"/>
      <c r="K2255" s="2" t="s">
        <v>5997</v>
      </c>
      <c r="L2255" s="12">
        <v>427.0</v>
      </c>
      <c r="M2255" s="2" t="s">
        <v>5998</v>
      </c>
      <c r="N2255" s="2" t="str">
        <f>IFERROR(__xludf.DUMMYFUNCTION("""COMPUTED_VALUE"""),"")</f>
        <v/>
      </c>
    </row>
    <row r="2256">
      <c r="A2256" s="2" t="s">
        <v>33</v>
      </c>
      <c r="B2256" s="12">
        <v>2172574.0</v>
      </c>
      <c r="C2256" s="12">
        <v>2172825.0</v>
      </c>
      <c r="D2256" s="2"/>
      <c r="E2256" s="2" t="s">
        <v>38</v>
      </c>
      <c r="F2256" s="2" t="s">
        <v>220</v>
      </c>
      <c r="G2256" s="2"/>
      <c r="H2256" s="12">
        <v>0.0</v>
      </c>
      <c r="I2256" s="2" t="s">
        <v>40</v>
      </c>
      <c r="J2256" s="2"/>
      <c r="K2256" s="2" t="s">
        <v>5999</v>
      </c>
      <c r="L2256" s="12">
        <v>83.0</v>
      </c>
      <c r="M2256" s="2" t="s">
        <v>6000</v>
      </c>
      <c r="N2256" s="2" t="str">
        <f>IFERROR(__xludf.DUMMYFUNCTION("""COMPUTED_VALUE"""),"")</f>
        <v/>
      </c>
    </row>
    <row r="2257">
      <c r="A2257" s="2" t="s">
        <v>33</v>
      </c>
      <c r="B2257" s="12">
        <v>2172882.0</v>
      </c>
      <c r="C2257" s="12">
        <v>2174114.0</v>
      </c>
      <c r="D2257" s="2"/>
      <c r="E2257" s="2" t="s">
        <v>38</v>
      </c>
      <c r="F2257" s="2" t="s">
        <v>88</v>
      </c>
      <c r="G2257" s="2"/>
      <c r="H2257" s="12">
        <v>0.0</v>
      </c>
      <c r="I2257" s="2" t="s">
        <v>40</v>
      </c>
      <c r="J2257" s="2"/>
      <c r="K2257" s="2" t="s">
        <v>6001</v>
      </c>
      <c r="L2257" s="12">
        <v>410.0</v>
      </c>
      <c r="M2257" s="2" t="s">
        <v>6002</v>
      </c>
      <c r="N2257" s="2" t="str">
        <f>IFERROR(__xludf.DUMMYFUNCTION("""COMPUTED_VALUE"""),"")</f>
        <v/>
      </c>
    </row>
    <row r="2258">
      <c r="A2258" s="2" t="s">
        <v>33</v>
      </c>
      <c r="B2258" s="12">
        <v>2174181.0</v>
      </c>
      <c r="C2258" s="12">
        <v>2174762.0</v>
      </c>
      <c r="D2258" s="2"/>
      <c r="E2258" s="2" t="s">
        <v>38</v>
      </c>
      <c r="F2258" s="2" t="s">
        <v>427</v>
      </c>
      <c r="G2258" s="2"/>
      <c r="H2258" s="12">
        <v>0.0</v>
      </c>
      <c r="I2258" s="2" t="s">
        <v>40</v>
      </c>
      <c r="J2258" s="2"/>
      <c r="K2258" s="2" t="s">
        <v>6003</v>
      </c>
      <c r="L2258" s="12">
        <v>193.0</v>
      </c>
      <c r="M2258" s="2" t="s">
        <v>6004</v>
      </c>
      <c r="N2258" s="2" t="str">
        <f>IFERROR(__xludf.DUMMYFUNCTION("""COMPUTED_VALUE"""),"")</f>
        <v/>
      </c>
    </row>
    <row r="2259">
      <c r="A2259" s="2" t="s">
        <v>33</v>
      </c>
      <c r="B2259" s="12">
        <v>2174843.0</v>
      </c>
      <c r="C2259" s="12">
        <v>2174986.0</v>
      </c>
      <c r="D2259" s="2"/>
      <c r="E2259" s="2" t="s">
        <v>38</v>
      </c>
      <c r="F2259" s="2" t="s">
        <v>39</v>
      </c>
      <c r="G2259" s="2"/>
      <c r="H2259" s="12">
        <v>0.0</v>
      </c>
      <c r="I2259" s="2" t="s">
        <v>40</v>
      </c>
      <c r="J2259" s="2"/>
      <c r="K2259" s="2" t="s">
        <v>6005</v>
      </c>
      <c r="L2259" s="12">
        <v>47.0</v>
      </c>
      <c r="M2259" s="2" t="s">
        <v>6006</v>
      </c>
      <c r="N2259" s="2" t="str">
        <f>IFERROR(__xludf.DUMMYFUNCTION("""COMPUTED_VALUE"""),"")</f>
        <v/>
      </c>
    </row>
    <row r="2260">
      <c r="A2260" s="2" t="s">
        <v>33</v>
      </c>
      <c r="B2260" s="12">
        <v>2175112.0</v>
      </c>
      <c r="C2260" s="12">
        <v>2175357.0</v>
      </c>
      <c r="D2260" s="2"/>
      <c r="E2260" s="2" t="s">
        <v>38</v>
      </c>
      <c r="F2260" s="2" t="s">
        <v>39</v>
      </c>
      <c r="G2260" s="2"/>
      <c r="H2260" s="12">
        <v>0.0</v>
      </c>
      <c r="I2260" s="2" t="s">
        <v>40</v>
      </c>
      <c r="J2260" s="2"/>
      <c r="K2260" s="2" t="s">
        <v>6007</v>
      </c>
      <c r="L2260" s="12">
        <v>81.0</v>
      </c>
      <c r="M2260" s="2" t="s">
        <v>6008</v>
      </c>
      <c r="N2260" s="2" t="str">
        <f>IFERROR(__xludf.DUMMYFUNCTION("""COMPUTED_VALUE"""),"")</f>
        <v/>
      </c>
    </row>
    <row r="2261">
      <c r="A2261" s="2" t="s">
        <v>33</v>
      </c>
      <c r="B2261" s="12">
        <v>2175371.0</v>
      </c>
      <c r="C2261" s="12">
        <v>2175685.0</v>
      </c>
      <c r="D2261" s="2"/>
      <c r="E2261" s="2" t="s">
        <v>38</v>
      </c>
      <c r="F2261" s="2" t="s">
        <v>3466</v>
      </c>
      <c r="G2261" s="2"/>
      <c r="H2261" s="12">
        <v>0.0</v>
      </c>
      <c r="I2261" s="2" t="s">
        <v>40</v>
      </c>
      <c r="J2261" s="2"/>
      <c r="K2261" s="2" t="s">
        <v>6009</v>
      </c>
      <c r="L2261" s="12">
        <v>104.0</v>
      </c>
      <c r="M2261" s="2" t="s">
        <v>6010</v>
      </c>
      <c r="N2261" s="2" t="str">
        <f>IFERROR(__xludf.DUMMYFUNCTION("""COMPUTED_VALUE"""),"")</f>
        <v/>
      </c>
    </row>
    <row r="2262">
      <c r="A2262" s="2" t="s">
        <v>33</v>
      </c>
      <c r="B2262" s="12">
        <v>2175696.0</v>
      </c>
      <c r="C2262" s="12">
        <v>2176067.0</v>
      </c>
      <c r="D2262" s="2"/>
      <c r="E2262" s="2" t="s">
        <v>38</v>
      </c>
      <c r="F2262" s="2" t="s">
        <v>6011</v>
      </c>
      <c r="G2262" s="2"/>
      <c r="H2262" s="12">
        <v>0.0</v>
      </c>
      <c r="I2262" s="2" t="s">
        <v>40</v>
      </c>
      <c r="J2262" s="2"/>
      <c r="K2262" s="2" t="s">
        <v>6012</v>
      </c>
      <c r="L2262" s="12">
        <v>123.0</v>
      </c>
      <c r="M2262" s="2" t="s">
        <v>6013</v>
      </c>
      <c r="N2262" s="2" t="str">
        <f>IFERROR(__xludf.DUMMYFUNCTION("""COMPUTED_VALUE"""),"")</f>
        <v/>
      </c>
    </row>
    <row r="2263">
      <c r="A2263" s="2" t="s">
        <v>33</v>
      </c>
      <c r="B2263" s="12">
        <v>2176439.0</v>
      </c>
      <c r="C2263" s="12">
        <v>2178463.0</v>
      </c>
      <c r="D2263" s="2"/>
      <c r="E2263" s="2" t="s">
        <v>34</v>
      </c>
      <c r="F2263" s="2" t="s">
        <v>6014</v>
      </c>
      <c r="G2263" s="2"/>
      <c r="H2263" s="12">
        <v>0.0</v>
      </c>
      <c r="I2263" s="2" t="s">
        <v>40</v>
      </c>
      <c r="J2263" s="2"/>
      <c r="K2263" s="2" t="s">
        <v>6015</v>
      </c>
      <c r="L2263" s="12">
        <v>674.0</v>
      </c>
      <c r="M2263" s="2" t="s">
        <v>6016</v>
      </c>
      <c r="N2263" s="2" t="str">
        <f>IFERROR(__xludf.DUMMYFUNCTION("""COMPUTED_VALUE"""),"")</f>
        <v/>
      </c>
    </row>
    <row r="2264">
      <c r="A2264" s="2" t="s">
        <v>33</v>
      </c>
      <c r="B2264" s="12">
        <v>2178907.0</v>
      </c>
      <c r="C2264" s="12">
        <v>2179101.0</v>
      </c>
      <c r="D2264" s="2"/>
      <c r="E2264" s="2" t="s">
        <v>38</v>
      </c>
      <c r="F2264" s="2" t="s">
        <v>35</v>
      </c>
      <c r="G2264" s="2"/>
      <c r="H2264" s="12">
        <v>0.0</v>
      </c>
      <c r="I2264" s="2" t="s">
        <v>36</v>
      </c>
      <c r="J2264" s="2"/>
      <c r="K2264" s="2"/>
      <c r="L2264" s="2"/>
      <c r="M2264" s="2" t="s">
        <v>6017</v>
      </c>
      <c r="N2264" s="2" t="str">
        <f>IFERROR(__xludf.DUMMYFUNCTION("""COMPUTED_VALUE"""),"")</f>
        <v/>
      </c>
    </row>
    <row r="2265">
      <c r="A2265" s="2" t="s">
        <v>33</v>
      </c>
      <c r="B2265" s="12">
        <v>2179098.0</v>
      </c>
      <c r="C2265" s="12">
        <v>2179847.0</v>
      </c>
      <c r="D2265" s="2"/>
      <c r="E2265" s="2" t="s">
        <v>38</v>
      </c>
      <c r="F2265" s="2" t="s">
        <v>432</v>
      </c>
      <c r="G2265" s="2"/>
      <c r="H2265" s="12">
        <v>0.0</v>
      </c>
      <c r="I2265" s="2" t="s">
        <v>40</v>
      </c>
      <c r="J2265" s="2"/>
      <c r="K2265" s="2" t="s">
        <v>6018</v>
      </c>
      <c r="L2265" s="12">
        <v>249.0</v>
      </c>
      <c r="M2265" s="2" t="s">
        <v>6019</v>
      </c>
      <c r="N2265" s="2" t="str">
        <f>IFERROR(__xludf.DUMMYFUNCTION("""COMPUTED_VALUE"""),"")</f>
        <v/>
      </c>
    </row>
    <row r="2266">
      <c r="A2266" s="2" t="s">
        <v>33</v>
      </c>
      <c r="B2266" s="12">
        <v>2179844.0</v>
      </c>
      <c r="C2266" s="12">
        <v>2180842.0</v>
      </c>
      <c r="D2266" s="2"/>
      <c r="E2266" s="2" t="s">
        <v>38</v>
      </c>
      <c r="F2266" s="2" t="s">
        <v>1113</v>
      </c>
      <c r="G2266" s="2"/>
      <c r="H2266" s="12">
        <v>0.0</v>
      </c>
      <c r="I2266" s="2" t="s">
        <v>40</v>
      </c>
      <c r="J2266" s="2"/>
      <c r="K2266" s="2" t="s">
        <v>6020</v>
      </c>
      <c r="L2266" s="12">
        <v>332.0</v>
      </c>
      <c r="M2266" s="2" t="s">
        <v>6021</v>
      </c>
      <c r="N2266" s="2" t="str">
        <f>IFERROR(__xludf.DUMMYFUNCTION("""COMPUTED_VALUE"""),"")</f>
        <v/>
      </c>
    </row>
    <row r="2267">
      <c r="A2267" s="2" t="s">
        <v>33</v>
      </c>
      <c r="B2267" s="12">
        <v>2180839.0</v>
      </c>
      <c r="C2267" s="12">
        <v>2181612.0</v>
      </c>
      <c r="D2267" s="2"/>
      <c r="E2267" s="2" t="s">
        <v>38</v>
      </c>
      <c r="F2267" s="2" t="s">
        <v>265</v>
      </c>
      <c r="G2267" s="2"/>
      <c r="H2267" s="12">
        <v>0.0</v>
      </c>
      <c r="I2267" s="2" t="s">
        <v>40</v>
      </c>
      <c r="J2267" s="2"/>
      <c r="K2267" s="2" t="s">
        <v>6022</v>
      </c>
      <c r="L2267" s="12">
        <v>257.0</v>
      </c>
      <c r="M2267" s="2" t="s">
        <v>6023</v>
      </c>
      <c r="N2267" s="2" t="str">
        <f>IFERROR(__xludf.DUMMYFUNCTION("""COMPUTED_VALUE"""),"")</f>
        <v/>
      </c>
    </row>
    <row r="2268">
      <c r="A2268" s="2" t="s">
        <v>33</v>
      </c>
      <c r="B2268" s="12">
        <v>2181584.0</v>
      </c>
      <c r="C2268" s="12">
        <v>2181904.0</v>
      </c>
      <c r="D2268" s="2"/>
      <c r="E2268" s="2" t="s">
        <v>38</v>
      </c>
      <c r="F2268" s="2" t="s">
        <v>6024</v>
      </c>
      <c r="G2268" s="2"/>
      <c r="H2268" s="12">
        <v>0.0</v>
      </c>
      <c r="I2268" s="2" t="s">
        <v>40</v>
      </c>
      <c r="J2268" s="2"/>
      <c r="K2268" s="2" t="s">
        <v>6025</v>
      </c>
      <c r="L2268" s="12">
        <v>106.0</v>
      </c>
      <c r="M2268" s="2" t="s">
        <v>6026</v>
      </c>
      <c r="N2268" s="2" t="str">
        <f>IFERROR(__xludf.DUMMYFUNCTION("""COMPUTED_VALUE"""),"")</f>
        <v/>
      </c>
    </row>
    <row r="2269">
      <c r="A2269" s="2" t="s">
        <v>33</v>
      </c>
      <c r="B2269" s="12">
        <v>2182160.0</v>
      </c>
      <c r="C2269" s="12">
        <v>2185741.0</v>
      </c>
      <c r="D2269" s="2"/>
      <c r="E2269" s="2" t="s">
        <v>38</v>
      </c>
      <c r="F2269" s="2" t="s">
        <v>838</v>
      </c>
      <c r="G2269" s="2"/>
      <c r="H2269" s="12">
        <v>0.0</v>
      </c>
      <c r="I2269" s="2" t="s">
        <v>40</v>
      </c>
      <c r="J2269" s="2"/>
      <c r="K2269" s="2" t="s">
        <v>6027</v>
      </c>
      <c r="L2269" s="12">
        <v>1193.0</v>
      </c>
      <c r="M2269" s="2" t="s">
        <v>6028</v>
      </c>
      <c r="N2269" s="2" t="str">
        <f>IFERROR(__xludf.DUMMYFUNCTION("""COMPUTED_VALUE"""),"")</f>
        <v/>
      </c>
    </row>
    <row r="2270">
      <c r="A2270" s="2" t="s">
        <v>33</v>
      </c>
      <c r="B2270" s="12">
        <v>2185875.0</v>
      </c>
      <c r="C2270" s="12">
        <v>2187617.0</v>
      </c>
      <c r="D2270" s="2"/>
      <c r="E2270" s="2" t="s">
        <v>38</v>
      </c>
      <c r="F2270" s="2" t="s">
        <v>1689</v>
      </c>
      <c r="G2270" s="2"/>
      <c r="H2270" s="12">
        <v>0.0</v>
      </c>
      <c r="I2270" s="2" t="s">
        <v>40</v>
      </c>
      <c r="J2270" s="2"/>
      <c r="K2270" s="2" t="s">
        <v>6029</v>
      </c>
      <c r="L2270" s="12">
        <v>580.0</v>
      </c>
      <c r="M2270" s="2" t="s">
        <v>6030</v>
      </c>
      <c r="N2270" s="2" t="str">
        <f>IFERROR(__xludf.DUMMYFUNCTION("""COMPUTED_VALUE"""),"")</f>
        <v/>
      </c>
    </row>
    <row r="2271">
      <c r="A2271" s="2" t="s">
        <v>33</v>
      </c>
      <c r="B2271" s="12">
        <v>2188119.0</v>
      </c>
      <c r="C2271" s="12">
        <v>2189432.0</v>
      </c>
      <c r="D2271" s="2"/>
      <c r="E2271" s="2" t="s">
        <v>34</v>
      </c>
      <c r="F2271" s="2" t="s">
        <v>6031</v>
      </c>
      <c r="G2271" s="2"/>
      <c r="H2271" s="12">
        <v>0.0</v>
      </c>
      <c r="I2271" s="2" t="s">
        <v>40</v>
      </c>
      <c r="J2271" s="2"/>
      <c r="K2271" s="2" t="s">
        <v>6032</v>
      </c>
      <c r="L2271" s="12">
        <v>437.0</v>
      </c>
      <c r="M2271" s="2" t="s">
        <v>6033</v>
      </c>
      <c r="N2271" s="2" t="str">
        <f>IFERROR(__xludf.DUMMYFUNCTION("""COMPUTED_VALUE"""),"")</f>
        <v/>
      </c>
    </row>
    <row r="2272">
      <c r="A2272" s="2" t="s">
        <v>33</v>
      </c>
      <c r="B2272" s="12">
        <v>2189548.0</v>
      </c>
      <c r="C2272" s="12">
        <v>2190207.0</v>
      </c>
      <c r="D2272" s="2"/>
      <c r="E2272" s="2" t="s">
        <v>38</v>
      </c>
      <c r="F2272" s="2" t="s">
        <v>6034</v>
      </c>
      <c r="G2272" s="2" t="s">
        <v>6035</v>
      </c>
      <c r="H2272" s="12">
        <v>0.0</v>
      </c>
      <c r="I2272" s="2" t="s">
        <v>40</v>
      </c>
      <c r="J2272" s="2"/>
      <c r="K2272" s="2" t="s">
        <v>6036</v>
      </c>
      <c r="L2272" s="12">
        <v>219.0</v>
      </c>
      <c r="M2272" s="2" t="s">
        <v>6037</v>
      </c>
      <c r="N2272" s="2" t="str">
        <f>IFERROR(__xludf.DUMMYFUNCTION("""COMPUTED_VALUE"""),"")</f>
        <v/>
      </c>
    </row>
    <row r="2273">
      <c r="A2273" s="2" t="s">
        <v>33</v>
      </c>
      <c r="B2273" s="12">
        <v>2190223.0</v>
      </c>
      <c r="C2273" s="12">
        <v>2191032.0</v>
      </c>
      <c r="D2273" s="2"/>
      <c r="E2273" s="2" t="s">
        <v>38</v>
      </c>
      <c r="F2273" s="2" t="s">
        <v>6038</v>
      </c>
      <c r="G2273" s="2" t="s">
        <v>6039</v>
      </c>
      <c r="H2273" s="12">
        <v>0.0</v>
      </c>
      <c r="I2273" s="2" t="s">
        <v>40</v>
      </c>
      <c r="J2273" s="2"/>
      <c r="K2273" s="2" t="s">
        <v>6040</v>
      </c>
      <c r="L2273" s="12">
        <v>269.0</v>
      </c>
      <c r="M2273" s="2" t="s">
        <v>6041</v>
      </c>
      <c r="N2273" s="2" t="str">
        <f>IFERROR(__xludf.DUMMYFUNCTION("""COMPUTED_VALUE"""),"")</f>
        <v/>
      </c>
    </row>
    <row r="2274">
      <c r="A2274" s="2" t="s">
        <v>33</v>
      </c>
      <c r="B2274" s="12">
        <v>2191427.0</v>
      </c>
      <c r="C2274" s="12">
        <v>2193616.0</v>
      </c>
      <c r="D2274" s="2"/>
      <c r="E2274" s="2" t="s">
        <v>34</v>
      </c>
      <c r="F2274" s="2" t="s">
        <v>2155</v>
      </c>
      <c r="G2274" s="2" t="s">
        <v>2156</v>
      </c>
      <c r="H2274" s="12">
        <v>0.0</v>
      </c>
      <c r="I2274" s="2" t="s">
        <v>40</v>
      </c>
      <c r="J2274" s="2"/>
      <c r="K2274" s="2" t="s">
        <v>6042</v>
      </c>
      <c r="L2274" s="12">
        <v>729.0</v>
      </c>
      <c r="M2274" s="2" t="s">
        <v>6043</v>
      </c>
      <c r="N2274" s="2" t="str">
        <f>IFERROR(__xludf.DUMMYFUNCTION("""COMPUTED_VALUE"""),"")</f>
        <v/>
      </c>
    </row>
    <row r="2275">
      <c r="A2275" s="2" t="s">
        <v>33</v>
      </c>
      <c r="B2275" s="12">
        <v>2193657.0</v>
      </c>
      <c r="C2275" s="12">
        <v>2196518.0</v>
      </c>
      <c r="D2275" s="2"/>
      <c r="E2275" s="2" t="s">
        <v>38</v>
      </c>
      <c r="F2275" s="2" t="s">
        <v>6044</v>
      </c>
      <c r="G2275" s="2"/>
      <c r="H2275" s="12">
        <v>0.0</v>
      </c>
      <c r="I2275" s="2" t="s">
        <v>40</v>
      </c>
      <c r="J2275" s="2"/>
      <c r="K2275" s="2" t="s">
        <v>6045</v>
      </c>
      <c r="L2275" s="12">
        <v>953.0</v>
      </c>
      <c r="M2275" s="2" t="s">
        <v>6046</v>
      </c>
      <c r="N2275" s="2" t="str">
        <f>IFERROR(__xludf.DUMMYFUNCTION("""COMPUTED_VALUE"""),"")</f>
        <v/>
      </c>
    </row>
    <row r="2276">
      <c r="A2276" s="2" t="s">
        <v>33</v>
      </c>
      <c r="B2276" s="12">
        <v>2196824.0</v>
      </c>
      <c r="C2276" s="12">
        <v>2197615.0</v>
      </c>
      <c r="D2276" s="2"/>
      <c r="E2276" s="2" t="s">
        <v>38</v>
      </c>
      <c r="F2276" s="2" t="s">
        <v>6047</v>
      </c>
      <c r="G2276" s="2"/>
      <c r="H2276" s="12">
        <v>0.0</v>
      </c>
      <c r="I2276" s="2" t="s">
        <v>40</v>
      </c>
      <c r="J2276" s="2"/>
      <c r="K2276" s="2" t="s">
        <v>6048</v>
      </c>
      <c r="L2276" s="12">
        <v>263.0</v>
      </c>
      <c r="M2276" s="2" t="s">
        <v>6049</v>
      </c>
      <c r="N2276" s="2" t="str">
        <f>IFERROR(__xludf.DUMMYFUNCTION("""COMPUTED_VALUE"""),"")</f>
        <v/>
      </c>
    </row>
    <row r="2277">
      <c r="A2277" s="2" t="s">
        <v>33</v>
      </c>
      <c r="B2277" s="12">
        <v>2197620.0</v>
      </c>
      <c r="C2277" s="12">
        <v>2199257.0</v>
      </c>
      <c r="D2277" s="2"/>
      <c r="E2277" s="2" t="s">
        <v>38</v>
      </c>
      <c r="F2277" s="2" t="s">
        <v>6050</v>
      </c>
      <c r="G2277" s="2"/>
      <c r="H2277" s="12">
        <v>0.0</v>
      </c>
      <c r="I2277" s="2" t="s">
        <v>40</v>
      </c>
      <c r="J2277" s="2"/>
      <c r="K2277" s="2" t="s">
        <v>6051</v>
      </c>
      <c r="L2277" s="12">
        <v>545.0</v>
      </c>
      <c r="M2277" s="2" t="s">
        <v>6052</v>
      </c>
      <c r="N2277" s="2" t="str">
        <f>IFERROR(__xludf.DUMMYFUNCTION("""COMPUTED_VALUE"""),"")</f>
        <v/>
      </c>
    </row>
    <row r="2278">
      <c r="A2278" s="2" t="s">
        <v>33</v>
      </c>
      <c r="B2278" s="12">
        <v>2199463.0</v>
      </c>
      <c r="C2278" s="12">
        <v>2201127.0</v>
      </c>
      <c r="D2278" s="2"/>
      <c r="E2278" s="2" t="s">
        <v>38</v>
      </c>
      <c r="F2278" s="2" t="s">
        <v>6053</v>
      </c>
      <c r="G2278" s="2"/>
      <c r="H2278" s="12">
        <v>0.0</v>
      </c>
      <c r="I2278" s="2" t="s">
        <v>40</v>
      </c>
      <c r="J2278" s="2"/>
      <c r="K2278" s="2" t="s">
        <v>6054</v>
      </c>
      <c r="L2278" s="12">
        <v>554.0</v>
      </c>
      <c r="M2278" s="2" t="s">
        <v>6055</v>
      </c>
      <c r="N2278" s="2" t="str">
        <f>IFERROR(__xludf.DUMMYFUNCTION("""COMPUTED_VALUE"""),"")</f>
        <v/>
      </c>
    </row>
    <row r="2279">
      <c r="A2279" s="2" t="s">
        <v>33</v>
      </c>
      <c r="B2279" s="12">
        <v>2201372.0</v>
      </c>
      <c r="C2279" s="12">
        <v>2202706.0</v>
      </c>
      <c r="D2279" s="2"/>
      <c r="E2279" s="2" t="s">
        <v>34</v>
      </c>
      <c r="F2279" s="2" t="s">
        <v>3647</v>
      </c>
      <c r="G2279" s="2"/>
      <c r="H2279" s="12">
        <v>0.0</v>
      </c>
      <c r="I2279" s="2" t="s">
        <v>40</v>
      </c>
      <c r="J2279" s="2"/>
      <c r="K2279" s="2" t="s">
        <v>6056</v>
      </c>
      <c r="L2279" s="12">
        <v>444.0</v>
      </c>
      <c r="M2279" s="2" t="s">
        <v>6057</v>
      </c>
      <c r="N2279" s="2" t="str">
        <f>IFERROR(__xludf.DUMMYFUNCTION("""COMPUTED_VALUE"""),"")</f>
        <v/>
      </c>
    </row>
    <row r="2280">
      <c r="A2280" s="2" t="s">
        <v>33</v>
      </c>
      <c r="B2280" s="12">
        <v>2202831.0</v>
      </c>
      <c r="C2280" s="12">
        <v>2203514.0</v>
      </c>
      <c r="D2280" s="2"/>
      <c r="E2280" s="2" t="s">
        <v>38</v>
      </c>
      <c r="F2280" s="2" t="s">
        <v>39</v>
      </c>
      <c r="G2280" s="2"/>
      <c r="H2280" s="12">
        <v>0.0</v>
      </c>
      <c r="I2280" s="2" t="s">
        <v>40</v>
      </c>
      <c r="J2280" s="2"/>
      <c r="K2280" s="2" t="s">
        <v>6058</v>
      </c>
      <c r="L2280" s="12">
        <v>227.0</v>
      </c>
      <c r="M2280" s="2" t="s">
        <v>6059</v>
      </c>
      <c r="N2280" s="2" t="str">
        <f>IFERROR(__xludf.DUMMYFUNCTION("""COMPUTED_VALUE"""),"")</f>
        <v/>
      </c>
    </row>
    <row r="2281">
      <c r="A2281" s="2" t="s">
        <v>33</v>
      </c>
      <c r="B2281" s="12">
        <v>2203671.0</v>
      </c>
      <c r="C2281" s="12">
        <v>2204360.0</v>
      </c>
      <c r="D2281" s="2"/>
      <c r="E2281" s="2" t="s">
        <v>38</v>
      </c>
      <c r="F2281" s="2" t="s">
        <v>770</v>
      </c>
      <c r="G2281" s="2"/>
      <c r="H2281" s="12">
        <v>0.0</v>
      </c>
      <c r="I2281" s="2" t="s">
        <v>40</v>
      </c>
      <c r="J2281" s="2"/>
      <c r="K2281" s="2" t="s">
        <v>6060</v>
      </c>
      <c r="L2281" s="12">
        <v>229.0</v>
      </c>
      <c r="M2281" s="2" t="s">
        <v>6061</v>
      </c>
      <c r="N2281" s="2" t="str">
        <f>IFERROR(__xludf.DUMMYFUNCTION("""COMPUTED_VALUE"""),"")</f>
        <v/>
      </c>
    </row>
    <row r="2282">
      <c r="A2282" s="2" t="s">
        <v>33</v>
      </c>
      <c r="B2282" s="12">
        <v>2204562.0</v>
      </c>
      <c r="C2282" s="12">
        <v>2205524.0</v>
      </c>
      <c r="D2282" s="2"/>
      <c r="E2282" s="2" t="s">
        <v>38</v>
      </c>
      <c r="F2282" s="2" t="s">
        <v>6062</v>
      </c>
      <c r="G2282" s="2" t="s">
        <v>6063</v>
      </c>
      <c r="H2282" s="12">
        <v>0.0</v>
      </c>
      <c r="I2282" s="2" t="s">
        <v>40</v>
      </c>
      <c r="J2282" s="2"/>
      <c r="K2282" s="2" t="s">
        <v>6064</v>
      </c>
      <c r="L2282" s="12">
        <v>320.0</v>
      </c>
      <c r="M2282" s="2" t="s">
        <v>6065</v>
      </c>
      <c r="N2282" s="2" t="str">
        <f>IFERROR(__xludf.DUMMYFUNCTION("""COMPUTED_VALUE"""),"")</f>
        <v/>
      </c>
    </row>
    <row r="2283">
      <c r="A2283" s="2" t="s">
        <v>33</v>
      </c>
      <c r="B2283" s="12">
        <v>2205562.0</v>
      </c>
      <c r="C2283" s="12">
        <v>2206977.0</v>
      </c>
      <c r="D2283" s="2"/>
      <c r="E2283" s="2" t="s">
        <v>38</v>
      </c>
      <c r="F2283" s="2" t="s">
        <v>6066</v>
      </c>
      <c r="G2283" s="2" t="s">
        <v>6067</v>
      </c>
      <c r="H2283" s="12">
        <v>0.0</v>
      </c>
      <c r="I2283" s="2" t="s">
        <v>40</v>
      </c>
      <c r="J2283" s="2"/>
      <c r="K2283" s="2" t="s">
        <v>6068</v>
      </c>
      <c r="L2283" s="12">
        <v>471.0</v>
      </c>
      <c r="M2283" s="2" t="s">
        <v>6069</v>
      </c>
      <c r="N2283" s="2" t="str">
        <f>IFERROR(__xludf.DUMMYFUNCTION("""COMPUTED_VALUE"""),"")</f>
        <v/>
      </c>
    </row>
    <row r="2284">
      <c r="A2284" s="2" t="s">
        <v>33</v>
      </c>
      <c r="B2284" s="12">
        <v>2207077.0</v>
      </c>
      <c r="C2284" s="12">
        <v>2208075.0</v>
      </c>
      <c r="D2284" s="2"/>
      <c r="E2284" s="2" t="s">
        <v>38</v>
      </c>
      <c r="F2284" s="2" t="s">
        <v>6070</v>
      </c>
      <c r="G2284" s="2" t="s">
        <v>6071</v>
      </c>
      <c r="H2284" s="12">
        <v>0.0</v>
      </c>
      <c r="I2284" s="2" t="s">
        <v>40</v>
      </c>
      <c r="J2284" s="2"/>
      <c r="K2284" s="2" t="s">
        <v>6072</v>
      </c>
      <c r="L2284" s="12">
        <v>332.0</v>
      </c>
      <c r="M2284" s="2" t="s">
        <v>6073</v>
      </c>
      <c r="N2284" s="2" t="str">
        <f>IFERROR(__xludf.DUMMYFUNCTION("""COMPUTED_VALUE"""),"")</f>
        <v/>
      </c>
    </row>
    <row r="2285">
      <c r="A2285" s="2" t="s">
        <v>33</v>
      </c>
      <c r="B2285" s="12">
        <v>2208106.0</v>
      </c>
      <c r="C2285" s="12">
        <v>2209338.0</v>
      </c>
      <c r="D2285" s="2"/>
      <c r="E2285" s="2" t="s">
        <v>38</v>
      </c>
      <c r="F2285" s="2" t="s">
        <v>6074</v>
      </c>
      <c r="G2285" s="2" t="s">
        <v>6075</v>
      </c>
      <c r="H2285" s="12">
        <v>0.0</v>
      </c>
      <c r="I2285" s="2" t="s">
        <v>40</v>
      </c>
      <c r="J2285" s="2"/>
      <c r="K2285" s="2" t="s">
        <v>6076</v>
      </c>
      <c r="L2285" s="12">
        <v>410.0</v>
      </c>
      <c r="M2285" s="2" t="s">
        <v>6077</v>
      </c>
      <c r="N2285" s="2" t="str">
        <f>IFERROR(__xludf.DUMMYFUNCTION("""COMPUTED_VALUE"""),"")</f>
        <v/>
      </c>
    </row>
    <row r="2286">
      <c r="A2286" s="2" t="s">
        <v>33</v>
      </c>
      <c r="B2286" s="12">
        <v>2209607.0</v>
      </c>
      <c r="C2286" s="12">
        <v>2210056.0</v>
      </c>
      <c r="D2286" s="2"/>
      <c r="E2286" s="2" t="s">
        <v>38</v>
      </c>
      <c r="F2286" s="2" t="s">
        <v>6078</v>
      </c>
      <c r="G2286" s="2" t="s">
        <v>6079</v>
      </c>
      <c r="H2286" s="12">
        <v>0.0</v>
      </c>
      <c r="I2286" s="2" t="s">
        <v>40</v>
      </c>
      <c r="J2286" s="2"/>
      <c r="K2286" s="2" t="s">
        <v>6080</v>
      </c>
      <c r="L2286" s="12">
        <v>149.0</v>
      </c>
      <c r="M2286" s="2" t="s">
        <v>6081</v>
      </c>
      <c r="N2286" s="2" t="str">
        <f>IFERROR(__xludf.DUMMYFUNCTION("""COMPUTED_VALUE"""),"")</f>
        <v/>
      </c>
    </row>
    <row r="2287">
      <c r="A2287" s="2" t="s">
        <v>33</v>
      </c>
      <c r="B2287" s="12">
        <v>2210203.0</v>
      </c>
      <c r="C2287" s="12">
        <v>2210775.0</v>
      </c>
      <c r="D2287" s="2"/>
      <c r="E2287" s="2" t="s">
        <v>38</v>
      </c>
      <c r="F2287" s="2" t="s">
        <v>35</v>
      </c>
      <c r="G2287" s="2"/>
      <c r="H2287" s="12">
        <v>0.0</v>
      </c>
      <c r="I2287" s="2" t="s">
        <v>36</v>
      </c>
      <c r="J2287" s="2"/>
      <c r="K2287" s="2"/>
      <c r="L2287" s="2"/>
      <c r="M2287" s="2" t="s">
        <v>6082</v>
      </c>
      <c r="N2287" s="2" t="str">
        <f>IFERROR(__xludf.DUMMYFUNCTION("""COMPUTED_VALUE"""),"")</f>
        <v/>
      </c>
    </row>
    <row r="2288">
      <c r="A2288" s="2" t="s">
        <v>33</v>
      </c>
      <c r="B2288" s="12">
        <v>2211145.0</v>
      </c>
      <c r="C2288" s="12">
        <v>2211495.0</v>
      </c>
      <c r="D2288" s="2"/>
      <c r="E2288" s="2" t="s">
        <v>38</v>
      </c>
      <c r="F2288" s="2" t="s">
        <v>35</v>
      </c>
      <c r="G2288" s="2"/>
      <c r="H2288" s="12">
        <v>0.0</v>
      </c>
      <c r="I2288" s="2" t="s">
        <v>36</v>
      </c>
      <c r="J2288" s="2"/>
      <c r="K2288" s="2"/>
      <c r="L2288" s="2"/>
      <c r="M2288" s="2" t="s">
        <v>6083</v>
      </c>
      <c r="N2288" s="2" t="str">
        <f>IFERROR(__xludf.DUMMYFUNCTION("""COMPUTED_VALUE"""),"")</f>
        <v/>
      </c>
    </row>
    <row r="2289">
      <c r="A2289" s="2" t="s">
        <v>33</v>
      </c>
      <c r="B2289" s="12">
        <v>2211706.0</v>
      </c>
      <c r="C2289" s="12">
        <v>2212428.0</v>
      </c>
      <c r="D2289" s="2"/>
      <c r="E2289" s="2" t="s">
        <v>34</v>
      </c>
      <c r="F2289" s="2" t="s">
        <v>4855</v>
      </c>
      <c r="G2289" s="2"/>
      <c r="H2289" s="12">
        <v>0.0</v>
      </c>
      <c r="I2289" s="2" t="s">
        <v>40</v>
      </c>
      <c r="J2289" s="2"/>
      <c r="K2289" s="2" t="s">
        <v>6084</v>
      </c>
      <c r="L2289" s="12">
        <v>240.0</v>
      </c>
      <c r="M2289" s="2" t="s">
        <v>6085</v>
      </c>
      <c r="N2289" s="2" t="str">
        <f>IFERROR(__xludf.DUMMYFUNCTION("""COMPUTED_VALUE"""),"")</f>
        <v/>
      </c>
    </row>
    <row r="2290">
      <c r="A2290" s="2" t="s">
        <v>33</v>
      </c>
      <c r="B2290" s="12">
        <v>2212551.0</v>
      </c>
      <c r="C2290" s="12">
        <v>2213345.0</v>
      </c>
      <c r="D2290" s="2"/>
      <c r="E2290" s="2" t="s">
        <v>34</v>
      </c>
      <c r="F2290" s="2" t="s">
        <v>1113</v>
      </c>
      <c r="G2290" s="2"/>
      <c r="H2290" s="12">
        <v>0.0</v>
      </c>
      <c r="I2290" s="2" t="s">
        <v>40</v>
      </c>
      <c r="J2290" s="2"/>
      <c r="K2290" s="2" t="s">
        <v>6086</v>
      </c>
      <c r="L2290" s="12">
        <v>264.0</v>
      </c>
      <c r="M2290" s="2" t="s">
        <v>6087</v>
      </c>
      <c r="N2290" s="2" t="str">
        <f>IFERROR(__xludf.DUMMYFUNCTION("""COMPUTED_VALUE"""),"")</f>
        <v/>
      </c>
    </row>
    <row r="2291">
      <c r="A2291" s="2" t="s">
        <v>33</v>
      </c>
      <c r="B2291" s="12">
        <v>2213389.0</v>
      </c>
      <c r="C2291" s="12">
        <v>2214144.0</v>
      </c>
      <c r="D2291" s="2"/>
      <c r="E2291" s="2" t="s">
        <v>34</v>
      </c>
      <c r="F2291" s="2" t="s">
        <v>4858</v>
      </c>
      <c r="G2291" s="2"/>
      <c r="H2291" s="12">
        <v>0.0</v>
      </c>
      <c r="I2291" s="2" t="s">
        <v>40</v>
      </c>
      <c r="J2291" s="2"/>
      <c r="K2291" s="2" t="s">
        <v>6088</v>
      </c>
      <c r="L2291" s="12">
        <v>251.0</v>
      </c>
      <c r="M2291" s="2" t="s">
        <v>6089</v>
      </c>
      <c r="N2291" s="2" t="str">
        <f>IFERROR(__xludf.DUMMYFUNCTION("""COMPUTED_VALUE"""),"")</f>
        <v/>
      </c>
    </row>
    <row r="2292">
      <c r="A2292" s="2" t="s">
        <v>33</v>
      </c>
      <c r="B2292" s="12">
        <v>2214198.0</v>
      </c>
      <c r="C2292" s="12">
        <v>2215283.0</v>
      </c>
      <c r="D2292" s="2"/>
      <c r="E2292" s="2" t="s">
        <v>38</v>
      </c>
      <c r="F2292" s="2" t="s">
        <v>6090</v>
      </c>
      <c r="G2292" s="2"/>
      <c r="H2292" s="12">
        <v>0.0</v>
      </c>
      <c r="I2292" s="2" t="s">
        <v>40</v>
      </c>
      <c r="J2292" s="2"/>
      <c r="K2292" s="2" t="s">
        <v>6091</v>
      </c>
      <c r="L2292" s="12">
        <v>361.0</v>
      </c>
      <c r="M2292" s="2" t="s">
        <v>6092</v>
      </c>
      <c r="N2292" s="2" t="str">
        <f>IFERROR(__xludf.DUMMYFUNCTION("""COMPUTED_VALUE"""),"")</f>
        <v/>
      </c>
    </row>
    <row r="2293">
      <c r="A2293" s="2" t="s">
        <v>33</v>
      </c>
      <c r="B2293" s="12">
        <v>2215865.0</v>
      </c>
      <c r="C2293" s="12">
        <v>2217391.0</v>
      </c>
      <c r="D2293" s="2"/>
      <c r="E2293" s="2" t="s">
        <v>34</v>
      </c>
      <c r="F2293" s="2" t="s">
        <v>1663</v>
      </c>
      <c r="G2293" s="2"/>
      <c r="H2293" s="12">
        <v>0.0</v>
      </c>
      <c r="I2293" s="2" t="s">
        <v>40</v>
      </c>
      <c r="J2293" s="2"/>
      <c r="K2293" s="2" t="s">
        <v>6093</v>
      </c>
      <c r="L2293" s="12">
        <v>508.0</v>
      </c>
      <c r="M2293" s="2" t="s">
        <v>6094</v>
      </c>
      <c r="N2293" s="2" t="str">
        <f>IFERROR(__xludf.DUMMYFUNCTION("""COMPUTED_VALUE"""),"")</f>
        <v/>
      </c>
    </row>
    <row r="2294">
      <c r="A2294" s="2" t="s">
        <v>33</v>
      </c>
      <c r="B2294" s="12">
        <v>2217535.0</v>
      </c>
      <c r="C2294" s="12">
        <v>2218836.0</v>
      </c>
      <c r="D2294" s="2"/>
      <c r="E2294" s="2" t="s">
        <v>34</v>
      </c>
      <c r="F2294" s="2" t="s">
        <v>6095</v>
      </c>
      <c r="G2294" s="2"/>
      <c r="H2294" s="12">
        <v>0.0</v>
      </c>
      <c r="I2294" s="2" t="s">
        <v>40</v>
      </c>
      <c r="J2294" s="2"/>
      <c r="K2294" s="2" t="s">
        <v>6096</v>
      </c>
      <c r="L2294" s="12">
        <v>433.0</v>
      </c>
      <c r="M2294" s="2" t="s">
        <v>6097</v>
      </c>
      <c r="N2294" s="2" t="str">
        <f>IFERROR(__xludf.DUMMYFUNCTION("""COMPUTED_VALUE"""),"")</f>
        <v/>
      </c>
    </row>
    <row r="2295">
      <c r="A2295" s="2" t="s">
        <v>33</v>
      </c>
      <c r="B2295" s="12">
        <v>2218850.0</v>
      </c>
      <c r="C2295" s="12">
        <v>2219632.0</v>
      </c>
      <c r="D2295" s="2"/>
      <c r="E2295" s="2" t="s">
        <v>38</v>
      </c>
      <c r="F2295" s="2" t="s">
        <v>6098</v>
      </c>
      <c r="G2295" s="2"/>
      <c r="H2295" s="12">
        <v>0.0</v>
      </c>
      <c r="I2295" s="2" t="s">
        <v>40</v>
      </c>
      <c r="J2295" s="2"/>
      <c r="K2295" s="2" t="s">
        <v>6099</v>
      </c>
      <c r="L2295" s="12">
        <v>260.0</v>
      </c>
      <c r="M2295" s="2" t="s">
        <v>6100</v>
      </c>
      <c r="N2295" s="2" t="str">
        <f>IFERROR(__xludf.DUMMYFUNCTION("""COMPUTED_VALUE"""),"")</f>
        <v/>
      </c>
    </row>
    <row r="2296">
      <c r="A2296" s="2" t="s">
        <v>33</v>
      </c>
      <c r="B2296" s="12">
        <v>2219744.0</v>
      </c>
      <c r="C2296" s="12">
        <v>2220853.0</v>
      </c>
      <c r="D2296" s="2"/>
      <c r="E2296" s="2" t="s">
        <v>38</v>
      </c>
      <c r="F2296" s="2" t="s">
        <v>6101</v>
      </c>
      <c r="G2296" s="2"/>
      <c r="H2296" s="12">
        <v>0.0</v>
      </c>
      <c r="I2296" s="2" t="s">
        <v>40</v>
      </c>
      <c r="J2296" s="2"/>
      <c r="K2296" s="2" t="s">
        <v>6102</v>
      </c>
      <c r="L2296" s="12">
        <v>369.0</v>
      </c>
      <c r="M2296" s="2" t="s">
        <v>6103</v>
      </c>
      <c r="N2296" s="2" t="str">
        <f>IFERROR(__xludf.DUMMYFUNCTION("""COMPUTED_VALUE"""),"")</f>
        <v/>
      </c>
    </row>
    <row r="2297">
      <c r="A2297" s="2" t="s">
        <v>33</v>
      </c>
      <c r="B2297" s="12">
        <v>2221201.0</v>
      </c>
      <c r="C2297" s="12">
        <v>2221833.0</v>
      </c>
      <c r="D2297" s="2"/>
      <c r="E2297" s="2" t="s">
        <v>34</v>
      </c>
      <c r="F2297" s="2" t="s">
        <v>6104</v>
      </c>
      <c r="G2297" s="2"/>
      <c r="H2297" s="12">
        <v>0.0</v>
      </c>
      <c r="I2297" s="2" t="s">
        <v>40</v>
      </c>
      <c r="J2297" s="2"/>
      <c r="K2297" s="2" t="s">
        <v>6105</v>
      </c>
      <c r="L2297" s="12">
        <v>210.0</v>
      </c>
      <c r="M2297" s="2" t="s">
        <v>6106</v>
      </c>
      <c r="N2297" s="2" t="str">
        <f>IFERROR(__xludf.DUMMYFUNCTION("""COMPUTED_VALUE"""),"")</f>
        <v/>
      </c>
    </row>
    <row r="2298">
      <c r="A2298" s="2" t="s">
        <v>33</v>
      </c>
      <c r="B2298" s="12">
        <v>2221862.0</v>
      </c>
      <c r="C2298" s="12">
        <v>2222242.0</v>
      </c>
      <c r="D2298" s="2"/>
      <c r="E2298" s="2" t="s">
        <v>38</v>
      </c>
      <c r="F2298" s="2" t="s">
        <v>39</v>
      </c>
      <c r="G2298" s="2"/>
      <c r="H2298" s="12">
        <v>0.0</v>
      </c>
      <c r="I2298" s="2" t="s">
        <v>40</v>
      </c>
      <c r="J2298" s="2"/>
      <c r="K2298" s="2" t="s">
        <v>6107</v>
      </c>
      <c r="L2298" s="12">
        <v>126.0</v>
      </c>
      <c r="M2298" s="2" t="s">
        <v>6108</v>
      </c>
      <c r="N2298" s="2" t="str">
        <f>IFERROR(__xludf.DUMMYFUNCTION("""COMPUTED_VALUE"""),"")</f>
        <v/>
      </c>
    </row>
    <row r="2299">
      <c r="A2299" s="2" t="s">
        <v>33</v>
      </c>
      <c r="B2299" s="12">
        <v>2222472.0</v>
      </c>
      <c r="C2299" s="12">
        <v>2223698.0</v>
      </c>
      <c r="D2299" s="2"/>
      <c r="E2299" s="2" t="s">
        <v>38</v>
      </c>
      <c r="F2299" s="2" t="s">
        <v>66</v>
      </c>
      <c r="G2299" s="2"/>
      <c r="H2299" s="12">
        <v>0.0</v>
      </c>
      <c r="I2299" s="2" t="s">
        <v>40</v>
      </c>
      <c r="J2299" s="2"/>
      <c r="K2299" s="2" t="s">
        <v>6109</v>
      </c>
      <c r="L2299" s="12">
        <v>408.0</v>
      </c>
      <c r="M2299" s="2" t="s">
        <v>6110</v>
      </c>
      <c r="N2299" s="2" t="str">
        <f>IFERROR(__xludf.DUMMYFUNCTION("""COMPUTED_VALUE"""),"")</f>
        <v/>
      </c>
    </row>
    <row r="2300">
      <c r="A2300" s="2" t="s">
        <v>33</v>
      </c>
      <c r="B2300" s="12">
        <v>2223836.0</v>
      </c>
      <c r="C2300" s="12">
        <v>2225101.0</v>
      </c>
      <c r="D2300" s="2"/>
      <c r="E2300" s="2" t="s">
        <v>38</v>
      </c>
      <c r="F2300" s="2" t="s">
        <v>39</v>
      </c>
      <c r="G2300" s="2"/>
      <c r="H2300" s="12">
        <v>0.0</v>
      </c>
      <c r="I2300" s="2" t="s">
        <v>40</v>
      </c>
      <c r="J2300" s="2"/>
      <c r="K2300" s="2" t="s">
        <v>6111</v>
      </c>
      <c r="L2300" s="12">
        <v>421.0</v>
      </c>
      <c r="M2300" s="2" t="s">
        <v>6112</v>
      </c>
      <c r="N2300" s="2" t="str">
        <f>IFERROR(__xludf.DUMMYFUNCTION("""COMPUTED_VALUE"""),"")</f>
        <v/>
      </c>
    </row>
    <row r="2301">
      <c r="A2301" s="2" t="s">
        <v>33</v>
      </c>
      <c r="B2301" s="12">
        <v>2225340.0</v>
      </c>
      <c r="C2301" s="12">
        <v>2226008.0</v>
      </c>
      <c r="D2301" s="2"/>
      <c r="E2301" s="2" t="s">
        <v>38</v>
      </c>
      <c r="F2301" s="2" t="s">
        <v>39</v>
      </c>
      <c r="G2301" s="2"/>
      <c r="H2301" s="12">
        <v>0.0</v>
      </c>
      <c r="I2301" s="2" t="s">
        <v>40</v>
      </c>
      <c r="J2301" s="2"/>
      <c r="K2301" s="2" t="s">
        <v>6113</v>
      </c>
      <c r="L2301" s="12">
        <v>222.0</v>
      </c>
      <c r="M2301" s="2" t="s">
        <v>6114</v>
      </c>
      <c r="N2301" s="2" t="str">
        <f>IFERROR(__xludf.DUMMYFUNCTION("""COMPUTED_VALUE"""),"")</f>
        <v/>
      </c>
    </row>
    <row r="2302">
      <c r="A2302" s="2" t="s">
        <v>33</v>
      </c>
      <c r="B2302" s="12">
        <v>2226171.0</v>
      </c>
      <c r="C2302" s="12">
        <v>2226620.0</v>
      </c>
      <c r="D2302" s="2"/>
      <c r="E2302" s="2" t="s">
        <v>38</v>
      </c>
      <c r="F2302" s="2" t="s">
        <v>6115</v>
      </c>
      <c r="G2302" s="2"/>
      <c r="H2302" s="12">
        <v>0.0</v>
      </c>
      <c r="I2302" s="2" t="s">
        <v>40</v>
      </c>
      <c r="J2302" s="2"/>
      <c r="K2302" s="2" t="s">
        <v>6116</v>
      </c>
      <c r="L2302" s="12">
        <v>149.0</v>
      </c>
      <c r="M2302" s="2" t="s">
        <v>6117</v>
      </c>
      <c r="N2302" s="2" t="str">
        <f>IFERROR(__xludf.DUMMYFUNCTION("""COMPUTED_VALUE"""),"")</f>
        <v/>
      </c>
    </row>
    <row r="2303">
      <c r="A2303" s="2" t="s">
        <v>33</v>
      </c>
      <c r="B2303" s="12">
        <v>2226641.0</v>
      </c>
      <c r="C2303" s="12">
        <v>2227156.0</v>
      </c>
      <c r="D2303" s="2"/>
      <c r="E2303" s="2" t="s">
        <v>38</v>
      </c>
      <c r="F2303" s="2" t="s">
        <v>6115</v>
      </c>
      <c r="G2303" s="2"/>
      <c r="H2303" s="12">
        <v>0.0</v>
      </c>
      <c r="I2303" s="2" t="s">
        <v>40</v>
      </c>
      <c r="J2303" s="2"/>
      <c r="K2303" s="2" t="s">
        <v>6118</v>
      </c>
      <c r="L2303" s="12">
        <v>171.0</v>
      </c>
      <c r="M2303" s="2" t="s">
        <v>6119</v>
      </c>
      <c r="N2303" s="2" t="str">
        <f>IFERROR(__xludf.DUMMYFUNCTION("""COMPUTED_VALUE"""),"")</f>
        <v/>
      </c>
    </row>
    <row r="2304">
      <c r="A2304" s="2" t="s">
        <v>33</v>
      </c>
      <c r="B2304" s="12">
        <v>2227392.0</v>
      </c>
      <c r="C2304" s="12">
        <v>2227631.0</v>
      </c>
      <c r="D2304" s="2"/>
      <c r="E2304" s="2" t="s">
        <v>38</v>
      </c>
      <c r="F2304" s="2" t="s">
        <v>216</v>
      </c>
      <c r="G2304" s="2"/>
      <c r="H2304" s="12">
        <v>0.0</v>
      </c>
      <c r="I2304" s="2" t="s">
        <v>40</v>
      </c>
      <c r="J2304" s="2"/>
      <c r="K2304" s="2" t="s">
        <v>6120</v>
      </c>
      <c r="L2304" s="12">
        <v>79.0</v>
      </c>
      <c r="M2304" s="2" t="s">
        <v>6121</v>
      </c>
      <c r="N2304" s="2" t="str">
        <f>IFERROR(__xludf.DUMMYFUNCTION("""COMPUTED_VALUE"""),"")</f>
        <v/>
      </c>
    </row>
    <row r="2305">
      <c r="A2305" s="2" t="s">
        <v>33</v>
      </c>
      <c r="B2305" s="12">
        <v>2227818.0</v>
      </c>
      <c r="C2305" s="12">
        <v>2228186.0</v>
      </c>
      <c r="D2305" s="2"/>
      <c r="E2305" s="2" t="s">
        <v>34</v>
      </c>
      <c r="F2305" s="2" t="s">
        <v>39</v>
      </c>
      <c r="G2305" s="2"/>
      <c r="H2305" s="12">
        <v>0.0</v>
      </c>
      <c r="I2305" s="2" t="s">
        <v>40</v>
      </c>
      <c r="J2305" s="2"/>
      <c r="K2305" s="2" t="s">
        <v>6122</v>
      </c>
      <c r="L2305" s="12">
        <v>122.0</v>
      </c>
      <c r="M2305" s="2" t="s">
        <v>6123</v>
      </c>
      <c r="N2305" s="2" t="str">
        <f>IFERROR(__xludf.DUMMYFUNCTION("""COMPUTED_VALUE"""),"")</f>
        <v/>
      </c>
    </row>
    <row r="2306">
      <c r="A2306" s="2" t="s">
        <v>33</v>
      </c>
      <c r="B2306" s="12">
        <v>2228382.0</v>
      </c>
      <c r="C2306" s="12">
        <v>2229431.0</v>
      </c>
      <c r="D2306" s="2"/>
      <c r="E2306" s="2" t="s">
        <v>38</v>
      </c>
      <c r="F2306" s="2" t="s">
        <v>654</v>
      </c>
      <c r="G2306" s="2"/>
      <c r="H2306" s="12">
        <v>0.0</v>
      </c>
      <c r="I2306" s="2" t="s">
        <v>40</v>
      </c>
      <c r="J2306" s="2"/>
      <c r="K2306" s="2" t="s">
        <v>6124</v>
      </c>
      <c r="L2306" s="12">
        <v>349.0</v>
      </c>
      <c r="M2306" s="2" t="s">
        <v>6125</v>
      </c>
      <c r="N2306" s="2" t="str">
        <f>IFERROR(__xludf.DUMMYFUNCTION("""COMPUTED_VALUE"""),"")</f>
        <v/>
      </c>
    </row>
    <row r="2307">
      <c r="A2307" s="2" t="s">
        <v>33</v>
      </c>
      <c r="B2307" s="12">
        <v>2229765.0</v>
      </c>
      <c r="C2307" s="12">
        <v>2230685.0</v>
      </c>
      <c r="D2307" s="2"/>
      <c r="E2307" s="2" t="s">
        <v>34</v>
      </c>
      <c r="F2307" s="2" t="s">
        <v>6126</v>
      </c>
      <c r="G2307" s="2"/>
      <c r="H2307" s="12">
        <v>0.0</v>
      </c>
      <c r="I2307" s="2" t="s">
        <v>40</v>
      </c>
      <c r="J2307" s="2"/>
      <c r="K2307" s="2" t="s">
        <v>6127</v>
      </c>
      <c r="L2307" s="12">
        <v>306.0</v>
      </c>
      <c r="M2307" s="2" t="s">
        <v>6128</v>
      </c>
      <c r="N2307" s="2" t="str">
        <f>IFERROR(__xludf.DUMMYFUNCTION("""COMPUTED_VALUE"""),"")</f>
        <v/>
      </c>
    </row>
    <row r="2308">
      <c r="A2308" s="2" t="s">
        <v>33</v>
      </c>
      <c r="B2308" s="12">
        <v>2230734.0</v>
      </c>
      <c r="C2308" s="12">
        <v>2231774.0</v>
      </c>
      <c r="D2308" s="2"/>
      <c r="E2308" s="2" t="s">
        <v>34</v>
      </c>
      <c r="F2308" s="2" t="s">
        <v>2555</v>
      </c>
      <c r="G2308" s="2"/>
      <c r="H2308" s="12">
        <v>0.0</v>
      </c>
      <c r="I2308" s="2" t="s">
        <v>40</v>
      </c>
      <c r="J2308" s="2"/>
      <c r="K2308" s="2" t="s">
        <v>6129</v>
      </c>
      <c r="L2308" s="12">
        <v>346.0</v>
      </c>
      <c r="M2308" s="2" t="s">
        <v>6130</v>
      </c>
      <c r="N2308" s="2" t="str">
        <f>IFERROR(__xludf.DUMMYFUNCTION("""COMPUTED_VALUE"""),"")</f>
        <v/>
      </c>
    </row>
    <row r="2309">
      <c r="A2309" s="2" t="s">
        <v>33</v>
      </c>
      <c r="B2309" s="12">
        <v>2231771.0</v>
      </c>
      <c r="C2309" s="12">
        <v>2232778.0</v>
      </c>
      <c r="D2309" s="2"/>
      <c r="E2309" s="2" t="s">
        <v>34</v>
      </c>
      <c r="F2309" s="2" t="s">
        <v>2555</v>
      </c>
      <c r="G2309" s="2"/>
      <c r="H2309" s="12">
        <v>0.0</v>
      </c>
      <c r="I2309" s="2" t="s">
        <v>40</v>
      </c>
      <c r="J2309" s="2"/>
      <c r="K2309" s="2" t="s">
        <v>6131</v>
      </c>
      <c r="L2309" s="12">
        <v>335.0</v>
      </c>
      <c r="M2309" s="2" t="s">
        <v>6132</v>
      </c>
      <c r="N2309" s="2" t="str">
        <f>IFERROR(__xludf.DUMMYFUNCTION("""COMPUTED_VALUE"""),"")</f>
        <v/>
      </c>
    </row>
    <row r="2310">
      <c r="A2310" s="2" t="s">
        <v>33</v>
      </c>
      <c r="B2310" s="12">
        <v>2232820.0</v>
      </c>
      <c r="C2310" s="12">
        <v>2233461.0</v>
      </c>
      <c r="D2310" s="2"/>
      <c r="E2310" s="2" t="s">
        <v>38</v>
      </c>
      <c r="F2310" s="2" t="s">
        <v>6133</v>
      </c>
      <c r="G2310" s="2"/>
      <c r="H2310" s="12">
        <v>0.0</v>
      </c>
      <c r="I2310" s="2" t="s">
        <v>40</v>
      </c>
      <c r="J2310" s="2"/>
      <c r="K2310" s="2" t="s">
        <v>6134</v>
      </c>
      <c r="L2310" s="12">
        <v>213.0</v>
      </c>
      <c r="M2310" s="2" t="s">
        <v>6135</v>
      </c>
      <c r="N2310" s="2" t="str">
        <f>IFERROR(__xludf.DUMMYFUNCTION("""COMPUTED_VALUE"""),"")</f>
        <v/>
      </c>
    </row>
    <row r="2311">
      <c r="A2311" s="2" t="s">
        <v>33</v>
      </c>
      <c r="B2311" s="12">
        <v>2233515.0</v>
      </c>
      <c r="C2311" s="12">
        <v>2234561.0</v>
      </c>
      <c r="D2311" s="2"/>
      <c r="E2311" s="2" t="s">
        <v>38</v>
      </c>
      <c r="F2311" s="2" t="s">
        <v>6136</v>
      </c>
      <c r="G2311" s="2" t="s">
        <v>6137</v>
      </c>
      <c r="H2311" s="12">
        <v>0.0</v>
      </c>
      <c r="I2311" s="2" t="s">
        <v>40</v>
      </c>
      <c r="J2311" s="2"/>
      <c r="K2311" s="2" t="s">
        <v>6138</v>
      </c>
      <c r="L2311" s="12">
        <v>348.0</v>
      </c>
      <c r="M2311" s="2" t="s">
        <v>6139</v>
      </c>
      <c r="N2311" s="2" t="str">
        <f>IFERROR(__xludf.DUMMYFUNCTION("""COMPUTED_VALUE"""),"")</f>
        <v/>
      </c>
    </row>
    <row r="2312">
      <c r="A2312" s="2" t="s">
        <v>33</v>
      </c>
      <c r="B2312" s="12">
        <v>2234571.0</v>
      </c>
      <c r="C2312" s="12">
        <v>2235800.0</v>
      </c>
      <c r="D2312" s="2"/>
      <c r="E2312" s="2" t="s">
        <v>38</v>
      </c>
      <c r="F2312" s="2" t="s">
        <v>6140</v>
      </c>
      <c r="G2312" s="2" t="s">
        <v>6141</v>
      </c>
      <c r="H2312" s="12">
        <v>0.0</v>
      </c>
      <c r="I2312" s="2" t="s">
        <v>40</v>
      </c>
      <c r="J2312" s="2"/>
      <c r="K2312" s="2" t="s">
        <v>6142</v>
      </c>
      <c r="L2312" s="12">
        <v>409.0</v>
      </c>
      <c r="M2312" s="2" t="s">
        <v>6143</v>
      </c>
      <c r="N2312" s="2" t="str">
        <f>IFERROR(__xludf.DUMMYFUNCTION("""COMPUTED_VALUE"""),"")</f>
        <v/>
      </c>
    </row>
    <row r="2313">
      <c r="A2313" s="2" t="s">
        <v>33</v>
      </c>
      <c r="B2313" s="12">
        <v>2236392.0</v>
      </c>
      <c r="C2313" s="12">
        <v>2236955.0</v>
      </c>
      <c r="D2313" s="2"/>
      <c r="E2313" s="2" t="s">
        <v>34</v>
      </c>
      <c r="F2313" s="2" t="s">
        <v>6144</v>
      </c>
      <c r="G2313" s="2" t="s">
        <v>6145</v>
      </c>
      <c r="H2313" s="12">
        <v>0.0</v>
      </c>
      <c r="I2313" s="2" t="s">
        <v>40</v>
      </c>
      <c r="J2313" s="2"/>
      <c r="K2313" s="2" t="s">
        <v>6146</v>
      </c>
      <c r="L2313" s="12">
        <v>187.0</v>
      </c>
      <c r="M2313" s="2" t="s">
        <v>6147</v>
      </c>
      <c r="N2313" s="2" t="str">
        <f>IFERROR(__xludf.DUMMYFUNCTION("""COMPUTED_VALUE"""),"")</f>
        <v/>
      </c>
    </row>
    <row r="2314">
      <c r="A2314" s="2" t="s">
        <v>33</v>
      </c>
      <c r="B2314" s="12">
        <v>2236970.0</v>
      </c>
      <c r="C2314" s="12">
        <v>2238496.0</v>
      </c>
      <c r="D2314" s="2"/>
      <c r="E2314" s="2" t="s">
        <v>34</v>
      </c>
      <c r="F2314" s="2" t="s">
        <v>6148</v>
      </c>
      <c r="G2314" s="2" t="s">
        <v>6149</v>
      </c>
      <c r="H2314" s="12">
        <v>0.0</v>
      </c>
      <c r="I2314" s="2" t="s">
        <v>40</v>
      </c>
      <c r="J2314" s="2"/>
      <c r="K2314" s="2" t="s">
        <v>6150</v>
      </c>
      <c r="L2314" s="12">
        <v>508.0</v>
      </c>
      <c r="M2314" s="2" t="s">
        <v>6151</v>
      </c>
      <c r="N2314" s="2" t="str">
        <f>IFERROR(__xludf.DUMMYFUNCTION("""COMPUTED_VALUE"""),"")</f>
        <v/>
      </c>
    </row>
    <row r="2315">
      <c r="A2315" s="2" t="s">
        <v>33</v>
      </c>
      <c r="B2315" s="12">
        <v>2238531.0</v>
      </c>
      <c r="C2315" s="12">
        <v>2239136.0</v>
      </c>
      <c r="D2315" s="2"/>
      <c r="E2315" s="2" t="s">
        <v>38</v>
      </c>
      <c r="F2315" s="2" t="s">
        <v>6152</v>
      </c>
      <c r="G2315" s="2"/>
      <c r="H2315" s="12">
        <v>0.0</v>
      </c>
      <c r="I2315" s="2" t="s">
        <v>40</v>
      </c>
      <c r="J2315" s="2"/>
      <c r="K2315" s="2" t="s">
        <v>6153</v>
      </c>
      <c r="L2315" s="12">
        <v>201.0</v>
      </c>
      <c r="M2315" s="2" t="s">
        <v>6154</v>
      </c>
      <c r="N2315" s="2" t="str">
        <f>IFERROR(__xludf.DUMMYFUNCTION("""COMPUTED_VALUE"""),"")</f>
        <v/>
      </c>
    </row>
    <row r="2316">
      <c r="A2316" s="2" t="s">
        <v>33</v>
      </c>
      <c r="B2316" s="12">
        <v>2239371.0</v>
      </c>
      <c r="C2316" s="12">
        <v>2240486.0</v>
      </c>
      <c r="D2316" s="2"/>
      <c r="E2316" s="2" t="s">
        <v>38</v>
      </c>
      <c r="F2316" s="2" t="s">
        <v>6155</v>
      </c>
      <c r="G2316" s="2"/>
      <c r="H2316" s="12">
        <v>0.0</v>
      </c>
      <c r="I2316" s="2" t="s">
        <v>40</v>
      </c>
      <c r="J2316" s="2"/>
      <c r="K2316" s="2" t="s">
        <v>6156</v>
      </c>
      <c r="L2316" s="12">
        <v>371.0</v>
      </c>
      <c r="M2316" s="2" t="s">
        <v>6157</v>
      </c>
      <c r="N2316" s="2" t="str">
        <f>IFERROR(__xludf.DUMMYFUNCTION("""COMPUTED_VALUE"""),"")</f>
        <v/>
      </c>
    </row>
    <row r="2317">
      <c r="A2317" s="2" t="s">
        <v>33</v>
      </c>
      <c r="B2317" s="12">
        <v>2240780.0</v>
      </c>
      <c r="C2317" s="12">
        <v>2242201.0</v>
      </c>
      <c r="D2317" s="2"/>
      <c r="E2317" s="2" t="s">
        <v>34</v>
      </c>
      <c r="F2317" s="2" t="s">
        <v>2492</v>
      </c>
      <c r="G2317" s="2" t="s">
        <v>2493</v>
      </c>
      <c r="H2317" s="12">
        <v>0.0</v>
      </c>
      <c r="I2317" s="2" t="s">
        <v>40</v>
      </c>
      <c r="J2317" s="2"/>
      <c r="K2317" s="2" t="s">
        <v>6158</v>
      </c>
      <c r="L2317" s="12">
        <v>473.0</v>
      </c>
      <c r="M2317" s="2" t="s">
        <v>6159</v>
      </c>
      <c r="N2317" s="2" t="str">
        <f>IFERROR(__xludf.DUMMYFUNCTION("""COMPUTED_VALUE"""),"")</f>
        <v/>
      </c>
    </row>
    <row r="2318">
      <c r="A2318" s="2" t="s">
        <v>33</v>
      </c>
      <c r="B2318" s="12">
        <v>2242190.0</v>
      </c>
      <c r="C2318" s="12">
        <v>2243461.0</v>
      </c>
      <c r="D2318" s="2"/>
      <c r="E2318" s="2" t="s">
        <v>38</v>
      </c>
      <c r="F2318" s="2" t="s">
        <v>39</v>
      </c>
      <c r="G2318" s="2"/>
      <c r="H2318" s="12">
        <v>0.0</v>
      </c>
      <c r="I2318" s="2" t="s">
        <v>40</v>
      </c>
      <c r="J2318" s="2"/>
      <c r="K2318" s="2" t="s">
        <v>6160</v>
      </c>
      <c r="L2318" s="12">
        <v>423.0</v>
      </c>
      <c r="M2318" s="2" t="s">
        <v>6161</v>
      </c>
      <c r="N2318" s="2" t="str">
        <f>IFERROR(__xludf.DUMMYFUNCTION("""COMPUTED_VALUE"""),"")</f>
        <v/>
      </c>
    </row>
    <row r="2319">
      <c r="A2319" s="2" t="s">
        <v>33</v>
      </c>
      <c r="B2319" s="12">
        <v>2243555.0</v>
      </c>
      <c r="C2319" s="12">
        <v>2244664.0</v>
      </c>
      <c r="D2319" s="2"/>
      <c r="E2319" s="2" t="s">
        <v>34</v>
      </c>
      <c r="F2319" s="2" t="s">
        <v>6162</v>
      </c>
      <c r="G2319" s="2"/>
      <c r="H2319" s="12">
        <v>0.0</v>
      </c>
      <c r="I2319" s="2" t="s">
        <v>40</v>
      </c>
      <c r="J2319" s="2"/>
      <c r="K2319" s="2" t="s">
        <v>6163</v>
      </c>
      <c r="L2319" s="12">
        <v>369.0</v>
      </c>
      <c r="M2319" s="2" t="s">
        <v>6164</v>
      </c>
      <c r="N2319" s="2" t="str">
        <f>IFERROR(__xludf.DUMMYFUNCTION("""COMPUTED_VALUE"""),"")</f>
        <v/>
      </c>
    </row>
    <row r="2320">
      <c r="A2320" s="2" t="s">
        <v>33</v>
      </c>
      <c r="B2320" s="12">
        <v>2244679.0</v>
      </c>
      <c r="C2320" s="12">
        <v>2245374.0</v>
      </c>
      <c r="D2320" s="2"/>
      <c r="E2320" s="2" t="s">
        <v>34</v>
      </c>
      <c r="F2320" s="2" t="s">
        <v>39</v>
      </c>
      <c r="G2320" s="2"/>
      <c r="H2320" s="12">
        <v>0.0</v>
      </c>
      <c r="I2320" s="2" t="s">
        <v>40</v>
      </c>
      <c r="J2320" s="2"/>
      <c r="K2320" s="2" t="s">
        <v>6165</v>
      </c>
      <c r="L2320" s="12">
        <v>231.0</v>
      </c>
      <c r="M2320" s="2" t="s">
        <v>6166</v>
      </c>
      <c r="N2320" s="2" t="str">
        <f>IFERROR(__xludf.DUMMYFUNCTION("""COMPUTED_VALUE"""),"")</f>
        <v/>
      </c>
    </row>
    <row r="2321">
      <c r="A2321" s="2" t="s">
        <v>33</v>
      </c>
      <c r="B2321" s="12">
        <v>2245594.0</v>
      </c>
      <c r="C2321" s="12">
        <v>2246301.0</v>
      </c>
      <c r="D2321" s="2"/>
      <c r="E2321" s="2" t="s">
        <v>38</v>
      </c>
      <c r="F2321" s="2" t="s">
        <v>4203</v>
      </c>
      <c r="G2321" s="2"/>
      <c r="H2321" s="12">
        <v>0.0</v>
      </c>
      <c r="I2321" s="2" t="s">
        <v>40</v>
      </c>
      <c r="J2321" s="2"/>
      <c r="K2321" s="2" t="s">
        <v>6167</v>
      </c>
      <c r="L2321" s="12">
        <v>235.0</v>
      </c>
      <c r="M2321" s="2" t="s">
        <v>6168</v>
      </c>
      <c r="N2321" s="2" t="str">
        <f>IFERROR(__xludf.DUMMYFUNCTION("""COMPUTED_VALUE"""),"")</f>
        <v/>
      </c>
    </row>
    <row r="2322">
      <c r="A2322" s="2" t="s">
        <v>33</v>
      </c>
      <c r="B2322" s="12">
        <v>2246397.0</v>
      </c>
      <c r="C2322" s="12">
        <v>2246915.0</v>
      </c>
      <c r="D2322" s="2"/>
      <c r="E2322" s="2" t="s">
        <v>38</v>
      </c>
      <c r="F2322" s="2" t="s">
        <v>6169</v>
      </c>
      <c r="G2322" s="2"/>
      <c r="H2322" s="12">
        <v>0.0</v>
      </c>
      <c r="I2322" s="2" t="s">
        <v>40</v>
      </c>
      <c r="J2322" s="2"/>
      <c r="K2322" s="2" t="s">
        <v>6170</v>
      </c>
      <c r="L2322" s="12">
        <v>172.0</v>
      </c>
      <c r="M2322" s="2" t="s">
        <v>6171</v>
      </c>
      <c r="N2322" s="2" t="str">
        <f>IFERROR(__xludf.DUMMYFUNCTION("""COMPUTED_VALUE"""),"")</f>
        <v/>
      </c>
    </row>
    <row r="2323">
      <c r="A2323" s="2" t="s">
        <v>33</v>
      </c>
      <c r="B2323" s="12">
        <v>2247265.0</v>
      </c>
      <c r="C2323" s="12">
        <v>2247819.0</v>
      </c>
      <c r="D2323" s="2"/>
      <c r="E2323" s="2" t="s">
        <v>38</v>
      </c>
      <c r="F2323" s="2" t="s">
        <v>3848</v>
      </c>
      <c r="G2323" s="2"/>
      <c r="H2323" s="12">
        <v>0.0</v>
      </c>
      <c r="I2323" s="2" t="s">
        <v>40</v>
      </c>
      <c r="J2323" s="2"/>
      <c r="K2323" s="2" t="s">
        <v>6172</v>
      </c>
      <c r="L2323" s="12">
        <v>184.0</v>
      </c>
      <c r="M2323" s="2" t="s">
        <v>6173</v>
      </c>
      <c r="N2323" s="2" t="str">
        <f>IFERROR(__xludf.DUMMYFUNCTION("""COMPUTED_VALUE"""),"")</f>
        <v/>
      </c>
    </row>
    <row r="2324">
      <c r="A2324" s="2" t="s">
        <v>33</v>
      </c>
      <c r="B2324" s="12">
        <v>2247874.0</v>
      </c>
      <c r="C2324" s="12">
        <v>2248902.0</v>
      </c>
      <c r="D2324" s="2"/>
      <c r="E2324" s="2" t="s">
        <v>38</v>
      </c>
      <c r="F2324" s="2" t="s">
        <v>39</v>
      </c>
      <c r="G2324" s="2"/>
      <c r="H2324" s="12">
        <v>0.0</v>
      </c>
      <c r="I2324" s="2" t="s">
        <v>40</v>
      </c>
      <c r="J2324" s="2"/>
      <c r="K2324" s="2" t="s">
        <v>6174</v>
      </c>
      <c r="L2324" s="12">
        <v>342.0</v>
      </c>
      <c r="M2324" s="2" t="s">
        <v>6175</v>
      </c>
      <c r="N2324" s="2" t="str">
        <f>IFERROR(__xludf.DUMMYFUNCTION("""COMPUTED_VALUE"""),"")</f>
        <v/>
      </c>
    </row>
    <row r="2325">
      <c r="A2325" s="2" t="s">
        <v>33</v>
      </c>
      <c r="B2325" s="12">
        <v>2249498.0</v>
      </c>
      <c r="C2325" s="12">
        <v>2250487.0</v>
      </c>
      <c r="D2325" s="2"/>
      <c r="E2325" s="2" t="s">
        <v>38</v>
      </c>
      <c r="F2325" s="2" t="s">
        <v>6176</v>
      </c>
      <c r="G2325" s="2"/>
      <c r="H2325" s="12">
        <v>0.0</v>
      </c>
      <c r="I2325" s="2" t="s">
        <v>40</v>
      </c>
      <c r="J2325" s="2"/>
      <c r="K2325" s="2" t="s">
        <v>6177</v>
      </c>
      <c r="L2325" s="12">
        <v>329.0</v>
      </c>
      <c r="M2325" s="2" t="s">
        <v>6178</v>
      </c>
      <c r="N2325" s="2" t="str">
        <f>IFERROR(__xludf.DUMMYFUNCTION("""COMPUTED_VALUE"""),"")</f>
        <v/>
      </c>
    </row>
    <row r="2326">
      <c r="A2326" s="2" t="s">
        <v>33</v>
      </c>
      <c r="B2326" s="12">
        <v>2250648.0</v>
      </c>
      <c r="C2326" s="12">
        <v>2252024.0</v>
      </c>
      <c r="D2326" s="2"/>
      <c r="E2326" s="2" t="s">
        <v>38</v>
      </c>
      <c r="F2326" s="2" t="s">
        <v>5904</v>
      </c>
      <c r="G2326" s="2" t="s">
        <v>5905</v>
      </c>
      <c r="H2326" s="12">
        <v>0.0</v>
      </c>
      <c r="I2326" s="2" t="s">
        <v>40</v>
      </c>
      <c r="J2326" s="2"/>
      <c r="K2326" s="2" t="s">
        <v>6179</v>
      </c>
      <c r="L2326" s="12">
        <v>458.0</v>
      </c>
      <c r="M2326" s="2" t="s">
        <v>6180</v>
      </c>
      <c r="N2326" s="2" t="str">
        <f>IFERROR(__xludf.DUMMYFUNCTION("""COMPUTED_VALUE"""),"")</f>
        <v/>
      </c>
    </row>
    <row r="2327">
      <c r="A2327" s="2" t="s">
        <v>33</v>
      </c>
      <c r="B2327" s="12">
        <v>2252450.0</v>
      </c>
      <c r="C2327" s="12">
        <v>2253646.0</v>
      </c>
      <c r="D2327" s="2"/>
      <c r="E2327" s="2" t="s">
        <v>34</v>
      </c>
      <c r="F2327" s="2" t="s">
        <v>2184</v>
      </c>
      <c r="G2327" s="2"/>
      <c r="H2327" s="12">
        <v>0.0</v>
      </c>
      <c r="I2327" s="2" t="s">
        <v>40</v>
      </c>
      <c r="J2327" s="2"/>
      <c r="K2327" s="2" t="s">
        <v>6181</v>
      </c>
      <c r="L2327" s="12">
        <v>398.0</v>
      </c>
      <c r="M2327" s="2" t="s">
        <v>6182</v>
      </c>
      <c r="N2327" s="2" t="str">
        <f>IFERROR(__xludf.DUMMYFUNCTION("""COMPUTED_VALUE"""),"")</f>
        <v/>
      </c>
    </row>
    <row r="2328">
      <c r="A2328" s="2" t="s">
        <v>33</v>
      </c>
      <c r="B2328" s="12">
        <v>2253698.0</v>
      </c>
      <c r="C2328" s="12">
        <v>2254405.0</v>
      </c>
      <c r="D2328" s="2"/>
      <c r="E2328" s="2" t="s">
        <v>38</v>
      </c>
      <c r="F2328" s="2" t="s">
        <v>39</v>
      </c>
      <c r="G2328" s="2"/>
      <c r="H2328" s="12">
        <v>0.0</v>
      </c>
      <c r="I2328" s="2" t="s">
        <v>40</v>
      </c>
      <c r="J2328" s="2"/>
      <c r="K2328" s="2" t="s">
        <v>6183</v>
      </c>
      <c r="L2328" s="12">
        <v>235.0</v>
      </c>
      <c r="M2328" s="2" t="s">
        <v>6184</v>
      </c>
      <c r="N2328" s="2" t="str">
        <f>IFERROR(__xludf.DUMMYFUNCTION("""COMPUTED_VALUE"""),"")</f>
        <v/>
      </c>
    </row>
    <row r="2329">
      <c r="A2329" s="2" t="s">
        <v>33</v>
      </c>
      <c r="B2329" s="12">
        <v>2254622.0</v>
      </c>
      <c r="C2329" s="12">
        <v>2254795.0</v>
      </c>
      <c r="D2329" s="2"/>
      <c r="E2329" s="2" t="s">
        <v>34</v>
      </c>
      <c r="F2329" s="2" t="s">
        <v>39</v>
      </c>
      <c r="G2329" s="2"/>
      <c r="H2329" s="12">
        <v>0.0</v>
      </c>
      <c r="I2329" s="2" t="s">
        <v>40</v>
      </c>
      <c r="J2329" s="2"/>
      <c r="K2329" s="2" t="s">
        <v>6185</v>
      </c>
      <c r="L2329" s="12">
        <v>57.0</v>
      </c>
      <c r="M2329" s="2" t="s">
        <v>6186</v>
      </c>
      <c r="N2329" s="2" t="str">
        <f>IFERROR(__xludf.DUMMYFUNCTION("""COMPUTED_VALUE"""),"")</f>
        <v/>
      </c>
    </row>
    <row r="2330">
      <c r="A2330" s="2" t="s">
        <v>33</v>
      </c>
      <c r="B2330" s="12">
        <v>2254943.0</v>
      </c>
      <c r="C2330" s="12">
        <v>2256025.0</v>
      </c>
      <c r="D2330" s="2"/>
      <c r="E2330" s="2" t="s">
        <v>34</v>
      </c>
      <c r="F2330" s="2" t="s">
        <v>2334</v>
      </c>
      <c r="G2330" s="2"/>
      <c r="H2330" s="12">
        <v>0.0</v>
      </c>
      <c r="I2330" s="2" t="s">
        <v>40</v>
      </c>
      <c r="J2330" s="2"/>
      <c r="K2330" s="2" t="s">
        <v>6187</v>
      </c>
      <c r="L2330" s="12">
        <v>360.0</v>
      </c>
      <c r="M2330" s="2" t="s">
        <v>6188</v>
      </c>
      <c r="N2330" s="2" t="str">
        <f>IFERROR(__xludf.DUMMYFUNCTION("""COMPUTED_VALUE"""),"")</f>
        <v/>
      </c>
    </row>
    <row r="2331">
      <c r="A2331" s="2" t="s">
        <v>33</v>
      </c>
      <c r="B2331" s="12">
        <v>2256142.0</v>
      </c>
      <c r="C2331" s="12">
        <v>2257371.0</v>
      </c>
      <c r="D2331" s="2"/>
      <c r="E2331" s="2" t="s">
        <v>34</v>
      </c>
      <c r="F2331" s="2" t="s">
        <v>2210</v>
      </c>
      <c r="G2331" s="2"/>
      <c r="H2331" s="12">
        <v>0.0</v>
      </c>
      <c r="I2331" s="2" t="s">
        <v>40</v>
      </c>
      <c r="J2331" s="2"/>
      <c r="K2331" s="2" t="s">
        <v>6189</v>
      </c>
      <c r="L2331" s="12">
        <v>409.0</v>
      </c>
      <c r="M2331" s="2" t="s">
        <v>6190</v>
      </c>
      <c r="N2331" s="2" t="str">
        <f>IFERROR(__xludf.DUMMYFUNCTION("""COMPUTED_VALUE"""),"")</f>
        <v/>
      </c>
    </row>
    <row r="2332">
      <c r="A2332" s="2" t="s">
        <v>33</v>
      </c>
      <c r="B2332" s="12">
        <v>2257417.0</v>
      </c>
      <c r="C2332" s="12">
        <v>2257908.0</v>
      </c>
      <c r="D2332" s="2"/>
      <c r="E2332" s="2" t="s">
        <v>38</v>
      </c>
      <c r="F2332" s="2" t="s">
        <v>1888</v>
      </c>
      <c r="G2332" s="2"/>
      <c r="H2332" s="12">
        <v>0.0</v>
      </c>
      <c r="I2332" s="2" t="s">
        <v>40</v>
      </c>
      <c r="J2332" s="2"/>
      <c r="K2332" s="2" t="s">
        <v>6191</v>
      </c>
      <c r="L2332" s="12">
        <v>163.0</v>
      </c>
      <c r="M2332" s="2" t="s">
        <v>6192</v>
      </c>
      <c r="N2332" s="2" t="str">
        <f>IFERROR(__xludf.DUMMYFUNCTION("""COMPUTED_VALUE"""),"")</f>
        <v/>
      </c>
    </row>
    <row r="2333">
      <c r="A2333" s="2" t="s">
        <v>33</v>
      </c>
      <c r="B2333" s="12">
        <v>2258041.0</v>
      </c>
      <c r="C2333" s="12">
        <v>2258364.0</v>
      </c>
      <c r="D2333" s="2"/>
      <c r="E2333" s="2" t="s">
        <v>38</v>
      </c>
      <c r="F2333" s="2" t="s">
        <v>4911</v>
      </c>
      <c r="G2333" s="2"/>
      <c r="H2333" s="12">
        <v>0.0</v>
      </c>
      <c r="I2333" s="2" t="s">
        <v>40</v>
      </c>
      <c r="J2333" s="2"/>
      <c r="K2333" s="2" t="s">
        <v>6193</v>
      </c>
      <c r="L2333" s="12">
        <v>107.0</v>
      </c>
      <c r="M2333" s="2" t="s">
        <v>6194</v>
      </c>
      <c r="N2333" s="2" t="str">
        <f>IFERROR(__xludf.DUMMYFUNCTION("""COMPUTED_VALUE"""),"")</f>
        <v/>
      </c>
    </row>
    <row r="2334">
      <c r="A2334" s="2" t="s">
        <v>33</v>
      </c>
      <c r="B2334" s="12">
        <v>2258412.0</v>
      </c>
      <c r="C2334" s="12">
        <v>2259863.0</v>
      </c>
      <c r="D2334" s="2"/>
      <c r="E2334" s="2" t="s">
        <v>38</v>
      </c>
      <c r="F2334" s="2" t="s">
        <v>6195</v>
      </c>
      <c r="G2334" s="2" t="s">
        <v>6196</v>
      </c>
      <c r="H2334" s="12">
        <v>0.0</v>
      </c>
      <c r="I2334" s="2" t="s">
        <v>40</v>
      </c>
      <c r="J2334" s="2"/>
      <c r="K2334" s="2" t="s">
        <v>6197</v>
      </c>
      <c r="L2334" s="12">
        <v>483.0</v>
      </c>
      <c r="M2334" s="2" t="s">
        <v>6198</v>
      </c>
      <c r="N2334" s="2" t="str">
        <f>IFERROR(__xludf.DUMMYFUNCTION("""COMPUTED_VALUE"""),"")</f>
        <v/>
      </c>
    </row>
    <row r="2335">
      <c r="A2335" s="2" t="s">
        <v>33</v>
      </c>
      <c r="B2335" s="12">
        <v>2259856.0</v>
      </c>
      <c r="C2335" s="12">
        <v>2261223.0</v>
      </c>
      <c r="D2335" s="2"/>
      <c r="E2335" s="2" t="s">
        <v>38</v>
      </c>
      <c r="F2335" s="2" t="s">
        <v>5892</v>
      </c>
      <c r="G2335" s="2"/>
      <c r="H2335" s="12">
        <v>0.0</v>
      </c>
      <c r="I2335" s="2" t="s">
        <v>40</v>
      </c>
      <c r="J2335" s="2"/>
      <c r="K2335" s="2" t="s">
        <v>6199</v>
      </c>
      <c r="L2335" s="12">
        <v>455.0</v>
      </c>
      <c r="M2335" s="2" t="s">
        <v>6200</v>
      </c>
      <c r="N2335" s="2" t="str">
        <f>IFERROR(__xludf.DUMMYFUNCTION("""COMPUTED_VALUE"""),"")</f>
        <v/>
      </c>
    </row>
    <row r="2336">
      <c r="A2336" s="2" t="s">
        <v>33</v>
      </c>
      <c r="B2336" s="12">
        <v>2261339.0</v>
      </c>
      <c r="C2336" s="12">
        <v>2262703.0</v>
      </c>
      <c r="D2336" s="2"/>
      <c r="E2336" s="2" t="s">
        <v>38</v>
      </c>
      <c r="F2336" s="2" t="s">
        <v>6201</v>
      </c>
      <c r="G2336" s="2" t="s">
        <v>6202</v>
      </c>
      <c r="H2336" s="12">
        <v>0.0</v>
      </c>
      <c r="I2336" s="2" t="s">
        <v>40</v>
      </c>
      <c r="J2336" s="2"/>
      <c r="K2336" s="2" t="s">
        <v>6203</v>
      </c>
      <c r="L2336" s="12">
        <v>454.0</v>
      </c>
      <c r="M2336" s="2" t="s">
        <v>6204</v>
      </c>
      <c r="N2336" s="2" t="str">
        <f>IFERROR(__xludf.DUMMYFUNCTION("""COMPUTED_VALUE"""),"")</f>
        <v/>
      </c>
    </row>
    <row r="2337">
      <c r="A2337" s="2" t="s">
        <v>33</v>
      </c>
      <c r="B2337" s="12">
        <v>2262858.0</v>
      </c>
      <c r="C2337" s="12">
        <v>2263601.0</v>
      </c>
      <c r="D2337" s="2"/>
      <c r="E2337" s="2" t="s">
        <v>38</v>
      </c>
      <c r="F2337" s="2" t="s">
        <v>1172</v>
      </c>
      <c r="G2337" s="2"/>
      <c r="H2337" s="12">
        <v>0.0</v>
      </c>
      <c r="I2337" s="2" t="s">
        <v>40</v>
      </c>
      <c r="J2337" s="2"/>
      <c r="K2337" s="2" t="s">
        <v>6205</v>
      </c>
      <c r="L2337" s="12">
        <v>247.0</v>
      </c>
      <c r="M2337" s="2" t="s">
        <v>6206</v>
      </c>
      <c r="N2337" s="2" t="str">
        <f>IFERROR(__xludf.DUMMYFUNCTION("""COMPUTED_VALUE"""),"")</f>
        <v/>
      </c>
    </row>
    <row r="2338">
      <c r="A2338" s="2" t="s">
        <v>33</v>
      </c>
      <c r="B2338" s="12">
        <v>2263742.0</v>
      </c>
      <c r="C2338" s="12">
        <v>2264647.0</v>
      </c>
      <c r="D2338" s="2"/>
      <c r="E2338" s="2" t="s">
        <v>38</v>
      </c>
      <c r="F2338" s="2" t="s">
        <v>6207</v>
      </c>
      <c r="G2338" s="2"/>
      <c r="H2338" s="12">
        <v>0.0</v>
      </c>
      <c r="I2338" s="2" t="s">
        <v>40</v>
      </c>
      <c r="J2338" s="2"/>
      <c r="K2338" s="2" t="s">
        <v>6208</v>
      </c>
      <c r="L2338" s="12">
        <v>301.0</v>
      </c>
      <c r="M2338" s="2" t="s">
        <v>6209</v>
      </c>
      <c r="N2338" s="2" t="str">
        <f>IFERROR(__xludf.DUMMYFUNCTION("""COMPUTED_VALUE"""),"")</f>
        <v/>
      </c>
    </row>
    <row r="2339">
      <c r="A2339" s="2" t="s">
        <v>33</v>
      </c>
      <c r="B2339" s="12">
        <v>2265205.0</v>
      </c>
      <c r="C2339" s="12">
        <v>2266632.0</v>
      </c>
      <c r="D2339" s="2"/>
      <c r="E2339" s="2" t="s">
        <v>38</v>
      </c>
      <c r="F2339" s="2" t="s">
        <v>6210</v>
      </c>
      <c r="G2339" s="2" t="s">
        <v>6211</v>
      </c>
      <c r="H2339" s="12">
        <v>0.0</v>
      </c>
      <c r="I2339" s="2" t="s">
        <v>40</v>
      </c>
      <c r="J2339" s="2"/>
      <c r="K2339" s="2" t="s">
        <v>6212</v>
      </c>
      <c r="L2339" s="12">
        <v>475.0</v>
      </c>
      <c r="M2339" s="2" t="s">
        <v>6213</v>
      </c>
      <c r="N2339" s="2" t="str">
        <f>IFERROR(__xludf.DUMMYFUNCTION("""COMPUTED_VALUE"""),"")</f>
        <v/>
      </c>
    </row>
    <row r="2340">
      <c r="A2340" s="2" t="s">
        <v>33</v>
      </c>
      <c r="B2340" s="12">
        <v>2266647.0</v>
      </c>
      <c r="C2340" s="12">
        <v>2268104.0</v>
      </c>
      <c r="D2340" s="2"/>
      <c r="E2340" s="2" t="s">
        <v>38</v>
      </c>
      <c r="F2340" s="2" t="s">
        <v>6214</v>
      </c>
      <c r="G2340" s="2" t="s">
        <v>6215</v>
      </c>
      <c r="H2340" s="12">
        <v>0.0</v>
      </c>
      <c r="I2340" s="2" t="s">
        <v>40</v>
      </c>
      <c r="J2340" s="2"/>
      <c r="K2340" s="2" t="s">
        <v>6216</v>
      </c>
      <c r="L2340" s="12">
        <v>485.0</v>
      </c>
      <c r="M2340" s="2" t="s">
        <v>6217</v>
      </c>
      <c r="N2340" s="2" t="str">
        <f>IFERROR(__xludf.DUMMYFUNCTION("""COMPUTED_VALUE"""),"")</f>
        <v/>
      </c>
    </row>
    <row r="2341">
      <c r="A2341" s="2" t="s">
        <v>33</v>
      </c>
      <c r="B2341" s="12">
        <v>2268120.0</v>
      </c>
      <c r="C2341" s="12">
        <v>2268410.0</v>
      </c>
      <c r="D2341" s="2"/>
      <c r="E2341" s="2" t="s">
        <v>38</v>
      </c>
      <c r="F2341" s="2" t="s">
        <v>6218</v>
      </c>
      <c r="G2341" s="2" t="s">
        <v>6219</v>
      </c>
      <c r="H2341" s="12">
        <v>0.0</v>
      </c>
      <c r="I2341" s="2" t="s">
        <v>40</v>
      </c>
      <c r="J2341" s="2"/>
      <c r="K2341" s="2" t="s">
        <v>6220</v>
      </c>
      <c r="L2341" s="12">
        <v>96.0</v>
      </c>
      <c r="M2341" s="2" t="s">
        <v>6221</v>
      </c>
      <c r="N2341" s="2" t="str">
        <f>IFERROR(__xludf.DUMMYFUNCTION("""COMPUTED_VALUE"""),"")</f>
        <v/>
      </c>
    </row>
    <row r="2342">
      <c r="A2342" s="2" t="s">
        <v>33</v>
      </c>
      <c r="B2342" s="12">
        <v>2268552.0</v>
      </c>
      <c r="C2342" s="12">
        <v>2268788.0</v>
      </c>
      <c r="D2342" s="2"/>
      <c r="E2342" s="2" t="s">
        <v>38</v>
      </c>
      <c r="F2342" s="2" t="s">
        <v>6222</v>
      </c>
      <c r="G2342" s="2"/>
      <c r="H2342" s="12">
        <v>0.0</v>
      </c>
      <c r="I2342" s="2" t="s">
        <v>40</v>
      </c>
      <c r="J2342" s="2"/>
      <c r="K2342" s="2" t="s">
        <v>6223</v>
      </c>
      <c r="L2342" s="12">
        <v>78.0</v>
      </c>
      <c r="M2342" s="2" t="s">
        <v>6224</v>
      </c>
      <c r="N2342" s="2" t="str">
        <f>IFERROR(__xludf.DUMMYFUNCTION("""COMPUTED_VALUE"""),"")</f>
        <v/>
      </c>
    </row>
    <row r="2343">
      <c r="A2343" s="2" t="s">
        <v>33</v>
      </c>
      <c r="B2343" s="12">
        <v>2269158.0</v>
      </c>
      <c r="C2343" s="12">
        <v>2270000.0</v>
      </c>
      <c r="D2343" s="2"/>
      <c r="E2343" s="2" t="s">
        <v>38</v>
      </c>
      <c r="F2343" s="2" t="s">
        <v>6225</v>
      </c>
      <c r="G2343" s="2"/>
      <c r="H2343" s="12">
        <v>0.0</v>
      </c>
      <c r="I2343" s="2" t="s">
        <v>40</v>
      </c>
      <c r="J2343" s="2"/>
      <c r="K2343" s="2" t="s">
        <v>6226</v>
      </c>
      <c r="L2343" s="12">
        <v>280.0</v>
      </c>
      <c r="M2343" s="2" t="s">
        <v>6227</v>
      </c>
      <c r="N2343" s="2" t="str">
        <f>IFERROR(__xludf.DUMMYFUNCTION("""COMPUTED_VALUE"""),"")</f>
        <v/>
      </c>
    </row>
    <row r="2344">
      <c r="A2344" s="2" t="s">
        <v>33</v>
      </c>
      <c r="B2344" s="12">
        <v>2270031.0</v>
      </c>
      <c r="C2344" s="12">
        <v>2270696.0</v>
      </c>
      <c r="D2344" s="2"/>
      <c r="E2344" s="2" t="s">
        <v>38</v>
      </c>
      <c r="F2344" s="2" t="s">
        <v>6228</v>
      </c>
      <c r="G2344" s="2"/>
      <c r="H2344" s="12">
        <v>0.0</v>
      </c>
      <c r="I2344" s="2" t="s">
        <v>40</v>
      </c>
      <c r="J2344" s="2"/>
      <c r="K2344" s="2" t="s">
        <v>6229</v>
      </c>
      <c r="L2344" s="12">
        <v>221.0</v>
      </c>
      <c r="M2344" s="2" t="s">
        <v>6230</v>
      </c>
      <c r="N2344" s="2" t="str">
        <f>IFERROR(__xludf.DUMMYFUNCTION("""COMPUTED_VALUE"""),"")</f>
        <v/>
      </c>
    </row>
    <row r="2345">
      <c r="A2345" s="2" t="s">
        <v>33</v>
      </c>
      <c r="B2345" s="12">
        <v>2270686.0</v>
      </c>
      <c r="C2345" s="12">
        <v>2271705.0</v>
      </c>
      <c r="D2345" s="2"/>
      <c r="E2345" s="2" t="s">
        <v>38</v>
      </c>
      <c r="F2345" s="2" t="s">
        <v>6231</v>
      </c>
      <c r="G2345" s="2"/>
      <c r="H2345" s="12">
        <v>0.0</v>
      </c>
      <c r="I2345" s="2" t="s">
        <v>40</v>
      </c>
      <c r="J2345" s="2"/>
      <c r="K2345" s="2" t="s">
        <v>6232</v>
      </c>
      <c r="L2345" s="12">
        <v>339.0</v>
      </c>
      <c r="M2345" s="2" t="s">
        <v>6233</v>
      </c>
      <c r="N2345" s="2" t="str">
        <f>IFERROR(__xludf.DUMMYFUNCTION("""COMPUTED_VALUE"""),"")</f>
        <v/>
      </c>
    </row>
    <row r="2346">
      <c r="A2346" s="2" t="s">
        <v>33</v>
      </c>
      <c r="B2346" s="12">
        <v>2272178.0</v>
      </c>
      <c r="C2346" s="12">
        <v>2272743.0</v>
      </c>
      <c r="D2346" s="2"/>
      <c r="E2346" s="2" t="s">
        <v>34</v>
      </c>
      <c r="F2346" s="2" t="s">
        <v>35</v>
      </c>
      <c r="G2346" s="2"/>
      <c r="H2346" s="12">
        <v>0.0</v>
      </c>
      <c r="I2346" s="2" t="s">
        <v>36</v>
      </c>
      <c r="J2346" s="2"/>
      <c r="K2346" s="2"/>
      <c r="L2346" s="2"/>
      <c r="M2346" s="2" t="s">
        <v>6234</v>
      </c>
      <c r="N2346" s="2" t="str">
        <f>IFERROR(__xludf.DUMMYFUNCTION("""COMPUTED_VALUE"""),"")</f>
        <v/>
      </c>
    </row>
    <row r="2347">
      <c r="A2347" s="2" t="s">
        <v>33</v>
      </c>
      <c r="B2347" s="12">
        <v>2272994.0</v>
      </c>
      <c r="C2347" s="12">
        <v>2274541.0</v>
      </c>
      <c r="D2347" s="2"/>
      <c r="E2347" s="2" t="s">
        <v>38</v>
      </c>
      <c r="F2347" s="2" t="s">
        <v>6235</v>
      </c>
      <c r="G2347" s="2" t="s">
        <v>6236</v>
      </c>
      <c r="H2347" s="12">
        <v>0.0</v>
      </c>
      <c r="I2347" s="2" t="s">
        <v>40</v>
      </c>
      <c r="J2347" s="2"/>
      <c r="K2347" s="2" t="s">
        <v>6237</v>
      </c>
      <c r="L2347" s="12">
        <v>515.0</v>
      </c>
      <c r="M2347" s="2" t="s">
        <v>6238</v>
      </c>
      <c r="N2347" s="2" t="str">
        <f>IFERROR(__xludf.DUMMYFUNCTION("""COMPUTED_VALUE"""),"")</f>
        <v/>
      </c>
    </row>
    <row r="2348">
      <c r="A2348" s="2" t="s">
        <v>33</v>
      </c>
      <c r="B2348" s="12">
        <v>2274696.0</v>
      </c>
      <c r="C2348" s="12">
        <v>2275466.0</v>
      </c>
      <c r="D2348" s="2"/>
      <c r="E2348" s="2" t="s">
        <v>38</v>
      </c>
      <c r="F2348" s="2" t="s">
        <v>499</v>
      </c>
      <c r="G2348" s="2"/>
      <c r="H2348" s="12">
        <v>0.0</v>
      </c>
      <c r="I2348" s="2" t="s">
        <v>40</v>
      </c>
      <c r="J2348" s="2"/>
      <c r="K2348" s="2" t="s">
        <v>6239</v>
      </c>
      <c r="L2348" s="12">
        <v>256.0</v>
      </c>
      <c r="M2348" s="2" t="s">
        <v>6240</v>
      </c>
      <c r="N2348" s="2" t="str">
        <f>IFERROR(__xludf.DUMMYFUNCTION("""COMPUTED_VALUE"""),"")</f>
        <v/>
      </c>
    </row>
    <row r="2349">
      <c r="A2349" s="2" t="s">
        <v>33</v>
      </c>
      <c r="B2349" s="12">
        <v>2275563.0</v>
      </c>
      <c r="C2349" s="12">
        <v>2276759.0</v>
      </c>
      <c r="D2349" s="2"/>
      <c r="E2349" s="2" t="s">
        <v>38</v>
      </c>
      <c r="F2349" s="2" t="s">
        <v>6241</v>
      </c>
      <c r="G2349" s="2"/>
      <c r="H2349" s="12">
        <v>0.0</v>
      </c>
      <c r="I2349" s="2" t="s">
        <v>40</v>
      </c>
      <c r="J2349" s="2"/>
      <c r="K2349" s="2" t="s">
        <v>6242</v>
      </c>
      <c r="L2349" s="12">
        <v>398.0</v>
      </c>
      <c r="M2349" s="2" t="s">
        <v>6243</v>
      </c>
      <c r="N2349" s="2" t="str">
        <f>IFERROR(__xludf.DUMMYFUNCTION("""COMPUTED_VALUE"""),"")</f>
        <v/>
      </c>
    </row>
    <row r="2350">
      <c r="A2350" s="2" t="s">
        <v>33</v>
      </c>
      <c r="B2350" s="12">
        <v>2276776.0</v>
      </c>
      <c r="C2350" s="12">
        <v>2278785.0</v>
      </c>
      <c r="D2350" s="2"/>
      <c r="E2350" s="2" t="s">
        <v>38</v>
      </c>
      <c r="F2350" s="2" t="s">
        <v>6244</v>
      </c>
      <c r="G2350" s="2" t="s">
        <v>6245</v>
      </c>
      <c r="H2350" s="12">
        <v>0.0</v>
      </c>
      <c r="I2350" s="2" t="s">
        <v>40</v>
      </c>
      <c r="J2350" s="2"/>
      <c r="K2350" s="2" t="s">
        <v>6246</v>
      </c>
      <c r="L2350" s="12">
        <v>669.0</v>
      </c>
      <c r="M2350" s="2" t="s">
        <v>6247</v>
      </c>
      <c r="N2350" s="2" t="str">
        <f>IFERROR(__xludf.DUMMYFUNCTION("""COMPUTED_VALUE"""),"")</f>
        <v/>
      </c>
    </row>
    <row r="2351">
      <c r="A2351" s="2" t="s">
        <v>33</v>
      </c>
      <c r="B2351" s="12">
        <v>2278800.0</v>
      </c>
      <c r="C2351" s="12">
        <v>2281049.0</v>
      </c>
      <c r="D2351" s="2"/>
      <c r="E2351" s="2" t="s">
        <v>38</v>
      </c>
      <c r="F2351" s="2" t="s">
        <v>6248</v>
      </c>
      <c r="G2351" s="2" t="s">
        <v>6249</v>
      </c>
      <c r="H2351" s="12">
        <v>0.0</v>
      </c>
      <c r="I2351" s="2" t="s">
        <v>40</v>
      </c>
      <c r="J2351" s="2"/>
      <c r="K2351" s="2" t="s">
        <v>6250</v>
      </c>
      <c r="L2351" s="12">
        <v>749.0</v>
      </c>
      <c r="M2351" s="2" t="s">
        <v>6251</v>
      </c>
      <c r="N2351" s="2" t="str">
        <f>IFERROR(__xludf.DUMMYFUNCTION("""COMPUTED_VALUE"""),"")</f>
        <v/>
      </c>
    </row>
    <row r="2352">
      <c r="A2352" s="2" t="s">
        <v>33</v>
      </c>
      <c r="B2352" s="12">
        <v>2281062.0</v>
      </c>
      <c r="C2352" s="12">
        <v>2281751.0</v>
      </c>
      <c r="D2352" s="2"/>
      <c r="E2352" s="2" t="s">
        <v>38</v>
      </c>
      <c r="F2352" s="2" t="s">
        <v>6252</v>
      </c>
      <c r="G2352" s="2"/>
      <c r="H2352" s="12">
        <v>0.0</v>
      </c>
      <c r="I2352" s="2" t="s">
        <v>40</v>
      </c>
      <c r="J2352" s="2"/>
      <c r="K2352" s="2" t="s">
        <v>6253</v>
      </c>
      <c r="L2352" s="12">
        <v>229.0</v>
      </c>
      <c r="M2352" s="2" t="s">
        <v>6254</v>
      </c>
      <c r="N2352" s="2" t="str">
        <f>IFERROR(__xludf.DUMMYFUNCTION("""COMPUTED_VALUE"""),"")</f>
        <v/>
      </c>
    </row>
    <row r="2353">
      <c r="A2353" s="2" t="s">
        <v>33</v>
      </c>
      <c r="B2353" s="12">
        <v>2282089.0</v>
      </c>
      <c r="C2353" s="12">
        <v>2282466.0</v>
      </c>
      <c r="D2353" s="2"/>
      <c r="E2353" s="2" t="s">
        <v>34</v>
      </c>
      <c r="F2353" s="2" t="s">
        <v>6255</v>
      </c>
      <c r="G2353" s="2"/>
      <c r="H2353" s="12">
        <v>0.0</v>
      </c>
      <c r="I2353" s="2" t="s">
        <v>40</v>
      </c>
      <c r="J2353" s="2"/>
      <c r="K2353" s="2" t="s">
        <v>6256</v>
      </c>
      <c r="L2353" s="12">
        <v>125.0</v>
      </c>
      <c r="M2353" s="2" t="s">
        <v>6257</v>
      </c>
      <c r="N2353" s="2" t="str">
        <f>IFERROR(__xludf.DUMMYFUNCTION("""COMPUTED_VALUE"""),"")</f>
        <v/>
      </c>
    </row>
    <row r="2354">
      <c r="A2354" s="2" t="s">
        <v>33</v>
      </c>
      <c r="B2354" s="12">
        <v>2282686.0</v>
      </c>
      <c r="C2354" s="12">
        <v>2283531.0</v>
      </c>
      <c r="D2354" s="2"/>
      <c r="E2354" s="2" t="s">
        <v>34</v>
      </c>
      <c r="F2354" s="2" t="s">
        <v>1535</v>
      </c>
      <c r="G2354" s="2"/>
      <c r="H2354" s="12">
        <v>0.0</v>
      </c>
      <c r="I2354" s="2" t="s">
        <v>40</v>
      </c>
      <c r="J2354" s="2"/>
      <c r="K2354" s="2" t="s">
        <v>6258</v>
      </c>
      <c r="L2354" s="12">
        <v>281.0</v>
      </c>
      <c r="M2354" s="2" t="s">
        <v>6259</v>
      </c>
      <c r="N2354" s="2" t="str">
        <f>IFERROR(__xludf.DUMMYFUNCTION("""COMPUTED_VALUE"""),"")</f>
        <v/>
      </c>
    </row>
    <row r="2355">
      <c r="A2355" s="2" t="s">
        <v>33</v>
      </c>
      <c r="B2355" s="12">
        <v>2283547.0</v>
      </c>
      <c r="C2355" s="12">
        <v>2283711.0</v>
      </c>
      <c r="D2355" s="2"/>
      <c r="E2355" s="2" t="s">
        <v>34</v>
      </c>
      <c r="F2355" s="2" t="s">
        <v>6260</v>
      </c>
      <c r="G2355" s="2"/>
      <c r="H2355" s="12">
        <v>0.0</v>
      </c>
      <c r="I2355" s="2" t="s">
        <v>40</v>
      </c>
      <c r="J2355" s="2"/>
      <c r="K2355" s="2" t="s">
        <v>6261</v>
      </c>
      <c r="L2355" s="12">
        <v>54.0</v>
      </c>
      <c r="M2355" s="2" t="s">
        <v>6262</v>
      </c>
      <c r="N2355" s="2" t="str">
        <f>IFERROR(__xludf.DUMMYFUNCTION("""COMPUTED_VALUE"""),"")</f>
        <v/>
      </c>
    </row>
    <row r="2356">
      <c r="A2356" s="2" t="s">
        <v>33</v>
      </c>
      <c r="B2356" s="12">
        <v>2283748.0</v>
      </c>
      <c r="C2356" s="12">
        <v>2285019.0</v>
      </c>
      <c r="D2356" s="2"/>
      <c r="E2356" s="2" t="s">
        <v>38</v>
      </c>
      <c r="F2356" s="2" t="s">
        <v>6263</v>
      </c>
      <c r="G2356" s="2" t="s">
        <v>6264</v>
      </c>
      <c r="H2356" s="12">
        <v>0.0</v>
      </c>
      <c r="I2356" s="2" t="s">
        <v>40</v>
      </c>
      <c r="J2356" s="2"/>
      <c r="K2356" s="2" t="s">
        <v>6265</v>
      </c>
      <c r="L2356" s="12">
        <v>423.0</v>
      </c>
      <c r="M2356" s="2" t="s">
        <v>6266</v>
      </c>
      <c r="N2356" s="2" t="str">
        <f>IFERROR(__xludf.DUMMYFUNCTION("""COMPUTED_VALUE"""),"")</f>
        <v/>
      </c>
    </row>
    <row r="2357">
      <c r="A2357" s="2" t="s">
        <v>33</v>
      </c>
      <c r="B2357" s="12">
        <v>2285442.0</v>
      </c>
      <c r="C2357" s="12">
        <v>2286977.0</v>
      </c>
      <c r="D2357" s="2"/>
      <c r="E2357" s="2" t="s">
        <v>38</v>
      </c>
      <c r="F2357" s="2" t="s">
        <v>6267</v>
      </c>
      <c r="G2357" s="2" t="s">
        <v>6268</v>
      </c>
      <c r="H2357" s="12">
        <v>0.0</v>
      </c>
      <c r="I2357" s="2" t="s">
        <v>40</v>
      </c>
      <c r="J2357" s="2"/>
      <c r="K2357" s="2" t="s">
        <v>6269</v>
      </c>
      <c r="L2357" s="12">
        <v>511.0</v>
      </c>
      <c r="M2357" s="2" t="s">
        <v>6270</v>
      </c>
      <c r="N2357" s="2" t="str">
        <f>IFERROR(__xludf.DUMMYFUNCTION("""COMPUTED_VALUE"""),"")</f>
        <v/>
      </c>
    </row>
    <row r="2358">
      <c r="A2358" s="2" t="s">
        <v>33</v>
      </c>
      <c r="B2358" s="12">
        <v>2287002.0</v>
      </c>
      <c r="C2358" s="12">
        <v>2287589.0</v>
      </c>
      <c r="D2358" s="2"/>
      <c r="E2358" s="2" t="s">
        <v>38</v>
      </c>
      <c r="F2358" s="2" t="s">
        <v>6271</v>
      </c>
      <c r="G2358" s="2" t="s">
        <v>6272</v>
      </c>
      <c r="H2358" s="12">
        <v>0.0</v>
      </c>
      <c r="I2358" s="2" t="s">
        <v>40</v>
      </c>
      <c r="J2358" s="2"/>
      <c r="K2358" s="2" t="s">
        <v>6273</v>
      </c>
      <c r="L2358" s="12">
        <v>195.0</v>
      </c>
      <c r="M2358" s="2" t="s">
        <v>6274</v>
      </c>
      <c r="N2358" s="2" t="str">
        <f>IFERROR(__xludf.DUMMYFUNCTION("""COMPUTED_VALUE"""),"")</f>
        <v/>
      </c>
    </row>
    <row r="2359">
      <c r="A2359" s="2" t="s">
        <v>33</v>
      </c>
      <c r="B2359" s="12">
        <v>2287586.0</v>
      </c>
      <c r="C2359" s="12">
        <v>2288626.0</v>
      </c>
      <c r="D2359" s="2"/>
      <c r="E2359" s="2" t="s">
        <v>38</v>
      </c>
      <c r="F2359" s="2" t="s">
        <v>6275</v>
      </c>
      <c r="G2359" s="2" t="s">
        <v>6276</v>
      </c>
      <c r="H2359" s="12">
        <v>0.0</v>
      </c>
      <c r="I2359" s="2" t="s">
        <v>40</v>
      </c>
      <c r="J2359" s="2"/>
      <c r="K2359" s="2" t="s">
        <v>6277</v>
      </c>
      <c r="L2359" s="12">
        <v>346.0</v>
      </c>
      <c r="M2359" s="2" t="s">
        <v>6278</v>
      </c>
      <c r="N2359" s="2" t="str">
        <f>IFERROR(__xludf.DUMMYFUNCTION("""COMPUTED_VALUE"""),"")</f>
        <v/>
      </c>
    </row>
    <row r="2360">
      <c r="A2360" s="2" t="s">
        <v>33</v>
      </c>
      <c r="B2360" s="12">
        <v>2288732.0</v>
      </c>
      <c r="C2360" s="12">
        <v>2290147.0</v>
      </c>
      <c r="D2360" s="2"/>
      <c r="E2360" s="2" t="s">
        <v>38</v>
      </c>
      <c r="F2360" s="2" t="s">
        <v>6279</v>
      </c>
      <c r="G2360" s="2" t="s">
        <v>6280</v>
      </c>
      <c r="H2360" s="12">
        <v>0.0</v>
      </c>
      <c r="I2360" s="2" t="s">
        <v>40</v>
      </c>
      <c r="J2360" s="2"/>
      <c r="K2360" s="2" t="s">
        <v>6281</v>
      </c>
      <c r="L2360" s="12">
        <v>471.0</v>
      </c>
      <c r="M2360" s="2" t="s">
        <v>6282</v>
      </c>
      <c r="N2360" s="2" t="str">
        <f>IFERROR(__xludf.DUMMYFUNCTION("""COMPUTED_VALUE"""),"")</f>
        <v/>
      </c>
    </row>
    <row r="2361">
      <c r="A2361" s="2" t="s">
        <v>33</v>
      </c>
      <c r="B2361" s="12">
        <v>2290132.0</v>
      </c>
      <c r="C2361" s="12">
        <v>2292351.0</v>
      </c>
      <c r="D2361" s="2"/>
      <c r="E2361" s="2" t="s">
        <v>38</v>
      </c>
      <c r="F2361" s="2" t="s">
        <v>6283</v>
      </c>
      <c r="G2361" s="2" t="s">
        <v>6284</v>
      </c>
      <c r="H2361" s="12">
        <v>0.0</v>
      </c>
      <c r="I2361" s="2" t="s">
        <v>40</v>
      </c>
      <c r="J2361" s="2"/>
      <c r="K2361" s="2" t="s">
        <v>6285</v>
      </c>
      <c r="L2361" s="12">
        <v>739.0</v>
      </c>
      <c r="M2361" s="2" t="s">
        <v>6286</v>
      </c>
      <c r="N2361" s="2" t="str">
        <f>IFERROR(__xludf.DUMMYFUNCTION("""COMPUTED_VALUE"""),"")</f>
        <v/>
      </c>
    </row>
    <row r="2362">
      <c r="A2362" s="2" t="s">
        <v>33</v>
      </c>
      <c r="B2362" s="12">
        <v>2292335.0</v>
      </c>
      <c r="C2362" s="12">
        <v>2293018.0</v>
      </c>
      <c r="D2362" s="2"/>
      <c r="E2362" s="2" t="s">
        <v>38</v>
      </c>
      <c r="F2362" s="2" t="s">
        <v>6287</v>
      </c>
      <c r="G2362" s="2" t="s">
        <v>6288</v>
      </c>
      <c r="H2362" s="12">
        <v>0.0</v>
      </c>
      <c r="I2362" s="2" t="s">
        <v>40</v>
      </c>
      <c r="J2362" s="2"/>
      <c r="K2362" s="2" t="s">
        <v>6289</v>
      </c>
      <c r="L2362" s="12">
        <v>227.0</v>
      </c>
      <c r="M2362" s="2" t="s">
        <v>6290</v>
      </c>
      <c r="N2362" s="2" t="str">
        <f>IFERROR(__xludf.DUMMYFUNCTION("""COMPUTED_VALUE"""),"")</f>
        <v/>
      </c>
    </row>
    <row r="2363">
      <c r="A2363" s="2" t="s">
        <v>33</v>
      </c>
      <c r="B2363" s="12">
        <v>2293015.0</v>
      </c>
      <c r="C2363" s="12">
        <v>2293269.0</v>
      </c>
      <c r="D2363" s="2"/>
      <c r="E2363" s="2" t="s">
        <v>38</v>
      </c>
      <c r="F2363" s="2" t="s">
        <v>6291</v>
      </c>
      <c r="G2363" s="2" t="s">
        <v>6292</v>
      </c>
      <c r="H2363" s="12">
        <v>0.0</v>
      </c>
      <c r="I2363" s="2" t="s">
        <v>40</v>
      </c>
      <c r="J2363" s="2"/>
      <c r="K2363" s="2" t="s">
        <v>6293</v>
      </c>
      <c r="L2363" s="12">
        <v>84.0</v>
      </c>
      <c r="M2363" s="2" t="s">
        <v>6294</v>
      </c>
      <c r="N2363" s="2" t="str">
        <f>IFERROR(__xludf.DUMMYFUNCTION("""COMPUTED_VALUE"""),"")</f>
        <v/>
      </c>
    </row>
    <row r="2364">
      <c r="A2364" s="2" t="s">
        <v>33</v>
      </c>
      <c r="B2364" s="12">
        <v>2293262.0</v>
      </c>
      <c r="C2364" s="12">
        <v>2293981.0</v>
      </c>
      <c r="D2364" s="2"/>
      <c r="E2364" s="2" t="s">
        <v>38</v>
      </c>
      <c r="F2364" s="2" t="s">
        <v>6295</v>
      </c>
      <c r="G2364" s="2" t="s">
        <v>6296</v>
      </c>
      <c r="H2364" s="12">
        <v>0.0</v>
      </c>
      <c r="I2364" s="2" t="s">
        <v>40</v>
      </c>
      <c r="J2364" s="2"/>
      <c r="K2364" s="2" t="s">
        <v>6297</v>
      </c>
      <c r="L2364" s="12">
        <v>239.0</v>
      </c>
      <c r="M2364" s="2" t="s">
        <v>6298</v>
      </c>
      <c r="N2364" s="2" t="str">
        <f>IFERROR(__xludf.DUMMYFUNCTION("""COMPUTED_VALUE"""),"")</f>
        <v/>
      </c>
    </row>
    <row r="2365">
      <c r="A2365" s="2" t="s">
        <v>33</v>
      </c>
      <c r="B2365" s="12">
        <v>2294070.0</v>
      </c>
      <c r="C2365" s="12">
        <v>2295377.0</v>
      </c>
      <c r="D2365" s="2"/>
      <c r="E2365" s="2" t="s">
        <v>38</v>
      </c>
      <c r="F2365" s="2" t="s">
        <v>6299</v>
      </c>
      <c r="G2365" s="2" t="s">
        <v>6300</v>
      </c>
      <c r="H2365" s="12">
        <v>0.0</v>
      </c>
      <c r="I2365" s="2" t="s">
        <v>40</v>
      </c>
      <c r="J2365" s="2"/>
      <c r="K2365" s="2" t="s">
        <v>6301</v>
      </c>
      <c r="L2365" s="12">
        <v>435.0</v>
      </c>
      <c r="M2365" s="2" t="s">
        <v>6302</v>
      </c>
      <c r="N2365" s="2" t="str">
        <f>IFERROR(__xludf.DUMMYFUNCTION("""COMPUTED_VALUE"""),"")</f>
        <v/>
      </c>
    </row>
    <row r="2366">
      <c r="A2366" s="2" t="s">
        <v>33</v>
      </c>
      <c r="B2366" s="12">
        <v>2295374.0</v>
      </c>
      <c r="C2366" s="12">
        <v>2296525.0</v>
      </c>
      <c r="D2366" s="2"/>
      <c r="E2366" s="2" t="s">
        <v>38</v>
      </c>
      <c r="F2366" s="2" t="s">
        <v>6303</v>
      </c>
      <c r="G2366" s="2" t="s">
        <v>6304</v>
      </c>
      <c r="H2366" s="12">
        <v>0.0</v>
      </c>
      <c r="I2366" s="2" t="s">
        <v>40</v>
      </c>
      <c r="J2366" s="2"/>
      <c r="K2366" s="2" t="s">
        <v>6305</v>
      </c>
      <c r="L2366" s="12">
        <v>383.0</v>
      </c>
      <c r="M2366" s="2" t="s">
        <v>6306</v>
      </c>
      <c r="N2366" s="2" t="str">
        <f>IFERROR(__xludf.DUMMYFUNCTION("""COMPUTED_VALUE"""),"")</f>
        <v/>
      </c>
    </row>
    <row r="2367">
      <c r="A2367" s="2" t="s">
        <v>33</v>
      </c>
      <c r="B2367" s="12">
        <v>2296522.0</v>
      </c>
      <c r="C2367" s="12">
        <v>2297007.0</v>
      </c>
      <c r="D2367" s="2"/>
      <c r="E2367" s="2" t="s">
        <v>38</v>
      </c>
      <c r="F2367" s="2" t="s">
        <v>6307</v>
      </c>
      <c r="G2367" s="2" t="s">
        <v>6308</v>
      </c>
      <c r="H2367" s="12">
        <v>0.0</v>
      </c>
      <c r="I2367" s="2" t="s">
        <v>40</v>
      </c>
      <c r="J2367" s="2"/>
      <c r="K2367" s="2" t="s">
        <v>6309</v>
      </c>
      <c r="L2367" s="12">
        <v>161.0</v>
      </c>
      <c r="M2367" s="2" t="s">
        <v>6310</v>
      </c>
      <c r="N2367" s="2" t="str">
        <f>IFERROR(__xludf.DUMMYFUNCTION("""COMPUTED_VALUE"""),"")</f>
        <v/>
      </c>
    </row>
    <row r="2368">
      <c r="A2368" s="2" t="s">
        <v>33</v>
      </c>
      <c r="B2368" s="12">
        <v>2297474.0</v>
      </c>
      <c r="C2368" s="12">
        <v>2297746.0</v>
      </c>
      <c r="D2368" s="2"/>
      <c r="E2368" s="2" t="s">
        <v>34</v>
      </c>
      <c r="F2368" s="2" t="s">
        <v>39</v>
      </c>
      <c r="G2368" s="2"/>
      <c r="H2368" s="12">
        <v>0.0</v>
      </c>
      <c r="I2368" s="2" t="s">
        <v>40</v>
      </c>
      <c r="J2368" s="2"/>
      <c r="K2368" s="2" t="s">
        <v>6311</v>
      </c>
      <c r="L2368" s="12">
        <v>90.0</v>
      </c>
      <c r="M2368" s="2" t="s">
        <v>6312</v>
      </c>
      <c r="N2368" s="2" t="str">
        <f>IFERROR(__xludf.DUMMYFUNCTION("""COMPUTED_VALUE"""),"")</f>
        <v/>
      </c>
    </row>
    <row r="2369">
      <c r="A2369" s="2" t="s">
        <v>33</v>
      </c>
      <c r="B2369" s="12">
        <v>2297790.0</v>
      </c>
      <c r="C2369" s="12">
        <v>2297905.0</v>
      </c>
      <c r="D2369" s="2"/>
      <c r="E2369" s="2" t="s">
        <v>38</v>
      </c>
      <c r="F2369" s="2" t="s">
        <v>5258</v>
      </c>
      <c r="G2369" s="2" t="s">
        <v>5259</v>
      </c>
      <c r="H2369" s="12">
        <v>0.0</v>
      </c>
      <c r="I2369" s="2" t="s">
        <v>5260</v>
      </c>
      <c r="J2369" s="2"/>
      <c r="K2369" s="2"/>
      <c r="L2369" s="2"/>
      <c r="M2369" s="2" t="s">
        <v>6313</v>
      </c>
      <c r="N2369" s="2" t="str">
        <f>IFERROR(__xludf.DUMMYFUNCTION("""COMPUTED_VALUE"""),"")</f>
        <v/>
      </c>
    </row>
    <row r="2370">
      <c r="A2370" s="2" t="s">
        <v>33</v>
      </c>
      <c r="B2370" s="12">
        <v>2297954.0</v>
      </c>
      <c r="C2370" s="12">
        <v>2300875.0</v>
      </c>
      <c r="D2370" s="2"/>
      <c r="E2370" s="2" t="s">
        <v>38</v>
      </c>
      <c r="F2370" s="2" t="s">
        <v>5262</v>
      </c>
      <c r="G2370" s="2"/>
      <c r="H2370" s="12">
        <v>0.0</v>
      </c>
      <c r="I2370" s="2" t="s">
        <v>5260</v>
      </c>
      <c r="J2370" s="2"/>
      <c r="K2370" s="2"/>
      <c r="L2370" s="2"/>
      <c r="M2370" s="2" t="s">
        <v>6314</v>
      </c>
      <c r="N2370" s="2" t="str">
        <f>IFERROR(__xludf.DUMMYFUNCTION("""COMPUTED_VALUE"""),"")</f>
        <v/>
      </c>
    </row>
    <row r="2371">
      <c r="A2371" s="2" t="s">
        <v>33</v>
      </c>
      <c r="B2371" s="12">
        <v>2301021.0</v>
      </c>
      <c r="C2371" s="12">
        <v>2302572.0</v>
      </c>
      <c r="D2371" s="2"/>
      <c r="E2371" s="2" t="s">
        <v>38</v>
      </c>
      <c r="F2371" s="2" t="s">
        <v>5264</v>
      </c>
      <c r="G2371" s="2"/>
      <c r="H2371" s="12">
        <v>0.0</v>
      </c>
      <c r="I2371" s="2" t="s">
        <v>5260</v>
      </c>
      <c r="J2371" s="2"/>
      <c r="K2371" s="2"/>
      <c r="L2371" s="2"/>
      <c r="M2371" s="2" t="s">
        <v>6315</v>
      </c>
      <c r="N2371" s="2" t="str">
        <f>IFERROR(__xludf.DUMMYFUNCTION("""COMPUTED_VALUE"""),"")</f>
        <v/>
      </c>
    </row>
    <row r="2372">
      <c r="A2372" s="2" t="s">
        <v>33</v>
      </c>
      <c r="B2372" s="12">
        <v>2302887.0</v>
      </c>
      <c r="C2372" s="12">
        <v>2303678.0</v>
      </c>
      <c r="D2372" s="2"/>
      <c r="E2372" s="2" t="s">
        <v>34</v>
      </c>
      <c r="F2372" s="2" t="s">
        <v>6316</v>
      </c>
      <c r="G2372" s="2"/>
      <c r="H2372" s="12">
        <v>0.0</v>
      </c>
      <c r="I2372" s="2" t="s">
        <v>40</v>
      </c>
      <c r="J2372" s="2"/>
      <c r="K2372" s="2" t="s">
        <v>6317</v>
      </c>
      <c r="L2372" s="12">
        <v>263.0</v>
      </c>
      <c r="M2372" s="2" t="s">
        <v>6318</v>
      </c>
      <c r="N2372" s="2" t="str">
        <f>IFERROR(__xludf.DUMMYFUNCTION("""COMPUTED_VALUE"""),"")</f>
        <v/>
      </c>
    </row>
    <row r="2373">
      <c r="A2373" s="2" t="s">
        <v>33</v>
      </c>
      <c r="B2373" s="12">
        <v>2303765.0</v>
      </c>
      <c r="C2373" s="12">
        <v>2304685.0</v>
      </c>
      <c r="D2373" s="2"/>
      <c r="E2373" s="2" t="s">
        <v>38</v>
      </c>
      <c r="F2373" s="2" t="s">
        <v>738</v>
      </c>
      <c r="G2373" s="2"/>
      <c r="H2373" s="12">
        <v>0.0</v>
      </c>
      <c r="I2373" s="2" t="s">
        <v>40</v>
      </c>
      <c r="J2373" s="2"/>
      <c r="K2373" s="2" t="s">
        <v>6319</v>
      </c>
      <c r="L2373" s="12">
        <v>306.0</v>
      </c>
      <c r="M2373" s="2" t="s">
        <v>6320</v>
      </c>
      <c r="N2373" s="2" t="str">
        <f>IFERROR(__xludf.DUMMYFUNCTION("""COMPUTED_VALUE"""),"")</f>
        <v/>
      </c>
    </row>
    <row r="2374">
      <c r="A2374" s="2" t="s">
        <v>33</v>
      </c>
      <c r="B2374" s="12">
        <v>2304897.0</v>
      </c>
      <c r="C2374" s="12">
        <v>2305012.0</v>
      </c>
      <c r="D2374" s="2"/>
      <c r="E2374" s="2" t="s">
        <v>38</v>
      </c>
      <c r="F2374" s="2" t="s">
        <v>5258</v>
      </c>
      <c r="G2374" s="2" t="s">
        <v>5259</v>
      </c>
      <c r="H2374" s="12">
        <v>0.0</v>
      </c>
      <c r="I2374" s="2" t="s">
        <v>5260</v>
      </c>
      <c r="J2374" s="2"/>
      <c r="K2374" s="2"/>
      <c r="L2374" s="2"/>
      <c r="M2374" s="2" t="s">
        <v>6321</v>
      </c>
      <c r="N2374" s="2" t="str">
        <f>IFERROR(__xludf.DUMMYFUNCTION("""COMPUTED_VALUE"""),"")</f>
        <v/>
      </c>
    </row>
    <row r="2375">
      <c r="A2375" s="2" t="s">
        <v>33</v>
      </c>
      <c r="B2375" s="12">
        <v>2305061.0</v>
      </c>
      <c r="C2375" s="12">
        <v>2307982.0</v>
      </c>
      <c r="D2375" s="2"/>
      <c r="E2375" s="2" t="s">
        <v>38</v>
      </c>
      <c r="F2375" s="2" t="s">
        <v>5262</v>
      </c>
      <c r="G2375" s="2"/>
      <c r="H2375" s="12">
        <v>0.0</v>
      </c>
      <c r="I2375" s="2" t="s">
        <v>5260</v>
      </c>
      <c r="J2375" s="2"/>
      <c r="K2375" s="2"/>
      <c r="L2375" s="2"/>
      <c r="M2375" s="2" t="s">
        <v>6322</v>
      </c>
      <c r="N2375" s="2" t="str">
        <f>IFERROR(__xludf.DUMMYFUNCTION("""COMPUTED_VALUE"""),"")</f>
        <v/>
      </c>
    </row>
    <row r="2376">
      <c r="A2376" s="2" t="s">
        <v>33</v>
      </c>
      <c r="B2376" s="12">
        <v>2308128.0</v>
      </c>
      <c r="C2376" s="12">
        <v>2309679.0</v>
      </c>
      <c r="D2376" s="2"/>
      <c r="E2376" s="2" t="s">
        <v>38</v>
      </c>
      <c r="F2376" s="2" t="s">
        <v>5264</v>
      </c>
      <c r="G2376" s="2"/>
      <c r="H2376" s="12">
        <v>0.0</v>
      </c>
      <c r="I2376" s="2" t="s">
        <v>5260</v>
      </c>
      <c r="J2376" s="2"/>
      <c r="K2376" s="2"/>
      <c r="L2376" s="2"/>
      <c r="M2376" s="2" t="s">
        <v>6323</v>
      </c>
      <c r="N2376" s="2" t="str">
        <f>IFERROR(__xludf.DUMMYFUNCTION("""COMPUTED_VALUE"""),"")</f>
        <v/>
      </c>
    </row>
    <row r="2377">
      <c r="A2377" s="2" t="s">
        <v>33</v>
      </c>
      <c r="B2377" s="12">
        <v>2310190.0</v>
      </c>
      <c r="C2377" s="12">
        <v>2312121.0</v>
      </c>
      <c r="D2377" s="2"/>
      <c r="E2377" s="2" t="s">
        <v>34</v>
      </c>
      <c r="F2377" s="2" t="s">
        <v>1056</v>
      </c>
      <c r="G2377" s="2"/>
      <c r="H2377" s="12">
        <v>0.0</v>
      </c>
      <c r="I2377" s="2" t="s">
        <v>40</v>
      </c>
      <c r="J2377" s="2"/>
      <c r="K2377" s="2" t="s">
        <v>6324</v>
      </c>
      <c r="L2377" s="12">
        <v>643.0</v>
      </c>
      <c r="M2377" s="2" t="s">
        <v>6325</v>
      </c>
      <c r="N2377" s="2" t="str">
        <f>IFERROR(__xludf.DUMMYFUNCTION("""COMPUTED_VALUE"""),"")</f>
        <v/>
      </c>
    </row>
    <row r="2378">
      <c r="A2378" s="2" t="s">
        <v>33</v>
      </c>
      <c r="B2378" s="12">
        <v>2312189.0</v>
      </c>
      <c r="C2378" s="12">
        <v>2312965.0</v>
      </c>
      <c r="D2378" s="2"/>
      <c r="E2378" s="2" t="s">
        <v>34</v>
      </c>
      <c r="F2378" s="2" t="s">
        <v>289</v>
      </c>
      <c r="G2378" s="2"/>
      <c r="H2378" s="12">
        <v>0.0</v>
      </c>
      <c r="I2378" s="2" t="s">
        <v>40</v>
      </c>
      <c r="J2378" s="2"/>
      <c r="K2378" s="2" t="s">
        <v>6326</v>
      </c>
      <c r="L2378" s="12">
        <v>258.0</v>
      </c>
      <c r="M2378" s="2" t="s">
        <v>6327</v>
      </c>
      <c r="N2378" s="2" t="str">
        <f>IFERROR(__xludf.DUMMYFUNCTION("""COMPUTED_VALUE"""),"")</f>
        <v/>
      </c>
    </row>
    <row r="2379">
      <c r="A2379" s="2" t="s">
        <v>33</v>
      </c>
      <c r="B2379" s="12">
        <v>2313004.0</v>
      </c>
      <c r="C2379" s="12">
        <v>2313948.0</v>
      </c>
      <c r="D2379" s="2"/>
      <c r="E2379" s="2" t="s">
        <v>38</v>
      </c>
      <c r="F2379" s="2" t="s">
        <v>6328</v>
      </c>
      <c r="G2379" s="2"/>
      <c r="H2379" s="12">
        <v>0.0</v>
      </c>
      <c r="I2379" s="2" t="s">
        <v>40</v>
      </c>
      <c r="J2379" s="2"/>
      <c r="K2379" s="2" t="s">
        <v>6329</v>
      </c>
      <c r="L2379" s="12">
        <v>314.0</v>
      </c>
      <c r="M2379" s="2" t="s">
        <v>6330</v>
      </c>
      <c r="N2379" s="2" t="str">
        <f>IFERROR(__xludf.DUMMYFUNCTION("""COMPUTED_VALUE"""),"")</f>
        <v/>
      </c>
    </row>
    <row r="2380">
      <c r="A2380" s="2" t="s">
        <v>33</v>
      </c>
      <c r="B2380" s="12">
        <v>2314241.0</v>
      </c>
      <c r="C2380" s="12">
        <v>2315035.0</v>
      </c>
      <c r="D2380" s="2"/>
      <c r="E2380" s="2" t="s">
        <v>34</v>
      </c>
      <c r="F2380" s="2" t="s">
        <v>6316</v>
      </c>
      <c r="G2380" s="2"/>
      <c r="H2380" s="12">
        <v>0.0</v>
      </c>
      <c r="I2380" s="2" t="s">
        <v>40</v>
      </c>
      <c r="J2380" s="2"/>
      <c r="K2380" s="2" t="s">
        <v>6331</v>
      </c>
      <c r="L2380" s="12">
        <v>264.0</v>
      </c>
      <c r="M2380" s="2" t="s">
        <v>6332</v>
      </c>
      <c r="N2380" s="2" t="str">
        <f>IFERROR(__xludf.DUMMYFUNCTION("""COMPUTED_VALUE"""),"")</f>
        <v/>
      </c>
    </row>
    <row r="2381">
      <c r="A2381" s="2" t="s">
        <v>33</v>
      </c>
      <c r="B2381" s="12">
        <v>2315254.0</v>
      </c>
      <c r="C2381" s="12">
        <v>2315976.0</v>
      </c>
      <c r="D2381" s="2"/>
      <c r="E2381" s="2" t="s">
        <v>34</v>
      </c>
      <c r="F2381" s="2" t="s">
        <v>289</v>
      </c>
      <c r="G2381" s="2"/>
      <c r="H2381" s="12">
        <v>0.0</v>
      </c>
      <c r="I2381" s="2" t="s">
        <v>40</v>
      </c>
      <c r="J2381" s="2"/>
      <c r="K2381" s="2" t="s">
        <v>6333</v>
      </c>
      <c r="L2381" s="12">
        <v>240.0</v>
      </c>
      <c r="M2381" s="2" t="s">
        <v>6334</v>
      </c>
      <c r="N2381" s="2" t="str">
        <f>IFERROR(__xludf.DUMMYFUNCTION("""COMPUTED_VALUE"""),"")</f>
        <v/>
      </c>
    </row>
    <row r="2382">
      <c r="A2382" s="2" t="s">
        <v>33</v>
      </c>
      <c r="B2382" s="12">
        <v>2316004.0</v>
      </c>
      <c r="C2382" s="12">
        <v>2316876.0</v>
      </c>
      <c r="D2382" s="2"/>
      <c r="E2382" s="2" t="s">
        <v>34</v>
      </c>
      <c r="F2382" s="2" t="s">
        <v>289</v>
      </c>
      <c r="G2382" s="2"/>
      <c r="H2382" s="12">
        <v>0.0</v>
      </c>
      <c r="I2382" s="2" t="s">
        <v>40</v>
      </c>
      <c r="J2382" s="2"/>
      <c r="K2382" s="2" t="s">
        <v>6335</v>
      </c>
      <c r="L2382" s="12">
        <v>290.0</v>
      </c>
      <c r="M2382" s="2" t="s">
        <v>6336</v>
      </c>
      <c r="N2382" s="2" t="str">
        <f>IFERROR(__xludf.DUMMYFUNCTION("""COMPUTED_VALUE"""),"")</f>
        <v/>
      </c>
    </row>
    <row r="2383">
      <c r="A2383" s="2" t="s">
        <v>33</v>
      </c>
      <c r="B2383" s="12">
        <v>2317101.0</v>
      </c>
      <c r="C2383" s="12">
        <v>2318177.0</v>
      </c>
      <c r="D2383" s="2"/>
      <c r="E2383" s="2" t="s">
        <v>34</v>
      </c>
      <c r="F2383" s="2" t="s">
        <v>6337</v>
      </c>
      <c r="G2383" s="2"/>
      <c r="H2383" s="12">
        <v>0.0</v>
      </c>
      <c r="I2383" s="2" t="s">
        <v>40</v>
      </c>
      <c r="J2383" s="2"/>
      <c r="K2383" s="2" t="s">
        <v>6338</v>
      </c>
      <c r="L2383" s="12">
        <v>358.0</v>
      </c>
      <c r="M2383" s="2" t="s">
        <v>6339</v>
      </c>
      <c r="N2383" s="2" t="str">
        <f>IFERROR(__xludf.DUMMYFUNCTION("""COMPUTED_VALUE"""),"")</f>
        <v/>
      </c>
    </row>
    <row r="2384">
      <c r="A2384" s="2" t="s">
        <v>33</v>
      </c>
      <c r="B2384" s="12">
        <v>2318192.0</v>
      </c>
      <c r="C2384" s="12">
        <v>2318307.0</v>
      </c>
      <c r="D2384" s="2"/>
      <c r="E2384" s="2" t="s">
        <v>38</v>
      </c>
      <c r="F2384" s="2" t="s">
        <v>5258</v>
      </c>
      <c r="G2384" s="2" t="s">
        <v>5259</v>
      </c>
      <c r="H2384" s="12">
        <v>0.0</v>
      </c>
      <c r="I2384" s="2" t="s">
        <v>5260</v>
      </c>
      <c r="J2384" s="2"/>
      <c r="K2384" s="2"/>
      <c r="L2384" s="2"/>
      <c r="M2384" s="2" t="s">
        <v>6340</v>
      </c>
      <c r="N2384" s="2" t="str">
        <f>IFERROR(__xludf.DUMMYFUNCTION("""COMPUTED_VALUE"""),"")</f>
        <v/>
      </c>
    </row>
    <row r="2385">
      <c r="A2385" s="2" t="s">
        <v>33</v>
      </c>
      <c r="B2385" s="12">
        <v>2318357.0</v>
      </c>
      <c r="C2385" s="12">
        <v>2321278.0</v>
      </c>
      <c r="D2385" s="2"/>
      <c r="E2385" s="2" t="s">
        <v>38</v>
      </c>
      <c r="F2385" s="2" t="s">
        <v>5262</v>
      </c>
      <c r="G2385" s="2"/>
      <c r="H2385" s="12">
        <v>0.0</v>
      </c>
      <c r="I2385" s="2" t="s">
        <v>5260</v>
      </c>
      <c r="J2385" s="2"/>
      <c r="K2385" s="2"/>
      <c r="L2385" s="2"/>
      <c r="M2385" s="2" t="s">
        <v>6341</v>
      </c>
      <c r="N2385" s="2" t="str">
        <f>IFERROR(__xludf.DUMMYFUNCTION("""COMPUTED_VALUE"""),"")</f>
        <v/>
      </c>
    </row>
    <row r="2386">
      <c r="A2386" s="2" t="s">
        <v>33</v>
      </c>
      <c r="B2386" s="12">
        <v>2321424.0</v>
      </c>
      <c r="C2386" s="12">
        <v>2322975.0</v>
      </c>
      <c r="D2386" s="2"/>
      <c r="E2386" s="2" t="s">
        <v>38</v>
      </c>
      <c r="F2386" s="2" t="s">
        <v>5264</v>
      </c>
      <c r="G2386" s="2"/>
      <c r="H2386" s="12">
        <v>0.0</v>
      </c>
      <c r="I2386" s="2" t="s">
        <v>5260</v>
      </c>
      <c r="J2386" s="2"/>
      <c r="K2386" s="2"/>
      <c r="L2386" s="2"/>
      <c r="M2386" s="2" t="s">
        <v>6342</v>
      </c>
      <c r="N2386" s="2" t="str">
        <f>IFERROR(__xludf.DUMMYFUNCTION("""COMPUTED_VALUE"""),"")</f>
        <v/>
      </c>
    </row>
    <row r="2387">
      <c r="A2387" s="2" t="s">
        <v>33</v>
      </c>
      <c r="B2387" s="12">
        <v>2323303.0</v>
      </c>
      <c r="C2387" s="12">
        <v>2324034.0</v>
      </c>
      <c r="D2387" s="2"/>
      <c r="E2387" s="2" t="s">
        <v>38</v>
      </c>
      <c r="F2387" s="2" t="s">
        <v>2125</v>
      </c>
      <c r="G2387" s="2"/>
      <c r="H2387" s="12">
        <v>0.0</v>
      </c>
      <c r="I2387" s="2" t="s">
        <v>40</v>
      </c>
      <c r="J2387" s="2"/>
      <c r="K2387" s="2" t="s">
        <v>6343</v>
      </c>
      <c r="L2387" s="12">
        <v>243.0</v>
      </c>
      <c r="M2387" s="2" t="s">
        <v>6344</v>
      </c>
      <c r="N2387" s="2" t="str">
        <f>IFERROR(__xludf.DUMMYFUNCTION("""COMPUTED_VALUE"""),"")</f>
        <v/>
      </c>
    </row>
    <row r="2388">
      <c r="A2388" s="2" t="s">
        <v>33</v>
      </c>
      <c r="B2388" s="12">
        <v>2324235.0</v>
      </c>
      <c r="C2388" s="12">
        <v>2325194.0</v>
      </c>
      <c r="D2388" s="2"/>
      <c r="E2388" s="2" t="s">
        <v>38</v>
      </c>
      <c r="F2388" s="2" t="s">
        <v>1672</v>
      </c>
      <c r="G2388" s="2"/>
      <c r="H2388" s="12">
        <v>0.0</v>
      </c>
      <c r="I2388" s="2" t="s">
        <v>40</v>
      </c>
      <c r="J2388" s="2"/>
      <c r="K2388" s="2" t="s">
        <v>6345</v>
      </c>
      <c r="L2388" s="12">
        <v>319.0</v>
      </c>
      <c r="M2388" s="2" t="s">
        <v>6346</v>
      </c>
      <c r="N2388" s="2" t="str">
        <f>IFERROR(__xludf.DUMMYFUNCTION("""COMPUTED_VALUE"""),"")</f>
        <v/>
      </c>
    </row>
    <row r="2389">
      <c r="A2389" s="2" t="s">
        <v>33</v>
      </c>
      <c r="B2389" s="12">
        <v>2325465.0</v>
      </c>
      <c r="C2389" s="12">
        <v>2325580.0</v>
      </c>
      <c r="D2389" s="2"/>
      <c r="E2389" s="2" t="s">
        <v>38</v>
      </c>
      <c r="F2389" s="2" t="s">
        <v>5258</v>
      </c>
      <c r="G2389" s="2" t="s">
        <v>5259</v>
      </c>
      <c r="H2389" s="12">
        <v>0.0</v>
      </c>
      <c r="I2389" s="2" t="s">
        <v>5260</v>
      </c>
      <c r="J2389" s="2"/>
      <c r="K2389" s="2"/>
      <c r="L2389" s="2"/>
      <c r="M2389" s="2" t="s">
        <v>6347</v>
      </c>
      <c r="N2389" s="2" t="str">
        <f>IFERROR(__xludf.DUMMYFUNCTION("""COMPUTED_VALUE"""),"")</f>
        <v/>
      </c>
    </row>
    <row r="2390">
      <c r="A2390" s="2" t="s">
        <v>33</v>
      </c>
      <c r="B2390" s="12">
        <v>2325630.0</v>
      </c>
      <c r="C2390" s="12">
        <v>2328551.0</v>
      </c>
      <c r="D2390" s="2"/>
      <c r="E2390" s="2" t="s">
        <v>38</v>
      </c>
      <c r="F2390" s="2" t="s">
        <v>5262</v>
      </c>
      <c r="G2390" s="2"/>
      <c r="H2390" s="12">
        <v>0.0</v>
      </c>
      <c r="I2390" s="2" t="s">
        <v>5260</v>
      </c>
      <c r="J2390" s="2"/>
      <c r="K2390" s="2"/>
      <c r="L2390" s="2"/>
      <c r="M2390" s="2" t="s">
        <v>6348</v>
      </c>
      <c r="N2390" s="2" t="str">
        <f>IFERROR(__xludf.DUMMYFUNCTION("""COMPUTED_VALUE"""),"")</f>
        <v/>
      </c>
    </row>
    <row r="2391">
      <c r="A2391" s="2" t="s">
        <v>33</v>
      </c>
      <c r="B2391" s="12">
        <v>2328697.0</v>
      </c>
      <c r="C2391" s="12">
        <v>2330248.0</v>
      </c>
      <c r="D2391" s="2"/>
      <c r="E2391" s="2" t="s">
        <v>38</v>
      </c>
      <c r="F2391" s="2" t="s">
        <v>5264</v>
      </c>
      <c r="G2391" s="2"/>
      <c r="H2391" s="12">
        <v>0.0</v>
      </c>
      <c r="I2391" s="2" t="s">
        <v>5260</v>
      </c>
      <c r="J2391" s="2"/>
      <c r="K2391" s="2"/>
      <c r="L2391" s="2"/>
      <c r="M2391" s="2" t="s">
        <v>6349</v>
      </c>
      <c r="N2391" s="2" t="str">
        <f>IFERROR(__xludf.DUMMYFUNCTION("""COMPUTED_VALUE"""),"")</f>
        <v/>
      </c>
    </row>
    <row r="2392">
      <c r="A2392" s="2" t="s">
        <v>33</v>
      </c>
      <c r="B2392" s="12">
        <v>2330542.0</v>
      </c>
      <c r="C2392" s="12">
        <v>2331321.0</v>
      </c>
      <c r="D2392" s="2"/>
      <c r="E2392" s="2" t="s">
        <v>38</v>
      </c>
      <c r="F2392" s="2" t="s">
        <v>35</v>
      </c>
      <c r="G2392" s="2" t="s">
        <v>6350</v>
      </c>
      <c r="H2392" s="12">
        <v>0.0</v>
      </c>
      <c r="I2392" s="2" t="s">
        <v>36</v>
      </c>
      <c r="J2392" s="2"/>
      <c r="K2392" s="2"/>
      <c r="L2392" s="2"/>
      <c r="M2392" s="2" t="s">
        <v>6351</v>
      </c>
      <c r="N2392" s="2" t="str">
        <f>IFERROR(__xludf.DUMMYFUNCTION("""COMPUTED_VALUE"""),"")</f>
        <v/>
      </c>
    </row>
    <row r="2393">
      <c r="A2393" s="2" t="s">
        <v>33</v>
      </c>
      <c r="B2393" s="12">
        <v>2331442.0</v>
      </c>
      <c r="C2393" s="12">
        <v>2332766.0</v>
      </c>
      <c r="D2393" s="2"/>
      <c r="E2393" s="2" t="s">
        <v>38</v>
      </c>
      <c r="F2393" s="2" t="s">
        <v>35</v>
      </c>
      <c r="G2393" s="2"/>
      <c r="H2393" s="12">
        <v>0.0</v>
      </c>
      <c r="I2393" s="2" t="s">
        <v>36</v>
      </c>
      <c r="J2393" s="2"/>
      <c r="K2393" s="2"/>
      <c r="L2393" s="2"/>
      <c r="M2393" s="2" t="s">
        <v>6352</v>
      </c>
      <c r="N2393" s="2" t="str">
        <f>IFERROR(__xludf.DUMMYFUNCTION("""COMPUTED_VALUE"""),"")</f>
        <v/>
      </c>
    </row>
    <row r="2394">
      <c r="A2394" s="2" t="s">
        <v>33</v>
      </c>
      <c r="B2394" s="12">
        <v>2333151.0</v>
      </c>
      <c r="C2394" s="12">
        <v>2334689.0</v>
      </c>
      <c r="D2394" s="2"/>
      <c r="E2394" s="2" t="s">
        <v>38</v>
      </c>
      <c r="F2394" s="2" t="s">
        <v>6353</v>
      </c>
      <c r="G2394" s="2" t="s">
        <v>6354</v>
      </c>
      <c r="H2394" s="12">
        <v>0.0</v>
      </c>
      <c r="I2394" s="2" t="s">
        <v>40</v>
      </c>
      <c r="J2394" s="2"/>
      <c r="K2394" s="2" t="s">
        <v>6355</v>
      </c>
      <c r="L2394" s="12">
        <v>512.0</v>
      </c>
      <c r="M2394" s="2" t="s">
        <v>6356</v>
      </c>
      <c r="N2394" s="2" t="str">
        <f>IFERROR(__xludf.DUMMYFUNCTION("""COMPUTED_VALUE"""),"")</f>
        <v/>
      </c>
    </row>
    <row r="2395">
      <c r="A2395" s="2" t="s">
        <v>33</v>
      </c>
      <c r="B2395" s="12">
        <v>2335096.0</v>
      </c>
      <c r="C2395" s="12">
        <v>2336730.0</v>
      </c>
      <c r="D2395" s="2"/>
      <c r="E2395" s="2" t="s">
        <v>38</v>
      </c>
      <c r="F2395" s="2" t="s">
        <v>6357</v>
      </c>
      <c r="G2395" s="2" t="s">
        <v>6358</v>
      </c>
      <c r="H2395" s="12">
        <v>0.0</v>
      </c>
      <c r="I2395" s="2" t="s">
        <v>40</v>
      </c>
      <c r="J2395" s="2"/>
      <c r="K2395" s="2" t="s">
        <v>6359</v>
      </c>
      <c r="L2395" s="12">
        <v>544.0</v>
      </c>
      <c r="M2395" s="2" t="s">
        <v>6360</v>
      </c>
      <c r="N2395" s="2" t="str">
        <f>IFERROR(__xludf.DUMMYFUNCTION("""COMPUTED_VALUE"""),"")</f>
        <v/>
      </c>
    </row>
    <row r="2396">
      <c r="A2396" s="2" t="s">
        <v>33</v>
      </c>
      <c r="B2396" s="12">
        <v>2336769.0</v>
      </c>
      <c r="C2396" s="12">
        <v>2337053.0</v>
      </c>
      <c r="D2396" s="2"/>
      <c r="E2396" s="2" t="s">
        <v>38</v>
      </c>
      <c r="F2396" s="2" t="s">
        <v>6361</v>
      </c>
      <c r="G2396" s="2" t="s">
        <v>6362</v>
      </c>
      <c r="H2396" s="12">
        <v>0.0</v>
      </c>
      <c r="I2396" s="2" t="s">
        <v>40</v>
      </c>
      <c r="J2396" s="2"/>
      <c r="K2396" s="2" t="s">
        <v>6363</v>
      </c>
      <c r="L2396" s="12">
        <v>94.0</v>
      </c>
      <c r="M2396" s="2" t="s">
        <v>6364</v>
      </c>
      <c r="N2396" s="2" t="str">
        <f>IFERROR(__xludf.DUMMYFUNCTION("""COMPUTED_VALUE"""),"")</f>
        <v/>
      </c>
    </row>
    <row r="2397">
      <c r="A2397" s="2" t="s">
        <v>33</v>
      </c>
      <c r="B2397" s="12">
        <v>2337443.0</v>
      </c>
      <c r="C2397" s="12">
        <v>2338192.0</v>
      </c>
      <c r="D2397" s="2"/>
      <c r="E2397" s="2" t="s">
        <v>34</v>
      </c>
      <c r="F2397" s="2" t="s">
        <v>306</v>
      </c>
      <c r="G2397" s="2"/>
      <c r="H2397" s="12">
        <v>0.0</v>
      </c>
      <c r="I2397" s="2" t="s">
        <v>40</v>
      </c>
      <c r="J2397" s="2"/>
      <c r="K2397" s="2" t="s">
        <v>6365</v>
      </c>
      <c r="L2397" s="12">
        <v>249.0</v>
      </c>
      <c r="M2397" s="2" t="s">
        <v>6366</v>
      </c>
      <c r="N2397" s="2" t="str">
        <f>IFERROR(__xludf.DUMMYFUNCTION("""COMPUTED_VALUE"""),"")</f>
        <v/>
      </c>
    </row>
    <row r="2398">
      <c r="A2398" s="2" t="s">
        <v>33</v>
      </c>
      <c r="B2398" s="12">
        <v>2338189.0</v>
      </c>
      <c r="C2398" s="12">
        <v>2338380.0</v>
      </c>
      <c r="D2398" s="2"/>
      <c r="E2398" s="2" t="s">
        <v>34</v>
      </c>
      <c r="F2398" s="2" t="s">
        <v>6367</v>
      </c>
      <c r="G2398" s="2"/>
      <c r="H2398" s="12">
        <v>0.0</v>
      </c>
      <c r="I2398" s="2" t="s">
        <v>40</v>
      </c>
      <c r="J2398" s="2"/>
      <c r="K2398" s="2" t="s">
        <v>6368</v>
      </c>
      <c r="L2398" s="12">
        <v>63.0</v>
      </c>
      <c r="M2398" s="2" t="s">
        <v>6369</v>
      </c>
      <c r="N2398" s="2" t="str">
        <f>IFERROR(__xludf.DUMMYFUNCTION("""COMPUTED_VALUE"""),"")</f>
        <v/>
      </c>
    </row>
    <row r="2399">
      <c r="A2399" s="2" t="s">
        <v>33</v>
      </c>
      <c r="B2399" s="12">
        <v>2338410.0</v>
      </c>
      <c r="C2399" s="12">
        <v>2339039.0</v>
      </c>
      <c r="D2399" s="2"/>
      <c r="E2399" s="2" t="s">
        <v>38</v>
      </c>
      <c r="F2399" s="2" t="s">
        <v>6370</v>
      </c>
      <c r="G2399" s="2"/>
      <c r="H2399" s="12">
        <v>0.0</v>
      </c>
      <c r="I2399" s="2" t="s">
        <v>40</v>
      </c>
      <c r="J2399" s="2"/>
      <c r="K2399" s="2" t="s">
        <v>6371</v>
      </c>
      <c r="L2399" s="12">
        <v>209.0</v>
      </c>
      <c r="M2399" s="2" t="s">
        <v>6372</v>
      </c>
      <c r="N2399" s="2" t="str">
        <f>IFERROR(__xludf.DUMMYFUNCTION("""COMPUTED_VALUE"""),"")</f>
        <v/>
      </c>
    </row>
    <row r="2400">
      <c r="A2400" s="2" t="s">
        <v>33</v>
      </c>
      <c r="B2400" s="12">
        <v>2339227.0</v>
      </c>
      <c r="C2400" s="12">
        <v>2341152.0</v>
      </c>
      <c r="D2400" s="2"/>
      <c r="E2400" s="2" t="s">
        <v>34</v>
      </c>
      <c r="F2400" s="2" t="s">
        <v>1262</v>
      </c>
      <c r="G2400" s="2"/>
      <c r="H2400" s="12">
        <v>0.0</v>
      </c>
      <c r="I2400" s="2" t="s">
        <v>40</v>
      </c>
      <c r="J2400" s="2"/>
      <c r="K2400" s="2" t="s">
        <v>6373</v>
      </c>
      <c r="L2400" s="12">
        <v>641.0</v>
      </c>
      <c r="M2400" s="2" t="s">
        <v>6374</v>
      </c>
      <c r="N2400" s="2" t="str">
        <f>IFERROR(__xludf.DUMMYFUNCTION("""COMPUTED_VALUE"""),"")</f>
        <v/>
      </c>
    </row>
    <row r="2401">
      <c r="A2401" s="2" t="s">
        <v>33</v>
      </c>
      <c r="B2401" s="12">
        <v>2341633.0</v>
      </c>
      <c r="C2401" s="12">
        <v>2342649.0</v>
      </c>
      <c r="D2401" s="2"/>
      <c r="E2401" s="2" t="s">
        <v>38</v>
      </c>
      <c r="F2401" s="2" t="s">
        <v>6375</v>
      </c>
      <c r="G2401" s="2" t="s">
        <v>6376</v>
      </c>
      <c r="H2401" s="12">
        <v>0.0</v>
      </c>
      <c r="I2401" s="2" t="s">
        <v>40</v>
      </c>
      <c r="J2401" s="2"/>
      <c r="K2401" s="2" t="s">
        <v>6377</v>
      </c>
      <c r="L2401" s="12">
        <v>338.0</v>
      </c>
      <c r="M2401" s="2" t="s">
        <v>6378</v>
      </c>
      <c r="N2401" s="2" t="str">
        <f>IFERROR(__xludf.DUMMYFUNCTION("""COMPUTED_VALUE"""),"")</f>
        <v/>
      </c>
    </row>
    <row r="2402">
      <c r="A2402" s="2" t="s">
        <v>33</v>
      </c>
      <c r="B2402" s="12">
        <v>2342649.0</v>
      </c>
      <c r="C2402" s="12">
        <v>2343092.0</v>
      </c>
      <c r="D2402" s="2"/>
      <c r="E2402" s="2" t="s">
        <v>38</v>
      </c>
      <c r="F2402" s="2" t="s">
        <v>6379</v>
      </c>
      <c r="G2402" s="2" t="s">
        <v>6380</v>
      </c>
      <c r="H2402" s="12">
        <v>0.0</v>
      </c>
      <c r="I2402" s="2" t="s">
        <v>40</v>
      </c>
      <c r="J2402" s="2"/>
      <c r="K2402" s="2" t="s">
        <v>6381</v>
      </c>
      <c r="L2402" s="12">
        <v>147.0</v>
      </c>
      <c r="M2402" s="2" t="s">
        <v>6382</v>
      </c>
      <c r="N2402" s="2" t="str">
        <f>IFERROR(__xludf.DUMMYFUNCTION("""COMPUTED_VALUE"""),"")</f>
        <v/>
      </c>
    </row>
    <row r="2403">
      <c r="A2403" s="2" t="s">
        <v>33</v>
      </c>
      <c r="B2403" s="12">
        <v>2343106.0</v>
      </c>
      <c r="C2403" s="12">
        <v>2343798.0</v>
      </c>
      <c r="D2403" s="2"/>
      <c r="E2403" s="2" t="s">
        <v>38</v>
      </c>
      <c r="F2403" s="2" t="s">
        <v>6383</v>
      </c>
      <c r="G2403" s="2" t="s">
        <v>6384</v>
      </c>
      <c r="H2403" s="12">
        <v>0.0</v>
      </c>
      <c r="I2403" s="2" t="s">
        <v>40</v>
      </c>
      <c r="J2403" s="2"/>
      <c r="K2403" s="2" t="s">
        <v>6385</v>
      </c>
      <c r="L2403" s="12">
        <v>230.0</v>
      </c>
      <c r="M2403" s="2" t="s">
        <v>6386</v>
      </c>
      <c r="N2403" s="2" t="str">
        <f>IFERROR(__xludf.DUMMYFUNCTION("""COMPUTED_VALUE"""),"")</f>
        <v/>
      </c>
    </row>
    <row r="2404">
      <c r="A2404" s="2" t="s">
        <v>33</v>
      </c>
      <c r="B2404" s="12">
        <v>2343779.0</v>
      </c>
      <c r="C2404" s="12">
        <v>2344252.0</v>
      </c>
      <c r="D2404" s="2"/>
      <c r="E2404" s="2" t="s">
        <v>38</v>
      </c>
      <c r="F2404" s="2" t="s">
        <v>6387</v>
      </c>
      <c r="G2404" s="2" t="s">
        <v>6388</v>
      </c>
      <c r="H2404" s="12">
        <v>0.0</v>
      </c>
      <c r="I2404" s="2" t="s">
        <v>40</v>
      </c>
      <c r="J2404" s="2"/>
      <c r="K2404" s="2" t="s">
        <v>6389</v>
      </c>
      <c r="L2404" s="12">
        <v>157.0</v>
      </c>
      <c r="M2404" s="2" t="s">
        <v>6390</v>
      </c>
      <c r="N2404" s="2" t="str">
        <f>IFERROR(__xludf.DUMMYFUNCTION("""COMPUTED_VALUE"""),"")</f>
        <v/>
      </c>
    </row>
    <row r="2405">
      <c r="A2405" s="2" t="s">
        <v>33</v>
      </c>
      <c r="B2405" s="12">
        <v>2344427.0</v>
      </c>
      <c r="C2405" s="12">
        <v>2344502.0</v>
      </c>
      <c r="D2405" s="2"/>
      <c r="E2405" s="2" t="s">
        <v>38</v>
      </c>
      <c r="F2405" s="2" t="s">
        <v>5233</v>
      </c>
      <c r="G2405" s="2"/>
      <c r="H2405" s="12">
        <v>0.0</v>
      </c>
      <c r="I2405" s="2" t="s">
        <v>3783</v>
      </c>
      <c r="J2405" s="2"/>
      <c r="K2405" s="2"/>
      <c r="L2405" s="2"/>
      <c r="M2405" s="2" t="s">
        <v>6391</v>
      </c>
      <c r="N2405" s="2" t="str">
        <f>IFERROR(__xludf.DUMMYFUNCTION("""COMPUTED_VALUE"""),"")</f>
        <v/>
      </c>
    </row>
    <row r="2406">
      <c r="A2406" s="2" t="s">
        <v>33</v>
      </c>
      <c r="B2406" s="12">
        <v>2344506.0</v>
      </c>
      <c r="C2406" s="12">
        <v>2344582.0</v>
      </c>
      <c r="D2406" s="2"/>
      <c r="E2406" s="2" t="s">
        <v>38</v>
      </c>
      <c r="F2406" s="2" t="s">
        <v>5235</v>
      </c>
      <c r="G2406" s="2"/>
      <c r="H2406" s="12">
        <v>0.0</v>
      </c>
      <c r="I2406" s="2" t="s">
        <v>3783</v>
      </c>
      <c r="J2406" s="2"/>
      <c r="K2406" s="2"/>
      <c r="L2406" s="2"/>
      <c r="M2406" s="2" t="s">
        <v>6392</v>
      </c>
      <c r="N2406" s="2" t="str">
        <f>IFERROR(__xludf.DUMMYFUNCTION("""COMPUTED_VALUE"""),"")</f>
        <v/>
      </c>
    </row>
    <row r="2407">
      <c r="A2407" s="2" t="s">
        <v>33</v>
      </c>
      <c r="B2407" s="12">
        <v>2344595.0</v>
      </c>
      <c r="C2407" s="12">
        <v>2344710.0</v>
      </c>
      <c r="D2407" s="2"/>
      <c r="E2407" s="2" t="s">
        <v>38</v>
      </c>
      <c r="F2407" s="2" t="s">
        <v>5258</v>
      </c>
      <c r="G2407" s="2" t="s">
        <v>5259</v>
      </c>
      <c r="H2407" s="12">
        <v>0.0</v>
      </c>
      <c r="I2407" s="2" t="s">
        <v>5260</v>
      </c>
      <c r="J2407" s="2"/>
      <c r="K2407" s="2"/>
      <c r="L2407" s="2"/>
      <c r="M2407" s="2" t="s">
        <v>6393</v>
      </c>
      <c r="N2407" s="2" t="str">
        <f>IFERROR(__xludf.DUMMYFUNCTION("""COMPUTED_VALUE"""),"")</f>
        <v/>
      </c>
    </row>
    <row r="2408">
      <c r="A2408" s="2" t="s">
        <v>33</v>
      </c>
      <c r="B2408" s="12">
        <v>2344760.0</v>
      </c>
      <c r="C2408" s="12">
        <v>2347681.0</v>
      </c>
      <c r="D2408" s="2"/>
      <c r="E2408" s="2" t="s">
        <v>38</v>
      </c>
      <c r="F2408" s="2" t="s">
        <v>5262</v>
      </c>
      <c r="G2408" s="2"/>
      <c r="H2408" s="12">
        <v>0.0</v>
      </c>
      <c r="I2408" s="2" t="s">
        <v>5260</v>
      </c>
      <c r="J2408" s="2"/>
      <c r="K2408" s="2"/>
      <c r="L2408" s="2"/>
      <c r="M2408" s="2" t="s">
        <v>6394</v>
      </c>
      <c r="N2408" s="2" t="str">
        <f>IFERROR(__xludf.DUMMYFUNCTION("""COMPUTED_VALUE"""),"")</f>
        <v/>
      </c>
    </row>
    <row r="2409">
      <c r="A2409" s="2" t="s">
        <v>33</v>
      </c>
      <c r="B2409" s="12">
        <v>2347826.0</v>
      </c>
      <c r="C2409" s="12">
        <v>2349377.0</v>
      </c>
      <c r="D2409" s="2"/>
      <c r="E2409" s="2" t="s">
        <v>38</v>
      </c>
      <c r="F2409" s="2" t="s">
        <v>5264</v>
      </c>
      <c r="G2409" s="2"/>
      <c r="H2409" s="12">
        <v>0.0</v>
      </c>
      <c r="I2409" s="2" t="s">
        <v>5260</v>
      </c>
      <c r="J2409" s="2"/>
      <c r="K2409" s="2"/>
      <c r="L2409" s="2"/>
      <c r="M2409" s="2" t="s">
        <v>6395</v>
      </c>
      <c r="N2409" s="2" t="str">
        <f>IFERROR(__xludf.DUMMYFUNCTION("""COMPUTED_VALUE"""),"")</f>
        <v/>
      </c>
    </row>
    <row r="2410">
      <c r="A2410" s="2" t="s">
        <v>33</v>
      </c>
      <c r="B2410" s="12">
        <v>2349454.0</v>
      </c>
      <c r="C2410" s="12">
        <v>2349524.0</v>
      </c>
      <c r="D2410" s="2"/>
      <c r="E2410" s="2" t="s">
        <v>38</v>
      </c>
      <c r="F2410" s="2" t="s">
        <v>5248</v>
      </c>
      <c r="G2410" s="2"/>
      <c r="H2410" s="12">
        <v>0.0</v>
      </c>
      <c r="I2410" s="2" t="s">
        <v>3783</v>
      </c>
      <c r="J2410" s="2"/>
      <c r="K2410" s="2"/>
      <c r="L2410" s="2"/>
      <c r="M2410" s="2" t="s">
        <v>6396</v>
      </c>
      <c r="N2410" s="2" t="str">
        <f>IFERROR(__xludf.DUMMYFUNCTION("""COMPUTED_VALUE"""),"")</f>
        <v/>
      </c>
    </row>
    <row r="2411">
      <c r="A2411" s="2" t="s">
        <v>33</v>
      </c>
      <c r="B2411" s="12">
        <v>2349526.0</v>
      </c>
      <c r="C2411" s="12">
        <v>2349602.0</v>
      </c>
      <c r="D2411" s="2"/>
      <c r="E2411" s="2" t="s">
        <v>38</v>
      </c>
      <c r="F2411" s="2" t="s">
        <v>5242</v>
      </c>
      <c r="G2411" s="2"/>
      <c r="H2411" s="12">
        <v>0.0</v>
      </c>
      <c r="I2411" s="2" t="s">
        <v>3783</v>
      </c>
      <c r="J2411" s="2"/>
      <c r="K2411" s="2"/>
      <c r="L2411" s="2"/>
      <c r="M2411" s="2" t="s">
        <v>6397</v>
      </c>
      <c r="N2411" s="2" t="str">
        <f>IFERROR(__xludf.DUMMYFUNCTION("""COMPUTED_VALUE"""),"")</f>
        <v/>
      </c>
    </row>
    <row r="2412">
      <c r="A2412" s="2" t="s">
        <v>33</v>
      </c>
      <c r="B2412" s="12">
        <v>2349607.0</v>
      </c>
      <c r="C2412" s="12">
        <v>2349683.0</v>
      </c>
      <c r="D2412" s="2"/>
      <c r="E2412" s="2" t="s">
        <v>38</v>
      </c>
      <c r="F2412" s="2" t="s">
        <v>5244</v>
      </c>
      <c r="G2412" s="2"/>
      <c r="H2412" s="12">
        <v>0.0</v>
      </c>
      <c r="I2412" s="2" t="s">
        <v>3783</v>
      </c>
      <c r="J2412" s="2"/>
      <c r="K2412" s="2"/>
      <c r="L2412" s="2"/>
      <c r="M2412" s="2" t="s">
        <v>6398</v>
      </c>
      <c r="N2412" s="2" t="str">
        <f>IFERROR(__xludf.DUMMYFUNCTION("""COMPUTED_VALUE"""),"")</f>
        <v/>
      </c>
    </row>
    <row r="2413">
      <c r="A2413" s="2" t="s">
        <v>33</v>
      </c>
      <c r="B2413" s="12">
        <v>2349780.0</v>
      </c>
      <c r="C2413" s="12">
        <v>2349862.0</v>
      </c>
      <c r="D2413" s="2"/>
      <c r="E2413" s="2" t="s">
        <v>38</v>
      </c>
      <c r="F2413" s="2" t="s">
        <v>5246</v>
      </c>
      <c r="G2413" s="2"/>
      <c r="H2413" s="12">
        <v>0.0</v>
      </c>
      <c r="I2413" s="2" t="s">
        <v>3783</v>
      </c>
      <c r="J2413" s="2"/>
      <c r="K2413" s="2"/>
      <c r="L2413" s="2"/>
      <c r="M2413" s="2" t="s">
        <v>6399</v>
      </c>
      <c r="N2413" s="2" t="str">
        <f>IFERROR(__xludf.DUMMYFUNCTION("""COMPUTED_VALUE"""),"")</f>
        <v/>
      </c>
    </row>
    <row r="2414">
      <c r="A2414" s="2" t="s">
        <v>33</v>
      </c>
      <c r="B2414" s="12">
        <v>2349879.0</v>
      </c>
      <c r="C2414" s="12">
        <v>2349951.0</v>
      </c>
      <c r="D2414" s="2"/>
      <c r="E2414" s="2" t="s">
        <v>38</v>
      </c>
      <c r="F2414" s="2" t="s">
        <v>5251</v>
      </c>
      <c r="G2414" s="2"/>
      <c r="H2414" s="12">
        <v>0.0</v>
      </c>
      <c r="I2414" s="2" t="s">
        <v>3783</v>
      </c>
      <c r="J2414" s="2"/>
      <c r="K2414" s="2"/>
      <c r="L2414" s="2"/>
      <c r="M2414" s="2" t="s">
        <v>6400</v>
      </c>
      <c r="N2414" s="2" t="str">
        <f>IFERROR(__xludf.DUMMYFUNCTION("""COMPUTED_VALUE"""),"")</f>
        <v/>
      </c>
    </row>
    <row r="2415">
      <c r="A2415" s="2" t="s">
        <v>33</v>
      </c>
      <c r="B2415" s="12">
        <v>2349957.0</v>
      </c>
      <c r="C2415" s="12">
        <v>2350031.0</v>
      </c>
      <c r="D2415" s="2"/>
      <c r="E2415" s="2" t="s">
        <v>38</v>
      </c>
      <c r="F2415" s="2" t="s">
        <v>5253</v>
      </c>
      <c r="G2415" s="2"/>
      <c r="H2415" s="12">
        <v>0.0</v>
      </c>
      <c r="I2415" s="2" t="s">
        <v>3783</v>
      </c>
      <c r="J2415" s="2"/>
      <c r="K2415" s="2"/>
      <c r="L2415" s="2"/>
      <c r="M2415" s="2" t="s">
        <v>6401</v>
      </c>
      <c r="N2415" s="2" t="str">
        <f>IFERROR(__xludf.DUMMYFUNCTION("""COMPUTED_VALUE"""),"")</f>
        <v/>
      </c>
    </row>
    <row r="2416">
      <c r="A2416" s="2" t="s">
        <v>33</v>
      </c>
      <c r="B2416" s="12">
        <v>2350119.0</v>
      </c>
      <c r="C2416" s="12">
        <v>2350194.0</v>
      </c>
      <c r="D2416" s="2"/>
      <c r="E2416" s="2" t="s">
        <v>38</v>
      </c>
      <c r="F2416" s="2" t="s">
        <v>5233</v>
      </c>
      <c r="G2416" s="2"/>
      <c r="H2416" s="12">
        <v>0.0</v>
      </c>
      <c r="I2416" s="2" t="s">
        <v>3783</v>
      </c>
      <c r="J2416" s="2"/>
      <c r="K2416" s="2"/>
      <c r="L2416" s="2"/>
      <c r="M2416" s="2" t="s">
        <v>6402</v>
      </c>
      <c r="N2416" s="2" t="str">
        <f>IFERROR(__xludf.DUMMYFUNCTION("""COMPUTED_VALUE"""),"")</f>
        <v/>
      </c>
    </row>
    <row r="2417">
      <c r="A2417" s="2" t="s">
        <v>33</v>
      </c>
      <c r="B2417" s="12">
        <v>2350198.0</v>
      </c>
      <c r="C2417" s="12">
        <v>2350274.0</v>
      </c>
      <c r="D2417" s="2"/>
      <c r="E2417" s="2" t="s">
        <v>38</v>
      </c>
      <c r="F2417" s="2" t="s">
        <v>5235</v>
      </c>
      <c r="G2417" s="2"/>
      <c r="H2417" s="12">
        <v>0.0</v>
      </c>
      <c r="I2417" s="2" t="s">
        <v>3783</v>
      </c>
      <c r="J2417" s="2"/>
      <c r="K2417" s="2"/>
      <c r="L2417" s="2"/>
      <c r="M2417" s="2" t="s">
        <v>6403</v>
      </c>
      <c r="N2417" s="2" t="str">
        <f>IFERROR(__xludf.DUMMYFUNCTION("""COMPUTED_VALUE"""),"")</f>
        <v/>
      </c>
    </row>
    <row r="2418">
      <c r="A2418" s="2" t="s">
        <v>33</v>
      </c>
      <c r="B2418" s="12">
        <v>2350300.0</v>
      </c>
      <c r="C2418" s="12">
        <v>2350375.0</v>
      </c>
      <c r="D2418" s="2"/>
      <c r="E2418" s="2" t="s">
        <v>38</v>
      </c>
      <c r="F2418" s="2" t="s">
        <v>3782</v>
      </c>
      <c r="G2418" s="2"/>
      <c r="H2418" s="12">
        <v>0.0</v>
      </c>
      <c r="I2418" s="2" t="s">
        <v>3783</v>
      </c>
      <c r="J2418" s="2"/>
      <c r="K2418" s="2"/>
      <c r="L2418" s="2"/>
      <c r="M2418" s="2" t="s">
        <v>6404</v>
      </c>
      <c r="N2418" s="2" t="str">
        <f>IFERROR(__xludf.DUMMYFUNCTION("""COMPUTED_VALUE"""),"")</f>
        <v/>
      </c>
    </row>
    <row r="2419">
      <c r="A2419" s="2" t="s">
        <v>33</v>
      </c>
      <c r="B2419" s="12">
        <v>2350380.0</v>
      </c>
      <c r="C2419" s="12">
        <v>2350454.0</v>
      </c>
      <c r="D2419" s="2"/>
      <c r="E2419" s="2" t="s">
        <v>38</v>
      </c>
      <c r="F2419" s="2" t="s">
        <v>5221</v>
      </c>
      <c r="G2419" s="2"/>
      <c r="H2419" s="12">
        <v>0.0</v>
      </c>
      <c r="I2419" s="2" t="s">
        <v>3783</v>
      </c>
      <c r="J2419" s="2"/>
      <c r="K2419" s="2"/>
      <c r="L2419" s="2"/>
      <c r="M2419" s="2" t="s">
        <v>6405</v>
      </c>
      <c r="N2419" s="2" t="str">
        <f>IFERROR(__xludf.DUMMYFUNCTION("""COMPUTED_VALUE"""),"")</f>
        <v/>
      </c>
    </row>
    <row r="2420">
      <c r="A2420" s="2" t="s">
        <v>33</v>
      </c>
      <c r="B2420" s="12">
        <v>2350463.0</v>
      </c>
      <c r="C2420" s="12">
        <v>2350553.0</v>
      </c>
      <c r="D2420" s="2"/>
      <c r="E2420" s="2" t="s">
        <v>38</v>
      </c>
      <c r="F2420" s="2" t="s">
        <v>5237</v>
      </c>
      <c r="G2420" s="2"/>
      <c r="H2420" s="12">
        <v>0.0</v>
      </c>
      <c r="I2420" s="2" t="s">
        <v>3783</v>
      </c>
      <c r="J2420" s="2"/>
      <c r="K2420" s="2"/>
      <c r="L2420" s="2"/>
      <c r="M2420" s="2" t="s">
        <v>6406</v>
      </c>
      <c r="N2420" s="2" t="str">
        <f>IFERROR(__xludf.DUMMYFUNCTION("""COMPUTED_VALUE"""),"")</f>
        <v/>
      </c>
    </row>
    <row r="2421">
      <c r="A2421" s="2" t="s">
        <v>33</v>
      </c>
      <c r="B2421" s="12">
        <v>2350557.0</v>
      </c>
      <c r="C2421" s="12">
        <v>2350631.0</v>
      </c>
      <c r="D2421" s="2"/>
      <c r="E2421" s="2" t="s">
        <v>38</v>
      </c>
      <c r="F2421" s="2" t="s">
        <v>5223</v>
      </c>
      <c r="G2421" s="2"/>
      <c r="H2421" s="12">
        <v>0.0</v>
      </c>
      <c r="I2421" s="2" t="s">
        <v>3783</v>
      </c>
      <c r="J2421" s="2"/>
      <c r="K2421" s="2"/>
      <c r="L2421" s="2"/>
      <c r="M2421" s="2" t="s">
        <v>6407</v>
      </c>
      <c r="N2421" s="2" t="str">
        <f>IFERROR(__xludf.DUMMYFUNCTION("""COMPUTED_VALUE"""),"")</f>
        <v/>
      </c>
    </row>
    <row r="2422">
      <c r="A2422" s="2" t="s">
        <v>33</v>
      </c>
      <c r="B2422" s="12">
        <v>2350745.0</v>
      </c>
      <c r="C2422" s="12">
        <v>2351203.0</v>
      </c>
      <c r="D2422" s="2"/>
      <c r="E2422" s="2" t="s">
        <v>38</v>
      </c>
      <c r="F2422" s="2" t="s">
        <v>6408</v>
      </c>
      <c r="G2422" s="2"/>
      <c r="H2422" s="12">
        <v>0.0</v>
      </c>
      <c r="I2422" s="2" t="s">
        <v>40</v>
      </c>
      <c r="J2422" s="2"/>
      <c r="K2422" s="2" t="s">
        <v>6409</v>
      </c>
      <c r="L2422" s="12">
        <v>152.0</v>
      </c>
      <c r="M2422" s="2" t="s">
        <v>6410</v>
      </c>
      <c r="N2422" s="2" t="str">
        <f>IFERROR(__xludf.DUMMYFUNCTION("""COMPUTED_VALUE"""),"")</f>
        <v/>
      </c>
    </row>
    <row r="2423">
      <c r="A2423" s="2" t="s">
        <v>33</v>
      </c>
      <c r="B2423" s="12">
        <v>2351399.0</v>
      </c>
      <c r="C2423" s="12">
        <v>2351515.0</v>
      </c>
      <c r="D2423" s="2"/>
      <c r="E2423" s="2" t="s">
        <v>34</v>
      </c>
      <c r="F2423" s="2" t="s">
        <v>6411</v>
      </c>
      <c r="G2423" s="2" t="s">
        <v>6412</v>
      </c>
      <c r="H2423" s="12">
        <v>0.0</v>
      </c>
      <c r="I2423" s="2" t="s">
        <v>40</v>
      </c>
      <c r="J2423" s="2"/>
      <c r="K2423" s="2" t="s">
        <v>6413</v>
      </c>
      <c r="L2423" s="12">
        <v>38.0</v>
      </c>
      <c r="M2423" s="2" t="s">
        <v>6414</v>
      </c>
      <c r="N2423" s="2" t="str">
        <f>IFERROR(__xludf.DUMMYFUNCTION("""COMPUTED_VALUE"""),"")</f>
        <v/>
      </c>
    </row>
    <row r="2424">
      <c r="A2424" s="2" t="s">
        <v>33</v>
      </c>
      <c r="B2424" s="12">
        <v>2351573.0</v>
      </c>
      <c r="C2424" s="12">
        <v>2353741.0</v>
      </c>
      <c r="D2424" s="2"/>
      <c r="E2424" s="2" t="s">
        <v>38</v>
      </c>
      <c r="F2424" s="2" t="s">
        <v>6415</v>
      </c>
      <c r="G2424" s="2"/>
      <c r="H2424" s="12">
        <v>0.0</v>
      </c>
      <c r="I2424" s="2" t="s">
        <v>40</v>
      </c>
      <c r="J2424" s="2"/>
      <c r="K2424" s="2" t="s">
        <v>6416</v>
      </c>
      <c r="L2424" s="12">
        <v>722.0</v>
      </c>
      <c r="M2424" s="2" t="s">
        <v>6417</v>
      </c>
      <c r="N2424" s="2" t="str">
        <f>IFERROR(__xludf.DUMMYFUNCTION("""COMPUTED_VALUE"""),"")</f>
        <v/>
      </c>
    </row>
    <row r="2425">
      <c r="A2425" s="2" t="s">
        <v>33</v>
      </c>
      <c r="B2425" s="12">
        <v>2353809.0</v>
      </c>
      <c r="C2425" s="12">
        <v>2354159.0</v>
      </c>
      <c r="D2425" s="2"/>
      <c r="E2425" s="2" t="s">
        <v>38</v>
      </c>
      <c r="F2425" s="2" t="s">
        <v>6418</v>
      </c>
      <c r="G2425" s="2" t="s">
        <v>6419</v>
      </c>
      <c r="H2425" s="12">
        <v>0.0</v>
      </c>
      <c r="I2425" s="2" t="s">
        <v>40</v>
      </c>
      <c r="J2425" s="2"/>
      <c r="K2425" s="2" t="s">
        <v>6420</v>
      </c>
      <c r="L2425" s="12">
        <v>116.0</v>
      </c>
      <c r="M2425" s="2" t="s">
        <v>6421</v>
      </c>
      <c r="N2425" s="2" t="str">
        <f>IFERROR(__xludf.DUMMYFUNCTION("""COMPUTED_VALUE"""),"")</f>
        <v/>
      </c>
    </row>
    <row r="2426">
      <c r="A2426" s="2" t="s">
        <v>33</v>
      </c>
      <c r="B2426" s="12">
        <v>2354164.0</v>
      </c>
      <c r="C2426" s="12">
        <v>2354451.0</v>
      </c>
      <c r="D2426" s="2"/>
      <c r="E2426" s="2" t="s">
        <v>38</v>
      </c>
      <c r="F2426" s="2" t="s">
        <v>6422</v>
      </c>
      <c r="G2426" s="2"/>
      <c r="H2426" s="12">
        <v>0.0</v>
      </c>
      <c r="I2426" s="2" t="s">
        <v>40</v>
      </c>
      <c r="J2426" s="2"/>
      <c r="K2426" s="2" t="s">
        <v>6423</v>
      </c>
      <c r="L2426" s="12">
        <v>95.0</v>
      </c>
      <c r="M2426" s="2" t="s">
        <v>6424</v>
      </c>
      <c r="N2426" s="2" t="str">
        <f>IFERROR(__xludf.DUMMYFUNCTION("""COMPUTED_VALUE"""),"")</f>
        <v/>
      </c>
    </row>
    <row r="2427">
      <c r="A2427" s="2" t="s">
        <v>33</v>
      </c>
      <c r="B2427" s="12">
        <v>2354760.0</v>
      </c>
      <c r="C2427" s="12">
        <v>2355929.0</v>
      </c>
      <c r="D2427" s="2"/>
      <c r="E2427" s="2" t="s">
        <v>38</v>
      </c>
      <c r="F2427" s="2" t="s">
        <v>1517</v>
      </c>
      <c r="G2427" s="2" t="s">
        <v>1518</v>
      </c>
      <c r="H2427" s="12">
        <v>0.0</v>
      </c>
      <c r="I2427" s="2" t="s">
        <v>40</v>
      </c>
      <c r="J2427" s="2"/>
      <c r="K2427" s="2" t="s">
        <v>6425</v>
      </c>
      <c r="L2427" s="12">
        <v>389.0</v>
      </c>
      <c r="M2427" s="2" t="s">
        <v>6426</v>
      </c>
      <c r="N2427" s="2" t="str">
        <f>IFERROR(__xludf.DUMMYFUNCTION("""COMPUTED_VALUE"""),"")</f>
        <v/>
      </c>
    </row>
    <row r="2428">
      <c r="A2428" s="2" t="s">
        <v>33</v>
      </c>
      <c r="B2428" s="12">
        <v>2356047.0</v>
      </c>
      <c r="C2428" s="12">
        <v>2356997.0</v>
      </c>
      <c r="D2428" s="2"/>
      <c r="E2428" s="2" t="s">
        <v>38</v>
      </c>
      <c r="F2428" s="2" t="s">
        <v>6427</v>
      </c>
      <c r="G2428" s="2"/>
      <c r="H2428" s="12">
        <v>0.0</v>
      </c>
      <c r="I2428" s="2" t="s">
        <v>40</v>
      </c>
      <c r="J2428" s="2"/>
      <c r="K2428" s="2" t="s">
        <v>6428</v>
      </c>
      <c r="L2428" s="12">
        <v>316.0</v>
      </c>
      <c r="M2428" s="2" t="s">
        <v>6429</v>
      </c>
      <c r="N2428" s="2" t="str">
        <f>IFERROR(__xludf.DUMMYFUNCTION("""COMPUTED_VALUE"""),"")</f>
        <v/>
      </c>
    </row>
    <row r="2429">
      <c r="A2429" s="2" t="s">
        <v>33</v>
      </c>
      <c r="B2429" s="12">
        <v>2357154.0</v>
      </c>
      <c r="C2429" s="12">
        <v>2357513.0</v>
      </c>
      <c r="D2429" s="2"/>
      <c r="E2429" s="2" t="s">
        <v>38</v>
      </c>
      <c r="F2429" s="2" t="s">
        <v>6430</v>
      </c>
      <c r="G2429" s="2" t="s">
        <v>6431</v>
      </c>
      <c r="H2429" s="12">
        <v>0.0</v>
      </c>
      <c r="I2429" s="2" t="s">
        <v>40</v>
      </c>
      <c r="J2429" s="2"/>
      <c r="K2429" s="2" t="s">
        <v>6432</v>
      </c>
      <c r="L2429" s="12">
        <v>119.0</v>
      </c>
      <c r="M2429" s="2" t="s">
        <v>6433</v>
      </c>
      <c r="N2429" s="2" t="str">
        <f>IFERROR(__xludf.DUMMYFUNCTION("""COMPUTED_VALUE"""),"")</f>
        <v/>
      </c>
    </row>
    <row r="2430">
      <c r="A2430" s="2" t="s">
        <v>33</v>
      </c>
      <c r="B2430" s="12">
        <v>2357607.0</v>
      </c>
      <c r="C2430" s="12">
        <v>2358179.0</v>
      </c>
      <c r="D2430" s="2"/>
      <c r="E2430" s="2" t="s">
        <v>34</v>
      </c>
      <c r="F2430" s="2" t="s">
        <v>6434</v>
      </c>
      <c r="G2430" s="2"/>
      <c r="H2430" s="12">
        <v>0.0</v>
      </c>
      <c r="I2430" s="2" t="s">
        <v>40</v>
      </c>
      <c r="J2430" s="2"/>
      <c r="K2430" s="2" t="s">
        <v>6435</v>
      </c>
      <c r="L2430" s="12">
        <v>190.0</v>
      </c>
      <c r="M2430" s="2" t="s">
        <v>6436</v>
      </c>
      <c r="N2430" s="2" t="str">
        <f>IFERROR(__xludf.DUMMYFUNCTION("""COMPUTED_VALUE"""),"")</f>
        <v/>
      </c>
    </row>
    <row r="2431">
      <c r="A2431" s="2" t="s">
        <v>33</v>
      </c>
      <c r="B2431" s="12">
        <v>2358172.0</v>
      </c>
      <c r="C2431" s="12">
        <v>2359134.0</v>
      </c>
      <c r="D2431" s="2"/>
      <c r="E2431" s="2" t="s">
        <v>38</v>
      </c>
      <c r="F2431" s="2" t="s">
        <v>6437</v>
      </c>
      <c r="G2431" s="2" t="s">
        <v>6438</v>
      </c>
      <c r="H2431" s="12">
        <v>0.0</v>
      </c>
      <c r="I2431" s="2" t="s">
        <v>40</v>
      </c>
      <c r="J2431" s="2"/>
      <c r="K2431" s="2" t="s">
        <v>6439</v>
      </c>
      <c r="L2431" s="12">
        <v>320.0</v>
      </c>
      <c r="M2431" s="2" t="s">
        <v>6440</v>
      </c>
      <c r="N2431" s="2" t="str">
        <f>IFERROR(__xludf.DUMMYFUNCTION("""COMPUTED_VALUE"""),"")</f>
        <v/>
      </c>
    </row>
    <row r="2432">
      <c r="A2432" s="2" t="s">
        <v>33</v>
      </c>
      <c r="B2432" s="12">
        <v>2359230.0</v>
      </c>
      <c r="C2432" s="12">
        <v>2360831.0</v>
      </c>
      <c r="D2432" s="2"/>
      <c r="E2432" s="2" t="s">
        <v>38</v>
      </c>
      <c r="F2432" s="2" t="s">
        <v>594</v>
      </c>
      <c r="G2432" s="2"/>
      <c r="H2432" s="12">
        <v>0.0</v>
      </c>
      <c r="I2432" s="2" t="s">
        <v>40</v>
      </c>
      <c r="J2432" s="2"/>
      <c r="K2432" s="2" t="s">
        <v>6441</v>
      </c>
      <c r="L2432" s="12">
        <v>533.0</v>
      </c>
      <c r="M2432" s="2" t="s">
        <v>6442</v>
      </c>
      <c r="N2432" s="2" t="str">
        <f>IFERROR(__xludf.DUMMYFUNCTION("""COMPUTED_VALUE"""),"")</f>
        <v/>
      </c>
    </row>
    <row r="2433">
      <c r="A2433" s="2" t="s">
        <v>33</v>
      </c>
      <c r="B2433" s="12">
        <v>2361137.0</v>
      </c>
      <c r="C2433" s="12">
        <v>2362513.0</v>
      </c>
      <c r="D2433" s="2"/>
      <c r="E2433" s="2" t="s">
        <v>38</v>
      </c>
      <c r="F2433" s="2" t="s">
        <v>6443</v>
      </c>
      <c r="G2433" s="2" t="s">
        <v>6444</v>
      </c>
      <c r="H2433" s="12">
        <v>0.0</v>
      </c>
      <c r="I2433" s="2" t="s">
        <v>40</v>
      </c>
      <c r="J2433" s="2"/>
      <c r="K2433" s="2" t="s">
        <v>6445</v>
      </c>
      <c r="L2433" s="12">
        <v>458.0</v>
      </c>
      <c r="M2433" s="2" t="s">
        <v>6446</v>
      </c>
      <c r="N2433" s="2" t="str">
        <f>IFERROR(__xludf.DUMMYFUNCTION("""COMPUTED_VALUE"""),"")</f>
        <v/>
      </c>
    </row>
    <row r="2434">
      <c r="A2434" s="2" t="s">
        <v>33</v>
      </c>
      <c r="B2434" s="12">
        <v>2362576.0</v>
      </c>
      <c r="C2434" s="12">
        <v>2363661.0</v>
      </c>
      <c r="D2434" s="2"/>
      <c r="E2434" s="2" t="s">
        <v>38</v>
      </c>
      <c r="F2434" s="2" t="s">
        <v>247</v>
      </c>
      <c r="G2434" s="2"/>
      <c r="H2434" s="12">
        <v>0.0</v>
      </c>
      <c r="I2434" s="2" t="s">
        <v>40</v>
      </c>
      <c r="J2434" s="2"/>
      <c r="K2434" s="2" t="s">
        <v>6447</v>
      </c>
      <c r="L2434" s="12">
        <v>361.0</v>
      </c>
      <c r="M2434" s="2" t="s">
        <v>6448</v>
      </c>
      <c r="N2434" s="2" t="str">
        <f>IFERROR(__xludf.DUMMYFUNCTION("""COMPUTED_VALUE"""),"")</f>
        <v/>
      </c>
    </row>
    <row r="2435">
      <c r="A2435" s="2" t="s">
        <v>33</v>
      </c>
      <c r="B2435" s="12">
        <v>2363890.0</v>
      </c>
      <c r="C2435" s="12">
        <v>2365161.0</v>
      </c>
      <c r="D2435" s="2"/>
      <c r="E2435" s="2" t="s">
        <v>38</v>
      </c>
      <c r="F2435" s="2" t="s">
        <v>88</v>
      </c>
      <c r="G2435" s="2"/>
      <c r="H2435" s="12">
        <v>0.0</v>
      </c>
      <c r="I2435" s="2" t="s">
        <v>40</v>
      </c>
      <c r="J2435" s="2"/>
      <c r="K2435" s="2" t="s">
        <v>6449</v>
      </c>
      <c r="L2435" s="12">
        <v>423.0</v>
      </c>
      <c r="M2435" s="2" t="s">
        <v>6450</v>
      </c>
      <c r="N2435" s="2" t="str">
        <f>IFERROR(__xludf.DUMMYFUNCTION("""COMPUTED_VALUE"""),"")</f>
        <v/>
      </c>
    </row>
    <row r="2436">
      <c r="A2436" s="2" t="s">
        <v>33</v>
      </c>
      <c r="B2436" s="12">
        <v>2365270.0</v>
      </c>
      <c r="C2436" s="12">
        <v>2366685.0</v>
      </c>
      <c r="D2436" s="2"/>
      <c r="E2436" s="2" t="s">
        <v>38</v>
      </c>
      <c r="F2436" s="2" t="s">
        <v>4879</v>
      </c>
      <c r="G2436" s="2"/>
      <c r="H2436" s="12">
        <v>0.0</v>
      </c>
      <c r="I2436" s="2" t="s">
        <v>40</v>
      </c>
      <c r="J2436" s="2"/>
      <c r="K2436" s="2" t="s">
        <v>6451</v>
      </c>
      <c r="L2436" s="12">
        <v>471.0</v>
      </c>
      <c r="M2436" s="2" t="s">
        <v>6452</v>
      </c>
      <c r="N2436" s="2" t="str">
        <f>IFERROR(__xludf.DUMMYFUNCTION("""COMPUTED_VALUE"""),"")</f>
        <v/>
      </c>
    </row>
    <row r="2437">
      <c r="A2437" s="2" t="s">
        <v>33</v>
      </c>
      <c r="B2437" s="12">
        <v>2366917.0</v>
      </c>
      <c r="C2437" s="12">
        <v>2368089.0</v>
      </c>
      <c r="D2437" s="2"/>
      <c r="E2437" s="2" t="s">
        <v>38</v>
      </c>
      <c r="F2437" s="2" t="s">
        <v>6453</v>
      </c>
      <c r="G2437" s="2"/>
      <c r="H2437" s="12">
        <v>0.0</v>
      </c>
      <c r="I2437" s="2" t="s">
        <v>40</v>
      </c>
      <c r="J2437" s="2"/>
      <c r="K2437" s="2" t="s">
        <v>6454</v>
      </c>
      <c r="L2437" s="12">
        <v>390.0</v>
      </c>
      <c r="M2437" s="2" t="s">
        <v>6455</v>
      </c>
      <c r="N2437" s="2" t="str">
        <f>IFERROR(__xludf.DUMMYFUNCTION("""COMPUTED_VALUE"""),"")</f>
        <v/>
      </c>
    </row>
    <row r="2438">
      <c r="A2438" s="2" t="s">
        <v>33</v>
      </c>
      <c r="B2438" s="12">
        <v>2368055.0</v>
      </c>
      <c r="C2438" s="12">
        <v>2369011.0</v>
      </c>
      <c r="D2438" s="2"/>
      <c r="E2438" s="2" t="s">
        <v>38</v>
      </c>
      <c r="F2438" s="2" t="s">
        <v>4127</v>
      </c>
      <c r="G2438" s="2"/>
      <c r="H2438" s="12">
        <v>0.0</v>
      </c>
      <c r="I2438" s="2" t="s">
        <v>40</v>
      </c>
      <c r="J2438" s="2"/>
      <c r="K2438" s="2" t="s">
        <v>6456</v>
      </c>
      <c r="L2438" s="12">
        <v>318.0</v>
      </c>
      <c r="M2438" s="2" t="s">
        <v>6457</v>
      </c>
      <c r="N2438" s="2" t="str">
        <f>IFERROR(__xludf.DUMMYFUNCTION("""COMPUTED_VALUE"""),"")</f>
        <v/>
      </c>
    </row>
    <row r="2439">
      <c r="A2439" s="2" t="s">
        <v>33</v>
      </c>
      <c r="B2439" s="12">
        <v>2369078.0</v>
      </c>
      <c r="C2439" s="12">
        <v>2370196.0</v>
      </c>
      <c r="D2439" s="2"/>
      <c r="E2439" s="2" t="s">
        <v>38</v>
      </c>
      <c r="F2439" s="2" t="s">
        <v>6458</v>
      </c>
      <c r="G2439" s="2" t="s">
        <v>6459</v>
      </c>
      <c r="H2439" s="12">
        <v>0.0</v>
      </c>
      <c r="I2439" s="2" t="s">
        <v>40</v>
      </c>
      <c r="J2439" s="2"/>
      <c r="K2439" s="2" t="s">
        <v>6460</v>
      </c>
      <c r="L2439" s="12">
        <v>372.0</v>
      </c>
      <c r="M2439" s="2" t="s">
        <v>6461</v>
      </c>
      <c r="N2439" s="2" t="str">
        <f>IFERROR(__xludf.DUMMYFUNCTION("""COMPUTED_VALUE"""),"")</f>
        <v/>
      </c>
    </row>
    <row r="2440">
      <c r="A2440" s="2" t="s">
        <v>33</v>
      </c>
      <c r="B2440" s="12">
        <v>2370590.0</v>
      </c>
      <c r="C2440" s="12">
        <v>2370700.0</v>
      </c>
      <c r="D2440" s="2"/>
      <c r="E2440" s="2" t="s">
        <v>38</v>
      </c>
      <c r="F2440" s="2" t="s">
        <v>6462</v>
      </c>
      <c r="G2440" s="2"/>
      <c r="H2440" s="12">
        <v>0.0</v>
      </c>
      <c r="I2440" s="2" t="s">
        <v>40</v>
      </c>
      <c r="J2440" s="2"/>
      <c r="K2440" s="2" t="s">
        <v>6463</v>
      </c>
      <c r="L2440" s="12">
        <v>36.0</v>
      </c>
      <c r="M2440" s="2" t="s">
        <v>6464</v>
      </c>
      <c r="N2440" s="2" t="str">
        <f>IFERROR(__xludf.DUMMYFUNCTION("""COMPUTED_VALUE"""),"")</f>
        <v/>
      </c>
    </row>
    <row r="2441">
      <c r="A2441" s="2" t="s">
        <v>33</v>
      </c>
      <c r="B2441" s="12">
        <v>2370744.0</v>
      </c>
      <c r="C2441" s="12">
        <v>2370851.0</v>
      </c>
      <c r="D2441" s="2"/>
      <c r="E2441" s="2" t="s">
        <v>38</v>
      </c>
      <c r="F2441" s="2" t="s">
        <v>6462</v>
      </c>
      <c r="G2441" s="2"/>
      <c r="H2441" s="12">
        <v>0.0</v>
      </c>
      <c r="I2441" s="2" t="s">
        <v>40</v>
      </c>
      <c r="J2441" s="2"/>
      <c r="K2441" s="2" t="s">
        <v>6465</v>
      </c>
      <c r="L2441" s="12">
        <v>35.0</v>
      </c>
      <c r="M2441" s="2" t="s">
        <v>6466</v>
      </c>
      <c r="N2441" s="2" t="str">
        <f>IFERROR(__xludf.DUMMYFUNCTION("""COMPUTED_VALUE"""),"")</f>
        <v/>
      </c>
    </row>
    <row r="2442">
      <c r="A2442" s="2" t="s">
        <v>33</v>
      </c>
      <c r="B2442" s="12">
        <v>2370895.0</v>
      </c>
      <c r="C2442" s="12">
        <v>2371011.0</v>
      </c>
      <c r="D2442" s="2"/>
      <c r="E2442" s="2" t="s">
        <v>38</v>
      </c>
      <c r="F2442" s="2" t="s">
        <v>6462</v>
      </c>
      <c r="G2442" s="2"/>
      <c r="H2442" s="12">
        <v>0.0</v>
      </c>
      <c r="I2442" s="2" t="s">
        <v>40</v>
      </c>
      <c r="J2442" s="2"/>
      <c r="K2442" s="2" t="s">
        <v>6467</v>
      </c>
      <c r="L2442" s="12">
        <v>38.0</v>
      </c>
      <c r="M2442" s="2" t="s">
        <v>6468</v>
      </c>
      <c r="N2442" s="2" t="str">
        <f>IFERROR(__xludf.DUMMYFUNCTION("""COMPUTED_VALUE"""),"")</f>
        <v/>
      </c>
    </row>
    <row r="2443">
      <c r="A2443" s="2" t="s">
        <v>33</v>
      </c>
      <c r="B2443" s="12">
        <v>2371046.0</v>
      </c>
      <c r="C2443" s="12">
        <v>2371153.0</v>
      </c>
      <c r="D2443" s="2"/>
      <c r="E2443" s="2" t="s">
        <v>38</v>
      </c>
      <c r="F2443" s="2" t="s">
        <v>6462</v>
      </c>
      <c r="G2443" s="2"/>
      <c r="H2443" s="12">
        <v>0.0</v>
      </c>
      <c r="I2443" s="2" t="s">
        <v>40</v>
      </c>
      <c r="J2443" s="2"/>
      <c r="K2443" s="2" t="s">
        <v>6465</v>
      </c>
      <c r="L2443" s="12">
        <v>35.0</v>
      </c>
      <c r="M2443" s="2" t="s">
        <v>6469</v>
      </c>
      <c r="N2443" s="2" t="str">
        <f>IFERROR(__xludf.DUMMYFUNCTION("""COMPUTED_VALUE"""),"")</f>
        <v/>
      </c>
    </row>
    <row r="2444">
      <c r="A2444" s="2" t="s">
        <v>33</v>
      </c>
      <c r="B2444" s="12">
        <v>2371197.0</v>
      </c>
      <c r="C2444" s="12">
        <v>2371304.0</v>
      </c>
      <c r="D2444" s="2"/>
      <c r="E2444" s="2" t="s">
        <v>38</v>
      </c>
      <c r="F2444" s="2" t="s">
        <v>6462</v>
      </c>
      <c r="G2444" s="2"/>
      <c r="H2444" s="12">
        <v>0.0</v>
      </c>
      <c r="I2444" s="2" t="s">
        <v>40</v>
      </c>
      <c r="J2444" s="2"/>
      <c r="K2444" s="2" t="s">
        <v>6465</v>
      </c>
      <c r="L2444" s="12">
        <v>35.0</v>
      </c>
      <c r="M2444" s="2" t="s">
        <v>6470</v>
      </c>
      <c r="N2444" s="2" t="str">
        <f>IFERROR(__xludf.DUMMYFUNCTION("""COMPUTED_VALUE"""),"")</f>
        <v/>
      </c>
    </row>
    <row r="2445">
      <c r="A2445" s="2" t="s">
        <v>33</v>
      </c>
      <c r="B2445" s="12">
        <v>2371746.0</v>
      </c>
      <c r="C2445" s="12">
        <v>2372618.0</v>
      </c>
      <c r="D2445" s="2"/>
      <c r="E2445" s="2" t="s">
        <v>34</v>
      </c>
      <c r="F2445" s="2" t="s">
        <v>69</v>
      </c>
      <c r="G2445" s="2"/>
      <c r="H2445" s="12">
        <v>0.0</v>
      </c>
      <c r="I2445" s="2" t="s">
        <v>40</v>
      </c>
      <c r="J2445" s="2"/>
      <c r="K2445" s="2" t="s">
        <v>6471</v>
      </c>
      <c r="L2445" s="12">
        <v>290.0</v>
      </c>
      <c r="M2445" s="2" t="s">
        <v>6472</v>
      </c>
      <c r="N2445" s="2" t="str">
        <f>IFERROR(__xludf.DUMMYFUNCTION("""COMPUTED_VALUE"""),"")</f>
        <v/>
      </c>
    </row>
    <row r="2446">
      <c r="A2446" s="2" t="s">
        <v>33</v>
      </c>
      <c r="B2446" s="12">
        <v>2372653.0</v>
      </c>
      <c r="C2446" s="12">
        <v>2373618.0</v>
      </c>
      <c r="D2446" s="2"/>
      <c r="E2446" s="2" t="s">
        <v>38</v>
      </c>
      <c r="F2446" s="2" t="s">
        <v>432</v>
      </c>
      <c r="G2446" s="2"/>
      <c r="H2446" s="12">
        <v>0.0</v>
      </c>
      <c r="I2446" s="2" t="s">
        <v>40</v>
      </c>
      <c r="J2446" s="2"/>
      <c r="K2446" s="2" t="s">
        <v>6473</v>
      </c>
      <c r="L2446" s="12">
        <v>321.0</v>
      </c>
      <c r="M2446" s="2" t="s">
        <v>6474</v>
      </c>
      <c r="N2446" s="2" t="str">
        <f>IFERROR(__xludf.DUMMYFUNCTION("""COMPUTED_VALUE"""),"")</f>
        <v/>
      </c>
    </row>
    <row r="2447">
      <c r="A2447" s="2" t="s">
        <v>33</v>
      </c>
      <c r="B2447" s="12">
        <v>2373615.0</v>
      </c>
      <c r="C2447" s="12">
        <v>2374595.0</v>
      </c>
      <c r="D2447" s="2"/>
      <c r="E2447" s="2" t="s">
        <v>38</v>
      </c>
      <c r="F2447" s="2" t="s">
        <v>432</v>
      </c>
      <c r="G2447" s="2"/>
      <c r="H2447" s="12">
        <v>0.0</v>
      </c>
      <c r="I2447" s="2" t="s">
        <v>40</v>
      </c>
      <c r="J2447" s="2"/>
      <c r="K2447" s="2" t="s">
        <v>6475</v>
      </c>
      <c r="L2447" s="12">
        <v>326.0</v>
      </c>
      <c r="M2447" s="2" t="s">
        <v>6476</v>
      </c>
      <c r="N2447" s="2" t="str">
        <f>IFERROR(__xludf.DUMMYFUNCTION("""COMPUTED_VALUE"""),"")</f>
        <v/>
      </c>
    </row>
    <row r="2448">
      <c r="A2448" s="2" t="s">
        <v>33</v>
      </c>
      <c r="B2448" s="12">
        <v>2374606.0</v>
      </c>
      <c r="C2448" s="12">
        <v>2375526.0</v>
      </c>
      <c r="D2448" s="2"/>
      <c r="E2448" s="2" t="s">
        <v>38</v>
      </c>
      <c r="F2448" s="2" t="s">
        <v>4026</v>
      </c>
      <c r="G2448" s="2" t="s">
        <v>6477</v>
      </c>
      <c r="H2448" s="12">
        <v>0.0</v>
      </c>
      <c r="I2448" s="2" t="s">
        <v>40</v>
      </c>
      <c r="J2448" s="2"/>
      <c r="K2448" s="2" t="s">
        <v>6478</v>
      </c>
      <c r="L2448" s="12">
        <v>306.0</v>
      </c>
      <c r="M2448" s="2" t="s">
        <v>6479</v>
      </c>
      <c r="N2448" s="2" t="str">
        <f>IFERROR(__xludf.DUMMYFUNCTION("""COMPUTED_VALUE"""),"")</f>
        <v/>
      </c>
    </row>
    <row r="2449">
      <c r="A2449" s="2" t="s">
        <v>33</v>
      </c>
      <c r="B2449" s="12">
        <v>2375539.0</v>
      </c>
      <c r="C2449" s="12">
        <v>2376495.0</v>
      </c>
      <c r="D2449" s="2"/>
      <c r="E2449" s="2" t="s">
        <v>38</v>
      </c>
      <c r="F2449" s="2" t="s">
        <v>265</v>
      </c>
      <c r="G2449" s="2"/>
      <c r="H2449" s="12">
        <v>0.0</v>
      </c>
      <c r="I2449" s="2" t="s">
        <v>40</v>
      </c>
      <c r="J2449" s="2"/>
      <c r="K2449" s="2" t="s">
        <v>6480</v>
      </c>
      <c r="L2449" s="12">
        <v>318.0</v>
      </c>
      <c r="M2449" s="2" t="s">
        <v>6481</v>
      </c>
      <c r="N2449" s="2" t="str">
        <f>IFERROR(__xludf.DUMMYFUNCTION("""COMPUTED_VALUE"""),"")</f>
        <v/>
      </c>
    </row>
    <row r="2450">
      <c r="A2450" s="2" t="s">
        <v>33</v>
      </c>
      <c r="B2450" s="12">
        <v>2376599.0</v>
      </c>
      <c r="C2450" s="12">
        <v>2378326.0</v>
      </c>
      <c r="D2450" s="2"/>
      <c r="E2450" s="2" t="s">
        <v>38</v>
      </c>
      <c r="F2450" s="2" t="s">
        <v>1113</v>
      </c>
      <c r="G2450" s="2"/>
      <c r="H2450" s="12">
        <v>0.0</v>
      </c>
      <c r="I2450" s="2" t="s">
        <v>40</v>
      </c>
      <c r="J2450" s="2"/>
      <c r="K2450" s="2" t="s">
        <v>6482</v>
      </c>
      <c r="L2450" s="12">
        <v>575.0</v>
      </c>
      <c r="M2450" s="2" t="s">
        <v>6483</v>
      </c>
      <c r="N2450" s="2" t="str">
        <f>IFERROR(__xludf.DUMMYFUNCTION("""COMPUTED_VALUE"""),"")</f>
        <v/>
      </c>
    </row>
    <row r="2451">
      <c r="A2451" s="2" t="s">
        <v>33</v>
      </c>
      <c r="B2451" s="12">
        <v>2378696.0</v>
      </c>
      <c r="C2451" s="12">
        <v>2378893.0</v>
      </c>
      <c r="D2451" s="2"/>
      <c r="E2451" s="2" t="s">
        <v>34</v>
      </c>
      <c r="F2451" s="2" t="s">
        <v>39</v>
      </c>
      <c r="G2451" s="2"/>
      <c r="H2451" s="12">
        <v>0.0</v>
      </c>
      <c r="I2451" s="2" t="s">
        <v>40</v>
      </c>
      <c r="J2451" s="2"/>
      <c r="K2451" s="2" t="s">
        <v>6484</v>
      </c>
      <c r="L2451" s="12">
        <v>65.0</v>
      </c>
      <c r="M2451" s="2" t="s">
        <v>6485</v>
      </c>
      <c r="N2451" s="2" t="str">
        <f>IFERROR(__xludf.DUMMYFUNCTION("""COMPUTED_VALUE"""),"")</f>
        <v/>
      </c>
    </row>
    <row r="2452">
      <c r="A2452" s="2" t="s">
        <v>33</v>
      </c>
      <c r="B2452" s="12">
        <v>2379283.0</v>
      </c>
      <c r="C2452" s="12">
        <v>2381214.0</v>
      </c>
      <c r="D2452" s="2"/>
      <c r="E2452" s="2" t="s">
        <v>38</v>
      </c>
      <c r="F2452" s="2" t="s">
        <v>6486</v>
      </c>
      <c r="G2452" s="2" t="s">
        <v>270</v>
      </c>
      <c r="H2452" s="12">
        <v>0.0</v>
      </c>
      <c r="I2452" s="2" t="s">
        <v>40</v>
      </c>
      <c r="J2452" s="2"/>
      <c r="K2452" s="2" t="s">
        <v>6487</v>
      </c>
      <c r="L2452" s="12">
        <v>643.0</v>
      </c>
      <c r="M2452" s="2" t="s">
        <v>6488</v>
      </c>
      <c r="N2452" s="2" t="str">
        <f>IFERROR(__xludf.DUMMYFUNCTION("""COMPUTED_VALUE"""),"")</f>
        <v/>
      </c>
    </row>
    <row r="2453">
      <c r="A2453" s="2" t="s">
        <v>33</v>
      </c>
      <c r="B2453" s="12">
        <v>2381289.0</v>
      </c>
      <c r="C2453" s="12">
        <v>2381423.0</v>
      </c>
      <c r="D2453" s="2"/>
      <c r="E2453" s="2" t="s">
        <v>38</v>
      </c>
      <c r="F2453" s="2" t="s">
        <v>6489</v>
      </c>
      <c r="G2453" s="2"/>
      <c r="H2453" s="12">
        <v>0.0</v>
      </c>
      <c r="I2453" s="2" t="s">
        <v>40</v>
      </c>
      <c r="J2453" s="2"/>
      <c r="K2453" s="2" t="s">
        <v>6490</v>
      </c>
      <c r="L2453" s="12">
        <v>44.0</v>
      </c>
      <c r="M2453" s="2" t="s">
        <v>6491</v>
      </c>
      <c r="N2453" s="2" t="str">
        <f>IFERROR(__xludf.DUMMYFUNCTION("""COMPUTED_VALUE"""),"")</f>
        <v/>
      </c>
    </row>
    <row r="2454">
      <c r="A2454" s="2" t="s">
        <v>33</v>
      </c>
      <c r="B2454" s="12">
        <v>2381844.0</v>
      </c>
      <c r="C2454" s="12">
        <v>2381972.0</v>
      </c>
      <c r="D2454" s="2"/>
      <c r="E2454" s="2" t="s">
        <v>34</v>
      </c>
      <c r="F2454" s="2" t="s">
        <v>39</v>
      </c>
      <c r="G2454" s="2"/>
      <c r="H2454" s="12">
        <v>0.0</v>
      </c>
      <c r="I2454" s="2" t="s">
        <v>40</v>
      </c>
      <c r="J2454" s="2"/>
      <c r="K2454" s="2" t="s">
        <v>6492</v>
      </c>
      <c r="L2454" s="12">
        <v>42.0</v>
      </c>
      <c r="M2454" s="2" t="s">
        <v>6493</v>
      </c>
      <c r="N2454" s="2" t="str">
        <f>IFERROR(__xludf.DUMMYFUNCTION("""COMPUTED_VALUE"""),"")</f>
        <v/>
      </c>
    </row>
    <row r="2455">
      <c r="A2455" s="2" t="s">
        <v>33</v>
      </c>
      <c r="B2455" s="12">
        <v>2382108.0</v>
      </c>
      <c r="C2455" s="12">
        <v>2382869.0</v>
      </c>
      <c r="D2455" s="2"/>
      <c r="E2455" s="2" t="s">
        <v>34</v>
      </c>
      <c r="F2455" s="2" t="s">
        <v>6494</v>
      </c>
      <c r="G2455" s="2"/>
      <c r="H2455" s="12">
        <v>0.0</v>
      </c>
      <c r="I2455" s="2" t="s">
        <v>40</v>
      </c>
      <c r="J2455" s="2"/>
      <c r="K2455" s="2" t="s">
        <v>6495</v>
      </c>
      <c r="L2455" s="12">
        <v>253.0</v>
      </c>
      <c r="M2455" s="2" t="s">
        <v>6496</v>
      </c>
      <c r="N2455" s="2" t="str">
        <f>IFERROR(__xludf.DUMMYFUNCTION("""COMPUTED_VALUE"""),"")</f>
        <v/>
      </c>
    </row>
    <row r="2456">
      <c r="A2456" s="2" t="s">
        <v>33</v>
      </c>
      <c r="B2456" s="12">
        <v>2382906.0</v>
      </c>
      <c r="C2456" s="12">
        <v>2383439.0</v>
      </c>
      <c r="D2456" s="2"/>
      <c r="E2456" s="2" t="s">
        <v>38</v>
      </c>
      <c r="F2456" s="2" t="s">
        <v>6497</v>
      </c>
      <c r="G2456" s="2"/>
      <c r="H2456" s="12">
        <v>0.0</v>
      </c>
      <c r="I2456" s="2" t="s">
        <v>40</v>
      </c>
      <c r="J2456" s="2"/>
      <c r="K2456" s="2" t="s">
        <v>6498</v>
      </c>
      <c r="L2456" s="12">
        <v>177.0</v>
      </c>
      <c r="M2456" s="2" t="s">
        <v>6499</v>
      </c>
      <c r="N2456" s="2" t="str">
        <f>IFERROR(__xludf.DUMMYFUNCTION("""COMPUTED_VALUE"""),"")</f>
        <v/>
      </c>
    </row>
    <row r="2457">
      <c r="A2457" s="2" t="s">
        <v>33</v>
      </c>
      <c r="B2457" s="12">
        <v>2383679.0</v>
      </c>
      <c r="C2457" s="12">
        <v>2385328.0</v>
      </c>
      <c r="D2457" s="2"/>
      <c r="E2457" s="2" t="s">
        <v>34</v>
      </c>
      <c r="F2457" s="2" t="s">
        <v>6500</v>
      </c>
      <c r="G2457" s="2"/>
      <c r="H2457" s="12">
        <v>0.0</v>
      </c>
      <c r="I2457" s="2" t="s">
        <v>40</v>
      </c>
      <c r="J2457" s="2"/>
      <c r="K2457" s="2" t="s">
        <v>6501</v>
      </c>
      <c r="L2457" s="12">
        <v>549.0</v>
      </c>
      <c r="M2457" s="2" t="s">
        <v>6502</v>
      </c>
      <c r="N2457" s="2" t="str">
        <f>IFERROR(__xludf.DUMMYFUNCTION("""COMPUTED_VALUE"""),"")</f>
        <v/>
      </c>
    </row>
    <row r="2458">
      <c r="A2458" s="2" t="s">
        <v>33</v>
      </c>
      <c r="B2458" s="12">
        <v>2385445.0</v>
      </c>
      <c r="C2458" s="12">
        <v>2386209.0</v>
      </c>
      <c r="D2458" s="2"/>
      <c r="E2458" s="2" t="s">
        <v>38</v>
      </c>
      <c r="F2458" s="2" t="s">
        <v>6503</v>
      </c>
      <c r="G2458" s="2"/>
      <c r="H2458" s="12">
        <v>0.0</v>
      </c>
      <c r="I2458" s="2" t="s">
        <v>40</v>
      </c>
      <c r="J2458" s="2"/>
      <c r="K2458" s="2" t="s">
        <v>6504</v>
      </c>
      <c r="L2458" s="12">
        <v>254.0</v>
      </c>
      <c r="M2458" s="2" t="s">
        <v>6505</v>
      </c>
      <c r="N2458" s="2" t="str">
        <f>IFERROR(__xludf.DUMMYFUNCTION("""COMPUTED_VALUE"""),"")</f>
        <v/>
      </c>
    </row>
    <row r="2459">
      <c r="A2459" s="2" t="s">
        <v>33</v>
      </c>
      <c r="B2459" s="12">
        <v>2386947.0</v>
      </c>
      <c r="C2459" s="12">
        <v>2387303.0</v>
      </c>
      <c r="D2459" s="2"/>
      <c r="E2459" s="2" t="s">
        <v>38</v>
      </c>
      <c r="F2459" s="2" t="s">
        <v>519</v>
      </c>
      <c r="G2459" s="2"/>
      <c r="H2459" s="12">
        <v>0.0</v>
      </c>
      <c r="I2459" s="2" t="s">
        <v>40</v>
      </c>
      <c r="J2459" s="2"/>
      <c r="K2459" s="2" t="s">
        <v>6506</v>
      </c>
      <c r="L2459" s="12">
        <v>118.0</v>
      </c>
      <c r="M2459" s="2" t="s">
        <v>6507</v>
      </c>
      <c r="N2459" s="2" t="str">
        <f>IFERROR(__xludf.DUMMYFUNCTION("""COMPUTED_VALUE"""),"")</f>
        <v/>
      </c>
    </row>
    <row r="2460">
      <c r="A2460" s="2" t="s">
        <v>33</v>
      </c>
      <c r="B2460" s="12">
        <v>2387442.0</v>
      </c>
      <c r="C2460" s="12">
        <v>2388278.0</v>
      </c>
      <c r="D2460" s="2"/>
      <c r="E2460" s="2" t="s">
        <v>38</v>
      </c>
      <c r="F2460" s="2" t="s">
        <v>1506</v>
      </c>
      <c r="G2460" s="2"/>
      <c r="H2460" s="12">
        <v>0.0</v>
      </c>
      <c r="I2460" s="2" t="s">
        <v>40</v>
      </c>
      <c r="J2460" s="2"/>
      <c r="K2460" s="2" t="s">
        <v>6508</v>
      </c>
      <c r="L2460" s="12">
        <v>278.0</v>
      </c>
      <c r="M2460" s="2" t="s">
        <v>6509</v>
      </c>
      <c r="N2460" s="2" t="str">
        <f>IFERROR(__xludf.DUMMYFUNCTION("""COMPUTED_VALUE"""),"")</f>
        <v/>
      </c>
    </row>
    <row r="2461">
      <c r="A2461" s="2" t="s">
        <v>33</v>
      </c>
      <c r="B2461" s="12">
        <v>2388397.0</v>
      </c>
      <c r="C2461" s="12">
        <v>2388726.0</v>
      </c>
      <c r="D2461" s="2"/>
      <c r="E2461" s="2" t="s">
        <v>38</v>
      </c>
      <c r="F2461" s="2" t="s">
        <v>2480</v>
      </c>
      <c r="G2461" s="2"/>
      <c r="H2461" s="12">
        <v>0.0</v>
      </c>
      <c r="I2461" s="2" t="s">
        <v>40</v>
      </c>
      <c r="J2461" s="2"/>
      <c r="K2461" s="2" t="s">
        <v>6510</v>
      </c>
      <c r="L2461" s="12">
        <v>109.0</v>
      </c>
      <c r="M2461" s="2" t="s">
        <v>6511</v>
      </c>
      <c r="N2461" s="2" t="str">
        <f>IFERROR(__xludf.DUMMYFUNCTION("""COMPUTED_VALUE"""),"")</f>
        <v/>
      </c>
    </row>
    <row r="2462">
      <c r="A2462" s="2" t="s">
        <v>33</v>
      </c>
      <c r="B2462" s="12">
        <v>2388888.0</v>
      </c>
      <c r="C2462" s="12">
        <v>2389865.0</v>
      </c>
      <c r="D2462" s="2"/>
      <c r="E2462" s="2" t="s">
        <v>38</v>
      </c>
      <c r="F2462" s="2" t="s">
        <v>4305</v>
      </c>
      <c r="G2462" s="2"/>
      <c r="H2462" s="12">
        <v>0.0</v>
      </c>
      <c r="I2462" s="2" t="s">
        <v>40</v>
      </c>
      <c r="J2462" s="2"/>
      <c r="K2462" s="2" t="s">
        <v>6512</v>
      </c>
      <c r="L2462" s="12">
        <v>325.0</v>
      </c>
      <c r="M2462" s="2" t="s">
        <v>6513</v>
      </c>
      <c r="N2462" s="2" t="str">
        <f>IFERROR(__xludf.DUMMYFUNCTION("""COMPUTED_VALUE"""),"")</f>
        <v/>
      </c>
    </row>
    <row r="2463">
      <c r="A2463" s="2" t="s">
        <v>33</v>
      </c>
      <c r="B2463" s="12">
        <v>2390171.0</v>
      </c>
      <c r="C2463" s="12">
        <v>2390266.0</v>
      </c>
      <c r="D2463" s="2"/>
      <c r="E2463" s="2" t="s">
        <v>34</v>
      </c>
      <c r="F2463" s="2" t="s">
        <v>6462</v>
      </c>
      <c r="G2463" s="2"/>
      <c r="H2463" s="12">
        <v>0.0</v>
      </c>
      <c r="I2463" s="2" t="s">
        <v>40</v>
      </c>
      <c r="J2463" s="2"/>
      <c r="K2463" s="2" t="s">
        <v>6514</v>
      </c>
      <c r="L2463" s="12">
        <v>31.0</v>
      </c>
      <c r="M2463" s="2" t="s">
        <v>6515</v>
      </c>
      <c r="N2463" s="2" t="str">
        <f>IFERROR(__xludf.DUMMYFUNCTION("""COMPUTED_VALUE"""),"")</f>
        <v/>
      </c>
    </row>
    <row r="2464">
      <c r="A2464" s="2" t="s">
        <v>33</v>
      </c>
      <c r="B2464" s="12">
        <v>2390339.0</v>
      </c>
      <c r="C2464" s="12">
        <v>2390944.0</v>
      </c>
      <c r="D2464" s="2"/>
      <c r="E2464" s="2" t="s">
        <v>38</v>
      </c>
      <c r="F2464" s="2" t="s">
        <v>1150</v>
      </c>
      <c r="G2464" s="2"/>
      <c r="H2464" s="12">
        <v>0.0</v>
      </c>
      <c r="I2464" s="2" t="s">
        <v>40</v>
      </c>
      <c r="J2464" s="2"/>
      <c r="K2464" s="2" t="s">
        <v>6516</v>
      </c>
      <c r="L2464" s="12">
        <v>201.0</v>
      </c>
      <c r="M2464" s="2" t="s">
        <v>6517</v>
      </c>
      <c r="N2464" s="2" t="str">
        <f>IFERROR(__xludf.DUMMYFUNCTION("""COMPUTED_VALUE"""),"")</f>
        <v/>
      </c>
    </row>
    <row r="2465">
      <c r="A2465" s="2" t="s">
        <v>33</v>
      </c>
      <c r="B2465" s="12">
        <v>2391282.0</v>
      </c>
      <c r="C2465" s="12">
        <v>2391377.0</v>
      </c>
      <c r="D2465" s="2"/>
      <c r="E2465" s="2" t="s">
        <v>34</v>
      </c>
      <c r="F2465" s="2" t="s">
        <v>6462</v>
      </c>
      <c r="G2465" s="2"/>
      <c r="H2465" s="12">
        <v>0.0</v>
      </c>
      <c r="I2465" s="2" t="s">
        <v>40</v>
      </c>
      <c r="J2465" s="2"/>
      <c r="K2465" s="2" t="s">
        <v>6518</v>
      </c>
      <c r="L2465" s="12">
        <v>31.0</v>
      </c>
      <c r="M2465" s="2" t="s">
        <v>6519</v>
      </c>
      <c r="N2465" s="2" t="str">
        <f>IFERROR(__xludf.DUMMYFUNCTION("""COMPUTED_VALUE"""),"")</f>
        <v/>
      </c>
    </row>
    <row r="2466">
      <c r="A2466" s="2" t="s">
        <v>33</v>
      </c>
      <c r="B2466" s="12">
        <v>2391438.0</v>
      </c>
      <c r="C2466" s="12">
        <v>2391578.0</v>
      </c>
      <c r="D2466" s="2"/>
      <c r="E2466" s="2" t="s">
        <v>38</v>
      </c>
      <c r="F2466" s="2" t="s">
        <v>6520</v>
      </c>
      <c r="G2466" s="2"/>
      <c r="H2466" s="12">
        <v>0.0</v>
      </c>
      <c r="I2466" s="2" t="s">
        <v>40</v>
      </c>
      <c r="J2466" s="2"/>
      <c r="K2466" s="2" t="s">
        <v>6521</v>
      </c>
      <c r="L2466" s="12">
        <v>46.0</v>
      </c>
      <c r="M2466" s="2" t="s">
        <v>6522</v>
      </c>
      <c r="N2466" s="2" t="str">
        <f>IFERROR(__xludf.DUMMYFUNCTION("""COMPUTED_VALUE"""),"")</f>
        <v/>
      </c>
    </row>
    <row r="2467">
      <c r="A2467" s="2" t="s">
        <v>33</v>
      </c>
      <c r="B2467" s="12">
        <v>2391600.0</v>
      </c>
      <c r="C2467" s="12">
        <v>2392568.0</v>
      </c>
      <c r="D2467" s="2"/>
      <c r="E2467" s="2" t="s">
        <v>38</v>
      </c>
      <c r="F2467" s="2" t="s">
        <v>738</v>
      </c>
      <c r="G2467" s="2"/>
      <c r="H2467" s="12">
        <v>0.0</v>
      </c>
      <c r="I2467" s="2" t="s">
        <v>40</v>
      </c>
      <c r="J2467" s="2"/>
      <c r="K2467" s="2" t="s">
        <v>6523</v>
      </c>
      <c r="L2467" s="12">
        <v>322.0</v>
      </c>
      <c r="M2467" s="2" t="s">
        <v>6524</v>
      </c>
      <c r="N2467" s="2" t="str">
        <f>IFERROR(__xludf.DUMMYFUNCTION("""COMPUTED_VALUE"""),"")</f>
        <v/>
      </c>
    </row>
    <row r="2468">
      <c r="A2468" s="2" t="s">
        <v>33</v>
      </c>
      <c r="B2468" s="12">
        <v>2392696.0</v>
      </c>
      <c r="C2468" s="12">
        <v>2393562.0</v>
      </c>
      <c r="D2468" s="2"/>
      <c r="E2468" s="2" t="s">
        <v>34</v>
      </c>
      <c r="F2468" s="2" t="s">
        <v>694</v>
      </c>
      <c r="G2468" s="2"/>
      <c r="H2468" s="12">
        <v>0.0</v>
      </c>
      <c r="I2468" s="2" t="s">
        <v>40</v>
      </c>
      <c r="J2468" s="2"/>
      <c r="K2468" s="2" t="s">
        <v>6525</v>
      </c>
      <c r="L2468" s="12">
        <v>288.0</v>
      </c>
      <c r="M2468" s="2" t="s">
        <v>6526</v>
      </c>
      <c r="N2468" s="2" t="str">
        <f>IFERROR(__xludf.DUMMYFUNCTION("""COMPUTED_VALUE"""),"")</f>
        <v/>
      </c>
    </row>
    <row r="2469">
      <c r="A2469" s="2" t="s">
        <v>33</v>
      </c>
      <c r="B2469" s="12">
        <v>2393817.0</v>
      </c>
      <c r="C2469" s="12">
        <v>2393918.0</v>
      </c>
      <c r="D2469" s="2"/>
      <c r="E2469" s="2" t="s">
        <v>34</v>
      </c>
      <c r="F2469" s="2" t="s">
        <v>6462</v>
      </c>
      <c r="G2469" s="2"/>
      <c r="H2469" s="12">
        <v>0.0</v>
      </c>
      <c r="I2469" s="2" t="s">
        <v>40</v>
      </c>
      <c r="J2469" s="2"/>
      <c r="K2469" s="2" t="s">
        <v>6527</v>
      </c>
      <c r="L2469" s="12">
        <v>33.0</v>
      </c>
      <c r="M2469" s="2" t="s">
        <v>6528</v>
      </c>
      <c r="N2469" s="2" t="str">
        <f>IFERROR(__xludf.DUMMYFUNCTION("""COMPUTED_VALUE"""),"")</f>
        <v/>
      </c>
    </row>
    <row r="2470">
      <c r="A2470" s="2" t="s">
        <v>33</v>
      </c>
      <c r="B2470" s="12">
        <v>2394137.0</v>
      </c>
      <c r="C2470" s="12">
        <v>2395057.0</v>
      </c>
      <c r="D2470" s="2"/>
      <c r="E2470" s="2" t="s">
        <v>38</v>
      </c>
      <c r="F2470" s="2" t="s">
        <v>1907</v>
      </c>
      <c r="G2470" s="2"/>
      <c r="H2470" s="12">
        <v>0.0</v>
      </c>
      <c r="I2470" s="2" t="s">
        <v>40</v>
      </c>
      <c r="J2470" s="2"/>
      <c r="K2470" s="2" t="s">
        <v>6529</v>
      </c>
      <c r="L2470" s="12">
        <v>306.0</v>
      </c>
      <c r="M2470" s="2" t="s">
        <v>6530</v>
      </c>
      <c r="N2470" s="2" t="str">
        <f>IFERROR(__xludf.DUMMYFUNCTION("""COMPUTED_VALUE"""),"")</f>
        <v/>
      </c>
    </row>
    <row r="2471">
      <c r="A2471" s="2" t="s">
        <v>33</v>
      </c>
      <c r="B2471" s="12">
        <v>2395218.0</v>
      </c>
      <c r="C2471" s="12">
        <v>2396024.0</v>
      </c>
      <c r="D2471" s="2"/>
      <c r="E2471" s="2" t="s">
        <v>34</v>
      </c>
      <c r="F2471" s="2" t="s">
        <v>6531</v>
      </c>
      <c r="G2471" s="2" t="s">
        <v>6532</v>
      </c>
      <c r="H2471" s="12">
        <v>0.0</v>
      </c>
      <c r="I2471" s="2" t="s">
        <v>40</v>
      </c>
      <c r="J2471" s="2"/>
      <c r="K2471" s="2" t="s">
        <v>6533</v>
      </c>
      <c r="L2471" s="12">
        <v>268.0</v>
      </c>
      <c r="M2471" s="2" t="s">
        <v>6534</v>
      </c>
      <c r="N2471" s="2" t="str">
        <f>IFERROR(__xludf.DUMMYFUNCTION("""COMPUTED_VALUE"""),"")</f>
        <v/>
      </c>
    </row>
    <row r="2472">
      <c r="A2472" s="2" t="s">
        <v>33</v>
      </c>
      <c r="B2472" s="12">
        <v>2396030.0</v>
      </c>
      <c r="C2472" s="12">
        <v>2396704.0</v>
      </c>
      <c r="D2472" s="2"/>
      <c r="E2472" s="2" t="s">
        <v>34</v>
      </c>
      <c r="F2472" s="2" t="s">
        <v>6535</v>
      </c>
      <c r="G2472" s="2" t="s">
        <v>6536</v>
      </c>
      <c r="H2472" s="12">
        <v>0.0</v>
      </c>
      <c r="I2472" s="2" t="s">
        <v>40</v>
      </c>
      <c r="J2472" s="2"/>
      <c r="K2472" s="2" t="s">
        <v>6537</v>
      </c>
      <c r="L2472" s="12">
        <v>224.0</v>
      </c>
      <c r="M2472" s="2" t="s">
        <v>6538</v>
      </c>
      <c r="N2472" s="2" t="str">
        <f>IFERROR(__xludf.DUMMYFUNCTION("""COMPUTED_VALUE"""),"")</f>
        <v/>
      </c>
    </row>
    <row r="2473">
      <c r="A2473" s="2" t="s">
        <v>33</v>
      </c>
      <c r="B2473" s="12">
        <v>2397005.0</v>
      </c>
      <c r="C2473" s="12">
        <v>2397856.0</v>
      </c>
      <c r="D2473" s="2"/>
      <c r="E2473" s="2" t="s">
        <v>34</v>
      </c>
      <c r="F2473" s="2" t="s">
        <v>6539</v>
      </c>
      <c r="G2473" s="2"/>
      <c r="H2473" s="12">
        <v>0.0</v>
      </c>
      <c r="I2473" s="2" t="s">
        <v>40</v>
      </c>
      <c r="J2473" s="2"/>
      <c r="K2473" s="2" t="s">
        <v>6540</v>
      </c>
      <c r="L2473" s="12">
        <v>283.0</v>
      </c>
      <c r="M2473" s="2" t="s">
        <v>6541</v>
      </c>
      <c r="N2473" s="2" t="str">
        <f>IFERROR(__xludf.DUMMYFUNCTION("""COMPUTED_VALUE"""),"")</f>
        <v/>
      </c>
    </row>
    <row r="2474">
      <c r="A2474" s="2" t="s">
        <v>33</v>
      </c>
      <c r="B2474" s="12">
        <v>2398142.0</v>
      </c>
      <c r="C2474" s="12">
        <v>2398945.0</v>
      </c>
      <c r="D2474" s="2"/>
      <c r="E2474" s="2" t="s">
        <v>34</v>
      </c>
      <c r="F2474" s="2" t="s">
        <v>6542</v>
      </c>
      <c r="G2474" s="2" t="s">
        <v>6543</v>
      </c>
      <c r="H2474" s="12">
        <v>0.0</v>
      </c>
      <c r="I2474" s="2" t="s">
        <v>40</v>
      </c>
      <c r="J2474" s="2"/>
      <c r="K2474" s="2" t="s">
        <v>6544</v>
      </c>
      <c r="L2474" s="12">
        <v>267.0</v>
      </c>
      <c r="M2474" s="2" t="s">
        <v>6545</v>
      </c>
      <c r="N2474" s="2" t="str">
        <f>IFERROR(__xludf.DUMMYFUNCTION("""COMPUTED_VALUE"""),"")</f>
        <v/>
      </c>
    </row>
    <row r="2475">
      <c r="A2475" s="2" t="s">
        <v>33</v>
      </c>
      <c r="B2475" s="12">
        <v>2398947.0</v>
      </c>
      <c r="C2475" s="12">
        <v>2399780.0</v>
      </c>
      <c r="D2475" s="2"/>
      <c r="E2475" s="2" t="s">
        <v>34</v>
      </c>
      <c r="F2475" s="2" t="s">
        <v>1711</v>
      </c>
      <c r="G2475" s="2"/>
      <c r="H2475" s="12">
        <v>0.0</v>
      </c>
      <c r="I2475" s="2" t="s">
        <v>40</v>
      </c>
      <c r="J2475" s="2"/>
      <c r="K2475" s="2" t="s">
        <v>6546</v>
      </c>
      <c r="L2475" s="12">
        <v>277.0</v>
      </c>
      <c r="M2475" s="2" t="s">
        <v>6547</v>
      </c>
      <c r="N2475" s="2" t="str">
        <f>IFERROR(__xludf.DUMMYFUNCTION("""COMPUTED_VALUE"""),"")</f>
        <v/>
      </c>
    </row>
    <row r="2476">
      <c r="A2476" s="2" t="s">
        <v>33</v>
      </c>
      <c r="B2476" s="12">
        <v>2400170.0</v>
      </c>
      <c r="C2476" s="12">
        <v>2401810.0</v>
      </c>
      <c r="D2476" s="2"/>
      <c r="E2476" s="2" t="s">
        <v>34</v>
      </c>
      <c r="F2476" s="2" t="s">
        <v>1632</v>
      </c>
      <c r="G2476" s="2"/>
      <c r="H2476" s="12">
        <v>0.0</v>
      </c>
      <c r="I2476" s="2" t="s">
        <v>40</v>
      </c>
      <c r="J2476" s="2"/>
      <c r="K2476" s="2" t="s">
        <v>6548</v>
      </c>
      <c r="L2476" s="12">
        <v>546.0</v>
      </c>
      <c r="M2476" s="2" t="s">
        <v>6549</v>
      </c>
      <c r="N2476" s="2" t="str">
        <f>IFERROR(__xludf.DUMMYFUNCTION("""COMPUTED_VALUE"""),"")</f>
        <v/>
      </c>
    </row>
    <row r="2477">
      <c r="A2477" s="2" t="s">
        <v>33</v>
      </c>
      <c r="B2477" s="12">
        <v>2402224.0</v>
      </c>
      <c r="C2477" s="12">
        <v>2403864.0</v>
      </c>
      <c r="D2477" s="2"/>
      <c r="E2477" s="2" t="s">
        <v>34</v>
      </c>
      <c r="F2477" s="2" t="s">
        <v>1632</v>
      </c>
      <c r="G2477" s="2"/>
      <c r="H2477" s="12">
        <v>0.0</v>
      </c>
      <c r="I2477" s="2" t="s">
        <v>40</v>
      </c>
      <c r="J2477" s="2"/>
      <c r="K2477" s="2" t="s">
        <v>6550</v>
      </c>
      <c r="L2477" s="12">
        <v>546.0</v>
      </c>
      <c r="M2477" s="2" t="s">
        <v>6551</v>
      </c>
      <c r="N2477" s="2" t="str">
        <f>IFERROR(__xludf.DUMMYFUNCTION("""COMPUTED_VALUE"""),"")</f>
        <v/>
      </c>
    </row>
    <row r="2478">
      <c r="A2478" s="2" t="s">
        <v>33</v>
      </c>
      <c r="B2478" s="12">
        <v>2403909.0</v>
      </c>
      <c r="C2478" s="12">
        <v>2404187.0</v>
      </c>
      <c r="D2478" s="2"/>
      <c r="E2478" s="2" t="s">
        <v>38</v>
      </c>
      <c r="F2478" s="2" t="s">
        <v>39</v>
      </c>
      <c r="G2478" s="2"/>
      <c r="H2478" s="12">
        <v>0.0</v>
      </c>
      <c r="I2478" s="2" t="s">
        <v>40</v>
      </c>
      <c r="J2478" s="2"/>
      <c r="K2478" s="2" t="s">
        <v>6552</v>
      </c>
      <c r="L2478" s="12">
        <v>92.0</v>
      </c>
      <c r="M2478" s="2" t="s">
        <v>6553</v>
      </c>
      <c r="N2478" s="2" t="str">
        <f>IFERROR(__xludf.DUMMYFUNCTION("""COMPUTED_VALUE"""),"")</f>
        <v/>
      </c>
    </row>
    <row r="2479">
      <c r="A2479" s="2" t="s">
        <v>33</v>
      </c>
      <c r="B2479" s="12">
        <v>2404184.0</v>
      </c>
      <c r="C2479" s="12">
        <v>2404375.0</v>
      </c>
      <c r="D2479" s="2"/>
      <c r="E2479" s="2" t="s">
        <v>38</v>
      </c>
      <c r="F2479" s="2" t="s">
        <v>39</v>
      </c>
      <c r="G2479" s="2"/>
      <c r="H2479" s="12">
        <v>0.0</v>
      </c>
      <c r="I2479" s="2" t="s">
        <v>40</v>
      </c>
      <c r="J2479" s="2"/>
      <c r="K2479" s="2" t="s">
        <v>6554</v>
      </c>
      <c r="L2479" s="12">
        <v>63.0</v>
      </c>
      <c r="M2479" s="2" t="s">
        <v>6555</v>
      </c>
      <c r="N2479" s="2" t="str">
        <f>IFERROR(__xludf.DUMMYFUNCTION("""COMPUTED_VALUE"""),"")</f>
        <v/>
      </c>
    </row>
    <row r="2480">
      <c r="A2480" s="2" t="s">
        <v>33</v>
      </c>
      <c r="B2480" s="12">
        <v>2404393.0</v>
      </c>
      <c r="C2480" s="12">
        <v>2405292.0</v>
      </c>
      <c r="D2480" s="2"/>
      <c r="E2480" s="2" t="s">
        <v>38</v>
      </c>
      <c r="F2480" s="2" t="s">
        <v>220</v>
      </c>
      <c r="G2480" s="2"/>
      <c r="H2480" s="12">
        <v>0.0</v>
      </c>
      <c r="I2480" s="2" t="s">
        <v>40</v>
      </c>
      <c r="J2480" s="2"/>
      <c r="K2480" s="2" t="s">
        <v>6556</v>
      </c>
      <c r="L2480" s="12">
        <v>299.0</v>
      </c>
      <c r="M2480" s="2" t="s">
        <v>6557</v>
      </c>
      <c r="N2480" s="2" t="str">
        <f>IFERROR(__xludf.DUMMYFUNCTION("""COMPUTED_VALUE"""),"")</f>
        <v/>
      </c>
    </row>
    <row r="2481">
      <c r="A2481" s="2" t="s">
        <v>33</v>
      </c>
      <c r="B2481" s="12">
        <v>2405466.0</v>
      </c>
      <c r="C2481" s="12">
        <v>2405933.0</v>
      </c>
      <c r="D2481" s="2"/>
      <c r="E2481" s="2" t="s">
        <v>34</v>
      </c>
      <c r="F2481" s="2" t="s">
        <v>6558</v>
      </c>
      <c r="G2481" s="2"/>
      <c r="H2481" s="12">
        <v>0.0</v>
      </c>
      <c r="I2481" s="2" t="s">
        <v>40</v>
      </c>
      <c r="J2481" s="2"/>
      <c r="K2481" s="2" t="s">
        <v>6559</v>
      </c>
      <c r="L2481" s="12">
        <v>155.0</v>
      </c>
      <c r="M2481" s="2" t="s">
        <v>6560</v>
      </c>
      <c r="N2481" s="2" t="str">
        <f>IFERROR(__xludf.DUMMYFUNCTION("""COMPUTED_VALUE"""),"")</f>
        <v/>
      </c>
    </row>
    <row r="2482">
      <c r="A2482" s="2" t="s">
        <v>33</v>
      </c>
      <c r="B2482" s="12">
        <v>2405950.0</v>
      </c>
      <c r="C2482" s="12">
        <v>2407560.0</v>
      </c>
      <c r="D2482" s="2"/>
      <c r="E2482" s="2" t="s">
        <v>38</v>
      </c>
      <c r="F2482" s="2" t="s">
        <v>1632</v>
      </c>
      <c r="G2482" s="2"/>
      <c r="H2482" s="12">
        <v>0.0</v>
      </c>
      <c r="I2482" s="2" t="s">
        <v>40</v>
      </c>
      <c r="J2482" s="2"/>
      <c r="K2482" s="2" t="s">
        <v>6561</v>
      </c>
      <c r="L2482" s="12">
        <v>536.0</v>
      </c>
      <c r="M2482" s="2" t="s">
        <v>6562</v>
      </c>
      <c r="N2482" s="2" t="str">
        <f>IFERROR(__xludf.DUMMYFUNCTION("""COMPUTED_VALUE"""),"")</f>
        <v/>
      </c>
    </row>
    <row r="2483">
      <c r="A2483" s="2" t="s">
        <v>33</v>
      </c>
      <c r="B2483" s="12">
        <v>2407574.0</v>
      </c>
      <c r="C2483" s="12">
        <v>2408347.0</v>
      </c>
      <c r="D2483" s="2"/>
      <c r="E2483" s="2" t="s">
        <v>38</v>
      </c>
      <c r="F2483" s="2" t="s">
        <v>432</v>
      </c>
      <c r="G2483" s="2"/>
      <c r="H2483" s="12">
        <v>0.0</v>
      </c>
      <c r="I2483" s="2" t="s">
        <v>40</v>
      </c>
      <c r="J2483" s="2"/>
      <c r="K2483" s="2" t="s">
        <v>6563</v>
      </c>
      <c r="L2483" s="12">
        <v>257.0</v>
      </c>
      <c r="M2483" s="2" t="s">
        <v>6564</v>
      </c>
      <c r="N2483" s="2" t="str">
        <f>IFERROR(__xludf.DUMMYFUNCTION("""COMPUTED_VALUE"""),"")</f>
        <v/>
      </c>
    </row>
    <row r="2484">
      <c r="A2484" s="2" t="s">
        <v>33</v>
      </c>
      <c r="B2484" s="12">
        <v>2408344.0</v>
      </c>
      <c r="C2484" s="12">
        <v>2409354.0</v>
      </c>
      <c r="D2484" s="2"/>
      <c r="E2484" s="2" t="s">
        <v>38</v>
      </c>
      <c r="F2484" s="2" t="s">
        <v>432</v>
      </c>
      <c r="G2484" s="2"/>
      <c r="H2484" s="12">
        <v>0.0</v>
      </c>
      <c r="I2484" s="2" t="s">
        <v>40</v>
      </c>
      <c r="J2484" s="2"/>
      <c r="K2484" s="2" t="s">
        <v>6565</v>
      </c>
      <c r="L2484" s="12">
        <v>336.0</v>
      </c>
      <c r="M2484" s="2" t="s">
        <v>6566</v>
      </c>
      <c r="N2484" s="2" t="str">
        <f>IFERROR(__xludf.DUMMYFUNCTION("""COMPUTED_VALUE"""),"")</f>
        <v/>
      </c>
    </row>
    <row r="2485">
      <c r="A2485" s="2" t="s">
        <v>33</v>
      </c>
      <c r="B2485" s="12">
        <v>2409311.0</v>
      </c>
      <c r="C2485" s="12">
        <v>2410315.0</v>
      </c>
      <c r="D2485" s="2"/>
      <c r="E2485" s="2" t="s">
        <v>38</v>
      </c>
      <c r="F2485" s="2" t="s">
        <v>265</v>
      </c>
      <c r="G2485" s="2"/>
      <c r="H2485" s="12">
        <v>0.0</v>
      </c>
      <c r="I2485" s="2" t="s">
        <v>40</v>
      </c>
      <c r="J2485" s="2"/>
      <c r="K2485" s="2" t="s">
        <v>6567</v>
      </c>
      <c r="L2485" s="12">
        <v>334.0</v>
      </c>
      <c r="M2485" s="2" t="s">
        <v>6568</v>
      </c>
      <c r="N2485" s="2" t="str">
        <f>IFERROR(__xludf.DUMMYFUNCTION("""COMPUTED_VALUE"""),"")</f>
        <v/>
      </c>
    </row>
    <row r="2486">
      <c r="A2486" s="2" t="s">
        <v>33</v>
      </c>
      <c r="B2486" s="12">
        <v>2410332.0</v>
      </c>
      <c r="C2486" s="12">
        <v>2411249.0</v>
      </c>
      <c r="D2486" s="2"/>
      <c r="E2486" s="2" t="s">
        <v>38</v>
      </c>
      <c r="F2486" s="2" t="s">
        <v>265</v>
      </c>
      <c r="G2486" s="2"/>
      <c r="H2486" s="12">
        <v>0.0</v>
      </c>
      <c r="I2486" s="2" t="s">
        <v>40</v>
      </c>
      <c r="J2486" s="2"/>
      <c r="K2486" s="2" t="s">
        <v>6569</v>
      </c>
      <c r="L2486" s="12">
        <v>305.0</v>
      </c>
      <c r="M2486" s="2" t="s">
        <v>6570</v>
      </c>
      <c r="N2486" s="2" t="str">
        <f>IFERROR(__xludf.DUMMYFUNCTION("""COMPUTED_VALUE"""),"")</f>
        <v/>
      </c>
    </row>
    <row r="2487">
      <c r="A2487" s="2" t="s">
        <v>33</v>
      </c>
      <c r="B2487" s="12">
        <v>2411659.0</v>
      </c>
      <c r="C2487" s="12">
        <v>2411874.0</v>
      </c>
      <c r="D2487" s="2"/>
      <c r="E2487" s="2" t="s">
        <v>34</v>
      </c>
      <c r="F2487" s="2" t="s">
        <v>2582</v>
      </c>
      <c r="G2487" s="2"/>
      <c r="H2487" s="12">
        <v>0.0</v>
      </c>
      <c r="I2487" s="2" t="s">
        <v>40</v>
      </c>
      <c r="J2487" s="2"/>
      <c r="K2487" s="2" t="s">
        <v>6571</v>
      </c>
      <c r="L2487" s="12">
        <v>71.0</v>
      </c>
      <c r="M2487" s="2" t="s">
        <v>6572</v>
      </c>
      <c r="N2487" s="2" t="str">
        <f>IFERROR(__xludf.DUMMYFUNCTION("""COMPUTED_VALUE"""),"")</f>
        <v/>
      </c>
    </row>
    <row r="2488">
      <c r="A2488" s="2" t="s">
        <v>33</v>
      </c>
      <c r="B2488" s="12">
        <v>2411891.0</v>
      </c>
      <c r="C2488" s="12">
        <v>2412394.0</v>
      </c>
      <c r="D2488" s="2"/>
      <c r="E2488" s="2" t="s">
        <v>38</v>
      </c>
      <c r="F2488" s="2" t="s">
        <v>39</v>
      </c>
      <c r="G2488" s="2"/>
      <c r="H2488" s="12">
        <v>0.0</v>
      </c>
      <c r="I2488" s="2" t="s">
        <v>40</v>
      </c>
      <c r="J2488" s="2"/>
      <c r="K2488" s="2" t="s">
        <v>6573</v>
      </c>
      <c r="L2488" s="12">
        <v>167.0</v>
      </c>
      <c r="M2488" s="2" t="s">
        <v>6574</v>
      </c>
      <c r="N2488" s="2" t="str">
        <f>IFERROR(__xludf.DUMMYFUNCTION("""COMPUTED_VALUE"""),"")</f>
        <v/>
      </c>
    </row>
    <row r="2489">
      <c r="A2489" s="2" t="s">
        <v>33</v>
      </c>
      <c r="B2489" s="12">
        <v>2412668.0</v>
      </c>
      <c r="C2489" s="12">
        <v>2413114.0</v>
      </c>
      <c r="D2489" s="2"/>
      <c r="E2489" s="2" t="s">
        <v>34</v>
      </c>
      <c r="F2489" s="2" t="s">
        <v>39</v>
      </c>
      <c r="G2489" s="2"/>
      <c r="H2489" s="12">
        <v>0.0</v>
      </c>
      <c r="I2489" s="2" t="s">
        <v>40</v>
      </c>
      <c r="J2489" s="2"/>
      <c r="K2489" s="2" t="s">
        <v>6575</v>
      </c>
      <c r="L2489" s="12">
        <v>148.0</v>
      </c>
      <c r="M2489" s="2" t="s">
        <v>6576</v>
      </c>
      <c r="N2489" s="2" t="str">
        <f>IFERROR(__xludf.DUMMYFUNCTION("""COMPUTED_VALUE"""),"")</f>
        <v/>
      </c>
    </row>
    <row r="2490">
      <c r="A2490" s="2" t="s">
        <v>33</v>
      </c>
      <c r="B2490" s="12">
        <v>2413148.0</v>
      </c>
      <c r="C2490" s="12">
        <v>2414407.0</v>
      </c>
      <c r="D2490" s="2"/>
      <c r="E2490" s="2" t="s">
        <v>38</v>
      </c>
      <c r="F2490" s="2" t="s">
        <v>6577</v>
      </c>
      <c r="G2490" s="2"/>
      <c r="H2490" s="12">
        <v>0.0</v>
      </c>
      <c r="I2490" s="2" t="s">
        <v>40</v>
      </c>
      <c r="J2490" s="2"/>
      <c r="K2490" s="2" t="s">
        <v>6578</v>
      </c>
      <c r="L2490" s="12">
        <v>419.0</v>
      </c>
      <c r="M2490" s="2" t="s">
        <v>6579</v>
      </c>
      <c r="N2490" s="2" t="str">
        <f>IFERROR(__xludf.DUMMYFUNCTION("""COMPUTED_VALUE"""),"")</f>
        <v/>
      </c>
    </row>
    <row r="2491">
      <c r="A2491" s="2" t="s">
        <v>33</v>
      </c>
      <c r="B2491" s="12">
        <v>2414525.0</v>
      </c>
      <c r="C2491" s="12">
        <v>2416243.0</v>
      </c>
      <c r="D2491" s="2"/>
      <c r="E2491" s="2" t="s">
        <v>38</v>
      </c>
      <c r="F2491" s="2" t="s">
        <v>6580</v>
      </c>
      <c r="G2491" s="2"/>
      <c r="H2491" s="12">
        <v>0.0</v>
      </c>
      <c r="I2491" s="2" t="s">
        <v>40</v>
      </c>
      <c r="J2491" s="2"/>
      <c r="K2491" s="2" t="s">
        <v>6581</v>
      </c>
      <c r="L2491" s="12">
        <v>572.0</v>
      </c>
      <c r="M2491" s="2" t="s">
        <v>6582</v>
      </c>
      <c r="N2491" s="2" t="str">
        <f>IFERROR(__xludf.DUMMYFUNCTION("""COMPUTED_VALUE"""),"")</f>
        <v/>
      </c>
    </row>
    <row r="2492">
      <c r="A2492" s="2" t="s">
        <v>33</v>
      </c>
      <c r="B2492" s="12">
        <v>2416322.0</v>
      </c>
      <c r="C2492" s="12">
        <v>2416855.0</v>
      </c>
      <c r="D2492" s="2"/>
      <c r="E2492" s="2" t="s">
        <v>38</v>
      </c>
      <c r="F2492" s="2" t="s">
        <v>88</v>
      </c>
      <c r="G2492" s="2"/>
      <c r="H2492" s="12">
        <v>0.0</v>
      </c>
      <c r="I2492" s="2" t="s">
        <v>40</v>
      </c>
      <c r="J2492" s="2"/>
      <c r="K2492" s="2" t="s">
        <v>6583</v>
      </c>
      <c r="L2492" s="12">
        <v>177.0</v>
      </c>
      <c r="M2492" s="2" t="s">
        <v>6584</v>
      </c>
      <c r="N2492" s="2" t="str">
        <f>IFERROR(__xludf.DUMMYFUNCTION("""COMPUTED_VALUE"""),"")</f>
        <v/>
      </c>
    </row>
    <row r="2493">
      <c r="A2493" s="2" t="s">
        <v>33</v>
      </c>
      <c r="B2493" s="12">
        <v>2416852.0</v>
      </c>
      <c r="C2493" s="12">
        <v>2418288.0</v>
      </c>
      <c r="D2493" s="2"/>
      <c r="E2493" s="2" t="s">
        <v>38</v>
      </c>
      <c r="F2493" s="2" t="s">
        <v>3647</v>
      </c>
      <c r="G2493" s="2"/>
      <c r="H2493" s="12">
        <v>0.0</v>
      </c>
      <c r="I2493" s="2" t="s">
        <v>40</v>
      </c>
      <c r="J2493" s="2"/>
      <c r="K2493" s="2" t="s">
        <v>6585</v>
      </c>
      <c r="L2493" s="12">
        <v>478.0</v>
      </c>
      <c r="M2493" s="2" t="s">
        <v>6586</v>
      </c>
      <c r="N2493" s="2" t="str">
        <f>IFERROR(__xludf.DUMMYFUNCTION("""COMPUTED_VALUE"""),"")</f>
        <v/>
      </c>
    </row>
    <row r="2494">
      <c r="A2494" s="2" t="s">
        <v>33</v>
      </c>
      <c r="B2494" s="12">
        <v>2418355.0</v>
      </c>
      <c r="C2494" s="12">
        <v>2419119.0</v>
      </c>
      <c r="D2494" s="2"/>
      <c r="E2494" s="2" t="s">
        <v>38</v>
      </c>
      <c r="F2494" s="2" t="s">
        <v>6587</v>
      </c>
      <c r="G2494" s="2"/>
      <c r="H2494" s="12">
        <v>0.0</v>
      </c>
      <c r="I2494" s="2" t="s">
        <v>40</v>
      </c>
      <c r="J2494" s="2"/>
      <c r="K2494" s="2" t="s">
        <v>6588</v>
      </c>
      <c r="L2494" s="12">
        <v>254.0</v>
      </c>
      <c r="M2494" s="2" t="s">
        <v>6589</v>
      </c>
      <c r="N2494" s="2" t="str">
        <f>IFERROR(__xludf.DUMMYFUNCTION("""COMPUTED_VALUE"""),"")</f>
        <v/>
      </c>
    </row>
    <row r="2495">
      <c r="A2495" s="2" t="s">
        <v>33</v>
      </c>
      <c r="B2495" s="12">
        <v>2419277.0</v>
      </c>
      <c r="C2495" s="12">
        <v>2420185.0</v>
      </c>
      <c r="D2495" s="2"/>
      <c r="E2495" s="2" t="s">
        <v>34</v>
      </c>
      <c r="F2495" s="2" t="s">
        <v>6590</v>
      </c>
      <c r="G2495" s="2"/>
      <c r="H2495" s="12">
        <v>0.0</v>
      </c>
      <c r="I2495" s="2" t="s">
        <v>40</v>
      </c>
      <c r="J2495" s="2"/>
      <c r="K2495" s="2" t="s">
        <v>6591</v>
      </c>
      <c r="L2495" s="12">
        <v>302.0</v>
      </c>
      <c r="M2495" s="2" t="s">
        <v>6592</v>
      </c>
      <c r="N2495" s="2" t="str">
        <f>IFERROR(__xludf.DUMMYFUNCTION("""COMPUTED_VALUE"""),"")</f>
        <v/>
      </c>
    </row>
    <row r="2496">
      <c r="A2496" s="2" t="s">
        <v>33</v>
      </c>
      <c r="B2496" s="12">
        <v>2420466.0</v>
      </c>
      <c r="C2496" s="12">
        <v>2421278.0</v>
      </c>
      <c r="D2496" s="2"/>
      <c r="E2496" s="2" t="s">
        <v>34</v>
      </c>
      <c r="F2496" s="2" t="s">
        <v>6225</v>
      </c>
      <c r="G2496" s="2"/>
      <c r="H2496" s="12">
        <v>0.0</v>
      </c>
      <c r="I2496" s="2" t="s">
        <v>40</v>
      </c>
      <c r="J2496" s="2"/>
      <c r="K2496" s="2" t="s">
        <v>6593</v>
      </c>
      <c r="L2496" s="12">
        <v>270.0</v>
      </c>
      <c r="M2496" s="2" t="s">
        <v>6594</v>
      </c>
      <c r="N2496" s="2" t="str">
        <f>IFERROR(__xludf.DUMMYFUNCTION("""COMPUTED_VALUE"""),"")</f>
        <v/>
      </c>
    </row>
    <row r="2497">
      <c r="A2497" s="2" t="s">
        <v>33</v>
      </c>
      <c r="B2497" s="12">
        <v>2421291.0</v>
      </c>
      <c r="C2497" s="12">
        <v>2422331.0</v>
      </c>
      <c r="D2497" s="2"/>
      <c r="E2497" s="2" t="s">
        <v>34</v>
      </c>
      <c r="F2497" s="2" t="s">
        <v>6231</v>
      </c>
      <c r="G2497" s="2"/>
      <c r="H2497" s="12">
        <v>0.0</v>
      </c>
      <c r="I2497" s="2" t="s">
        <v>40</v>
      </c>
      <c r="J2497" s="2"/>
      <c r="K2497" s="2" t="s">
        <v>6595</v>
      </c>
      <c r="L2497" s="12">
        <v>346.0</v>
      </c>
      <c r="M2497" s="2" t="s">
        <v>6596</v>
      </c>
      <c r="N2497" s="2" t="str">
        <f>IFERROR(__xludf.DUMMYFUNCTION("""COMPUTED_VALUE"""),"")</f>
        <v/>
      </c>
    </row>
    <row r="2498">
      <c r="A2498" s="2" t="s">
        <v>33</v>
      </c>
      <c r="B2498" s="12">
        <v>2422306.0</v>
      </c>
      <c r="C2498" s="12">
        <v>2422974.0</v>
      </c>
      <c r="D2498" s="2"/>
      <c r="E2498" s="2" t="s">
        <v>34</v>
      </c>
      <c r="F2498" s="2" t="s">
        <v>6228</v>
      </c>
      <c r="G2498" s="2"/>
      <c r="H2498" s="12">
        <v>0.0</v>
      </c>
      <c r="I2498" s="2" t="s">
        <v>40</v>
      </c>
      <c r="J2498" s="2"/>
      <c r="K2498" s="2" t="s">
        <v>6597</v>
      </c>
      <c r="L2498" s="12">
        <v>222.0</v>
      </c>
      <c r="M2498" s="2" t="s">
        <v>6598</v>
      </c>
      <c r="N2498" s="2" t="str">
        <f>IFERROR(__xludf.DUMMYFUNCTION("""COMPUTED_VALUE"""),"")</f>
        <v/>
      </c>
    </row>
    <row r="2499">
      <c r="A2499" s="2" t="s">
        <v>33</v>
      </c>
      <c r="B2499" s="12">
        <v>2423014.0</v>
      </c>
      <c r="C2499" s="12">
        <v>2423790.0</v>
      </c>
      <c r="D2499" s="2"/>
      <c r="E2499" s="2" t="s">
        <v>38</v>
      </c>
      <c r="F2499" s="2" t="s">
        <v>333</v>
      </c>
      <c r="G2499" s="2"/>
      <c r="H2499" s="12">
        <v>0.0</v>
      </c>
      <c r="I2499" s="2" t="s">
        <v>40</v>
      </c>
      <c r="J2499" s="2"/>
      <c r="K2499" s="2" t="s">
        <v>6599</v>
      </c>
      <c r="L2499" s="12">
        <v>258.0</v>
      </c>
      <c r="M2499" s="2" t="s">
        <v>6600</v>
      </c>
      <c r="N2499" s="2" t="str">
        <f>IFERROR(__xludf.DUMMYFUNCTION("""COMPUTED_VALUE"""),"")</f>
        <v/>
      </c>
    </row>
    <row r="2500">
      <c r="A2500" s="2" t="s">
        <v>33</v>
      </c>
      <c r="B2500" s="12">
        <v>2424183.0</v>
      </c>
      <c r="C2500" s="12">
        <v>2424689.0</v>
      </c>
      <c r="D2500" s="2"/>
      <c r="E2500" s="2" t="s">
        <v>34</v>
      </c>
      <c r="F2500" s="2" t="s">
        <v>6601</v>
      </c>
      <c r="G2500" s="2"/>
      <c r="H2500" s="12">
        <v>0.0</v>
      </c>
      <c r="I2500" s="2" t="s">
        <v>40</v>
      </c>
      <c r="J2500" s="2"/>
      <c r="K2500" s="2" t="s">
        <v>6602</v>
      </c>
      <c r="L2500" s="12">
        <v>168.0</v>
      </c>
      <c r="M2500" s="2" t="s">
        <v>6603</v>
      </c>
      <c r="N2500" s="2" t="str">
        <f>IFERROR(__xludf.DUMMYFUNCTION("""COMPUTED_VALUE"""),"")</f>
        <v/>
      </c>
    </row>
    <row r="2501">
      <c r="A2501" s="2" t="s">
        <v>33</v>
      </c>
      <c r="B2501" s="12">
        <v>2424762.0</v>
      </c>
      <c r="C2501" s="12">
        <v>2425328.0</v>
      </c>
      <c r="D2501" s="2"/>
      <c r="E2501" s="2" t="s">
        <v>38</v>
      </c>
      <c r="F2501" s="2" t="s">
        <v>6604</v>
      </c>
      <c r="G2501" s="2"/>
      <c r="H2501" s="12">
        <v>0.0</v>
      </c>
      <c r="I2501" s="2" t="s">
        <v>40</v>
      </c>
      <c r="J2501" s="2"/>
      <c r="K2501" s="2" t="s">
        <v>6605</v>
      </c>
      <c r="L2501" s="12">
        <v>188.0</v>
      </c>
      <c r="M2501" s="2" t="s">
        <v>6606</v>
      </c>
      <c r="N2501" s="2" t="str">
        <f>IFERROR(__xludf.DUMMYFUNCTION("""COMPUTED_VALUE"""),"")</f>
        <v/>
      </c>
    </row>
    <row r="2502">
      <c r="A2502" s="2" t="s">
        <v>33</v>
      </c>
      <c r="B2502" s="12">
        <v>2425436.0</v>
      </c>
      <c r="C2502" s="12">
        <v>2427400.0</v>
      </c>
      <c r="D2502" s="2"/>
      <c r="E2502" s="2" t="s">
        <v>38</v>
      </c>
      <c r="F2502" s="2" t="s">
        <v>6607</v>
      </c>
      <c r="G2502" s="2"/>
      <c r="H2502" s="12">
        <v>0.0</v>
      </c>
      <c r="I2502" s="2" t="s">
        <v>40</v>
      </c>
      <c r="J2502" s="2"/>
      <c r="K2502" s="2" t="s">
        <v>6608</v>
      </c>
      <c r="L2502" s="12">
        <v>654.0</v>
      </c>
      <c r="M2502" s="2" t="s">
        <v>6609</v>
      </c>
      <c r="N2502" s="2" t="str">
        <f>IFERROR(__xludf.DUMMYFUNCTION("""COMPUTED_VALUE"""),"")</f>
        <v/>
      </c>
    </row>
    <row r="2503">
      <c r="A2503" s="2" t="s">
        <v>33</v>
      </c>
      <c r="B2503" s="12">
        <v>2428005.0</v>
      </c>
      <c r="C2503" s="12">
        <v>2429132.0</v>
      </c>
      <c r="D2503" s="2"/>
      <c r="E2503" s="2" t="s">
        <v>34</v>
      </c>
      <c r="F2503" s="2" t="s">
        <v>6610</v>
      </c>
      <c r="G2503" s="2"/>
      <c r="H2503" s="12">
        <v>0.0</v>
      </c>
      <c r="I2503" s="2" t="s">
        <v>40</v>
      </c>
      <c r="J2503" s="2"/>
      <c r="K2503" s="2" t="s">
        <v>6611</v>
      </c>
      <c r="L2503" s="12">
        <v>375.0</v>
      </c>
      <c r="M2503" s="2" t="s">
        <v>6612</v>
      </c>
      <c r="N2503" s="2" t="str">
        <f>IFERROR(__xludf.DUMMYFUNCTION("""COMPUTED_VALUE"""),"")</f>
        <v/>
      </c>
    </row>
    <row r="2504">
      <c r="A2504" s="2" t="s">
        <v>33</v>
      </c>
      <c r="B2504" s="12">
        <v>2429230.0</v>
      </c>
      <c r="C2504" s="12">
        <v>2431032.0</v>
      </c>
      <c r="D2504" s="2"/>
      <c r="E2504" s="2" t="s">
        <v>38</v>
      </c>
      <c r="F2504" s="2" t="s">
        <v>6613</v>
      </c>
      <c r="G2504" s="2" t="s">
        <v>6614</v>
      </c>
      <c r="H2504" s="12">
        <v>0.0</v>
      </c>
      <c r="I2504" s="2" t="s">
        <v>40</v>
      </c>
      <c r="J2504" s="2"/>
      <c r="K2504" s="2" t="s">
        <v>6615</v>
      </c>
      <c r="L2504" s="12">
        <v>600.0</v>
      </c>
      <c r="M2504" s="2" t="s">
        <v>6616</v>
      </c>
      <c r="N2504" s="2" t="str">
        <f>IFERROR(__xludf.DUMMYFUNCTION("""COMPUTED_VALUE"""),"")</f>
        <v/>
      </c>
    </row>
    <row r="2505">
      <c r="A2505" s="2" t="s">
        <v>33</v>
      </c>
      <c r="B2505" s="12">
        <v>2431045.0</v>
      </c>
      <c r="C2505" s="12">
        <v>2431230.0</v>
      </c>
      <c r="D2505" s="2"/>
      <c r="E2505" s="2" t="s">
        <v>38</v>
      </c>
      <c r="F2505" s="2" t="s">
        <v>39</v>
      </c>
      <c r="G2505" s="2"/>
      <c r="H2505" s="12">
        <v>0.0</v>
      </c>
      <c r="I2505" s="2" t="s">
        <v>40</v>
      </c>
      <c r="J2505" s="2"/>
      <c r="K2505" s="2" t="s">
        <v>6617</v>
      </c>
      <c r="L2505" s="12">
        <v>61.0</v>
      </c>
      <c r="M2505" s="2" t="s">
        <v>6618</v>
      </c>
      <c r="N2505" s="2" t="str">
        <f>IFERROR(__xludf.DUMMYFUNCTION("""COMPUTED_VALUE"""),"")</f>
        <v/>
      </c>
    </row>
    <row r="2506">
      <c r="A2506" s="2" t="s">
        <v>33</v>
      </c>
      <c r="B2506" s="12">
        <v>2431519.0</v>
      </c>
      <c r="C2506" s="12">
        <v>2432865.0</v>
      </c>
      <c r="D2506" s="2"/>
      <c r="E2506" s="2" t="s">
        <v>38</v>
      </c>
      <c r="F2506" s="2" t="s">
        <v>6619</v>
      </c>
      <c r="G2506" s="2" t="s">
        <v>6620</v>
      </c>
      <c r="H2506" s="12">
        <v>0.0</v>
      </c>
      <c r="I2506" s="2" t="s">
        <v>40</v>
      </c>
      <c r="J2506" s="2"/>
      <c r="K2506" s="2" t="s">
        <v>6621</v>
      </c>
      <c r="L2506" s="12">
        <v>448.0</v>
      </c>
      <c r="M2506" s="2" t="s">
        <v>6622</v>
      </c>
      <c r="N2506" s="2" t="str">
        <f>IFERROR(__xludf.DUMMYFUNCTION("""COMPUTED_VALUE"""),"")</f>
        <v/>
      </c>
    </row>
    <row r="2507">
      <c r="A2507" s="2" t="s">
        <v>33</v>
      </c>
      <c r="B2507" s="12">
        <v>2432858.0</v>
      </c>
      <c r="C2507" s="12">
        <v>2434339.0</v>
      </c>
      <c r="D2507" s="2"/>
      <c r="E2507" s="2" t="s">
        <v>38</v>
      </c>
      <c r="F2507" s="2" t="s">
        <v>6623</v>
      </c>
      <c r="G2507" s="2"/>
      <c r="H2507" s="12">
        <v>0.0</v>
      </c>
      <c r="I2507" s="2" t="s">
        <v>40</v>
      </c>
      <c r="J2507" s="2"/>
      <c r="K2507" s="2" t="s">
        <v>6624</v>
      </c>
      <c r="L2507" s="12">
        <v>493.0</v>
      </c>
      <c r="M2507" s="2" t="s">
        <v>6625</v>
      </c>
      <c r="N2507" s="2" t="str">
        <f>IFERROR(__xludf.DUMMYFUNCTION("""COMPUTED_VALUE"""),"")</f>
        <v/>
      </c>
    </row>
    <row r="2508">
      <c r="A2508" s="2" t="s">
        <v>33</v>
      </c>
      <c r="B2508" s="12">
        <v>2434332.0</v>
      </c>
      <c r="C2508" s="12">
        <v>2435153.0</v>
      </c>
      <c r="D2508" s="2"/>
      <c r="E2508" s="2" t="s">
        <v>38</v>
      </c>
      <c r="F2508" s="2" t="s">
        <v>6626</v>
      </c>
      <c r="G2508" s="2" t="s">
        <v>6627</v>
      </c>
      <c r="H2508" s="12">
        <v>0.0</v>
      </c>
      <c r="I2508" s="2" t="s">
        <v>40</v>
      </c>
      <c r="J2508" s="2"/>
      <c r="K2508" s="2" t="s">
        <v>6628</v>
      </c>
      <c r="L2508" s="12">
        <v>273.0</v>
      </c>
      <c r="M2508" s="2" t="s">
        <v>6629</v>
      </c>
      <c r="N2508" s="2" t="str">
        <f>IFERROR(__xludf.DUMMYFUNCTION("""COMPUTED_VALUE"""),"")</f>
        <v/>
      </c>
    </row>
    <row r="2509">
      <c r="A2509" s="2" t="s">
        <v>33</v>
      </c>
      <c r="B2509" s="12">
        <v>2435402.0</v>
      </c>
      <c r="C2509" s="12">
        <v>2436295.0</v>
      </c>
      <c r="D2509" s="2"/>
      <c r="E2509" s="2" t="s">
        <v>38</v>
      </c>
      <c r="F2509" s="2" t="s">
        <v>6630</v>
      </c>
      <c r="G2509" s="2" t="s">
        <v>6631</v>
      </c>
      <c r="H2509" s="12">
        <v>0.0</v>
      </c>
      <c r="I2509" s="2" t="s">
        <v>40</v>
      </c>
      <c r="J2509" s="2"/>
      <c r="K2509" s="2" t="s">
        <v>6632</v>
      </c>
      <c r="L2509" s="12">
        <v>297.0</v>
      </c>
      <c r="M2509" s="2" t="s">
        <v>6633</v>
      </c>
      <c r="N2509" s="2" t="str">
        <f>IFERROR(__xludf.DUMMYFUNCTION("""COMPUTED_VALUE"""),"")</f>
        <v/>
      </c>
    </row>
    <row r="2510">
      <c r="A2510" s="2" t="s">
        <v>33</v>
      </c>
      <c r="B2510" s="12">
        <v>2436506.0</v>
      </c>
      <c r="C2510" s="12">
        <v>2437651.0</v>
      </c>
      <c r="D2510" s="2"/>
      <c r="E2510" s="2" t="s">
        <v>38</v>
      </c>
      <c r="F2510" s="2" t="s">
        <v>6634</v>
      </c>
      <c r="G2510" s="2"/>
      <c r="H2510" s="12">
        <v>0.0</v>
      </c>
      <c r="I2510" s="2" t="s">
        <v>40</v>
      </c>
      <c r="J2510" s="2"/>
      <c r="K2510" s="2" t="s">
        <v>6635</v>
      </c>
      <c r="L2510" s="12">
        <v>381.0</v>
      </c>
      <c r="M2510" s="2" t="s">
        <v>6636</v>
      </c>
      <c r="N2510" s="2" t="str">
        <f>IFERROR(__xludf.DUMMYFUNCTION("""COMPUTED_VALUE"""),"")</f>
        <v/>
      </c>
    </row>
    <row r="2511">
      <c r="A2511" s="2" t="s">
        <v>33</v>
      </c>
      <c r="B2511" s="12">
        <v>2437769.0</v>
      </c>
      <c r="C2511" s="12">
        <v>2437841.0</v>
      </c>
      <c r="D2511" s="2"/>
      <c r="E2511" s="2" t="s">
        <v>38</v>
      </c>
      <c r="F2511" s="2" t="s">
        <v>5240</v>
      </c>
      <c r="G2511" s="2"/>
      <c r="H2511" s="12">
        <v>0.0</v>
      </c>
      <c r="I2511" s="2" t="s">
        <v>3783</v>
      </c>
      <c r="J2511" s="2"/>
      <c r="K2511" s="2"/>
      <c r="L2511" s="2"/>
      <c r="M2511" s="2" t="s">
        <v>6637</v>
      </c>
      <c r="N2511" s="2" t="str">
        <f>IFERROR(__xludf.DUMMYFUNCTION("""COMPUTED_VALUE"""),"")</f>
        <v/>
      </c>
    </row>
    <row r="2512">
      <c r="A2512" s="2" t="s">
        <v>33</v>
      </c>
      <c r="B2512" s="12">
        <v>2437852.0</v>
      </c>
      <c r="C2512" s="12">
        <v>2437923.0</v>
      </c>
      <c r="D2512" s="2"/>
      <c r="E2512" s="2" t="s">
        <v>38</v>
      </c>
      <c r="F2512" s="2" t="s">
        <v>5248</v>
      </c>
      <c r="G2512" s="2"/>
      <c r="H2512" s="12">
        <v>0.0</v>
      </c>
      <c r="I2512" s="2" t="s">
        <v>3783</v>
      </c>
      <c r="J2512" s="2"/>
      <c r="K2512" s="2"/>
      <c r="L2512" s="2"/>
      <c r="M2512" s="2" t="s">
        <v>6638</v>
      </c>
      <c r="N2512" s="2" t="str">
        <f>IFERROR(__xludf.DUMMYFUNCTION("""COMPUTED_VALUE"""),"")</f>
        <v/>
      </c>
    </row>
    <row r="2513">
      <c r="A2513" s="2" t="s">
        <v>33</v>
      </c>
      <c r="B2513" s="12">
        <v>2437932.0</v>
      </c>
      <c r="C2513" s="12">
        <v>2438004.0</v>
      </c>
      <c r="D2513" s="2"/>
      <c r="E2513" s="2" t="s">
        <v>38</v>
      </c>
      <c r="F2513" s="2" t="s">
        <v>5251</v>
      </c>
      <c r="G2513" s="2"/>
      <c r="H2513" s="12">
        <v>0.0</v>
      </c>
      <c r="I2513" s="2" t="s">
        <v>3783</v>
      </c>
      <c r="J2513" s="2"/>
      <c r="K2513" s="2"/>
      <c r="L2513" s="2"/>
      <c r="M2513" s="2" t="s">
        <v>6639</v>
      </c>
      <c r="N2513" s="2" t="str">
        <f>IFERROR(__xludf.DUMMYFUNCTION("""COMPUTED_VALUE"""),"")</f>
        <v/>
      </c>
    </row>
    <row r="2514">
      <c r="A2514" s="2" t="s">
        <v>33</v>
      </c>
      <c r="B2514" s="12">
        <v>2438010.0</v>
      </c>
      <c r="C2514" s="12">
        <v>2438084.0</v>
      </c>
      <c r="D2514" s="2"/>
      <c r="E2514" s="2" t="s">
        <v>38</v>
      </c>
      <c r="F2514" s="2" t="s">
        <v>5253</v>
      </c>
      <c r="G2514" s="2"/>
      <c r="H2514" s="12">
        <v>0.0</v>
      </c>
      <c r="I2514" s="2" t="s">
        <v>3783</v>
      </c>
      <c r="J2514" s="2"/>
      <c r="K2514" s="2"/>
      <c r="L2514" s="2"/>
      <c r="M2514" s="2" t="s">
        <v>6640</v>
      </c>
      <c r="N2514" s="2" t="str">
        <f>IFERROR(__xludf.DUMMYFUNCTION("""COMPUTED_VALUE"""),"")</f>
        <v/>
      </c>
    </row>
    <row r="2515">
      <c r="A2515" s="2" t="s">
        <v>33</v>
      </c>
      <c r="B2515" s="12">
        <v>2438150.0</v>
      </c>
      <c r="C2515" s="12">
        <v>2438233.0</v>
      </c>
      <c r="D2515" s="2"/>
      <c r="E2515" s="2" t="s">
        <v>38</v>
      </c>
      <c r="F2515" s="2" t="s">
        <v>5255</v>
      </c>
      <c r="G2515" s="2"/>
      <c r="H2515" s="12">
        <v>0.0</v>
      </c>
      <c r="I2515" s="2" t="s">
        <v>3783</v>
      </c>
      <c r="J2515" s="2"/>
      <c r="K2515" s="2"/>
      <c r="L2515" s="2"/>
      <c r="M2515" s="2" t="s">
        <v>6641</v>
      </c>
      <c r="N2515" s="2" t="str">
        <f>IFERROR(__xludf.DUMMYFUNCTION("""COMPUTED_VALUE"""),"")</f>
        <v/>
      </c>
    </row>
    <row r="2516">
      <c r="A2516" s="2" t="s">
        <v>33</v>
      </c>
      <c r="B2516" s="12">
        <v>2438251.0</v>
      </c>
      <c r="C2516" s="12">
        <v>2438326.0</v>
      </c>
      <c r="D2516" s="2"/>
      <c r="E2516" s="2" t="s">
        <v>38</v>
      </c>
      <c r="F2516" s="2" t="s">
        <v>3782</v>
      </c>
      <c r="G2516" s="2"/>
      <c r="H2516" s="12">
        <v>0.0</v>
      </c>
      <c r="I2516" s="2" t="s">
        <v>3783</v>
      </c>
      <c r="J2516" s="2"/>
      <c r="K2516" s="2"/>
      <c r="L2516" s="2"/>
      <c r="M2516" s="2" t="s">
        <v>6642</v>
      </c>
      <c r="N2516" s="2" t="str">
        <f>IFERROR(__xludf.DUMMYFUNCTION("""COMPUTED_VALUE"""),"")</f>
        <v/>
      </c>
    </row>
    <row r="2517">
      <c r="A2517" s="2" t="s">
        <v>33</v>
      </c>
      <c r="B2517" s="12">
        <v>2438332.0</v>
      </c>
      <c r="C2517" s="12">
        <v>2438406.0</v>
      </c>
      <c r="D2517" s="2"/>
      <c r="E2517" s="2" t="s">
        <v>38</v>
      </c>
      <c r="F2517" s="2" t="s">
        <v>5221</v>
      </c>
      <c r="G2517" s="2"/>
      <c r="H2517" s="12">
        <v>0.0</v>
      </c>
      <c r="I2517" s="2" t="s">
        <v>3783</v>
      </c>
      <c r="J2517" s="2"/>
      <c r="K2517" s="2"/>
      <c r="L2517" s="2"/>
      <c r="M2517" s="2" t="s">
        <v>6643</v>
      </c>
      <c r="N2517" s="2" t="str">
        <f>IFERROR(__xludf.DUMMYFUNCTION("""COMPUTED_VALUE"""),"")</f>
        <v/>
      </c>
    </row>
    <row r="2518">
      <c r="A2518" s="2" t="s">
        <v>33</v>
      </c>
      <c r="B2518" s="12">
        <v>2438431.0</v>
      </c>
      <c r="C2518" s="12">
        <v>2438503.0</v>
      </c>
      <c r="D2518" s="2"/>
      <c r="E2518" s="2" t="s">
        <v>38</v>
      </c>
      <c r="F2518" s="2" t="s">
        <v>5229</v>
      </c>
      <c r="G2518" s="2"/>
      <c r="H2518" s="12">
        <v>0.0</v>
      </c>
      <c r="I2518" s="2" t="s">
        <v>3783</v>
      </c>
      <c r="J2518" s="2"/>
      <c r="K2518" s="2"/>
      <c r="L2518" s="2"/>
      <c r="M2518" s="2" t="s">
        <v>6644</v>
      </c>
      <c r="N2518" s="2" t="str">
        <f>IFERROR(__xludf.DUMMYFUNCTION("""COMPUTED_VALUE"""),"")</f>
        <v/>
      </c>
    </row>
    <row r="2519">
      <c r="A2519" s="2" t="s">
        <v>33</v>
      </c>
      <c r="B2519" s="12">
        <v>2438508.0</v>
      </c>
      <c r="C2519" s="12">
        <v>2438582.0</v>
      </c>
      <c r="D2519" s="2"/>
      <c r="E2519" s="2" t="s">
        <v>38</v>
      </c>
      <c r="F2519" s="2" t="s">
        <v>5223</v>
      </c>
      <c r="G2519" s="2"/>
      <c r="H2519" s="12">
        <v>0.0</v>
      </c>
      <c r="I2519" s="2" t="s">
        <v>3783</v>
      </c>
      <c r="J2519" s="2"/>
      <c r="K2519" s="2"/>
      <c r="L2519" s="2"/>
      <c r="M2519" s="2" t="s">
        <v>6645</v>
      </c>
      <c r="N2519" s="2" t="str">
        <f>IFERROR(__xludf.DUMMYFUNCTION("""COMPUTED_VALUE"""),"")</f>
        <v/>
      </c>
    </row>
    <row r="2520">
      <c r="A2520" s="2" t="s">
        <v>33</v>
      </c>
      <c r="B2520" s="12">
        <v>2438592.0</v>
      </c>
      <c r="C2520" s="12">
        <v>2438707.0</v>
      </c>
      <c r="D2520" s="2"/>
      <c r="E2520" s="2" t="s">
        <v>38</v>
      </c>
      <c r="F2520" s="2" t="s">
        <v>5258</v>
      </c>
      <c r="G2520" s="2" t="s">
        <v>5259</v>
      </c>
      <c r="H2520" s="12">
        <v>0.0</v>
      </c>
      <c r="I2520" s="2" t="s">
        <v>5260</v>
      </c>
      <c r="J2520" s="2"/>
      <c r="K2520" s="2"/>
      <c r="L2520" s="2"/>
      <c r="M2520" s="2" t="s">
        <v>6646</v>
      </c>
      <c r="N2520" s="2" t="str">
        <f>IFERROR(__xludf.DUMMYFUNCTION("""COMPUTED_VALUE"""),"")</f>
        <v/>
      </c>
    </row>
    <row r="2521">
      <c r="A2521" s="2" t="s">
        <v>33</v>
      </c>
      <c r="B2521" s="12">
        <v>2438799.0</v>
      </c>
      <c r="C2521" s="12">
        <v>2441720.0</v>
      </c>
      <c r="D2521" s="2"/>
      <c r="E2521" s="2" t="s">
        <v>38</v>
      </c>
      <c r="F2521" s="2" t="s">
        <v>5262</v>
      </c>
      <c r="G2521" s="2"/>
      <c r="H2521" s="12">
        <v>0.0</v>
      </c>
      <c r="I2521" s="2" t="s">
        <v>5260</v>
      </c>
      <c r="J2521" s="2"/>
      <c r="K2521" s="2"/>
      <c r="L2521" s="2"/>
      <c r="M2521" s="2" t="s">
        <v>6647</v>
      </c>
      <c r="N2521" s="2" t="str">
        <f>IFERROR(__xludf.DUMMYFUNCTION("""COMPUTED_VALUE"""),"")</f>
        <v/>
      </c>
    </row>
    <row r="2522">
      <c r="A2522" s="2" t="s">
        <v>33</v>
      </c>
      <c r="B2522" s="12">
        <v>2441866.0</v>
      </c>
      <c r="C2522" s="12">
        <v>2443417.0</v>
      </c>
      <c r="D2522" s="2"/>
      <c r="E2522" s="2" t="s">
        <v>38</v>
      </c>
      <c r="F2522" s="2" t="s">
        <v>5264</v>
      </c>
      <c r="G2522" s="2"/>
      <c r="H2522" s="12">
        <v>0.0</v>
      </c>
      <c r="I2522" s="2" t="s">
        <v>5260</v>
      </c>
      <c r="J2522" s="2"/>
      <c r="K2522" s="2"/>
      <c r="L2522" s="2"/>
      <c r="M2522" s="2" t="s">
        <v>6648</v>
      </c>
      <c r="N2522" s="2" t="str">
        <f>IFERROR(__xludf.DUMMYFUNCTION("""COMPUTED_VALUE"""),"")</f>
        <v/>
      </c>
    </row>
    <row r="2523">
      <c r="A2523" s="2" t="s">
        <v>33</v>
      </c>
      <c r="B2523" s="12">
        <v>2443641.0</v>
      </c>
      <c r="C2523" s="12">
        <v>2443859.0</v>
      </c>
      <c r="D2523" s="2"/>
      <c r="E2523" s="2" t="s">
        <v>38</v>
      </c>
      <c r="F2523" s="2" t="s">
        <v>39</v>
      </c>
      <c r="G2523" s="2"/>
      <c r="H2523" s="12">
        <v>0.0</v>
      </c>
      <c r="I2523" s="2" t="s">
        <v>40</v>
      </c>
      <c r="J2523" s="2"/>
      <c r="K2523" s="2" t="s">
        <v>6649</v>
      </c>
      <c r="L2523" s="12">
        <v>72.0</v>
      </c>
      <c r="M2523" s="2" t="s">
        <v>6650</v>
      </c>
      <c r="N2523" s="2" t="str">
        <f>IFERROR(__xludf.DUMMYFUNCTION("""COMPUTED_VALUE"""),"")</f>
        <v/>
      </c>
    </row>
    <row r="2524">
      <c r="A2524" s="2" t="s">
        <v>33</v>
      </c>
      <c r="B2524" s="12">
        <v>2444030.0</v>
      </c>
      <c r="C2524" s="12">
        <v>2444794.0</v>
      </c>
      <c r="D2524" s="2"/>
      <c r="E2524" s="2" t="s">
        <v>34</v>
      </c>
      <c r="F2524" s="2" t="s">
        <v>6651</v>
      </c>
      <c r="G2524" s="2" t="s">
        <v>6652</v>
      </c>
      <c r="H2524" s="12">
        <v>0.0</v>
      </c>
      <c r="I2524" s="2" t="s">
        <v>40</v>
      </c>
      <c r="J2524" s="2"/>
      <c r="K2524" s="2" t="s">
        <v>6653</v>
      </c>
      <c r="L2524" s="12">
        <v>254.0</v>
      </c>
      <c r="M2524" s="2" t="s">
        <v>6654</v>
      </c>
      <c r="N2524" s="2" t="str">
        <f>IFERROR(__xludf.DUMMYFUNCTION("""COMPUTED_VALUE"""),"")</f>
        <v/>
      </c>
    </row>
    <row r="2525">
      <c r="A2525" s="2" t="s">
        <v>33</v>
      </c>
      <c r="B2525" s="12">
        <v>2444912.0</v>
      </c>
      <c r="C2525" s="12">
        <v>2445523.0</v>
      </c>
      <c r="D2525" s="2"/>
      <c r="E2525" s="2" t="s">
        <v>38</v>
      </c>
      <c r="F2525" s="2" t="s">
        <v>6655</v>
      </c>
      <c r="G2525" s="2" t="s">
        <v>6656</v>
      </c>
      <c r="H2525" s="12">
        <v>0.0</v>
      </c>
      <c r="I2525" s="2" t="s">
        <v>40</v>
      </c>
      <c r="J2525" s="2"/>
      <c r="K2525" s="2" t="s">
        <v>6657</v>
      </c>
      <c r="L2525" s="12">
        <v>203.0</v>
      </c>
      <c r="M2525" s="2" t="s">
        <v>6658</v>
      </c>
      <c r="N2525" s="2" t="str">
        <f>IFERROR(__xludf.DUMMYFUNCTION("""COMPUTED_VALUE"""),"")</f>
        <v/>
      </c>
    </row>
    <row r="2526">
      <c r="A2526" s="2" t="s">
        <v>33</v>
      </c>
      <c r="B2526" s="12">
        <v>2445663.0</v>
      </c>
      <c r="C2526" s="12">
        <v>2446280.0</v>
      </c>
      <c r="D2526" s="2"/>
      <c r="E2526" s="2" t="s">
        <v>34</v>
      </c>
      <c r="F2526" s="2" t="s">
        <v>6659</v>
      </c>
      <c r="G2526" s="2" t="s">
        <v>6660</v>
      </c>
      <c r="H2526" s="12">
        <v>0.0</v>
      </c>
      <c r="I2526" s="2" t="s">
        <v>40</v>
      </c>
      <c r="J2526" s="2"/>
      <c r="K2526" s="2" t="s">
        <v>6661</v>
      </c>
      <c r="L2526" s="12">
        <v>205.0</v>
      </c>
      <c r="M2526" s="2" t="s">
        <v>6662</v>
      </c>
      <c r="N2526" s="2" t="str">
        <f>IFERROR(__xludf.DUMMYFUNCTION("""COMPUTED_VALUE"""),"")</f>
        <v/>
      </c>
    </row>
    <row r="2527">
      <c r="A2527" s="2" t="s">
        <v>33</v>
      </c>
      <c r="B2527" s="12">
        <v>2446452.0</v>
      </c>
      <c r="C2527" s="12">
        <v>2447519.0</v>
      </c>
      <c r="D2527" s="2"/>
      <c r="E2527" s="2" t="s">
        <v>38</v>
      </c>
      <c r="F2527" s="2" t="s">
        <v>6663</v>
      </c>
      <c r="G2527" s="2"/>
      <c r="H2527" s="12">
        <v>0.0</v>
      </c>
      <c r="I2527" s="2" t="s">
        <v>40</v>
      </c>
      <c r="J2527" s="2"/>
      <c r="K2527" s="2" t="s">
        <v>6664</v>
      </c>
      <c r="L2527" s="12">
        <v>355.0</v>
      </c>
      <c r="M2527" s="2" t="s">
        <v>6665</v>
      </c>
      <c r="N2527" s="2" t="str">
        <f>IFERROR(__xludf.DUMMYFUNCTION("""COMPUTED_VALUE"""),"")</f>
        <v/>
      </c>
    </row>
    <row r="2528">
      <c r="A2528" s="2" t="s">
        <v>33</v>
      </c>
      <c r="B2528" s="12">
        <v>2447664.0</v>
      </c>
      <c r="C2528" s="12">
        <v>2448377.0</v>
      </c>
      <c r="D2528" s="2"/>
      <c r="E2528" s="2" t="s">
        <v>38</v>
      </c>
      <c r="F2528" s="2" t="s">
        <v>6666</v>
      </c>
      <c r="G2528" s="2" t="s">
        <v>6667</v>
      </c>
      <c r="H2528" s="12">
        <v>0.0</v>
      </c>
      <c r="I2528" s="2" t="s">
        <v>40</v>
      </c>
      <c r="J2528" s="2"/>
      <c r="K2528" s="2" t="s">
        <v>6668</v>
      </c>
      <c r="L2528" s="12">
        <v>237.0</v>
      </c>
      <c r="M2528" s="2" t="s">
        <v>6669</v>
      </c>
      <c r="N2528" s="2" t="str">
        <f>IFERROR(__xludf.DUMMYFUNCTION("""COMPUTED_VALUE"""),"")</f>
        <v/>
      </c>
    </row>
    <row r="2529">
      <c r="A2529" s="2" t="s">
        <v>33</v>
      </c>
      <c r="B2529" s="12">
        <v>2448444.0</v>
      </c>
      <c r="C2529" s="12">
        <v>2448872.0</v>
      </c>
      <c r="D2529" s="2"/>
      <c r="E2529" s="2" t="s">
        <v>38</v>
      </c>
      <c r="F2529" s="2" t="s">
        <v>6670</v>
      </c>
      <c r="G2529" s="2"/>
      <c r="H2529" s="12">
        <v>0.0</v>
      </c>
      <c r="I2529" s="2" t="s">
        <v>40</v>
      </c>
      <c r="J2529" s="2"/>
      <c r="K2529" s="2" t="s">
        <v>6671</v>
      </c>
      <c r="L2529" s="12">
        <v>142.0</v>
      </c>
      <c r="M2529" s="2" t="s">
        <v>6672</v>
      </c>
      <c r="N2529" s="2" t="str">
        <f>IFERROR(__xludf.DUMMYFUNCTION("""COMPUTED_VALUE"""),"")</f>
        <v/>
      </c>
    </row>
    <row r="2530">
      <c r="A2530" s="2" t="s">
        <v>33</v>
      </c>
      <c r="B2530" s="12">
        <v>2449035.0</v>
      </c>
      <c r="C2530" s="12">
        <v>2449427.0</v>
      </c>
      <c r="D2530" s="2"/>
      <c r="E2530" s="2" t="s">
        <v>38</v>
      </c>
      <c r="F2530" s="2" t="s">
        <v>6673</v>
      </c>
      <c r="G2530" s="2" t="s">
        <v>6674</v>
      </c>
      <c r="H2530" s="12">
        <v>0.0</v>
      </c>
      <c r="I2530" s="2" t="s">
        <v>40</v>
      </c>
      <c r="J2530" s="2"/>
      <c r="K2530" s="2" t="s">
        <v>6675</v>
      </c>
      <c r="L2530" s="12">
        <v>130.0</v>
      </c>
      <c r="M2530" s="2" t="s">
        <v>6676</v>
      </c>
      <c r="N2530" s="2" t="str">
        <f>IFERROR(__xludf.DUMMYFUNCTION("""COMPUTED_VALUE"""),"")</f>
        <v/>
      </c>
    </row>
    <row r="2531">
      <c r="A2531" s="2" t="s">
        <v>33</v>
      </c>
      <c r="B2531" s="12">
        <v>2449449.0</v>
      </c>
      <c r="C2531" s="12">
        <v>2449886.0</v>
      </c>
      <c r="D2531" s="2"/>
      <c r="E2531" s="2" t="s">
        <v>38</v>
      </c>
      <c r="F2531" s="2" t="s">
        <v>6677</v>
      </c>
      <c r="G2531" s="2" t="s">
        <v>6678</v>
      </c>
      <c r="H2531" s="12">
        <v>0.0</v>
      </c>
      <c r="I2531" s="2" t="s">
        <v>40</v>
      </c>
      <c r="J2531" s="2"/>
      <c r="K2531" s="2" t="s">
        <v>6679</v>
      </c>
      <c r="L2531" s="12">
        <v>145.0</v>
      </c>
      <c r="M2531" s="2" t="s">
        <v>6680</v>
      </c>
      <c r="N2531" s="2" t="str">
        <f>IFERROR(__xludf.DUMMYFUNCTION("""COMPUTED_VALUE"""),"")</f>
        <v/>
      </c>
    </row>
    <row r="2532">
      <c r="A2532" s="2" t="s">
        <v>33</v>
      </c>
      <c r="B2532" s="12">
        <v>2450039.0</v>
      </c>
      <c r="C2532" s="12">
        <v>2450782.0</v>
      </c>
      <c r="D2532" s="2"/>
      <c r="E2532" s="2" t="s">
        <v>38</v>
      </c>
      <c r="F2532" s="2" t="s">
        <v>5897</v>
      </c>
      <c r="G2532" s="2" t="s">
        <v>5898</v>
      </c>
      <c r="H2532" s="12">
        <v>0.0</v>
      </c>
      <c r="I2532" s="2" t="s">
        <v>40</v>
      </c>
      <c r="J2532" s="2"/>
      <c r="K2532" s="2" t="s">
        <v>6681</v>
      </c>
      <c r="L2532" s="12">
        <v>247.0</v>
      </c>
      <c r="M2532" s="2" t="s">
        <v>6682</v>
      </c>
      <c r="N2532" s="2" t="str">
        <f>IFERROR(__xludf.DUMMYFUNCTION("""COMPUTED_VALUE"""),"")</f>
        <v/>
      </c>
    </row>
    <row r="2533">
      <c r="A2533" s="2" t="s">
        <v>33</v>
      </c>
      <c r="B2533" s="12">
        <v>2450797.0</v>
      </c>
      <c r="C2533" s="12">
        <v>2451591.0</v>
      </c>
      <c r="D2533" s="2"/>
      <c r="E2533" s="2" t="s">
        <v>38</v>
      </c>
      <c r="F2533" s="2" t="s">
        <v>6683</v>
      </c>
      <c r="G2533" s="2"/>
      <c r="H2533" s="12">
        <v>0.0</v>
      </c>
      <c r="I2533" s="2" t="s">
        <v>40</v>
      </c>
      <c r="J2533" s="2"/>
      <c r="K2533" s="2" t="s">
        <v>6684</v>
      </c>
      <c r="L2533" s="12">
        <v>264.0</v>
      </c>
      <c r="M2533" s="2" t="s">
        <v>6685</v>
      </c>
      <c r="N2533" s="2" t="str">
        <f>IFERROR(__xludf.DUMMYFUNCTION("""COMPUTED_VALUE"""),"")</f>
        <v/>
      </c>
    </row>
    <row r="2534">
      <c r="A2534" s="2" t="s">
        <v>33</v>
      </c>
      <c r="B2534" s="12">
        <v>2451579.0</v>
      </c>
      <c r="C2534" s="12">
        <v>2452460.0</v>
      </c>
      <c r="D2534" s="2"/>
      <c r="E2534" s="2" t="s">
        <v>38</v>
      </c>
      <c r="F2534" s="2" t="s">
        <v>6686</v>
      </c>
      <c r="G2534" s="2"/>
      <c r="H2534" s="12">
        <v>0.0</v>
      </c>
      <c r="I2534" s="2" t="s">
        <v>40</v>
      </c>
      <c r="J2534" s="2"/>
      <c r="K2534" s="2" t="s">
        <v>6687</v>
      </c>
      <c r="L2534" s="12">
        <v>293.0</v>
      </c>
      <c r="M2534" s="2" t="s">
        <v>6688</v>
      </c>
      <c r="N2534" s="2" t="str">
        <f>IFERROR(__xludf.DUMMYFUNCTION("""COMPUTED_VALUE"""),"")</f>
        <v/>
      </c>
    </row>
    <row r="2535">
      <c r="A2535" s="2" t="s">
        <v>33</v>
      </c>
      <c r="B2535" s="12">
        <v>2452436.0</v>
      </c>
      <c r="C2535" s="12">
        <v>2453278.0</v>
      </c>
      <c r="D2535" s="2"/>
      <c r="E2535" s="2" t="s">
        <v>38</v>
      </c>
      <c r="F2535" s="2" t="s">
        <v>6686</v>
      </c>
      <c r="G2535" s="2"/>
      <c r="H2535" s="12">
        <v>0.0</v>
      </c>
      <c r="I2535" s="2" t="s">
        <v>40</v>
      </c>
      <c r="J2535" s="2"/>
      <c r="K2535" s="2" t="s">
        <v>6689</v>
      </c>
      <c r="L2535" s="12">
        <v>280.0</v>
      </c>
      <c r="M2535" s="2" t="s">
        <v>6690</v>
      </c>
      <c r="N2535" s="2" t="str">
        <f>IFERROR(__xludf.DUMMYFUNCTION("""COMPUTED_VALUE"""),"")</f>
        <v/>
      </c>
    </row>
    <row r="2536">
      <c r="A2536" s="2" t="s">
        <v>33</v>
      </c>
      <c r="B2536" s="12">
        <v>2453382.0</v>
      </c>
      <c r="C2536" s="12">
        <v>2453744.0</v>
      </c>
      <c r="D2536" s="2"/>
      <c r="E2536" s="2" t="s">
        <v>38</v>
      </c>
      <c r="F2536" s="2" t="s">
        <v>6691</v>
      </c>
      <c r="G2536" s="2" t="s">
        <v>6692</v>
      </c>
      <c r="H2536" s="12">
        <v>0.0</v>
      </c>
      <c r="I2536" s="2" t="s">
        <v>40</v>
      </c>
      <c r="J2536" s="2"/>
      <c r="K2536" s="2" t="s">
        <v>6693</v>
      </c>
      <c r="L2536" s="12">
        <v>120.0</v>
      </c>
      <c r="M2536" s="2" t="s">
        <v>6694</v>
      </c>
      <c r="N2536" s="2" t="str">
        <f>IFERROR(__xludf.DUMMYFUNCTION("""COMPUTED_VALUE"""),"")</f>
        <v/>
      </c>
    </row>
    <row r="2537">
      <c r="A2537" s="2" t="s">
        <v>33</v>
      </c>
      <c r="B2537" s="12">
        <v>2453780.0</v>
      </c>
      <c r="C2537" s="12">
        <v>2454724.0</v>
      </c>
      <c r="D2537" s="2"/>
      <c r="E2537" s="2" t="s">
        <v>38</v>
      </c>
      <c r="F2537" s="2" t="s">
        <v>6695</v>
      </c>
      <c r="G2537" s="2"/>
      <c r="H2537" s="12">
        <v>0.0</v>
      </c>
      <c r="I2537" s="2" t="s">
        <v>40</v>
      </c>
      <c r="J2537" s="2"/>
      <c r="K2537" s="2" t="s">
        <v>6696</v>
      </c>
      <c r="L2537" s="12">
        <v>314.0</v>
      </c>
      <c r="M2537" s="2" t="s">
        <v>6697</v>
      </c>
      <c r="N2537" s="2" t="str">
        <f>IFERROR(__xludf.DUMMYFUNCTION("""COMPUTED_VALUE"""),"")</f>
        <v/>
      </c>
    </row>
    <row r="2538">
      <c r="A2538" s="2" t="s">
        <v>33</v>
      </c>
      <c r="B2538" s="12">
        <v>2454905.0</v>
      </c>
      <c r="C2538" s="12">
        <v>2455294.0</v>
      </c>
      <c r="D2538" s="2"/>
      <c r="E2538" s="2" t="s">
        <v>38</v>
      </c>
      <c r="F2538" s="2" t="s">
        <v>6698</v>
      </c>
      <c r="G2538" s="2" t="s">
        <v>6699</v>
      </c>
      <c r="H2538" s="12">
        <v>0.0</v>
      </c>
      <c r="I2538" s="2" t="s">
        <v>40</v>
      </c>
      <c r="J2538" s="2"/>
      <c r="K2538" s="2" t="s">
        <v>6700</v>
      </c>
      <c r="L2538" s="12">
        <v>129.0</v>
      </c>
      <c r="M2538" s="2" t="s">
        <v>6701</v>
      </c>
      <c r="N2538" s="2" t="str">
        <f>IFERROR(__xludf.DUMMYFUNCTION("""COMPUTED_VALUE"""),"")</f>
        <v/>
      </c>
    </row>
    <row r="2539">
      <c r="A2539" s="2" t="s">
        <v>33</v>
      </c>
      <c r="B2539" s="12">
        <v>2455319.0</v>
      </c>
      <c r="C2539" s="12">
        <v>2455684.0</v>
      </c>
      <c r="D2539" s="2"/>
      <c r="E2539" s="2" t="s">
        <v>38</v>
      </c>
      <c r="F2539" s="2" t="s">
        <v>6702</v>
      </c>
      <c r="G2539" s="2" t="s">
        <v>6703</v>
      </c>
      <c r="H2539" s="12">
        <v>0.0</v>
      </c>
      <c r="I2539" s="2" t="s">
        <v>40</v>
      </c>
      <c r="J2539" s="2"/>
      <c r="K2539" s="2" t="s">
        <v>6704</v>
      </c>
      <c r="L2539" s="12">
        <v>121.0</v>
      </c>
      <c r="M2539" s="2" t="s">
        <v>6705</v>
      </c>
      <c r="N2539" s="2" t="str">
        <f>IFERROR(__xludf.DUMMYFUNCTION("""COMPUTED_VALUE"""),"")</f>
        <v/>
      </c>
    </row>
    <row r="2540">
      <c r="A2540" s="2" t="s">
        <v>33</v>
      </c>
      <c r="B2540" s="12">
        <v>2455706.0</v>
      </c>
      <c r="C2540" s="12">
        <v>2455819.0</v>
      </c>
      <c r="D2540" s="2"/>
      <c r="E2540" s="2" t="s">
        <v>38</v>
      </c>
      <c r="F2540" s="2" t="s">
        <v>6706</v>
      </c>
      <c r="G2540" s="2" t="s">
        <v>6707</v>
      </c>
      <c r="H2540" s="12">
        <v>0.0</v>
      </c>
      <c r="I2540" s="2" t="s">
        <v>40</v>
      </c>
      <c r="J2540" s="2"/>
      <c r="K2540" s="2" t="s">
        <v>6708</v>
      </c>
      <c r="L2540" s="12">
        <v>37.0</v>
      </c>
      <c r="M2540" s="2" t="s">
        <v>6709</v>
      </c>
      <c r="N2540" s="2" t="str">
        <f>IFERROR(__xludf.DUMMYFUNCTION("""COMPUTED_VALUE"""),"")</f>
        <v/>
      </c>
    </row>
    <row r="2541">
      <c r="A2541" s="2" t="s">
        <v>33</v>
      </c>
      <c r="B2541" s="12">
        <v>2455855.0</v>
      </c>
      <c r="C2541" s="12">
        <v>2456073.0</v>
      </c>
      <c r="D2541" s="2"/>
      <c r="E2541" s="2" t="s">
        <v>38</v>
      </c>
      <c r="F2541" s="2" t="s">
        <v>6710</v>
      </c>
      <c r="G2541" s="2" t="s">
        <v>6711</v>
      </c>
      <c r="H2541" s="12">
        <v>0.0</v>
      </c>
      <c r="I2541" s="2" t="s">
        <v>40</v>
      </c>
      <c r="J2541" s="2"/>
      <c r="K2541" s="2" t="s">
        <v>6712</v>
      </c>
      <c r="L2541" s="12">
        <v>72.0</v>
      </c>
      <c r="M2541" s="2" t="s">
        <v>6713</v>
      </c>
      <c r="N2541" s="2" t="str">
        <f>IFERROR(__xludf.DUMMYFUNCTION("""COMPUTED_VALUE"""),"")</f>
        <v/>
      </c>
    </row>
    <row r="2542">
      <c r="A2542" s="2" t="s">
        <v>33</v>
      </c>
      <c r="B2542" s="12">
        <v>2456142.0</v>
      </c>
      <c r="C2542" s="12">
        <v>2456888.0</v>
      </c>
      <c r="D2542" s="2"/>
      <c r="E2542" s="2" t="s">
        <v>38</v>
      </c>
      <c r="F2542" s="2" t="s">
        <v>2904</v>
      </c>
      <c r="G2542" s="2" t="s">
        <v>6714</v>
      </c>
      <c r="H2542" s="12">
        <v>0.0</v>
      </c>
      <c r="I2542" s="2" t="s">
        <v>40</v>
      </c>
      <c r="J2542" s="2"/>
      <c r="K2542" s="2" t="s">
        <v>6715</v>
      </c>
      <c r="L2542" s="12">
        <v>248.0</v>
      </c>
      <c r="M2542" s="2" t="s">
        <v>6716</v>
      </c>
      <c r="N2542" s="2" t="str">
        <f>IFERROR(__xludf.DUMMYFUNCTION("""COMPUTED_VALUE"""),"")</f>
        <v/>
      </c>
    </row>
    <row r="2543">
      <c r="A2543" s="2" t="s">
        <v>33</v>
      </c>
      <c r="B2543" s="12">
        <v>2456888.0</v>
      </c>
      <c r="C2543" s="12">
        <v>2457538.0</v>
      </c>
      <c r="D2543" s="2"/>
      <c r="E2543" s="2" t="s">
        <v>38</v>
      </c>
      <c r="F2543" s="2" t="s">
        <v>6717</v>
      </c>
      <c r="G2543" s="2"/>
      <c r="H2543" s="12">
        <v>0.0</v>
      </c>
      <c r="I2543" s="2" t="s">
        <v>40</v>
      </c>
      <c r="J2543" s="2"/>
      <c r="K2543" s="2" t="s">
        <v>6718</v>
      </c>
      <c r="L2543" s="12">
        <v>216.0</v>
      </c>
      <c r="M2543" s="2" t="s">
        <v>6719</v>
      </c>
      <c r="N2543" s="2" t="str">
        <f>IFERROR(__xludf.DUMMYFUNCTION("""COMPUTED_VALUE"""),"")</f>
        <v/>
      </c>
    </row>
    <row r="2544">
      <c r="A2544" s="2" t="s">
        <v>33</v>
      </c>
      <c r="B2544" s="12">
        <v>2457595.0</v>
      </c>
      <c r="C2544" s="12">
        <v>2458896.0</v>
      </c>
      <c r="D2544" s="2"/>
      <c r="E2544" s="2" t="s">
        <v>38</v>
      </c>
      <c r="F2544" s="2" t="s">
        <v>6720</v>
      </c>
      <c r="G2544" s="2" t="s">
        <v>6721</v>
      </c>
      <c r="H2544" s="12">
        <v>0.0</v>
      </c>
      <c r="I2544" s="2" t="s">
        <v>40</v>
      </c>
      <c r="J2544" s="2"/>
      <c r="K2544" s="2" t="s">
        <v>6722</v>
      </c>
      <c r="L2544" s="12">
        <v>433.0</v>
      </c>
      <c r="M2544" s="2" t="s">
        <v>6723</v>
      </c>
      <c r="N2544" s="2" t="str">
        <f>IFERROR(__xludf.DUMMYFUNCTION("""COMPUTED_VALUE"""),"")</f>
        <v/>
      </c>
    </row>
    <row r="2545">
      <c r="A2545" s="2" t="s">
        <v>33</v>
      </c>
      <c r="B2545" s="12">
        <v>2458896.0</v>
      </c>
      <c r="C2545" s="12">
        <v>2459336.0</v>
      </c>
      <c r="D2545" s="2"/>
      <c r="E2545" s="2" t="s">
        <v>38</v>
      </c>
      <c r="F2545" s="2" t="s">
        <v>6724</v>
      </c>
      <c r="G2545" s="2" t="s">
        <v>6725</v>
      </c>
      <c r="H2545" s="12">
        <v>0.0</v>
      </c>
      <c r="I2545" s="2" t="s">
        <v>40</v>
      </c>
      <c r="J2545" s="2"/>
      <c r="K2545" s="2" t="s">
        <v>6726</v>
      </c>
      <c r="L2545" s="12">
        <v>146.0</v>
      </c>
      <c r="M2545" s="2" t="s">
        <v>6727</v>
      </c>
      <c r="N2545" s="2" t="str">
        <f>IFERROR(__xludf.DUMMYFUNCTION("""COMPUTED_VALUE"""),"")</f>
        <v/>
      </c>
    </row>
    <row r="2546">
      <c r="A2546" s="2" t="s">
        <v>33</v>
      </c>
      <c r="B2546" s="12">
        <v>2459370.0</v>
      </c>
      <c r="C2546" s="12">
        <v>2459552.0</v>
      </c>
      <c r="D2546" s="2"/>
      <c r="E2546" s="2" t="s">
        <v>38</v>
      </c>
      <c r="F2546" s="2" t="s">
        <v>6728</v>
      </c>
      <c r="G2546" s="2" t="s">
        <v>6729</v>
      </c>
      <c r="H2546" s="12">
        <v>0.0</v>
      </c>
      <c r="I2546" s="2" t="s">
        <v>40</v>
      </c>
      <c r="J2546" s="2"/>
      <c r="K2546" s="2" t="s">
        <v>6730</v>
      </c>
      <c r="L2546" s="12">
        <v>60.0</v>
      </c>
      <c r="M2546" s="2" t="s">
        <v>6731</v>
      </c>
      <c r="N2546" s="2" t="str">
        <f>IFERROR(__xludf.DUMMYFUNCTION("""COMPUTED_VALUE"""),"")</f>
        <v/>
      </c>
    </row>
    <row r="2547">
      <c r="A2547" s="2" t="s">
        <v>33</v>
      </c>
      <c r="B2547" s="12">
        <v>2459566.0</v>
      </c>
      <c r="C2547" s="12">
        <v>2460066.0</v>
      </c>
      <c r="D2547" s="2"/>
      <c r="E2547" s="2" t="s">
        <v>38</v>
      </c>
      <c r="F2547" s="2" t="s">
        <v>6732</v>
      </c>
      <c r="G2547" s="2" t="s">
        <v>6733</v>
      </c>
      <c r="H2547" s="12">
        <v>0.0</v>
      </c>
      <c r="I2547" s="2" t="s">
        <v>40</v>
      </c>
      <c r="J2547" s="2"/>
      <c r="K2547" s="2" t="s">
        <v>6734</v>
      </c>
      <c r="L2547" s="12">
        <v>166.0</v>
      </c>
      <c r="M2547" s="2" t="s">
        <v>6735</v>
      </c>
      <c r="N2547" s="2" t="str">
        <f>IFERROR(__xludf.DUMMYFUNCTION("""COMPUTED_VALUE"""),"")</f>
        <v/>
      </c>
    </row>
    <row r="2548">
      <c r="A2548" s="2" t="s">
        <v>33</v>
      </c>
      <c r="B2548" s="12">
        <v>2460088.0</v>
      </c>
      <c r="C2548" s="12">
        <v>2460450.0</v>
      </c>
      <c r="D2548" s="2"/>
      <c r="E2548" s="2" t="s">
        <v>38</v>
      </c>
      <c r="F2548" s="2" t="s">
        <v>6736</v>
      </c>
      <c r="G2548" s="2" t="s">
        <v>6737</v>
      </c>
      <c r="H2548" s="12">
        <v>0.0</v>
      </c>
      <c r="I2548" s="2" t="s">
        <v>40</v>
      </c>
      <c r="J2548" s="2"/>
      <c r="K2548" s="2" t="s">
        <v>6738</v>
      </c>
      <c r="L2548" s="12">
        <v>120.0</v>
      </c>
      <c r="M2548" s="2" t="s">
        <v>6739</v>
      </c>
      <c r="N2548" s="2" t="str">
        <f>IFERROR(__xludf.DUMMYFUNCTION("""COMPUTED_VALUE"""),"")</f>
        <v/>
      </c>
    </row>
    <row r="2549">
      <c r="A2549" s="2" t="s">
        <v>33</v>
      </c>
      <c r="B2549" s="12">
        <v>2460482.0</v>
      </c>
      <c r="C2549" s="12">
        <v>2461021.0</v>
      </c>
      <c r="D2549" s="2"/>
      <c r="E2549" s="2" t="s">
        <v>38</v>
      </c>
      <c r="F2549" s="2" t="s">
        <v>6740</v>
      </c>
      <c r="G2549" s="2" t="s">
        <v>6741</v>
      </c>
      <c r="H2549" s="12">
        <v>0.0</v>
      </c>
      <c r="I2549" s="2" t="s">
        <v>40</v>
      </c>
      <c r="J2549" s="2"/>
      <c r="K2549" s="2" t="s">
        <v>6742</v>
      </c>
      <c r="L2549" s="12">
        <v>179.0</v>
      </c>
      <c r="M2549" s="2" t="s">
        <v>6743</v>
      </c>
      <c r="N2549" s="2" t="str">
        <f>IFERROR(__xludf.DUMMYFUNCTION("""COMPUTED_VALUE"""),"")</f>
        <v/>
      </c>
    </row>
    <row r="2550">
      <c r="A2550" s="2" t="s">
        <v>33</v>
      </c>
      <c r="B2550" s="12">
        <v>2461054.0</v>
      </c>
      <c r="C2550" s="12">
        <v>2461452.0</v>
      </c>
      <c r="D2550" s="2"/>
      <c r="E2550" s="2" t="s">
        <v>38</v>
      </c>
      <c r="F2550" s="2" t="s">
        <v>6744</v>
      </c>
      <c r="G2550" s="2" t="s">
        <v>6745</v>
      </c>
      <c r="H2550" s="12">
        <v>0.0</v>
      </c>
      <c r="I2550" s="2" t="s">
        <v>40</v>
      </c>
      <c r="J2550" s="2"/>
      <c r="K2550" s="2" t="s">
        <v>6746</v>
      </c>
      <c r="L2550" s="12">
        <v>132.0</v>
      </c>
      <c r="M2550" s="2" t="s">
        <v>6747</v>
      </c>
      <c r="N2550" s="2" t="str">
        <f>IFERROR(__xludf.DUMMYFUNCTION("""COMPUTED_VALUE"""),"")</f>
        <v/>
      </c>
    </row>
    <row r="2551">
      <c r="A2551" s="2" t="s">
        <v>33</v>
      </c>
      <c r="B2551" s="12">
        <v>2461482.0</v>
      </c>
      <c r="C2551" s="12">
        <v>2461667.0</v>
      </c>
      <c r="D2551" s="2"/>
      <c r="E2551" s="2" t="s">
        <v>38</v>
      </c>
      <c r="F2551" s="2" t="s">
        <v>6748</v>
      </c>
      <c r="G2551" s="2" t="s">
        <v>6749</v>
      </c>
      <c r="H2551" s="12">
        <v>0.0</v>
      </c>
      <c r="I2551" s="2" t="s">
        <v>40</v>
      </c>
      <c r="J2551" s="2"/>
      <c r="K2551" s="2" t="s">
        <v>6750</v>
      </c>
      <c r="L2551" s="12">
        <v>61.0</v>
      </c>
      <c r="M2551" s="2" t="s">
        <v>6751</v>
      </c>
      <c r="N2551" s="2" t="str">
        <f>IFERROR(__xludf.DUMMYFUNCTION("""COMPUTED_VALUE"""),"")</f>
        <v/>
      </c>
    </row>
    <row r="2552">
      <c r="A2552" s="2" t="s">
        <v>33</v>
      </c>
      <c r="B2552" s="12">
        <v>2461701.0</v>
      </c>
      <c r="C2552" s="12">
        <v>2462240.0</v>
      </c>
      <c r="D2552" s="2"/>
      <c r="E2552" s="2" t="s">
        <v>38</v>
      </c>
      <c r="F2552" s="2" t="s">
        <v>6752</v>
      </c>
      <c r="G2552" s="2" t="s">
        <v>6753</v>
      </c>
      <c r="H2552" s="12">
        <v>0.0</v>
      </c>
      <c r="I2552" s="2" t="s">
        <v>40</v>
      </c>
      <c r="J2552" s="2"/>
      <c r="K2552" s="2" t="s">
        <v>6754</v>
      </c>
      <c r="L2552" s="12">
        <v>179.0</v>
      </c>
      <c r="M2552" s="2" t="s">
        <v>6755</v>
      </c>
      <c r="N2552" s="2" t="str">
        <f>IFERROR(__xludf.DUMMYFUNCTION("""COMPUTED_VALUE"""),"")</f>
        <v/>
      </c>
    </row>
    <row r="2553">
      <c r="A2553" s="2" t="s">
        <v>33</v>
      </c>
      <c r="B2553" s="12">
        <v>2462267.0</v>
      </c>
      <c r="C2553" s="12">
        <v>2462578.0</v>
      </c>
      <c r="D2553" s="2"/>
      <c r="E2553" s="2" t="s">
        <v>38</v>
      </c>
      <c r="F2553" s="2" t="s">
        <v>6756</v>
      </c>
      <c r="G2553" s="2" t="s">
        <v>6757</v>
      </c>
      <c r="H2553" s="12">
        <v>0.0</v>
      </c>
      <c r="I2553" s="2" t="s">
        <v>40</v>
      </c>
      <c r="J2553" s="2"/>
      <c r="K2553" s="2" t="s">
        <v>6758</v>
      </c>
      <c r="L2553" s="12">
        <v>103.0</v>
      </c>
      <c r="M2553" s="2" t="s">
        <v>6759</v>
      </c>
      <c r="N2553" s="2" t="str">
        <f>IFERROR(__xludf.DUMMYFUNCTION("""COMPUTED_VALUE"""),"")</f>
        <v/>
      </c>
    </row>
    <row r="2554">
      <c r="A2554" s="2" t="s">
        <v>33</v>
      </c>
      <c r="B2554" s="12">
        <v>2462617.0</v>
      </c>
      <c r="C2554" s="12">
        <v>2462985.0</v>
      </c>
      <c r="D2554" s="2"/>
      <c r="E2554" s="2" t="s">
        <v>38</v>
      </c>
      <c r="F2554" s="2" t="s">
        <v>6760</v>
      </c>
      <c r="G2554" s="2" t="s">
        <v>6761</v>
      </c>
      <c r="H2554" s="12">
        <v>0.0</v>
      </c>
      <c r="I2554" s="2" t="s">
        <v>40</v>
      </c>
      <c r="J2554" s="2"/>
      <c r="K2554" s="2" t="s">
        <v>6762</v>
      </c>
      <c r="L2554" s="12">
        <v>122.0</v>
      </c>
      <c r="M2554" s="2" t="s">
        <v>6763</v>
      </c>
      <c r="N2554" s="2" t="str">
        <f>IFERROR(__xludf.DUMMYFUNCTION("""COMPUTED_VALUE"""),"")</f>
        <v/>
      </c>
    </row>
    <row r="2555">
      <c r="A2555" s="2" t="s">
        <v>33</v>
      </c>
      <c r="B2555" s="12">
        <v>2463029.0</v>
      </c>
      <c r="C2555" s="12">
        <v>2463292.0</v>
      </c>
      <c r="D2555" s="2"/>
      <c r="E2555" s="2" t="s">
        <v>38</v>
      </c>
      <c r="F2555" s="2" t="s">
        <v>6764</v>
      </c>
      <c r="G2555" s="2" t="s">
        <v>6765</v>
      </c>
      <c r="H2555" s="12">
        <v>0.0</v>
      </c>
      <c r="I2555" s="2" t="s">
        <v>40</v>
      </c>
      <c r="J2555" s="2"/>
      <c r="K2555" s="2" t="s">
        <v>6766</v>
      </c>
      <c r="L2555" s="12">
        <v>87.0</v>
      </c>
      <c r="M2555" s="2" t="s">
        <v>6767</v>
      </c>
      <c r="N2555" s="2" t="str">
        <f>IFERROR(__xludf.DUMMYFUNCTION("""COMPUTED_VALUE"""),"")</f>
        <v/>
      </c>
    </row>
    <row r="2556">
      <c r="A2556" s="2" t="s">
        <v>33</v>
      </c>
      <c r="B2556" s="12">
        <v>2463313.0</v>
      </c>
      <c r="C2556" s="12">
        <v>2463513.0</v>
      </c>
      <c r="D2556" s="2"/>
      <c r="E2556" s="2" t="s">
        <v>38</v>
      </c>
      <c r="F2556" s="2" t="s">
        <v>6768</v>
      </c>
      <c r="G2556" s="2" t="s">
        <v>6769</v>
      </c>
      <c r="H2556" s="12">
        <v>0.0</v>
      </c>
      <c r="I2556" s="2" t="s">
        <v>40</v>
      </c>
      <c r="J2556" s="2"/>
      <c r="K2556" s="2" t="s">
        <v>6770</v>
      </c>
      <c r="L2556" s="12">
        <v>66.0</v>
      </c>
      <c r="M2556" s="2" t="s">
        <v>6771</v>
      </c>
      <c r="N2556" s="2" t="str">
        <f>IFERROR(__xludf.DUMMYFUNCTION("""COMPUTED_VALUE"""),"")</f>
        <v/>
      </c>
    </row>
    <row r="2557">
      <c r="A2557" s="2" t="s">
        <v>33</v>
      </c>
      <c r="B2557" s="12">
        <v>2463503.0</v>
      </c>
      <c r="C2557" s="12">
        <v>2463937.0</v>
      </c>
      <c r="D2557" s="2"/>
      <c r="E2557" s="2" t="s">
        <v>38</v>
      </c>
      <c r="F2557" s="2" t="s">
        <v>6772</v>
      </c>
      <c r="G2557" s="2" t="s">
        <v>6773</v>
      </c>
      <c r="H2557" s="12">
        <v>0.0</v>
      </c>
      <c r="I2557" s="2" t="s">
        <v>40</v>
      </c>
      <c r="J2557" s="2"/>
      <c r="K2557" s="2" t="s">
        <v>6774</v>
      </c>
      <c r="L2557" s="12">
        <v>144.0</v>
      </c>
      <c r="M2557" s="2" t="s">
        <v>6775</v>
      </c>
      <c r="N2557" s="2" t="str">
        <f>IFERROR(__xludf.DUMMYFUNCTION("""COMPUTED_VALUE"""),"")</f>
        <v/>
      </c>
    </row>
    <row r="2558">
      <c r="A2558" s="2" t="s">
        <v>33</v>
      </c>
      <c r="B2558" s="12">
        <v>2463939.0</v>
      </c>
      <c r="C2558" s="12">
        <v>2464598.0</v>
      </c>
      <c r="D2558" s="2"/>
      <c r="E2558" s="2" t="s">
        <v>38</v>
      </c>
      <c r="F2558" s="2" t="s">
        <v>6776</v>
      </c>
      <c r="G2558" s="2" t="s">
        <v>6777</v>
      </c>
      <c r="H2558" s="12">
        <v>0.0</v>
      </c>
      <c r="I2558" s="2" t="s">
        <v>40</v>
      </c>
      <c r="J2558" s="2"/>
      <c r="K2558" s="2" t="s">
        <v>6778</v>
      </c>
      <c r="L2558" s="12">
        <v>219.0</v>
      </c>
      <c r="M2558" s="2" t="s">
        <v>6779</v>
      </c>
      <c r="N2558" s="2" t="str">
        <f>IFERROR(__xludf.DUMMYFUNCTION("""COMPUTED_VALUE"""),"")</f>
        <v/>
      </c>
    </row>
    <row r="2559">
      <c r="A2559" s="2" t="s">
        <v>33</v>
      </c>
      <c r="B2559" s="12">
        <v>2464602.0</v>
      </c>
      <c r="C2559" s="12">
        <v>2464943.0</v>
      </c>
      <c r="D2559" s="2"/>
      <c r="E2559" s="2" t="s">
        <v>38</v>
      </c>
      <c r="F2559" s="2" t="s">
        <v>6780</v>
      </c>
      <c r="G2559" s="2" t="s">
        <v>6781</v>
      </c>
      <c r="H2559" s="12">
        <v>0.0</v>
      </c>
      <c r="I2559" s="2" t="s">
        <v>40</v>
      </c>
      <c r="J2559" s="2"/>
      <c r="K2559" s="2" t="s">
        <v>6782</v>
      </c>
      <c r="L2559" s="12">
        <v>113.0</v>
      </c>
      <c r="M2559" s="2" t="s">
        <v>6783</v>
      </c>
      <c r="N2559" s="2" t="str">
        <f>IFERROR(__xludf.DUMMYFUNCTION("""COMPUTED_VALUE"""),"")</f>
        <v/>
      </c>
    </row>
    <row r="2560">
      <c r="A2560" s="2" t="s">
        <v>33</v>
      </c>
      <c r="B2560" s="12">
        <v>2464961.0</v>
      </c>
      <c r="C2560" s="12">
        <v>2465239.0</v>
      </c>
      <c r="D2560" s="2"/>
      <c r="E2560" s="2" t="s">
        <v>38</v>
      </c>
      <c r="F2560" s="2" t="s">
        <v>6784</v>
      </c>
      <c r="G2560" s="2" t="s">
        <v>6785</v>
      </c>
      <c r="H2560" s="12">
        <v>0.0</v>
      </c>
      <c r="I2560" s="2" t="s">
        <v>40</v>
      </c>
      <c r="J2560" s="2"/>
      <c r="K2560" s="2" t="s">
        <v>6786</v>
      </c>
      <c r="L2560" s="12">
        <v>92.0</v>
      </c>
      <c r="M2560" s="2" t="s">
        <v>6787</v>
      </c>
      <c r="N2560" s="2" t="str">
        <f>IFERROR(__xludf.DUMMYFUNCTION("""COMPUTED_VALUE"""),"")</f>
        <v/>
      </c>
    </row>
    <row r="2561">
      <c r="A2561" s="2" t="s">
        <v>33</v>
      </c>
      <c r="B2561" s="12">
        <v>2465300.0</v>
      </c>
      <c r="C2561" s="12">
        <v>2466130.0</v>
      </c>
      <c r="D2561" s="2"/>
      <c r="E2561" s="2" t="s">
        <v>38</v>
      </c>
      <c r="F2561" s="2" t="s">
        <v>6788</v>
      </c>
      <c r="G2561" s="2" t="s">
        <v>6789</v>
      </c>
      <c r="H2561" s="12">
        <v>0.0</v>
      </c>
      <c r="I2561" s="2" t="s">
        <v>40</v>
      </c>
      <c r="J2561" s="2"/>
      <c r="K2561" s="2" t="s">
        <v>6790</v>
      </c>
      <c r="L2561" s="12">
        <v>276.0</v>
      </c>
      <c r="M2561" s="2" t="s">
        <v>6791</v>
      </c>
      <c r="N2561" s="2" t="str">
        <f>IFERROR(__xludf.DUMMYFUNCTION("""COMPUTED_VALUE"""),"")</f>
        <v/>
      </c>
    </row>
    <row r="2562">
      <c r="A2562" s="2" t="s">
        <v>33</v>
      </c>
      <c r="B2562" s="12">
        <v>2466159.0</v>
      </c>
      <c r="C2562" s="12">
        <v>2466449.0</v>
      </c>
      <c r="D2562" s="2"/>
      <c r="E2562" s="2" t="s">
        <v>38</v>
      </c>
      <c r="F2562" s="2" t="s">
        <v>6792</v>
      </c>
      <c r="G2562" s="2" t="s">
        <v>6793</v>
      </c>
      <c r="H2562" s="12">
        <v>0.0</v>
      </c>
      <c r="I2562" s="2" t="s">
        <v>40</v>
      </c>
      <c r="J2562" s="2"/>
      <c r="K2562" s="2" t="s">
        <v>6794</v>
      </c>
      <c r="L2562" s="12">
        <v>96.0</v>
      </c>
      <c r="M2562" s="2" t="s">
        <v>6795</v>
      </c>
      <c r="N2562" s="2" t="str">
        <f>IFERROR(__xludf.DUMMYFUNCTION("""COMPUTED_VALUE"""),"")</f>
        <v/>
      </c>
    </row>
    <row r="2563">
      <c r="A2563" s="2" t="s">
        <v>33</v>
      </c>
      <c r="B2563" s="12">
        <v>2466449.0</v>
      </c>
      <c r="C2563" s="12">
        <v>2467072.0</v>
      </c>
      <c r="D2563" s="2"/>
      <c r="E2563" s="2" t="s">
        <v>38</v>
      </c>
      <c r="F2563" s="2" t="s">
        <v>6796</v>
      </c>
      <c r="G2563" s="2" t="s">
        <v>6797</v>
      </c>
      <c r="H2563" s="12">
        <v>0.0</v>
      </c>
      <c r="I2563" s="2" t="s">
        <v>40</v>
      </c>
      <c r="J2563" s="2"/>
      <c r="K2563" s="2" t="s">
        <v>6798</v>
      </c>
      <c r="L2563" s="12">
        <v>207.0</v>
      </c>
      <c r="M2563" s="2" t="s">
        <v>6799</v>
      </c>
      <c r="N2563" s="2" t="str">
        <f>IFERROR(__xludf.DUMMYFUNCTION("""COMPUTED_VALUE"""),"")</f>
        <v/>
      </c>
    </row>
    <row r="2564">
      <c r="A2564" s="2" t="s">
        <v>33</v>
      </c>
      <c r="B2564" s="12">
        <v>2467098.0</v>
      </c>
      <c r="C2564" s="12">
        <v>2467730.0</v>
      </c>
      <c r="D2564" s="2"/>
      <c r="E2564" s="2" t="s">
        <v>38</v>
      </c>
      <c r="F2564" s="2" t="s">
        <v>6800</v>
      </c>
      <c r="G2564" s="2" t="s">
        <v>6801</v>
      </c>
      <c r="H2564" s="12">
        <v>0.0</v>
      </c>
      <c r="I2564" s="2" t="s">
        <v>40</v>
      </c>
      <c r="J2564" s="2"/>
      <c r="K2564" s="2" t="s">
        <v>6802</v>
      </c>
      <c r="L2564" s="12">
        <v>210.0</v>
      </c>
      <c r="M2564" s="2" t="s">
        <v>6803</v>
      </c>
      <c r="N2564" s="2" t="str">
        <f>IFERROR(__xludf.DUMMYFUNCTION("""COMPUTED_VALUE"""),"")</f>
        <v/>
      </c>
    </row>
    <row r="2565">
      <c r="A2565" s="2" t="s">
        <v>33</v>
      </c>
      <c r="B2565" s="12">
        <v>2467765.0</v>
      </c>
      <c r="C2565" s="12">
        <v>2468073.0</v>
      </c>
      <c r="D2565" s="2"/>
      <c r="E2565" s="2" t="s">
        <v>38</v>
      </c>
      <c r="F2565" s="2" t="s">
        <v>6804</v>
      </c>
      <c r="G2565" s="2" t="s">
        <v>6805</v>
      </c>
      <c r="H2565" s="12">
        <v>0.0</v>
      </c>
      <c r="I2565" s="2" t="s">
        <v>40</v>
      </c>
      <c r="J2565" s="2"/>
      <c r="K2565" s="2" t="s">
        <v>6806</v>
      </c>
      <c r="L2565" s="12">
        <v>102.0</v>
      </c>
      <c r="M2565" s="2" t="s">
        <v>6807</v>
      </c>
      <c r="N2565" s="2" t="str">
        <f>IFERROR(__xludf.DUMMYFUNCTION("""COMPUTED_VALUE"""),"")</f>
        <v/>
      </c>
    </row>
    <row r="2566">
      <c r="A2566" s="2" t="s">
        <v>33</v>
      </c>
      <c r="B2566" s="12">
        <v>2468472.0</v>
      </c>
      <c r="C2566" s="12">
        <v>2469659.0</v>
      </c>
      <c r="D2566" s="2"/>
      <c r="E2566" s="2" t="s">
        <v>38</v>
      </c>
      <c r="F2566" s="2" t="s">
        <v>6808</v>
      </c>
      <c r="G2566" s="2" t="s">
        <v>6809</v>
      </c>
      <c r="H2566" s="12">
        <v>0.0</v>
      </c>
      <c r="I2566" s="2" t="s">
        <v>40</v>
      </c>
      <c r="J2566" s="2"/>
      <c r="K2566" s="2" t="s">
        <v>6810</v>
      </c>
      <c r="L2566" s="12">
        <v>395.0</v>
      </c>
      <c r="M2566" s="2" t="s">
        <v>6811</v>
      </c>
      <c r="N2566" s="2" t="str">
        <f>IFERROR(__xludf.DUMMYFUNCTION("""COMPUTED_VALUE"""),"")</f>
        <v/>
      </c>
    </row>
    <row r="2567">
      <c r="A2567" s="2" t="s">
        <v>33</v>
      </c>
      <c r="B2567" s="12">
        <v>2469777.0</v>
      </c>
      <c r="C2567" s="12">
        <v>2471855.0</v>
      </c>
      <c r="D2567" s="2"/>
      <c r="E2567" s="2" t="s">
        <v>38</v>
      </c>
      <c r="F2567" s="2" t="s">
        <v>6812</v>
      </c>
      <c r="G2567" s="2" t="s">
        <v>6813</v>
      </c>
      <c r="H2567" s="12">
        <v>0.0</v>
      </c>
      <c r="I2567" s="2" t="s">
        <v>40</v>
      </c>
      <c r="J2567" s="2"/>
      <c r="K2567" s="2" t="s">
        <v>6814</v>
      </c>
      <c r="L2567" s="12">
        <v>692.0</v>
      </c>
      <c r="M2567" s="2" t="s">
        <v>6815</v>
      </c>
      <c r="N2567" s="2" t="str">
        <f>IFERROR(__xludf.DUMMYFUNCTION("""COMPUTED_VALUE"""),"")</f>
        <v/>
      </c>
    </row>
    <row r="2568">
      <c r="A2568" s="2" t="s">
        <v>33</v>
      </c>
      <c r="B2568" s="12">
        <v>2472064.0</v>
      </c>
      <c r="C2568" s="12">
        <v>2472534.0</v>
      </c>
      <c r="D2568" s="2"/>
      <c r="E2568" s="2" t="s">
        <v>38</v>
      </c>
      <c r="F2568" s="2" t="s">
        <v>6816</v>
      </c>
      <c r="G2568" s="2" t="s">
        <v>6817</v>
      </c>
      <c r="H2568" s="12">
        <v>0.0</v>
      </c>
      <c r="I2568" s="2" t="s">
        <v>40</v>
      </c>
      <c r="J2568" s="2"/>
      <c r="K2568" s="2" t="s">
        <v>6818</v>
      </c>
      <c r="L2568" s="12">
        <v>156.0</v>
      </c>
      <c r="M2568" s="2" t="s">
        <v>6819</v>
      </c>
      <c r="N2568" s="2" t="str">
        <f>IFERROR(__xludf.DUMMYFUNCTION("""COMPUTED_VALUE"""),"")</f>
        <v/>
      </c>
    </row>
    <row r="2569">
      <c r="A2569" s="2" t="s">
        <v>33</v>
      </c>
      <c r="B2569" s="12">
        <v>2472564.0</v>
      </c>
      <c r="C2569" s="12">
        <v>2472986.0</v>
      </c>
      <c r="D2569" s="2"/>
      <c r="E2569" s="2" t="s">
        <v>38</v>
      </c>
      <c r="F2569" s="2" t="s">
        <v>6820</v>
      </c>
      <c r="G2569" s="2" t="s">
        <v>6821</v>
      </c>
      <c r="H2569" s="12">
        <v>0.0</v>
      </c>
      <c r="I2569" s="2" t="s">
        <v>40</v>
      </c>
      <c r="J2569" s="2"/>
      <c r="K2569" s="2" t="s">
        <v>6822</v>
      </c>
      <c r="L2569" s="12">
        <v>140.0</v>
      </c>
      <c r="M2569" s="2" t="s">
        <v>6823</v>
      </c>
      <c r="N2569" s="2" t="str">
        <f>IFERROR(__xludf.DUMMYFUNCTION("""COMPUTED_VALUE"""),"")</f>
        <v/>
      </c>
    </row>
    <row r="2570">
      <c r="A2570" s="2" t="s">
        <v>33</v>
      </c>
      <c r="B2570" s="12">
        <v>2473101.0</v>
      </c>
      <c r="C2570" s="12">
        <v>2473349.0</v>
      </c>
      <c r="D2570" s="2"/>
      <c r="E2570" s="2" t="s">
        <v>38</v>
      </c>
      <c r="F2570" s="2" t="s">
        <v>6824</v>
      </c>
      <c r="G2570" s="2"/>
      <c r="H2570" s="12">
        <v>0.0</v>
      </c>
      <c r="I2570" s="2" t="s">
        <v>40</v>
      </c>
      <c r="J2570" s="2"/>
      <c r="K2570" s="2" t="s">
        <v>6825</v>
      </c>
      <c r="L2570" s="12">
        <v>82.0</v>
      </c>
      <c r="M2570" s="2" t="s">
        <v>6826</v>
      </c>
      <c r="N2570" s="2" t="str">
        <f>IFERROR(__xludf.DUMMYFUNCTION("""COMPUTED_VALUE"""),"")</f>
        <v/>
      </c>
    </row>
    <row r="2571">
      <c r="A2571" s="2" t="s">
        <v>33</v>
      </c>
      <c r="B2571" s="12">
        <v>2473463.0</v>
      </c>
      <c r="C2571" s="12">
        <v>2477074.0</v>
      </c>
      <c r="D2571" s="2"/>
      <c r="E2571" s="2" t="s">
        <v>38</v>
      </c>
      <c r="F2571" s="2" t="s">
        <v>6827</v>
      </c>
      <c r="G2571" s="2" t="s">
        <v>6828</v>
      </c>
      <c r="H2571" s="12">
        <v>0.0</v>
      </c>
      <c r="I2571" s="2" t="s">
        <v>40</v>
      </c>
      <c r="J2571" s="2"/>
      <c r="K2571" s="2" t="s">
        <v>6829</v>
      </c>
      <c r="L2571" s="12">
        <v>1203.0</v>
      </c>
      <c r="M2571" s="2" t="s">
        <v>6830</v>
      </c>
      <c r="N2571" s="2" t="str">
        <f>IFERROR(__xludf.DUMMYFUNCTION("""COMPUTED_VALUE"""),"")</f>
        <v/>
      </c>
    </row>
    <row r="2572">
      <c r="A2572" s="2" t="s">
        <v>33</v>
      </c>
      <c r="B2572" s="12">
        <v>2477112.0</v>
      </c>
      <c r="C2572" s="12">
        <v>2480645.0</v>
      </c>
      <c r="D2572" s="2"/>
      <c r="E2572" s="2" t="s">
        <v>38</v>
      </c>
      <c r="F2572" s="2" t="s">
        <v>6831</v>
      </c>
      <c r="G2572" s="2" t="s">
        <v>6832</v>
      </c>
      <c r="H2572" s="12">
        <v>0.0</v>
      </c>
      <c r="I2572" s="2" t="s">
        <v>40</v>
      </c>
      <c r="J2572" s="2"/>
      <c r="K2572" s="2" t="s">
        <v>6833</v>
      </c>
      <c r="L2572" s="12">
        <v>1177.0</v>
      </c>
      <c r="M2572" s="2" t="s">
        <v>6834</v>
      </c>
      <c r="N2572" s="2" t="str">
        <f>IFERROR(__xludf.DUMMYFUNCTION("""COMPUTED_VALUE"""),"")</f>
        <v/>
      </c>
    </row>
    <row r="2573">
      <c r="A2573" s="2" t="s">
        <v>33</v>
      </c>
      <c r="B2573" s="12">
        <v>2480936.0</v>
      </c>
      <c r="C2573" s="12">
        <v>2481535.0</v>
      </c>
      <c r="D2573" s="2"/>
      <c r="E2573" s="2" t="s">
        <v>38</v>
      </c>
      <c r="F2573" s="2" t="s">
        <v>289</v>
      </c>
      <c r="G2573" s="2"/>
      <c r="H2573" s="12">
        <v>0.0</v>
      </c>
      <c r="I2573" s="2" t="s">
        <v>40</v>
      </c>
      <c r="J2573" s="2"/>
      <c r="K2573" s="2" t="s">
        <v>6835</v>
      </c>
      <c r="L2573" s="12">
        <v>199.0</v>
      </c>
      <c r="M2573" s="2" t="s">
        <v>6836</v>
      </c>
      <c r="N2573" s="2" t="str">
        <f>IFERROR(__xludf.DUMMYFUNCTION("""COMPUTED_VALUE"""),"")</f>
        <v/>
      </c>
    </row>
    <row r="2574">
      <c r="A2574" s="2" t="s">
        <v>33</v>
      </c>
      <c r="B2574" s="12">
        <v>2481612.0</v>
      </c>
      <c r="C2574" s="12">
        <v>2481971.0</v>
      </c>
      <c r="D2574" s="2"/>
      <c r="E2574" s="2" t="s">
        <v>38</v>
      </c>
      <c r="F2574" s="2" t="s">
        <v>6837</v>
      </c>
      <c r="G2574" s="2" t="s">
        <v>6838</v>
      </c>
      <c r="H2574" s="12">
        <v>0.0</v>
      </c>
      <c r="I2574" s="2" t="s">
        <v>40</v>
      </c>
      <c r="J2574" s="2"/>
      <c r="K2574" s="2" t="s">
        <v>6839</v>
      </c>
      <c r="L2574" s="12">
        <v>119.0</v>
      </c>
      <c r="M2574" s="2" t="s">
        <v>6840</v>
      </c>
      <c r="N2574" s="2" t="str">
        <f>IFERROR(__xludf.DUMMYFUNCTION("""COMPUTED_VALUE"""),"")</f>
        <v/>
      </c>
    </row>
    <row r="2575">
      <c r="A2575" s="2" t="s">
        <v>33</v>
      </c>
      <c r="B2575" s="12">
        <v>2482039.0</v>
      </c>
      <c r="C2575" s="12">
        <v>2482539.0</v>
      </c>
      <c r="D2575" s="2"/>
      <c r="E2575" s="2" t="s">
        <v>38</v>
      </c>
      <c r="F2575" s="2" t="s">
        <v>6841</v>
      </c>
      <c r="G2575" s="2" t="s">
        <v>6842</v>
      </c>
      <c r="H2575" s="12">
        <v>0.0</v>
      </c>
      <c r="I2575" s="2" t="s">
        <v>40</v>
      </c>
      <c r="J2575" s="2"/>
      <c r="K2575" s="2" t="s">
        <v>6843</v>
      </c>
      <c r="L2575" s="12">
        <v>166.0</v>
      </c>
      <c r="M2575" s="2" t="s">
        <v>6844</v>
      </c>
      <c r="N2575" s="2" t="str">
        <f>IFERROR(__xludf.DUMMYFUNCTION("""COMPUTED_VALUE"""),"")</f>
        <v/>
      </c>
    </row>
    <row r="2576">
      <c r="A2576" s="2" t="s">
        <v>33</v>
      </c>
      <c r="B2576" s="12">
        <v>2482773.0</v>
      </c>
      <c r="C2576" s="12">
        <v>2483465.0</v>
      </c>
      <c r="D2576" s="2"/>
      <c r="E2576" s="2" t="s">
        <v>38</v>
      </c>
      <c r="F2576" s="2" t="s">
        <v>6845</v>
      </c>
      <c r="G2576" s="2" t="s">
        <v>6846</v>
      </c>
      <c r="H2576" s="12">
        <v>0.0</v>
      </c>
      <c r="I2576" s="2" t="s">
        <v>40</v>
      </c>
      <c r="J2576" s="2"/>
      <c r="K2576" s="2" t="s">
        <v>6847</v>
      </c>
      <c r="L2576" s="12">
        <v>230.0</v>
      </c>
      <c r="M2576" s="2" t="s">
        <v>6848</v>
      </c>
      <c r="N2576" s="2" t="str">
        <f>IFERROR(__xludf.DUMMYFUNCTION("""COMPUTED_VALUE"""),"")</f>
        <v/>
      </c>
    </row>
    <row r="2577">
      <c r="A2577" s="2" t="s">
        <v>33</v>
      </c>
      <c r="B2577" s="12">
        <v>2483642.0</v>
      </c>
      <c r="C2577" s="12">
        <v>2484067.0</v>
      </c>
      <c r="D2577" s="2"/>
      <c r="E2577" s="2" t="s">
        <v>38</v>
      </c>
      <c r="F2577" s="2" t="s">
        <v>6849</v>
      </c>
      <c r="G2577" s="2" t="s">
        <v>6850</v>
      </c>
      <c r="H2577" s="12">
        <v>0.0</v>
      </c>
      <c r="I2577" s="2" t="s">
        <v>40</v>
      </c>
      <c r="J2577" s="2"/>
      <c r="K2577" s="2" t="s">
        <v>6851</v>
      </c>
      <c r="L2577" s="12">
        <v>141.0</v>
      </c>
      <c r="M2577" s="2" t="s">
        <v>6852</v>
      </c>
      <c r="N2577" s="2" t="str">
        <f>IFERROR(__xludf.DUMMYFUNCTION("""COMPUTED_VALUE"""),"")</f>
        <v/>
      </c>
    </row>
    <row r="2578">
      <c r="A2578" s="2" t="s">
        <v>33</v>
      </c>
      <c r="B2578" s="12">
        <v>2484235.0</v>
      </c>
      <c r="C2578" s="12">
        <v>2484768.0</v>
      </c>
      <c r="D2578" s="2"/>
      <c r="E2578" s="2" t="s">
        <v>38</v>
      </c>
      <c r="F2578" s="2" t="s">
        <v>6853</v>
      </c>
      <c r="G2578" s="2" t="s">
        <v>6854</v>
      </c>
      <c r="H2578" s="12">
        <v>0.0</v>
      </c>
      <c r="I2578" s="2" t="s">
        <v>40</v>
      </c>
      <c r="J2578" s="2"/>
      <c r="K2578" s="2" t="s">
        <v>6855</v>
      </c>
      <c r="L2578" s="12">
        <v>177.0</v>
      </c>
      <c r="M2578" s="2" t="s">
        <v>6856</v>
      </c>
      <c r="N2578" s="2" t="str">
        <f>IFERROR(__xludf.DUMMYFUNCTION("""COMPUTED_VALUE"""),"")</f>
        <v/>
      </c>
    </row>
    <row r="2579">
      <c r="A2579" s="2" t="s">
        <v>33</v>
      </c>
      <c r="B2579" s="12">
        <v>2484900.0</v>
      </c>
      <c r="C2579" s="12">
        <v>2485079.0</v>
      </c>
      <c r="D2579" s="2"/>
      <c r="E2579" s="2" t="s">
        <v>38</v>
      </c>
      <c r="F2579" s="2" t="s">
        <v>6857</v>
      </c>
      <c r="G2579" s="2" t="s">
        <v>6858</v>
      </c>
      <c r="H2579" s="12">
        <v>0.0</v>
      </c>
      <c r="I2579" s="2" t="s">
        <v>40</v>
      </c>
      <c r="J2579" s="2"/>
      <c r="K2579" s="2" t="s">
        <v>6859</v>
      </c>
      <c r="L2579" s="12">
        <v>59.0</v>
      </c>
      <c r="M2579" s="2" t="s">
        <v>6860</v>
      </c>
      <c r="N2579" s="2" t="str">
        <f>IFERROR(__xludf.DUMMYFUNCTION("""COMPUTED_VALUE"""),"")</f>
        <v/>
      </c>
    </row>
    <row r="2580">
      <c r="A2580" s="2" t="s">
        <v>33</v>
      </c>
      <c r="B2580" s="12">
        <v>2485112.0</v>
      </c>
      <c r="C2580" s="12">
        <v>2485258.0</v>
      </c>
      <c r="D2580" s="2"/>
      <c r="E2580" s="2" t="s">
        <v>38</v>
      </c>
      <c r="F2580" s="2" t="s">
        <v>6861</v>
      </c>
      <c r="G2580" s="2" t="s">
        <v>6862</v>
      </c>
      <c r="H2580" s="12">
        <v>0.0</v>
      </c>
      <c r="I2580" s="2" t="s">
        <v>40</v>
      </c>
      <c r="J2580" s="2"/>
      <c r="K2580" s="2" t="s">
        <v>6863</v>
      </c>
      <c r="L2580" s="12">
        <v>48.0</v>
      </c>
      <c r="M2580" s="2" t="s">
        <v>6864</v>
      </c>
      <c r="N2580" s="2" t="str">
        <f>IFERROR(__xludf.DUMMYFUNCTION("""COMPUTED_VALUE"""),"")</f>
        <v/>
      </c>
    </row>
    <row r="2581">
      <c r="A2581" s="2" t="s">
        <v>33</v>
      </c>
      <c r="B2581" s="12">
        <v>2485395.0</v>
      </c>
      <c r="C2581" s="12">
        <v>2486054.0</v>
      </c>
      <c r="D2581" s="2"/>
      <c r="E2581" s="2" t="s">
        <v>38</v>
      </c>
      <c r="F2581" s="2" t="s">
        <v>6865</v>
      </c>
      <c r="G2581" s="2"/>
      <c r="H2581" s="12">
        <v>0.0</v>
      </c>
      <c r="I2581" s="2" t="s">
        <v>40</v>
      </c>
      <c r="J2581" s="2"/>
      <c r="K2581" s="2" t="s">
        <v>6866</v>
      </c>
      <c r="L2581" s="12">
        <v>219.0</v>
      </c>
      <c r="M2581" s="2" t="s">
        <v>6867</v>
      </c>
      <c r="N2581" s="2" t="str">
        <f>IFERROR(__xludf.DUMMYFUNCTION("""COMPUTED_VALUE"""),"")</f>
        <v/>
      </c>
    </row>
    <row r="2582">
      <c r="A2582" s="2" t="s">
        <v>33</v>
      </c>
      <c r="B2582" s="12">
        <v>2486122.0</v>
      </c>
      <c r="C2582" s="12">
        <v>2486634.0</v>
      </c>
      <c r="D2582" s="2"/>
      <c r="E2582" s="2" t="s">
        <v>38</v>
      </c>
      <c r="F2582" s="2" t="s">
        <v>6868</v>
      </c>
      <c r="G2582" s="2"/>
      <c r="H2582" s="12">
        <v>0.0</v>
      </c>
      <c r="I2582" s="2" t="s">
        <v>40</v>
      </c>
      <c r="J2582" s="2"/>
      <c r="K2582" s="2" t="s">
        <v>6869</v>
      </c>
      <c r="L2582" s="12">
        <v>170.0</v>
      </c>
      <c r="M2582" s="2" t="s">
        <v>6870</v>
      </c>
      <c r="N2582" s="2" t="str">
        <f>IFERROR(__xludf.DUMMYFUNCTION("""COMPUTED_VALUE"""),"")</f>
        <v/>
      </c>
    </row>
    <row r="2583">
      <c r="A2583" s="2" t="s">
        <v>33</v>
      </c>
      <c r="B2583" s="12">
        <v>2486638.0</v>
      </c>
      <c r="C2583" s="12">
        <v>2487381.0</v>
      </c>
      <c r="D2583" s="2"/>
      <c r="E2583" s="2" t="s">
        <v>38</v>
      </c>
      <c r="F2583" s="2" t="s">
        <v>6871</v>
      </c>
      <c r="G2583" s="2" t="s">
        <v>6872</v>
      </c>
      <c r="H2583" s="12">
        <v>0.0</v>
      </c>
      <c r="I2583" s="2" t="s">
        <v>40</v>
      </c>
      <c r="J2583" s="2"/>
      <c r="K2583" s="2" t="s">
        <v>6873</v>
      </c>
      <c r="L2583" s="12">
        <v>247.0</v>
      </c>
      <c r="M2583" s="2" t="s">
        <v>6874</v>
      </c>
      <c r="N2583" s="2" t="str">
        <f>IFERROR(__xludf.DUMMYFUNCTION("""COMPUTED_VALUE"""),"")</f>
        <v/>
      </c>
    </row>
    <row r="2584">
      <c r="A2584" s="2" t="s">
        <v>33</v>
      </c>
      <c r="B2584" s="12">
        <v>2487378.0</v>
      </c>
      <c r="C2584" s="12">
        <v>2487785.0</v>
      </c>
      <c r="D2584" s="2"/>
      <c r="E2584" s="2" t="s">
        <v>38</v>
      </c>
      <c r="F2584" s="2" t="s">
        <v>6875</v>
      </c>
      <c r="G2584" s="2"/>
      <c r="H2584" s="12">
        <v>0.0</v>
      </c>
      <c r="I2584" s="2" t="s">
        <v>40</v>
      </c>
      <c r="J2584" s="2"/>
      <c r="K2584" s="2" t="s">
        <v>6876</v>
      </c>
      <c r="L2584" s="12">
        <v>135.0</v>
      </c>
      <c r="M2584" s="2" t="s">
        <v>6877</v>
      </c>
      <c r="N2584" s="2" t="str">
        <f>IFERROR(__xludf.DUMMYFUNCTION("""COMPUTED_VALUE"""),"")</f>
        <v/>
      </c>
    </row>
    <row r="2585">
      <c r="A2585" s="2" t="s">
        <v>33</v>
      </c>
      <c r="B2585" s="12">
        <v>2487788.0</v>
      </c>
      <c r="C2585" s="12">
        <v>2489185.0</v>
      </c>
      <c r="D2585" s="2"/>
      <c r="E2585" s="2" t="s">
        <v>38</v>
      </c>
      <c r="F2585" s="2" t="s">
        <v>6878</v>
      </c>
      <c r="G2585" s="2" t="s">
        <v>6879</v>
      </c>
      <c r="H2585" s="12">
        <v>0.0</v>
      </c>
      <c r="I2585" s="2" t="s">
        <v>40</v>
      </c>
      <c r="J2585" s="2"/>
      <c r="K2585" s="2" t="s">
        <v>6880</v>
      </c>
      <c r="L2585" s="12">
        <v>465.0</v>
      </c>
      <c r="M2585" s="2" t="s">
        <v>6881</v>
      </c>
      <c r="N2585" s="2" t="str">
        <f>IFERROR(__xludf.DUMMYFUNCTION("""COMPUTED_VALUE"""),"")</f>
        <v/>
      </c>
    </row>
    <row r="2586">
      <c r="A2586" s="2" t="s">
        <v>33</v>
      </c>
      <c r="B2586" s="12">
        <v>2489166.0</v>
      </c>
      <c r="C2586" s="12">
        <v>2489831.0</v>
      </c>
      <c r="D2586" s="2"/>
      <c r="E2586" s="2" t="s">
        <v>38</v>
      </c>
      <c r="F2586" s="2" t="s">
        <v>6882</v>
      </c>
      <c r="G2586" s="2" t="s">
        <v>6883</v>
      </c>
      <c r="H2586" s="12">
        <v>0.0</v>
      </c>
      <c r="I2586" s="2" t="s">
        <v>40</v>
      </c>
      <c r="J2586" s="2"/>
      <c r="K2586" s="2" t="s">
        <v>6884</v>
      </c>
      <c r="L2586" s="12">
        <v>221.0</v>
      </c>
      <c r="M2586" s="2" t="s">
        <v>6885</v>
      </c>
      <c r="N2586" s="2" t="str">
        <f>IFERROR(__xludf.DUMMYFUNCTION("""COMPUTED_VALUE"""),"")</f>
        <v/>
      </c>
    </row>
    <row r="2587">
      <c r="A2587" s="2" t="s">
        <v>33</v>
      </c>
      <c r="B2587" s="12">
        <v>2490276.0</v>
      </c>
      <c r="C2587" s="12">
        <v>2491733.0</v>
      </c>
      <c r="D2587" s="2"/>
      <c r="E2587" s="2" t="s">
        <v>38</v>
      </c>
      <c r="F2587" s="2" t="s">
        <v>6886</v>
      </c>
      <c r="G2587" s="2" t="s">
        <v>6887</v>
      </c>
      <c r="H2587" s="12">
        <v>0.0</v>
      </c>
      <c r="I2587" s="2" t="s">
        <v>40</v>
      </c>
      <c r="J2587" s="2"/>
      <c r="K2587" s="2" t="s">
        <v>6888</v>
      </c>
      <c r="L2587" s="12">
        <v>485.0</v>
      </c>
      <c r="M2587" s="2" t="s">
        <v>6889</v>
      </c>
      <c r="N2587" s="2" t="str">
        <f>IFERROR(__xludf.DUMMYFUNCTION("""COMPUTED_VALUE"""),"")</f>
        <v/>
      </c>
    </row>
    <row r="2588">
      <c r="A2588" s="2" t="s">
        <v>33</v>
      </c>
      <c r="B2588" s="12">
        <v>2491823.0</v>
      </c>
      <c r="C2588" s="12">
        <v>2492299.0</v>
      </c>
      <c r="D2588" s="2"/>
      <c r="E2588" s="2" t="s">
        <v>38</v>
      </c>
      <c r="F2588" s="2" t="s">
        <v>6890</v>
      </c>
      <c r="G2588" s="2" t="s">
        <v>6891</v>
      </c>
      <c r="H2588" s="12">
        <v>0.0</v>
      </c>
      <c r="I2588" s="2" t="s">
        <v>40</v>
      </c>
      <c r="J2588" s="2"/>
      <c r="K2588" s="2" t="s">
        <v>6892</v>
      </c>
      <c r="L2588" s="12">
        <v>158.0</v>
      </c>
      <c r="M2588" s="2" t="s">
        <v>6893</v>
      </c>
      <c r="N2588" s="2" t="str">
        <f>IFERROR(__xludf.DUMMYFUNCTION("""COMPUTED_VALUE"""),"")</f>
        <v/>
      </c>
    </row>
    <row r="2589">
      <c r="A2589" s="2" t="s">
        <v>33</v>
      </c>
      <c r="B2589" s="12">
        <v>2492416.0</v>
      </c>
      <c r="C2589" s="12">
        <v>2493096.0</v>
      </c>
      <c r="D2589" s="2"/>
      <c r="E2589" s="2" t="s">
        <v>38</v>
      </c>
      <c r="F2589" s="2" t="s">
        <v>6894</v>
      </c>
      <c r="G2589" s="2" t="s">
        <v>6895</v>
      </c>
      <c r="H2589" s="12">
        <v>0.0</v>
      </c>
      <c r="I2589" s="2" t="s">
        <v>40</v>
      </c>
      <c r="J2589" s="2"/>
      <c r="K2589" s="2" t="s">
        <v>6896</v>
      </c>
      <c r="L2589" s="12">
        <v>226.0</v>
      </c>
      <c r="M2589" s="2" t="s">
        <v>6897</v>
      </c>
      <c r="N2589" s="2" t="str">
        <f>IFERROR(__xludf.DUMMYFUNCTION("""COMPUTED_VALUE"""),"")</f>
        <v/>
      </c>
    </row>
    <row r="2590">
      <c r="A2590" s="2" t="s">
        <v>33</v>
      </c>
      <c r="B2590" s="12">
        <v>2493113.0</v>
      </c>
      <c r="C2590" s="12">
        <v>2494222.0</v>
      </c>
      <c r="D2590" s="2"/>
      <c r="E2590" s="2" t="s">
        <v>38</v>
      </c>
      <c r="F2590" s="2" t="s">
        <v>6898</v>
      </c>
      <c r="G2590" s="2"/>
      <c r="H2590" s="12">
        <v>0.0</v>
      </c>
      <c r="I2590" s="2" t="s">
        <v>40</v>
      </c>
      <c r="J2590" s="2"/>
      <c r="K2590" s="2" t="s">
        <v>6899</v>
      </c>
      <c r="L2590" s="12">
        <v>369.0</v>
      </c>
      <c r="M2590" s="2" t="s">
        <v>6900</v>
      </c>
      <c r="N2590" s="2" t="str">
        <f>IFERROR(__xludf.DUMMYFUNCTION("""COMPUTED_VALUE"""),"")</f>
        <v/>
      </c>
    </row>
    <row r="2591">
      <c r="A2591" s="2" t="s">
        <v>33</v>
      </c>
      <c r="B2591" s="12">
        <v>2494383.0</v>
      </c>
      <c r="C2591" s="12">
        <v>2495456.0</v>
      </c>
      <c r="D2591" s="2"/>
      <c r="E2591" s="2" t="s">
        <v>38</v>
      </c>
      <c r="F2591" s="2" t="s">
        <v>6901</v>
      </c>
      <c r="G2591" s="2" t="s">
        <v>6902</v>
      </c>
      <c r="H2591" s="12">
        <v>0.0</v>
      </c>
      <c r="I2591" s="2" t="s">
        <v>40</v>
      </c>
      <c r="J2591" s="2"/>
      <c r="K2591" s="2" t="s">
        <v>6903</v>
      </c>
      <c r="L2591" s="12">
        <v>357.0</v>
      </c>
      <c r="M2591" s="2" t="s">
        <v>6904</v>
      </c>
      <c r="N2591" s="2" t="str">
        <f>IFERROR(__xludf.DUMMYFUNCTION("""COMPUTED_VALUE"""),"")</f>
        <v/>
      </c>
    </row>
    <row r="2592">
      <c r="A2592" s="2" t="s">
        <v>33</v>
      </c>
      <c r="B2592" s="12">
        <v>2495460.0</v>
      </c>
      <c r="C2592" s="12">
        <v>2496836.0</v>
      </c>
      <c r="D2592" s="2"/>
      <c r="E2592" s="2" t="s">
        <v>38</v>
      </c>
      <c r="F2592" s="2" t="s">
        <v>6905</v>
      </c>
      <c r="G2592" s="2" t="s">
        <v>6906</v>
      </c>
      <c r="H2592" s="12">
        <v>0.0</v>
      </c>
      <c r="I2592" s="2" t="s">
        <v>40</v>
      </c>
      <c r="J2592" s="2"/>
      <c r="K2592" s="2" t="s">
        <v>6907</v>
      </c>
      <c r="L2592" s="12">
        <v>458.0</v>
      </c>
      <c r="M2592" s="2" t="s">
        <v>6908</v>
      </c>
      <c r="N2592" s="2" t="str">
        <f>IFERROR(__xludf.DUMMYFUNCTION("""COMPUTED_VALUE"""),"")</f>
        <v/>
      </c>
    </row>
    <row r="2593">
      <c r="A2593" s="2" t="s">
        <v>33</v>
      </c>
      <c r="B2593" s="12">
        <v>2496932.0</v>
      </c>
      <c r="C2593" s="12">
        <v>2499367.0</v>
      </c>
      <c r="D2593" s="2"/>
      <c r="E2593" s="2" t="s">
        <v>38</v>
      </c>
      <c r="F2593" s="2" t="s">
        <v>6909</v>
      </c>
      <c r="G2593" s="2" t="s">
        <v>6910</v>
      </c>
      <c r="H2593" s="12">
        <v>0.0</v>
      </c>
      <c r="I2593" s="2" t="s">
        <v>40</v>
      </c>
      <c r="J2593" s="2"/>
      <c r="K2593" s="2" t="s">
        <v>6911</v>
      </c>
      <c r="L2593" s="12">
        <v>811.0</v>
      </c>
      <c r="M2593" s="2" t="s">
        <v>6912</v>
      </c>
      <c r="N2593" s="2" t="str">
        <f>IFERROR(__xludf.DUMMYFUNCTION("""COMPUTED_VALUE"""),"")</f>
        <v/>
      </c>
    </row>
    <row r="2594">
      <c r="A2594" s="2" t="s">
        <v>33</v>
      </c>
      <c r="B2594" s="12">
        <v>2499390.0</v>
      </c>
      <c r="C2594" s="12">
        <v>2500454.0</v>
      </c>
      <c r="D2594" s="2"/>
      <c r="E2594" s="2" t="s">
        <v>38</v>
      </c>
      <c r="F2594" s="2" t="s">
        <v>6913</v>
      </c>
      <c r="G2594" s="2"/>
      <c r="H2594" s="12">
        <v>0.0</v>
      </c>
      <c r="I2594" s="2" t="s">
        <v>40</v>
      </c>
      <c r="J2594" s="2"/>
      <c r="K2594" s="2" t="s">
        <v>6914</v>
      </c>
      <c r="L2594" s="12">
        <v>354.0</v>
      </c>
      <c r="M2594" s="2" t="s">
        <v>6915</v>
      </c>
      <c r="N2594" s="2" t="str">
        <f>IFERROR(__xludf.DUMMYFUNCTION("""COMPUTED_VALUE"""),"")</f>
        <v/>
      </c>
    </row>
    <row r="2595">
      <c r="A2595" s="2" t="s">
        <v>33</v>
      </c>
      <c r="B2595" s="12">
        <v>2500459.0</v>
      </c>
      <c r="C2595" s="12">
        <v>2501007.0</v>
      </c>
      <c r="D2595" s="2"/>
      <c r="E2595" s="2" t="s">
        <v>38</v>
      </c>
      <c r="F2595" s="2" t="s">
        <v>6916</v>
      </c>
      <c r="G2595" s="2"/>
      <c r="H2595" s="12">
        <v>0.0</v>
      </c>
      <c r="I2595" s="2" t="s">
        <v>40</v>
      </c>
      <c r="J2595" s="2"/>
      <c r="K2595" s="2" t="s">
        <v>6917</v>
      </c>
      <c r="L2595" s="12">
        <v>182.0</v>
      </c>
      <c r="M2595" s="2" t="s">
        <v>6918</v>
      </c>
      <c r="N2595" s="2" t="str">
        <f>IFERROR(__xludf.DUMMYFUNCTION("""COMPUTED_VALUE"""),"")</f>
        <v/>
      </c>
    </row>
    <row r="2596">
      <c r="A2596" s="2" t="s">
        <v>33</v>
      </c>
      <c r="B2596" s="12">
        <v>2501178.0</v>
      </c>
      <c r="C2596" s="12">
        <v>2501639.0</v>
      </c>
      <c r="D2596" s="2"/>
      <c r="E2596" s="2" t="s">
        <v>38</v>
      </c>
      <c r="F2596" s="2" t="s">
        <v>6919</v>
      </c>
      <c r="G2596" s="2" t="s">
        <v>6920</v>
      </c>
      <c r="H2596" s="12">
        <v>0.0</v>
      </c>
      <c r="I2596" s="2" t="s">
        <v>40</v>
      </c>
      <c r="J2596" s="2"/>
      <c r="K2596" s="2" t="s">
        <v>6921</v>
      </c>
      <c r="L2596" s="12">
        <v>153.0</v>
      </c>
      <c r="M2596" s="2" t="s">
        <v>6922</v>
      </c>
      <c r="N2596" s="2" t="str">
        <f>IFERROR(__xludf.DUMMYFUNCTION("""COMPUTED_VALUE"""),"")</f>
        <v/>
      </c>
    </row>
    <row r="2597">
      <c r="A2597" s="2" t="s">
        <v>33</v>
      </c>
      <c r="B2597" s="12">
        <v>2501848.0</v>
      </c>
      <c r="C2597" s="12">
        <v>2501963.0</v>
      </c>
      <c r="D2597" s="2"/>
      <c r="E2597" s="2" t="s">
        <v>38</v>
      </c>
      <c r="F2597" s="2" t="s">
        <v>5258</v>
      </c>
      <c r="G2597" s="2" t="s">
        <v>5259</v>
      </c>
      <c r="H2597" s="12">
        <v>0.0</v>
      </c>
      <c r="I2597" s="2" t="s">
        <v>5260</v>
      </c>
      <c r="J2597" s="2"/>
      <c r="K2597" s="2"/>
      <c r="L2597" s="2"/>
      <c r="M2597" s="2" t="s">
        <v>6923</v>
      </c>
      <c r="N2597" s="2" t="str">
        <f>IFERROR(__xludf.DUMMYFUNCTION("""COMPUTED_VALUE"""),"")</f>
        <v/>
      </c>
    </row>
    <row r="2598">
      <c r="A2598" s="2" t="s">
        <v>33</v>
      </c>
      <c r="B2598" s="12">
        <v>2502012.0</v>
      </c>
      <c r="C2598" s="12">
        <v>2504933.0</v>
      </c>
      <c r="D2598" s="2"/>
      <c r="E2598" s="2" t="s">
        <v>38</v>
      </c>
      <c r="F2598" s="2" t="s">
        <v>5262</v>
      </c>
      <c r="G2598" s="2"/>
      <c r="H2598" s="12">
        <v>0.0</v>
      </c>
      <c r="I2598" s="2" t="s">
        <v>5260</v>
      </c>
      <c r="J2598" s="2"/>
      <c r="K2598" s="2"/>
      <c r="L2598" s="2"/>
      <c r="M2598" s="2" t="s">
        <v>6924</v>
      </c>
      <c r="N2598" s="2" t="str">
        <f>IFERROR(__xludf.DUMMYFUNCTION("""COMPUTED_VALUE"""),"")</f>
        <v/>
      </c>
    </row>
    <row r="2599">
      <c r="A2599" s="2" t="s">
        <v>33</v>
      </c>
      <c r="B2599" s="12">
        <v>2505079.0</v>
      </c>
      <c r="C2599" s="12">
        <v>2506630.0</v>
      </c>
      <c r="D2599" s="2"/>
      <c r="E2599" s="2" t="s">
        <v>38</v>
      </c>
      <c r="F2599" s="2" t="s">
        <v>5264</v>
      </c>
      <c r="G2599" s="2"/>
      <c r="H2599" s="12">
        <v>0.0</v>
      </c>
      <c r="I2599" s="2" t="s">
        <v>5260</v>
      </c>
      <c r="J2599" s="2"/>
      <c r="K2599" s="2"/>
      <c r="L2599" s="2"/>
      <c r="M2599" s="2" t="s">
        <v>6925</v>
      </c>
      <c r="N2599" s="2" t="str">
        <f>IFERROR(__xludf.DUMMYFUNCTION("""COMPUTED_VALUE"""),"")</f>
        <v/>
      </c>
    </row>
    <row r="2600">
      <c r="A2600" s="2" t="s">
        <v>33</v>
      </c>
      <c r="B2600" s="12">
        <v>2506706.0</v>
      </c>
      <c r="C2600" s="12">
        <v>2506781.0</v>
      </c>
      <c r="D2600" s="2"/>
      <c r="E2600" s="2" t="s">
        <v>38</v>
      </c>
      <c r="F2600" s="2" t="s">
        <v>5240</v>
      </c>
      <c r="G2600" s="2"/>
      <c r="H2600" s="12">
        <v>0.0</v>
      </c>
      <c r="I2600" s="2" t="s">
        <v>3783</v>
      </c>
      <c r="J2600" s="2"/>
      <c r="K2600" s="2"/>
      <c r="L2600" s="2"/>
      <c r="M2600" s="2" t="s">
        <v>6926</v>
      </c>
      <c r="N2600" s="2" t="str">
        <f>IFERROR(__xludf.DUMMYFUNCTION("""COMPUTED_VALUE"""),"")</f>
        <v/>
      </c>
    </row>
    <row r="2601">
      <c r="A2601" s="2" t="s">
        <v>33</v>
      </c>
      <c r="B2601" s="12">
        <v>2506791.0</v>
      </c>
      <c r="C2601" s="12">
        <v>2506864.0</v>
      </c>
      <c r="D2601" s="2"/>
      <c r="E2601" s="2" t="s">
        <v>38</v>
      </c>
      <c r="F2601" s="2" t="s">
        <v>5242</v>
      </c>
      <c r="G2601" s="2"/>
      <c r="H2601" s="12">
        <v>0.0</v>
      </c>
      <c r="I2601" s="2" t="s">
        <v>3783</v>
      </c>
      <c r="J2601" s="2"/>
      <c r="K2601" s="2"/>
      <c r="L2601" s="2"/>
      <c r="M2601" s="2" t="s">
        <v>6927</v>
      </c>
      <c r="N2601" s="2" t="str">
        <f>IFERROR(__xludf.DUMMYFUNCTION("""COMPUTED_VALUE"""),"")</f>
        <v/>
      </c>
    </row>
    <row r="2602">
      <c r="A2602" s="2" t="s">
        <v>33</v>
      </c>
      <c r="B2602" s="12">
        <v>2506873.0</v>
      </c>
      <c r="C2602" s="12">
        <v>2506946.0</v>
      </c>
      <c r="D2602" s="2"/>
      <c r="E2602" s="2" t="s">
        <v>38</v>
      </c>
      <c r="F2602" s="2" t="s">
        <v>5244</v>
      </c>
      <c r="G2602" s="2"/>
      <c r="H2602" s="12">
        <v>0.0</v>
      </c>
      <c r="I2602" s="2" t="s">
        <v>3783</v>
      </c>
      <c r="J2602" s="2"/>
      <c r="K2602" s="2"/>
      <c r="L2602" s="2"/>
      <c r="M2602" s="2" t="s">
        <v>6928</v>
      </c>
      <c r="N2602" s="2" t="str">
        <f>IFERROR(__xludf.DUMMYFUNCTION("""COMPUTED_VALUE"""),"")</f>
        <v/>
      </c>
    </row>
    <row r="2603">
      <c r="A2603" s="2" t="s">
        <v>33</v>
      </c>
      <c r="B2603" s="12">
        <v>2506950.0</v>
      </c>
      <c r="C2603" s="12">
        <v>2507038.0</v>
      </c>
      <c r="D2603" s="2"/>
      <c r="E2603" s="2" t="s">
        <v>38</v>
      </c>
      <c r="F2603" s="2" t="s">
        <v>5246</v>
      </c>
      <c r="G2603" s="2"/>
      <c r="H2603" s="12">
        <v>0.0</v>
      </c>
      <c r="I2603" s="2" t="s">
        <v>3783</v>
      </c>
      <c r="J2603" s="2"/>
      <c r="K2603" s="2"/>
      <c r="L2603" s="2"/>
      <c r="M2603" s="2" t="s">
        <v>6929</v>
      </c>
      <c r="N2603" s="2" t="str">
        <f>IFERROR(__xludf.DUMMYFUNCTION("""COMPUTED_VALUE"""),"")</f>
        <v/>
      </c>
    </row>
    <row r="2604">
      <c r="A2604" s="2" t="s">
        <v>33</v>
      </c>
      <c r="B2604" s="12">
        <v>2507055.0</v>
      </c>
      <c r="C2604" s="12">
        <v>2507129.0</v>
      </c>
      <c r="D2604" s="2"/>
      <c r="E2604" s="2" t="s">
        <v>38</v>
      </c>
      <c r="F2604" s="2" t="s">
        <v>5248</v>
      </c>
      <c r="G2604" s="2"/>
      <c r="H2604" s="12">
        <v>0.0</v>
      </c>
      <c r="I2604" s="2" t="s">
        <v>3783</v>
      </c>
      <c r="J2604" s="2"/>
      <c r="K2604" s="2"/>
      <c r="L2604" s="2"/>
      <c r="M2604" s="2" t="s">
        <v>6930</v>
      </c>
      <c r="N2604" s="2" t="str">
        <f>IFERROR(__xludf.DUMMYFUNCTION("""COMPUTED_VALUE"""),"")</f>
        <v/>
      </c>
    </row>
    <row r="2605">
      <c r="A2605" s="2" t="s">
        <v>33</v>
      </c>
      <c r="B2605" s="12">
        <v>2507159.0</v>
      </c>
      <c r="C2605" s="12">
        <v>2507239.0</v>
      </c>
      <c r="D2605" s="2"/>
      <c r="E2605" s="2" t="s">
        <v>38</v>
      </c>
      <c r="F2605" s="2" t="s">
        <v>5246</v>
      </c>
      <c r="G2605" s="2"/>
      <c r="H2605" s="12">
        <v>0.0</v>
      </c>
      <c r="I2605" s="2" t="s">
        <v>3783</v>
      </c>
      <c r="J2605" s="2"/>
      <c r="K2605" s="2"/>
      <c r="L2605" s="2"/>
      <c r="M2605" s="2" t="s">
        <v>6931</v>
      </c>
      <c r="N2605" s="2" t="str">
        <f>IFERROR(__xludf.DUMMYFUNCTION("""COMPUTED_VALUE"""),"")</f>
        <v/>
      </c>
    </row>
    <row r="2606">
      <c r="A2606" s="2" t="s">
        <v>33</v>
      </c>
      <c r="B2606" s="12">
        <v>2507253.0</v>
      </c>
      <c r="C2606" s="12">
        <v>2507328.0</v>
      </c>
      <c r="D2606" s="2"/>
      <c r="E2606" s="2" t="s">
        <v>38</v>
      </c>
      <c r="F2606" s="2" t="s">
        <v>5251</v>
      </c>
      <c r="G2606" s="2"/>
      <c r="H2606" s="12">
        <v>0.0</v>
      </c>
      <c r="I2606" s="2" t="s">
        <v>3783</v>
      </c>
      <c r="J2606" s="2"/>
      <c r="K2606" s="2"/>
      <c r="L2606" s="2"/>
      <c r="M2606" s="2" t="s">
        <v>6932</v>
      </c>
      <c r="N2606" s="2" t="str">
        <f>IFERROR(__xludf.DUMMYFUNCTION("""COMPUTED_VALUE"""),"")</f>
        <v/>
      </c>
    </row>
    <row r="2607">
      <c r="A2607" s="2" t="s">
        <v>33</v>
      </c>
      <c r="B2607" s="12">
        <v>2507342.0</v>
      </c>
      <c r="C2607" s="12">
        <v>2507417.0</v>
      </c>
      <c r="D2607" s="2"/>
      <c r="E2607" s="2" t="s">
        <v>38</v>
      </c>
      <c r="F2607" s="2" t="s">
        <v>5229</v>
      </c>
      <c r="G2607" s="2"/>
      <c r="H2607" s="12">
        <v>0.0</v>
      </c>
      <c r="I2607" s="2" t="s">
        <v>3783</v>
      </c>
      <c r="J2607" s="2"/>
      <c r="K2607" s="2"/>
      <c r="L2607" s="2"/>
      <c r="M2607" s="2" t="s">
        <v>6933</v>
      </c>
      <c r="N2607" s="2" t="str">
        <f>IFERROR(__xludf.DUMMYFUNCTION("""COMPUTED_VALUE"""),"")</f>
        <v/>
      </c>
    </row>
    <row r="2608">
      <c r="A2608" s="2" t="s">
        <v>33</v>
      </c>
      <c r="B2608" s="12">
        <v>2507422.0</v>
      </c>
      <c r="C2608" s="12">
        <v>2507497.0</v>
      </c>
      <c r="D2608" s="2"/>
      <c r="E2608" s="2" t="s">
        <v>38</v>
      </c>
      <c r="F2608" s="2" t="s">
        <v>3782</v>
      </c>
      <c r="G2608" s="2"/>
      <c r="H2608" s="12">
        <v>0.0</v>
      </c>
      <c r="I2608" s="2" t="s">
        <v>3783</v>
      </c>
      <c r="J2608" s="2"/>
      <c r="K2608" s="2"/>
      <c r="L2608" s="2"/>
      <c r="M2608" s="2" t="s">
        <v>6934</v>
      </c>
      <c r="N2608" s="2" t="str">
        <f>IFERROR(__xludf.DUMMYFUNCTION("""COMPUTED_VALUE"""),"")</f>
        <v/>
      </c>
    </row>
    <row r="2609">
      <c r="A2609" s="2" t="s">
        <v>33</v>
      </c>
      <c r="B2609" s="12">
        <v>2507503.0</v>
      </c>
      <c r="C2609" s="12">
        <v>2507618.0</v>
      </c>
      <c r="D2609" s="2"/>
      <c r="E2609" s="2" t="s">
        <v>38</v>
      </c>
      <c r="F2609" s="2" t="s">
        <v>5258</v>
      </c>
      <c r="G2609" s="2" t="s">
        <v>5259</v>
      </c>
      <c r="H2609" s="12">
        <v>0.0</v>
      </c>
      <c r="I2609" s="2" t="s">
        <v>5260</v>
      </c>
      <c r="J2609" s="2"/>
      <c r="K2609" s="2"/>
      <c r="L2609" s="2"/>
      <c r="M2609" s="2" t="s">
        <v>6935</v>
      </c>
      <c r="N2609" s="2" t="str">
        <f>IFERROR(__xludf.DUMMYFUNCTION("""COMPUTED_VALUE"""),"")</f>
        <v/>
      </c>
    </row>
    <row r="2610">
      <c r="A2610" s="2" t="s">
        <v>33</v>
      </c>
      <c r="B2610" s="12">
        <v>2507720.0</v>
      </c>
      <c r="C2610" s="12">
        <v>2510641.0</v>
      </c>
      <c r="D2610" s="2"/>
      <c r="E2610" s="2" t="s">
        <v>38</v>
      </c>
      <c r="F2610" s="2" t="s">
        <v>5262</v>
      </c>
      <c r="G2610" s="2"/>
      <c r="H2610" s="12">
        <v>0.0</v>
      </c>
      <c r="I2610" s="2" t="s">
        <v>5260</v>
      </c>
      <c r="J2610" s="2"/>
      <c r="K2610" s="2"/>
      <c r="L2610" s="2"/>
      <c r="M2610" s="2" t="s">
        <v>6936</v>
      </c>
      <c r="N2610" s="2" t="str">
        <f>IFERROR(__xludf.DUMMYFUNCTION("""COMPUTED_VALUE"""),"")</f>
        <v/>
      </c>
    </row>
    <row r="2611">
      <c r="A2611" s="2" t="s">
        <v>33</v>
      </c>
      <c r="B2611" s="12">
        <v>2510787.0</v>
      </c>
      <c r="C2611" s="12">
        <v>2512338.0</v>
      </c>
      <c r="D2611" s="2"/>
      <c r="E2611" s="2" t="s">
        <v>38</v>
      </c>
      <c r="F2611" s="2" t="s">
        <v>5264</v>
      </c>
      <c r="G2611" s="2"/>
      <c r="H2611" s="12">
        <v>0.0</v>
      </c>
      <c r="I2611" s="2" t="s">
        <v>5260</v>
      </c>
      <c r="J2611" s="2"/>
      <c r="K2611" s="2"/>
      <c r="L2611" s="2"/>
      <c r="M2611" s="2" t="s">
        <v>6937</v>
      </c>
      <c r="N2611" s="2" t="str">
        <f>IFERROR(__xludf.DUMMYFUNCTION("""COMPUTED_VALUE"""),"")</f>
        <v/>
      </c>
    </row>
    <row r="2612">
      <c r="A2612" s="2" t="s">
        <v>33</v>
      </c>
      <c r="B2612" s="12">
        <v>2512712.0</v>
      </c>
      <c r="C2612" s="12">
        <v>2514211.0</v>
      </c>
      <c r="D2612" s="2"/>
      <c r="E2612" s="2" t="s">
        <v>38</v>
      </c>
      <c r="F2612" s="2" t="s">
        <v>279</v>
      </c>
      <c r="G2612" s="2" t="s">
        <v>280</v>
      </c>
      <c r="H2612" s="12">
        <v>0.0</v>
      </c>
      <c r="I2612" s="2" t="s">
        <v>40</v>
      </c>
      <c r="J2612" s="2"/>
      <c r="K2612" s="2" t="s">
        <v>6938</v>
      </c>
      <c r="L2612" s="12">
        <v>499.0</v>
      </c>
      <c r="M2612" s="2" t="s">
        <v>6939</v>
      </c>
      <c r="N2612" s="2" t="str">
        <f>IFERROR(__xludf.DUMMYFUNCTION("""COMPUTED_VALUE"""),"")</f>
        <v/>
      </c>
    </row>
    <row r="2613">
      <c r="A2613" s="2" t="s">
        <v>33</v>
      </c>
      <c r="B2613" s="12">
        <v>2514371.0</v>
      </c>
      <c r="C2613" s="12">
        <v>2515369.0</v>
      </c>
      <c r="D2613" s="2"/>
      <c r="E2613" s="2" t="s">
        <v>38</v>
      </c>
      <c r="F2613" s="2" t="s">
        <v>6940</v>
      </c>
      <c r="G2613" s="2" t="s">
        <v>6941</v>
      </c>
      <c r="H2613" s="12">
        <v>0.0</v>
      </c>
      <c r="I2613" s="2" t="s">
        <v>40</v>
      </c>
      <c r="J2613" s="2"/>
      <c r="K2613" s="2" t="s">
        <v>6942</v>
      </c>
      <c r="L2613" s="12">
        <v>332.0</v>
      </c>
      <c r="M2613" s="2" t="s">
        <v>6943</v>
      </c>
      <c r="N2613" s="2" t="str">
        <f>IFERROR(__xludf.DUMMYFUNCTION("""COMPUTED_VALUE"""),"")</f>
        <v/>
      </c>
    </row>
    <row r="2614">
      <c r="A2614" s="2" t="s">
        <v>33</v>
      </c>
      <c r="B2614" s="12">
        <v>2515393.0</v>
      </c>
      <c r="C2614" s="12">
        <v>2515596.0</v>
      </c>
      <c r="D2614" s="2"/>
      <c r="E2614" s="2" t="s">
        <v>38</v>
      </c>
      <c r="F2614" s="2" t="s">
        <v>216</v>
      </c>
      <c r="G2614" s="2"/>
      <c r="H2614" s="12">
        <v>0.0</v>
      </c>
      <c r="I2614" s="2" t="s">
        <v>40</v>
      </c>
      <c r="J2614" s="2"/>
      <c r="K2614" s="2" t="s">
        <v>6944</v>
      </c>
      <c r="L2614" s="12">
        <v>67.0</v>
      </c>
      <c r="M2614" s="2" t="s">
        <v>6945</v>
      </c>
      <c r="N2614" s="2" t="str">
        <f>IFERROR(__xludf.DUMMYFUNCTION("""COMPUTED_VALUE"""),"")</f>
        <v/>
      </c>
    </row>
    <row r="2615">
      <c r="A2615" s="2" t="s">
        <v>33</v>
      </c>
      <c r="B2615" s="12">
        <v>2515548.0</v>
      </c>
      <c r="C2615" s="12">
        <v>2516063.0</v>
      </c>
      <c r="D2615" s="2"/>
      <c r="E2615" s="2" t="s">
        <v>38</v>
      </c>
      <c r="F2615" s="2" t="s">
        <v>6946</v>
      </c>
      <c r="G2615" s="2" t="s">
        <v>6947</v>
      </c>
      <c r="H2615" s="12">
        <v>0.0</v>
      </c>
      <c r="I2615" s="2" t="s">
        <v>40</v>
      </c>
      <c r="J2615" s="2"/>
      <c r="K2615" s="2" t="s">
        <v>6948</v>
      </c>
      <c r="L2615" s="12">
        <v>171.0</v>
      </c>
      <c r="M2615" s="2" t="s">
        <v>6949</v>
      </c>
      <c r="N2615" s="2" t="str">
        <f>IFERROR(__xludf.DUMMYFUNCTION("""COMPUTED_VALUE"""),"")</f>
        <v/>
      </c>
    </row>
    <row r="2616">
      <c r="A2616" s="2" t="s">
        <v>33</v>
      </c>
      <c r="B2616" s="12">
        <v>2516060.0</v>
      </c>
      <c r="C2616" s="12">
        <v>2516422.0</v>
      </c>
      <c r="D2616" s="2"/>
      <c r="E2616" s="2" t="s">
        <v>38</v>
      </c>
      <c r="F2616" s="2" t="s">
        <v>6950</v>
      </c>
      <c r="G2616" s="2" t="s">
        <v>6951</v>
      </c>
      <c r="H2616" s="12">
        <v>0.0</v>
      </c>
      <c r="I2616" s="2" t="s">
        <v>40</v>
      </c>
      <c r="J2616" s="2"/>
      <c r="K2616" s="2" t="s">
        <v>6952</v>
      </c>
      <c r="L2616" s="12">
        <v>120.0</v>
      </c>
      <c r="M2616" s="2" t="s">
        <v>6953</v>
      </c>
      <c r="N2616" s="2" t="str">
        <f>IFERROR(__xludf.DUMMYFUNCTION("""COMPUTED_VALUE"""),"")</f>
        <v/>
      </c>
    </row>
    <row r="2617">
      <c r="A2617" s="2" t="s">
        <v>33</v>
      </c>
      <c r="B2617" s="12">
        <v>2516423.0</v>
      </c>
      <c r="C2617" s="12">
        <v>2517283.0</v>
      </c>
      <c r="D2617" s="2"/>
      <c r="E2617" s="2" t="s">
        <v>38</v>
      </c>
      <c r="F2617" s="2" t="s">
        <v>6954</v>
      </c>
      <c r="G2617" s="2" t="s">
        <v>6955</v>
      </c>
      <c r="H2617" s="12">
        <v>0.0</v>
      </c>
      <c r="I2617" s="2" t="s">
        <v>40</v>
      </c>
      <c r="J2617" s="2"/>
      <c r="K2617" s="2" t="s">
        <v>6956</v>
      </c>
      <c r="L2617" s="12">
        <v>286.0</v>
      </c>
      <c r="M2617" s="2" t="s">
        <v>6957</v>
      </c>
      <c r="N2617" s="2" t="str">
        <f>IFERROR(__xludf.DUMMYFUNCTION("""COMPUTED_VALUE"""),"")</f>
        <v/>
      </c>
    </row>
    <row r="2618">
      <c r="A2618" s="2" t="s">
        <v>33</v>
      </c>
      <c r="B2618" s="12">
        <v>2517258.0</v>
      </c>
      <c r="C2618" s="12">
        <v>2518130.0</v>
      </c>
      <c r="D2618" s="2"/>
      <c r="E2618" s="2" t="s">
        <v>38</v>
      </c>
      <c r="F2618" s="2" t="s">
        <v>6958</v>
      </c>
      <c r="G2618" s="2" t="s">
        <v>6959</v>
      </c>
      <c r="H2618" s="12">
        <v>0.0</v>
      </c>
      <c r="I2618" s="2" t="s">
        <v>40</v>
      </c>
      <c r="J2618" s="2"/>
      <c r="K2618" s="2" t="s">
        <v>6960</v>
      </c>
      <c r="L2618" s="12">
        <v>290.0</v>
      </c>
      <c r="M2618" s="2" t="s">
        <v>6961</v>
      </c>
      <c r="N2618" s="2" t="str">
        <f>IFERROR(__xludf.DUMMYFUNCTION("""COMPUTED_VALUE"""),"")</f>
        <v/>
      </c>
    </row>
    <row r="2619">
      <c r="A2619" s="2" t="s">
        <v>33</v>
      </c>
      <c r="B2619" s="12">
        <v>2518124.0</v>
      </c>
      <c r="C2619" s="12">
        <v>2518711.0</v>
      </c>
      <c r="D2619" s="2"/>
      <c r="E2619" s="2" t="s">
        <v>38</v>
      </c>
      <c r="F2619" s="2" t="s">
        <v>3881</v>
      </c>
      <c r="G2619" s="2" t="s">
        <v>6962</v>
      </c>
      <c r="H2619" s="12">
        <v>0.0</v>
      </c>
      <c r="I2619" s="2" t="s">
        <v>40</v>
      </c>
      <c r="J2619" s="2"/>
      <c r="K2619" s="2" t="s">
        <v>6963</v>
      </c>
      <c r="L2619" s="12">
        <v>195.0</v>
      </c>
      <c r="M2619" s="2" t="s">
        <v>6964</v>
      </c>
      <c r="N2619" s="2" t="str">
        <f>IFERROR(__xludf.DUMMYFUNCTION("""COMPUTED_VALUE"""),"")</f>
        <v/>
      </c>
    </row>
    <row r="2620">
      <c r="A2620" s="2" t="s">
        <v>33</v>
      </c>
      <c r="B2620" s="12">
        <v>2518717.0</v>
      </c>
      <c r="C2620" s="12">
        <v>2520114.0</v>
      </c>
      <c r="D2620" s="2"/>
      <c r="E2620" s="2" t="s">
        <v>38</v>
      </c>
      <c r="F2620" s="2" t="s">
        <v>6965</v>
      </c>
      <c r="G2620" s="2" t="s">
        <v>6966</v>
      </c>
      <c r="H2620" s="12">
        <v>0.0</v>
      </c>
      <c r="I2620" s="2" t="s">
        <v>40</v>
      </c>
      <c r="J2620" s="2"/>
      <c r="K2620" s="2" t="s">
        <v>6967</v>
      </c>
      <c r="L2620" s="12">
        <v>465.0</v>
      </c>
      <c r="M2620" s="2" t="s">
        <v>6968</v>
      </c>
      <c r="N2620" s="2" t="str">
        <f>IFERROR(__xludf.DUMMYFUNCTION("""COMPUTED_VALUE"""),"")</f>
        <v/>
      </c>
    </row>
    <row r="2621">
      <c r="A2621" s="2" t="s">
        <v>33</v>
      </c>
      <c r="B2621" s="12">
        <v>2520337.0</v>
      </c>
      <c r="C2621" s="12">
        <v>2521260.0</v>
      </c>
      <c r="D2621" s="2"/>
      <c r="E2621" s="2" t="s">
        <v>38</v>
      </c>
      <c r="F2621" s="2" t="s">
        <v>2346</v>
      </c>
      <c r="G2621" s="2" t="s">
        <v>2347</v>
      </c>
      <c r="H2621" s="12">
        <v>0.0</v>
      </c>
      <c r="I2621" s="2" t="s">
        <v>40</v>
      </c>
      <c r="J2621" s="2"/>
      <c r="K2621" s="2" t="s">
        <v>6969</v>
      </c>
      <c r="L2621" s="12">
        <v>307.0</v>
      </c>
      <c r="M2621" s="2" t="s">
        <v>6970</v>
      </c>
      <c r="N2621" s="2" t="str">
        <f>IFERROR(__xludf.DUMMYFUNCTION("""COMPUTED_VALUE"""),"")</f>
        <v/>
      </c>
    </row>
    <row r="2622">
      <c r="A2622" s="2" t="s">
        <v>33</v>
      </c>
      <c r="B2622" s="12">
        <v>2521374.0</v>
      </c>
      <c r="C2622" s="12">
        <v>2522249.0</v>
      </c>
      <c r="D2622" s="2"/>
      <c r="E2622" s="2" t="s">
        <v>38</v>
      </c>
      <c r="F2622" s="2" t="s">
        <v>6971</v>
      </c>
      <c r="G2622" s="2" t="s">
        <v>6972</v>
      </c>
      <c r="H2622" s="12">
        <v>0.0</v>
      </c>
      <c r="I2622" s="2" t="s">
        <v>40</v>
      </c>
      <c r="J2622" s="2"/>
      <c r="K2622" s="2" t="s">
        <v>6973</v>
      </c>
      <c r="L2622" s="12">
        <v>291.0</v>
      </c>
      <c r="M2622" s="2" t="s">
        <v>6974</v>
      </c>
      <c r="N2622" s="2" t="str">
        <f>IFERROR(__xludf.DUMMYFUNCTION("""COMPUTED_VALUE"""),"")</f>
        <v/>
      </c>
    </row>
    <row r="2623">
      <c r="A2623" s="2" t="s">
        <v>33</v>
      </c>
      <c r="B2623" s="12">
        <v>2522256.0</v>
      </c>
      <c r="C2623" s="12">
        <v>2523044.0</v>
      </c>
      <c r="D2623" s="2"/>
      <c r="E2623" s="2" t="s">
        <v>38</v>
      </c>
      <c r="F2623" s="2" t="s">
        <v>6975</v>
      </c>
      <c r="G2623" s="2"/>
      <c r="H2623" s="12">
        <v>0.0</v>
      </c>
      <c r="I2623" s="2" t="s">
        <v>40</v>
      </c>
      <c r="J2623" s="2"/>
      <c r="K2623" s="2" t="s">
        <v>6976</v>
      </c>
      <c r="L2623" s="12">
        <v>262.0</v>
      </c>
      <c r="M2623" s="2" t="s">
        <v>6977</v>
      </c>
      <c r="N2623" s="2" t="str">
        <f>IFERROR(__xludf.DUMMYFUNCTION("""COMPUTED_VALUE"""),"")</f>
        <v/>
      </c>
    </row>
    <row r="2624">
      <c r="A2624" s="2" t="s">
        <v>33</v>
      </c>
      <c r="B2624" s="12">
        <v>2523289.0</v>
      </c>
      <c r="C2624" s="12">
        <v>2525190.0</v>
      </c>
      <c r="D2624" s="2"/>
      <c r="E2624" s="2" t="s">
        <v>38</v>
      </c>
      <c r="F2624" s="2" t="s">
        <v>6978</v>
      </c>
      <c r="G2624" s="2" t="s">
        <v>6979</v>
      </c>
      <c r="H2624" s="12">
        <v>0.0</v>
      </c>
      <c r="I2624" s="2" t="s">
        <v>40</v>
      </c>
      <c r="J2624" s="2"/>
      <c r="K2624" s="2" t="s">
        <v>6980</v>
      </c>
      <c r="L2624" s="12">
        <v>633.0</v>
      </c>
      <c r="M2624" s="2" t="s">
        <v>6981</v>
      </c>
      <c r="N2624" s="2" t="str">
        <f>IFERROR(__xludf.DUMMYFUNCTION("""COMPUTED_VALUE"""),"")</f>
        <v/>
      </c>
    </row>
    <row r="2625">
      <c r="A2625" s="2" t="s">
        <v>33</v>
      </c>
      <c r="B2625" s="12">
        <v>2525276.0</v>
      </c>
      <c r="C2625" s="12">
        <v>2525818.0</v>
      </c>
      <c r="D2625" s="2"/>
      <c r="E2625" s="2" t="s">
        <v>38</v>
      </c>
      <c r="F2625" s="2" t="s">
        <v>6982</v>
      </c>
      <c r="G2625" s="2" t="s">
        <v>6983</v>
      </c>
      <c r="H2625" s="12">
        <v>0.0</v>
      </c>
      <c r="I2625" s="2" t="s">
        <v>40</v>
      </c>
      <c r="J2625" s="2"/>
      <c r="K2625" s="2" t="s">
        <v>6984</v>
      </c>
      <c r="L2625" s="12">
        <v>180.0</v>
      </c>
      <c r="M2625" s="2" t="s">
        <v>6985</v>
      </c>
      <c r="N2625" s="2" t="str">
        <f>IFERROR(__xludf.DUMMYFUNCTION("""COMPUTED_VALUE"""),"")</f>
        <v/>
      </c>
    </row>
    <row r="2626">
      <c r="A2626" s="2" t="s">
        <v>33</v>
      </c>
      <c r="B2626" s="12">
        <v>2525815.0</v>
      </c>
      <c r="C2626" s="12">
        <v>2527245.0</v>
      </c>
      <c r="D2626" s="2"/>
      <c r="E2626" s="2" t="s">
        <v>38</v>
      </c>
      <c r="F2626" s="2" t="s">
        <v>6986</v>
      </c>
      <c r="G2626" s="2" t="s">
        <v>6987</v>
      </c>
      <c r="H2626" s="12">
        <v>0.0</v>
      </c>
      <c r="I2626" s="2" t="s">
        <v>40</v>
      </c>
      <c r="J2626" s="2"/>
      <c r="K2626" s="2" t="s">
        <v>6988</v>
      </c>
      <c r="L2626" s="12">
        <v>476.0</v>
      </c>
      <c r="M2626" s="2" t="s">
        <v>6989</v>
      </c>
      <c r="N2626" s="2" t="str">
        <f>IFERROR(__xludf.DUMMYFUNCTION("""COMPUTED_VALUE"""),"")</f>
        <v/>
      </c>
    </row>
    <row r="2627">
      <c r="A2627" s="2" t="s">
        <v>33</v>
      </c>
      <c r="B2627" s="12">
        <v>2527476.0</v>
      </c>
      <c r="C2627" s="12">
        <v>2529947.0</v>
      </c>
      <c r="D2627" s="2"/>
      <c r="E2627" s="2" t="s">
        <v>38</v>
      </c>
      <c r="F2627" s="2" t="s">
        <v>6990</v>
      </c>
      <c r="G2627" s="2" t="s">
        <v>6991</v>
      </c>
      <c r="H2627" s="12">
        <v>0.0</v>
      </c>
      <c r="I2627" s="2" t="s">
        <v>40</v>
      </c>
      <c r="J2627" s="2"/>
      <c r="K2627" s="2" t="s">
        <v>6992</v>
      </c>
      <c r="L2627" s="12">
        <v>823.0</v>
      </c>
      <c r="M2627" s="2" t="s">
        <v>6993</v>
      </c>
      <c r="N2627" s="2" t="str">
        <f>IFERROR(__xludf.DUMMYFUNCTION("""COMPUTED_VALUE"""),"")</f>
        <v/>
      </c>
    </row>
    <row r="2628">
      <c r="A2628" s="2" t="s">
        <v>33</v>
      </c>
      <c r="B2628" s="12">
        <v>2530207.0</v>
      </c>
      <c r="C2628" s="12">
        <v>2530278.0</v>
      </c>
      <c r="D2628" s="2"/>
      <c r="E2628" s="2" t="s">
        <v>38</v>
      </c>
      <c r="F2628" s="2" t="s">
        <v>5221</v>
      </c>
      <c r="G2628" s="2"/>
      <c r="H2628" s="12">
        <v>0.0</v>
      </c>
      <c r="I2628" s="2" t="s">
        <v>3783</v>
      </c>
      <c r="J2628" s="2"/>
      <c r="K2628" s="2"/>
      <c r="L2628" s="2"/>
      <c r="M2628" s="2" t="s">
        <v>6994</v>
      </c>
      <c r="N2628" s="2" t="str">
        <f>IFERROR(__xludf.DUMMYFUNCTION("""COMPUTED_VALUE"""),"")</f>
        <v/>
      </c>
    </row>
    <row r="2629">
      <c r="A2629" s="2" t="s">
        <v>33</v>
      </c>
      <c r="B2629" s="12">
        <v>2530292.0</v>
      </c>
      <c r="C2629" s="12">
        <v>2530365.0</v>
      </c>
      <c r="D2629" s="2"/>
      <c r="E2629" s="2" t="s">
        <v>38</v>
      </c>
      <c r="F2629" s="2" t="s">
        <v>5235</v>
      </c>
      <c r="G2629" s="2"/>
      <c r="H2629" s="12">
        <v>0.0</v>
      </c>
      <c r="I2629" s="2" t="s">
        <v>3783</v>
      </c>
      <c r="J2629" s="2"/>
      <c r="K2629" s="2"/>
      <c r="L2629" s="2"/>
      <c r="M2629" s="2" t="s">
        <v>6995</v>
      </c>
      <c r="N2629" s="2" t="str">
        <f>IFERROR(__xludf.DUMMYFUNCTION("""COMPUTED_VALUE"""),"")</f>
        <v/>
      </c>
    </row>
    <row r="2630">
      <c r="A2630" s="2" t="s">
        <v>33</v>
      </c>
      <c r="B2630" s="12">
        <v>2530525.0</v>
      </c>
      <c r="C2630" s="12">
        <v>2531010.0</v>
      </c>
      <c r="D2630" s="2"/>
      <c r="E2630" s="2" t="s">
        <v>38</v>
      </c>
      <c r="F2630" s="2" t="s">
        <v>6996</v>
      </c>
      <c r="G2630" s="2"/>
      <c r="H2630" s="12">
        <v>0.0</v>
      </c>
      <c r="I2630" s="2" t="s">
        <v>40</v>
      </c>
      <c r="J2630" s="2"/>
      <c r="K2630" s="2" t="s">
        <v>6997</v>
      </c>
      <c r="L2630" s="12">
        <v>161.0</v>
      </c>
      <c r="M2630" s="2" t="s">
        <v>6998</v>
      </c>
      <c r="N2630" s="2" t="str">
        <f>IFERROR(__xludf.DUMMYFUNCTION("""COMPUTED_VALUE"""),"")</f>
        <v/>
      </c>
    </row>
    <row r="2631">
      <c r="A2631" s="2" t="s">
        <v>33</v>
      </c>
      <c r="B2631" s="12">
        <v>2531098.0</v>
      </c>
      <c r="C2631" s="12">
        <v>2531457.0</v>
      </c>
      <c r="D2631" s="2"/>
      <c r="E2631" s="2" t="s">
        <v>38</v>
      </c>
      <c r="F2631" s="2" t="s">
        <v>6999</v>
      </c>
      <c r="G2631" s="2" t="s">
        <v>7000</v>
      </c>
      <c r="H2631" s="12">
        <v>0.0</v>
      </c>
      <c r="I2631" s="2" t="s">
        <v>40</v>
      </c>
      <c r="J2631" s="2"/>
      <c r="K2631" s="2" t="s">
        <v>7001</v>
      </c>
      <c r="L2631" s="12">
        <v>119.0</v>
      </c>
      <c r="M2631" s="2" t="s">
        <v>7002</v>
      </c>
      <c r="N2631" s="2" t="str">
        <f>IFERROR(__xludf.DUMMYFUNCTION("""COMPUTED_VALUE"""),"")</f>
        <v/>
      </c>
    </row>
    <row r="2632">
      <c r="A2632" s="2" t="s">
        <v>33</v>
      </c>
      <c r="B2632" s="12">
        <v>2531454.0</v>
      </c>
      <c r="C2632" s="12">
        <v>2532107.0</v>
      </c>
      <c r="D2632" s="2"/>
      <c r="E2632" s="2" t="s">
        <v>38</v>
      </c>
      <c r="F2632" s="2" t="s">
        <v>7003</v>
      </c>
      <c r="G2632" s="2" t="s">
        <v>7004</v>
      </c>
      <c r="H2632" s="12">
        <v>0.0</v>
      </c>
      <c r="I2632" s="2" t="s">
        <v>40</v>
      </c>
      <c r="J2632" s="2"/>
      <c r="K2632" s="2" t="s">
        <v>7005</v>
      </c>
      <c r="L2632" s="12">
        <v>217.0</v>
      </c>
      <c r="M2632" s="2" t="s">
        <v>7006</v>
      </c>
      <c r="N2632" s="2" t="str">
        <f>IFERROR(__xludf.DUMMYFUNCTION("""COMPUTED_VALUE"""),"")</f>
        <v/>
      </c>
    </row>
    <row r="2633">
      <c r="A2633" s="2" t="s">
        <v>33</v>
      </c>
      <c r="B2633" s="12">
        <v>2532104.0</v>
      </c>
      <c r="C2633" s="12">
        <v>2532412.0</v>
      </c>
      <c r="D2633" s="2"/>
      <c r="E2633" s="2" t="s">
        <v>38</v>
      </c>
      <c r="F2633" s="2" t="s">
        <v>7007</v>
      </c>
      <c r="G2633" s="2" t="s">
        <v>7008</v>
      </c>
      <c r="H2633" s="12">
        <v>0.0</v>
      </c>
      <c r="I2633" s="2" t="s">
        <v>40</v>
      </c>
      <c r="J2633" s="2"/>
      <c r="K2633" s="2" t="s">
        <v>7009</v>
      </c>
      <c r="L2633" s="12">
        <v>102.0</v>
      </c>
      <c r="M2633" s="2" t="s">
        <v>7010</v>
      </c>
      <c r="N2633" s="2" t="str">
        <f>IFERROR(__xludf.DUMMYFUNCTION("""COMPUTED_VALUE"""),"")</f>
        <v/>
      </c>
    </row>
    <row r="2634">
      <c r="A2634" s="2" t="s">
        <v>33</v>
      </c>
      <c r="B2634" s="12">
        <v>2532471.0</v>
      </c>
      <c r="C2634" s="12">
        <v>2532746.0</v>
      </c>
      <c r="D2634" s="2"/>
      <c r="E2634" s="2" t="s">
        <v>38</v>
      </c>
      <c r="F2634" s="2" t="s">
        <v>7011</v>
      </c>
      <c r="G2634" s="2"/>
      <c r="H2634" s="12">
        <v>0.0</v>
      </c>
      <c r="I2634" s="2" t="s">
        <v>40</v>
      </c>
      <c r="J2634" s="2"/>
      <c r="K2634" s="2" t="s">
        <v>7012</v>
      </c>
      <c r="L2634" s="12">
        <v>91.0</v>
      </c>
      <c r="M2634" s="2" t="s">
        <v>7013</v>
      </c>
      <c r="N2634" s="2" t="str">
        <f>IFERROR(__xludf.DUMMYFUNCTION("""COMPUTED_VALUE"""),"")</f>
        <v/>
      </c>
    </row>
    <row r="2635">
      <c r="A2635" s="2" t="s">
        <v>33</v>
      </c>
      <c r="B2635" s="12">
        <v>2532761.0</v>
      </c>
      <c r="C2635" s="12">
        <v>2534221.0</v>
      </c>
      <c r="D2635" s="2"/>
      <c r="E2635" s="2" t="s">
        <v>38</v>
      </c>
      <c r="F2635" s="2" t="s">
        <v>4787</v>
      </c>
      <c r="G2635" s="2" t="s">
        <v>7014</v>
      </c>
      <c r="H2635" s="12">
        <v>0.0</v>
      </c>
      <c r="I2635" s="2" t="s">
        <v>40</v>
      </c>
      <c r="J2635" s="2"/>
      <c r="K2635" s="2" t="s">
        <v>7015</v>
      </c>
      <c r="L2635" s="12">
        <v>486.0</v>
      </c>
      <c r="M2635" s="2" t="s">
        <v>7016</v>
      </c>
      <c r="N2635" s="2" t="str">
        <f>IFERROR(__xludf.DUMMYFUNCTION("""COMPUTED_VALUE"""),"")</f>
        <v/>
      </c>
    </row>
    <row r="2636">
      <c r="A2636" s="2" t="s">
        <v>33</v>
      </c>
      <c r="B2636" s="12">
        <v>2534234.0</v>
      </c>
      <c r="C2636" s="12">
        <v>2535835.0</v>
      </c>
      <c r="D2636" s="2"/>
      <c r="E2636" s="2" t="s">
        <v>38</v>
      </c>
      <c r="F2636" s="2" t="s">
        <v>2840</v>
      </c>
      <c r="G2636" s="2"/>
      <c r="H2636" s="12">
        <v>0.0</v>
      </c>
      <c r="I2636" s="2" t="s">
        <v>40</v>
      </c>
      <c r="J2636" s="2"/>
      <c r="K2636" s="2" t="s">
        <v>7017</v>
      </c>
      <c r="L2636" s="12">
        <v>533.0</v>
      </c>
      <c r="M2636" s="2" t="s">
        <v>7018</v>
      </c>
      <c r="N2636" s="2" t="str">
        <f>IFERROR(__xludf.DUMMYFUNCTION("""COMPUTED_VALUE"""),"")</f>
        <v/>
      </c>
    </row>
    <row r="2637">
      <c r="A2637" s="2" t="s">
        <v>33</v>
      </c>
      <c r="B2637" s="12">
        <v>2536066.0</v>
      </c>
      <c r="C2637" s="12">
        <v>2536602.0</v>
      </c>
      <c r="D2637" s="2"/>
      <c r="E2637" s="2" t="s">
        <v>38</v>
      </c>
      <c r="F2637" s="2" t="s">
        <v>7019</v>
      </c>
      <c r="G2637" s="2" t="s">
        <v>7020</v>
      </c>
      <c r="H2637" s="12">
        <v>0.0</v>
      </c>
      <c r="I2637" s="2" t="s">
        <v>40</v>
      </c>
      <c r="J2637" s="2"/>
      <c r="K2637" s="2" t="s">
        <v>7021</v>
      </c>
      <c r="L2637" s="12">
        <v>178.0</v>
      </c>
      <c r="M2637" s="2" t="s">
        <v>7022</v>
      </c>
      <c r="N2637" s="2" t="str">
        <f>IFERROR(__xludf.DUMMYFUNCTION("""COMPUTED_VALUE"""),"")</f>
        <v/>
      </c>
    </row>
    <row r="2638">
      <c r="A2638" s="2" t="s">
        <v>33</v>
      </c>
      <c r="B2638" s="12">
        <v>2536739.0</v>
      </c>
      <c r="C2638" s="12">
        <v>2540269.0</v>
      </c>
      <c r="D2638" s="2"/>
      <c r="E2638" s="2" t="s">
        <v>38</v>
      </c>
      <c r="F2638" s="2" t="s">
        <v>7023</v>
      </c>
      <c r="G2638" s="2" t="s">
        <v>7024</v>
      </c>
      <c r="H2638" s="12">
        <v>0.0</v>
      </c>
      <c r="I2638" s="2" t="s">
        <v>40</v>
      </c>
      <c r="J2638" s="2"/>
      <c r="K2638" s="2" t="s">
        <v>7025</v>
      </c>
      <c r="L2638" s="12">
        <v>1176.0</v>
      </c>
      <c r="M2638" s="2" t="s">
        <v>7026</v>
      </c>
      <c r="N2638" s="2" t="str">
        <f>IFERROR(__xludf.DUMMYFUNCTION("""COMPUTED_VALUE"""),"")</f>
        <v/>
      </c>
    </row>
    <row r="2639">
      <c r="A2639" s="2" t="s">
        <v>33</v>
      </c>
      <c r="B2639" s="12">
        <v>2540375.0</v>
      </c>
      <c r="C2639" s="12">
        <v>2540599.0</v>
      </c>
      <c r="D2639" s="2"/>
      <c r="E2639" s="2" t="s">
        <v>38</v>
      </c>
      <c r="F2639" s="2" t="s">
        <v>7027</v>
      </c>
      <c r="G2639" s="2"/>
      <c r="H2639" s="12">
        <v>0.0</v>
      </c>
      <c r="I2639" s="2" t="s">
        <v>40</v>
      </c>
      <c r="J2639" s="2"/>
      <c r="K2639" s="2" t="s">
        <v>7028</v>
      </c>
      <c r="L2639" s="12">
        <v>74.0</v>
      </c>
      <c r="M2639" s="2" t="s">
        <v>7029</v>
      </c>
      <c r="N2639" s="2" t="str">
        <f>IFERROR(__xludf.DUMMYFUNCTION("""COMPUTED_VALUE"""),"")</f>
        <v/>
      </c>
    </row>
    <row r="2640">
      <c r="A2640" s="2" t="s">
        <v>33</v>
      </c>
      <c r="B2640" s="12">
        <v>2540670.0</v>
      </c>
      <c r="C2640" s="12">
        <v>2541230.0</v>
      </c>
      <c r="D2640" s="2"/>
      <c r="E2640" s="2" t="s">
        <v>38</v>
      </c>
      <c r="F2640" s="2" t="s">
        <v>7030</v>
      </c>
      <c r="G2640" s="2" t="s">
        <v>7031</v>
      </c>
      <c r="H2640" s="12">
        <v>0.0</v>
      </c>
      <c r="I2640" s="2" t="s">
        <v>40</v>
      </c>
      <c r="J2640" s="2"/>
      <c r="K2640" s="2" t="s">
        <v>7032</v>
      </c>
      <c r="L2640" s="12">
        <v>186.0</v>
      </c>
      <c r="M2640" s="2" t="s">
        <v>7033</v>
      </c>
      <c r="N2640" s="2" t="str">
        <f>IFERROR(__xludf.DUMMYFUNCTION("""COMPUTED_VALUE"""),"")</f>
        <v/>
      </c>
    </row>
    <row r="2641">
      <c r="A2641" s="2" t="s">
        <v>33</v>
      </c>
      <c r="B2641" s="12">
        <v>2541303.0</v>
      </c>
      <c r="C2641" s="12">
        <v>2542256.0</v>
      </c>
      <c r="D2641" s="2"/>
      <c r="E2641" s="2" t="s">
        <v>38</v>
      </c>
      <c r="F2641" s="2" t="s">
        <v>7034</v>
      </c>
      <c r="G2641" s="2"/>
      <c r="H2641" s="12">
        <v>0.0</v>
      </c>
      <c r="I2641" s="2" t="s">
        <v>40</v>
      </c>
      <c r="J2641" s="2"/>
      <c r="K2641" s="2" t="s">
        <v>7035</v>
      </c>
      <c r="L2641" s="12">
        <v>317.0</v>
      </c>
      <c r="M2641" s="2" t="s">
        <v>7036</v>
      </c>
      <c r="N2641" s="2" t="str">
        <f>IFERROR(__xludf.DUMMYFUNCTION("""COMPUTED_VALUE"""),"")</f>
        <v/>
      </c>
    </row>
    <row r="2642">
      <c r="A2642" s="2" t="s">
        <v>33</v>
      </c>
      <c r="B2642" s="12">
        <v>2542275.0</v>
      </c>
      <c r="C2642" s="12">
        <v>2543654.0</v>
      </c>
      <c r="D2642" s="2"/>
      <c r="E2642" s="2" t="s">
        <v>38</v>
      </c>
      <c r="F2642" s="2" t="s">
        <v>7037</v>
      </c>
      <c r="G2642" s="2" t="s">
        <v>7038</v>
      </c>
      <c r="H2642" s="12">
        <v>0.0</v>
      </c>
      <c r="I2642" s="2" t="s">
        <v>40</v>
      </c>
      <c r="J2642" s="2"/>
      <c r="K2642" s="2" t="s">
        <v>7039</v>
      </c>
      <c r="L2642" s="12">
        <v>459.0</v>
      </c>
      <c r="M2642" s="2" t="s">
        <v>7040</v>
      </c>
      <c r="N2642" s="2" t="str">
        <f>IFERROR(__xludf.DUMMYFUNCTION("""COMPUTED_VALUE"""),"")</f>
        <v/>
      </c>
    </row>
    <row r="2643">
      <c r="A2643" s="2" t="s">
        <v>33</v>
      </c>
      <c r="B2643" s="12">
        <v>2543968.0</v>
      </c>
      <c r="C2643" s="12">
        <v>2544261.0</v>
      </c>
      <c r="D2643" s="2"/>
      <c r="E2643" s="2" t="s">
        <v>38</v>
      </c>
      <c r="F2643" s="2" t="s">
        <v>7041</v>
      </c>
      <c r="G2643" s="2" t="s">
        <v>7042</v>
      </c>
      <c r="H2643" s="12">
        <v>0.0</v>
      </c>
      <c r="I2643" s="2" t="s">
        <v>40</v>
      </c>
      <c r="J2643" s="2"/>
      <c r="K2643" s="2" t="s">
        <v>7043</v>
      </c>
      <c r="L2643" s="12">
        <v>97.0</v>
      </c>
      <c r="M2643" s="2" t="s">
        <v>7044</v>
      </c>
      <c r="N2643" s="2" t="str">
        <f>IFERROR(__xludf.DUMMYFUNCTION("""COMPUTED_VALUE"""),"")</f>
        <v/>
      </c>
    </row>
    <row r="2644">
      <c r="A2644" s="2" t="s">
        <v>33</v>
      </c>
      <c r="B2644" s="12">
        <v>2544414.0</v>
      </c>
      <c r="C2644" s="12">
        <v>2544788.0</v>
      </c>
      <c r="D2644" s="2"/>
      <c r="E2644" s="2" t="s">
        <v>38</v>
      </c>
      <c r="F2644" s="2" t="s">
        <v>7045</v>
      </c>
      <c r="G2644" s="2"/>
      <c r="H2644" s="12">
        <v>0.0</v>
      </c>
      <c r="I2644" s="2" t="s">
        <v>40</v>
      </c>
      <c r="J2644" s="2"/>
      <c r="K2644" s="2" t="s">
        <v>7046</v>
      </c>
      <c r="L2644" s="12">
        <v>124.0</v>
      </c>
      <c r="M2644" s="2" t="s">
        <v>7047</v>
      </c>
      <c r="N2644" s="2" t="str">
        <f>IFERROR(__xludf.DUMMYFUNCTION("""COMPUTED_VALUE"""),"")</f>
        <v/>
      </c>
    </row>
    <row r="2645">
      <c r="A2645" s="2" t="s">
        <v>33</v>
      </c>
      <c r="B2645" s="12">
        <v>2544909.0</v>
      </c>
      <c r="C2645" s="12">
        <v>2545757.0</v>
      </c>
      <c r="D2645" s="2"/>
      <c r="E2645" s="2" t="s">
        <v>38</v>
      </c>
      <c r="F2645" s="2" t="s">
        <v>7048</v>
      </c>
      <c r="G2645" s="2" t="s">
        <v>7049</v>
      </c>
      <c r="H2645" s="12">
        <v>0.0</v>
      </c>
      <c r="I2645" s="2" t="s">
        <v>40</v>
      </c>
      <c r="J2645" s="2"/>
      <c r="K2645" s="2" t="s">
        <v>7050</v>
      </c>
      <c r="L2645" s="12">
        <v>282.0</v>
      </c>
      <c r="M2645" s="2" t="s">
        <v>7051</v>
      </c>
      <c r="N2645" s="2" t="str">
        <f>IFERROR(__xludf.DUMMYFUNCTION("""COMPUTED_VALUE"""),"")</f>
        <v/>
      </c>
    </row>
    <row r="2646">
      <c r="A2646" s="2" t="s">
        <v>33</v>
      </c>
      <c r="B2646" s="12">
        <v>2545812.0</v>
      </c>
      <c r="C2646" s="12">
        <v>2546681.0</v>
      </c>
      <c r="D2646" s="2"/>
      <c r="E2646" s="2" t="s">
        <v>38</v>
      </c>
      <c r="F2646" s="2" t="s">
        <v>7052</v>
      </c>
      <c r="G2646" s="2" t="s">
        <v>7053</v>
      </c>
      <c r="H2646" s="12">
        <v>0.0</v>
      </c>
      <c r="I2646" s="2" t="s">
        <v>40</v>
      </c>
      <c r="J2646" s="2"/>
      <c r="K2646" s="2" t="s">
        <v>7054</v>
      </c>
      <c r="L2646" s="12">
        <v>289.0</v>
      </c>
      <c r="M2646" s="2" t="s">
        <v>7055</v>
      </c>
      <c r="N2646" s="2" t="str">
        <f>IFERROR(__xludf.DUMMYFUNCTION("""COMPUTED_VALUE"""),"")</f>
        <v/>
      </c>
    </row>
    <row r="2647">
      <c r="A2647" s="2" t="s">
        <v>33</v>
      </c>
      <c r="B2647" s="12">
        <v>2546878.0</v>
      </c>
      <c r="C2647" s="12">
        <v>2547057.0</v>
      </c>
      <c r="D2647" s="2"/>
      <c r="E2647" s="2" t="s">
        <v>38</v>
      </c>
      <c r="F2647" s="2" t="s">
        <v>7056</v>
      </c>
      <c r="G2647" s="2" t="s">
        <v>7057</v>
      </c>
      <c r="H2647" s="12">
        <v>0.0</v>
      </c>
      <c r="I2647" s="2" t="s">
        <v>40</v>
      </c>
      <c r="J2647" s="2"/>
      <c r="K2647" s="2" t="s">
        <v>7058</v>
      </c>
      <c r="L2647" s="12">
        <v>59.0</v>
      </c>
      <c r="M2647" s="2" t="s">
        <v>7059</v>
      </c>
      <c r="N2647" s="2" t="str">
        <f>IFERROR(__xludf.DUMMYFUNCTION("""COMPUTED_VALUE"""),"")</f>
        <v/>
      </c>
    </row>
    <row r="2648">
      <c r="A2648" s="2" t="s">
        <v>33</v>
      </c>
      <c r="B2648" s="12">
        <v>2547149.0</v>
      </c>
      <c r="C2648" s="12">
        <v>2547409.0</v>
      </c>
      <c r="D2648" s="2"/>
      <c r="E2648" s="2" t="s">
        <v>38</v>
      </c>
      <c r="F2648" s="2" t="s">
        <v>7060</v>
      </c>
      <c r="G2648" s="2" t="s">
        <v>7061</v>
      </c>
      <c r="H2648" s="12">
        <v>0.0</v>
      </c>
      <c r="I2648" s="2" t="s">
        <v>40</v>
      </c>
      <c r="J2648" s="2"/>
      <c r="K2648" s="2" t="s">
        <v>7062</v>
      </c>
      <c r="L2648" s="12">
        <v>86.0</v>
      </c>
      <c r="M2648" s="2" t="s">
        <v>7063</v>
      </c>
      <c r="N2648" s="2" t="str">
        <f>IFERROR(__xludf.DUMMYFUNCTION("""COMPUTED_VALUE"""),"")</f>
        <v/>
      </c>
    </row>
    <row r="2649">
      <c r="A2649" s="2" t="s">
        <v>33</v>
      </c>
      <c r="B2649" s="12">
        <v>2547636.0</v>
      </c>
      <c r="C2649" s="12">
        <v>2548499.0</v>
      </c>
      <c r="D2649" s="2"/>
      <c r="E2649" s="2" t="s">
        <v>38</v>
      </c>
      <c r="F2649" s="2" t="s">
        <v>7064</v>
      </c>
      <c r="G2649" s="2" t="s">
        <v>7065</v>
      </c>
      <c r="H2649" s="12">
        <v>0.0</v>
      </c>
      <c r="I2649" s="2" t="s">
        <v>40</v>
      </c>
      <c r="J2649" s="2"/>
      <c r="K2649" s="2" t="s">
        <v>7066</v>
      </c>
      <c r="L2649" s="12">
        <v>287.0</v>
      </c>
      <c r="M2649" s="2" t="s">
        <v>7067</v>
      </c>
      <c r="N2649" s="2" t="str">
        <f>IFERROR(__xludf.DUMMYFUNCTION("""COMPUTED_VALUE"""),"")</f>
        <v/>
      </c>
    </row>
    <row r="2650">
      <c r="A2650" s="2" t="s">
        <v>33</v>
      </c>
      <c r="B2650" s="12">
        <v>2548610.0</v>
      </c>
      <c r="C2650" s="12">
        <v>2549488.0</v>
      </c>
      <c r="D2650" s="2"/>
      <c r="E2650" s="2" t="s">
        <v>38</v>
      </c>
      <c r="F2650" s="2" t="s">
        <v>7068</v>
      </c>
      <c r="G2650" s="2" t="s">
        <v>7069</v>
      </c>
      <c r="H2650" s="12">
        <v>0.0</v>
      </c>
      <c r="I2650" s="2" t="s">
        <v>40</v>
      </c>
      <c r="J2650" s="2"/>
      <c r="K2650" s="2" t="s">
        <v>7070</v>
      </c>
      <c r="L2650" s="12">
        <v>292.0</v>
      </c>
      <c r="M2650" s="2" t="s">
        <v>7071</v>
      </c>
      <c r="N2650" s="2" t="str">
        <f>IFERROR(__xludf.DUMMYFUNCTION("""COMPUTED_VALUE"""),"")</f>
        <v/>
      </c>
    </row>
    <row r="2651">
      <c r="A2651" s="2" t="s">
        <v>33</v>
      </c>
      <c r="B2651" s="12">
        <v>2549485.0</v>
      </c>
      <c r="C2651" s="12">
        <v>2550042.0</v>
      </c>
      <c r="D2651" s="2"/>
      <c r="E2651" s="2" t="s">
        <v>38</v>
      </c>
      <c r="F2651" s="2" t="s">
        <v>7072</v>
      </c>
      <c r="G2651" s="2" t="s">
        <v>7073</v>
      </c>
      <c r="H2651" s="12">
        <v>0.0</v>
      </c>
      <c r="I2651" s="2" t="s">
        <v>40</v>
      </c>
      <c r="J2651" s="2"/>
      <c r="K2651" s="2" t="s">
        <v>7074</v>
      </c>
      <c r="L2651" s="12">
        <v>185.0</v>
      </c>
      <c r="M2651" s="2" t="s">
        <v>7075</v>
      </c>
      <c r="N2651" s="2" t="str">
        <f>IFERROR(__xludf.DUMMYFUNCTION("""COMPUTED_VALUE"""),"")</f>
        <v/>
      </c>
    </row>
    <row r="2652">
      <c r="A2652" s="2" t="s">
        <v>33</v>
      </c>
      <c r="B2652" s="12">
        <v>2550257.0</v>
      </c>
      <c r="C2652" s="12">
        <v>2551024.0</v>
      </c>
      <c r="D2652" s="2"/>
      <c r="E2652" s="2" t="s">
        <v>38</v>
      </c>
      <c r="F2652" s="2" t="s">
        <v>6503</v>
      </c>
      <c r="G2652" s="2"/>
      <c r="H2652" s="12">
        <v>0.0</v>
      </c>
      <c r="I2652" s="2" t="s">
        <v>40</v>
      </c>
      <c r="J2652" s="2"/>
      <c r="K2652" s="2" t="s">
        <v>7076</v>
      </c>
      <c r="L2652" s="12">
        <v>255.0</v>
      </c>
      <c r="M2652" s="2" t="s">
        <v>7077</v>
      </c>
      <c r="N2652" s="2" t="str">
        <f>IFERROR(__xludf.DUMMYFUNCTION("""COMPUTED_VALUE"""),"")</f>
        <v/>
      </c>
    </row>
    <row r="2653">
      <c r="A2653" s="2" t="s">
        <v>33</v>
      </c>
      <c r="B2653" s="12">
        <v>2551191.0</v>
      </c>
      <c r="C2653" s="12">
        <v>2553173.0</v>
      </c>
      <c r="D2653" s="2"/>
      <c r="E2653" s="2" t="s">
        <v>38</v>
      </c>
      <c r="F2653" s="2" t="s">
        <v>7078</v>
      </c>
      <c r="G2653" s="2" t="s">
        <v>7079</v>
      </c>
      <c r="H2653" s="12">
        <v>0.0</v>
      </c>
      <c r="I2653" s="2" t="s">
        <v>40</v>
      </c>
      <c r="J2653" s="2"/>
      <c r="K2653" s="2" t="s">
        <v>7080</v>
      </c>
      <c r="L2653" s="12">
        <v>660.0</v>
      </c>
      <c r="M2653" s="2" t="s">
        <v>7081</v>
      </c>
      <c r="N2653" s="2" t="str">
        <f>IFERROR(__xludf.DUMMYFUNCTION("""COMPUTED_VALUE"""),"")</f>
        <v/>
      </c>
    </row>
    <row r="2654">
      <c r="A2654" s="2" t="s">
        <v>33</v>
      </c>
      <c r="B2654" s="12">
        <v>2553659.0</v>
      </c>
      <c r="C2654" s="12">
        <v>2553943.0</v>
      </c>
      <c r="D2654" s="2"/>
      <c r="E2654" s="2" t="s">
        <v>34</v>
      </c>
      <c r="F2654" s="2" t="s">
        <v>504</v>
      </c>
      <c r="G2654" s="2"/>
      <c r="H2654" s="12">
        <v>0.0</v>
      </c>
      <c r="I2654" s="2" t="s">
        <v>40</v>
      </c>
      <c r="J2654" s="2"/>
      <c r="K2654" s="2" t="s">
        <v>7082</v>
      </c>
      <c r="L2654" s="12">
        <v>94.0</v>
      </c>
      <c r="M2654" s="2" t="s">
        <v>7083</v>
      </c>
      <c r="N2654" s="2" t="str">
        <f>IFERROR(__xludf.DUMMYFUNCTION("""COMPUTED_VALUE"""),"")</f>
        <v/>
      </c>
    </row>
    <row r="2655">
      <c r="A2655" s="2" t="s">
        <v>33</v>
      </c>
      <c r="B2655" s="12">
        <v>2553964.0</v>
      </c>
      <c r="C2655" s="12">
        <v>2554839.0</v>
      </c>
      <c r="D2655" s="2"/>
      <c r="E2655" s="2" t="s">
        <v>38</v>
      </c>
      <c r="F2655" s="2" t="s">
        <v>7084</v>
      </c>
      <c r="G2655" s="2" t="s">
        <v>7085</v>
      </c>
      <c r="H2655" s="12">
        <v>0.0</v>
      </c>
      <c r="I2655" s="2" t="s">
        <v>40</v>
      </c>
      <c r="J2655" s="2"/>
      <c r="K2655" s="2" t="s">
        <v>7086</v>
      </c>
      <c r="L2655" s="12">
        <v>291.0</v>
      </c>
      <c r="M2655" s="2" t="s">
        <v>7087</v>
      </c>
      <c r="N2655" s="2" t="str">
        <f>IFERROR(__xludf.DUMMYFUNCTION("""COMPUTED_VALUE"""),"")</f>
        <v/>
      </c>
    </row>
    <row r="2656">
      <c r="A2656" s="2" t="s">
        <v>33</v>
      </c>
      <c r="B2656" s="12">
        <v>2554808.0</v>
      </c>
      <c r="C2656" s="12">
        <v>2555098.0</v>
      </c>
      <c r="D2656" s="2"/>
      <c r="E2656" s="2" t="s">
        <v>38</v>
      </c>
      <c r="F2656" s="2" t="s">
        <v>7088</v>
      </c>
      <c r="G2656" s="2"/>
      <c r="H2656" s="12">
        <v>0.0</v>
      </c>
      <c r="I2656" s="2" t="s">
        <v>40</v>
      </c>
      <c r="J2656" s="2"/>
      <c r="K2656" s="2" t="s">
        <v>7089</v>
      </c>
      <c r="L2656" s="12">
        <v>96.0</v>
      </c>
      <c r="M2656" s="2" t="s">
        <v>7090</v>
      </c>
      <c r="N2656" s="2" t="str">
        <f>IFERROR(__xludf.DUMMYFUNCTION("""COMPUTED_VALUE"""),"")</f>
        <v/>
      </c>
    </row>
    <row r="2657">
      <c r="A2657" s="2" t="s">
        <v>33</v>
      </c>
      <c r="B2657" s="12">
        <v>2555085.0</v>
      </c>
      <c r="C2657" s="12">
        <v>2555825.0</v>
      </c>
      <c r="D2657" s="2"/>
      <c r="E2657" s="2" t="s">
        <v>38</v>
      </c>
      <c r="F2657" s="2" t="s">
        <v>7091</v>
      </c>
      <c r="G2657" s="2"/>
      <c r="H2657" s="12">
        <v>0.0</v>
      </c>
      <c r="I2657" s="2" t="s">
        <v>40</v>
      </c>
      <c r="J2657" s="2"/>
      <c r="K2657" s="2" t="s">
        <v>7092</v>
      </c>
      <c r="L2657" s="12">
        <v>246.0</v>
      </c>
      <c r="M2657" s="2" t="s">
        <v>7093</v>
      </c>
      <c r="N2657" s="2" t="str">
        <f>IFERROR(__xludf.DUMMYFUNCTION("""COMPUTED_VALUE"""),"")</f>
        <v/>
      </c>
    </row>
    <row r="2658">
      <c r="A2658" s="2" t="s">
        <v>33</v>
      </c>
      <c r="B2658" s="12">
        <v>2555908.0</v>
      </c>
      <c r="C2658" s="12">
        <v>2556258.0</v>
      </c>
      <c r="D2658" s="2"/>
      <c r="E2658" s="2" t="s">
        <v>38</v>
      </c>
      <c r="F2658" s="2" t="s">
        <v>7094</v>
      </c>
      <c r="G2658" s="2" t="s">
        <v>7095</v>
      </c>
      <c r="H2658" s="12">
        <v>0.0</v>
      </c>
      <c r="I2658" s="2" t="s">
        <v>40</v>
      </c>
      <c r="J2658" s="2"/>
      <c r="K2658" s="2" t="s">
        <v>7096</v>
      </c>
      <c r="L2658" s="12">
        <v>116.0</v>
      </c>
      <c r="M2658" s="2" t="s">
        <v>7097</v>
      </c>
      <c r="N2658" s="2" t="str">
        <f>IFERROR(__xludf.DUMMYFUNCTION("""COMPUTED_VALUE"""),"")</f>
        <v/>
      </c>
    </row>
    <row r="2659">
      <c r="A2659" s="2" t="s">
        <v>33</v>
      </c>
      <c r="B2659" s="12">
        <v>2556273.0</v>
      </c>
      <c r="C2659" s="12">
        <v>2557100.0</v>
      </c>
      <c r="D2659" s="2"/>
      <c r="E2659" s="2" t="s">
        <v>38</v>
      </c>
      <c r="F2659" s="2" t="s">
        <v>7098</v>
      </c>
      <c r="G2659" s="2"/>
      <c r="H2659" s="12">
        <v>0.0</v>
      </c>
      <c r="I2659" s="2" t="s">
        <v>40</v>
      </c>
      <c r="J2659" s="2"/>
      <c r="K2659" s="2" t="s">
        <v>7099</v>
      </c>
      <c r="L2659" s="12">
        <v>275.0</v>
      </c>
      <c r="M2659" s="2" t="s">
        <v>7100</v>
      </c>
      <c r="N2659" s="2" t="str">
        <f>IFERROR(__xludf.DUMMYFUNCTION("""COMPUTED_VALUE"""),"")</f>
        <v/>
      </c>
    </row>
    <row r="2660">
      <c r="A2660" s="2" t="s">
        <v>33</v>
      </c>
      <c r="B2660" s="12">
        <v>2557106.0</v>
      </c>
      <c r="C2660" s="12">
        <v>2558089.0</v>
      </c>
      <c r="D2660" s="2"/>
      <c r="E2660" s="2" t="s">
        <v>38</v>
      </c>
      <c r="F2660" s="2" t="s">
        <v>7101</v>
      </c>
      <c r="G2660" s="2" t="s">
        <v>7102</v>
      </c>
      <c r="H2660" s="12">
        <v>0.0</v>
      </c>
      <c r="I2660" s="2" t="s">
        <v>40</v>
      </c>
      <c r="J2660" s="2"/>
      <c r="K2660" s="2" t="s">
        <v>7103</v>
      </c>
      <c r="L2660" s="12">
        <v>327.0</v>
      </c>
      <c r="M2660" s="2" t="s">
        <v>7104</v>
      </c>
      <c r="N2660" s="2" t="str">
        <f>IFERROR(__xludf.DUMMYFUNCTION("""COMPUTED_VALUE"""),"")</f>
        <v/>
      </c>
    </row>
    <row r="2661">
      <c r="A2661" s="2" t="s">
        <v>33</v>
      </c>
      <c r="B2661" s="12">
        <v>2558125.0</v>
      </c>
      <c r="C2661" s="12">
        <v>2558751.0</v>
      </c>
      <c r="D2661" s="2"/>
      <c r="E2661" s="2" t="s">
        <v>38</v>
      </c>
      <c r="F2661" s="2" t="s">
        <v>7105</v>
      </c>
      <c r="G2661" s="2" t="s">
        <v>7106</v>
      </c>
      <c r="H2661" s="12">
        <v>0.0</v>
      </c>
      <c r="I2661" s="2" t="s">
        <v>40</v>
      </c>
      <c r="J2661" s="2"/>
      <c r="K2661" s="2" t="s">
        <v>7107</v>
      </c>
      <c r="L2661" s="12">
        <v>208.0</v>
      </c>
      <c r="M2661" s="2" t="s">
        <v>7108</v>
      </c>
      <c r="N2661" s="2" t="str">
        <f>IFERROR(__xludf.DUMMYFUNCTION("""COMPUTED_VALUE"""),"")</f>
        <v/>
      </c>
    </row>
    <row r="2662">
      <c r="A2662" s="2" t="s">
        <v>33</v>
      </c>
      <c r="B2662" s="12">
        <v>2558753.0</v>
      </c>
      <c r="C2662" s="12">
        <v>2560174.0</v>
      </c>
      <c r="D2662" s="2"/>
      <c r="E2662" s="2" t="s">
        <v>38</v>
      </c>
      <c r="F2662" s="2" t="s">
        <v>7109</v>
      </c>
      <c r="G2662" s="2"/>
      <c r="H2662" s="12">
        <v>0.0</v>
      </c>
      <c r="I2662" s="2" t="s">
        <v>40</v>
      </c>
      <c r="J2662" s="2"/>
      <c r="K2662" s="2" t="s">
        <v>7110</v>
      </c>
      <c r="L2662" s="12">
        <v>473.0</v>
      </c>
      <c r="M2662" s="2" t="s">
        <v>7111</v>
      </c>
      <c r="N2662" s="2" t="str">
        <f>IFERROR(__xludf.DUMMYFUNCTION("""COMPUTED_VALUE"""),"")</f>
        <v/>
      </c>
    </row>
    <row r="2663">
      <c r="A2663" s="2" t="s">
        <v>33</v>
      </c>
      <c r="B2663" s="12">
        <v>2560246.0</v>
      </c>
      <c r="C2663" s="12">
        <v>2560425.0</v>
      </c>
      <c r="D2663" s="2"/>
      <c r="E2663" s="2" t="s">
        <v>38</v>
      </c>
      <c r="F2663" s="2" t="s">
        <v>7112</v>
      </c>
      <c r="G2663" s="2"/>
      <c r="H2663" s="12">
        <v>0.0</v>
      </c>
      <c r="I2663" s="2" t="s">
        <v>40</v>
      </c>
      <c r="J2663" s="2"/>
      <c r="K2663" s="2" t="s">
        <v>7113</v>
      </c>
      <c r="L2663" s="12">
        <v>59.0</v>
      </c>
      <c r="M2663" s="2" t="s">
        <v>7114</v>
      </c>
      <c r="N2663" s="2" t="str">
        <f>IFERROR(__xludf.DUMMYFUNCTION("""COMPUTED_VALUE"""),"")</f>
        <v/>
      </c>
    </row>
    <row r="2664">
      <c r="A2664" s="2" t="s">
        <v>33</v>
      </c>
      <c r="B2664" s="12">
        <v>2560616.0</v>
      </c>
      <c r="C2664" s="12">
        <v>2560731.0</v>
      </c>
      <c r="D2664" s="2"/>
      <c r="E2664" s="2" t="s">
        <v>38</v>
      </c>
      <c r="F2664" s="2" t="s">
        <v>5258</v>
      </c>
      <c r="G2664" s="2" t="s">
        <v>5259</v>
      </c>
      <c r="H2664" s="12">
        <v>0.0</v>
      </c>
      <c r="I2664" s="2" t="s">
        <v>5260</v>
      </c>
      <c r="J2664" s="2"/>
      <c r="K2664" s="2"/>
      <c r="L2664" s="2"/>
      <c r="M2664" s="2" t="s">
        <v>7115</v>
      </c>
      <c r="N2664" s="2" t="str">
        <f>IFERROR(__xludf.DUMMYFUNCTION("""COMPUTED_VALUE"""),"")</f>
        <v/>
      </c>
    </row>
    <row r="2665">
      <c r="A2665" s="2" t="s">
        <v>33</v>
      </c>
      <c r="B2665" s="12">
        <v>2560781.0</v>
      </c>
      <c r="C2665" s="12">
        <v>2563702.0</v>
      </c>
      <c r="D2665" s="2"/>
      <c r="E2665" s="2" t="s">
        <v>38</v>
      </c>
      <c r="F2665" s="2" t="s">
        <v>5262</v>
      </c>
      <c r="G2665" s="2"/>
      <c r="H2665" s="12">
        <v>0.0</v>
      </c>
      <c r="I2665" s="2" t="s">
        <v>5260</v>
      </c>
      <c r="J2665" s="2"/>
      <c r="K2665" s="2"/>
      <c r="L2665" s="2"/>
      <c r="M2665" s="2" t="s">
        <v>7116</v>
      </c>
      <c r="N2665" s="2" t="str">
        <f>IFERROR(__xludf.DUMMYFUNCTION("""COMPUTED_VALUE"""),"")</f>
        <v/>
      </c>
    </row>
    <row r="2666">
      <c r="A2666" s="2" t="s">
        <v>33</v>
      </c>
      <c r="B2666" s="12">
        <v>2563783.0</v>
      </c>
      <c r="C2666" s="12">
        <v>2563858.0</v>
      </c>
      <c r="D2666" s="2"/>
      <c r="E2666" s="2" t="s">
        <v>38</v>
      </c>
      <c r="F2666" s="2" t="s">
        <v>5240</v>
      </c>
      <c r="G2666" s="2"/>
      <c r="H2666" s="12">
        <v>0.0</v>
      </c>
      <c r="I2666" s="2" t="s">
        <v>3783</v>
      </c>
      <c r="J2666" s="2"/>
      <c r="K2666" s="2"/>
      <c r="L2666" s="2"/>
      <c r="M2666" s="2" t="s">
        <v>7117</v>
      </c>
      <c r="N2666" s="2" t="str">
        <f>IFERROR(__xludf.DUMMYFUNCTION("""COMPUTED_VALUE"""),"")</f>
        <v/>
      </c>
    </row>
    <row r="2667">
      <c r="A2667" s="2" t="s">
        <v>33</v>
      </c>
      <c r="B2667" s="12">
        <v>2563867.0</v>
      </c>
      <c r="C2667" s="12">
        <v>2563943.0</v>
      </c>
      <c r="D2667" s="2"/>
      <c r="E2667" s="2" t="s">
        <v>38</v>
      </c>
      <c r="F2667" s="2" t="s">
        <v>5225</v>
      </c>
      <c r="G2667" s="2"/>
      <c r="H2667" s="12">
        <v>0.0</v>
      </c>
      <c r="I2667" s="2" t="s">
        <v>3783</v>
      </c>
      <c r="J2667" s="2"/>
      <c r="K2667" s="2"/>
      <c r="L2667" s="2"/>
      <c r="M2667" s="2" t="s">
        <v>7118</v>
      </c>
      <c r="N2667" s="2" t="str">
        <f>IFERROR(__xludf.DUMMYFUNCTION("""COMPUTED_VALUE"""),"")</f>
        <v/>
      </c>
    </row>
    <row r="2668">
      <c r="A2668" s="2" t="s">
        <v>33</v>
      </c>
      <c r="B2668" s="12">
        <v>2564074.0</v>
      </c>
      <c r="C2668" s="12">
        <v>2565625.0</v>
      </c>
      <c r="D2668" s="2"/>
      <c r="E2668" s="2" t="s">
        <v>38</v>
      </c>
      <c r="F2668" s="2" t="s">
        <v>5264</v>
      </c>
      <c r="G2668" s="2"/>
      <c r="H2668" s="12">
        <v>0.0</v>
      </c>
      <c r="I2668" s="2" t="s">
        <v>5260</v>
      </c>
      <c r="J2668" s="2"/>
      <c r="K2668" s="2"/>
      <c r="L2668" s="2"/>
      <c r="M2668" s="2" t="s">
        <v>7119</v>
      </c>
      <c r="N2668" s="2" t="str">
        <f>IFERROR(__xludf.DUMMYFUNCTION("""COMPUTED_VALUE"""),"")</f>
        <v/>
      </c>
    </row>
    <row r="2669">
      <c r="A2669" s="2" t="s">
        <v>33</v>
      </c>
      <c r="B2669" s="12">
        <v>2565844.0</v>
      </c>
      <c r="C2669" s="12">
        <v>2566113.0</v>
      </c>
      <c r="D2669" s="2"/>
      <c r="E2669" s="2" t="s">
        <v>38</v>
      </c>
      <c r="F2669" s="2" t="s">
        <v>7120</v>
      </c>
      <c r="G2669" s="2"/>
      <c r="H2669" s="12">
        <v>0.0</v>
      </c>
      <c r="I2669" s="2" t="s">
        <v>40</v>
      </c>
      <c r="J2669" s="2"/>
      <c r="K2669" s="2" t="s">
        <v>7121</v>
      </c>
      <c r="L2669" s="12">
        <v>89.0</v>
      </c>
      <c r="M2669" s="2" t="s">
        <v>7122</v>
      </c>
      <c r="N2669" s="2" t="str">
        <f>IFERROR(__xludf.DUMMYFUNCTION("""COMPUTED_VALUE"""),"")</f>
        <v/>
      </c>
    </row>
    <row r="2670">
      <c r="A2670" s="2" t="s">
        <v>33</v>
      </c>
      <c r="B2670" s="12">
        <v>2566275.0</v>
      </c>
      <c r="C2670" s="12">
        <v>2566496.0</v>
      </c>
      <c r="D2670" s="2"/>
      <c r="E2670" s="2" t="s">
        <v>38</v>
      </c>
      <c r="F2670" s="2" t="s">
        <v>7123</v>
      </c>
      <c r="G2670" s="2"/>
      <c r="H2670" s="12">
        <v>0.0</v>
      </c>
      <c r="I2670" s="2" t="s">
        <v>40</v>
      </c>
      <c r="J2670" s="2"/>
      <c r="K2670" s="2" t="s">
        <v>7124</v>
      </c>
      <c r="L2670" s="12">
        <v>73.0</v>
      </c>
      <c r="M2670" s="2" t="s">
        <v>7125</v>
      </c>
      <c r="N2670" s="2" t="str">
        <f>IFERROR(__xludf.DUMMYFUNCTION("""COMPUTED_VALUE"""),"")</f>
        <v/>
      </c>
    </row>
    <row r="2671">
      <c r="A2671" s="2" t="s">
        <v>33</v>
      </c>
      <c r="B2671" s="12">
        <v>2566511.0</v>
      </c>
      <c r="C2671" s="12">
        <v>2567107.0</v>
      </c>
      <c r="D2671" s="2"/>
      <c r="E2671" s="2" t="s">
        <v>38</v>
      </c>
      <c r="F2671" s="2" t="s">
        <v>7126</v>
      </c>
      <c r="G2671" s="2" t="s">
        <v>7127</v>
      </c>
      <c r="H2671" s="12">
        <v>0.0</v>
      </c>
      <c r="I2671" s="2" t="s">
        <v>40</v>
      </c>
      <c r="J2671" s="2"/>
      <c r="K2671" s="2" t="s">
        <v>7128</v>
      </c>
      <c r="L2671" s="12">
        <v>198.0</v>
      </c>
      <c r="M2671" s="2" t="s">
        <v>7129</v>
      </c>
      <c r="N2671" s="2" t="str">
        <f>IFERROR(__xludf.DUMMYFUNCTION("""COMPUTED_VALUE"""),"")</f>
        <v/>
      </c>
    </row>
    <row r="2672">
      <c r="A2672" s="2" t="s">
        <v>33</v>
      </c>
      <c r="B2672" s="12">
        <v>2567122.0</v>
      </c>
      <c r="C2672" s="12">
        <v>2567448.0</v>
      </c>
      <c r="D2672" s="2"/>
      <c r="E2672" s="2" t="s">
        <v>38</v>
      </c>
      <c r="F2672" s="2" t="s">
        <v>7130</v>
      </c>
      <c r="G2672" s="2"/>
      <c r="H2672" s="12">
        <v>0.0</v>
      </c>
      <c r="I2672" s="2" t="s">
        <v>40</v>
      </c>
      <c r="J2672" s="2"/>
      <c r="K2672" s="2" t="s">
        <v>7131</v>
      </c>
      <c r="L2672" s="12">
        <v>108.0</v>
      </c>
      <c r="M2672" s="2" t="s">
        <v>7132</v>
      </c>
      <c r="N2672" s="2" t="str">
        <f>IFERROR(__xludf.DUMMYFUNCTION("""COMPUTED_VALUE"""),"")</f>
        <v/>
      </c>
    </row>
    <row r="2673">
      <c r="A2673" s="2" t="s">
        <v>33</v>
      </c>
      <c r="B2673" s="12">
        <v>2567474.0</v>
      </c>
      <c r="C2673" s="12">
        <v>2569162.0</v>
      </c>
      <c r="D2673" s="2"/>
      <c r="E2673" s="2" t="s">
        <v>38</v>
      </c>
      <c r="F2673" s="2" t="s">
        <v>7133</v>
      </c>
      <c r="G2673" s="2" t="s">
        <v>7134</v>
      </c>
      <c r="H2673" s="12">
        <v>0.0</v>
      </c>
      <c r="I2673" s="2" t="s">
        <v>40</v>
      </c>
      <c r="J2673" s="2"/>
      <c r="K2673" s="2" t="s">
        <v>7135</v>
      </c>
      <c r="L2673" s="12">
        <v>562.0</v>
      </c>
      <c r="M2673" s="2" t="s">
        <v>7136</v>
      </c>
      <c r="N2673" s="2" t="str">
        <f>IFERROR(__xludf.DUMMYFUNCTION("""COMPUTED_VALUE"""),"")</f>
        <v/>
      </c>
    </row>
    <row r="2674">
      <c r="A2674" s="2" t="s">
        <v>33</v>
      </c>
      <c r="B2674" s="12">
        <v>2569295.0</v>
      </c>
      <c r="C2674" s="12">
        <v>2569559.0</v>
      </c>
      <c r="D2674" s="2"/>
      <c r="E2674" s="2" t="s">
        <v>38</v>
      </c>
      <c r="F2674" s="2" t="s">
        <v>7137</v>
      </c>
      <c r="G2674" s="2" t="s">
        <v>7138</v>
      </c>
      <c r="H2674" s="12">
        <v>0.0</v>
      </c>
      <c r="I2674" s="2" t="s">
        <v>7139</v>
      </c>
      <c r="J2674" s="2"/>
      <c r="K2674" s="2"/>
      <c r="L2674" s="2"/>
      <c r="M2674" s="2" t="s">
        <v>7140</v>
      </c>
      <c r="N2674" s="2" t="str">
        <f>IFERROR(__xludf.DUMMYFUNCTION("""COMPUTED_VALUE"""),"")</f>
        <v/>
      </c>
    </row>
    <row r="2675">
      <c r="A2675" s="2" t="s">
        <v>33</v>
      </c>
      <c r="B2675" s="12">
        <v>2569639.0</v>
      </c>
      <c r="C2675" s="12">
        <v>2570139.0</v>
      </c>
      <c r="D2675" s="2"/>
      <c r="E2675" s="2" t="s">
        <v>38</v>
      </c>
      <c r="F2675" s="2" t="s">
        <v>7141</v>
      </c>
      <c r="G2675" s="2" t="s">
        <v>7142</v>
      </c>
      <c r="H2675" s="12">
        <v>0.0</v>
      </c>
      <c r="I2675" s="2" t="s">
        <v>40</v>
      </c>
      <c r="J2675" s="2"/>
      <c r="K2675" s="2" t="s">
        <v>7143</v>
      </c>
      <c r="L2675" s="12">
        <v>166.0</v>
      </c>
      <c r="M2675" s="2" t="s">
        <v>7144</v>
      </c>
      <c r="N2675" s="2" t="str">
        <f>IFERROR(__xludf.DUMMYFUNCTION("""COMPUTED_VALUE"""),"")</f>
        <v/>
      </c>
    </row>
    <row r="2676">
      <c r="A2676" s="2" t="s">
        <v>33</v>
      </c>
      <c r="B2676" s="12">
        <v>2570249.0</v>
      </c>
      <c r="C2676" s="12">
        <v>2570788.0</v>
      </c>
      <c r="D2676" s="2"/>
      <c r="E2676" s="2" t="s">
        <v>34</v>
      </c>
      <c r="F2676" s="2" t="s">
        <v>7145</v>
      </c>
      <c r="G2676" s="2"/>
      <c r="H2676" s="12">
        <v>0.0</v>
      </c>
      <c r="I2676" s="2" t="s">
        <v>40</v>
      </c>
      <c r="J2676" s="2"/>
      <c r="K2676" s="2" t="s">
        <v>7146</v>
      </c>
      <c r="L2676" s="12">
        <v>179.0</v>
      </c>
      <c r="M2676" s="2" t="s">
        <v>7147</v>
      </c>
      <c r="N2676" s="2" t="str">
        <f>IFERROR(__xludf.DUMMYFUNCTION("""COMPUTED_VALUE"""),"")</f>
        <v/>
      </c>
    </row>
    <row r="2677">
      <c r="A2677" s="2" t="s">
        <v>33</v>
      </c>
      <c r="B2677" s="12">
        <v>2570914.0</v>
      </c>
      <c r="C2677" s="12">
        <v>2571549.0</v>
      </c>
      <c r="D2677" s="2"/>
      <c r="E2677" s="2" t="s">
        <v>34</v>
      </c>
      <c r="F2677" s="2" t="s">
        <v>7148</v>
      </c>
      <c r="G2677" s="2"/>
      <c r="H2677" s="12">
        <v>0.0</v>
      </c>
      <c r="I2677" s="2" t="s">
        <v>40</v>
      </c>
      <c r="J2677" s="2"/>
      <c r="K2677" s="2" t="s">
        <v>7149</v>
      </c>
      <c r="L2677" s="12">
        <v>211.0</v>
      </c>
      <c r="M2677" s="2" t="s">
        <v>7150</v>
      </c>
      <c r="N2677" s="2" t="str">
        <f>IFERROR(__xludf.DUMMYFUNCTION("""COMPUTED_VALUE"""),"")</f>
        <v/>
      </c>
    </row>
    <row r="2678">
      <c r="A2678" s="2" t="s">
        <v>33</v>
      </c>
      <c r="B2678" s="12">
        <v>2571552.0</v>
      </c>
      <c r="C2678" s="12">
        <v>2572220.0</v>
      </c>
      <c r="D2678" s="2"/>
      <c r="E2678" s="2" t="s">
        <v>34</v>
      </c>
      <c r="F2678" s="2" t="s">
        <v>7148</v>
      </c>
      <c r="G2678" s="2"/>
      <c r="H2678" s="12">
        <v>0.0</v>
      </c>
      <c r="I2678" s="2" t="s">
        <v>40</v>
      </c>
      <c r="J2678" s="2"/>
      <c r="K2678" s="2" t="s">
        <v>7151</v>
      </c>
      <c r="L2678" s="12">
        <v>222.0</v>
      </c>
      <c r="M2678" s="2" t="s">
        <v>7152</v>
      </c>
      <c r="N2678" s="2" t="str">
        <f>IFERROR(__xludf.DUMMYFUNCTION("""COMPUTED_VALUE"""),"")</f>
        <v/>
      </c>
    </row>
    <row r="2679">
      <c r="A2679" s="2" t="s">
        <v>33</v>
      </c>
      <c r="B2679" s="12">
        <v>2572256.0</v>
      </c>
      <c r="C2679" s="12">
        <v>2572648.0</v>
      </c>
      <c r="D2679" s="2"/>
      <c r="E2679" s="2" t="s">
        <v>38</v>
      </c>
      <c r="F2679" s="2" t="s">
        <v>7153</v>
      </c>
      <c r="G2679" s="2"/>
      <c r="H2679" s="12">
        <v>0.0</v>
      </c>
      <c r="I2679" s="2" t="s">
        <v>40</v>
      </c>
      <c r="J2679" s="2"/>
      <c r="K2679" s="2" t="s">
        <v>7154</v>
      </c>
      <c r="L2679" s="12">
        <v>130.0</v>
      </c>
      <c r="M2679" s="2" t="s">
        <v>7155</v>
      </c>
      <c r="N2679" s="2" t="str">
        <f>IFERROR(__xludf.DUMMYFUNCTION("""COMPUTED_VALUE"""),"")</f>
        <v/>
      </c>
    </row>
    <row r="2680">
      <c r="A2680" s="2" t="s">
        <v>33</v>
      </c>
      <c r="B2680" s="12">
        <v>2572815.0</v>
      </c>
      <c r="C2680" s="12">
        <v>2572907.0</v>
      </c>
      <c r="D2680" s="2"/>
      <c r="E2680" s="2" t="s">
        <v>38</v>
      </c>
      <c r="F2680" s="2" t="s">
        <v>5237</v>
      </c>
      <c r="G2680" s="2"/>
      <c r="H2680" s="12">
        <v>0.0</v>
      </c>
      <c r="I2680" s="2" t="s">
        <v>3783</v>
      </c>
      <c r="J2680" s="2"/>
      <c r="K2680" s="2"/>
      <c r="L2680" s="2"/>
      <c r="M2680" s="2" t="s">
        <v>7156</v>
      </c>
      <c r="N2680" s="2" t="str">
        <f>IFERROR(__xludf.DUMMYFUNCTION("""COMPUTED_VALUE"""),"")</f>
        <v/>
      </c>
    </row>
    <row r="2681">
      <c r="A2681" s="2" t="s">
        <v>33</v>
      </c>
      <c r="B2681" s="12">
        <v>2573062.0</v>
      </c>
      <c r="C2681" s="12">
        <v>2574336.0</v>
      </c>
      <c r="D2681" s="2"/>
      <c r="E2681" s="2" t="s">
        <v>38</v>
      </c>
      <c r="F2681" s="2" t="s">
        <v>7157</v>
      </c>
      <c r="G2681" s="2" t="s">
        <v>7158</v>
      </c>
      <c r="H2681" s="12">
        <v>0.0</v>
      </c>
      <c r="I2681" s="2" t="s">
        <v>40</v>
      </c>
      <c r="J2681" s="2"/>
      <c r="K2681" s="2" t="s">
        <v>7159</v>
      </c>
      <c r="L2681" s="12">
        <v>424.0</v>
      </c>
      <c r="M2681" s="2" t="s">
        <v>7160</v>
      </c>
      <c r="N2681" s="2" t="str">
        <f>IFERROR(__xludf.DUMMYFUNCTION("""COMPUTED_VALUE"""),"")</f>
        <v/>
      </c>
    </row>
    <row r="2682">
      <c r="A2682" s="2" t="s">
        <v>33</v>
      </c>
      <c r="B2682" s="12">
        <v>2574664.0</v>
      </c>
      <c r="C2682" s="12">
        <v>2575254.0</v>
      </c>
      <c r="D2682" s="2"/>
      <c r="E2682" s="2" t="s">
        <v>38</v>
      </c>
      <c r="F2682" s="2" t="s">
        <v>7161</v>
      </c>
      <c r="G2682" s="2" t="s">
        <v>7162</v>
      </c>
      <c r="H2682" s="12">
        <v>0.0</v>
      </c>
      <c r="I2682" s="2" t="s">
        <v>40</v>
      </c>
      <c r="J2682" s="2"/>
      <c r="K2682" s="2" t="s">
        <v>7163</v>
      </c>
      <c r="L2682" s="12">
        <v>196.0</v>
      </c>
      <c r="M2682" s="2" t="s">
        <v>7164</v>
      </c>
      <c r="N2682" s="2" t="str">
        <f>IFERROR(__xludf.DUMMYFUNCTION("""COMPUTED_VALUE"""),"")</f>
        <v/>
      </c>
    </row>
    <row r="2683">
      <c r="A2683" s="2" t="s">
        <v>33</v>
      </c>
      <c r="B2683" s="12">
        <v>2575273.0</v>
      </c>
      <c r="C2683" s="12">
        <v>2576160.0</v>
      </c>
      <c r="D2683" s="2"/>
      <c r="E2683" s="2" t="s">
        <v>38</v>
      </c>
      <c r="F2683" s="2" t="s">
        <v>7165</v>
      </c>
      <c r="G2683" s="2" t="s">
        <v>7166</v>
      </c>
      <c r="H2683" s="12">
        <v>0.0</v>
      </c>
      <c r="I2683" s="2" t="s">
        <v>40</v>
      </c>
      <c r="J2683" s="2"/>
      <c r="K2683" s="2" t="s">
        <v>7167</v>
      </c>
      <c r="L2683" s="12">
        <v>295.0</v>
      </c>
      <c r="M2683" s="2" t="s">
        <v>7168</v>
      </c>
      <c r="N2683" s="2" t="str">
        <f>IFERROR(__xludf.DUMMYFUNCTION("""COMPUTED_VALUE"""),"")</f>
        <v/>
      </c>
    </row>
    <row r="2684">
      <c r="A2684" s="2" t="s">
        <v>33</v>
      </c>
      <c r="B2684" s="12">
        <v>2576321.0</v>
      </c>
      <c r="C2684" s="12">
        <v>2577628.0</v>
      </c>
      <c r="D2684" s="2"/>
      <c r="E2684" s="2" t="s">
        <v>38</v>
      </c>
      <c r="F2684" s="2" t="s">
        <v>7169</v>
      </c>
      <c r="G2684" s="2" t="s">
        <v>7170</v>
      </c>
      <c r="H2684" s="12">
        <v>0.0</v>
      </c>
      <c r="I2684" s="2" t="s">
        <v>40</v>
      </c>
      <c r="J2684" s="2"/>
      <c r="K2684" s="2" t="s">
        <v>7171</v>
      </c>
      <c r="L2684" s="12">
        <v>435.0</v>
      </c>
      <c r="M2684" s="2" t="s">
        <v>7172</v>
      </c>
      <c r="N2684" s="2" t="str">
        <f>IFERROR(__xludf.DUMMYFUNCTION("""COMPUTED_VALUE"""),"")</f>
        <v/>
      </c>
    </row>
    <row r="2685">
      <c r="A2685" s="2" t="s">
        <v>33</v>
      </c>
      <c r="B2685" s="12">
        <v>2577742.0</v>
      </c>
      <c r="C2685" s="12">
        <v>2579205.0</v>
      </c>
      <c r="D2685" s="2"/>
      <c r="E2685" s="2" t="s">
        <v>38</v>
      </c>
      <c r="F2685" s="2" t="s">
        <v>7173</v>
      </c>
      <c r="G2685" s="2" t="s">
        <v>7174</v>
      </c>
      <c r="H2685" s="12">
        <v>0.0</v>
      </c>
      <c r="I2685" s="2" t="s">
        <v>40</v>
      </c>
      <c r="J2685" s="2"/>
      <c r="K2685" s="2" t="s">
        <v>7175</v>
      </c>
      <c r="L2685" s="12">
        <v>487.0</v>
      </c>
      <c r="M2685" s="2" t="s">
        <v>7176</v>
      </c>
      <c r="N2685" s="2" t="str">
        <f>IFERROR(__xludf.DUMMYFUNCTION("""COMPUTED_VALUE"""),"")</f>
        <v/>
      </c>
    </row>
    <row r="2686">
      <c r="A2686" s="2" t="s">
        <v>33</v>
      </c>
      <c r="B2686" s="12">
        <v>2579321.0</v>
      </c>
      <c r="C2686" s="12">
        <v>2580322.0</v>
      </c>
      <c r="D2686" s="2"/>
      <c r="E2686" s="2" t="s">
        <v>34</v>
      </c>
      <c r="F2686" s="2" t="s">
        <v>7177</v>
      </c>
      <c r="G2686" s="2"/>
      <c r="H2686" s="12">
        <v>0.0</v>
      </c>
      <c r="I2686" s="2" t="s">
        <v>40</v>
      </c>
      <c r="J2686" s="2"/>
      <c r="K2686" s="2" t="s">
        <v>7178</v>
      </c>
      <c r="L2686" s="12">
        <v>333.0</v>
      </c>
      <c r="M2686" s="2" t="s">
        <v>7179</v>
      </c>
      <c r="N2686" s="2" t="str">
        <f>IFERROR(__xludf.DUMMYFUNCTION("""COMPUTED_VALUE"""),"")</f>
        <v/>
      </c>
    </row>
    <row r="2687">
      <c r="A2687" s="2" t="s">
        <v>33</v>
      </c>
      <c r="B2687" s="12">
        <v>2580357.0</v>
      </c>
      <c r="C2687" s="12">
        <v>2580472.0</v>
      </c>
      <c r="D2687" s="2"/>
      <c r="E2687" s="2" t="s">
        <v>38</v>
      </c>
      <c r="F2687" s="2" t="s">
        <v>5258</v>
      </c>
      <c r="G2687" s="2" t="s">
        <v>5259</v>
      </c>
      <c r="H2687" s="12">
        <v>0.0</v>
      </c>
      <c r="I2687" s="2" t="s">
        <v>5260</v>
      </c>
      <c r="J2687" s="2"/>
      <c r="K2687" s="2"/>
      <c r="L2687" s="2"/>
      <c r="M2687" s="2" t="s">
        <v>7180</v>
      </c>
      <c r="N2687" s="2" t="str">
        <f>IFERROR(__xludf.DUMMYFUNCTION("""COMPUTED_VALUE"""),"")</f>
        <v/>
      </c>
    </row>
    <row r="2688">
      <c r="A2688" s="2" t="s">
        <v>33</v>
      </c>
      <c r="B2688" s="12">
        <v>2580522.0</v>
      </c>
      <c r="C2688" s="12">
        <v>2583443.0</v>
      </c>
      <c r="D2688" s="2"/>
      <c r="E2688" s="2" t="s">
        <v>38</v>
      </c>
      <c r="F2688" s="2" t="s">
        <v>5262</v>
      </c>
      <c r="G2688" s="2"/>
      <c r="H2688" s="12">
        <v>0.0</v>
      </c>
      <c r="I2688" s="2" t="s">
        <v>5260</v>
      </c>
      <c r="J2688" s="2"/>
      <c r="K2688" s="2"/>
      <c r="L2688" s="2"/>
      <c r="M2688" s="2" t="s">
        <v>7181</v>
      </c>
      <c r="N2688" s="2" t="str">
        <f>IFERROR(__xludf.DUMMYFUNCTION("""COMPUTED_VALUE"""),"")</f>
        <v/>
      </c>
    </row>
    <row r="2689">
      <c r="A2689" s="2" t="s">
        <v>33</v>
      </c>
      <c r="B2689" s="12">
        <v>2583524.0</v>
      </c>
      <c r="C2689" s="12">
        <v>2583599.0</v>
      </c>
      <c r="D2689" s="2"/>
      <c r="E2689" s="2" t="s">
        <v>38</v>
      </c>
      <c r="F2689" s="2" t="s">
        <v>5240</v>
      </c>
      <c r="G2689" s="2"/>
      <c r="H2689" s="12">
        <v>0.0</v>
      </c>
      <c r="I2689" s="2" t="s">
        <v>3783</v>
      </c>
      <c r="J2689" s="2"/>
      <c r="K2689" s="2"/>
      <c r="L2689" s="2"/>
      <c r="M2689" s="2" t="s">
        <v>7182</v>
      </c>
      <c r="N2689" s="2" t="str">
        <f>IFERROR(__xludf.DUMMYFUNCTION("""COMPUTED_VALUE"""),"")</f>
        <v/>
      </c>
    </row>
    <row r="2690">
      <c r="A2690" s="2" t="s">
        <v>33</v>
      </c>
      <c r="B2690" s="12">
        <v>2583608.0</v>
      </c>
      <c r="C2690" s="12">
        <v>2583684.0</v>
      </c>
      <c r="D2690" s="2"/>
      <c r="E2690" s="2" t="s">
        <v>38</v>
      </c>
      <c r="F2690" s="2" t="s">
        <v>5225</v>
      </c>
      <c r="G2690" s="2"/>
      <c r="H2690" s="12">
        <v>0.0</v>
      </c>
      <c r="I2690" s="2" t="s">
        <v>3783</v>
      </c>
      <c r="J2690" s="2"/>
      <c r="K2690" s="2"/>
      <c r="L2690" s="2"/>
      <c r="M2690" s="2" t="s">
        <v>7183</v>
      </c>
      <c r="N2690" s="2" t="str">
        <f>IFERROR(__xludf.DUMMYFUNCTION("""COMPUTED_VALUE"""),"")</f>
        <v/>
      </c>
    </row>
    <row r="2691">
      <c r="A2691" s="2" t="s">
        <v>33</v>
      </c>
      <c r="B2691" s="12">
        <v>2583815.0</v>
      </c>
      <c r="C2691" s="12">
        <v>2585366.0</v>
      </c>
      <c r="D2691" s="2"/>
      <c r="E2691" s="2" t="s">
        <v>38</v>
      </c>
      <c r="F2691" s="2" t="s">
        <v>5264</v>
      </c>
      <c r="G2691" s="2"/>
      <c r="H2691" s="12">
        <v>0.0</v>
      </c>
      <c r="I2691" s="2" t="s">
        <v>5260</v>
      </c>
      <c r="J2691" s="2"/>
      <c r="K2691" s="2"/>
      <c r="L2691" s="2"/>
      <c r="M2691" s="2" t="s">
        <v>7184</v>
      </c>
      <c r="N2691" s="2" t="str">
        <f>IFERROR(__xludf.DUMMYFUNCTION("""COMPUTED_VALUE"""),"")</f>
        <v/>
      </c>
    </row>
    <row r="2692">
      <c r="A2692" s="2" t="s">
        <v>33</v>
      </c>
      <c r="B2692" s="12">
        <v>2585608.0</v>
      </c>
      <c r="C2692" s="12">
        <v>2588079.0</v>
      </c>
      <c r="D2692" s="2"/>
      <c r="E2692" s="2" t="s">
        <v>38</v>
      </c>
      <c r="F2692" s="2" t="s">
        <v>7185</v>
      </c>
      <c r="G2692" s="2" t="s">
        <v>7186</v>
      </c>
      <c r="H2692" s="12">
        <v>0.0</v>
      </c>
      <c r="I2692" s="2" t="s">
        <v>40</v>
      </c>
      <c r="J2692" s="2"/>
      <c r="K2692" s="2" t="s">
        <v>7187</v>
      </c>
      <c r="L2692" s="12">
        <v>823.0</v>
      </c>
      <c r="M2692" s="2" t="s">
        <v>7188</v>
      </c>
      <c r="N2692" s="2" t="str">
        <f>IFERROR(__xludf.DUMMYFUNCTION("""COMPUTED_VALUE"""),"")</f>
        <v/>
      </c>
    </row>
    <row r="2693">
      <c r="A2693" s="2" t="s">
        <v>33</v>
      </c>
      <c r="B2693" s="12">
        <v>2588168.0</v>
      </c>
      <c r="C2693" s="12">
        <v>2590090.0</v>
      </c>
      <c r="D2693" s="2"/>
      <c r="E2693" s="2" t="s">
        <v>38</v>
      </c>
      <c r="F2693" s="2" t="s">
        <v>7189</v>
      </c>
      <c r="G2693" s="2" t="s">
        <v>7190</v>
      </c>
      <c r="H2693" s="12">
        <v>0.0</v>
      </c>
      <c r="I2693" s="2" t="s">
        <v>40</v>
      </c>
      <c r="J2693" s="2"/>
      <c r="K2693" s="2" t="s">
        <v>7191</v>
      </c>
      <c r="L2693" s="12">
        <v>640.0</v>
      </c>
      <c r="M2693" s="2" t="s">
        <v>7192</v>
      </c>
      <c r="N2693" s="2" t="str">
        <f>IFERROR(__xludf.DUMMYFUNCTION("""COMPUTED_VALUE"""),"")</f>
        <v/>
      </c>
    </row>
    <row r="2694">
      <c r="A2694" s="2" t="s">
        <v>33</v>
      </c>
      <c r="B2694" s="12">
        <v>2590129.0</v>
      </c>
      <c r="C2694" s="12">
        <v>2591256.0</v>
      </c>
      <c r="D2694" s="2"/>
      <c r="E2694" s="2" t="s">
        <v>38</v>
      </c>
      <c r="F2694" s="2" t="s">
        <v>7193</v>
      </c>
      <c r="G2694" s="2" t="s">
        <v>7194</v>
      </c>
      <c r="H2694" s="12">
        <v>0.0</v>
      </c>
      <c r="I2694" s="2" t="s">
        <v>40</v>
      </c>
      <c r="J2694" s="2"/>
      <c r="K2694" s="2" t="s">
        <v>7195</v>
      </c>
      <c r="L2694" s="12">
        <v>375.0</v>
      </c>
      <c r="M2694" s="2" t="s">
        <v>7196</v>
      </c>
      <c r="N2694" s="2" t="str">
        <f>IFERROR(__xludf.DUMMYFUNCTION("""COMPUTED_VALUE"""),"")</f>
        <v/>
      </c>
    </row>
    <row r="2695">
      <c r="A2695" s="2" t="s">
        <v>33</v>
      </c>
      <c r="B2695" s="12">
        <v>2591269.0</v>
      </c>
      <c r="C2695" s="12">
        <v>2591481.0</v>
      </c>
      <c r="D2695" s="2"/>
      <c r="E2695" s="2" t="s">
        <v>38</v>
      </c>
      <c r="F2695" s="2" t="s">
        <v>7197</v>
      </c>
      <c r="G2695" s="2" t="s">
        <v>7198</v>
      </c>
      <c r="H2695" s="12">
        <v>0.0</v>
      </c>
      <c r="I2695" s="2" t="s">
        <v>40</v>
      </c>
      <c r="J2695" s="2"/>
      <c r="K2695" s="2" t="s">
        <v>7199</v>
      </c>
      <c r="L2695" s="12">
        <v>70.0</v>
      </c>
      <c r="M2695" s="2" t="s">
        <v>7200</v>
      </c>
      <c r="N2695" s="2" t="str">
        <f>IFERROR(__xludf.DUMMYFUNCTION("""COMPUTED_VALUE"""),"")</f>
        <v/>
      </c>
    </row>
    <row r="2696">
      <c r="A2696" s="2" t="s">
        <v>33</v>
      </c>
      <c r="B2696" s="12">
        <v>2591609.0</v>
      </c>
      <c r="C2696" s="12">
        <v>2592754.0</v>
      </c>
      <c r="D2696" s="2"/>
      <c r="E2696" s="2" t="s">
        <v>38</v>
      </c>
      <c r="F2696" s="2" t="s">
        <v>7201</v>
      </c>
      <c r="G2696" s="2" t="s">
        <v>7202</v>
      </c>
      <c r="H2696" s="12">
        <v>0.0</v>
      </c>
      <c r="I2696" s="2" t="s">
        <v>40</v>
      </c>
      <c r="J2696" s="2"/>
      <c r="K2696" s="2" t="s">
        <v>7203</v>
      </c>
      <c r="L2696" s="12">
        <v>381.0</v>
      </c>
      <c r="M2696" s="2" t="s">
        <v>7204</v>
      </c>
      <c r="N2696" s="2" t="str">
        <f>IFERROR(__xludf.DUMMYFUNCTION("""COMPUTED_VALUE"""),"")</f>
        <v/>
      </c>
    </row>
    <row r="2697">
      <c r="A2697" s="2" t="s">
        <v>33</v>
      </c>
      <c r="B2697" s="12">
        <v>2592933.0</v>
      </c>
      <c r="C2697" s="12">
        <v>2594273.0</v>
      </c>
      <c r="D2697" s="2"/>
      <c r="E2697" s="2" t="s">
        <v>38</v>
      </c>
      <c r="F2697" s="2" t="s">
        <v>7205</v>
      </c>
      <c r="G2697" s="2" t="s">
        <v>7206</v>
      </c>
      <c r="H2697" s="12">
        <v>0.0</v>
      </c>
      <c r="I2697" s="2" t="s">
        <v>40</v>
      </c>
      <c r="J2697" s="2"/>
      <c r="K2697" s="2" t="s">
        <v>7207</v>
      </c>
      <c r="L2697" s="12">
        <v>446.0</v>
      </c>
      <c r="M2697" s="2" t="s">
        <v>7208</v>
      </c>
      <c r="N2697" s="2" t="str">
        <f>IFERROR(__xludf.DUMMYFUNCTION("""COMPUTED_VALUE"""),"")</f>
        <v/>
      </c>
    </row>
    <row r="2698">
      <c r="A2698" s="2" t="s">
        <v>33</v>
      </c>
      <c r="B2698" s="12">
        <v>2594838.0</v>
      </c>
      <c r="C2698" s="12">
        <v>2594972.0</v>
      </c>
      <c r="D2698" s="2"/>
      <c r="E2698" s="2" t="s">
        <v>34</v>
      </c>
      <c r="F2698" s="2" t="s">
        <v>7209</v>
      </c>
      <c r="G2698" s="2" t="s">
        <v>7210</v>
      </c>
      <c r="H2698" s="12">
        <v>0.0</v>
      </c>
      <c r="I2698" s="2" t="s">
        <v>40</v>
      </c>
      <c r="J2698" s="2"/>
      <c r="K2698" s="2" t="s">
        <v>7211</v>
      </c>
      <c r="L2698" s="12">
        <v>44.0</v>
      </c>
      <c r="M2698" s="2" t="s">
        <v>7212</v>
      </c>
      <c r="N2698" s="2" t="str">
        <f>IFERROR(__xludf.DUMMYFUNCTION("""COMPUTED_VALUE"""),"")</f>
        <v/>
      </c>
    </row>
    <row r="2699">
      <c r="A2699" s="2" t="s">
        <v>33</v>
      </c>
      <c r="B2699" s="12">
        <v>2595049.0</v>
      </c>
      <c r="C2699" s="12">
        <v>2595396.0</v>
      </c>
      <c r="D2699" s="2"/>
      <c r="E2699" s="2" t="s">
        <v>34</v>
      </c>
      <c r="F2699" s="2" t="s">
        <v>7213</v>
      </c>
      <c r="G2699" s="2" t="s">
        <v>7214</v>
      </c>
      <c r="H2699" s="12">
        <v>0.0</v>
      </c>
      <c r="I2699" s="2" t="s">
        <v>40</v>
      </c>
      <c r="J2699" s="2"/>
      <c r="K2699" s="2" t="s">
        <v>7215</v>
      </c>
      <c r="L2699" s="12">
        <v>115.0</v>
      </c>
      <c r="M2699" s="2" t="s">
        <v>7216</v>
      </c>
      <c r="N2699" s="2" t="str">
        <f>IFERROR(__xludf.DUMMYFUNCTION("""COMPUTED_VALUE"""),"")</f>
        <v/>
      </c>
    </row>
    <row r="2700">
      <c r="A2700" s="2" t="s">
        <v>33</v>
      </c>
      <c r="B2700" s="12">
        <v>2595449.0</v>
      </c>
      <c r="C2700" s="12">
        <v>2596225.0</v>
      </c>
      <c r="D2700" s="2"/>
      <c r="E2700" s="2" t="s">
        <v>34</v>
      </c>
      <c r="F2700" s="2" t="s">
        <v>7217</v>
      </c>
      <c r="G2700" s="2" t="s">
        <v>7218</v>
      </c>
      <c r="H2700" s="12">
        <v>0.0</v>
      </c>
      <c r="I2700" s="2" t="s">
        <v>40</v>
      </c>
      <c r="J2700" s="2"/>
      <c r="K2700" s="2" t="s">
        <v>7219</v>
      </c>
      <c r="L2700" s="12">
        <v>258.0</v>
      </c>
      <c r="M2700" s="2" t="s">
        <v>7220</v>
      </c>
      <c r="N2700" s="2" t="str">
        <f>IFERROR(__xludf.DUMMYFUNCTION("""COMPUTED_VALUE"""),"")</f>
        <v/>
      </c>
    </row>
    <row r="2701">
      <c r="A2701" s="2" t="s">
        <v>33</v>
      </c>
      <c r="B2701" s="12">
        <v>2596222.0</v>
      </c>
      <c r="C2701" s="12">
        <v>2596839.0</v>
      </c>
      <c r="D2701" s="2"/>
      <c r="E2701" s="2" t="s">
        <v>34</v>
      </c>
      <c r="F2701" s="2" t="s">
        <v>7221</v>
      </c>
      <c r="G2701" s="2" t="s">
        <v>7222</v>
      </c>
      <c r="H2701" s="12">
        <v>0.0</v>
      </c>
      <c r="I2701" s="2" t="s">
        <v>40</v>
      </c>
      <c r="J2701" s="2"/>
      <c r="K2701" s="2" t="s">
        <v>7223</v>
      </c>
      <c r="L2701" s="12">
        <v>205.0</v>
      </c>
      <c r="M2701" s="2" t="s">
        <v>7224</v>
      </c>
      <c r="N2701" s="2" t="str">
        <f>IFERROR(__xludf.DUMMYFUNCTION("""COMPUTED_VALUE"""),"")</f>
        <v/>
      </c>
    </row>
    <row r="2702">
      <c r="A2702" s="2" t="s">
        <v>33</v>
      </c>
      <c r="B2702" s="12">
        <v>2597066.0</v>
      </c>
      <c r="C2702" s="12">
        <v>2598442.0</v>
      </c>
      <c r="D2702" s="2"/>
      <c r="E2702" s="2" t="s">
        <v>34</v>
      </c>
      <c r="F2702" s="2" t="s">
        <v>7225</v>
      </c>
      <c r="G2702" s="2" t="s">
        <v>7226</v>
      </c>
      <c r="H2702" s="12">
        <v>0.0</v>
      </c>
      <c r="I2702" s="2" t="s">
        <v>40</v>
      </c>
      <c r="J2702" s="2"/>
      <c r="K2702" s="2" t="s">
        <v>7227</v>
      </c>
      <c r="L2702" s="12">
        <v>458.0</v>
      </c>
      <c r="M2702" s="2" t="s">
        <v>7228</v>
      </c>
      <c r="N2702" s="2" t="str">
        <f>IFERROR(__xludf.DUMMYFUNCTION("""COMPUTED_VALUE"""),"")</f>
        <v/>
      </c>
    </row>
    <row r="2703">
      <c r="A2703" s="2" t="s">
        <v>33</v>
      </c>
      <c r="B2703" s="12">
        <v>2598489.0</v>
      </c>
      <c r="C2703" s="12">
        <v>2600378.0</v>
      </c>
      <c r="D2703" s="2"/>
      <c r="E2703" s="2" t="s">
        <v>34</v>
      </c>
      <c r="F2703" s="2" t="s">
        <v>7229</v>
      </c>
      <c r="G2703" s="2" t="s">
        <v>7230</v>
      </c>
      <c r="H2703" s="12">
        <v>0.0</v>
      </c>
      <c r="I2703" s="2" t="s">
        <v>40</v>
      </c>
      <c r="J2703" s="2"/>
      <c r="K2703" s="2" t="s">
        <v>7231</v>
      </c>
      <c r="L2703" s="12">
        <v>629.0</v>
      </c>
      <c r="M2703" s="2" t="s">
        <v>7232</v>
      </c>
      <c r="N2703" s="2" t="str">
        <f>IFERROR(__xludf.DUMMYFUNCTION("""COMPUTED_VALUE"""),"")</f>
        <v/>
      </c>
    </row>
    <row r="2704">
      <c r="A2704" s="2" t="s">
        <v>33</v>
      </c>
      <c r="B2704" s="12">
        <v>2600400.0</v>
      </c>
      <c r="C2704" s="12">
        <v>2601119.0</v>
      </c>
      <c r="D2704" s="2"/>
      <c r="E2704" s="2" t="s">
        <v>34</v>
      </c>
      <c r="F2704" s="2" t="s">
        <v>7233</v>
      </c>
      <c r="G2704" s="2" t="s">
        <v>7234</v>
      </c>
      <c r="H2704" s="12">
        <v>0.0</v>
      </c>
      <c r="I2704" s="2" t="s">
        <v>40</v>
      </c>
      <c r="J2704" s="2"/>
      <c r="K2704" s="2" t="s">
        <v>7235</v>
      </c>
      <c r="L2704" s="12">
        <v>239.0</v>
      </c>
      <c r="M2704" s="2" t="s">
        <v>7236</v>
      </c>
      <c r="N2704" s="2" t="str">
        <f>IFERROR(__xludf.DUMMYFUNCTION("""COMPUTED_VALUE"""),"")</f>
        <v/>
      </c>
    </row>
    <row r="2705">
      <c r="A2705" s="2" t="s">
        <v>33</v>
      </c>
      <c r="B2705" s="12">
        <v>2601225.0</v>
      </c>
      <c r="C2705" s="12">
        <v>2602097.0</v>
      </c>
      <c r="D2705" s="2"/>
      <c r="E2705" s="2" t="s">
        <v>34</v>
      </c>
      <c r="F2705" s="2" t="s">
        <v>7237</v>
      </c>
      <c r="G2705" s="2" t="s">
        <v>7238</v>
      </c>
      <c r="H2705" s="12">
        <v>0.0</v>
      </c>
      <c r="I2705" s="2" t="s">
        <v>40</v>
      </c>
      <c r="J2705" s="2"/>
      <c r="K2705" s="2" t="s">
        <v>7239</v>
      </c>
      <c r="L2705" s="12">
        <v>290.0</v>
      </c>
      <c r="M2705" s="2" t="s">
        <v>7240</v>
      </c>
      <c r="N2705" s="2" t="str">
        <f>IFERROR(__xludf.DUMMYFUNCTION("""COMPUTED_VALUE"""),"")</f>
        <v/>
      </c>
    </row>
    <row r="2706">
      <c r="A2706" s="2" t="s">
        <v>33</v>
      </c>
      <c r="B2706" s="12">
        <v>2602288.0</v>
      </c>
      <c r="C2706" s="12">
        <v>2603049.0</v>
      </c>
      <c r="D2706" s="2"/>
      <c r="E2706" s="2" t="s">
        <v>34</v>
      </c>
      <c r="F2706" s="2" t="s">
        <v>7241</v>
      </c>
      <c r="G2706" s="2" t="s">
        <v>7242</v>
      </c>
      <c r="H2706" s="12">
        <v>0.0</v>
      </c>
      <c r="I2706" s="2" t="s">
        <v>40</v>
      </c>
      <c r="J2706" s="2"/>
      <c r="K2706" s="2" t="s">
        <v>7243</v>
      </c>
      <c r="L2706" s="12">
        <v>253.0</v>
      </c>
      <c r="M2706" s="2" t="s">
        <v>7244</v>
      </c>
      <c r="N2706" s="2" t="str">
        <f>IFERROR(__xludf.DUMMYFUNCTION("""COMPUTED_VALUE"""),"")</f>
        <v/>
      </c>
    </row>
    <row r="2707">
      <c r="A2707" s="2" t="s">
        <v>33</v>
      </c>
      <c r="B2707" s="12">
        <v>2603042.0</v>
      </c>
      <c r="C2707" s="12">
        <v>2603893.0</v>
      </c>
      <c r="D2707" s="2"/>
      <c r="E2707" s="2" t="s">
        <v>34</v>
      </c>
      <c r="F2707" s="2" t="s">
        <v>7245</v>
      </c>
      <c r="G2707" s="2" t="s">
        <v>7246</v>
      </c>
      <c r="H2707" s="12">
        <v>0.0</v>
      </c>
      <c r="I2707" s="2" t="s">
        <v>40</v>
      </c>
      <c r="J2707" s="2"/>
      <c r="K2707" s="2" t="s">
        <v>7247</v>
      </c>
      <c r="L2707" s="12">
        <v>283.0</v>
      </c>
      <c r="M2707" s="2" t="s">
        <v>7248</v>
      </c>
      <c r="N2707" s="2" t="str">
        <f>IFERROR(__xludf.DUMMYFUNCTION("""COMPUTED_VALUE"""),"")</f>
        <v/>
      </c>
    </row>
    <row r="2708">
      <c r="A2708" s="2" t="s">
        <v>33</v>
      </c>
      <c r="B2708" s="12">
        <v>2603914.0</v>
      </c>
      <c r="C2708" s="12">
        <v>2604510.0</v>
      </c>
      <c r="D2708" s="2"/>
      <c r="E2708" s="2" t="s">
        <v>38</v>
      </c>
      <c r="F2708" s="2" t="s">
        <v>7249</v>
      </c>
      <c r="G2708" s="2" t="s">
        <v>7250</v>
      </c>
      <c r="H2708" s="12">
        <v>0.0</v>
      </c>
      <c r="I2708" s="2" t="s">
        <v>40</v>
      </c>
      <c r="J2708" s="2"/>
      <c r="K2708" s="2" t="s">
        <v>7251</v>
      </c>
      <c r="L2708" s="12">
        <v>198.0</v>
      </c>
      <c r="M2708" s="2" t="s">
        <v>7252</v>
      </c>
      <c r="N2708" s="2" t="str">
        <f>IFERROR(__xludf.DUMMYFUNCTION("""COMPUTED_VALUE"""),"")</f>
        <v/>
      </c>
    </row>
    <row r="2709">
      <c r="A2709" s="2" t="s">
        <v>33</v>
      </c>
      <c r="B2709" s="12">
        <v>2604770.0</v>
      </c>
      <c r="C2709" s="12">
        <v>2605651.0</v>
      </c>
      <c r="D2709" s="2"/>
      <c r="E2709" s="2" t="s">
        <v>34</v>
      </c>
      <c r="F2709" s="2" t="s">
        <v>1093</v>
      </c>
      <c r="G2709" s="2"/>
      <c r="H2709" s="12">
        <v>0.0</v>
      </c>
      <c r="I2709" s="2" t="s">
        <v>40</v>
      </c>
      <c r="J2709" s="2"/>
      <c r="K2709" s="2" t="s">
        <v>7253</v>
      </c>
      <c r="L2709" s="12">
        <v>293.0</v>
      </c>
      <c r="M2709" s="2" t="s">
        <v>7254</v>
      </c>
      <c r="N2709" s="2" t="str">
        <f>IFERROR(__xludf.DUMMYFUNCTION("""COMPUTED_VALUE"""),"")</f>
        <v/>
      </c>
    </row>
    <row r="2710">
      <c r="A2710" s="2" t="s">
        <v>33</v>
      </c>
      <c r="B2710" s="12">
        <v>2605672.0</v>
      </c>
      <c r="C2710" s="12">
        <v>2605869.0</v>
      </c>
      <c r="D2710" s="2"/>
      <c r="E2710" s="2" t="s">
        <v>34</v>
      </c>
      <c r="F2710" s="2" t="s">
        <v>7255</v>
      </c>
      <c r="G2710" s="2"/>
      <c r="H2710" s="12">
        <v>0.0</v>
      </c>
      <c r="I2710" s="2" t="s">
        <v>40</v>
      </c>
      <c r="J2710" s="2"/>
      <c r="K2710" s="2" t="s">
        <v>7256</v>
      </c>
      <c r="L2710" s="12">
        <v>65.0</v>
      </c>
      <c r="M2710" s="2" t="s">
        <v>7257</v>
      </c>
      <c r="N2710" s="2" t="str">
        <f>IFERROR(__xludf.DUMMYFUNCTION("""COMPUTED_VALUE"""),"")</f>
        <v/>
      </c>
    </row>
    <row r="2711">
      <c r="A2711" s="2" t="s">
        <v>33</v>
      </c>
      <c r="B2711" s="12">
        <v>2605985.0</v>
      </c>
      <c r="C2711" s="12">
        <v>2607085.0</v>
      </c>
      <c r="D2711" s="2"/>
      <c r="E2711" s="2" t="s">
        <v>34</v>
      </c>
      <c r="F2711" s="2" t="s">
        <v>7258</v>
      </c>
      <c r="G2711" s="2" t="s">
        <v>7259</v>
      </c>
      <c r="H2711" s="12">
        <v>0.0</v>
      </c>
      <c r="I2711" s="2" t="s">
        <v>40</v>
      </c>
      <c r="J2711" s="2"/>
      <c r="K2711" s="2" t="s">
        <v>7260</v>
      </c>
      <c r="L2711" s="12">
        <v>366.0</v>
      </c>
      <c r="M2711" s="2" t="s">
        <v>7261</v>
      </c>
      <c r="N2711" s="2" t="str">
        <f>IFERROR(__xludf.DUMMYFUNCTION("""COMPUTED_VALUE"""),"")</f>
        <v/>
      </c>
    </row>
    <row r="2712">
      <c r="A2712" s="2" t="s">
        <v>33</v>
      </c>
      <c r="B2712" s="12">
        <v>2607277.0</v>
      </c>
      <c r="C2712" s="12">
        <v>2607567.0</v>
      </c>
      <c r="D2712" s="2"/>
      <c r="E2712" s="2" t="s">
        <v>34</v>
      </c>
      <c r="F2712" s="2" t="s">
        <v>7262</v>
      </c>
      <c r="G2712" s="2" t="s">
        <v>7263</v>
      </c>
      <c r="H2712" s="12">
        <v>0.0</v>
      </c>
      <c r="I2712" s="2" t="s">
        <v>40</v>
      </c>
      <c r="J2712" s="2"/>
      <c r="K2712" s="2" t="s">
        <v>7264</v>
      </c>
      <c r="L2712" s="12">
        <v>96.0</v>
      </c>
      <c r="M2712" s="2" t="s">
        <v>7265</v>
      </c>
      <c r="N2712" s="2" t="str">
        <f>IFERROR(__xludf.DUMMYFUNCTION("""COMPUTED_VALUE"""),"")</f>
        <v/>
      </c>
    </row>
    <row r="2713">
      <c r="A2713" s="2" t="s">
        <v>33</v>
      </c>
      <c r="B2713" s="12">
        <v>2607594.0</v>
      </c>
      <c r="C2713" s="12">
        <v>2608106.0</v>
      </c>
      <c r="D2713" s="2"/>
      <c r="E2713" s="2" t="s">
        <v>34</v>
      </c>
      <c r="F2713" s="2" t="s">
        <v>1253</v>
      </c>
      <c r="G2713" s="2" t="s">
        <v>7266</v>
      </c>
      <c r="H2713" s="12">
        <v>0.0</v>
      </c>
      <c r="I2713" s="2" t="s">
        <v>40</v>
      </c>
      <c r="J2713" s="2"/>
      <c r="K2713" s="2" t="s">
        <v>7267</v>
      </c>
      <c r="L2713" s="12">
        <v>170.0</v>
      </c>
      <c r="M2713" s="2" t="s">
        <v>7268</v>
      </c>
      <c r="N2713" s="2" t="str">
        <f>IFERROR(__xludf.DUMMYFUNCTION("""COMPUTED_VALUE"""),"")</f>
        <v/>
      </c>
    </row>
    <row r="2714">
      <c r="A2714" s="2" t="s">
        <v>33</v>
      </c>
      <c r="B2714" s="12">
        <v>2608152.0</v>
      </c>
      <c r="C2714" s="12">
        <v>2608385.0</v>
      </c>
      <c r="D2714" s="2"/>
      <c r="E2714" s="2" t="s">
        <v>34</v>
      </c>
      <c r="F2714" s="2" t="s">
        <v>7269</v>
      </c>
      <c r="G2714" s="2" t="s">
        <v>7270</v>
      </c>
      <c r="H2714" s="12">
        <v>0.0</v>
      </c>
      <c r="I2714" s="2" t="s">
        <v>40</v>
      </c>
      <c r="J2714" s="2"/>
      <c r="K2714" s="2" t="s">
        <v>7271</v>
      </c>
      <c r="L2714" s="12">
        <v>77.0</v>
      </c>
      <c r="M2714" s="2" t="s">
        <v>7272</v>
      </c>
      <c r="N2714" s="2" t="str">
        <f>IFERROR(__xludf.DUMMYFUNCTION("""COMPUTED_VALUE"""),"")</f>
        <v/>
      </c>
    </row>
    <row r="2715">
      <c r="A2715" s="2" t="s">
        <v>33</v>
      </c>
      <c r="B2715" s="12">
        <v>2608465.0</v>
      </c>
      <c r="C2715" s="12">
        <v>2609400.0</v>
      </c>
      <c r="D2715" s="2"/>
      <c r="E2715" s="2" t="s">
        <v>34</v>
      </c>
      <c r="F2715" s="2" t="s">
        <v>7273</v>
      </c>
      <c r="G2715" s="2"/>
      <c r="H2715" s="12">
        <v>0.0</v>
      </c>
      <c r="I2715" s="2" t="s">
        <v>40</v>
      </c>
      <c r="J2715" s="2"/>
      <c r="K2715" s="2" t="s">
        <v>7274</v>
      </c>
      <c r="L2715" s="12">
        <v>311.0</v>
      </c>
      <c r="M2715" s="2" t="s">
        <v>7275</v>
      </c>
      <c r="N2715" s="2" t="str">
        <f>IFERROR(__xludf.DUMMYFUNCTION("""COMPUTED_VALUE"""),"")</f>
        <v/>
      </c>
    </row>
    <row r="2716">
      <c r="A2716" s="2" t="s">
        <v>33</v>
      </c>
      <c r="B2716" s="12">
        <v>2609479.0</v>
      </c>
      <c r="C2716" s="12">
        <v>2611452.0</v>
      </c>
      <c r="D2716" s="2"/>
      <c r="E2716" s="2" t="s">
        <v>34</v>
      </c>
      <c r="F2716" s="2" t="s">
        <v>7276</v>
      </c>
      <c r="G2716" s="2"/>
      <c r="H2716" s="12">
        <v>0.0</v>
      </c>
      <c r="I2716" s="2" t="s">
        <v>40</v>
      </c>
      <c r="J2716" s="2"/>
      <c r="K2716" s="2" t="s">
        <v>7277</v>
      </c>
      <c r="L2716" s="12">
        <v>657.0</v>
      </c>
      <c r="M2716" s="2" t="s">
        <v>7278</v>
      </c>
      <c r="N2716" s="2" t="str">
        <f>IFERROR(__xludf.DUMMYFUNCTION("""COMPUTED_VALUE"""),"")</f>
        <v/>
      </c>
    </row>
    <row r="2717">
      <c r="A2717" s="2" t="s">
        <v>33</v>
      </c>
      <c r="B2717" s="12">
        <v>2611449.0</v>
      </c>
      <c r="C2717" s="12">
        <v>2611895.0</v>
      </c>
      <c r="D2717" s="2"/>
      <c r="E2717" s="2" t="s">
        <v>34</v>
      </c>
      <c r="F2717" s="2" t="s">
        <v>7279</v>
      </c>
      <c r="G2717" s="2" t="s">
        <v>7280</v>
      </c>
      <c r="H2717" s="12">
        <v>0.0</v>
      </c>
      <c r="I2717" s="2" t="s">
        <v>40</v>
      </c>
      <c r="J2717" s="2"/>
      <c r="K2717" s="2" t="s">
        <v>7281</v>
      </c>
      <c r="L2717" s="12">
        <v>148.0</v>
      </c>
      <c r="M2717" s="2" t="s">
        <v>7282</v>
      </c>
      <c r="N2717" s="2" t="str">
        <f>IFERROR(__xludf.DUMMYFUNCTION("""COMPUTED_VALUE"""),"")</f>
        <v/>
      </c>
    </row>
    <row r="2718">
      <c r="A2718" s="2" t="s">
        <v>33</v>
      </c>
      <c r="B2718" s="12">
        <v>2611923.0</v>
      </c>
      <c r="C2718" s="12">
        <v>2613284.0</v>
      </c>
      <c r="D2718" s="2"/>
      <c r="E2718" s="2" t="s">
        <v>34</v>
      </c>
      <c r="F2718" s="2" t="s">
        <v>4646</v>
      </c>
      <c r="G2718" s="2" t="s">
        <v>4647</v>
      </c>
      <c r="H2718" s="12">
        <v>0.0</v>
      </c>
      <c r="I2718" s="2" t="s">
        <v>40</v>
      </c>
      <c r="J2718" s="2"/>
      <c r="K2718" s="2" t="s">
        <v>7283</v>
      </c>
      <c r="L2718" s="12">
        <v>453.0</v>
      </c>
      <c r="M2718" s="2" t="s">
        <v>7284</v>
      </c>
      <c r="N2718" s="2" t="str">
        <f>IFERROR(__xludf.DUMMYFUNCTION("""COMPUTED_VALUE"""),"")</f>
        <v/>
      </c>
    </row>
    <row r="2719">
      <c r="A2719" s="2" t="s">
        <v>33</v>
      </c>
      <c r="B2719" s="12">
        <v>2613500.0</v>
      </c>
      <c r="C2719" s="12">
        <v>2614789.0</v>
      </c>
      <c r="D2719" s="2"/>
      <c r="E2719" s="2" t="s">
        <v>34</v>
      </c>
      <c r="F2719" s="2" t="s">
        <v>7285</v>
      </c>
      <c r="G2719" s="2"/>
      <c r="H2719" s="12">
        <v>0.0</v>
      </c>
      <c r="I2719" s="2" t="s">
        <v>40</v>
      </c>
      <c r="J2719" s="2"/>
      <c r="K2719" s="2" t="s">
        <v>7286</v>
      </c>
      <c r="L2719" s="12">
        <v>429.0</v>
      </c>
      <c r="M2719" s="2" t="s">
        <v>7287</v>
      </c>
      <c r="N2719" s="2" t="str">
        <f>IFERROR(__xludf.DUMMYFUNCTION("""COMPUTED_VALUE"""),"")</f>
        <v/>
      </c>
    </row>
    <row r="2720">
      <c r="A2720" s="2" t="s">
        <v>33</v>
      </c>
      <c r="B2720" s="12">
        <v>2614933.0</v>
      </c>
      <c r="C2720" s="12">
        <v>2615008.0</v>
      </c>
      <c r="D2720" s="2"/>
      <c r="E2720" s="2" t="s">
        <v>34</v>
      </c>
      <c r="F2720" s="2" t="s">
        <v>5251</v>
      </c>
      <c r="G2720" s="2"/>
      <c r="H2720" s="12">
        <v>0.0</v>
      </c>
      <c r="I2720" s="2" t="s">
        <v>3783</v>
      </c>
      <c r="J2720" s="2"/>
      <c r="K2720" s="2"/>
      <c r="L2720" s="2"/>
      <c r="M2720" s="2" t="s">
        <v>7288</v>
      </c>
      <c r="N2720" s="2" t="str">
        <f>IFERROR(__xludf.DUMMYFUNCTION("""COMPUTED_VALUE"""),"")</f>
        <v/>
      </c>
    </row>
    <row r="2721">
      <c r="A2721" s="2" t="s">
        <v>33</v>
      </c>
      <c r="B2721" s="12">
        <v>2615022.0</v>
      </c>
      <c r="C2721" s="12">
        <v>2615093.0</v>
      </c>
      <c r="D2721" s="2"/>
      <c r="E2721" s="2" t="s">
        <v>34</v>
      </c>
      <c r="F2721" s="2" t="s">
        <v>5221</v>
      </c>
      <c r="G2721" s="2"/>
      <c r="H2721" s="12">
        <v>0.0</v>
      </c>
      <c r="I2721" s="2" t="s">
        <v>3783</v>
      </c>
      <c r="J2721" s="2"/>
      <c r="K2721" s="2"/>
      <c r="L2721" s="2"/>
      <c r="M2721" s="2" t="s">
        <v>7289</v>
      </c>
      <c r="N2721" s="2" t="str">
        <f>IFERROR(__xludf.DUMMYFUNCTION("""COMPUTED_VALUE"""),"")</f>
        <v/>
      </c>
    </row>
    <row r="2722">
      <c r="A2722" s="2" t="s">
        <v>33</v>
      </c>
      <c r="B2722" s="12">
        <v>2615116.0</v>
      </c>
      <c r="C2722" s="12">
        <v>2615191.0</v>
      </c>
      <c r="D2722" s="2"/>
      <c r="E2722" s="2" t="s">
        <v>34</v>
      </c>
      <c r="F2722" s="2" t="s">
        <v>5233</v>
      </c>
      <c r="G2722" s="2"/>
      <c r="H2722" s="12">
        <v>0.0</v>
      </c>
      <c r="I2722" s="2" t="s">
        <v>3783</v>
      </c>
      <c r="J2722" s="2"/>
      <c r="K2722" s="2"/>
      <c r="L2722" s="2"/>
      <c r="M2722" s="2" t="s">
        <v>7290</v>
      </c>
      <c r="N2722" s="2" t="str">
        <f>IFERROR(__xludf.DUMMYFUNCTION("""COMPUTED_VALUE"""),"")</f>
        <v/>
      </c>
    </row>
    <row r="2723">
      <c r="A2723" s="2" t="s">
        <v>33</v>
      </c>
      <c r="B2723" s="12">
        <v>2615233.0</v>
      </c>
      <c r="C2723" s="12">
        <v>2615305.0</v>
      </c>
      <c r="D2723" s="2"/>
      <c r="E2723" s="2" t="s">
        <v>34</v>
      </c>
      <c r="F2723" s="2" t="s">
        <v>5231</v>
      </c>
      <c r="G2723" s="2"/>
      <c r="H2723" s="12">
        <v>0.0</v>
      </c>
      <c r="I2723" s="2" t="s">
        <v>3783</v>
      </c>
      <c r="J2723" s="2"/>
      <c r="K2723" s="2"/>
      <c r="L2723" s="2"/>
      <c r="M2723" s="2" t="s">
        <v>7291</v>
      </c>
      <c r="N2723" s="2" t="str">
        <f>IFERROR(__xludf.DUMMYFUNCTION("""COMPUTED_VALUE"""),"")</f>
        <v/>
      </c>
    </row>
    <row r="2724">
      <c r="A2724" s="2" t="s">
        <v>33</v>
      </c>
      <c r="B2724" s="12">
        <v>2615587.0</v>
      </c>
      <c r="C2724" s="12">
        <v>2616294.0</v>
      </c>
      <c r="D2724" s="2"/>
      <c r="E2724" s="2" t="s">
        <v>34</v>
      </c>
      <c r="F2724" s="2" t="s">
        <v>7292</v>
      </c>
      <c r="G2724" s="2" t="s">
        <v>7293</v>
      </c>
      <c r="H2724" s="12">
        <v>0.0</v>
      </c>
      <c r="I2724" s="2" t="s">
        <v>40</v>
      </c>
      <c r="J2724" s="2"/>
      <c r="K2724" s="2" t="s">
        <v>7294</v>
      </c>
      <c r="L2724" s="12">
        <v>235.0</v>
      </c>
      <c r="M2724" s="2" t="s">
        <v>7295</v>
      </c>
      <c r="N2724" s="2" t="str">
        <f>IFERROR(__xludf.DUMMYFUNCTION("""COMPUTED_VALUE"""),"")</f>
        <v/>
      </c>
    </row>
    <row r="2725">
      <c r="A2725" s="2" t="s">
        <v>33</v>
      </c>
      <c r="B2725" s="12">
        <v>2616298.0</v>
      </c>
      <c r="C2725" s="12">
        <v>2618139.0</v>
      </c>
      <c r="D2725" s="2"/>
      <c r="E2725" s="2" t="s">
        <v>34</v>
      </c>
      <c r="F2725" s="2" t="s">
        <v>382</v>
      </c>
      <c r="G2725" s="2" t="s">
        <v>7296</v>
      </c>
      <c r="H2725" s="12">
        <v>0.0</v>
      </c>
      <c r="I2725" s="2" t="s">
        <v>40</v>
      </c>
      <c r="J2725" s="2"/>
      <c r="K2725" s="2" t="s">
        <v>7297</v>
      </c>
      <c r="L2725" s="12">
        <v>613.0</v>
      </c>
      <c r="M2725" s="2" t="s">
        <v>7298</v>
      </c>
      <c r="N2725" s="2" t="str">
        <f>IFERROR(__xludf.DUMMYFUNCTION("""COMPUTED_VALUE"""),"")</f>
        <v/>
      </c>
    </row>
    <row r="2726">
      <c r="A2726" s="2" t="s">
        <v>33</v>
      </c>
      <c r="B2726" s="12">
        <v>2618136.0</v>
      </c>
      <c r="C2726" s="12">
        <v>2619452.0</v>
      </c>
      <c r="D2726" s="2"/>
      <c r="E2726" s="2" t="s">
        <v>34</v>
      </c>
      <c r="F2726" s="2" t="s">
        <v>7299</v>
      </c>
      <c r="G2726" s="2"/>
      <c r="H2726" s="12">
        <v>0.0</v>
      </c>
      <c r="I2726" s="2" t="s">
        <v>40</v>
      </c>
      <c r="J2726" s="2"/>
      <c r="K2726" s="2" t="s">
        <v>7300</v>
      </c>
      <c r="L2726" s="12">
        <v>438.0</v>
      </c>
      <c r="M2726" s="2" t="s">
        <v>7301</v>
      </c>
      <c r="N2726" s="2" t="str">
        <f>IFERROR(__xludf.DUMMYFUNCTION("""COMPUTED_VALUE"""),"")</f>
        <v/>
      </c>
    </row>
    <row r="2727">
      <c r="A2727" s="2" t="s">
        <v>33</v>
      </c>
      <c r="B2727" s="12">
        <v>2619433.0</v>
      </c>
      <c r="C2727" s="12">
        <v>2620275.0</v>
      </c>
      <c r="D2727" s="2"/>
      <c r="E2727" s="2" t="s">
        <v>34</v>
      </c>
      <c r="F2727" s="2" t="s">
        <v>7302</v>
      </c>
      <c r="G2727" s="2"/>
      <c r="H2727" s="12">
        <v>0.0</v>
      </c>
      <c r="I2727" s="2" t="s">
        <v>40</v>
      </c>
      <c r="J2727" s="2"/>
      <c r="K2727" s="2" t="s">
        <v>7303</v>
      </c>
      <c r="L2727" s="12">
        <v>280.0</v>
      </c>
      <c r="M2727" s="2" t="s">
        <v>7304</v>
      </c>
      <c r="N2727" s="2" t="str">
        <f>IFERROR(__xludf.DUMMYFUNCTION("""COMPUTED_VALUE"""),"")</f>
        <v/>
      </c>
    </row>
    <row r="2728">
      <c r="A2728" s="2" t="s">
        <v>33</v>
      </c>
      <c r="B2728" s="12">
        <v>2620259.0</v>
      </c>
      <c r="C2728" s="12">
        <v>2621053.0</v>
      </c>
      <c r="D2728" s="2"/>
      <c r="E2728" s="2" t="s">
        <v>34</v>
      </c>
      <c r="F2728" s="2" t="s">
        <v>599</v>
      </c>
      <c r="G2728" s="2"/>
      <c r="H2728" s="12">
        <v>0.0</v>
      </c>
      <c r="I2728" s="2" t="s">
        <v>40</v>
      </c>
      <c r="J2728" s="2"/>
      <c r="K2728" s="2" t="s">
        <v>7305</v>
      </c>
      <c r="L2728" s="12">
        <v>264.0</v>
      </c>
      <c r="M2728" s="2" t="s">
        <v>7306</v>
      </c>
      <c r="N2728" s="2" t="str">
        <f>IFERROR(__xludf.DUMMYFUNCTION("""COMPUTED_VALUE"""),"")</f>
        <v/>
      </c>
    </row>
    <row r="2729">
      <c r="A2729" s="2" t="s">
        <v>33</v>
      </c>
      <c r="B2729" s="12">
        <v>2621117.0</v>
      </c>
      <c r="C2729" s="12">
        <v>2622292.0</v>
      </c>
      <c r="D2729" s="2"/>
      <c r="E2729" s="2" t="s">
        <v>34</v>
      </c>
      <c r="F2729" s="2" t="s">
        <v>7307</v>
      </c>
      <c r="G2729" s="2"/>
      <c r="H2729" s="12">
        <v>0.0</v>
      </c>
      <c r="I2729" s="2" t="s">
        <v>40</v>
      </c>
      <c r="J2729" s="2"/>
      <c r="K2729" s="2" t="s">
        <v>7308</v>
      </c>
      <c r="L2729" s="12">
        <v>391.0</v>
      </c>
      <c r="M2729" s="2" t="s">
        <v>7309</v>
      </c>
      <c r="N2729" s="2" t="str">
        <f>IFERROR(__xludf.DUMMYFUNCTION("""COMPUTED_VALUE"""),"")</f>
        <v/>
      </c>
    </row>
    <row r="2730">
      <c r="A2730" s="2" t="s">
        <v>33</v>
      </c>
      <c r="B2730" s="12">
        <v>2622346.0</v>
      </c>
      <c r="C2730" s="12">
        <v>2622531.0</v>
      </c>
      <c r="D2730" s="2"/>
      <c r="E2730" s="2" t="s">
        <v>34</v>
      </c>
      <c r="F2730" s="2" t="s">
        <v>7310</v>
      </c>
      <c r="G2730" s="2"/>
      <c r="H2730" s="12">
        <v>0.0</v>
      </c>
      <c r="I2730" s="2" t="s">
        <v>40</v>
      </c>
      <c r="J2730" s="2"/>
      <c r="K2730" s="2" t="s">
        <v>7311</v>
      </c>
      <c r="L2730" s="12">
        <v>61.0</v>
      </c>
      <c r="M2730" s="2" t="s">
        <v>7312</v>
      </c>
      <c r="N2730" s="2" t="str">
        <f>IFERROR(__xludf.DUMMYFUNCTION("""COMPUTED_VALUE"""),"")</f>
        <v/>
      </c>
    </row>
    <row r="2731">
      <c r="A2731" s="2" t="s">
        <v>33</v>
      </c>
      <c r="B2731" s="12">
        <v>2622591.0</v>
      </c>
      <c r="C2731" s="12">
        <v>2623070.0</v>
      </c>
      <c r="D2731" s="2"/>
      <c r="E2731" s="2" t="s">
        <v>34</v>
      </c>
      <c r="F2731" s="2" t="s">
        <v>7313</v>
      </c>
      <c r="G2731" s="2" t="s">
        <v>7314</v>
      </c>
      <c r="H2731" s="12">
        <v>0.0</v>
      </c>
      <c r="I2731" s="2" t="s">
        <v>40</v>
      </c>
      <c r="J2731" s="2"/>
      <c r="K2731" s="2" t="s">
        <v>7315</v>
      </c>
      <c r="L2731" s="12">
        <v>159.0</v>
      </c>
      <c r="M2731" s="2" t="s">
        <v>7316</v>
      </c>
      <c r="N2731" s="2" t="str">
        <f>IFERROR(__xludf.DUMMYFUNCTION("""COMPUTED_VALUE"""),"")</f>
        <v/>
      </c>
    </row>
    <row r="2732">
      <c r="A2732" s="2" t="s">
        <v>33</v>
      </c>
      <c r="B2732" s="12">
        <v>2623139.0</v>
      </c>
      <c r="C2732" s="12">
        <v>2625157.0</v>
      </c>
      <c r="D2732" s="2"/>
      <c r="E2732" s="2" t="s">
        <v>34</v>
      </c>
      <c r="F2732" s="2" t="s">
        <v>66</v>
      </c>
      <c r="G2732" s="2"/>
      <c r="H2732" s="12">
        <v>0.0</v>
      </c>
      <c r="I2732" s="2" t="s">
        <v>40</v>
      </c>
      <c r="J2732" s="2"/>
      <c r="K2732" s="2" t="s">
        <v>7317</v>
      </c>
      <c r="L2732" s="12">
        <v>672.0</v>
      </c>
      <c r="M2732" s="2" t="s">
        <v>7318</v>
      </c>
      <c r="N2732" s="2" t="str">
        <f>IFERROR(__xludf.DUMMYFUNCTION("""COMPUTED_VALUE"""),"")</f>
        <v/>
      </c>
    </row>
    <row r="2733">
      <c r="A2733" s="2" t="s">
        <v>33</v>
      </c>
      <c r="B2733" s="12">
        <v>2625377.0</v>
      </c>
      <c r="C2733" s="12">
        <v>2626255.0</v>
      </c>
      <c r="D2733" s="2"/>
      <c r="E2733" s="2" t="s">
        <v>34</v>
      </c>
      <c r="F2733" s="2" t="s">
        <v>7319</v>
      </c>
      <c r="G2733" s="2"/>
      <c r="H2733" s="12">
        <v>0.0</v>
      </c>
      <c r="I2733" s="2" t="s">
        <v>40</v>
      </c>
      <c r="J2733" s="2"/>
      <c r="K2733" s="2" t="s">
        <v>7320</v>
      </c>
      <c r="L2733" s="12">
        <v>292.0</v>
      </c>
      <c r="M2733" s="2" t="s">
        <v>7321</v>
      </c>
      <c r="N2733" s="2" t="str">
        <f>IFERROR(__xludf.DUMMYFUNCTION("""COMPUTED_VALUE"""),"")</f>
        <v/>
      </c>
    </row>
    <row r="2734">
      <c r="A2734" s="2" t="s">
        <v>33</v>
      </c>
      <c r="B2734" s="12">
        <v>2626295.0</v>
      </c>
      <c r="C2734" s="12">
        <v>2628112.0</v>
      </c>
      <c r="D2734" s="2"/>
      <c r="E2734" s="2" t="s">
        <v>38</v>
      </c>
      <c r="F2734" s="2" t="s">
        <v>3997</v>
      </c>
      <c r="G2734" s="2" t="s">
        <v>3998</v>
      </c>
      <c r="H2734" s="12">
        <v>0.0</v>
      </c>
      <c r="I2734" s="2" t="s">
        <v>40</v>
      </c>
      <c r="J2734" s="2"/>
      <c r="K2734" s="2" t="s">
        <v>7322</v>
      </c>
      <c r="L2734" s="12">
        <v>605.0</v>
      </c>
      <c r="M2734" s="2" t="s">
        <v>7323</v>
      </c>
      <c r="N2734" s="2" t="str">
        <f>IFERROR(__xludf.DUMMYFUNCTION("""COMPUTED_VALUE"""),"")</f>
        <v/>
      </c>
    </row>
    <row r="2735">
      <c r="A2735" s="2" t="s">
        <v>33</v>
      </c>
      <c r="B2735" s="12">
        <v>2628249.0</v>
      </c>
      <c r="C2735" s="12">
        <v>2629232.0</v>
      </c>
      <c r="D2735" s="2"/>
      <c r="E2735" s="2" t="s">
        <v>38</v>
      </c>
      <c r="F2735" s="2" t="s">
        <v>7324</v>
      </c>
      <c r="G2735" s="2" t="s">
        <v>7325</v>
      </c>
      <c r="H2735" s="12">
        <v>0.0</v>
      </c>
      <c r="I2735" s="2" t="s">
        <v>40</v>
      </c>
      <c r="J2735" s="2"/>
      <c r="K2735" s="2" t="s">
        <v>7326</v>
      </c>
      <c r="L2735" s="12">
        <v>327.0</v>
      </c>
      <c r="M2735" s="2" t="s">
        <v>7327</v>
      </c>
      <c r="N2735" s="2" t="str">
        <f>IFERROR(__xludf.DUMMYFUNCTION("""COMPUTED_VALUE"""),"")</f>
        <v/>
      </c>
    </row>
    <row r="2736">
      <c r="A2736" s="2" t="s">
        <v>33</v>
      </c>
      <c r="B2736" s="12">
        <v>2629708.0</v>
      </c>
      <c r="C2736" s="12">
        <v>2631153.0</v>
      </c>
      <c r="D2736" s="2"/>
      <c r="E2736" s="2" t="s">
        <v>34</v>
      </c>
      <c r="F2736" s="2" t="s">
        <v>594</v>
      </c>
      <c r="G2736" s="2"/>
      <c r="H2736" s="12">
        <v>0.0</v>
      </c>
      <c r="I2736" s="2" t="s">
        <v>40</v>
      </c>
      <c r="J2736" s="2"/>
      <c r="K2736" s="2" t="s">
        <v>7328</v>
      </c>
      <c r="L2736" s="12">
        <v>481.0</v>
      </c>
      <c r="M2736" s="2" t="s">
        <v>7329</v>
      </c>
      <c r="N2736" s="2" t="str">
        <f>IFERROR(__xludf.DUMMYFUNCTION("""COMPUTED_VALUE"""),"")</f>
        <v/>
      </c>
    </row>
    <row r="2737">
      <c r="A2737" s="2" t="s">
        <v>33</v>
      </c>
      <c r="B2737" s="12">
        <v>2631194.0</v>
      </c>
      <c r="C2737" s="12">
        <v>2631754.0</v>
      </c>
      <c r="D2737" s="2"/>
      <c r="E2737" s="2" t="s">
        <v>38</v>
      </c>
      <c r="F2737" s="2" t="s">
        <v>7330</v>
      </c>
      <c r="G2737" s="2"/>
      <c r="H2737" s="12">
        <v>0.0</v>
      </c>
      <c r="I2737" s="2" t="s">
        <v>40</v>
      </c>
      <c r="J2737" s="2"/>
      <c r="K2737" s="2" t="s">
        <v>7331</v>
      </c>
      <c r="L2737" s="12">
        <v>186.0</v>
      </c>
      <c r="M2737" s="2" t="s">
        <v>7332</v>
      </c>
      <c r="N2737" s="2" t="str">
        <f>IFERROR(__xludf.DUMMYFUNCTION("""COMPUTED_VALUE"""),"")</f>
        <v/>
      </c>
    </row>
    <row r="2738">
      <c r="A2738" s="2" t="s">
        <v>33</v>
      </c>
      <c r="B2738" s="12">
        <v>2631919.0</v>
      </c>
      <c r="C2738" s="12">
        <v>2632566.0</v>
      </c>
      <c r="D2738" s="2"/>
      <c r="E2738" s="2" t="s">
        <v>34</v>
      </c>
      <c r="F2738" s="2" t="s">
        <v>1147</v>
      </c>
      <c r="G2738" s="2"/>
      <c r="H2738" s="12">
        <v>0.0</v>
      </c>
      <c r="I2738" s="2" t="s">
        <v>40</v>
      </c>
      <c r="J2738" s="2"/>
      <c r="K2738" s="2" t="s">
        <v>7333</v>
      </c>
      <c r="L2738" s="12">
        <v>215.0</v>
      </c>
      <c r="M2738" s="2" t="s">
        <v>7334</v>
      </c>
      <c r="N2738" s="2" t="str">
        <f>IFERROR(__xludf.DUMMYFUNCTION("""COMPUTED_VALUE"""),"")</f>
        <v/>
      </c>
    </row>
    <row r="2739">
      <c r="A2739" s="2" t="s">
        <v>33</v>
      </c>
      <c r="B2739" s="12">
        <v>2632750.0</v>
      </c>
      <c r="C2739" s="12">
        <v>2633766.0</v>
      </c>
      <c r="D2739" s="2"/>
      <c r="E2739" s="2" t="s">
        <v>34</v>
      </c>
      <c r="F2739" s="2" t="s">
        <v>7335</v>
      </c>
      <c r="G2739" s="2" t="s">
        <v>7336</v>
      </c>
      <c r="H2739" s="12">
        <v>0.0</v>
      </c>
      <c r="I2739" s="2" t="s">
        <v>40</v>
      </c>
      <c r="J2739" s="2"/>
      <c r="K2739" s="2" t="s">
        <v>7337</v>
      </c>
      <c r="L2739" s="12">
        <v>338.0</v>
      </c>
      <c r="M2739" s="2" t="s">
        <v>7338</v>
      </c>
      <c r="N2739" s="2" t="str">
        <f>IFERROR(__xludf.DUMMYFUNCTION("""COMPUTED_VALUE"""),"")</f>
        <v/>
      </c>
    </row>
    <row r="2740">
      <c r="A2740" s="2" t="s">
        <v>33</v>
      </c>
      <c r="B2740" s="12">
        <v>2634212.0</v>
      </c>
      <c r="C2740" s="12">
        <v>2634802.0</v>
      </c>
      <c r="D2740" s="2"/>
      <c r="E2740" s="2" t="s">
        <v>34</v>
      </c>
      <c r="F2740" s="2" t="s">
        <v>7339</v>
      </c>
      <c r="G2740" s="2"/>
      <c r="H2740" s="12">
        <v>0.0</v>
      </c>
      <c r="I2740" s="2" t="s">
        <v>40</v>
      </c>
      <c r="J2740" s="2"/>
      <c r="K2740" s="2" t="s">
        <v>7340</v>
      </c>
      <c r="L2740" s="12">
        <v>196.0</v>
      </c>
      <c r="M2740" s="2" t="s">
        <v>7341</v>
      </c>
      <c r="N2740" s="2" t="str">
        <f>IFERROR(__xludf.DUMMYFUNCTION("""COMPUTED_VALUE"""),"")</f>
        <v/>
      </c>
    </row>
    <row r="2741">
      <c r="A2741" s="2" t="s">
        <v>33</v>
      </c>
      <c r="B2741" s="12">
        <v>2634902.0</v>
      </c>
      <c r="C2741" s="12">
        <v>2635789.0</v>
      </c>
      <c r="D2741" s="2"/>
      <c r="E2741" s="2" t="s">
        <v>34</v>
      </c>
      <c r="F2741" s="2" t="s">
        <v>6328</v>
      </c>
      <c r="G2741" s="2"/>
      <c r="H2741" s="12">
        <v>0.0</v>
      </c>
      <c r="I2741" s="2" t="s">
        <v>40</v>
      </c>
      <c r="J2741" s="2"/>
      <c r="K2741" s="2" t="s">
        <v>7342</v>
      </c>
      <c r="L2741" s="12">
        <v>295.0</v>
      </c>
      <c r="M2741" s="2" t="s">
        <v>7343</v>
      </c>
      <c r="N2741" s="2" t="str">
        <f>IFERROR(__xludf.DUMMYFUNCTION("""COMPUTED_VALUE"""),"")</f>
        <v/>
      </c>
    </row>
    <row r="2742">
      <c r="A2742" s="2" t="s">
        <v>33</v>
      </c>
      <c r="B2742" s="12">
        <v>2635878.0</v>
      </c>
      <c r="C2742" s="12">
        <v>2636504.0</v>
      </c>
      <c r="D2742" s="2"/>
      <c r="E2742" s="2" t="s">
        <v>38</v>
      </c>
      <c r="F2742" s="2" t="s">
        <v>7344</v>
      </c>
      <c r="G2742" s="2" t="s">
        <v>7345</v>
      </c>
      <c r="H2742" s="12">
        <v>0.0</v>
      </c>
      <c r="I2742" s="2" t="s">
        <v>40</v>
      </c>
      <c r="J2742" s="2"/>
      <c r="K2742" s="2" t="s">
        <v>7346</v>
      </c>
      <c r="L2742" s="12">
        <v>208.0</v>
      </c>
      <c r="M2742" s="2" t="s">
        <v>7347</v>
      </c>
      <c r="N2742" s="2" t="str">
        <f>IFERROR(__xludf.DUMMYFUNCTION("""COMPUTED_VALUE"""),"")</f>
        <v/>
      </c>
    </row>
    <row r="2743">
      <c r="A2743" s="2" t="s">
        <v>33</v>
      </c>
      <c r="B2743" s="12">
        <v>2636722.0</v>
      </c>
      <c r="C2743" s="12">
        <v>2637792.0</v>
      </c>
      <c r="D2743" s="2"/>
      <c r="E2743" s="2" t="s">
        <v>34</v>
      </c>
      <c r="F2743" s="2" t="s">
        <v>7348</v>
      </c>
      <c r="G2743" s="2"/>
      <c r="H2743" s="12">
        <v>0.0</v>
      </c>
      <c r="I2743" s="2" t="s">
        <v>40</v>
      </c>
      <c r="J2743" s="2"/>
      <c r="K2743" s="2" t="s">
        <v>7349</v>
      </c>
      <c r="L2743" s="12">
        <v>356.0</v>
      </c>
      <c r="M2743" s="2" t="s">
        <v>7350</v>
      </c>
      <c r="N2743" s="2" t="str">
        <f>IFERROR(__xludf.DUMMYFUNCTION("""COMPUTED_VALUE"""),"")</f>
        <v/>
      </c>
    </row>
    <row r="2744">
      <c r="A2744" s="2" t="s">
        <v>33</v>
      </c>
      <c r="B2744" s="12">
        <v>2638154.0</v>
      </c>
      <c r="C2744" s="12">
        <v>2639722.0</v>
      </c>
      <c r="D2744" s="2"/>
      <c r="E2744" s="2" t="s">
        <v>34</v>
      </c>
      <c r="F2744" s="2" t="s">
        <v>7351</v>
      </c>
      <c r="G2744" s="2"/>
      <c r="H2744" s="12">
        <v>0.0</v>
      </c>
      <c r="I2744" s="2" t="s">
        <v>40</v>
      </c>
      <c r="J2744" s="2"/>
      <c r="K2744" s="2" t="s">
        <v>7352</v>
      </c>
      <c r="L2744" s="12">
        <v>522.0</v>
      </c>
      <c r="M2744" s="2" t="s">
        <v>7353</v>
      </c>
      <c r="N2744" s="2" t="str">
        <f>IFERROR(__xludf.DUMMYFUNCTION("""COMPUTED_VALUE"""),"")</f>
        <v/>
      </c>
    </row>
    <row r="2745">
      <c r="A2745" s="2" t="s">
        <v>33</v>
      </c>
      <c r="B2745" s="12">
        <v>2639775.0</v>
      </c>
      <c r="C2745" s="12">
        <v>2641073.0</v>
      </c>
      <c r="D2745" s="2"/>
      <c r="E2745" s="2" t="s">
        <v>38</v>
      </c>
      <c r="F2745" s="2" t="s">
        <v>88</v>
      </c>
      <c r="G2745" s="2"/>
      <c r="H2745" s="12">
        <v>0.0</v>
      </c>
      <c r="I2745" s="2" t="s">
        <v>40</v>
      </c>
      <c r="J2745" s="2"/>
      <c r="K2745" s="2" t="s">
        <v>7354</v>
      </c>
      <c r="L2745" s="12">
        <v>432.0</v>
      </c>
      <c r="M2745" s="2" t="s">
        <v>7355</v>
      </c>
      <c r="N2745" s="2" t="str">
        <f>IFERROR(__xludf.DUMMYFUNCTION("""COMPUTED_VALUE"""),"")</f>
        <v/>
      </c>
    </row>
    <row r="2746">
      <c r="A2746" s="2" t="s">
        <v>33</v>
      </c>
      <c r="B2746" s="12">
        <v>2641400.0</v>
      </c>
      <c r="C2746" s="12">
        <v>2643169.0</v>
      </c>
      <c r="D2746" s="2"/>
      <c r="E2746" s="2" t="s">
        <v>34</v>
      </c>
      <c r="F2746" s="2" t="s">
        <v>7356</v>
      </c>
      <c r="G2746" s="2" t="s">
        <v>7357</v>
      </c>
      <c r="H2746" s="12">
        <v>0.0</v>
      </c>
      <c r="I2746" s="2" t="s">
        <v>40</v>
      </c>
      <c r="J2746" s="2"/>
      <c r="K2746" s="2" t="s">
        <v>7358</v>
      </c>
      <c r="L2746" s="12">
        <v>589.0</v>
      </c>
      <c r="M2746" s="2" t="s">
        <v>7359</v>
      </c>
      <c r="N2746" s="2" t="str">
        <f>IFERROR(__xludf.DUMMYFUNCTION("""COMPUTED_VALUE"""),"")</f>
        <v/>
      </c>
    </row>
    <row r="2747">
      <c r="A2747" s="2" t="s">
        <v>33</v>
      </c>
      <c r="B2747" s="12">
        <v>2643147.0</v>
      </c>
      <c r="C2747" s="12">
        <v>2643887.0</v>
      </c>
      <c r="D2747" s="2"/>
      <c r="E2747" s="2" t="s">
        <v>34</v>
      </c>
      <c r="F2747" s="2" t="s">
        <v>2272</v>
      </c>
      <c r="G2747" s="2"/>
      <c r="H2747" s="12">
        <v>0.0</v>
      </c>
      <c r="I2747" s="2" t="s">
        <v>40</v>
      </c>
      <c r="J2747" s="2"/>
      <c r="K2747" s="2" t="s">
        <v>7360</v>
      </c>
      <c r="L2747" s="12">
        <v>246.0</v>
      </c>
      <c r="M2747" s="2" t="s">
        <v>7361</v>
      </c>
      <c r="N2747" s="2" t="str">
        <f>IFERROR(__xludf.DUMMYFUNCTION("""COMPUTED_VALUE"""),"")</f>
        <v/>
      </c>
    </row>
    <row r="2748">
      <c r="A2748" s="2" t="s">
        <v>33</v>
      </c>
      <c r="B2748" s="12">
        <v>2644020.0</v>
      </c>
      <c r="C2748" s="12">
        <v>2644451.0</v>
      </c>
      <c r="D2748" s="2"/>
      <c r="E2748" s="2" t="s">
        <v>34</v>
      </c>
      <c r="F2748" s="2" t="s">
        <v>7362</v>
      </c>
      <c r="G2748" s="2" t="s">
        <v>7363</v>
      </c>
      <c r="H2748" s="12">
        <v>0.0</v>
      </c>
      <c r="I2748" s="2" t="s">
        <v>40</v>
      </c>
      <c r="J2748" s="2"/>
      <c r="K2748" s="2" t="s">
        <v>7364</v>
      </c>
      <c r="L2748" s="12">
        <v>143.0</v>
      </c>
      <c r="M2748" s="2" t="s">
        <v>7365</v>
      </c>
      <c r="N2748" s="2" t="str">
        <f>IFERROR(__xludf.DUMMYFUNCTION("""COMPUTED_VALUE"""),"")</f>
        <v/>
      </c>
    </row>
    <row r="2749">
      <c r="A2749" s="2" t="s">
        <v>33</v>
      </c>
      <c r="B2749" s="12">
        <v>2644487.0</v>
      </c>
      <c r="C2749" s="12">
        <v>2645179.0</v>
      </c>
      <c r="D2749" s="2"/>
      <c r="E2749" s="2" t="s">
        <v>34</v>
      </c>
      <c r="F2749" s="2" t="s">
        <v>7366</v>
      </c>
      <c r="G2749" s="2" t="s">
        <v>7367</v>
      </c>
      <c r="H2749" s="12">
        <v>0.0</v>
      </c>
      <c r="I2749" s="2" t="s">
        <v>40</v>
      </c>
      <c r="J2749" s="2"/>
      <c r="K2749" s="2" t="s">
        <v>7368</v>
      </c>
      <c r="L2749" s="12">
        <v>230.0</v>
      </c>
      <c r="M2749" s="2" t="s">
        <v>7369</v>
      </c>
      <c r="N2749" s="2" t="str">
        <f>IFERROR(__xludf.DUMMYFUNCTION("""COMPUTED_VALUE"""),"")</f>
        <v/>
      </c>
    </row>
    <row r="2750">
      <c r="A2750" s="2" t="s">
        <v>33</v>
      </c>
      <c r="B2750" s="12">
        <v>2645502.0</v>
      </c>
      <c r="C2750" s="12">
        <v>2646545.0</v>
      </c>
      <c r="D2750" s="2"/>
      <c r="E2750" s="2" t="s">
        <v>34</v>
      </c>
      <c r="F2750" s="2" t="s">
        <v>1918</v>
      </c>
      <c r="G2750" s="2"/>
      <c r="H2750" s="12">
        <v>0.0</v>
      </c>
      <c r="I2750" s="2" t="s">
        <v>40</v>
      </c>
      <c r="J2750" s="2"/>
      <c r="K2750" s="2" t="s">
        <v>7370</v>
      </c>
      <c r="L2750" s="12">
        <v>347.0</v>
      </c>
      <c r="M2750" s="2" t="s">
        <v>7371</v>
      </c>
      <c r="N2750" s="2" t="str">
        <f>IFERROR(__xludf.DUMMYFUNCTION("""COMPUTED_VALUE"""),"")</f>
        <v/>
      </c>
    </row>
    <row r="2751">
      <c r="A2751" s="2" t="s">
        <v>33</v>
      </c>
      <c r="B2751" s="12">
        <v>2646637.0</v>
      </c>
      <c r="C2751" s="12">
        <v>2647104.0</v>
      </c>
      <c r="D2751" s="2"/>
      <c r="E2751" s="2" t="s">
        <v>34</v>
      </c>
      <c r="F2751" s="2" t="s">
        <v>35</v>
      </c>
      <c r="G2751" s="2" t="s">
        <v>2318</v>
      </c>
      <c r="H2751" s="12">
        <v>0.0</v>
      </c>
      <c r="I2751" s="2" t="s">
        <v>36</v>
      </c>
      <c r="J2751" s="2"/>
      <c r="K2751" s="2"/>
      <c r="L2751" s="2"/>
      <c r="M2751" s="2" t="s">
        <v>7372</v>
      </c>
      <c r="N2751" s="2" t="str">
        <f>IFERROR(__xludf.DUMMYFUNCTION("""COMPUTED_VALUE"""),"")</f>
        <v/>
      </c>
    </row>
    <row r="2752">
      <c r="A2752" s="2" t="s">
        <v>33</v>
      </c>
      <c r="B2752" s="12">
        <v>2647150.0</v>
      </c>
      <c r="C2752" s="12">
        <v>2647602.0</v>
      </c>
      <c r="D2752" s="2"/>
      <c r="E2752" s="2" t="s">
        <v>34</v>
      </c>
      <c r="F2752" s="2" t="s">
        <v>7373</v>
      </c>
      <c r="G2752" s="2" t="s">
        <v>7374</v>
      </c>
      <c r="H2752" s="12">
        <v>0.0</v>
      </c>
      <c r="I2752" s="2" t="s">
        <v>40</v>
      </c>
      <c r="J2752" s="2"/>
      <c r="K2752" s="2" t="s">
        <v>7375</v>
      </c>
      <c r="L2752" s="12">
        <v>150.0</v>
      </c>
      <c r="M2752" s="2" t="s">
        <v>7376</v>
      </c>
      <c r="N2752" s="2" t="str">
        <f>IFERROR(__xludf.DUMMYFUNCTION("""COMPUTED_VALUE"""),"")</f>
        <v/>
      </c>
    </row>
    <row r="2753">
      <c r="A2753" s="2" t="s">
        <v>33</v>
      </c>
      <c r="B2753" s="12">
        <v>2647620.0</v>
      </c>
      <c r="C2753" s="12">
        <v>2650736.0</v>
      </c>
      <c r="D2753" s="2"/>
      <c r="E2753" s="2" t="s">
        <v>38</v>
      </c>
      <c r="F2753" s="2" t="s">
        <v>5266</v>
      </c>
      <c r="G2753" s="2"/>
      <c r="H2753" s="12">
        <v>0.0</v>
      </c>
      <c r="I2753" s="2" t="s">
        <v>40</v>
      </c>
      <c r="J2753" s="2"/>
      <c r="K2753" s="2" t="s">
        <v>7377</v>
      </c>
      <c r="L2753" s="12">
        <v>1038.0</v>
      </c>
      <c r="M2753" s="2" t="s">
        <v>7378</v>
      </c>
      <c r="N2753" s="2" t="str">
        <f>IFERROR(__xludf.DUMMYFUNCTION("""COMPUTED_VALUE"""),"")</f>
        <v/>
      </c>
    </row>
    <row r="2754">
      <c r="A2754" s="2" t="s">
        <v>33</v>
      </c>
      <c r="B2754" s="12">
        <v>2650877.0</v>
      </c>
      <c r="C2754" s="12">
        <v>2651752.0</v>
      </c>
      <c r="D2754" s="2"/>
      <c r="E2754" s="2" t="s">
        <v>34</v>
      </c>
      <c r="F2754" s="2" t="s">
        <v>427</v>
      </c>
      <c r="G2754" s="2"/>
      <c r="H2754" s="12">
        <v>0.0</v>
      </c>
      <c r="I2754" s="2" t="s">
        <v>40</v>
      </c>
      <c r="J2754" s="2"/>
      <c r="K2754" s="2" t="s">
        <v>7379</v>
      </c>
      <c r="L2754" s="12">
        <v>291.0</v>
      </c>
      <c r="M2754" s="2" t="s">
        <v>7380</v>
      </c>
      <c r="N2754" s="2" t="str">
        <f>IFERROR(__xludf.DUMMYFUNCTION("""COMPUTED_VALUE"""),"")</f>
        <v/>
      </c>
    </row>
    <row r="2755">
      <c r="A2755" s="2" t="s">
        <v>33</v>
      </c>
      <c r="B2755" s="12">
        <v>2651804.0</v>
      </c>
      <c r="C2755" s="12">
        <v>2653357.0</v>
      </c>
      <c r="D2755" s="2"/>
      <c r="E2755" s="2" t="s">
        <v>38</v>
      </c>
      <c r="F2755" s="2" t="s">
        <v>1262</v>
      </c>
      <c r="G2755" s="2"/>
      <c r="H2755" s="12">
        <v>0.0</v>
      </c>
      <c r="I2755" s="2" t="s">
        <v>40</v>
      </c>
      <c r="J2755" s="2"/>
      <c r="K2755" s="2" t="s">
        <v>7381</v>
      </c>
      <c r="L2755" s="12">
        <v>517.0</v>
      </c>
      <c r="M2755" s="2" t="s">
        <v>7382</v>
      </c>
      <c r="N2755" s="2" t="str">
        <f>IFERROR(__xludf.DUMMYFUNCTION("""COMPUTED_VALUE"""),"")</f>
        <v/>
      </c>
    </row>
    <row r="2756">
      <c r="A2756" s="2" t="s">
        <v>33</v>
      </c>
      <c r="B2756" s="12">
        <v>2653514.0</v>
      </c>
      <c r="C2756" s="12">
        <v>2654452.0</v>
      </c>
      <c r="D2756" s="2"/>
      <c r="E2756" s="2" t="s">
        <v>38</v>
      </c>
      <c r="F2756" s="2" t="s">
        <v>3954</v>
      </c>
      <c r="G2756" s="2"/>
      <c r="H2756" s="12">
        <v>0.0</v>
      </c>
      <c r="I2756" s="2" t="s">
        <v>40</v>
      </c>
      <c r="J2756" s="2"/>
      <c r="K2756" s="2" t="s">
        <v>7383</v>
      </c>
      <c r="L2756" s="12">
        <v>312.0</v>
      </c>
      <c r="M2756" s="2" t="s">
        <v>7384</v>
      </c>
      <c r="N2756" s="2" t="str">
        <f>IFERROR(__xludf.DUMMYFUNCTION("""COMPUTED_VALUE"""),"")</f>
        <v/>
      </c>
    </row>
    <row r="2757">
      <c r="A2757" s="2" t="s">
        <v>33</v>
      </c>
      <c r="B2757" s="12">
        <v>2654536.0</v>
      </c>
      <c r="C2757" s="12">
        <v>2657214.0</v>
      </c>
      <c r="D2757" s="2"/>
      <c r="E2757" s="2" t="s">
        <v>38</v>
      </c>
      <c r="F2757" s="2" t="s">
        <v>7385</v>
      </c>
      <c r="G2757" s="2"/>
      <c r="H2757" s="12">
        <v>0.0</v>
      </c>
      <c r="I2757" s="2" t="s">
        <v>40</v>
      </c>
      <c r="J2757" s="2"/>
      <c r="K2757" s="2" t="s">
        <v>7386</v>
      </c>
      <c r="L2757" s="12">
        <v>892.0</v>
      </c>
      <c r="M2757" s="2" t="s">
        <v>7387</v>
      </c>
      <c r="N2757" s="2" t="str">
        <f>IFERROR(__xludf.DUMMYFUNCTION("""COMPUTED_VALUE"""),"")</f>
        <v/>
      </c>
    </row>
    <row r="2758">
      <c r="A2758" s="2" t="s">
        <v>33</v>
      </c>
      <c r="B2758" s="12">
        <v>2657563.0</v>
      </c>
      <c r="C2758" s="12">
        <v>2658978.0</v>
      </c>
      <c r="D2758" s="2"/>
      <c r="E2758" s="2" t="s">
        <v>38</v>
      </c>
      <c r="F2758" s="2" t="s">
        <v>2840</v>
      </c>
      <c r="G2758" s="2"/>
      <c r="H2758" s="12">
        <v>0.0</v>
      </c>
      <c r="I2758" s="2" t="s">
        <v>40</v>
      </c>
      <c r="J2758" s="2"/>
      <c r="K2758" s="2" t="s">
        <v>7388</v>
      </c>
      <c r="L2758" s="12">
        <v>471.0</v>
      </c>
      <c r="M2758" s="2" t="s">
        <v>7389</v>
      </c>
      <c r="N2758" s="2" t="str">
        <f>IFERROR(__xludf.DUMMYFUNCTION("""COMPUTED_VALUE"""),"")</f>
        <v/>
      </c>
    </row>
    <row r="2759">
      <c r="A2759" s="2" t="s">
        <v>33</v>
      </c>
      <c r="B2759" s="12">
        <v>2659076.0</v>
      </c>
      <c r="C2759" s="12">
        <v>2660056.0</v>
      </c>
      <c r="D2759" s="2"/>
      <c r="E2759" s="2" t="s">
        <v>38</v>
      </c>
      <c r="F2759" s="2" t="s">
        <v>1056</v>
      </c>
      <c r="G2759" s="2"/>
      <c r="H2759" s="12">
        <v>0.0</v>
      </c>
      <c r="I2759" s="2" t="s">
        <v>40</v>
      </c>
      <c r="J2759" s="2"/>
      <c r="K2759" s="2" t="s">
        <v>7390</v>
      </c>
      <c r="L2759" s="12">
        <v>326.0</v>
      </c>
      <c r="M2759" s="2" t="s">
        <v>7391</v>
      </c>
      <c r="N2759" s="2" t="str">
        <f>IFERROR(__xludf.DUMMYFUNCTION("""COMPUTED_VALUE"""),"")</f>
        <v/>
      </c>
    </row>
    <row r="2760">
      <c r="A2760" s="2" t="s">
        <v>33</v>
      </c>
      <c r="B2760" s="12">
        <v>2660282.0</v>
      </c>
      <c r="C2760" s="12">
        <v>2661559.0</v>
      </c>
      <c r="D2760" s="2"/>
      <c r="E2760" s="2" t="s">
        <v>34</v>
      </c>
      <c r="F2760" s="2" t="s">
        <v>7392</v>
      </c>
      <c r="G2760" s="2"/>
      <c r="H2760" s="12">
        <v>0.0</v>
      </c>
      <c r="I2760" s="2" t="s">
        <v>40</v>
      </c>
      <c r="J2760" s="2"/>
      <c r="K2760" s="2" t="s">
        <v>7393</v>
      </c>
      <c r="L2760" s="12">
        <v>425.0</v>
      </c>
      <c r="M2760" s="2" t="s">
        <v>7394</v>
      </c>
      <c r="N2760" s="2" t="str">
        <f>IFERROR(__xludf.DUMMYFUNCTION("""COMPUTED_VALUE"""),"")</f>
        <v/>
      </c>
    </row>
    <row r="2761">
      <c r="A2761" s="2" t="s">
        <v>33</v>
      </c>
      <c r="B2761" s="12">
        <v>2661635.0</v>
      </c>
      <c r="C2761" s="12">
        <v>2661997.0</v>
      </c>
      <c r="D2761" s="2"/>
      <c r="E2761" s="2" t="s">
        <v>38</v>
      </c>
      <c r="F2761" s="2" t="s">
        <v>7395</v>
      </c>
      <c r="G2761" s="2"/>
      <c r="H2761" s="12">
        <v>0.0</v>
      </c>
      <c r="I2761" s="2" t="s">
        <v>40</v>
      </c>
      <c r="J2761" s="2"/>
      <c r="K2761" s="2" t="s">
        <v>7396</v>
      </c>
      <c r="L2761" s="12">
        <v>120.0</v>
      </c>
      <c r="M2761" s="2" t="s">
        <v>7397</v>
      </c>
      <c r="N2761" s="2" t="str">
        <f>IFERROR(__xludf.DUMMYFUNCTION("""COMPUTED_VALUE"""),"")</f>
        <v/>
      </c>
    </row>
    <row r="2762">
      <c r="A2762" s="2" t="s">
        <v>33</v>
      </c>
      <c r="B2762" s="12">
        <v>2662004.0</v>
      </c>
      <c r="C2762" s="12">
        <v>2662732.0</v>
      </c>
      <c r="D2762" s="2"/>
      <c r="E2762" s="2" t="s">
        <v>38</v>
      </c>
      <c r="F2762" s="2" t="s">
        <v>3954</v>
      </c>
      <c r="G2762" s="2"/>
      <c r="H2762" s="12">
        <v>0.0</v>
      </c>
      <c r="I2762" s="2" t="s">
        <v>40</v>
      </c>
      <c r="J2762" s="2"/>
      <c r="K2762" s="2" t="s">
        <v>7398</v>
      </c>
      <c r="L2762" s="12">
        <v>242.0</v>
      </c>
      <c r="M2762" s="2" t="s">
        <v>7399</v>
      </c>
      <c r="N2762" s="2" t="str">
        <f>IFERROR(__xludf.DUMMYFUNCTION("""COMPUTED_VALUE"""),"")</f>
        <v/>
      </c>
    </row>
    <row r="2763">
      <c r="A2763" s="2" t="s">
        <v>33</v>
      </c>
      <c r="B2763" s="12">
        <v>2662942.0</v>
      </c>
      <c r="C2763" s="12">
        <v>2663454.0</v>
      </c>
      <c r="D2763" s="2"/>
      <c r="E2763" s="2" t="s">
        <v>38</v>
      </c>
      <c r="F2763" s="2" t="s">
        <v>1593</v>
      </c>
      <c r="G2763" s="2"/>
      <c r="H2763" s="12">
        <v>0.0</v>
      </c>
      <c r="I2763" s="2" t="s">
        <v>40</v>
      </c>
      <c r="J2763" s="2"/>
      <c r="K2763" s="2" t="s">
        <v>7400</v>
      </c>
      <c r="L2763" s="12">
        <v>170.0</v>
      </c>
      <c r="M2763" s="2" t="s">
        <v>7401</v>
      </c>
      <c r="N2763" s="2" t="str">
        <f>IFERROR(__xludf.DUMMYFUNCTION("""COMPUTED_VALUE"""),"")</f>
        <v/>
      </c>
    </row>
    <row r="2764">
      <c r="A2764" s="2" t="s">
        <v>33</v>
      </c>
      <c r="B2764" s="12">
        <v>2663753.0</v>
      </c>
      <c r="C2764" s="12">
        <v>2665066.0</v>
      </c>
      <c r="D2764" s="2"/>
      <c r="E2764" s="2" t="s">
        <v>34</v>
      </c>
      <c r="F2764" s="2" t="s">
        <v>7392</v>
      </c>
      <c r="G2764" s="2"/>
      <c r="H2764" s="12">
        <v>0.0</v>
      </c>
      <c r="I2764" s="2" t="s">
        <v>40</v>
      </c>
      <c r="J2764" s="2"/>
      <c r="K2764" s="2" t="s">
        <v>7402</v>
      </c>
      <c r="L2764" s="12">
        <v>437.0</v>
      </c>
      <c r="M2764" s="2" t="s">
        <v>7403</v>
      </c>
      <c r="N2764" s="2" t="str">
        <f>IFERROR(__xludf.DUMMYFUNCTION("""COMPUTED_VALUE"""),"")</f>
        <v/>
      </c>
    </row>
    <row r="2765">
      <c r="A2765" s="2" t="s">
        <v>33</v>
      </c>
      <c r="B2765" s="12">
        <v>2665277.0</v>
      </c>
      <c r="C2765" s="12">
        <v>2665978.0</v>
      </c>
      <c r="D2765" s="2"/>
      <c r="E2765" s="2" t="s">
        <v>38</v>
      </c>
      <c r="F2765" s="2" t="s">
        <v>1689</v>
      </c>
      <c r="G2765" s="2"/>
      <c r="H2765" s="12">
        <v>0.0</v>
      </c>
      <c r="I2765" s="2" t="s">
        <v>40</v>
      </c>
      <c r="J2765" s="2"/>
      <c r="K2765" s="2" t="s">
        <v>7404</v>
      </c>
      <c r="L2765" s="12">
        <v>233.0</v>
      </c>
      <c r="M2765" s="2" t="s">
        <v>7405</v>
      </c>
      <c r="N2765" s="2" t="str">
        <f>IFERROR(__xludf.DUMMYFUNCTION("""COMPUTED_VALUE"""),"")</f>
        <v/>
      </c>
    </row>
    <row r="2766">
      <c r="A2766" s="2" t="s">
        <v>33</v>
      </c>
      <c r="B2766" s="12">
        <v>2666033.0</v>
      </c>
      <c r="C2766" s="12">
        <v>2666581.0</v>
      </c>
      <c r="D2766" s="2"/>
      <c r="E2766" s="2" t="s">
        <v>38</v>
      </c>
      <c r="F2766" s="2" t="s">
        <v>35</v>
      </c>
      <c r="G2766" s="2"/>
      <c r="H2766" s="12">
        <v>0.0</v>
      </c>
      <c r="I2766" s="2" t="s">
        <v>36</v>
      </c>
      <c r="J2766" s="2"/>
      <c r="K2766" s="2"/>
      <c r="L2766" s="2"/>
      <c r="M2766" s="2" t="s">
        <v>7406</v>
      </c>
      <c r="N2766" s="2" t="str">
        <f>IFERROR(__xludf.DUMMYFUNCTION("""COMPUTED_VALUE"""),"")</f>
        <v/>
      </c>
    </row>
    <row r="2767">
      <c r="A2767" s="2" t="s">
        <v>33</v>
      </c>
      <c r="B2767" s="12">
        <v>2666713.0</v>
      </c>
      <c r="C2767" s="12">
        <v>2667345.0</v>
      </c>
      <c r="D2767" s="2"/>
      <c r="E2767" s="2" t="s">
        <v>38</v>
      </c>
      <c r="F2767" s="2" t="s">
        <v>7407</v>
      </c>
      <c r="G2767" s="2"/>
      <c r="H2767" s="12">
        <v>0.0</v>
      </c>
      <c r="I2767" s="2" t="s">
        <v>40</v>
      </c>
      <c r="J2767" s="2"/>
      <c r="K2767" s="2" t="s">
        <v>7408</v>
      </c>
      <c r="L2767" s="12">
        <v>210.0</v>
      </c>
      <c r="M2767" s="2" t="s">
        <v>7409</v>
      </c>
      <c r="N2767" s="2" t="str">
        <f>IFERROR(__xludf.DUMMYFUNCTION("""COMPUTED_VALUE"""),"")</f>
        <v/>
      </c>
    </row>
    <row r="2768">
      <c r="A2768" s="2" t="s">
        <v>33</v>
      </c>
      <c r="B2768" s="12">
        <v>2667808.0</v>
      </c>
      <c r="C2768" s="12">
        <v>2669280.0</v>
      </c>
      <c r="D2768" s="2"/>
      <c r="E2768" s="2" t="s">
        <v>34</v>
      </c>
      <c r="F2768" s="2" t="s">
        <v>4794</v>
      </c>
      <c r="G2768" s="2"/>
      <c r="H2768" s="12">
        <v>0.0</v>
      </c>
      <c r="I2768" s="2" t="s">
        <v>40</v>
      </c>
      <c r="J2768" s="2"/>
      <c r="K2768" s="2" t="s">
        <v>7410</v>
      </c>
      <c r="L2768" s="12">
        <v>490.0</v>
      </c>
      <c r="M2768" s="2" t="s">
        <v>7411</v>
      </c>
      <c r="N2768" s="2" t="str">
        <f>IFERROR(__xludf.DUMMYFUNCTION("""COMPUTED_VALUE"""),"")</f>
        <v/>
      </c>
    </row>
    <row r="2769">
      <c r="A2769" s="2" t="s">
        <v>33</v>
      </c>
      <c r="B2769" s="12">
        <v>2669376.0</v>
      </c>
      <c r="C2769" s="12">
        <v>2670485.0</v>
      </c>
      <c r="D2769" s="2"/>
      <c r="E2769" s="2" t="s">
        <v>34</v>
      </c>
      <c r="F2769" s="2" t="s">
        <v>2832</v>
      </c>
      <c r="G2769" s="2"/>
      <c r="H2769" s="12">
        <v>0.0</v>
      </c>
      <c r="I2769" s="2" t="s">
        <v>40</v>
      </c>
      <c r="J2769" s="2"/>
      <c r="K2769" s="2" t="s">
        <v>7412</v>
      </c>
      <c r="L2769" s="12">
        <v>369.0</v>
      </c>
      <c r="M2769" s="2" t="s">
        <v>7413</v>
      </c>
      <c r="N2769" s="2" t="str">
        <f>IFERROR(__xludf.DUMMYFUNCTION("""COMPUTED_VALUE"""),"")</f>
        <v/>
      </c>
    </row>
    <row r="2770">
      <c r="A2770" s="2" t="s">
        <v>33</v>
      </c>
      <c r="B2770" s="12">
        <v>2670507.0</v>
      </c>
      <c r="C2770" s="12">
        <v>2671247.0</v>
      </c>
      <c r="D2770" s="2"/>
      <c r="E2770" s="2" t="s">
        <v>34</v>
      </c>
      <c r="F2770" s="2" t="s">
        <v>7414</v>
      </c>
      <c r="G2770" s="2"/>
      <c r="H2770" s="12">
        <v>0.0</v>
      </c>
      <c r="I2770" s="2" t="s">
        <v>40</v>
      </c>
      <c r="J2770" s="2"/>
      <c r="K2770" s="2" t="s">
        <v>7415</v>
      </c>
      <c r="L2770" s="12">
        <v>246.0</v>
      </c>
      <c r="M2770" s="2" t="s">
        <v>7416</v>
      </c>
      <c r="N2770" s="2" t="str">
        <f>IFERROR(__xludf.DUMMYFUNCTION("""COMPUTED_VALUE"""),"")</f>
        <v/>
      </c>
    </row>
    <row r="2771">
      <c r="A2771" s="2" t="s">
        <v>33</v>
      </c>
      <c r="B2771" s="12">
        <v>2671462.0</v>
      </c>
      <c r="C2771" s="12">
        <v>2672661.0</v>
      </c>
      <c r="D2771" s="2"/>
      <c r="E2771" s="2" t="s">
        <v>34</v>
      </c>
      <c r="F2771" s="2" t="s">
        <v>88</v>
      </c>
      <c r="G2771" s="2"/>
      <c r="H2771" s="12">
        <v>0.0</v>
      </c>
      <c r="I2771" s="2" t="s">
        <v>40</v>
      </c>
      <c r="J2771" s="2"/>
      <c r="K2771" s="2" t="s">
        <v>7417</v>
      </c>
      <c r="L2771" s="12">
        <v>399.0</v>
      </c>
      <c r="M2771" s="2" t="s">
        <v>7418</v>
      </c>
      <c r="N2771" s="2" t="str">
        <f>IFERROR(__xludf.DUMMYFUNCTION("""COMPUTED_VALUE"""),"")</f>
        <v/>
      </c>
    </row>
    <row r="2772">
      <c r="A2772" s="2" t="s">
        <v>33</v>
      </c>
      <c r="B2772" s="12">
        <v>2672880.0</v>
      </c>
      <c r="C2772" s="12">
        <v>2673596.0</v>
      </c>
      <c r="D2772" s="2"/>
      <c r="E2772" s="2" t="s">
        <v>34</v>
      </c>
      <c r="F2772" s="2" t="s">
        <v>2272</v>
      </c>
      <c r="G2772" s="2"/>
      <c r="H2772" s="12">
        <v>0.0</v>
      </c>
      <c r="I2772" s="2" t="s">
        <v>40</v>
      </c>
      <c r="J2772" s="2"/>
      <c r="K2772" s="2" t="s">
        <v>7419</v>
      </c>
      <c r="L2772" s="12">
        <v>238.0</v>
      </c>
      <c r="M2772" s="2" t="s">
        <v>7420</v>
      </c>
      <c r="N2772" s="2" t="str">
        <f>IFERROR(__xludf.DUMMYFUNCTION("""COMPUTED_VALUE"""),"")</f>
        <v/>
      </c>
    </row>
    <row r="2773">
      <c r="A2773" s="2" t="s">
        <v>33</v>
      </c>
      <c r="B2773" s="12">
        <v>2673719.0</v>
      </c>
      <c r="C2773" s="12">
        <v>2675794.0</v>
      </c>
      <c r="D2773" s="2"/>
      <c r="E2773" s="2" t="s">
        <v>34</v>
      </c>
      <c r="F2773" s="2" t="s">
        <v>7421</v>
      </c>
      <c r="G2773" s="2" t="s">
        <v>7422</v>
      </c>
      <c r="H2773" s="12">
        <v>0.0</v>
      </c>
      <c r="I2773" s="2" t="s">
        <v>40</v>
      </c>
      <c r="J2773" s="2"/>
      <c r="K2773" s="2" t="s">
        <v>7423</v>
      </c>
      <c r="L2773" s="12">
        <v>691.0</v>
      </c>
      <c r="M2773" s="2" t="s">
        <v>7424</v>
      </c>
      <c r="N2773" s="2" t="str">
        <f>IFERROR(__xludf.DUMMYFUNCTION("""COMPUTED_VALUE"""),"")</f>
        <v/>
      </c>
    </row>
    <row r="2774">
      <c r="A2774" s="2" t="s">
        <v>33</v>
      </c>
      <c r="B2774" s="12">
        <v>2675787.0</v>
      </c>
      <c r="C2774" s="12">
        <v>2675990.0</v>
      </c>
      <c r="D2774" s="2"/>
      <c r="E2774" s="2" t="s">
        <v>34</v>
      </c>
      <c r="F2774" s="2" t="s">
        <v>7425</v>
      </c>
      <c r="G2774" s="2"/>
      <c r="H2774" s="12">
        <v>0.0</v>
      </c>
      <c r="I2774" s="2" t="s">
        <v>40</v>
      </c>
      <c r="J2774" s="2"/>
      <c r="K2774" s="2" t="s">
        <v>7426</v>
      </c>
      <c r="L2774" s="12">
        <v>67.0</v>
      </c>
      <c r="M2774" s="2" t="s">
        <v>7427</v>
      </c>
      <c r="N2774" s="2" t="str">
        <f>IFERROR(__xludf.DUMMYFUNCTION("""COMPUTED_VALUE"""),"")</f>
        <v/>
      </c>
    </row>
    <row r="2775">
      <c r="A2775" s="2" t="s">
        <v>33</v>
      </c>
      <c r="B2775" s="12">
        <v>2676136.0</v>
      </c>
      <c r="C2775" s="12">
        <v>2677194.0</v>
      </c>
      <c r="D2775" s="2"/>
      <c r="E2775" s="2" t="s">
        <v>34</v>
      </c>
      <c r="F2775" s="2" t="s">
        <v>7428</v>
      </c>
      <c r="G2775" s="2"/>
      <c r="H2775" s="12">
        <v>0.0</v>
      </c>
      <c r="I2775" s="2" t="s">
        <v>40</v>
      </c>
      <c r="J2775" s="2"/>
      <c r="K2775" s="2" t="s">
        <v>7429</v>
      </c>
      <c r="L2775" s="12">
        <v>352.0</v>
      </c>
      <c r="M2775" s="2" t="s">
        <v>7430</v>
      </c>
      <c r="N2775" s="2" t="str">
        <f>IFERROR(__xludf.DUMMYFUNCTION("""COMPUTED_VALUE"""),"")</f>
        <v/>
      </c>
    </row>
    <row r="2776">
      <c r="A2776" s="2" t="s">
        <v>33</v>
      </c>
      <c r="B2776" s="12">
        <v>2677280.0</v>
      </c>
      <c r="C2776" s="12">
        <v>2678104.0</v>
      </c>
      <c r="D2776" s="2"/>
      <c r="E2776" s="2" t="s">
        <v>38</v>
      </c>
      <c r="F2776" s="2" t="s">
        <v>7431</v>
      </c>
      <c r="G2776" s="2" t="s">
        <v>7432</v>
      </c>
      <c r="H2776" s="12">
        <v>0.0</v>
      </c>
      <c r="I2776" s="2" t="s">
        <v>40</v>
      </c>
      <c r="J2776" s="2"/>
      <c r="K2776" s="2" t="s">
        <v>7433</v>
      </c>
      <c r="L2776" s="12">
        <v>274.0</v>
      </c>
      <c r="M2776" s="2" t="s">
        <v>7434</v>
      </c>
      <c r="N2776" s="2" t="str">
        <f>IFERROR(__xludf.DUMMYFUNCTION("""COMPUTED_VALUE"""),"")</f>
        <v/>
      </c>
    </row>
    <row r="2777">
      <c r="A2777" s="2" t="s">
        <v>33</v>
      </c>
      <c r="B2777" s="12">
        <v>2678239.0</v>
      </c>
      <c r="C2777" s="12">
        <v>2679810.0</v>
      </c>
      <c r="D2777" s="2"/>
      <c r="E2777" s="2" t="s">
        <v>34</v>
      </c>
      <c r="F2777" s="2" t="s">
        <v>7435</v>
      </c>
      <c r="G2777" s="2"/>
      <c r="H2777" s="12">
        <v>0.0</v>
      </c>
      <c r="I2777" s="2" t="s">
        <v>40</v>
      </c>
      <c r="J2777" s="2"/>
      <c r="K2777" s="2" t="s">
        <v>7436</v>
      </c>
      <c r="L2777" s="12">
        <v>523.0</v>
      </c>
      <c r="M2777" s="2" t="s">
        <v>7437</v>
      </c>
      <c r="N2777" s="2" t="str">
        <f>IFERROR(__xludf.DUMMYFUNCTION("""COMPUTED_VALUE"""),"")</f>
        <v/>
      </c>
    </row>
    <row r="2778">
      <c r="A2778" s="2" t="s">
        <v>33</v>
      </c>
      <c r="B2778" s="12">
        <v>2679831.0</v>
      </c>
      <c r="C2778" s="12">
        <v>2680478.0</v>
      </c>
      <c r="D2778" s="2"/>
      <c r="E2778" s="2" t="s">
        <v>34</v>
      </c>
      <c r="F2778" s="2" t="s">
        <v>379</v>
      </c>
      <c r="G2778" s="2"/>
      <c r="H2778" s="12">
        <v>0.0</v>
      </c>
      <c r="I2778" s="2" t="s">
        <v>40</v>
      </c>
      <c r="J2778" s="2"/>
      <c r="K2778" s="2" t="s">
        <v>7438</v>
      </c>
      <c r="L2778" s="12">
        <v>215.0</v>
      </c>
      <c r="M2778" s="2" t="s">
        <v>7439</v>
      </c>
      <c r="N2778" s="2" t="str">
        <f>IFERROR(__xludf.DUMMYFUNCTION("""COMPUTED_VALUE"""),"")</f>
        <v/>
      </c>
    </row>
    <row r="2779">
      <c r="A2779" s="2" t="s">
        <v>33</v>
      </c>
      <c r="B2779" s="12">
        <v>2680670.0</v>
      </c>
      <c r="C2779" s="12">
        <v>2681296.0</v>
      </c>
      <c r="D2779" s="2"/>
      <c r="E2779" s="2" t="s">
        <v>34</v>
      </c>
      <c r="F2779" s="2" t="s">
        <v>1153</v>
      </c>
      <c r="G2779" s="2"/>
      <c r="H2779" s="12">
        <v>0.0</v>
      </c>
      <c r="I2779" s="2" t="s">
        <v>40</v>
      </c>
      <c r="J2779" s="2"/>
      <c r="K2779" s="2" t="s">
        <v>7440</v>
      </c>
      <c r="L2779" s="12">
        <v>208.0</v>
      </c>
      <c r="M2779" s="2" t="s">
        <v>7441</v>
      </c>
      <c r="N2779" s="2" t="str">
        <f>IFERROR(__xludf.DUMMYFUNCTION("""COMPUTED_VALUE"""),"")</f>
        <v/>
      </c>
    </row>
    <row r="2780">
      <c r="A2780" s="2" t="s">
        <v>33</v>
      </c>
      <c r="B2780" s="12">
        <v>2681358.0</v>
      </c>
      <c r="C2780" s="12">
        <v>2682029.0</v>
      </c>
      <c r="D2780" s="2"/>
      <c r="E2780" s="2" t="s">
        <v>38</v>
      </c>
      <c r="F2780" s="2" t="s">
        <v>7442</v>
      </c>
      <c r="G2780" s="2"/>
      <c r="H2780" s="12">
        <v>0.0</v>
      </c>
      <c r="I2780" s="2" t="s">
        <v>40</v>
      </c>
      <c r="J2780" s="2"/>
      <c r="K2780" s="2" t="s">
        <v>7443</v>
      </c>
      <c r="L2780" s="12">
        <v>223.0</v>
      </c>
      <c r="M2780" s="2" t="s">
        <v>7444</v>
      </c>
      <c r="N2780" s="2" t="str">
        <f>IFERROR(__xludf.DUMMYFUNCTION("""COMPUTED_VALUE"""),"")</f>
        <v/>
      </c>
    </row>
    <row r="2781">
      <c r="A2781" s="2" t="s">
        <v>33</v>
      </c>
      <c r="B2781" s="12">
        <v>2682137.0</v>
      </c>
      <c r="C2781" s="12">
        <v>2682832.0</v>
      </c>
      <c r="D2781" s="2"/>
      <c r="E2781" s="2" t="s">
        <v>34</v>
      </c>
      <c r="F2781" s="2" t="s">
        <v>7445</v>
      </c>
      <c r="G2781" s="2"/>
      <c r="H2781" s="12">
        <v>0.0</v>
      </c>
      <c r="I2781" s="2" t="s">
        <v>40</v>
      </c>
      <c r="J2781" s="2"/>
      <c r="K2781" s="2" t="s">
        <v>7446</v>
      </c>
      <c r="L2781" s="12">
        <v>231.0</v>
      </c>
      <c r="M2781" s="2" t="s">
        <v>7447</v>
      </c>
      <c r="N2781" s="2" t="str">
        <f>IFERROR(__xludf.DUMMYFUNCTION("""COMPUTED_VALUE"""),"")</f>
        <v/>
      </c>
    </row>
    <row r="2782">
      <c r="A2782" s="2" t="s">
        <v>33</v>
      </c>
      <c r="B2782" s="12">
        <v>2682878.0</v>
      </c>
      <c r="C2782" s="12">
        <v>2684107.0</v>
      </c>
      <c r="D2782" s="2"/>
      <c r="E2782" s="2" t="s">
        <v>38</v>
      </c>
      <c r="F2782" s="2" t="s">
        <v>7448</v>
      </c>
      <c r="G2782" s="2"/>
      <c r="H2782" s="12">
        <v>0.0</v>
      </c>
      <c r="I2782" s="2" t="s">
        <v>40</v>
      </c>
      <c r="J2782" s="2"/>
      <c r="K2782" s="2" t="s">
        <v>7449</v>
      </c>
      <c r="L2782" s="12">
        <v>409.0</v>
      </c>
      <c r="M2782" s="2" t="s">
        <v>7450</v>
      </c>
      <c r="N2782" s="2" t="str">
        <f>IFERROR(__xludf.DUMMYFUNCTION("""COMPUTED_VALUE"""),"")</f>
        <v/>
      </c>
    </row>
    <row r="2783">
      <c r="A2783" s="2" t="s">
        <v>33</v>
      </c>
      <c r="B2783" s="12">
        <v>2684626.0</v>
      </c>
      <c r="C2783" s="12">
        <v>2685924.0</v>
      </c>
      <c r="D2783" s="2"/>
      <c r="E2783" s="2" t="s">
        <v>34</v>
      </c>
      <c r="F2783" s="2" t="s">
        <v>7451</v>
      </c>
      <c r="G2783" s="2"/>
      <c r="H2783" s="12">
        <v>0.0</v>
      </c>
      <c r="I2783" s="2" t="s">
        <v>40</v>
      </c>
      <c r="J2783" s="2"/>
      <c r="K2783" s="2" t="s">
        <v>7452</v>
      </c>
      <c r="L2783" s="12">
        <v>432.0</v>
      </c>
      <c r="M2783" s="2" t="s">
        <v>7453</v>
      </c>
      <c r="N2783" s="2" t="str">
        <f>IFERROR(__xludf.DUMMYFUNCTION("""COMPUTED_VALUE"""),"")</f>
        <v/>
      </c>
    </row>
    <row r="2784">
      <c r="A2784" s="2" t="s">
        <v>33</v>
      </c>
      <c r="B2784" s="12">
        <v>2685908.0</v>
      </c>
      <c r="C2784" s="12">
        <v>2686813.0</v>
      </c>
      <c r="D2784" s="2"/>
      <c r="E2784" s="2" t="s">
        <v>34</v>
      </c>
      <c r="F2784" s="2" t="s">
        <v>7454</v>
      </c>
      <c r="G2784" s="2" t="s">
        <v>7455</v>
      </c>
      <c r="H2784" s="12">
        <v>0.0</v>
      </c>
      <c r="I2784" s="2" t="s">
        <v>40</v>
      </c>
      <c r="J2784" s="2"/>
      <c r="K2784" s="2" t="s">
        <v>7456</v>
      </c>
      <c r="L2784" s="12">
        <v>301.0</v>
      </c>
      <c r="M2784" s="2" t="s">
        <v>7457</v>
      </c>
      <c r="N2784" s="2" t="str">
        <f>IFERROR(__xludf.DUMMYFUNCTION("""COMPUTED_VALUE"""),"")</f>
        <v/>
      </c>
    </row>
    <row r="2785">
      <c r="A2785" s="2" t="s">
        <v>33</v>
      </c>
      <c r="B2785" s="12">
        <v>2686955.0</v>
      </c>
      <c r="C2785" s="12">
        <v>2688250.0</v>
      </c>
      <c r="D2785" s="2"/>
      <c r="E2785" s="2" t="s">
        <v>34</v>
      </c>
      <c r="F2785" s="2" t="s">
        <v>253</v>
      </c>
      <c r="G2785" s="2"/>
      <c r="H2785" s="12">
        <v>0.0</v>
      </c>
      <c r="I2785" s="2" t="s">
        <v>40</v>
      </c>
      <c r="J2785" s="2"/>
      <c r="K2785" s="2" t="s">
        <v>7458</v>
      </c>
      <c r="L2785" s="12">
        <v>431.0</v>
      </c>
      <c r="M2785" s="2" t="s">
        <v>7459</v>
      </c>
      <c r="N2785" s="2" t="str">
        <f>IFERROR(__xludf.DUMMYFUNCTION("""COMPUTED_VALUE"""),"")</f>
        <v/>
      </c>
    </row>
    <row r="2786">
      <c r="A2786" s="2" t="s">
        <v>33</v>
      </c>
      <c r="B2786" s="12">
        <v>2688281.0</v>
      </c>
      <c r="C2786" s="12">
        <v>2688907.0</v>
      </c>
      <c r="D2786" s="2"/>
      <c r="E2786" s="2" t="s">
        <v>38</v>
      </c>
      <c r="F2786" s="2" t="s">
        <v>1506</v>
      </c>
      <c r="G2786" s="2"/>
      <c r="H2786" s="12">
        <v>0.0</v>
      </c>
      <c r="I2786" s="2" t="s">
        <v>40</v>
      </c>
      <c r="J2786" s="2"/>
      <c r="K2786" s="2" t="s">
        <v>7460</v>
      </c>
      <c r="L2786" s="12">
        <v>208.0</v>
      </c>
      <c r="M2786" s="2" t="s">
        <v>7461</v>
      </c>
      <c r="N2786" s="2" t="str">
        <f>IFERROR(__xludf.DUMMYFUNCTION("""COMPUTED_VALUE"""),"")</f>
        <v/>
      </c>
    </row>
    <row r="2787">
      <c r="A2787" s="2" t="s">
        <v>33</v>
      </c>
      <c r="B2787" s="12">
        <v>2689005.0</v>
      </c>
      <c r="C2787" s="12">
        <v>2689982.0</v>
      </c>
      <c r="D2787" s="2"/>
      <c r="E2787" s="2" t="s">
        <v>34</v>
      </c>
      <c r="F2787" s="2" t="s">
        <v>4305</v>
      </c>
      <c r="G2787" s="2"/>
      <c r="H2787" s="12">
        <v>0.0</v>
      </c>
      <c r="I2787" s="2" t="s">
        <v>40</v>
      </c>
      <c r="J2787" s="2"/>
      <c r="K2787" s="2" t="s">
        <v>7462</v>
      </c>
      <c r="L2787" s="12">
        <v>325.0</v>
      </c>
      <c r="M2787" s="2" t="s">
        <v>7463</v>
      </c>
      <c r="N2787" s="2" t="str">
        <f>IFERROR(__xludf.DUMMYFUNCTION("""COMPUTED_VALUE"""),"")</f>
        <v/>
      </c>
    </row>
    <row r="2788">
      <c r="A2788" s="2" t="s">
        <v>33</v>
      </c>
      <c r="B2788" s="12">
        <v>2689993.0</v>
      </c>
      <c r="C2788" s="12">
        <v>2690874.0</v>
      </c>
      <c r="D2788" s="2"/>
      <c r="E2788" s="2" t="s">
        <v>34</v>
      </c>
      <c r="F2788" s="2" t="s">
        <v>491</v>
      </c>
      <c r="G2788" s="2"/>
      <c r="H2788" s="12">
        <v>0.0</v>
      </c>
      <c r="I2788" s="2" t="s">
        <v>40</v>
      </c>
      <c r="J2788" s="2"/>
      <c r="K2788" s="2" t="s">
        <v>7464</v>
      </c>
      <c r="L2788" s="12">
        <v>293.0</v>
      </c>
      <c r="M2788" s="2" t="s">
        <v>7465</v>
      </c>
      <c r="N2788" s="2" t="str">
        <f>IFERROR(__xludf.DUMMYFUNCTION("""COMPUTED_VALUE"""),"")</f>
        <v/>
      </c>
    </row>
    <row r="2789">
      <c r="A2789" s="2" t="s">
        <v>33</v>
      </c>
      <c r="B2789" s="12">
        <v>2690871.0</v>
      </c>
      <c r="C2789" s="12">
        <v>2691788.0</v>
      </c>
      <c r="D2789" s="2"/>
      <c r="E2789" s="2" t="s">
        <v>34</v>
      </c>
      <c r="F2789" s="2" t="s">
        <v>432</v>
      </c>
      <c r="G2789" s="2"/>
      <c r="H2789" s="12">
        <v>0.0</v>
      </c>
      <c r="I2789" s="2" t="s">
        <v>40</v>
      </c>
      <c r="J2789" s="2"/>
      <c r="K2789" s="2" t="s">
        <v>7466</v>
      </c>
      <c r="L2789" s="12">
        <v>305.0</v>
      </c>
      <c r="M2789" s="2" t="s">
        <v>7467</v>
      </c>
      <c r="N2789" s="2" t="str">
        <f>IFERROR(__xludf.DUMMYFUNCTION("""COMPUTED_VALUE"""),"")</f>
        <v/>
      </c>
    </row>
    <row r="2790">
      <c r="A2790" s="2" t="s">
        <v>33</v>
      </c>
      <c r="B2790" s="12">
        <v>2691781.0</v>
      </c>
      <c r="C2790" s="12">
        <v>2692773.0</v>
      </c>
      <c r="D2790" s="2"/>
      <c r="E2790" s="2" t="s">
        <v>34</v>
      </c>
      <c r="F2790" s="2" t="s">
        <v>787</v>
      </c>
      <c r="G2790" s="2"/>
      <c r="H2790" s="12">
        <v>0.0</v>
      </c>
      <c r="I2790" s="2" t="s">
        <v>40</v>
      </c>
      <c r="J2790" s="2"/>
      <c r="K2790" s="2" t="s">
        <v>7468</v>
      </c>
      <c r="L2790" s="12">
        <v>330.0</v>
      </c>
      <c r="M2790" s="2" t="s">
        <v>7469</v>
      </c>
      <c r="N2790" s="2" t="str">
        <f>IFERROR(__xludf.DUMMYFUNCTION("""COMPUTED_VALUE"""),"")</f>
        <v/>
      </c>
    </row>
    <row r="2791">
      <c r="A2791" s="2" t="s">
        <v>33</v>
      </c>
      <c r="B2791" s="12">
        <v>2692793.0</v>
      </c>
      <c r="C2791" s="12">
        <v>2693470.0</v>
      </c>
      <c r="D2791" s="2"/>
      <c r="E2791" s="2" t="s">
        <v>34</v>
      </c>
      <c r="F2791" s="2" t="s">
        <v>3027</v>
      </c>
      <c r="G2791" s="2"/>
      <c r="H2791" s="12">
        <v>0.0</v>
      </c>
      <c r="I2791" s="2" t="s">
        <v>40</v>
      </c>
      <c r="J2791" s="2"/>
      <c r="K2791" s="2" t="s">
        <v>7470</v>
      </c>
      <c r="L2791" s="12">
        <v>225.0</v>
      </c>
      <c r="M2791" s="2" t="s">
        <v>7471</v>
      </c>
      <c r="N2791" s="2" t="str">
        <f>IFERROR(__xludf.DUMMYFUNCTION("""COMPUTED_VALUE"""),"")</f>
        <v/>
      </c>
    </row>
    <row r="2792">
      <c r="A2792" s="2" t="s">
        <v>33</v>
      </c>
      <c r="B2792" s="12">
        <v>2693512.0</v>
      </c>
      <c r="C2792" s="12">
        <v>2693805.0</v>
      </c>
      <c r="D2792" s="2"/>
      <c r="E2792" s="2" t="s">
        <v>38</v>
      </c>
      <c r="F2792" s="2" t="s">
        <v>7472</v>
      </c>
      <c r="G2792" s="2"/>
      <c r="H2792" s="12">
        <v>0.0</v>
      </c>
      <c r="I2792" s="2" t="s">
        <v>40</v>
      </c>
      <c r="J2792" s="2"/>
      <c r="K2792" s="2" t="s">
        <v>7473</v>
      </c>
      <c r="L2792" s="12">
        <v>97.0</v>
      </c>
      <c r="M2792" s="2" t="s">
        <v>7474</v>
      </c>
      <c r="N2792" s="2" t="str">
        <f>IFERROR(__xludf.DUMMYFUNCTION("""COMPUTED_VALUE"""),"")</f>
        <v/>
      </c>
    </row>
    <row r="2793">
      <c r="A2793" s="2" t="s">
        <v>33</v>
      </c>
      <c r="B2793" s="12">
        <v>2694015.0</v>
      </c>
      <c r="C2793" s="12">
        <v>2694836.0</v>
      </c>
      <c r="D2793" s="2"/>
      <c r="E2793" s="2" t="s">
        <v>38</v>
      </c>
      <c r="F2793" s="2" t="s">
        <v>69</v>
      </c>
      <c r="G2793" s="2"/>
      <c r="H2793" s="12">
        <v>0.0</v>
      </c>
      <c r="I2793" s="2" t="s">
        <v>40</v>
      </c>
      <c r="J2793" s="2"/>
      <c r="K2793" s="2" t="s">
        <v>7475</v>
      </c>
      <c r="L2793" s="12">
        <v>273.0</v>
      </c>
      <c r="M2793" s="2" t="s">
        <v>7476</v>
      </c>
      <c r="N2793" s="2" t="str">
        <f>IFERROR(__xludf.DUMMYFUNCTION("""COMPUTED_VALUE"""),"")</f>
        <v/>
      </c>
    </row>
    <row r="2794">
      <c r="A2794" s="2" t="s">
        <v>33</v>
      </c>
      <c r="B2794" s="12">
        <v>2695064.0</v>
      </c>
      <c r="C2794" s="12">
        <v>2696347.0</v>
      </c>
      <c r="D2794" s="2"/>
      <c r="E2794" s="2" t="s">
        <v>38</v>
      </c>
      <c r="F2794" s="2" t="s">
        <v>7477</v>
      </c>
      <c r="G2794" s="2"/>
      <c r="H2794" s="12">
        <v>0.0</v>
      </c>
      <c r="I2794" s="2" t="s">
        <v>40</v>
      </c>
      <c r="J2794" s="2"/>
      <c r="K2794" s="2" t="s">
        <v>7478</v>
      </c>
      <c r="L2794" s="12">
        <v>427.0</v>
      </c>
      <c r="M2794" s="2" t="s">
        <v>7479</v>
      </c>
      <c r="N2794" s="2" t="str">
        <f>IFERROR(__xludf.DUMMYFUNCTION("""COMPUTED_VALUE"""),"")</f>
        <v/>
      </c>
    </row>
    <row r="2795">
      <c r="A2795" s="2" t="s">
        <v>33</v>
      </c>
      <c r="B2795" s="12">
        <v>2696443.0</v>
      </c>
      <c r="C2795" s="12">
        <v>2697435.0</v>
      </c>
      <c r="D2795" s="2"/>
      <c r="E2795" s="2" t="s">
        <v>34</v>
      </c>
      <c r="F2795" s="2" t="s">
        <v>7480</v>
      </c>
      <c r="G2795" s="2"/>
      <c r="H2795" s="12">
        <v>0.0</v>
      </c>
      <c r="I2795" s="2" t="s">
        <v>40</v>
      </c>
      <c r="J2795" s="2"/>
      <c r="K2795" s="2" t="s">
        <v>7481</v>
      </c>
      <c r="L2795" s="12">
        <v>330.0</v>
      </c>
      <c r="M2795" s="2" t="s">
        <v>7482</v>
      </c>
      <c r="N2795" s="2" t="str">
        <f>IFERROR(__xludf.DUMMYFUNCTION("""COMPUTED_VALUE"""),"")</f>
        <v/>
      </c>
    </row>
    <row r="2796">
      <c r="A2796" s="2" t="s">
        <v>33</v>
      </c>
      <c r="B2796" s="12">
        <v>2697442.0</v>
      </c>
      <c r="C2796" s="12">
        <v>2697729.0</v>
      </c>
      <c r="D2796" s="2"/>
      <c r="E2796" s="2" t="s">
        <v>34</v>
      </c>
      <c r="F2796" s="2" t="s">
        <v>7483</v>
      </c>
      <c r="G2796" s="2"/>
      <c r="H2796" s="12">
        <v>0.0</v>
      </c>
      <c r="I2796" s="2" t="s">
        <v>40</v>
      </c>
      <c r="J2796" s="2"/>
      <c r="K2796" s="2" t="s">
        <v>7484</v>
      </c>
      <c r="L2796" s="12">
        <v>95.0</v>
      </c>
      <c r="M2796" s="2" t="s">
        <v>7485</v>
      </c>
      <c r="N2796" s="2" t="str">
        <f>IFERROR(__xludf.DUMMYFUNCTION("""COMPUTED_VALUE"""),"")</f>
        <v/>
      </c>
    </row>
    <row r="2797">
      <c r="A2797" s="2" t="s">
        <v>33</v>
      </c>
      <c r="B2797" s="12">
        <v>2697794.0</v>
      </c>
      <c r="C2797" s="12">
        <v>2698162.0</v>
      </c>
      <c r="D2797" s="2"/>
      <c r="E2797" s="2" t="s">
        <v>34</v>
      </c>
      <c r="F2797" s="2" t="s">
        <v>7486</v>
      </c>
      <c r="G2797" s="2"/>
      <c r="H2797" s="12">
        <v>0.0</v>
      </c>
      <c r="I2797" s="2" t="s">
        <v>40</v>
      </c>
      <c r="J2797" s="2"/>
      <c r="K2797" s="2" t="s">
        <v>7487</v>
      </c>
      <c r="L2797" s="12">
        <v>122.0</v>
      </c>
      <c r="M2797" s="2" t="s">
        <v>7488</v>
      </c>
      <c r="N2797" s="2" t="str">
        <f>IFERROR(__xludf.DUMMYFUNCTION("""COMPUTED_VALUE"""),"")</f>
        <v/>
      </c>
    </row>
    <row r="2798">
      <c r="A2798" s="2" t="s">
        <v>33</v>
      </c>
      <c r="B2798" s="12">
        <v>2698193.0</v>
      </c>
      <c r="C2798" s="12">
        <v>2698621.0</v>
      </c>
      <c r="D2798" s="2"/>
      <c r="E2798" s="2" t="s">
        <v>38</v>
      </c>
      <c r="F2798" s="2" t="s">
        <v>7489</v>
      </c>
      <c r="G2798" s="2" t="s">
        <v>7490</v>
      </c>
      <c r="H2798" s="12">
        <v>0.0</v>
      </c>
      <c r="I2798" s="2" t="s">
        <v>40</v>
      </c>
      <c r="J2798" s="2"/>
      <c r="K2798" s="2" t="s">
        <v>7491</v>
      </c>
      <c r="L2798" s="12">
        <v>142.0</v>
      </c>
      <c r="M2798" s="2" t="s">
        <v>7492</v>
      </c>
      <c r="N2798" s="2" t="str">
        <f>IFERROR(__xludf.DUMMYFUNCTION("""COMPUTED_VALUE"""),"")</f>
        <v/>
      </c>
    </row>
    <row r="2799">
      <c r="A2799" s="2" t="s">
        <v>33</v>
      </c>
      <c r="B2799" s="12">
        <v>2698649.0</v>
      </c>
      <c r="C2799" s="12">
        <v>2699071.0</v>
      </c>
      <c r="D2799" s="2"/>
      <c r="E2799" s="2" t="s">
        <v>38</v>
      </c>
      <c r="F2799" s="2" t="s">
        <v>7493</v>
      </c>
      <c r="G2799" s="2" t="s">
        <v>7494</v>
      </c>
      <c r="H2799" s="12">
        <v>0.0</v>
      </c>
      <c r="I2799" s="2" t="s">
        <v>40</v>
      </c>
      <c r="J2799" s="2"/>
      <c r="K2799" s="2" t="s">
        <v>7495</v>
      </c>
      <c r="L2799" s="12">
        <v>140.0</v>
      </c>
      <c r="M2799" s="2" t="s">
        <v>7496</v>
      </c>
      <c r="N2799" s="2" t="str">
        <f>IFERROR(__xludf.DUMMYFUNCTION("""COMPUTED_VALUE"""),"")</f>
        <v/>
      </c>
    </row>
    <row r="2800">
      <c r="A2800" s="2" t="s">
        <v>33</v>
      </c>
      <c r="B2800" s="12">
        <v>2699391.0</v>
      </c>
      <c r="C2800" s="12">
        <v>2700662.0</v>
      </c>
      <c r="D2800" s="2"/>
      <c r="E2800" s="2" t="s">
        <v>38</v>
      </c>
      <c r="F2800" s="2" t="s">
        <v>455</v>
      </c>
      <c r="G2800" s="2"/>
      <c r="H2800" s="12">
        <v>0.0</v>
      </c>
      <c r="I2800" s="2" t="s">
        <v>40</v>
      </c>
      <c r="J2800" s="2"/>
      <c r="K2800" s="2" t="s">
        <v>7497</v>
      </c>
      <c r="L2800" s="12">
        <v>423.0</v>
      </c>
      <c r="M2800" s="2" t="s">
        <v>7498</v>
      </c>
      <c r="N2800" s="2" t="str">
        <f>IFERROR(__xludf.DUMMYFUNCTION("""COMPUTED_VALUE"""),"")</f>
        <v/>
      </c>
    </row>
    <row r="2801">
      <c r="A2801" s="2" t="s">
        <v>33</v>
      </c>
      <c r="B2801" s="12">
        <v>2700862.0</v>
      </c>
      <c r="C2801" s="12">
        <v>2701605.0</v>
      </c>
      <c r="D2801" s="2"/>
      <c r="E2801" s="2" t="s">
        <v>38</v>
      </c>
      <c r="F2801" s="2" t="s">
        <v>7499</v>
      </c>
      <c r="G2801" s="2" t="s">
        <v>7500</v>
      </c>
      <c r="H2801" s="12">
        <v>0.0</v>
      </c>
      <c r="I2801" s="2" t="s">
        <v>40</v>
      </c>
      <c r="J2801" s="2"/>
      <c r="K2801" s="2" t="s">
        <v>7501</v>
      </c>
      <c r="L2801" s="12">
        <v>247.0</v>
      </c>
      <c r="M2801" s="2" t="s">
        <v>7502</v>
      </c>
      <c r="N2801" s="2" t="str">
        <f>IFERROR(__xludf.DUMMYFUNCTION("""COMPUTED_VALUE"""),"")</f>
        <v/>
      </c>
    </row>
    <row r="2802">
      <c r="A2802" s="2" t="s">
        <v>33</v>
      </c>
      <c r="B2802" s="12">
        <v>2701861.0</v>
      </c>
      <c r="C2802" s="12">
        <v>2702832.0</v>
      </c>
      <c r="D2802" s="2"/>
      <c r="E2802" s="2" t="s">
        <v>34</v>
      </c>
      <c r="F2802" s="2" t="s">
        <v>7503</v>
      </c>
      <c r="G2802" s="2" t="s">
        <v>7504</v>
      </c>
      <c r="H2802" s="12">
        <v>0.0</v>
      </c>
      <c r="I2802" s="2" t="s">
        <v>40</v>
      </c>
      <c r="J2802" s="2"/>
      <c r="K2802" s="2" t="s">
        <v>7505</v>
      </c>
      <c r="L2802" s="12">
        <v>323.0</v>
      </c>
      <c r="M2802" s="2" t="s">
        <v>7506</v>
      </c>
      <c r="N2802" s="2" t="str">
        <f>IFERROR(__xludf.DUMMYFUNCTION("""COMPUTED_VALUE"""),"")</f>
        <v/>
      </c>
    </row>
    <row r="2803">
      <c r="A2803" s="2" t="s">
        <v>33</v>
      </c>
      <c r="B2803" s="12">
        <v>2702881.0</v>
      </c>
      <c r="C2803" s="12">
        <v>2703726.0</v>
      </c>
      <c r="D2803" s="2"/>
      <c r="E2803" s="2" t="s">
        <v>38</v>
      </c>
      <c r="F2803" s="2" t="s">
        <v>7507</v>
      </c>
      <c r="G2803" s="2"/>
      <c r="H2803" s="12">
        <v>0.0</v>
      </c>
      <c r="I2803" s="2" t="s">
        <v>40</v>
      </c>
      <c r="J2803" s="2"/>
      <c r="K2803" s="2" t="s">
        <v>7508</v>
      </c>
      <c r="L2803" s="12">
        <v>281.0</v>
      </c>
      <c r="M2803" s="2" t="s">
        <v>7509</v>
      </c>
      <c r="N2803" s="2" t="str">
        <f>IFERROR(__xludf.DUMMYFUNCTION("""COMPUTED_VALUE"""),"")</f>
        <v/>
      </c>
    </row>
    <row r="2804">
      <c r="A2804" s="2" t="s">
        <v>33</v>
      </c>
      <c r="B2804" s="12">
        <v>2703855.0</v>
      </c>
      <c r="C2804" s="12">
        <v>2704547.0</v>
      </c>
      <c r="D2804" s="2"/>
      <c r="E2804" s="2" t="s">
        <v>38</v>
      </c>
      <c r="F2804" s="2" t="s">
        <v>7510</v>
      </c>
      <c r="G2804" s="2"/>
      <c r="H2804" s="12">
        <v>0.0</v>
      </c>
      <c r="I2804" s="2" t="s">
        <v>40</v>
      </c>
      <c r="J2804" s="2"/>
      <c r="K2804" s="2" t="s">
        <v>7511</v>
      </c>
      <c r="L2804" s="12">
        <v>230.0</v>
      </c>
      <c r="M2804" s="2" t="s">
        <v>7512</v>
      </c>
      <c r="N2804" s="2" t="str">
        <f>IFERROR(__xludf.DUMMYFUNCTION("""COMPUTED_VALUE"""),"")</f>
        <v/>
      </c>
    </row>
    <row r="2805">
      <c r="A2805" s="2" t="s">
        <v>33</v>
      </c>
      <c r="B2805" s="12">
        <v>2704832.0</v>
      </c>
      <c r="C2805" s="12">
        <v>2705056.0</v>
      </c>
      <c r="D2805" s="2"/>
      <c r="E2805" s="2" t="s">
        <v>34</v>
      </c>
      <c r="F2805" s="2" t="s">
        <v>7513</v>
      </c>
      <c r="G2805" s="2"/>
      <c r="H2805" s="12">
        <v>0.0</v>
      </c>
      <c r="I2805" s="2" t="s">
        <v>40</v>
      </c>
      <c r="J2805" s="2"/>
      <c r="K2805" s="2" t="s">
        <v>7514</v>
      </c>
      <c r="L2805" s="12">
        <v>74.0</v>
      </c>
      <c r="M2805" s="2" t="s">
        <v>7515</v>
      </c>
      <c r="N2805" s="2" t="str">
        <f>IFERROR(__xludf.DUMMYFUNCTION("""COMPUTED_VALUE"""),"")</f>
        <v/>
      </c>
    </row>
    <row r="2806">
      <c r="A2806" s="2" t="s">
        <v>33</v>
      </c>
      <c r="B2806" s="12">
        <v>2705369.0</v>
      </c>
      <c r="C2806" s="12">
        <v>2706424.0</v>
      </c>
      <c r="D2806" s="2"/>
      <c r="E2806" s="2" t="s">
        <v>34</v>
      </c>
      <c r="F2806" s="2" t="s">
        <v>2555</v>
      </c>
      <c r="G2806" s="2"/>
      <c r="H2806" s="12">
        <v>0.0</v>
      </c>
      <c r="I2806" s="2" t="s">
        <v>40</v>
      </c>
      <c r="J2806" s="2"/>
      <c r="K2806" s="2" t="s">
        <v>7516</v>
      </c>
      <c r="L2806" s="12">
        <v>351.0</v>
      </c>
      <c r="M2806" s="2" t="s">
        <v>7517</v>
      </c>
      <c r="N2806" s="2" t="str">
        <f>IFERROR(__xludf.DUMMYFUNCTION("""COMPUTED_VALUE"""),"")</f>
        <v/>
      </c>
    </row>
    <row r="2807">
      <c r="A2807" s="2" t="s">
        <v>33</v>
      </c>
      <c r="B2807" s="12">
        <v>2706421.0</v>
      </c>
      <c r="C2807" s="12">
        <v>2707437.0</v>
      </c>
      <c r="D2807" s="2"/>
      <c r="E2807" s="2" t="s">
        <v>34</v>
      </c>
      <c r="F2807" s="2" t="s">
        <v>2555</v>
      </c>
      <c r="G2807" s="2"/>
      <c r="H2807" s="12">
        <v>0.0</v>
      </c>
      <c r="I2807" s="2" t="s">
        <v>40</v>
      </c>
      <c r="J2807" s="2"/>
      <c r="K2807" s="2" t="s">
        <v>7518</v>
      </c>
      <c r="L2807" s="12">
        <v>338.0</v>
      </c>
      <c r="M2807" s="2" t="s">
        <v>7519</v>
      </c>
      <c r="N2807" s="2" t="str">
        <f>IFERROR(__xludf.DUMMYFUNCTION("""COMPUTED_VALUE"""),"")</f>
        <v/>
      </c>
    </row>
    <row r="2808">
      <c r="A2808" s="2" t="s">
        <v>33</v>
      </c>
      <c r="B2808" s="12">
        <v>2707453.0</v>
      </c>
      <c r="C2808" s="12">
        <v>2708265.0</v>
      </c>
      <c r="D2808" s="2"/>
      <c r="E2808" s="2" t="s">
        <v>34</v>
      </c>
      <c r="F2808" s="2" t="s">
        <v>432</v>
      </c>
      <c r="G2808" s="2"/>
      <c r="H2808" s="12">
        <v>0.0</v>
      </c>
      <c r="I2808" s="2" t="s">
        <v>40</v>
      </c>
      <c r="J2808" s="2"/>
      <c r="K2808" s="2" t="s">
        <v>7520</v>
      </c>
      <c r="L2808" s="12">
        <v>270.0</v>
      </c>
      <c r="M2808" s="2" t="s">
        <v>7521</v>
      </c>
      <c r="N2808" s="2" t="str">
        <f>IFERROR(__xludf.DUMMYFUNCTION("""COMPUTED_VALUE"""),"")</f>
        <v/>
      </c>
    </row>
    <row r="2809">
      <c r="A2809" s="2" t="s">
        <v>33</v>
      </c>
      <c r="B2809" s="12">
        <v>2708455.0</v>
      </c>
      <c r="C2809" s="12">
        <v>2709393.0</v>
      </c>
      <c r="D2809" s="2"/>
      <c r="E2809" s="2" t="s">
        <v>34</v>
      </c>
      <c r="F2809" s="2" t="s">
        <v>1113</v>
      </c>
      <c r="G2809" s="2"/>
      <c r="H2809" s="12">
        <v>0.0</v>
      </c>
      <c r="I2809" s="2" t="s">
        <v>40</v>
      </c>
      <c r="J2809" s="2"/>
      <c r="K2809" s="2" t="s">
        <v>7522</v>
      </c>
      <c r="L2809" s="12">
        <v>312.0</v>
      </c>
      <c r="M2809" s="2" t="s">
        <v>7523</v>
      </c>
      <c r="N2809" s="2" t="str">
        <f>IFERROR(__xludf.DUMMYFUNCTION("""COMPUTED_VALUE"""),"")</f>
        <v/>
      </c>
    </row>
    <row r="2810">
      <c r="A2810" s="2" t="s">
        <v>33</v>
      </c>
      <c r="B2810" s="12">
        <v>2709539.0</v>
      </c>
      <c r="C2810" s="12">
        <v>2710843.0</v>
      </c>
      <c r="D2810" s="2"/>
      <c r="E2810" s="2" t="s">
        <v>34</v>
      </c>
      <c r="F2810" s="2" t="s">
        <v>1265</v>
      </c>
      <c r="G2810" s="2"/>
      <c r="H2810" s="12">
        <v>0.0</v>
      </c>
      <c r="I2810" s="2" t="s">
        <v>40</v>
      </c>
      <c r="J2810" s="2"/>
      <c r="K2810" s="2" t="s">
        <v>7524</v>
      </c>
      <c r="L2810" s="12">
        <v>434.0</v>
      </c>
      <c r="M2810" s="2" t="s">
        <v>7525</v>
      </c>
      <c r="N2810" s="2" t="str">
        <f>IFERROR(__xludf.DUMMYFUNCTION("""COMPUTED_VALUE"""),"")</f>
        <v/>
      </c>
    </row>
    <row r="2811">
      <c r="A2811" s="2" t="s">
        <v>33</v>
      </c>
      <c r="B2811" s="12">
        <v>2710883.0</v>
      </c>
      <c r="C2811" s="12">
        <v>2711068.0</v>
      </c>
      <c r="D2811" s="2"/>
      <c r="E2811" s="2" t="s">
        <v>38</v>
      </c>
      <c r="F2811" s="2" t="s">
        <v>7526</v>
      </c>
      <c r="G2811" s="2"/>
      <c r="H2811" s="12">
        <v>0.0</v>
      </c>
      <c r="I2811" s="2" t="s">
        <v>40</v>
      </c>
      <c r="J2811" s="2"/>
      <c r="K2811" s="2" t="s">
        <v>7527</v>
      </c>
      <c r="L2811" s="12">
        <v>61.0</v>
      </c>
      <c r="M2811" s="2" t="s">
        <v>7528</v>
      </c>
      <c r="N2811" s="2" t="str">
        <f>IFERROR(__xludf.DUMMYFUNCTION("""COMPUTED_VALUE"""),"")</f>
        <v/>
      </c>
    </row>
    <row r="2812">
      <c r="A2812" s="2" t="s">
        <v>33</v>
      </c>
      <c r="B2812" s="12">
        <v>2711181.0</v>
      </c>
      <c r="C2812" s="12">
        <v>2711855.0</v>
      </c>
      <c r="D2812" s="2"/>
      <c r="E2812" s="2" t="s">
        <v>34</v>
      </c>
      <c r="F2812" s="2" t="s">
        <v>3281</v>
      </c>
      <c r="G2812" s="2"/>
      <c r="H2812" s="12">
        <v>0.0</v>
      </c>
      <c r="I2812" s="2" t="s">
        <v>40</v>
      </c>
      <c r="J2812" s="2"/>
      <c r="K2812" s="2" t="s">
        <v>7529</v>
      </c>
      <c r="L2812" s="12">
        <v>224.0</v>
      </c>
      <c r="M2812" s="2" t="s">
        <v>7530</v>
      </c>
      <c r="N2812" s="2" t="str">
        <f>IFERROR(__xludf.DUMMYFUNCTION("""COMPUTED_VALUE"""),"")</f>
        <v/>
      </c>
    </row>
    <row r="2813">
      <c r="A2813" s="2" t="s">
        <v>33</v>
      </c>
      <c r="B2813" s="12">
        <v>2711881.0</v>
      </c>
      <c r="C2813" s="12">
        <v>2712390.0</v>
      </c>
      <c r="D2813" s="2"/>
      <c r="E2813" s="2" t="s">
        <v>34</v>
      </c>
      <c r="F2813" s="2" t="s">
        <v>7531</v>
      </c>
      <c r="G2813" s="2"/>
      <c r="H2813" s="12">
        <v>0.0</v>
      </c>
      <c r="I2813" s="2" t="s">
        <v>40</v>
      </c>
      <c r="J2813" s="2"/>
      <c r="K2813" s="2" t="s">
        <v>7532</v>
      </c>
      <c r="L2813" s="12">
        <v>169.0</v>
      </c>
      <c r="M2813" s="2" t="s">
        <v>7533</v>
      </c>
      <c r="N2813" s="2" t="str">
        <f>IFERROR(__xludf.DUMMYFUNCTION("""COMPUTED_VALUE"""),"")</f>
        <v/>
      </c>
    </row>
    <row r="2814">
      <c r="A2814" s="2" t="s">
        <v>33</v>
      </c>
      <c r="B2814" s="12">
        <v>2712425.0</v>
      </c>
      <c r="C2814" s="12">
        <v>2714476.0</v>
      </c>
      <c r="D2814" s="2"/>
      <c r="E2814" s="2" t="s">
        <v>38</v>
      </c>
      <c r="F2814" s="2" t="s">
        <v>3260</v>
      </c>
      <c r="G2814" s="2"/>
      <c r="H2814" s="12">
        <v>0.0</v>
      </c>
      <c r="I2814" s="2" t="s">
        <v>40</v>
      </c>
      <c r="J2814" s="2"/>
      <c r="K2814" s="2" t="s">
        <v>7534</v>
      </c>
      <c r="L2814" s="12">
        <v>683.0</v>
      </c>
      <c r="M2814" s="2" t="s">
        <v>7535</v>
      </c>
      <c r="N2814" s="2" t="str">
        <f>IFERROR(__xludf.DUMMYFUNCTION("""COMPUTED_VALUE"""),"")</f>
        <v/>
      </c>
    </row>
    <row r="2815">
      <c r="A2815" s="2" t="s">
        <v>33</v>
      </c>
      <c r="B2815" s="12">
        <v>2714577.0</v>
      </c>
      <c r="C2815" s="12">
        <v>2715302.0</v>
      </c>
      <c r="D2815" s="2"/>
      <c r="E2815" s="2" t="s">
        <v>38</v>
      </c>
      <c r="F2815" s="2" t="s">
        <v>5605</v>
      </c>
      <c r="G2815" s="2"/>
      <c r="H2815" s="12">
        <v>0.0</v>
      </c>
      <c r="I2815" s="2" t="s">
        <v>40</v>
      </c>
      <c r="J2815" s="2"/>
      <c r="K2815" s="2" t="s">
        <v>7536</v>
      </c>
      <c r="L2815" s="12">
        <v>241.0</v>
      </c>
      <c r="M2815" s="2" t="s">
        <v>7537</v>
      </c>
      <c r="N2815" s="2" t="str">
        <f>IFERROR(__xludf.DUMMYFUNCTION("""COMPUTED_VALUE"""),"")</f>
        <v/>
      </c>
    </row>
    <row r="2816">
      <c r="A2816" s="2" t="s">
        <v>33</v>
      </c>
      <c r="B2816" s="12">
        <v>2715455.0</v>
      </c>
      <c r="C2816" s="12">
        <v>2715862.0</v>
      </c>
      <c r="D2816" s="2"/>
      <c r="E2816" s="2" t="s">
        <v>34</v>
      </c>
      <c r="F2816" s="2" t="s">
        <v>338</v>
      </c>
      <c r="G2816" s="2"/>
      <c r="H2816" s="12">
        <v>0.0</v>
      </c>
      <c r="I2816" s="2" t="s">
        <v>40</v>
      </c>
      <c r="J2816" s="2"/>
      <c r="K2816" s="2" t="s">
        <v>7538</v>
      </c>
      <c r="L2816" s="12">
        <v>135.0</v>
      </c>
      <c r="M2816" s="2" t="s">
        <v>7539</v>
      </c>
      <c r="N2816" s="2" t="str">
        <f>IFERROR(__xludf.DUMMYFUNCTION("""COMPUTED_VALUE"""),"")</f>
        <v/>
      </c>
    </row>
    <row r="2817">
      <c r="A2817" s="2" t="s">
        <v>33</v>
      </c>
      <c r="B2817" s="12">
        <v>2715868.0</v>
      </c>
      <c r="C2817" s="12">
        <v>2717031.0</v>
      </c>
      <c r="D2817" s="2"/>
      <c r="E2817" s="2" t="s">
        <v>34</v>
      </c>
      <c r="F2817" s="2" t="s">
        <v>88</v>
      </c>
      <c r="G2817" s="2"/>
      <c r="H2817" s="12">
        <v>0.0</v>
      </c>
      <c r="I2817" s="2" t="s">
        <v>40</v>
      </c>
      <c r="J2817" s="2"/>
      <c r="K2817" s="2" t="s">
        <v>7540</v>
      </c>
      <c r="L2817" s="12">
        <v>387.0</v>
      </c>
      <c r="M2817" s="2" t="s">
        <v>7541</v>
      </c>
      <c r="N2817" s="2" t="str">
        <f>IFERROR(__xludf.DUMMYFUNCTION("""COMPUTED_VALUE"""),"")</f>
        <v/>
      </c>
    </row>
    <row r="2818">
      <c r="A2818" s="2" t="s">
        <v>33</v>
      </c>
      <c r="B2818" s="12">
        <v>2717218.0</v>
      </c>
      <c r="C2818" s="12">
        <v>2718045.0</v>
      </c>
      <c r="D2818" s="2"/>
      <c r="E2818" s="2" t="s">
        <v>34</v>
      </c>
      <c r="F2818" s="2" t="s">
        <v>7542</v>
      </c>
      <c r="G2818" s="2" t="s">
        <v>7543</v>
      </c>
      <c r="H2818" s="12">
        <v>0.0</v>
      </c>
      <c r="I2818" s="2" t="s">
        <v>40</v>
      </c>
      <c r="J2818" s="2"/>
      <c r="K2818" s="2" t="s">
        <v>7544</v>
      </c>
      <c r="L2818" s="12">
        <v>275.0</v>
      </c>
      <c r="M2818" s="2" t="s">
        <v>7545</v>
      </c>
      <c r="N2818" s="2" t="str">
        <f>IFERROR(__xludf.DUMMYFUNCTION("""COMPUTED_VALUE"""),"")</f>
        <v/>
      </c>
    </row>
    <row r="2819">
      <c r="A2819" s="2" t="s">
        <v>33</v>
      </c>
      <c r="B2819" s="12">
        <v>2718263.0</v>
      </c>
      <c r="C2819" s="12">
        <v>2719135.0</v>
      </c>
      <c r="D2819" s="2"/>
      <c r="E2819" s="2" t="s">
        <v>34</v>
      </c>
      <c r="F2819" s="2" t="s">
        <v>7546</v>
      </c>
      <c r="G2819" s="2" t="s">
        <v>7547</v>
      </c>
      <c r="H2819" s="12">
        <v>0.0</v>
      </c>
      <c r="I2819" s="2" t="s">
        <v>40</v>
      </c>
      <c r="J2819" s="2"/>
      <c r="K2819" s="2" t="s">
        <v>7548</v>
      </c>
      <c r="L2819" s="12">
        <v>290.0</v>
      </c>
      <c r="M2819" s="2" t="s">
        <v>7549</v>
      </c>
      <c r="N2819" s="2" t="str">
        <f>IFERROR(__xludf.DUMMYFUNCTION("""COMPUTED_VALUE"""),"")</f>
        <v/>
      </c>
    </row>
    <row r="2820">
      <c r="A2820" s="2" t="s">
        <v>33</v>
      </c>
      <c r="B2820" s="12">
        <v>2719563.0</v>
      </c>
      <c r="C2820" s="12">
        <v>2720600.0</v>
      </c>
      <c r="D2820" s="2"/>
      <c r="E2820" s="2" t="s">
        <v>38</v>
      </c>
      <c r="F2820" s="2" t="s">
        <v>630</v>
      </c>
      <c r="G2820" s="2"/>
      <c r="H2820" s="12">
        <v>0.0</v>
      </c>
      <c r="I2820" s="2" t="s">
        <v>40</v>
      </c>
      <c r="J2820" s="2"/>
      <c r="K2820" s="2" t="s">
        <v>7550</v>
      </c>
      <c r="L2820" s="12">
        <v>345.0</v>
      </c>
      <c r="M2820" s="2" t="s">
        <v>7551</v>
      </c>
      <c r="N2820" s="2" t="str">
        <f>IFERROR(__xludf.DUMMYFUNCTION("""COMPUTED_VALUE"""),"")</f>
        <v/>
      </c>
    </row>
    <row r="2821">
      <c r="A2821" s="2" t="s">
        <v>33</v>
      </c>
      <c r="B2821" s="12">
        <v>2720834.0</v>
      </c>
      <c r="C2821" s="12">
        <v>2721196.0</v>
      </c>
      <c r="D2821" s="2"/>
      <c r="E2821" s="2" t="s">
        <v>34</v>
      </c>
      <c r="F2821" s="2" t="s">
        <v>519</v>
      </c>
      <c r="G2821" s="2"/>
      <c r="H2821" s="12">
        <v>0.0</v>
      </c>
      <c r="I2821" s="2" t="s">
        <v>40</v>
      </c>
      <c r="J2821" s="2"/>
      <c r="K2821" s="2" t="s">
        <v>7552</v>
      </c>
      <c r="L2821" s="12">
        <v>120.0</v>
      </c>
      <c r="M2821" s="2" t="s">
        <v>7553</v>
      </c>
      <c r="N2821" s="2" t="str">
        <f>IFERROR(__xludf.DUMMYFUNCTION("""COMPUTED_VALUE"""),"")</f>
        <v/>
      </c>
    </row>
    <row r="2822">
      <c r="A2822" s="2" t="s">
        <v>33</v>
      </c>
      <c r="B2822" s="12">
        <v>2721222.0</v>
      </c>
      <c r="C2822" s="12">
        <v>2722208.0</v>
      </c>
      <c r="D2822" s="2"/>
      <c r="E2822" s="2" t="s">
        <v>38</v>
      </c>
      <c r="F2822" s="2" t="s">
        <v>1846</v>
      </c>
      <c r="G2822" s="2"/>
      <c r="H2822" s="12">
        <v>0.0</v>
      </c>
      <c r="I2822" s="2" t="s">
        <v>40</v>
      </c>
      <c r="J2822" s="2"/>
      <c r="K2822" s="2" t="s">
        <v>7554</v>
      </c>
      <c r="L2822" s="12">
        <v>328.0</v>
      </c>
      <c r="M2822" s="2" t="s">
        <v>7555</v>
      </c>
      <c r="N2822" s="2" t="str">
        <f>IFERROR(__xludf.DUMMYFUNCTION("""COMPUTED_VALUE"""),"")</f>
        <v/>
      </c>
    </row>
    <row r="2823">
      <c r="A2823" s="2" t="s">
        <v>33</v>
      </c>
      <c r="B2823" s="12">
        <v>2722411.0</v>
      </c>
      <c r="C2823" s="12">
        <v>2722848.0</v>
      </c>
      <c r="D2823" s="2"/>
      <c r="E2823" s="2" t="s">
        <v>34</v>
      </c>
      <c r="F2823" s="2" t="s">
        <v>7556</v>
      </c>
      <c r="G2823" s="2"/>
      <c r="H2823" s="12">
        <v>0.0</v>
      </c>
      <c r="I2823" s="2" t="s">
        <v>40</v>
      </c>
      <c r="J2823" s="2"/>
      <c r="K2823" s="2" t="s">
        <v>7557</v>
      </c>
      <c r="L2823" s="12">
        <v>145.0</v>
      </c>
      <c r="M2823" s="2" t="s">
        <v>7558</v>
      </c>
      <c r="N2823" s="2" t="str">
        <f>IFERROR(__xludf.DUMMYFUNCTION("""COMPUTED_VALUE"""),"")</f>
        <v/>
      </c>
    </row>
    <row r="2824">
      <c r="A2824" s="2" t="s">
        <v>33</v>
      </c>
      <c r="B2824" s="12">
        <v>2722848.0</v>
      </c>
      <c r="C2824" s="12">
        <v>2724518.0</v>
      </c>
      <c r="D2824" s="2"/>
      <c r="E2824" s="2" t="s">
        <v>34</v>
      </c>
      <c r="F2824" s="2" t="s">
        <v>1238</v>
      </c>
      <c r="G2824" s="2" t="s">
        <v>1239</v>
      </c>
      <c r="H2824" s="12">
        <v>0.0</v>
      </c>
      <c r="I2824" s="2" t="s">
        <v>40</v>
      </c>
      <c r="J2824" s="2"/>
      <c r="K2824" s="2" t="s">
        <v>7559</v>
      </c>
      <c r="L2824" s="12">
        <v>556.0</v>
      </c>
      <c r="M2824" s="2" t="s">
        <v>7560</v>
      </c>
      <c r="N2824" s="2" t="str">
        <f>IFERROR(__xludf.DUMMYFUNCTION("""COMPUTED_VALUE"""),"")</f>
        <v/>
      </c>
    </row>
    <row r="2825">
      <c r="A2825" s="2" t="s">
        <v>33</v>
      </c>
      <c r="B2825" s="12">
        <v>2724794.0</v>
      </c>
      <c r="C2825" s="12">
        <v>2725321.0</v>
      </c>
      <c r="D2825" s="2"/>
      <c r="E2825" s="2" t="s">
        <v>34</v>
      </c>
      <c r="F2825" s="2" t="s">
        <v>2436</v>
      </c>
      <c r="G2825" s="2"/>
      <c r="H2825" s="12">
        <v>0.0</v>
      </c>
      <c r="I2825" s="2" t="s">
        <v>40</v>
      </c>
      <c r="J2825" s="2"/>
      <c r="K2825" s="2" t="s">
        <v>7561</v>
      </c>
      <c r="L2825" s="12">
        <v>175.0</v>
      </c>
      <c r="M2825" s="2" t="s">
        <v>7562</v>
      </c>
      <c r="N2825" s="2" t="str">
        <f>IFERROR(__xludf.DUMMYFUNCTION("""COMPUTED_VALUE"""),"")</f>
        <v/>
      </c>
    </row>
    <row r="2826">
      <c r="A2826" s="2" t="s">
        <v>33</v>
      </c>
      <c r="B2826" s="12">
        <v>2725308.0</v>
      </c>
      <c r="C2826" s="12">
        <v>2725613.0</v>
      </c>
      <c r="D2826" s="2"/>
      <c r="E2826" s="2" t="s">
        <v>34</v>
      </c>
      <c r="F2826" s="2" t="s">
        <v>7563</v>
      </c>
      <c r="G2826" s="2"/>
      <c r="H2826" s="12">
        <v>0.0</v>
      </c>
      <c r="I2826" s="2" t="s">
        <v>40</v>
      </c>
      <c r="J2826" s="2"/>
      <c r="K2826" s="2" t="s">
        <v>7564</v>
      </c>
      <c r="L2826" s="12">
        <v>101.0</v>
      </c>
      <c r="M2826" s="2" t="s">
        <v>7565</v>
      </c>
      <c r="N2826" s="2" t="str">
        <f>IFERROR(__xludf.DUMMYFUNCTION("""COMPUTED_VALUE"""),"")</f>
        <v/>
      </c>
    </row>
    <row r="2827">
      <c r="A2827" s="2" t="s">
        <v>33</v>
      </c>
      <c r="B2827" s="12">
        <v>2725606.0</v>
      </c>
      <c r="C2827" s="12">
        <v>2726277.0</v>
      </c>
      <c r="D2827" s="2"/>
      <c r="E2827" s="2" t="s">
        <v>34</v>
      </c>
      <c r="F2827" s="2" t="s">
        <v>7563</v>
      </c>
      <c r="G2827" s="2"/>
      <c r="H2827" s="12">
        <v>0.0</v>
      </c>
      <c r="I2827" s="2" t="s">
        <v>40</v>
      </c>
      <c r="J2827" s="2"/>
      <c r="K2827" s="2" t="s">
        <v>7566</v>
      </c>
      <c r="L2827" s="12">
        <v>223.0</v>
      </c>
      <c r="M2827" s="2" t="s">
        <v>7567</v>
      </c>
      <c r="N2827" s="2" t="str">
        <f>IFERROR(__xludf.DUMMYFUNCTION("""COMPUTED_VALUE"""),"")</f>
        <v/>
      </c>
    </row>
    <row r="2828">
      <c r="A2828" s="2" t="s">
        <v>33</v>
      </c>
      <c r="B2828" s="12">
        <v>2726304.0</v>
      </c>
      <c r="C2828" s="12">
        <v>2726678.0</v>
      </c>
      <c r="D2828" s="2"/>
      <c r="E2828" s="2" t="s">
        <v>38</v>
      </c>
      <c r="F2828" s="2" t="s">
        <v>39</v>
      </c>
      <c r="G2828" s="2"/>
      <c r="H2828" s="12">
        <v>0.0</v>
      </c>
      <c r="I2828" s="2" t="s">
        <v>40</v>
      </c>
      <c r="J2828" s="2"/>
      <c r="K2828" s="2" t="s">
        <v>7568</v>
      </c>
      <c r="L2828" s="12">
        <v>124.0</v>
      </c>
      <c r="M2828" s="2" t="s">
        <v>7569</v>
      </c>
      <c r="N2828" s="2" t="str">
        <f>IFERROR(__xludf.DUMMYFUNCTION("""COMPUTED_VALUE"""),"")</f>
        <v/>
      </c>
    </row>
    <row r="2829">
      <c r="A2829" s="2" t="s">
        <v>33</v>
      </c>
      <c r="B2829" s="12">
        <v>2726825.0</v>
      </c>
      <c r="C2829" s="12">
        <v>2728225.0</v>
      </c>
      <c r="D2829" s="2"/>
      <c r="E2829" s="2" t="s">
        <v>38</v>
      </c>
      <c r="F2829" s="2" t="s">
        <v>7570</v>
      </c>
      <c r="G2829" s="2"/>
      <c r="H2829" s="12">
        <v>0.0</v>
      </c>
      <c r="I2829" s="2" t="s">
        <v>40</v>
      </c>
      <c r="J2829" s="2"/>
      <c r="K2829" s="2" t="s">
        <v>7571</v>
      </c>
      <c r="L2829" s="12">
        <v>466.0</v>
      </c>
      <c r="M2829" s="2" t="s">
        <v>7572</v>
      </c>
      <c r="N2829" s="2" t="str">
        <f>IFERROR(__xludf.DUMMYFUNCTION("""COMPUTED_VALUE"""),"")</f>
        <v/>
      </c>
    </row>
    <row r="2830">
      <c r="A2830" s="2" t="s">
        <v>33</v>
      </c>
      <c r="B2830" s="12">
        <v>2728715.0</v>
      </c>
      <c r="C2830" s="12">
        <v>2738116.0</v>
      </c>
      <c r="D2830" s="2"/>
      <c r="E2830" s="2" t="s">
        <v>38</v>
      </c>
      <c r="F2830" s="2" t="s">
        <v>350</v>
      </c>
      <c r="G2830" s="2"/>
      <c r="H2830" s="12">
        <v>0.0</v>
      </c>
      <c r="I2830" s="2" t="s">
        <v>40</v>
      </c>
      <c r="J2830" s="2"/>
      <c r="K2830" s="2" t="s">
        <v>7573</v>
      </c>
      <c r="L2830" s="12">
        <v>3133.0</v>
      </c>
      <c r="M2830" s="2" t="s">
        <v>7574</v>
      </c>
      <c r="N2830" s="2" t="str">
        <f>IFERROR(__xludf.DUMMYFUNCTION("""COMPUTED_VALUE"""),"")</f>
        <v/>
      </c>
    </row>
    <row r="2831">
      <c r="A2831" s="2" t="s">
        <v>33</v>
      </c>
      <c r="B2831" s="12">
        <v>2738888.0</v>
      </c>
      <c r="C2831" s="12">
        <v>2739682.0</v>
      </c>
      <c r="D2831" s="2"/>
      <c r="E2831" s="2" t="s">
        <v>38</v>
      </c>
      <c r="F2831" s="2" t="s">
        <v>2904</v>
      </c>
      <c r="G2831" s="2" t="s">
        <v>6714</v>
      </c>
      <c r="H2831" s="12">
        <v>0.0</v>
      </c>
      <c r="I2831" s="2" t="s">
        <v>40</v>
      </c>
      <c r="J2831" s="2"/>
      <c r="K2831" s="2" t="s">
        <v>7575</v>
      </c>
      <c r="L2831" s="12">
        <v>264.0</v>
      </c>
      <c r="M2831" s="2" t="s">
        <v>7576</v>
      </c>
      <c r="N2831" s="2" t="str">
        <f>IFERROR(__xludf.DUMMYFUNCTION("""COMPUTED_VALUE"""),"")</f>
        <v/>
      </c>
    </row>
    <row r="2832">
      <c r="A2832" s="2" t="s">
        <v>33</v>
      </c>
      <c r="B2832" s="12">
        <v>2739840.0</v>
      </c>
      <c r="C2832" s="12">
        <v>2740742.0</v>
      </c>
      <c r="D2832" s="2"/>
      <c r="E2832" s="2" t="s">
        <v>34</v>
      </c>
      <c r="F2832" s="2" t="s">
        <v>432</v>
      </c>
      <c r="G2832" s="2"/>
      <c r="H2832" s="12">
        <v>0.0</v>
      </c>
      <c r="I2832" s="2" t="s">
        <v>40</v>
      </c>
      <c r="J2832" s="2"/>
      <c r="K2832" s="2" t="s">
        <v>7577</v>
      </c>
      <c r="L2832" s="12">
        <v>300.0</v>
      </c>
      <c r="M2832" s="2" t="s">
        <v>7578</v>
      </c>
      <c r="N2832" s="2" t="str">
        <f>IFERROR(__xludf.DUMMYFUNCTION("""COMPUTED_VALUE"""),"")</f>
        <v/>
      </c>
    </row>
    <row r="2833">
      <c r="A2833" s="2" t="s">
        <v>33</v>
      </c>
      <c r="B2833" s="12">
        <v>2740739.0</v>
      </c>
      <c r="C2833" s="12">
        <v>2741473.0</v>
      </c>
      <c r="D2833" s="2"/>
      <c r="E2833" s="2" t="s">
        <v>34</v>
      </c>
      <c r="F2833" s="2" t="s">
        <v>265</v>
      </c>
      <c r="G2833" s="2"/>
      <c r="H2833" s="12">
        <v>0.0</v>
      </c>
      <c r="I2833" s="2" t="s">
        <v>40</v>
      </c>
      <c r="J2833" s="2"/>
      <c r="K2833" s="2" t="s">
        <v>7579</v>
      </c>
      <c r="L2833" s="12">
        <v>244.0</v>
      </c>
      <c r="M2833" s="2" t="s">
        <v>7580</v>
      </c>
      <c r="N2833" s="2" t="str">
        <f>IFERROR(__xludf.DUMMYFUNCTION("""COMPUTED_VALUE"""),"")</f>
        <v/>
      </c>
    </row>
    <row r="2834">
      <c r="A2834" s="2" t="s">
        <v>33</v>
      </c>
      <c r="B2834" s="12">
        <v>2741474.0</v>
      </c>
      <c r="C2834" s="12">
        <v>2742604.0</v>
      </c>
      <c r="D2834" s="2"/>
      <c r="E2834" s="2" t="s">
        <v>34</v>
      </c>
      <c r="F2834" s="2" t="s">
        <v>2404</v>
      </c>
      <c r="G2834" s="2"/>
      <c r="H2834" s="12">
        <v>0.0</v>
      </c>
      <c r="I2834" s="2" t="s">
        <v>40</v>
      </c>
      <c r="J2834" s="2"/>
      <c r="K2834" s="2" t="s">
        <v>7581</v>
      </c>
      <c r="L2834" s="12">
        <v>376.0</v>
      </c>
      <c r="M2834" s="2" t="s">
        <v>7582</v>
      </c>
      <c r="N2834" s="2" t="str">
        <f>IFERROR(__xludf.DUMMYFUNCTION("""COMPUTED_VALUE"""),"")</f>
        <v/>
      </c>
    </row>
    <row r="2835">
      <c r="A2835" s="2" t="s">
        <v>33</v>
      </c>
      <c r="B2835" s="12">
        <v>2742601.0</v>
      </c>
      <c r="C2835" s="12">
        <v>2743225.0</v>
      </c>
      <c r="D2835" s="2"/>
      <c r="E2835" s="2" t="s">
        <v>34</v>
      </c>
      <c r="F2835" s="2" t="s">
        <v>35</v>
      </c>
      <c r="G2835" s="2"/>
      <c r="H2835" s="12">
        <v>0.0</v>
      </c>
      <c r="I2835" s="2" t="s">
        <v>36</v>
      </c>
      <c r="J2835" s="2"/>
      <c r="K2835" s="2"/>
      <c r="L2835" s="2"/>
      <c r="M2835" s="2" t="s">
        <v>7583</v>
      </c>
      <c r="N2835" s="2" t="str">
        <f>IFERROR(__xludf.DUMMYFUNCTION("""COMPUTED_VALUE"""),"")</f>
        <v/>
      </c>
    </row>
    <row r="2836">
      <c r="A2836" s="2" t="s">
        <v>33</v>
      </c>
      <c r="B2836" s="12">
        <v>2743265.0</v>
      </c>
      <c r="C2836" s="12">
        <v>2745016.0</v>
      </c>
      <c r="D2836" s="2"/>
      <c r="E2836" s="2" t="s">
        <v>38</v>
      </c>
      <c r="F2836" s="2" t="s">
        <v>362</v>
      </c>
      <c r="G2836" s="2"/>
      <c r="H2836" s="12">
        <v>0.0</v>
      </c>
      <c r="I2836" s="2" t="s">
        <v>40</v>
      </c>
      <c r="J2836" s="2"/>
      <c r="K2836" s="2" t="s">
        <v>7584</v>
      </c>
      <c r="L2836" s="12">
        <v>583.0</v>
      </c>
      <c r="M2836" s="2" t="s">
        <v>7585</v>
      </c>
      <c r="N2836" s="2" t="str">
        <f>IFERROR(__xludf.DUMMYFUNCTION("""COMPUTED_VALUE"""),"")</f>
        <v/>
      </c>
    </row>
    <row r="2837">
      <c r="A2837" s="2" t="s">
        <v>33</v>
      </c>
      <c r="B2837" s="12">
        <v>2745185.0</v>
      </c>
      <c r="C2837" s="12">
        <v>2746042.0</v>
      </c>
      <c r="D2837" s="2"/>
      <c r="E2837" s="2" t="s">
        <v>34</v>
      </c>
      <c r="F2837" s="2" t="s">
        <v>7586</v>
      </c>
      <c r="G2837" s="2" t="s">
        <v>7587</v>
      </c>
      <c r="H2837" s="12">
        <v>0.0</v>
      </c>
      <c r="I2837" s="2" t="s">
        <v>40</v>
      </c>
      <c r="J2837" s="2"/>
      <c r="K2837" s="2" t="s">
        <v>7588</v>
      </c>
      <c r="L2837" s="12">
        <v>285.0</v>
      </c>
      <c r="M2837" s="2" t="s">
        <v>7589</v>
      </c>
      <c r="N2837" s="2" t="str">
        <f>IFERROR(__xludf.DUMMYFUNCTION("""COMPUTED_VALUE"""),"")</f>
        <v/>
      </c>
    </row>
    <row r="2838">
      <c r="A2838" s="2" t="s">
        <v>33</v>
      </c>
      <c r="B2838" s="12">
        <v>2746130.0</v>
      </c>
      <c r="C2838" s="12">
        <v>2746276.0</v>
      </c>
      <c r="D2838" s="2"/>
      <c r="E2838" s="2" t="s">
        <v>34</v>
      </c>
      <c r="F2838" s="2" t="s">
        <v>7590</v>
      </c>
      <c r="G2838" s="2"/>
      <c r="H2838" s="12">
        <v>0.0</v>
      </c>
      <c r="I2838" s="2" t="s">
        <v>40</v>
      </c>
      <c r="J2838" s="2"/>
      <c r="K2838" s="2" t="s">
        <v>7591</v>
      </c>
      <c r="L2838" s="12">
        <v>48.0</v>
      </c>
      <c r="M2838" s="2" t="s">
        <v>7592</v>
      </c>
      <c r="N2838" s="2" t="str">
        <f>IFERROR(__xludf.DUMMYFUNCTION("""COMPUTED_VALUE"""),"")</f>
        <v/>
      </c>
    </row>
    <row r="2839">
      <c r="A2839" s="2" t="s">
        <v>33</v>
      </c>
      <c r="B2839" s="12">
        <v>2746293.0</v>
      </c>
      <c r="C2839" s="12">
        <v>2748971.0</v>
      </c>
      <c r="D2839" s="2"/>
      <c r="E2839" s="2" t="s">
        <v>38</v>
      </c>
      <c r="F2839" s="2" t="s">
        <v>7593</v>
      </c>
      <c r="G2839" s="2"/>
      <c r="H2839" s="12">
        <v>0.0</v>
      </c>
      <c r="I2839" s="2" t="s">
        <v>40</v>
      </c>
      <c r="J2839" s="2"/>
      <c r="K2839" s="2" t="s">
        <v>7594</v>
      </c>
      <c r="L2839" s="12">
        <v>892.0</v>
      </c>
      <c r="M2839" s="2" t="s">
        <v>7595</v>
      </c>
      <c r="N2839" s="2" t="str">
        <f>IFERROR(__xludf.DUMMYFUNCTION("""COMPUTED_VALUE"""),"")</f>
        <v/>
      </c>
    </row>
    <row r="2840">
      <c r="A2840" s="2" t="s">
        <v>33</v>
      </c>
      <c r="B2840" s="12">
        <v>2749095.0</v>
      </c>
      <c r="C2840" s="12">
        <v>2750048.0</v>
      </c>
      <c r="D2840" s="2"/>
      <c r="E2840" s="2" t="s">
        <v>38</v>
      </c>
      <c r="F2840" s="2" t="s">
        <v>6437</v>
      </c>
      <c r="G2840" s="2" t="s">
        <v>6438</v>
      </c>
      <c r="H2840" s="12">
        <v>0.0</v>
      </c>
      <c r="I2840" s="2" t="s">
        <v>40</v>
      </c>
      <c r="J2840" s="2"/>
      <c r="K2840" s="2" t="s">
        <v>7596</v>
      </c>
      <c r="L2840" s="12">
        <v>317.0</v>
      </c>
      <c r="M2840" s="2" t="s">
        <v>7597</v>
      </c>
      <c r="N2840" s="2" t="str">
        <f>IFERROR(__xludf.DUMMYFUNCTION("""COMPUTED_VALUE"""),"")</f>
        <v/>
      </c>
    </row>
    <row r="2841">
      <c r="A2841" s="2" t="s">
        <v>33</v>
      </c>
      <c r="B2841" s="12">
        <v>2750081.0</v>
      </c>
      <c r="C2841" s="12">
        <v>2751274.0</v>
      </c>
      <c r="D2841" s="2"/>
      <c r="E2841" s="2" t="s">
        <v>38</v>
      </c>
      <c r="F2841" s="2" t="s">
        <v>1587</v>
      </c>
      <c r="G2841" s="2" t="s">
        <v>1588</v>
      </c>
      <c r="H2841" s="12">
        <v>0.0</v>
      </c>
      <c r="I2841" s="2" t="s">
        <v>40</v>
      </c>
      <c r="J2841" s="2"/>
      <c r="K2841" s="2" t="s">
        <v>7598</v>
      </c>
      <c r="L2841" s="12">
        <v>397.0</v>
      </c>
      <c r="M2841" s="2" t="s">
        <v>7599</v>
      </c>
      <c r="N2841" s="2" t="str">
        <f>IFERROR(__xludf.DUMMYFUNCTION("""COMPUTED_VALUE"""),"")</f>
        <v/>
      </c>
    </row>
    <row r="2842">
      <c r="A2842" s="2" t="s">
        <v>33</v>
      </c>
      <c r="B2842" s="12">
        <v>2751721.0</v>
      </c>
      <c r="C2842" s="12">
        <v>2753832.0</v>
      </c>
      <c r="D2842" s="2"/>
      <c r="E2842" s="2" t="s">
        <v>34</v>
      </c>
      <c r="F2842" s="2" t="s">
        <v>3694</v>
      </c>
      <c r="G2842" s="2"/>
      <c r="H2842" s="12">
        <v>0.0</v>
      </c>
      <c r="I2842" s="2" t="s">
        <v>40</v>
      </c>
      <c r="J2842" s="2"/>
      <c r="K2842" s="2" t="s">
        <v>7600</v>
      </c>
      <c r="L2842" s="12">
        <v>703.0</v>
      </c>
      <c r="M2842" s="2" t="s">
        <v>7601</v>
      </c>
      <c r="N2842" s="2" t="str">
        <f>IFERROR(__xludf.DUMMYFUNCTION("""COMPUTED_VALUE"""),"")</f>
        <v/>
      </c>
    </row>
    <row r="2843">
      <c r="A2843" s="2" t="s">
        <v>33</v>
      </c>
      <c r="B2843" s="12">
        <v>2753842.0</v>
      </c>
      <c r="C2843" s="12">
        <v>2755125.0</v>
      </c>
      <c r="D2843" s="2"/>
      <c r="E2843" s="2" t="s">
        <v>34</v>
      </c>
      <c r="F2843" s="2" t="s">
        <v>7602</v>
      </c>
      <c r="G2843" s="2"/>
      <c r="H2843" s="12">
        <v>0.0</v>
      </c>
      <c r="I2843" s="2" t="s">
        <v>40</v>
      </c>
      <c r="J2843" s="2"/>
      <c r="K2843" s="2" t="s">
        <v>7603</v>
      </c>
      <c r="L2843" s="12">
        <v>427.0</v>
      </c>
      <c r="M2843" s="2" t="s">
        <v>7604</v>
      </c>
      <c r="N2843" s="2" t="str">
        <f>IFERROR(__xludf.DUMMYFUNCTION("""COMPUTED_VALUE"""),"")</f>
        <v/>
      </c>
    </row>
    <row r="2844">
      <c r="A2844" s="2" t="s">
        <v>33</v>
      </c>
      <c r="B2844" s="12">
        <v>2755174.0</v>
      </c>
      <c r="C2844" s="12">
        <v>2756025.0</v>
      </c>
      <c r="D2844" s="2"/>
      <c r="E2844" s="2" t="s">
        <v>34</v>
      </c>
      <c r="F2844" s="2" t="s">
        <v>7605</v>
      </c>
      <c r="G2844" s="2"/>
      <c r="H2844" s="12">
        <v>0.0</v>
      </c>
      <c r="I2844" s="2" t="s">
        <v>40</v>
      </c>
      <c r="J2844" s="2"/>
      <c r="K2844" s="2" t="s">
        <v>7606</v>
      </c>
      <c r="L2844" s="12">
        <v>283.0</v>
      </c>
      <c r="M2844" s="2" t="s">
        <v>7607</v>
      </c>
      <c r="N2844" s="2" t="str">
        <f>IFERROR(__xludf.DUMMYFUNCTION("""COMPUTED_VALUE"""),"")</f>
        <v/>
      </c>
    </row>
    <row r="2845">
      <c r="A2845" s="2" t="s">
        <v>33</v>
      </c>
      <c r="B2845" s="12">
        <v>2756099.0</v>
      </c>
      <c r="C2845" s="12">
        <v>2757229.0</v>
      </c>
      <c r="D2845" s="2"/>
      <c r="E2845" s="2" t="s">
        <v>34</v>
      </c>
      <c r="F2845" s="2" t="s">
        <v>418</v>
      </c>
      <c r="G2845" s="2"/>
      <c r="H2845" s="12">
        <v>0.0</v>
      </c>
      <c r="I2845" s="2" t="s">
        <v>40</v>
      </c>
      <c r="J2845" s="2"/>
      <c r="K2845" s="2" t="s">
        <v>7608</v>
      </c>
      <c r="L2845" s="12">
        <v>376.0</v>
      </c>
      <c r="M2845" s="2" t="s">
        <v>7609</v>
      </c>
      <c r="N2845" s="2" t="str">
        <f>IFERROR(__xludf.DUMMYFUNCTION("""COMPUTED_VALUE"""),"")</f>
        <v/>
      </c>
    </row>
    <row r="2846">
      <c r="A2846" s="2" t="s">
        <v>33</v>
      </c>
      <c r="B2846" s="12">
        <v>2757251.0</v>
      </c>
      <c r="C2846" s="12">
        <v>2758390.0</v>
      </c>
      <c r="D2846" s="2"/>
      <c r="E2846" s="2" t="s">
        <v>34</v>
      </c>
      <c r="F2846" s="2" t="s">
        <v>7610</v>
      </c>
      <c r="G2846" s="2" t="s">
        <v>7611</v>
      </c>
      <c r="H2846" s="12">
        <v>0.0</v>
      </c>
      <c r="I2846" s="2" t="s">
        <v>40</v>
      </c>
      <c r="J2846" s="2"/>
      <c r="K2846" s="2" t="s">
        <v>7612</v>
      </c>
      <c r="L2846" s="12">
        <v>379.0</v>
      </c>
      <c r="M2846" s="2" t="s">
        <v>7613</v>
      </c>
      <c r="N2846" s="2" t="str">
        <f>IFERROR(__xludf.DUMMYFUNCTION("""COMPUTED_VALUE"""),"")</f>
        <v/>
      </c>
    </row>
    <row r="2847">
      <c r="A2847" s="2" t="s">
        <v>33</v>
      </c>
      <c r="B2847" s="12">
        <v>2758457.0</v>
      </c>
      <c r="C2847" s="12">
        <v>2759086.0</v>
      </c>
      <c r="D2847" s="2"/>
      <c r="E2847" s="2" t="s">
        <v>34</v>
      </c>
      <c r="F2847" s="2" t="s">
        <v>427</v>
      </c>
      <c r="G2847" s="2"/>
      <c r="H2847" s="12">
        <v>0.0</v>
      </c>
      <c r="I2847" s="2" t="s">
        <v>40</v>
      </c>
      <c r="J2847" s="2"/>
      <c r="K2847" s="2" t="s">
        <v>7614</v>
      </c>
      <c r="L2847" s="12">
        <v>209.0</v>
      </c>
      <c r="M2847" s="2" t="s">
        <v>7615</v>
      </c>
      <c r="N2847" s="2" t="str">
        <f>IFERROR(__xludf.DUMMYFUNCTION("""COMPUTED_VALUE"""),"")</f>
        <v/>
      </c>
    </row>
    <row r="2848">
      <c r="A2848" s="2" t="s">
        <v>33</v>
      </c>
      <c r="B2848" s="12">
        <v>2759241.0</v>
      </c>
      <c r="C2848" s="12">
        <v>2759774.0</v>
      </c>
      <c r="D2848" s="2"/>
      <c r="E2848" s="2" t="s">
        <v>34</v>
      </c>
      <c r="F2848" s="2" t="s">
        <v>7616</v>
      </c>
      <c r="G2848" s="2" t="s">
        <v>7617</v>
      </c>
      <c r="H2848" s="12">
        <v>0.0</v>
      </c>
      <c r="I2848" s="2" t="s">
        <v>40</v>
      </c>
      <c r="J2848" s="2"/>
      <c r="K2848" s="2" t="s">
        <v>7618</v>
      </c>
      <c r="L2848" s="12">
        <v>177.0</v>
      </c>
      <c r="M2848" s="2" t="s">
        <v>7619</v>
      </c>
      <c r="N2848" s="2" t="str">
        <f>IFERROR(__xludf.DUMMYFUNCTION("""COMPUTED_VALUE"""),"")</f>
        <v/>
      </c>
    </row>
    <row r="2849">
      <c r="A2849" s="2" t="s">
        <v>33</v>
      </c>
      <c r="B2849" s="12">
        <v>2760032.0</v>
      </c>
      <c r="C2849" s="12">
        <v>2761639.0</v>
      </c>
      <c r="D2849" s="2"/>
      <c r="E2849" s="2" t="s">
        <v>34</v>
      </c>
      <c r="F2849" s="2" t="s">
        <v>7620</v>
      </c>
      <c r="G2849" s="2" t="s">
        <v>7621</v>
      </c>
      <c r="H2849" s="12">
        <v>0.0</v>
      </c>
      <c r="I2849" s="2" t="s">
        <v>40</v>
      </c>
      <c r="J2849" s="2"/>
      <c r="K2849" s="2" t="s">
        <v>7622</v>
      </c>
      <c r="L2849" s="12">
        <v>535.0</v>
      </c>
      <c r="M2849" s="2" t="s">
        <v>7623</v>
      </c>
      <c r="N2849" s="2" t="str">
        <f>IFERROR(__xludf.DUMMYFUNCTION("""COMPUTED_VALUE"""),"")</f>
        <v/>
      </c>
    </row>
    <row r="2850">
      <c r="A2850" s="2" t="s">
        <v>33</v>
      </c>
      <c r="B2850" s="12">
        <v>2761671.0</v>
      </c>
      <c r="C2850" s="12">
        <v>2762195.0</v>
      </c>
      <c r="D2850" s="2"/>
      <c r="E2850" s="2" t="s">
        <v>38</v>
      </c>
      <c r="F2850" s="2" t="s">
        <v>7624</v>
      </c>
      <c r="G2850" s="2"/>
      <c r="H2850" s="12">
        <v>0.0</v>
      </c>
      <c r="I2850" s="2" t="s">
        <v>40</v>
      </c>
      <c r="J2850" s="2"/>
      <c r="K2850" s="2" t="s">
        <v>7625</v>
      </c>
      <c r="L2850" s="12">
        <v>174.0</v>
      </c>
      <c r="M2850" s="2" t="s">
        <v>7626</v>
      </c>
      <c r="N2850" s="2" t="str">
        <f>IFERROR(__xludf.DUMMYFUNCTION("""COMPUTED_VALUE"""),"")</f>
        <v/>
      </c>
    </row>
    <row r="2851">
      <c r="A2851" s="2" t="s">
        <v>33</v>
      </c>
      <c r="B2851" s="12">
        <v>2762397.0</v>
      </c>
      <c r="C2851" s="12">
        <v>2762765.0</v>
      </c>
      <c r="D2851" s="2"/>
      <c r="E2851" s="2" t="s">
        <v>34</v>
      </c>
      <c r="F2851" s="2" t="s">
        <v>7627</v>
      </c>
      <c r="G2851" s="2" t="s">
        <v>7628</v>
      </c>
      <c r="H2851" s="12">
        <v>0.0</v>
      </c>
      <c r="I2851" s="2" t="s">
        <v>40</v>
      </c>
      <c r="J2851" s="2"/>
      <c r="K2851" s="2" t="s">
        <v>7629</v>
      </c>
      <c r="L2851" s="12">
        <v>122.0</v>
      </c>
      <c r="M2851" s="2" t="s">
        <v>7630</v>
      </c>
      <c r="N2851" s="2" t="str">
        <f>IFERROR(__xludf.DUMMYFUNCTION("""COMPUTED_VALUE"""),"")</f>
        <v/>
      </c>
    </row>
    <row r="2852">
      <c r="A2852" s="2" t="s">
        <v>33</v>
      </c>
      <c r="B2852" s="12">
        <v>2762976.0</v>
      </c>
      <c r="C2852" s="12">
        <v>2763833.0</v>
      </c>
      <c r="D2852" s="2"/>
      <c r="E2852" s="2" t="s">
        <v>34</v>
      </c>
      <c r="F2852" s="2" t="s">
        <v>7631</v>
      </c>
      <c r="G2852" s="2"/>
      <c r="H2852" s="12">
        <v>0.0</v>
      </c>
      <c r="I2852" s="2" t="s">
        <v>40</v>
      </c>
      <c r="J2852" s="2"/>
      <c r="K2852" s="2" t="s">
        <v>7632</v>
      </c>
      <c r="L2852" s="12">
        <v>285.0</v>
      </c>
      <c r="M2852" s="2" t="s">
        <v>7633</v>
      </c>
      <c r="N2852" s="2" t="str">
        <f>IFERROR(__xludf.DUMMYFUNCTION("""COMPUTED_VALUE"""),"")</f>
        <v/>
      </c>
    </row>
    <row r="2853">
      <c r="A2853" s="2" t="s">
        <v>33</v>
      </c>
      <c r="B2853" s="12">
        <v>2764166.0</v>
      </c>
      <c r="C2853" s="12">
        <v>2765455.0</v>
      </c>
      <c r="D2853" s="2"/>
      <c r="E2853" s="2" t="s">
        <v>34</v>
      </c>
      <c r="F2853" s="2" t="s">
        <v>7634</v>
      </c>
      <c r="G2853" s="2" t="s">
        <v>7635</v>
      </c>
      <c r="H2853" s="12">
        <v>0.0</v>
      </c>
      <c r="I2853" s="2" t="s">
        <v>40</v>
      </c>
      <c r="J2853" s="2"/>
      <c r="K2853" s="2" t="s">
        <v>7636</v>
      </c>
      <c r="L2853" s="12">
        <v>429.0</v>
      </c>
      <c r="M2853" s="2" t="s">
        <v>7637</v>
      </c>
      <c r="N2853" s="2" t="str">
        <f>IFERROR(__xludf.DUMMYFUNCTION("""COMPUTED_VALUE"""),"")</f>
        <v/>
      </c>
    </row>
    <row r="2854">
      <c r="A2854" s="2" t="s">
        <v>33</v>
      </c>
      <c r="B2854" s="12">
        <v>2765572.0</v>
      </c>
      <c r="C2854" s="12">
        <v>2766537.0</v>
      </c>
      <c r="D2854" s="2"/>
      <c r="E2854" s="2" t="s">
        <v>34</v>
      </c>
      <c r="F2854" s="2" t="s">
        <v>7638</v>
      </c>
      <c r="G2854" s="2" t="s">
        <v>7639</v>
      </c>
      <c r="H2854" s="12">
        <v>0.0</v>
      </c>
      <c r="I2854" s="2" t="s">
        <v>40</v>
      </c>
      <c r="J2854" s="2"/>
      <c r="K2854" s="2" t="s">
        <v>7640</v>
      </c>
      <c r="L2854" s="12">
        <v>321.0</v>
      </c>
      <c r="M2854" s="2" t="s">
        <v>7641</v>
      </c>
      <c r="N2854" s="2" t="str">
        <f>IFERROR(__xludf.DUMMYFUNCTION("""COMPUTED_VALUE"""),"")</f>
        <v/>
      </c>
    </row>
    <row r="2855">
      <c r="A2855" s="2" t="s">
        <v>33</v>
      </c>
      <c r="B2855" s="12">
        <v>2766932.0</v>
      </c>
      <c r="C2855" s="12">
        <v>2768203.0</v>
      </c>
      <c r="D2855" s="2"/>
      <c r="E2855" s="2" t="s">
        <v>34</v>
      </c>
      <c r="F2855" s="2" t="s">
        <v>7642</v>
      </c>
      <c r="G2855" s="2" t="s">
        <v>7643</v>
      </c>
      <c r="H2855" s="12">
        <v>0.0</v>
      </c>
      <c r="I2855" s="2" t="s">
        <v>40</v>
      </c>
      <c r="J2855" s="2"/>
      <c r="K2855" s="2" t="s">
        <v>7644</v>
      </c>
      <c r="L2855" s="12">
        <v>423.0</v>
      </c>
      <c r="M2855" s="2" t="s">
        <v>7645</v>
      </c>
      <c r="N2855" s="2" t="str">
        <f>IFERROR(__xludf.DUMMYFUNCTION("""COMPUTED_VALUE"""),"")</f>
        <v/>
      </c>
    </row>
    <row r="2856">
      <c r="A2856" s="2" t="s">
        <v>33</v>
      </c>
      <c r="B2856" s="12">
        <v>2768932.0</v>
      </c>
      <c r="C2856" s="12">
        <v>2769177.0</v>
      </c>
      <c r="D2856" s="2"/>
      <c r="E2856" s="2" t="s">
        <v>34</v>
      </c>
      <c r="F2856" s="2" t="s">
        <v>7646</v>
      </c>
      <c r="G2856" s="2"/>
      <c r="H2856" s="12">
        <v>0.0</v>
      </c>
      <c r="I2856" s="2" t="s">
        <v>40</v>
      </c>
      <c r="J2856" s="2"/>
      <c r="K2856" s="2" t="s">
        <v>7647</v>
      </c>
      <c r="L2856" s="12">
        <v>81.0</v>
      </c>
      <c r="M2856" s="2" t="s">
        <v>7648</v>
      </c>
      <c r="N2856" s="2" t="str">
        <f>IFERROR(__xludf.DUMMYFUNCTION("""COMPUTED_VALUE"""),"")</f>
        <v/>
      </c>
    </row>
    <row r="2857">
      <c r="A2857" s="2" t="s">
        <v>33</v>
      </c>
      <c r="B2857" s="12">
        <v>2769286.0</v>
      </c>
      <c r="C2857" s="12">
        <v>2769873.0</v>
      </c>
      <c r="D2857" s="2"/>
      <c r="E2857" s="2" t="s">
        <v>34</v>
      </c>
      <c r="F2857" s="2" t="s">
        <v>7649</v>
      </c>
      <c r="G2857" s="2"/>
      <c r="H2857" s="12">
        <v>0.0</v>
      </c>
      <c r="I2857" s="2" t="s">
        <v>40</v>
      </c>
      <c r="J2857" s="2"/>
      <c r="K2857" s="2" t="s">
        <v>7650</v>
      </c>
      <c r="L2857" s="12">
        <v>195.0</v>
      </c>
      <c r="M2857" s="2" t="s">
        <v>7651</v>
      </c>
      <c r="N2857" s="2" t="str">
        <f>IFERROR(__xludf.DUMMYFUNCTION("""COMPUTED_VALUE"""),"")</f>
        <v/>
      </c>
    </row>
    <row r="2858">
      <c r="A2858" s="2" t="s">
        <v>33</v>
      </c>
      <c r="B2858" s="12">
        <v>2770387.0</v>
      </c>
      <c r="C2858" s="12">
        <v>2771454.0</v>
      </c>
      <c r="D2858" s="2"/>
      <c r="E2858" s="2" t="s">
        <v>34</v>
      </c>
      <c r="F2858" s="2" t="s">
        <v>7652</v>
      </c>
      <c r="G2858" s="2" t="s">
        <v>7653</v>
      </c>
      <c r="H2858" s="12">
        <v>0.0</v>
      </c>
      <c r="I2858" s="2" t="s">
        <v>40</v>
      </c>
      <c r="J2858" s="2"/>
      <c r="K2858" s="2" t="s">
        <v>7654</v>
      </c>
      <c r="L2858" s="12">
        <v>355.0</v>
      </c>
      <c r="M2858" s="2" t="s">
        <v>7655</v>
      </c>
      <c r="N2858" s="2" t="str">
        <f>IFERROR(__xludf.DUMMYFUNCTION("""COMPUTED_VALUE"""),"")</f>
        <v/>
      </c>
    </row>
    <row r="2859">
      <c r="A2859" s="2" t="s">
        <v>33</v>
      </c>
      <c r="B2859" s="12">
        <v>2771454.0</v>
      </c>
      <c r="C2859" s="12">
        <v>2772305.0</v>
      </c>
      <c r="D2859" s="2"/>
      <c r="E2859" s="2" t="s">
        <v>34</v>
      </c>
      <c r="F2859" s="2" t="s">
        <v>7656</v>
      </c>
      <c r="G2859" s="2" t="s">
        <v>7657</v>
      </c>
      <c r="H2859" s="12">
        <v>0.0</v>
      </c>
      <c r="I2859" s="2" t="s">
        <v>40</v>
      </c>
      <c r="J2859" s="2"/>
      <c r="K2859" s="2" t="s">
        <v>7658</v>
      </c>
      <c r="L2859" s="12">
        <v>283.0</v>
      </c>
      <c r="M2859" s="2" t="s">
        <v>7659</v>
      </c>
      <c r="N2859" s="2" t="str">
        <f>IFERROR(__xludf.DUMMYFUNCTION("""COMPUTED_VALUE"""),"")</f>
        <v/>
      </c>
    </row>
    <row r="2860">
      <c r="A2860" s="2" t="s">
        <v>33</v>
      </c>
      <c r="B2860" s="12">
        <v>2772418.0</v>
      </c>
      <c r="C2860" s="12">
        <v>2773284.0</v>
      </c>
      <c r="D2860" s="2"/>
      <c r="E2860" s="2" t="s">
        <v>34</v>
      </c>
      <c r="F2860" s="2" t="s">
        <v>7660</v>
      </c>
      <c r="G2860" s="2" t="s">
        <v>7661</v>
      </c>
      <c r="H2860" s="12">
        <v>0.0</v>
      </c>
      <c r="I2860" s="2" t="s">
        <v>40</v>
      </c>
      <c r="J2860" s="2"/>
      <c r="K2860" s="2" t="s">
        <v>7662</v>
      </c>
      <c r="L2860" s="12">
        <v>288.0</v>
      </c>
      <c r="M2860" s="2" t="s">
        <v>7663</v>
      </c>
      <c r="N2860" s="2" t="str">
        <f>IFERROR(__xludf.DUMMYFUNCTION("""COMPUTED_VALUE"""),"")</f>
        <v/>
      </c>
    </row>
    <row r="2861">
      <c r="A2861" s="2" t="s">
        <v>33</v>
      </c>
      <c r="B2861" s="12">
        <v>2773334.0</v>
      </c>
      <c r="C2861" s="12">
        <v>2773792.0</v>
      </c>
      <c r="D2861" s="2"/>
      <c r="E2861" s="2" t="s">
        <v>34</v>
      </c>
      <c r="F2861" s="2" t="s">
        <v>7664</v>
      </c>
      <c r="G2861" s="2"/>
      <c r="H2861" s="12">
        <v>0.0</v>
      </c>
      <c r="I2861" s="2" t="s">
        <v>40</v>
      </c>
      <c r="J2861" s="2"/>
      <c r="K2861" s="2" t="s">
        <v>7665</v>
      </c>
      <c r="L2861" s="12">
        <v>152.0</v>
      </c>
      <c r="M2861" s="2" t="s">
        <v>7666</v>
      </c>
      <c r="N2861" s="2" t="str">
        <f>IFERROR(__xludf.DUMMYFUNCTION("""COMPUTED_VALUE"""),"")</f>
        <v/>
      </c>
    </row>
    <row r="2862">
      <c r="A2862" s="2" t="s">
        <v>33</v>
      </c>
      <c r="B2862" s="12">
        <v>2773901.0</v>
      </c>
      <c r="C2862" s="12">
        <v>2774941.0</v>
      </c>
      <c r="D2862" s="2"/>
      <c r="E2862" s="2" t="s">
        <v>34</v>
      </c>
      <c r="F2862" s="2" t="s">
        <v>7667</v>
      </c>
      <c r="G2862" s="2"/>
      <c r="H2862" s="12">
        <v>0.0</v>
      </c>
      <c r="I2862" s="2" t="s">
        <v>40</v>
      </c>
      <c r="J2862" s="2"/>
      <c r="K2862" s="2" t="s">
        <v>7668</v>
      </c>
      <c r="L2862" s="12">
        <v>346.0</v>
      </c>
      <c r="M2862" s="2" t="s">
        <v>7669</v>
      </c>
      <c r="N2862" s="2" t="str">
        <f>IFERROR(__xludf.DUMMYFUNCTION("""COMPUTED_VALUE"""),"")</f>
        <v/>
      </c>
    </row>
    <row r="2863">
      <c r="A2863" s="2" t="s">
        <v>33</v>
      </c>
      <c r="B2863" s="12">
        <v>2775019.0</v>
      </c>
      <c r="C2863" s="12">
        <v>2775567.0</v>
      </c>
      <c r="D2863" s="2"/>
      <c r="E2863" s="2" t="s">
        <v>34</v>
      </c>
      <c r="F2863" s="2" t="s">
        <v>7670</v>
      </c>
      <c r="G2863" s="2"/>
      <c r="H2863" s="12">
        <v>0.0</v>
      </c>
      <c r="I2863" s="2" t="s">
        <v>40</v>
      </c>
      <c r="J2863" s="2"/>
      <c r="K2863" s="2" t="s">
        <v>7671</v>
      </c>
      <c r="L2863" s="12">
        <v>182.0</v>
      </c>
      <c r="M2863" s="2" t="s">
        <v>7672</v>
      </c>
      <c r="N2863" s="2" t="str">
        <f>IFERROR(__xludf.DUMMYFUNCTION("""COMPUTED_VALUE"""),"")</f>
        <v/>
      </c>
    </row>
    <row r="2864">
      <c r="A2864" s="2" t="s">
        <v>33</v>
      </c>
      <c r="B2864" s="12">
        <v>2775587.0</v>
      </c>
      <c r="C2864" s="12">
        <v>2775718.0</v>
      </c>
      <c r="D2864" s="2"/>
      <c r="E2864" s="2" t="s">
        <v>34</v>
      </c>
      <c r="F2864" s="2" t="s">
        <v>39</v>
      </c>
      <c r="G2864" s="2"/>
      <c r="H2864" s="12">
        <v>0.0</v>
      </c>
      <c r="I2864" s="2" t="s">
        <v>40</v>
      </c>
      <c r="J2864" s="2"/>
      <c r="K2864" s="2" t="s">
        <v>7673</v>
      </c>
      <c r="L2864" s="12">
        <v>43.0</v>
      </c>
      <c r="M2864" s="2" t="s">
        <v>7674</v>
      </c>
      <c r="N2864" s="2" t="str">
        <f>IFERROR(__xludf.DUMMYFUNCTION("""COMPUTED_VALUE"""),"")</f>
        <v/>
      </c>
    </row>
    <row r="2865">
      <c r="A2865" s="2" t="s">
        <v>33</v>
      </c>
      <c r="B2865" s="12">
        <v>2775798.0</v>
      </c>
      <c r="C2865" s="12">
        <v>2776076.0</v>
      </c>
      <c r="D2865" s="2"/>
      <c r="E2865" s="2" t="s">
        <v>34</v>
      </c>
      <c r="F2865" s="2" t="s">
        <v>7675</v>
      </c>
      <c r="G2865" s="2"/>
      <c r="H2865" s="12">
        <v>0.0</v>
      </c>
      <c r="I2865" s="2" t="s">
        <v>40</v>
      </c>
      <c r="J2865" s="2"/>
      <c r="K2865" s="2" t="s">
        <v>7676</v>
      </c>
      <c r="L2865" s="12">
        <v>92.0</v>
      </c>
      <c r="M2865" s="2" t="s">
        <v>7677</v>
      </c>
      <c r="N2865" s="2" t="str">
        <f>IFERROR(__xludf.DUMMYFUNCTION("""COMPUTED_VALUE"""),"")</f>
        <v/>
      </c>
    </row>
    <row r="2866">
      <c r="A2866" s="2" t="s">
        <v>33</v>
      </c>
      <c r="B2866" s="12">
        <v>2776270.0</v>
      </c>
      <c r="C2866" s="12">
        <v>2776881.0</v>
      </c>
      <c r="D2866" s="2"/>
      <c r="E2866" s="2" t="s">
        <v>38</v>
      </c>
      <c r="F2866" s="2" t="s">
        <v>7678</v>
      </c>
      <c r="G2866" s="2"/>
      <c r="H2866" s="12">
        <v>0.0</v>
      </c>
      <c r="I2866" s="2" t="s">
        <v>40</v>
      </c>
      <c r="J2866" s="2"/>
      <c r="K2866" s="2" t="s">
        <v>7679</v>
      </c>
      <c r="L2866" s="12">
        <v>203.0</v>
      </c>
      <c r="M2866" s="2" t="s">
        <v>7680</v>
      </c>
      <c r="N2866" s="2" t="str">
        <f>IFERROR(__xludf.DUMMYFUNCTION("""COMPUTED_VALUE"""),"")</f>
        <v/>
      </c>
    </row>
    <row r="2867">
      <c r="A2867" s="2" t="s">
        <v>33</v>
      </c>
      <c r="B2867" s="12">
        <v>2777040.0</v>
      </c>
      <c r="C2867" s="12">
        <v>2777426.0</v>
      </c>
      <c r="D2867" s="2"/>
      <c r="E2867" s="2" t="s">
        <v>38</v>
      </c>
      <c r="F2867" s="2" t="s">
        <v>4930</v>
      </c>
      <c r="G2867" s="2"/>
      <c r="H2867" s="12">
        <v>0.0</v>
      </c>
      <c r="I2867" s="2" t="s">
        <v>40</v>
      </c>
      <c r="J2867" s="2"/>
      <c r="K2867" s="2" t="s">
        <v>7681</v>
      </c>
      <c r="L2867" s="12">
        <v>128.0</v>
      </c>
      <c r="M2867" s="2" t="s">
        <v>7682</v>
      </c>
      <c r="N2867" s="2" t="str">
        <f>IFERROR(__xludf.DUMMYFUNCTION("""COMPUTED_VALUE"""),"")</f>
        <v/>
      </c>
    </row>
    <row r="2868">
      <c r="A2868" s="2" t="s">
        <v>33</v>
      </c>
      <c r="B2868" s="12">
        <v>2777813.0</v>
      </c>
      <c r="C2868" s="12">
        <v>2778310.0</v>
      </c>
      <c r="D2868" s="2"/>
      <c r="E2868" s="2" t="s">
        <v>34</v>
      </c>
      <c r="F2868" s="2" t="s">
        <v>7683</v>
      </c>
      <c r="G2868" s="2"/>
      <c r="H2868" s="12">
        <v>0.0</v>
      </c>
      <c r="I2868" s="2" t="s">
        <v>40</v>
      </c>
      <c r="J2868" s="2"/>
      <c r="K2868" s="2" t="s">
        <v>7684</v>
      </c>
      <c r="L2868" s="12">
        <v>165.0</v>
      </c>
      <c r="M2868" s="2" t="s">
        <v>7685</v>
      </c>
      <c r="N2868" s="2" t="str">
        <f>IFERROR(__xludf.DUMMYFUNCTION("""COMPUTED_VALUE"""),"")</f>
        <v/>
      </c>
    </row>
    <row r="2869">
      <c r="A2869" s="2" t="s">
        <v>33</v>
      </c>
      <c r="B2869" s="12">
        <v>2778553.0</v>
      </c>
      <c r="C2869" s="12">
        <v>2778993.0</v>
      </c>
      <c r="D2869" s="2"/>
      <c r="E2869" s="2" t="s">
        <v>34</v>
      </c>
      <c r="F2869" s="2" t="s">
        <v>7686</v>
      </c>
      <c r="G2869" s="2"/>
      <c r="H2869" s="12">
        <v>0.0</v>
      </c>
      <c r="I2869" s="2" t="s">
        <v>40</v>
      </c>
      <c r="J2869" s="2"/>
      <c r="K2869" s="2" t="s">
        <v>7687</v>
      </c>
      <c r="L2869" s="12">
        <v>146.0</v>
      </c>
      <c r="M2869" s="2" t="s">
        <v>7688</v>
      </c>
      <c r="N2869" s="2" t="str">
        <f>IFERROR(__xludf.DUMMYFUNCTION("""COMPUTED_VALUE"""),"")</f>
        <v/>
      </c>
    </row>
    <row r="2870">
      <c r="A2870" s="2" t="s">
        <v>33</v>
      </c>
      <c r="B2870" s="12">
        <v>2779091.0</v>
      </c>
      <c r="C2870" s="12">
        <v>2779534.0</v>
      </c>
      <c r="D2870" s="2"/>
      <c r="E2870" s="2" t="s">
        <v>34</v>
      </c>
      <c r="F2870" s="2" t="s">
        <v>7689</v>
      </c>
      <c r="G2870" s="2" t="s">
        <v>7690</v>
      </c>
      <c r="H2870" s="12">
        <v>0.0</v>
      </c>
      <c r="I2870" s="2" t="s">
        <v>40</v>
      </c>
      <c r="J2870" s="2"/>
      <c r="K2870" s="2" t="s">
        <v>7691</v>
      </c>
      <c r="L2870" s="12">
        <v>147.0</v>
      </c>
      <c r="M2870" s="2" t="s">
        <v>7692</v>
      </c>
      <c r="N2870" s="2" t="str">
        <f>IFERROR(__xludf.DUMMYFUNCTION("""COMPUTED_VALUE"""),"")</f>
        <v/>
      </c>
    </row>
    <row r="2871">
      <c r="A2871" s="2" t="s">
        <v>33</v>
      </c>
      <c r="B2871" s="12">
        <v>2779601.0</v>
      </c>
      <c r="C2871" s="12">
        <v>2780173.0</v>
      </c>
      <c r="D2871" s="2"/>
      <c r="E2871" s="2" t="s">
        <v>34</v>
      </c>
      <c r="F2871" s="2" t="s">
        <v>7693</v>
      </c>
      <c r="G2871" s="2"/>
      <c r="H2871" s="12">
        <v>0.0</v>
      </c>
      <c r="I2871" s="2" t="s">
        <v>40</v>
      </c>
      <c r="J2871" s="2"/>
      <c r="K2871" s="2" t="s">
        <v>7694</v>
      </c>
      <c r="L2871" s="12">
        <v>190.0</v>
      </c>
      <c r="M2871" s="2" t="s">
        <v>7695</v>
      </c>
      <c r="N2871" s="2" t="str">
        <f>IFERROR(__xludf.DUMMYFUNCTION("""COMPUTED_VALUE"""),"")</f>
        <v/>
      </c>
    </row>
    <row r="2872">
      <c r="A2872" s="2" t="s">
        <v>33</v>
      </c>
      <c r="B2872" s="12">
        <v>2780427.0</v>
      </c>
      <c r="C2872" s="12">
        <v>2781668.0</v>
      </c>
      <c r="D2872" s="2"/>
      <c r="E2872" s="2" t="s">
        <v>34</v>
      </c>
      <c r="F2872" s="2" t="s">
        <v>7696</v>
      </c>
      <c r="G2872" s="2" t="s">
        <v>7697</v>
      </c>
      <c r="H2872" s="12">
        <v>0.0</v>
      </c>
      <c r="I2872" s="2" t="s">
        <v>40</v>
      </c>
      <c r="J2872" s="2"/>
      <c r="K2872" s="2" t="s">
        <v>7698</v>
      </c>
      <c r="L2872" s="12">
        <v>413.0</v>
      </c>
      <c r="M2872" s="2" t="s">
        <v>7699</v>
      </c>
      <c r="N2872" s="2" t="str">
        <f>IFERROR(__xludf.DUMMYFUNCTION("""COMPUTED_VALUE"""),"")</f>
        <v/>
      </c>
    </row>
    <row r="2873">
      <c r="A2873" s="2" t="s">
        <v>33</v>
      </c>
      <c r="B2873" s="12">
        <v>2781941.0</v>
      </c>
      <c r="C2873" s="12">
        <v>2782570.0</v>
      </c>
      <c r="D2873" s="2"/>
      <c r="E2873" s="2" t="s">
        <v>34</v>
      </c>
      <c r="F2873" s="2" t="s">
        <v>7700</v>
      </c>
      <c r="G2873" s="2" t="s">
        <v>7701</v>
      </c>
      <c r="H2873" s="12">
        <v>0.0</v>
      </c>
      <c r="I2873" s="2" t="s">
        <v>40</v>
      </c>
      <c r="J2873" s="2"/>
      <c r="K2873" s="2" t="s">
        <v>7702</v>
      </c>
      <c r="L2873" s="12">
        <v>209.0</v>
      </c>
      <c r="M2873" s="2" t="s">
        <v>7703</v>
      </c>
      <c r="N2873" s="2" t="str">
        <f>IFERROR(__xludf.DUMMYFUNCTION("""COMPUTED_VALUE"""),"")</f>
        <v/>
      </c>
    </row>
    <row r="2874">
      <c r="A2874" s="2" t="s">
        <v>33</v>
      </c>
      <c r="B2874" s="12">
        <v>2782950.0</v>
      </c>
      <c r="C2874" s="12">
        <v>2783063.0</v>
      </c>
      <c r="D2874" s="2"/>
      <c r="E2874" s="2" t="s">
        <v>34</v>
      </c>
      <c r="F2874" s="2" t="s">
        <v>7704</v>
      </c>
      <c r="G2874" s="2"/>
      <c r="H2874" s="12">
        <v>0.0</v>
      </c>
      <c r="I2874" s="2" t="s">
        <v>40</v>
      </c>
      <c r="J2874" s="2"/>
      <c r="K2874" s="2" t="s">
        <v>7705</v>
      </c>
      <c r="L2874" s="12">
        <v>37.0</v>
      </c>
      <c r="M2874" s="2" t="s">
        <v>7706</v>
      </c>
      <c r="N2874" s="2" t="str">
        <f>IFERROR(__xludf.DUMMYFUNCTION("""COMPUTED_VALUE"""),"")</f>
        <v/>
      </c>
    </row>
    <row r="2875">
      <c r="A2875" s="2" t="s">
        <v>33</v>
      </c>
      <c r="B2875" s="12">
        <v>2783090.0</v>
      </c>
      <c r="C2875" s="12">
        <v>2783314.0</v>
      </c>
      <c r="D2875" s="2"/>
      <c r="E2875" s="2" t="s">
        <v>34</v>
      </c>
      <c r="F2875" s="2" t="s">
        <v>7707</v>
      </c>
      <c r="G2875" s="2"/>
      <c r="H2875" s="12">
        <v>0.0</v>
      </c>
      <c r="I2875" s="2" t="s">
        <v>40</v>
      </c>
      <c r="J2875" s="2"/>
      <c r="K2875" s="2" t="s">
        <v>7708</v>
      </c>
      <c r="L2875" s="12">
        <v>74.0</v>
      </c>
      <c r="M2875" s="2" t="s">
        <v>7709</v>
      </c>
      <c r="N2875" s="2" t="str">
        <f>IFERROR(__xludf.DUMMYFUNCTION("""COMPUTED_VALUE"""),"")</f>
        <v/>
      </c>
    </row>
    <row r="2876">
      <c r="A2876" s="2" t="s">
        <v>33</v>
      </c>
      <c r="B2876" s="12">
        <v>2783314.0</v>
      </c>
      <c r="C2876" s="12">
        <v>2783706.0</v>
      </c>
      <c r="D2876" s="2"/>
      <c r="E2876" s="2" t="s">
        <v>34</v>
      </c>
      <c r="F2876" s="2" t="s">
        <v>4590</v>
      </c>
      <c r="G2876" s="2"/>
      <c r="H2876" s="12">
        <v>0.0</v>
      </c>
      <c r="I2876" s="2" t="s">
        <v>40</v>
      </c>
      <c r="J2876" s="2"/>
      <c r="K2876" s="2" t="s">
        <v>7710</v>
      </c>
      <c r="L2876" s="12">
        <v>130.0</v>
      </c>
      <c r="M2876" s="2" t="s">
        <v>7711</v>
      </c>
      <c r="N2876" s="2" t="str">
        <f>IFERROR(__xludf.DUMMYFUNCTION("""COMPUTED_VALUE"""),"")</f>
        <v/>
      </c>
    </row>
    <row r="2877">
      <c r="A2877" s="2" t="s">
        <v>33</v>
      </c>
      <c r="B2877" s="12">
        <v>2783714.0</v>
      </c>
      <c r="C2877" s="12">
        <v>2784433.0</v>
      </c>
      <c r="D2877" s="2"/>
      <c r="E2877" s="2" t="s">
        <v>34</v>
      </c>
      <c r="F2877" s="2" t="s">
        <v>7712</v>
      </c>
      <c r="G2877" s="2" t="s">
        <v>7713</v>
      </c>
      <c r="H2877" s="12">
        <v>0.0</v>
      </c>
      <c r="I2877" s="2" t="s">
        <v>40</v>
      </c>
      <c r="J2877" s="2"/>
      <c r="K2877" s="2" t="s">
        <v>7714</v>
      </c>
      <c r="L2877" s="12">
        <v>239.0</v>
      </c>
      <c r="M2877" s="2" t="s">
        <v>7715</v>
      </c>
      <c r="N2877" s="2" t="str">
        <f>IFERROR(__xludf.DUMMYFUNCTION("""COMPUTED_VALUE"""),"")</f>
        <v/>
      </c>
    </row>
    <row r="2878">
      <c r="A2878" s="2" t="s">
        <v>33</v>
      </c>
      <c r="B2878" s="12">
        <v>2784490.0</v>
      </c>
      <c r="C2878" s="12">
        <v>2784708.0</v>
      </c>
      <c r="D2878" s="2"/>
      <c r="E2878" s="2" t="s">
        <v>34</v>
      </c>
      <c r="F2878" s="2" t="s">
        <v>7716</v>
      </c>
      <c r="G2878" s="2" t="s">
        <v>7717</v>
      </c>
      <c r="H2878" s="12">
        <v>0.0</v>
      </c>
      <c r="I2878" s="2" t="s">
        <v>40</v>
      </c>
      <c r="J2878" s="2"/>
      <c r="K2878" s="2" t="s">
        <v>7718</v>
      </c>
      <c r="L2878" s="12">
        <v>72.0</v>
      </c>
      <c r="M2878" s="2" t="s">
        <v>7719</v>
      </c>
      <c r="N2878" s="2" t="str">
        <f>IFERROR(__xludf.DUMMYFUNCTION("""COMPUTED_VALUE"""),"")</f>
        <v/>
      </c>
    </row>
    <row r="2879">
      <c r="A2879" s="2" t="s">
        <v>33</v>
      </c>
      <c r="B2879" s="12">
        <v>2784838.0</v>
      </c>
      <c r="C2879" s="12">
        <v>2785344.0</v>
      </c>
      <c r="D2879" s="2"/>
      <c r="E2879" s="2" t="s">
        <v>34</v>
      </c>
      <c r="F2879" s="2" t="s">
        <v>7720</v>
      </c>
      <c r="G2879" s="2" t="s">
        <v>7721</v>
      </c>
      <c r="H2879" s="12">
        <v>0.0</v>
      </c>
      <c r="I2879" s="2" t="s">
        <v>40</v>
      </c>
      <c r="J2879" s="2"/>
      <c r="K2879" s="2" t="s">
        <v>7722</v>
      </c>
      <c r="L2879" s="12">
        <v>168.0</v>
      </c>
      <c r="M2879" s="2" t="s">
        <v>7723</v>
      </c>
      <c r="N2879" s="2" t="str">
        <f>IFERROR(__xludf.DUMMYFUNCTION("""COMPUTED_VALUE"""),"")</f>
        <v/>
      </c>
    </row>
    <row r="2880">
      <c r="A2880" s="2" t="s">
        <v>33</v>
      </c>
      <c r="B2880" s="12">
        <v>2785341.0</v>
      </c>
      <c r="C2880" s="12">
        <v>2785883.0</v>
      </c>
      <c r="D2880" s="2"/>
      <c r="E2880" s="2" t="s">
        <v>34</v>
      </c>
      <c r="F2880" s="2" t="s">
        <v>7724</v>
      </c>
      <c r="G2880" s="2" t="s">
        <v>7725</v>
      </c>
      <c r="H2880" s="12">
        <v>0.0</v>
      </c>
      <c r="I2880" s="2" t="s">
        <v>40</v>
      </c>
      <c r="J2880" s="2"/>
      <c r="K2880" s="2" t="s">
        <v>7726</v>
      </c>
      <c r="L2880" s="12">
        <v>180.0</v>
      </c>
      <c r="M2880" s="2" t="s">
        <v>7727</v>
      </c>
      <c r="N2880" s="2" t="str">
        <f>IFERROR(__xludf.DUMMYFUNCTION("""COMPUTED_VALUE"""),"")</f>
        <v/>
      </c>
    </row>
    <row r="2881">
      <c r="A2881" s="2" t="s">
        <v>33</v>
      </c>
      <c r="B2881" s="12">
        <v>2785895.0</v>
      </c>
      <c r="C2881" s="12">
        <v>2787403.0</v>
      </c>
      <c r="D2881" s="2"/>
      <c r="E2881" s="2" t="s">
        <v>34</v>
      </c>
      <c r="F2881" s="2" t="s">
        <v>7728</v>
      </c>
      <c r="G2881" s="2" t="s">
        <v>7729</v>
      </c>
      <c r="H2881" s="12">
        <v>0.0</v>
      </c>
      <c r="I2881" s="2" t="s">
        <v>40</v>
      </c>
      <c r="J2881" s="2"/>
      <c r="K2881" s="2" t="s">
        <v>7730</v>
      </c>
      <c r="L2881" s="12">
        <v>502.0</v>
      </c>
      <c r="M2881" s="2" t="s">
        <v>7731</v>
      </c>
      <c r="N2881" s="2" t="str">
        <f>IFERROR(__xludf.DUMMYFUNCTION("""COMPUTED_VALUE"""),"")</f>
        <v/>
      </c>
    </row>
    <row r="2882">
      <c r="A2882" s="2" t="s">
        <v>33</v>
      </c>
      <c r="B2882" s="12">
        <v>2787741.0</v>
      </c>
      <c r="C2882" s="12">
        <v>2788601.0</v>
      </c>
      <c r="D2882" s="2"/>
      <c r="E2882" s="2" t="s">
        <v>34</v>
      </c>
      <c r="F2882" s="2" t="s">
        <v>7732</v>
      </c>
      <c r="G2882" s="2" t="s">
        <v>7733</v>
      </c>
      <c r="H2882" s="12">
        <v>0.0</v>
      </c>
      <c r="I2882" s="2" t="s">
        <v>40</v>
      </c>
      <c r="J2882" s="2"/>
      <c r="K2882" s="2" t="s">
        <v>7734</v>
      </c>
      <c r="L2882" s="12">
        <v>286.0</v>
      </c>
      <c r="M2882" s="2" t="s">
        <v>7735</v>
      </c>
      <c r="N2882" s="2" t="str">
        <f>IFERROR(__xludf.DUMMYFUNCTION("""COMPUTED_VALUE"""),"")</f>
        <v/>
      </c>
    </row>
    <row r="2883">
      <c r="A2883" s="2" t="s">
        <v>33</v>
      </c>
      <c r="B2883" s="12">
        <v>2788842.0</v>
      </c>
      <c r="C2883" s="12">
        <v>2790248.0</v>
      </c>
      <c r="D2883" s="2"/>
      <c r="E2883" s="2" t="s">
        <v>34</v>
      </c>
      <c r="F2883" s="2" t="s">
        <v>7736</v>
      </c>
      <c r="G2883" s="2" t="s">
        <v>7737</v>
      </c>
      <c r="H2883" s="12">
        <v>0.0</v>
      </c>
      <c r="I2883" s="2" t="s">
        <v>40</v>
      </c>
      <c r="J2883" s="2"/>
      <c r="K2883" s="2" t="s">
        <v>7738</v>
      </c>
      <c r="L2883" s="12">
        <v>468.0</v>
      </c>
      <c r="M2883" s="2" t="s">
        <v>7739</v>
      </c>
      <c r="N2883" s="2" t="str">
        <f>IFERROR(__xludf.DUMMYFUNCTION("""COMPUTED_VALUE"""),"")</f>
        <v/>
      </c>
    </row>
    <row r="2884">
      <c r="A2884" s="2" t="s">
        <v>33</v>
      </c>
      <c r="B2884" s="12">
        <v>2790269.0</v>
      </c>
      <c r="C2884" s="12">
        <v>2790670.0</v>
      </c>
      <c r="D2884" s="2"/>
      <c r="E2884" s="2" t="s">
        <v>34</v>
      </c>
      <c r="F2884" s="2" t="s">
        <v>7740</v>
      </c>
      <c r="G2884" s="2" t="s">
        <v>7741</v>
      </c>
      <c r="H2884" s="12">
        <v>0.0</v>
      </c>
      <c r="I2884" s="2" t="s">
        <v>40</v>
      </c>
      <c r="J2884" s="2"/>
      <c r="K2884" s="2" t="s">
        <v>7742</v>
      </c>
      <c r="L2884" s="12">
        <v>133.0</v>
      </c>
      <c r="M2884" s="2" t="s">
        <v>7743</v>
      </c>
      <c r="N2884" s="2" t="str">
        <f>IFERROR(__xludf.DUMMYFUNCTION("""COMPUTED_VALUE"""),"")</f>
        <v/>
      </c>
    </row>
    <row r="2885">
      <c r="A2885" s="2" t="s">
        <v>33</v>
      </c>
      <c r="B2885" s="12">
        <v>2790816.0</v>
      </c>
      <c r="C2885" s="12">
        <v>2791601.0</v>
      </c>
      <c r="D2885" s="2"/>
      <c r="E2885" s="2" t="s">
        <v>34</v>
      </c>
      <c r="F2885" s="2" t="s">
        <v>7744</v>
      </c>
      <c r="G2885" s="2"/>
      <c r="H2885" s="12">
        <v>0.0</v>
      </c>
      <c r="I2885" s="2" t="s">
        <v>40</v>
      </c>
      <c r="J2885" s="2"/>
      <c r="K2885" s="2" t="s">
        <v>7745</v>
      </c>
      <c r="L2885" s="12">
        <v>261.0</v>
      </c>
      <c r="M2885" s="2" t="s">
        <v>7746</v>
      </c>
      <c r="N2885" s="2" t="str">
        <f>IFERROR(__xludf.DUMMYFUNCTION("""COMPUTED_VALUE"""),"")</f>
        <v/>
      </c>
    </row>
    <row r="2886">
      <c r="A2886" s="2" t="s">
        <v>33</v>
      </c>
      <c r="B2886" s="12">
        <v>2791651.0</v>
      </c>
      <c r="C2886" s="12">
        <v>2792295.0</v>
      </c>
      <c r="D2886" s="2"/>
      <c r="E2886" s="2" t="s">
        <v>34</v>
      </c>
      <c r="F2886" s="2" t="s">
        <v>7744</v>
      </c>
      <c r="G2886" s="2"/>
      <c r="H2886" s="12">
        <v>0.0</v>
      </c>
      <c r="I2886" s="2" t="s">
        <v>40</v>
      </c>
      <c r="J2886" s="2"/>
      <c r="K2886" s="2" t="s">
        <v>7747</v>
      </c>
      <c r="L2886" s="12">
        <v>214.0</v>
      </c>
      <c r="M2886" s="2" t="s">
        <v>7748</v>
      </c>
      <c r="N2886" s="2" t="str">
        <f>IFERROR(__xludf.DUMMYFUNCTION("""COMPUTED_VALUE"""),"")</f>
        <v/>
      </c>
    </row>
    <row r="2887">
      <c r="A2887" s="2" t="s">
        <v>33</v>
      </c>
      <c r="B2887" s="12">
        <v>2792319.0</v>
      </c>
      <c r="C2887" s="12">
        <v>2795048.0</v>
      </c>
      <c r="D2887" s="2"/>
      <c r="E2887" s="2" t="s">
        <v>38</v>
      </c>
      <c r="F2887" s="2" t="s">
        <v>5712</v>
      </c>
      <c r="G2887" s="2"/>
      <c r="H2887" s="12">
        <v>0.0</v>
      </c>
      <c r="I2887" s="2" t="s">
        <v>40</v>
      </c>
      <c r="J2887" s="2"/>
      <c r="K2887" s="2" t="s">
        <v>7749</v>
      </c>
      <c r="L2887" s="12">
        <v>909.0</v>
      </c>
      <c r="M2887" s="2" t="s">
        <v>7750</v>
      </c>
      <c r="N2887" s="2" t="str">
        <f>IFERROR(__xludf.DUMMYFUNCTION("""COMPUTED_VALUE"""),"")</f>
        <v/>
      </c>
    </row>
    <row r="2888">
      <c r="A2888" s="2" t="s">
        <v>33</v>
      </c>
      <c r="B2888" s="12">
        <v>2795303.0</v>
      </c>
      <c r="C2888" s="12">
        <v>2795671.0</v>
      </c>
      <c r="D2888" s="2"/>
      <c r="E2888" s="2" t="s">
        <v>34</v>
      </c>
      <c r="F2888" s="2" t="s">
        <v>7751</v>
      </c>
      <c r="G2888" s="2" t="s">
        <v>7752</v>
      </c>
      <c r="H2888" s="12">
        <v>0.0</v>
      </c>
      <c r="I2888" s="2" t="s">
        <v>40</v>
      </c>
      <c r="J2888" s="2"/>
      <c r="K2888" s="2" t="s">
        <v>7753</v>
      </c>
      <c r="L2888" s="12">
        <v>122.0</v>
      </c>
      <c r="M2888" s="2" t="s">
        <v>7754</v>
      </c>
      <c r="N2888" s="2" t="str">
        <f>IFERROR(__xludf.DUMMYFUNCTION("""COMPUTED_VALUE"""),"")</f>
        <v/>
      </c>
    </row>
    <row r="2889">
      <c r="A2889" s="2" t="s">
        <v>33</v>
      </c>
      <c r="B2889" s="12">
        <v>2795662.0</v>
      </c>
      <c r="C2889" s="12">
        <v>2796180.0</v>
      </c>
      <c r="D2889" s="2"/>
      <c r="E2889" s="2" t="s">
        <v>34</v>
      </c>
      <c r="F2889" s="2" t="s">
        <v>7755</v>
      </c>
      <c r="G2889" s="2" t="s">
        <v>7756</v>
      </c>
      <c r="H2889" s="12">
        <v>0.0</v>
      </c>
      <c r="I2889" s="2" t="s">
        <v>40</v>
      </c>
      <c r="J2889" s="2"/>
      <c r="K2889" s="2" t="s">
        <v>7757</v>
      </c>
      <c r="L2889" s="12">
        <v>172.0</v>
      </c>
      <c r="M2889" s="2" t="s">
        <v>7758</v>
      </c>
      <c r="N2889" s="2" t="str">
        <f>IFERROR(__xludf.DUMMYFUNCTION("""COMPUTED_VALUE"""),"")</f>
        <v/>
      </c>
    </row>
    <row r="2890">
      <c r="A2890" s="2" t="s">
        <v>33</v>
      </c>
      <c r="B2890" s="12">
        <v>2796177.0</v>
      </c>
      <c r="C2890" s="12">
        <v>2797418.0</v>
      </c>
      <c r="D2890" s="2"/>
      <c r="E2890" s="2" t="s">
        <v>34</v>
      </c>
      <c r="F2890" s="2" t="s">
        <v>7759</v>
      </c>
      <c r="G2890" s="2"/>
      <c r="H2890" s="12">
        <v>0.0</v>
      </c>
      <c r="I2890" s="2" t="s">
        <v>40</v>
      </c>
      <c r="J2890" s="2"/>
      <c r="K2890" s="2" t="s">
        <v>7760</v>
      </c>
      <c r="L2890" s="12">
        <v>413.0</v>
      </c>
      <c r="M2890" s="2" t="s">
        <v>7761</v>
      </c>
      <c r="N2890" s="2" t="str">
        <f>IFERROR(__xludf.DUMMYFUNCTION("""COMPUTED_VALUE"""),"")</f>
        <v/>
      </c>
    </row>
    <row r="2891">
      <c r="A2891" s="2" t="s">
        <v>33</v>
      </c>
      <c r="B2891" s="12">
        <v>2797421.0</v>
      </c>
      <c r="C2891" s="12">
        <v>2798521.0</v>
      </c>
      <c r="D2891" s="2"/>
      <c r="E2891" s="2" t="s">
        <v>34</v>
      </c>
      <c r="F2891" s="2" t="s">
        <v>7762</v>
      </c>
      <c r="G2891" s="2" t="s">
        <v>7763</v>
      </c>
      <c r="H2891" s="12">
        <v>0.0</v>
      </c>
      <c r="I2891" s="2" t="s">
        <v>40</v>
      </c>
      <c r="J2891" s="2"/>
      <c r="K2891" s="2" t="s">
        <v>7764</v>
      </c>
      <c r="L2891" s="12">
        <v>366.0</v>
      </c>
      <c r="M2891" s="2" t="s">
        <v>7765</v>
      </c>
      <c r="N2891" s="2" t="str">
        <f>IFERROR(__xludf.DUMMYFUNCTION("""COMPUTED_VALUE"""),"")</f>
        <v/>
      </c>
    </row>
    <row r="2892">
      <c r="A2892" s="2" t="s">
        <v>33</v>
      </c>
      <c r="B2892" s="12">
        <v>2798521.0</v>
      </c>
      <c r="C2892" s="12">
        <v>2799522.0</v>
      </c>
      <c r="D2892" s="2"/>
      <c r="E2892" s="2" t="s">
        <v>34</v>
      </c>
      <c r="F2892" s="2" t="s">
        <v>7766</v>
      </c>
      <c r="G2892" s="2" t="s">
        <v>7767</v>
      </c>
      <c r="H2892" s="12">
        <v>0.0</v>
      </c>
      <c r="I2892" s="2" t="s">
        <v>40</v>
      </c>
      <c r="J2892" s="2"/>
      <c r="K2892" s="2" t="s">
        <v>7768</v>
      </c>
      <c r="L2892" s="12">
        <v>333.0</v>
      </c>
      <c r="M2892" s="2" t="s">
        <v>7769</v>
      </c>
      <c r="N2892" s="2" t="str">
        <f>IFERROR(__xludf.DUMMYFUNCTION("""COMPUTED_VALUE"""),"")</f>
        <v/>
      </c>
    </row>
    <row r="2893">
      <c r="A2893" s="2" t="s">
        <v>33</v>
      </c>
      <c r="B2893" s="12">
        <v>2799548.0</v>
      </c>
      <c r="C2893" s="12">
        <v>2799967.0</v>
      </c>
      <c r="D2893" s="2"/>
      <c r="E2893" s="2" t="s">
        <v>34</v>
      </c>
      <c r="F2893" s="2" t="s">
        <v>7770</v>
      </c>
      <c r="G2893" s="2" t="s">
        <v>7771</v>
      </c>
      <c r="H2893" s="12">
        <v>0.0</v>
      </c>
      <c r="I2893" s="2" t="s">
        <v>40</v>
      </c>
      <c r="J2893" s="2"/>
      <c r="K2893" s="2" t="s">
        <v>7772</v>
      </c>
      <c r="L2893" s="12">
        <v>139.0</v>
      </c>
      <c r="M2893" s="2" t="s">
        <v>7773</v>
      </c>
      <c r="N2893" s="2" t="str">
        <f>IFERROR(__xludf.DUMMYFUNCTION("""COMPUTED_VALUE"""),"")</f>
        <v/>
      </c>
    </row>
    <row r="2894">
      <c r="A2894" s="2" t="s">
        <v>33</v>
      </c>
      <c r="B2894" s="12">
        <v>2799964.0</v>
      </c>
      <c r="C2894" s="12">
        <v>2800488.0</v>
      </c>
      <c r="D2894" s="2"/>
      <c r="E2894" s="2" t="s">
        <v>34</v>
      </c>
      <c r="F2894" s="2" t="s">
        <v>7774</v>
      </c>
      <c r="G2894" s="2"/>
      <c r="H2894" s="12">
        <v>0.0</v>
      </c>
      <c r="I2894" s="2" t="s">
        <v>40</v>
      </c>
      <c r="J2894" s="2"/>
      <c r="K2894" s="2" t="s">
        <v>7775</v>
      </c>
      <c r="L2894" s="12">
        <v>174.0</v>
      </c>
      <c r="M2894" s="2" t="s">
        <v>7776</v>
      </c>
      <c r="N2894" s="2" t="str">
        <f>IFERROR(__xludf.DUMMYFUNCTION("""COMPUTED_VALUE"""),"")</f>
        <v/>
      </c>
    </row>
    <row r="2895">
      <c r="A2895" s="2" t="s">
        <v>33</v>
      </c>
      <c r="B2895" s="12">
        <v>2800481.0</v>
      </c>
      <c r="C2895" s="12">
        <v>2800795.0</v>
      </c>
      <c r="D2895" s="2"/>
      <c r="E2895" s="2" t="s">
        <v>34</v>
      </c>
      <c r="F2895" s="2" t="s">
        <v>7777</v>
      </c>
      <c r="G2895" s="2" t="s">
        <v>7778</v>
      </c>
      <c r="H2895" s="12">
        <v>0.0</v>
      </c>
      <c r="I2895" s="2" t="s">
        <v>40</v>
      </c>
      <c r="J2895" s="2"/>
      <c r="K2895" s="2" t="s">
        <v>7779</v>
      </c>
      <c r="L2895" s="12">
        <v>104.0</v>
      </c>
      <c r="M2895" s="2" t="s">
        <v>7780</v>
      </c>
      <c r="N2895" s="2" t="str">
        <f>IFERROR(__xludf.DUMMYFUNCTION("""COMPUTED_VALUE"""),"")</f>
        <v/>
      </c>
    </row>
    <row r="2896">
      <c r="A2896" s="2" t="s">
        <v>33</v>
      </c>
      <c r="B2896" s="12">
        <v>2800826.0</v>
      </c>
      <c r="C2896" s="12">
        <v>2802688.0</v>
      </c>
      <c r="D2896" s="2"/>
      <c r="E2896" s="2" t="s">
        <v>34</v>
      </c>
      <c r="F2896" s="2" t="s">
        <v>7781</v>
      </c>
      <c r="G2896" s="2" t="s">
        <v>7782</v>
      </c>
      <c r="H2896" s="12">
        <v>0.0</v>
      </c>
      <c r="I2896" s="2" t="s">
        <v>40</v>
      </c>
      <c r="J2896" s="2"/>
      <c r="K2896" s="2" t="s">
        <v>7783</v>
      </c>
      <c r="L2896" s="12">
        <v>620.0</v>
      </c>
      <c r="M2896" s="2" t="s">
        <v>7784</v>
      </c>
      <c r="N2896" s="2" t="str">
        <f>IFERROR(__xludf.DUMMYFUNCTION("""COMPUTED_VALUE"""),"")</f>
        <v/>
      </c>
    </row>
    <row r="2897">
      <c r="A2897" s="2" t="s">
        <v>33</v>
      </c>
      <c r="B2897" s="12">
        <v>2802685.0</v>
      </c>
      <c r="C2897" s="12">
        <v>2804187.0</v>
      </c>
      <c r="D2897" s="2"/>
      <c r="E2897" s="2" t="s">
        <v>34</v>
      </c>
      <c r="F2897" s="2" t="s">
        <v>7785</v>
      </c>
      <c r="G2897" s="2"/>
      <c r="H2897" s="12">
        <v>0.0</v>
      </c>
      <c r="I2897" s="2" t="s">
        <v>40</v>
      </c>
      <c r="J2897" s="2"/>
      <c r="K2897" s="2" t="s">
        <v>7786</v>
      </c>
      <c r="L2897" s="12">
        <v>500.0</v>
      </c>
      <c r="M2897" s="2" t="s">
        <v>7787</v>
      </c>
      <c r="N2897" s="2" t="str">
        <f>IFERROR(__xludf.DUMMYFUNCTION("""COMPUTED_VALUE"""),"")</f>
        <v/>
      </c>
    </row>
    <row r="2898">
      <c r="A2898" s="2" t="s">
        <v>33</v>
      </c>
      <c r="B2898" s="12">
        <v>2804195.0</v>
      </c>
      <c r="C2898" s="12">
        <v>2805709.0</v>
      </c>
      <c r="D2898" s="2"/>
      <c r="E2898" s="2" t="s">
        <v>34</v>
      </c>
      <c r="F2898" s="2" t="s">
        <v>7788</v>
      </c>
      <c r="G2898" s="2" t="s">
        <v>7789</v>
      </c>
      <c r="H2898" s="12">
        <v>0.0</v>
      </c>
      <c r="I2898" s="2" t="s">
        <v>40</v>
      </c>
      <c r="J2898" s="2"/>
      <c r="K2898" s="2" t="s">
        <v>7790</v>
      </c>
      <c r="L2898" s="12">
        <v>504.0</v>
      </c>
      <c r="M2898" s="2" t="s">
        <v>7791</v>
      </c>
      <c r="N2898" s="2" t="str">
        <f>IFERROR(__xludf.DUMMYFUNCTION("""COMPUTED_VALUE"""),"")</f>
        <v/>
      </c>
    </row>
    <row r="2899">
      <c r="A2899" s="2" t="s">
        <v>33</v>
      </c>
      <c r="B2899" s="12">
        <v>2805912.0</v>
      </c>
      <c r="C2899" s="12">
        <v>2806148.0</v>
      </c>
      <c r="D2899" s="2"/>
      <c r="E2899" s="2" t="s">
        <v>34</v>
      </c>
      <c r="F2899" s="2" t="s">
        <v>7792</v>
      </c>
      <c r="G2899" s="2"/>
      <c r="H2899" s="12">
        <v>0.0</v>
      </c>
      <c r="I2899" s="2" t="s">
        <v>40</v>
      </c>
      <c r="J2899" s="2"/>
      <c r="K2899" s="2" t="s">
        <v>7793</v>
      </c>
      <c r="L2899" s="12">
        <v>78.0</v>
      </c>
      <c r="M2899" s="2" t="s">
        <v>7794</v>
      </c>
      <c r="N2899" s="2" t="str">
        <f>IFERROR(__xludf.DUMMYFUNCTION("""COMPUTED_VALUE"""),"")</f>
        <v/>
      </c>
    </row>
    <row r="2900">
      <c r="A2900" s="2" t="s">
        <v>33</v>
      </c>
      <c r="B2900" s="12">
        <v>2806200.0</v>
      </c>
      <c r="C2900" s="12">
        <v>2806904.0</v>
      </c>
      <c r="D2900" s="2"/>
      <c r="E2900" s="2" t="s">
        <v>34</v>
      </c>
      <c r="F2900" s="2" t="s">
        <v>7795</v>
      </c>
      <c r="G2900" s="2"/>
      <c r="H2900" s="12">
        <v>0.0</v>
      </c>
      <c r="I2900" s="2" t="s">
        <v>40</v>
      </c>
      <c r="J2900" s="2"/>
      <c r="K2900" s="2" t="s">
        <v>7796</v>
      </c>
      <c r="L2900" s="12">
        <v>234.0</v>
      </c>
      <c r="M2900" s="2" t="s">
        <v>7797</v>
      </c>
      <c r="N2900" s="2" t="str">
        <f>IFERROR(__xludf.DUMMYFUNCTION("""COMPUTED_VALUE"""),"")</f>
        <v/>
      </c>
    </row>
    <row r="2901">
      <c r="A2901" s="2" t="s">
        <v>33</v>
      </c>
      <c r="B2901" s="12">
        <v>2806944.0</v>
      </c>
      <c r="C2901" s="12">
        <v>2808248.0</v>
      </c>
      <c r="D2901" s="2"/>
      <c r="E2901" s="2" t="s">
        <v>34</v>
      </c>
      <c r="F2901" s="2" t="s">
        <v>7634</v>
      </c>
      <c r="G2901" s="2" t="s">
        <v>7635</v>
      </c>
      <c r="H2901" s="12">
        <v>0.0</v>
      </c>
      <c r="I2901" s="2" t="s">
        <v>40</v>
      </c>
      <c r="J2901" s="2"/>
      <c r="K2901" s="2" t="s">
        <v>7798</v>
      </c>
      <c r="L2901" s="12">
        <v>434.0</v>
      </c>
      <c r="M2901" s="2" t="s">
        <v>7799</v>
      </c>
      <c r="N2901" s="2" t="str">
        <f>IFERROR(__xludf.DUMMYFUNCTION("""COMPUTED_VALUE"""),"")</f>
        <v/>
      </c>
    </row>
    <row r="2902">
      <c r="A2902" s="2" t="s">
        <v>33</v>
      </c>
      <c r="B2902" s="12">
        <v>2808455.0</v>
      </c>
      <c r="C2902" s="12">
        <v>2809474.0</v>
      </c>
      <c r="D2902" s="2"/>
      <c r="E2902" s="2" t="s">
        <v>34</v>
      </c>
      <c r="F2902" s="2" t="s">
        <v>7800</v>
      </c>
      <c r="G2902" s="2" t="s">
        <v>7801</v>
      </c>
      <c r="H2902" s="12">
        <v>0.0</v>
      </c>
      <c r="I2902" s="2" t="s">
        <v>40</v>
      </c>
      <c r="J2902" s="2"/>
      <c r="K2902" s="2" t="s">
        <v>7802</v>
      </c>
      <c r="L2902" s="12">
        <v>339.0</v>
      </c>
      <c r="M2902" s="2" t="s">
        <v>7803</v>
      </c>
      <c r="N2902" s="2" t="str">
        <f>IFERROR(__xludf.DUMMYFUNCTION("""COMPUTED_VALUE"""),"")</f>
        <v/>
      </c>
    </row>
    <row r="2903">
      <c r="A2903" s="2" t="s">
        <v>33</v>
      </c>
      <c r="B2903" s="12">
        <v>2809575.0</v>
      </c>
      <c r="C2903" s="12">
        <v>2810582.0</v>
      </c>
      <c r="D2903" s="2"/>
      <c r="E2903" s="2" t="s">
        <v>34</v>
      </c>
      <c r="F2903" s="2" t="s">
        <v>7804</v>
      </c>
      <c r="G2903" s="2"/>
      <c r="H2903" s="12">
        <v>0.0</v>
      </c>
      <c r="I2903" s="2" t="s">
        <v>40</v>
      </c>
      <c r="J2903" s="2"/>
      <c r="K2903" s="2" t="s">
        <v>7805</v>
      </c>
      <c r="L2903" s="12">
        <v>335.0</v>
      </c>
      <c r="M2903" s="2" t="s">
        <v>7806</v>
      </c>
      <c r="N2903" s="2" t="str">
        <f>IFERROR(__xludf.DUMMYFUNCTION("""COMPUTED_VALUE"""),"")</f>
        <v/>
      </c>
    </row>
    <row r="2904">
      <c r="A2904" s="2" t="s">
        <v>33</v>
      </c>
      <c r="B2904" s="12">
        <v>2810764.0</v>
      </c>
      <c r="C2904" s="12">
        <v>2811606.0</v>
      </c>
      <c r="D2904" s="2"/>
      <c r="E2904" s="2" t="s">
        <v>34</v>
      </c>
      <c r="F2904" s="2" t="s">
        <v>432</v>
      </c>
      <c r="G2904" s="2"/>
      <c r="H2904" s="12">
        <v>0.0</v>
      </c>
      <c r="I2904" s="2" t="s">
        <v>40</v>
      </c>
      <c r="J2904" s="2"/>
      <c r="K2904" s="2" t="s">
        <v>7807</v>
      </c>
      <c r="L2904" s="12">
        <v>280.0</v>
      </c>
      <c r="M2904" s="2" t="s">
        <v>7808</v>
      </c>
      <c r="N2904" s="2" t="str">
        <f>IFERROR(__xludf.DUMMYFUNCTION("""COMPUTED_VALUE"""),"")</f>
        <v/>
      </c>
    </row>
    <row r="2905">
      <c r="A2905" s="2" t="s">
        <v>33</v>
      </c>
      <c r="B2905" s="12">
        <v>2811606.0</v>
      </c>
      <c r="C2905" s="12">
        <v>2812310.0</v>
      </c>
      <c r="D2905" s="2"/>
      <c r="E2905" s="2" t="s">
        <v>34</v>
      </c>
      <c r="F2905" s="2" t="s">
        <v>265</v>
      </c>
      <c r="G2905" s="2"/>
      <c r="H2905" s="12">
        <v>0.0</v>
      </c>
      <c r="I2905" s="2" t="s">
        <v>40</v>
      </c>
      <c r="J2905" s="2"/>
      <c r="K2905" s="2" t="s">
        <v>7809</v>
      </c>
      <c r="L2905" s="12">
        <v>234.0</v>
      </c>
      <c r="M2905" s="2" t="s">
        <v>7810</v>
      </c>
      <c r="N2905" s="2" t="str">
        <f>IFERROR(__xludf.DUMMYFUNCTION("""COMPUTED_VALUE"""),"")</f>
        <v/>
      </c>
    </row>
    <row r="2906">
      <c r="A2906" s="2" t="s">
        <v>33</v>
      </c>
      <c r="B2906" s="12">
        <v>2812473.0</v>
      </c>
      <c r="C2906" s="12">
        <v>2813378.0</v>
      </c>
      <c r="D2906" s="2"/>
      <c r="E2906" s="2" t="s">
        <v>34</v>
      </c>
      <c r="F2906" s="2" t="s">
        <v>2244</v>
      </c>
      <c r="G2906" s="2"/>
      <c r="H2906" s="12">
        <v>0.0</v>
      </c>
      <c r="I2906" s="2" t="s">
        <v>40</v>
      </c>
      <c r="J2906" s="2"/>
      <c r="K2906" s="2" t="s">
        <v>7811</v>
      </c>
      <c r="L2906" s="12">
        <v>301.0</v>
      </c>
      <c r="M2906" s="2" t="s">
        <v>7812</v>
      </c>
      <c r="N2906" s="2" t="str">
        <f>IFERROR(__xludf.DUMMYFUNCTION("""COMPUTED_VALUE"""),"")</f>
        <v/>
      </c>
    </row>
    <row r="2907">
      <c r="A2907" s="2" t="s">
        <v>33</v>
      </c>
      <c r="B2907" s="12">
        <v>2813520.0</v>
      </c>
      <c r="C2907" s="12">
        <v>2813654.0</v>
      </c>
      <c r="D2907" s="2"/>
      <c r="E2907" s="2" t="s">
        <v>34</v>
      </c>
      <c r="F2907" s="2" t="s">
        <v>39</v>
      </c>
      <c r="G2907" s="2"/>
      <c r="H2907" s="12">
        <v>0.0</v>
      </c>
      <c r="I2907" s="2" t="s">
        <v>40</v>
      </c>
      <c r="J2907" s="2"/>
      <c r="K2907" s="2" t="s">
        <v>7813</v>
      </c>
      <c r="L2907" s="12">
        <v>44.0</v>
      </c>
      <c r="M2907" s="2" t="s">
        <v>7814</v>
      </c>
      <c r="N2907" s="2" t="str">
        <f>IFERROR(__xludf.DUMMYFUNCTION("""COMPUTED_VALUE"""),"")</f>
        <v/>
      </c>
    </row>
    <row r="2908">
      <c r="A2908" s="2" t="s">
        <v>33</v>
      </c>
      <c r="B2908" s="12">
        <v>2813963.0</v>
      </c>
      <c r="C2908" s="12">
        <v>2814235.0</v>
      </c>
      <c r="D2908" s="2"/>
      <c r="E2908" s="2" t="s">
        <v>34</v>
      </c>
      <c r="F2908" s="2" t="s">
        <v>7815</v>
      </c>
      <c r="G2908" s="2" t="s">
        <v>7816</v>
      </c>
      <c r="H2908" s="12">
        <v>0.0</v>
      </c>
      <c r="I2908" s="2" t="s">
        <v>40</v>
      </c>
      <c r="J2908" s="2"/>
      <c r="K2908" s="2" t="s">
        <v>7817</v>
      </c>
      <c r="L2908" s="12">
        <v>90.0</v>
      </c>
      <c r="M2908" s="2" t="s">
        <v>7818</v>
      </c>
      <c r="N2908" s="2" t="str">
        <f>IFERROR(__xludf.DUMMYFUNCTION("""COMPUTED_VALUE"""),"")</f>
        <v/>
      </c>
    </row>
    <row r="2909">
      <c r="A2909" s="2" t="s">
        <v>33</v>
      </c>
      <c r="B2909" s="12">
        <v>2814396.0</v>
      </c>
      <c r="C2909" s="12">
        <v>2815397.0</v>
      </c>
      <c r="D2909" s="2"/>
      <c r="E2909" s="2" t="s">
        <v>34</v>
      </c>
      <c r="F2909" s="2" t="s">
        <v>7819</v>
      </c>
      <c r="G2909" s="2"/>
      <c r="H2909" s="12">
        <v>0.0</v>
      </c>
      <c r="I2909" s="2" t="s">
        <v>40</v>
      </c>
      <c r="J2909" s="2"/>
      <c r="K2909" s="2" t="s">
        <v>7820</v>
      </c>
      <c r="L2909" s="12">
        <v>333.0</v>
      </c>
      <c r="M2909" s="2" t="s">
        <v>7821</v>
      </c>
      <c r="N2909" s="2" t="str">
        <f>IFERROR(__xludf.DUMMYFUNCTION("""COMPUTED_VALUE"""),"")</f>
        <v/>
      </c>
    </row>
    <row r="2910">
      <c r="A2910" s="2" t="s">
        <v>33</v>
      </c>
      <c r="B2910" s="12">
        <v>2815827.0</v>
      </c>
      <c r="C2910" s="12">
        <v>2816261.0</v>
      </c>
      <c r="D2910" s="2"/>
      <c r="E2910" s="2" t="s">
        <v>34</v>
      </c>
      <c r="F2910" s="2" t="s">
        <v>7822</v>
      </c>
      <c r="G2910" s="2" t="s">
        <v>7823</v>
      </c>
      <c r="H2910" s="12">
        <v>0.0</v>
      </c>
      <c r="I2910" s="2" t="s">
        <v>40</v>
      </c>
      <c r="J2910" s="2"/>
      <c r="K2910" s="2" t="s">
        <v>7824</v>
      </c>
      <c r="L2910" s="12">
        <v>144.0</v>
      </c>
      <c r="M2910" s="2" t="s">
        <v>7825</v>
      </c>
      <c r="N2910" s="2" t="str">
        <f>IFERROR(__xludf.DUMMYFUNCTION("""COMPUTED_VALUE"""),"")</f>
        <v/>
      </c>
    </row>
    <row r="2911">
      <c r="A2911" s="2" t="s">
        <v>33</v>
      </c>
      <c r="B2911" s="12">
        <v>2816606.0</v>
      </c>
      <c r="C2911" s="12">
        <v>2817283.0</v>
      </c>
      <c r="D2911" s="2"/>
      <c r="E2911" s="2" t="s">
        <v>34</v>
      </c>
      <c r="F2911" s="2" t="s">
        <v>2846</v>
      </c>
      <c r="G2911" s="2"/>
      <c r="H2911" s="12">
        <v>0.0</v>
      </c>
      <c r="I2911" s="2" t="s">
        <v>40</v>
      </c>
      <c r="J2911" s="2"/>
      <c r="K2911" s="2" t="s">
        <v>7826</v>
      </c>
      <c r="L2911" s="12">
        <v>225.0</v>
      </c>
      <c r="M2911" s="2" t="s">
        <v>7827</v>
      </c>
      <c r="N2911" s="2" t="str">
        <f>IFERROR(__xludf.DUMMYFUNCTION("""COMPUTED_VALUE"""),"")</f>
        <v/>
      </c>
    </row>
    <row r="2912">
      <c r="A2912" s="2" t="s">
        <v>33</v>
      </c>
      <c r="B2912" s="12">
        <v>2817547.0</v>
      </c>
      <c r="C2912" s="12">
        <v>2818290.0</v>
      </c>
      <c r="D2912" s="2"/>
      <c r="E2912" s="2" t="s">
        <v>34</v>
      </c>
      <c r="F2912" s="2" t="s">
        <v>2849</v>
      </c>
      <c r="G2912" s="2"/>
      <c r="H2912" s="12">
        <v>0.0</v>
      </c>
      <c r="I2912" s="2" t="s">
        <v>40</v>
      </c>
      <c r="J2912" s="2"/>
      <c r="K2912" s="2" t="s">
        <v>7828</v>
      </c>
      <c r="L2912" s="12">
        <v>247.0</v>
      </c>
      <c r="M2912" s="2" t="s">
        <v>7829</v>
      </c>
      <c r="N2912" s="2" t="str">
        <f>IFERROR(__xludf.DUMMYFUNCTION("""COMPUTED_VALUE"""),"")</f>
        <v/>
      </c>
    </row>
    <row r="2913">
      <c r="A2913" s="2" t="s">
        <v>33</v>
      </c>
      <c r="B2913" s="12">
        <v>2818280.0</v>
      </c>
      <c r="C2913" s="12">
        <v>2818981.0</v>
      </c>
      <c r="D2913" s="2"/>
      <c r="E2913" s="2" t="s">
        <v>34</v>
      </c>
      <c r="F2913" s="2" t="s">
        <v>2846</v>
      </c>
      <c r="G2913" s="2"/>
      <c r="H2913" s="12">
        <v>0.0</v>
      </c>
      <c r="I2913" s="2" t="s">
        <v>40</v>
      </c>
      <c r="J2913" s="2"/>
      <c r="K2913" s="2" t="s">
        <v>7830</v>
      </c>
      <c r="L2913" s="12">
        <v>233.0</v>
      </c>
      <c r="M2913" s="2" t="s">
        <v>7831</v>
      </c>
      <c r="N2913" s="2" t="str">
        <f>IFERROR(__xludf.DUMMYFUNCTION("""COMPUTED_VALUE"""),"")</f>
        <v/>
      </c>
    </row>
    <row r="2914">
      <c r="A2914" s="2" t="s">
        <v>33</v>
      </c>
      <c r="B2914" s="12">
        <v>2819093.0</v>
      </c>
      <c r="C2914" s="12">
        <v>2819860.0</v>
      </c>
      <c r="D2914" s="2"/>
      <c r="E2914" s="2" t="s">
        <v>34</v>
      </c>
      <c r="F2914" s="2" t="s">
        <v>7832</v>
      </c>
      <c r="G2914" s="2"/>
      <c r="H2914" s="12">
        <v>0.0</v>
      </c>
      <c r="I2914" s="2" t="s">
        <v>40</v>
      </c>
      <c r="J2914" s="2"/>
      <c r="K2914" s="2" t="s">
        <v>7833</v>
      </c>
      <c r="L2914" s="12">
        <v>255.0</v>
      </c>
      <c r="M2914" s="2" t="s">
        <v>7834</v>
      </c>
      <c r="N2914" s="2" t="str">
        <f>IFERROR(__xludf.DUMMYFUNCTION("""COMPUTED_VALUE"""),"")</f>
        <v/>
      </c>
    </row>
    <row r="2915">
      <c r="A2915" s="2" t="s">
        <v>33</v>
      </c>
      <c r="B2915" s="12">
        <v>2820109.0</v>
      </c>
      <c r="C2915" s="12">
        <v>2820990.0</v>
      </c>
      <c r="D2915" s="2"/>
      <c r="E2915" s="2" t="s">
        <v>34</v>
      </c>
      <c r="F2915" s="2" t="s">
        <v>7835</v>
      </c>
      <c r="G2915" s="2" t="s">
        <v>7836</v>
      </c>
      <c r="H2915" s="12">
        <v>0.0</v>
      </c>
      <c r="I2915" s="2" t="s">
        <v>40</v>
      </c>
      <c r="J2915" s="2"/>
      <c r="K2915" s="2" t="s">
        <v>7837</v>
      </c>
      <c r="L2915" s="12">
        <v>293.0</v>
      </c>
      <c r="M2915" s="2" t="s">
        <v>7838</v>
      </c>
      <c r="N2915" s="2" t="str">
        <f>IFERROR(__xludf.DUMMYFUNCTION("""COMPUTED_VALUE"""),"")</f>
        <v/>
      </c>
    </row>
    <row r="2916">
      <c r="A2916" s="2" t="s">
        <v>33</v>
      </c>
      <c r="B2916" s="12">
        <v>2821052.0</v>
      </c>
      <c r="C2916" s="12">
        <v>2822860.0</v>
      </c>
      <c r="D2916" s="2"/>
      <c r="E2916" s="2" t="s">
        <v>34</v>
      </c>
      <c r="F2916" s="2" t="s">
        <v>7839</v>
      </c>
      <c r="G2916" s="2"/>
      <c r="H2916" s="12">
        <v>0.0</v>
      </c>
      <c r="I2916" s="2" t="s">
        <v>40</v>
      </c>
      <c r="J2916" s="2"/>
      <c r="K2916" s="2" t="s">
        <v>7840</v>
      </c>
      <c r="L2916" s="12">
        <v>602.0</v>
      </c>
      <c r="M2916" s="2" t="s">
        <v>7841</v>
      </c>
      <c r="N2916" s="2" t="str">
        <f>IFERROR(__xludf.DUMMYFUNCTION("""COMPUTED_VALUE"""),"")</f>
        <v/>
      </c>
    </row>
    <row r="2917">
      <c r="A2917" s="2" t="s">
        <v>33</v>
      </c>
      <c r="B2917" s="12">
        <v>2822960.0</v>
      </c>
      <c r="C2917" s="12">
        <v>2824177.0</v>
      </c>
      <c r="D2917" s="2"/>
      <c r="E2917" s="2" t="s">
        <v>34</v>
      </c>
      <c r="F2917" s="2" t="s">
        <v>7842</v>
      </c>
      <c r="G2917" s="2"/>
      <c r="H2917" s="12">
        <v>0.0</v>
      </c>
      <c r="I2917" s="2" t="s">
        <v>40</v>
      </c>
      <c r="J2917" s="2"/>
      <c r="K2917" s="2" t="s">
        <v>7843</v>
      </c>
      <c r="L2917" s="12">
        <v>405.0</v>
      </c>
      <c r="M2917" s="2" t="s">
        <v>7844</v>
      </c>
      <c r="N2917" s="2" t="str">
        <f>IFERROR(__xludf.DUMMYFUNCTION("""COMPUTED_VALUE"""),"")</f>
        <v/>
      </c>
    </row>
    <row r="2918">
      <c r="A2918" s="2" t="s">
        <v>33</v>
      </c>
      <c r="B2918" s="12">
        <v>2824194.0</v>
      </c>
      <c r="C2918" s="12">
        <v>2825309.0</v>
      </c>
      <c r="D2918" s="2"/>
      <c r="E2918" s="2" t="s">
        <v>34</v>
      </c>
      <c r="F2918" s="2" t="s">
        <v>7845</v>
      </c>
      <c r="G2918" s="2"/>
      <c r="H2918" s="12">
        <v>0.0</v>
      </c>
      <c r="I2918" s="2" t="s">
        <v>40</v>
      </c>
      <c r="J2918" s="2"/>
      <c r="K2918" s="2" t="s">
        <v>7846</v>
      </c>
      <c r="L2918" s="12">
        <v>371.0</v>
      </c>
      <c r="M2918" s="2" t="s">
        <v>7847</v>
      </c>
      <c r="N2918" s="2" t="str">
        <f>IFERROR(__xludf.DUMMYFUNCTION("""COMPUTED_VALUE"""),"")</f>
        <v/>
      </c>
    </row>
    <row r="2919">
      <c r="A2919" s="2" t="s">
        <v>33</v>
      </c>
      <c r="B2919" s="12">
        <v>2825381.0</v>
      </c>
      <c r="C2919" s="12">
        <v>2826286.0</v>
      </c>
      <c r="D2919" s="2"/>
      <c r="E2919" s="2" t="s">
        <v>34</v>
      </c>
      <c r="F2919" s="2" t="s">
        <v>296</v>
      </c>
      <c r="G2919" s="2"/>
      <c r="H2919" s="12">
        <v>0.0</v>
      </c>
      <c r="I2919" s="2" t="s">
        <v>40</v>
      </c>
      <c r="J2919" s="2"/>
      <c r="K2919" s="2" t="s">
        <v>7848</v>
      </c>
      <c r="L2919" s="12">
        <v>301.0</v>
      </c>
      <c r="M2919" s="2" t="s">
        <v>7849</v>
      </c>
      <c r="N2919" s="2" t="str">
        <f>IFERROR(__xludf.DUMMYFUNCTION("""COMPUTED_VALUE"""),"")</f>
        <v/>
      </c>
    </row>
    <row r="2920">
      <c r="A2920" s="2" t="s">
        <v>33</v>
      </c>
      <c r="B2920" s="12">
        <v>2826267.0</v>
      </c>
      <c r="C2920" s="12">
        <v>2826881.0</v>
      </c>
      <c r="D2920" s="2"/>
      <c r="E2920" s="2" t="s">
        <v>34</v>
      </c>
      <c r="F2920" s="2" t="s">
        <v>2843</v>
      </c>
      <c r="G2920" s="2"/>
      <c r="H2920" s="12">
        <v>0.0</v>
      </c>
      <c r="I2920" s="2" t="s">
        <v>40</v>
      </c>
      <c r="J2920" s="2"/>
      <c r="K2920" s="2" t="s">
        <v>7850</v>
      </c>
      <c r="L2920" s="12">
        <v>204.0</v>
      </c>
      <c r="M2920" s="2" t="s">
        <v>7851</v>
      </c>
      <c r="N2920" s="2" t="str">
        <f>IFERROR(__xludf.DUMMYFUNCTION("""COMPUTED_VALUE"""),"")</f>
        <v/>
      </c>
    </row>
    <row r="2921">
      <c r="A2921" s="2" t="s">
        <v>33</v>
      </c>
      <c r="B2921" s="12">
        <v>2826881.0</v>
      </c>
      <c r="C2921" s="12">
        <v>2828152.0</v>
      </c>
      <c r="D2921" s="2"/>
      <c r="E2921" s="2" t="s">
        <v>34</v>
      </c>
      <c r="F2921" s="2" t="s">
        <v>1056</v>
      </c>
      <c r="G2921" s="2"/>
      <c r="H2921" s="12">
        <v>0.0</v>
      </c>
      <c r="I2921" s="2" t="s">
        <v>40</v>
      </c>
      <c r="J2921" s="2"/>
      <c r="K2921" s="2" t="s">
        <v>7852</v>
      </c>
      <c r="L2921" s="12">
        <v>423.0</v>
      </c>
      <c r="M2921" s="2" t="s">
        <v>7853</v>
      </c>
      <c r="N2921" s="2" t="str">
        <f>IFERROR(__xludf.DUMMYFUNCTION("""COMPUTED_VALUE"""),"")</f>
        <v/>
      </c>
    </row>
    <row r="2922">
      <c r="A2922" s="2" t="s">
        <v>33</v>
      </c>
      <c r="B2922" s="12">
        <v>2828202.0</v>
      </c>
      <c r="C2922" s="12">
        <v>2829644.0</v>
      </c>
      <c r="D2922" s="2"/>
      <c r="E2922" s="2" t="s">
        <v>34</v>
      </c>
      <c r="F2922" s="2" t="s">
        <v>7854</v>
      </c>
      <c r="G2922" s="2"/>
      <c r="H2922" s="12">
        <v>0.0</v>
      </c>
      <c r="I2922" s="2" t="s">
        <v>40</v>
      </c>
      <c r="J2922" s="2"/>
      <c r="K2922" s="2" t="s">
        <v>7855</v>
      </c>
      <c r="L2922" s="12">
        <v>480.0</v>
      </c>
      <c r="M2922" s="2" t="s">
        <v>7856</v>
      </c>
      <c r="N2922" s="2" t="str">
        <f>IFERROR(__xludf.DUMMYFUNCTION("""COMPUTED_VALUE"""),"")</f>
        <v/>
      </c>
    </row>
    <row r="2923">
      <c r="A2923" s="2" t="s">
        <v>33</v>
      </c>
      <c r="B2923" s="12">
        <v>2829692.0</v>
      </c>
      <c r="C2923" s="12">
        <v>2830651.0</v>
      </c>
      <c r="D2923" s="2"/>
      <c r="E2923" s="2" t="s">
        <v>34</v>
      </c>
      <c r="F2923" s="2" t="s">
        <v>1056</v>
      </c>
      <c r="G2923" s="2"/>
      <c r="H2923" s="12">
        <v>0.0</v>
      </c>
      <c r="I2923" s="2" t="s">
        <v>40</v>
      </c>
      <c r="J2923" s="2"/>
      <c r="K2923" s="2" t="s">
        <v>7857</v>
      </c>
      <c r="L2923" s="12">
        <v>319.0</v>
      </c>
      <c r="M2923" s="2" t="s">
        <v>7858</v>
      </c>
      <c r="N2923" s="2" t="str">
        <f>IFERROR(__xludf.DUMMYFUNCTION("""COMPUTED_VALUE"""),"")</f>
        <v/>
      </c>
    </row>
    <row r="2924">
      <c r="A2924" s="2" t="s">
        <v>33</v>
      </c>
      <c r="B2924" s="12">
        <v>2830803.0</v>
      </c>
      <c r="C2924" s="12">
        <v>2832224.0</v>
      </c>
      <c r="D2924" s="2"/>
      <c r="E2924" s="2" t="s">
        <v>34</v>
      </c>
      <c r="F2924" s="2" t="s">
        <v>7859</v>
      </c>
      <c r="G2924" s="2"/>
      <c r="H2924" s="12">
        <v>0.0</v>
      </c>
      <c r="I2924" s="2" t="s">
        <v>40</v>
      </c>
      <c r="J2924" s="2"/>
      <c r="K2924" s="2" t="s">
        <v>7860</v>
      </c>
      <c r="L2924" s="12">
        <v>473.0</v>
      </c>
      <c r="M2924" s="2" t="s">
        <v>7861</v>
      </c>
      <c r="N2924" s="2" t="str">
        <f>IFERROR(__xludf.DUMMYFUNCTION("""COMPUTED_VALUE"""),"")</f>
        <v/>
      </c>
    </row>
    <row r="2925">
      <c r="A2925" s="2" t="s">
        <v>33</v>
      </c>
      <c r="B2925" s="12">
        <v>2832365.0</v>
      </c>
      <c r="C2925" s="12">
        <v>2833279.0</v>
      </c>
      <c r="D2925" s="2"/>
      <c r="E2925" s="2" t="s">
        <v>34</v>
      </c>
      <c r="F2925" s="2" t="s">
        <v>7862</v>
      </c>
      <c r="G2925" s="2"/>
      <c r="H2925" s="12">
        <v>0.0</v>
      </c>
      <c r="I2925" s="2" t="s">
        <v>40</v>
      </c>
      <c r="J2925" s="2"/>
      <c r="K2925" s="2" t="s">
        <v>7863</v>
      </c>
      <c r="L2925" s="12">
        <v>304.0</v>
      </c>
      <c r="M2925" s="2" t="s">
        <v>7864</v>
      </c>
      <c r="N2925" s="2" t="str">
        <f>IFERROR(__xludf.DUMMYFUNCTION("""COMPUTED_VALUE"""),"")</f>
        <v/>
      </c>
    </row>
    <row r="2926">
      <c r="A2926" s="2" t="s">
        <v>33</v>
      </c>
      <c r="B2926" s="12">
        <v>2833378.0</v>
      </c>
      <c r="C2926" s="12">
        <v>2834208.0</v>
      </c>
      <c r="D2926" s="2"/>
      <c r="E2926" s="2" t="s">
        <v>34</v>
      </c>
      <c r="F2926" s="2" t="s">
        <v>491</v>
      </c>
      <c r="G2926" s="2"/>
      <c r="H2926" s="12">
        <v>0.0</v>
      </c>
      <c r="I2926" s="2" t="s">
        <v>40</v>
      </c>
      <c r="J2926" s="2"/>
      <c r="K2926" s="2" t="s">
        <v>7865</v>
      </c>
      <c r="L2926" s="12">
        <v>276.0</v>
      </c>
      <c r="M2926" s="2" t="s">
        <v>7866</v>
      </c>
      <c r="N2926" s="2" t="str">
        <f>IFERROR(__xludf.DUMMYFUNCTION("""COMPUTED_VALUE"""),"")</f>
        <v/>
      </c>
    </row>
    <row r="2927">
      <c r="A2927" s="2" t="s">
        <v>33</v>
      </c>
      <c r="B2927" s="12">
        <v>2834293.0</v>
      </c>
      <c r="C2927" s="12">
        <v>2835285.0</v>
      </c>
      <c r="D2927" s="2"/>
      <c r="E2927" s="2" t="s">
        <v>34</v>
      </c>
      <c r="F2927" s="2" t="s">
        <v>7335</v>
      </c>
      <c r="G2927" s="2" t="s">
        <v>7336</v>
      </c>
      <c r="H2927" s="12">
        <v>0.0</v>
      </c>
      <c r="I2927" s="2" t="s">
        <v>40</v>
      </c>
      <c r="J2927" s="2"/>
      <c r="K2927" s="2" t="s">
        <v>7867</v>
      </c>
      <c r="L2927" s="12">
        <v>330.0</v>
      </c>
      <c r="M2927" s="2" t="s">
        <v>7868</v>
      </c>
      <c r="N2927" s="2" t="str">
        <f>IFERROR(__xludf.DUMMYFUNCTION("""COMPUTED_VALUE"""),"")</f>
        <v/>
      </c>
    </row>
    <row r="2928">
      <c r="A2928" s="2" t="s">
        <v>33</v>
      </c>
      <c r="B2928" s="12">
        <v>2835406.0</v>
      </c>
      <c r="C2928" s="12">
        <v>2836077.0</v>
      </c>
      <c r="D2928" s="2"/>
      <c r="E2928" s="2" t="s">
        <v>34</v>
      </c>
      <c r="F2928" s="2" t="s">
        <v>379</v>
      </c>
      <c r="G2928" s="2"/>
      <c r="H2928" s="12">
        <v>0.0</v>
      </c>
      <c r="I2928" s="2" t="s">
        <v>40</v>
      </c>
      <c r="J2928" s="2"/>
      <c r="K2928" s="2" t="s">
        <v>7869</v>
      </c>
      <c r="L2928" s="12">
        <v>223.0</v>
      </c>
      <c r="M2928" s="2" t="s">
        <v>7870</v>
      </c>
      <c r="N2928" s="2" t="str">
        <f>IFERROR(__xludf.DUMMYFUNCTION("""COMPUTED_VALUE"""),"")</f>
        <v/>
      </c>
    </row>
    <row r="2929">
      <c r="A2929" s="2" t="s">
        <v>33</v>
      </c>
      <c r="B2929" s="12">
        <v>2836089.0</v>
      </c>
      <c r="C2929" s="12">
        <v>2837519.0</v>
      </c>
      <c r="D2929" s="2"/>
      <c r="E2929" s="2" t="s">
        <v>34</v>
      </c>
      <c r="F2929" s="2" t="s">
        <v>5460</v>
      </c>
      <c r="G2929" s="2"/>
      <c r="H2929" s="12">
        <v>0.0</v>
      </c>
      <c r="I2929" s="2" t="s">
        <v>40</v>
      </c>
      <c r="J2929" s="2"/>
      <c r="K2929" s="2" t="s">
        <v>7871</v>
      </c>
      <c r="L2929" s="12">
        <v>476.0</v>
      </c>
      <c r="M2929" s="2" t="s">
        <v>7872</v>
      </c>
      <c r="N2929" s="2" t="str">
        <f>IFERROR(__xludf.DUMMYFUNCTION("""COMPUTED_VALUE"""),"")</f>
        <v/>
      </c>
    </row>
    <row r="2930">
      <c r="A2930" s="2" t="s">
        <v>33</v>
      </c>
      <c r="B2930" s="12">
        <v>2837586.0</v>
      </c>
      <c r="C2930" s="12">
        <v>2838368.0</v>
      </c>
      <c r="D2930" s="2"/>
      <c r="E2930" s="2" t="s">
        <v>34</v>
      </c>
      <c r="F2930" s="2" t="s">
        <v>7873</v>
      </c>
      <c r="G2930" s="2"/>
      <c r="H2930" s="12">
        <v>0.0</v>
      </c>
      <c r="I2930" s="2" t="s">
        <v>40</v>
      </c>
      <c r="J2930" s="2"/>
      <c r="K2930" s="2" t="s">
        <v>7874</v>
      </c>
      <c r="L2930" s="12">
        <v>260.0</v>
      </c>
      <c r="M2930" s="2" t="s">
        <v>7875</v>
      </c>
      <c r="N2930" s="2" t="str">
        <f>IFERROR(__xludf.DUMMYFUNCTION("""COMPUTED_VALUE"""),"")</f>
        <v/>
      </c>
    </row>
    <row r="2931">
      <c r="A2931" s="2" t="s">
        <v>33</v>
      </c>
      <c r="B2931" s="12">
        <v>2838365.0</v>
      </c>
      <c r="C2931" s="12">
        <v>2839399.0</v>
      </c>
      <c r="D2931" s="2"/>
      <c r="E2931" s="2" t="s">
        <v>34</v>
      </c>
      <c r="F2931" s="2" t="s">
        <v>1113</v>
      </c>
      <c r="G2931" s="2"/>
      <c r="H2931" s="12">
        <v>0.0</v>
      </c>
      <c r="I2931" s="2" t="s">
        <v>40</v>
      </c>
      <c r="J2931" s="2"/>
      <c r="K2931" s="2" t="s">
        <v>7876</v>
      </c>
      <c r="L2931" s="12">
        <v>344.0</v>
      </c>
      <c r="M2931" s="2" t="s">
        <v>7877</v>
      </c>
      <c r="N2931" s="2" t="str">
        <f>IFERROR(__xludf.DUMMYFUNCTION("""COMPUTED_VALUE"""),"")</f>
        <v/>
      </c>
    </row>
    <row r="2932">
      <c r="A2932" s="2" t="s">
        <v>33</v>
      </c>
      <c r="B2932" s="12">
        <v>2839419.0</v>
      </c>
      <c r="C2932" s="12">
        <v>2840753.0</v>
      </c>
      <c r="D2932" s="2"/>
      <c r="E2932" s="2" t="s">
        <v>34</v>
      </c>
      <c r="F2932" s="2" t="s">
        <v>88</v>
      </c>
      <c r="G2932" s="2"/>
      <c r="H2932" s="12">
        <v>0.0</v>
      </c>
      <c r="I2932" s="2" t="s">
        <v>40</v>
      </c>
      <c r="J2932" s="2"/>
      <c r="K2932" s="2" t="s">
        <v>7878</v>
      </c>
      <c r="L2932" s="12">
        <v>444.0</v>
      </c>
      <c r="M2932" s="2" t="s">
        <v>7879</v>
      </c>
      <c r="N2932" s="2" t="str">
        <f>IFERROR(__xludf.DUMMYFUNCTION("""COMPUTED_VALUE"""),"")</f>
        <v/>
      </c>
    </row>
    <row r="2933">
      <c r="A2933" s="2" t="s">
        <v>33</v>
      </c>
      <c r="B2933" s="12">
        <v>2840863.0</v>
      </c>
      <c r="C2933" s="12">
        <v>2841375.0</v>
      </c>
      <c r="D2933" s="2"/>
      <c r="E2933" s="2" t="s">
        <v>38</v>
      </c>
      <c r="F2933" s="2" t="s">
        <v>7880</v>
      </c>
      <c r="G2933" s="2"/>
      <c r="H2933" s="12">
        <v>0.0</v>
      </c>
      <c r="I2933" s="2" t="s">
        <v>40</v>
      </c>
      <c r="J2933" s="2"/>
      <c r="K2933" s="2" t="s">
        <v>7881</v>
      </c>
      <c r="L2933" s="12">
        <v>170.0</v>
      </c>
      <c r="M2933" s="2" t="s">
        <v>7882</v>
      </c>
      <c r="N2933" s="2" t="str">
        <f>IFERROR(__xludf.DUMMYFUNCTION("""COMPUTED_VALUE"""),"")</f>
        <v/>
      </c>
    </row>
    <row r="2934">
      <c r="A2934" s="2" t="s">
        <v>33</v>
      </c>
      <c r="B2934" s="12">
        <v>2841376.0</v>
      </c>
      <c r="C2934" s="12">
        <v>2841567.0</v>
      </c>
      <c r="D2934" s="2"/>
      <c r="E2934" s="2" t="s">
        <v>38</v>
      </c>
      <c r="F2934" s="2" t="s">
        <v>220</v>
      </c>
      <c r="G2934" s="2"/>
      <c r="H2934" s="12">
        <v>0.0</v>
      </c>
      <c r="I2934" s="2" t="s">
        <v>40</v>
      </c>
      <c r="J2934" s="2"/>
      <c r="K2934" s="2" t="s">
        <v>7883</v>
      </c>
      <c r="L2934" s="12">
        <v>63.0</v>
      </c>
      <c r="M2934" s="2" t="s">
        <v>7884</v>
      </c>
      <c r="N2934" s="2" t="str">
        <f>IFERROR(__xludf.DUMMYFUNCTION("""COMPUTED_VALUE"""),"")</f>
        <v/>
      </c>
    </row>
    <row r="2935">
      <c r="A2935" s="2" t="s">
        <v>33</v>
      </c>
      <c r="B2935" s="12">
        <v>2841952.0</v>
      </c>
      <c r="C2935" s="12">
        <v>2843145.0</v>
      </c>
      <c r="D2935" s="2"/>
      <c r="E2935" s="2" t="s">
        <v>34</v>
      </c>
      <c r="F2935" s="2" t="s">
        <v>4998</v>
      </c>
      <c r="G2935" s="2"/>
      <c r="H2935" s="12">
        <v>0.0</v>
      </c>
      <c r="I2935" s="2" t="s">
        <v>40</v>
      </c>
      <c r="J2935" s="2"/>
      <c r="K2935" s="2" t="s">
        <v>7885</v>
      </c>
      <c r="L2935" s="12">
        <v>397.0</v>
      </c>
      <c r="M2935" s="2" t="s">
        <v>7886</v>
      </c>
      <c r="N2935" s="2" t="str">
        <f>IFERROR(__xludf.DUMMYFUNCTION("""COMPUTED_VALUE"""),"")</f>
        <v/>
      </c>
    </row>
    <row r="2936">
      <c r="A2936" s="2" t="s">
        <v>33</v>
      </c>
      <c r="B2936" s="12">
        <v>2843142.0</v>
      </c>
      <c r="C2936" s="12">
        <v>2843822.0</v>
      </c>
      <c r="D2936" s="2"/>
      <c r="E2936" s="2" t="s">
        <v>34</v>
      </c>
      <c r="F2936" s="2" t="s">
        <v>432</v>
      </c>
      <c r="G2936" s="2"/>
      <c r="H2936" s="12">
        <v>0.0</v>
      </c>
      <c r="I2936" s="2" t="s">
        <v>40</v>
      </c>
      <c r="J2936" s="2"/>
      <c r="K2936" s="2" t="s">
        <v>7887</v>
      </c>
      <c r="L2936" s="12">
        <v>226.0</v>
      </c>
      <c r="M2936" s="2" t="s">
        <v>7888</v>
      </c>
      <c r="N2936" s="2" t="str">
        <f>IFERROR(__xludf.DUMMYFUNCTION("""COMPUTED_VALUE"""),"")</f>
        <v/>
      </c>
    </row>
    <row r="2937">
      <c r="A2937" s="2" t="s">
        <v>33</v>
      </c>
      <c r="B2937" s="12">
        <v>2843819.0</v>
      </c>
      <c r="C2937" s="12">
        <v>2845021.0</v>
      </c>
      <c r="D2937" s="2"/>
      <c r="E2937" s="2" t="s">
        <v>34</v>
      </c>
      <c r="F2937" s="2" t="s">
        <v>265</v>
      </c>
      <c r="G2937" s="2"/>
      <c r="H2937" s="12">
        <v>0.0</v>
      </c>
      <c r="I2937" s="2" t="s">
        <v>40</v>
      </c>
      <c r="J2937" s="2"/>
      <c r="K2937" s="2" t="s">
        <v>7889</v>
      </c>
      <c r="L2937" s="12">
        <v>400.0</v>
      </c>
      <c r="M2937" s="2" t="s">
        <v>7890</v>
      </c>
      <c r="N2937" s="2" t="str">
        <f>IFERROR(__xludf.DUMMYFUNCTION("""COMPUTED_VALUE"""),"")</f>
        <v/>
      </c>
    </row>
    <row r="2938">
      <c r="A2938" s="2" t="s">
        <v>33</v>
      </c>
      <c r="B2938" s="12">
        <v>2845135.0</v>
      </c>
      <c r="C2938" s="12">
        <v>2845803.0</v>
      </c>
      <c r="D2938" s="2"/>
      <c r="E2938" s="2" t="s">
        <v>34</v>
      </c>
      <c r="F2938" s="2" t="s">
        <v>7891</v>
      </c>
      <c r="G2938" s="2"/>
      <c r="H2938" s="12">
        <v>0.0</v>
      </c>
      <c r="I2938" s="2" t="s">
        <v>40</v>
      </c>
      <c r="J2938" s="2"/>
      <c r="K2938" s="2" t="s">
        <v>7892</v>
      </c>
      <c r="L2938" s="12">
        <v>222.0</v>
      </c>
      <c r="M2938" s="2" t="s">
        <v>7893</v>
      </c>
      <c r="N2938" s="2" t="str">
        <f>IFERROR(__xludf.DUMMYFUNCTION("""COMPUTED_VALUE"""),"")</f>
        <v/>
      </c>
    </row>
    <row r="2939">
      <c r="A2939" s="2" t="s">
        <v>33</v>
      </c>
      <c r="B2939" s="12">
        <v>2846022.0</v>
      </c>
      <c r="C2939" s="12">
        <v>2846492.0</v>
      </c>
      <c r="D2939" s="2"/>
      <c r="E2939" s="2" t="s">
        <v>34</v>
      </c>
      <c r="F2939" s="2" t="s">
        <v>651</v>
      </c>
      <c r="G2939" s="2"/>
      <c r="H2939" s="12">
        <v>0.0</v>
      </c>
      <c r="I2939" s="2" t="s">
        <v>40</v>
      </c>
      <c r="J2939" s="2"/>
      <c r="K2939" s="2" t="s">
        <v>7894</v>
      </c>
      <c r="L2939" s="12">
        <v>156.0</v>
      </c>
      <c r="M2939" s="2" t="s">
        <v>7895</v>
      </c>
      <c r="N2939" s="2" t="str">
        <f>IFERROR(__xludf.DUMMYFUNCTION("""COMPUTED_VALUE"""),"")</f>
        <v/>
      </c>
    </row>
    <row r="2940">
      <c r="A2940" s="2" t="s">
        <v>33</v>
      </c>
      <c r="B2940" s="12">
        <v>2846552.0</v>
      </c>
      <c r="C2940" s="12">
        <v>2847028.0</v>
      </c>
      <c r="D2940" s="2"/>
      <c r="E2940" s="2" t="s">
        <v>38</v>
      </c>
      <c r="F2940" s="2" t="s">
        <v>4170</v>
      </c>
      <c r="G2940" s="2"/>
      <c r="H2940" s="12">
        <v>0.0</v>
      </c>
      <c r="I2940" s="2" t="s">
        <v>40</v>
      </c>
      <c r="J2940" s="2"/>
      <c r="K2940" s="2" t="s">
        <v>7896</v>
      </c>
      <c r="L2940" s="12">
        <v>158.0</v>
      </c>
      <c r="M2940" s="2" t="s">
        <v>7897</v>
      </c>
      <c r="N2940" s="2" t="str">
        <f>IFERROR(__xludf.DUMMYFUNCTION("""COMPUTED_VALUE"""),"")</f>
        <v/>
      </c>
    </row>
    <row r="2941">
      <c r="A2941" s="2" t="s">
        <v>33</v>
      </c>
      <c r="B2941" s="12">
        <v>2847221.0</v>
      </c>
      <c r="C2941" s="12">
        <v>2847619.0</v>
      </c>
      <c r="D2941" s="2"/>
      <c r="E2941" s="2" t="s">
        <v>34</v>
      </c>
      <c r="F2941" s="2" t="s">
        <v>7898</v>
      </c>
      <c r="G2941" s="2"/>
      <c r="H2941" s="12">
        <v>0.0</v>
      </c>
      <c r="I2941" s="2" t="s">
        <v>40</v>
      </c>
      <c r="J2941" s="2"/>
      <c r="K2941" s="2" t="s">
        <v>7899</v>
      </c>
      <c r="L2941" s="12">
        <v>132.0</v>
      </c>
      <c r="M2941" s="2" t="s">
        <v>7900</v>
      </c>
      <c r="N2941" s="2" t="str">
        <f>IFERROR(__xludf.DUMMYFUNCTION("""COMPUTED_VALUE"""),"")</f>
        <v/>
      </c>
    </row>
    <row r="2942">
      <c r="A2942" s="2" t="s">
        <v>33</v>
      </c>
      <c r="B2942" s="12">
        <v>2847641.0</v>
      </c>
      <c r="C2942" s="12">
        <v>2847856.0</v>
      </c>
      <c r="D2942" s="2"/>
      <c r="E2942" s="2" t="s">
        <v>38</v>
      </c>
      <c r="F2942" s="2" t="s">
        <v>7901</v>
      </c>
      <c r="G2942" s="2"/>
      <c r="H2942" s="12">
        <v>0.0</v>
      </c>
      <c r="I2942" s="2" t="s">
        <v>40</v>
      </c>
      <c r="J2942" s="2"/>
      <c r="K2942" s="2" t="s">
        <v>7902</v>
      </c>
      <c r="L2942" s="12">
        <v>71.0</v>
      </c>
      <c r="M2942" s="2" t="s">
        <v>7903</v>
      </c>
      <c r="N2942" s="2" t="str">
        <f>IFERROR(__xludf.DUMMYFUNCTION("""COMPUTED_VALUE"""),"")</f>
        <v/>
      </c>
    </row>
    <row r="2943">
      <c r="A2943" s="2" t="s">
        <v>33</v>
      </c>
      <c r="B2943" s="12">
        <v>2847973.0</v>
      </c>
      <c r="C2943" s="12">
        <v>2848197.0</v>
      </c>
      <c r="D2943" s="2"/>
      <c r="E2943" s="2" t="s">
        <v>38</v>
      </c>
      <c r="F2943" s="2" t="s">
        <v>7904</v>
      </c>
      <c r="G2943" s="2"/>
      <c r="H2943" s="12">
        <v>0.0</v>
      </c>
      <c r="I2943" s="2" t="s">
        <v>40</v>
      </c>
      <c r="J2943" s="2"/>
      <c r="K2943" s="2" t="s">
        <v>7905</v>
      </c>
      <c r="L2943" s="12">
        <v>74.0</v>
      </c>
      <c r="M2943" s="2" t="s">
        <v>7906</v>
      </c>
      <c r="N2943" s="2" t="str">
        <f>IFERROR(__xludf.DUMMYFUNCTION("""COMPUTED_VALUE"""),"")</f>
        <v/>
      </c>
    </row>
    <row r="2944">
      <c r="A2944" s="2" t="s">
        <v>33</v>
      </c>
      <c r="B2944" s="12">
        <v>2848309.0</v>
      </c>
      <c r="C2944" s="12">
        <v>2848794.0</v>
      </c>
      <c r="D2944" s="2"/>
      <c r="E2944" s="2" t="s">
        <v>34</v>
      </c>
      <c r="F2944" s="2" t="s">
        <v>4418</v>
      </c>
      <c r="G2944" s="2"/>
      <c r="H2944" s="12">
        <v>0.0</v>
      </c>
      <c r="I2944" s="2" t="s">
        <v>40</v>
      </c>
      <c r="J2944" s="2"/>
      <c r="K2944" s="2" t="s">
        <v>7907</v>
      </c>
      <c r="L2944" s="12">
        <v>161.0</v>
      </c>
      <c r="M2944" s="2" t="s">
        <v>7908</v>
      </c>
      <c r="N2944" s="2" t="str">
        <f>IFERROR(__xludf.DUMMYFUNCTION("""COMPUTED_VALUE"""),"")</f>
        <v/>
      </c>
    </row>
    <row r="2945">
      <c r="A2945" s="2" t="s">
        <v>33</v>
      </c>
      <c r="B2945" s="12">
        <v>2848858.0</v>
      </c>
      <c r="C2945" s="12">
        <v>2851614.0</v>
      </c>
      <c r="D2945" s="2"/>
      <c r="E2945" s="2" t="s">
        <v>38</v>
      </c>
      <c r="F2945" s="2" t="s">
        <v>594</v>
      </c>
      <c r="G2945" s="2"/>
      <c r="H2945" s="12">
        <v>0.0</v>
      </c>
      <c r="I2945" s="2" t="s">
        <v>40</v>
      </c>
      <c r="J2945" s="2"/>
      <c r="K2945" s="2" t="s">
        <v>7909</v>
      </c>
      <c r="L2945" s="12">
        <v>918.0</v>
      </c>
      <c r="M2945" s="2" t="s">
        <v>7910</v>
      </c>
      <c r="N2945" s="2" t="str">
        <f>IFERROR(__xludf.DUMMYFUNCTION("""COMPUTED_VALUE"""),"")</f>
        <v/>
      </c>
    </row>
    <row r="2946">
      <c r="A2946" s="2" t="s">
        <v>33</v>
      </c>
      <c r="B2946" s="12">
        <v>2851598.0</v>
      </c>
      <c r="C2946" s="12">
        <v>2853217.0</v>
      </c>
      <c r="D2946" s="2"/>
      <c r="E2946" s="2" t="s">
        <v>38</v>
      </c>
      <c r="F2946" s="2" t="s">
        <v>7911</v>
      </c>
      <c r="G2946" s="2"/>
      <c r="H2946" s="12">
        <v>0.0</v>
      </c>
      <c r="I2946" s="2" t="s">
        <v>40</v>
      </c>
      <c r="J2946" s="2"/>
      <c r="K2946" s="2" t="s">
        <v>7912</v>
      </c>
      <c r="L2946" s="12">
        <v>539.0</v>
      </c>
      <c r="M2946" s="2" t="s">
        <v>7913</v>
      </c>
      <c r="N2946" s="2" t="str">
        <f>IFERROR(__xludf.DUMMYFUNCTION("""COMPUTED_VALUE"""),"")</f>
        <v/>
      </c>
    </row>
    <row r="2947">
      <c r="A2947" s="2" t="s">
        <v>33</v>
      </c>
      <c r="B2947" s="12">
        <v>2853376.0</v>
      </c>
      <c r="C2947" s="12">
        <v>2853867.0</v>
      </c>
      <c r="D2947" s="2"/>
      <c r="E2947" s="2" t="s">
        <v>34</v>
      </c>
      <c r="F2947" s="2" t="s">
        <v>3848</v>
      </c>
      <c r="G2947" s="2"/>
      <c r="H2947" s="12">
        <v>0.0</v>
      </c>
      <c r="I2947" s="2" t="s">
        <v>40</v>
      </c>
      <c r="J2947" s="2"/>
      <c r="K2947" s="2" t="s">
        <v>7914</v>
      </c>
      <c r="L2947" s="12">
        <v>163.0</v>
      </c>
      <c r="M2947" s="2" t="s">
        <v>7915</v>
      </c>
      <c r="N2947" s="2" t="str">
        <f>IFERROR(__xludf.DUMMYFUNCTION("""COMPUTED_VALUE"""),"")</f>
        <v/>
      </c>
    </row>
    <row r="2948">
      <c r="A2948" s="2" t="s">
        <v>33</v>
      </c>
      <c r="B2948" s="12">
        <v>2853873.0</v>
      </c>
      <c r="C2948" s="12">
        <v>2855423.0</v>
      </c>
      <c r="D2948" s="2"/>
      <c r="E2948" s="2" t="s">
        <v>34</v>
      </c>
      <c r="F2948" s="2" t="s">
        <v>3848</v>
      </c>
      <c r="G2948" s="2"/>
      <c r="H2948" s="12">
        <v>0.0</v>
      </c>
      <c r="I2948" s="2" t="s">
        <v>40</v>
      </c>
      <c r="J2948" s="2"/>
      <c r="K2948" s="2" t="s">
        <v>7916</v>
      </c>
      <c r="L2948" s="12">
        <v>516.0</v>
      </c>
      <c r="M2948" s="2" t="s">
        <v>7917</v>
      </c>
      <c r="N2948" s="2" t="str">
        <f>IFERROR(__xludf.DUMMYFUNCTION("""COMPUTED_VALUE"""),"")</f>
        <v/>
      </c>
    </row>
    <row r="2949">
      <c r="A2949" s="2" t="s">
        <v>33</v>
      </c>
      <c r="B2949" s="12">
        <v>2855436.0</v>
      </c>
      <c r="C2949" s="12">
        <v>2856815.0</v>
      </c>
      <c r="D2949" s="2"/>
      <c r="E2949" s="2" t="s">
        <v>34</v>
      </c>
      <c r="F2949" s="2" t="s">
        <v>3848</v>
      </c>
      <c r="G2949" s="2"/>
      <c r="H2949" s="12">
        <v>0.0</v>
      </c>
      <c r="I2949" s="2" t="s">
        <v>40</v>
      </c>
      <c r="J2949" s="2"/>
      <c r="K2949" s="2" t="s">
        <v>7918</v>
      </c>
      <c r="L2949" s="12">
        <v>459.0</v>
      </c>
      <c r="M2949" s="2" t="s">
        <v>7919</v>
      </c>
      <c r="N2949" s="2" t="str">
        <f>IFERROR(__xludf.DUMMYFUNCTION("""COMPUTED_VALUE"""),"")</f>
        <v/>
      </c>
    </row>
    <row r="2950">
      <c r="A2950" s="2" t="s">
        <v>33</v>
      </c>
      <c r="B2950" s="12">
        <v>2856946.0</v>
      </c>
      <c r="C2950" s="12">
        <v>2857248.0</v>
      </c>
      <c r="D2950" s="2"/>
      <c r="E2950" s="2" t="s">
        <v>38</v>
      </c>
      <c r="F2950" s="2" t="s">
        <v>7920</v>
      </c>
      <c r="G2950" s="2"/>
      <c r="H2950" s="12">
        <v>0.0</v>
      </c>
      <c r="I2950" s="2" t="s">
        <v>40</v>
      </c>
      <c r="J2950" s="2"/>
      <c r="K2950" s="2" t="s">
        <v>7921</v>
      </c>
      <c r="L2950" s="12">
        <v>100.0</v>
      </c>
      <c r="M2950" s="2" t="s">
        <v>7922</v>
      </c>
      <c r="N2950" s="2" t="str">
        <f>IFERROR(__xludf.DUMMYFUNCTION("""COMPUTED_VALUE"""),"")</f>
        <v/>
      </c>
    </row>
    <row r="2951">
      <c r="A2951" s="2" t="s">
        <v>33</v>
      </c>
      <c r="B2951" s="12">
        <v>2857334.0</v>
      </c>
      <c r="C2951" s="12">
        <v>2858212.0</v>
      </c>
      <c r="D2951" s="2"/>
      <c r="E2951" s="2" t="s">
        <v>38</v>
      </c>
      <c r="F2951" s="2" t="s">
        <v>7923</v>
      </c>
      <c r="G2951" s="2"/>
      <c r="H2951" s="12">
        <v>0.0</v>
      </c>
      <c r="I2951" s="2" t="s">
        <v>40</v>
      </c>
      <c r="J2951" s="2"/>
      <c r="K2951" s="2" t="s">
        <v>7924</v>
      </c>
      <c r="L2951" s="12">
        <v>292.0</v>
      </c>
      <c r="M2951" s="2" t="s">
        <v>7925</v>
      </c>
      <c r="N2951" s="2" t="str">
        <f>IFERROR(__xludf.DUMMYFUNCTION("""COMPUTED_VALUE"""),"")</f>
        <v/>
      </c>
    </row>
    <row r="2952">
      <c r="A2952" s="2" t="s">
        <v>33</v>
      </c>
      <c r="B2952" s="12">
        <v>2858877.0</v>
      </c>
      <c r="C2952" s="12">
        <v>2860391.0</v>
      </c>
      <c r="D2952" s="2"/>
      <c r="E2952" s="2" t="s">
        <v>34</v>
      </c>
      <c r="F2952" s="2" t="s">
        <v>5697</v>
      </c>
      <c r="G2952" s="2" t="s">
        <v>5698</v>
      </c>
      <c r="H2952" s="12">
        <v>0.0</v>
      </c>
      <c r="I2952" s="2" t="s">
        <v>40</v>
      </c>
      <c r="J2952" s="2"/>
      <c r="K2952" s="2" t="s">
        <v>7926</v>
      </c>
      <c r="L2952" s="12">
        <v>504.0</v>
      </c>
      <c r="M2952" s="2" t="s">
        <v>7927</v>
      </c>
      <c r="N2952" s="2" t="str">
        <f>IFERROR(__xludf.DUMMYFUNCTION("""COMPUTED_VALUE"""),"")</f>
        <v/>
      </c>
    </row>
    <row r="2953">
      <c r="A2953" s="2" t="s">
        <v>33</v>
      </c>
      <c r="B2953" s="12">
        <v>2861014.0</v>
      </c>
      <c r="C2953" s="12">
        <v>2862315.0</v>
      </c>
      <c r="D2953" s="2"/>
      <c r="E2953" s="2" t="s">
        <v>38</v>
      </c>
      <c r="F2953" s="2" t="s">
        <v>1056</v>
      </c>
      <c r="G2953" s="2"/>
      <c r="H2953" s="12">
        <v>0.0</v>
      </c>
      <c r="I2953" s="2" t="s">
        <v>40</v>
      </c>
      <c r="J2953" s="2"/>
      <c r="K2953" s="2" t="s">
        <v>7928</v>
      </c>
      <c r="L2953" s="12">
        <v>433.0</v>
      </c>
      <c r="M2953" s="2" t="s">
        <v>7929</v>
      </c>
      <c r="N2953" s="2" t="str">
        <f>IFERROR(__xludf.DUMMYFUNCTION("""COMPUTED_VALUE"""),"")</f>
        <v/>
      </c>
    </row>
    <row r="2954">
      <c r="A2954" s="2" t="s">
        <v>33</v>
      </c>
      <c r="B2954" s="12">
        <v>2862312.0</v>
      </c>
      <c r="C2954" s="12">
        <v>2863067.0</v>
      </c>
      <c r="D2954" s="2"/>
      <c r="E2954" s="2" t="s">
        <v>38</v>
      </c>
      <c r="F2954" s="2" t="s">
        <v>7930</v>
      </c>
      <c r="G2954" s="2"/>
      <c r="H2954" s="12">
        <v>0.0</v>
      </c>
      <c r="I2954" s="2" t="s">
        <v>40</v>
      </c>
      <c r="J2954" s="2"/>
      <c r="K2954" s="2" t="s">
        <v>7931</v>
      </c>
      <c r="L2954" s="12">
        <v>251.0</v>
      </c>
      <c r="M2954" s="2" t="s">
        <v>7932</v>
      </c>
      <c r="N2954" s="2" t="str">
        <f>IFERROR(__xludf.DUMMYFUNCTION("""COMPUTED_VALUE"""),"")</f>
        <v/>
      </c>
    </row>
    <row r="2955">
      <c r="A2955" s="2" t="s">
        <v>33</v>
      </c>
      <c r="B2955" s="12">
        <v>2863329.0</v>
      </c>
      <c r="C2955" s="12">
        <v>2864540.0</v>
      </c>
      <c r="D2955" s="2"/>
      <c r="E2955" s="2" t="s">
        <v>38</v>
      </c>
      <c r="F2955" s="2" t="s">
        <v>2184</v>
      </c>
      <c r="G2955" s="2"/>
      <c r="H2955" s="12">
        <v>0.0</v>
      </c>
      <c r="I2955" s="2" t="s">
        <v>40</v>
      </c>
      <c r="J2955" s="2"/>
      <c r="K2955" s="2" t="s">
        <v>7933</v>
      </c>
      <c r="L2955" s="12">
        <v>403.0</v>
      </c>
      <c r="M2955" s="2" t="s">
        <v>7934</v>
      </c>
      <c r="N2955" s="2" t="str">
        <f>IFERROR(__xludf.DUMMYFUNCTION("""COMPUTED_VALUE"""),"")</f>
        <v/>
      </c>
    </row>
    <row r="2956">
      <c r="A2956" s="2" t="s">
        <v>33</v>
      </c>
      <c r="B2956" s="12">
        <v>2864908.0</v>
      </c>
      <c r="C2956" s="12">
        <v>2866641.0</v>
      </c>
      <c r="D2956" s="2"/>
      <c r="E2956" s="2" t="s">
        <v>38</v>
      </c>
      <c r="F2956" s="2" t="s">
        <v>450</v>
      </c>
      <c r="G2956" s="2"/>
      <c r="H2956" s="12">
        <v>0.0</v>
      </c>
      <c r="I2956" s="2" t="s">
        <v>40</v>
      </c>
      <c r="J2956" s="2"/>
      <c r="K2956" s="2" t="s">
        <v>7935</v>
      </c>
      <c r="L2956" s="12">
        <v>577.0</v>
      </c>
      <c r="M2956" s="2" t="s">
        <v>7936</v>
      </c>
      <c r="N2956" s="2" t="str">
        <f>IFERROR(__xludf.DUMMYFUNCTION("""COMPUTED_VALUE"""),"")</f>
        <v/>
      </c>
    </row>
    <row r="2957">
      <c r="A2957" s="2" t="s">
        <v>33</v>
      </c>
      <c r="B2957" s="12">
        <v>2866851.0</v>
      </c>
      <c r="C2957" s="12">
        <v>2867735.0</v>
      </c>
      <c r="D2957" s="2"/>
      <c r="E2957" s="2" t="s">
        <v>38</v>
      </c>
      <c r="F2957" s="2" t="s">
        <v>1109</v>
      </c>
      <c r="G2957" s="2"/>
      <c r="H2957" s="12">
        <v>0.0</v>
      </c>
      <c r="I2957" s="2" t="s">
        <v>40</v>
      </c>
      <c r="J2957" s="2"/>
      <c r="K2957" s="2" t="s">
        <v>7937</v>
      </c>
      <c r="L2957" s="12">
        <v>294.0</v>
      </c>
      <c r="M2957" s="2" t="s">
        <v>7938</v>
      </c>
      <c r="N2957" s="2" t="str">
        <f>IFERROR(__xludf.DUMMYFUNCTION("""COMPUTED_VALUE"""),"")</f>
        <v/>
      </c>
    </row>
    <row r="2958">
      <c r="A2958" s="2" t="s">
        <v>33</v>
      </c>
      <c r="B2958" s="12">
        <v>2868366.0</v>
      </c>
      <c r="C2958" s="12">
        <v>2870294.0</v>
      </c>
      <c r="D2958" s="2"/>
      <c r="E2958" s="2" t="s">
        <v>38</v>
      </c>
      <c r="F2958" s="2" t="s">
        <v>3365</v>
      </c>
      <c r="G2958" s="2"/>
      <c r="H2958" s="12">
        <v>0.0</v>
      </c>
      <c r="I2958" s="2" t="s">
        <v>40</v>
      </c>
      <c r="J2958" s="2"/>
      <c r="K2958" s="2" t="s">
        <v>7939</v>
      </c>
      <c r="L2958" s="12">
        <v>642.0</v>
      </c>
      <c r="M2958" s="2" t="s">
        <v>7940</v>
      </c>
      <c r="N2958" s="2" t="str">
        <f>IFERROR(__xludf.DUMMYFUNCTION("""COMPUTED_VALUE"""),"")</f>
        <v/>
      </c>
    </row>
    <row r="2959">
      <c r="A2959" s="2" t="s">
        <v>33</v>
      </c>
      <c r="B2959" s="12">
        <v>2870841.0</v>
      </c>
      <c r="C2959" s="12">
        <v>2871206.0</v>
      </c>
      <c r="D2959" s="2"/>
      <c r="E2959" s="2" t="s">
        <v>34</v>
      </c>
      <c r="F2959" s="2" t="s">
        <v>604</v>
      </c>
      <c r="G2959" s="2"/>
      <c r="H2959" s="12">
        <v>0.0</v>
      </c>
      <c r="I2959" s="2" t="s">
        <v>40</v>
      </c>
      <c r="J2959" s="2"/>
      <c r="K2959" s="2" t="s">
        <v>7941</v>
      </c>
      <c r="L2959" s="12">
        <v>121.0</v>
      </c>
      <c r="M2959" s="2" t="s">
        <v>7942</v>
      </c>
      <c r="N2959" s="2" t="str">
        <f>IFERROR(__xludf.DUMMYFUNCTION("""COMPUTED_VALUE"""),"")</f>
        <v/>
      </c>
    </row>
    <row r="2960">
      <c r="A2960" s="2" t="s">
        <v>33</v>
      </c>
      <c r="B2960" s="12">
        <v>2871257.0</v>
      </c>
      <c r="C2960" s="12">
        <v>2871748.0</v>
      </c>
      <c r="D2960" s="2"/>
      <c r="E2960" s="2" t="s">
        <v>34</v>
      </c>
      <c r="F2960" s="2" t="s">
        <v>7943</v>
      </c>
      <c r="G2960" s="2"/>
      <c r="H2960" s="12">
        <v>0.0</v>
      </c>
      <c r="I2960" s="2" t="s">
        <v>40</v>
      </c>
      <c r="J2960" s="2"/>
      <c r="K2960" s="2" t="s">
        <v>7944</v>
      </c>
      <c r="L2960" s="12">
        <v>163.0</v>
      </c>
      <c r="M2960" s="2" t="s">
        <v>7945</v>
      </c>
      <c r="N2960" s="2" t="str">
        <f>IFERROR(__xludf.DUMMYFUNCTION("""COMPUTED_VALUE"""),"")</f>
        <v/>
      </c>
    </row>
    <row r="2961">
      <c r="A2961" s="2" t="s">
        <v>33</v>
      </c>
      <c r="B2961" s="12">
        <v>2871819.0</v>
      </c>
      <c r="C2961" s="12">
        <v>2872136.0</v>
      </c>
      <c r="D2961" s="2"/>
      <c r="E2961" s="2" t="s">
        <v>38</v>
      </c>
      <c r="F2961" s="2" t="s">
        <v>2758</v>
      </c>
      <c r="G2961" s="2"/>
      <c r="H2961" s="12">
        <v>0.0</v>
      </c>
      <c r="I2961" s="2" t="s">
        <v>40</v>
      </c>
      <c r="J2961" s="2"/>
      <c r="K2961" s="2" t="s">
        <v>7946</v>
      </c>
      <c r="L2961" s="12">
        <v>105.0</v>
      </c>
      <c r="M2961" s="2" t="s">
        <v>7947</v>
      </c>
      <c r="N2961" s="2" t="str">
        <f>IFERROR(__xludf.DUMMYFUNCTION("""COMPUTED_VALUE"""),"")</f>
        <v/>
      </c>
    </row>
    <row r="2962">
      <c r="A2962" s="2" t="s">
        <v>33</v>
      </c>
      <c r="B2962" s="12">
        <v>2872433.0</v>
      </c>
      <c r="C2962" s="12">
        <v>2874094.0</v>
      </c>
      <c r="D2962" s="2"/>
      <c r="E2962" s="2" t="s">
        <v>34</v>
      </c>
      <c r="F2962" s="2" t="s">
        <v>3856</v>
      </c>
      <c r="G2962" s="2" t="s">
        <v>7948</v>
      </c>
      <c r="H2962" s="12">
        <v>0.0</v>
      </c>
      <c r="I2962" s="2" t="s">
        <v>40</v>
      </c>
      <c r="J2962" s="2"/>
      <c r="K2962" s="2" t="s">
        <v>7949</v>
      </c>
      <c r="L2962" s="12">
        <v>553.0</v>
      </c>
      <c r="M2962" s="2" t="s">
        <v>7950</v>
      </c>
      <c r="N2962" s="2" t="str">
        <f>IFERROR(__xludf.DUMMYFUNCTION("""COMPUTED_VALUE"""),"")</f>
        <v/>
      </c>
    </row>
    <row r="2963">
      <c r="A2963" s="2" t="s">
        <v>33</v>
      </c>
      <c r="B2963" s="12">
        <v>2874394.0</v>
      </c>
      <c r="C2963" s="12">
        <v>2876154.0</v>
      </c>
      <c r="D2963" s="2"/>
      <c r="E2963" s="2" t="s">
        <v>34</v>
      </c>
      <c r="F2963" s="2" t="s">
        <v>7951</v>
      </c>
      <c r="G2963" s="2" t="s">
        <v>7952</v>
      </c>
      <c r="H2963" s="12">
        <v>0.0</v>
      </c>
      <c r="I2963" s="2" t="s">
        <v>40</v>
      </c>
      <c r="J2963" s="2"/>
      <c r="K2963" s="2" t="s">
        <v>7953</v>
      </c>
      <c r="L2963" s="12">
        <v>586.0</v>
      </c>
      <c r="M2963" s="2" t="s">
        <v>7954</v>
      </c>
      <c r="N2963" s="2" t="str">
        <f>IFERROR(__xludf.DUMMYFUNCTION("""COMPUTED_VALUE"""),"")</f>
        <v/>
      </c>
    </row>
    <row r="2964">
      <c r="A2964" s="2" t="s">
        <v>33</v>
      </c>
      <c r="B2964" s="12">
        <v>2876256.0</v>
      </c>
      <c r="C2964" s="12">
        <v>2877614.0</v>
      </c>
      <c r="D2964" s="2"/>
      <c r="E2964" s="2" t="s">
        <v>38</v>
      </c>
      <c r="F2964" s="2" t="s">
        <v>7955</v>
      </c>
      <c r="G2964" s="2"/>
      <c r="H2964" s="12">
        <v>0.0</v>
      </c>
      <c r="I2964" s="2" t="s">
        <v>40</v>
      </c>
      <c r="J2964" s="2"/>
      <c r="K2964" s="2" t="s">
        <v>7956</v>
      </c>
      <c r="L2964" s="12">
        <v>452.0</v>
      </c>
      <c r="M2964" s="2" t="s">
        <v>7957</v>
      </c>
      <c r="N2964" s="2" t="str">
        <f>IFERROR(__xludf.DUMMYFUNCTION("""COMPUTED_VALUE"""),"")</f>
        <v/>
      </c>
    </row>
    <row r="2965">
      <c r="A2965" s="2" t="s">
        <v>33</v>
      </c>
      <c r="B2965" s="12">
        <v>2878006.0</v>
      </c>
      <c r="C2965" s="12">
        <v>2879031.0</v>
      </c>
      <c r="D2965" s="2"/>
      <c r="E2965" s="2" t="s">
        <v>38</v>
      </c>
      <c r="F2965" s="2" t="s">
        <v>1876</v>
      </c>
      <c r="G2965" s="2"/>
      <c r="H2965" s="12">
        <v>0.0</v>
      </c>
      <c r="I2965" s="2" t="s">
        <v>40</v>
      </c>
      <c r="J2965" s="2"/>
      <c r="K2965" s="2" t="s">
        <v>7958</v>
      </c>
      <c r="L2965" s="12">
        <v>341.0</v>
      </c>
      <c r="M2965" s="2" t="s">
        <v>7959</v>
      </c>
      <c r="N2965" s="2" t="str">
        <f>IFERROR(__xludf.DUMMYFUNCTION("""COMPUTED_VALUE"""),"")</f>
        <v/>
      </c>
    </row>
    <row r="2966">
      <c r="A2966" s="2" t="s">
        <v>33</v>
      </c>
      <c r="B2966" s="12">
        <v>2879024.0</v>
      </c>
      <c r="C2966" s="12">
        <v>2880379.0</v>
      </c>
      <c r="D2966" s="2"/>
      <c r="E2966" s="2" t="s">
        <v>38</v>
      </c>
      <c r="F2966" s="2" t="s">
        <v>1880</v>
      </c>
      <c r="G2966" s="2" t="s">
        <v>1881</v>
      </c>
      <c r="H2966" s="12">
        <v>0.0</v>
      </c>
      <c r="I2966" s="2" t="s">
        <v>40</v>
      </c>
      <c r="J2966" s="2"/>
      <c r="K2966" s="2" t="s">
        <v>7960</v>
      </c>
      <c r="L2966" s="12">
        <v>451.0</v>
      </c>
      <c r="M2966" s="2" t="s">
        <v>7961</v>
      </c>
      <c r="N2966" s="2" t="str">
        <f>IFERROR(__xludf.DUMMYFUNCTION("""COMPUTED_VALUE"""),"")</f>
        <v/>
      </c>
    </row>
    <row r="2967">
      <c r="A2967" s="2" t="s">
        <v>33</v>
      </c>
      <c r="B2967" s="12">
        <v>2880635.0</v>
      </c>
      <c r="C2967" s="12">
        <v>2880784.0</v>
      </c>
      <c r="D2967" s="2"/>
      <c r="E2967" s="2" t="s">
        <v>34</v>
      </c>
      <c r="F2967" s="2" t="s">
        <v>39</v>
      </c>
      <c r="G2967" s="2"/>
      <c r="H2967" s="12">
        <v>0.0</v>
      </c>
      <c r="I2967" s="2" t="s">
        <v>40</v>
      </c>
      <c r="J2967" s="2"/>
      <c r="K2967" s="2" t="s">
        <v>7962</v>
      </c>
      <c r="L2967" s="12">
        <v>49.0</v>
      </c>
      <c r="M2967" s="2" t="s">
        <v>7963</v>
      </c>
      <c r="N2967" s="2" t="str">
        <f>IFERROR(__xludf.DUMMYFUNCTION("""COMPUTED_VALUE"""),"")</f>
        <v/>
      </c>
    </row>
    <row r="2968">
      <c r="A2968" s="2" t="s">
        <v>33</v>
      </c>
      <c r="B2968" s="12">
        <v>2880876.0</v>
      </c>
      <c r="C2968" s="12">
        <v>2881961.0</v>
      </c>
      <c r="D2968" s="2"/>
      <c r="E2968" s="2" t="s">
        <v>34</v>
      </c>
      <c r="F2968" s="2" t="s">
        <v>39</v>
      </c>
      <c r="G2968" s="2"/>
      <c r="H2968" s="12">
        <v>0.0</v>
      </c>
      <c r="I2968" s="2" t="s">
        <v>40</v>
      </c>
      <c r="J2968" s="2"/>
      <c r="K2968" s="2" t="s">
        <v>7964</v>
      </c>
      <c r="L2968" s="12">
        <v>361.0</v>
      </c>
      <c r="M2968" s="2" t="s">
        <v>7965</v>
      </c>
      <c r="N2968" s="2" t="str">
        <f>IFERROR(__xludf.DUMMYFUNCTION("""COMPUTED_VALUE"""),"")</f>
        <v/>
      </c>
    </row>
    <row r="2969">
      <c r="A2969" s="2" t="s">
        <v>33</v>
      </c>
      <c r="B2969" s="12">
        <v>2882009.0</v>
      </c>
      <c r="C2969" s="12">
        <v>2882893.0</v>
      </c>
      <c r="D2969" s="2"/>
      <c r="E2969" s="2" t="s">
        <v>38</v>
      </c>
      <c r="F2969" s="2" t="s">
        <v>694</v>
      </c>
      <c r="G2969" s="2"/>
      <c r="H2969" s="12">
        <v>0.0</v>
      </c>
      <c r="I2969" s="2" t="s">
        <v>40</v>
      </c>
      <c r="J2969" s="2"/>
      <c r="K2969" s="2" t="s">
        <v>7966</v>
      </c>
      <c r="L2969" s="12">
        <v>294.0</v>
      </c>
      <c r="M2969" s="2" t="s">
        <v>7967</v>
      </c>
      <c r="N2969" s="2" t="str">
        <f>IFERROR(__xludf.DUMMYFUNCTION("""COMPUTED_VALUE"""),"")</f>
        <v/>
      </c>
    </row>
    <row r="2970">
      <c r="A2970" s="2" t="s">
        <v>33</v>
      </c>
      <c r="B2970" s="12">
        <v>2883029.0</v>
      </c>
      <c r="C2970" s="12">
        <v>2885029.0</v>
      </c>
      <c r="D2970" s="2"/>
      <c r="E2970" s="2" t="s">
        <v>34</v>
      </c>
      <c r="F2970" s="2" t="s">
        <v>6044</v>
      </c>
      <c r="G2970" s="2"/>
      <c r="H2970" s="12">
        <v>0.0</v>
      </c>
      <c r="I2970" s="2" t="s">
        <v>40</v>
      </c>
      <c r="J2970" s="2"/>
      <c r="K2970" s="2" t="s">
        <v>7968</v>
      </c>
      <c r="L2970" s="12">
        <v>666.0</v>
      </c>
      <c r="M2970" s="2" t="s">
        <v>7969</v>
      </c>
      <c r="N2970" s="2" t="str">
        <f>IFERROR(__xludf.DUMMYFUNCTION("""COMPUTED_VALUE"""),"")</f>
        <v/>
      </c>
    </row>
    <row r="2971">
      <c r="A2971" s="2" t="s">
        <v>33</v>
      </c>
      <c r="B2971" s="12">
        <v>2885070.0</v>
      </c>
      <c r="C2971" s="12">
        <v>2885450.0</v>
      </c>
      <c r="D2971" s="2"/>
      <c r="E2971" s="2" t="s">
        <v>38</v>
      </c>
      <c r="F2971" s="2" t="s">
        <v>541</v>
      </c>
      <c r="G2971" s="2"/>
      <c r="H2971" s="12">
        <v>0.0</v>
      </c>
      <c r="I2971" s="2" t="s">
        <v>40</v>
      </c>
      <c r="J2971" s="2"/>
      <c r="K2971" s="2" t="s">
        <v>7970</v>
      </c>
      <c r="L2971" s="12">
        <v>126.0</v>
      </c>
      <c r="M2971" s="2" t="s">
        <v>7971</v>
      </c>
      <c r="N2971" s="2" t="str">
        <f>IFERROR(__xludf.DUMMYFUNCTION("""COMPUTED_VALUE"""),"")</f>
        <v/>
      </c>
    </row>
    <row r="2972">
      <c r="A2972" s="2" t="s">
        <v>33</v>
      </c>
      <c r="B2972" s="12">
        <v>2885490.0</v>
      </c>
      <c r="C2972" s="12">
        <v>2886647.0</v>
      </c>
      <c r="D2972" s="2"/>
      <c r="E2972" s="2" t="s">
        <v>38</v>
      </c>
      <c r="F2972" s="2" t="s">
        <v>1858</v>
      </c>
      <c r="G2972" s="2"/>
      <c r="H2972" s="12">
        <v>0.0</v>
      </c>
      <c r="I2972" s="2" t="s">
        <v>40</v>
      </c>
      <c r="J2972" s="2"/>
      <c r="K2972" s="2" t="s">
        <v>7972</v>
      </c>
      <c r="L2972" s="12">
        <v>385.0</v>
      </c>
      <c r="M2972" s="2" t="s">
        <v>7973</v>
      </c>
      <c r="N2972" s="2" t="str">
        <f>IFERROR(__xludf.DUMMYFUNCTION("""COMPUTED_VALUE"""),"")</f>
        <v/>
      </c>
    </row>
    <row r="2973">
      <c r="A2973" s="2" t="s">
        <v>33</v>
      </c>
      <c r="B2973" s="12">
        <v>2886815.0</v>
      </c>
      <c r="C2973" s="12">
        <v>2888032.0</v>
      </c>
      <c r="D2973" s="2"/>
      <c r="E2973" s="2" t="s">
        <v>38</v>
      </c>
      <c r="F2973" s="2" t="s">
        <v>3456</v>
      </c>
      <c r="G2973" s="2"/>
      <c r="H2973" s="12">
        <v>0.0</v>
      </c>
      <c r="I2973" s="2" t="s">
        <v>40</v>
      </c>
      <c r="J2973" s="2"/>
      <c r="K2973" s="2" t="s">
        <v>7974</v>
      </c>
      <c r="L2973" s="12">
        <v>405.0</v>
      </c>
      <c r="M2973" s="2" t="s">
        <v>7975</v>
      </c>
      <c r="N2973" s="2" t="str">
        <f>IFERROR(__xludf.DUMMYFUNCTION("""COMPUTED_VALUE"""),"")</f>
        <v/>
      </c>
    </row>
    <row r="2974">
      <c r="A2974" s="2" t="s">
        <v>33</v>
      </c>
      <c r="B2974" s="12">
        <v>2888257.0</v>
      </c>
      <c r="C2974" s="12">
        <v>2888559.0</v>
      </c>
      <c r="D2974" s="2"/>
      <c r="E2974" s="2" t="s">
        <v>34</v>
      </c>
      <c r="F2974" s="2" t="s">
        <v>633</v>
      </c>
      <c r="G2974" s="2"/>
      <c r="H2974" s="12">
        <v>0.0</v>
      </c>
      <c r="I2974" s="2" t="s">
        <v>40</v>
      </c>
      <c r="J2974" s="2"/>
      <c r="K2974" s="2" t="s">
        <v>7976</v>
      </c>
      <c r="L2974" s="12">
        <v>100.0</v>
      </c>
      <c r="M2974" s="2" t="s">
        <v>7977</v>
      </c>
      <c r="N2974" s="2" t="str">
        <f>IFERROR(__xludf.DUMMYFUNCTION("""COMPUTED_VALUE"""),"")</f>
        <v/>
      </c>
    </row>
    <row r="2975">
      <c r="A2975" s="2" t="s">
        <v>33</v>
      </c>
      <c r="B2975" s="12">
        <v>2888574.0</v>
      </c>
      <c r="C2975" s="12">
        <v>2889875.0</v>
      </c>
      <c r="D2975" s="2"/>
      <c r="E2975" s="2" t="s">
        <v>34</v>
      </c>
      <c r="F2975" s="2" t="s">
        <v>7978</v>
      </c>
      <c r="G2975" s="2" t="s">
        <v>7979</v>
      </c>
      <c r="H2975" s="12">
        <v>0.0</v>
      </c>
      <c r="I2975" s="2" t="s">
        <v>40</v>
      </c>
      <c r="J2975" s="2"/>
      <c r="K2975" s="2" t="s">
        <v>7980</v>
      </c>
      <c r="L2975" s="12">
        <v>433.0</v>
      </c>
      <c r="M2975" s="2" t="s">
        <v>7981</v>
      </c>
      <c r="N2975" s="2" t="str">
        <f>IFERROR(__xludf.DUMMYFUNCTION("""COMPUTED_VALUE"""),"")</f>
        <v/>
      </c>
    </row>
    <row r="2976">
      <c r="A2976" s="2" t="s">
        <v>33</v>
      </c>
      <c r="B2976" s="12">
        <v>2889885.0</v>
      </c>
      <c r="C2976" s="12">
        <v>2890202.0</v>
      </c>
      <c r="D2976" s="2"/>
      <c r="E2976" s="2" t="s">
        <v>34</v>
      </c>
      <c r="F2976" s="2" t="s">
        <v>5020</v>
      </c>
      <c r="G2976" s="2"/>
      <c r="H2976" s="12">
        <v>0.0</v>
      </c>
      <c r="I2976" s="2" t="s">
        <v>40</v>
      </c>
      <c r="J2976" s="2"/>
      <c r="K2976" s="2" t="s">
        <v>7982</v>
      </c>
      <c r="L2976" s="12">
        <v>105.0</v>
      </c>
      <c r="M2976" s="2" t="s">
        <v>7983</v>
      </c>
      <c r="N2976" s="2" t="str">
        <f>IFERROR(__xludf.DUMMYFUNCTION("""COMPUTED_VALUE"""),"")</f>
        <v/>
      </c>
    </row>
    <row r="2977">
      <c r="A2977" s="2" t="s">
        <v>33</v>
      </c>
      <c r="B2977" s="12">
        <v>2890363.0</v>
      </c>
      <c r="C2977" s="12">
        <v>2890734.0</v>
      </c>
      <c r="D2977" s="2"/>
      <c r="E2977" s="2" t="s">
        <v>38</v>
      </c>
      <c r="F2977" s="2" t="s">
        <v>7984</v>
      </c>
      <c r="G2977" s="2" t="s">
        <v>7985</v>
      </c>
      <c r="H2977" s="12">
        <v>0.0</v>
      </c>
      <c r="I2977" s="2" t="s">
        <v>40</v>
      </c>
      <c r="J2977" s="2"/>
      <c r="K2977" s="2" t="s">
        <v>7986</v>
      </c>
      <c r="L2977" s="12">
        <v>123.0</v>
      </c>
      <c r="M2977" s="2" t="s">
        <v>7987</v>
      </c>
      <c r="N2977" s="2" t="str">
        <f>IFERROR(__xludf.DUMMYFUNCTION("""COMPUTED_VALUE"""),"")</f>
        <v/>
      </c>
    </row>
    <row r="2978">
      <c r="A2978" s="2" t="s">
        <v>33</v>
      </c>
      <c r="B2978" s="12">
        <v>2890762.0</v>
      </c>
      <c r="C2978" s="12">
        <v>2891862.0</v>
      </c>
      <c r="D2978" s="2"/>
      <c r="E2978" s="2" t="s">
        <v>38</v>
      </c>
      <c r="F2978" s="2" t="s">
        <v>7542</v>
      </c>
      <c r="G2978" s="2"/>
      <c r="H2978" s="12">
        <v>0.0</v>
      </c>
      <c r="I2978" s="2" t="s">
        <v>40</v>
      </c>
      <c r="J2978" s="2"/>
      <c r="K2978" s="2" t="s">
        <v>7988</v>
      </c>
      <c r="L2978" s="12">
        <v>366.0</v>
      </c>
      <c r="M2978" s="2" t="s">
        <v>7989</v>
      </c>
      <c r="N2978" s="2" t="str">
        <f>IFERROR(__xludf.DUMMYFUNCTION("""COMPUTED_VALUE"""),"")</f>
        <v/>
      </c>
    </row>
    <row r="2979">
      <c r="A2979" s="2" t="s">
        <v>33</v>
      </c>
      <c r="B2979" s="12">
        <v>2892273.0</v>
      </c>
      <c r="C2979" s="12">
        <v>2892575.0</v>
      </c>
      <c r="D2979" s="2"/>
      <c r="E2979" s="2" t="s">
        <v>34</v>
      </c>
      <c r="F2979" s="2" t="s">
        <v>633</v>
      </c>
      <c r="G2979" s="2"/>
      <c r="H2979" s="12">
        <v>0.0</v>
      </c>
      <c r="I2979" s="2" t="s">
        <v>40</v>
      </c>
      <c r="J2979" s="2"/>
      <c r="K2979" s="2" t="s">
        <v>7990</v>
      </c>
      <c r="L2979" s="12">
        <v>100.0</v>
      </c>
      <c r="M2979" s="2" t="s">
        <v>7991</v>
      </c>
      <c r="N2979" s="2" t="str">
        <f>IFERROR(__xludf.DUMMYFUNCTION("""COMPUTED_VALUE"""),"")</f>
        <v/>
      </c>
    </row>
    <row r="2980">
      <c r="A2980" s="2" t="s">
        <v>33</v>
      </c>
      <c r="B2980" s="12">
        <v>2892592.0</v>
      </c>
      <c r="C2980" s="12">
        <v>2893899.0</v>
      </c>
      <c r="D2980" s="2"/>
      <c r="E2980" s="2" t="s">
        <v>34</v>
      </c>
      <c r="F2980" s="2" t="s">
        <v>7978</v>
      </c>
      <c r="G2980" s="2" t="s">
        <v>7979</v>
      </c>
      <c r="H2980" s="12">
        <v>0.0</v>
      </c>
      <c r="I2980" s="2" t="s">
        <v>40</v>
      </c>
      <c r="J2980" s="2"/>
      <c r="K2980" s="2" t="s">
        <v>7992</v>
      </c>
      <c r="L2980" s="12">
        <v>435.0</v>
      </c>
      <c r="M2980" s="2" t="s">
        <v>7993</v>
      </c>
      <c r="N2980" s="2" t="str">
        <f>IFERROR(__xludf.DUMMYFUNCTION("""COMPUTED_VALUE"""),"")</f>
        <v/>
      </c>
    </row>
    <row r="2981">
      <c r="A2981" s="2" t="s">
        <v>33</v>
      </c>
      <c r="B2981" s="12">
        <v>2894082.0</v>
      </c>
      <c r="C2981" s="12">
        <v>2894405.0</v>
      </c>
      <c r="D2981" s="2"/>
      <c r="E2981" s="2" t="s">
        <v>34</v>
      </c>
      <c r="F2981" s="2" t="s">
        <v>5020</v>
      </c>
      <c r="G2981" s="2"/>
      <c r="H2981" s="12">
        <v>0.0</v>
      </c>
      <c r="I2981" s="2" t="s">
        <v>40</v>
      </c>
      <c r="J2981" s="2"/>
      <c r="K2981" s="2" t="s">
        <v>7994</v>
      </c>
      <c r="L2981" s="12">
        <v>107.0</v>
      </c>
      <c r="M2981" s="2" t="s">
        <v>7995</v>
      </c>
      <c r="N2981" s="2" t="str">
        <f>IFERROR(__xludf.DUMMYFUNCTION("""COMPUTED_VALUE"""),"")</f>
        <v/>
      </c>
    </row>
    <row r="2982">
      <c r="A2982" s="2" t="s">
        <v>33</v>
      </c>
      <c r="B2982" s="12">
        <v>2894409.0</v>
      </c>
      <c r="C2982" s="12">
        <v>2895734.0</v>
      </c>
      <c r="D2982" s="2"/>
      <c r="E2982" s="2" t="s">
        <v>34</v>
      </c>
      <c r="F2982" s="2" t="s">
        <v>7996</v>
      </c>
      <c r="G2982" s="2" t="s">
        <v>7997</v>
      </c>
      <c r="H2982" s="12">
        <v>0.0</v>
      </c>
      <c r="I2982" s="2" t="s">
        <v>40</v>
      </c>
      <c r="J2982" s="2"/>
      <c r="K2982" s="2" t="s">
        <v>7998</v>
      </c>
      <c r="L2982" s="12">
        <v>441.0</v>
      </c>
      <c r="M2982" s="2" t="s">
        <v>7999</v>
      </c>
      <c r="N2982" s="2" t="str">
        <f>IFERROR(__xludf.DUMMYFUNCTION("""COMPUTED_VALUE"""),"")</f>
        <v/>
      </c>
    </row>
    <row r="2983">
      <c r="A2983" s="2" t="s">
        <v>33</v>
      </c>
      <c r="B2983" s="12">
        <v>2895784.0</v>
      </c>
      <c r="C2983" s="12">
        <v>2896488.0</v>
      </c>
      <c r="D2983" s="2"/>
      <c r="E2983" s="2" t="s">
        <v>34</v>
      </c>
      <c r="F2983" s="2" t="s">
        <v>8000</v>
      </c>
      <c r="G2983" s="2" t="s">
        <v>8001</v>
      </c>
      <c r="H2983" s="12">
        <v>0.0</v>
      </c>
      <c r="I2983" s="2" t="s">
        <v>40</v>
      </c>
      <c r="J2983" s="2"/>
      <c r="K2983" s="2" t="s">
        <v>8002</v>
      </c>
      <c r="L2983" s="12">
        <v>234.0</v>
      </c>
      <c r="M2983" s="2" t="s">
        <v>8003</v>
      </c>
      <c r="N2983" s="2" t="str">
        <f>IFERROR(__xludf.DUMMYFUNCTION("""COMPUTED_VALUE"""),"")</f>
        <v/>
      </c>
    </row>
    <row r="2984">
      <c r="A2984" s="2" t="s">
        <v>33</v>
      </c>
      <c r="B2984" s="12">
        <v>2896528.0</v>
      </c>
      <c r="C2984" s="12">
        <v>2897709.0</v>
      </c>
      <c r="D2984" s="2"/>
      <c r="E2984" s="2" t="s">
        <v>38</v>
      </c>
      <c r="F2984" s="2" t="s">
        <v>8004</v>
      </c>
      <c r="G2984" s="2"/>
      <c r="H2984" s="12">
        <v>0.0</v>
      </c>
      <c r="I2984" s="2" t="s">
        <v>40</v>
      </c>
      <c r="J2984" s="2"/>
      <c r="K2984" s="2" t="s">
        <v>8005</v>
      </c>
      <c r="L2984" s="12">
        <v>393.0</v>
      </c>
      <c r="M2984" s="2" t="s">
        <v>8006</v>
      </c>
      <c r="N2984" s="2" t="str">
        <f>IFERROR(__xludf.DUMMYFUNCTION("""COMPUTED_VALUE"""),"")</f>
        <v/>
      </c>
    </row>
    <row r="2985">
      <c r="A2985" s="2" t="s">
        <v>33</v>
      </c>
      <c r="B2985" s="12">
        <v>2897898.0</v>
      </c>
      <c r="C2985" s="12">
        <v>2898311.0</v>
      </c>
      <c r="D2985" s="2"/>
      <c r="E2985" s="2" t="s">
        <v>34</v>
      </c>
      <c r="F2985" s="2" t="s">
        <v>8007</v>
      </c>
      <c r="G2985" s="2" t="s">
        <v>8008</v>
      </c>
      <c r="H2985" s="12">
        <v>0.0</v>
      </c>
      <c r="I2985" s="2" t="s">
        <v>40</v>
      </c>
      <c r="J2985" s="2"/>
      <c r="K2985" s="2" t="s">
        <v>8009</v>
      </c>
      <c r="L2985" s="12">
        <v>137.0</v>
      </c>
      <c r="M2985" s="2" t="s">
        <v>8010</v>
      </c>
      <c r="N2985" s="2" t="str">
        <f>IFERROR(__xludf.DUMMYFUNCTION("""COMPUTED_VALUE"""),"")</f>
        <v/>
      </c>
    </row>
    <row r="2986">
      <c r="A2986" s="2" t="s">
        <v>33</v>
      </c>
      <c r="B2986" s="12">
        <v>2898456.0</v>
      </c>
      <c r="C2986" s="12">
        <v>2901131.0</v>
      </c>
      <c r="D2986" s="2"/>
      <c r="E2986" s="2" t="s">
        <v>38</v>
      </c>
      <c r="F2986" s="2" t="s">
        <v>8011</v>
      </c>
      <c r="G2986" s="2"/>
      <c r="H2986" s="12">
        <v>0.0</v>
      </c>
      <c r="I2986" s="2" t="s">
        <v>40</v>
      </c>
      <c r="J2986" s="2"/>
      <c r="K2986" s="2" t="s">
        <v>8012</v>
      </c>
      <c r="L2986" s="12">
        <v>891.0</v>
      </c>
      <c r="M2986" s="2" t="s">
        <v>8013</v>
      </c>
      <c r="N2986" s="2" t="str">
        <f>IFERROR(__xludf.DUMMYFUNCTION("""COMPUTED_VALUE"""),"")</f>
        <v/>
      </c>
    </row>
    <row r="2987">
      <c r="A2987" s="2" t="s">
        <v>33</v>
      </c>
      <c r="B2987" s="12">
        <v>2901236.0</v>
      </c>
      <c r="C2987" s="12">
        <v>2901973.0</v>
      </c>
      <c r="D2987" s="2"/>
      <c r="E2987" s="2" t="s">
        <v>38</v>
      </c>
      <c r="F2987" s="2" t="s">
        <v>2334</v>
      </c>
      <c r="G2987" s="2"/>
      <c r="H2987" s="12">
        <v>0.0</v>
      </c>
      <c r="I2987" s="2" t="s">
        <v>40</v>
      </c>
      <c r="J2987" s="2"/>
      <c r="K2987" s="2" t="s">
        <v>8014</v>
      </c>
      <c r="L2987" s="12">
        <v>245.0</v>
      </c>
      <c r="M2987" s="2" t="s">
        <v>8015</v>
      </c>
      <c r="N2987" s="2" t="str">
        <f>IFERROR(__xludf.DUMMYFUNCTION("""COMPUTED_VALUE"""),"")</f>
        <v/>
      </c>
    </row>
    <row r="2988">
      <c r="A2988" s="2" t="s">
        <v>33</v>
      </c>
      <c r="B2988" s="12">
        <v>2902173.0</v>
      </c>
      <c r="C2988" s="12">
        <v>2903246.0</v>
      </c>
      <c r="D2988" s="2"/>
      <c r="E2988" s="2" t="s">
        <v>38</v>
      </c>
      <c r="F2988" s="2" t="s">
        <v>2832</v>
      </c>
      <c r="G2988" s="2"/>
      <c r="H2988" s="12">
        <v>0.0</v>
      </c>
      <c r="I2988" s="2" t="s">
        <v>40</v>
      </c>
      <c r="J2988" s="2"/>
      <c r="K2988" s="2" t="s">
        <v>8016</v>
      </c>
      <c r="L2988" s="12">
        <v>357.0</v>
      </c>
      <c r="M2988" s="2" t="s">
        <v>8017</v>
      </c>
      <c r="N2988" s="2" t="str">
        <f>IFERROR(__xludf.DUMMYFUNCTION("""COMPUTED_VALUE"""),"")</f>
        <v/>
      </c>
    </row>
    <row r="2989">
      <c r="A2989" s="2" t="s">
        <v>33</v>
      </c>
      <c r="B2989" s="12">
        <v>2903781.0</v>
      </c>
      <c r="C2989" s="12">
        <v>2905106.0</v>
      </c>
      <c r="D2989" s="2"/>
      <c r="E2989" s="2" t="s">
        <v>34</v>
      </c>
      <c r="F2989" s="2" t="s">
        <v>8018</v>
      </c>
      <c r="G2989" s="2"/>
      <c r="H2989" s="12">
        <v>0.0</v>
      </c>
      <c r="I2989" s="2" t="s">
        <v>40</v>
      </c>
      <c r="J2989" s="2"/>
      <c r="K2989" s="2" t="s">
        <v>8019</v>
      </c>
      <c r="L2989" s="12">
        <v>441.0</v>
      </c>
      <c r="M2989" s="2" t="s">
        <v>8020</v>
      </c>
      <c r="N2989" s="2" t="str">
        <f>IFERROR(__xludf.DUMMYFUNCTION("""COMPUTED_VALUE"""),"")</f>
        <v/>
      </c>
    </row>
    <row r="2990">
      <c r="A2990" s="2" t="s">
        <v>33</v>
      </c>
      <c r="B2990" s="12">
        <v>2905181.0</v>
      </c>
      <c r="C2990" s="12">
        <v>2906296.0</v>
      </c>
      <c r="D2990" s="2"/>
      <c r="E2990" s="2" t="s">
        <v>34</v>
      </c>
      <c r="F2990" s="2" t="s">
        <v>8021</v>
      </c>
      <c r="G2990" s="2" t="s">
        <v>8022</v>
      </c>
      <c r="H2990" s="12">
        <v>0.0</v>
      </c>
      <c r="I2990" s="2" t="s">
        <v>40</v>
      </c>
      <c r="J2990" s="2"/>
      <c r="K2990" s="2" t="s">
        <v>8023</v>
      </c>
      <c r="L2990" s="12">
        <v>371.0</v>
      </c>
      <c r="M2990" s="2" t="s">
        <v>8024</v>
      </c>
      <c r="N2990" s="2" t="str">
        <f>IFERROR(__xludf.DUMMYFUNCTION("""COMPUTED_VALUE"""),"")</f>
        <v/>
      </c>
    </row>
    <row r="2991">
      <c r="A2991" s="2" t="s">
        <v>33</v>
      </c>
      <c r="B2991" s="12">
        <v>2906336.0</v>
      </c>
      <c r="C2991" s="12">
        <v>2907460.0</v>
      </c>
      <c r="D2991" s="2"/>
      <c r="E2991" s="2" t="s">
        <v>38</v>
      </c>
      <c r="F2991" s="2" t="s">
        <v>1789</v>
      </c>
      <c r="G2991" s="2"/>
      <c r="H2991" s="12">
        <v>0.0</v>
      </c>
      <c r="I2991" s="2" t="s">
        <v>40</v>
      </c>
      <c r="J2991" s="2"/>
      <c r="K2991" s="2" t="s">
        <v>8025</v>
      </c>
      <c r="L2991" s="12">
        <v>374.0</v>
      </c>
      <c r="M2991" s="2" t="s">
        <v>8026</v>
      </c>
      <c r="N2991" s="2" t="str">
        <f>IFERROR(__xludf.DUMMYFUNCTION("""COMPUTED_VALUE"""),"")</f>
        <v/>
      </c>
    </row>
    <row r="2992">
      <c r="A2992" s="2" t="s">
        <v>33</v>
      </c>
      <c r="B2992" s="12">
        <v>2907543.0</v>
      </c>
      <c r="C2992" s="12">
        <v>2908178.0</v>
      </c>
      <c r="D2992" s="2"/>
      <c r="E2992" s="2" t="s">
        <v>38</v>
      </c>
      <c r="F2992" s="2" t="s">
        <v>8027</v>
      </c>
      <c r="G2992" s="2"/>
      <c r="H2992" s="12">
        <v>0.0</v>
      </c>
      <c r="I2992" s="2" t="s">
        <v>40</v>
      </c>
      <c r="J2992" s="2"/>
      <c r="K2992" s="2" t="s">
        <v>8028</v>
      </c>
      <c r="L2992" s="12">
        <v>211.0</v>
      </c>
      <c r="M2992" s="2" t="s">
        <v>8029</v>
      </c>
      <c r="N2992" s="2" t="str">
        <f>IFERROR(__xludf.DUMMYFUNCTION("""COMPUTED_VALUE"""),"")</f>
        <v/>
      </c>
    </row>
    <row r="2993">
      <c r="A2993" s="2" t="s">
        <v>33</v>
      </c>
      <c r="B2993" s="12">
        <v>2908415.0</v>
      </c>
      <c r="C2993" s="12">
        <v>2909257.0</v>
      </c>
      <c r="D2993" s="2"/>
      <c r="E2993" s="2" t="s">
        <v>34</v>
      </c>
      <c r="F2993" s="2" t="s">
        <v>1134</v>
      </c>
      <c r="G2993" s="2"/>
      <c r="H2993" s="12">
        <v>0.0</v>
      </c>
      <c r="I2993" s="2" t="s">
        <v>40</v>
      </c>
      <c r="J2993" s="2"/>
      <c r="K2993" s="2" t="s">
        <v>8030</v>
      </c>
      <c r="L2993" s="12">
        <v>280.0</v>
      </c>
      <c r="M2993" s="2" t="s">
        <v>8031</v>
      </c>
      <c r="N2993" s="2" t="str">
        <f>IFERROR(__xludf.DUMMYFUNCTION("""COMPUTED_VALUE"""),"")</f>
        <v/>
      </c>
    </row>
    <row r="2994">
      <c r="A2994" s="2" t="s">
        <v>33</v>
      </c>
      <c r="B2994" s="12">
        <v>2909430.0</v>
      </c>
      <c r="C2994" s="12">
        <v>2909744.0</v>
      </c>
      <c r="D2994" s="2"/>
      <c r="E2994" s="2" t="s">
        <v>34</v>
      </c>
      <c r="F2994" s="2" t="s">
        <v>216</v>
      </c>
      <c r="G2994" s="2"/>
      <c r="H2994" s="12">
        <v>0.0</v>
      </c>
      <c r="I2994" s="2" t="s">
        <v>40</v>
      </c>
      <c r="J2994" s="2"/>
      <c r="K2994" s="2" t="s">
        <v>8032</v>
      </c>
      <c r="L2994" s="12">
        <v>104.0</v>
      </c>
      <c r="M2994" s="2" t="s">
        <v>8033</v>
      </c>
      <c r="N2994" s="2" t="str">
        <f>IFERROR(__xludf.DUMMYFUNCTION("""COMPUTED_VALUE"""),"")</f>
        <v/>
      </c>
    </row>
    <row r="2995">
      <c r="A2995" s="2" t="s">
        <v>33</v>
      </c>
      <c r="B2995" s="12">
        <v>2909893.0</v>
      </c>
      <c r="C2995" s="12">
        <v>2911305.0</v>
      </c>
      <c r="D2995" s="2"/>
      <c r="E2995" s="2" t="s">
        <v>34</v>
      </c>
      <c r="F2995" s="2" t="s">
        <v>8034</v>
      </c>
      <c r="G2995" s="2"/>
      <c r="H2995" s="12">
        <v>0.0</v>
      </c>
      <c r="I2995" s="2" t="s">
        <v>40</v>
      </c>
      <c r="J2995" s="2"/>
      <c r="K2995" s="2" t="s">
        <v>8035</v>
      </c>
      <c r="L2995" s="12">
        <v>470.0</v>
      </c>
      <c r="M2995" s="2" t="s">
        <v>8036</v>
      </c>
      <c r="N2995" s="2" t="str">
        <f>IFERROR(__xludf.DUMMYFUNCTION("""COMPUTED_VALUE"""),"")</f>
        <v/>
      </c>
    </row>
    <row r="2996">
      <c r="A2996" s="2" t="s">
        <v>33</v>
      </c>
      <c r="B2996" s="12">
        <v>2911513.0</v>
      </c>
      <c r="C2996" s="12">
        <v>2911914.0</v>
      </c>
      <c r="D2996" s="2"/>
      <c r="E2996" s="2" t="s">
        <v>34</v>
      </c>
      <c r="F2996" s="2" t="s">
        <v>748</v>
      </c>
      <c r="G2996" s="2" t="s">
        <v>79</v>
      </c>
      <c r="H2996" s="12">
        <v>0.0</v>
      </c>
      <c r="I2996" s="2" t="s">
        <v>40</v>
      </c>
      <c r="J2996" s="2"/>
      <c r="K2996" s="2" t="s">
        <v>749</v>
      </c>
      <c r="L2996" s="12">
        <v>133.0</v>
      </c>
      <c r="M2996" s="2" t="s">
        <v>8037</v>
      </c>
      <c r="N2996" s="2" t="str">
        <f>IFERROR(__xludf.DUMMYFUNCTION("""COMPUTED_VALUE"""),"")</f>
        <v/>
      </c>
    </row>
    <row r="2997">
      <c r="A2997" s="2" t="s">
        <v>33</v>
      </c>
      <c r="B2997" s="12">
        <v>2911920.0</v>
      </c>
      <c r="C2997" s="12">
        <v>2912999.0</v>
      </c>
      <c r="D2997" s="2"/>
      <c r="E2997" s="2" t="s">
        <v>34</v>
      </c>
      <c r="F2997" s="2" t="s">
        <v>76</v>
      </c>
      <c r="G2997" s="2"/>
      <c r="H2997" s="12">
        <v>0.0</v>
      </c>
      <c r="I2997" s="2" t="s">
        <v>40</v>
      </c>
      <c r="J2997" s="2"/>
      <c r="K2997" s="2" t="s">
        <v>77</v>
      </c>
      <c r="L2997" s="12">
        <v>359.0</v>
      </c>
      <c r="M2997" s="2" t="s">
        <v>8038</v>
      </c>
      <c r="N2997" s="2" t="str">
        <f>IFERROR(__xludf.DUMMYFUNCTION("""COMPUTED_VALUE"""),"")</f>
        <v/>
      </c>
    </row>
    <row r="2998">
      <c r="A2998" s="2" t="s">
        <v>33</v>
      </c>
      <c r="B2998" s="12">
        <v>2913238.0</v>
      </c>
      <c r="C2998" s="12">
        <v>2914587.0</v>
      </c>
      <c r="D2998" s="2"/>
      <c r="E2998" s="2" t="s">
        <v>34</v>
      </c>
      <c r="F2998" s="2" t="s">
        <v>8039</v>
      </c>
      <c r="G2998" s="2" t="s">
        <v>8040</v>
      </c>
      <c r="H2998" s="12">
        <v>0.0</v>
      </c>
      <c r="I2998" s="2" t="s">
        <v>40</v>
      </c>
      <c r="J2998" s="2"/>
      <c r="K2998" s="2" t="s">
        <v>8041</v>
      </c>
      <c r="L2998" s="12">
        <v>449.0</v>
      </c>
      <c r="M2998" s="2" t="s">
        <v>8042</v>
      </c>
      <c r="N2998" s="2" t="str">
        <f>IFERROR(__xludf.DUMMYFUNCTION("""COMPUTED_VALUE"""),"")</f>
        <v/>
      </c>
    </row>
    <row r="2999">
      <c r="A2999" s="2" t="s">
        <v>33</v>
      </c>
      <c r="B2999" s="12">
        <v>2914587.0</v>
      </c>
      <c r="C2999" s="12">
        <v>2915291.0</v>
      </c>
      <c r="D2999" s="2"/>
      <c r="E2999" s="2" t="s">
        <v>34</v>
      </c>
      <c r="F2999" s="2" t="s">
        <v>8043</v>
      </c>
      <c r="G2999" s="2"/>
      <c r="H2999" s="12">
        <v>0.0</v>
      </c>
      <c r="I2999" s="2" t="s">
        <v>40</v>
      </c>
      <c r="J2999" s="2"/>
      <c r="K2999" s="2" t="s">
        <v>8044</v>
      </c>
      <c r="L2999" s="12">
        <v>234.0</v>
      </c>
      <c r="M2999" s="2" t="s">
        <v>8045</v>
      </c>
      <c r="N2999" s="2" t="str">
        <f>IFERROR(__xludf.DUMMYFUNCTION("""COMPUTED_VALUE"""),"")</f>
        <v/>
      </c>
    </row>
    <row r="3000">
      <c r="A3000" s="2" t="s">
        <v>33</v>
      </c>
      <c r="B3000" s="12">
        <v>2915418.0</v>
      </c>
      <c r="C3000" s="12">
        <v>2915615.0</v>
      </c>
      <c r="D3000" s="2"/>
      <c r="E3000" s="2" t="s">
        <v>34</v>
      </c>
      <c r="F3000" s="2" t="s">
        <v>8046</v>
      </c>
      <c r="G3000" s="2" t="s">
        <v>8047</v>
      </c>
      <c r="H3000" s="12">
        <v>0.0</v>
      </c>
      <c r="I3000" s="2" t="s">
        <v>40</v>
      </c>
      <c r="J3000" s="2"/>
      <c r="K3000" s="2" t="s">
        <v>8048</v>
      </c>
      <c r="L3000" s="12">
        <v>65.0</v>
      </c>
      <c r="M3000" s="2" t="s">
        <v>8049</v>
      </c>
      <c r="N3000" s="2" t="str">
        <f>IFERROR(__xludf.DUMMYFUNCTION("""COMPUTED_VALUE"""),"")</f>
        <v/>
      </c>
    </row>
    <row r="3001">
      <c r="A3001" s="2" t="s">
        <v>33</v>
      </c>
      <c r="B3001" s="12">
        <v>2915938.0</v>
      </c>
      <c r="C3001" s="12">
        <v>2916480.0</v>
      </c>
      <c r="D3001" s="2"/>
      <c r="E3001" s="2" t="s">
        <v>34</v>
      </c>
      <c r="F3001" s="2" t="s">
        <v>8050</v>
      </c>
      <c r="G3001" s="2" t="s">
        <v>8051</v>
      </c>
      <c r="H3001" s="12">
        <v>0.0</v>
      </c>
      <c r="I3001" s="2" t="s">
        <v>40</v>
      </c>
      <c r="J3001" s="2"/>
      <c r="K3001" s="2" t="s">
        <v>8052</v>
      </c>
      <c r="L3001" s="12">
        <v>180.0</v>
      </c>
      <c r="M3001" s="2" t="s">
        <v>8053</v>
      </c>
      <c r="N3001" s="2" t="str">
        <f>IFERROR(__xludf.DUMMYFUNCTION("""COMPUTED_VALUE"""),"")</f>
        <v/>
      </c>
    </row>
    <row r="3002">
      <c r="A3002" s="2" t="s">
        <v>33</v>
      </c>
      <c r="B3002" s="12">
        <v>2916755.0</v>
      </c>
      <c r="C3002" s="12">
        <v>2919262.0</v>
      </c>
      <c r="D3002" s="2"/>
      <c r="E3002" s="2" t="s">
        <v>34</v>
      </c>
      <c r="F3002" s="2" t="s">
        <v>8054</v>
      </c>
      <c r="G3002" s="2" t="s">
        <v>8055</v>
      </c>
      <c r="H3002" s="12">
        <v>0.0</v>
      </c>
      <c r="I3002" s="2" t="s">
        <v>40</v>
      </c>
      <c r="J3002" s="2"/>
      <c r="K3002" s="2" t="s">
        <v>8056</v>
      </c>
      <c r="L3002" s="12">
        <v>835.0</v>
      </c>
      <c r="M3002" s="2" t="s">
        <v>8057</v>
      </c>
      <c r="N3002" s="2" t="str">
        <f>IFERROR(__xludf.DUMMYFUNCTION("""COMPUTED_VALUE"""),"")</f>
        <v/>
      </c>
    </row>
    <row r="3003">
      <c r="A3003" s="2" t="s">
        <v>33</v>
      </c>
      <c r="B3003" s="12">
        <v>2919407.0</v>
      </c>
      <c r="C3003" s="12">
        <v>2920505.0</v>
      </c>
      <c r="D3003" s="2"/>
      <c r="E3003" s="2" t="s">
        <v>34</v>
      </c>
      <c r="F3003" s="2" t="s">
        <v>8058</v>
      </c>
      <c r="G3003" s="2" t="s">
        <v>8059</v>
      </c>
      <c r="H3003" s="12">
        <v>0.0</v>
      </c>
      <c r="I3003" s="2" t="s">
        <v>40</v>
      </c>
      <c r="J3003" s="2"/>
      <c r="K3003" s="2" t="s">
        <v>8060</v>
      </c>
      <c r="L3003" s="12">
        <v>365.0</v>
      </c>
      <c r="M3003" s="2" t="s">
        <v>8061</v>
      </c>
      <c r="N3003" s="2" t="str">
        <f>IFERROR(__xludf.DUMMYFUNCTION("""COMPUTED_VALUE"""),"")</f>
        <v/>
      </c>
    </row>
    <row r="3004">
      <c r="A3004" s="2" t="s">
        <v>33</v>
      </c>
      <c r="B3004" s="12">
        <v>2920945.0</v>
      </c>
      <c r="C3004" s="12">
        <v>2921268.0</v>
      </c>
      <c r="D3004" s="2"/>
      <c r="E3004" s="2" t="s">
        <v>34</v>
      </c>
      <c r="F3004" s="2" t="s">
        <v>8062</v>
      </c>
      <c r="G3004" s="2" t="s">
        <v>8063</v>
      </c>
      <c r="H3004" s="12">
        <v>0.0</v>
      </c>
      <c r="I3004" s="2" t="s">
        <v>40</v>
      </c>
      <c r="J3004" s="2"/>
      <c r="K3004" s="2" t="s">
        <v>8064</v>
      </c>
      <c r="L3004" s="12">
        <v>107.0</v>
      </c>
      <c r="M3004" s="2" t="s">
        <v>8065</v>
      </c>
      <c r="N3004" s="2" t="str">
        <f>IFERROR(__xludf.DUMMYFUNCTION("""COMPUTED_VALUE"""),"")</f>
        <v/>
      </c>
    </row>
    <row r="3005">
      <c r="A3005" s="2" t="s">
        <v>33</v>
      </c>
      <c r="B3005" s="12">
        <v>2921554.0</v>
      </c>
      <c r="C3005" s="12">
        <v>2922240.0</v>
      </c>
      <c r="D3005" s="2"/>
      <c r="E3005" s="2" t="s">
        <v>34</v>
      </c>
      <c r="F3005" s="2" t="s">
        <v>8066</v>
      </c>
      <c r="G3005" s="2" t="s">
        <v>8067</v>
      </c>
      <c r="H3005" s="12">
        <v>0.0</v>
      </c>
      <c r="I3005" s="2" t="s">
        <v>40</v>
      </c>
      <c r="J3005" s="2"/>
      <c r="K3005" s="2" t="s">
        <v>8068</v>
      </c>
      <c r="L3005" s="12">
        <v>228.0</v>
      </c>
      <c r="M3005" s="2" t="s">
        <v>8069</v>
      </c>
      <c r="N3005" s="2" t="str">
        <f>IFERROR(__xludf.DUMMYFUNCTION("""COMPUTED_VALUE"""),"")</f>
        <v/>
      </c>
    </row>
    <row r="3006">
      <c r="A3006" s="2" t="s">
        <v>33</v>
      </c>
      <c r="B3006" s="12">
        <v>2922230.0</v>
      </c>
      <c r="C3006" s="12">
        <v>2923123.0</v>
      </c>
      <c r="D3006" s="2"/>
      <c r="E3006" s="2" t="s">
        <v>34</v>
      </c>
      <c r="F3006" s="2" t="s">
        <v>8070</v>
      </c>
      <c r="G3006" s="2" t="s">
        <v>8071</v>
      </c>
      <c r="H3006" s="12">
        <v>0.0</v>
      </c>
      <c r="I3006" s="2" t="s">
        <v>40</v>
      </c>
      <c r="J3006" s="2"/>
      <c r="K3006" s="2" t="s">
        <v>8072</v>
      </c>
      <c r="L3006" s="12">
        <v>297.0</v>
      </c>
      <c r="M3006" s="2" t="s">
        <v>8073</v>
      </c>
      <c r="N3006" s="2" t="str">
        <f>IFERROR(__xludf.DUMMYFUNCTION("""COMPUTED_VALUE"""),"")</f>
        <v/>
      </c>
    </row>
    <row r="3007">
      <c r="A3007" s="2" t="s">
        <v>33</v>
      </c>
      <c r="B3007" s="12">
        <v>2923194.0</v>
      </c>
      <c r="C3007" s="12">
        <v>2924678.0</v>
      </c>
      <c r="D3007" s="2"/>
      <c r="E3007" s="2" t="s">
        <v>34</v>
      </c>
      <c r="F3007" s="2" t="s">
        <v>8074</v>
      </c>
      <c r="G3007" s="2"/>
      <c r="H3007" s="12">
        <v>0.0</v>
      </c>
      <c r="I3007" s="2" t="s">
        <v>40</v>
      </c>
      <c r="J3007" s="2"/>
      <c r="K3007" s="2" t="s">
        <v>8075</v>
      </c>
      <c r="L3007" s="12">
        <v>494.0</v>
      </c>
      <c r="M3007" s="2" t="s">
        <v>8076</v>
      </c>
      <c r="N3007" s="2" t="str">
        <f>IFERROR(__xludf.DUMMYFUNCTION("""COMPUTED_VALUE"""),"")</f>
        <v/>
      </c>
    </row>
    <row r="3008">
      <c r="A3008" s="2" t="s">
        <v>33</v>
      </c>
      <c r="B3008" s="12">
        <v>2924788.0</v>
      </c>
      <c r="C3008" s="12">
        <v>2925972.0</v>
      </c>
      <c r="D3008" s="2"/>
      <c r="E3008" s="2" t="s">
        <v>34</v>
      </c>
      <c r="F3008" s="2" t="s">
        <v>8077</v>
      </c>
      <c r="G3008" s="2"/>
      <c r="H3008" s="12">
        <v>0.0</v>
      </c>
      <c r="I3008" s="2" t="s">
        <v>40</v>
      </c>
      <c r="J3008" s="2"/>
      <c r="K3008" s="2" t="s">
        <v>8078</v>
      </c>
      <c r="L3008" s="12">
        <v>394.0</v>
      </c>
      <c r="M3008" s="2" t="s">
        <v>8079</v>
      </c>
      <c r="N3008" s="2" t="str">
        <f>IFERROR(__xludf.DUMMYFUNCTION("""COMPUTED_VALUE"""),"")</f>
        <v/>
      </c>
    </row>
    <row r="3009">
      <c r="A3009" s="2" t="s">
        <v>33</v>
      </c>
      <c r="B3009" s="12">
        <v>2926244.0</v>
      </c>
      <c r="C3009" s="12">
        <v>2927959.0</v>
      </c>
      <c r="D3009" s="2"/>
      <c r="E3009" s="2" t="s">
        <v>34</v>
      </c>
      <c r="F3009" s="2" t="s">
        <v>432</v>
      </c>
      <c r="G3009" s="2"/>
      <c r="H3009" s="12">
        <v>0.0</v>
      </c>
      <c r="I3009" s="2" t="s">
        <v>40</v>
      </c>
      <c r="J3009" s="2"/>
      <c r="K3009" s="2" t="s">
        <v>8080</v>
      </c>
      <c r="L3009" s="12">
        <v>571.0</v>
      </c>
      <c r="M3009" s="2" t="s">
        <v>8081</v>
      </c>
      <c r="N3009" s="2" t="str">
        <f>IFERROR(__xludf.DUMMYFUNCTION("""COMPUTED_VALUE"""),"")</f>
        <v/>
      </c>
    </row>
    <row r="3010">
      <c r="A3010" s="2" t="s">
        <v>33</v>
      </c>
      <c r="B3010" s="12">
        <v>2928025.0</v>
      </c>
      <c r="C3010" s="12">
        <v>2928336.0</v>
      </c>
      <c r="D3010" s="2"/>
      <c r="E3010" s="2" t="s">
        <v>34</v>
      </c>
      <c r="F3010" s="2" t="s">
        <v>2199</v>
      </c>
      <c r="G3010" s="2"/>
      <c r="H3010" s="12">
        <v>0.0</v>
      </c>
      <c r="I3010" s="2" t="s">
        <v>40</v>
      </c>
      <c r="J3010" s="2"/>
      <c r="K3010" s="2" t="s">
        <v>8082</v>
      </c>
      <c r="L3010" s="12">
        <v>103.0</v>
      </c>
      <c r="M3010" s="2" t="s">
        <v>8083</v>
      </c>
      <c r="N3010" s="2" t="str">
        <f>IFERROR(__xludf.DUMMYFUNCTION("""COMPUTED_VALUE"""),"")</f>
        <v/>
      </c>
    </row>
    <row r="3011">
      <c r="A3011" s="2" t="s">
        <v>33</v>
      </c>
      <c r="B3011" s="12">
        <v>2928393.0</v>
      </c>
      <c r="C3011" s="12">
        <v>2929750.0</v>
      </c>
      <c r="D3011" s="2"/>
      <c r="E3011" s="2" t="s">
        <v>38</v>
      </c>
      <c r="F3011" s="2" t="s">
        <v>754</v>
      </c>
      <c r="G3011" s="2"/>
      <c r="H3011" s="12">
        <v>0.0</v>
      </c>
      <c r="I3011" s="2" t="s">
        <v>40</v>
      </c>
      <c r="J3011" s="2"/>
      <c r="K3011" s="2" t="s">
        <v>2176</v>
      </c>
      <c r="L3011" s="12">
        <v>452.0</v>
      </c>
      <c r="M3011" s="2" t="s">
        <v>8084</v>
      </c>
      <c r="N3011" s="2" t="str">
        <f>IFERROR(__xludf.DUMMYFUNCTION("""COMPUTED_VALUE"""),"")</f>
        <v/>
      </c>
    </row>
    <row r="3012">
      <c r="A3012" s="2" t="s">
        <v>33</v>
      </c>
      <c r="B3012" s="12">
        <v>2929890.0</v>
      </c>
      <c r="C3012" s="12">
        <v>2931524.0</v>
      </c>
      <c r="D3012" s="2"/>
      <c r="E3012" s="2" t="s">
        <v>38</v>
      </c>
      <c r="F3012" s="2" t="s">
        <v>6486</v>
      </c>
      <c r="G3012" s="2" t="s">
        <v>270</v>
      </c>
      <c r="H3012" s="12">
        <v>0.0</v>
      </c>
      <c r="I3012" s="2" t="s">
        <v>40</v>
      </c>
      <c r="J3012" s="2"/>
      <c r="K3012" s="2" t="s">
        <v>8085</v>
      </c>
      <c r="L3012" s="12">
        <v>544.0</v>
      </c>
      <c r="M3012" s="2" t="s">
        <v>8086</v>
      </c>
      <c r="N3012" s="2" t="str">
        <f>IFERROR(__xludf.DUMMYFUNCTION("""COMPUTED_VALUE"""),"")</f>
        <v/>
      </c>
    </row>
    <row r="3013">
      <c r="A3013" s="2" t="s">
        <v>33</v>
      </c>
      <c r="B3013" s="12">
        <v>2931790.0</v>
      </c>
      <c r="C3013" s="12">
        <v>2932335.0</v>
      </c>
      <c r="D3013" s="2"/>
      <c r="E3013" s="2" t="s">
        <v>38</v>
      </c>
      <c r="F3013" s="2" t="s">
        <v>8087</v>
      </c>
      <c r="G3013" s="2"/>
      <c r="H3013" s="12">
        <v>0.0</v>
      </c>
      <c r="I3013" s="2" t="s">
        <v>40</v>
      </c>
      <c r="J3013" s="2"/>
      <c r="K3013" s="2" t="s">
        <v>8088</v>
      </c>
      <c r="L3013" s="12">
        <v>181.0</v>
      </c>
      <c r="M3013" s="2" t="s">
        <v>8089</v>
      </c>
      <c r="N3013" s="2" t="str">
        <f>IFERROR(__xludf.DUMMYFUNCTION("""COMPUTED_VALUE"""),"")</f>
        <v/>
      </c>
    </row>
    <row r="3014">
      <c r="A3014" s="2" t="s">
        <v>33</v>
      </c>
      <c r="B3014" s="12">
        <v>2932340.0</v>
      </c>
      <c r="C3014" s="12">
        <v>2932708.0</v>
      </c>
      <c r="D3014" s="2"/>
      <c r="E3014" s="2" t="s">
        <v>38</v>
      </c>
      <c r="F3014" s="2" t="s">
        <v>338</v>
      </c>
      <c r="G3014" s="2"/>
      <c r="H3014" s="12">
        <v>0.0</v>
      </c>
      <c r="I3014" s="2" t="s">
        <v>40</v>
      </c>
      <c r="J3014" s="2"/>
      <c r="K3014" s="2" t="s">
        <v>8090</v>
      </c>
      <c r="L3014" s="12">
        <v>122.0</v>
      </c>
      <c r="M3014" s="2" t="s">
        <v>8091</v>
      </c>
      <c r="N3014" s="2" t="str">
        <f>IFERROR(__xludf.DUMMYFUNCTION("""COMPUTED_VALUE"""),"")</f>
        <v/>
      </c>
    </row>
    <row r="3015">
      <c r="A3015" s="2" t="s">
        <v>33</v>
      </c>
      <c r="B3015" s="12">
        <v>2932760.0</v>
      </c>
      <c r="C3015" s="12">
        <v>2933653.0</v>
      </c>
      <c r="D3015" s="2"/>
      <c r="E3015" s="2" t="s">
        <v>38</v>
      </c>
      <c r="F3015" s="2" t="s">
        <v>694</v>
      </c>
      <c r="G3015" s="2"/>
      <c r="H3015" s="12">
        <v>0.0</v>
      </c>
      <c r="I3015" s="2" t="s">
        <v>40</v>
      </c>
      <c r="J3015" s="2"/>
      <c r="K3015" s="2" t="s">
        <v>8092</v>
      </c>
      <c r="L3015" s="12">
        <v>297.0</v>
      </c>
      <c r="M3015" s="2" t="s">
        <v>8093</v>
      </c>
      <c r="N3015" s="2" t="str">
        <f>IFERROR(__xludf.DUMMYFUNCTION("""COMPUTED_VALUE"""),"")</f>
        <v/>
      </c>
    </row>
    <row r="3016">
      <c r="A3016" s="2" t="s">
        <v>33</v>
      </c>
      <c r="B3016" s="12">
        <v>2933806.0</v>
      </c>
      <c r="C3016" s="12">
        <v>2934828.0</v>
      </c>
      <c r="D3016" s="2"/>
      <c r="E3016" s="2" t="s">
        <v>34</v>
      </c>
      <c r="F3016" s="2" t="s">
        <v>8094</v>
      </c>
      <c r="G3016" s="2"/>
      <c r="H3016" s="12">
        <v>0.0</v>
      </c>
      <c r="I3016" s="2" t="s">
        <v>40</v>
      </c>
      <c r="J3016" s="2"/>
      <c r="K3016" s="2" t="s">
        <v>8095</v>
      </c>
      <c r="L3016" s="12">
        <v>340.0</v>
      </c>
      <c r="M3016" s="2" t="s">
        <v>8096</v>
      </c>
      <c r="N3016" s="2" t="str">
        <f>IFERROR(__xludf.DUMMYFUNCTION("""COMPUTED_VALUE"""),"")</f>
        <v/>
      </c>
    </row>
    <row r="3017">
      <c r="A3017" s="2" t="s">
        <v>33</v>
      </c>
      <c r="B3017" s="12">
        <v>2935146.0</v>
      </c>
      <c r="C3017" s="12">
        <v>2935343.0</v>
      </c>
      <c r="D3017" s="2"/>
      <c r="E3017" s="2" t="s">
        <v>34</v>
      </c>
      <c r="F3017" s="2" t="s">
        <v>220</v>
      </c>
      <c r="G3017" s="2"/>
      <c r="H3017" s="12">
        <v>0.0</v>
      </c>
      <c r="I3017" s="2" t="s">
        <v>40</v>
      </c>
      <c r="J3017" s="2"/>
      <c r="K3017" s="2" t="s">
        <v>8097</v>
      </c>
      <c r="L3017" s="12">
        <v>65.0</v>
      </c>
      <c r="M3017" s="2" t="s">
        <v>8098</v>
      </c>
      <c r="N3017" s="2" t="str">
        <f>IFERROR(__xludf.DUMMYFUNCTION("""COMPUTED_VALUE"""),"")</f>
        <v/>
      </c>
    </row>
    <row r="3018">
      <c r="A3018" s="2" t="s">
        <v>33</v>
      </c>
      <c r="B3018" s="12">
        <v>2935491.0</v>
      </c>
      <c r="C3018" s="12">
        <v>2935718.0</v>
      </c>
      <c r="D3018" s="2"/>
      <c r="E3018" s="2" t="s">
        <v>34</v>
      </c>
      <c r="F3018" s="2" t="s">
        <v>39</v>
      </c>
      <c r="G3018" s="2"/>
      <c r="H3018" s="12">
        <v>0.0</v>
      </c>
      <c r="I3018" s="2" t="s">
        <v>40</v>
      </c>
      <c r="J3018" s="2"/>
      <c r="K3018" s="2" t="s">
        <v>8099</v>
      </c>
      <c r="L3018" s="12">
        <v>75.0</v>
      </c>
      <c r="M3018" s="2" t="s">
        <v>8100</v>
      </c>
      <c r="N3018" s="2" t="str">
        <f>IFERROR(__xludf.DUMMYFUNCTION("""COMPUTED_VALUE"""),"")</f>
        <v/>
      </c>
    </row>
    <row r="3019">
      <c r="A3019" s="2" t="s">
        <v>33</v>
      </c>
      <c r="B3019" s="12">
        <v>2935819.0</v>
      </c>
      <c r="C3019" s="12">
        <v>2936580.0</v>
      </c>
      <c r="D3019" s="2"/>
      <c r="E3019" s="2" t="s">
        <v>34</v>
      </c>
      <c r="F3019" s="2" t="s">
        <v>338</v>
      </c>
      <c r="G3019" s="2"/>
      <c r="H3019" s="12">
        <v>0.0</v>
      </c>
      <c r="I3019" s="2" t="s">
        <v>40</v>
      </c>
      <c r="J3019" s="2"/>
      <c r="K3019" s="2" t="s">
        <v>8101</v>
      </c>
      <c r="L3019" s="12">
        <v>253.0</v>
      </c>
      <c r="M3019" s="2" t="s">
        <v>8102</v>
      </c>
      <c r="N3019" s="2" t="str">
        <f>IFERROR(__xludf.DUMMYFUNCTION("""COMPUTED_VALUE"""),"")</f>
        <v/>
      </c>
    </row>
    <row r="3020">
      <c r="A3020" s="2" t="s">
        <v>33</v>
      </c>
      <c r="B3020" s="12">
        <v>2936577.0</v>
      </c>
      <c r="C3020" s="12">
        <v>2937197.0</v>
      </c>
      <c r="D3020" s="2"/>
      <c r="E3020" s="2" t="s">
        <v>34</v>
      </c>
      <c r="F3020" s="2" t="s">
        <v>39</v>
      </c>
      <c r="G3020" s="2"/>
      <c r="H3020" s="12">
        <v>0.0</v>
      </c>
      <c r="I3020" s="2" t="s">
        <v>40</v>
      </c>
      <c r="J3020" s="2"/>
      <c r="K3020" s="2" t="s">
        <v>8103</v>
      </c>
      <c r="L3020" s="12">
        <v>206.0</v>
      </c>
      <c r="M3020" s="2" t="s">
        <v>8104</v>
      </c>
      <c r="N3020" s="2" t="str">
        <f>IFERROR(__xludf.DUMMYFUNCTION("""COMPUTED_VALUE"""),"")</f>
        <v/>
      </c>
    </row>
    <row r="3021">
      <c r="A3021" s="2" t="s">
        <v>33</v>
      </c>
      <c r="B3021" s="12">
        <v>2937243.0</v>
      </c>
      <c r="C3021" s="12">
        <v>2937674.0</v>
      </c>
      <c r="D3021" s="2"/>
      <c r="E3021" s="2" t="s">
        <v>34</v>
      </c>
      <c r="F3021" s="2" t="s">
        <v>8105</v>
      </c>
      <c r="G3021" s="2"/>
      <c r="H3021" s="12">
        <v>0.0</v>
      </c>
      <c r="I3021" s="2" t="s">
        <v>40</v>
      </c>
      <c r="J3021" s="2"/>
      <c r="K3021" s="2" t="s">
        <v>8106</v>
      </c>
      <c r="L3021" s="12">
        <v>143.0</v>
      </c>
      <c r="M3021" s="2" t="s">
        <v>8107</v>
      </c>
      <c r="N3021" s="2" t="str">
        <f>IFERROR(__xludf.DUMMYFUNCTION("""COMPUTED_VALUE"""),"")</f>
        <v/>
      </c>
    </row>
    <row r="3022">
      <c r="A3022" s="2" t="s">
        <v>33</v>
      </c>
      <c r="B3022" s="12">
        <v>2937825.0</v>
      </c>
      <c r="C3022" s="12">
        <v>2939801.0</v>
      </c>
      <c r="D3022" s="2"/>
      <c r="E3022" s="2" t="s">
        <v>34</v>
      </c>
      <c r="F3022" s="2" t="s">
        <v>8108</v>
      </c>
      <c r="G3022" s="2" t="s">
        <v>8109</v>
      </c>
      <c r="H3022" s="12">
        <v>0.0</v>
      </c>
      <c r="I3022" s="2" t="s">
        <v>40</v>
      </c>
      <c r="J3022" s="2"/>
      <c r="K3022" s="2" t="s">
        <v>8110</v>
      </c>
      <c r="L3022" s="12">
        <v>658.0</v>
      </c>
      <c r="M3022" s="2" t="s">
        <v>8111</v>
      </c>
      <c r="N3022" s="2" t="str">
        <f>IFERROR(__xludf.DUMMYFUNCTION("""COMPUTED_VALUE"""),"")</f>
        <v/>
      </c>
    </row>
    <row r="3023">
      <c r="A3023" s="2" t="s">
        <v>33</v>
      </c>
      <c r="B3023" s="12">
        <v>2939807.0</v>
      </c>
      <c r="C3023" s="12">
        <v>2942683.0</v>
      </c>
      <c r="D3023" s="2"/>
      <c r="E3023" s="2" t="s">
        <v>34</v>
      </c>
      <c r="F3023" s="2" t="s">
        <v>341</v>
      </c>
      <c r="G3023" s="2" t="s">
        <v>8112</v>
      </c>
      <c r="H3023" s="12">
        <v>0.0</v>
      </c>
      <c r="I3023" s="2" t="s">
        <v>40</v>
      </c>
      <c r="J3023" s="2"/>
      <c r="K3023" s="2" t="s">
        <v>8113</v>
      </c>
      <c r="L3023" s="12">
        <v>958.0</v>
      </c>
      <c r="M3023" s="2" t="s">
        <v>8114</v>
      </c>
      <c r="N3023" s="2" t="str">
        <f>IFERROR(__xludf.DUMMYFUNCTION("""COMPUTED_VALUE"""),"")</f>
        <v/>
      </c>
    </row>
    <row r="3024">
      <c r="A3024" s="2" t="s">
        <v>33</v>
      </c>
      <c r="B3024" s="12">
        <v>2942743.0</v>
      </c>
      <c r="C3024" s="12">
        <v>2943192.0</v>
      </c>
      <c r="D3024" s="2"/>
      <c r="E3024" s="2" t="s">
        <v>34</v>
      </c>
      <c r="F3024" s="2" t="s">
        <v>8115</v>
      </c>
      <c r="G3024" s="2"/>
      <c r="H3024" s="12">
        <v>0.0</v>
      </c>
      <c r="I3024" s="2" t="s">
        <v>40</v>
      </c>
      <c r="J3024" s="2"/>
      <c r="K3024" s="2" t="s">
        <v>8116</v>
      </c>
      <c r="L3024" s="12">
        <v>149.0</v>
      </c>
      <c r="M3024" s="2" t="s">
        <v>8117</v>
      </c>
      <c r="N3024" s="2" t="str">
        <f>IFERROR(__xludf.DUMMYFUNCTION("""COMPUTED_VALUE"""),"")</f>
        <v/>
      </c>
    </row>
    <row r="3025">
      <c r="A3025" s="2" t="s">
        <v>33</v>
      </c>
      <c r="B3025" s="12">
        <v>2943308.0</v>
      </c>
      <c r="C3025" s="12">
        <v>2943688.0</v>
      </c>
      <c r="D3025" s="2"/>
      <c r="E3025" s="2" t="s">
        <v>34</v>
      </c>
      <c r="F3025" s="2" t="s">
        <v>8118</v>
      </c>
      <c r="G3025" s="2"/>
      <c r="H3025" s="12">
        <v>0.0</v>
      </c>
      <c r="I3025" s="2" t="s">
        <v>40</v>
      </c>
      <c r="J3025" s="2"/>
      <c r="K3025" s="2" t="s">
        <v>8119</v>
      </c>
      <c r="L3025" s="12">
        <v>126.0</v>
      </c>
      <c r="M3025" s="2" t="s">
        <v>8120</v>
      </c>
      <c r="N3025" s="2" t="str">
        <f>IFERROR(__xludf.DUMMYFUNCTION("""COMPUTED_VALUE"""),"")</f>
        <v/>
      </c>
    </row>
    <row r="3026">
      <c r="A3026" s="2" t="s">
        <v>33</v>
      </c>
      <c r="B3026" s="12">
        <v>2943845.0</v>
      </c>
      <c r="C3026" s="12">
        <v>2944774.0</v>
      </c>
      <c r="D3026" s="2"/>
      <c r="E3026" s="2" t="s">
        <v>34</v>
      </c>
      <c r="F3026" s="2" t="s">
        <v>8121</v>
      </c>
      <c r="G3026" s="2" t="s">
        <v>8122</v>
      </c>
      <c r="H3026" s="12">
        <v>0.0</v>
      </c>
      <c r="I3026" s="2" t="s">
        <v>40</v>
      </c>
      <c r="J3026" s="2"/>
      <c r="K3026" s="2" t="s">
        <v>8123</v>
      </c>
      <c r="L3026" s="12">
        <v>309.0</v>
      </c>
      <c r="M3026" s="2" t="s">
        <v>8124</v>
      </c>
      <c r="N3026" s="2" t="str">
        <f>IFERROR(__xludf.DUMMYFUNCTION("""COMPUTED_VALUE"""),"")</f>
        <v/>
      </c>
    </row>
    <row r="3027">
      <c r="A3027" s="2" t="s">
        <v>33</v>
      </c>
      <c r="B3027" s="12">
        <v>2944801.0</v>
      </c>
      <c r="C3027" s="12">
        <v>2945613.0</v>
      </c>
      <c r="D3027" s="2"/>
      <c r="E3027" s="2" t="s">
        <v>34</v>
      </c>
      <c r="F3027" s="2" t="s">
        <v>8125</v>
      </c>
      <c r="G3027" s="2" t="s">
        <v>8126</v>
      </c>
      <c r="H3027" s="12">
        <v>0.0</v>
      </c>
      <c r="I3027" s="2" t="s">
        <v>40</v>
      </c>
      <c r="J3027" s="2"/>
      <c r="K3027" s="2" t="s">
        <v>8127</v>
      </c>
      <c r="L3027" s="12">
        <v>270.0</v>
      </c>
      <c r="M3027" s="2" t="s">
        <v>8128</v>
      </c>
      <c r="N3027" s="2" t="str">
        <f>IFERROR(__xludf.DUMMYFUNCTION("""COMPUTED_VALUE"""),"")</f>
        <v/>
      </c>
    </row>
    <row r="3028">
      <c r="A3028" s="2" t="s">
        <v>33</v>
      </c>
      <c r="B3028" s="12">
        <v>2945681.0</v>
      </c>
      <c r="C3028" s="12">
        <v>2946331.0</v>
      </c>
      <c r="D3028" s="2"/>
      <c r="E3028" s="2" t="s">
        <v>34</v>
      </c>
      <c r="F3028" s="2" t="s">
        <v>8129</v>
      </c>
      <c r="G3028" s="2" t="s">
        <v>8130</v>
      </c>
      <c r="H3028" s="12">
        <v>0.0</v>
      </c>
      <c r="I3028" s="2" t="s">
        <v>40</v>
      </c>
      <c r="J3028" s="2"/>
      <c r="K3028" s="2" t="s">
        <v>8131</v>
      </c>
      <c r="L3028" s="12">
        <v>216.0</v>
      </c>
      <c r="M3028" s="2" t="s">
        <v>8132</v>
      </c>
      <c r="N3028" s="2" t="str">
        <f>IFERROR(__xludf.DUMMYFUNCTION("""COMPUTED_VALUE"""),"")</f>
        <v/>
      </c>
    </row>
    <row r="3029">
      <c r="A3029" s="2" t="s">
        <v>33</v>
      </c>
      <c r="B3029" s="12">
        <v>2946365.0</v>
      </c>
      <c r="C3029" s="12">
        <v>2946877.0</v>
      </c>
      <c r="D3029" s="2"/>
      <c r="E3029" s="2" t="s">
        <v>34</v>
      </c>
      <c r="F3029" s="2" t="s">
        <v>8133</v>
      </c>
      <c r="G3029" s="2"/>
      <c r="H3029" s="12">
        <v>0.0</v>
      </c>
      <c r="I3029" s="2" t="s">
        <v>40</v>
      </c>
      <c r="J3029" s="2"/>
      <c r="K3029" s="2" t="s">
        <v>8134</v>
      </c>
      <c r="L3029" s="12">
        <v>170.0</v>
      </c>
      <c r="M3029" s="2" t="s">
        <v>8135</v>
      </c>
      <c r="N3029" s="2" t="str">
        <f>IFERROR(__xludf.DUMMYFUNCTION("""COMPUTED_VALUE"""),"")</f>
        <v/>
      </c>
    </row>
    <row r="3030">
      <c r="A3030" s="2" t="s">
        <v>33</v>
      </c>
      <c r="B3030" s="12">
        <v>2947017.0</v>
      </c>
      <c r="C3030" s="12">
        <v>2948528.0</v>
      </c>
      <c r="D3030" s="2"/>
      <c r="E3030" s="2" t="s">
        <v>34</v>
      </c>
      <c r="F3030" s="2" t="s">
        <v>5941</v>
      </c>
      <c r="G3030" s="2"/>
      <c r="H3030" s="12">
        <v>0.0</v>
      </c>
      <c r="I3030" s="2" t="s">
        <v>40</v>
      </c>
      <c r="J3030" s="2"/>
      <c r="K3030" s="2" t="s">
        <v>8136</v>
      </c>
      <c r="L3030" s="12">
        <v>503.0</v>
      </c>
      <c r="M3030" s="2" t="s">
        <v>8137</v>
      </c>
      <c r="N3030" s="2" t="str">
        <f>IFERROR(__xludf.DUMMYFUNCTION("""COMPUTED_VALUE"""),"")</f>
        <v/>
      </c>
    </row>
    <row r="3031">
      <c r="A3031" s="2" t="s">
        <v>33</v>
      </c>
      <c r="B3031" s="12">
        <v>2948614.0</v>
      </c>
      <c r="C3031" s="12">
        <v>2949570.0</v>
      </c>
      <c r="D3031" s="2"/>
      <c r="E3031" s="2" t="s">
        <v>34</v>
      </c>
      <c r="F3031" s="2" t="s">
        <v>8138</v>
      </c>
      <c r="G3031" s="2" t="s">
        <v>8139</v>
      </c>
      <c r="H3031" s="12">
        <v>0.0</v>
      </c>
      <c r="I3031" s="2" t="s">
        <v>40</v>
      </c>
      <c r="J3031" s="2"/>
      <c r="K3031" s="2" t="s">
        <v>8140</v>
      </c>
      <c r="L3031" s="12">
        <v>318.0</v>
      </c>
      <c r="M3031" s="2" t="s">
        <v>8141</v>
      </c>
      <c r="N3031" s="2" t="str">
        <f>IFERROR(__xludf.DUMMYFUNCTION("""COMPUTED_VALUE"""),"")</f>
        <v/>
      </c>
    </row>
    <row r="3032">
      <c r="A3032" s="2" t="s">
        <v>33</v>
      </c>
      <c r="B3032" s="12">
        <v>2949736.0</v>
      </c>
      <c r="C3032" s="12">
        <v>2950542.0</v>
      </c>
      <c r="D3032" s="2"/>
      <c r="E3032" s="2" t="s">
        <v>34</v>
      </c>
      <c r="F3032" s="2" t="s">
        <v>8142</v>
      </c>
      <c r="G3032" s="2"/>
      <c r="H3032" s="12">
        <v>0.0</v>
      </c>
      <c r="I3032" s="2" t="s">
        <v>40</v>
      </c>
      <c r="J3032" s="2"/>
      <c r="K3032" s="2" t="s">
        <v>8143</v>
      </c>
      <c r="L3032" s="12">
        <v>268.0</v>
      </c>
      <c r="M3032" s="2" t="s">
        <v>8144</v>
      </c>
      <c r="N3032" s="2" t="str">
        <f>IFERROR(__xludf.DUMMYFUNCTION("""COMPUTED_VALUE"""),"")</f>
        <v/>
      </c>
    </row>
    <row r="3033">
      <c r="A3033" s="2" t="s">
        <v>33</v>
      </c>
      <c r="B3033" s="12">
        <v>2950772.0</v>
      </c>
      <c r="C3033" s="12">
        <v>2951230.0</v>
      </c>
      <c r="D3033" s="2"/>
      <c r="E3033" s="2" t="s">
        <v>34</v>
      </c>
      <c r="F3033" s="2" t="s">
        <v>2375</v>
      </c>
      <c r="G3033" s="2"/>
      <c r="H3033" s="12">
        <v>0.0</v>
      </c>
      <c r="I3033" s="2" t="s">
        <v>40</v>
      </c>
      <c r="J3033" s="2"/>
      <c r="K3033" s="2" t="s">
        <v>8145</v>
      </c>
      <c r="L3033" s="12">
        <v>152.0</v>
      </c>
      <c r="M3033" s="2" t="s">
        <v>8146</v>
      </c>
      <c r="N3033" s="2" t="str">
        <f>IFERROR(__xludf.DUMMYFUNCTION("""COMPUTED_VALUE"""),"")</f>
        <v/>
      </c>
    </row>
    <row r="3034">
      <c r="A3034" s="2" t="s">
        <v>33</v>
      </c>
      <c r="B3034" s="12">
        <v>2951251.0</v>
      </c>
      <c r="C3034" s="12">
        <v>2952132.0</v>
      </c>
      <c r="D3034" s="2"/>
      <c r="E3034" s="2" t="s">
        <v>34</v>
      </c>
      <c r="F3034" s="2" t="s">
        <v>8147</v>
      </c>
      <c r="G3034" s="2" t="s">
        <v>8148</v>
      </c>
      <c r="H3034" s="12">
        <v>0.0</v>
      </c>
      <c r="I3034" s="2" t="s">
        <v>40</v>
      </c>
      <c r="J3034" s="2"/>
      <c r="K3034" s="2" t="s">
        <v>8149</v>
      </c>
      <c r="L3034" s="12">
        <v>293.0</v>
      </c>
      <c r="M3034" s="2" t="s">
        <v>8150</v>
      </c>
      <c r="N3034" s="2" t="str">
        <f>IFERROR(__xludf.DUMMYFUNCTION("""COMPUTED_VALUE"""),"")</f>
        <v/>
      </c>
    </row>
    <row r="3035">
      <c r="A3035" s="2" t="s">
        <v>33</v>
      </c>
      <c r="B3035" s="12">
        <v>2952136.0</v>
      </c>
      <c r="C3035" s="12">
        <v>2953089.0</v>
      </c>
      <c r="D3035" s="2"/>
      <c r="E3035" s="2" t="s">
        <v>34</v>
      </c>
      <c r="F3035" s="2" t="s">
        <v>8151</v>
      </c>
      <c r="G3035" s="2" t="s">
        <v>8152</v>
      </c>
      <c r="H3035" s="12">
        <v>0.0</v>
      </c>
      <c r="I3035" s="2" t="s">
        <v>40</v>
      </c>
      <c r="J3035" s="2"/>
      <c r="K3035" s="2" t="s">
        <v>8153</v>
      </c>
      <c r="L3035" s="12">
        <v>317.0</v>
      </c>
      <c r="M3035" s="2" t="s">
        <v>8154</v>
      </c>
      <c r="N3035" s="2" t="str">
        <f>IFERROR(__xludf.DUMMYFUNCTION("""COMPUTED_VALUE"""),"")</f>
        <v/>
      </c>
    </row>
    <row r="3036">
      <c r="A3036" s="2" t="s">
        <v>33</v>
      </c>
      <c r="B3036" s="12">
        <v>2953178.0</v>
      </c>
      <c r="C3036" s="12">
        <v>2954128.0</v>
      </c>
      <c r="D3036" s="2"/>
      <c r="E3036" s="2" t="s">
        <v>34</v>
      </c>
      <c r="F3036" s="2" t="s">
        <v>8155</v>
      </c>
      <c r="G3036" s="2" t="s">
        <v>8156</v>
      </c>
      <c r="H3036" s="12">
        <v>0.0</v>
      </c>
      <c r="I3036" s="2" t="s">
        <v>40</v>
      </c>
      <c r="J3036" s="2"/>
      <c r="K3036" s="2" t="s">
        <v>8157</v>
      </c>
      <c r="L3036" s="12">
        <v>316.0</v>
      </c>
      <c r="M3036" s="2" t="s">
        <v>8158</v>
      </c>
      <c r="N3036" s="2" t="str">
        <f>IFERROR(__xludf.DUMMYFUNCTION("""COMPUTED_VALUE"""),"")</f>
        <v/>
      </c>
    </row>
    <row r="3037">
      <c r="A3037" s="2" t="s">
        <v>33</v>
      </c>
      <c r="B3037" s="12">
        <v>2954152.0</v>
      </c>
      <c r="C3037" s="12">
        <v>2954400.0</v>
      </c>
      <c r="D3037" s="2"/>
      <c r="E3037" s="2" t="s">
        <v>34</v>
      </c>
      <c r="F3037" s="2" t="s">
        <v>8159</v>
      </c>
      <c r="G3037" s="2"/>
      <c r="H3037" s="12">
        <v>0.0</v>
      </c>
      <c r="I3037" s="2" t="s">
        <v>40</v>
      </c>
      <c r="J3037" s="2"/>
      <c r="K3037" s="2" t="s">
        <v>8160</v>
      </c>
      <c r="L3037" s="12">
        <v>82.0</v>
      </c>
      <c r="M3037" s="2" t="s">
        <v>8161</v>
      </c>
      <c r="N3037" s="2" t="str">
        <f>IFERROR(__xludf.DUMMYFUNCTION("""COMPUTED_VALUE"""),"")</f>
        <v/>
      </c>
    </row>
    <row r="3038">
      <c r="A3038" s="2" t="s">
        <v>33</v>
      </c>
      <c r="B3038" s="12">
        <v>2954795.0</v>
      </c>
      <c r="C3038" s="12">
        <v>2955376.0</v>
      </c>
      <c r="D3038" s="2"/>
      <c r="E3038" s="2" t="s">
        <v>38</v>
      </c>
      <c r="F3038" s="2" t="s">
        <v>8162</v>
      </c>
      <c r="G3038" s="2" t="s">
        <v>8163</v>
      </c>
      <c r="H3038" s="12">
        <v>0.0</v>
      </c>
      <c r="I3038" s="2" t="s">
        <v>40</v>
      </c>
      <c r="J3038" s="2"/>
      <c r="K3038" s="2" t="s">
        <v>8164</v>
      </c>
      <c r="L3038" s="12">
        <v>193.0</v>
      </c>
      <c r="M3038" s="2" t="s">
        <v>8165</v>
      </c>
      <c r="N3038" s="2" t="str">
        <f>IFERROR(__xludf.DUMMYFUNCTION("""COMPUTED_VALUE"""),"")</f>
        <v/>
      </c>
    </row>
    <row r="3039">
      <c r="A3039" s="2" t="s">
        <v>33</v>
      </c>
      <c r="B3039" s="12">
        <v>2955617.0</v>
      </c>
      <c r="C3039" s="12">
        <v>2956486.0</v>
      </c>
      <c r="D3039" s="2"/>
      <c r="E3039" s="2" t="s">
        <v>38</v>
      </c>
      <c r="F3039" s="2" t="s">
        <v>293</v>
      </c>
      <c r="G3039" s="2"/>
      <c r="H3039" s="12">
        <v>0.0</v>
      </c>
      <c r="I3039" s="2" t="s">
        <v>40</v>
      </c>
      <c r="J3039" s="2"/>
      <c r="K3039" s="2" t="s">
        <v>8166</v>
      </c>
      <c r="L3039" s="12">
        <v>289.0</v>
      </c>
      <c r="M3039" s="2" t="s">
        <v>8167</v>
      </c>
      <c r="N3039" s="2" t="str">
        <f>IFERROR(__xludf.DUMMYFUNCTION("""COMPUTED_VALUE"""),"")</f>
        <v/>
      </c>
    </row>
    <row r="3040">
      <c r="A3040" s="2" t="s">
        <v>33</v>
      </c>
      <c r="B3040" s="12">
        <v>2956507.0</v>
      </c>
      <c r="C3040" s="12">
        <v>2956713.0</v>
      </c>
      <c r="D3040" s="2"/>
      <c r="E3040" s="2" t="s">
        <v>38</v>
      </c>
      <c r="F3040" s="2" t="s">
        <v>8168</v>
      </c>
      <c r="G3040" s="2"/>
      <c r="H3040" s="12">
        <v>0.0</v>
      </c>
      <c r="I3040" s="2" t="s">
        <v>40</v>
      </c>
      <c r="J3040" s="2"/>
      <c r="K3040" s="2" t="s">
        <v>8169</v>
      </c>
      <c r="L3040" s="12">
        <v>68.0</v>
      </c>
      <c r="M3040" s="2" t="s">
        <v>8170</v>
      </c>
      <c r="N3040" s="2" t="str">
        <f>IFERROR(__xludf.DUMMYFUNCTION("""COMPUTED_VALUE"""),"")</f>
        <v/>
      </c>
    </row>
    <row r="3041">
      <c r="A3041" s="2" t="s">
        <v>33</v>
      </c>
      <c r="B3041" s="12">
        <v>2956725.0</v>
      </c>
      <c r="C3041" s="12">
        <v>2957075.0</v>
      </c>
      <c r="D3041" s="2"/>
      <c r="E3041" s="2" t="s">
        <v>38</v>
      </c>
      <c r="F3041" s="2" t="s">
        <v>8171</v>
      </c>
      <c r="G3041" s="2" t="s">
        <v>8172</v>
      </c>
      <c r="H3041" s="12">
        <v>0.0</v>
      </c>
      <c r="I3041" s="2" t="s">
        <v>40</v>
      </c>
      <c r="J3041" s="2"/>
      <c r="K3041" s="2" t="s">
        <v>8173</v>
      </c>
      <c r="L3041" s="12">
        <v>116.0</v>
      </c>
      <c r="M3041" s="2" t="s">
        <v>8174</v>
      </c>
      <c r="N3041" s="2" t="str">
        <f>IFERROR(__xludf.DUMMYFUNCTION("""COMPUTED_VALUE"""),"")</f>
        <v/>
      </c>
    </row>
    <row r="3042">
      <c r="A3042" s="2" t="s">
        <v>33</v>
      </c>
      <c r="B3042" s="12">
        <v>2957072.0</v>
      </c>
      <c r="C3042" s="12">
        <v>2958088.0</v>
      </c>
      <c r="D3042" s="2"/>
      <c r="E3042" s="2" t="s">
        <v>38</v>
      </c>
      <c r="F3042" s="2" t="s">
        <v>8175</v>
      </c>
      <c r="G3042" s="2" t="s">
        <v>8176</v>
      </c>
      <c r="H3042" s="12">
        <v>0.0</v>
      </c>
      <c r="I3042" s="2" t="s">
        <v>40</v>
      </c>
      <c r="J3042" s="2"/>
      <c r="K3042" s="2" t="s">
        <v>8177</v>
      </c>
      <c r="L3042" s="12">
        <v>338.0</v>
      </c>
      <c r="M3042" s="2" t="s">
        <v>8178</v>
      </c>
      <c r="N3042" s="2" t="str">
        <f>IFERROR(__xludf.DUMMYFUNCTION("""COMPUTED_VALUE"""),"")</f>
        <v/>
      </c>
    </row>
    <row r="3043">
      <c r="A3043" s="2" t="s">
        <v>33</v>
      </c>
      <c r="B3043" s="12">
        <v>2958089.0</v>
      </c>
      <c r="C3043" s="12">
        <v>2958565.0</v>
      </c>
      <c r="D3043" s="2"/>
      <c r="E3043" s="2" t="s">
        <v>38</v>
      </c>
      <c r="F3043" s="2" t="s">
        <v>8179</v>
      </c>
      <c r="G3043" s="2" t="s">
        <v>8180</v>
      </c>
      <c r="H3043" s="12">
        <v>0.0</v>
      </c>
      <c r="I3043" s="2" t="s">
        <v>40</v>
      </c>
      <c r="J3043" s="2"/>
      <c r="K3043" s="2" t="s">
        <v>8181</v>
      </c>
      <c r="L3043" s="12">
        <v>158.0</v>
      </c>
      <c r="M3043" s="2" t="s">
        <v>8182</v>
      </c>
      <c r="N3043" s="2" t="str">
        <f>IFERROR(__xludf.DUMMYFUNCTION("""COMPUTED_VALUE"""),"")</f>
        <v/>
      </c>
    </row>
    <row r="3044">
      <c r="A3044" s="2" t="s">
        <v>33</v>
      </c>
      <c r="B3044" s="12">
        <v>2958595.0</v>
      </c>
      <c r="C3044" s="12">
        <v>2959080.0</v>
      </c>
      <c r="D3044" s="2"/>
      <c r="E3044" s="2" t="s">
        <v>38</v>
      </c>
      <c r="F3044" s="2" t="s">
        <v>8183</v>
      </c>
      <c r="G3044" s="2"/>
      <c r="H3044" s="12">
        <v>0.0</v>
      </c>
      <c r="I3044" s="2" t="s">
        <v>40</v>
      </c>
      <c r="J3044" s="2"/>
      <c r="K3044" s="2" t="s">
        <v>8184</v>
      </c>
      <c r="L3044" s="12">
        <v>161.0</v>
      </c>
      <c r="M3044" s="2" t="s">
        <v>8185</v>
      </c>
      <c r="N3044" s="2" t="str">
        <f>IFERROR(__xludf.DUMMYFUNCTION("""COMPUTED_VALUE"""),"")</f>
        <v/>
      </c>
    </row>
    <row r="3045">
      <c r="A3045" s="2" t="s">
        <v>33</v>
      </c>
      <c r="B3045" s="12">
        <v>2959174.0</v>
      </c>
      <c r="C3045" s="12">
        <v>2959380.0</v>
      </c>
      <c r="D3045" s="2"/>
      <c r="E3045" s="2" t="s">
        <v>38</v>
      </c>
      <c r="F3045" s="2" t="s">
        <v>8168</v>
      </c>
      <c r="G3045" s="2"/>
      <c r="H3045" s="12">
        <v>0.0</v>
      </c>
      <c r="I3045" s="2" t="s">
        <v>40</v>
      </c>
      <c r="J3045" s="2"/>
      <c r="K3045" s="2" t="s">
        <v>8186</v>
      </c>
      <c r="L3045" s="12">
        <v>68.0</v>
      </c>
      <c r="M3045" s="2" t="s">
        <v>8187</v>
      </c>
      <c r="N3045" s="2" t="str">
        <f>IFERROR(__xludf.DUMMYFUNCTION("""COMPUTED_VALUE"""),"")</f>
        <v/>
      </c>
    </row>
    <row r="3046">
      <c r="A3046" s="2" t="s">
        <v>33</v>
      </c>
      <c r="B3046" s="12">
        <v>2959585.0</v>
      </c>
      <c r="C3046" s="12">
        <v>2959660.0</v>
      </c>
      <c r="D3046" s="2"/>
      <c r="E3046" s="2" t="s">
        <v>34</v>
      </c>
      <c r="F3046" s="2" t="s">
        <v>5244</v>
      </c>
      <c r="G3046" s="2"/>
      <c r="H3046" s="12">
        <v>0.0</v>
      </c>
      <c r="I3046" s="2" t="s">
        <v>3783</v>
      </c>
      <c r="J3046" s="2"/>
      <c r="K3046" s="2"/>
      <c r="L3046" s="2"/>
      <c r="M3046" s="2" t="s">
        <v>8188</v>
      </c>
      <c r="N3046" s="2" t="str">
        <f>IFERROR(__xludf.DUMMYFUNCTION("""COMPUTED_VALUE"""),"")</f>
        <v/>
      </c>
    </row>
    <row r="3047">
      <c r="A3047" s="2" t="s">
        <v>33</v>
      </c>
      <c r="B3047" s="12">
        <v>2959919.0</v>
      </c>
      <c r="C3047" s="12">
        <v>2961226.0</v>
      </c>
      <c r="D3047" s="2"/>
      <c r="E3047" s="2" t="s">
        <v>34</v>
      </c>
      <c r="F3047" s="2" t="s">
        <v>8189</v>
      </c>
      <c r="G3047" s="2" t="s">
        <v>8190</v>
      </c>
      <c r="H3047" s="12">
        <v>0.0</v>
      </c>
      <c r="I3047" s="2" t="s">
        <v>40</v>
      </c>
      <c r="J3047" s="2"/>
      <c r="K3047" s="2" t="s">
        <v>8191</v>
      </c>
      <c r="L3047" s="12">
        <v>435.0</v>
      </c>
      <c r="M3047" s="2" t="s">
        <v>8192</v>
      </c>
      <c r="N3047" s="2" t="str">
        <f>IFERROR(__xludf.DUMMYFUNCTION("""COMPUTED_VALUE"""),"")</f>
        <v/>
      </c>
    </row>
    <row r="3048">
      <c r="A3048" s="2" t="s">
        <v>33</v>
      </c>
      <c r="B3048" s="12">
        <v>2961236.0</v>
      </c>
      <c r="C3048" s="12">
        <v>2961481.0</v>
      </c>
      <c r="D3048" s="2"/>
      <c r="E3048" s="2" t="s">
        <v>34</v>
      </c>
      <c r="F3048" s="2" t="s">
        <v>8193</v>
      </c>
      <c r="G3048" s="2"/>
      <c r="H3048" s="12">
        <v>0.0</v>
      </c>
      <c r="I3048" s="2" t="s">
        <v>40</v>
      </c>
      <c r="J3048" s="2"/>
      <c r="K3048" s="2" t="s">
        <v>8194</v>
      </c>
      <c r="L3048" s="12">
        <v>81.0</v>
      </c>
      <c r="M3048" s="2" t="s">
        <v>8195</v>
      </c>
      <c r="N3048" s="2" t="str">
        <f>IFERROR(__xludf.DUMMYFUNCTION("""COMPUTED_VALUE"""),"")</f>
        <v/>
      </c>
    </row>
    <row r="3049">
      <c r="A3049" s="2" t="s">
        <v>33</v>
      </c>
      <c r="B3049" s="12">
        <v>2961618.0</v>
      </c>
      <c r="C3049" s="12">
        <v>2962646.0</v>
      </c>
      <c r="D3049" s="2"/>
      <c r="E3049" s="2" t="s">
        <v>34</v>
      </c>
      <c r="F3049" s="2" t="s">
        <v>8196</v>
      </c>
      <c r="G3049" s="2" t="s">
        <v>8197</v>
      </c>
      <c r="H3049" s="12">
        <v>0.0</v>
      </c>
      <c r="I3049" s="2" t="s">
        <v>40</v>
      </c>
      <c r="J3049" s="2"/>
      <c r="K3049" s="2" t="s">
        <v>8198</v>
      </c>
      <c r="L3049" s="12">
        <v>342.0</v>
      </c>
      <c r="M3049" s="2" t="s">
        <v>8199</v>
      </c>
      <c r="N3049" s="2" t="str">
        <f>IFERROR(__xludf.DUMMYFUNCTION("""COMPUTED_VALUE"""),"")</f>
        <v/>
      </c>
    </row>
    <row r="3050">
      <c r="A3050" s="2" t="s">
        <v>33</v>
      </c>
      <c r="B3050" s="12">
        <v>2962673.0</v>
      </c>
      <c r="C3050" s="12">
        <v>2963677.0</v>
      </c>
      <c r="D3050" s="2"/>
      <c r="E3050" s="2" t="s">
        <v>34</v>
      </c>
      <c r="F3050" s="2" t="s">
        <v>8200</v>
      </c>
      <c r="G3050" s="2" t="s">
        <v>8201</v>
      </c>
      <c r="H3050" s="12">
        <v>0.0</v>
      </c>
      <c r="I3050" s="2" t="s">
        <v>40</v>
      </c>
      <c r="J3050" s="2"/>
      <c r="K3050" s="2" t="s">
        <v>8202</v>
      </c>
      <c r="L3050" s="12">
        <v>334.0</v>
      </c>
      <c r="M3050" s="2" t="s">
        <v>8203</v>
      </c>
      <c r="N3050" s="2" t="str">
        <f>IFERROR(__xludf.DUMMYFUNCTION("""COMPUTED_VALUE"""),"")</f>
        <v/>
      </c>
    </row>
    <row r="3051">
      <c r="A3051" s="2" t="s">
        <v>33</v>
      </c>
      <c r="B3051" s="12">
        <v>2963817.0</v>
      </c>
      <c r="C3051" s="12">
        <v>2965001.0</v>
      </c>
      <c r="D3051" s="2"/>
      <c r="E3051" s="2" t="s">
        <v>34</v>
      </c>
      <c r="F3051" s="2" t="s">
        <v>8204</v>
      </c>
      <c r="G3051" s="2"/>
      <c r="H3051" s="12">
        <v>0.0</v>
      </c>
      <c r="I3051" s="2" t="s">
        <v>40</v>
      </c>
      <c r="J3051" s="2"/>
      <c r="K3051" s="2" t="s">
        <v>8205</v>
      </c>
      <c r="L3051" s="12">
        <v>394.0</v>
      </c>
      <c r="M3051" s="2" t="s">
        <v>8206</v>
      </c>
      <c r="N3051" s="2" t="str">
        <f>IFERROR(__xludf.DUMMYFUNCTION("""COMPUTED_VALUE"""),"")</f>
        <v/>
      </c>
    </row>
    <row r="3052">
      <c r="A3052" s="2" t="s">
        <v>33</v>
      </c>
      <c r="B3052" s="12">
        <v>2965034.0</v>
      </c>
      <c r="C3052" s="12">
        <v>2965789.0</v>
      </c>
      <c r="D3052" s="2"/>
      <c r="E3052" s="2" t="s">
        <v>34</v>
      </c>
      <c r="F3052" s="2" t="s">
        <v>8207</v>
      </c>
      <c r="G3052" s="2" t="s">
        <v>8208</v>
      </c>
      <c r="H3052" s="12">
        <v>0.0</v>
      </c>
      <c r="I3052" s="2" t="s">
        <v>40</v>
      </c>
      <c r="J3052" s="2"/>
      <c r="K3052" s="2" t="s">
        <v>8209</v>
      </c>
      <c r="L3052" s="12">
        <v>251.0</v>
      </c>
      <c r="M3052" s="2" t="s">
        <v>8210</v>
      </c>
      <c r="N3052" s="2" t="str">
        <f>IFERROR(__xludf.DUMMYFUNCTION("""COMPUTED_VALUE"""),"")</f>
        <v/>
      </c>
    </row>
    <row r="3053">
      <c r="A3053" s="2" t="s">
        <v>33</v>
      </c>
      <c r="B3053" s="12">
        <v>2965786.0</v>
      </c>
      <c r="C3053" s="12">
        <v>2967315.0</v>
      </c>
      <c r="D3053" s="2"/>
      <c r="E3053" s="2" t="s">
        <v>34</v>
      </c>
      <c r="F3053" s="2" t="s">
        <v>8211</v>
      </c>
      <c r="G3053" s="2" t="s">
        <v>8212</v>
      </c>
      <c r="H3053" s="12">
        <v>0.0</v>
      </c>
      <c r="I3053" s="2" t="s">
        <v>40</v>
      </c>
      <c r="J3053" s="2"/>
      <c r="K3053" s="2" t="s">
        <v>8213</v>
      </c>
      <c r="L3053" s="12">
        <v>509.0</v>
      </c>
      <c r="M3053" s="2" t="s">
        <v>8214</v>
      </c>
      <c r="N3053" s="2" t="str">
        <f>IFERROR(__xludf.DUMMYFUNCTION("""COMPUTED_VALUE"""),"")</f>
        <v/>
      </c>
    </row>
    <row r="3054">
      <c r="A3054" s="2" t="s">
        <v>33</v>
      </c>
      <c r="B3054" s="12">
        <v>2967346.0</v>
      </c>
      <c r="C3054" s="12">
        <v>2968641.0</v>
      </c>
      <c r="D3054" s="2"/>
      <c r="E3054" s="2" t="s">
        <v>34</v>
      </c>
      <c r="F3054" s="2" t="s">
        <v>8215</v>
      </c>
      <c r="G3054" s="2" t="s">
        <v>8216</v>
      </c>
      <c r="H3054" s="12">
        <v>0.0</v>
      </c>
      <c r="I3054" s="2" t="s">
        <v>40</v>
      </c>
      <c r="J3054" s="2"/>
      <c r="K3054" s="2" t="s">
        <v>8217</v>
      </c>
      <c r="L3054" s="12">
        <v>431.0</v>
      </c>
      <c r="M3054" s="2" t="s">
        <v>8218</v>
      </c>
      <c r="N3054" s="2" t="str">
        <f>IFERROR(__xludf.DUMMYFUNCTION("""COMPUTED_VALUE"""),"")</f>
        <v/>
      </c>
    </row>
    <row r="3055">
      <c r="A3055" s="2" t="s">
        <v>33</v>
      </c>
      <c r="B3055" s="12">
        <v>2968693.0</v>
      </c>
      <c r="C3055" s="12">
        <v>2969643.0</v>
      </c>
      <c r="D3055" s="2"/>
      <c r="E3055" s="2" t="s">
        <v>38</v>
      </c>
      <c r="F3055" s="2" t="s">
        <v>779</v>
      </c>
      <c r="G3055" s="2"/>
      <c r="H3055" s="12">
        <v>0.0</v>
      </c>
      <c r="I3055" s="2" t="s">
        <v>40</v>
      </c>
      <c r="J3055" s="2"/>
      <c r="K3055" s="2" t="s">
        <v>8219</v>
      </c>
      <c r="L3055" s="12">
        <v>316.0</v>
      </c>
      <c r="M3055" s="2" t="s">
        <v>8220</v>
      </c>
      <c r="N3055" s="2" t="str">
        <f>IFERROR(__xludf.DUMMYFUNCTION("""COMPUTED_VALUE"""),"")</f>
        <v/>
      </c>
    </row>
    <row r="3056">
      <c r="A3056" s="2" t="s">
        <v>33</v>
      </c>
      <c r="B3056" s="12">
        <v>2969996.0</v>
      </c>
      <c r="C3056" s="12">
        <v>2970364.0</v>
      </c>
      <c r="D3056" s="2"/>
      <c r="E3056" s="2" t="s">
        <v>34</v>
      </c>
      <c r="F3056" s="2" t="s">
        <v>8221</v>
      </c>
      <c r="G3056" s="2"/>
      <c r="H3056" s="12">
        <v>0.0</v>
      </c>
      <c r="I3056" s="2" t="s">
        <v>40</v>
      </c>
      <c r="J3056" s="2"/>
      <c r="K3056" s="2" t="s">
        <v>8222</v>
      </c>
      <c r="L3056" s="12">
        <v>122.0</v>
      </c>
      <c r="M3056" s="2" t="s">
        <v>8223</v>
      </c>
      <c r="N3056" s="2" t="str">
        <f>IFERROR(__xludf.DUMMYFUNCTION("""COMPUTED_VALUE"""),"")</f>
        <v/>
      </c>
    </row>
    <row r="3057">
      <c r="A3057" s="2" t="s">
        <v>33</v>
      </c>
      <c r="B3057" s="12">
        <v>2970361.0</v>
      </c>
      <c r="C3057" s="12">
        <v>2971053.0</v>
      </c>
      <c r="D3057" s="2"/>
      <c r="E3057" s="2" t="s">
        <v>34</v>
      </c>
      <c r="F3057" s="2" t="s">
        <v>8224</v>
      </c>
      <c r="G3057" s="2"/>
      <c r="H3057" s="12">
        <v>0.0</v>
      </c>
      <c r="I3057" s="2" t="s">
        <v>40</v>
      </c>
      <c r="J3057" s="2"/>
      <c r="K3057" s="2" t="s">
        <v>8225</v>
      </c>
      <c r="L3057" s="12">
        <v>230.0</v>
      </c>
      <c r="M3057" s="2" t="s">
        <v>8226</v>
      </c>
      <c r="N3057" s="2" t="str">
        <f>IFERROR(__xludf.DUMMYFUNCTION("""COMPUTED_VALUE"""),"")</f>
        <v/>
      </c>
    </row>
    <row r="3058">
      <c r="A3058" s="2" t="s">
        <v>33</v>
      </c>
      <c r="B3058" s="12">
        <v>2971148.0</v>
      </c>
      <c r="C3058" s="12">
        <v>2971381.0</v>
      </c>
      <c r="D3058" s="2"/>
      <c r="E3058" s="2" t="s">
        <v>34</v>
      </c>
      <c r="F3058" s="2" t="s">
        <v>8227</v>
      </c>
      <c r="G3058" s="2" t="s">
        <v>8228</v>
      </c>
      <c r="H3058" s="12">
        <v>0.0</v>
      </c>
      <c r="I3058" s="2" t="s">
        <v>40</v>
      </c>
      <c r="J3058" s="2"/>
      <c r="K3058" s="2" t="s">
        <v>8229</v>
      </c>
      <c r="L3058" s="12">
        <v>77.0</v>
      </c>
      <c r="M3058" s="2" t="s">
        <v>8230</v>
      </c>
      <c r="N3058" s="2" t="str">
        <f>IFERROR(__xludf.DUMMYFUNCTION("""COMPUTED_VALUE"""),"")</f>
        <v/>
      </c>
    </row>
    <row r="3059">
      <c r="A3059" s="2" t="s">
        <v>33</v>
      </c>
      <c r="B3059" s="12">
        <v>2971541.0</v>
      </c>
      <c r="C3059" s="12">
        <v>2972281.0</v>
      </c>
      <c r="D3059" s="2"/>
      <c r="E3059" s="2" t="s">
        <v>34</v>
      </c>
      <c r="F3059" s="2" t="s">
        <v>8231</v>
      </c>
      <c r="G3059" s="2" t="s">
        <v>8232</v>
      </c>
      <c r="H3059" s="12">
        <v>0.0</v>
      </c>
      <c r="I3059" s="2" t="s">
        <v>40</v>
      </c>
      <c r="J3059" s="2"/>
      <c r="K3059" s="2" t="s">
        <v>8233</v>
      </c>
      <c r="L3059" s="12">
        <v>246.0</v>
      </c>
      <c r="M3059" s="2" t="s">
        <v>8234</v>
      </c>
      <c r="N3059" s="2" t="str">
        <f>IFERROR(__xludf.DUMMYFUNCTION("""COMPUTED_VALUE"""),"")</f>
        <v/>
      </c>
    </row>
    <row r="3060">
      <c r="A3060" s="2" t="s">
        <v>33</v>
      </c>
      <c r="B3060" s="12">
        <v>2972424.0</v>
      </c>
      <c r="C3060" s="12">
        <v>2974850.0</v>
      </c>
      <c r="D3060" s="2"/>
      <c r="E3060" s="2" t="s">
        <v>34</v>
      </c>
      <c r="F3060" s="2" t="s">
        <v>8235</v>
      </c>
      <c r="G3060" s="2" t="s">
        <v>8236</v>
      </c>
      <c r="H3060" s="12">
        <v>0.0</v>
      </c>
      <c r="I3060" s="2" t="s">
        <v>40</v>
      </c>
      <c r="J3060" s="2"/>
      <c r="K3060" s="2" t="s">
        <v>8237</v>
      </c>
      <c r="L3060" s="12">
        <v>808.0</v>
      </c>
      <c r="M3060" s="2" t="s">
        <v>8238</v>
      </c>
      <c r="N3060" s="2" t="str">
        <f>IFERROR(__xludf.DUMMYFUNCTION("""COMPUTED_VALUE"""),"")</f>
        <v/>
      </c>
    </row>
    <row r="3061">
      <c r="A3061" s="2" t="s">
        <v>33</v>
      </c>
      <c r="B3061" s="12">
        <v>2975100.0</v>
      </c>
      <c r="C3061" s="12">
        <v>2975567.0</v>
      </c>
      <c r="D3061" s="2"/>
      <c r="E3061" s="2" t="s">
        <v>34</v>
      </c>
      <c r="F3061" s="2" t="s">
        <v>8239</v>
      </c>
      <c r="G3061" s="2" t="s">
        <v>8240</v>
      </c>
      <c r="H3061" s="12">
        <v>0.0</v>
      </c>
      <c r="I3061" s="2" t="s">
        <v>40</v>
      </c>
      <c r="J3061" s="2"/>
      <c r="K3061" s="2" t="s">
        <v>8241</v>
      </c>
      <c r="L3061" s="12">
        <v>155.0</v>
      </c>
      <c r="M3061" s="2" t="s">
        <v>8242</v>
      </c>
      <c r="N3061" s="2" t="str">
        <f>IFERROR(__xludf.DUMMYFUNCTION("""COMPUTED_VALUE"""),"")</f>
        <v/>
      </c>
    </row>
    <row r="3062">
      <c r="A3062" s="2" t="s">
        <v>33</v>
      </c>
      <c r="B3062" s="12">
        <v>2975694.0</v>
      </c>
      <c r="C3062" s="12">
        <v>2976048.0</v>
      </c>
      <c r="D3062" s="2"/>
      <c r="E3062" s="2" t="s">
        <v>34</v>
      </c>
      <c r="F3062" s="2" t="s">
        <v>8243</v>
      </c>
      <c r="G3062" s="2" t="s">
        <v>8244</v>
      </c>
      <c r="H3062" s="12">
        <v>0.0</v>
      </c>
      <c r="I3062" s="2" t="s">
        <v>7139</v>
      </c>
      <c r="J3062" s="2"/>
      <c r="K3062" s="2"/>
      <c r="L3062" s="2"/>
      <c r="M3062" s="2" t="s">
        <v>8245</v>
      </c>
      <c r="N3062" s="2" t="str">
        <f>IFERROR(__xludf.DUMMYFUNCTION("""COMPUTED_VALUE"""),"")</f>
        <v/>
      </c>
    </row>
    <row r="3063">
      <c r="A3063" s="2" t="s">
        <v>33</v>
      </c>
      <c r="B3063" s="12">
        <v>2976378.0</v>
      </c>
      <c r="C3063" s="12">
        <v>2977083.0</v>
      </c>
      <c r="D3063" s="2"/>
      <c r="E3063" s="2" t="s">
        <v>38</v>
      </c>
      <c r="F3063" s="2" t="s">
        <v>35</v>
      </c>
      <c r="G3063" s="2"/>
      <c r="H3063" s="12">
        <v>0.0</v>
      </c>
      <c r="I3063" s="2" t="s">
        <v>36</v>
      </c>
      <c r="J3063" s="2"/>
      <c r="K3063" s="2"/>
      <c r="L3063" s="2"/>
      <c r="M3063" s="2" t="s">
        <v>8246</v>
      </c>
      <c r="N3063" s="2" t="str">
        <f>IFERROR(__xludf.DUMMYFUNCTION("""COMPUTED_VALUE"""),"")</f>
        <v/>
      </c>
    </row>
    <row r="3064">
      <c r="A3064" s="2" t="s">
        <v>33</v>
      </c>
      <c r="B3064" s="12">
        <v>2977675.0</v>
      </c>
      <c r="C3064" s="12">
        <v>2978589.0</v>
      </c>
      <c r="D3064" s="2"/>
      <c r="E3064" s="2" t="s">
        <v>34</v>
      </c>
      <c r="F3064" s="2" t="s">
        <v>3281</v>
      </c>
      <c r="G3064" s="2"/>
      <c r="H3064" s="12">
        <v>0.0</v>
      </c>
      <c r="I3064" s="2" t="s">
        <v>40</v>
      </c>
      <c r="J3064" s="2"/>
      <c r="K3064" s="2" t="s">
        <v>8247</v>
      </c>
      <c r="L3064" s="12">
        <v>304.0</v>
      </c>
      <c r="M3064" s="2" t="s">
        <v>8248</v>
      </c>
      <c r="N3064" s="2" t="str">
        <f>IFERROR(__xludf.DUMMYFUNCTION("""COMPUTED_VALUE"""),"")</f>
        <v/>
      </c>
    </row>
    <row r="3065">
      <c r="A3065" s="2" t="s">
        <v>33</v>
      </c>
      <c r="B3065" s="12">
        <v>2978586.0</v>
      </c>
      <c r="C3065" s="12">
        <v>2980718.0</v>
      </c>
      <c r="D3065" s="2"/>
      <c r="E3065" s="2" t="s">
        <v>34</v>
      </c>
      <c r="F3065" s="2" t="s">
        <v>39</v>
      </c>
      <c r="G3065" s="2"/>
      <c r="H3065" s="12">
        <v>0.0</v>
      </c>
      <c r="I3065" s="2" t="s">
        <v>40</v>
      </c>
      <c r="J3065" s="2"/>
      <c r="K3065" s="2" t="s">
        <v>8249</v>
      </c>
      <c r="L3065" s="12">
        <v>710.0</v>
      </c>
      <c r="M3065" s="2" t="s">
        <v>8250</v>
      </c>
      <c r="N3065" s="2" t="str">
        <f>IFERROR(__xludf.DUMMYFUNCTION("""COMPUTED_VALUE"""),"")</f>
        <v/>
      </c>
    </row>
    <row r="3066">
      <c r="A3066" s="2" t="s">
        <v>33</v>
      </c>
      <c r="B3066" s="12">
        <v>2980724.0</v>
      </c>
      <c r="C3066" s="12">
        <v>2981380.0</v>
      </c>
      <c r="D3066" s="2"/>
      <c r="E3066" s="2" t="s">
        <v>34</v>
      </c>
      <c r="F3066" s="2" t="s">
        <v>8251</v>
      </c>
      <c r="G3066" s="2"/>
      <c r="H3066" s="12">
        <v>0.0</v>
      </c>
      <c r="I3066" s="2" t="s">
        <v>40</v>
      </c>
      <c r="J3066" s="2"/>
      <c r="K3066" s="2" t="s">
        <v>8252</v>
      </c>
      <c r="L3066" s="12">
        <v>218.0</v>
      </c>
      <c r="M3066" s="2" t="s">
        <v>8253</v>
      </c>
      <c r="N3066" s="2" t="str">
        <f>IFERROR(__xludf.DUMMYFUNCTION("""COMPUTED_VALUE"""),"")</f>
        <v/>
      </c>
    </row>
    <row r="3067">
      <c r="A3067" s="2" t="s">
        <v>33</v>
      </c>
      <c r="B3067" s="12">
        <v>2981443.0</v>
      </c>
      <c r="C3067" s="12">
        <v>2982696.0</v>
      </c>
      <c r="D3067" s="2"/>
      <c r="E3067" s="2" t="s">
        <v>34</v>
      </c>
      <c r="F3067" s="2" t="s">
        <v>8254</v>
      </c>
      <c r="G3067" s="2"/>
      <c r="H3067" s="12">
        <v>0.0</v>
      </c>
      <c r="I3067" s="2" t="s">
        <v>40</v>
      </c>
      <c r="J3067" s="2"/>
      <c r="K3067" s="2" t="s">
        <v>8255</v>
      </c>
      <c r="L3067" s="12">
        <v>417.0</v>
      </c>
      <c r="M3067" s="2" t="s">
        <v>8256</v>
      </c>
      <c r="N3067" s="2" t="str">
        <f>IFERROR(__xludf.DUMMYFUNCTION("""COMPUTED_VALUE"""),"")</f>
        <v/>
      </c>
    </row>
    <row r="3068">
      <c r="A3068" s="2" t="s">
        <v>33</v>
      </c>
      <c r="B3068" s="12">
        <v>2982745.0</v>
      </c>
      <c r="C3068" s="12">
        <v>2983344.0</v>
      </c>
      <c r="D3068" s="2"/>
      <c r="E3068" s="2" t="s">
        <v>34</v>
      </c>
      <c r="F3068" s="2" t="s">
        <v>39</v>
      </c>
      <c r="G3068" s="2"/>
      <c r="H3068" s="12">
        <v>0.0</v>
      </c>
      <c r="I3068" s="2" t="s">
        <v>40</v>
      </c>
      <c r="J3068" s="2"/>
      <c r="K3068" s="2" t="s">
        <v>8257</v>
      </c>
      <c r="L3068" s="12">
        <v>199.0</v>
      </c>
      <c r="M3068" s="2" t="s">
        <v>8258</v>
      </c>
      <c r="N3068" s="2" t="str">
        <f>IFERROR(__xludf.DUMMYFUNCTION("""COMPUTED_VALUE"""),"")</f>
        <v/>
      </c>
    </row>
    <row r="3069">
      <c r="A3069" s="2" t="s">
        <v>33</v>
      </c>
      <c r="B3069" s="12">
        <v>2983325.0</v>
      </c>
      <c r="C3069" s="12">
        <v>2984857.0</v>
      </c>
      <c r="D3069" s="2"/>
      <c r="E3069" s="2" t="s">
        <v>34</v>
      </c>
      <c r="F3069" s="2" t="s">
        <v>39</v>
      </c>
      <c r="G3069" s="2"/>
      <c r="H3069" s="12">
        <v>0.0</v>
      </c>
      <c r="I3069" s="2" t="s">
        <v>40</v>
      </c>
      <c r="J3069" s="2"/>
      <c r="K3069" s="2" t="s">
        <v>8259</v>
      </c>
      <c r="L3069" s="12">
        <v>510.0</v>
      </c>
      <c r="M3069" s="2" t="s">
        <v>8260</v>
      </c>
      <c r="N3069" s="2" t="str">
        <f>IFERROR(__xludf.DUMMYFUNCTION("""COMPUTED_VALUE"""),"")</f>
        <v/>
      </c>
    </row>
    <row r="3070">
      <c r="A3070" s="2" t="s">
        <v>33</v>
      </c>
      <c r="B3070" s="12">
        <v>2984858.0</v>
      </c>
      <c r="C3070" s="12">
        <v>2985493.0</v>
      </c>
      <c r="D3070" s="2"/>
      <c r="E3070" s="2" t="s">
        <v>34</v>
      </c>
      <c r="F3070" s="2" t="s">
        <v>39</v>
      </c>
      <c r="G3070" s="2"/>
      <c r="H3070" s="12">
        <v>0.0</v>
      </c>
      <c r="I3070" s="2" t="s">
        <v>40</v>
      </c>
      <c r="J3070" s="2"/>
      <c r="K3070" s="2" t="s">
        <v>8261</v>
      </c>
      <c r="L3070" s="12">
        <v>211.0</v>
      </c>
      <c r="M3070" s="2" t="s">
        <v>8262</v>
      </c>
      <c r="N3070" s="2" t="str">
        <f>IFERROR(__xludf.DUMMYFUNCTION("""COMPUTED_VALUE"""),"")</f>
        <v/>
      </c>
    </row>
    <row r="3071">
      <c r="A3071" s="2" t="s">
        <v>33</v>
      </c>
      <c r="B3071" s="12">
        <v>2985519.0</v>
      </c>
      <c r="C3071" s="12">
        <v>2986235.0</v>
      </c>
      <c r="D3071" s="2"/>
      <c r="E3071" s="2" t="s">
        <v>34</v>
      </c>
      <c r="F3071" s="2" t="s">
        <v>2429</v>
      </c>
      <c r="G3071" s="2"/>
      <c r="H3071" s="12">
        <v>0.0</v>
      </c>
      <c r="I3071" s="2" t="s">
        <v>40</v>
      </c>
      <c r="J3071" s="2"/>
      <c r="K3071" s="2" t="s">
        <v>8263</v>
      </c>
      <c r="L3071" s="12">
        <v>238.0</v>
      </c>
      <c r="M3071" s="2" t="s">
        <v>8264</v>
      </c>
      <c r="N3071" s="2" t="str">
        <f>IFERROR(__xludf.DUMMYFUNCTION("""COMPUTED_VALUE"""),"")</f>
        <v/>
      </c>
    </row>
    <row r="3072">
      <c r="A3072" s="2" t="s">
        <v>33</v>
      </c>
      <c r="B3072" s="12">
        <v>2986337.0</v>
      </c>
      <c r="C3072" s="12">
        <v>2986984.0</v>
      </c>
      <c r="D3072" s="2"/>
      <c r="E3072" s="2" t="s">
        <v>34</v>
      </c>
      <c r="F3072" s="2" t="s">
        <v>265</v>
      </c>
      <c r="G3072" s="2"/>
      <c r="H3072" s="12">
        <v>0.0</v>
      </c>
      <c r="I3072" s="2" t="s">
        <v>40</v>
      </c>
      <c r="J3072" s="2"/>
      <c r="K3072" s="2" t="s">
        <v>8265</v>
      </c>
      <c r="L3072" s="12">
        <v>215.0</v>
      </c>
      <c r="M3072" s="2" t="s">
        <v>8266</v>
      </c>
      <c r="N3072" s="2" t="str">
        <f>IFERROR(__xludf.DUMMYFUNCTION("""COMPUTED_VALUE"""),"")</f>
        <v/>
      </c>
    </row>
    <row r="3073">
      <c r="A3073" s="2" t="s">
        <v>33</v>
      </c>
      <c r="B3073" s="12">
        <v>2987012.0</v>
      </c>
      <c r="C3073" s="12">
        <v>2987179.0</v>
      </c>
      <c r="D3073" s="2"/>
      <c r="E3073" s="2" t="s">
        <v>34</v>
      </c>
      <c r="F3073" s="2" t="s">
        <v>8267</v>
      </c>
      <c r="G3073" s="2"/>
      <c r="H3073" s="12">
        <v>0.0</v>
      </c>
      <c r="I3073" s="2" t="s">
        <v>40</v>
      </c>
      <c r="J3073" s="2"/>
      <c r="K3073" s="2" t="s">
        <v>8268</v>
      </c>
      <c r="L3073" s="12">
        <v>55.0</v>
      </c>
      <c r="M3073" s="2" t="s">
        <v>8269</v>
      </c>
      <c r="N3073" s="2" t="str">
        <f>IFERROR(__xludf.DUMMYFUNCTION("""COMPUTED_VALUE"""),"")</f>
        <v/>
      </c>
    </row>
    <row r="3074">
      <c r="A3074" s="2" t="s">
        <v>33</v>
      </c>
      <c r="B3074" s="12">
        <v>2987231.0</v>
      </c>
      <c r="C3074" s="12">
        <v>2987392.0</v>
      </c>
      <c r="D3074" s="2"/>
      <c r="E3074" s="2" t="s">
        <v>34</v>
      </c>
      <c r="F3074" s="2" t="s">
        <v>8267</v>
      </c>
      <c r="G3074" s="2"/>
      <c r="H3074" s="12">
        <v>0.0</v>
      </c>
      <c r="I3074" s="2" t="s">
        <v>40</v>
      </c>
      <c r="J3074" s="2"/>
      <c r="K3074" s="2" t="s">
        <v>8270</v>
      </c>
      <c r="L3074" s="12">
        <v>53.0</v>
      </c>
      <c r="M3074" s="2" t="s">
        <v>8271</v>
      </c>
      <c r="N3074" s="2" t="str">
        <f>IFERROR(__xludf.DUMMYFUNCTION("""COMPUTED_VALUE"""),"")</f>
        <v/>
      </c>
    </row>
    <row r="3075">
      <c r="A3075" s="2" t="s">
        <v>33</v>
      </c>
      <c r="B3075" s="12">
        <v>2987416.0</v>
      </c>
      <c r="C3075" s="12">
        <v>2987604.0</v>
      </c>
      <c r="D3075" s="2"/>
      <c r="E3075" s="2" t="s">
        <v>34</v>
      </c>
      <c r="F3075" s="2" t="s">
        <v>8267</v>
      </c>
      <c r="G3075" s="2"/>
      <c r="H3075" s="12">
        <v>0.0</v>
      </c>
      <c r="I3075" s="2" t="s">
        <v>40</v>
      </c>
      <c r="J3075" s="2"/>
      <c r="K3075" s="2" t="s">
        <v>8272</v>
      </c>
      <c r="L3075" s="12">
        <v>62.0</v>
      </c>
      <c r="M3075" s="2" t="s">
        <v>8273</v>
      </c>
      <c r="N3075" s="2" t="str">
        <f>IFERROR(__xludf.DUMMYFUNCTION("""COMPUTED_VALUE"""),"")</f>
        <v/>
      </c>
    </row>
    <row r="3076">
      <c r="A3076" s="2" t="s">
        <v>33</v>
      </c>
      <c r="B3076" s="12">
        <v>2987860.0</v>
      </c>
      <c r="C3076" s="12">
        <v>2988458.0</v>
      </c>
      <c r="D3076" s="2"/>
      <c r="E3076" s="2" t="s">
        <v>34</v>
      </c>
      <c r="F3076" s="2" t="s">
        <v>35</v>
      </c>
      <c r="G3076" s="2"/>
      <c r="H3076" s="12">
        <v>0.0</v>
      </c>
      <c r="I3076" s="2" t="s">
        <v>36</v>
      </c>
      <c r="J3076" s="2"/>
      <c r="K3076" s="2"/>
      <c r="L3076" s="2"/>
      <c r="M3076" s="2" t="s">
        <v>8274</v>
      </c>
      <c r="N3076" s="2" t="str">
        <f>IFERROR(__xludf.DUMMYFUNCTION("""COMPUTED_VALUE"""),"")</f>
        <v/>
      </c>
    </row>
    <row r="3077">
      <c r="A3077" s="2" t="s">
        <v>33</v>
      </c>
      <c r="B3077" s="12">
        <v>2988532.0</v>
      </c>
      <c r="C3077" s="12">
        <v>2989332.0</v>
      </c>
      <c r="D3077" s="2"/>
      <c r="E3077" s="2" t="s">
        <v>34</v>
      </c>
      <c r="F3077" s="2" t="s">
        <v>39</v>
      </c>
      <c r="G3077" s="2"/>
      <c r="H3077" s="12">
        <v>0.0</v>
      </c>
      <c r="I3077" s="2" t="s">
        <v>40</v>
      </c>
      <c r="J3077" s="2"/>
      <c r="K3077" s="2" t="s">
        <v>8275</v>
      </c>
      <c r="L3077" s="12">
        <v>266.0</v>
      </c>
      <c r="M3077" s="2" t="s">
        <v>8276</v>
      </c>
      <c r="N3077" s="2" t="str">
        <f>IFERROR(__xludf.DUMMYFUNCTION("""COMPUTED_VALUE"""),"")</f>
        <v/>
      </c>
    </row>
    <row r="3078">
      <c r="A3078" s="2" t="s">
        <v>33</v>
      </c>
      <c r="B3078" s="12">
        <v>2989649.0</v>
      </c>
      <c r="C3078" s="12">
        <v>2990623.0</v>
      </c>
      <c r="D3078" s="2"/>
      <c r="E3078" s="2" t="s">
        <v>34</v>
      </c>
      <c r="F3078" s="2" t="s">
        <v>216</v>
      </c>
      <c r="G3078" s="2"/>
      <c r="H3078" s="12">
        <v>0.0</v>
      </c>
      <c r="I3078" s="2" t="s">
        <v>40</v>
      </c>
      <c r="J3078" s="2"/>
      <c r="K3078" s="2" t="s">
        <v>8277</v>
      </c>
      <c r="L3078" s="12">
        <v>324.0</v>
      </c>
      <c r="M3078" s="2" t="s">
        <v>8278</v>
      </c>
      <c r="N3078" s="2" t="str">
        <f>IFERROR(__xludf.DUMMYFUNCTION("""COMPUTED_VALUE"""),"")</f>
        <v/>
      </c>
    </row>
    <row r="3079">
      <c r="A3079" s="2" t="s">
        <v>33</v>
      </c>
      <c r="B3079" s="12">
        <v>2990783.0</v>
      </c>
      <c r="C3079" s="12">
        <v>2990971.0</v>
      </c>
      <c r="D3079" s="2"/>
      <c r="E3079" s="2" t="s">
        <v>34</v>
      </c>
      <c r="F3079" s="2" t="s">
        <v>39</v>
      </c>
      <c r="G3079" s="2"/>
      <c r="H3079" s="12">
        <v>0.0</v>
      </c>
      <c r="I3079" s="2" t="s">
        <v>40</v>
      </c>
      <c r="J3079" s="2"/>
      <c r="K3079" s="2" t="s">
        <v>8279</v>
      </c>
      <c r="L3079" s="12">
        <v>62.0</v>
      </c>
      <c r="M3079" s="2" t="s">
        <v>8280</v>
      </c>
      <c r="N3079" s="2" t="str">
        <f>IFERROR(__xludf.DUMMYFUNCTION("""COMPUTED_VALUE"""),"")</f>
        <v/>
      </c>
    </row>
    <row r="3080">
      <c r="A3080" s="2" t="s">
        <v>33</v>
      </c>
      <c r="B3080" s="12">
        <v>2991280.0</v>
      </c>
      <c r="C3080" s="12">
        <v>2993850.0</v>
      </c>
      <c r="D3080" s="2"/>
      <c r="E3080" s="2" t="s">
        <v>34</v>
      </c>
      <c r="F3080" s="2" t="s">
        <v>8281</v>
      </c>
      <c r="G3080" s="2"/>
      <c r="H3080" s="12">
        <v>0.0</v>
      </c>
      <c r="I3080" s="2" t="s">
        <v>40</v>
      </c>
      <c r="J3080" s="2"/>
      <c r="K3080" s="2" t="s">
        <v>8282</v>
      </c>
      <c r="L3080" s="12">
        <v>856.0</v>
      </c>
      <c r="M3080" s="2" t="s">
        <v>8283</v>
      </c>
      <c r="N3080" s="2" t="str">
        <f>IFERROR(__xludf.DUMMYFUNCTION("""COMPUTED_VALUE"""),"")</f>
        <v/>
      </c>
    </row>
    <row r="3081">
      <c r="A3081" s="2" t="s">
        <v>33</v>
      </c>
      <c r="B3081" s="12">
        <v>2993855.0</v>
      </c>
      <c r="C3081" s="12">
        <v>2994973.0</v>
      </c>
      <c r="D3081" s="2"/>
      <c r="E3081" s="2" t="s">
        <v>34</v>
      </c>
      <c r="F3081" s="2" t="s">
        <v>66</v>
      </c>
      <c r="G3081" s="2"/>
      <c r="H3081" s="12">
        <v>0.0</v>
      </c>
      <c r="I3081" s="2" t="s">
        <v>40</v>
      </c>
      <c r="J3081" s="2"/>
      <c r="K3081" s="2" t="s">
        <v>8284</v>
      </c>
      <c r="L3081" s="12">
        <v>372.0</v>
      </c>
      <c r="M3081" s="2" t="s">
        <v>8285</v>
      </c>
      <c r="N3081" s="2" t="str">
        <f>IFERROR(__xludf.DUMMYFUNCTION("""COMPUTED_VALUE"""),"")</f>
        <v/>
      </c>
    </row>
    <row r="3082">
      <c r="A3082" s="2" t="s">
        <v>33</v>
      </c>
      <c r="B3082" s="12">
        <v>2994982.0</v>
      </c>
      <c r="C3082" s="12">
        <v>2995344.0</v>
      </c>
      <c r="D3082" s="2"/>
      <c r="E3082" s="2" t="s">
        <v>34</v>
      </c>
      <c r="F3082" s="2" t="s">
        <v>39</v>
      </c>
      <c r="G3082" s="2"/>
      <c r="H3082" s="12">
        <v>0.0</v>
      </c>
      <c r="I3082" s="2" t="s">
        <v>40</v>
      </c>
      <c r="J3082" s="2"/>
      <c r="K3082" s="2" t="s">
        <v>8286</v>
      </c>
      <c r="L3082" s="12">
        <v>120.0</v>
      </c>
      <c r="M3082" s="2" t="s">
        <v>8287</v>
      </c>
      <c r="N3082" s="2" t="str">
        <f>IFERROR(__xludf.DUMMYFUNCTION("""COMPUTED_VALUE"""),"")</f>
        <v/>
      </c>
    </row>
    <row r="3083">
      <c r="A3083" s="2" t="s">
        <v>33</v>
      </c>
      <c r="B3083" s="12">
        <v>2995351.0</v>
      </c>
      <c r="C3083" s="12">
        <v>2995440.0</v>
      </c>
      <c r="D3083" s="2"/>
      <c r="E3083" s="2" t="s">
        <v>34</v>
      </c>
      <c r="F3083" s="2" t="s">
        <v>35</v>
      </c>
      <c r="G3083" s="2"/>
      <c r="H3083" s="12">
        <v>0.0</v>
      </c>
      <c r="I3083" s="2" t="s">
        <v>36</v>
      </c>
      <c r="J3083" s="2"/>
      <c r="K3083" s="2"/>
      <c r="L3083" s="2"/>
      <c r="M3083" s="2" t="s">
        <v>8288</v>
      </c>
      <c r="N3083" s="2" t="str">
        <f>IFERROR(__xludf.DUMMYFUNCTION("""COMPUTED_VALUE"""),"")</f>
        <v/>
      </c>
    </row>
    <row r="3084">
      <c r="A3084" s="2" t="s">
        <v>33</v>
      </c>
      <c r="B3084" s="12">
        <v>2995552.0</v>
      </c>
      <c r="C3084" s="12">
        <v>2995929.0</v>
      </c>
      <c r="D3084" s="2"/>
      <c r="E3084" s="2" t="s">
        <v>34</v>
      </c>
      <c r="F3084" s="2" t="s">
        <v>39</v>
      </c>
      <c r="G3084" s="2"/>
      <c r="H3084" s="12">
        <v>0.0</v>
      </c>
      <c r="I3084" s="2" t="s">
        <v>40</v>
      </c>
      <c r="J3084" s="2"/>
      <c r="K3084" s="2" t="s">
        <v>8289</v>
      </c>
      <c r="L3084" s="12">
        <v>125.0</v>
      </c>
      <c r="M3084" s="2" t="s">
        <v>8290</v>
      </c>
      <c r="N3084" s="2" t="str">
        <f>IFERROR(__xludf.DUMMYFUNCTION("""COMPUTED_VALUE"""),"")</f>
        <v/>
      </c>
    </row>
    <row r="3085">
      <c r="A3085" s="2" t="s">
        <v>33</v>
      </c>
      <c r="B3085" s="12">
        <v>2996580.0</v>
      </c>
      <c r="C3085" s="12">
        <v>2997257.0</v>
      </c>
      <c r="D3085" s="2"/>
      <c r="E3085" s="2" t="s">
        <v>34</v>
      </c>
      <c r="F3085" s="2" t="s">
        <v>379</v>
      </c>
      <c r="G3085" s="2"/>
      <c r="H3085" s="12">
        <v>0.0</v>
      </c>
      <c r="I3085" s="2" t="s">
        <v>40</v>
      </c>
      <c r="J3085" s="2"/>
      <c r="K3085" s="2" t="s">
        <v>8291</v>
      </c>
      <c r="L3085" s="12">
        <v>225.0</v>
      </c>
      <c r="M3085" s="2" t="s">
        <v>8292</v>
      </c>
      <c r="N3085" s="2" t="str">
        <f>IFERROR(__xludf.DUMMYFUNCTION("""COMPUTED_VALUE"""),"")</f>
        <v/>
      </c>
    </row>
    <row r="3086">
      <c r="A3086" s="2" t="s">
        <v>33</v>
      </c>
      <c r="B3086" s="12">
        <v>2997734.0</v>
      </c>
      <c r="C3086" s="12">
        <v>2998750.0</v>
      </c>
      <c r="D3086" s="2"/>
      <c r="E3086" s="2" t="s">
        <v>34</v>
      </c>
      <c r="F3086" s="2" t="s">
        <v>8293</v>
      </c>
      <c r="G3086" s="2"/>
      <c r="H3086" s="12">
        <v>0.0</v>
      </c>
      <c r="I3086" s="2" t="s">
        <v>40</v>
      </c>
      <c r="J3086" s="2"/>
      <c r="K3086" s="2" t="s">
        <v>8294</v>
      </c>
      <c r="L3086" s="12">
        <v>338.0</v>
      </c>
      <c r="M3086" s="2" t="s">
        <v>8295</v>
      </c>
      <c r="N3086" s="2" t="str">
        <f>IFERROR(__xludf.DUMMYFUNCTION("""COMPUTED_VALUE"""),"")</f>
        <v/>
      </c>
    </row>
    <row r="3087">
      <c r="A3087" s="2" t="s">
        <v>33</v>
      </c>
      <c r="B3087" s="12">
        <v>2998770.0</v>
      </c>
      <c r="C3087" s="12">
        <v>2999786.0</v>
      </c>
      <c r="D3087" s="2"/>
      <c r="E3087" s="2" t="s">
        <v>34</v>
      </c>
      <c r="F3087" s="2" t="s">
        <v>265</v>
      </c>
      <c r="G3087" s="2"/>
      <c r="H3087" s="12">
        <v>0.0</v>
      </c>
      <c r="I3087" s="2" t="s">
        <v>40</v>
      </c>
      <c r="J3087" s="2"/>
      <c r="K3087" s="2" t="s">
        <v>8296</v>
      </c>
      <c r="L3087" s="12">
        <v>338.0</v>
      </c>
      <c r="M3087" s="2" t="s">
        <v>8297</v>
      </c>
      <c r="N3087" s="2" t="str">
        <f>IFERROR(__xludf.DUMMYFUNCTION("""COMPUTED_VALUE"""),"")</f>
        <v/>
      </c>
    </row>
    <row r="3088">
      <c r="A3088" s="2" t="s">
        <v>33</v>
      </c>
      <c r="B3088" s="12">
        <v>2999783.0</v>
      </c>
      <c r="C3088" s="12">
        <v>3000847.0</v>
      </c>
      <c r="D3088" s="2"/>
      <c r="E3088" s="2" t="s">
        <v>34</v>
      </c>
      <c r="F3088" s="2" t="s">
        <v>8298</v>
      </c>
      <c r="G3088" s="2"/>
      <c r="H3088" s="12">
        <v>0.0</v>
      </c>
      <c r="I3088" s="2" t="s">
        <v>40</v>
      </c>
      <c r="J3088" s="2"/>
      <c r="K3088" s="2" t="s">
        <v>8299</v>
      </c>
      <c r="L3088" s="12">
        <v>354.0</v>
      </c>
      <c r="M3088" s="2" t="s">
        <v>8300</v>
      </c>
      <c r="N3088" s="2" t="str">
        <f>IFERROR(__xludf.DUMMYFUNCTION("""COMPUTED_VALUE"""),"")</f>
        <v/>
      </c>
    </row>
    <row r="3089">
      <c r="A3089" s="2" t="s">
        <v>33</v>
      </c>
      <c r="B3089" s="12">
        <v>3000844.0</v>
      </c>
      <c r="C3089" s="12">
        <v>3001596.0</v>
      </c>
      <c r="D3089" s="2"/>
      <c r="E3089" s="2" t="s">
        <v>34</v>
      </c>
      <c r="F3089" s="2" t="s">
        <v>432</v>
      </c>
      <c r="G3089" s="2"/>
      <c r="H3089" s="12">
        <v>0.0</v>
      </c>
      <c r="I3089" s="2" t="s">
        <v>40</v>
      </c>
      <c r="J3089" s="2"/>
      <c r="K3089" s="2" t="s">
        <v>8301</v>
      </c>
      <c r="L3089" s="12">
        <v>250.0</v>
      </c>
      <c r="M3089" s="2" t="s">
        <v>8302</v>
      </c>
      <c r="N3089" s="2" t="str">
        <f>IFERROR(__xludf.DUMMYFUNCTION("""COMPUTED_VALUE"""),"")</f>
        <v/>
      </c>
    </row>
    <row r="3090">
      <c r="A3090" s="2" t="s">
        <v>33</v>
      </c>
      <c r="B3090" s="12">
        <v>3002032.0</v>
      </c>
      <c r="C3090" s="12">
        <v>3003570.0</v>
      </c>
      <c r="D3090" s="2"/>
      <c r="E3090" s="2" t="s">
        <v>34</v>
      </c>
      <c r="F3090" s="2" t="s">
        <v>8303</v>
      </c>
      <c r="G3090" s="2" t="s">
        <v>8304</v>
      </c>
      <c r="H3090" s="12">
        <v>0.0</v>
      </c>
      <c r="I3090" s="2" t="s">
        <v>40</v>
      </c>
      <c r="J3090" s="2"/>
      <c r="K3090" s="2" t="s">
        <v>8305</v>
      </c>
      <c r="L3090" s="12">
        <v>512.0</v>
      </c>
      <c r="M3090" s="2" t="s">
        <v>8306</v>
      </c>
      <c r="N3090" s="2" t="str">
        <f>IFERROR(__xludf.DUMMYFUNCTION("""COMPUTED_VALUE"""),"")</f>
        <v/>
      </c>
    </row>
    <row r="3091">
      <c r="A3091" s="2" t="s">
        <v>33</v>
      </c>
      <c r="B3091" s="12">
        <v>3003980.0</v>
      </c>
      <c r="C3091" s="12">
        <v>3004345.0</v>
      </c>
      <c r="D3091" s="2"/>
      <c r="E3091" s="2" t="s">
        <v>34</v>
      </c>
      <c r="F3091" s="2" t="s">
        <v>519</v>
      </c>
      <c r="G3091" s="2"/>
      <c r="H3091" s="12">
        <v>0.0</v>
      </c>
      <c r="I3091" s="2" t="s">
        <v>40</v>
      </c>
      <c r="J3091" s="2"/>
      <c r="K3091" s="2" t="s">
        <v>8307</v>
      </c>
      <c r="L3091" s="12">
        <v>121.0</v>
      </c>
      <c r="M3091" s="2" t="s">
        <v>8308</v>
      </c>
      <c r="N3091" s="2" t="str">
        <f>IFERROR(__xludf.DUMMYFUNCTION("""COMPUTED_VALUE"""),"")</f>
        <v/>
      </c>
    </row>
    <row r="3092">
      <c r="A3092" s="2" t="s">
        <v>33</v>
      </c>
      <c r="B3092" s="12">
        <v>3004618.0</v>
      </c>
      <c r="C3092" s="12">
        <v>3004806.0</v>
      </c>
      <c r="D3092" s="2"/>
      <c r="E3092" s="2" t="s">
        <v>34</v>
      </c>
      <c r="F3092" s="2" t="s">
        <v>39</v>
      </c>
      <c r="G3092" s="2"/>
      <c r="H3092" s="12">
        <v>0.0</v>
      </c>
      <c r="I3092" s="2" t="s">
        <v>40</v>
      </c>
      <c r="J3092" s="2"/>
      <c r="K3092" s="2" t="s">
        <v>8309</v>
      </c>
      <c r="L3092" s="12">
        <v>62.0</v>
      </c>
      <c r="M3092" s="2" t="s">
        <v>8310</v>
      </c>
      <c r="N3092" s="2" t="str">
        <f>IFERROR(__xludf.DUMMYFUNCTION("""COMPUTED_VALUE"""),"")</f>
        <v/>
      </c>
    </row>
    <row r="3093">
      <c r="A3093" s="2" t="s">
        <v>33</v>
      </c>
      <c r="B3093" s="12">
        <v>3004914.0</v>
      </c>
      <c r="C3093" s="12">
        <v>3005879.0</v>
      </c>
      <c r="D3093" s="2"/>
      <c r="E3093" s="2" t="s">
        <v>38</v>
      </c>
      <c r="F3093" s="2" t="s">
        <v>8311</v>
      </c>
      <c r="G3093" s="2"/>
      <c r="H3093" s="12">
        <v>0.0</v>
      </c>
      <c r="I3093" s="2" t="s">
        <v>40</v>
      </c>
      <c r="J3093" s="2"/>
      <c r="K3093" s="2" t="s">
        <v>8312</v>
      </c>
      <c r="L3093" s="12">
        <v>321.0</v>
      </c>
      <c r="M3093" s="2" t="s">
        <v>8313</v>
      </c>
      <c r="N3093" s="2" t="str">
        <f>IFERROR(__xludf.DUMMYFUNCTION("""COMPUTED_VALUE"""),"")</f>
        <v/>
      </c>
    </row>
    <row r="3094">
      <c r="A3094" s="2" t="s">
        <v>33</v>
      </c>
      <c r="B3094" s="12">
        <v>3006236.0</v>
      </c>
      <c r="C3094" s="12">
        <v>3006654.0</v>
      </c>
      <c r="D3094" s="2"/>
      <c r="E3094" s="2" t="s">
        <v>34</v>
      </c>
      <c r="F3094" s="2" t="s">
        <v>35</v>
      </c>
      <c r="G3094" s="2"/>
      <c r="H3094" s="12">
        <v>0.0</v>
      </c>
      <c r="I3094" s="2" t="s">
        <v>36</v>
      </c>
      <c r="J3094" s="2"/>
      <c r="K3094" s="2"/>
      <c r="L3094" s="2"/>
      <c r="M3094" s="2" t="s">
        <v>8314</v>
      </c>
      <c r="N3094" s="2" t="str">
        <f>IFERROR(__xludf.DUMMYFUNCTION("""COMPUTED_VALUE"""),"")</f>
        <v/>
      </c>
    </row>
    <row r="3095">
      <c r="A3095" s="2" t="s">
        <v>33</v>
      </c>
      <c r="B3095" s="12">
        <v>3006637.0</v>
      </c>
      <c r="C3095" s="12">
        <v>3007348.0</v>
      </c>
      <c r="D3095" s="2"/>
      <c r="E3095" s="2" t="s">
        <v>34</v>
      </c>
      <c r="F3095" s="2" t="s">
        <v>35</v>
      </c>
      <c r="G3095" s="2"/>
      <c r="H3095" s="12">
        <v>0.0</v>
      </c>
      <c r="I3095" s="2" t="s">
        <v>36</v>
      </c>
      <c r="J3095" s="2"/>
      <c r="K3095" s="2"/>
      <c r="L3095" s="2"/>
      <c r="M3095" s="2" t="s">
        <v>8315</v>
      </c>
      <c r="N3095" s="2" t="str">
        <f>IFERROR(__xludf.DUMMYFUNCTION("""COMPUTED_VALUE"""),"")</f>
        <v/>
      </c>
    </row>
    <row r="3096">
      <c r="A3096" s="2" t="s">
        <v>33</v>
      </c>
      <c r="B3096" s="12">
        <v>3007421.0</v>
      </c>
      <c r="C3096" s="12">
        <v>3007708.0</v>
      </c>
      <c r="D3096" s="2"/>
      <c r="E3096" s="2" t="s">
        <v>38</v>
      </c>
      <c r="F3096" s="2" t="s">
        <v>35</v>
      </c>
      <c r="G3096" s="2"/>
      <c r="H3096" s="12">
        <v>0.0</v>
      </c>
      <c r="I3096" s="2" t="s">
        <v>36</v>
      </c>
      <c r="J3096" s="2"/>
      <c r="K3096" s="2"/>
      <c r="L3096" s="2"/>
      <c r="M3096" s="2" t="s">
        <v>8316</v>
      </c>
      <c r="N3096" s="2" t="str">
        <f>IFERROR(__xludf.DUMMYFUNCTION("""COMPUTED_VALUE"""),"")</f>
        <v/>
      </c>
    </row>
    <row r="3097">
      <c r="A3097" s="2" t="s">
        <v>33</v>
      </c>
      <c r="B3097" s="12">
        <v>3007887.0</v>
      </c>
      <c r="C3097" s="12">
        <v>3008219.0</v>
      </c>
      <c r="D3097" s="2"/>
      <c r="E3097" s="2" t="s">
        <v>38</v>
      </c>
      <c r="F3097" s="2" t="s">
        <v>541</v>
      </c>
      <c r="G3097" s="2"/>
      <c r="H3097" s="12">
        <v>0.0</v>
      </c>
      <c r="I3097" s="2" t="s">
        <v>40</v>
      </c>
      <c r="J3097" s="2"/>
      <c r="K3097" s="2" t="s">
        <v>8317</v>
      </c>
      <c r="L3097" s="12">
        <v>110.0</v>
      </c>
      <c r="M3097" s="2" t="s">
        <v>8318</v>
      </c>
      <c r="N3097" s="2" t="str">
        <f>IFERROR(__xludf.DUMMYFUNCTION("""COMPUTED_VALUE"""),"")</f>
        <v/>
      </c>
    </row>
    <row r="3098">
      <c r="A3098" s="2" t="s">
        <v>33</v>
      </c>
      <c r="B3098" s="12">
        <v>3008216.0</v>
      </c>
      <c r="C3098" s="12">
        <v>3008959.0</v>
      </c>
      <c r="D3098" s="2"/>
      <c r="E3098" s="2" t="s">
        <v>38</v>
      </c>
      <c r="F3098" s="2" t="s">
        <v>8319</v>
      </c>
      <c r="G3098" s="2"/>
      <c r="H3098" s="12">
        <v>0.0</v>
      </c>
      <c r="I3098" s="2" t="s">
        <v>40</v>
      </c>
      <c r="J3098" s="2"/>
      <c r="K3098" s="2" t="s">
        <v>8320</v>
      </c>
      <c r="L3098" s="12">
        <v>247.0</v>
      </c>
      <c r="M3098" s="2" t="s">
        <v>8321</v>
      </c>
      <c r="N3098" s="2" t="str">
        <f>IFERROR(__xludf.DUMMYFUNCTION("""COMPUTED_VALUE"""),"")</f>
        <v/>
      </c>
    </row>
    <row r="3099">
      <c r="A3099" s="2" t="s">
        <v>33</v>
      </c>
      <c r="B3099" s="12">
        <v>3009157.0</v>
      </c>
      <c r="C3099" s="12">
        <v>3009315.0</v>
      </c>
      <c r="D3099" s="2"/>
      <c r="E3099" s="2" t="s">
        <v>34</v>
      </c>
      <c r="F3099" s="2" t="s">
        <v>8322</v>
      </c>
      <c r="G3099" s="2"/>
      <c r="H3099" s="12">
        <v>0.0</v>
      </c>
      <c r="I3099" s="2" t="s">
        <v>40</v>
      </c>
      <c r="J3099" s="2"/>
      <c r="K3099" s="2" t="s">
        <v>8323</v>
      </c>
      <c r="L3099" s="12">
        <v>52.0</v>
      </c>
      <c r="M3099" s="2" t="s">
        <v>8324</v>
      </c>
      <c r="N3099" s="2" t="str">
        <f>IFERROR(__xludf.DUMMYFUNCTION("""COMPUTED_VALUE"""),"")</f>
        <v/>
      </c>
    </row>
    <row r="3100">
      <c r="A3100" s="2" t="s">
        <v>33</v>
      </c>
      <c r="B3100" s="12">
        <v>3009361.0</v>
      </c>
      <c r="C3100" s="12">
        <v>3009519.0</v>
      </c>
      <c r="D3100" s="2"/>
      <c r="E3100" s="2" t="s">
        <v>34</v>
      </c>
      <c r="F3100" s="2" t="s">
        <v>8322</v>
      </c>
      <c r="G3100" s="2"/>
      <c r="H3100" s="12">
        <v>0.0</v>
      </c>
      <c r="I3100" s="2" t="s">
        <v>40</v>
      </c>
      <c r="J3100" s="2"/>
      <c r="K3100" s="2" t="s">
        <v>8323</v>
      </c>
      <c r="L3100" s="12">
        <v>52.0</v>
      </c>
      <c r="M3100" s="2" t="s">
        <v>8325</v>
      </c>
      <c r="N3100" s="2" t="str">
        <f>IFERROR(__xludf.DUMMYFUNCTION("""COMPUTED_VALUE"""),"")</f>
        <v/>
      </c>
    </row>
    <row r="3101">
      <c r="A3101" s="2" t="s">
        <v>33</v>
      </c>
      <c r="B3101" s="12">
        <v>3009565.0</v>
      </c>
      <c r="C3101" s="12">
        <v>3009723.0</v>
      </c>
      <c r="D3101" s="2"/>
      <c r="E3101" s="2" t="s">
        <v>34</v>
      </c>
      <c r="F3101" s="2" t="s">
        <v>8322</v>
      </c>
      <c r="G3101" s="2"/>
      <c r="H3101" s="12">
        <v>0.0</v>
      </c>
      <c r="I3101" s="2" t="s">
        <v>40</v>
      </c>
      <c r="J3101" s="2"/>
      <c r="K3101" s="2" t="s">
        <v>8323</v>
      </c>
      <c r="L3101" s="12">
        <v>52.0</v>
      </c>
      <c r="M3101" s="2" t="s">
        <v>8326</v>
      </c>
      <c r="N3101" s="2" t="str">
        <f>IFERROR(__xludf.DUMMYFUNCTION("""COMPUTED_VALUE"""),"")</f>
        <v/>
      </c>
    </row>
    <row r="3102">
      <c r="A3102" s="2" t="s">
        <v>33</v>
      </c>
      <c r="B3102" s="12">
        <v>3009769.0</v>
      </c>
      <c r="C3102" s="12">
        <v>3009927.0</v>
      </c>
      <c r="D3102" s="2"/>
      <c r="E3102" s="2" t="s">
        <v>34</v>
      </c>
      <c r="F3102" s="2" t="s">
        <v>8322</v>
      </c>
      <c r="G3102" s="2"/>
      <c r="H3102" s="12">
        <v>0.0</v>
      </c>
      <c r="I3102" s="2" t="s">
        <v>40</v>
      </c>
      <c r="J3102" s="2"/>
      <c r="K3102" s="2" t="s">
        <v>8323</v>
      </c>
      <c r="L3102" s="12">
        <v>52.0</v>
      </c>
      <c r="M3102" s="2" t="s">
        <v>8327</v>
      </c>
      <c r="N3102" s="2" t="str">
        <f>IFERROR(__xludf.DUMMYFUNCTION("""COMPUTED_VALUE"""),"")</f>
        <v/>
      </c>
    </row>
    <row r="3103">
      <c r="A3103" s="2" t="s">
        <v>33</v>
      </c>
      <c r="B3103" s="12">
        <v>3010027.0</v>
      </c>
      <c r="C3103" s="12">
        <v>3011694.0</v>
      </c>
      <c r="D3103" s="2"/>
      <c r="E3103" s="2" t="s">
        <v>34</v>
      </c>
      <c r="F3103" s="2" t="s">
        <v>39</v>
      </c>
      <c r="G3103" s="2"/>
      <c r="H3103" s="12">
        <v>0.0</v>
      </c>
      <c r="I3103" s="2" t="s">
        <v>40</v>
      </c>
      <c r="J3103" s="2"/>
      <c r="K3103" s="2" t="s">
        <v>8328</v>
      </c>
      <c r="L3103" s="12">
        <v>555.0</v>
      </c>
      <c r="M3103" s="2" t="s">
        <v>8329</v>
      </c>
      <c r="N3103" s="2" t="str">
        <f>IFERROR(__xludf.DUMMYFUNCTION("""COMPUTED_VALUE"""),"")</f>
        <v/>
      </c>
    </row>
    <row r="3104">
      <c r="A3104" s="2" t="s">
        <v>33</v>
      </c>
      <c r="B3104" s="12">
        <v>3011707.0</v>
      </c>
      <c r="C3104" s="12">
        <v>3013689.0</v>
      </c>
      <c r="D3104" s="2"/>
      <c r="E3104" s="2" t="s">
        <v>34</v>
      </c>
      <c r="F3104" s="2" t="s">
        <v>3832</v>
      </c>
      <c r="G3104" s="2"/>
      <c r="H3104" s="12">
        <v>0.0</v>
      </c>
      <c r="I3104" s="2" t="s">
        <v>40</v>
      </c>
      <c r="J3104" s="2"/>
      <c r="K3104" s="2" t="s">
        <v>8330</v>
      </c>
      <c r="L3104" s="12">
        <v>660.0</v>
      </c>
      <c r="M3104" s="2" t="s">
        <v>8331</v>
      </c>
      <c r="N3104" s="2" t="str">
        <f>IFERROR(__xludf.DUMMYFUNCTION("""COMPUTED_VALUE"""),"")</f>
        <v/>
      </c>
    </row>
    <row r="3105">
      <c r="A3105" s="2" t="s">
        <v>33</v>
      </c>
      <c r="B3105" s="12">
        <v>3013717.0</v>
      </c>
      <c r="C3105" s="12">
        <v>3016332.0</v>
      </c>
      <c r="D3105" s="2"/>
      <c r="E3105" s="2" t="s">
        <v>34</v>
      </c>
      <c r="F3105" s="2" t="s">
        <v>8332</v>
      </c>
      <c r="G3105" s="2"/>
      <c r="H3105" s="12">
        <v>0.0</v>
      </c>
      <c r="I3105" s="2" t="s">
        <v>40</v>
      </c>
      <c r="J3105" s="2"/>
      <c r="K3105" s="2" t="s">
        <v>8333</v>
      </c>
      <c r="L3105" s="12">
        <v>871.0</v>
      </c>
      <c r="M3105" s="2" t="s">
        <v>8334</v>
      </c>
      <c r="N3105" s="2" t="str">
        <f>IFERROR(__xludf.DUMMYFUNCTION("""COMPUTED_VALUE"""),"")</f>
        <v/>
      </c>
    </row>
    <row r="3106">
      <c r="A3106" s="2" t="s">
        <v>33</v>
      </c>
      <c r="B3106" s="12">
        <v>3016348.0</v>
      </c>
      <c r="C3106" s="12">
        <v>3017319.0</v>
      </c>
      <c r="D3106" s="2"/>
      <c r="E3106" s="2" t="s">
        <v>34</v>
      </c>
      <c r="F3106" s="2" t="s">
        <v>8251</v>
      </c>
      <c r="G3106" s="2"/>
      <c r="H3106" s="12">
        <v>0.0</v>
      </c>
      <c r="I3106" s="2" t="s">
        <v>40</v>
      </c>
      <c r="J3106" s="2"/>
      <c r="K3106" s="2" t="s">
        <v>8335</v>
      </c>
      <c r="L3106" s="12">
        <v>323.0</v>
      </c>
      <c r="M3106" s="2" t="s">
        <v>8336</v>
      </c>
      <c r="N3106" s="2" t="str">
        <f>IFERROR(__xludf.DUMMYFUNCTION("""COMPUTED_VALUE"""),"")</f>
        <v/>
      </c>
    </row>
    <row r="3107">
      <c r="A3107" s="2" t="s">
        <v>33</v>
      </c>
      <c r="B3107" s="12">
        <v>3017324.0</v>
      </c>
      <c r="C3107" s="12">
        <v>3018301.0</v>
      </c>
      <c r="D3107" s="2"/>
      <c r="E3107" s="2" t="s">
        <v>34</v>
      </c>
      <c r="F3107" s="2" t="s">
        <v>8337</v>
      </c>
      <c r="G3107" s="2"/>
      <c r="H3107" s="12">
        <v>0.0</v>
      </c>
      <c r="I3107" s="2" t="s">
        <v>40</v>
      </c>
      <c r="J3107" s="2"/>
      <c r="K3107" s="2" t="s">
        <v>8338</v>
      </c>
      <c r="L3107" s="12">
        <v>325.0</v>
      </c>
      <c r="M3107" s="2" t="s">
        <v>8339</v>
      </c>
      <c r="N3107" s="2" t="str">
        <f>IFERROR(__xludf.DUMMYFUNCTION("""COMPUTED_VALUE"""),"")</f>
        <v/>
      </c>
    </row>
    <row r="3108">
      <c r="A3108" s="2" t="s">
        <v>33</v>
      </c>
      <c r="B3108" s="12">
        <v>3018276.0</v>
      </c>
      <c r="C3108" s="12">
        <v>3019844.0</v>
      </c>
      <c r="D3108" s="2"/>
      <c r="E3108" s="2" t="s">
        <v>34</v>
      </c>
      <c r="F3108" s="2" t="s">
        <v>3835</v>
      </c>
      <c r="G3108" s="2"/>
      <c r="H3108" s="12">
        <v>0.0</v>
      </c>
      <c r="I3108" s="2" t="s">
        <v>40</v>
      </c>
      <c r="J3108" s="2"/>
      <c r="K3108" s="2" t="s">
        <v>8340</v>
      </c>
      <c r="L3108" s="12">
        <v>522.0</v>
      </c>
      <c r="M3108" s="2" t="s">
        <v>8341</v>
      </c>
      <c r="N3108" s="2" t="str">
        <f>IFERROR(__xludf.DUMMYFUNCTION("""COMPUTED_VALUE"""),"")</f>
        <v/>
      </c>
    </row>
    <row r="3109">
      <c r="A3109" s="2" t="s">
        <v>33</v>
      </c>
      <c r="B3109" s="12">
        <v>3019837.0</v>
      </c>
      <c r="C3109" s="12">
        <v>3020634.0</v>
      </c>
      <c r="D3109" s="2"/>
      <c r="E3109" s="2" t="s">
        <v>34</v>
      </c>
      <c r="F3109" s="2" t="s">
        <v>289</v>
      </c>
      <c r="G3109" s="2"/>
      <c r="H3109" s="12">
        <v>0.0</v>
      </c>
      <c r="I3109" s="2" t="s">
        <v>40</v>
      </c>
      <c r="J3109" s="2"/>
      <c r="K3109" s="2" t="s">
        <v>8342</v>
      </c>
      <c r="L3109" s="12">
        <v>265.0</v>
      </c>
      <c r="M3109" s="2" t="s">
        <v>8343</v>
      </c>
      <c r="N3109" s="2" t="str">
        <f>IFERROR(__xludf.DUMMYFUNCTION("""COMPUTED_VALUE"""),"")</f>
        <v/>
      </c>
    </row>
    <row r="3110">
      <c r="A3110" s="2" t="s">
        <v>33</v>
      </c>
      <c r="B3110" s="12">
        <v>3020653.0</v>
      </c>
      <c r="C3110" s="12">
        <v>3021423.0</v>
      </c>
      <c r="D3110" s="2"/>
      <c r="E3110" s="2" t="s">
        <v>34</v>
      </c>
      <c r="F3110" s="2" t="s">
        <v>2487</v>
      </c>
      <c r="G3110" s="2"/>
      <c r="H3110" s="12">
        <v>0.0</v>
      </c>
      <c r="I3110" s="2" t="s">
        <v>40</v>
      </c>
      <c r="J3110" s="2"/>
      <c r="K3110" s="2" t="s">
        <v>8344</v>
      </c>
      <c r="L3110" s="12">
        <v>256.0</v>
      </c>
      <c r="M3110" s="2" t="s">
        <v>8345</v>
      </c>
      <c r="N3110" s="2" t="str">
        <f>IFERROR(__xludf.DUMMYFUNCTION("""COMPUTED_VALUE"""),"")</f>
        <v/>
      </c>
    </row>
    <row r="3111">
      <c r="A3111" s="2" t="s">
        <v>33</v>
      </c>
      <c r="B3111" s="12">
        <v>3021516.0</v>
      </c>
      <c r="C3111" s="12">
        <v>3021941.0</v>
      </c>
      <c r="D3111" s="2"/>
      <c r="E3111" s="2" t="s">
        <v>34</v>
      </c>
      <c r="F3111" s="2" t="s">
        <v>6849</v>
      </c>
      <c r="G3111" s="2" t="s">
        <v>6850</v>
      </c>
      <c r="H3111" s="12">
        <v>0.0</v>
      </c>
      <c r="I3111" s="2" t="s">
        <v>40</v>
      </c>
      <c r="J3111" s="2"/>
      <c r="K3111" s="2" t="s">
        <v>8346</v>
      </c>
      <c r="L3111" s="12">
        <v>141.0</v>
      </c>
      <c r="M3111" s="2" t="s">
        <v>8347</v>
      </c>
      <c r="N3111" s="2" t="str">
        <f>IFERROR(__xludf.DUMMYFUNCTION("""COMPUTED_VALUE"""),"")</f>
        <v/>
      </c>
    </row>
    <row r="3112">
      <c r="A3112" s="2" t="s">
        <v>33</v>
      </c>
      <c r="B3112" s="12">
        <v>3022020.0</v>
      </c>
      <c r="C3112" s="12">
        <v>3022499.0</v>
      </c>
      <c r="D3112" s="2"/>
      <c r="E3112" s="2" t="s">
        <v>34</v>
      </c>
      <c r="F3112" s="2" t="s">
        <v>39</v>
      </c>
      <c r="G3112" s="2"/>
      <c r="H3112" s="12">
        <v>0.0</v>
      </c>
      <c r="I3112" s="2" t="s">
        <v>40</v>
      </c>
      <c r="J3112" s="2"/>
      <c r="K3112" s="2" t="s">
        <v>8348</v>
      </c>
      <c r="L3112" s="12">
        <v>159.0</v>
      </c>
      <c r="M3112" s="2" t="s">
        <v>8349</v>
      </c>
      <c r="N3112" s="2" t="str">
        <f>IFERROR(__xludf.DUMMYFUNCTION("""COMPUTED_VALUE"""),"")</f>
        <v/>
      </c>
    </row>
    <row r="3113">
      <c r="A3113" s="2" t="s">
        <v>33</v>
      </c>
      <c r="B3113" s="12">
        <v>3022528.0</v>
      </c>
      <c r="C3113" s="12">
        <v>3023238.0</v>
      </c>
      <c r="D3113" s="2"/>
      <c r="E3113" s="2" t="s">
        <v>34</v>
      </c>
      <c r="F3113" s="2" t="s">
        <v>333</v>
      </c>
      <c r="G3113" s="2"/>
      <c r="H3113" s="12">
        <v>0.0</v>
      </c>
      <c r="I3113" s="2" t="s">
        <v>40</v>
      </c>
      <c r="J3113" s="2"/>
      <c r="K3113" s="2" t="s">
        <v>8350</v>
      </c>
      <c r="L3113" s="12">
        <v>236.0</v>
      </c>
      <c r="M3113" s="2" t="s">
        <v>8351</v>
      </c>
      <c r="N3113" s="2" t="str">
        <f>IFERROR(__xludf.DUMMYFUNCTION("""COMPUTED_VALUE"""),"")</f>
        <v/>
      </c>
    </row>
    <row r="3114">
      <c r="A3114" s="2" t="s">
        <v>33</v>
      </c>
      <c r="B3114" s="12">
        <v>3023495.0</v>
      </c>
      <c r="C3114" s="12">
        <v>3023920.0</v>
      </c>
      <c r="D3114" s="2"/>
      <c r="E3114" s="2" t="s">
        <v>34</v>
      </c>
      <c r="F3114" s="2" t="s">
        <v>6849</v>
      </c>
      <c r="G3114" s="2" t="s">
        <v>6850</v>
      </c>
      <c r="H3114" s="12">
        <v>0.0</v>
      </c>
      <c r="I3114" s="2" t="s">
        <v>40</v>
      </c>
      <c r="J3114" s="2"/>
      <c r="K3114" s="2" t="s">
        <v>8346</v>
      </c>
      <c r="L3114" s="12">
        <v>141.0</v>
      </c>
      <c r="M3114" s="2" t="s">
        <v>8352</v>
      </c>
      <c r="N3114" s="2" t="str">
        <f>IFERROR(__xludf.DUMMYFUNCTION("""COMPUTED_VALUE"""),"")</f>
        <v/>
      </c>
    </row>
    <row r="3115">
      <c r="A3115" s="2" t="s">
        <v>33</v>
      </c>
      <c r="B3115" s="12">
        <v>3024466.0</v>
      </c>
      <c r="C3115" s="12">
        <v>3024837.0</v>
      </c>
      <c r="D3115" s="2"/>
      <c r="E3115" s="2" t="s">
        <v>34</v>
      </c>
      <c r="F3115" s="2" t="s">
        <v>338</v>
      </c>
      <c r="G3115" s="2"/>
      <c r="H3115" s="12">
        <v>0.0</v>
      </c>
      <c r="I3115" s="2" t="s">
        <v>40</v>
      </c>
      <c r="J3115" s="2"/>
      <c r="K3115" s="2" t="s">
        <v>8353</v>
      </c>
      <c r="L3115" s="12">
        <v>123.0</v>
      </c>
      <c r="M3115" s="2" t="s">
        <v>8354</v>
      </c>
      <c r="N3115" s="2" t="str">
        <f>IFERROR(__xludf.DUMMYFUNCTION("""COMPUTED_VALUE"""),"")</f>
        <v/>
      </c>
    </row>
    <row r="3116">
      <c r="A3116" s="2" t="s">
        <v>33</v>
      </c>
      <c r="B3116" s="12">
        <v>3025354.0</v>
      </c>
      <c r="C3116" s="12">
        <v>3025869.0</v>
      </c>
      <c r="D3116" s="2"/>
      <c r="E3116" s="2" t="s">
        <v>34</v>
      </c>
      <c r="F3116" s="2" t="s">
        <v>8355</v>
      </c>
      <c r="G3116" s="2" t="s">
        <v>8356</v>
      </c>
      <c r="H3116" s="12">
        <v>0.0</v>
      </c>
      <c r="I3116" s="2" t="s">
        <v>40</v>
      </c>
      <c r="J3116" s="2"/>
      <c r="K3116" s="2" t="s">
        <v>8357</v>
      </c>
      <c r="L3116" s="12">
        <v>171.0</v>
      </c>
      <c r="M3116" s="2" t="s">
        <v>8358</v>
      </c>
      <c r="N3116" s="2" t="str">
        <f>IFERROR(__xludf.DUMMYFUNCTION("""COMPUTED_VALUE"""),"")</f>
        <v/>
      </c>
    </row>
    <row r="3117">
      <c r="A3117" s="2" t="s">
        <v>33</v>
      </c>
      <c r="B3117" s="12">
        <v>3026307.0</v>
      </c>
      <c r="C3117" s="12">
        <v>3027854.0</v>
      </c>
      <c r="D3117" s="2"/>
      <c r="E3117" s="2" t="s">
        <v>34</v>
      </c>
      <c r="F3117" s="2" t="s">
        <v>1262</v>
      </c>
      <c r="G3117" s="2"/>
      <c r="H3117" s="12">
        <v>0.0</v>
      </c>
      <c r="I3117" s="2" t="s">
        <v>40</v>
      </c>
      <c r="J3117" s="2"/>
      <c r="K3117" s="2" t="s">
        <v>8359</v>
      </c>
      <c r="L3117" s="12">
        <v>515.0</v>
      </c>
      <c r="M3117" s="2" t="s">
        <v>8360</v>
      </c>
      <c r="N3117" s="2" t="str">
        <f>IFERROR(__xludf.DUMMYFUNCTION("""COMPUTED_VALUE"""),"")</f>
        <v/>
      </c>
    </row>
    <row r="3118">
      <c r="A3118" s="2" t="s">
        <v>33</v>
      </c>
      <c r="B3118" s="12">
        <v>3027860.0</v>
      </c>
      <c r="C3118" s="12">
        <v>3029053.0</v>
      </c>
      <c r="D3118" s="2"/>
      <c r="E3118" s="2" t="s">
        <v>34</v>
      </c>
      <c r="F3118" s="2" t="s">
        <v>88</v>
      </c>
      <c r="G3118" s="2"/>
      <c r="H3118" s="12">
        <v>0.0</v>
      </c>
      <c r="I3118" s="2" t="s">
        <v>40</v>
      </c>
      <c r="J3118" s="2"/>
      <c r="K3118" s="2" t="s">
        <v>8361</v>
      </c>
      <c r="L3118" s="12">
        <v>397.0</v>
      </c>
      <c r="M3118" s="2" t="s">
        <v>8362</v>
      </c>
      <c r="N3118" s="2" t="str">
        <f>IFERROR(__xludf.DUMMYFUNCTION("""COMPUTED_VALUE"""),"")</f>
        <v/>
      </c>
    </row>
    <row r="3119">
      <c r="A3119" s="2" t="s">
        <v>33</v>
      </c>
      <c r="B3119" s="12">
        <v>3029213.0</v>
      </c>
      <c r="C3119" s="12">
        <v>3029446.0</v>
      </c>
      <c r="D3119" s="2"/>
      <c r="E3119" s="2" t="s">
        <v>34</v>
      </c>
      <c r="F3119" s="2" t="s">
        <v>8363</v>
      </c>
      <c r="G3119" s="2"/>
      <c r="H3119" s="12">
        <v>0.0</v>
      </c>
      <c r="I3119" s="2" t="s">
        <v>40</v>
      </c>
      <c r="J3119" s="2"/>
      <c r="K3119" s="2" t="s">
        <v>8364</v>
      </c>
      <c r="L3119" s="12">
        <v>77.0</v>
      </c>
      <c r="M3119" s="2" t="s">
        <v>8365</v>
      </c>
      <c r="N3119" s="2" t="str">
        <f>IFERROR(__xludf.DUMMYFUNCTION("""COMPUTED_VALUE"""),"")</f>
        <v/>
      </c>
    </row>
    <row r="3120">
      <c r="A3120" s="2" t="s">
        <v>33</v>
      </c>
      <c r="B3120" s="12">
        <v>3029526.0</v>
      </c>
      <c r="C3120" s="12">
        <v>3029765.0</v>
      </c>
      <c r="D3120" s="2"/>
      <c r="E3120" s="2" t="s">
        <v>34</v>
      </c>
      <c r="F3120" s="2" t="s">
        <v>949</v>
      </c>
      <c r="G3120" s="2"/>
      <c r="H3120" s="12">
        <v>0.0</v>
      </c>
      <c r="I3120" s="2" t="s">
        <v>40</v>
      </c>
      <c r="J3120" s="2"/>
      <c r="K3120" s="2" t="s">
        <v>8366</v>
      </c>
      <c r="L3120" s="12">
        <v>79.0</v>
      </c>
      <c r="M3120" s="2" t="s">
        <v>8367</v>
      </c>
      <c r="N3120" s="2" t="str">
        <f>IFERROR(__xludf.DUMMYFUNCTION("""COMPUTED_VALUE"""),"")</f>
        <v/>
      </c>
    </row>
    <row r="3121">
      <c r="A3121" s="2" t="s">
        <v>33</v>
      </c>
      <c r="B3121" s="12">
        <v>3029796.0</v>
      </c>
      <c r="C3121" s="12">
        <v>3030152.0</v>
      </c>
      <c r="D3121" s="2"/>
      <c r="E3121" s="2" t="s">
        <v>38</v>
      </c>
      <c r="F3121" s="2" t="s">
        <v>8368</v>
      </c>
      <c r="G3121" s="2" t="s">
        <v>8369</v>
      </c>
      <c r="H3121" s="12">
        <v>0.0</v>
      </c>
      <c r="I3121" s="2" t="s">
        <v>40</v>
      </c>
      <c r="J3121" s="2"/>
      <c r="K3121" s="2" t="s">
        <v>8370</v>
      </c>
      <c r="L3121" s="12">
        <v>118.0</v>
      </c>
      <c r="M3121" s="2" t="s">
        <v>8371</v>
      </c>
      <c r="N3121" s="2" t="str">
        <f>IFERROR(__xludf.DUMMYFUNCTION("""COMPUTED_VALUE"""),"")</f>
        <v/>
      </c>
    </row>
    <row r="3122">
      <c r="A3122" s="2" t="s">
        <v>33</v>
      </c>
      <c r="B3122" s="12">
        <v>3030149.0</v>
      </c>
      <c r="C3122" s="12">
        <v>3030553.0</v>
      </c>
      <c r="D3122" s="2"/>
      <c r="E3122" s="2" t="s">
        <v>38</v>
      </c>
      <c r="F3122" s="2" t="s">
        <v>8368</v>
      </c>
      <c r="G3122" s="2" t="s">
        <v>8369</v>
      </c>
      <c r="H3122" s="12">
        <v>0.0</v>
      </c>
      <c r="I3122" s="2" t="s">
        <v>40</v>
      </c>
      <c r="J3122" s="2"/>
      <c r="K3122" s="2" t="s">
        <v>8372</v>
      </c>
      <c r="L3122" s="12">
        <v>134.0</v>
      </c>
      <c r="M3122" s="2" t="s">
        <v>8373</v>
      </c>
      <c r="N3122" s="2" t="str">
        <f>IFERROR(__xludf.DUMMYFUNCTION("""COMPUTED_VALUE"""),"")</f>
        <v/>
      </c>
    </row>
    <row r="3123">
      <c r="A3123" s="2" t="s">
        <v>33</v>
      </c>
      <c r="B3123" s="12">
        <v>3030900.0</v>
      </c>
      <c r="C3123" s="12">
        <v>3031958.0</v>
      </c>
      <c r="D3123" s="2"/>
      <c r="E3123" s="2" t="s">
        <v>34</v>
      </c>
      <c r="F3123" s="2" t="s">
        <v>6047</v>
      </c>
      <c r="G3123" s="2"/>
      <c r="H3123" s="12">
        <v>0.0</v>
      </c>
      <c r="I3123" s="2" t="s">
        <v>40</v>
      </c>
      <c r="J3123" s="2"/>
      <c r="K3123" s="2" t="s">
        <v>8374</v>
      </c>
      <c r="L3123" s="12">
        <v>352.0</v>
      </c>
      <c r="M3123" s="2" t="s">
        <v>8375</v>
      </c>
      <c r="N3123" s="2" t="str">
        <f>IFERROR(__xludf.DUMMYFUNCTION("""COMPUTED_VALUE"""),"")</f>
        <v/>
      </c>
    </row>
    <row r="3124">
      <c r="A3124" s="2" t="s">
        <v>33</v>
      </c>
      <c r="B3124" s="12">
        <v>3031991.0</v>
      </c>
      <c r="C3124" s="12">
        <v>3033493.0</v>
      </c>
      <c r="D3124" s="2"/>
      <c r="E3124" s="2" t="s">
        <v>34</v>
      </c>
      <c r="F3124" s="2" t="s">
        <v>8376</v>
      </c>
      <c r="G3124" s="2"/>
      <c r="H3124" s="12">
        <v>0.0</v>
      </c>
      <c r="I3124" s="2" t="s">
        <v>40</v>
      </c>
      <c r="J3124" s="2"/>
      <c r="K3124" s="2" t="s">
        <v>8377</v>
      </c>
      <c r="L3124" s="12">
        <v>500.0</v>
      </c>
      <c r="M3124" s="2" t="s">
        <v>8378</v>
      </c>
      <c r="N3124" s="2" t="str">
        <f>IFERROR(__xludf.DUMMYFUNCTION("""COMPUTED_VALUE"""),"")</f>
        <v/>
      </c>
    </row>
    <row r="3125">
      <c r="A3125" s="2" t="s">
        <v>33</v>
      </c>
      <c r="B3125" s="12">
        <v>3033660.0</v>
      </c>
      <c r="C3125" s="12">
        <v>3034055.0</v>
      </c>
      <c r="D3125" s="2"/>
      <c r="E3125" s="2" t="s">
        <v>34</v>
      </c>
      <c r="F3125" s="2" t="s">
        <v>8379</v>
      </c>
      <c r="G3125" s="2"/>
      <c r="H3125" s="12">
        <v>0.0</v>
      </c>
      <c r="I3125" s="2" t="s">
        <v>40</v>
      </c>
      <c r="J3125" s="2"/>
      <c r="K3125" s="2" t="s">
        <v>8380</v>
      </c>
      <c r="L3125" s="12">
        <v>131.0</v>
      </c>
      <c r="M3125" s="2" t="s">
        <v>8381</v>
      </c>
      <c r="N3125" s="2" t="str">
        <f>IFERROR(__xludf.DUMMYFUNCTION("""COMPUTED_VALUE"""),"")</f>
        <v/>
      </c>
    </row>
    <row r="3126">
      <c r="A3126" s="2" t="s">
        <v>33</v>
      </c>
      <c r="B3126" s="12">
        <v>3034439.0</v>
      </c>
      <c r="C3126" s="12">
        <v>3035356.0</v>
      </c>
      <c r="D3126" s="2"/>
      <c r="E3126" s="2" t="s">
        <v>34</v>
      </c>
      <c r="F3126" s="2" t="s">
        <v>8382</v>
      </c>
      <c r="G3126" s="2" t="s">
        <v>8383</v>
      </c>
      <c r="H3126" s="12">
        <v>0.0</v>
      </c>
      <c r="I3126" s="2" t="s">
        <v>40</v>
      </c>
      <c r="J3126" s="2"/>
      <c r="K3126" s="2" t="s">
        <v>8384</v>
      </c>
      <c r="L3126" s="12">
        <v>305.0</v>
      </c>
      <c r="M3126" s="2" t="s">
        <v>8385</v>
      </c>
      <c r="N3126" s="2" t="str">
        <f>IFERROR(__xludf.DUMMYFUNCTION("""COMPUTED_VALUE"""),"")</f>
        <v/>
      </c>
    </row>
    <row r="3127">
      <c r="A3127" s="2" t="s">
        <v>33</v>
      </c>
      <c r="B3127" s="12">
        <v>3035721.0</v>
      </c>
      <c r="C3127" s="12">
        <v>3036983.0</v>
      </c>
      <c r="D3127" s="2"/>
      <c r="E3127" s="2" t="s">
        <v>34</v>
      </c>
      <c r="F3127" s="2" t="s">
        <v>8386</v>
      </c>
      <c r="G3127" s="2" t="s">
        <v>8387</v>
      </c>
      <c r="H3127" s="12">
        <v>0.0</v>
      </c>
      <c r="I3127" s="2" t="s">
        <v>40</v>
      </c>
      <c r="J3127" s="2"/>
      <c r="K3127" s="2" t="s">
        <v>8388</v>
      </c>
      <c r="L3127" s="12">
        <v>420.0</v>
      </c>
      <c r="M3127" s="2" t="s">
        <v>8389</v>
      </c>
      <c r="N3127" s="2" t="str">
        <f>IFERROR(__xludf.DUMMYFUNCTION("""COMPUTED_VALUE"""),"")</f>
        <v/>
      </c>
    </row>
    <row r="3128">
      <c r="A3128" s="2" t="s">
        <v>33</v>
      </c>
      <c r="B3128" s="12">
        <v>3037174.0</v>
      </c>
      <c r="C3128" s="12">
        <v>3038352.0</v>
      </c>
      <c r="D3128" s="2"/>
      <c r="E3128" s="2" t="s">
        <v>38</v>
      </c>
      <c r="F3128" s="2" t="s">
        <v>654</v>
      </c>
      <c r="G3128" s="2"/>
      <c r="H3128" s="12">
        <v>0.0</v>
      </c>
      <c r="I3128" s="2" t="s">
        <v>40</v>
      </c>
      <c r="J3128" s="2"/>
      <c r="K3128" s="2" t="s">
        <v>8390</v>
      </c>
      <c r="L3128" s="12">
        <v>392.0</v>
      </c>
      <c r="M3128" s="2" t="s">
        <v>8391</v>
      </c>
      <c r="N3128" s="2" t="str">
        <f>IFERROR(__xludf.DUMMYFUNCTION("""COMPUTED_VALUE"""),"")</f>
        <v/>
      </c>
    </row>
    <row r="3129">
      <c r="A3129" s="2" t="s">
        <v>33</v>
      </c>
      <c r="B3129" s="12">
        <v>3038397.0</v>
      </c>
      <c r="C3129" s="12">
        <v>3038837.0</v>
      </c>
      <c r="D3129" s="2"/>
      <c r="E3129" s="2" t="s">
        <v>38</v>
      </c>
      <c r="F3129" s="2" t="s">
        <v>5608</v>
      </c>
      <c r="G3129" s="2"/>
      <c r="H3129" s="12">
        <v>0.0</v>
      </c>
      <c r="I3129" s="2" t="s">
        <v>40</v>
      </c>
      <c r="J3129" s="2"/>
      <c r="K3129" s="2" t="s">
        <v>8392</v>
      </c>
      <c r="L3129" s="12">
        <v>146.0</v>
      </c>
      <c r="M3129" s="2" t="s">
        <v>8393</v>
      </c>
      <c r="N3129" s="2" t="str">
        <f>IFERROR(__xludf.DUMMYFUNCTION("""COMPUTED_VALUE"""),"")</f>
        <v/>
      </c>
    </row>
    <row r="3130">
      <c r="A3130" s="2" t="s">
        <v>33</v>
      </c>
      <c r="B3130" s="12">
        <v>3039270.0</v>
      </c>
      <c r="C3130" s="12">
        <v>3039614.0</v>
      </c>
      <c r="D3130" s="2"/>
      <c r="E3130" s="2" t="s">
        <v>38</v>
      </c>
      <c r="F3130" s="2" t="s">
        <v>216</v>
      </c>
      <c r="G3130" s="2"/>
      <c r="H3130" s="12">
        <v>0.0</v>
      </c>
      <c r="I3130" s="2" t="s">
        <v>40</v>
      </c>
      <c r="J3130" s="2"/>
      <c r="K3130" s="2" t="s">
        <v>8394</v>
      </c>
      <c r="L3130" s="12">
        <v>114.0</v>
      </c>
      <c r="M3130" s="2" t="s">
        <v>8395</v>
      </c>
      <c r="N3130" s="2" t="str">
        <f>IFERROR(__xludf.DUMMYFUNCTION("""COMPUTED_VALUE"""),"")</f>
        <v/>
      </c>
    </row>
    <row r="3131">
      <c r="A3131" s="2" t="s">
        <v>33</v>
      </c>
      <c r="B3131" s="12">
        <v>3039988.0</v>
      </c>
      <c r="C3131" s="12">
        <v>3041151.0</v>
      </c>
      <c r="D3131" s="2"/>
      <c r="E3131" s="2" t="s">
        <v>34</v>
      </c>
      <c r="F3131" s="2" t="s">
        <v>88</v>
      </c>
      <c r="G3131" s="2"/>
      <c r="H3131" s="12">
        <v>0.0</v>
      </c>
      <c r="I3131" s="2" t="s">
        <v>40</v>
      </c>
      <c r="J3131" s="2"/>
      <c r="K3131" s="2" t="s">
        <v>8396</v>
      </c>
      <c r="L3131" s="12">
        <v>387.0</v>
      </c>
      <c r="M3131" s="2" t="s">
        <v>8397</v>
      </c>
      <c r="N3131" s="2" t="str">
        <f>IFERROR(__xludf.DUMMYFUNCTION("""COMPUTED_VALUE"""),"")</f>
        <v/>
      </c>
    </row>
    <row r="3132">
      <c r="A3132" s="2" t="s">
        <v>33</v>
      </c>
      <c r="B3132" s="12">
        <v>3041168.0</v>
      </c>
      <c r="C3132" s="12">
        <v>3042007.0</v>
      </c>
      <c r="D3132" s="2"/>
      <c r="E3132" s="2" t="s">
        <v>34</v>
      </c>
      <c r="F3132" s="2" t="s">
        <v>1711</v>
      </c>
      <c r="G3132" s="2"/>
      <c r="H3132" s="12">
        <v>0.0</v>
      </c>
      <c r="I3132" s="2" t="s">
        <v>40</v>
      </c>
      <c r="J3132" s="2"/>
      <c r="K3132" s="2" t="s">
        <v>8398</v>
      </c>
      <c r="L3132" s="12">
        <v>279.0</v>
      </c>
      <c r="M3132" s="2" t="s">
        <v>8399</v>
      </c>
      <c r="N3132" s="2" t="str">
        <f>IFERROR(__xludf.DUMMYFUNCTION("""COMPUTED_VALUE"""),"")</f>
        <v/>
      </c>
    </row>
    <row r="3133">
      <c r="A3133" s="2" t="s">
        <v>33</v>
      </c>
      <c r="B3133" s="12">
        <v>3042116.0</v>
      </c>
      <c r="C3133" s="12">
        <v>3043045.0</v>
      </c>
      <c r="D3133" s="2"/>
      <c r="E3133" s="2" t="s">
        <v>34</v>
      </c>
      <c r="F3133" s="2" t="s">
        <v>8400</v>
      </c>
      <c r="G3133" s="2"/>
      <c r="H3133" s="12">
        <v>0.0</v>
      </c>
      <c r="I3133" s="2" t="s">
        <v>40</v>
      </c>
      <c r="J3133" s="2"/>
      <c r="K3133" s="2" t="s">
        <v>8401</v>
      </c>
      <c r="L3133" s="12">
        <v>309.0</v>
      </c>
      <c r="M3133" s="2" t="s">
        <v>8402</v>
      </c>
      <c r="N3133" s="2" t="str">
        <f>IFERROR(__xludf.DUMMYFUNCTION("""COMPUTED_VALUE"""),"")</f>
        <v/>
      </c>
    </row>
    <row r="3134">
      <c r="A3134" s="2" t="s">
        <v>33</v>
      </c>
      <c r="B3134" s="12">
        <v>3043618.0</v>
      </c>
      <c r="C3134" s="12">
        <v>3047421.0</v>
      </c>
      <c r="D3134" s="2"/>
      <c r="E3134" s="2" t="s">
        <v>34</v>
      </c>
      <c r="F3134" s="2" t="s">
        <v>8403</v>
      </c>
      <c r="G3134" s="2"/>
      <c r="H3134" s="12">
        <v>0.0</v>
      </c>
      <c r="I3134" s="2" t="s">
        <v>40</v>
      </c>
      <c r="J3134" s="2"/>
      <c r="K3134" s="2" t="s">
        <v>8404</v>
      </c>
      <c r="L3134" s="12">
        <v>1267.0</v>
      </c>
      <c r="M3134" s="2" t="s">
        <v>8405</v>
      </c>
      <c r="N3134" s="2" t="str">
        <f>IFERROR(__xludf.DUMMYFUNCTION("""COMPUTED_VALUE"""),"")</f>
        <v/>
      </c>
    </row>
    <row r="3135">
      <c r="A3135" s="2" t="s">
        <v>33</v>
      </c>
      <c r="B3135" s="12">
        <v>3047466.0</v>
      </c>
      <c r="C3135" s="12">
        <v>3048104.0</v>
      </c>
      <c r="D3135" s="2"/>
      <c r="E3135" s="2" t="s">
        <v>38</v>
      </c>
      <c r="F3135" s="2" t="s">
        <v>296</v>
      </c>
      <c r="G3135" s="2"/>
      <c r="H3135" s="12">
        <v>0.0</v>
      </c>
      <c r="I3135" s="2" t="s">
        <v>40</v>
      </c>
      <c r="J3135" s="2"/>
      <c r="K3135" s="2" t="s">
        <v>8406</v>
      </c>
      <c r="L3135" s="12">
        <v>212.0</v>
      </c>
      <c r="M3135" s="2" t="s">
        <v>8407</v>
      </c>
      <c r="N3135" s="2" t="str">
        <f>IFERROR(__xludf.DUMMYFUNCTION("""COMPUTED_VALUE"""),"")</f>
        <v/>
      </c>
    </row>
    <row r="3136">
      <c r="A3136" s="2" t="s">
        <v>33</v>
      </c>
      <c r="B3136" s="12">
        <v>3048409.0</v>
      </c>
      <c r="C3136" s="12">
        <v>3049839.0</v>
      </c>
      <c r="D3136" s="2"/>
      <c r="E3136" s="2" t="s">
        <v>34</v>
      </c>
      <c r="F3136" s="2" t="s">
        <v>811</v>
      </c>
      <c r="G3136" s="2"/>
      <c r="H3136" s="12">
        <v>0.0</v>
      </c>
      <c r="I3136" s="2" t="s">
        <v>40</v>
      </c>
      <c r="J3136" s="2"/>
      <c r="K3136" s="2" t="s">
        <v>8408</v>
      </c>
      <c r="L3136" s="12">
        <v>476.0</v>
      </c>
      <c r="M3136" s="2" t="s">
        <v>8409</v>
      </c>
      <c r="N3136" s="2" t="str">
        <f>IFERROR(__xludf.DUMMYFUNCTION("""COMPUTED_VALUE"""),"")</f>
        <v/>
      </c>
    </row>
    <row r="3137">
      <c r="A3137" s="2" t="s">
        <v>33</v>
      </c>
      <c r="B3137" s="12">
        <v>3050172.0</v>
      </c>
      <c r="C3137" s="12">
        <v>3051614.0</v>
      </c>
      <c r="D3137" s="2"/>
      <c r="E3137" s="2" t="s">
        <v>34</v>
      </c>
      <c r="F3137" s="2" t="s">
        <v>811</v>
      </c>
      <c r="G3137" s="2"/>
      <c r="H3137" s="12">
        <v>0.0</v>
      </c>
      <c r="I3137" s="2" t="s">
        <v>40</v>
      </c>
      <c r="J3137" s="2"/>
      <c r="K3137" s="2" t="s">
        <v>8410</v>
      </c>
      <c r="L3137" s="12">
        <v>480.0</v>
      </c>
      <c r="M3137" s="2" t="s">
        <v>8411</v>
      </c>
      <c r="N3137" s="2" t="str">
        <f>IFERROR(__xludf.DUMMYFUNCTION("""COMPUTED_VALUE"""),"")</f>
        <v/>
      </c>
    </row>
    <row r="3138">
      <c r="A3138" s="2" t="s">
        <v>33</v>
      </c>
      <c r="B3138" s="12">
        <v>3051910.0</v>
      </c>
      <c r="C3138" s="12">
        <v>3053091.0</v>
      </c>
      <c r="D3138" s="2"/>
      <c r="E3138" s="2" t="s">
        <v>34</v>
      </c>
      <c r="F3138" s="2" t="s">
        <v>2184</v>
      </c>
      <c r="G3138" s="2"/>
      <c r="H3138" s="12">
        <v>0.0</v>
      </c>
      <c r="I3138" s="2" t="s">
        <v>40</v>
      </c>
      <c r="J3138" s="2"/>
      <c r="K3138" s="2" t="s">
        <v>8412</v>
      </c>
      <c r="L3138" s="12">
        <v>393.0</v>
      </c>
      <c r="M3138" s="2" t="s">
        <v>8413</v>
      </c>
      <c r="N3138" s="2" t="str">
        <f>IFERROR(__xludf.DUMMYFUNCTION("""COMPUTED_VALUE"""),"")</f>
        <v/>
      </c>
    </row>
    <row r="3139">
      <c r="A3139" s="2" t="s">
        <v>33</v>
      </c>
      <c r="B3139" s="12">
        <v>3053444.0</v>
      </c>
      <c r="C3139" s="12">
        <v>3054625.0</v>
      </c>
      <c r="D3139" s="2"/>
      <c r="E3139" s="2" t="s">
        <v>34</v>
      </c>
      <c r="F3139" s="2" t="s">
        <v>2184</v>
      </c>
      <c r="G3139" s="2"/>
      <c r="H3139" s="12">
        <v>0.0</v>
      </c>
      <c r="I3139" s="2" t="s">
        <v>40</v>
      </c>
      <c r="J3139" s="2"/>
      <c r="K3139" s="2" t="s">
        <v>8414</v>
      </c>
      <c r="L3139" s="12">
        <v>393.0</v>
      </c>
      <c r="M3139" s="2" t="s">
        <v>8415</v>
      </c>
      <c r="N3139" s="2" t="str">
        <f>IFERROR(__xludf.DUMMYFUNCTION("""COMPUTED_VALUE"""),"")</f>
        <v/>
      </c>
    </row>
    <row r="3140">
      <c r="A3140" s="2" t="s">
        <v>33</v>
      </c>
      <c r="B3140" s="12">
        <v>3054670.0</v>
      </c>
      <c r="C3140" s="12">
        <v>3055839.0</v>
      </c>
      <c r="D3140" s="2"/>
      <c r="E3140" s="2" t="s">
        <v>38</v>
      </c>
      <c r="F3140" s="2" t="s">
        <v>2894</v>
      </c>
      <c r="G3140" s="2"/>
      <c r="H3140" s="12">
        <v>0.0</v>
      </c>
      <c r="I3140" s="2" t="s">
        <v>40</v>
      </c>
      <c r="J3140" s="2"/>
      <c r="K3140" s="2" t="s">
        <v>8416</v>
      </c>
      <c r="L3140" s="12">
        <v>389.0</v>
      </c>
      <c r="M3140" s="2" t="s">
        <v>8417</v>
      </c>
      <c r="N3140" s="2" t="str">
        <f>IFERROR(__xludf.DUMMYFUNCTION("""COMPUTED_VALUE"""),"")</f>
        <v/>
      </c>
    </row>
    <row r="3141">
      <c r="A3141" s="2" t="s">
        <v>33</v>
      </c>
      <c r="B3141" s="12">
        <v>3055990.0</v>
      </c>
      <c r="C3141" s="12">
        <v>3056496.0</v>
      </c>
      <c r="D3141" s="2"/>
      <c r="E3141" s="2" t="s">
        <v>38</v>
      </c>
      <c r="F3141" s="2" t="s">
        <v>8418</v>
      </c>
      <c r="G3141" s="2"/>
      <c r="H3141" s="12">
        <v>0.0</v>
      </c>
      <c r="I3141" s="2" t="s">
        <v>40</v>
      </c>
      <c r="J3141" s="2"/>
      <c r="K3141" s="2" t="s">
        <v>8419</v>
      </c>
      <c r="L3141" s="12">
        <v>168.0</v>
      </c>
      <c r="M3141" s="2" t="s">
        <v>8420</v>
      </c>
      <c r="N3141" s="2" t="str">
        <f>IFERROR(__xludf.DUMMYFUNCTION("""COMPUTED_VALUE"""),"")</f>
        <v/>
      </c>
    </row>
    <row r="3142">
      <c r="A3142" s="2" t="s">
        <v>33</v>
      </c>
      <c r="B3142" s="12">
        <v>3056550.0</v>
      </c>
      <c r="C3142" s="12">
        <v>3056873.0</v>
      </c>
      <c r="D3142" s="2"/>
      <c r="E3142" s="2" t="s">
        <v>38</v>
      </c>
      <c r="F3142" s="2" t="s">
        <v>8421</v>
      </c>
      <c r="G3142" s="2"/>
      <c r="H3142" s="12">
        <v>0.0</v>
      </c>
      <c r="I3142" s="2" t="s">
        <v>40</v>
      </c>
      <c r="J3142" s="2"/>
      <c r="K3142" s="2" t="s">
        <v>8422</v>
      </c>
      <c r="L3142" s="12">
        <v>107.0</v>
      </c>
      <c r="M3142" s="2" t="s">
        <v>8423</v>
      </c>
      <c r="N3142" s="2" t="str">
        <f>IFERROR(__xludf.DUMMYFUNCTION("""COMPUTED_VALUE"""),"")</f>
        <v/>
      </c>
    </row>
    <row r="3143">
      <c r="A3143" s="2" t="s">
        <v>33</v>
      </c>
      <c r="B3143" s="12">
        <v>3056962.0</v>
      </c>
      <c r="C3143" s="12">
        <v>3057525.0</v>
      </c>
      <c r="D3143" s="2"/>
      <c r="E3143" s="2" t="s">
        <v>34</v>
      </c>
      <c r="F3143" s="2" t="s">
        <v>8424</v>
      </c>
      <c r="G3143" s="2"/>
      <c r="H3143" s="12">
        <v>0.0</v>
      </c>
      <c r="I3143" s="2" t="s">
        <v>40</v>
      </c>
      <c r="J3143" s="2"/>
      <c r="K3143" s="2" t="s">
        <v>8425</v>
      </c>
      <c r="L3143" s="12">
        <v>187.0</v>
      </c>
      <c r="M3143" s="2" t="s">
        <v>8426</v>
      </c>
      <c r="N3143" s="2" t="str">
        <f>IFERROR(__xludf.DUMMYFUNCTION("""COMPUTED_VALUE"""),"")</f>
        <v/>
      </c>
    </row>
    <row r="3144">
      <c r="A3144" s="2" t="s">
        <v>33</v>
      </c>
      <c r="B3144" s="12">
        <v>3057630.0</v>
      </c>
      <c r="C3144" s="12">
        <v>3057911.0</v>
      </c>
      <c r="D3144" s="2"/>
      <c r="E3144" s="2" t="s">
        <v>34</v>
      </c>
      <c r="F3144" s="2" t="s">
        <v>39</v>
      </c>
      <c r="G3144" s="2"/>
      <c r="H3144" s="12">
        <v>0.0</v>
      </c>
      <c r="I3144" s="2" t="s">
        <v>40</v>
      </c>
      <c r="J3144" s="2"/>
      <c r="K3144" s="2" t="s">
        <v>8427</v>
      </c>
      <c r="L3144" s="12">
        <v>93.0</v>
      </c>
      <c r="M3144" s="2" t="s">
        <v>8428</v>
      </c>
      <c r="N3144" s="2" t="str">
        <f>IFERROR(__xludf.DUMMYFUNCTION("""COMPUTED_VALUE"""),"")</f>
        <v/>
      </c>
    </row>
    <row r="3145">
      <c r="A3145" s="2" t="s">
        <v>33</v>
      </c>
      <c r="B3145" s="12">
        <v>3057927.0</v>
      </c>
      <c r="C3145" s="12">
        <v>3058124.0</v>
      </c>
      <c r="D3145" s="2"/>
      <c r="E3145" s="2" t="s">
        <v>38</v>
      </c>
      <c r="F3145" s="2" t="s">
        <v>39</v>
      </c>
      <c r="G3145" s="2"/>
      <c r="H3145" s="12">
        <v>0.0</v>
      </c>
      <c r="I3145" s="2" t="s">
        <v>40</v>
      </c>
      <c r="J3145" s="2"/>
      <c r="K3145" s="2" t="s">
        <v>8429</v>
      </c>
      <c r="L3145" s="12">
        <v>65.0</v>
      </c>
      <c r="M3145" s="2" t="s">
        <v>8430</v>
      </c>
      <c r="N3145" s="2" t="str">
        <f>IFERROR(__xludf.DUMMYFUNCTION("""COMPUTED_VALUE"""),"")</f>
        <v/>
      </c>
    </row>
    <row r="3146">
      <c r="A3146" s="2" t="s">
        <v>33</v>
      </c>
      <c r="B3146" s="12">
        <v>3058698.0</v>
      </c>
      <c r="C3146" s="12">
        <v>3059138.0</v>
      </c>
      <c r="D3146" s="2"/>
      <c r="E3146" s="2" t="s">
        <v>38</v>
      </c>
      <c r="F3146" s="2" t="s">
        <v>1678</v>
      </c>
      <c r="G3146" s="2"/>
      <c r="H3146" s="12">
        <v>0.0</v>
      </c>
      <c r="I3146" s="2" t="s">
        <v>40</v>
      </c>
      <c r="J3146" s="2"/>
      <c r="K3146" s="2" t="s">
        <v>8431</v>
      </c>
      <c r="L3146" s="12">
        <v>146.0</v>
      </c>
      <c r="M3146" s="2" t="s">
        <v>8432</v>
      </c>
      <c r="N3146" s="2" t="str">
        <f>IFERROR(__xludf.DUMMYFUNCTION("""COMPUTED_VALUE"""),"")</f>
        <v/>
      </c>
    </row>
    <row r="3147">
      <c r="A3147" s="2" t="s">
        <v>33</v>
      </c>
      <c r="B3147" s="12">
        <v>3059596.0</v>
      </c>
      <c r="C3147" s="12">
        <v>3061029.0</v>
      </c>
      <c r="D3147" s="2"/>
      <c r="E3147" s="2" t="s">
        <v>38</v>
      </c>
      <c r="F3147" s="2" t="s">
        <v>811</v>
      </c>
      <c r="G3147" s="2"/>
      <c r="H3147" s="12">
        <v>0.0</v>
      </c>
      <c r="I3147" s="2" t="s">
        <v>40</v>
      </c>
      <c r="J3147" s="2"/>
      <c r="K3147" s="2" t="s">
        <v>8433</v>
      </c>
      <c r="L3147" s="12">
        <v>477.0</v>
      </c>
      <c r="M3147" s="2" t="s">
        <v>8434</v>
      </c>
      <c r="N3147" s="2" t="str">
        <f>IFERROR(__xludf.DUMMYFUNCTION("""COMPUTED_VALUE"""),"")</f>
        <v/>
      </c>
    </row>
    <row r="3148">
      <c r="A3148" s="2" t="s">
        <v>33</v>
      </c>
      <c r="B3148" s="12">
        <v>3061439.0</v>
      </c>
      <c r="C3148" s="12">
        <v>3061933.0</v>
      </c>
      <c r="D3148" s="2"/>
      <c r="E3148" s="2" t="s">
        <v>34</v>
      </c>
      <c r="F3148" s="2" t="s">
        <v>8435</v>
      </c>
      <c r="G3148" s="2"/>
      <c r="H3148" s="12">
        <v>0.0</v>
      </c>
      <c r="I3148" s="2" t="s">
        <v>40</v>
      </c>
      <c r="J3148" s="2"/>
      <c r="K3148" s="2" t="s">
        <v>8436</v>
      </c>
      <c r="L3148" s="12">
        <v>164.0</v>
      </c>
      <c r="M3148" s="2" t="s">
        <v>8437</v>
      </c>
      <c r="N3148" s="2" t="str">
        <f>IFERROR(__xludf.DUMMYFUNCTION("""COMPUTED_VALUE"""),"")</f>
        <v/>
      </c>
    </row>
    <row r="3149">
      <c r="A3149" s="2" t="s">
        <v>33</v>
      </c>
      <c r="B3149" s="12">
        <v>3061938.0</v>
      </c>
      <c r="C3149" s="12">
        <v>3063137.0</v>
      </c>
      <c r="D3149" s="2"/>
      <c r="E3149" s="2" t="s">
        <v>34</v>
      </c>
      <c r="F3149" s="2" t="s">
        <v>2772</v>
      </c>
      <c r="G3149" s="2"/>
      <c r="H3149" s="12">
        <v>0.0</v>
      </c>
      <c r="I3149" s="2" t="s">
        <v>40</v>
      </c>
      <c r="J3149" s="2"/>
      <c r="K3149" s="2" t="s">
        <v>8438</v>
      </c>
      <c r="L3149" s="12">
        <v>399.0</v>
      </c>
      <c r="M3149" s="2" t="s">
        <v>8439</v>
      </c>
      <c r="N3149" s="2" t="str">
        <f>IFERROR(__xludf.DUMMYFUNCTION("""COMPUTED_VALUE"""),"")</f>
        <v/>
      </c>
    </row>
    <row r="3150">
      <c r="A3150" s="2" t="s">
        <v>33</v>
      </c>
      <c r="B3150" s="12">
        <v>3063222.0</v>
      </c>
      <c r="C3150" s="12">
        <v>3063815.0</v>
      </c>
      <c r="D3150" s="2"/>
      <c r="E3150" s="2" t="s">
        <v>34</v>
      </c>
      <c r="F3150" s="2" t="s">
        <v>1608</v>
      </c>
      <c r="G3150" s="2"/>
      <c r="H3150" s="12">
        <v>0.0</v>
      </c>
      <c r="I3150" s="2" t="s">
        <v>40</v>
      </c>
      <c r="J3150" s="2"/>
      <c r="K3150" s="2" t="s">
        <v>8440</v>
      </c>
      <c r="L3150" s="12">
        <v>197.0</v>
      </c>
      <c r="M3150" s="2" t="s">
        <v>8441</v>
      </c>
      <c r="N3150" s="2" t="str">
        <f>IFERROR(__xludf.DUMMYFUNCTION("""COMPUTED_VALUE"""),"")</f>
        <v/>
      </c>
    </row>
    <row r="3151">
      <c r="A3151" s="2" t="s">
        <v>33</v>
      </c>
      <c r="B3151" s="12">
        <v>3063953.0</v>
      </c>
      <c r="C3151" s="12">
        <v>3064387.0</v>
      </c>
      <c r="D3151" s="2"/>
      <c r="E3151" s="2" t="s">
        <v>34</v>
      </c>
      <c r="F3151" s="2" t="s">
        <v>8442</v>
      </c>
      <c r="G3151" s="2"/>
      <c r="H3151" s="12">
        <v>0.0</v>
      </c>
      <c r="I3151" s="2" t="s">
        <v>40</v>
      </c>
      <c r="J3151" s="2"/>
      <c r="K3151" s="2" t="s">
        <v>8443</v>
      </c>
      <c r="L3151" s="12">
        <v>144.0</v>
      </c>
      <c r="M3151" s="2" t="s">
        <v>8444</v>
      </c>
      <c r="N3151" s="2" t="str">
        <f>IFERROR(__xludf.DUMMYFUNCTION("""COMPUTED_VALUE"""),"")</f>
        <v/>
      </c>
    </row>
    <row r="3152">
      <c r="A3152" s="2" t="s">
        <v>33</v>
      </c>
      <c r="B3152" s="12">
        <v>3064497.0</v>
      </c>
      <c r="C3152" s="12">
        <v>3064907.0</v>
      </c>
      <c r="D3152" s="2"/>
      <c r="E3152" s="2" t="s">
        <v>34</v>
      </c>
      <c r="F3152" s="2" t="s">
        <v>534</v>
      </c>
      <c r="G3152" s="2"/>
      <c r="H3152" s="12">
        <v>0.0</v>
      </c>
      <c r="I3152" s="2" t="s">
        <v>40</v>
      </c>
      <c r="J3152" s="2"/>
      <c r="K3152" s="2" t="s">
        <v>8445</v>
      </c>
      <c r="L3152" s="12">
        <v>136.0</v>
      </c>
      <c r="M3152" s="2" t="s">
        <v>8446</v>
      </c>
      <c r="N3152" s="2" t="str">
        <f>IFERROR(__xludf.DUMMYFUNCTION("""COMPUTED_VALUE"""),"")</f>
        <v/>
      </c>
    </row>
    <row r="3153">
      <c r="A3153" s="2" t="s">
        <v>33</v>
      </c>
      <c r="B3153" s="12">
        <v>3064959.0</v>
      </c>
      <c r="C3153" s="12">
        <v>3065657.0</v>
      </c>
      <c r="D3153" s="2"/>
      <c r="E3153" s="2" t="s">
        <v>34</v>
      </c>
      <c r="F3153" s="2" t="s">
        <v>8447</v>
      </c>
      <c r="G3153" s="2"/>
      <c r="H3153" s="12">
        <v>0.0</v>
      </c>
      <c r="I3153" s="2" t="s">
        <v>40</v>
      </c>
      <c r="J3153" s="2"/>
      <c r="K3153" s="2" t="s">
        <v>8448</v>
      </c>
      <c r="L3153" s="12">
        <v>232.0</v>
      </c>
      <c r="M3153" s="2" t="s">
        <v>8449</v>
      </c>
      <c r="N3153" s="2" t="str">
        <f>IFERROR(__xludf.DUMMYFUNCTION("""COMPUTED_VALUE"""),"")</f>
        <v/>
      </c>
    </row>
    <row r="3154">
      <c r="A3154" s="2" t="s">
        <v>33</v>
      </c>
      <c r="B3154" s="12">
        <v>3065814.0</v>
      </c>
      <c r="C3154" s="12">
        <v>3067463.0</v>
      </c>
      <c r="D3154" s="2"/>
      <c r="E3154" s="2" t="s">
        <v>34</v>
      </c>
      <c r="F3154" s="2" t="s">
        <v>8450</v>
      </c>
      <c r="G3154" s="2" t="s">
        <v>8451</v>
      </c>
      <c r="H3154" s="12">
        <v>0.0</v>
      </c>
      <c r="I3154" s="2" t="s">
        <v>40</v>
      </c>
      <c r="J3154" s="2"/>
      <c r="K3154" s="2" t="s">
        <v>8452</v>
      </c>
      <c r="L3154" s="12">
        <v>549.0</v>
      </c>
      <c r="M3154" s="2" t="s">
        <v>8453</v>
      </c>
      <c r="N3154" s="2" t="str">
        <f>IFERROR(__xludf.DUMMYFUNCTION("""COMPUTED_VALUE"""),"")</f>
        <v/>
      </c>
    </row>
    <row r="3155">
      <c r="A3155" s="2" t="s">
        <v>33</v>
      </c>
      <c r="B3155" s="12">
        <v>3067541.0</v>
      </c>
      <c r="C3155" s="12">
        <v>3067858.0</v>
      </c>
      <c r="D3155" s="2"/>
      <c r="E3155" s="2" t="s">
        <v>38</v>
      </c>
      <c r="F3155" s="2" t="s">
        <v>8454</v>
      </c>
      <c r="G3155" s="2"/>
      <c r="H3155" s="12">
        <v>0.0</v>
      </c>
      <c r="I3155" s="2" t="s">
        <v>40</v>
      </c>
      <c r="J3155" s="2"/>
      <c r="K3155" s="2" t="s">
        <v>8455</v>
      </c>
      <c r="L3155" s="12">
        <v>105.0</v>
      </c>
      <c r="M3155" s="2" t="s">
        <v>8456</v>
      </c>
      <c r="N3155" s="2" t="str">
        <f>IFERROR(__xludf.DUMMYFUNCTION("""COMPUTED_VALUE"""),"")</f>
        <v/>
      </c>
    </row>
    <row r="3156">
      <c r="A3156" s="2" t="s">
        <v>33</v>
      </c>
      <c r="B3156" s="12">
        <v>3067979.0</v>
      </c>
      <c r="C3156" s="12">
        <v>3069670.0</v>
      </c>
      <c r="D3156" s="2"/>
      <c r="E3156" s="2" t="s">
        <v>38</v>
      </c>
      <c r="F3156" s="2" t="s">
        <v>1689</v>
      </c>
      <c r="G3156" s="2"/>
      <c r="H3156" s="12">
        <v>0.0</v>
      </c>
      <c r="I3156" s="2" t="s">
        <v>40</v>
      </c>
      <c r="J3156" s="2"/>
      <c r="K3156" s="2" t="s">
        <v>8457</v>
      </c>
      <c r="L3156" s="12">
        <v>563.0</v>
      </c>
      <c r="M3156" s="2" t="s">
        <v>8458</v>
      </c>
      <c r="N3156" s="2" t="str">
        <f>IFERROR(__xludf.DUMMYFUNCTION("""COMPUTED_VALUE"""),"")</f>
        <v/>
      </c>
    </row>
    <row r="3157">
      <c r="A3157" s="2" t="s">
        <v>33</v>
      </c>
      <c r="B3157" s="12">
        <v>3069884.0</v>
      </c>
      <c r="C3157" s="12">
        <v>3071578.0</v>
      </c>
      <c r="D3157" s="2"/>
      <c r="E3157" s="2" t="s">
        <v>38</v>
      </c>
      <c r="F3157" s="2" t="s">
        <v>1689</v>
      </c>
      <c r="G3157" s="2"/>
      <c r="H3157" s="12">
        <v>0.0</v>
      </c>
      <c r="I3157" s="2" t="s">
        <v>40</v>
      </c>
      <c r="J3157" s="2"/>
      <c r="K3157" s="2" t="s">
        <v>8459</v>
      </c>
      <c r="L3157" s="12">
        <v>564.0</v>
      </c>
      <c r="M3157" s="2" t="s">
        <v>8460</v>
      </c>
      <c r="N3157" s="2" t="str">
        <f>IFERROR(__xludf.DUMMYFUNCTION("""COMPUTED_VALUE"""),"")</f>
        <v/>
      </c>
    </row>
    <row r="3158">
      <c r="A3158" s="2" t="s">
        <v>33</v>
      </c>
      <c r="B3158" s="12">
        <v>3071993.0</v>
      </c>
      <c r="C3158" s="12">
        <v>3072811.0</v>
      </c>
      <c r="D3158" s="2"/>
      <c r="E3158" s="2" t="s">
        <v>38</v>
      </c>
      <c r="F3158" s="2" t="s">
        <v>3951</v>
      </c>
      <c r="G3158" s="2"/>
      <c r="H3158" s="12">
        <v>0.0</v>
      </c>
      <c r="I3158" s="2" t="s">
        <v>40</v>
      </c>
      <c r="J3158" s="2"/>
      <c r="K3158" s="2" t="s">
        <v>8461</v>
      </c>
      <c r="L3158" s="12">
        <v>272.0</v>
      </c>
      <c r="M3158" s="2" t="s">
        <v>8462</v>
      </c>
      <c r="N3158" s="2" t="str">
        <f>IFERROR(__xludf.DUMMYFUNCTION("""COMPUTED_VALUE"""),"")</f>
        <v/>
      </c>
    </row>
    <row r="3159">
      <c r="A3159" s="2" t="s">
        <v>33</v>
      </c>
      <c r="B3159" s="12">
        <v>3073247.0</v>
      </c>
      <c r="C3159" s="12">
        <v>3074881.0</v>
      </c>
      <c r="D3159" s="2"/>
      <c r="E3159" s="2" t="s">
        <v>34</v>
      </c>
      <c r="F3159" s="2" t="s">
        <v>7078</v>
      </c>
      <c r="G3159" s="2" t="s">
        <v>7079</v>
      </c>
      <c r="H3159" s="12">
        <v>0.0</v>
      </c>
      <c r="I3159" s="2" t="s">
        <v>40</v>
      </c>
      <c r="J3159" s="2"/>
      <c r="K3159" s="2" t="s">
        <v>8463</v>
      </c>
      <c r="L3159" s="12">
        <v>544.0</v>
      </c>
      <c r="M3159" s="2" t="s">
        <v>8464</v>
      </c>
      <c r="N3159" s="2" t="str">
        <f>IFERROR(__xludf.DUMMYFUNCTION("""COMPUTED_VALUE"""),"")</f>
        <v/>
      </c>
    </row>
    <row r="3160">
      <c r="A3160" s="2" t="s">
        <v>33</v>
      </c>
      <c r="B3160" s="12">
        <v>3074923.0</v>
      </c>
      <c r="C3160" s="12">
        <v>3075177.0</v>
      </c>
      <c r="D3160" s="2"/>
      <c r="E3160" s="2" t="s">
        <v>38</v>
      </c>
      <c r="F3160" s="2" t="s">
        <v>39</v>
      </c>
      <c r="G3160" s="2"/>
      <c r="H3160" s="12">
        <v>0.0</v>
      </c>
      <c r="I3160" s="2" t="s">
        <v>40</v>
      </c>
      <c r="J3160" s="2"/>
      <c r="K3160" s="2" t="s">
        <v>8465</v>
      </c>
      <c r="L3160" s="12">
        <v>84.0</v>
      </c>
      <c r="M3160" s="2" t="s">
        <v>8466</v>
      </c>
      <c r="N3160" s="2" t="str">
        <f>IFERROR(__xludf.DUMMYFUNCTION("""COMPUTED_VALUE"""),"")</f>
        <v/>
      </c>
    </row>
    <row r="3161">
      <c r="A3161" s="2" t="s">
        <v>33</v>
      </c>
      <c r="B3161" s="12">
        <v>3075245.0</v>
      </c>
      <c r="C3161" s="12">
        <v>3076147.0</v>
      </c>
      <c r="D3161" s="2"/>
      <c r="E3161" s="2" t="s">
        <v>38</v>
      </c>
      <c r="F3161" s="2" t="s">
        <v>738</v>
      </c>
      <c r="G3161" s="2"/>
      <c r="H3161" s="12">
        <v>0.0</v>
      </c>
      <c r="I3161" s="2" t="s">
        <v>40</v>
      </c>
      <c r="J3161" s="2"/>
      <c r="K3161" s="2" t="s">
        <v>8467</v>
      </c>
      <c r="L3161" s="12">
        <v>300.0</v>
      </c>
      <c r="M3161" s="2" t="s">
        <v>8468</v>
      </c>
      <c r="N3161" s="2" t="str">
        <f>IFERROR(__xludf.DUMMYFUNCTION("""COMPUTED_VALUE"""),"")</f>
        <v/>
      </c>
    </row>
    <row r="3162">
      <c r="A3162" s="2" t="s">
        <v>33</v>
      </c>
      <c r="B3162" s="12">
        <v>3076288.0</v>
      </c>
      <c r="C3162" s="12">
        <v>3077730.0</v>
      </c>
      <c r="D3162" s="2"/>
      <c r="E3162" s="2" t="s">
        <v>38</v>
      </c>
      <c r="F3162" s="2" t="s">
        <v>382</v>
      </c>
      <c r="G3162" s="2"/>
      <c r="H3162" s="12">
        <v>0.0</v>
      </c>
      <c r="I3162" s="2" t="s">
        <v>40</v>
      </c>
      <c r="J3162" s="2"/>
      <c r="K3162" s="2" t="s">
        <v>8469</v>
      </c>
      <c r="L3162" s="12">
        <v>480.0</v>
      </c>
      <c r="M3162" s="2" t="s">
        <v>8470</v>
      </c>
      <c r="N3162" s="2" t="str">
        <f>IFERROR(__xludf.DUMMYFUNCTION("""COMPUTED_VALUE"""),"")</f>
        <v/>
      </c>
    </row>
    <row r="3163">
      <c r="A3163" s="2" t="s">
        <v>33</v>
      </c>
      <c r="B3163" s="12">
        <v>3077708.0</v>
      </c>
      <c r="C3163" s="12">
        <v>3078373.0</v>
      </c>
      <c r="D3163" s="2"/>
      <c r="E3163" s="2" t="s">
        <v>38</v>
      </c>
      <c r="F3163" s="2" t="s">
        <v>379</v>
      </c>
      <c r="G3163" s="2"/>
      <c r="H3163" s="12">
        <v>0.0</v>
      </c>
      <c r="I3163" s="2" t="s">
        <v>40</v>
      </c>
      <c r="J3163" s="2"/>
      <c r="K3163" s="2" t="s">
        <v>8471</v>
      </c>
      <c r="L3163" s="12">
        <v>221.0</v>
      </c>
      <c r="M3163" s="2" t="s">
        <v>8472</v>
      </c>
      <c r="N3163" s="2" t="str">
        <f>IFERROR(__xludf.DUMMYFUNCTION("""COMPUTED_VALUE"""),"")</f>
        <v/>
      </c>
    </row>
    <row r="3164">
      <c r="A3164" s="2" t="s">
        <v>33</v>
      </c>
      <c r="B3164" s="12">
        <v>3078738.0</v>
      </c>
      <c r="C3164" s="12">
        <v>3079199.0</v>
      </c>
      <c r="D3164" s="2"/>
      <c r="E3164" s="2" t="s">
        <v>38</v>
      </c>
      <c r="F3164" s="2" t="s">
        <v>5117</v>
      </c>
      <c r="G3164" s="2"/>
      <c r="H3164" s="12">
        <v>0.0</v>
      </c>
      <c r="I3164" s="2" t="s">
        <v>40</v>
      </c>
      <c r="J3164" s="2"/>
      <c r="K3164" s="2" t="s">
        <v>8473</v>
      </c>
      <c r="L3164" s="12">
        <v>153.0</v>
      </c>
      <c r="M3164" s="2" t="s">
        <v>8474</v>
      </c>
      <c r="N3164" s="2" t="str">
        <f>IFERROR(__xludf.DUMMYFUNCTION("""COMPUTED_VALUE"""),"")</f>
        <v/>
      </c>
    </row>
    <row r="3165">
      <c r="A3165" s="2" t="s">
        <v>33</v>
      </c>
      <c r="B3165" s="12">
        <v>3079230.0</v>
      </c>
      <c r="C3165" s="12">
        <v>3079673.0</v>
      </c>
      <c r="D3165" s="2"/>
      <c r="E3165" s="2" t="s">
        <v>38</v>
      </c>
      <c r="F3165" s="2" t="s">
        <v>8475</v>
      </c>
      <c r="G3165" s="2"/>
      <c r="H3165" s="12">
        <v>0.0</v>
      </c>
      <c r="I3165" s="2" t="s">
        <v>40</v>
      </c>
      <c r="J3165" s="2"/>
      <c r="K3165" s="2" t="s">
        <v>8476</v>
      </c>
      <c r="L3165" s="12">
        <v>147.0</v>
      </c>
      <c r="M3165" s="2" t="s">
        <v>8477</v>
      </c>
      <c r="N3165" s="2" t="str">
        <f>IFERROR(__xludf.DUMMYFUNCTION("""COMPUTED_VALUE"""),"")</f>
        <v/>
      </c>
    </row>
    <row r="3166">
      <c r="A3166" s="2" t="s">
        <v>33</v>
      </c>
      <c r="B3166" s="12">
        <v>3080074.0</v>
      </c>
      <c r="C3166" s="12">
        <v>3080688.0</v>
      </c>
      <c r="D3166" s="2"/>
      <c r="E3166" s="2" t="s">
        <v>34</v>
      </c>
      <c r="F3166" s="2" t="s">
        <v>1608</v>
      </c>
      <c r="G3166" s="2"/>
      <c r="H3166" s="12">
        <v>0.0</v>
      </c>
      <c r="I3166" s="2" t="s">
        <v>40</v>
      </c>
      <c r="J3166" s="2"/>
      <c r="K3166" s="2" t="s">
        <v>8478</v>
      </c>
      <c r="L3166" s="12">
        <v>204.0</v>
      </c>
      <c r="M3166" s="2" t="s">
        <v>8479</v>
      </c>
      <c r="N3166" s="2" t="str">
        <f>IFERROR(__xludf.DUMMYFUNCTION("""COMPUTED_VALUE"""),"")</f>
        <v/>
      </c>
    </row>
    <row r="3167">
      <c r="A3167" s="2" t="s">
        <v>33</v>
      </c>
      <c r="B3167" s="12">
        <v>3080914.0</v>
      </c>
      <c r="C3167" s="12">
        <v>3081135.0</v>
      </c>
      <c r="D3167" s="2"/>
      <c r="E3167" s="2" t="s">
        <v>34</v>
      </c>
      <c r="F3167" s="2" t="s">
        <v>220</v>
      </c>
      <c r="G3167" s="2"/>
      <c r="H3167" s="12">
        <v>0.0</v>
      </c>
      <c r="I3167" s="2" t="s">
        <v>40</v>
      </c>
      <c r="J3167" s="2"/>
      <c r="K3167" s="2" t="s">
        <v>8480</v>
      </c>
      <c r="L3167" s="12">
        <v>73.0</v>
      </c>
      <c r="M3167" s="2" t="s">
        <v>8481</v>
      </c>
      <c r="N3167" s="2" t="str">
        <f>IFERROR(__xludf.DUMMYFUNCTION("""COMPUTED_VALUE"""),"")</f>
        <v/>
      </c>
    </row>
    <row r="3168">
      <c r="A3168" s="2" t="s">
        <v>33</v>
      </c>
      <c r="B3168" s="12">
        <v>3081125.0</v>
      </c>
      <c r="C3168" s="12">
        <v>3081832.0</v>
      </c>
      <c r="D3168" s="2"/>
      <c r="E3168" s="2" t="s">
        <v>34</v>
      </c>
      <c r="F3168" s="2" t="s">
        <v>8482</v>
      </c>
      <c r="G3168" s="2"/>
      <c r="H3168" s="12">
        <v>0.0</v>
      </c>
      <c r="I3168" s="2" t="s">
        <v>40</v>
      </c>
      <c r="J3168" s="2"/>
      <c r="K3168" s="2" t="s">
        <v>8483</v>
      </c>
      <c r="L3168" s="12">
        <v>235.0</v>
      </c>
      <c r="M3168" s="2" t="s">
        <v>8484</v>
      </c>
      <c r="N3168" s="2" t="str">
        <f>IFERROR(__xludf.DUMMYFUNCTION("""COMPUTED_VALUE"""),"")</f>
        <v/>
      </c>
    </row>
    <row r="3169">
      <c r="A3169" s="2" t="s">
        <v>33</v>
      </c>
      <c r="B3169" s="12">
        <v>3081875.0</v>
      </c>
      <c r="C3169" s="12">
        <v>3082927.0</v>
      </c>
      <c r="D3169" s="2"/>
      <c r="E3169" s="2" t="s">
        <v>34</v>
      </c>
      <c r="F3169" s="2" t="s">
        <v>8485</v>
      </c>
      <c r="G3169" s="2"/>
      <c r="H3169" s="12">
        <v>0.0</v>
      </c>
      <c r="I3169" s="2" t="s">
        <v>40</v>
      </c>
      <c r="J3169" s="2"/>
      <c r="K3169" s="2" t="s">
        <v>8486</v>
      </c>
      <c r="L3169" s="12">
        <v>350.0</v>
      </c>
      <c r="M3169" s="2" t="s">
        <v>8487</v>
      </c>
      <c r="N3169" s="2" t="str">
        <f>IFERROR(__xludf.DUMMYFUNCTION("""COMPUTED_VALUE"""),"")</f>
        <v/>
      </c>
    </row>
    <row r="3170">
      <c r="A3170" s="2" t="s">
        <v>33</v>
      </c>
      <c r="B3170" s="12">
        <v>3083024.0</v>
      </c>
      <c r="C3170" s="12">
        <v>3083164.0</v>
      </c>
      <c r="D3170" s="2"/>
      <c r="E3170" s="2" t="s">
        <v>34</v>
      </c>
      <c r="F3170" s="2" t="s">
        <v>8488</v>
      </c>
      <c r="G3170" s="2"/>
      <c r="H3170" s="12">
        <v>0.0</v>
      </c>
      <c r="I3170" s="2" t="s">
        <v>40</v>
      </c>
      <c r="J3170" s="2"/>
      <c r="K3170" s="2" t="s">
        <v>8489</v>
      </c>
      <c r="L3170" s="12">
        <v>46.0</v>
      </c>
      <c r="M3170" s="2" t="s">
        <v>8490</v>
      </c>
      <c r="N3170" s="2" t="str">
        <f>IFERROR(__xludf.DUMMYFUNCTION("""COMPUTED_VALUE"""),"")</f>
        <v/>
      </c>
    </row>
    <row r="3171">
      <c r="A3171" s="2" t="s">
        <v>33</v>
      </c>
      <c r="B3171" s="12">
        <v>3083413.0</v>
      </c>
      <c r="C3171" s="12">
        <v>3083799.0</v>
      </c>
      <c r="D3171" s="2"/>
      <c r="E3171" s="2" t="s">
        <v>38</v>
      </c>
      <c r="F3171" s="2" t="s">
        <v>8491</v>
      </c>
      <c r="G3171" s="2"/>
      <c r="H3171" s="12">
        <v>0.0</v>
      </c>
      <c r="I3171" s="2" t="s">
        <v>40</v>
      </c>
      <c r="J3171" s="2"/>
      <c r="K3171" s="2" t="s">
        <v>8492</v>
      </c>
      <c r="L3171" s="12">
        <v>128.0</v>
      </c>
      <c r="M3171" s="2" t="s">
        <v>8493</v>
      </c>
      <c r="N3171" s="2" t="str">
        <f>IFERROR(__xludf.DUMMYFUNCTION("""COMPUTED_VALUE"""),"")</f>
        <v/>
      </c>
    </row>
    <row r="3172">
      <c r="A3172" s="2" t="s">
        <v>33</v>
      </c>
      <c r="B3172" s="12">
        <v>3084260.0</v>
      </c>
      <c r="C3172" s="12">
        <v>3084781.0</v>
      </c>
      <c r="D3172" s="2"/>
      <c r="E3172" s="2" t="s">
        <v>34</v>
      </c>
      <c r="F3172" s="2" t="s">
        <v>367</v>
      </c>
      <c r="G3172" s="2"/>
      <c r="H3172" s="12">
        <v>0.0</v>
      </c>
      <c r="I3172" s="2" t="s">
        <v>40</v>
      </c>
      <c r="J3172" s="2"/>
      <c r="K3172" s="2" t="s">
        <v>8494</v>
      </c>
      <c r="L3172" s="12">
        <v>173.0</v>
      </c>
      <c r="M3172" s="2" t="s">
        <v>8495</v>
      </c>
      <c r="N3172" s="2" t="str">
        <f>IFERROR(__xludf.DUMMYFUNCTION("""COMPUTED_VALUE"""),"")</f>
        <v/>
      </c>
    </row>
    <row r="3173">
      <c r="A3173" s="2" t="s">
        <v>33</v>
      </c>
      <c r="B3173" s="12">
        <v>3084891.0</v>
      </c>
      <c r="C3173" s="12">
        <v>3085784.0</v>
      </c>
      <c r="D3173" s="2"/>
      <c r="E3173" s="2" t="s">
        <v>38</v>
      </c>
      <c r="F3173" s="2" t="s">
        <v>1506</v>
      </c>
      <c r="G3173" s="2"/>
      <c r="H3173" s="12">
        <v>0.0</v>
      </c>
      <c r="I3173" s="2" t="s">
        <v>40</v>
      </c>
      <c r="J3173" s="2"/>
      <c r="K3173" s="2" t="s">
        <v>8496</v>
      </c>
      <c r="L3173" s="12">
        <v>297.0</v>
      </c>
      <c r="M3173" s="2" t="s">
        <v>8497</v>
      </c>
      <c r="N3173" s="2" t="str">
        <f>IFERROR(__xludf.DUMMYFUNCTION("""COMPUTED_VALUE"""),"")</f>
        <v/>
      </c>
    </row>
    <row r="3174">
      <c r="A3174" s="2" t="s">
        <v>33</v>
      </c>
      <c r="B3174" s="12">
        <v>3086063.0</v>
      </c>
      <c r="C3174" s="12">
        <v>3086347.0</v>
      </c>
      <c r="D3174" s="2"/>
      <c r="E3174" s="2" t="s">
        <v>34</v>
      </c>
      <c r="F3174" s="2" t="s">
        <v>39</v>
      </c>
      <c r="G3174" s="2"/>
      <c r="H3174" s="12">
        <v>0.0</v>
      </c>
      <c r="I3174" s="2" t="s">
        <v>40</v>
      </c>
      <c r="J3174" s="2"/>
      <c r="K3174" s="2" t="s">
        <v>8498</v>
      </c>
      <c r="L3174" s="12">
        <v>94.0</v>
      </c>
      <c r="M3174" s="2" t="s">
        <v>8499</v>
      </c>
      <c r="N3174" s="2" t="str">
        <f>IFERROR(__xludf.DUMMYFUNCTION("""COMPUTED_VALUE"""),"")</f>
        <v/>
      </c>
    </row>
    <row r="3175">
      <c r="A3175" s="2" t="s">
        <v>33</v>
      </c>
      <c r="B3175" s="12">
        <v>3086376.0</v>
      </c>
      <c r="C3175" s="12">
        <v>3087158.0</v>
      </c>
      <c r="D3175" s="2"/>
      <c r="E3175" s="2" t="s">
        <v>34</v>
      </c>
      <c r="F3175" s="2" t="s">
        <v>8500</v>
      </c>
      <c r="G3175" s="2" t="s">
        <v>8501</v>
      </c>
      <c r="H3175" s="12">
        <v>0.0</v>
      </c>
      <c r="I3175" s="2" t="s">
        <v>40</v>
      </c>
      <c r="J3175" s="2"/>
      <c r="K3175" s="2" t="s">
        <v>8502</v>
      </c>
      <c r="L3175" s="12">
        <v>260.0</v>
      </c>
      <c r="M3175" s="2" t="s">
        <v>8503</v>
      </c>
      <c r="N3175" s="2" t="str">
        <f>IFERROR(__xludf.DUMMYFUNCTION("""COMPUTED_VALUE"""),"")</f>
        <v/>
      </c>
    </row>
    <row r="3176">
      <c r="A3176" s="2" t="s">
        <v>33</v>
      </c>
      <c r="B3176" s="12">
        <v>3087288.0</v>
      </c>
      <c r="C3176" s="12">
        <v>3088103.0</v>
      </c>
      <c r="D3176" s="2"/>
      <c r="E3176" s="2" t="s">
        <v>34</v>
      </c>
      <c r="F3176" s="2" t="s">
        <v>39</v>
      </c>
      <c r="G3176" s="2"/>
      <c r="H3176" s="12">
        <v>0.0</v>
      </c>
      <c r="I3176" s="2" t="s">
        <v>40</v>
      </c>
      <c r="J3176" s="2"/>
      <c r="K3176" s="2" t="s">
        <v>8504</v>
      </c>
      <c r="L3176" s="12">
        <v>271.0</v>
      </c>
      <c r="M3176" s="2" t="s">
        <v>8505</v>
      </c>
      <c r="N3176" s="2" t="str">
        <f>IFERROR(__xludf.DUMMYFUNCTION("""COMPUTED_VALUE"""),"")</f>
        <v/>
      </c>
    </row>
    <row r="3177">
      <c r="A3177" s="2" t="s">
        <v>33</v>
      </c>
      <c r="B3177" s="12">
        <v>3088182.0</v>
      </c>
      <c r="C3177" s="12">
        <v>3088409.0</v>
      </c>
      <c r="D3177" s="2"/>
      <c r="E3177" s="2" t="s">
        <v>38</v>
      </c>
      <c r="F3177" s="2" t="s">
        <v>39</v>
      </c>
      <c r="G3177" s="2"/>
      <c r="H3177" s="12">
        <v>0.0</v>
      </c>
      <c r="I3177" s="2" t="s">
        <v>40</v>
      </c>
      <c r="J3177" s="2"/>
      <c r="K3177" s="2" t="s">
        <v>8506</v>
      </c>
      <c r="L3177" s="12">
        <v>75.0</v>
      </c>
      <c r="M3177" s="2" t="s">
        <v>8507</v>
      </c>
      <c r="N3177" s="2" t="str">
        <f>IFERROR(__xludf.DUMMYFUNCTION("""COMPUTED_VALUE"""),"")</f>
        <v/>
      </c>
    </row>
    <row r="3178">
      <c r="A3178" s="2" t="s">
        <v>33</v>
      </c>
      <c r="B3178" s="12">
        <v>3088878.0</v>
      </c>
      <c r="C3178" s="12">
        <v>3090188.0</v>
      </c>
      <c r="D3178" s="2"/>
      <c r="E3178" s="2" t="s">
        <v>34</v>
      </c>
      <c r="F3178" s="2" t="s">
        <v>2227</v>
      </c>
      <c r="G3178" s="2"/>
      <c r="H3178" s="12">
        <v>0.0</v>
      </c>
      <c r="I3178" s="2" t="s">
        <v>40</v>
      </c>
      <c r="J3178" s="2"/>
      <c r="K3178" s="2" t="s">
        <v>8508</v>
      </c>
      <c r="L3178" s="12">
        <v>436.0</v>
      </c>
      <c r="M3178" s="2" t="s">
        <v>8509</v>
      </c>
      <c r="N3178" s="2" t="str">
        <f>IFERROR(__xludf.DUMMYFUNCTION("""COMPUTED_VALUE"""),"")</f>
        <v/>
      </c>
    </row>
    <row r="3179">
      <c r="A3179" s="2" t="s">
        <v>33</v>
      </c>
      <c r="B3179" s="12">
        <v>3090242.0</v>
      </c>
      <c r="C3179" s="12">
        <v>3091480.0</v>
      </c>
      <c r="D3179" s="2"/>
      <c r="E3179" s="2" t="s">
        <v>34</v>
      </c>
      <c r="F3179" s="2" t="s">
        <v>88</v>
      </c>
      <c r="G3179" s="2"/>
      <c r="H3179" s="12">
        <v>0.0</v>
      </c>
      <c r="I3179" s="2" t="s">
        <v>40</v>
      </c>
      <c r="J3179" s="2"/>
      <c r="K3179" s="2" t="s">
        <v>8510</v>
      </c>
      <c r="L3179" s="12">
        <v>412.0</v>
      </c>
      <c r="M3179" s="2" t="s">
        <v>8511</v>
      </c>
      <c r="N3179" s="2" t="str">
        <f>IFERROR(__xludf.DUMMYFUNCTION("""COMPUTED_VALUE"""),"")</f>
        <v/>
      </c>
    </row>
    <row r="3180">
      <c r="A3180" s="2" t="s">
        <v>33</v>
      </c>
      <c r="B3180" s="12">
        <v>3091561.0</v>
      </c>
      <c r="C3180" s="12">
        <v>3091737.0</v>
      </c>
      <c r="D3180" s="2"/>
      <c r="E3180" s="2" t="s">
        <v>34</v>
      </c>
      <c r="F3180" s="2" t="s">
        <v>39</v>
      </c>
      <c r="G3180" s="2"/>
      <c r="H3180" s="12">
        <v>0.0</v>
      </c>
      <c r="I3180" s="2" t="s">
        <v>40</v>
      </c>
      <c r="J3180" s="2"/>
      <c r="K3180" s="2" t="s">
        <v>8512</v>
      </c>
      <c r="L3180" s="12">
        <v>58.0</v>
      </c>
      <c r="M3180" s="2" t="s">
        <v>8513</v>
      </c>
      <c r="N3180" s="2" t="str">
        <f>IFERROR(__xludf.DUMMYFUNCTION("""COMPUTED_VALUE"""),"")</f>
        <v/>
      </c>
    </row>
    <row r="3181">
      <c r="A3181" s="2" t="s">
        <v>33</v>
      </c>
      <c r="B3181" s="12">
        <v>3091765.0</v>
      </c>
      <c r="C3181" s="12">
        <v>3092523.0</v>
      </c>
      <c r="D3181" s="2"/>
      <c r="E3181" s="2" t="s">
        <v>38</v>
      </c>
      <c r="F3181" s="2" t="s">
        <v>2591</v>
      </c>
      <c r="G3181" s="2"/>
      <c r="H3181" s="12">
        <v>0.0</v>
      </c>
      <c r="I3181" s="2" t="s">
        <v>40</v>
      </c>
      <c r="J3181" s="2"/>
      <c r="K3181" s="2" t="s">
        <v>8514</v>
      </c>
      <c r="L3181" s="12">
        <v>252.0</v>
      </c>
      <c r="M3181" s="2" t="s">
        <v>8515</v>
      </c>
      <c r="N3181" s="2" t="str">
        <f>IFERROR(__xludf.DUMMYFUNCTION("""COMPUTED_VALUE"""),"")</f>
        <v/>
      </c>
    </row>
    <row r="3182">
      <c r="A3182" s="2" t="s">
        <v>33</v>
      </c>
      <c r="B3182" s="12">
        <v>3092767.0</v>
      </c>
      <c r="C3182" s="12">
        <v>3093762.0</v>
      </c>
      <c r="D3182" s="2"/>
      <c r="E3182" s="2" t="s">
        <v>34</v>
      </c>
      <c r="F3182" s="2" t="s">
        <v>35</v>
      </c>
      <c r="G3182" s="2"/>
      <c r="H3182" s="12">
        <v>0.0</v>
      </c>
      <c r="I3182" s="2" t="s">
        <v>36</v>
      </c>
      <c r="J3182" s="2"/>
      <c r="K3182" s="2"/>
      <c r="L3182" s="2"/>
      <c r="M3182" s="2" t="s">
        <v>8516</v>
      </c>
      <c r="N3182" s="2" t="str">
        <f>IFERROR(__xludf.DUMMYFUNCTION("""COMPUTED_VALUE"""),"")</f>
        <v/>
      </c>
    </row>
    <row r="3183">
      <c r="A3183" s="2" t="s">
        <v>33</v>
      </c>
      <c r="B3183" s="12">
        <v>3093886.0</v>
      </c>
      <c r="C3183" s="12">
        <v>3094710.0</v>
      </c>
      <c r="D3183" s="2"/>
      <c r="E3183" s="2" t="s">
        <v>34</v>
      </c>
      <c r="F3183" s="2" t="s">
        <v>1689</v>
      </c>
      <c r="G3183" s="2"/>
      <c r="H3183" s="12">
        <v>0.0</v>
      </c>
      <c r="I3183" s="2" t="s">
        <v>40</v>
      </c>
      <c r="J3183" s="2"/>
      <c r="K3183" s="2" t="s">
        <v>8517</v>
      </c>
      <c r="L3183" s="12">
        <v>274.0</v>
      </c>
      <c r="M3183" s="2" t="s">
        <v>8518</v>
      </c>
      <c r="N3183" s="2" t="str">
        <f>IFERROR(__xludf.DUMMYFUNCTION("""COMPUTED_VALUE"""),"")</f>
        <v/>
      </c>
    </row>
    <row r="3184">
      <c r="A3184" s="2" t="s">
        <v>33</v>
      </c>
      <c r="B3184" s="12">
        <v>3094788.0</v>
      </c>
      <c r="C3184" s="12">
        <v>3095090.0</v>
      </c>
      <c r="D3184" s="2"/>
      <c r="E3184" s="2" t="s">
        <v>34</v>
      </c>
      <c r="F3184" s="2" t="s">
        <v>6024</v>
      </c>
      <c r="G3184" s="2"/>
      <c r="H3184" s="12">
        <v>0.0</v>
      </c>
      <c r="I3184" s="2" t="s">
        <v>40</v>
      </c>
      <c r="J3184" s="2"/>
      <c r="K3184" s="2" t="s">
        <v>8519</v>
      </c>
      <c r="L3184" s="12">
        <v>100.0</v>
      </c>
      <c r="M3184" s="2" t="s">
        <v>8520</v>
      </c>
      <c r="N3184" s="2" t="str">
        <f>IFERROR(__xludf.DUMMYFUNCTION("""COMPUTED_VALUE"""),"")</f>
        <v/>
      </c>
    </row>
    <row r="3185">
      <c r="A3185" s="2" t="s">
        <v>33</v>
      </c>
      <c r="B3185" s="12">
        <v>3095139.0</v>
      </c>
      <c r="C3185" s="12">
        <v>3095384.0</v>
      </c>
      <c r="D3185" s="2"/>
      <c r="E3185" s="2" t="s">
        <v>34</v>
      </c>
      <c r="F3185" s="2" t="s">
        <v>8521</v>
      </c>
      <c r="G3185" s="2"/>
      <c r="H3185" s="12">
        <v>0.0</v>
      </c>
      <c r="I3185" s="2" t="s">
        <v>40</v>
      </c>
      <c r="J3185" s="2"/>
      <c r="K3185" s="2" t="s">
        <v>8522</v>
      </c>
      <c r="L3185" s="12">
        <v>81.0</v>
      </c>
      <c r="M3185" s="2" t="s">
        <v>8523</v>
      </c>
      <c r="N3185" s="2" t="str">
        <f>IFERROR(__xludf.DUMMYFUNCTION("""COMPUTED_VALUE"""),"")</f>
        <v/>
      </c>
    </row>
    <row r="3186">
      <c r="A3186" s="2" t="s">
        <v>33</v>
      </c>
      <c r="B3186" s="12">
        <v>3095696.0</v>
      </c>
      <c r="C3186" s="12">
        <v>3096613.0</v>
      </c>
      <c r="D3186" s="2"/>
      <c r="E3186" s="2" t="s">
        <v>34</v>
      </c>
      <c r="F3186" s="2" t="s">
        <v>8524</v>
      </c>
      <c r="G3186" s="2"/>
      <c r="H3186" s="12">
        <v>0.0</v>
      </c>
      <c r="I3186" s="2" t="s">
        <v>40</v>
      </c>
      <c r="J3186" s="2"/>
      <c r="K3186" s="2" t="s">
        <v>8525</v>
      </c>
      <c r="L3186" s="12">
        <v>305.0</v>
      </c>
      <c r="M3186" s="2" t="s">
        <v>8526</v>
      </c>
      <c r="N3186" s="2" t="str">
        <f>IFERROR(__xludf.DUMMYFUNCTION("""COMPUTED_VALUE"""),"")</f>
        <v/>
      </c>
    </row>
    <row r="3187">
      <c r="A3187" s="2" t="s">
        <v>33</v>
      </c>
      <c r="B3187" s="12">
        <v>3096636.0</v>
      </c>
      <c r="C3187" s="12">
        <v>3097475.0</v>
      </c>
      <c r="D3187" s="2"/>
      <c r="E3187" s="2" t="s">
        <v>38</v>
      </c>
      <c r="F3187" s="2" t="s">
        <v>385</v>
      </c>
      <c r="G3187" s="2"/>
      <c r="H3187" s="12">
        <v>0.0</v>
      </c>
      <c r="I3187" s="2" t="s">
        <v>40</v>
      </c>
      <c r="J3187" s="2"/>
      <c r="K3187" s="2" t="s">
        <v>8527</v>
      </c>
      <c r="L3187" s="12">
        <v>279.0</v>
      </c>
      <c r="M3187" s="2" t="s">
        <v>8528</v>
      </c>
      <c r="N3187" s="2" t="str">
        <f>IFERROR(__xludf.DUMMYFUNCTION("""COMPUTED_VALUE"""),"")</f>
        <v/>
      </c>
    </row>
    <row r="3188">
      <c r="A3188" s="2" t="s">
        <v>33</v>
      </c>
      <c r="B3188" s="12">
        <v>3097563.0</v>
      </c>
      <c r="C3188" s="12">
        <v>3097709.0</v>
      </c>
      <c r="D3188" s="2"/>
      <c r="E3188" s="2" t="s">
        <v>38</v>
      </c>
      <c r="F3188" s="2" t="s">
        <v>8529</v>
      </c>
      <c r="G3188" s="2"/>
      <c r="H3188" s="12">
        <v>0.0</v>
      </c>
      <c r="I3188" s="2" t="s">
        <v>40</v>
      </c>
      <c r="J3188" s="2"/>
      <c r="K3188" s="2" t="s">
        <v>8530</v>
      </c>
      <c r="L3188" s="12">
        <v>48.0</v>
      </c>
      <c r="M3188" s="2" t="s">
        <v>8531</v>
      </c>
      <c r="N3188" s="2" t="str">
        <f>IFERROR(__xludf.DUMMYFUNCTION("""COMPUTED_VALUE"""),"")</f>
        <v/>
      </c>
    </row>
    <row r="3189">
      <c r="A3189" s="2" t="s">
        <v>33</v>
      </c>
      <c r="B3189" s="12">
        <v>3097947.0</v>
      </c>
      <c r="C3189" s="12">
        <v>3100328.0</v>
      </c>
      <c r="D3189" s="2"/>
      <c r="E3189" s="2" t="s">
        <v>34</v>
      </c>
      <c r="F3189" s="2" t="s">
        <v>8532</v>
      </c>
      <c r="G3189" s="2"/>
      <c r="H3189" s="12">
        <v>0.0</v>
      </c>
      <c r="I3189" s="2" t="s">
        <v>40</v>
      </c>
      <c r="J3189" s="2"/>
      <c r="K3189" s="2" t="s">
        <v>8533</v>
      </c>
      <c r="L3189" s="12">
        <v>793.0</v>
      </c>
      <c r="M3189" s="2" t="s">
        <v>8534</v>
      </c>
      <c r="N3189" s="2" t="str">
        <f>IFERROR(__xludf.DUMMYFUNCTION("""COMPUTED_VALUE"""),"")</f>
        <v/>
      </c>
    </row>
    <row r="3190">
      <c r="A3190" s="2" t="s">
        <v>33</v>
      </c>
      <c r="B3190" s="12">
        <v>3100350.0</v>
      </c>
      <c r="C3190" s="12">
        <v>3101522.0</v>
      </c>
      <c r="D3190" s="2"/>
      <c r="E3190" s="2" t="s">
        <v>34</v>
      </c>
      <c r="F3190" s="2" t="s">
        <v>7602</v>
      </c>
      <c r="G3190" s="2"/>
      <c r="H3190" s="12">
        <v>0.0</v>
      </c>
      <c r="I3190" s="2" t="s">
        <v>40</v>
      </c>
      <c r="J3190" s="2"/>
      <c r="K3190" s="2" t="s">
        <v>8535</v>
      </c>
      <c r="L3190" s="12">
        <v>390.0</v>
      </c>
      <c r="M3190" s="2" t="s">
        <v>8536</v>
      </c>
      <c r="N3190" s="2" t="str">
        <f>IFERROR(__xludf.DUMMYFUNCTION("""COMPUTED_VALUE"""),"")</f>
        <v/>
      </c>
    </row>
    <row r="3191">
      <c r="A3191" s="2" t="s">
        <v>33</v>
      </c>
      <c r="B3191" s="12">
        <v>3101765.0</v>
      </c>
      <c r="C3191" s="12">
        <v>3103567.0</v>
      </c>
      <c r="D3191" s="2"/>
      <c r="E3191" s="2" t="s">
        <v>34</v>
      </c>
      <c r="F3191" s="2" t="s">
        <v>888</v>
      </c>
      <c r="G3191" s="2"/>
      <c r="H3191" s="12">
        <v>0.0</v>
      </c>
      <c r="I3191" s="2" t="s">
        <v>40</v>
      </c>
      <c r="J3191" s="2"/>
      <c r="K3191" s="2" t="s">
        <v>8537</v>
      </c>
      <c r="L3191" s="12">
        <v>600.0</v>
      </c>
      <c r="M3191" s="2" t="s">
        <v>8538</v>
      </c>
      <c r="N3191" s="2" t="str">
        <f>IFERROR(__xludf.DUMMYFUNCTION("""COMPUTED_VALUE"""),"")</f>
        <v/>
      </c>
    </row>
    <row r="3192">
      <c r="A3192" s="2" t="s">
        <v>33</v>
      </c>
      <c r="B3192" s="12">
        <v>3103703.0</v>
      </c>
      <c r="C3192" s="12">
        <v>3104425.0</v>
      </c>
      <c r="D3192" s="2"/>
      <c r="E3192" s="2" t="s">
        <v>34</v>
      </c>
      <c r="F3192" s="2" t="s">
        <v>599</v>
      </c>
      <c r="G3192" s="2"/>
      <c r="H3192" s="12">
        <v>0.0</v>
      </c>
      <c r="I3192" s="2" t="s">
        <v>40</v>
      </c>
      <c r="J3192" s="2"/>
      <c r="K3192" s="2" t="s">
        <v>8539</v>
      </c>
      <c r="L3192" s="12">
        <v>240.0</v>
      </c>
      <c r="M3192" s="2" t="s">
        <v>8540</v>
      </c>
      <c r="N3192" s="2" t="str">
        <f>IFERROR(__xludf.DUMMYFUNCTION("""COMPUTED_VALUE"""),"")</f>
        <v/>
      </c>
    </row>
    <row r="3193">
      <c r="A3193" s="2" t="s">
        <v>33</v>
      </c>
      <c r="B3193" s="12">
        <v>3104429.0</v>
      </c>
      <c r="C3193" s="12">
        <v>3104977.0</v>
      </c>
      <c r="D3193" s="2"/>
      <c r="E3193" s="2" t="s">
        <v>34</v>
      </c>
      <c r="F3193" s="2" t="s">
        <v>427</v>
      </c>
      <c r="G3193" s="2"/>
      <c r="H3193" s="12">
        <v>0.0</v>
      </c>
      <c r="I3193" s="2" t="s">
        <v>40</v>
      </c>
      <c r="J3193" s="2"/>
      <c r="K3193" s="2" t="s">
        <v>8541</v>
      </c>
      <c r="L3193" s="12">
        <v>182.0</v>
      </c>
      <c r="M3193" s="2" t="s">
        <v>8542</v>
      </c>
      <c r="N3193" s="2" t="str">
        <f>IFERROR(__xludf.DUMMYFUNCTION("""COMPUTED_VALUE"""),"")</f>
        <v/>
      </c>
    </row>
    <row r="3194">
      <c r="A3194" s="2" t="s">
        <v>33</v>
      </c>
      <c r="B3194" s="12">
        <v>3105442.0</v>
      </c>
      <c r="C3194" s="12">
        <v>3106155.0</v>
      </c>
      <c r="D3194" s="2"/>
      <c r="E3194" s="2" t="s">
        <v>34</v>
      </c>
      <c r="F3194" s="2" t="s">
        <v>306</v>
      </c>
      <c r="G3194" s="2"/>
      <c r="H3194" s="12">
        <v>0.0</v>
      </c>
      <c r="I3194" s="2" t="s">
        <v>40</v>
      </c>
      <c r="J3194" s="2"/>
      <c r="K3194" s="2" t="s">
        <v>8543</v>
      </c>
      <c r="L3194" s="12">
        <v>237.0</v>
      </c>
      <c r="M3194" s="2" t="s">
        <v>8544</v>
      </c>
      <c r="N3194" s="2" t="str">
        <f>IFERROR(__xludf.DUMMYFUNCTION("""COMPUTED_VALUE"""),"")</f>
        <v/>
      </c>
    </row>
    <row r="3195">
      <c r="A3195" s="2" t="s">
        <v>33</v>
      </c>
      <c r="B3195" s="12">
        <v>3106299.0</v>
      </c>
      <c r="C3195" s="12">
        <v>3106484.0</v>
      </c>
      <c r="D3195" s="2"/>
      <c r="E3195" s="2" t="s">
        <v>34</v>
      </c>
      <c r="F3195" s="2" t="s">
        <v>39</v>
      </c>
      <c r="G3195" s="2"/>
      <c r="H3195" s="12">
        <v>0.0</v>
      </c>
      <c r="I3195" s="2" t="s">
        <v>40</v>
      </c>
      <c r="J3195" s="2"/>
      <c r="K3195" s="2" t="s">
        <v>8545</v>
      </c>
      <c r="L3195" s="12">
        <v>61.0</v>
      </c>
      <c r="M3195" s="2" t="s">
        <v>8546</v>
      </c>
      <c r="N3195" s="2" t="str">
        <f>IFERROR(__xludf.DUMMYFUNCTION("""COMPUTED_VALUE"""),"")</f>
        <v/>
      </c>
    </row>
    <row r="3196">
      <c r="A3196" s="2" t="s">
        <v>33</v>
      </c>
      <c r="B3196" s="12">
        <v>3106498.0</v>
      </c>
      <c r="C3196" s="12">
        <v>3106746.0</v>
      </c>
      <c r="D3196" s="2"/>
      <c r="E3196" s="2" t="s">
        <v>34</v>
      </c>
      <c r="F3196" s="2" t="s">
        <v>1584</v>
      </c>
      <c r="G3196" s="2"/>
      <c r="H3196" s="12">
        <v>0.0</v>
      </c>
      <c r="I3196" s="2" t="s">
        <v>40</v>
      </c>
      <c r="J3196" s="2"/>
      <c r="K3196" s="2" t="s">
        <v>8547</v>
      </c>
      <c r="L3196" s="12">
        <v>82.0</v>
      </c>
      <c r="M3196" s="2" t="s">
        <v>8548</v>
      </c>
      <c r="N3196" s="2" t="str">
        <f>IFERROR(__xludf.DUMMYFUNCTION("""COMPUTED_VALUE"""),"")</f>
        <v/>
      </c>
    </row>
    <row r="3197">
      <c r="A3197" s="2" t="s">
        <v>33</v>
      </c>
      <c r="B3197" s="12">
        <v>3106992.0</v>
      </c>
      <c r="C3197" s="12">
        <v>3107942.0</v>
      </c>
      <c r="D3197" s="2"/>
      <c r="E3197" s="2" t="s">
        <v>34</v>
      </c>
      <c r="F3197" s="2" t="s">
        <v>1915</v>
      </c>
      <c r="G3197" s="2"/>
      <c r="H3197" s="12">
        <v>0.0</v>
      </c>
      <c r="I3197" s="2" t="s">
        <v>40</v>
      </c>
      <c r="J3197" s="2"/>
      <c r="K3197" s="2" t="s">
        <v>8549</v>
      </c>
      <c r="L3197" s="12">
        <v>316.0</v>
      </c>
      <c r="M3197" s="2" t="s">
        <v>8550</v>
      </c>
      <c r="N3197" s="2" t="str">
        <f>IFERROR(__xludf.DUMMYFUNCTION("""COMPUTED_VALUE"""),"")</f>
        <v/>
      </c>
    </row>
    <row r="3198">
      <c r="A3198" s="2" t="s">
        <v>33</v>
      </c>
      <c r="B3198" s="12">
        <v>3107965.0</v>
      </c>
      <c r="C3198" s="12">
        <v>3108978.0</v>
      </c>
      <c r="D3198" s="2"/>
      <c r="E3198" s="2" t="s">
        <v>34</v>
      </c>
      <c r="F3198" s="2" t="s">
        <v>8551</v>
      </c>
      <c r="G3198" s="2"/>
      <c r="H3198" s="12">
        <v>0.0</v>
      </c>
      <c r="I3198" s="2" t="s">
        <v>40</v>
      </c>
      <c r="J3198" s="2"/>
      <c r="K3198" s="2" t="s">
        <v>8552</v>
      </c>
      <c r="L3198" s="12">
        <v>337.0</v>
      </c>
      <c r="M3198" s="2" t="s">
        <v>8553</v>
      </c>
      <c r="N3198" s="2" t="str">
        <f>IFERROR(__xludf.DUMMYFUNCTION("""COMPUTED_VALUE"""),"")</f>
        <v/>
      </c>
    </row>
    <row r="3199">
      <c r="A3199" s="2" t="s">
        <v>33</v>
      </c>
      <c r="B3199" s="12">
        <v>3109038.0</v>
      </c>
      <c r="C3199" s="12">
        <v>3109685.0</v>
      </c>
      <c r="D3199" s="2"/>
      <c r="E3199" s="2" t="s">
        <v>38</v>
      </c>
      <c r="F3199" s="2" t="s">
        <v>963</v>
      </c>
      <c r="G3199" s="2"/>
      <c r="H3199" s="12">
        <v>0.0</v>
      </c>
      <c r="I3199" s="2" t="s">
        <v>40</v>
      </c>
      <c r="J3199" s="2"/>
      <c r="K3199" s="2" t="s">
        <v>8554</v>
      </c>
      <c r="L3199" s="12">
        <v>215.0</v>
      </c>
      <c r="M3199" s="2" t="s">
        <v>8555</v>
      </c>
      <c r="N3199" s="2" t="str">
        <f>IFERROR(__xludf.DUMMYFUNCTION("""COMPUTED_VALUE"""),"")</f>
        <v/>
      </c>
    </row>
    <row r="3200">
      <c r="A3200" s="2" t="s">
        <v>33</v>
      </c>
      <c r="B3200" s="12">
        <v>3109829.0</v>
      </c>
      <c r="C3200" s="12">
        <v>3110356.0</v>
      </c>
      <c r="D3200" s="2"/>
      <c r="E3200" s="2" t="s">
        <v>34</v>
      </c>
      <c r="F3200" s="2" t="s">
        <v>2256</v>
      </c>
      <c r="G3200" s="2"/>
      <c r="H3200" s="12">
        <v>0.0</v>
      </c>
      <c r="I3200" s="2" t="s">
        <v>40</v>
      </c>
      <c r="J3200" s="2"/>
      <c r="K3200" s="2" t="s">
        <v>8556</v>
      </c>
      <c r="L3200" s="12">
        <v>175.0</v>
      </c>
      <c r="M3200" s="2" t="s">
        <v>8557</v>
      </c>
      <c r="N3200" s="2" t="str">
        <f>IFERROR(__xludf.DUMMYFUNCTION("""COMPUTED_VALUE"""),"")</f>
        <v/>
      </c>
    </row>
    <row r="3201">
      <c r="A3201" s="2" t="s">
        <v>33</v>
      </c>
      <c r="B3201" s="12">
        <v>3110848.0</v>
      </c>
      <c r="C3201" s="12">
        <v>3111213.0</v>
      </c>
      <c r="D3201" s="2"/>
      <c r="E3201" s="2" t="s">
        <v>34</v>
      </c>
      <c r="F3201" s="2" t="s">
        <v>8558</v>
      </c>
      <c r="G3201" s="2"/>
      <c r="H3201" s="12">
        <v>0.0</v>
      </c>
      <c r="I3201" s="2" t="s">
        <v>40</v>
      </c>
      <c r="J3201" s="2"/>
      <c r="K3201" s="2" t="s">
        <v>8559</v>
      </c>
      <c r="L3201" s="12">
        <v>121.0</v>
      </c>
      <c r="M3201" s="2" t="s">
        <v>8560</v>
      </c>
      <c r="N3201" s="2" t="str">
        <f>IFERROR(__xludf.DUMMYFUNCTION("""COMPUTED_VALUE"""),"")</f>
        <v/>
      </c>
    </row>
    <row r="3202">
      <c r="A3202" s="2" t="s">
        <v>33</v>
      </c>
      <c r="B3202" s="12">
        <v>3111255.0</v>
      </c>
      <c r="C3202" s="12">
        <v>3111638.0</v>
      </c>
      <c r="D3202" s="2"/>
      <c r="E3202" s="2" t="s">
        <v>34</v>
      </c>
      <c r="F3202" s="2" t="s">
        <v>8561</v>
      </c>
      <c r="G3202" s="2" t="s">
        <v>8562</v>
      </c>
      <c r="H3202" s="12">
        <v>0.0</v>
      </c>
      <c r="I3202" s="2" t="s">
        <v>40</v>
      </c>
      <c r="J3202" s="2"/>
      <c r="K3202" s="2" t="s">
        <v>8563</v>
      </c>
      <c r="L3202" s="12">
        <v>127.0</v>
      </c>
      <c r="M3202" s="2" t="s">
        <v>8564</v>
      </c>
      <c r="N3202" s="2" t="str">
        <f>IFERROR(__xludf.DUMMYFUNCTION("""COMPUTED_VALUE"""),"")</f>
        <v/>
      </c>
    </row>
    <row r="3203">
      <c r="A3203" s="2" t="s">
        <v>33</v>
      </c>
      <c r="B3203" s="12">
        <v>3111895.0</v>
      </c>
      <c r="C3203" s="12">
        <v>3112239.0</v>
      </c>
      <c r="D3203" s="2"/>
      <c r="E3203" s="2" t="s">
        <v>34</v>
      </c>
      <c r="F3203" s="2" t="s">
        <v>8565</v>
      </c>
      <c r="G3203" s="2"/>
      <c r="H3203" s="12">
        <v>0.0</v>
      </c>
      <c r="I3203" s="2" t="s">
        <v>40</v>
      </c>
      <c r="J3203" s="2"/>
      <c r="K3203" s="2" t="s">
        <v>8566</v>
      </c>
      <c r="L3203" s="12">
        <v>114.0</v>
      </c>
      <c r="M3203" s="2" t="s">
        <v>8567</v>
      </c>
      <c r="N3203" s="2" t="str">
        <f>IFERROR(__xludf.DUMMYFUNCTION("""COMPUTED_VALUE"""),"")</f>
        <v/>
      </c>
    </row>
    <row r="3204">
      <c r="A3204" s="2" t="s">
        <v>33</v>
      </c>
      <c r="B3204" s="12">
        <v>3112243.0</v>
      </c>
      <c r="C3204" s="12">
        <v>3112551.0</v>
      </c>
      <c r="D3204" s="2"/>
      <c r="E3204" s="2" t="s">
        <v>34</v>
      </c>
      <c r="F3204" s="2" t="s">
        <v>3466</v>
      </c>
      <c r="G3204" s="2"/>
      <c r="H3204" s="12">
        <v>0.0</v>
      </c>
      <c r="I3204" s="2" t="s">
        <v>40</v>
      </c>
      <c r="J3204" s="2"/>
      <c r="K3204" s="2" t="s">
        <v>8568</v>
      </c>
      <c r="L3204" s="12">
        <v>102.0</v>
      </c>
      <c r="M3204" s="2" t="s">
        <v>8569</v>
      </c>
      <c r="N3204" s="2" t="str">
        <f>IFERROR(__xludf.DUMMYFUNCTION("""COMPUTED_VALUE"""),"")</f>
        <v/>
      </c>
    </row>
    <row r="3205">
      <c r="A3205" s="2" t="s">
        <v>33</v>
      </c>
      <c r="B3205" s="12">
        <v>3112704.0</v>
      </c>
      <c r="C3205" s="12">
        <v>3113048.0</v>
      </c>
      <c r="D3205" s="2"/>
      <c r="E3205" s="2" t="s">
        <v>34</v>
      </c>
      <c r="F3205" s="2" t="s">
        <v>39</v>
      </c>
      <c r="G3205" s="2"/>
      <c r="H3205" s="12">
        <v>0.0</v>
      </c>
      <c r="I3205" s="2" t="s">
        <v>40</v>
      </c>
      <c r="J3205" s="2"/>
      <c r="K3205" s="2" t="s">
        <v>8570</v>
      </c>
      <c r="L3205" s="12">
        <v>114.0</v>
      </c>
      <c r="M3205" s="2" t="s">
        <v>8571</v>
      </c>
      <c r="N3205" s="2" t="str">
        <f>IFERROR(__xludf.DUMMYFUNCTION("""COMPUTED_VALUE"""),"")</f>
        <v/>
      </c>
    </row>
    <row r="3206">
      <c r="A3206" s="2" t="s">
        <v>33</v>
      </c>
      <c r="B3206" s="12">
        <v>3113592.0</v>
      </c>
      <c r="C3206" s="12">
        <v>3114617.0</v>
      </c>
      <c r="D3206" s="2"/>
      <c r="E3206" s="2" t="s">
        <v>34</v>
      </c>
      <c r="F3206" s="2" t="s">
        <v>6231</v>
      </c>
      <c r="G3206" s="2"/>
      <c r="H3206" s="12">
        <v>0.0</v>
      </c>
      <c r="I3206" s="2" t="s">
        <v>40</v>
      </c>
      <c r="J3206" s="2"/>
      <c r="K3206" s="2" t="s">
        <v>8572</v>
      </c>
      <c r="L3206" s="12">
        <v>341.0</v>
      </c>
      <c r="M3206" s="2" t="s">
        <v>8573</v>
      </c>
      <c r="N3206" s="2" t="str">
        <f>IFERROR(__xludf.DUMMYFUNCTION("""COMPUTED_VALUE"""),"")</f>
        <v/>
      </c>
    </row>
    <row r="3207">
      <c r="A3207" s="2" t="s">
        <v>33</v>
      </c>
      <c r="B3207" s="12">
        <v>3114610.0</v>
      </c>
      <c r="C3207" s="12">
        <v>3115275.0</v>
      </c>
      <c r="D3207" s="2"/>
      <c r="E3207" s="2" t="s">
        <v>34</v>
      </c>
      <c r="F3207" s="2" t="s">
        <v>6228</v>
      </c>
      <c r="G3207" s="2"/>
      <c r="H3207" s="12">
        <v>0.0</v>
      </c>
      <c r="I3207" s="2" t="s">
        <v>40</v>
      </c>
      <c r="J3207" s="2"/>
      <c r="K3207" s="2" t="s">
        <v>8574</v>
      </c>
      <c r="L3207" s="12">
        <v>221.0</v>
      </c>
      <c r="M3207" s="2" t="s">
        <v>8575</v>
      </c>
      <c r="N3207" s="2" t="str">
        <f>IFERROR(__xludf.DUMMYFUNCTION("""COMPUTED_VALUE"""),"")</f>
        <v/>
      </c>
    </row>
    <row r="3208">
      <c r="A3208" s="2" t="s">
        <v>33</v>
      </c>
      <c r="B3208" s="12">
        <v>3115299.0</v>
      </c>
      <c r="C3208" s="12">
        <v>3116111.0</v>
      </c>
      <c r="D3208" s="2"/>
      <c r="E3208" s="2" t="s">
        <v>34</v>
      </c>
      <c r="F3208" s="2" t="s">
        <v>8576</v>
      </c>
      <c r="G3208" s="2" t="s">
        <v>8577</v>
      </c>
      <c r="H3208" s="12">
        <v>0.0</v>
      </c>
      <c r="I3208" s="2" t="s">
        <v>40</v>
      </c>
      <c r="J3208" s="2"/>
      <c r="K3208" s="2" t="s">
        <v>8578</v>
      </c>
      <c r="L3208" s="12">
        <v>270.0</v>
      </c>
      <c r="M3208" s="2" t="s">
        <v>8579</v>
      </c>
      <c r="N3208" s="2" t="str">
        <f>IFERROR(__xludf.DUMMYFUNCTION("""COMPUTED_VALUE"""),"")</f>
        <v/>
      </c>
    </row>
    <row r="3209">
      <c r="A3209" s="2" t="s">
        <v>33</v>
      </c>
      <c r="B3209" s="12">
        <v>3116183.0</v>
      </c>
      <c r="C3209" s="12">
        <v>3116989.0</v>
      </c>
      <c r="D3209" s="2"/>
      <c r="E3209" s="2" t="s">
        <v>34</v>
      </c>
      <c r="F3209" s="2" t="s">
        <v>8576</v>
      </c>
      <c r="G3209" s="2" t="s">
        <v>8577</v>
      </c>
      <c r="H3209" s="12">
        <v>0.0</v>
      </c>
      <c r="I3209" s="2" t="s">
        <v>40</v>
      </c>
      <c r="J3209" s="2"/>
      <c r="K3209" s="2" t="s">
        <v>8580</v>
      </c>
      <c r="L3209" s="12">
        <v>268.0</v>
      </c>
      <c r="M3209" s="2" t="s">
        <v>8581</v>
      </c>
      <c r="N3209" s="2" t="str">
        <f>IFERROR(__xludf.DUMMYFUNCTION("""COMPUTED_VALUE"""),"")</f>
        <v/>
      </c>
    </row>
    <row r="3210">
      <c r="A3210" s="2" t="s">
        <v>33</v>
      </c>
      <c r="B3210" s="12">
        <v>3117228.0</v>
      </c>
      <c r="C3210" s="12">
        <v>3118013.0</v>
      </c>
      <c r="D3210" s="2"/>
      <c r="E3210" s="2" t="s">
        <v>34</v>
      </c>
      <c r="F3210" s="2" t="s">
        <v>8582</v>
      </c>
      <c r="G3210" s="2" t="s">
        <v>8583</v>
      </c>
      <c r="H3210" s="12">
        <v>0.0</v>
      </c>
      <c r="I3210" s="2" t="s">
        <v>40</v>
      </c>
      <c r="J3210" s="2"/>
      <c r="K3210" s="2" t="s">
        <v>8584</v>
      </c>
      <c r="L3210" s="12">
        <v>261.0</v>
      </c>
      <c r="M3210" s="2" t="s">
        <v>8585</v>
      </c>
      <c r="N3210" s="2" t="str">
        <f>IFERROR(__xludf.DUMMYFUNCTION("""COMPUTED_VALUE"""),"")</f>
        <v/>
      </c>
    </row>
    <row r="3211">
      <c r="A3211" s="2" t="s">
        <v>33</v>
      </c>
      <c r="B3211" s="12">
        <v>3118029.0</v>
      </c>
      <c r="C3211" s="12">
        <v>3119321.0</v>
      </c>
      <c r="D3211" s="2"/>
      <c r="E3211" s="2" t="s">
        <v>34</v>
      </c>
      <c r="F3211" s="2" t="s">
        <v>8586</v>
      </c>
      <c r="G3211" s="2" t="s">
        <v>8587</v>
      </c>
      <c r="H3211" s="12">
        <v>0.0</v>
      </c>
      <c r="I3211" s="2" t="s">
        <v>40</v>
      </c>
      <c r="J3211" s="2"/>
      <c r="K3211" s="2" t="s">
        <v>8588</v>
      </c>
      <c r="L3211" s="12">
        <v>430.0</v>
      </c>
      <c r="M3211" s="2" t="s">
        <v>8589</v>
      </c>
      <c r="N3211" s="2" t="str">
        <f>IFERROR(__xludf.DUMMYFUNCTION("""COMPUTED_VALUE"""),"")</f>
        <v/>
      </c>
    </row>
    <row r="3212">
      <c r="A3212" s="2" t="s">
        <v>33</v>
      </c>
      <c r="B3212" s="12">
        <v>3119321.0</v>
      </c>
      <c r="C3212" s="12">
        <v>3120541.0</v>
      </c>
      <c r="D3212" s="2"/>
      <c r="E3212" s="2" t="s">
        <v>34</v>
      </c>
      <c r="F3212" s="2" t="s">
        <v>8590</v>
      </c>
      <c r="G3212" s="2" t="s">
        <v>8591</v>
      </c>
      <c r="H3212" s="12">
        <v>0.0</v>
      </c>
      <c r="I3212" s="2" t="s">
        <v>40</v>
      </c>
      <c r="J3212" s="2"/>
      <c r="K3212" s="2" t="s">
        <v>8592</v>
      </c>
      <c r="L3212" s="12">
        <v>406.0</v>
      </c>
      <c r="M3212" s="2" t="s">
        <v>8593</v>
      </c>
      <c r="N3212" s="2" t="str">
        <f>IFERROR(__xludf.DUMMYFUNCTION("""COMPUTED_VALUE"""),"")</f>
        <v/>
      </c>
    </row>
    <row r="3213">
      <c r="A3213" s="2" t="s">
        <v>33</v>
      </c>
      <c r="B3213" s="12">
        <v>3120531.0</v>
      </c>
      <c r="C3213" s="12">
        <v>3120962.0</v>
      </c>
      <c r="D3213" s="2"/>
      <c r="E3213" s="2" t="s">
        <v>34</v>
      </c>
      <c r="F3213" s="2" t="s">
        <v>8594</v>
      </c>
      <c r="G3213" s="2" t="s">
        <v>8595</v>
      </c>
      <c r="H3213" s="12">
        <v>0.0</v>
      </c>
      <c r="I3213" s="2" t="s">
        <v>40</v>
      </c>
      <c r="J3213" s="2"/>
      <c r="K3213" s="2" t="s">
        <v>8596</v>
      </c>
      <c r="L3213" s="12">
        <v>143.0</v>
      </c>
      <c r="M3213" s="2" t="s">
        <v>8597</v>
      </c>
      <c r="N3213" s="2" t="str">
        <f>IFERROR(__xludf.DUMMYFUNCTION("""COMPUTED_VALUE"""),"")</f>
        <v/>
      </c>
    </row>
    <row r="3214">
      <c r="A3214" s="2" t="s">
        <v>33</v>
      </c>
      <c r="B3214" s="12">
        <v>3121011.0</v>
      </c>
      <c r="C3214" s="12">
        <v>3122408.0</v>
      </c>
      <c r="D3214" s="2"/>
      <c r="E3214" s="2" t="s">
        <v>34</v>
      </c>
      <c r="F3214" s="2" t="s">
        <v>8598</v>
      </c>
      <c r="G3214" s="2" t="s">
        <v>8599</v>
      </c>
      <c r="H3214" s="12">
        <v>0.0</v>
      </c>
      <c r="I3214" s="2" t="s">
        <v>40</v>
      </c>
      <c r="J3214" s="2"/>
      <c r="K3214" s="2" t="s">
        <v>8600</v>
      </c>
      <c r="L3214" s="12">
        <v>465.0</v>
      </c>
      <c r="M3214" s="2" t="s">
        <v>8601</v>
      </c>
      <c r="N3214" s="2" t="str">
        <f>IFERROR(__xludf.DUMMYFUNCTION("""COMPUTED_VALUE"""),"")</f>
        <v/>
      </c>
    </row>
    <row r="3215">
      <c r="A3215" s="2" t="s">
        <v>33</v>
      </c>
      <c r="B3215" s="12">
        <v>3123133.0</v>
      </c>
      <c r="C3215" s="12">
        <v>3124524.0</v>
      </c>
      <c r="D3215" s="2"/>
      <c r="E3215" s="2" t="s">
        <v>34</v>
      </c>
      <c r="F3215" s="2" t="s">
        <v>8602</v>
      </c>
      <c r="G3215" s="2"/>
      <c r="H3215" s="12">
        <v>0.0</v>
      </c>
      <c r="I3215" s="2" t="s">
        <v>40</v>
      </c>
      <c r="J3215" s="2"/>
      <c r="K3215" s="2" t="s">
        <v>8603</v>
      </c>
      <c r="L3215" s="12">
        <v>463.0</v>
      </c>
      <c r="M3215" s="2" t="s">
        <v>8604</v>
      </c>
      <c r="N3215" s="2" t="str">
        <f>IFERROR(__xludf.DUMMYFUNCTION("""COMPUTED_VALUE"""),"")</f>
        <v/>
      </c>
    </row>
    <row r="3216">
      <c r="A3216" s="2" t="s">
        <v>33</v>
      </c>
      <c r="B3216" s="12">
        <v>3124590.0</v>
      </c>
      <c r="C3216" s="12">
        <v>3124892.0</v>
      </c>
      <c r="D3216" s="2"/>
      <c r="E3216" s="2" t="s">
        <v>34</v>
      </c>
      <c r="F3216" s="2" t="s">
        <v>8605</v>
      </c>
      <c r="G3216" s="2"/>
      <c r="H3216" s="12">
        <v>0.0</v>
      </c>
      <c r="I3216" s="2" t="s">
        <v>40</v>
      </c>
      <c r="J3216" s="2"/>
      <c r="K3216" s="2" t="s">
        <v>8606</v>
      </c>
      <c r="L3216" s="12">
        <v>100.0</v>
      </c>
      <c r="M3216" s="2" t="s">
        <v>8607</v>
      </c>
      <c r="N3216" s="2" t="str">
        <f>IFERROR(__xludf.DUMMYFUNCTION("""COMPUTED_VALUE"""),"")</f>
        <v/>
      </c>
    </row>
    <row r="3217">
      <c r="A3217" s="2" t="s">
        <v>33</v>
      </c>
      <c r="B3217" s="12">
        <v>3124947.0</v>
      </c>
      <c r="C3217" s="12">
        <v>3125678.0</v>
      </c>
      <c r="D3217" s="2"/>
      <c r="E3217" s="2" t="s">
        <v>34</v>
      </c>
      <c r="F3217" s="2" t="s">
        <v>8608</v>
      </c>
      <c r="G3217" s="2" t="s">
        <v>8609</v>
      </c>
      <c r="H3217" s="12">
        <v>0.0</v>
      </c>
      <c r="I3217" s="2" t="s">
        <v>40</v>
      </c>
      <c r="J3217" s="2"/>
      <c r="K3217" s="2" t="s">
        <v>8610</v>
      </c>
      <c r="L3217" s="12">
        <v>243.0</v>
      </c>
      <c r="M3217" s="2" t="s">
        <v>8611</v>
      </c>
      <c r="N3217" s="2" t="str">
        <f>IFERROR(__xludf.DUMMYFUNCTION("""COMPUTED_VALUE"""),"")</f>
        <v/>
      </c>
    </row>
    <row r="3218">
      <c r="A3218" s="2" t="s">
        <v>33</v>
      </c>
      <c r="B3218" s="12">
        <v>3125752.0</v>
      </c>
      <c r="C3218" s="12">
        <v>3126735.0</v>
      </c>
      <c r="D3218" s="2"/>
      <c r="E3218" s="2" t="s">
        <v>38</v>
      </c>
      <c r="F3218" s="2" t="s">
        <v>2244</v>
      </c>
      <c r="G3218" s="2"/>
      <c r="H3218" s="12">
        <v>0.0</v>
      </c>
      <c r="I3218" s="2" t="s">
        <v>40</v>
      </c>
      <c r="J3218" s="2"/>
      <c r="K3218" s="2" t="s">
        <v>8612</v>
      </c>
      <c r="L3218" s="12">
        <v>327.0</v>
      </c>
      <c r="M3218" s="2" t="s">
        <v>8613</v>
      </c>
      <c r="N3218" s="2" t="str">
        <f>IFERROR(__xludf.DUMMYFUNCTION("""COMPUTED_VALUE"""),"")</f>
        <v/>
      </c>
    </row>
    <row r="3219">
      <c r="A3219" s="2" t="s">
        <v>33</v>
      </c>
      <c r="B3219" s="12">
        <v>3126925.0</v>
      </c>
      <c r="C3219" s="12">
        <v>3127821.0</v>
      </c>
      <c r="D3219" s="2"/>
      <c r="E3219" s="2" t="s">
        <v>34</v>
      </c>
      <c r="F3219" s="2" t="s">
        <v>8614</v>
      </c>
      <c r="G3219" s="2" t="s">
        <v>8615</v>
      </c>
      <c r="H3219" s="12">
        <v>0.0</v>
      </c>
      <c r="I3219" s="2" t="s">
        <v>40</v>
      </c>
      <c r="J3219" s="2"/>
      <c r="K3219" s="2" t="s">
        <v>8616</v>
      </c>
      <c r="L3219" s="12">
        <v>298.0</v>
      </c>
      <c r="M3219" s="2" t="s">
        <v>8617</v>
      </c>
      <c r="N3219" s="2" t="str">
        <f>IFERROR(__xludf.DUMMYFUNCTION("""COMPUTED_VALUE"""),"")</f>
        <v/>
      </c>
    </row>
    <row r="3220">
      <c r="A3220" s="2" t="s">
        <v>33</v>
      </c>
      <c r="B3220" s="12">
        <v>3127843.0</v>
      </c>
      <c r="C3220" s="12">
        <v>3128322.0</v>
      </c>
      <c r="D3220" s="2"/>
      <c r="E3220" s="2" t="s">
        <v>38</v>
      </c>
      <c r="F3220" s="2" t="s">
        <v>8618</v>
      </c>
      <c r="G3220" s="2"/>
      <c r="H3220" s="12">
        <v>0.0</v>
      </c>
      <c r="I3220" s="2" t="s">
        <v>40</v>
      </c>
      <c r="J3220" s="2"/>
      <c r="K3220" s="2" t="s">
        <v>8619</v>
      </c>
      <c r="L3220" s="12">
        <v>159.0</v>
      </c>
      <c r="M3220" s="2" t="s">
        <v>8620</v>
      </c>
      <c r="N3220" s="2" t="str">
        <f>IFERROR(__xludf.DUMMYFUNCTION("""COMPUTED_VALUE"""),"")</f>
        <v/>
      </c>
    </row>
    <row r="3221">
      <c r="A3221" s="2" t="s">
        <v>33</v>
      </c>
      <c r="B3221" s="12">
        <v>3128397.0</v>
      </c>
      <c r="C3221" s="12">
        <v>3128951.0</v>
      </c>
      <c r="D3221" s="2"/>
      <c r="E3221" s="2" t="s">
        <v>38</v>
      </c>
      <c r="F3221" s="2" t="s">
        <v>1528</v>
      </c>
      <c r="G3221" s="2"/>
      <c r="H3221" s="12">
        <v>0.0</v>
      </c>
      <c r="I3221" s="2" t="s">
        <v>40</v>
      </c>
      <c r="J3221" s="2"/>
      <c r="K3221" s="2" t="s">
        <v>8621</v>
      </c>
      <c r="L3221" s="12">
        <v>184.0</v>
      </c>
      <c r="M3221" s="2" t="s">
        <v>8622</v>
      </c>
      <c r="N3221" s="2" t="str">
        <f>IFERROR(__xludf.DUMMYFUNCTION("""COMPUTED_VALUE"""),"")</f>
        <v/>
      </c>
    </row>
    <row r="3222">
      <c r="A3222" s="2" t="s">
        <v>33</v>
      </c>
      <c r="B3222" s="12">
        <v>3129085.0</v>
      </c>
      <c r="C3222" s="12">
        <v>3129516.0</v>
      </c>
      <c r="D3222" s="2"/>
      <c r="E3222" s="2" t="s">
        <v>34</v>
      </c>
      <c r="F3222" s="2" t="s">
        <v>39</v>
      </c>
      <c r="G3222" s="2"/>
      <c r="H3222" s="12">
        <v>0.0</v>
      </c>
      <c r="I3222" s="2" t="s">
        <v>40</v>
      </c>
      <c r="J3222" s="2"/>
      <c r="K3222" s="2" t="s">
        <v>8623</v>
      </c>
      <c r="L3222" s="12">
        <v>143.0</v>
      </c>
      <c r="M3222" s="2" t="s">
        <v>8624</v>
      </c>
      <c r="N3222" s="2" t="str">
        <f>IFERROR(__xludf.DUMMYFUNCTION("""COMPUTED_VALUE"""),"")</f>
        <v/>
      </c>
    </row>
    <row r="3223">
      <c r="A3223" s="2" t="s">
        <v>33</v>
      </c>
      <c r="B3223" s="12">
        <v>3129542.0</v>
      </c>
      <c r="C3223" s="12">
        <v>3130357.0</v>
      </c>
      <c r="D3223" s="2"/>
      <c r="E3223" s="2" t="s">
        <v>38</v>
      </c>
      <c r="F3223" s="2" t="s">
        <v>8625</v>
      </c>
      <c r="G3223" s="2"/>
      <c r="H3223" s="12">
        <v>0.0</v>
      </c>
      <c r="I3223" s="2" t="s">
        <v>40</v>
      </c>
      <c r="J3223" s="2"/>
      <c r="K3223" s="2" t="s">
        <v>8626</v>
      </c>
      <c r="L3223" s="12">
        <v>271.0</v>
      </c>
      <c r="M3223" s="2" t="s">
        <v>8627</v>
      </c>
      <c r="N3223" s="2" t="str">
        <f>IFERROR(__xludf.DUMMYFUNCTION("""COMPUTED_VALUE"""),"")</f>
        <v/>
      </c>
    </row>
    <row r="3224">
      <c r="A3224" s="2" t="s">
        <v>33</v>
      </c>
      <c r="B3224" s="12">
        <v>3130458.0</v>
      </c>
      <c r="C3224" s="12">
        <v>3131192.0</v>
      </c>
      <c r="D3224" s="2"/>
      <c r="E3224" s="2" t="s">
        <v>34</v>
      </c>
      <c r="F3224" s="2" t="s">
        <v>338</v>
      </c>
      <c r="G3224" s="2"/>
      <c r="H3224" s="12">
        <v>0.0</v>
      </c>
      <c r="I3224" s="2" t="s">
        <v>40</v>
      </c>
      <c r="J3224" s="2"/>
      <c r="K3224" s="2" t="s">
        <v>8628</v>
      </c>
      <c r="L3224" s="12">
        <v>244.0</v>
      </c>
      <c r="M3224" s="2" t="s">
        <v>8629</v>
      </c>
      <c r="N3224" s="2" t="str">
        <f>IFERROR(__xludf.DUMMYFUNCTION("""COMPUTED_VALUE"""),"")</f>
        <v/>
      </c>
    </row>
    <row r="3225">
      <c r="A3225" s="2" t="s">
        <v>33</v>
      </c>
      <c r="B3225" s="12">
        <v>3131227.0</v>
      </c>
      <c r="C3225" s="12">
        <v>3131805.0</v>
      </c>
      <c r="D3225" s="2"/>
      <c r="E3225" s="2" t="s">
        <v>38</v>
      </c>
      <c r="F3225" s="2" t="s">
        <v>8183</v>
      </c>
      <c r="G3225" s="2"/>
      <c r="H3225" s="12">
        <v>0.0</v>
      </c>
      <c r="I3225" s="2" t="s">
        <v>40</v>
      </c>
      <c r="J3225" s="2"/>
      <c r="K3225" s="2" t="s">
        <v>8630</v>
      </c>
      <c r="L3225" s="12">
        <v>192.0</v>
      </c>
      <c r="M3225" s="2" t="s">
        <v>8631</v>
      </c>
      <c r="N3225" s="2" t="str">
        <f>IFERROR(__xludf.DUMMYFUNCTION("""COMPUTED_VALUE"""),"")</f>
        <v/>
      </c>
    </row>
    <row r="3226">
      <c r="A3226" s="2" t="s">
        <v>33</v>
      </c>
      <c r="B3226" s="12">
        <v>3131924.0</v>
      </c>
      <c r="C3226" s="12">
        <v>3132226.0</v>
      </c>
      <c r="D3226" s="2"/>
      <c r="E3226" s="2" t="s">
        <v>34</v>
      </c>
      <c r="F3226" s="2" t="s">
        <v>8632</v>
      </c>
      <c r="G3226" s="2"/>
      <c r="H3226" s="12">
        <v>0.0</v>
      </c>
      <c r="I3226" s="2" t="s">
        <v>40</v>
      </c>
      <c r="J3226" s="2"/>
      <c r="K3226" s="2" t="s">
        <v>8633</v>
      </c>
      <c r="L3226" s="12">
        <v>100.0</v>
      </c>
      <c r="M3226" s="2" t="s">
        <v>8634</v>
      </c>
      <c r="N3226" s="2" t="str">
        <f>IFERROR(__xludf.DUMMYFUNCTION("""COMPUTED_VALUE"""),"")</f>
        <v/>
      </c>
    </row>
    <row r="3227">
      <c r="A3227" s="2" t="s">
        <v>33</v>
      </c>
      <c r="B3227" s="12">
        <v>3132272.0</v>
      </c>
      <c r="C3227" s="12">
        <v>3132769.0</v>
      </c>
      <c r="D3227" s="2"/>
      <c r="E3227" s="2" t="s">
        <v>38</v>
      </c>
      <c r="F3227" s="2" t="s">
        <v>39</v>
      </c>
      <c r="G3227" s="2"/>
      <c r="H3227" s="12">
        <v>0.0</v>
      </c>
      <c r="I3227" s="2" t="s">
        <v>40</v>
      </c>
      <c r="J3227" s="2"/>
      <c r="K3227" s="2" t="s">
        <v>8635</v>
      </c>
      <c r="L3227" s="12">
        <v>165.0</v>
      </c>
      <c r="M3227" s="2" t="s">
        <v>8636</v>
      </c>
      <c r="N3227" s="2" t="str">
        <f>IFERROR(__xludf.DUMMYFUNCTION("""COMPUTED_VALUE"""),"")</f>
        <v/>
      </c>
    </row>
    <row r="3228">
      <c r="A3228" s="2" t="s">
        <v>33</v>
      </c>
      <c r="B3228" s="12">
        <v>3133142.0</v>
      </c>
      <c r="C3228" s="12">
        <v>3133408.0</v>
      </c>
      <c r="D3228" s="2"/>
      <c r="E3228" s="2" t="s">
        <v>38</v>
      </c>
      <c r="F3228" s="2" t="s">
        <v>8637</v>
      </c>
      <c r="G3228" s="2"/>
      <c r="H3228" s="12">
        <v>0.0</v>
      </c>
      <c r="I3228" s="2" t="s">
        <v>40</v>
      </c>
      <c r="J3228" s="2"/>
      <c r="K3228" s="2" t="s">
        <v>8638</v>
      </c>
      <c r="L3228" s="12">
        <v>88.0</v>
      </c>
      <c r="M3228" s="2" t="s">
        <v>8639</v>
      </c>
      <c r="N3228" s="2" t="str">
        <f>IFERROR(__xludf.DUMMYFUNCTION("""COMPUTED_VALUE"""),"")</f>
        <v/>
      </c>
    </row>
    <row r="3229">
      <c r="A3229" s="2" t="s">
        <v>33</v>
      </c>
      <c r="B3229" s="12">
        <v>3133425.0</v>
      </c>
      <c r="C3229" s="12">
        <v>3134396.0</v>
      </c>
      <c r="D3229" s="2"/>
      <c r="E3229" s="2" t="s">
        <v>38</v>
      </c>
      <c r="F3229" s="2" t="s">
        <v>7638</v>
      </c>
      <c r="G3229" s="2" t="s">
        <v>7639</v>
      </c>
      <c r="H3229" s="12">
        <v>0.0</v>
      </c>
      <c r="I3229" s="2" t="s">
        <v>40</v>
      </c>
      <c r="J3229" s="2"/>
      <c r="K3229" s="2" t="s">
        <v>8640</v>
      </c>
      <c r="L3229" s="12">
        <v>323.0</v>
      </c>
      <c r="M3229" s="2" t="s">
        <v>8641</v>
      </c>
      <c r="N3229" s="2" t="str">
        <f>IFERROR(__xludf.DUMMYFUNCTION("""COMPUTED_VALUE"""),"")</f>
        <v/>
      </c>
    </row>
    <row r="3230">
      <c r="A3230" s="2" t="s">
        <v>33</v>
      </c>
      <c r="B3230" s="12">
        <v>3134544.0</v>
      </c>
      <c r="C3230" s="12">
        <v>3134984.0</v>
      </c>
      <c r="D3230" s="2"/>
      <c r="E3230" s="2" t="s">
        <v>34</v>
      </c>
      <c r="F3230" s="2" t="s">
        <v>8642</v>
      </c>
      <c r="G3230" s="2"/>
      <c r="H3230" s="12">
        <v>0.0</v>
      </c>
      <c r="I3230" s="2" t="s">
        <v>40</v>
      </c>
      <c r="J3230" s="2"/>
      <c r="K3230" s="2" t="s">
        <v>8643</v>
      </c>
      <c r="L3230" s="12">
        <v>146.0</v>
      </c>
      <c r="M3230" s="2" t="s">
        <v>8644</v>
      </c>
      <c r="N3230" s="2" t="str">
        <f>IFERROR(__xludf.DUMMYFUNCTION("""COMPUTED_VALUE"""),"")</f>
        <v/>
      </c>
    </row>
    <row r="3231">
      <c r="A3231" s="2" t="s">
        <v>33</v>
      </c>
      <c r="B3231" s="12">
        <v>3135065.0</v>
      </c>
      <c r="C3231" s="12">
        <v>3135697.0</v>
      </c>
      <c r="D3231" s="2"/>
      <c r="E3231" s="2" t="s">
        <v>34</v>
      </c>
      <c r="F3231" s="2" t="s">
        <v>5596</v>
      </c>
      <c r="G3231" s="2"/>
      <c r="H3231" s="12">
        <v>0.0</v>
      </c>
      <c r="I3231" s="2" t="s">
        <v>40</v>
      </c>
      <c r="J3231" s="2"/>
      <c r="K3231" s="2" t="s">
        <v>8645</v>
      </c>
      <c r="L3231" s="12">
        <v>210.0</v>
      </c>
      <c r="M3231" s="2" t="s">
        <v>8646</v>
      </c>
      <c r="N3231" s="2" t="str">
        <f>IFERROR(__xludf.DUMMYFUNCTION("""COMPUTED_VALUE"""),"")</f>
        <v/>
      </c>
    </row>
    <row r="3232">
      <c r="A3232" s="2" t="s">
        <v>33</v>
      </c>
      <c r="B3232" s="12">
        <v>3135807.0</v>
      </c>
      <c r="C3232" s="12">
        <v>3136571.0</v>
      </c>
      <c r="D3232" s="2"/>
      <c r="E3232" s="2" t="s">
        <v>34</v>
      </c>
      <c r="F3232" s="2" t="s">
        <v>8647</v>
      </c>
      <c r="G3232" s="2"/>
      <c r="H3232" s="12">
        <v>0.0</v>
      </c>
      <c r="I3232" s="2" t="s">
        <v>40</v>
      </c>
      <c r="J3232" s="2"/>
      <c r="K3232" s="2" t="s">
        <v>8648</v>
      </c>
      <c r="L3232" s="12">
        <v>254.0</v>
      </c>
      <c r="M3232" s="2" t="s">
        <v>8649</v>
      </c>
      <c r="N3232" s="2" t="str">
        <f>IFERROR(__xludf.DUMMYFUNCTION("""COMPUTED_VALUE"""),"")</f>
        <v/>
      </c>
    </row>
    <row r="3233">
      <c r="A3233" s="2" t="s">
        <v>33</v>
      </c>
      <c r="B3233" s="12">
        <v>3136717.0</v>
      </c>
      <c r="C3233" s="12">
        <v>3137298.0</v>
      </c>
      <c r="D3233" s="2"/>
      <c r="E3233" s="2" t="s">
        <v>38</v>
      </c>
      <c r="F3233" s="2" t="s">
        <v>4899</v>
      </c>
      <c r="G3233" s="2"/>
      <c r="H3233" s="12">
        <v>0.0</v>
      </c>
      <c r="I3233" s="2" t="s">
        <v>40</v>
      </c>
      <c r="J3233" s="2"/>
      <c r="K3233" s="2" t="s">
        <v>8650</v>
      </c>
      <c r="L3233" s="12">
        <v>193.0</v>
      </c>
      <c r="M3233" s="2" t="s">
        <v>8651</v>
      </c>
      <c r="N3233" s="2" t="str">
        <f>IFERROR(__xludf.DUMMYFUNCTION("""COMPUTED_VALUE"""),"")</f>
        <v/>
      </c>
    </row>
    <row r="3234">
      <c r="A3234" s="2" t="s">
        <v>33</v>
      </c>
      <c r="B3234" s="12">
        <v>3137921.0</v>
      </c>
      <c r="C3234" s="12">
        <v>3138400.0</v>
      </c>
      <c r="D3234" s="2"/>
      <c r="E3234" s="2" t="s">
        <v>34</v>
      </c>
      <c r="F3234" s="2" t="s">
        <v>367</v>
      </c>
      <c r="G3234" s="2"/>
      <c r="H3234" s="12">
        <v>0.0</v>
      </c>
      <c r="I3234" s="2" t="s">
        <v>40</v>
      </c>
      <c r="J3234" s="2"/>
      <c r="K3234" s="2" t="s">
        <v>8652</v>
      </c>
      <c r="L3234" s="12">
        <v>159.0</v>
      </c>
      <c r="M3234" s="2" t="s">
        <v>8653</v>
      </c>
      <c r="N3234" s="2" t="str">
        <f>IFERROR(__xludf.DUMMYFUNCTION("""COMPUTED_VALUE"""),"")</f>
        <v/>
      </c>
    </row>
    <row r="3235">
      <c r="A3235" s="2" t="s">
        <v>33</v>
      </c>
      <c r="B3235" s="12">
        <v>3138424.0</v>
      </c>
      <c r="C3235" s="12">
        <v>3138915.0</v>
      </c>
      <c r="D3235" s="2"/>
      <c r="E3235" s="2" t="s">
        <v>38</v>
      </c>
      <c r="F3235" s="2" t="s">
        <v>8654</v>
      </c>
      <c r="G3235" s="2"/>
      <c r="H3235" s="12">
        <v>0.0</v>
      </c>
      <c r="I3235" s="2" t="s">
        <v>40</v>
      </c>
      <c r="J3235" s="2"/>
      <c r="K3235" s="2" t="s">
        <v>8655</v>
      </c>
      <c r="L3235" s="12">
        <v>163.0</v>
      </c>
      <c r="M3235" s="2" t="s">
        <v>8656</v>
      </c>
      <c r="N3235" s="2" t="str">
        <f>IFERROR(__xludf.DUMMYFUNCTION("""COMPUTED_VALUE"""),"")</f>
        <v/>
      </c>
    </row>
    <row r="3236">
      <c r="A3236" s="2" t="s">
        <v>33</v>
      </c>
      <c r="B3236" s="12">
        <v>3139036.0</v>
      </c>
      <c r="C3236" s="12">
        <v>3140037.0</v>
      </c>
      <c r="D3236" s="2"/>
      <c r="E3236" s="2" t="s">
        <v>34</v>
      </c>
      <c r="F3236" s="2" t="s">
        <v>8657</v>
      </c>
      <c r="G3236" s="2" t="s">
        <v>8658</v>
      </c>
      <c r="H3236" s="12">
        <v>0.0</v>
      </c>
      <c r="I3236" s="2" t="s">
        <v>40</v>
      </c>
      <c r="J3236" s="2"/>
      <c r="K3236" s="2" t="s">
        <v>8659</v>
      </c>
      <c r="L3236" s="12">
        <v>333.0</v>
      </c>
      <c r="M3236" s="2" t="s">
        <v>8660</v>
      </c>
      <c r="N3236" s="2" t="str">
        <f>IFERROR(__xludf.DUMMYFUNCTION("""COMPUTED_VALUE"""),"")</f>
        <v/>
      </c>
    </row>
    <row r="3237">
      <c r="A3237" s="2" t="s">
        <v>33</v>
      </c>
      <c r="B3237" s="12">
        <v>3140099.0</v>
      </c>
      <c r="C3237" s="12">
        <v>3140314.0</v>
      </c>
      <c r="D3237" s="2"/>
      <c r="E3237" s="2" t="s">
        <v>38</v>
      </c>
      <c r="F3237" s="2" t="s">
        <v>39</v>
      </c>
      <c r="G3237" s="2"/>
      <c r="H3237" s="12">
        <v>0.0</v>
      </c>
      <c r="I3237" s="2" t="s">
        <v>40</v>
      </c>
      <c r="J3237" s="2"/>
      <c r="K3237" s="2" t="s">
        <v>8661</v>
      </c>
      <c r="L3237" s="12">
        <v>71.0</v>
      </c>
      <c r="M3237" s="2" t="s">
        <v>8662</v>
      </c>
      <c r="N3237" s="2" t="str">
        <f>IFERROR(__xludf.DUMMYFUNCTION("""COMPUTED_VALUE"""),"")</f>
        <v/>
      </c>
    </row>
    <row r="3238">
      <c r="A3238" s="2" t="s">
        <v>33</v>
      </c>
      <c r="B3238" s="12">
        <v>3140510.0</v>
      </c>
      <c r="C3238" s="12">
        <v>3140746.0</v>
      </c>
      <c r="D3238" s="2"/>
      <c r="E3238" s="2" t="s">
        <v>38</v>
      </c>
      <c r="F3238" s="2" t="s">
        <v>8663</v>
      </c>
      <c r="G3238" s="2"/>
      <c r="H3238" s="12">
        <v>0.0</v>
      </c>
      <c r="I3238" s="2" t="s">
        <v>40</v>
      </c>
      <c r="J3238" s="2"/>
      <c r="K3238" s="2" t="s">
        <v>8664</v>
      </c>
      <c r="L3238" s="12">
        <v>78.0</v>
      </c>
      <c r="M3238" s="2" t="s">
        <v>8665</v>
      </c>
      <c r="N3238" s="2" t="str">
        <f>IFERROR(__xludf.DUMMYFUNCTION("""COMPUTED_VALUE"""),"")</f>
        <v/>
      </c>
    </row>
    <row r="3239">
      <c r="A3239" s="2" t="s">
        <v>33</v>
      </c>
      <c r="B3239" s="12">
        <v>3140942.0</v>
      </c>
      <c r="C3239" s="12">
        <v>3141250.0</v>
      </c>
      <c r="D3239" s="2"/>
      <c r="E3239" s="2" t="s">
        <v>34</v>
      </c>
      <c r="F3239" s="2" t="s">
        <v>8666</v>
      </c>
      <c r="G3239" s="2"/>
      <c r="H3239" s="12">
        <v>0.0</v>
      </c>
      <c r="I3239" s="2" t="s">
        <v>40</v>
      </c>
      <c r="J3239" s="2"/>
      <c r="K3239" s="2" t="s">
        <v>8667</v>
      </c>
      <c r="L3239" s="12">
        <v>102.0</v>
      </c>
      <c r="M3239" s="2" t="s">
        <v>8668</v>
      </c>
      <c r="N3239" s="2" t="str">
        <f>IFERROR(__xludf.DUMMYFUNCTION("""COMPUTED_VALUE"""),"")</f>
        <v/>
      </c>
    </row>
    <row r="3240">
      <c r="A3240" s="2" t="s">
        <v>33</v>
      </c>
      <c r="B3240" s="12">
        <v>3141302.0</v>
      </c>
      <c r="C3240" s="12">
        <v>3142096.0</v>
      </c>
      <c r="D3240" s="2"/>
      <c r="E3240" s="2" t="s">
        <v>34</v>
      </c>
      <c r="F3240" s="2" t="s">
        <v>6098</v>
      </c>
      <c r="G3240" s="2"/>
      <c r="H3240" s="12">
        <v>0.0</v>
      </c>
      <c r="I3240" s="2" t="s">
        <v>40</v>
      </c>
      <c r="J3240" s="2"/>
      <c r="K3240" s="2" t="s">
        <v>8669</v>
      </c>
      <c r="L3240" s="12">
        <v>264.0</v>
      </c>
      <c r="M3240" s="2" t="s">
        <v>8670</v>
      </c>
      <c r="N3240" s="2" t="str">
        <f>IFERROR(__xludf.DUMMYFUNCTION("""COMPUTED_VALUE"""),"")</f>
        <v/>
      </c>
    </row>
    <row r="3241">
      <c r="A3241" s="2" t="s">
        <v>33</v>
      </c>
      <c r="B3241" s="12">
        <v>3142220.0</v>
      </c>
      <c r="C3241" s="12">
        <v>3142888.0</v>
      </c>
      <c r="D3241" s="2"/>
      <c r="E3241" s="2" t="s">
        <v>34</v>
      </c>
      <c r="F3241" s="2" t="s">
        <v>39</v>
      </c>
      <c r="G3241" s="2"/>
      <c r="H3241" s="12">
        <v>0.0</v>
      </c>
      <c r="I3241" s="2" t="s">
        <v>40</v>
      </c>
      <c r="J3241" s="2"/>
      <c r="K3241" s="2" t="s">
        <v>8671</v>
      </c>
      <c r="L3241" s="12">
        <v>222.0</v>
      </c>
      <c r="M3241" s="2" t="s">
        <v>8672</v>
      </c>
      <c r="N3241" s="2" t="str">
        <f>IFERROR(__xludf.DUMMYFUNCTION("""COMPUTED_VALUE"""),"")</f>
        <v/>
      </c>
    </row>
    <row r="3242">
      <c r="A3242" s="2" t="s">
        <v>33</v>
      </c>
      <c r="B3242" s="12">
        <v>3142898.0</v>
      </c>
      <c r="C3242" s="12">
        <v>3143701.0</v>
      </c>
      <c r="D3242" s="2"/>
      <c r="E3242" s="2" t="s">
        <v>34</v>
      </c>
      <c r="F3242" s="2" t="s">
        <v>5702</v>
      </c>
      <c r="G3242" s="2"/>
      <c r="H3242" s="12">
        <v>0.0</v>
      </c>
      <c r="I3242" s="2" t="s">
        <v>40</v>
      </c>
      <c r="J3242" s="2"/>
      <c r="K3242" s="2" t="s">
        <v>8673</v>
      </c>
      <c r="L3242" s="12">
        <v>267.0</v>
      </c>
      <c r="M3242" s="2" t="s">
        <v>8674</v>
      </c>
      <c r="N3242" s="2" t="str">
        <f>IFERROR(__xludf.DUMMYFUNCTION("""COMPUTED_VALUE"""),"")</f>
        <v/>
      </c>
    </row>
    <row r="3243">
      <c r="A3243" s="2" t="s">
        <v>33</v>
      </c>
      <c r="B3243" s="12">
        <v>3143704.0</v>
      </c>
      <c r="C3243" s="12">
        <v>3144342.0</v>
      </c>
      <c r="D3243" s="2"/>
      <c r="E3243" s="2" t="s">
        <v>38</v>
      </c>
      <c r="F3243" s="2" t="s">
        <v>8675</v>
      </c>
      <c r="G3243" s="2"/>
      <c r="H3243" s="12">
        <v>0.0</v>
      </c>
      <c r="I3243" s="2" t="s">
        <v>40</v>
      </c>
      <c r="J3243" s="2"/>
      <c r="K3243" s="2" t="s">
        <v>8676</v>
      </c>
      <c r="L3243" s="12">
        <v>212.0</v>
      </c>
      <c r="M3243" s="2" t="s">
        <v>8677</v>
      </c>
      <c r="N3243" s="2" t="str">
        <f>IFERROR(__xludf.DUMMYFUNCTION("""COMPUTED_VALUE"""),"")</f>
        <v/>
      </c>
    </row>
    <row r="3244">
      <c r="A3244" s="2" t="s">
        <v>33</v>
      </c>
      <c r="B3244" s="12">
        <v>3144329.0</v>
      </c>
      <c r="C3244" s="12">
        <v>3144799.0</v>
      </c>
      <c r="D3244" s="2"/>
      <c r="E3244" s="2" t="s">
        <v>38</v>
      </c>
      <c r="F3244" s="2" t="s">
        <v>4722</v>
      </c>
      <c r="G3244" s="2"/>
      <c r="H3244" s="12">
        <v>0.0</v>
      </c>
      <c r="I3244" s="2" t="s">
        <v>40</v>
      </c>
      <c r="J3244" s="2"/>
      <c r="K3244" s="2" t="s">
        <v>8678</v>
      </c>
      <c r="L3244" s="12">
        <v>156.0</v>
      </c>
      <c r="M3244" s="2" t="s">
        <v>8679</v>
      </c>
      <c r="N3244" s="2" t="str">
        <f>IFERROR(__xludf.DUMMYFUNCTION("""COMPUTED_VALUE"""),"")</f>
        <v/>
      </c>
    </row>
    <row r="3245">
      <c r="A3245" s="2" t="s">
        <v>33</v>
      </c>
      <c r="B3245" s="12">
        <v>3144886.0</v>
      </c>
      <c r="C3245" s="12">
        <v>3146544.0</v>
      </c>
      <c r="D3245" s="2"/>
      <c r="E3245" s="2" t="s">
        <v>34</v>
      </c>
      <c r="F3245" s="2" t="s">
        <v>8680</v>
      </c>
      <c r="G3245" s="2"/>
      <c r="H3245" s="12">
        <v>0.0</v>
      </c>
      <c r="I3245" s="2" t="s">
        <v>40</v>
      </c>
      <c r="J3245" s="2"/>
      <c r="K3245" s="2" t="s">
        <v>8681</v>
      </c>
      <c r="L3245" s="12">
        <v>552.0</v>
      </c>
      <c r="M3245" s="2" t="s">
        <v>8682</v>
      </c>
      <c r="N3245" s="2" t="str">
        <f>IFERROR(__xludf.DUMMYFUNCTION("""COMPUTED_VALUE"""),"")</f>
        <v/>
      </c>
    </row>
    <row r="3246">
      <c r="A3246" s="2" t="s">
        <v>33</v>
      </c>
      <c r="B3246" s="12">
        <v>3146844.0</v>
      </c>
      <c r="C3246" s="12">
        <v>3147641.0</v>
      </c>
      <c r="D3246" s="2"/>
      <c r="E3246" s="2" t="s">
        <v>34</v>
      </c>
      <c r="F3246" s="2" t="s">
        <v>1635</v>
      </c>
      <c r="G3246" s="2"/>
      <c r="H3246" s="12">
        <v>0.0</v>
      </c>
      <c r="I3246" s="2" t="s">
        <v>40</v>
      </c>
      <c r="J3246" s="2"/>
      <c r="K3246" s="2" t="s">
        <v>8683</v>
      </c>
      <c r="L3246" s="12">
        <v>265.0</v>
      </c>
      <c r="M3246" s="2" t="s">
        <v>8684</v>
      </c>
      <c r="N3246" s="2" t="str">
        <f>IFERROR(__xludf.DUMMYFUNCTION("""COMPUTED_VALUE"""),"")</f>
        <v/>
      </c>
    </row>
    <row r="3247">
      <c r="A3247" s="2" t="s">
        <v>33</v>
      </c>
      <c r="B3247" s="12">
        <v>3147711.0</v>
      </c>
      <c r="C3247" s="12">
        <v>3147992.0</v>
      </c>
      <c r="D3247" s="2"/>
      <c r="E3247" s="2" t="s">
        <v>34</v>
      </c>
      <c r="F3247" s="2" t="s">
        <v>39</v>
      </c>
      <c r="G3247" s="2"/>
      <c r="H3247" s="12">
        <v>0.0</v>
      </c>
      <c r="I3247" s="2" t="s">
        <v>40</v>
      </c>
      <c r="J3247" s="2"/>
      <c r="K3247" s="2" t="s">
        <v>8685</v>
      </c>
      <c r="L3247" s="12">
        <v>93.0</v>
      </c>
      <c r="M3247" s="2" t="s">
        <v>8686</v>
      </c>
      <c r="N3247" s="2" t="str">
        <f>IFERROR(__xludf.DUMMYFUNCTION("""COMPUTED_VALUE"""),"")</f>
        <v/>
      </c>
    </row>
    <row r="3248">
      <c r="A3248" s="2" t="s">
        <v>33</v>
      </c>
      <c r="B3248" s="12">
        <v>3148152.0</v>
      </c>
      <c r="C3248" s="12">
        <v>3148493.0</v>
      </c>
      <c r="D3248" s="2"/>
      <c r="E3248" s="2" t="s">
        <v>34</v>
      </c>
      <c r="F3248" s="2" t="s">
        <v>8687</v>
      </c>
      <c r="G3248" s="2" t="s">
        <v>8688</v>
      </c>
      <c r="H3248" s="12">
        <v>0.0</v>
      </c>
      <c r="I3248" s="2" t="s">
        <v>40</v>
      </c>
      <c r="J3248" s="2"/>
      <c r="K3248" s="2" t="s">
        <v>8689</v>
      </c>
      <c r="L3248" s="12">
        <v>113.0</v>
      </c>
      <c r="M3248" s="2" t="s">
        <v>8690</v>
      </c>
      <c r="N3248" s="2" t="str">
        <f>IFERROR(__xludf.DUMMYFUNCTION("""COMPUTED_VALUE"""),"")</f>
        <v/>
      </c>
    </row>
    <row r="3249">
      <c r="A3249" s="2" t="s">
        <v>33</v>
      </c>
      <c r="B3249" s="12">
        <v>3148693.0</v>
      </c>
      <c r="C3249" s="12">
        <v>3149490.0</v>
      </c>
      <c r="D3249" s="2"/>
      <c r="E3249" s="2" t="s">
        <v>38</v>
      </c>
      <c r="F3249" s="2" t="s">
        <v>265</v>
      </c>
      <c r="G3249" s="2"/>
      <c r="H3249" s="12">
        <v>0.0</v>
      </c>
      <c r="I3249" s="2" t="s">
        <v>40</v>
      </c>
      <c r="J3249" s="2"/>
      <c r="K3249" s="2" t="s">
        <v>8691</v>
      </c>
      <c r="L3249" s="12">
        <v>265.0</v>
      </c>
      <c r="M3249" s="2" t="s">
        <v>8692</v>
      </c>
      <c r="N3249" s="2" t="str">
        <f>IFERROR(__xludf.DUMMYFUNCTION("""COMPUTED_VALUE"""),"")</f>
        <v/>
      </c>
    </row>
    <row r="3250">
      <c r="A3250" s="2" t="s">
        <v>33</v>
      </c>
      <c r="B3250" s="12">
        <v>3149474.0</v>
      </c>
      <c r="C3250" s="12">
        <v>3150133.0</v>
      </c>
      <c r="D3250" s="2"/>
      <c r="E3250" s="2" t="s">
        <v>38</v>
      </c>
      <c r="F3250" s="2" t="s">
        <v>2429</v>
      </c>
      <c r="G3250" s="2"/>
      <c r="H3250" s="12">
        <v>0.0</v>
      </c>
      <c r="I3250" s="2" t="s">
        <v>40</v>
      </c>
      <c r="J3250" s="2"/>
      <c r="K3250" s="2" t="s">
        <v>8693</v>
      </c>
      <c r="L3250" s="12">
        <v>219.0</v>
      </c>
      <c r="M3250" s="2" t="s">
        <v>8694</v>
      </c>
      <c r="N3250" s="2" t="str">
        <f>IFERROR(__xludf.DUMMYFUNCTION("""COMPUTED_VALUE"""),"")</f>
        <v/>
      </c>
    </row>
    <row r="3251">
      <c r="A3251" s="2" t="s">
        <v>33</v>
      </c>
      <c r="B3251" s="12">
        <v>3150188.0</v>
      </c>
      <c r="C3251" s="12">
        <v>3150361.0</v>
      </c>
      <c r="D3251" s="2"/>
      <c r="E3251" s="2" t="s">
        <v>38</v>
      </c>
      <c r="F3251" s="2" t="s">
        <v>731</v>
      </c>
      <c r="G3251" s="2"/>
      <c r="H3251" s="12">
        <v>0.0</v>
      </c>
      <c r="I3251" s="2" t="s">
        <v>40</v>
      </c>
      <c r="J3251" s="2"/>
      <c r="K3251" s="2" t="s">
        <v>8695</v>
      </c>
      <c r="L3251" s="12">
        <v>57.0</v>
      </c>
      <c r="M3251" s="2" t="s">
        <v>8696</v>
      </c>
      <c r="N3251" s="2" t="str">
        <f>IFERROR(__xludf.DUMMYFUNCTION("""COMPUTED_VALUE"""),"")</f>
        <v/>
      </c>
    </row>
    <row r="3252">
      <c r="A3252" s="2" t="s">
        <v>33</v>
      </c>
      <c r="B3252" s="12">
        <v>3150595.0</v>
      </c>
      <c r="C3252" s="12">
        <v>3151665.0</v>
      </c>
      <c r="D3252" s="2"/>
      <c r="E3252" s="2" t="s">
        <v>38</v>
      </c>
      <c r="F3252" s="2" t="s">
        <v>654</v>
      </c>
      <c r="G3252" s="2"/>
      <c r="H3252" s="12">
        <v>0.0</v>
      </c>
      <c r="I3252" s="2" t="s">
        <v>40</v>
      </c>
      <c r="J3252" s="2"/>
      <c r="K3252" s="2" t="s">
        <v>8697</v>
      </c>
      <c r="L3252" s="12">
        <v>356.0</v>
      </c>
      <c r="M3252" s="2" t="s">
        <v>8698</v>
      </c>
      <c r="N3252" s="2" t="str">
        <f>IFERROR(__xludf.DUMMYFUNCTION("""COMPUTED_VALUE"""),"")</f>
        <v/>
      </c>
    </row>
    <row r="3253">
      <c r="A3253" s="2" t="s">
        <v>33</v>
      </c>
      <c r="B3253" s="12">
        <v>3152017.0</v>
      </c>
      <c r="C3253" s="12">
        <v>3152256.0</v>
      </c>
      <c r="D3253" s="2"/>
      <c r="E3253" s="2" t="s">
        <v>34</v>
      </c>
      <c r="F3253" s="2" t="s">
        <v>8699</v>
      </c>
      <c r="G3253" s="2"/>
      <c r="H3253" s="12">
        <v>0.0</v>
      </c>
      <c r="I3253" s="2" t="s">
        <v>40</v>
      </c>
      <c r="J3253" s="2"/>
      <c r="K3253" s="2" t="s">
        <v>8700</v>
      </c>
      <c r="L3253" s="12">
        <v>79.0</v>
      </c>
      <c r="M3253" s="2" t="s">
        <v>8701</v>
      </c>
      <c r="N3253" s="2" t="str">
        <f>IFERROR(__xludf.DUMMYFUNCTION("""COMPUTED_VALUE"""),"")</f>
        <v/>
      </c>
    </row>
    <row r="3254">
      <c r="A3254" s="2" t="s">
        <v>33</v>
      </c>
      <c r="B3254" s="12">
        <v>3152525.0</v>
      </c>
      <c r="C3254" s="12">
        <v>3153391.0</v>
      </c>
      <c r="D3254" s="2"/>
      <c r="E3254" s="2" t="s">
        <v>34</v>
      </c>
      <c r="F3254" s="2" t="s">
        <v>8702</v>
      </c>
      <c r="G3254" s="2" t="s">
        <v>8703</v>
      </c>
      <c r="H3254" s="12">
        <v>0.0</v>
      </c>
      <c r="I3254" s="2" t="s">
        <v>40</v>
      </c>
      <c r="J3254" s="2"/>
      <c r="K3254" s="2" t="s">
        <v>8704</v>
      </c>
      <c r="L3254" s="12">
        <v>288.0</v>
      </c>
      <c r="M3254" s="2" t="s">
        <v>8705</v>
      </c>
      <c r="N3254" s="2" t="str">
        <f>IFERROR(__xludf.DUMMYFUNCTION("""COMPUTED_VALUE"""),"")</f>
        <v/>
      </c>
    </row>
    <row r="3255">
      <c r="A3255" s="2" t="s">
        <v>33</v>
      </c>
      <c r="B3255" s="12">
        <v>3153433.0</v>
      </c>
      <c r="C3255" s="12">
        <v>3153786.0</v>
      </c>
      <c r="D3255" s="2"/>
      <c r="E3255" s="2" t="s">
        <v>34</v>
      </c>
      <c r="F3255" s="2" t="s">
        <v>8706</v>
      </c>
      <c r="G3255" s="2"/>
      <c r="H3255" s="12">
        <v>0.0</v>
      </c>
      <c r="I3255" s="2" t="s">
        <v>40</v>
      </c>
      <c r="J3255" s="2"/>
      <c r="K3255" s="2" t="s">
        <v>8707</v>
      </c>
      <c r="L3255" s="12">
        <v>117.0</v>
      </c>
      <c r="M3255" s="2" t="s">
        <v>8708</v>
      </c>
      <c r="N3255" s="2" t="str">
        <f>IFERROR(__xludf.DUMMYFUNCTION("""COMPUTED_VALUE"""),"")</f>
        <v/>
      </c>
    </row>
    <row r="3256">
      <c r="A3256" s="2" t="s">
        <v>33</v>
      </c>
      <c r="B3256" s="12">
        <v>3154276.0</v>
      </c>
      <c r="C3256" s="12">
        <v>3155037.0</v>
      </c>
      <c r="D3256" s="2"/>
      <c r="E3256" s="2" t="s">
        <v>34</v>
      </c>
      <c r="F3256" s="2" t="s">
        <v>39</v>
      </c>
      <c r="G3256" s="2"/>
      <c r="H3256" s="12">
        <v>0.0</v>
      </c>
      <c r="I3256" s="2" t="s">
        <v>40</v>
      </c>
      <c r="J3256" s="2"/>
      <c r="K3256" s="2" t="s">
        <v>8709</v>
      </c>
      <c r="L3256" s="12">
        <v>253.0</v>
      </c>
      <c r="M3256" s="2" t="s">
        <v>8710</v>
      </c>
      <c r="N3256" s="2" t="str">
        <f>IFERROR(__xludf.DUMMYFUNCTION("""COMPUTED_VALUE"""),"")</f>
        <v/>
      </c>
    </row>
    <row r="3257">
      <c r="A3257" s="2" t="s">
        <v>33</v>
      </c>
      <c r="B3257" s="12">
        <v>3155092.0</v>
      </c>
      <c r="C3257" s="12">
        <v>3155312.0</v>
      </c>
      <c r="D3257" s="2"/>
      <c r="E3257" s="2" t="s">
        <v>34</v>
      </c>
      <c r="F3257" s="2" t="s">
        <v>35</v>
      </c>
      <c r="G3257" s="2"/>
      <c r="H3257" s="12">
        <v>0.0</v>
      </c>
      <c r="I3257" s="2" t="s">
        <v>36</v>
      </c>
      <c r="J3257" s="2"/>
      <c r="K3257" s="2"/>
      <c r="L3257" s="2"/>
      <c r="M3257" s="2" t="s">
        <v>8711</v>
      </c>
      <c r="N3257" s="2" t="str">
        <f>IFERROR(__xludf.DUMMYFUNCTION("""COMPUTED_VALUE"""),"")</f>
        <v/>
      </c>
    </row>
    <row r="3258">
      <c r="A3258" s="2" t="s">
        <v>33</v>
      </c>
      <c r="B3258" s="12">
        <v>3155426.0</v>
      </c>
      <c r="C3258" s="12">
        <v>3155600.0</v>
      </c>
      <c r="D3258" s="2"/>
      <c r="E3258" s="2" t="s">
        <v>34</v>
      </c>
      <c r="F3258" s="2" t="s">
        <v>35</v>
      </c>
      <c r="G3258" s="2"/>
      <c r="H3258" s="12">
        <v>0.0</v>
      </c>
      <c r="I3258" s="2" t="s">
        <v>36</v>
      </c>
      <c r="J3258" s="2"/>
      <c r="K3258" s="2"/>
      <c r="L3258" s="2"/>
      <c r="M3258" s="2" t="s">
        <v>8712</v>
      </c>
      <c r="N3258" s="2" t="str">
        <f>IFERROR(__xludf.DUMMYFUNCTION("""COMPUTED_VALUE"""),"")</f>
        <v/>
      </c>
    </row>
    <row r="3259">
      <c r="A3259" s="2" t="s">
        <v>33</v>
      </c>
      <c r="B3259" s="12">
        <v>3155707.0</v>
      </c>
      <c r="C3259" s="12">
        <v>3156060.0</v>
      </c>
      <c r="D3259" s="2"/>
      <c r="E3259" s="2" t="s">
        <v>34</v>
      </c>
      <c r="F3259" s="2" t="s">
        <v>519</v>
      </c>
      <c r="G3259" s="2"/>
      <c r="H3259" s="12">
        <v>0.0</v>
      </c>
      <c r="I3259" s="2" t="s">
        <v>40</v>
      </c>
      <c r="J3259" s="2"/>
      <c r="K3259" s="2" t="s">
        <v>8713</v>
      </c>
      <c r="L3259" s="12">
        <v>117.0</v>
      </c>
      <c r="M3259" s="2" t="s">
        <v>8714</v>
      </c>
      <c r="N3259" s="2" t="str">
        <f>IFERROR(__xludf.DUMMYFUNCTION("""COMPUTED_VALUE"""),"")</f>
        <v/>
      </c>
    </row>
    <row r="3260">
      <c r="A3260" s="2" t="s">
        <v>33</v>
      </c>
      <c r="B3260" s="12">
        <v>3156091.0</v>
      </c>
      <c r="C3260" s="12">
        <v>3156552.0</v>
      </c>
      <c r="D3260" s="2"/>
      <c r="E3260" s="2" t="s">
        <v>38</v>
      </c>
      <c r="F3260" s="2" t="s">
        <v>8715</v>
      </c>
      <c r="G3260" s="2"/>
      <c r="H3260" s="12">
        <v>0.0</v>
      </c>
      <c r="I3260" s="2" t="s">
        <v>40</v>
      </c>
      <c r="J3260" s="2"/>
      <c r="K3260" s="2" t="s">
        <v>8716</v>
      </c>
      <c r="L3260" s="12">
        <v>153.0</v>
      </c>
      <c r="M3260" s="2" t="s">
        <v>8717</v>
      </c>
      <c r="N3260" s="2" t="str">
        <f>IFERROR(__xludf.DUMMYFUNCTION("""COMPUTED_VALUE"""),"")</f>
        <v/>
      </c>
    </row>
    <row r="3261">
      <c r="A3261" s="2" t="s">
        <v>33</v>
      </c>
      <c r="B3261" s="12">
        <v>3156633.0</v>
      </c>
      <c r="C3261" s="12">
        <v>3157520.0</v>
      </c>
      <c r="D3261" s="2"/>
      <c r="E3261" s="2" t="s">
        <v>34</v>
      </c>
      <c r="F3261" s="2" t="s">
        <v>216</v>
      </c>
      <c r="G3261" s="2"/>
      <c r="H3261" s="12">
        <v>0.0</v>
      </c>
      <c r="I3261" s="2" t="s">
        <v>40</v>
      </c>
      <c r="J3261" s="2"/>
      <c r="K3261" s="2" t="s">
        <v>8718</v>
      </c>
      <c r="L3261" s="12">
        <v>295.0</v>
      </c>
      <c r="M3261" s="2" t="s">
        <v>8719</v>
      </c>
      <c r="N3261" s="2" t="str">
        <f>IFERROR(__xludf.DUMMYFUNCTION("""COMPUTED_VALUE"""),"")</f>
        <v/>
      </c>
    </row>
    <row r="3262">
      <c r="A3262" s="2" t="s">
        <v>33</v>
      </c>
      <c r="B3262" s="12">
        <v>3157531.0</v>
      </c>
      <c r="C3262" s="12">
        <v>3158778.0</v>
      </c>
      <c r="D3262" s="2"/>
      <c r="E3262" s="2" t="s">
        <v>38</v>
      </c>
      <c r="F3262" s="2" t="s">
        <v>88</v>
      </c>
      <c r="G3262" s="2"/>
      <c r="H3262" s="12">
        <v>0.0</v>
      </c>
      <c r="I3262" s="2" t="s">
        <v>40</v>
      </c>
      <c r="J3262" s="2"/>
      <c r="K3262" s="2" t="s">
        <v>8720</v>
      </c>
      <c r="L3262" s="12">
        <v>415.0</v>
      </c>
      <c r="M3262" s="2" t="s">
        <v>8721</v>
      </c>
      <c r="N3262" s="2" t="str">
        <f>IFERROR(__xludf.DUMMYFUNCTION("""COMPUTED_VALUE"""),"")</f>
        <v/>
      </c>
    </row>
    <row r="3263">
      <c r="A3263" s="2" t="s">
        <v>33</v>
      </c>
      <c r="B3263" s="12">
        <v>3158996.0</v>
      </c>
      <c r="C3263" s="12">
        <v>3159475.0</v>
      </c>
      <c r="D3263" s="2"/>
      <c r="E3263" s="2" t="s">
        <v>38</v>
      </c>
      <c r="F3263" s="2" t="s">
        <v>8722</v>
      </c>
      <c r="G3263" s="2"/>
      <c r="H3263" s="12">
        <v>0.0</v>
      </c>
      <c r="I3263" s="2" t="s">
        <v>40</v>
      </c>
      <c r="J3263" s="2"/>
      <c r="K3263" s="2" t="s">
        <v>8723</v>
      </c>
      <c r="L3263" s="12">
        <v>159.0</v>
      </c>
      <c r="M3263" s="2" t="s">
        <v>8724</v>
      </c>
      <c r="N3263" s="2" t="str">
        <f>IFERROR(__xludf.DUMMYFUNCTION("""COMPUTED_VALUE"""),"")</f>
        <v/>
      </c>
    </row>
    <row r="3264">
      <c r="A3264" s="2" t="s">
        <v>33</v>
      </c>
      <c r="B3264" s="12">
        <v>3159913.0</v>
      </c>
      <c r="C3264" s="12">
        <v>3170034.0</v>
      </c>
      <c r="D3264" s="2"/>
      <c r="E3264" s="2" t="s">
        <v>34</v>
      </c>
      <c r="F3264" s="2" t="s">
        <v>8725</v>
      </c>
      <c r="G3264" s="2"/>
      <c r="H3264" s="12">
        <v>0.0</v>
      </c>
      <c r="I3264" s="2" t="s">
        <v>40</v>
      </c>
      <c r="J3264" s="2"/>
      <c r="K3264" s="2" t="s">
        <v>8726</v>
      </c>
      <c r="L3264" s="12">
        <v>3373.0</v>
      </c>
      <c r="M3264" s="2" t="s">
        <v>8727</v>
      </c>
      <c r="N3264" s="2" t="str">
        <f>IFERROR(__xludf.DUMMYFUNCTION("""COMPUTED_VALUE"""),"")</f>
        <v/>
      </c>
    </row>
    <row r="3265">
      <c r="A3265" s="2" t="s">
        <v>33</v>
      </c>
      <c r="B3265" s="12">
        <v>3170149.0</v>
      </c>
      <c r="C3265" s="12">
        <v>3171138.0</v>
      </c>
      <c r="D3265" s="2"/>
      <c r="E3265" s="2" t="s">
        <v>38</v>
      </c>
      <c r="F3265" s="2" t="s">
        <v>654</v>
      </c>
      <c r="G3265" s="2"/>
      <c r="H3265" s="12">
        <v>0.0</v>
      </c>
      <c r="I3265" s="2" t="s">
        <v>40</v>
      </c>
      <c r="J3265" s="2"/>
      <c r="K3265" s="2" t="s">
        <v>8728</v>
      </c>
      <c r="L3265" s="12">
        <v>329.0</v>
      </c>
      <c r="M3265" s="2" t="s">
        <v>8729</v>
      </c>
      <c r="N3265" s="2" t="str">
        <f>IFERROR(__xludf.DUMMYFUNCTION("""COMPUTED_VALUE"""),"")</f>
        <v/>
      </c>
    </row>
    <row r="3266">
      <c r="A3266" s="2" t="s">
        <v>33</v>
      </c>
      <c r="B3266" s="12">
        <v>3171600.0</v>
      </c>
      <c r="C3266" s="12">
        <v>3172808.0</v>
      </c>
      <c r="D3266" s="2"/>
      <c r="E3266" s="2" t="s">
        <v>34</v>
      </c>
      <c r="F3266" s="2" t="s">
        <v>654</v>
      </c>
      <c r="G3266" s="2"/>
      <c r="H3266" s="12">
        <v>0.0</v>
      </c>
      <c r="I3266" s="2" t="s">
        <v>40</v>
      </c>
      <c r="J3266" s="2"/>
      <c r="K3266" s="2" t="s">
        <v>8730</v>
      </c>
      <c r="L3266" s="12">
        <v>402.0</v>
      </c>
      <c r="M3266" s="2" t="s">
        <v>8731</v>
      </c>
      <c r="N3266" s="2" t="str">
        <f>IFERROR(__xludf.DUMMYFUNCTION("""COMPUTED_VALUE"""),"")</f>
        <v/>
      </c>
    </row>
    <row r="3267">
      <c r="A3267" s="2" t="s">
        <v>33</v>
      </c>
      <c r="B3267" s="12">
        <v>3172929.0</v>
      </c>
      <c r="C3267" s="12">
        <v>3173435.0</v>
      </c>
      <c r="D3267" s="2"/>
      <c r="E3267" s="2" t="s">
        <v>34</v>
      </c>
      <c r="F3267" s="2" t="s">
        <v>1546</v>
      </c>
      <c r="G3267" s="2"/>
      <c r="H3267" s="12">
        <v>0.0</v>
      </c>
      <c r="I3267" s="2" t="s">
        <v>40</v>
      </c>
      <c r="J3267" s="2"/>
      <c r="K3267" s="2" t="s">
        <v>8732</v>
      </c>
      <c r="L3267" s="12">
        <v>168.0</v>
      </c>
      <c r="M3267" s="2" t="s">
        <v>8733</v>
      </c>
      <c r="N3267" s="2" t="str">
        <f>IFERROR(__xludf.DUMMYFUNCTION("""COMPUTED_VALUE"""),"")</f>
        <v/>
      </c>
    </row>
    <row r="3268">
      <c r="A3268" s="2" t="s">
        <v>33</v>
      </c>
      <c r="B3268" s="12">
        <v>3173432.0</v>
      </c>
      <c r="C3268" s="12">
        <v>3173749.0</v>
      </c>
      <c r="D3268" s="2"/>
      <c r="E3268" s="2" t="s">
        <v>34</v>
      </c>
      <c r="F3268" s="2" t="s">
        <v>8734</v>
      </c>
      <c r="G3268" s="2"/>
      <c r="H3268" s="12">
        <v>0.0</v>
      </c>
      <c r="I3268" s="2" t="s">
        <v>40</v>
      </c>
      <c r="J3268" s="2"/>
      <c r="K3268" s="2" t="s">
        <v>8735</v>
      </c>
      <c r="L3268" s="12">
        <v>105.0</v>
      </c>
      <c r="M3268" s="2" t="s">
        <v>8736</v>
      </c>
      <c r="N3268" s="2" t="str">
        <f>IFERROR(__xludf.DUMMYFUNCTION("""COMPUTED_VALUE"""),"")</f>
        <v/>
      </c>
    </row>
    <row r="3269">
      <c r="A3269" s="2" t="s">
        <v>33</v>
      </c>
      <c r="B3269" s="12">
        <v>3173836.0</v>
      </c>
      <c r="C3269" s="12">
        <v>3174462.0</v>
      </c>
      <c r="D3269" s="2"/>
      <c r="E3269" s="2" t="s">
        <v>34</v>
      </c>
      <c r="F3269" s="2" t="s">
        <v>5372</v>
      </c>
      <c r="G3269" s="2"/>
      <c r="H3269" s="12">
        <v>0.0</v>
      </c>
      <c r="I3269" s="2" t="s">
        <v>40</v>
      </c>
      <c r="J3269" s="2"/>
      <c r="K3269" s="2" t="s">
        <v>8737</v>
      </c>
      <c r="L3269" s="12">
        <v>208.0</v>
      </c>
      <c r="M3269" s="2" t="s">
        <v>8738</v>
      </c>
      <c r="N3269" s="2" t="str">
        <f>IFERROR(__xludf.DUMMYFUNCTION("""COMPUTED_VALUE"""),"")</f>
        <v/>
      </c>
    </row>
    <row r="3270">
      <c r="A3270" s="2" t="s">
        <v>33</v>
      </c>
      <c r="B3270" s="12">
        <v>3174608.0</v>
      </c>
      <c r="C3270" s="12">
        <v>3176092.0</v>
      </c>
      <c r="D3270" s="2"/>
      <c r="E3270" s="2" t="s">
        <v>34</v>
      </c>
      <c r="F3270" s="2" t="s">
        <v>8739</v>
      </c>
      <c r="G3270" s="2" t="s">
        <v>8740</v>
      </c>
      <c r="H3270" s="12">
        <v>0.0</v>
      </c>
      <c r="I3270" s="2" t="s">
        <v>40</v>
      </c>
      <c r="J3270" s="2"/>
      <c r="K3270" s="2" t="s">
        <v>8741</v>
      </c>
      <c r="L3270" s="12">
        <v>494.0</v>
      </c>
      <c r="M3270" s="2" t="s">
        <v>8742</v>
      </c>
      <c r="N3270" s="2" t="str">
        <f>IFERROR(__xludf.DUMMYFUNCTION("""COMPUTED_VALUE"""),"")</f>
        <v/>
      </c>
    </row>
    <row r="3271">
      <c r="A3271" s="2" t="s">
        <v>33</v>
      </c>
      <c r="B3271" s="12">
        <v>3176266.0</v>
      </c>
      <c r="C3271" s="12">
        <v>3176871.0</v>
      </c>
      <c r="D3271" s="2"/>
      <c r="E3271" s="2" t="s">
        <v>38</v>
      </c>
      <c r="F3271" s="2" t="s">
        <v>8743</v>
      </c>
      <c r="G3271" s="2" t="s">
        <v>8744</v>
      </c>
      <c r="H3271" s="12">
        <v>0.0</v>
      </c>
      <c r="I3271" s="2" t="s">
        <v>40</v>
      </c>
      <c r="J3271" s="2"/>
      <c r="K3271" s="2" t="s">
        <v>8745</v>
      </c>
      <c r="L3271" s="12">
        <v>201.0</v>
      </c>
      <c r="M3271" s="2" t="s">
        <v>8746</v>
      </c>
      <c r="N3271" s="2" t="str">
        <f>IFERROR(__xludf.DUMMYFUNCTION("""COMPUTED_VALUE"""),"")</f>
        <v/>
      </c>
    </row>
    <row r="3272">
      <c r="A3272" s="2" t="s">
        <v>33</v>
      </c>
      <c r="B3272" s="12">
        <v>3177015.0</v>
      </c>
      <c r="C3272" s="12">
        <v>3178739.0</v>
      </c>
      <c r="D3272" s="2"/>
      <c r="E3272" s="2" t="s">
        <v>34</v>
      </c>
      <c r="F3272" s="2" t="s">
        <v>8747</v>
      </c>
      <c r="G3272" s="2"/>
      <c r="H3272" s="12">
        <v>0.0</v>
      </c>
      <c r="I3272" s="2" t="s">
        <v>40</v>
      </c>
      <c r="J3272" s="2"/>
      <c r="K3272" s="2" t="s">
        <v>8748</v>
      </c>
      <c r="L3272" s="12">
        <v>574.0</v>
      </c>
      <c r="M3272" s="2" t="s">
        <v>8749</v>
      </c>
      <c r="N3272" s="2" t="str">
        <f>IFERROR(__xludf.DUMMYFUNCTION("""COMPUTED_VALUE"""),"")</f>
        <v/>
      </c>
    </row>
    <row r="3273">
      <c r="A3273" s="2" t="s">
        <v>33</v>
      </c>
      <c r="B3273" s="12">
        <v>3178847.0</v>
      </c>
      <c r="C3273" s="12">
        <v>3179734.0</v>
      </c>
      <c r="D3273" s="2"/>
      <c r="E3273" s="2" t="s">
        <v>34</v>
      </c>
      <c r="F3273" s="2" t="s">
        <v>8750</v>
      </c>
      <c r="G3273" s="2" t="s">
        <v>8751</v>
      </c>
      <c r="H3273" s="12">
        <v>0.0</v>
      </c>
      <c r="I3273" s="2" t="s">
        <v>40</v>
      </c>
      <c r="J3273" s="2"/>
      <c r="K3273" s="2" t="s">
        <v>8752</v>
      </c>
      <c r="L3273" s="12">
        <v>295.0</v>
      </c>
      <c r="M3273" s="2" t="s">
        <v>8753</v>
      </c>
      <c r="N3273" s="2" t="str">
        <f>IFERROR(__xludf.DUMMYFUNCTION("""COMPUTED_VALUE"""),"")</f>
        <v/>
      </c>
    </row>
    <row r="3274">
      <c r="A3274" s="2" t="s">
        <v>33</v>
      </c>
      <c r="B3274" s="12">
        <v>3179779.0</v>
      </c>
      <c r="C3274" s="12">
        <v>3180372.0</v>
      </c>
      <c r="D3274" s="2"/>
      <c r="E3274" s="2" t="s">
        <v>38</v>
      </c>
      <c r="F3274" s="2" t="s">
        <v>8754</v>
      </c>
      <c r="G3274" s="2"/>
      <c r="H3274" s="12">
        <v>0.0</v>
      </c>
      <c r="I3274" s="2" t="s">
        <v>40</v>
      </c>
      <c r="J3274" s="2"/>
      <c r="K3274" s="2" t="s">
        <v>8755</v>
      </c>
      <c r="L3274" s="12">
        <v>197.0</v>
      </c>
      <c r="M3274" s="2" t="s">
        <v>8756</v>
      </c>
      <c r="N3274" s="2" t="str">
        <f>IFERROR(__xludf.DUMMYFUNCTION("""COMPUTED_VALUE"""),"")</f>
        <v/>
      </c>
    </row>
    <row r="3275">
      <c r="A3275" s="2" t="s">
        <v>33</v>
      </c>
      <c r="B3275" s="12">
        <v>3180423.0</v>
      </c>
      <c r="C3275" s="12">
        <v>3181166.0</v>
      </c>
      <c r="D3275" s="2"/>
      <c r="E3275" s="2" t="s">
        <v>38</v>
      </c>
      <c r="F3275" s="2" t="s">
        <v>8757</v>
      </c>
      <c r="G3275" s="2"/>
      <c r="H3275" s="12">
        <v>0.0</v>
      </c>
      <c r="I3275" s="2" t="s">
        <v>40</v>
      </c>
      <c r="J3275" s="2"/>
      <c r="K3275" s="2" t="s">
        <v>8758</v>
      </c>
      <c r="L3275" s="12">
        <v>247.0</v>
      </c>
      <c r="M3275" s="2" t="s">
        <v>8759</v>
      </c>
      <c r="N3275" s="2" t="str">
        <f>IFERROR(__xludf.DUMMYFUNCTION("""COMPUTED_VALUE"""),"")</f>
        <v/>
      </c>
    </row>
    <row r="3276">
      <c r="A3276" s="2" t="s">
        <v>33</v>
      </c>
      <c r="B3276" s="12">
        <v>3181262.0</v>
      </c>
      <c r="C3276" s="12">
        <v>3181645.0</v>
      </c>
      <c r="D3276" s="2"/>
      <c r="E3276" s="2" t="s">
        <v>34</v>
      </c>
      <c r="F3276" s="2" t="s">
        <v>8760</v>
      </c>
      <c r="G3276" s="2"/>
      <c r="H3276" s="12">
        <v>0.0</v>
      </c>
      <c r="I3276" s="2" t="s">
        <v>40</v>
      </c>
      <c r="J3276" s="2"/>
      <c r="K3276" s="2" t="s">
        <v>8761</v>
      </c>
      <c r="L3276" s="12">
        <v>127.0</v>
      </c>
      <c r="M3276" s="2" t="s">
        <v>8762</v>
      </c>
      <c r="N3276" s="2" t="str">
        <f>IFERROR(__xludf.DUMMYFUNCTION("""COMPUTED_VALUE"""),"")</f>
        <v/>
      </c>
    </row>
    <row r="3277">
      <c r="A3277" s="2" t="s">
        <v>33</v>
      </c>
      <c r="B3277" s="12">
        <v>3181685.0</v>
      </c>
      <c r="C3277" s="12">
        <v>3183061.0</v>
      </c>
      <c r="D3277" s="2"/>
      <c r="E3277" s="2" t="s">
        <v>38</v>
      </c>
      <c r="F3277" s="2" t="s">
        <v>8763</v>
      </c>
      <c r="G3277" s="2"/>
      <c r="H3277" s="12">
        <v>0.0</v>
      </c>
      <c r="I3277" s="2" t="s">
        <v>40</v>
      </c>
      <c r="J3277" s="2"/>
      <c r="K3277" s="2" t="s">
        <v>8764</v>
      </c>
      <c r="L3277" s="12">
        <v>458.0</v>
      </c>
      <c r="M3277" s="2" t="s">
        <v>8765</v>
      </c>
      <c r="N3277" s="2" t="str">
        <f>IFERROR(__xludf.DUMMYFUNCTION("""COMPUTED_VALUE"""),"")</f>
        <v/>
      </c>
    </row>
    <row r="3278">
      <c r="A3278" s="2" t="s">
        <v>33</v>
      </c>
      <c r="B3278" s="12">
        <v>3183408.0</v>
      </c>
      <c r="C3278" s="12">
        <v>3184121.0</v>
      </c>
      <c r="D3278" s="2"/>
      <c r="E3278" s="2" t="s">
        <v>38</v>
      </c>
      <c r="F3278" s="2" t="s">
        <v>8766</v>
      </c>
      <c r="G3278" s="2"/>
      <c r="H3278" s="12">
        <v>0.0</v>
      </c>
      <c r="I3278" s="2" t="s">
        <v>40</v>
      </c>
      <c r="J3278" s="2"/>
      <c r="K3278" s="2" t="s">
        <v>8767</v>
      </c>
      <c r="L3278" s="12">
        <v>237.0</v>
      </c>
      <c r="M3278" s="2" t="s">
        <v>8768</v>
      </c>
      <c r="N3278" s="2" t="str">
        <f>IFERROR(__xludf.DUMMYFUNCTION("""COMPUTED_VALUE"""),"")</f>
        <v/>
      </c>
    </row>
    <row r="3279">
      <c r="A3279" s="2" t="s">
        <v>33</v>
      </c>
      <c r="B3279" s="12">
        <v>3184239.0</v>
      </c>
      <c r="C3279" s="12">
        <v>3184706.0</v>
      </c>
      <c r="D3279" s="2"/>
      <c r="E3279" s="2" t="s">
        <v>34</v>
      </c>
      <c r="F3279" s="2" t="s">
        <v>39</v>
      </c>
      <c r="G3279" s="2"/>
      <c r="H3279" s="12">
        <v>0.0</v>
      </c>
      <c r="I3279" s="2" t="s">
        <v>40</v>
      </c>
      <c r="J3279" s="2"/>
      <c r="K3279" s="2" t="s">
        <v>8769</v>
      </c>
      <c r="L3279" s="12">
        <v>155.0</v>
      </c>
      <c r="M3279" s="2" t="s">
        <v>8770</v>
      </c>
      <c r="N3279" s="2" t="str">
        <f>IFERROR(__xludf.DUMMYFUNCTION("""COMPUTED_VALUE"""),"")</f>
        <v/>
      </c>
    </row>
    <row r="3280">
      <c r="A3280" s="2" t="s">
        <v>33</v>
      </c>
      <c r="B3280" s="12">
        <v>3184786.0</v>
      </c>
      <c r="C3280" s="12">
        <v>3186111.0</v>
      </c>
      <c r="D3280" s="2"/>
      <c r="E3280" s="2" t="s">
        <v>38</v>
      </c>
      <c r="F3280" s="2" t="s">
        <v>8771</v>
      </c>
      <c r="G3280" s="2"/>
      <c r="H3280" s="12">
        <v>0.0</v>
      </c>
      <c r="I3280" s="2" t="s">
        <v>40</v>
      </c>
      <c r="J3280" s="2"/>
      <c r="K3280" s="2" t="s">
        <v>8772</v>
      </c>
      <c r="L3280" s="12">
        <v>441.0</v>
      </c>
      <c r="M3280" s="2" t="s">
        <v>8773</v>
      </c>
      <c r="N3280" s="2" t="str">
        <f>IFERROR(__xludf.DUMMYFUNCTION("""COMPUTED_VALUE"""),"")</f>
        <v/>
      </c>
    </row>
    <row r="3281">
      <c r="A3281" s="2" t="s">
        <v>33</v>
      </c>
      <c r="B3281" s="12">
        <v>3186401.0</v>
      </c>
      <c r="C3281" s="12">
        <v>3187024.0</v>
      </c>
      <c r="D3281" s="2"/>
      <c r="E3281" s="2" t="s">
        <v>34</v>
      </c>
      <c r="F3281" s="2" t="s">
        <v>8774</v>
      </c>
      <c r="G3281" s="2" t="s">
        <v>8775</v>
      </c>
      <c r="H3281" s="12">
        <v>0.0</v>
      </c>
      <c r="I3281" s="2" t="s">
        <v>40</v>
      </c>
      <c r="J3281" s="2"/>
      <c r="K3281" s="2" t="s">
        <v>8776</v>
      </c>
      <c r="L3281" s="12">
        <v>207.0</v>
      </c>
      <c r="M3281" s="2" t="s">
        <v>8777</v>
      </c>
      <c r="N3281" s="2" t="str">
        <f>IFERROR(__xludf.DUMMYFUNCTION("""COMPUTED_VALUE"""),"")</f>
        <v/>
      </c>
    </row>
    <row r="3282">
      <c r="A3282" s="2" t="s">
        <v>33</v>
      </c>
      <c r="B3282" s="12">
        <v>3187065.0</v>
      </c>
      <c r="C3282" s="12">
        <v>3187448.0</v>
      </c>
      <c r="D3282" s="2"/>
      <c r="E3282" s="2" t="s">
        <v>38</v>
      </c>
      <c r="F3282" s="2" t="s">
        <v>8778</v>
      </c>
      <c r="G3282" s="2"/>
      <c r="H3282" s="12">
        <v>0.0</v>
      </c>
      <c r="I3282" s="2" t="s">
        <v>40</v>
      </c>
      <c r="J3282" s="2"/>
      <c r="K3282" s="2" t="s">
        <v>8779</v>
      </c>
      <c r="L3282" s="12">
        <v>127.0</v>
      </c>
      <c r="M3282" s="2" t="s">
        <v>8780</v>
      </c>
      <c r="N3282" s="2" t="str">
        <f>IFERROR(__xludf.DUMMYFUNCTION("""COMPUTED_VALUE"""),"")</f>
        <v/>
      </c>
    </row>
    <row r="3283">
      <c r="A3283" s="2" t="s">
        <v>33</v>
      </c>
      <c r="B3283" s="12">
        <v>3187613.0</v>
      </c>
      <c r="C3283" s="12">
        <v>3187789.0</v>
      </c>
      <c r="D3283" s="2"/>
      <c r="E3283" s="2" t="s">
        <v>34</v>
      </c>
      <c r="F3283" s="2" t="s">
        <v>39</v>
      </c>
      <c r="G3283" s="2"/>
      <c r="H3283" s="12">
        <v>0.0</v>
      </c>
      <c r="I3283" s="2" t="s">
        <v>40</v>
      </c>
      <c r="J3283" s="2"/>
      <c r="K3283" s="2" t="s">
        <v>8781</v>
      </c>
      <c r="L3283" s="12">
        <v>58.0</v>
      </c>
      <c r="M3283" s="2" t="s">
        <v>8782</v>
      </c>
      <c r="N3283" s="2" t="str">
        <f>IFERROR(__xludf.DUMMYFUNCTION("""COMPUTED_VALUE"""),"")</f>
        <v/>
      </c>
    </row>
    <row r="3284">
      <c r="A3284" s="2" t="s">
        <v>33</v>
      </c>
      <c r="B3284" s="12">
        <v>3187858.0</v>
      </c>
      <c r="C3284" s="12">
        <v>3188397.0</v>
      </c>
      <c r="D3284" s="2"/>
      <c r="E3284" s="2" t="s">
        <v>34</v>
      </c>
      <c r="F3284" s="2" t="s">
        <v>8783</v>
      </c>
      <c r="G3284" s="2" t="s">
        <v>8784</v>
      </c>
      <c r="H3284" s="12">
        <v>0.0</v>
      </c>
      <c r="I3284" s="2" t="s">
        <v>40</v>
      </c>
      <c r="J3284" s="2"/>
      <c r="K3284" s="2" t="s">
        <v>8785</v>
      </c>
      <c r="L3284" s="12">
        <v>179.0</v>
      </c>
      <c r="M3284" s="2" t="s">
        <v>8786</v>
      </c>
      <c r="N3284" s="2" t="str">
        <f>IFERROR(__xludf.DUMMYFUNCTION("""COMPUTED_VALUE"""),"")</f>
        <v/>
      </c>
    </row>
    <row r="3285">
      <c r="A3285" s="2" t="s">
        <v>33</v>
      </c>
      <c r="B3285" s="12">
        <v>3188598.0</v>
      </c>
      <c r="C3285" s="12">
        <v>3189749.0</v>
      </c>
      <c r="D3285" s="2"/>
      <c r="E3285" s="2" t="s">
        <v>38</v>
      </c>
      <c r="F3285" s="2" t="s">
        <v>8787</v>
      </c>
      <c r="G3285" s="2"/>
      <c r="H3285" s="12">
        <v>0.0</v>
      </c>
      <c r="I3285" s="2" t="s">
        <v>40</v>
      </c>
      <c r="J3285" s="2"/>
      <c r="K3285" s="2" t="s">
        <v>8788</v>
      </c>
      <c r="L3285" s="12">
        <v>383.0</v>
      </c>
      <c r="M3285" s="2" t="s">
        <v>8789</v>
      </c>
      <c r="N3285" s="2" t="str">
        <f>IFERROR(__xludf.DUMMYFUNCTION("""COMPUTED_VALUE"""),"")</f>
        <v/>
      </c>
    </row>
    <row r="3286">
      <c r="A3286" s="2" t="s">
        <v>33</v>
      </c>
      <c r="B3286" s="12">
        <v>3189867.0</v>
      </c>
      <c r="C3286" s="12">
        <v>3190118.0</v>
      </c>
      <c r="D3286" s="2"/>
      <c r="E3286" s="2" t="s">
        <v>34</v>
      </c>
      <c r="F3286" s="2" t="s">
        <v>8790</v>
      </c>
      <c r="G3286" s="2"/>
      <c r="H3286" s="12">
        <v>0.0</v>
      </c>
      <c r="I3286" s="2" t="s">
        <v>40</v>
      </c>
      <c r="J3286" s="2"/>
      <c r="K3286" s="2" t="s">
        <v>8791</v>
      </c>
      <c r="L3286" s="12">
        <v>83.0</v>
      </c>
      <c r="M3286" s="2" t="s">
        <v>8792</v>
      </c>
      <c r="N3286" s="2" t="str">
        <f>IFERROR(__xludf.DUMMYFUNCTION("""COMPUTED_VALUE"""),"")</f>
        <v/>
      </c>
    </row>
    <row r="3287">
      <c r="A3287" s="2" t="s">
        <v>33</v>
      </c>
      <c r="B3287" s="12">
        <v>3190239.0</v>
      </c>
      <c r="C3287" s="12">
        <v>3191078.0</v>
      </c>
      <c r="D3287" s="2"/>
      <c r="E3287" s="2" t="s">
        <v>38</v>
      </c>
      <c r="F3287" s="2" t="s">
        <v>326</v>
      </c>
      <c r="G3287" s="2"/>
      <c r="H3287" s="12">
        <v>0.0</v>
      </c>
      <c r="I3287" s="2" t="s">
        <v>40</v>
      </c>
      <c r="J3287" s="2"/>
      <c r="K3287" s="2" t="s">
        <v>8793</v>
      </c>
      <c r="L3287" s="12">
        <v>279.0</v>
      </c>
      <c r="M3287" s="2" t="s">
        <v>8794</v>
      </c>
      <c r="N3287" s="2" t="str">
        <f>IFERROR(__xludf.DUMMYFUNCTION("""COMPUTED_VALUE"""),"")</f>
        <v/>
      </c>
    </row>
    <row r="3288">
      <c r="A3288" s="2" t="s">
        <v>33</v>
      </c>
      <c r="B3288" s="12">
        <v>3191188.0</v>
      </c>
      <c r="C3288" s="12">
        <v>3192180.0</v>
      </c>
      <c r="D3288" s="2"/>
      <c r="E3288" s="2" t="s">
        <v>38</v>
      </c>
      <c r="F3288" s="2" t="s">
        <v>8795</v>
      </c>
      <c r="G3288" s="2"/>
      <c r="H3288" s="12">
        <v>0.0</v>
      </c>
      <c r="I3288" s="2" t="s">
        <v>40</v>
      </c>
      <c r="J3288" s="2"/>
      <c r="K3288" s="2" t="s">
        <v>8796</v>
      </c>
      <c r="L3288" s="12">
        <v>330.0</v>
      </c>
      <c r="M3288" s="2" t="s">
        <v>8797</v>
      </c>
      <c r="N3288" s="2" t="str">
        <f>IFERROR(__xludf.DUMMYFUNCTION("""COMPUTED_VALUE"""),"")</f>
        <v/>
      </c>
    </row>
    <row r="3289">
      <c r="A3289" s="2" t="s">
        <v>33</v>
      </c>
      <c r="B3289" s="12">
        <v>3192299.0</v>
      </c>
      <c r="C3289" s="12">
        <v>3192796.0</v>
      </c>
      <c r="D3289" s="2"/>
      <c r="E3289" s="2" t="s">
        <v>34</v>
      </c>
      <c r="F3289" s="2" t="s">
        <v>3529</v>
      </c>
      <c r="G3289" s="2"/>
      <c r="H3289" s="12">
        <v>0.0</v>
      </c>
      <c r="I3289" s="2" t="s">
        <v>40</v>
      </c>
      <c r="J3289" s="2"/>
      <c r="K3289" s="2" t="s">
        <v>8798</v>
      </c>
      <c r="L3289" s="12">
        <v>165.0</v>
      </c>
      <c r="M3289" s="2" t="s">
        <v>8799</v>
      </c>
      <c r="N3289" s="2" t="str">
        <f>IFERROR(__xludf.DUMMYFUNCTION("""COMPUTED_VALUE"""),"")</f>
        <v/>
      </c>
    </row>
    <row r="3290">
      <c r="A3290" s="2" t="s">
        <v>33</v>
      </c>
      <c r="B3290" s="12">
        <v>3192793.0</v>
      </c>
      <c r="C3290" s="12">
        <v>3193983.0</v>
      </c>
      <c r="D3290" s="2"/>
      <c r="E3290" s="2" t="s">
        <v>34</v>
      </c>
      <c r="F3290" s="2" t="s">
        <v>8800</v>
      </c>
      <c r="G3290" s="2"/>
      <c r="H3290" s="12">
        <v>0.0</v>
      </c>
      <c r="I3290" s="2" t="s">
        <v>40</v>
      </c>
      <c r="J3290" s="2"/>
      <c r="K3290" s="2" t="s">
        <v>8801</v>
      </c>
      <c r="L3290" s="12">
        <v>396.0</v>
      </c>
      <c r="M3290" s="2" t="s">
        <v>8802</v>
      </c>
      <c r="N3290" s="2" t="str">
        <f>IFERROR(__xludf.DUMMYFUNCTION("""COMPUTED_VALUE"""),"")</f>
        <v/>
      </c>
    </row>
    <row r="3291">
      <c r="A3291" s="2" t="s">
        <v>33</v>
      </c>
      <c r="B3291" s="12">
        <v>3194237.0</v>
      </c>
      <c r="C3291" s="12">
        <v>3194581.0</v>
      </c>
      <c r="D3291" s="2"/>
      <c r="E3291" s="2" t="s">
        <v>34</v>
      </c>
      <c r="F3291" s="2" t="s">
        <v>8803</v>
      </c>
      <c r="G3291" s="2" t="s">
        <v>8804</v>
      </c>
      <c r="H3291" s="12">
        <v>0.0</v>
      </c>
      <c r="I3291" s="2" t="s">
        <v>40</v>
      </c>
      <c r="J3291" s="2"/>
      <c r="K3291" s="2" t="s">
        <v>8805</v>
      </c>
      <c r="L3291" s="12">
        <v>114.0</v>
      </c>
      <c r="M3291" s="2" t="s">
        <v>8806</v>
      </c>
      <c r="N3291" s="2" t="str">
        <f>IFERROR(__xludf.DUMMYFUNCTION("""COMPUTED_VALUE"""),"")</f>
        <v/>
      </c>
    </row>
    <row r="3292">
      <c r="A3292" s="2" t="s">
        <v>33</v>
      </c>
      <c r="B3292" s="12">
        <v>3194691.0</v>
      </c>
      <c r="C3292" s="12">
        <v>3194924.0</v>
      </c>
      <c r="D3292" s="2"/>
      <c r="E3292" s="2" t="s">
        <v>38</v>
      </c>
      <c r="F3292" s="2" t="s">
        <v>8807</v>
      </c>
      <c r="G3292" s="2"/>
      <c r="H3292" s="12">
        <v>0.0</v>
      </c>
      <c r="I3292" s="2" t="s">
        <v>40</v>
      </c>
      <c r="J3292" s="2"/>
      <c r="K3292" s="2" t="s">
        <v>8808</v>
      </c>
      <c r="L3292" s="12">
        <v>77.0</v>
      </c>
      <c r="M3292" s="2" t="s">
        <v>8809</v>
      </c>
      <c r="N3292" s="2" t="str">
        <f>IFERROR(__xludf.DUMMYFUNCTION("""COMPUTED_VALUE"""),"")</f>
        <v/>
      </c>
    </row>
    <row r="3293">
      <c r="A3293" s="2" t="s">
        <v>33</v>
      </c>
      <c r="B3293" s="12">
        <v>3195199.0</v>
      </c>
      <c r="C3293" s="12">
        <v>3196551.0</v>
      </c>
      <c r="D3293" s="2"/>
      <c r="E3293" s="2" t="s">
        <v>34</v>
      </c>
      <c r="F3293" s="2" t="s">
        <v>8810</v>
      </c>
      <c r="G3293" s="2"/>
      <c r="H3293" s="12">
        <v>0.0</v>
      </c>
      <c r="I3293" s="2" t="s">
        <v>40</v>
      </c>
      <c r="J3293" s="2"/>
      <c r="K3293" s="2" t="s">
        <v>8811</v>
      </c>
      <c r="L3293" s="12">
        <v>450.0</v>
      </c>
      <c r="M3293" s="2" t="s">
        <v>8812</v>
      </c>
      <c r="N3293" s="2" t="str">
        <f>IFERROR(__xludf.DUMMYFUNCTION("""COMPUTED_VALUE"""),"")</f>
        <v/>
      </c>
    </row>
    <row r="3294">
      <c r="A3294" s="2" t="s">
        <v>33</v>
      </c>
      <c r="B3294" s="12">
        <v>3196659.0</v>
      </c>
      <c r="C3294" s="12">
        <v>3197072.0</v>
      </c>
      <c r="D3294" s="2"/>
      <c r="E3294" s="2" t="s">
        <v>34</v>
      </c>
      <c r="F3294" s="2" t="s">
        <v>8813</v>
      </c>
      <c r="G3294" s="2"/>
      <c r="H3294" s="12">
        <v>0.0</v>
      </c>
      <c r="I3294" s="2" t="s">
        <v>40</v>
      </c>
      <c r="J3294" s="2"/>
      <c r="K3294" s="2" t="s">
        <v>8814</v>
      </c>
      <c r="L3294" s="12">
        <v>137.0</v>
      </c>
      <c r="M3294" s="2" t="s">
        <v>8815</v>
      </c>
      <c r="N3294" s="2" t="str">
        <f>IFERROR(__xludf.DUMMYFUNCTION("""COMPUTED_VALUE"""),"")</f>
        <v/>
      </c>
    </row>
    <row r="3295">
      <c r="A3295" s="2" t="s">
        <v>33</v>
      </c>
      <c r="B3295" s="12">
        <v>3197059.0</v>
      </c>
      <c r="C3295" s="12">
        <v>3198054.0</v>
      </c>
      <c r="D3295" s="2"/>
      <c r="E3295" s="2" t="s">
        <v>38</v>
      </c>
      <c r="F3295" s="2" t="s">
        <v>7480</v>
      </c>
      <c r="G3295" s="2"/>
      <c r="H3295" s="12">
        <v>0.0</v>
      </c>
      <c r="I3295" s="2" t="s">
        <v>40</v>
      </c>
      <c r="J3295" s="2"/>
      <c r="K3295" s="2" t="s">
        <v>8816</v>
      </c>
      <c r="L3295" s="12">
        <v>331.0</v>
      </c>
      <c r="M3295" s="2" t="s">
        <v>8817</v>
      </c>
      <c r="N3295" s="2" t="str">
        <f>IFERROR(__xludf.DUMMYFUNCTION("""COMPUTED_VALUE"""),"")</f>
        <v/>
      </c>
    </row>
    <row r="3296">
      <c r="A3296" s="2" t="s">
        <v>33</v>
      </c>
      <c r="B3296" s="12">
        <v>3198147.0</v>
      </c>
      <c r="C3296" s="12">
        <v>3198827.0</v>
      </c>
      <c r="D3296" s="2"/>
      <c r="E3296" s="2" t="s">
        <v>38</v>
      </c>
      <c r="F3296" s="2" t="s">
        <v>1774</v>
      </c>
      <c r="G3296" s="2"/>
      <c r="H3296" s="12">
        <v>0.0</v>
      </c>
      <c r="I3296" s="2" t="s">
        <v>40</v>
      </c>
      <c r="J3296" s="2"/>
      <c r="K3296" s="2" t="s">
        <v>8818</v>
      </c>
      <c r="L3296" s="12">
        <v>226.0</v>
      </c>
      <c r="M3296" s="2" t="s">
        <v>8819</v>
      </c>
      <c r="N3296" s="2" t="str">
        <f>IFERROR(__xludf.DUMMYFUNCTION("""COMPUTED_VALUE"""),"")</f>
        <v/>
      </c>
    </row>
    <row r="3297">
      <c r="A3297" s="2" t="s">
        <v>33</v>
      </c>
      <c r="B3297" s="12">
        <v>3199232.0</v>
      </c>
      <c r="C3297" s="12">
        <v>3200783.0</v>
      </c>
      <c r="D3297" s="2"/>
      <c r="E3297" s="2" t="s">
        <v>34</v>
      </c>
      <c r="F3297" s="2" t="s">
        <v>5264</v>
      </c>
      <c r="G3297" s="2"/>
      <c r="H3297" s="12">
        <v>0.0</v>
      </c>
      <c r="I3297" s="2" t="s">
        <v>5260</v>
      </c>
      <c r="J3297" s="2"/>
      <c r="K3297" s="2"/>
      <c r="L3297" s="2"/>
      <c r="M3297" s="2" t="s">
        <v>8820</v>
      </c>
      <c r="N3297" s="2" t="str">
        <f>IFERROR(__xludf.DUMMYFUNCTION("""COMPUTED_VALUE"""),"")</f>
        <v/>
      </c>
    </row>
    <row r="3298">
      <c r="A3298" s="2" t="s">
        <v>33</v>
      </c>
      <c r="B3298" s="12">
        <v>3200928.0</v>
      </c>
      <c r="C3298" s="12">
        <v>3203849.0</v>
      </c>
      <c r="D3298" s="2"/>
      <c r="E3298" s="2" t="s">
        <v>34</v>
      </c>
      <c r="F3298" s="2" t="s">
        <v>5262</v>
      </c>
      <c r="G3298" s="2"/>
      <c r="H3298" s="12">
        <v>0.0</v>
      </c>
      <c r="I3298" s="2" t="s">
        <v>5260</v>
      </c>
      <c r="J3298" s="2"/>
      <c r="K3298" s="2"/>
      <c r="L3298" s="2"/>
      <c r="M3298" s="2" t="s">
        <v>8821</v>
      </c>
      <c r="N3298" s="2" t="str">
        <f>IFERROR(__xludf.DUMMYFUNCTION("""COMPUTED_VALUE"""),"")</f>
        <v/>
      </c>
    </row>
    <row r="3299">
      <c r="A3299" s="2" t="s">
        <v>33</v>
      </c>
      <c r="B3299" s="12">
        <v>3203951.0</v>
      </c>
      <c r="C3299" s="12">
        <v>3204066.0</v>
      </c>
      <c r="D3299" s="2"/>
      <c r="E3299" s="2" t="s">
        <v>34</v>
      </c>
      <c r="F3299" s="2" t="s">
        <v>5258</v>
      </c>
      <c r="G3299" s="2" t="s">
        <v>5259</v>
      </c>
      <c r="H3299" s="12">
        <v>0.0</v>
      </c>
      <c r="I3299" s="2" t="s">
        <v>5260</v>
      </c>
      <c r="J3299" s="2"/>
      <c r="K3299" s="2"/>
      <c r="L3299" s="2"/>
      <c r="M3299" s="2" t="s">
        <v>8822</v>
      </c>
      <c r="N3299" s="2" t="str">
        <f>IFERROR(__xludf.DUMMYFUNCTION("""COMPUTED_VALUE"""),"")</f>
        <v/>
      </c>
    </row>
    <row r="3300">
      <c r="A3300" s="2" t="s">
        <v>33</v>
      </c>
      <c r="B3300" s="12">
        <v>3204071.0</v>
      </c>
      <c r="C3300" s="12">
        <v>3204146.0</v>
      </c>
      <c r="D3300" s="2"/>
      <c r="E3300" s="2" t="s">
        <v>34</v>
      </c>
      <c r="F3300" s="2" t="s">
        <v>3782</v>
      </c>
      <c r="G3300" s="2"/>
      <c r="H3300" s="12">
        <v>0.0</v>
      </c>
      <c r="I3300" s="2" t="s">
        <v>3783</v>
      </c>
      <c r="J3300" s="2"/>
      <c r="K3300" s="2"/>
      <c r="L3300" s="2"/>
      <c r="M3300" s="2" t="s">
        <v>8823</v>
      </c>
      <c r="N3300" s="2" t="str">
        <f>IFERROR(__xludf.DUMMYFUNCTION("""COMPUTED_VALUE"""),"")</f>
        <v/>
      </c>
    </row>
    <row r="3301">
      <c r="A3301" s="2" t="s">
        <v>33</v>
      </c>
      <c r="B3301" s="12">
        <v>3204151.0</v>
      </c>
      <c r="C3301" s="12">
        <v>3204226.0</v>
      </c>
      <c r="D3301" s="2"/>
      <c r="E3301" s="2" t="s">
        <v>34</v>
      </c>
      <c r="F3301" s="2" t="s">
        <v>5229</v>
      </c>
      <c r="G3301" s="2"/>
      <c r="H3301" s="12">
        <v>0.0</v>
      </c>
      <c r="I3301" s="2" t="s">
        <v>3783</v>
      </c>
      <c r="J3301" s="2"/>
      <c r="K3301" s="2"/>
      <c r="L3301" s="2"/>
      <c r="M3301" s="2" t="s">
        <v>8824</v>
      </c>
      <c r="N3301" s="2" t="str">
        <f>IFERROR(__xludf.DUMMYFUNCTION("""COMPUTED_VALUE"""),"")</f>
        <v/>
      </c>
    </row>
    <row r="3302">
      <c r="A3302" s="2" t="s">
        <v>33</v>
      </c>
      <c r="B3302" s="12">
        <v>3204236.0</v>
      </c>
      <c r="C3302" s="12">
        <v>3204311.0</v>
      </c>
      <c r="D3302" s="2"/>
      <c r="E3302" s="2" t="s">
        <v>34</v>
      </c>
      <c r="F3302" s="2" t="s">
        <v>5745</v>
      </c>
      <c r="G3302" s="2"/>
      <c r="H3302" s="12">
        <v>0.0</v>
      </c>
      <c r="I3302" s="2" t="s">
        <v>3783</v>
      </c>
      <c r="J3302" s="2"/>
      <c r="K3302" s="2"/>
      <c r="L3302" s="2"/>
      <c r="M3302" s="2" t="s">
        <v>8825</v>
      </c>
      <c r="N3302" s="2" t="str">
        <f>IFERROR(__xludf.DUMMYFUNCTION("""COMPUTED_VALUE"""),"")</f>
        <v/>
      </c>
    </row>
    <row r="3303">
      <c r="A3303" s="2" t="s">
        <v>33</v>
      </c>
      <c r="B3303" s="12">
        <v>3204334.0</v>
      </c>
      <c r="C3303" s="12">
        <v>3204414.0</v>
      </c>
      <c r="D3303" s="2"/>
      <c r="E3303" s="2" t="s">
        <v>34</v>
      </c>
      <c r="F3303" s="2" t="s">
        <v>5246</v>
      </c>
      <c r="G3303" s="2"/>
      <c r="H3303" s="12">
        <v>0.0</v>
      </c>
      <c r="I3303" s="2" t="s">
        <v>3783</v>
      </c>
      <c r="J3303" s="2"/>
      <c r="K3303" s="2"/>
      <c r="L3303" s="2"/>
      <c r="M3303" s="2" t="s">
        <v>8826</v>
      </c>
      <c r="N3303" s="2" t="str">
        <f>IFERROR(__xludf.DUMMYFUNCTION("""COMPUTED_VALUE"""),"")</f>
        <v/>
      </c>
    </row>
    <row r="3304">
      <c r="A3304" s="2" t="s">
        <v>33</v>
      </c>
      <c r="B3304" s="12">
        <v>3204444.0</v>
      </c>
      <c r="C3304" s="12">
        <v>3204518.0</v>
      </c>
      <c r="D3304" s="2"/>
      <c r="E3304" s="2" t="s">
        <v>34</v>
      </c>
      <c r="F3304" s="2" t="s">
        <v>5248</v>
      </c>
      <c r="G3304" s="2"/>
      <c r="H3304" s="12">
        <v>0.0</v>
      </c>
      <c r="I3304" s="2" t="s">
        <v>3783</v>
      </c>
      <c r="J3304" s="2"/>
      <c r="K3304" s="2"/>
      <c r="L3304" s="2"/>
      <c r="M3304" s="2" t="s">
        <v>8827</v>
      </c>
      <c r="N3304" s="2" t="str">
        <f>IFERROR(__xludf.DUMMYFUNCTION("""COMPUTED_VALUE"""),"")</f>
        <v/>
      </c>
    </row>
    <row r="3305">
      <c r="A3305" s="2" t="s">
        <v>33</v>
      </c>
      <c r="B3305" s="12">
        <v>3204535.0</v>
      </c>
      <c r="C3305" s="12">
        <v>3204623.0</v>
      </c>
      <c r="D3305" s="2"/>
      <c r="E3305" s="2" t="s">
        <v>34</v>
      </c>
      <c r="F3305" s="2" t="s">
        <v>5246</v>
      </c>
      <c r="G3305" s="2"/>
      <c r="H3305" s="12">
        <v>0.0</v>
      </c>
      <c r="I3305" s="2" t="s">
        <v>3783</v>
      </c>
      <c r="J3305" s="2"/>
      <c r="K3305" s="2"/>
      <c r="L3305" s="2"/>
      <c r="M3305" s="2" t="s">
        <v>8828</v>
      </c>
      <c r="N3305" s="2" t="str">
        <f>IFERROR(__xludf.DUMMYFUNCTION("""COMPUTED_VALUE"""),"")</f>
        <v/>
      </c>
    </row>
    <row r="3306">
      <c r="A3306" s="2" t="s">
        <v>33</v>
      </c>
      <c r="B3306" s="12">
        <v>3204627.0</v>
      </c>
      <c r="C3306" s="12">
        <v>3204700.0</v>
      </c>
      <c r="D3306" s="2"/>
      <c r="E3306" s="2" t="s">
        <v>34</v>
      </c>
      <c r="F3306" s="2" t="s">
        <v>5244</v>
      </c>
      <c r="G3306" s="2"/>
      <c r="H3306" s="12">
        <v>0.0</v>
      </c>
      <c r="I3306" s="2" t="s">
        <v>3783</v>
      </c>
      <c r="J3306" s="2"/>
      <c r="K3306" s="2"/>
      <c r="L3306" s="2"/>
      <c r="M3306" s="2" t="s">
        <v>8829</v>
      </c>
      <c r="N3306" s="2" t="str">
        <f>IFERROR(__xludf.DUMMYFUNCTION("""COMPUTED_VALUE"""),"")</f>
        <v/>
      </c>
    </row>
    <row r="3307">
      <c r="A3307" s="2" t="s">
        <v>33</v>
      </c>
      <c r="B3307" s="12">
        <v>3204711.0</v>
      </c>
      <c r="C3307" s="12">
        <v>3204784.0</v>
      </c>
      <c r="D3307" s="2"/>
      <c r="E3307" s="2" t="s">
        <v>34</v>
      </c>
      <c r="F3307" s="2" t="s">
        <v>5242</v>
      </c>
      <c r="G3307" s="2"/>
      <c r="H3307" s="12">
        <v>0.0</v>
      </c>
      <c r="I3307" s="2" t="s">
        <v>3783</v>
      </c>
      <c r="J3307" s="2"/>
      <c r="K3307" s="2"/>
      <c r="L3307" s="2"/>
      <c r="M3307" s="2" t="s">
        <v>8830</v>
      </c>
      <c r="N3307" s="2" t="str">
        <f>IFERROR(__xludf.DUMMYFUNCTION("""COMPUTED_VALUE"""),"")</f>
        <v/>
      </c>
    </row>
    <row r="3308">
      <c r="A3308" s="2" t="s">
        <v>33</v>
      </c>
      <c r="B3308" s="12">
        <v>3204800.0</v>
      </c>
      <c r="C3308" s="12">
        <v>3204872.0</v>
      </c>
      <c r="D3308" s="2"/>
      <c r="E3308" s="2" t="s">
        <v>34</v>
      </c>
      <c r="F3308" s="2" t="s">
        <v>5240</v>
      </c>
      <c r="G3308" s="2"/>
      <c r="H3308" s="12">
        <v>0.0</v>
      </c>
      <c r="I3308" s="2" t="s">
        <v>3783</v>
      </c>
      <c r="J3308" s="2"/>
      <c r="K3308" s="2"/>
      <c r="L3308" s="2"/>
      <c r="M3308" s="2" t="s">
        <v>8831</v>
      </c>
      <c r="N3308" s="2" t="str">
        <f>IFERROR(__xludf.DUMMYFUNCTION("""COMPUTED_VALUE"""),"")</f>
        <v/>
      </c>
    </row>
    <row r="3309">
      <c r="A3309" s="2" t="s">
        <v>33</v>
      </c>
      <c r="B3309" s="12">
        <v>3204893.0</v>
      </c>
      <c r="C3309" s="12">
        <v>3204969.0</v>
      </c>
      <c r="D3309" s="2"/>
      <c r="E3309" s="2" t="s">
        <v>34</v>
      </c>
      <c r="F3309" s="2" t="s">
        <v>5235</v>
      </c>
      <c r="G3309" s="2"/>
      <c r="H3309" s="12">
        <v>0.0</v>
      </c>
      <c r="I3309" s="2" t="s">
        <v>3783</v>
      </c>
      <c r="J3309" s="2"/>
      <c r="K3309" s="2"/>
      <c r="L3309" s="2"/>
      <c r="M3309" s="2" t="s">
        <v>8832</v>
      </c>
      <c r="N3309" s="2" t="str">
        <f>IFERROR(__xludf.DUMMYFUNCTION("""COMPUTED_VALUE"""),"")</f>
        <v/>
      </c>
    </row>
    <row r="3310">
      <c r="A3310" s="2" t="s">
        <v>33</v>
      </c>
      <c r="B3310" s="12">
        <v>3204974.0</v>
      </c>
      <c r="C3310" s="12">
        <v>3205050.0</v>
      </c>
      <c r="D3310" s="2"/>
      <c r="E3310" s="2" t="s">
        <v>34</v>
      </c>
      <c r="F3310" s="2" t="s">
        <v>5225</v>
      </c>
      <c r="G3310" s="2"/>
      <c r="H3310" s="12">
        <v>0.0</v>
      </c>
      <c r="I3310" s="2" t="s">
        <v>3783</v>
      </c>
      <c r="J3310" s="2"/>
      <c r="K3310" s="2"/>
      <c r="L3310" s="2"/>
      <c r="M3310" s="2" t="s">
        <v>8833</v>
      </c>
      <c r="N3310" s="2" t="str">
        <f>IFERROR(__xludf.DUMMYFUNCTION("""COMPUTED_VALUE"""),"")</f>
        <v/>
      </c>
    </row>
    <row r="3311">
      <c r="A3311" s="2" t="s">
        <v>33</v>
      </c>
      <c r="B3311" s="12">
        <v>3205068.0</v>
      </c>
      <c r="C3311" s="12">
        <v>3205160.0</v>
      </c>
      <c r="D3311" s="2"/>
      <c r="E3311" s="2" t="s">
        <v>34</v>
      </c>
      <c r="F3311" s="2" t="s">
        <v>5237</v>
      </c>
      <c r="G3311" s="2"/>
      <c r="H3311" s="12">
        <v>0.0</v>
      </c>
      <c r="I3311" s="2" t="s">
        <v>3783</v>
      </c>
      <c r="J3311" s="2"/>
      <c r="K3311" s="2"/>
      <c r="L3311" s="2"/>
      <c r="M3311" s="2" t="s">
        <v>8834</v>
      </c>
      <c r="N3311" s="2" t="str">
        <f>IFERROR(__xludf.DUMMYFUNCTION("""COMPUTED_VALUE"""),"")</f>
        <v/>
      </c>
    </row>
    <row r="3312">
      <c r="A3312" s="2" t="s">
        <v>33</v>
      </c>
      <c r="B3312" s="12">
        <v>3205188.0</v>
      </c>
      <c r="C3312" s="12">
        <v>3205264.0</v>
      </c>
      <c r="D3312" s="2"/>
      <c r="E3312" s="2" t="s">
        <v>34</v>
      </c>
      <c r="F3312" s="2" t="s">
        <v>5235</v>
      </c>
      <c r="G3312" s="2"/>
      <c r="H3312" s="12">
        <v>0.0</v>
      </c>
      <c r="I3312" s="2" t="s">
        <v>3783</v>
      </c>
      <c r="J3312" s="2"/>
      <c r="K3312" s="2"/>
      <c r="L3312" s="2"/>
      <c r="M3312" s="2" t="s">
        <v>8835</v>
      </c>
      <c r="N3312" s="2" t="str">
        <f>IFERROR(__xludf.DUMMYFUNCTION("""COMPUTED_VALUE"""),"")</f>
        <v/>
      </c>
    </row>
    <row r="3313">
      <c r="A3313" s="2" t="s">
        <v>33</v>
      </c>
      <c r="B3313" s="12">
        <v>3205268.0</v>
      </c>
      <c r="C3313" s="12">
        <v>3205343.0</v>
      </c>
      <c r="D3313" s="2"/>
      <c r="E3313" s="2" t="s">
        <v>34</v>
      </c>
      <c r="F3313" s="2" t="s">
        <v>5233</v>
      </c>
      <c r="G3313" s="2"/>
      <c r="H3313" s="12">
        <v>0.0</v>
      </c>
      <c r="I3313" s="2" t="s">
        <v>3783</v>
      </c>
      <c r="J3313" s="2"/>
      <c r="K3313" s="2"/>
      <c r="L3313" s="2"/>
      <c r="M3313" s="2" t="s">
        <v>8836</v>
      </c>
      <c r="N3313" s="2" t="str">
        <f>IFERROR(__xludf.DUMMYFUNCTION("""COMPUTED_VALUE"""),"")</f>
        <v/>
      </c>
    </row>
    <row r="3314">
      <c r="A3314" s="2" t="s">
        <v>33</v>
      </c>
      <c r="B3314" s="12">
        <v>3205356.0</v>
      </c>
      <c r="C3314" s="12">
        <v>3205431.0</v>
      </c>
      <c r="D3314" s="2"/>
      <c r="E3314" s="2" t="s">
        <v>34</v>
      </c>
      <c r="F3314" s="2" t="s">
        <v>5231</v>
      </c>
      <c r="G3314" s="2"/>
      <c r="H3314" s="12">
        <v>0.0</v>
      </c>
      <c r="I3314" s="2" t="s">
        <v>3783</v>
      </c>
      <c r="J3314" s="2"/>
      <c r="K3314" s="2"/>
      <c r="L3314" s="2"/>
      <c r="M3314" s="2" t="s">
        <v>8837</v>
      </c>
      <c r="N3314" s="2" t="str">
        <f>IFERROR(__xludf.DUMMYFUNCTION("""COMPUTED_VALUE"""),"")</f>
        <v/>
      </c>
    </row>
    <row r="3315">
      <c r="A3315" s="2" t="s">
        <v>33</v>
      </c>
      <c r="B3315" s="12">
        <v>3205446.0</v>
      </c>
      <c r="C3315" s="12">
        <v>3205521.0</v>
      </c>
      <c r="D3315" s="2"/>
      <c r="E3315" s="2" t="s">
        <v>34</v>
      </c>
      <c r="F3315" s="2" t="s">
        <v>5229</v>
      </c>
      <c r="G3315" s="2"/>
      <c r="H3315" s="12">
        <v>0.0</v>
      </c>
      <c r="I3315" s="2" t="s">
        <v>3783</v>
      </c>
      <c r="J3315" s="2"/>
      <c r="K3315" s="2"/>
      <c r="L3315" s="2"/>
      <c r="M3315" s="2" t="s">
        <v>8838</v>
      </c>
      <c r="N3315" s="2" t="str">
        <f>IFERROR(__xludf.DUMMYFUNCTION("""COMPUTED_VALUE"""),"")</f>
        <v/>
      </c>
    </row>
    <row r="3316">
      <c r="A3316" s="2" t="s">
        <v>33</v>
      </c>
      <c r="B3316" s="12">
        <v>3205532.0</v>
      </c>
      <c r="C3316" s="12">
        <v>3205607.0</v>
      </c>
      <c r="D3316" s="2"/>
      <c r="E3316" s="2" t="s">
        <v>34</v>
      </c>
      <c r="F3316" s="2" t="s">
        <v>5251</v>
      </c>
      <c r="G3316" s="2"/>
      <c r="H3316" s="12">
        <v>0.0</v>
      </c>
      <c r="I3316" s="2" t="s">
        <v>3783</v>
      </c>
      <c r="J3316" s="2"/>
      <c r="K3316" s="2"/>
      <c r="L3316" s="2"/>
      <c r="M3316" s="2" t="s">
        <v>8839</v>
      </c>
      <c r="N3316" s="2" t="str">
        <f>IFERROR(__xludf.DUMMYFUNCTION("""COMPUTED_VALUE"""),"")</f>
        <v/>
      </c>
    </row>
    <row r="3317">
      <c r="A3317" s="2" t="s">
        <v>33</v>
      </c>
      <c r="B3317" s="12">
        <v>3205621.0</v>
      </c>
      <c r="C3317" s="12">
        <v>3205691.0</v>
      </c>
      <c r="D3317" s="2"/>
      <c r="E3317" s="2" t="s">
        <v>34</v>
      </c>
      <c r="F3317" s="2" t="s">
        <v>5248</v>
      </c>
      <c r="G3317" s="2"/>
      <c r="H3317" s="12">
        <v>0.0</v>
      </c>
      <c r="I3317" s="2" t="s">
        <v>3783</v>
      </c>
      <c r="J3317" s="2"/>
      <c r="K3317" s="2"/>
      <c r="L3317" s="2"/>
      <c r="M3317" s="2" t="s">
        <v>8840</v>
      </c>
      <c r="N3317" s="2" t="str">
        <f>IFERROR(__xludf.DUMMYFUNCTION("""COMPUTED_VALUE"""),"")</f>
        <v/>
      </c>
    </row>
    <row r="3318">
      <c r="A3318" s="2" t="s">
        <v>33</v>
      </c>
      <c r="B3318" s="12">
        <v>3205702.0</v>
      </c>
      <c r="C3318" s="12">
        <v>3205778.0</v>
      </c>
      <c r="D3318" s="2"/>
      <c r="E3318" s="2" t="s">
        <v>34</v>
      </c>
      <c r="F3318" s="2" t="s">
        <v>5225</v>
      </c>
      <c r="G3318" s="2"/>
      <c r="H3318" s="12">
        <v>0.0</v>
      </c>
      <c r="I3318" s="2" t="s">
        <v>3783</v>
      </c>
      <c r="J3318" s="2"/>
      <c r="K3318" s="2"/>
      <c r="L3318" s="2"/>
      <c r="M3318" s="2" t="s">
        <v>8841</v>
      </c>
      <c r="N3318" s="2" t="str">
        <f>IFERROR(__xludf.DUMMYFUNCTION("""COMPUTED_VALUE"""),"")</f>
        <v/>
      </c>
    </row>
    <row r="3319">
      <c r="A3319" s="2" t="s">
        <v>33</v>
      </c>
      <c r="B3319" s="12">
        <v>3205786.0</v>
      </c>
      <c r="C3319" s="12">
        <v>3205860.0</v>
      </c>
      <c r="D3319" s="2"/>
      <c r="E3319" s="2" t="s">
        <v>34</v>
      </c>
      <c r="F3319" s="2" t="s">
        <v>5223</v>
      </c>
      <c r="G3319" s="2"/>
      <c r="H3319" s="12">
        <v>0.0</v>
      </c>
      <c r="I3319" s="2" t="s">
        <v>3783</v>
      </c>
      <c r="J3319" s="2"/>
      <c r="K3319" s="2"/>
      <c r="L3319" s="2"/>
      <c r="M3319" s="2" t="s">
        <v>8842</v>
      </c>
      <c r="N3319" s="2" t="str">
        <f>IFERROR(__xludf.DUMMYFUNCTION("""COMPUTED_VALUE"""),"")</f>
        <v/>
      </c>
    </row>
    <row r="3320">
      <c r="A3320" s="2" t="s">
        <v>33</v>
      </c>
      <c r="B3320" s="12">
        <v>3205868.0</v>
      </c>
      <c r="C3320" s="12">
        <v>3205958.0</v>
      </c>
      <c r="D3320" s="2"/>
      <c r="E3320" s="2" t="s">
        <v>34</v>
      </c>
      <c r="F3320" s="2" t="s">
        <v>5237</v>
      </c>
      <c r="G3320" s="2"/>
      <c r="H3320" s="12">
        <v>0.0</v>
      </c>
      <c r="I3320" s="2" t="s">
        <v>3783</v>
      </c>
      <c r="J3320" s="2"/>
      <c r="K3320" s="2"/>
      <c r="L3320" s="2"/>
      <c r="M3320" s="2" t="s">
        <v>8843</v>
      </c>
      <c r="N3320" s="2" t="str">
        <f>IFERROR(__xludf.DUMMYFUNCTION("""COMPUTED_VALUE"""),"")</f>
        <v/>
      </c>
    </row>
    <row r="3321">
      <c r="A3321" s="2" t="s">
        <v>33</v>
      </c>
      <c r="B3321" s="12">
        <v>3205964.0</v>
      </c>
      <c r="C3321" s="12">
        <v>3206035.0</v>
      </c>
      <c r="D3321" s="2"/>
      <c r="E3321" s="2" t="s">
        <v>34</v>
      </c>
      <c r="F3321" s="2" t="s">
        <v>5221</v>
      </c>
      <c r="G3321" s="2"/>
      <c r="H3321" s="12">
        <v>0.0</v>
      </c>
      <c r="I3321" s="2" t="s">
        <v>3783</v>
      </c>
      <c r="J3321" s="2"/>
      <c r="K3321" s="2"/>
      <c r="L3321" s="2"/>
      <c r="M3321" s="2" t="s">
        <v>8844</v>
      </c>
      <c r="N3321" s="2" t="str">
        <f>IFERROR(__xludf.DUMMYFUNCTION("""COMPUTED_VALUE"""),"")</f>
        <v/>
      </c>
    </row>
    <row r="3322">
      <c r="A3322" s="2" t="s">
        <v>33</v>
      </c>
      <c r="B3322" s="12">
        <v>3206773.0</v>
      </c>
      <c r="C3322" s="12">
        <v>3207717.0</v>
      </c>
      <c r="D3322" s="2"/>
      <c r="E3322" s="2" t="s">
        <v>34</v>
      </c>
      <c r="F3322" s="2" t="s">
        <v>1915</v>
      </c>
      <c r="G3322" s="2"/>
      <c r="H3322" s="12">
        <v>0.0</v>
      </c>
      <c r="I3322" s="2" t="s">
        <v>40</v>
      </c>
      <c r="J3322" s="2"/>
      <c r="K3322" s="2" t="s">
        <v>8845</v>
      </c>
      <c r="L3322" s="12">
        <v>314.0</v>
      </c>
      <c r="M3322" s="2" t="s">
        <v>8846</v>
      </c>
      <c r="N3322" s="2" t="str">
        <f>IFERROR(__xludf.DUMMYFUNCTION("""COMPUTED_VALUE"""),"")</f>
        <v/>
      </c>
    </row>
    <row r="3323">
      <c r="A3323" s="2" t="s">
        <v>33</v>
      </c>
      <c r="B3323" s="12">
        <v>3207941.0</v>
      </c>
      <c r="C3323" s="12">
        <v>3212164.0</v>
      </c>
      <c r="D3323" s="2"/>
      <c r="E3323" s="2" t="s">
        <v>38</v>
      </c>
      <c r="F3323" s="2" t="s">
        <v>8847</v>
      </c>
      <c r="G3323" s="2"/>
      <c r="H3323" s="12">
        <v>0.0</v>
      </c>
      <c r="I3323" s="2" t="s">
        <v>40</v>
      </c>
      <c r="J3323" s="2"/>
      <c r="K3323" s="2" t="s">
        <v>8848</v>
      </c>
      <c r="L3323" s="12">
        <v>1407.0</v>
      </c>
      <c r="M3323" s="2" t="s">
        <v>8849</v>
      </c>
      <c r="N3323" s="2" t="str">
        <f>IFERROR(__xludf.DUMMYFUNCTION("""COMPUTED_VALUE"""),"")</f>
        <v/>
      </c>
    </row>
    <row r="3324">
      <c r="A3324" s="2" t="s">
        <v>33</v>
      </c>
      <c r="B3324" s="12">
        <v>3212198.0</v>
      </c>
      <c r="C3324" s="12">
        <v>3212803.0</v>
      </c>
      <c r="D3324" s="2"/>
      <c r="E3324" s="2" t="s">
        <v>38</v>
      </c>
      <c r="F3324" s="2" t="s">
        <v>3765</v>
      </c>
      <c r="G3324" s="2"/>
      <c r="H3324" s="12">
        <v>0.0</v>
      </c>
      <c r="I3324" s="2" t="s">
        <v>40</v>
      </c>
      <c r="J3324" s="2"/>
      <c r="K3324" s="2" t="s">
        <v>8850</v>
      </c>
      <c r="L3324" s="12">
        <v>201.0</v>
      </c>
      <c r="M3324" s="2" t="s">
        <v>8851</v>
      </c>
      <c r="N3324" s="2" t="str">
        <f>IFERROR(__xludf.DUMMYFUNCTION("""COMPUTED_VALUE"""),"")</f>
        <v/>
      </c>
    </row>
    <row r="3325">
      <c r="A3325" s="2" t="s">
        <v>33</v>
      </c>
      <c r="B3325" s="12">
        <v>3213274.0</v>
      </c>
      <c r="C3325" s="12">
        <v>3215211.0</v>
      </c>
      <c r="D3325" s="2"/>
      <c r="E3325" s="2" t="s">
        <v>34</v>
      </c>
      <c r="F3325" s="2" t="s">
        <v>8852</v>
      </c>
      <c r="G3325" s="2" t="s">
        <v>8853</v>
      </c>
      <c r="H3325" s="12">
        <v>0.0</v>
      </c>
      <c r="I3325" s="2" t="s">
        <v>40</v>
      </c>
      <c r="J3325" s="2"/>
      <c r="K3325" s="2" t="s">
        <v>8854</v>
      </c>
      <c r="L3325" s="12">
        <v>645.0</v>
      </c>
      <c r="M3325" s="2" t="s">
        <v>8855</v>
      </c>
      <c r="N3325" s="2" t="str">
        <f>IFERROR(__xludf.DUMMYFUNCTION("""COMPUTED_VALUE"""),"")</f>
        <v/>
      </c>
    </row>
    <row r="3326">
      <c r="A3326" s="2" t="s">
        <v>33</v>
      </c>
      <c r="B3326" s="12">
        <v>3215159.0</v>
      </c>
      <c r="C3326" s="12">
        <v>3216289.0</v>
      </c>
      <c r="D3326" s="2"/>
      <c r="E3326" s="2" t="s">
        <v>34</v>
      </c>
      <c r="F3326" s="2" t="s">
        <v>8856</v>
      </c>
      <c r="G3326" s="2" t="s">
        <v>8857</v>
      </c>
      <c r="H3326" s="12">
        <v>0.0</v>
      </c>
      <c r="I3326" s="2" t="s">
        <v>40</v>
      </c>
      <c r="J3326" s="2"/>
      <c r="K3326" s="2" t="s">
        <v>8858</v>
      </c>
      <c r="L3326" s="12">
        <v>376.0</v>
      </c>
      <c r="M3326" s="2" t="s">
        <v>8859</v>
      </c>
      <c r="N3326" s="2" t="str">
        <f>IFERROR(__xludf.DUMMYFUNCTION("""COMPUTED_VALUE"""),"")</f>
        <v/>
      </c>
    </row>
    <row r="3327">
      <c r="A3327" s="2" t="s">
        <v>33</v>
      </c>
      <c r="B3327" s="12">
        <v>3216308.0</v>
      </c>
      <c r="C3327" s="12">
        <v>3217342.0</v>
      </c>
      <c r="D3327" s="2"/>
      <c r="E3327" s="2" t="s">
        <v>34</v>
      </c>
      <c r="F3327" s="2" t="s">
        <v>8860</v>
      </c>
      <c r="G3327" s="2" t="s">
        <v>8861</v>
      </c>
      <c r="H3327" s="12">
        <v>0.0</v>
      </c>
      <c r="I3327" s="2" t="s">
        <v>40</v>
      </c>
      <c r="J3327" s="2"/>
      <c r="K3327" s="2" t="s">
        <v>8862</v>
      </c>
      <c r="L3327" s="12">
        <v>344.0</v>
      </c>
      <c r="M3327" s="2" t="s">
        <v>8863</v>
      </c>
      <c r="N3327" s="2" t="str">
        <f>IFERROR(__xludf.DUMMYFUNCTION("""COMPUTED_VALUE"""),"")</f>
        <v/>
      </c>
    </row>
    <row r="3328">
      <c r="A3328" s="2" t="s">
        <v>33</v>
      </c>
      <c r="B3328" s="12">
        <v>3217456.0</v>
      </c>
      <c r="C3328" s="12">
        <v>3218886.0</v>
      </c>
      <c r="D3328" s="2"/>
      <c r="E3328" s="2" t="s">
        <v>34</v>
      </c>
      <c r="F3328" s="2" t="s">
        <v>8864</v>
      </c>
      <c r="G3328" s="2" t="s">
        <v>8865</v>
      </c>
      <c r="H3328" s="12">
        <v>0.0</v>
      </c>
      <c r="I3328" s="2" t="s">
        <v>40</v>
      </c>
      <c r="J3328" s="2"/>
      <c r="K3328" s="2" t="s">
        <v>8866</v>
      </c>
      <c r="L3328" s="12">
        <v>476.0</v>
      </c>
      <c r="M3328" s="2" t="s">
        <v>8867</v>
      </c>
      <c r="N3328" s="2" t="str">
        <f>IFERROR(__xludf.DUMMYFUNCTION("""COMPUTED_VALUE"""),"")</f>
        <v/>
      </c>
    </row>
    <row r="3329">
      <c r="A3329" s="2" t="s">
        <v>33</v>
      </c>
      <c r="B3329" s="12">
        <v>3218905.0</v>
      </c>
      <c r="C3329" s="12">
        <v>3221313.0</v>
      </c>
      <c r="D3329" s="2"/>
      <c r="E3329" s="2" t="s">
        <v>34</v>
      </c>
      <c r="F3329" s="2" t="s">
        <v>8868</v>
      </c>
      <c r="G3329" s="2" t="s">
        <v>8869</v>
      </c>
      <c r="H3329" s="12">
        <v>0.0</v>
      </c>
      <c r="I3329" s="2" t="s">
        <v>40</v>
      </c>
      <c r="J3329" s="2"/>
      <c r="K3329" s="2" t="s">
        <v>8870</v>
      </c>
      <c r="L3329" s="12">
        <v>802.0</v>
      </c>
      <c r="M3329" s="2" t="s">
        <v>8871</v>
      </c>
      <c r="N3329" s="2" t="str">
        <f>IFERROR(__xludf.DUMMYFUNCTION("""COMPUTED_VALUE"""),"")</f>
        <v/>
      </c>
    </row>
    <row r="3330">
      <c r="A3330" s="2" t="s">
        <v>33</v>
      </c>
      <c r="B3330" s="12">
        <v>3221417.0</v>
      </c>
      <c r="C3330" s="12">
        <v>3221551.0</v>
      </c>
      <c r="D3330" s="2"/>
      <c r="E3330" s="2" t="s">
        <v>38</v>
      </c>
      <c r="F3330" s="2" t="s">
        <v>39</v>
      </c>
      <c r="G3330" s="2"/>
      <c r="H3330" s="12">
        <v>0.0</v>
      </c>
      <c r="I3330" s="2" t="s">
        <v>40</v>
      </c>
      <c r="J3330" s="2"/>
      <c r="K3330" s="2" t="s">
        <v>8872</v>
      </c>
      <c r="L3330" s="12">
        <v>44.0</v>
      </c>
      <c r="M3330" s="2" t="s">
        <v>8873</v>
      </c>
      <c r="N3330" s="2" t="str">
        <f>IFERROR(__xludf.DUMMYFUNCTION("""COMPUTED_VALUE"""),"")</f>
        <v/>
      </c>
    </row>
    <row r="3331">
      <c r="A3331" s="2" t="s">
        <v>33</v>
      </c>
      <c r="B3331" s="12">
        <v>3221628.0</v>
      </c>
      <c r="C3331" s="12">
        <v>3222350.0</v>
      </c>
      <c r="D3331" s="2"/>
      <c r="E3331" s="2" t="s">
        <v>38</v>
      </c>
      <c r="F3331" s="2" t="s">
        <v>1459</v>
      </c>
      <c r="G3331" s="2"/>
      <c r="H3331" s="12">
        <v>0.0</v>
      </c>
      <c r="I3331" s="2" t="s">
        <v>40</v>
      </c>
      <c r="J3331" s="2"/>
      <c r="K3331" s="2" t="s">
        <v>8874</v>
      </c>
      <c r="L3331" s="12">
        <v>240.0</v>
      </c>
      <c r="M3331" s="2" t="s">
        <v>8875</v>
      </c>
      <c r="N3331" s="2" t="str">
        <f>IFERROR(__xludf.DUMMYFUNCTION("""COMPUTED_VALUE"""),"")</f>
        <v/>
      </c>
    </row>
    <row r="3332">
      <c r="A3332" s="2" t="s">
        <v>33</v>
      </c>
      <c r="B3332" s="12">
        <v>3222688.0</v>
      </c>
      <c r="C3332" s="12">
        <v>3222837.0</v>
      </c>
      <c r="D3332" s="2"/>
      <c r="E3332" s="2" t="s">
        <v>38</v>
      </c>
      <c r="F3332" s="2" t="s">
        <v>39</v>
      </c>
      <c r="G3332" s="2"/>
      <c r="H3332" s="12">
        <v>0.0</v>
      </c>
      <c r="I3332" s="2" t="s">
        <v>40</v>
      </c>
      <c r="J3332" s="2"/>
      <c r="K3332" s="2" t="s">
        <v>8876</v>
      </c>
      <c r="L3332" s="12">
        <v>49.0</v>
      </c>
      <c r="M3332" s="2" t="s">
        <v>8877</v>
      </c>
      <c r="N3332" s="2" t="str">
        <f>IFERROR(__xludf.DUMMYFUNCTION("""COMPUTED_VALUE"""),"")</f>
        <v/>
      </c>
    </row>
    <row r="3333">
      <c r="A3333" s="2" t="s">
        <v>33</v>
      </c>
      <c r="B3333" s="12">
        <v>3223053.0</v>
      </c>
      <c r="C3333" s="12">
        <v>3223835.0</v>
      </c>
      <c r="D3333" s="2"/>
      <c r="E3333" s="2" t="s">
        <v>38</v>
      </c>
      <c r="F3333" s="2" t="s">
        <v>8878</v>
      </c>
      <c r="G3333" s="2"/>
      <c r="H3333" s="12">
        <v>0.0</v>
      </c>
      <c r="I3333" s="2" t="s">
        <v>40</v>
      </c>
      <c r="J3333" s="2"/>
      <c r="K3333" s="2" t="s">
        <v>8879</v>
      </c>
      <c r="L3333" s="12">
        <v>260.0</v>
      </c>
      <c r="M3333" s="2" t="s">
        <v>8880</v>
      </c>
      <c r="N3333" s="2" t="str">
        <f>IFERROR(__xludf.DUMMYFUNCTION("""COMPUTED_VALUE"""),"")</f>
        <v/>
      </c>
    </row>
    <row r="3334">
      <c r="A3334" s="2" t="s">
        <v>33</v>
      </c>
      <c r="B3334" s="12">
        <v>3224227.0</v>
      </c>
      <c r="C3334" s="12">
        <v>3224427.0</v>
      </c>
      <c r="D3334" s="2"/>
      <c r="E3334" s="2" t="s">
        <v>34</v>
      </c>
      <c r="F3334" s="2" t="s">
        <v>717</v>
      </c>
      <c r="G3334" s="2" t="s">
        <v>718</v>
      </c>
      <c r="H3334" s="12">
        <v>0.0</v>
      </c>
      <c r="I3334" s="2" t="s">
        <v>40</v>
      </c>
      <c r="J3334" s="2"/>
      <c r="K3334" s="2" t="s">
        <v>8881</v>
      </c>
      <c r="L3334" s="12">
        <v>66.0</v>
      </c>
      <c r="M3334" s="2" t="s">
        <v>8882</v>
      </c>
      <c r="N3334" s="2" t="str">
        <f>IFERROR(__xludf.DUMMYFUNCTION("""COMPUTED_VALUE"""),"")</f>
        <v/>
      </c>
    </row>
    <row r="3335">
      <c r="A3335" s="2" t="s">
        <v>33</v>
      </c>
      <c r="B3335" s="12">
        <v>3224472.0</v>
      </c>
      <c r="C3335" s="12">
        <v>3225203.0</v>
      </c>
      <c r="D3335" s="2"/>
      <c r="E3335" s="2" t="s">
        <v>38</v>
      </c>
      <c r="F3335" s="2" t="s">
        <v>8883</v>
      </c>
      <c r="G3335" s="2"/>
      <c r="H3335" s="12">
        <v>0.0</v>
      </c>
      <c r="I3335" s="2" t="s">
        <v>40</v>
      </c>
      <c r="J3335" s="2"/>
      <c r="K3335" s="2" t="s">
        <v>8884</v>
      </c>
      <c r="L3335" s="12">
        <v>243.0</v>
      </c>
      <c r="M3335" s="2" t="s">
        <v>8885</v>
      </c>
      <c r="N3335" s="2" t="str">
        <f>IFERROR(__xludf.DUMMYFUNCTION("""COMPUTED_VALUE"""),"")</f>
        <v/>
      </c>
    </row>
    <row r="3336">
      <c r="A3336" s="2" t="s">
        <v>33</v>
      </c>
      <c r="B3336" s="12">
        <v>3225313.0</v>
      </c>
      <c r="C3336" s="12">
        <v>3226266.0</v>
      </c>
      <c r="D3336" s="2"/>
      <c r="E3336" s="2" t="s">
        <v>38</v>
      </c>
      <c r="F3336" s="2" t="s">
        <v>8886</v>
      </c>
      <c r="G3336" s="2"/>
      <c r="H3336" s="12">
        <v>0.0</v>
      </c>
      <c r="I3336" s="2" t="s">
        <v>40</v>
      </c>
      <c r="J3336" s="2"/>
      <c r="K3336" s="2" t="s">
        <v>8887</v>
      </c>
      <c r="L3336" s="12">
        <v>317.0</v>
      </c>
      <c r="M3336" s="2" t="s">
        <v>8888</v>
      </c>
      <c r="N3336" s="2" t="str">
        <f>IFERROR(__xludf.DUMMYFUNCTION("""COMPUTED_VALUE"""),"")</f>
        <v/>
      </c>
    </row>
    <row r="3337">
      <c r="A3337" s="2" t="s">
        <v>33</v>
      </c>
      <c r="B3337" s="12">
        <v>3226461.0</v>
      </c>
      <c r="C3337" s="12">
        <v>3227855.0</v>
      </c>
      <c r="D3337" s="2"/>
      <c r="E3337" s="2" t="s">
        <v>34</v>
      </c>
      <c r="F3337" s="2" t="s">
        <v>8889</v>
      </c>
      <c r="G3337" s="2"/>
      <c r="H3337" s="12">
        <v>0.0</v>
      </c>
      <c r="I3337" s="2" t="s">
        <v>40</v>
      </c>
      <c r="J3337" s="2"/>
      <c r="K3337" s="2" t="s">
        <v>8890</v>
      </c>
      <c r="L3337" s="12">
        <v>464.0</v>
      </c>
      <c r="M3337" s="2" t="s">
        <v>8891</v>
      </c>
      <c r="N3337" s="2" t="str">
        <f>IFERROR(__xludf.DUMMYFUNCTION("""COMPUTED_VALUE"""),"")</f>
        <v/>
      </c>
    </row>
    <row r="3338">
      <c r="A3338" s="2" t="s">
        <v>33</v>
      </c>
      <c r="B3338" s="12">
        <v>3227852.0</v>
      </c>
      <c r="C3338" s="12">
        <v>3229606.0</v>
      </c>
      <c r="D3338" s="2"/>
      <c r="E3338" s="2" t="s">
        <v>34</v>
      </c>
      <c r="F3338" s="2" t="s">
        <v>8892</v>
      </c>
      <c r="G3338" s="2" t="s">
        <v>8893</v>
      </c>
      <c r="H3338" s="12">
        <v>0.0</v>
      </c>
      <c r="I3338" s="2" t="s">
        <v>40</v>
      </c>
      <c r="J3338" s="2"/>
      <c r="K3338" s="2" t="s">
        <v>8894</v>
      </c>
      <c r="L3338" s="12">
        <v>584.0</v>
      </c>
      <c r="M3338" s="2" t="s">
        <v>8895</v>
      </c>
      <c r="N3338" s="2" t="str">
        <f>IFERROR(__xludf.DUMMYFUNCTION("""COMPUTED_VALUE"""),"")</f>
        <v/>
      </c>
    </row>
    <row r="3339">
      <c r="A3339" s="2" t="s">
        <v>33</v>
      </c>
      <c r="B3339" s="12">
        <v>3229603.0</v>
      </c>
      <c r="C3339" s="12">
        <v>3230415.0</v>
      </c>
      <c r="D3339" s="2"/>
      <c r="E3339" s="2" t="s">
        <v>34</v>
      </c>
      <c r="F3339" s="2" t="s">
        <v>8896</v>
      </c>
      <c r="G3339" s="2" t="s">
        <v>8897</v>
      </c>
      <c r="H3339" s="12">
        <v>0.0</v>
      </c>
      <c r="I3339" s="2" t="s">
        <v>40</v>
      </c>
      <c r="J3339" s="2"/>
      <c r="K3339" s="2" t="s">
        <v>8898</v>
      </c>
      <c r="L3339" s="12">
        <v>270.0</v>
      </c>
      <c r="M3339" s="2" t="s">
        <v>8899</v>
      </c>
      <c r="N3339" s="2" t="str">
        <f>IFERROR(__xludf.DUMMYFUNCTION("""COMPUTED_VALUE"""),"")</f>
        <v/>
      </c>
    </row>
    <row r="3340">
      <c r="A3340" s="2" t="s">
        <v>33</v>
      </c>
      <c r="B3340" s="12">
        <v>3230485.0</v>
      </c>
      <c r="C3340" s="12">
        <v>3231303.0</v>
      </c>
      <c r="D3340" s="2"/>
      <c r="E3340" s="2" t="s">
        <v>34</v>
      </c>
      <c r="F3340" s="2" t="s">
        <v>8900</v>
      </c>
      <c r="G3340" s="2" t="s">
        <v>8901</v>
      </c>
      <c r="H3340" s="12">
        <v>0.0</v>
      </c>
      <c r="I3340" s="2" t="s">
        <v>40</v>
      </c>
      <c r="J3340" s="2"/>
      <c r="K3340" s="2" t="s">
        <v>8902</v>
      </c>
      <c r="L3340" s="12">
        <v>272.0</v>
      </c>
      <c r="M3340" s="2" t="s">
        <v>8903</v>
      </c>
      <c r="N3340" s="2" t="str">
        <f>IFERROR(__xludf.DUMMYFUNCTION("""COMPUTED_VALUE"""),"")</f>
        <v/>
      </c>
    </row>
    <row r="3341">
      <c r="A3341" s="2" t="s">
        <v>33</v>
      </c>
      <c r="B3341" s="12">
        <v>3231748.0</v>
      </c>
      <c r="C3341" s="12">
        <v>3233193.0</v>
      </c>
      <c r="D3341" s="2"/>
      <c r="E3341" s="2" t="s">
        <v>34</v>
      </c>
      <c r="F3341" s="2" t="s">
        <v>8904</v>
      </c>
      <c r="G3341" s="2"/>
      <c r="H3341" s="12">
        <v>0.0</v>
      </c>
      <c r="I3341" s="2" t="s">
        <v>40</v>
      </c>
      <c r="J3341" s="2"/>
      <c r="K3341" s="2" t="s">
        <v>8905</v>
      </c>
      <c r="L3341" s="12">
        <v>481.0</v>
      </c>
      <c r="M3341" s="2" t="s">
        <v>8906</v>
      </c>
      <c r="N3341" s="2" t="str">
        <f>IFERROR(__xludf.DUMMYFUNCTION("""COMPUTED_VALUE"""),"")</f>
        <v/>
      </c>
    </row>
    <row r="3342">
      <c r="A3342" s="2" t="s">
        <v>33</v>
      </c>
      <c r="B3342" s="12">
        <v>3233194.0</v>
      </c>
      <c r="C3342" s="12">
        <v>3234300.0</v>
      </c>
      <c r="D3342" s="2"/>
      <c r="E3342" s="2" t="s">
        <v>34</v>
      </c>
      <c r="F3342" s="2" t="s">
        <v>8907</v>
      </c>
      <c r="G3342" s="2" t="s">
        <v>8908</v>
      </c>
      <c r="H3342" s="12">
        <v>0.0</v>
      </c>
      <c r="I3342" s="2" t="s">
        <v>40</v>
      </c>
      <c r="J3342" s="2"/>
      <c r="K3342" s="2" t="s">
        <v>8909</v>
      </c>
      <c r="L3342" s="12">
        <v>368.0</v>
      </c>
      <c r="M3342" s="2" t="s">
        <v>8910</v>
      </c>
      <c r="N3342" s="2" t="str">
        <f>IFERROR(__xludf.DUMMYFUNCTION("""COMPUTED_VALUE"""),"")</f>
        <v/>
      </c>
    </row>
    <row r="3343">
      <c r="A3343" s="2" t="s">
        <v>33</v>
      </c>
      <c r="B3343" s="12">
        <v>3234541.0</v>
      </c>
      <c r="C3343" s="12">
        <v>3235239.0</v>
      </c>
      <c r="D3343" s="2"/>
      <c r="E3343" s="2" t="s">
        <v>34</v>
      </c>
      <c r="F3343" s="2" t="s">
        <v>379</v>
      </c>
      <c r="G3343" s="2"/>
      <c r="H3343" s="12">
        <v>0.0</v>
      </c>
      <c r="I3343" s="2" t="s">
        <v>40</v>
      </c>
      <c r="J3343" s="2"/>
      <c r="K3343" s="2" t="s">
        <v>8911</v>
      </c>
      <c r="L3343" s="12">
        <v>232.0</v>
      </c>
      <c r="M3343" s="2" t="s">
        <v>8912</v>
      </c>
      <c r="N3343" s="2" t="str">
        <f>IFERROR(__xludf.DUMMYFUNCTION("""COMPUTED_VALUE"""),"")</f>
        <v/>
      </c>
    </row>
    <row r="3344">
      <c r="A3344" s="2" t="s">
        <v>33</v>
      </c>
      <c r="B3344" s="12">
        <v>3235232.0</v>
      </c>
      <c r="C3344" s="12">
        <v>3236338.0</v>
      </c>
      <c r="D3344" s="2"/>
      <c r="E3344" s="2" t="s">
        <v>34</v>
      </c>
      <c r="F3344" s="2" t="s">
        <v>382</v>
      </c>
      <c r="G3344" s="2"/>
      <c r="H3344" s="12">
        <v>0.0</v>
      </c>
      <c r="I3344" s="2" t="s">
        <v>40</v>
      </c>
      <c r="J3344" s="2"/>
      <c r="K3344" s="2" t="s">
        <v>8913</v>
      </c>
      <c r="L3344" s="12">
        <v>368.0</v>
      </c>
      <c r="M3344" s="2" t="s">
        <v>8914</v>
      </c>
      <c r="N3344" s="2" t="str">
        <f>IFERROR(__xludf.DUMMYFUNCTION("""COMPUTED_VALUE"""),"")</f>
        <v/>
      </c>
    </row>
    <row r="3345">
      <c r="A3345" s="2" t="s">
        <v>33</v>
      </c>
      <c r="B3345" s="12">
        <v>3236421.0</v>
      </c>
      <c r="C3345" s="12">
        <v>3237281.0</v>
      </c>
      <c r="D3345" s="2"/>
      <c r="E3345" s="2" t="s">
        <v>34</v>
      </c>
      <c r="F3345" s="2" t="s">
        <v>8915</v>
      </c>
      <c r="G3345" s="2"/>
      <c r="H3345" s="12">
        <v>0.0</v>
      </c>
      <c r="I3345" s="2" t="s">
        <v>40</v>
      </c>
      <c r="J3345" s="2"/>
      <c r="K3345" s="2" t="s">
        <v>8916</v>
      </c>
      <c r="L3345" s="12">
        <v>286.0</v>
      </c>
      <c r="M3345" s="2" t="s">
        <v>8917</v>
      </c>
      <c r="N3345" s="2" t="str">
        <f>IFERROR(__xludf.DUMMYFUNCTION("""COMPUTED_VALUE"""),"")</f>
        <v/>
      </c>
    </row>
    <row r="3346">
      <c r="A3346" s="2" t="s">
        <v>33</v>
      </c>
      <c r="B3346" s="12">
        <v>3237643.0</v>
      </c>
      <c r="C3346" s="12">
        <v>3238743.0</v>
      </c>
      <c r="D3346" s="2"/>
      <c r="E3346" s="2" t="s">
        <v>34</v>
      </c>
      <c r="F3346" s="2" t="s">
        <v>8918</v>
      </c>
      <c r="G3346" s="2"/>
      <c r="H3346" s="12">
        <v>0.0</v>
      </c>
      <c r="I3346" s="2" t="s">
        <v>40</v>
      </c>
      <c r="J3346" s="2"/>
      <c r="K3346" s="2" t="s">
        <v>8919</v>
      </c>
      <c r="L3346" s="12">
        <v>366.0</v>
      </c>
      <c r="M3346" s="2" t="s">
        <v>8920</v>
      </c>
      <c r="N3346" s="2" t="str">
        <f>IFERROR(__xludf.DUMMYFUNCTION("""COMPUTED_VALUE"""),"")</f>
        <v/>
      </c>
    </row>
    <row r="3347">
      <c r="A3347" s="2" t="s">
        <v>33</v>
      </c>
      <c r="B3347" s="12">
        <v>3238721.0</v>
      </c>
      <c r="C3347" s="12">
        <v>3239824.0</v>
      </c>
      <c r="D3347" s="2"/>
      <c r="E3347" s="2" t="s">
        <v>34</v>
      </c>
      <c r="F3347" s="2" t="s">
        <v>8921</v>
      </c>
      <c r="G3347" s="2"/>
      <c r="H3347" s="12">
        <v>0.0</v>
      </c>
      <c r="I3347" s="2" t="s">
        <v>40</v>
      </c>
      <c r="J3347" s="2"/>
      <c r="K3347" s="2" t="s">
        <v>8922</v>
      </c>
      <c r="L3347" s="12">
        <v>367.0</v>
      </c>
      <c r="M3347" s="2" t="s">
        <v>8923</v>
      </c>
      <c r="N3347" s="2" t="str">
        <f>IFERROR(__xludf.DUMMYFUNCTION("""COMPUTED_VALUE"""),"")</f>
        <v/>
      </c>
    </row>
    <row r="3348">
      <c r="A3348" s="2" t="s">
        <v>33</v>
      </c>
      <c r="B3348" s="12">
        <v>3239826.0</v>
      </c>
      <c r="C3348" s="12">
        <v>3240581.0</v>
      </c>
      <c r="D3348" s="2"/>
      <c r="E3348" s="2" t="s">
        <v>34</v>
      </c>
      <c r="F3348" s="2" t="s">
        <v>8924</v>
      </c>
      <c r="G3348" s="2" t="s">
        <v>8925</v>
      </c>
      <c r="H3348" s="12">
        <v>0.0</v>
      </c>
      <c r="I3348" s="2" t="s">
        <v>40</v>
      </c>
      <c r="J3348" s="2"/>
      <c r="K3348" s="2" t="s">
        <v>8926</v>
      </c>
      <c r="L3348" s="12">
        <v>251.0</v>
      </c>
      <c r="M3348" s="2" t="s">
        <v>8927</v>
      </c>
      <c r="N3348" s="2" t="str">
        <f>IFERROR(__xludf.DUMMYFUNCTION("""COMPUTED_VALUE"""),"")</f>
        <v/>
      </c>
    </row>
    <row r="3349">
      <c r="A3349" s="2" t="s">
        <v>33</v>
      </c>
      <c r="B3349" s="12">
        <v>3240574.0</v>
      </c>
      <c r="C3349" s="12">
        <v>3241590.0</v>
      </c>
      <c r="D3349" s="2"/>
      <c r="E3349" s="2" t="s">
        <v>34</v>
      </c>
      <c r="F3349" s="2" t="s">
        <v>8928</v>
      </c>
      <c r="G3349" s="2"/>
      <c r="H3349" s="12">
        <v>0.0</v>
      </c>
      <c r="I3349" s="2" t="s">
        <v>40</v>
      </c>
      <c r="J3349" s="2"/>
      <c r="K3349" s="2" t="s">
        <v>8929</v>
      </c>
      <c r="L3349" s="12">
        <v>338.0</v>
      </c>
      <c r="M3349" s="2" t="s">
        <v>8930</v>
      </c>
      <c r="N3349" s="2" t="str">
        <f>IFERROR(__xludf.DUMMYFUNCTION("""COMPUTED_VALUE"""),"")</f>
        <v/>
      </c>
    </row>
    <row r="3350">
      <c r="A3350" s="2" t="s">
        <v>33</v>
      </c>
      <c r="B3350" s="12">
        <v>3241590.0</v>
      </c>
      <c r="C3350" s="12">
        <v>3242315.0</v>
      </c>
      <c r="D3350" s="2"/>
      <c r="E3350" s="2" t="s">
        <v>34</v>
      </c>
      <c r="F3350" s="2" t="s">
        <v>2509</v>
      </c>
      <c r="G3350" s="2"/>
      <c r="H3350" s="12">
        <v>0.0</v>
      </c>
      <c r="I3350" s="2" t="s">
        <v>40</v>
      </c>
      <c r="J3350" s="2"/>
      <c r="K3350" s="2" t="s">
        <v>8931</v>
      </c>
      <c r="L3350" s="12">
        <v>241.0</v>
      </c>
      <c r="M3350" s="2" t="s">
        <v>8932</v>
      </c>
      <c r="N3350" s="2" t="str">
        <f>IFERROR(__xludf.DUMMYFUNCTION("""COMPUTED_VALUE"""),"")</f>
        <v/>
      </c>
    </row>
    <row r="3351">
      <c r="A3351" s="2" t="s">
        <v>33</v>
      </c>
      <c r="B3351" s="12">
        <v>3242364.0</v>
      </c>
      <c r="C3351" s="12">
        <v>3243689.0</v>
      </c>
      <c r="D3351" s="2"/>
      <c r="E3351" s="2" t="s">
        <v>34</v>
      </c>
      <c r="F3351" s="2" t="s">
        <v>8933</v>
      </c>
      <c r="G3351" s="2" t="s">
        <v>8934</v>
      </c>
      <c r="H3351" s="12">
        <v>0.0</v>
      </c>
      <c r="I3351" s="2" t="s">
        <v>40</v>
      </c>
      <c r="J3351" s="2"/>
      <c r="K3351" s="2" t="s">
        <v>8935</v>
      </c>
      <c r="L3351" s="12">
        <v>441.0</v>
      </c>
      <c r="M3351" s="2" t="s">
        <v>8936</v>
      </c>
      <c r="N3351" s="2" t="str">
        <f>IFERROR(__xludf.DUMMYFUNCTION("""COMPUTED_VALUE"""),"")</f>
        <v/>
      </c>
    </row>
    <row r="3352">
      <c r="A3352" s="2" t="s">
        <v>33</v>
      </c>
      <c r="B3352" s="12">
        <v>3243859.0</v>
      </c>
      <c r="C3352" s="12">
        <v>3244050.0</v>
      </c>
      <c r="D3352" s="2"/>
      <c r="E3352" s="2" t="s">
        <v>34</v>
      </c>
      <c r="F3352" s="2" t="s">
        <v>560</v>
      </c>
      <c r="G3352" s="2"/>
      <c r="H3352" s="12">
        <v>0.0</v>
      </c>
      <c r="I3352" s="2" t="s">
        <v>40</v>
      </c>
      <c r="J3352" s="2"/>
      <c r="K3352" s="2" t="s">
        <v>8937</v>
      </c>
      <c r="L3352" s="12">
        <v>63.0</v>
      </c>
      <c r="M3352" s="2" t="s">
        <v>8938</v>
      </c>
      <c r="N3352" s="2" t="str">
        <f>IFERROR(__xludf.DUMMYFUNCTION("""COMPUTED_VALUE"""),"")</f>
        <v/>
      </c>
    </row>
    <row r="3353">
      <c r="A3353" s="2" t="s">
        <v>33</v>
      </c>
      <c r="B3353" s="12">
        <v>3244104.0</v>
      </c>
      <c r="C3353" s="12">
        <v>3246080.0</v>
      </c>
      <c r="D3353" s="2"/>
      <c r="E3353" s="2" t="s">
        <v>38</v>
      </c>
      <c r="F3353" s="2" t="s">
        <v>791</v>
      </c>
      <c r="G3353" s="2"/>
      <c r="H3353" s="12">
        <v>0.0</v>
      </c>
      <c r="I3353" s="2" t="s">
        <v>40</v>
      </c>
      <c r="J3353" s="2"/>
      <c r="K3353" s="2" t="s">
        <v>8939</v>
      </c>
      <c r="L3353" s="12">
        <v>658.0</v>
      </c>
      <c r="M3353" s="2" t="s">
        <v>8940</v>
      </c>
      <c r="N3353" s="2" t="str">
        <f>IFERROR(__xludf.DUMMYFUNCTION("""COMPUTED_VALUE"""),"")</f>
        <v/>
      </c>
    </row>
    <row r="3354">
      <c r="A3354" s="2" t="s">
        <v>33</v>
      </c>
      <c r="B3354" s="12">
        <v>3246077.0</v>
      </c>
      <c r="C3354" s="12">
        <v>3246829.0</v>
      </c>
      <c r="D3354" s="2"/>
      <c r="E3354" s="2" t="s">
        <v>38</v>
      </c>
      <c r="F3354" s="2" t="s">
        <v>432</v>
      </c>
      <c r="G3354" s="2"/>
      <c r="H3354" s="12">
        <v>0.0</v>
      </c>
      <c r="I3354" s="2" t="s">
        <v>40</v>
      </c>
      <c r="J3354" s="2"/>
      <c r="K3354" s="2" t="s">
        <v>8941</v>
      </c>
      <c r="L3354" s="12">
        <v>250.0</v>
      </c>
      <c r="M3354" s="2" t="s">
        <v>8942</v>
      </c>
      <c r="N3354" s="2" t="str">
        <f>IFERROR(__xludf.DUMMYFUNCTION("""COMPUTED_VALUE"""),"")</f>
        <v/>
      </c>
    </row>
    <row r="3355">
      <c r="A3355" s="2" t="s">
        <v>33</v>
      </c>
      <c r="B3355" s="12">
        <v>3246850.0</v>
      </c>
      <c r="C3355" s="12">
        <v>3248805.0</v>
      </c>
      <c r="D3355" s="2"/>
      <c r="E3355" s="2" t="s">
        <v>38</v>
      </c>
      <c r="F3355" s="2" t="s">
        <v>265</v>
      </c>
      <c r="G3355" s="2"/>
      <c r="H3355" s="12">
        <v>0.0</v>
      </c>
      <c r="I3355" s="2" t="s">
        <v>40</v>
      </c>
      <c r="J3355" s="2"/>
      <c r="K3355" s="2" t="s">
        <v>8943</v>
      </c>
      <c r="L3355" s="12">
        <v>651.0</v>
      </c>
      <c r="M3355" s="2" t="s">
        <v>8944</v>
      </c>
      <c r="N3355" s="2" t="str">
        <f>IFERROR(__xludf.DUMMYFUNCTION("""COMPUTED_VALUE"""),"")</f>
        <v/>
      </c>
    </row>
    <row r="3356">
      <c r="A3356" s="2" t="s">
        <v>33</v>
      </c>
      <c r="B3356" s="12">
        <v>3248874.0</v>
      </c>
      <c r="C3356" s="12">
        <v>3250853.0</v>
      </c>
      <c r="D3356" s="2"/>
      <c r="E3356" s="2" t="s">
        <v>38</v>
      </c>
      <c r="F3356" s="2" t="s">
        <v>265</v>
      </c>
      <c r="G3356" s="2"/>
      <c r="H3356" s="12">
        <v>0.0</v>
      </c>
      <c r="I3356" s="2" t="s">
        <v>40</v>
      </c>
      <c r="J3356" s="2"/>
      <c r="K3356" s="2" t="s">
        <v>8945</v>
      </c>
      <c r="L3356" s="12">
        <v>659.0</v>
      </c>
      <c r="M3356" s="2" t="s">
        <v>8946</v>
      </c>
      <c r="N3356" s="2" t="str">
        <f>IFERROR(__xludf.DUMMYFUNCTION("""COMPUTED_VALUE"""),"")</f>
        <v/>
      </c>
    </row>
    <row r="3357">
      <c r="A3357" s="2" t="s">
        <v>33</v>
      </c>
      <c r="B3357" s="12">
        <v>3250948.0</v>
      </c>
      <c r="C3357" s="12">
        <v>3251970.0</v>
      </c>
      <c r="D3357" s="2"/>
      <c r="E3357" s="2" t="s">
        <v>38</v>
      </c>
      <c r="F3357" s="2" t="s">
        <v>5460</v>
      </c>
      <c r="G3357" s="2"/>
      <c r="H3357" s="12">
        <v>0.0</v>
      </c>
      <c r="I3357" s="2" t="s">
        <v>40</v>
      </c>
      <c r="J3357" s="2"/>
      <c r="K3357" s="2" t="s">
        <v>8947</v>
      </c>
      <c r="L3357" s="12">
        <v>340.0</v>
      </c>
      <c r="M3357" s="2" t="s">
        <v>8948</v>
      </c>
      <c r="N3357" s="2" t="str">
        <f>IFERROR(__xludf.DUMMYFUNCTION("""COMPUTED_VALUE"""),"")</f>
        <v/>
      </c>
    </row>
    <row r="3358">
      <c r="A3358" s="2" t="s">
        <v>33</v>
      </c>
      <c r="B3358" s="12">
        <v>3251973.0</v>
      </c>
      <c r="C3358" s="12">
        <v>3252668.0</v>
      </c>
      <c r="D3358" s="2"/>
      <c r="E3358" s="2" t="s">
        <v>38</v>
      </c>
      <c r="F3358" s="2" t="s">
        <v>379</v>
      </c>
      <c r="G3358" s="2"/>
      <c r="H3358" s="12">
        <v>0.0</v>
      </c>
      <c r="I3358" s="2" t="s">
        <v>40</v>
      </c>
      <c r="J3358" s="2"/>
      <c r="K3358" s="2" t="s">
        <v>8949</v>
      </c>
      <c r="L3358" s="12">
        <v>231.0</v>
      </c>
      <c r="M3358" s="2" t="s">
        <v>8950</v>
      </c>
      <c r="N3358" s="2" t="str">
        <f>IFERROR(__xludf.DUMMYFUNCTION("""COMPUTED_VALUE"""),"")</f>
        <v/>
      </c>
    </row>
    <row r="3359">
      <c r="A3359" s="2" t="s">
        <v>33</v>
      </c>
      <c r="B3359" s="12">
        <v>3252878.0</v>
      </c>
      <c r="C3359" s="12">
        <v>3253150.0</v>
      </c>
      <c r="D3359" s="2"/>
      <c r="E3359" s="2" t="s">
        <v>34</v>
      </c>
      <c r="F3359" s="2" t="s">
        <v>8951</v>
      </c>
      <c r="G3359" s="2"/>
      <c r="H3359" s="12">
        <v>0.0</v>
      </c>
      <c r="I3359" s="2" t="s">
        <v>40</v>
      </c>
      <c r="J3359" s="2"/>
      <c r="K3359" s="2" t="s">
        <v>8952</v>
      </c>
      <c r="L3359" s="12">
        <v>90.0</v>
      </c>
      <c r="M3359" s="2" t="s">
        <v>8953</v>
      </c>
      <c r="N3359" s="2" t="str">
        <f>IFERROR(__xludf.DUMMYFUNCTION("""COMPUTED_VALUE"""),"")</f>
        <v/>
      </c>
    </row>
    <row r="3360">
      <c r="A3360" s="2" t="s">
        <v>33</v>
      </c>
      <c r="B3360" s="12">
        <v>3253147.0</v>
      </c>
      <c r="C3360" s="12">
        <v>3253782.0</v>
      </c>
      <c r="D3360" s="2"/>
      <c r="E3360" s="2" t="s">
        <v>34</v>
      </c>
      <c r="F3360" s="2" t="s">
        <v>1813</v>
      </c>
      <c r="G3360" s="2"/>
      <c r="H3360" s="12">
        <v>0.0</v>
      </c>
      <c r="I3360" s="2" t="s">
        <v>40</v>
      </c>
      <c r="J3360" s="2"/>
      <c r="K3360" s="2" t="s">
        <v>8954</v>
      </c>
      <c r="L3360" s="12">
        <v>211.0</v>
      </c>
      <c r="M3360" s="2" t="s">
        <v>8955</v>
      </c>
      <c r="N3360" s="2" t="str">
        <f>IFERROR(__xludf.DUMMYFUNCTION("""COMPUTED_VALUE"""),"")</f>
        <v/>
      </c>
    </row>
    <row r="3361">
      <c r="A3361" s="2" t="s">
        <v>33</v>
      </c>
      <c r="B3361" s="12">
        <v>3253829.0</v>
      </c>
      <c r="C3361" s="12">
        <v>3254701.0</v>
      </c>
      <c r="D3361" s="2"/>
      <c r="E3361" s="2" t="s">
        <v>38</v>
      </c>
      <c r="F3361" s="2" t="s">
        <v>359</v>
      </c>
      <c r="G3361" s="2"/>
      <c r="H3361" s="12">
        <v>0.0</v>
      </c>
      <c r="I3361" s="2" t="s">
        <v>40</v>
      </c>
      <c r="J3361" s="2"/>
      <c r="K3361" s="2" t="s">
        <v>8956</v>
      </c>
      <c r="L3361" s="12">
        <v>290.0</v>
      </c>
      <c r="M3361" s="2" t="s">
        <v>8957</v>
      </c>
      <c r="N3361" s="2" t="str">
        <f>IFERROR(__xludf.DUMMYFUNCTION("""COMPUTED_VALUE"""),"")</f>
        <v/>
      </c>
    </row>
    <row r="3362">
      <c r="A3362" s="2" t="s">
        <v>33</v>
      </c>
      <c r="B3362" s="12">
        <v>3255008.0</v>
      </c>
      <c r="C3362" s="12">
        <v>3255778.0</v>
      </c>
      <c r="D3362" s="2"/>
      <c r="E3362" s="2" t="s">
        <v>34</v>
      </c>
      <c r="F3362" s="2" t="s">
        <v>432</v>
      </c>
      <c r="G3362" s="2"/>
      <c r="H3362" s="12">
        <v>0.0</v>
      </c>
      <c r="I3362" s="2" t="s">
        <v>40</v>
      </c>
      <c r="J3362" s="2"/>
      <c r="K3362" s="2" t="s">
        <v>8958</v>
      </c>
      <c r="L3362" s="12">
        <v>256.0</v>
      </c>
      <c r="M3362" s="2" t="s">
        <v>8959</v>
      </c>
      <c r="N3362" s="2" t="str">
        <f>IFERROR(__xludf.DUMMYFUNCTION("""COMPUTED_VALUE"""),"")</f>
        <v/>
      </c>
    </row>
    <row r="3363">
      <c r="A3363" s="2" t="s">
        <v>33</v>
      </c>
      <c r="B3363" s="12">
        <v>3255765.0</v>
      </c>
      <c r="C3363" s="12">
        <v>3257714.0</v>
      </c>
      <c r="D3363" s="2"/>
      <c r="E3363" s="2" t="s">
        <v>34</v>
      </c>
      <c r="F3363" s="2" t="s">
        <v>265</v>
      </c>
      <c r="G3363" s="2"/>
      <c r="H3363" s="12">
        <v>0.0</v>
      </c>
      <c r="I3363" s="2" t="s">
        <v>40</v>
      </c>
      <c r="J3363" s="2"/>
      <c r="K3363" s="2" t="s">
        <v>8960</v>
      </c>
      <c r="L3363" s="12">
        <v>649.0</v>
      </c>
      <c r="M3363" s="2" t="s">
        <v>8961</v>
      </c>
      <c r="N3363" s="2" t="str">
        <f>IFERROR(__xludf.DUMMYFUNCTION("""COMPUTED_VALUE"""),"")</f>
        <v/>
      </c>
    </row>
    <row r="3364">
      <c r="A3364" s="2" t="s">
        <v>33</v>
      </c>
      <c r="B3364" s="12">
        <v>3257858.0</v>
      </c>
      <c r="C3364" s="12">
        <v>3258436.0</v>
      </c>
      <c r="D3364" s="2"/>
      <c r="E3364" s="2" t="s">
        <v>34</v>
      </c>
      <c r="F3364" s="2" t="s">
        <v>289</v>
      </c>
      <c r="G3364" s="2"/>
      <c r="H3364" s="12">
        <v>0.0</v>
      </c>
      <c r="I3364" s="2" t="s">
        <v>40</v>
      </c>
      <c r="J3364" s="2"/>
      <c r="K3364" s="2" t="s">
        <v>8962</v>
      </c>
      <c r="L3364" s="12">
        <v>192.0</v>
      </c>
      <c r="M3364" s="2" t="s">
        <v>8963</v>
      </c>
      <c r="N3364" s="2" t="str">
        <f>IFERROR(__xludf.DUMMYFUNCTION("""COMPUTED_VALUE"""),"")</f>
        <v/>
      </c>
    </row>
    <row r="3365">
      <c r="A3365" s="2" t="s">
        <v>33</v>
      </c>
      <c r="B3365" s="12">
        <v>3258436.0</v>
      </c>
      <c r="C3365" s="12">
        <v>3259035.0</v>
      </c>
      <c r="D3365" s="2"/>
      <c r="E3365" s="2" t="s">
        <v>34</v>
      </c>
      <c r="F3365" s="2" t="s">
        <v>1608</v>
      </c>
      <c r="G3365" s="2"/>
      <c r="H3365" s="12">
        <v>0.0</v>
      </c>
      <c r="I3365" s="2" t="s">
        <v>40</v>
      </c>
      <c r="J3365" s="2"/>
      <c r="K3365" s="2" t="s">
        <v>8964</v>
      </c>
      <c r="L3365" s="12">
        <v>199.0</v>
      </c>
      <c r="M3365" s="2" t="s">
        <v>8965</v>
      </c>
      <c r="N3365" s="2" t="str">
        <f>IFERROR(__xludf.DUMMYFUNCTION("""COMPUTED_VALUE"""),"")</f>
        <v/>
      </c>
    </row>
    <row r="3366">
      <c r="A3366" s="2" t="s">
        <v>33</v>
      </c>
      <c r="B3366" s="12">
        <v>3259206.0</v>
      </c>
      <c r="C3366" s="12">
        <v>3259553.0</v>
      </c>
      <c r="D3366" s="2"/>
      <c r="E3366" s="2" t="s">
        <v>34</v>
      </c>
      <c r="F3366" s="2" t="s">
        <v>519</v>
      </c>
      <c r="G3366" s="2"/>
      <c r="H3366" s="12">
        <v>0.0</v>
      </c>
      <c r="I3366" s="2" t="s">
        <v>40</v>
      </c>
      <c r="J3366" s="2"/>
      <c r="K3366" s="2" t="s">
        <v>8966</v>
      </c>
      <c r="L3366" s="12">
        <v>115.0</v>
      </c>
      <c r="M3366" s="2" t="s">
        <v>8967</v>
      </c>
      <c r="N3366" s="2" t="str">
        <f>IFERROR(__xludf.DUMMYFUNCTION("""COMPUTED_VALUE"""),"")</f>
        <v/>
      </c>
    </row>
    <row r="3367">
      <c r="A3367" s="2" t="s">
        <v>33</v>
      </c>
      <c r="B3367" s="12">
        <v>3259630.0</v>
      </c>
      <c r="C3367" s="12">
        <v>3259809.0</v>
      </c>
      <c r="D3367" s="2"/>
      <c r="E3367" s="2" t="s">
        <v>34</v>
      </c>
      <c r="F3367" s="2" t="s">
        <v>39</v>
      </c>
      <c r="G3367" s="2"/>
      <c r="H3367" s="12">
        <v>0.0</v>
      </c>
      <c r="I3367" s="2" t="s">
        <v>40</v>
      </c>
      <c r="J3367" s="2"/>
      <c r="K3367" s="2" t="s">
        <v>8968</v>
      </c>
      <c r="L3367" s="12">
        <v>59.0</v>
      </c>
      <c r="M3367" s="2" t="s">
        <v>8969</v>
      </c>
      <c r="N3367" s="2" t="str">
        <f>IFERROR(__xludf.DUMMYFUNCTION("""COMPUTED_VALUE"""),"")</f>
        <v/>
      </c>
    </row>
    <row r="3368">
      <c r="A3368" s="2" t="s">
        <v>33</v>
      </c>
      <c r="B3368" s="12">
        <v>3259964.0</v>
      </c>
      <c r="C3368" s="12">
        <v>3260734.0</v>
      </c>
      <c r="D3368" s="2"/>
      <c r="E3368" s="2" t="s">
        <v>34</v>
      </c>
      <c r="F3368" s="2" t="s">
        <v>432</v>
      </c>
      <c r="G3368" s="2"/>
      <c r="H3368" s="12">
        <v>0.0</v>
      </c>
      <c r="I3368" s="2" t="s">
        <v>40</v>
      </c>
      <c r="J3368" s="2"/>
      <c r="K3368" s="2" t="s">
        <v>8970</v>
      </c>
      <c r="L3368" s="12">
        <v>256.0</v>
      </c>
      <c r="M3368" s="2" t="s">
        <v>8971</v>
      </c>
      <c r="N3368" s="2" t="str">
        <f>IFERROR(__xludf.DUMMYFUNCTION("""COMPUTED_VALUE"""),"")</f>
        <v/>
      </c>
    </row>
    <row r="3369">
      <c r="A3369" s="2" t="s">
        <v>33</v>
      </c>
      <c r="B3369" s="12">
        <v>3260721.0</v>
      </c>
      <c r="C3369" s="12">
        <v>3262625.0</v>
      </c>
      <c r="D3369" s="2"/>
      <c r="E3369" s="2" t="s">
        <v>34</v>
      </c>
      <c r="F3369" s="2" t="s">
        <v>265</v>
      </c>
      <c r="G3369" s="2"/>
      <c r="H3369" s="12">
        <v>0.0</v>
      </c>
      <c r="I3369" s="2" t="s">
        <v>40</v>
      </c>
      <c r="J3369" s="2"/>
      <c r="K3369" s="2" t="s">
        <v>8972</v>
      </c>
      <c r="L3369" s="12">
        <v>634.0</v>
      </c>
      <c r="M3369" s="2" t="s">
        <v>8973</v>
      </c>
      <c r="N3369" s="2" t="str">
        <f>IFERROR(__xludf.DUMMYFUNCTION("""COMPUTED_VALUE"""),"")</f>
        <v/>
      </c>
    </row>
    <row r="3370">
      <c r="A3370" s="2" t="s">
        <v>33</v>
      </c>
      <c r="B3370" s="12">
        <v>3262746.0</v>
      </c>
      <c r="C3370" s="12">
        <v>3262999.0</v>
      </c>
      <c r="D3370" s="2"/>
      <c r="E3370" s="2" t="s">
        <v>34</v>
      </c>
      <c r="F3370" s="2" t="s">
        <v>35</v>
      </c>
      <c r="G3370" s="2"/>
      <c r="H3370" s="12">
        <v>0.0</v>
      </c>
      <c r="I3370" s="2" t="s">
        <v>36</v>
      </c>
      <c r="J3370" s="2"/>
      <c r="K3370" s="2"/>
      <c r="L3370" s="2"/>
      <c r="M3370" s="2" t="s">
        <v>8974</v>
      </c>
      <c r="N3370" s="2" t="str">
        <f>IFERROR(__xludf.DUMMYFUNCTION("""COMPUTED_VALUE"""),"")</f>
        <v/>
      </c>
    </row>
    <row r="3371">
      <c r="A3371" s="2" t="s">
        <v>33</v>
      </c>
      <c r="B3371" s="12">
        <v>3263051.0</v>
      </c>
      <c r="C3371" s="12">
        <v>3263809.0</v>
      </c>
      <c r="D3371" s="2"/>
      <c r="E3371" s="2" t="s">
        <v>34</v>
      </c>
      <c r="F3371" s="2" t="s">
        <v>39</v>
      </c>
      <c r="G3371" s="2"/>
      <c r="H3371" s="12">
        <v>0.0</v>
      </c>
      <c r="I3371" s="2" t="s">
        <v>40</v>
      </c>
      <c r="J3371" s="2"/>
      <c r="K3371" s="2" t="s">
        <v>8975</v>
      </c>
      <c r="L3371" s="12">
        <v>252.0</v>
      </c>
      <c r="M3371" s="2" t="s">
        <v>8976</v>
      </c>
      <c r="N3371" s="2" t="str">
        <f>IFERROR(__xludf.DUMMYFUNCTION("""COMPUTED_VALUE"""),"")</f>
        <v/>
      </c>
    </row>
    <row r="3372">
      <c r="A3372" s="2" t="s">
        <v>33</v>
      </c>
      <c r="B3372" s="12">
        <v>3263837.0</v>
      </c>
      <c r="C3372" s="12">
        <v>3264616.0</v>
      </c>
      <c r="D3372" s="2"/>
      <c r="E3372" s="2" t="s">
        <v>34</v>
      </c>
      <c r="F3372" s="2" t="s">
        <v>8977</v>
      </c>
      <c r="G3372" s="2"/>
      <c r="H3372" s="12">
        <v>0.0</v>
      </c>
      <c r="I3372" s="2" t="s">
        <v>40</v>
      </c>
      <c r="J3372" s="2"/>
      <c r="K3372" s="2" t="s">
        <v>8978</v>
      </c>
      <c r="L3372" s="12">
        <v>259.0</v>
      </c>
      <c r="M3372" s="2" t="s">
        <v>8979</v>
      </c>
      <c r="N3372" s="2" t="str">
        <f>IFERROR(__xludf.DUMMYFUNCTION("""COMPUTED_VALUE"""),"")</f>
        <v/>
      </c>
    </row>
    <row r="3373">
      <c r="A3373" s="2" t="s">
        <v>33</v>
      </c>
      <c r="B3373" s="12">
        <v>3264601.0</v>
      </c>
      <c r="C3373" s="12">
        <v>3265359.0</v>
      </c>
      <c r="D3373" s="2"/>
      <c r="E3373" s="2" t="s">
        <v>34</v>
      </c>
      <c r="F3373" s="2" t="s">
        <v>8980</v>
      </c>
      <c r="G3373" s="2"/>
      <c r="H3373" s="12">
        <v>0.0</v>
      </c>
      <c r="I3373" s="2" t="s">
        <v>40</v>
      </c>
      <c r="J3373" s="2"/>
      <c r="K3373" s="2" t="s">
        <v>8981</v>
      </c>
      <c r="L3373" s="12">
        <v>252.0</v>
      </c>
      <c r="M3373" s="2" t="s">
        <v>8982</v>
      </c>
      <c r="N3373" s="2" t="str">
        <f>IFERROR(__xludf.DUMMYFUNCTION("""COMPUTED_VALUE"""),"")</f>
        <v/>
      </c>
    </row>
    <row r="3374">
      <c r="A3374" s="2" t="s">
        <v>33</v>
      </c>
      <c r="B3374" s="12">
        <v>3265400.0</v>
      </c>
      <c r="C3374" s="12">
        <v>3266347.0</v>
      </c>
      <c r="D3374" s="2"/>
      <c r="E3374" s="2" t="s">
        <v>38</v>
      </c>
      <c r="F3374" s="2" t="s">
        <v>8983</v>
      </c>
      <c r="G3374" s="2"/>
      <c r="H3374" s="12">
        <v>0.0</v>
      </c>
      <c r="I3374" s="2" t="s">
        <v>40</v>
      </c>
      <c r="J3374" s="2"/>
      <c r="K3374" s="2" t="s">
        <v>8984</v>
      </c>
      <c r="L3374" s="12">
        <v>315.0</v>
      </c>
      <c r="M3374" s="2" t="s">
        <v>8985</v>
      </c>
      <c r="N3374" s="2" t="str">
        <f>IFERROR(__xludf.DUMMYFUNCTION("""COMPUTED_VALUE"""),"")</f>
        <v/>
      </c>
    </row>
    <row r="3375">
      <c r="A3375" s="2" t="s">
        <v>33</v>
      </c>
      <c r="B3375" s="12">
        <v>3266538.0</v>
      </c>
      <c r="C3375" s="12">
        <v>3267209.0</v>
      </c>
      <c r="D3375" s="2"/>
      <c r="E3375" s="2" t="s">
        <v>34</v>
      </c>
      <c r="F3375" s="2" t="s">
        <v>8986</v>
      </c>
      <c r="G3375" s="2"/>
      <c r="H3375" s="12">
        <v>0.0</v>
      </c>
      <c r="I3375" s="2" t="s">
        <v>40</v>
      </c>
      <c r="J3375" s="2"/>
      <c r="K3375" s="2" t="s">
        <v>8987</v>
      </c>
      <c r="L3375" s="12">
        <v>223.0</v>
      </c>
      <c r="M3375" s="2" t="s">
        <v>8988</v>
      </c>
      <c r="N3375" s="2" t="str">
        <f>IFERROR(__xludf.DUMMYFUNCTION("""COMPUTED_VALUE"""),"")</f>
        <v/>
      </c>
    </row>
    <row r="3376">
      <c r="A3376" s="2" t="s">
        <v>33</v>
      </c>
      <c r="B3376" s="12">
        <v>3267234.0</v>
      </c>
      <c r="C3376" s="12">
        <v>3267743.0</v>
      </c>
      <c r="D3376" s="2"/>
      <c r="E3376" s="2" t="s">
        <v>34</v>
      </c>
      <c r="F3376" s="2" t="s">
        <v>8989</v>
      </c>
      <c r="G3376" s="2"/>
      <c r="H3376" s="12">
        <v>0.0</v>
      </c>
      <c r="I3376" s="2" t="s">
        <v>40</v>
      </c>
      <c r="J3376" s="2"/>
      <c r="K3376" s="2" t="s">
        <v>8990</v>
      </c>
      <c r="L3376" s="12">
        <v>169.0</v>
      </c>
      <c r="M3376" s="2" t="s">
        <v>8991</v>
      </c>
      <c r="N3376" s="2" t="str">
        <f>IFERROR(__xludf.DUMMYFUNCTION("""COMPUTED_VALUE"""),"")</f>
        <v/>
      </c>
    </row>
    <row r="3377">
      <c r="A3377" s="2" t="s">
        <v>33</v>
      </c>
      <c r="B3377" s="12">
        <v>3267785.0</v>
      </c>
      <c r="C3377" s="12">
        <v>3268687.0</v>
      </c>
      <c r="D3377" s="2"/>
      <c r="E3377" s="2" t="s">
        <v>38</v>
      </c>
      <c r="F3377" s="2" t="s">
        <v>8992</v>
      </c>
      <c r="G3377" s="2"/>
      <c r="H3377" s="12">
        <v>0.0</v>
      </c>
      <c r="I3377" s="2" t="s">
        <v>40</v>
      </c>
      <c r="J3377" s="2"/>
      <c r="K3377" s="2" t="s">
        <v>8993</v>
      </c>
      <c r="L3377" s="12">
        <v>300.0</v>
      </c>
      <c r="M3377" s="2" t="s">
        <v>8994</v>
      </c>
      <c r="N3377" s="2" t="str">
        <f>IFERROR(__xludf.DUMMYFUNCTION("""COMPUTED_VALUE"""),"")</f>
        <v/>
      </c>
    </row>
    <row r="3378">
      <c r="A3378" s="2" t="s">
        <v>33</v>
      </c>
      <c r="B3378" s="12">
        <v>3268770.0</v>
      </c>
      <c r="C3378" s="12">
        <v>3269297.0</v>
      </c>
      <c r="D3378" s="2"/>
      <c r="E3378" s="2" t="s">
        <v>38</v>
      </c>
      <c r="F3378" s="2" t="s">
        <v>6982</v>
      </c>
      <c r="G3378" s="2" t="s">
        <v>6983</v>
      </c>
      <c r="H3378" s="12">
        <v>0.0</v>
      </c>
      <c r="I3378" s="2" t="s">
        <v>40</v>
      </c>
      <c r="J3378" s="2"/>
      <c r="K3378" s="2" t="s">
        <v>8995</v>
      </c>
      <c r="L3378" s="12">
        <v>175.0</v>
      </c>
      <c r="M3378" s="2" t="s">
        <v>8996</v>
      </c>
      <c r="N3378" s="2" t="str">
        <f>IFERROR(__xludf.DUMMYFUNCTION("""COMPUTED_VALUE"""),"")</f>
        <v/>
      </c>
    </row>
    <row r="3379">
      <c r="A3379" s="2" t="s">
        <v>33</v>
      </c>
      <c r="B3379" s="12">
        <v>3269459.0</v>
      </c>
      <c r="C3379" s="12">
        <v>3269674.0</v>
      </c>
      <c r="D3379" s="2"/>
      <c r="E3379" s="2" t="s">
        <v>34</v>
      </c>
      <c r="F3379" s="2" t="s">
        <v>39</v>
      </c>
      <c r="G3379" s="2"/>
      <c r="H3379" s="12">
        <v>0.0</v>
      </c>
      <c r="I3379" s="2" t="s">
        <v>40</v>
      </c>
      <c r="J3379" s="2"/>
      <c r="K3379" s="2" t="s">
        <v>8997</v>
      </c>
      <c r="L3379" s="12">
        <v>71.0</v>
      </c>
      <c r="M3379" s="2" t="s">
        <v>8998</v>
      </c>
      <c r="N3379" s="2" t="str">
        <f>IFERROR(__xludf.DUMMYFUNCTION("""COMPUTED_VALUE"""),"")</f>
        <v/>
      </c>
    </row>
    <row r="3380">
      <c r="A3380" s="2" t="s">
        <v>33</v>
      </c>
      <c r="B3380" s="12">
        <v>3269858.0</v>
      </c>
      <c r="C3380" s="12">
        <v>3270190.0</v>
      </c>
      <c r="D3380" s="2"/>
      <c r="E3380" s="2" t="s">
        <v>34</v>
      </c>
      <c r="F3380" s="2" t="s">
        <v>39</v>
      </c>
      <c r="G3380" s="2"/>
      <c r="H3380" s="12">
        <v>0.0</v>
      </c>
      <c r="I3380" s="2" t="s">
        <v>40</v>
      </c>
      <c r="J3380" s="2"/>
      <c r="K3380" s="2" t="s">
        <v>8999</v>
      </c>
      <c r="L3380" s="12">
        <v>110.0</v>
      </c>
      <c r="M3380" s="2" t="s">
        <v>9000</v>
      </c>
      <c r="N3380" s="2" t="str">
        <f>IFERROR(__xludf.DUMMYFUNCTION("""COMPUTED_VALUE"""),"")</f>
        <v/>
      </c>
    </row>
    <row r="3381">
      <c r="A3381" s="2" t="s">
        <v>33</v>
      </c>
      <c r="B3381" s="12">
        <v>3270369.0</v>
      </c>
      <c r="C3381" s="12">
        <v>3270857.0</v>
      </c>
      <c r="D3381" s="2"/>
      <c r="E3381" s="2" t="s">
        <v>34</v>
      </c>
      <c r="F3381" s="2" t="s">
        <v>356</v>
      </c>
      <c r="G3381" s="2"/>
      <c r="H3381" s="12">
        <v>0.0</v>
      </c>
      <c r="I3381" s="2" t="s">
        <v>40</v>
      </c>
      <c r="J3381" s="2"/>
      <c r="K3381" s="2" t="s">
        <v>9001</v>
      </c>
      <c r="L3381" s="12">
        <v>162.0</v>
      </c>
      <c r="M3381" s="2" t="s">
        <v>9002</v>
      </c>
      <c r="N3381" s="2" t="str">
        <f>IFERROR(__xludf.DUMMYFUNCTION("""COMPUTED_VALUE"""),"")</f>
        <v/>
      </c>
    </row>
    <row r="3382">
      <c r="A3382" s="2" t="s">
        <v>33</v>
      </c>
      <c r="B3382" s="12">
        <v>3270947.0</v>
      </c>
      <c r="C3382" s="12">
        <v>3271567.0</v>
      </c>
      <c r="D3382" s="2"/>
      <c r="E3382" s="2" t="s">
        <v>34</v>
      </c>
      <c r="F3382" s="2" t="s">
        <v>4619</v>
      </c>
      <c r="G3382" s="2"/>
      <c r="H3382" s="12">
        <v>0.0</v>
      </c>
      <c r="I3382" s="2" t="s">
        <v>40</v>
      </c>
      <c r="J3382" s="2"/>
      <c r="K3382" s="2" t="s">
        <v>9003</v>
      </c>
      <c r="L3382" s="12">
        <v>206.0</v>
      </c>
      <c r="M3382" s="2" t="s">
        <v>9004</v>
      </c>
      <c r="N3382" s="2" t="str">
        <f>IFERROR(__xludf.DUMMYFUNCTION("""COMPUTED_VALUE"""),"")</f>
        <v/>
      </c>
    </row>
    <row r="3383">
      <c r="A3383" s="2" t="s">
        <v>33</v>
      </c>
      <c r="B3383" s="12">
        <v>3271607.0</v>
      </c>
      <c r="C3383" s="12">
        <v>3272296.0</v>
      </c>
      <c r="D3383" s="2"/>
      <c r="E3383" s="2" t="s">
        <v>34</v>
      </c>
      <c r="F3383" s="2" t="s">
        <v>379</v>
      </c>
      <c r="G3383" s="2"/>
      <c r="H3383" s="12">
        <v>0.0</v>
      </c>
      <c r="I3383" s="2" t="s">
        <v>40</v>
      </c>
      <c r="J3383" s="2"/>
      <c r="K3383" s="2" t="s">
        <v>9005</v>
      </c>
      <c r="L3383" s="12">
        <v>229.0</v>
      </c>
      <c r="M3383" s="2" t="s">
        <v>9006</v>
      </c>
      <c r="N3383" s="2" t="str">
        <f>IFERROR(__xludf.DUMMYFUNCTION("""COMPUTED_VALUE"""),"")</f>
        <v/>
      </c>
    </row>
    <row r="3384">
      <c r="A3384" s="2" t="s">
        <v>33</v>
      </c>
      <c r="B3384" s="12">
        <v>3272293.0</v>
      </c>
      <c r="C3384" s="12">
        <v>3274146.0</v>
      </c>
      <c r="D3384" s="2"/>
      <c r="E3384" s="2" t="s">
        <v>34</v>
      </c>
      <c r="F3384" s="2" t="s">
        <v>382</v>
      </c>
      <c r="G3384" s="2"/>
      <c r="H3384" s="12">
        <v>0.0</v>
      </c>
      <c r="I3384" s="2" t="s">
        <v>40</v>
      </c>
      <c r="J3384" s="2"/>
      <c r="K3384" s="2" t="s">
        <v>9007</v>
      </c>
      <c r="L3384" s="12">
        <v>617.0</v>
      </c>
      <c r="M3384" s="2" t="s">
        <v>9008</v>
      </c>
      <c r="N3384" s="2" t="str">
        <f>IFERROR(__xludf.DUMMYFUNCTION("""COMPUTED_VALUE"""),"")</f>
        <v/>
      </c>
    </row>
    <row r="3385">
      <c r="A3385" s="2" t="s">
        <v>33</v>
      </c>
      <c r="B3385" s="12">
        <v>3274354.0</v>
      </c>
      <c r="C3385" s="12">
        <v>3275022.0</v>
      </c>
      <c r="D3385" s="2"/>
      <c r="E3385" s="2" t="s">
        <v>38</v>
      </c>
      <c r="F3385" s="2" t="s">
        <v>9009</v>
      </c>
      <c r="G3385" s="2" t="s">
        <v>9010</v>
      </c>
      <c r="H3385" s="12">
        <v>0.0</v>
      </c>
      <c r="I3385" s="2" t="s">
        <v>40</v>
      </c>
      <c r="J3385" s="2"/>
      <c r="K3385" s="2" t="s">
        <v>9011</v>
      </c>
      <c r="L3385" s="12">
        <v>222.0</v>
      </c>
      <c r="M3385" s="2" t="s">
        <v>9012</v>
      </c>
      <c r="N3385" s="2" t="str">
        <f>IFERROR(__xludf.DUMMYFUNCTION("""COMPUTED_VALUE"""),"")</f>
        <v/>
      </c>
    </row>
    <row r="3386">
      <c r="A3386" s="2" t="s">
        <v>33</v>
      </c>
      <c r="B3386" s="12">
        <v>3275405.0</v>
      </c>
      <c r="C3386" s="12">
        <v>3275632.0</v>
      </c>
      <c r="D3386" s="2"/>
      <c r="E3386" s="2" t="s">
        <v>34</v>
      </c>
      <c r="F3386" s="2" t="s">
        <v>5282</v>
      </c>
      <c r="G3386" s="2"/>
      <c r="H3386" s="12">
        <v>0.0</v>
      </c>
      <c r="I3386" s="2" t="s">
        <v>40</v>
      </c>
      <c r="J3386" s="2"/>
      <c r="K3386" s="2" t="s">
        <v>9013</v>
      </c>
      <c r="L3386" s="12">
        <v>75.0</v>
      </c>
      <c r="M3386" s="2" t="s">
        <v>9014</v>
      </c>
      <c r="N3386" s="2" t="str">
        <f>IFERROR(__xludf.DUMMYFUNCTION("""COMPUTED_VALUE"""),"")</f>
        <v/>
      </c>
    </row>
    <row r="3387">
      <c r="A3387" s="2" t="s">
        <v>33</v>
      </c>
      <c r="B3387" s="12">
        <v>3275629.0</v>
      </c>
      <c r="C3387" s="12">
        <v>3277617.0</v>
      </c>
      <c r="D3387" s="2"/>
      <c r="E3387" s="2" t="s">
        <v>34</v>
      </c>
      <c r="F3387" s="2" t="s">
        <v>9015</v>
      </c>
      <c r="G3387" s="2" t="s">
        <v>9016</v>
      </c>
      <c r="H3387" s="12">
        <v>0.0</v>
      </c>
      <c r="I3387" s="2" t="s">
        <v>40</v>
      </c>
      <c r="J3387" s="2"/>
      <c r="K3387" s="2" t="s">
        <v>9017</v>
      </c>
      <c r="L3387" s="12">
        <v>662.0</v>
      </c>
      <c r="M3387" s="2" t="s">
        <v>9018</v>
      </c>
      <c r="N3387" s="2" t="str">
        <f>IFERROR(__xludf.DUMMYFUNCTION("""COMPUTED_VALUE"""),"")</f>
        <v/>
      </c>
    </row>
    <row r="3388">
      <c r="A3388" s="2" t="s">
        <v>33</v>
      </c>
      <c r="B3388" s="12">
        <v>3277634.0</v>
      </c>
      <c r="C3388" s="12">
        <v>3277804.0</v>
      </c>
      <c r="D3388" s="2"/>
      <c r="E3388" s="2" t="s">
        <v>34</v>
      </c>
      <c r="F3388" s="2" t="s">
        <v>9019</v>
      </c>
      <c r="G3388" s="2"/>
      <c r="H3388" s="12">
        <v>0.0</v>
      </c>
      <c r="I3388" s="2" t="s">
        <v>40</v>
      </c>
      <c r="J3388" s="2"/>
      <c r="K3388" s="2" t="s">
        <v>9020</v>
      </c>
      <c r="L3388" s="12">
        <v>56.0</v>
      </c>
      <c r="M3388" s="2" t="s">
        <v>9021</v>
      </c>
      <c r="N3388" s="2" t="str">
        <f>IFERROR(__xludf.DUMMYFUNCTION("""COMPUTED_VALUE"""),"")</f>
        <v/>
      </c>
    </row>
    <row r="3389">
      <c r="A3389" s="2" t="s">
        <v>33</v>
      </c>
      <c r="B3389" s="12">
        <v>3277859.0</v>
      </c>
      <c r="C3389" s="12">
        <v>3279216.0</v>
      </c>
      <c r="D3389" s="2"/>
      <c r="E3389" s="2" t="s">
        <v>38</v>
      </c>
      <c r="F3389" s="2" t="s">
        <v>35</v>
      </c>
      <c r="G3389" s="2"/>
      <c r="H3389" s="12">
        <v>0.0</v>
      </c>
      <c r="I3389" s="2" t="s">
        <v>36</v>
      </c>
      <c r="J3389" s="2"/>
      <c r="K3389" s="2"/>
      <c r="L3389" s="2"/>
      <c r="M3389" s="2" t="s">
        <v>9022</v>
      </c>
      <c r="N3389" s="2" t="str">
        <f>IFERROR(__xludf.DUMMYFUNCTION("""COMPUTED_VALUE"""),"")</f>
        <v/>
      </c>
    </row>
    <row r="3390">
      <c r="A3390" s="2" t="s">
        <v>33</v>
      </c>
      <c r="B3390" s="12">
        <v>3279312.0</v>
      </c>
      <c r="C3390" s="12">
        <v>3279836.0</v>
      </c>
      <c r="D3390" s="2"/>
      <c r="E3390" s="2" t="s">
        <v>38</v>
      </c>
      <c r="F3390" s="2" t="s">
        <v>35</v>
      </c>
      <c r="G3390" s="2"/>
      <c r="H3390" s="12">
        <v>0.0</v>
      </c>
      <c r="I3390" s="2" t="s">
        <v>36</v>
      </c>
      <c r="J3390" s="2"/>
      <c r="K3390" s="2"/>
      <c r="L3390" s="2"/>
      <c r="M3390" s="2" t="s">
        <v>9023</v>
      </c>
      <c r="N3390" s="2" t="str">
        <f>IFERROR(__xludf.DUMMYFUNCTION("""COMPUTED_VALUE"""),"")</f>
        <v/>
      </c>
    </row>
    <row r="3391">
      <c r="A3391" s="2" t="s">
        <v>33</v>
      </c>
      <c r="B3391" s="12">
        <v>3279864.0</v>
      </c>
      <c r="C3391" s="12">
        <v>3280442.0</v>
      </c>
      <c r="D3391" s="2"/>
      <c r="E3391" s="2" t="s">
        <v>38</v>
      </c>
      <c r="F3391" s="2" t="s">
        <v>262</v>
      </c>
      <c r="G3391" s="2"/>
      <c r="H3391" s="12">
        <v>0.0</v>
      </c>
      <c r="I3391" s="2" t="s">
        <v>40</v>
      </c>
      <c r="J3391" s="2"/>
      <c r="K3391" s="2" t="s">
        <v>9024</v>
      </c>
      <c r="L3391" s="12">
        <v>192.0</v>
      </c>
      <c r="M3391" s="2" t="s">
        <v>9025</v>
      </c>
      <c r="N3391" s="2" t="str">
        <f>IFERROR(__xludf.DUMMYFUNCTION("""COMPUTED_VALUE"""),"")</f>
        <v/>
      </c>
    </row>
    <row r="3392">
      <c r="A3392" s="2" t="s">
        <v>33</v>
      </c>
      <c r="B3392" s="12">
        <v>3280845.0</v>
      </c>
      <c r="C3392" s="12">
        <v>3281510.0</v>
      </c>
      <c r="D3392" s="2"/>
      <c r="E3392" s="2" t="s">
        <v>34</v>
      </c>
      <c r="F3392" s="2" t="s">
        <v>3307</v>
      </c>
      <c r="G3392" s="2"/>
      <c r="H3392" s="12">
        <v>0.0</v>
      </c>
      <c r="I3392" s="2" t="s">
        <v>40</v>
      </c>
      <c r="J3392" s="2"/>
      <c r="K3392" s="2" t="s">
        <v>9026</v>
      </c>
      <c r="L3392" s="12">
        <v>221.0</v>
      </c>
      <c r="M3392" s="2" t="s">
        <v>9027</v>
      </c>
      <c r="N3392" s="2" t="str">
        <f>IFERROR(__xludf.DUMMYFUNCTION("""COMPUTED_VALUE"""),"")</f>
        <v/>
      </c>
    </row>
    <row r="3393">
      <c r="A3393" s="2" t="s">
        <v>33</v>
      </c>
      <c r="B3393" s="12">
        <v>3281739.0</v>
      </c>
      <c r="C3393" s="12">
        <v>3282143.0</v>
      </c>
      <c r="D3393" s="2"/>
      <c r="E3393" s="2" t="s">
        <v>34</v>
      </c>
      <c r="F3393" s="2" t="s">
        <v>2863</v>
      </c>
      <c r="G3393" s="2"/>
      <c r="H3393" s="12">
        <v>0.0</v>
      </c>
      <c r="I3393" s="2" t="s">
        <v>40</v>
      </c>
      <c r="J3393" s="2"/>
      <c r="K3393" s="2" t="s">
        <v>9028</v>
      </c>
      <c r="L3393" s="12">
        <v>134.0</v>
      </c>
      <c r="M3393" s="2" t="s">
        <v>9029</v>
      </c>
      <c r="N3393" s="2" t="str">
        <f>IFERROR(__xludf.DUMMYFUNCTION("""COMPUTED_VALUE"""),"")</f>
        <v/>
      </c>
    </row>
    <row r="3394">
      <c r="A3394" s="2" t="s">
        <v>33</v>
      </c>
      <c r="B3394" s="12">
        <v>3282165.0</v>
      </c>
      <c r="C3394" s="12">
        <v>3282671.0</v>
      </c>
      <c r="D3394" s="2"/>
      <c r="E3394" s="2" t="s">
        <v>34</v>
      </c>
      <c r="F3394" s="2" t="s">
        <v>9030</v>
      </c>
      <c r="G3394" s="2"/>
      <c r="H3394" s="12">
        <v>0.0</v>
      </c>
      <c r="I3394" s="2" t="s">
        <v>40</v>
      </c>
      <c r="J3394" s="2"/>
      <c r="K3394" s="2" t="s">
        <v>9031</v>
      </c>
      <c r="L3394" s="12">
        <v>168.0</v>
      </c>
      <c r="M3394" s="2" t="s">
        <v>9032</v>
      </c>
      <c r="N3394" s="2" t="str">
        <f>IFERROR(__xludf.DUMMYFUNCTION("""COMPUTED_VALUE"""),"")</f>
        <v/>
      </c>
    </row>
    <row r="3395">
      <c r="A3395" s="2" t="s">
        <v>33</v>
      </c>
      <c r="B3395" s="12">
        <v>3282684.0</v>
      </c>
      <c r="C3395" s="12">
        <v>3283499.0</v>
      </c>
      <c r="D3395" s="2"/>
      <c r="E3395" s="2" t="s">
        <v>34</v>
      </c>
      <c r="F3395" s="2" t="s">
        <v>9033</v>
      </c>
      <c r="G3395" s="2"/>
      <c r="H3395" s="12">
        <v>0.0</v>
      </c>
      <c r="I3395" s="2" t="s">
        <v>40</v>
      </c>
      <c r="J3395" s="2"/>
      <c r="K3395" s="2" t="s">
        <v>9034</v>
      </c>
      <c r="L3395" s="12">
        <v>271.0</v>
      </c>
      <c r="M3395" s="2" t="s">
        <v>9035</v>
      </c>
      <c r="N3395" s="2" t="str">
        <f>IFERROR(__xludf.DUMMYFUNCTION("""COMPUTED_VALUE"""),"")</f>
        <v/>
      </c>
    </row>
    <row r="3396">
      <c r="A3396" s="2" t="s">
        <v>33</v>
      </c>
      <c r="B3396" s="12">
        <v>3283599.0</v>
      </c>
      <c r="C3396" s="12">
        <v>3283817.0</v>
      </c>
      <c r="D3396" s="2"/>
      <c r="E3396" s="2" t="s">
        <v>34</v>
      </c>
      <c r="F3396" s="2" t="s">
        <v>39</v>
      </c>
      <c r="G3396" s="2"/>
      <c r="H3396" s="12">
        <v>0.0</v>
      </c>
      <c r="I3396" s="2" t="s">
        <v>40</v>
      </c>
      <c r="J3396" s="2"/>
      <c r="K3396" s="2" t="s">
        <v>9036</v>
      </c>
      <c r="L3396" s="12">
        <v>72.0</v>
      </c>
      <c r="M3396" s="2" t="s">
        <v>9037</v>
      </c>
      <c r="N3396" s="2" t="str">
        <f>IFERROR(__xludf.DUMMYFUNCTION("""COMPUTED_VALUE"""),"")</f>
        <v/>
      </c>
    </row>
    <row r="3397">
      <c r="A3397" s="2" t="s">
        <v>33</v>
      </c>
      <c r="B3397" s="12">
        <v>3283925.0</v>
      </c>
      <c r="C3397" s="12">
        <v>3284797.0</v>
      </c>
      <c r="D3397" s="2"/>
      <c r="E3397" s="2" t="s">
        <v>38</v>
      </c>
      <c r="F3397" s="2" t="s">
        <v>1506</v>
      </c>
      <c r="G3397" s="2"/>
      <c r="H3397" s="12">
        <v>0.0</v>
      </c>
      <c r="I3397" s="2" t="s">
        <v>40</v>
      </c>
      <c r="J3397" s="2"/>
      <c r="K3397" s="2" t="s">
        <v>9038</v>
      </c>
      <c r="L3397" s="12">
        <v>290.0</v>
      </c>
      <c r="M3397" s="2" t="s">
        <v>9039</v>
      </c>
      <c r="N3397" s="2" t="str">
        <f>IFERROR(__xludf.DUMMYFUNCTION("""COMPUTED_VALUE"""),"")</f>
        <v/>
      </c>
    </row>
    <row r="3398">
      <c r="A3398" s="2" t="s">
        <v>33</v>
      </c>
      <c r="B3398" s="12">
        <v>3284985.0</v>
      </c>
      <c r="C3398" s="12">
        <v>3286022.0</v>
      </c>
      <c r="D3398" s="2"/>
      <c r="E3398" s="2" t="s">
        <v>38</v>
      </c>
      <c r="F3398" s="2" t="s">
        <v>1046</v>
      </c>
      <c r="G3398" s="2"/>
      <c r="H3398" s="12">
        <v>0.0</v>
      </c>
      <c r="I3398" s="2" t="s">
        <v>40</v>
      </c>
      <c r="J3398" s="2"/>
      <c r="K3398" s="2" t="s">
        <v>9040</v>
      </c>
      <c r="L3398" s="12">
        <v>345.0</v>
      </c>
      <c r="M3398" s="2" t="s">
        <v>9041</v>
      </c>
      <c r="N3398" s="2" t="str">
        <f>IFERROR(__xludf.DUMMYFUNCTION("""COMPUTED_VALUE"""),"")</f>
        <v/>
      </c>
    </row>
    <row r="3399">
      <c r="A3399" s="2" t="s">
        <v>33</v>
      </c>
      <c r="B3399" s="12">
        <v>3286696.0</v>
      </c>
      <c r="C3399" s="12">
        <v>3286929.0</v>
      </c>
      <c r="D3399" s="2"/>
      <c r="E3399" s="2" t="s">
        <v>34</v>
      </c>
      <c r="F3399" s="2" t="s">
        <v>5082</v>
      </c>
      <c r="G3399" s="2"/>
      <c r="H3399" s="12">
        <v>0.0</v>
      </c>
      <c r="I3399" s="2" t="s">
        <v>40</v>
      </c>
      <c r="J3399" s="2"/>
      <c r="K3399" s="2" t="s">
        <v>9042</v>
      </c>
      <c r="L3399" s="12">
        <v>77.0</v>
      </c>
      <c r="M3399" s="2" t="s">
        <v>9043</v>
      </c>
      <c r="N3399" s="2" t="str">
        <f>IFERROR(__xludf.DUMMYFUNCTION("""COMPUTED_VALUE"""),"")</f>
        <v/>
      </c>
    </row>
    <row r="3400">
      <c r="A3400" s="2" t="s">
        <v>33</v>
      </c>
      <c r="B3400" s="12">
        <v>3287095.0</v>
      </c>
      <c r="C3400" s="12">
        <v>3288123.0</v>
      </c>
      <c r="D3400" s="2"/>
      <c r="E3400" s="2" t="s">
        <v>38</v>
      </c>
      <c r="F3400" s="2" t="s">
        <v>1876</v>
      </c>
      <c r="G3400" s="2" t="s">
        <v>1877</v>
      </c>
      <c r="H3400" s="12">
        <v>0.0</v>
      </c>
      <c r="I3400" s="2" t="s">
        <v>40</v>
      </c>
      <c r="J3400" s="2"/>
      <c r="K3400" s="2" t="s">
        <v>9044</v>
      </c>
      <c r="L3400" s="12">
        <v>342.0</v>
      </c>
      <c r="M3400" s="2" t="s">
        <v>9045</v>
      </c>
      <c r="N3400" s="2" t="str">
        <f>IFERROR(__xludf.DUMMYFUNCTION("""COMPUTED_VALUE"""),"")</f>
        <v/>
      </c>
    </row>
    <row r="3401">
      <c r="A3401" s="2" t="s">
        <v>33</v>
      </c>
      <c r="B3401" s="12">
        <v>3288113.0</v>
      </c>
      <c r="C3401" s="12">
        <v>3289462.0</v>
      </c>
      <c r="D3401" s="2"/>
      <c r="E3401" s="2" t="s">
        <v>38</v>
      </c>
      <c r="F3401" s="2" t="s">
        <v>1880</v>
      </c>
      <c r="G3401" s="2" t="s">
        <v>1881</v>
      </c>
      <c r="H3401" s="12">
        <v>0.0</v>
      </c>
      <c r="I3401" s="2" t="s">
        <v>40</v>
      </c>
      <c r="J3401" s="2"/>
      <c r="K3401" s="2" t="s">
        <v>9046</v>
      </c>
      <c r="L3401" s="12">
        <v>449.0</v>
      </c>
      <c r="M3401" s="2" t="s">
        <v>9047</v>
      </c>
      <c r="N3401" s="2" t="str">
        <f>IFERROR(__xludf.DUMMYFUNCTION("""COMPUTED_VALUE"""),"")</f>
        <v/>
      </c>
    </row>
    <row r="3402">
      <c r="A3402" s="2" t="s">
        <v>33</v>
      </c>
      <c r="B3402" s="12">
        <v>3289687.0</v>
      </c>
      <c r="C3402" s="12">
        <v>3290250.0</v>
      </c>
      <c r="D3402" s="2"/>
      <c r="E3402" s="2" t="s">
        <v>34</v>
      </c>
      <c r="F3402" s="2" t="s">
        <v>9048</v>
      </c>
      <c r="G3402" s="2"/>
      <c r="H3402" s="12">
        <v>0.0</v>
      </c>
      <c r="I3402" s="2" t="s">
        <v>40</v>
      </c>
      <c r="J3402" s="2"/>
      <c r="K3402" s="2" t="s">
        <v>9049</v>
      </c>
      <c r="L3402" s="12">
        <v>187.0</v>
      </c>
      <c r="M3402" s="2" t="s">
        <v>9050</v>
      </c>
      <c r="N3402" s="2" t="str">
        <f>IFERROR(__xludf.DUMMYFUNCTION("""COMPUTED_VALUE"""),"")</f>
        <v/>
      </c>
    </row>
    <row r="3403">
      <c r="A3403" s="2" t="s">
        <v>33</v>
      </c>
      <c r="B3403" s="12">
        <v>3290247.0</v>
      </c>
      <c r="C3403" s="12">
        <v>3290483.0</v>
      </c>
      <c r="D3403" s="2"/>
      <c r="E3403" s="2" t="s">
        <v>38</v>
      </c>
      <c r="F3403" s="2" t="s">
        <v>9051</v>
      </c>
      <c r="G3403" s="2" t="s">
        <v>9052</v>
      </c>
      <c r="H3403" s="12">
        <v>0.0</v>
      </c>
      <c r="I3403" s="2" t="s">
        <v>40</v>
      </c>
      <c r="J3403" s="2"/>
      <c r="K3403" s="2" t="s">
        <v>9053</v>
      </c>
      <c r="L3403" s="12">
        <v>78.0</v>
      </c>
      <c r="M3403" s="2" t="s">
        <v>9054</v>
      </c>
      <c r="N3403" s="2" t="str">
        <f>IFERROR(__xludf.DUMMYFUNCTION("""COMPUTED_VALUE"""),"")</f>
        <v/>
      </c>
    </row>
    <row r="3404">
      <c r="A3404" s="2" t="s">
        <v>33</v>
      </c>
      <c r="B3404" s="12">
        <v>3290612.0</v>
      </c>
      <c r="C3404" s="12">
        <v>3291085.0</v>
      </c>
      <c r="D3404" s="2"/>
      <c r="E3404" s="2" t="s">
        <v>34</v>
      </c>
      <c r="F3404" s="2" t="s">
        <v>9055</v>
      </c>
      <c r="G3404" s="2" t="s">
        <v>9056</v>
      </c>
      <c r="H3404" s="12">
        <v>0.0</v>
      </c>
      <c r="I3404" s="2" t="s">
        <v>40</v>
      </c>
      <c r="J3404" s="2"/>
      <c r="K3404" s="2" t="s">
        <v>9057</v>
      </c>
      <c r="L3404" s="12">
        <v>157.0</v>
      </c>
      <c r="M3404" s="2" t="s">
        <v>9058</v>
      </c>
      <c r="N3404" s="2" t="str">
        <f>IFERROR(__xludf.DUMMYFUNCTION("""COMPUTED_VALUE"""),"")</f>
        <v/>
      </c>
    </row>
    <row r="3405">
      <c r="A3405" s="2" t="s">
        <v>33</v>
      </c>
      <c r="B3405" s="12">
        <v>3291151.0</v>
      </c>
      <c r="C3405" s="12">
        <v>3291381.0</v>
      </c>
      <c r="D3405" s="2"/>
      <c r="E3405" s="2" t="s">
        <v>38</v>
      </c>
      <c r="F3405" s="2" t="s">
        <v>9059</v>
      </c>
      <c r="G3405" s="2"/>
      <c r="H3405" s="12">
        <v>0.0</v>
      </c>
      <c r="I3405" s="2" t="s">
        <v>40</v>
      </c>
      <c r="J3405" s="2"/>
      <c r="K3405" s="2" t="s">
        <v>9060</v>
      </c>
      <c r="L3405" s="12">
        <v>76.0</v>
      </c>
      <c r="M3405" s="2" t="s">
        <v>9061</v>
      </c>
      <c r="N3405" s="2" t="str">
        <f>IFERROR(__xludf.DUMMYFUNCTION("""COMPUTED_VALUE"""),"")</f>
        <v/>
      </c>
    </row>
    <row r="3406">
      <c r="A3406" s="2" t="s">
        <v>33</v>
      </c>
      <c r="B3406" s="12">
        <v>3291708.0</v>
      </c>
      <c r="C3406" s="12">
        <v>3291935.0</v>
      </c>
      <c r="D3406" s="2"/>
      <c r="E3406" s="2" t="s">
        <v>38</v>
      </c>
      <c r="F3406" s="2" t="s">
        <v>9062</v>
      </c>
      <c r="G3406" s="2"/>
      <c r="H3406" s="12">
        <v>0.0</v>
      </c>
      <c r="I3406" s="2" t="s">
        <v>40</v>
      </c>
      <c r="J3406" s="2"/>
      <c r="K3406" s="2" t="s">
        <v>9063</v>
      </c>
      <c r="L3406" s="12">
        <v>75.0</v>
      </c>
      <c r="M3406" s="2" t="s">
        <v>9064</v>
      </c>
      <c r="N3406" s="2" t="str">
        <f>IFERROR(__xludf.DUMMYFUNCTION("""COMPUTED_VALUE"""),"")</f>
        <v/>
      </c>
    </row>
    <row r="3407">
      <c r="A3407" s="2" t="s">
        <v>33</v>
      </c>
      <c r="B3407" s="12">
        <v>3291948.0</v>
      </c>
      <c r="C3407" s="12">
        <v>3292178.0</v>
      </c>
      <c r="D3407" s="2"/>
      <c r="E3407" s="2" t="s">
        <v>38</v>
      </c>
      <c r="F3407" s="2" t="s">
        <v>9062</v>
      </c>
      <c r="G3407" s="2"/>
      <c r="H3407" s="12">
        <v>0.0</v>
      </c>
      <c r="I3407" s="2" t="s">
        <v>40</v>
      </c>
      <c r="J3407" s="2"/>
      <c r="K3407" s="2" t="s">
        <v>9065</v>
      </c>
      <c r="L3407" s="12">
        <v>76.0</v>
      </c>
      <c r="M3407" s="2" t="s">
        <v>9066</v>
      </c>
      <c r="N3407" s="2" t="str">
        <f>IFERROR(__xludf.DUMMYFUNCTION("""COMPUTED_VALUE"""),"")</f>
        <v/>
      </c>
    </row>
    <row r="3408">
      <c r="A3408" s="2" t="s">
        <v>33</v>
      </c>
      <c r="B3408" s="12">
        <v>3292180.0</v>
      </c>
      <c r="C3408" s="12">
        <v>3292329.0</v>
      </c>
      <c r="D3408" s="2"/>
      <c r="E3408" s="2" t="s">
        <v>38</v>
      </c>
      <c r="F3408" s="2" t="s">
        <v>9067</v>
      </c>
      <c r="G3408" s="2" t="s">
        <v>9068</v>
      </c>
      <c r="H3408" s="12">
        <v>0.0</v>
      </c>
      <c r="I3408" s="2" t="s">
        <v>40</v>
      </c>
      <c r="J3408" s="2"/>
      <c r="K3408" s="2" t="s">
        <v>9069</v>
      </c>
      <c r="L3408" s="12">
        <v>49.0</v>
      </c>
      <c r="M3408" s="2" t="s">
        <v>9070</v>
      </c>
      <c r="N3408" s="2" t="str">
        <f>IFERROR(__xludf.DUMMYFUNCTION("""COMPUTED_VALUE"""),"")</f>
        <v/>
      </c>
    </row>
    <row r="3409">
      <c r="A3409" s="2" t="s">
        <v>33</v>
      </c>
      <c r="B3409" s="12">
        <v>3292413.0</v>
      </c>
      <c r="C3409" s="12">
        <v>3292730.0</v>
      </c>
      <c r="D3409" s="2"/>
      <c r="E3409" s="2" t="s">
        <v>34</v>
      </c>
      <c r="F3409" s="2" t="s">
        <v>39</v>
      </c>
      <c r="G3409" s="2"/>
      <c r="H3409" s="12">
        <v>0.0</v>
      </c>
      <c r="I3409" s="2" t="s">
        <v>40</v>
      </c>
      <c r="J3409" s="2"/>
      <c r="K3409" s="2" t="s">
        <v>9071</v>
      </c>
      <c r="L3409" s="12">
        <v>105.0</v>
      </c>
      <c r="M3409" s="2" t="s">
        <v>9072</v>
      </c>
      <c r="N3409" s="2" t="str">
        <f>IFERROR(__xludf.DUMMYFUNCTION("""COMPUTED_VALUE"""),"")</f>
        <v/>
      </c>
    </row>
    <row r="3410">
      <c r="A3410" s="2" t="s">
        <v>33</v>
      </c>
      <c r="B3410" s="12">
        <v>3292815.0</v>
      </c>
      <c r="C3410" s="12">
        <v>3293294.0</v>
      </c>
      <c r="D3410" s="2"/>
      <c r="E3410" s="2" t="s">
        <v>34</v>
      </c>
      <c r="F3410" s="2" t="s">
        <v>9073</v>
      </c>
      <c r="G3410" s="2" t="s">
        <v>9074</v>
      </c>
      <c r="H3410" s="12">
        <v>0.0</v>
      </c>
      <c r="I3410" s="2" t="s">
        <v>40</v>
      </c>
      <c r="J3410" s="2"/>
      <c r="K3410" s="2" t="s">
        <v>9075</v>
      </c>
      <c r="L3410" s="12">
        <v>159.0</v>
      </c>
      <c r="M3410" s="2" t="s">
        <v>9076</v>
      </c>
      <c r="N3410" s="2" t="str">
        <f>IFERROR(__xludf.DUMMYFUNCTION("""COMPUTED_VALUE"""),"")</f>
        <v/>
      </c>
    </row>
    <row r="3411">
      <c r="A3411" s="2" t="s">
        <v>33</v>
      </c>
      <c r="B3411" s="12">
        <v>3293407.0</v>
      </c>
      <c r="C3411" s="12">
        <v>3293943.0</v>
      </c>
      <c r="D3411" s="2"/>
      <c r="E3411" s="2" t="s">
        <v>34</v>
      </c>
      <c r="F3411" s="2" t="s">
        <v>9077</v>
      </c>
      <c r="G3411" s="2"/>
      <c r="H3411" s="12">
        <v>0.0</v>
      </c>
      <c r="I3411" s="2" t="s">
        <v>40</v>
      </c>
      <c r="J3411" s="2"/>
      <c r="K3411" s="2" t="s">
        <v>9078</v>
      </c>
      <c r="L3411" s="12">
        <v>178.0</v>
      </c>
      <c r="M3411" s="2" t="s">
        <v>9079</v>
      </c>
      <c r="N3411" s="2" t="str">
        <f>IFERROR(__xludf.DUMMYFUNCTION("""COMPUTED_VALUE"""),"")</f>
        <v/>
      </c>
    </row>
    <row r="3412">
      <c r="A3412" s="2" t="s">
        <v>33</v>
      </c>
      <c r="B3412" s="12">
        <v>3294038.0</v>
      </c>
      <c r="C3412" s="12">
        <v>3294715.0</v>
      </c>
      <c r="D3412" s="2"/>
      <c r="E3412" s="2" t="s">
        <v>38</v>
      </c>
      <c r="F3412" s="2" t="s">
        <v>1172</v>
      </c>
      <c r="G3412" s="2"/>
      <c r="H3412" s="12">
        <v>0.0</v>
      </c>
      <c r="I3412" s="2" t="s">
        <v>40</v>
      </c>
      <c r="J3412" s="2"/>
      <c r="K3412" s="2" t="s">
        <v>9080</v>
      </c>
      <c r="L3412" s="12">
        <v>225.0</v>
      </c>
      <c r="M3412" s="2" t="s">
        <v>9081</v>
      </c>
      <c r="N3412" s="2" t="str">
        <f>IFERROR(__xludf.DUMMYFUNCTION("""COMPUTED_VALUE"""),"")</f>
        <v/>
      </c>
    </row>
    <row r="3413">
      <c r="A3413" s="2" t="s">
        <v>33</v>
      </c>
      <c r="B3413" s="12">
        <v>3294808.0</v>
      </c>
      <c r="C3413" s="12">
        <v>3295920.0</v>
      </c>
      <c r="D3413" s="2"/>
      <c r="E3413" s="2" t="s">
        <v>34</v>
      </c>
      <c r="F3413" s="2" t="s">
        <v>39</v>
      </c>
      <c r="G3413" s="2"/>
      <c r="H3413" s="12">
        <v>0.0</v>
      </c>
      <c r="I3413" s="2" t="s">
        <v>40</v>
      </c>
      <c r="J3413" s="2"/>
      <c r="K3413" s="2" t="s">
        <v>9082</v>
      </c>
      <c r="L3413" s="12">
        <v>370.0</v>
      </c>
      <c r="M3413" s="2" t="s">
        <v>9083</v>
      </c>
      <c r="N3413" s="2" t="str">
        <f>IFERROR(__xludf.DUMMYFUNCTION("""COMPUTED_VALUE"""),"")</f>
        <v/>
      </c>
    </row>
    <row r="3414">
      <c r="A3414" s="2" t="s">
        <v>33</v>
      </c>
      <c r="B3414" s="12">
        <v>3296150.0</v>
      </c>
      <c r="C3414" s="12">
        <v>3296377.0</v>
      </c>
      <c r="D3414" s="2"/>
      <c r="E3414" s="2" t="s">
        <v>34</v>
      </c>
      <c r="F3414" s="2" t="s">
        <v>39</v>
      </c>
      <c r="G3414" s="2"/>
      <c r="H3414" s="12">
        <v>0.0</v>
      </c>
      <c r="I3414" s="2" t="s">
        <v>40</v>
      </c>
      <c r="J3414" s="2"/>
      <c r="K3414" s="2" t="s">
        <v>9084</v>
      </c>
      <c r="L3414" s="12">
        <v>75.0</v>
      </c>
      <c r="M3414" s="2" t="s">
        <v>9085</v>
      </c>
      <c r="N3414" s="2" t="str">
        <f>IFERROR(__xludf.DUMMYFUNCTION("""COMPUTED_VALUE"""),"")</f>
        <v/>
      </c>
    </row>
    <row r="3415">
      <c r="A3415" s="2" t="s">
        <v>33</v>
      </c>
      <c r="B3415" s="12">
        <v>3296412.0</v>
      </c>
      <c r="C3415" s="12">
        <v>3297218.0</v>
      </c>
      <c r="D3415" s="2"/>
      <c r="E3415" s="2" t="s">
        <v>38</v>
      </c>
      <c r="F3415" s="2" t="s">
        <v>265</v>
      </c>
      <c r="G3415" s="2"/>
      <c r="H3415" s="12">
        <v>0.0</v>
      </c>
      <c r="I3415" s="2" t="s">
        <v>40</v>
      </c>
      <c r="J3415" s="2"/>
      <c r="K3415" s="2" t="s">
        <v>9086</v>
      </c>
      <c r="L3415" s="12">
        <v>268.0</v>
      </c>
      <c r="M3415" s="2" t="s">
        <v>9087</v>
      </c>
      <c r="N3415" s="2" t="str">
        <f>IFERROR(__xludf.DUMMYFUNCTION("""COMPUTED_VALUE"""),"")</f>
        <v/>
      </c>
    </row>
    <row r="3416">
      <c r="A3416" s="2" t="s">
        <v>33</v>
      </c>
      <c r="B3416" s="12">
        <v>3297211.0</v>
      </c>
      <c r="C3416" s="12">
        <v>3297975.0</v>
      </c>
      <c r="D3416" s="2"/>
      <c r="E3416" s="2" t="s">
        <v>38</v>
      </c>
      <c r="F3416" s="2" t="s">
        <v>432</v>
      </c>
      <c r="G3416" s="2"/>
      <c r="H3416" s="12">
        <v>0.0</v>
      </c>
      <c r="I3416" s="2" t="s">
        <v>40</v>
      </c>
      <c r="J3416" s="2"/>
      <c r="K3416" s="2" t="s">
        <v>9088</v>
      </c>
      <c r="L3416" s="12">
        <v>254.0</v>
      </c>
      <c r="M3416" s="2" t="s">
        <v>9089</v>
      </c>
      <c r="N3416" s="2" t="str">
        <f>IFERROR(__xludf.DUMMYFUNCTION("""COMPUTED_VALUE"""),"")</f>
        <v/>
      </c>
    </row>
    <row r="3417">
      <c r="A3417" s="2" t="s">
        <v>33</v>
      </c>
      <c r="B3417" s="12">
        <v>3297987.0</v>
      </c>
      <c r="C3417" s="12">
        <v>3298994.0</v>
      </c>
      <c r="D3417" s="2"/>
      <c r="E3417" s="2" t="s">
        <v>38</v>
      </c>
      <c r="F3417" s="2" t="s">
        <v>1113</v>
      </c>
      <c r="G3417" s="2"/>
      <c r="H3417" s="12">
        <v>0.0</v>
      </c>
      <c r="I3417" s="2" t="s">
        <v>40</v>
      </c>
      <c r="J3417" s="2"/>
      <c r="K3417" s="2" t="s">
        <v>9090</v>
      </c>
      <c r="L3417" s="12">
        <v>335.0</v>
      </c>
      <c r="M3417" s="2" t="s">
        <v>9091</v>
      </c>
      <c r="N3417" s="2" t="str">
        <f>IFERROR(__xludf.DUMMYFUNCTION("""COMPUTED_VALUE"""),"")</f>
        <v/>
      </c>
    </row>
    <row r="3418">
      <c r="A3418" s="2" t="s">
        <v>33</v>
      </c>
      <c r="B3418" s="12">
        <v>3299115.0</v>
      </c>
      <c r="C3418" s="12">
        <v>3299411.0</v>
      </c>
      <c r="D3418" s="2"/>
      <c r="E3418" s="2" t="s">
        <v>34</v>
      </c>
      <c r="F3418" s="2" t="s">
        <v>2775</v>
      </c>
      <c r="G3418" s="2"/>
      <c r="H3418" s="12">
        <v>0.0</v>
      </c>
      <c r="I3418" s="2" t="s">
        <v>40</v>
      </c>
      <c r="J3418" s="2"/>
      <c r="K3418" s="2" t="s">
        <v>9092</v>
      </c>
      <c r="L3418" s="12">
        <v>98.0</v>
      </c>
      <c r="M3418" s="2" t="s">
        <v>9093</v>
      </c>
      <c r="N3418" s="2" t="str">
        <f>IFERROR(__xludf.DUMMYFUNCTION("""COMPUTED_VALUE"""),"")</f>
        <v/>
      </c>
    </row>
    <row r="3419">
      <c r="A3419" s="2" t="s">
        <v>33</v>
      </c>
      <c r="B3419" s="12">
        <v>3299422.0</v>
      </c>
      <c r="C3419" s="12">
        <v>3299652.0</v>
      </c>
      <c r="D3419" s="2"/>
      <c r="E3419" s="2" t="s">
        <v>34</v>
      </c>
      <c r="F3419" s="2" t="s">
        <v>39</v>
      </c>
      <c r="G3419" s="2"/>
      <c r="H3419" s="12">
        <v>0.0</v>
      </c>
      <c r="I3419" s="2" t="s">
        <v>40</v>
      </c>
      <c r="J3419" s="2"/>
      <c r="K3419" s="2" t="s">
        <v>9094</v>
      </c>
      <c r="L3419" s="12">
        <v>76.0</v>
      </c>
      <c r="M3419" s="2" t="s">
        <v>9095</v>
      </c>
      <c r="N3419" s="2" t="str">
        <f>IFERROR(__xludf.DUMMYFUNCTION("""COMPUTED_VALUE"""),"")</f>
        <v/>
      </c>
    </row>
    <row r="3420">
      <c r="A3420" s="2" t="s">
        <v>33</v>
      </c>
      <c r="B3420" s="12">
        <v>3300034.0</v>
      </c>
      <c r="C3420" s="12">
        <v>3302103.0</v>
      </c>
      <c r="D3420" s="2"/>
      <c r="E3420" s="2" t="s">
        <v>34</v>
      </c>
      <c r="F3420" s="2" t="s">
        <v>3365</v>
      </c>
      <c r="G3420" s="2"/>
      <c r="H3420" s="12">
        <v>0.0</v>
      </c>
      <c r="I3420" s="2" t="s">
        <v>40</v>
      </c>
      <c r="J3420" s="2"/>
      <c r="K3420" s="2" t="s">
        <v>9096</v>
      </c>
      <c r="L3420" s="12">
        <v>689.0</v>
      </c>
      <c r="M3420" s="2" t="s">
        <v>9097</v>
      </c>
      <c r="N3420" s="2" t="str">
        <f>IFERROR(__xludf.DUMMYFUNCTION("""COMPUTED_VALUE"""),"")</f>
        <v/>
      </c>
    </row>
    <row r="3421">
      <c r="A3421" s="2" t="s">
        <v>33</v>
      </c>
      <c r="B3421" s="12">
        <v>3302314.0</v>
      </c>
      <c r="C3421" s="12">
        <v>3303123.0</v>
      </c>
      <c r="D3421" s="2"/>
      <c r="E3421" s="2" t="s">
        <v>38</v>
      </c>
      <c r="F3421" s="2" t="s">
        <v>326</v>
      </c>
      <c r="G3421" s="2"/>
      <c r="H3421" s="12">
        <v>0.0</v>
      </c>
      <c r="I3421" s="2" t="s">
        <v>40</v>
      </c>
      <c r="J3421" s="2"/>
      <c r="K3421" s="2" t="s">
        <v>9098</v>
      </c>
      <c r="L3421" s="12">
        <v>269.0</v>
      </c>
      <c r="M3421" s="2" t="s">
        <v>9099</v>
      </c>
      <c r="N3421" s="2" t="str">
        <f>IFERROR(__xludf.DUMMYFUNCTION("""COMPUTED_VALUE"""),"")</f>
        <v/>
      </c>
    </row>
    <row r="3422">
      <c r="A3422" s="2" t="s">
        <v>33</v>
      </c>
      <c r="B3422" s="12">
        <v>3303139.0</v>
      </c>
      <c r="C3422" s="12">
        <v>3303483.0</v>
      </c>
      <c r="D3422" s="2"/>
      <c r="E3422" s="2" t="s">
        <v>38</v>
      </c>
      <c r="F3422" s="2" t="s">
        <v>35</v>
      </c>
      <c r="G3422" s="2"/>
      <c r="H3422" s="12">
        <v>0.0</v>
      </c>
      <c r="I3422" s="2" t="s">
        <v>36</v>
      </c>
      <c r="J3422" s="2"/>
      <c r="K3422" s="2"/>
      <c r="L3422" s="2"/>
      <c r="M3422" s="2" t="s">
        <v>9100</v>
      </c>
      <c r="N3422" s="2" t="str">
        <f>IFERROR(__xludf.DUMMYFUNCTION("""COMPUTED_VALUE"""),"")</f>
        <v/>
      </c>
    </row>
    <row r="3423">
      <c r="A3423" s="2" t="s">
        <v>33</v>
      </c>
      <c r="B3423" s="12">
        <v>3303416.0</v>
      </c>
      <c r="C3423" s="12">
        <v>3303604.0</v>
      </c>
      <c r="D3423" s="2"/>
      <c r="E3423" s="2" t="s">
        <v>38</v>
      </c>
      <c r="F3423" s="2" t="s">
        <v>39</v>
      </c>
      <c r="G3423" s="2"/>
      <c r="H3423" s="12">
        <v>0.0</v>
      </c>
      <c r="I3423" s="2" t="s">
        <v>40</v>
      </c>
      <c r="J3423" s="2"/>
      <c r="K3423" s="2" t="s">
        <v>9101</v>
      </c>
      <c r="L3423" s="12">
        <v>62.0</v>
      </c>
      <c r="M3423" s="2" t="s">
        <v>9102</v>
      </c>
      <c r="N3423" s="2" t="str">
        <f>IFERROR(__xludf.DUMMYFUNCTION("""COMPUTED_VALUE"""),"")</f>
        <v/>
      </c>
    </row>
    <row r="3424">
      <c r="A3424" s="2" t="s">
        <v>33</v>
      </c>
      <c r="B3424" s="12">
        <v>3303787.0</v>
      </c>
      <c r="C3424" s="12">
        <v>3305040.0</v>
      </c>
      <c r="D3424" s="2"/>
      <c r="E3424" s="2" t="s">
        <v>34</v>
      </c>
      <c r="F3424" s="2" t="s">
        <v>66</v>
      </c>
      <c r="G3424" s="2"/>
      <c r="H3424" s="12">
        <v>0.0</v>
      </c>
      <c r="I3424" s="2" t="s">
        <v>40</v>
      </c>
      <c r="J3424" s="2"/>
      <c r="K3424" s="2" t="s">
        <v>9103</v>
      </c>
      <c r="L3424" s="12">
        <v>417.0</v>
      </c>
      <c r="M3424" s="2" t="s">
        <v>9104</v>
      </c>
      <c r="N3424" s="2" t="str">
        <f>IFERROR(__xludf.DUMMYFUNCTION("""COMPUTED_VALUE"""),"")</f>
        <v/>
      </c>
    </row>
    <row r="3425">
      <c r="A3425" s="2" t="s">
        <v>33</v>
      </c>
      <c r="B3425" s="12">
        <v>3305037.0</v>
      </c>
      <c r="C3425" s="12">
        <v>3306257.0</v>
      </c>
      <c r="D3425" s="2"/>
      <c r="E3425" s="2" t="s">
        <v>34</v>
      </c>
      <c r="F3425" s="2" t="s">
        <v>66</v>
      </c>
      <c r="G3425" s="2"/>
      <c r="H3425" s="12">
        <v>0.0</v>
      </c>
      <c r="I3425" s="2" t="s">
        <v>40</v>
      </c>
      <c r="J3425" s="2"/>
      <c r="K3425" s="2" t="s">
        <v>9105</v>
      </c>
      <c r="L3425" s="12">
        <v>406.0</v>
      </c>
      <c r="M3425" s="2" t="s">
        <v>9106</v>
      </c>
      <c r="N3425" s="2" t="str">
        <f>IFERROR(__xludf.DUMMYFUNCTION("""COMPUTED_VALUE"""),"")</f>
        <v/>
      </c>
    </row>
    <row r="3426">
      <c r="A3426" s="2" t="s">
        <v>33</v>
      </c>
      <c r="B3426" s="12">
        <v>3306485.0</v>
      </c>
      <c r="C3426" s="12">
        <v>3307546.0</v>
      </c>
      <c r="D3426" s="2"/>
      <c r="E3426" s="2" t="s">
        <v>38</v>
      </c>
      <c r="F3426" s="2" t="s">
        <v>191</v>
      </c>
      <c r="G3426" s="2"/>
      <c r="H3426" s="12">
        <v>0.0</v>
      </c>
      <c r="I3426" s="2" t="s">
        <v>40</v>
      </c>
      <c r="J3426" s="2"/>
      <c r="K3426" s="2" t="s">
        <v>9107</v>
      </c>
      <c r="L3426" s="12">
        <v>353.0</v>
      </c>
      <c r="M3426" s="2" t="s">
        <v>9108</v>
      </c>
      <c r="N3426" s="2" t="str">
        <f>IFERROR(__xludf.DUMMYFUNCTION("""COMPUTED_VALUE"""),"")</f>
        <v/>
      </c>
    </row>
    <row r="3427">
      <c r="A3427" s="2" t="s">
        <v>33</v>
      </c>
      <c r="B3427" s="12">
        <v>3307689.0</v>
      </c>
      <c r="C3427" s="12">
        <v>3308609.0</v>
      </c>
      <c r="D3427" s="2"/>
      <c r="E3427" s="2" t="s">
        <v>38</v>
      </c>
      <c r="F3427" s="2" t="s">
        <v>9109</v>
      </c>
      <c r="G3427" s="2"/>
      <c r="H3427" s="12">
        <v>0.0</v>
      </c>
      <c r="I3427" s="2" t="s">
        <v>40</v>
      </c>
      <c r="J3427" s="2"/>
      <c r="K3427" s="2" t="s">
        <v>9110</v>
      </c>
      <c r="L3427" s="12">
        <v>306.0</v>
      </c>
      <c r="M3427" s="2" t="s">
        <v>9111</v>
      </c>
      <c r="N3427" s="2" t="str">
        <f>IFERROR(__xludf.DUMMYFUNCTION("""COMPUTED_VALUE"""),"")</f>
        <v/>
      </c>
    </row>
    <row r="3428">
      <c r="A3428" s="2" t="s">
        <v>33</v>
      </c>
      <c r="B3428" s="12">
        <v>3308984.0</v>
      </c>
      <c r="C3428" s="12">
        <v>3309307.0</v>
      </c>
      <c r="D3428" s="2"/>
      <c r="E3428" s="2" t="s">
        <v>34</v>
      </c>
      <c r="F3428" s="2" t="s">
        <v>9112</v>
      </c>
      <c r="G3428" s="2"/>
      <c r="H3428" s="12">
        <v>0.0</v>
      </c>
      <c r="I3428" s="2" t="s">
        <v>40</v>
      </c>
      <c r="J3428" s="2"/>
      <c r="K3428" s="2" t="s">
        <v>9113</v>
      </c>
      <c r="L3428" s="12">
        <v>107.0</v>
      </c>
      <c r="M3428" s="2" t="s">
        <v>9114</v>
      </c>
      <c r="N3428" s="2" t="str">
        <f>IFERROR(__xludf.DUMMYFUNCTION("""COMPUTED_VALUE"""),"")</f>
        <v/>
      </c>
    </row>
    <row r="3429">
      <c r="A3429" s="2" t="s">
        <v>33</v>
      </c>
      <c r="B3429" s="12">
        <v>3309531.0</v>
      </c>
      <c r="C3429" s="12">
        <v>3310436.0</v>
      </c>
      <c r="D3429" s="2"/>
      <c r="E3429" s="2" t="s">
        <v>34</v>
      </c>
      <c r="F3429" s="2" t="s">
        <v>738</v>
      </c>
      <c r="G3429" s="2"/>
      <c r="H3429" s="12">
        <v>0.0</v>
      </c>
      <c r="I3429" s="2" t="s">
        <v>40</v>
      </c>
      <c r="J3429" s="2"/>
      <c r="K3429" s="2" t="s">
        <v>9115</v>
      </c>
      <c r="L3429" s="12">
        <v>301.0</v>
      </c>
      <c r="M3429" s="2" t="s">
        <v>9116</v>
      </c>
      <c r="N3429" s="2" t="str">
        <f>IFERROR(__xludf.DUMMYFUNCTION("""COMPUTED_VALUE"""),"")</f>
        <v/>
      </c>
    </row>
    <row r="3430">
      <c r="A3430" s="2" t="s">
        <v>33</v>
      </c>
      <c r="B3430" s="12">
        <v>3310465.0</v>
      </c>
      <c r="C3430" s="12">
        <v>3310686.0</v>
      </c>
      <c r="D3430" s="2"/>
      <c r="E3430" s="2" t="s">
        <v>38</v>
      </c>
      <c r="F3430" s="2" t="s">
        <v>39</v>
      </c>
      <c r="G3430" s="2"/>
      <c r="H3430" s="12">
        <v>0.0</v>
      </c>
      <c r="I3430" s="2" t="s">
        <v>40</v>
      </c>
      <c r="J3430" s="2"/>
      <c r="K3430" s="2" t="s">
        <v>9117</v>
      </c>
      <c r="L3430" s="12">
        <v>73.0</v>
      </c>
      <c r="M3430" s="2" t="s">
        <v>9118</v>
      </c>
      <c r="N3430" s="2" t="str">
        <f>IFERROR(__xludf.DUMMYFUNCTION("""COMPUTED_VALUE"""),"")</f>
        <v/>
      </c>
    </row>
    <row r="3431">
      <c r="A3431" s="2" t="s">
        <v>33</v>
      </c>
      <c r="B3431" s="12">
        <v>3310966.0</v>
      </c>
      <c r="C3431" s="12">
        <v>3311349.0</v>
      </c>
      <c r="D3431" s="2"/>
      <c r="E3431" s="2" t="s">
        <v>34</v>
      </c>
      <c r="F3431" s="2" t="s">
        <v>4590</v>
      </c>
      <c r="G3431" s="2"/>
      <c r="H3431" s="12">
        <v>0.0</v>
      </c>
      <c r="I3431" s="2" t="s">
        <v>40</v>
      </c>
      <c r="J3431" s="2"/>
      <c r="K3431" s="2" t="s">
        <v>9119</v>
      </c>
      <c r="L3431" s="12">
        <v>127.0</v>
      </c>
      <c r="M3431" s="2" t="s">
        <v>9120</v>
      </c>
      <c r="N3431" s="2" t="str">
        <f>IFERROR(__xludf.DUMMYFUNCTION("""COMPUTED_VALUE"""),"")</f>
        <v/>
      </c>
    </row>
    <row r="3432">
      <c r="A3432" s="2" t="s">
        <v>33</v>
      </c>
      <c r="B3432" s="12">
        <v>3311700.0</v>
      </c>
      <c r="C3432" s="12">
        <v>3313286.0</v>
      </c>
      <c r="D3432" s="2"/>
      <c r="E3432" s="2" t="s">
        <v>38</v>
      </c>
      <c r="F3432" s="2" t="s">
        <v>9121</v>
      </c>
      <c r="G3432" s="2" t="s">
        <v>9122</v>
      </c>
      <c r="H3432" s="12">
        <v>0.0</v>
      </c>
      <c r="I3432" s="2" t="s">
        <v>40</v>
      </c>
      <c r="J3432" s="2"/>
      <c r="K3432" s="2" t="s">
        <v>9123</v>
      </c>
      <c r="L3432" s="12">
        <v>528.0</v>
      </c>
      <c r="M3432" s="2" t="s">
        <v>9124</v>
      </c>
      <c r="N3432" s="2" t="str">
        <f>IFERROR(__xludf.DUMMYFUNCTION("""COMPUTED_VALUE"""),"")</f>
        <v/>
      </c>
    </row>
    <row r="3433">
      <c r="A3433" s="2" t="s">
        <v>33</v>
      </c>
      <c r="B3433" s="12">
        <v>3313806.0</v>
      </c>
      <c r="C3433" s="12">
        <v>3315005.0</v>
      </c>
      <c r="D3433" s="2"/>
      <c r="E3433" s="2" t="s">
        <v>34</v>
      </c>
      <c r="F3433" s="2" t="s">
        <v>9125</v>
      </c>
      <c r="G3433" s="2" t="s">
        <v>9126</v>
      </c>
      <c r="H3433" s="12">
        <v>0.0</v>
      </c>
      <c r="I3433" s="2" t="s">
        <v>40</v>
      </c>
      <c r="J3433" s="2"/>
      <c r="K3433" s="2" t="s">
        <v>9127</v>
      </c>
      <c r="L3433" s="12">
        <v>399.0</v>
      </c>
      <c r="M3433" s="2" t="s">
        <v>9128</v>
      </c>
      <c r="N3433" s="2" t="str">
        <f>IFERROR(__xludf.DUMMYFUNCTION("""COMPUTED_VALUE"""),"")</f>
        <v/>
      </c>
    </row>
    <row r="3434">
      <c r="A3434" s="2" t="s">
        <v>33</v>
      </c>
      <c r="B3434" s="12">
        <v>3315047.0</v>
      </c>
      <c r="C3434" s="12">
        <v>3315571.0</v>
      </c>
      <c r="D3434" s="2"/>
      <c r="E3434" s="2" t="s">
        <v>38</v>
      </c>
      <c r="F3434" s="2" t="s">
        <v>367</v>
      </c>
      <c r="G3434" s="2"/>
      <c r="H3434" s="12">
        <v>0.0</v>
      </c>
      <c r="I3434" s="2" t="s">
        <v>40</v>
      </c>
      <c r="J3434" s="2"/>
      <c r="K3434" s="2" t="s">
        <v>9129</v>
      </c>
      <c r="L3434" s="12">
        <v>174.0</v>
      </c>
      <c r="M3434" s="2" t="s">
        <v>9130</v>
      </c>
      <c r="N3434" s="2" t="str">
        <f>IFERROR(__xludf.DUMMYFUNCTION("""COMPUTED_VALUE"""),"")</f>
        <v/>
      </c>
    </row>
    <row r="3435">
      <c r="A3435" s="2" t="s">
        <v>33</v>
      </c>
      <c r="B3435" s="12">
        <v>3315643.0</v>
      </c>
      <c r="C3435" s="12">
        <v>3315822.0</v>
      </c>
      <c r="D3435" s="2"/>
      <c r="E3435" s="2" t="s">
        <v>38</v>
      </c>
      <c r="F3435" s="2" t="s">
        <v>39</v>
      </c>
      <c r="G3435" s="2"/>
      <c r="H3435" s="12">
        <v>0.0</v>
      </c>
      <c r="I3435" s="2" t="s">
        <v>40</v>
      </c>
      <c r="J3435" s="2"/>
      <c r="K3435" s="2" t="s">
        <v>9131</v>
      </c>
      <c r="L3435" s="12">
        <v>59.0</v>
      </c>
      <c r="M3435" s="2" t="s">
        <v>9132</v>
      </c>
      <c r="N3435" s="2" t="str">
        <f>IFERROR(__xludf.DUMMYFUNCTION("""COMPUTED_VALUE"""),"")</f>
        <v/>
      </c>
    </row>
    <row r="3436">
      <c r="A3436" s="2" t="s">
        <v>33</v>
      </c>
      <c r="B3436" s="12">
        <v>3316059.0</v>
      </c>
      <c r="C3436" s="12">
        <v>3316568.0</v>
      </c>
      <c r="D3436" s="2"/>
      <c r="E3436" s="2" t="s">
        <v>34</v>
      </c>
      <c r="F3436" s="2" t="s">
        <v>9133</v>
      </c>
      <c r="G3436" s="2"/>
      <c r="H3436" s="12">
        <v>0.0</v>
      </c>
      <c r="I3436" s="2" t="s">
        <v>40</v>
      </c>
      <c r="J3436" s="2"/>
      <c r="K3436" s="2" t="s">
        <v>9134</v>
      </c>
      <c r="L3436" s="12">
        <v>169.0</v>
      </c>
      <c r="M3436" s="2" t="s">
        <v>9135</v>
      </c>
      <c r="N3436" s="2" t="str">
        <f>IFERROR(__xludf.DUMMYFUNCTION("""COMPUTED_VALUE"""),"")</f>
        <v/>
      </c>
    </row>
    <row r="3437">
      <c r="A3437" s="2" t="s">
        <v>33</v>
      </c>
      <c r="B3437" s="12">
        <v>3316565.0</v>
      </c>
      <c r="C3437" s="12">
        <v>3317167.0</v>
      </c>
      <c r="D3437" s="2"/>
      <c r="E3437" s="2" t="s">
        <v>34</v>
      </c>
      <c r="F3437" s="2" t="s">
        <v>9136</v>
      </c>
      <c r="G3437" s="2"/>
      <c r="H3437" s="12">
        <v>0.0</v>
      </c>
      <c r="I3437" s="2" t="s">
        <v>40</v>
      </c>
      <c r="J3437" s="2"/>
      <c r="K3437" s="2" t="s">
        <v>9137</v>
      </c>
      <c r="L3437" s="12">
        <v>200.0</v>
      </c>
      <c r="M3437" s="2" t="s">
        <v>9138</v>
      </c>
      <c r="N3437" s="2" t="str">
        <f>IFERROR(__xludf.DUMMYFUNCTION("""COMPUTED_VALUE"""),"")</f>
        <v/>
      </c>
    </row>
    <row r="3438">
      <c r="A3438" s="2" t="s">
        <v>33</v>
      </c>
      <c r="B3438" s="12">
        <v>3317448.0</v>
      </c>
      <c r="C3438" s="12">
        <v>3318590.0</v>
      </c>
      <c r="D3438" s="2"/>
      <c r="E3438" s="2" t="s">
        <v>38</v>
      </c>
      <c r="F3438" s="2" t="s">
        <v>9139</v>
      </c>
      <c r="G3438" s="2"/>
      <c r="H3438" s="12">
        <v>0.0</v>
      </c>
      <c r="I3438" s="2" t="s">
        <v>40</v>
      </c>
      <c r="J3438" s="2"/>
      <c r="K3438" s="2" t="s">
        <v>9140</v>
      </c>
      <c r="L3438" s="12">
        <v>380.0</v>
      </c>
      <c r="M3438" s="2" t="s">
        <v>9141</v>
      </c>
      <c r="N3438" s="2" t="str">
        <f>IFERROR(__xludf.DUMMYFUNCTION("""COMPUTED_VALUE"""),"")</f>
        <v/>
      </c>
    </row>
    <row r="3439">
      <c r="A3439" s="2" t="s">
        <v>33</v>
      </c>
      <c r="B3439" s="12">
        <v>3318603.0</v>
      </c>
      <c r="C3439" s="12">
        <v>3319136.0</v>
      </c>
      <c r="D3439" s="2"/>
      <c r="E3439" s="2" t="s">
        <v>38</v>
      </c>
      <c r="F3439" s="2" t="s">
        <v>963</v>
      </c>
      <c r="G3439" s="2"/>
      <c r="H3439" s="12">
        <v>0.0</v>
      </c>
      <c r="I3439" s="2" t="s">
        <v>40</v>
      </c>
      <c r="J3439" s="2"/>
      <c r="K3439" s="2" t="s">
        <v>9142</v>
      </c>
      <c r="L3439" s="12">
        <v>177.0</v>
      </c>
      <c r="M3439" s="2" t="s">
        <v>9143</v>
      </c>
      <c r="N3439" s="2" t="str">
        <f>IFERROR(__xludf.DUMMYFUNCTION("""COMPUTED_VALUE"""),"")</f>
        <v/>
      </c>
    </row>
    <row r="3440">
      <c r="A3440" s="2" t="s">
        <v>33</v>
      </c>
      <c r="B3440" s="12">
        <v>3319280.0</v>
      </c>
      <c r="C3440" s="12">
        <v>3319792.0</v>
      </c>
      <c r="D3440" s="2"/>
      <c r="E3440" s="2" t="s">
        <v>38</v>
      </c>
      <c r="F3440" s="2" t="s">
        <v>9144</v>
      </c>
      <c r="G3440" s="2"/>
      <c r="H3440" s="12">
        <v>0.0</v>
      </c>
      <c r="I3440" s="2" t="s">
        <v>40</v>
      </c>
      <c r="J3440" s="2"/>
      <c r="K3440" s="2" t="s">
        <v>9145</v>
      </c>
      <c r="L3440" s="12">
        <v>170.0</v>
      </c>
      <c r="M3440" s="2" t="s">
        <v>9146</v>
      </c>
      <c r="N3440" s="2" t="str">
        <f>IFERROR(__xludf.DUMMYFUNCTION("""COMPUTED_VALUE"""),"")</f>
        <v/>
      </c>
    </row>
    <row r="3441">
      <c r="A3441" s="2" t="s">
        <v>33</v>
      </c>
      <c r="B3441" s="12">
        <v>3319867.0</v>
      </c>
      <c r="C3441" s="12">
        <v>3320670.0</v>
      </c>
      <c r="D3441" s="2"/>
      <c r="E3441" s="2" t="s">
        <v>34</v>
      </c>
      <c r="F3441" s="2" t="s">
        <v>1672</v>
      </c>
      <c r="G3441" s="2"/>
      <c r="H3441" s="12">
        <v>0.0</v>
      </c>
      <c r="I3441" s="2" t="s">
        <v>40</v>
      </c>
      <c r="J3441" s="2"/>
      <c r="K3441" s="2" t="s">
        <v>9147</v>
      </c>
      <c r="L3441" s="12">
        <v>267.0</v>
      </c>
      <c r="M3441" s="2" t="s">
        <v>9148</v>
      </c>
      <c r="N3441" s="2" t="str">
        <f>IFERROR(__xludf.DUMMYFUNCTION("""COMPUTED_VALUE"""),"")</f>
        <v/>
      </c>
    </row>
    <row r="3442">
      <c r="A3442" s="2" t="s">
        <v>33</v>
      </c>
      <c r="B3442" s="12">
        <v>3320711.0</v>
      </c>
      <c r="C3442" s="12">
        <v>3321775.0</v>
      </c>
      <c r="D3442" s="2"/>
      <c r="E3442" s="2" t="s">
        <v>34</v>
      </c>
      <c r="F3442" s="2" t="s">
        <v>9149</v>
      </c>
      <c r="G3442" s="2"/>
      <c r="H3442" s="12">
        <v>0.0</v>
      </c>
      <c r="I3442" s="2" t="s">
        <v>40</v>
      </c>
      <c r="J3442" s="2"/>
      <c r="K3442" s="2" t="s">
        <v>9150</v>
      </c>
      <c r="L3442" s="12">
        <v>354.0</v>
      </c>
      <c r="M3442" s="2" t="s">
        <v>9151</v>
      </c>
      <c r="N3442" s="2" t="str">
        <f>IFERROR(__xludf.DUMMYFUNCTION("""COMPUTED_VALUE"""),"")</f>
        <v/>
      </c>
    </row>
    <row r="3443">
      <c r="A3443" s="2" t="s">
        <v>33</v>
      </c>
      <c r="B3443" s="12">
        <v>3321813.0</v>
      </c>
      <c r="C3443" s="12">
        <v>3323114.0</v>
      </c>
      <c r="D3443" s="2"/>
      <c r="E3443" s="2" t="s">
        <v>38</v>
      </c>
      <c r="F3443" s="2" t="s">
        <v>9152</v>
      </c>
      <c r="G3443" s="2"/>
      <c r="H3443" s="12">
        <v>0.0</v>
      </c>
      <c r="I3443" s="2" t="s">
        <v>40</v>
      </c>
      <c r="J3443" s="2"/>
      <c r="K3443" s="2" t="s">
        <v>9153</v>
      </c>
      <c r="L3443" s="12">
        <v>433.0</v>
      </c>
      <c r="M3443" s="2" t="s">
        <v>9154</v>
      </c>
      <c r="N3443" s="2" t="str">
        <f>IFERROR(__xludf.DUMMYFUNCTION("""COMPUTED_VALUE"""),"")</f>
        <v/>
      </c>
    </row>
    <row r="3444">
      <c r="A3444" s="2" t="s">
        <v>33</v>
      </c>
      <c r="B3444" s="12">
        <v>3323273.0</v>
      </c>
      <c r="C3444" s="12">
        <v>3323947.0</v>
      </c>
      <c r="D3444" s="2"/>
      <c r="E3444" s="2" t="s">
        <v>38</v>
      </c>
      <c r="F3444" s="2" t="s">
        <v>1196</v>
      </c>
      <c r="G3444" s="2"/>
      <c r="H3444" s="12">
        <v>0.0</v>
      </c>
      <c r="I3444" s="2" t="s">
        <v>40</v>
      </c>
      <c r="J3444" s="2"/>
      <c r="K3444" s="2" t="s">
        <v>9155</v>
      </c>
      <c r="L3444" s="12">
        <v>224.0</v>
      </c>
      <c r="M3444" s="2" t="s">
        <v>9156</v>
      </c>
      <c r="N3444" s="2" t="str">
        <f>IFERROR(__xludf.DUMMYFUNCTION("""COMPUTED_VALUE"""),"")</f>
        <v/>
      </c>
    </row>
    <row r="3445">
      <c r="A3445" s="2" t="s">
        <v>33</v>
      </c>
      <c r="B3445" s="12">
        <v>3323972.0</v>
      </c>
      <c r="C3445" s="12">
        <v>3324652.0</v>
      </c>
      <c r="D3445" s="2"/>
      <c r="E3445" s="2" t="s">
        <v>38</v>
      </c>
      <c r="F3445" s="2" t="s">
        <v>265</v>
      </c>
      <c r="G3445" s="2"/>
      <c r="H3445" s="12">
        <v>0.0</v>
      </c>
      <c r="I3445" s="2" t="s">
        <v>40</v>
      </c>
      <c r="J3445" s="2"/>
      <c r="K3445" s="2" t="s">
        <v>9157</v>
      </c>
      <c r="L3445" s="12">
        <v>226.0</v>
      </c>
      <c r="M3445" s="2" t="s">
        <v>9158</v>
      </c>
      <c r="N3445" s="2" t="str">
        <f>IFERROR(__xludf.DUMMYFUNCTION("""COMPUTED_VALUE"""),"")</f>
        <v/>
      </c>
    </row>
    <row r="3446">
      <c r="A3446" s="2" t="s">
        <v>33</v>
      </c>
      <c r="B3446" s="12">
        <v>3324671.0</v>
      </c>
      <c r="C3446" s="12">
        <v>3325504.0</v>
      </c>
      <c r="D3446" s="2"/>
      <c r="E3446" s="2" t="s">
        <v>38</v>
      </c>
      <c r="F3446" s="2" t="s">
        <v>432</v>
      </c>
      <c r="G3446" s="2"/>
      <c r="H3446" s="12">
        <v>0.0</v>
      </c>
      <c r="I3446" s="2" t="s">
        <v>40</v>
      </c>
      <c r="J3446" s="2"/>
      <c r="K3446" s="2" t="s">
        <v>9159</v>
      </c>
      <c r="L3446" s="12">
        <v>277.0</v>
      </c>
      <c r="M3446" s="2" t="s">
        <v>9160</v>
      </c>
      <c r="N3446" s="2" t="str">
        <f>IFERROR(__xludf.DUMMYFUNCTION("""COMPUTED_VALUE"""),"")</f>
        <v/>
      </c>
    </row>
    <row r="3447">
      <c r="A3447" s="2" t="s">
        <v>33</v>
      </c>
      <c r="B3447" s="12">
        <v>3325866.0</v>
      </c>
      <c r="C3447" s="12">
        <v>3326438.0</v>
      </c>
      <c r="D3447" s="2"/>
      <c r="E3447" s="2" t="s">
        <v>38</v>
      </c>
      <c r="F3447" s="2" t="s">
        <v>289</v>
      </c>
      <c r="G3447" s="2"/>
      <c r="H3447" s="12">
        <v>0.0</v>
      </c>
      <c r="I3447" s="2" t="s">
        <v>40</v>
      </c>
      <c r="J3447" s="2"/>
      <c r="K3447" s="2" t="s">
        <v>9161</v>
      </c>
      <c r="L3447" s="12">
        <v>190.0</v>
      </c>
      <c r="M3447" s="2" t="s">
        <v>9162</v>
      </c>
      <c r="N3447" s="2" t="str">
        <f>IFERROR(__xludf.DUMMYFUNCTION("""COMPUTED_VALUE"""),"")</f>
        <v/>
      </c>
    </row>
    <row r="3448">
      <c r="A3448" s="2" t="s">
        <v>33</v>
      </c>
      <c r="B3448" s="12">
        <v>3326435.0</v>
      </c>
      <c r="C3448" s="12">
        <v>3327394.0</v>
      </c>
      <c r="D3448" s="2"/>
      <c r="E3448" s="2" t="s">
        <v>38</v>
      </c>
      <c r="F3448" s="2" t="s">
        <v>9163</v>
      </c>
      <c r="G3448" s="2"/>
      <c r="H3448" s="12">
        <v>0.0</v>
      </c>
      <c r="I3448" s="2" t="s">
        <v>40</v>
      </c>
      <c r="J3448" s="2"/>
      <c r="K3448" s="2" t="s">
        <v>9164</v>
      </c>
      <c r="L3448" s="12">
        <v>319.0</v>
      </c>
      <c r="M3448" s="2" t="s">
        <v>9165</v>
      </c>
      <c r="N3448" s="2" t="str">
        <f>IFERROR(__xludf.DUMMYFUNCTION("""COMPUTED_VALUE"""),"")</f>
        <v/>
      </c>
    </row>
    <row r="3449">
      <c r="A3449" s="2" t="s">
        <v>33</v>
      </c>
      <c r="B3449" s="12">
        <v>3327506.0</v>
      </c>
      <c r="C3449" s="12">
        <v>3327769.0</v>
      </c>
      <c r="D3449" s="2"/>
      <c r="E3449" s="2" t="s">
        <v>34</v>
      </c>
      <c r="F3449" s="2" t="s">
        <v>9166</v>
      </c>
      <c r="G3449" s="2"/>
      <c r="H3449" s="12">
        <v>0.0</v>
      </c>
      <c r="I3449" s="2" t="s">
        <v>40</v>
      </c>
      <c r="J3449" s="2"/>
      <c r="K3449" s="2" t="s">
        <v>9167</v>
      </c>
      <c r="L3449" s="12">
        <v>87.0</v>
      </c>
      <c r="M3449" s="2" t="s">
        <v>9168</v>
      </c>
      <c r="N3449" s="2" t="str">
        <f>IFERROR(__xludf.DUMMYFUNCTION("""COMPUTED_VALUE"""),"")</f>
        <v/>
      </c>
    </row>
    <row r="3450">
      <c r="A3450" s="2" t="s">
        <v>33</v>
      </c>
      <c r="B3450" s="12">
        <v>3327785.0</v>
      </c>
      <c r="C3450" s="12">
        <v>3327934.0</v>
      </c>
      <c r="D3450" s="2"/>
      <c r="E3450" s="2" t="s">
        <v>34</v>
      </c>
      <c r="F3450" s="2" t="s">
        <v>39</v>
      </c>
      <c r="G3450" s="2"/>
      <c r="H3450" s="12">
        <v>0.0</v>
      </c>
      <c r="I3450" s="2" t="s">
        <v>40</v>
      </c>
      <c r="J3450" s="2"/>
      <c r="K3450" s="2" t="s">
        <v>9169</v>
      </c>
      <c r="L3450" s="12">
        <v>49.0</v>
      </c>
      <c r="M3450" s="2" t="s">
        <v>9170</v>
      </c>
      <c r="N3450" s="2" t="str">
        <f>IFERROR(__xludf.DUMMYFUNCTION("""COMPUTED_VALUE"""),"")</f>
        <v/>
      </c>
    </row>
    <row r="3451">
      <c r="A3451" s="2" t="s">
        <v>33</v>
      </c>
      <c r="B3451" s="12">
        <v>3328071.0</v>
      </c>
      <c r="C3451" s="12">
        <v>3329093.0</v>
      </c>
      <c r="D3451" s="2"/>
      <c r="E3451" s="2" t="s">
        <v>34</v>
      </c>
      <c r="F3451" s="2" t="s">
        <v>2894</v>
      </c>
      <c r="G3451" s="2"/>
      <c r="H3451" s="12">
        <v>0.0</v>
      </c>
      <c r="I3451" s="2" t="s">
        <v>40</v>
      </c>
      <c r="J3451" s="2"/>
      <c r="K3451" s="2" t="s">
        <v>9171</v>
      </c>
      <c r="L3451" s="12">
        <v>340.0</v>
      </c>
      <c r="M3451" s="2" t="s">
        <v>9172</v>
      </c>
      <c r="N3451" s="2" t="str">
        <f>IFERROR(__xludf.DUMMYFUNCTION("""COMPUTED_VALUE"""),"")</f>
        <v/>
      </c>
    </row>
    <row r="3452">
      <c r="A3452" s="2" t="s">
        <v>33</v>
      </c>
      <c r="B3452" s="12">
        <v>3329339.0</v>
      </c>
      <c r="C3452" s="12">
        <v>3330100.0</v>
      </c>
      <c r="D3452" s="2"/>
      <c r="E3452" s="2" t="s">
        <v>34</v>
      </c>
      <c r="F3452" s="2" t="s">
        <v>432</v>
      </c>
      <c r="G3452" s="2"/>
      <c r="H3452" s="12">
        <v>0.0</v>
      </c>
      <c r="I3452" s="2" t="s">
        <v>40</v>
      </c>
      <c r="J3452" s="2"/>
      <c r="K3452" s="2" t="s">
        <v>9173</v>
      </c>
      <c r="L3452" s="12">
        <v>253.0</v>
      </c>
      <c r="M3452" s="2" t="s">
        <v>9174</v>
      </c>
      <c r="N3452" s="2" t="str">
        <f>IFERROR(__xludf.DUMMYFUNCTION("""COMPUTED_VALUE"""),"")</f>
        <v/>
      </c>
    </row>
    <row r="3453">
      <c r="A3453" s="2" t="s">
        <v>33</v>
      </c>
      <c r="B3453" s="12">
        <v>3330119.0</v>
      </c>
      <c r="C3453" s="12">
        <v>3331978.0</v>
      </c>
      <c r="D3453" s="2"/>
      <c r="E3453" s="2" t="s">
        <v>34</v>
      </c>
      <c r="F3453" s="2" t="s">
        <v>791</v>
      </c>
      <c r="G3453" s="2"/>
      <c r="H3453" s="12">
        <v>0.0</v>
      </c>
      <c r="I3453" s="2" t="s">
        <v>40</v>
      </c>
      <c r="J3453" s="2"/>
      <c r="K3453" s="2" t="s">
        <v>9175</v>
      </c>
      <c r="L3453" s="12">
        <v>619.0</v>
      </c>
      <c r="M3453" s="2" t="s">
        <v>9176</v>
      </c>
      <c r="N3453" s="2" t="str">
        <f>IFERROR(__xludf.DUMMYFUNCTION("""COMPUTED_VALUE"""),"")</f>
        <v/>
      </c>
    </row>
    <row r="3454">
      <c r="A3454" s="2" t="s">
        <v>33</v>
      </c>
      <c r="B3454" s="12">
        <v>3332325.0</v>
      </c>
      <c r="C3454" s="12">
        <v>3332891.0</v>
      </c>
      <c r="D3454" s="2"/>
      <c r="E3454" s="2" t="s">
        <v>34</v>
      </c>
      <c r="F3454" s="2" t="s">
        <v>55</v>
      </c>
      <c r="G3454" s="2"/>
      <c r="H3454" s="12">
        <v>0.0</v>
      </c>
      <c r="I3454" s="2" t="s">
        <v>40</v>
      </c>
      <c r="J3454" s="2"/>
      <c r="K3454" s="2" t="s">
        <v>9177</v>
      </c>
      <c r="L3454" s="12">
        <v>188.0</v>
      </c>
      <c r="M3454" s="2" t="s">
        <v>9178</v>
      </c>
      <c r="N3454" s="2" t="str">
        <f>IFERROR(__xludf.DUMMYFUNCTION("""COMPUTED_VALUE"""),"")</f>
        <v/>
      </c>
    </row>
    <row r="3455">
      <c r="A3455" s="2" t="s">
        <v>33</v>
      </c>
      <c r="B3455" s="12">
        <v>3332926.0</v>
      </c>
      <c r="C3455" s="12">
        <v>3333423.0</v>
      </c>
      <c r="D3455" s="2"/>
      <c r="E3455" s="2" t="s">
        <v>34</v>
      </c>
      <c r="F3455" s="2" t="s">
        <v>8435</v>
      </c>
      <c r="G3455" s="2"/>
      <c r="H3455" s="12">
        <v>0.0</v>
      </c>
      <c r="I3455" s="2" t="s">
        <v>40</v>
      </c>
      <c r="J3455" s="2"/>
      <c r="K3455" s="2" t="s">
        <v>9179</v>
      </c>
      <c r="L3455" s="12">
        <v>165.0</v>
      </c>
      <c r="M3455" s="2" t="s">
        <v>9180</v>
      </c>
      <c r="N3455" s="2" t="str">
        <f>IFERROR(__xludf.DUMMYFUNCTION("""COMPUTED_VALUE"""),"")</f>
        <v/>
      </c>
    </row>
    <row r="3456">
      <c r="A3456" s="2" t="s">
        <v>33</v>
      </c>
      <c r="B3456" s="12">
        <v>3333427.0</v>
      </c>
      <c r="C3456" s="12">
        <v>3334650.0</v>
      </c>
      <c r="D3456" s="2"/>
      <c r="E3456" s="2" t="s">
        <v>34</v>
      </c>
      <c r="F3456" s="2" t="s">
        <v>2772</v>
      </c>
      <c r="G3456" s="2"/>
      <c r="H3456" s="12">
        <v>0.0</v>
      </c>
      <c r="I3456" s="2" t="s">
        <v>40</v>
      </c>
      <c r="J3456" s="2"/>
      <c r="K3456" s="2" t="s">
        <v>9181</v>
      </c>
      <c r="L3456" s="12">
        <v>407.0</v>
      </c>
      <c r="M3456" s="2" t="s">
        <v>9182</v>
      </c>
      <c r="N3456" s="2" t="str">
        <f>IFERROR(__xludf.DUMMYFUNCTION("""COMPUTED_VALUE"""),"")</f>
        <v/>
      </c>
    </row>
    <row r="3457">
      <c r="A3457" s="2" t="s">
        <v>33</v>
      </c>
      <c r="B3457" s="12">
        <v>3334898.0</v>
      </c>
      <c r="C3457" s="12">
        <v>3336091.0</v>
      </c>
      <c r="D3457" s="2"/>
      <c r="E3457" s="2" t="s">
        <v>34</v>
      </c>
      <c r="F3457" s="2" t="s">
        <v>88</v>
      </c>
      <c r="G3457" s="2"/>
      <c r="H3457" s="12">
        <v>0.0</v>
      </c>
      <c r="I3457" s="2" t="s">
        <v>40</v>
      </c>
      <c r="J3457" s="2"/>
      <c r="K3457" s="2" t="s">
        <v>9183</v>
      </c>
      <c r="L3457" s="12">
        <v>397.0</v>
      </c>
      <c r="M3457" s="2" t="s">
        <v>9184</v>
      </c>
      <c r="N3457" s="2" t="str">
        <f>IFERROR(__xludf.DUMMYFUNCTION("""COMPUTED_VALUE"""),"")</f>
        <v/>
      </c>
    </row>
    <row r="3458">
      <c r="A3458" s="2" t="s">
        <v>33</v>
      </c>
      <c r="B3458" s="12">
        <v>3336564.0</v>
      </c>
      <c r="C3458" s="12">
        <v>3338972.0</v>
      </c>
      <c r="D3458" s="2"/>
      <c r="E3458" s="2" t="s">
        <v>34</v>
      </c>
      <c r="F3458" s="2" t="s">
        <v>9185</v>
      </c>
      <c r="G3458" s="2" t="s">
        <v>9186</v>
      </c>
      <c r="H3458" s="12">
        <v>0.0</v>
      </c>
      <c r="I3458" s="2" t="s">
        <v>40</v>
      </c>
      <c r="J3458" s="2"/>
      <c r="K3458" s="2" t="s">
        <v>9187</v>
      </c>
      <c r="L3458" s="12">
        <v>802.0</v>
      </c>
      <c r="M3458" s="2" t="s">
        <v>9188</v>
      </c>
      <c r="N3458" s="2" t="str">
        <f>IFERROR(__xludf.DUMMYFUNCTION("""COMPUTED_VALUE"""),"")</f>
        <v/>
      </c>
    </row>
    <row r="3459">
      <c r="A3459" s="2" t="s">
        <v>33</v>
      </c>
      <c r="B3459" s="12">
        <v>3339176.0</v>
      </c>
      <c r="C3459" s="12">
        <v>3340063.0</v>
      </c>
      <c r="D3459" s="2"/>
      <c r="E3459" s="2" t="s">
        <v>34</v>
      </c>
      <c r="F3459" s="2" t="s">
        <v>9189</v>
      </c>
      <c r="G3459" s="2"/>
      <c r="H3459" s="12">
        <v>0.0</v>
      </c>
      <c r="I3459" s="2" t="s">
        <v>40</v>
      </c>
      <c r="J3459" s="2"/>
      <c r="K3459" s="2" t="s">
        <v>9190</v>
      </c>
      <c r="L3459" s="12">
        <v>295.0</v>
      </c>
      <c r="M3459" s="2" t="s">
        <v>9191</v>
      </c>
      <c r="N3459" s="2" t="str">
        <f>IFERROR(__xludf.DUMMYFUNCTION("""COMPUTED_VALUE"""),"")</f>
        <v/>
      </c>
    </row>
    <row r="3460">
      <c r="A3460" s="2" t="s">
        <v>33</v>
      </c>
      <c r="B3460" s="12">
        <v>3340108.0</v>
      </c>
      <c r="C3460" s="12">
        <v>3340530.0</v>
      </c>
      <c r="D3460" s="2"/>
      <c r="E3460" s="2" t="s">
        <v>38</v>
      </c>
      <c r="F3460" s="2" t="s">
        <v>39</v>
      </c>
      <c r="G3460" s="2"/>
      <c r="H3460" s="12">
        <v>0.0</v>
      </c>
      <c r="I3460" s="2" t="s">
        <v>40</v>
      </c>
      <c r="J3460" s="2"/>
      <c r="K3460" s="2" t="s">
        <v>9192</v>
      </c>
      <c r="L3460" s="12">
        <v>140.0</v>
      </c>
      <c r="M3460" s="2" t="s">
        <v>9193</v>
      </c>
      <c r="N3460" s="2" t="str">
        <f>IFERROR(__xludf.DUMMYFUNCTION("""COMPUTED_VALUE"""),"")</f>
        <v/>
      </c>
    </row>
    <row r="3461">
      <c r="A3461" s="2" t="s">
        <v>33</v>
      </c>
      <c r="B3461" s="12">
        <v>3340628.0</v>
      </c>
      <c r="C3461" s="12">
        <v>3340813.0</v>
      </c>
      <c r="D3461" s="2"/>
      <c r="E3461" s="2" t="s">
        <v>38</v>
      </c>
      <c r="F3461" s="2" t="s">
        <v>39</v>
      </c>
      <c r="G3461" s="2"/>
      <c r="H3461" s="12">
        <v>0.0</v>
      </c>
      <c r="I3461" s="2" t="s">
        <v>40</v>
      </c>
      <c r="J3461" s="2"/>
      <c r="K3461" s="2" t="s">
        <v>9194</v>
      </c>
      <c r="L3461" s="12">
        <v>61.0</v>
      </c>
      <c r="M3461" s="2" t="s">
        <v>9195</v>
      </c>
      <c r="N3461" s="2" t="str">
        <f>IFERROR(__xludf.DUMMYFUNCTION("""COMPUTED_VALUE"""),"")</f>
        <v/>
      </c>
    </row>
    <row r="3462">
      <c r="A3462" s="2" t="s">
        <v>33</v>
      </c>
      <c r="B3462" s="12">
        <v>3340907.0</v>
      </c>
      <c r="C3462" s="12">
        <v>3341992.0</v>
      </c>
      <c r="D3462" s="2"/>
      <c r="E3462" s="2" t="s">
        <v>38</v>
      </c>
      <c r="F3462" s="2" t="s">
        <v>9196</v>
      </c>
      <c r="G3462" s="2" t="s">
        <v>9197</v>
      </c>
      <c r="H3462" s="12">
        <v>0.0</v>
      </c>
      <c r="I3462" s="2" t="s">
        <v>40</v>
      </c>
      <c r="J3462" s="2"/>
      <c r="K3462" s="2" t="s">
        <v>9198</v>
      </c>
      <c r="L3462" s="12">
        <v>361.0</v>
      </c>
      <c r="M3462" s="2" t="s">
        <v>9199</v>
      </c>
      <c r="N3462" s="2" t="str">
        <f>IFERROR(__xludf.DUMMYFUNCTION("""COMPUTED_VALUE"""),"")</f>
        <v/>
      </c>
    </row>
    <row r="3463">
      <c r="A3463" s="2" t="s">
        <v>33</v>
      </c>
      <c r="B3463" s="12">
        <v>3341962.0</v>
      </c>
      <c r="C3463" s="12">
        <v>3343062.0</v>
      </c>
      <c r="D3463" s="2"/>
      <c r="E3463" s="2" t="s">
        <v>38</v>
      </c>
      <c r="F3463" s="2" t="s">
        <v>5082</v>
      </c>
      <c r="G3463" s="2"/>
      <c r="H3463" s="12">
        <v>0.0</v>
      </c>
      <c r="I3463" s="2" t="s">
        <v>40</v>
      </c>
      <c r="J3463" s="2"/>
      <c r="K3463" s="2" t="s">
        <v>9200</v>
      </c>
      <c r="L3463" s="12">
        <v>366.0</v>
      </c>
      <c r="M3463" s="2" t="s">
        <v>9201</v>
      </c>
      <c r="N3463" s="2" t="str">
        <f>IFERROR(__xludf.DUMMYFUNCTION("""COMPUTED_VALUE"""),"")</f>
        <v/>
      </c>
    </row>
    <row r="3464">
      <c r="A3464" s="2" t="s">
        <v>33</v>
      </c>
      <c r="B3464" s="12">
        <v>3343079.0</v>
      </c>
      <c r="C3464" s="12">
        <v>3345265.0</v>
      </c>
      <c r="D3464" s="2"/>
      <c r="E3464" s="2" t="s">
        <v>38</v>
      </c>
      <c r="F3464" s="2" t="s">
        <v>5082</v>
      </c>
      <c r="G3464" s="2"/>
      <c r="H3464" s="12">
        <v>0.0</v>
      </c>
      <c r="I3464" s="2" t="s">
        <v>40</v>
      </c>
      <c r="J3464" s="2"/>
      <c r="K3464" s="2" t="s">
        <v>9202</v>
      </c>
      <c r="L3464" s="12">
        <v>728.0</v>
      </c>
      <c r="M3464" s="2" t="s">
        <v>9203</v>
      </c>
      <c r="N3464" s="2" t="str">
        <f>IFERROR(__xludf.DUMMYFUNCTION("""COMPUTED_VALUE"""),"")</f>
        <v/>
      </c>
    </row>
    <row r="3465">
      <c r="A3465" s="2" t="s">
        <v>33</v>
      </c>
      <c r="B3465" s="12">
        <v>3345418.0</v>
      </c>
      <c r="C3465" s="12">
        <v>3346542.0</v>
      </c>
      <c r="D3465" s="2"/>
      <c r="E3465" s="2" t="s">
        <v>34</v>
      </c>
      <c r="F3465" s="2" t="s">
        <v>9204</v>
      </c>
      <c r="G3465" s="2"/>
      <c r="H3465" s="12">
        <v>0.0</v>
      </c>
      <c r="I3465" s="2" t="s">
        <v>40</v>
      </c>
      <c r="J3465" s="2"/>
      <c r="K3465" s="2" t="s">
        <v>9205</v>
      </c>
      <c r="L3465" s="12">
        <v>374.0</v>
      </c>
      <c r="M3465" s="2" t="s">
        <v>9206</v>
      </c>
      <c r="N3465" s="2" t="str">
        <f>IFERROR(__xludf.DUMMYFUNCTION("""COMPUTED_VALUE"""),"")</f>
        <v/>
      </c>
    </row>
    <row r="3466">
      <c r="A3466" s="2" t="s">
        <v>33</v>
      </c>
      <c r="B3466" s="12">
        <v>3346592.0</v>
      </c>
      <c r="C3466" s="12">
        <v>3346774.0</v>
      </c>
      <c r="D3466" s="2"/>
      <c r="E3466" s="2" t="s">
        <v>38</v>
      </c>
      <c r="F3466" s="2" t="s">
        <v>39</v>
      </c>
      <c r="G3466" s="2"/>
      <c r="H3466" s="12">
        <v>0.0</v>
      </c>
      <c r="I3466" s="2" t="s">
        <v>40</v>
      </c>
      <c r="J3466" s="2"/>
      <c r="K3466" s="2" t="s">
        <v>9207</v>
      </c>
      <c r="L3466" s="12">
        <v>60.0</v>
      </c>
      <c r="M3466" s="2" t="s">
        <v>9208</v>
      </c>
      <c r="N3466" s="2" t="str">
        <f>IFERROR(__xludf.DUMMYFUNCTION("""COMPUTED_VALUE"""),"")</f>
        <v/>
      </c>
    </row>
    <row r="3467">
      <c r="A3467" s="2" t="s">
        <v>33</v>
      </c>
      <c r="B3467" s="12">
        <v>3346972.0</v>
      </c>
      <c r="C3467" s="12">
        <v>3347277.0</v>
      </c>
      <c r="D3467" s="2"/>
      <c r="E3467" s="2" t="s">
        <v>34</v>
      </c>
      <c r="F3467" s="2" t="s">
        <v>5045</v>
      </c>
      <c r="G3467" s="2"/>
      <c r="H3467" s="12">
        <v>0.0</v>
      </c>
      <c r="I3467" s="2" t="s">
        <v>40</v>
      </c>
      <c r="J3467" s="2"/>
      <c r="K3467" s="2" t="s">
        <v>9209</v>
      </c>
      <c r="L3467" s="12">
        <v>101.0</v>
      </c>
      <c r="M3467" s="2" t="s">
        <v>9210</v>
      </c>
      <c r="N3467" s="2" t="str">
        <f>IFERROR(__xludf.DUMMYFUNCTION("""COMPUTED_VALUE"""),"")</f>
        <v/>
      </c>
    </row>
    <row r="3468">
      <c r="A3468" s="2" t="s">
        <v>33</v>
      </c>
      <c r="B3468" s="12">
        <v>3347355.0</v>
      </c>
      <c r="C3468" s="12">
        <v>3347579.0</v>
      </c>
      <c r="D3468" s="2"/>
      <c r="E3468" s="2" t="s">
        <v>34</v>
      </c>
      <c r="F3468" s="2" t="s">
        <v>5082</v>
      </c>
      <c r="G3468" s="2"/>
      <c r="H3468" s="12">
        <v>0.0</v>
      </c>
      <c r="I3468" s="2" t="s">
        <v>40</v>
      </c>
      <c r="J3468" s="2"/>
      <c r="K3468" s="2" t="s">
        <v>9211</v>
      </c>
      <c r="L3468" s="12">
        <v>74.0</v>
      </c>
      <c r="M3468" s="2" t="s">
        <v>9212</v>
      </c>
      <c r="N3468" s="2" t="str">
        <f>IFERROR(__xludf.DUMMYFUNCTION("""COMPUTED_VALUE"""),"")</f>
        <v/>
      </c>
    </row>
    <row r="3469">
      <c r="A3469" s="2" t="s">
        <v>33</v>
      </c>
      <c r="B3469" s="12">
        <v>3347600.0</v>
      </c>
      <c r="C3469" s="12">
        <v>3347923.0</v>
      </c>
      <c r="D3469" s="2"/>
      <c r="E3469" s="2" t="s">
        <v>34</v>
      </c>
      <c r="F3469" s="2" t="s">
        <v>39</v>
      </c>
      <c r="G3469" s="2"/>
      <c r="H3469" s="12">
        <v>0.0</v>
      </c>
      <c r="I3469" s="2" t="s">
        <v>40</v>
      </c>
      <c r="J3469" s="2"/>
      <c r="K3469" s="2" t="s">
        <v>9213</v>
      </c>
      <c r="L3469" s="12">
        <v>107.0</v>
      </c>
      <c r="M3469" s="2" t="s">
        <v>9214</v>
      </c>
      <c r="N3469" s="2" t="str">
        <f>IFERROR(__xludf.DUMMYFUNCTION("""COMPUTED_VALUE"""),"")</f>
        <v/>
      </c>
    </row>
    <row r="3470">
      <c r="A3470" s="2" t="s">
        <v>33</v>
      </c>
      <c r="B3470" s="12">
        <v>3348040.0</v>
      </c>
      <c r="C3470" s="12">
        <v>3351969.0</v>
      </c>
      <c r="D3470" s="2"/>
      <c r="E3470" s="2" t="s">
        <v>34</v>
      </c>
      <c r="F3470" s="2" t="s">
        <v>9215</v>
      </c>
      <c r="G3470" s="2"/>
      <c r="H3470" s="12">
        <v>0.0</v>
      </c>
      <c r="I3470" s="2" t="s">
        <v>40</v>
      </c>
      <c r="J3470" s="2"/>
      <c r="K3470" s="2" t="s">
        <v>9216</v>
      </c>
      <c r="L3470" s="12">
        <v>1309.0</v>
      </c>
      <c r="M3470" s="2" t="s">
        <v>9217</v>
      </c>
      <c r="N3470" s="2" t="str">
        <f>IFERROR(__xludf.DUMMYFUNCTION("""COMPUTED_VALUE"""),"")</f>
        <v/>
      </c>
    </row>
    <row r="3471">
      <c r="A3471" s="2" t="s">
        <v>33</v>
      </c>
      <c r="B3471" s="12">
        <v>3352169.0</v>
      </c>
      <c r="C3471" s="12">
        <v>3353182.0</v>
      </c>
      <c r="D3471" s="2"/>
      <c r="E3471" s="2" t="s">
        <v>34</v>
      </c>
      <c r="F3471" s="2" t="s">
        <v>1350</v>
      </c>
      <c r="G3471" s="2" t="s">
        <v>1351</v>
      </c>
      <c r="H3471" s="12">
        <v>0.0</v>
      </c>
      <c r="I3471" s="2" t="s">
        <v>40</v>
      </c>
      <c r="J3471" s="2"/>
      <c r="K3471" s="2" t="s">
        <v>9218</v>
      </c>
      <c r="L3471" s="12">
        <v>337.0</v>
      </c>
      <c r="M3471" s="2" t="s">
        <v>9219</v>
      </c>
      <c r="N3471" s="2" t="str">
        <f>IFERROR(__xludf.DUMMYFUNCTION("""COMPUTED_VALUE"""),"")</f>
        <v/>
      </c>
    </row>
    <row r="3472">
      <c r="A3472" s="2" t="s">
        <v>33</v>
      </c>
      <c r="B3472" s="12">
        <v>3353199.0</v>
      </c>
      <c r="C3472" s="12">
        <v>3354212.0</v>
      </c>
      <c r="D3472" s="2"/>
      <c r="E3472" s="2" t="s">
        <v>34</v>
      </c>
      <c r="F3472" s="2" t="s">
        <v>1347</v>
      </c>
      <c r="G3472" s="2"/>
      <c r="H3472" s="12">
        <v>0.0</v>
      </c>
      <c r="I3472" s="2" t="s">
        <v>40</v>
      </c>
      <c r="J3472" s="2"/>
      <c r="K3472" s="2" t="s">
        <v>9220</v>
      </c>
      <c r="L3472" s="12">
        <v>337.0</v>
      </c>
      <c r="M3472" s="2" t="s">
        <v>9221</v>
      </c>
      <c r="N3472" s="2" t="str">
        <f>IFERROR(__xludf.DUMMYFUNCTION("""COMPUTED_VALUE"""),"")</f>
        <v/>
      </c>
    </row>
    <row r="3473">
      <c r="A3473" s="2" t="s">
        <v>33</v>
      </c>
      <c r="B3473" s="12">
        <v>3354250.0</v>
      </c>
      <c r="C3473" s="12">
        <v>3354735.0</v>
      </c>
      <c r="D3473" s="2"/>
      <c r="E3473" s="2" t="s">
        <v>38</v>
      </c>
      <c r="F3473" s="2" t="s">
        <v>9222</v>
      </c>
      <c r="G3473" s="2" t="s">
        <v>9223</v>
      </c>
      <c r="H3473" s="12">
        <v>0.0</v>
      </c>
      <c r="I3473" s="2" t="s">
        <v>40</v>
      </c>
      <c r="J3473" s="2"/>
      <c r="K3473" s="2" t="s">
        <v>9224</v>
      </c>
      <c r="L3473" s="12">
        <v>161.0</v>
      </c>
      <c r="M3473" s="2" t="s">
        <v>9225</v>
      </c>
      <c r="N3473" s="2" t="str">
        <f>IFERROR(__xludf.DUMMYFUNCTION("""COMPUTED_VALUE"""),"")</f>
        <v/>
      </c>
    </row>
    <row r="3474">
      <c r="A3474" s="2" t="s">
        <v>33</v>
      </c>
      <c r="B3474" s="12">
        <v>3354819.0</v>
      </c>
      <c r="C3474" s="12">
        <v>3356108.0</v>
      </c>
      <c r="D3474" s="2"/>
      <c r="E3474" s="2" t="s">
        <v>34</v>
      </c>
      <c r="F3474" s="2" t="s">
        <v>9226</v>
      </c>
      <c r="G3474" s="2" t="s">
        <v>9227</v>
      </c>
      <c r="H3474" s="12">
        <v>0.0</v>
      </c>
      <c r="I3474" s="2" t="s">
        <v>40</v>
      </c>
      <c r="J3474" s="2"/>
      <c r="K3474" s="2" t="s">
        <v>9228</v>
      </c>
      <c r="L3474" s="12">
        <v>429.0</v>
      </c>
      <c r="M3474" s="2" t="s">
        <v>9229</v>
      </c>
      <c r="N3474" s="2" t="str">
        <f>IFERROR(__xludf.DUMMYFUNCTION("""COMPUTED_VALUE"""),"")</f>
        <v/>
      </c>
    </row>
    <row r="3475">
      <c r="A3475" s="2" t="s">
        <v>33</v>
      </c>
      <c r="B3475" s="12">
        <v>3356078.0</v>
      </c>
      <c r="C3475" s="12">
        <v>3356593.0</v>
      </c>
      <c r="D3475" s="2"/>
      <c r="E3475" s="2" t="s">
        <v>34</v>
      </c>
      <c r="F3475" s="2" t="s">
        <v>9230</v>
      </c>
      <c r="G3475" s="2" t="s">
        <v>9231</v>
      </c>
      <c r="H3475" s="12">
        <v>0.0</v>
      </c>
      <c r="I3475" s="2" t="s">
        <v>40</v>
      </c>
      <c r="J3475" s="2"/>
      <c r="K3475" s="2" t="s">
        <v>9232</v>
      </c>
      <c r="L3475" s="12">
        <v>171.0</v>
      </c>
      <c r="M3475" s="2" t="s">
        <v>9233</v>
      </c>
      <c r="N3475" s="2" t="str">
        <f>IFERROR(__xludf.DUMMYFUNCTION("""COMPUTED_VALUE"""),"")</f>
        <v/>
      </c>
    </row>
    <row r="3476">
      <c r="A3476" s="2" t="s">
        <v>33</v>
      </c>
      <c r="B3476" s="12">
        <v>3356590.0</v>
      </c>
      <c r="C3476" s="12">
        <v>3357054.0</v>
      </c>
      <c r="D3476" s="2"/>
      <c r="E3476" s="2" t="s">
        <v>34</v>
      </c>
      <c r="F3476" s="2" t="s">
        <v>1339</v>
      </c>
      <c r="G3476" s="2" t="s">
        <v>1340</v>
      </c>
      <c r="H3476" s="12">
        <v>0.0</v>
      </c>
      <c r="I3476" s="2" t="s">
        <v>40</v>
      </c>
      <c r="J3476" s="2"/>
      <c r="K3476" s="2" t="s">
        <v>9234</v>
      </c>
      <c r="L3476" s="12">
        <v>154.0</v>
      </c>
      <c r="M3476" s="2" t="s">
        <v>9235</v>
      </c>
      <c r="N3476" s="2" t="str">
        <f>IFERROR(__xludf.DUMMYFUNCTION("""COMPUTED_VALUE"""),"")</f>
        <v/>
      </c>
    </row>
    <row r="3477">
      <c r="A3477" s="2" t="s">
        <v>33</v>
      </c>
      <c r="B3477" s="12">
        <v>3357057.0</v>
      </c>
      <c r="C3477" s="12">
        <v>3357290.0</v>
      </c>
      <c r="D3477" s="2"/>
      <c r="E3477" s="2" t="s">
        <v>34</v>
      </c>
      <c r="F3477" s="2" t="s">
        <v>1335</v>
      </c>
      <c r="G3477" s="2" t="s">
        <v>1336</v>
      </c>
      <c r="H3477" s="12">
        <v>0.0</v>
      </c>
      <c r="I3477" s="2" t="s">
        <v>40</v>
      </c>
      <c r="J3477" s="2"/>
      <c r="K3477" s="2" t="s">
        <v>9236</v>
      </c>
      <c r="L3477" s="12">
        <v>77.0</v>
      </c>
      <c r="M3477" s="2" t="s">
        <v>9237</v>
      </c>
      <c r="N3477" s="2" t="str">
        <f>IFERROR(__xludf.DUMMYFUNCTION("""COMPUTED_VALUE"""),"")</f>
        <v/>
      </c>
    </row>
    <row r="3478">
      <c r="A3478" s="2" t="s">
        <v>33</v>
      </c>
      <c r="B3478" s="12">
        <v>3357384.0</v>
      </c>
      <c r="C3478" s="12">
        <v>3357803.0</v>
      </c>
      <c r="D3478" s="2"/>
      <c r="E3478" s="2" t="s">
        <v>34</v>
      </c>
      <c r="F3478" s="2" t="s">
        <v>3362</v>
      </c>
      <c r="G3478" s="2"/>
      <c r="H3478" s="12">
        <v>0.0</v>
      </c>
      <c r="I3478" s="2" t="s">
        <v>40</v>
      </c>
      <c r="J3478" s="2"/>
      <c r="K3478" s="2" t="s">
        <v>9238</v>
      </c>
      <c r="L3478" s="12">
        <v>139.0</v>
      </c>
      <c r="M3478" s="2" t="s">
        <v>9239</v>
      </c>
      <c r="N3478" s="2" t="str">
        <f>IFERROR(__xludf.DUMMYFUNCTION("""COMPUTED_VALUE"""),"")</f>
        <v/>
      </c>
    </row>
    <row r="3479">
      <c r="A3479" s="2" t="s">
        <v>33</v>
      </c>
      <c r="B3479" s="12">
        <v>3357839.0</v>
      </c>
      <c r="C3479" s="12">
        <v>3358696.0</v>
      </c>
      <c r="D3479" s="2"/>
      <c r="E3479" s="2" t="s">
        <v>34</v>
      </c>
      <c r="F3479" s="2" t="s">
        <v>9240</v>
      </c>
      <c r="G3479" s="2" t="s">
        <v>9241</v>
      </c>
      <c r="H3479" s="12">
        <v>0.0</v>
      </c>
      <c r="I3479" s="2" t="s">
        <v>40</v>
      </c>
      <c r="J3479" s="2"/>
      <c r="K3479" s="2" t="s">
        <v>9242</v>
      </c>
      <c r="L3479" s="12">
        <v>285.0</v>
      </c>
      <c r="M3479" s="2" t="s">
        <v>9243</v>
      </c>
      <c r="N3479" s="2" t="str">
        <f>IFERROR(__xludf.DUMMYFUNCTION("""COMPUTED_VALUE"""),"")</f>
        <v/>
      </c>
    </row>
    <row r="3480">
      <c r="A3480" s="2" t="s">
        <v>33</v>
      </c>
      <c r="B3480" s="12">
        <v>3358710.0</v>
      </c>
      <c r="C3480" s="12">
        <v>3359495.0</v>
      </c>
      <c r="D3480" s="2"/>
      <c r="E3480" s="2" t="s">
        <v>34</v>
      </c>
      <c r="F3480" s="2" t="s">
        <v>9244</v>
      </c>
      <c r="G3480" s="2"/>
      <c r="H3480" s="12">
        <v>0.0</v>
      </c>
      <c r="I3480" s="2" t="s">
        <v>40</v>
      </c>
      <c r="J3480" s="2"/>
      <c r="K3480" s="2" t="s">
        <v>9245</v>
      </c>
      <c r="L3480" s="12">
        <v>261.0</v>
      </c>
      <c r="M3480" s="2" t="s">
        <v>9246</v>
      </c>
      <c r="N3480" s="2" t="str">
        <f>IFERROR(__xludf.DUMMYFUNCTION("""COMPUTED_VALUE"""),"")</f>
        <v/>
      </c>
    </row>
    <row r="3481">
      <c r="A3481" s="2" t="s">
        <v>33</v>
      </c>
      <c r="B3481" s="12">
        <v>3359568.0</v>
      </c>
      <c r="C3481" s="12">
        <v>3360062.0</v>
      </c>
      <c r="D3481" s="2"/>
      <c r="E3481" s="2" t="s">
        <v>38</v>
      </c>
      <c r="F3481" s="2" t="s">
        <v>9247</v>
      </c>
      <c r="G3481" s="2"/>
      <c r="H3481" s="12">
        <v>0.0</v>
      </c>
      <c r="I3481" s="2" t="s">
        <v>40</v>
      </c>
      <c r="J3481" s="2"/>
      <c r="K3481" s="2" t="s">
        <v>9248</v>
      </c>
      <c r="L3481" s="12">
        <v>164.0</v>
      </c>
      <c r="M3481" s="2" t="s">
        <v>9249</v>
      </c>
      <c r="N3481" s="2" t="str">
        <f>IFERROR(__xludf.DUMMYFUNCTION("""COMPUTED_VALUE"""),"")</f>
        <v/>
      </c>
    </row>
    <row r="3482">
      <c r="A3482" s="2" t="s">
        <v>33</v>
      </c>
      <c r="B3482" s="12">
        <v>3360318.0</v>
      </c>
      <c r="C3482" s="12">
        <v>3360554.0</v>
      </c>
      <c r="D3482" s="2"/>
      <c r="E3482" s="2" t="s">
        <v>34</v>
      </c>
      <c r="F3482" s="2" t="s">
        <v>9250</v>
      </c>
      <c r="G3482" s="2"/>
      <c r="H3482" s="12">
        <v>0.0</v>
      </c>
      <c r="I3482" s="2" t="s">
        <v>40</v>
      </c>
      <c r="J3482" s="2"/>
      <c r="K3482" s="2" t="s">
        <v>9251</v>
      </c>
      <c r="L3482" s="12">
        <v>78.0</v>
      </c>
      <c r="M3482" s="2" t="s">
        <v>9252</v>
      </c>
      <c r="N3482" s="2" t="str">
        <f>IFERROR(__xludf.DUMMYFUNCTION("""COMPUTED_VALUE"""),"")</f>
        <v/>
      </c>
    </row>
    <row r="3483">
      <c r="A3483" s="2" t="s">
        <v>33</v>
      </c>
      <c r="B3483" s="12">
        <v>3360556.0</v>
      </c>
      <c r="C3483" s="12">
        <v>3360738.0</v>
      </c>
      <c r="D3483" s="2"/>
      <c r="E3483" s="2" t="s">
        <v>34</v>
      </c>
      <c r="F3483" s="2" t="s">
        <v>9253</v>
      </c>
      <c r="G3483" s="2"/>
      <c r="H3483" s="12">
        <v>0.0</v>
      </c>
      <c r="I3483" s="2" t="s">
        <v>40</v>
      </c>
      <c r="J3483" s="2"/>
      <c r="K3483" s="2" t="s">
        <v>9254</v>
      </c>
      <c r="L3483" s="12">
        <v>60.0</v>
      </c>
      <c r="M3483" s="2" t="s">
        <v>9255</v>
      </c>
      <c r="N3483" s="2" t="str">
        <f>IFERROR(__xludf.DUMMYFUNCTION("""COMPUTED_VALUE"""),"")</f>
        <v/>
      </c>
    </row>
    <row r="3484">
      <c r="A3484" s="2" t="s">
        <v>33</v>
      </c>
      <c r="B3484" s="12">
        <v>3360773.0</v>
      </c>
      <c r="C3484" s="12">
        <v>3361000.0</v>
      </c>
      <c r="D3484" s="2"/>
      <c r="E3484" s="2" t="s">
        <v>38</v>
      </c>
      <c r="F3484" s="2" t="s">
        <v>9256</v>
      </c>
      <c r="G3484" s="2"/>
      <c r="H3484" s="12">
        <v>0.0</v>
      </c>
      <c r="I3484" s="2" t="s">
        <v>40</v>
      </c>
      <c r="J3484" s="2"/>
      <c r="K3484" s="2" t="s">
        <v>9257</v>
      </c>
      <c r="L3484" s="12">
        <v>75.0</v>
      </c>
      <c r="M3484" s="2" t="s">
        <v>9258</v>
      </c>
      <c r="N3484" s="2" t="str">
        <f>IFERROR(__xludf.DUMMYFUNCTION("""COMPUTED_VALUE"""),"")</f>
        <v/>
      </c>
    </row>
    <row r="3485">
      <c r="A3485" s="2" t="s">
        <v>33</v>
      </c>
      <c r="B3485" s="12">
        <v>3361425.0</v>
      </c>
      <c r="C3485" s="12">
        <v>3361856.0</v>
      </c>
      <c r="D3485" s="2"/>
      <c r="E3485" s="2" t="s">
        <v>34</v>
      </c>
      <c r="F3485" s="2" t="s">
        <v>9259</v>
      </c>
      <c r="G3485" s="2"/>
      <c r="H3485" s="12">
        <v>0.0</v>
      </c>
      <c r="I3485" s="2" t="s">
        <v>40</v>
      </c>
      <c r="J3485" s="2"/>
      <c r="K3485" s="2" t="s">
        <v>9260</v>
      </c>
      <c r="L3485" s="12">
        <v>143.0</v>
      </c>
      <c r="M3485" s="2" t="s">
        <v>9261</v>
      </c>
      <c r="N3485" s="2" t="str">
        <f>IFERROR(__xludf.DUMMYFUNCTION("""COMPUTED_VALUE"""),"")</f>
        <v/>
      </c>
    </row>
    <row r="3486">
      <c r="A3486" s="2" t="s">
        <v>33</v>
      </c>
      <c r="B3486" s="12">
        <v>3361857.0</v>
      </c>
      <c r="C3486" s="12">
        <v>3362180.0</v>
      </c>
      <c r="D3486" s="2"/>
      <c r="E3486" s="2" t="s">
        <v>34</v>
      </c>
      <c r="F3486" s="2" t="s">
        <v>220</v>
      </c>
      <c r="G3486" s="2"/>
      <c r="H3486" s="12">
        <v>0.0</v>
      </c>
      <c r="I3486" s="2" t="s">
        <v>40</v>
      </c>
      <c r="J3486" s="2"/>
      <c r="K3486" s="2" t="s">
        <v>9262</v>
      </c>
      <c r="L3486" s="12">
        <v>107.0</v>
      </c>
      <c r="M3486" s="2" t="s">
        <v>9263</v>
      </c>
      <c r="N3486" s="2" t="str">
        <f>IFERROR(__xludf.DUMMYFUNCTION("""COMPUTED_VALUE"""),"")</f>
        <v/>
      </c>
    </row>
    <row r="3487">
      <c r="A3487" s="2" t="s">
        <v>33</v>
      </c>
      <c r="B3487" s="12">
        <v>3362208.0</v>
      </c>
      <c r="C3487" s="12">
        <v>3363647.0</v>
      </c>
      <c r="D3487" s="2"/>
      <c r="E3487" s="2" t="s">
        <v>38</v>
      </c>
      <c r="F3487" s="2" t="s">
        <v>832</v>
      </c>
      <c r="G3487" s="2"/>
      <c r="H3487" s="12">
        <v>0.0</v>
      </c>
      <c r="I3487" s="2" t="s">
        <v>40</v>
      </c>
      <c r="J3487" s="2"/>
      <c r="K3487" s="2" t="s">
        <v>9264</v>
      </c>
      <c r="L3487" s="12">
        <v>479.0</v>
      </c>
      <c r="M3487" s="2" t="s">
        <v>9265</v>
      </c>
      <c r="N3487" s="2" t="str">
        <f>IFERROR(__xludf.DUMMYFUNCTION("""COMPUTED_VALUE"""),"")</f>
        <v/>
      </c>
    </row>
    <row r="3488">
      <c r="A3488" s="2" t="s">
        <v>33</v>
      </c>
      <c r="B3488" s="12">
        <v>3363850.0</v>
      </c>
      <c r="C3488" s="12">
        <v>3365121.0</v>
      </c>
      <c r="D3488" s="2"/>
      <c r="E3488" s="2" t="s">
        <v>38</v>
      </c>
      <c r="F3488" s="2" t="s">
        <v>654</v>
      </c>
      <c r="G3488" s="2"/>
      <c r="H3488" s="12">
        <v>0.0</v>
      </c>
      <c r="I3488" s="2" t="s">
        <v>40</v>
      </c>
      <c r="J3488" s="2"/>
      <c r="K3488" s="2" t="s">
        <v>9266</v>
      </c>
      <c r="L3488" s="12">
        <v>423.0</v>
      </c>
      <c r="M3488" s="2" t="s">
        <v>9267</v>
      </c>
      <c r="N3488" s="2" t="str">
        <f>IFERROR(__xludf.DUMMYFUNCTION("""COMPUTED_VALUE"""),"")</f>
        <v/>
      </c>
    </row>
    <row r="3489">
      <c r="A3489" s="2" t="s">
        <v>33</v>
      </c>
      <c r="B3489" s="12">
        <v>3365416.0</v>
      </c>
      <c r="C3489" s="12">
        <v>3367068.0</v>
      </c>
      <c r="D3489" s="2"/>
      <c r="E3489" s="2" t="s">
        <v>34</v>
      </c>
      <c r="F3489" s="2" t="s">
        <v>1605</v>
      </c>
      <c r="G3489" s="2"/>
      <c r="H3489" s="12">
        <v>0.0</v>
      </c>
      <c r="I3489" s="2" t="s">
        <v>40</v>
      </c>
      <c r="J3489" s="2"/>
      <c r="K3489" s="2" t="s">
        <v>9268</v>
      </c>
      <c r="L3489" s="12">
        <v>550.0</v>
      </c>
      <c r="M3489" s="2" t="s">
        <v>9269</v>
      </c>
      <c r="N3489" s="2" t="str">
        <f>IFERROR(__xludf.DUMMYFUNCTION("""COMPUTED_VALUE"""),"")</f>
        <v/>
      </c>
    </row>
    <row r="3490">
      <c r="A3490" s="2" t="s">
        <v>33</v>
      </c>
      <c r="B3490" s="12">
        <v>3367110.0</v>
      </c>
      <c r="C3490" s="12">
        <v>3367838.0</v>
      </c>
      <c r="D3490" s="2"/>
      <c r="E3490" s="2" t="s">
        <v>34</v>
      </c>
      <c r="F3490" s="2" t="s">
        <v>9270</v>
      </c>
      <c r="G3490" s="2"/>
      <c r="H3490" s="12">
        <v>0.0</v>
      </c>
      <c r="I3490" s="2" t="s">
        <v>40</v>
      </c>
      <c r="J3490" s="2"/>
      <c r="K3490" s="2" t="s">
        <v>9271</v>
      </c>
      <c r="L3490" s="12">
        <v>242.0</v>
      </c>
      <c r="M3490" s="2" t="s">
        <v>9272</v>
      </c>
      <c r="N3490" s="2" t="str">
        <f>IFERROR(__xludf.DUMMYFUNCTION("""COMPUTED_VALUE"""),"")</f>
        <v/>
      </c>
    </row>
    <row r="3491">
      <c r="A3491" s="2" t="s">
        <v>33</v>
      </c>
      <c r="B3491" s="12">
        <v>3367919.0</v>
      </c>
      <c r="C3491" s="12">
        <v>3368140.0</v>
      </c>
      <c r="D3491" s="2"/>
      <c r="E3491" s="2" t="s">
        <v>38</v>
      </c>
      <c r="F3491" s="2" t="s">
        <v>9273</v>
      </c>
      <c r="G3491" s="2"/>
      <c r="H3491" s="12">
        <v>0.0</v>
      </c>
      <c r="I3491" s="2" t="s">
        <v>40</v>
      </c>
      <c r="J3491" s="2"/>
      <c r="K3491" s="2" t="s">
        <v>9274</v>
      </c>
      <c r="L3491" s="12">
        <v>73.0</v>
      </c>
      <c r="M3491" s="2" t="s">
        <v>9275</v>
      </c>
      <c r="N3491" s="2" t="str">
        <f>IFERROR(__xludf.DUMMYFUNCTION("""COMPUTED_VALUE"""),"")</f>
        <v/>
      </c>
    </row>
    <row r="3492">
      <c r="A3492" s="2" t="s">
        <v>33</v>
      </c>
      <c r="B3492" s="12">
        <v>3368498.0</v>
      </c>
      <c r="C3492" s="12">
        <v>3369904.0</v>
      </c>
      <c r="D3492" s="2"/>
      <c r="E3492" s="2" t="s">
        <v>34</v>
      </c>
      <c r="F3492" s="2" t="s">
        <v>9276</v>
      </c>
      <c r="G3492" s="2" t="s">
        <v>9277</v>
      </c>
      <c r="H3492" s="12">
        <v>0.0</v>
      </c>
      <c r="I3492" s="2" t="s">
        <v>40</v>
      </c>
      <c r="J3492" s="2"/>
      <c r="K3492" s="2" t="s">
        <v>9278</v>
      </c>
      <c r="L3492" s="12">
        <v>468.0</v>
      </c>
      <c r="M3492" s="2" t="s">
        <v>9279</v>
      </c>
      <c r="N3492" s="2" t="str">
        <f>IFERROR(__xludf.DUMMYFUNCTION("""COMPUTED_VALUE"""),"")</f>
        <v/>
      </c>
    </row>
    <row r="3493">
      <c r="A3493" s="2" t="s">
        <v>33</v>
      </c>
      <c r="B3493" s="12">
        <v>3370009.0</v>
      </c>
      <c r="C3493" s="12">
        <v>3370554.0</v>
      </c>
      <c r="D3493" s="2"/>
      <c r="E3493" s="2" t="s">
        <v>34</v>
      </c>
      <c r="F3493" s="2" t="s">
        <v>9280</v>
      </c>
      <c r="G3493" s="2" t="s">
        <v>9281</v>
      </c>
      <c r="H3493" s="12">
        <v>0.0</v>
      </c>
      <c r="I3493" s="2" t="s">
        <v>40</v>
      </c>
      <c r="J3493" s="2"/>
      <c r="K3493" s="2" t="s">
        <v>9282</v>
      </c>
      <c r="L3493" s="12">
        <v>181.0</v>
      </c>
      <c r="M3493" s="2" t="s">
        <v>9283</v>
      </c>
      <c r="N3493" s="2" t="str">
        <f>IFERROR(__xludf.DUMMYFUNCTION("""COMPUTED_VALUE"""),"")</f>
        <v/>
      </c>
    </row>
    <row r="3494">
      <c r="A3494" s="2" t="s">
        <v>33</v>
      </c>
      <c r="B3494" s="12">
        <v>3370766.0</v>
      </c>
      <c r="C3494" s="12">
        <v>3372907.0</v>
      </c>
      <c r="D3494" s="2"/>
      <c r="E3494" s="2" t="s">
        <v>34</v>
      </c>
      <c r="F3494" s="2" t="s">
        <v>9284</v>
      </c>
      <c r="G3494" s="2" t="s">
        <v>9285</v>
      </c>
      <c r="H3494" s="12">
        <v>0.0</v>
      </c>
      <c r="I3494" s="2" t="s">
        <v>40</v>
      </c>
      <c r="J3494" s="2"/>
      <c r="K3494" s="2" t="s">
        <v>9286</v>
      </c>
      <c r="L3494" s="12">
        <v>713.0</v>
      </c>
      <c r="M3494" s="2" t="s">
        <v>9287</v>
      </c>
      <c r="N3494" s="2" t="str">
        <f>IFERROR(__xludf.DUMMYFUNCTION("""COMPUTED_VALUE"""),"")</f>
        <v/>
      </c>
    </row>
    <row r="3495">
      <c r="A3495" s="2" t="s">
        <v>33</v>
      </c>
      <c r="B3495" s="12">
        <v>3373135.0</v>
      </c>
      <c r="C3495" s="12">
        <v>3373932.0</v>
      </c>
      <c r="D3495" s="2"/>
      <c r="E3495" s="2" t="s">
        <v>34</v>
      </c>
      <c r="F3495" s="2" t="s">
        <v>9288</v>
      </c>
      <c r="G3495" s="2"/>
      <c r="H3495" s="12">
        <v>0.0</v>
      </c>
      <c r="I3495" s="2" t="s">
        <v>40</v>
      </c>
      <c r="J3495" s="2"/>
      <c r="K3495" s="2" t="s">
        <v>9289</v>
      </c>
      <c r="L3495" s="12">
        <v>265.0</v>
      </c>
      <c r="M3495" s="2" t="s">
        <v>9290</v>
      </c>
      <c r="N3495" s="2" t="str">
        <f>IFERROR(__xludf.DUMMYFUNCTION("""COMPUTED_VALUE"""),"")</f>
        <v/>
      </c>
    </row>
    <row r="3496">
      <c r="A3496" s="2" t="s">
        <v>33</v>
      </c>
      <c r="B3496" s="12">
        <v>3373936.0</v>
      </c>
      <c r="C3496" s="12">
        <v>3374214.0</v>
      </c>
      <c r="D3496" s="2"/>
      <c r="E3496" s="2" t="s">
        <v>38</v>
      </c>
      <c r="F3496" s="2" t="s">
        <v>9291</v>
      </c>
      <c r="G3496" s="2"/>
      <c r="H3496" s="12">
        <v>0.0</v>
      </c>
      <c r="I3496" s="2" t="s">
        <v>40</v>
      </c>
      <c r="J3496" s="2"/>
      <c r="K3496" s="2" t="s">
        <v>9292</v>
      </c>
      <c r="L3496" s="12">
        <v>92.0</v>
      </c>
      <c r="M3496" s="2" t="s">
        <v>9293</v>
      </c>
      <c r="N3496" s="2" t="str">
        <f>IFERROR(__xludf.DUMMYFUNCTION("""COMPUTED_VALUE"""),"")</f>
        <v/>
      </c>
    </row>
    <row r="3497">
      <c r="A3497" s="2" t="s">
        <v>33</v>
      </c>
      <c r="B3497" s="12">
        <v>3374443.0</v>
      </c>
      <c r="C3497" s="12">
        <v>3375096.0</v>
      </c>
      <c r="D3497" s="2"/>
      <c r="E3497" s="2" t="s">
        <v>34</v>
      </c>
      <c r="F3497" s="2" t="s">
        <v>9294</v>
      </c>
      <c r="G3497" s="2" t="s">
        <v>9295</v>
      </c>
      <c r="H3497" s="12">
        <v>0.0</v>
      </c>
      <c r="I3497" s="2" t="s">
        <v>40</v>
      </c>
      <c r="J3497" s="2"/>
      <c r="K3497" s="2" t="s">
        <v>9296</v>
      </c>
      <c r="L3497" s="12">
        <v>217.0</v>
      </c>
      <c r="M3497" s="2" t="s">
        <v>9297</v>
      </c>
      <c r="N3497" s="2" t="str">
        <f>IFERROR(__xludf.DUMMYFUNCTION("""COMPUTED_VALUE"""),"")</f>
        <v/>
      </c>
    </row>
    <row r="3498">
      <c r="A3498" s="2" t="s">
        <v>33</v>
      </c>
      <c r="B3498" s="12">
        <v>3375167.0</v>
      </c>
      <c r="C3498" s="12">
        <v>3376021.0</v>
      </c>
      <c r="D3498" s="2"/>
      <c r="E3498" s="2" t="s">
        <v>34</v>
      </c>
      <c r="F3498" s="2" t="s">
        <v>599</v>
      </c>
      <c r="G3498" s="2"/>
      <c r="H3498" s="12">
        <v>0.0</v>
      </c>
      <c r="I3498" s="2" t="s">
        <v>40</v>
      </c>
      <c r="J3498" s="2"/>
      <c r="K3498" s="2" t="s">
        <v>9298</v>
      </c>
      <c r="L3498" s="12">
        <v>284.0</v>
      </c>
      <c r="M3498" s="2" t="s">
        <v>9299</v>
      </c>
      <c r="N3498" s="2" t="str">
        <f>IFERROR(__xludf.DUMMYFUNCTION("""COMPUTED_VALUE"""),"")</f>
        <v/>
      </c>
    </row>
    <row r="3499">
      <c r="A3499" s="2" t="s">
        <v>33</v>
      </c>
      <c r="B3499" s="12">
        <v>3376177.0</v>
      </c>
      <c r="C3499" s="12">
        <v>3376488.0</v>
      </c>
      <c r="D3499" s="2"/>
      <c r="E3499" s="2" t="s">
        <v>38</v>
      </c>
      <c r="F3499" s="2" t="s">
        <v>9152</v>
      </c>
      <c r="G3499" s="2"/>
      <c r="H3499" s="12">
        <v>0.0</v>
      </c>
      <c r="I3499" s="2" t="s">
        <v>40</v>
      </c>
      <c r="J3499" s="2"/>
      <c r="K3499" s="2" t="s">
        <v>9300</v>
      </c>
      <c r="L3499" s="12">
        <v>103.0</v>
      </c>
      <c r="M3499" s="2" t="s">
        <v>9301</v>
      </c>
      <c r="N3499" s="2" t="str">
        <f>IFERROR(__xludf.DUMMYFUNCTION("""COMPUTED_VALUE"""),"")</f>
        <v/>
      </c>
    </row>
    <row r="3500">
      <c r="A3500" s="2" t="s">
        <v>33</v>
      </c>
      <c r="B3500" s="12">
        <v>3376637.0</v>
      </c>
      <c r="C3500" s="12">
        <v>3377710.0</v>
      </c>
      <c r="D3500" s="2"/>
      <c r="E3500" s="2" t="s">
        <v>34</v>
      </c>
      <c r="F3500" s="2" t="s">
        <v>4784</v>
      </c>
      <c r="G3500" s="2"/>
      <c r="H3500" s="12">
        <v>0.0</v>
      </c>
      <c r="I3500" s="2" t="s">
        <v>40</v>
      </c>
      <c r="J3500" s="2"/>
      <c r="K3500" s="2" t="s">
        <v>9302</v>
      </c>
      <c r="L3500" s="12">
        <v>357.0</v>
      </c>
      <c r="M3500" s="2" t="s">
        <v>9303</v>
      </c>
      <c r="N3500" s="2" t="str">
        <f>IFERROR(__xludf.DUMMYFUNCTION("""COMPUTED_VALUE"""),"")</f>
        <v/>
      </c>
    </row>
    <row r="3501">
      <c r="A3501" s="2" t="s">
        <v>33</v>
      </c>
      <c r="B3501" s="12">
        <v>3378145.0</v>
      </c>
      <c r="C3501" s="12">
        <v>3378654.0</v>
      </c>
      <c r="D3501" s="2"/>
      <c r="E3501" s="2" t="s">
        <v>34</v>
      </c>
      <c r="F3501" s="2" t="s">
        <v>9304</v>
      </c>
      <c r="G3501" s="2"/>
      <c r="H3501" s="12">
        <v>0.0</v>
      </c>
      <c r="I3501" s="2" t="s">
        <v>40</v>
      </c>
      <c r="J3501" s="2"/>
      <c r="K3501" s="2" t="s">
        <v>9305</v>
      </c>
      <c r="L3501" s="12">
        <v>169.0</v>
      </c>
      <c r="M3501" s="2" t="s">
        <v>9306</v>
      </c>
      <c r="N3501" s="2" t="str">
        <f>IFERROR(__xludf.DUMMYFUNCTION("""COMPUTED_VALUE"""),"")</f>
        <v/>
      </c>
    </row>
    <row r="3502">
      <c r="A3502" s="2" t="s">
        <v>33</v>
      </c>
      <c r="B3502" s="12">
        <v>3378737.0</v>
      </c>
      <c r="C3502" s="12">
        <v>3379051.0</v>
      </c>
      <c r="D3502" s="2"/>
      <c r="E3502" s="2" t="s">
        <v>34</v>
      </c>
      <c r="F3502" s="2" t="s">
        <v>3466</v>
      </c>
      <c r="G3502" s="2"/>
      <c r="H3502" s="12">
        <v>0.0</v>
      </c>
      <c r="I3502" s="2" t="s">
        <v>40</v>
      </c>
      <c r="J3502" s="2"/>
      <c r="K3502" s="2" t="s">
        <v>9307</v>
      </c>
      <c r="L3502" s="12">
        <v>104.0</v>
      </c>
      <c r="M3502" s="2" t="s">
        <v>9308</v>
      </c>
      <c r="N3502" s="2" t="str">
        <f>IFERROR(__xludf.DUMMYFUNCTION("""COMPUTED_VALUE"""),"")</f>
        <v/>
      </c>
    </row>
    <row r="3503">
      <c r="A3503" s="2" t="s">
        <v>33</v>
      </c>
      <c r="B3503" s="12">
        <v>3379131.0</v>
      </c>
      <c r="C3503" s="12">
        <v>3379943.0</v>
      </c>
      <c r="D3503" s="2"/>
      <c r="E3503" s="2" t="s">
        <v>34</v>
      </c>
      <c r="F3503" s="2" t="s">
        <v>9309</v>
      </c>
      <c r="G3503" s="2"/>
      <c r="H3503" s="12">
        <v>0.0</v>
      </c>
      <c r="I3503" s="2" t="s">
        <v>40</v>
      </c>
      <c r="J3503" s="2"/>
      <c r="K3503" s="2" t="s">
        <v>9310</v>
      </c>
      <c r="L3503" s="12">
        <v>270.0</v>
      </c>
      <c r="M3503" s="2" t="s">
        <v>9311</v>
      </c>
      <c r="N3503" s="2" t="str">
        <f>IFERROR(__xludf.DUMMYFUNCTION("""COMPUTED_VALUE"""),"")</f>
        <v/>
      </c>
    </row>
    <row r="3504">
      <c r="A3504" s="2" t="s">
        <v>33</v>
      </c>
      <c r="B3504" s="12">
        <v>3379940.0</v>
      </c>
      <c r="C3504" s="12">
        <v>3380554.0</v>
      </c>
      <c r="D3504" s="2"/>
      <c r="E3504" s="2" t="s">
        <v>34</v>
      </c>
      <c r="F3504" s="2" t="s">
        <v>9312</v>
      </c>
      <c r="G3504" s="2" t="s">
        <v>9313</v>
      </c>
      <c r="H3504" s="12">
        <v>0.0</v>
      </c>
      <c r="I3504" s="2" t="s">
        <v>40</v>
      </c>
      <c r="J3504" s="2"/>
      <c r="K3504" s="2" t="s">
        <v>9314</v>
      </c>
      <c r="L3504" s="12">
        <v>204.0</v>
      </c>
      <c r="M3504" s="2" t="s">
        <v>9315</v>
      </c>
      <c r="N3504" s="2" t="str">
        <f>IFERROR(__xludf.DUMMYFUNCTION("""COMPUTED_VALUE"""),"")</f>
        <v/>
      </c>
    </row>
    <row r="3505">
      <c r="A3505" s="2" t="s">
        <v>33</v>
      </c>
      <c r="B3505" s="12">
        <v>3380825.0</v>
      </c>
      <c r="C3505" s="12">
        <v>3381169.0</v>
      </c>
      <c r="D3505" s="2"/>
      <c r="E3505" s="2" t="s">
        <v>34</v>
      </c>
      <c r="F3505" s="2" t="s">
        <v>39</v>
      </c>
      <c r="G3505" s="2"/>
      <c r="H3505" s="12">
        <v>0.0</v>
      </c>
      <c r="I3505" s="2" t="s">
        <v>40</v>
      </c>
      <c r="J3505" s="2"/>
      <c r="K3505" s="2" t="s">
        <v>9316</v>
      </c>
      <c r="L3505" s="12">
        <v>114.0</v>
      </c>
      <c r="M3505" s="2" t="s">
        <v>9317</v>
      </c>
      <c r="N3505" s="2" t="str">
        <f>IFERROR(__xludf.DUMMYFUNCTION("""COMPUTED_VALUE"""),"")</f>
        <v/>
      </c>
    </row>
    <row r="3506">
      <c r="A3506" s="2" t="s">
        <v>33</v>
      </c>
      <c r="B3506" s="12">
        <v>3381210.0</v>
      </c>
      <c r="C3506" s="12">
        <v>3382163.0</v>
      </c>
      <c r="D3506" s="2"/>
      <c r="E3506" s="2" t="s">
        <v>34</v>
      </c>
      <c r="F3506" s="2" t="s">
        <v>1116</v>
      </c>
      <c r="G3506" s="2"/>
      <c r="H3506" s="12">
        <v>0.0</v>
      </c>
      <c r="I3506" s="2" t="s">
        <v>40</v>
      </c>
      <c r="J3506" s="2"/>
      <c r="K3506" s="2" t="s">
        <v>9318</v>
      </c>
      <c r="L3506" s="12">
        <v>317.0</v>
      </c>
      <c r="M3506" s="2" t="s">
        <v>9319</v>
      </c>
      <c r="N3506" s="2" t="str">
        <f>IFERROR(__xludf.DUMMYFUNCTION("""COMPUTED_VALUE"""),"")</f>
        <v/>
      </c>
    </row>
    <row r="3507">
      <c r="A3507" s="2" t="s">
        <v>33</v>
      </c>
      <c r="B3507" s="12">
        <v>3382319.0</v>
      </c>
      <c r="C3507" s="12">
        <v>3386359.0</v>
      </c>
      <c r="D3507" s="2"/>
      <c r="E3507" s="2" t="s">
        <v>34</v>
      </c>
      <c r="F3507" s="2" t="s">
        <v>9320</v>
      </c>
      <c r="G3507" s="2"/>
      <c r="H3507" s="12">
        <v>0.0</v>
      </c>
      <c r="I3507" s="2" t="s">
        <v>40</v>
      </c>
      <c r="J3507" s="2"/>
      <c r="K3507" s="2" t="s">
        <v>9321</v>
      </c>
      <c r="L3507" s="12">
        <v>1346.0</v>
      </c>
      <c r="M3507" s="2" t="s">
        <v>9322</v>
      </c>
      <c r="N3507" s="2" t="str">
        <f>IFERROR(__xludf.DUMMYFUNCTION("""COMPUTED_VALUE"""),"")</f>
        <v/>
      </c>
    </row>
    <row r="3508">
      <c r="A3508" s="2" t="s">
        <v>33</v>
      </c>
      <c r="B3508" s="12">
        <v>3386421.0</v>
      </c>
      <c r="C3508" s="12">
        <v>3387539.0</v>
      </c>
      <c r="D3508" s="2"/>
      <c r="E3508" s="2" t="s">
        <v>34</v>
      </c>
      <c r="F3508" s="2" t="s">
        <v>5590</v>
      </c>
      <c r="G3508" s="2"/>
      <c r="H3508" s="12">
        <v>0.0</v>
      </c>
      <c r="I3508" s="2" t="s">
        <v>40</v>
      </c>
      <c r="J3508" s="2"/>
      <c r="K3508" s="2" t="s">
        <v>9323</v>
      </c>
      <c r="L3508" s="12">
        <v>372.0</v>
      </c>
      <c r="M3508" s="2" t="s">
        <v>9324</v>
      </c>
      <c r="N3508" s="2" t="str">
        <f>IFERROR(__xludf.DUMMYFUNCTION("""COMPUTED_VALUE"""),"")</f>
        <v/>
      </c>
    </row>
    <row r="3509">
      <c r="A3509" s="2" t="s">
        <v>33</v>
      </c>
      <c r="B3509" s="12">
        <v>3387792.0</v>
      </c>
      <c r="C3509" s="12">
        <v>3389102.0</v>
      </c>
      <c r="D3509" s="2"/>
      <c r="E3509" s="2" t="s">
        <v>34</v>
      </c>
      <c r="F3509" s="2" t="s">
        <v>9325</v>
      </c>
      <c r="G3509" s="2" t="s">
        <v>9326</v>
      </c>
      <c r="H3509" s="12">
        <v>0.0</v>
      </c>
      <c r="I3509" s="2" t="s">
        <v>40</v>
      </c>
      <c r="J3509" s="2"/>
      <c r="K3509" s="2" t="s">
        <v>9327</v>
      </c>
      <c r="L3509" s="12">
        <v>436.0</v>
      </c>
      <c r="M3509" s="2" t="s">
        <v>9328</v>
      </c>
      <c r="N3509" s="2" t="str">
        <f>IFERROR(__xludf.DUMMYFUNCTION("""COMPUTED_VALUE"""),"")</f>
        <v/>
      </c>
    </row>
    <row r="3510">
      <c r="A3510" s="2" t="s">
        <v>33</v>
      </c>
      <c r="B3510" s="12">
        <v>3389285.0</v>
      </c>
      <c r="C3510" s="12">
        <v>3389833.0</v>
      </c>
      <c r="D3510" s="2"/>
      <c r="E3510" s="2" t="s">
        <v>34</v>
      </c>
      <c r="F3510" s="2" t="s">
        <v>367</v>
      </c>
      <c r="G3510" s="2"/>
      <c r="H3510" s="12">
        <v>0.0</v>
      </c>
      <c r="I3510" s="2" t="s">
        <v>40</v>
      </c>
      <c r="J3510" s="2"/>
      <c r="K3510" s="2" t="s">
        <v>9329</v>
      </c>
      <c r="L3510" s="12">
        <v>182.0</v>
      </c>
      <c r="M3510" s="2" t="s">
        <v>9330</v>
      </c>
      <c r="N3510" s="2" t="str">
        <f>IFERROR(__xludf.DUMMYFUNCTION("""COMPUTED_VALUE"""),"")</f>
        <v/>
      </c>
    </row>
    <row r="3511">
      <c r="A3511" s="2" t="s">
        <v>33</v>
      </c>
      <c r="B3511" s="12">
        <v>3389830.0</v>
      </c>
      <c r="C3511" s="12">
        <v>3390321.0</v>
      </c>
      <c r="D3511" s="2"/>
      <c r="E3511" s="2" t="s">
        <v>34</v>
      </c>
      <c r="F3511" s="2" t="s">
        <v>367</v>
      </c>
      <c r="G3511" s="2"/>
      <c r="H3511" s="12">
        <v>0.0</v>
      </c>
      <c r="I3511" s="2" t="s">
        <v>40</v>
      </c>
      <c r="J3511" s="2"/>
      <c r="K3511" s="2" t="s">
        <v>9331</v>
      </c>
      <c r="L3511" s="12">
        <v>163.0</v>
      </c>
      <c r="M3511" s="2" t="s">
        <v>9332</v>
      </c>
      <c r="N3511" s="2" t="str">
        <f>IFERROR(__xludf.DUMMYFUNCTION("""COMPUTED_VALUE"""),"")</f>
        <v/>
      </c>
    </row>
    <row r="3512">
      <c r="A3512" s="2" t="s">
        <v>33</v>
      </c>
      <c r="B3512" s="12">
        <v>3390398.0</v>
      </c>
      <c r="C3512" s="12">
        <v>3390802.0</v>
      </c>
      <c r="D3512" s="2"/>
      <c r="E3512" s="2" t="s">
        <v>34</v>
      </c>
      <c r="F3512" s="2" t="s">
        <v>2480</v>
      </c>
      <c r="G3512" s="2"/>
      <c r="H3512" s="12">
        <v>0.0</v>
      </c>
      <c r="I3512" s="2" t="s">
        <v>40</v>
      </c>
      <c r="J3512" s="2"/>
      <c r="K3512" s="2" t="s">
        <v>9333</v>
      </c>
      <c r="L3512" s="12">
        <v>134.0</v>
      </c>
      <c r="M3512" s="2" t="s">
        <v>9334</v>
      </c>
      <c r="N3512" s="2" t="str">
        <f>IFERROR(__xludf.DUMMYFUNCTION("""COMPUTED_VALUE"""),"")</f>
        <v/>
      </c>
    </row>
    <row r="3513">
      <c r="A3513" s="2" t="s">
        <v>33</v>
      </c>
      <c r="B3513" s="12">
        <v>3390799.0</v>
      </c>
      <c r="C3513" s="12">
        <v>3390981.0</v>
      </c>
      <c r="D3513" s="2"/>
      <c r="E3513" s="2" t="s">
        <v>34</v>
      </c>
      <c r="F3513" s="2" t="s">
        <v>39</v>
      </c>
      <c r="G3513" s="2"/>
      <c r="H3513" s="12">
        <v>0.0</v>
      </c>
      <c r="I3513" s="2" t="s">
        <v>40</v>
      </c>
      <c r="J3513" s="2"/>
      <c r="K3513" s="2" t="s">
        <v>9335</v>
      </c>
      <c r="L3513" s="12">
        <v>60.0</v>
      </c>
      <c r="M3513" s="2" t="s">
        <v>9336</v>
      </c>
      <c r="N3513" s="2" t="str">
        <f>IFERROR(__xludf.DUMMYFUNCTION("""COMPUTED_VALUE"""),"")</f>
        <v/>
      </c>
    </row>
    <row r="3514">
      <c r="A3514" s="2" t="s">
        <v>33</v>
      </c>
      <c r="B3514" s="12">
        <v>3390997.0</v>
      </c>
      <c r="C3514" s="12">
        <v>3391431.0</v>
      </c>
      <c r="D3514" s="2"/>
      <c r="E3514" s="2" t="s">
        <v>34</v>
      </c>
      <c r="F3514" s="2" t="s">
        <v>39</v>
      </c>
      <c r="G3514" s="2"/>
      <c r="H3514" s="12">
        <v>0.0</v>
      </c>
      <c r="I3514" s="2" t="s">
        <v>40</v>
      </c>
      <c r="J3514" s="2"/>
      <c r="K3514" s="2" t="s">
        <v>9337</v>
      </c>
      <c r="L3514" s="12">
        <v>144.0</v>
      </c>
      <c r="M3514" s="2" t="s">
        <v>9338</v>
      </c>
      <c r="N3514" s="2" t="str">
        <f>IFERROR(__xludf.DUMMYFUNCTION("""COMPUTED_VALUE"""),"")</f>
        <v/>
      </c>
    </row>
    <row r="3515">
      <c r="A3515" s="2" t="s">
        <v>33</v>
      </c>
      <c r="B3515" s="12">
        <v>3391471.0</v>
      </c>
      <c r="C3515" s="12">
        <v>3392586.0</v>
      </c>
      <c r="D3515" s="2"/>
      <c r="E3515" s="2" t="s">
        <v>38</v>
      </c>
      <c r="F3515" s="2" t="s">
        <v>2210</v>
      </c>
      <c r="G3515" s="2"/>
      <c r="H3515" s="12">
        <v>0.0</v>
      </c>
      <c r="I3515" s="2" t="s">
        <v>40</v>
      </c>
      <c r="J3515" s="2"/>
      <c r="K3515" s="2" t="s">
        <v>9339</v>
      </c>
      <c r="L3515" s="12">
        <v>371.0</v>
      </c>
      <c r="M3515" s="2" t="s">
        <v>9340</v>
      </c>
      <c r="N3515" s="2" t="str">
        <f>IFERROR(__xludf.DUMMYFUNCTION("""COMPUTED_VALUE"""),"")</f>
        <v/>
      </c>
    </row>
    <row r="3516">
      <c r="A3516" s="2" t="s">
        <v>33</v>
      </c>
      <c r="B3516" s="12">
        <v>3392774.0</v>
      </c>
      <c r="C3516" s="12">
        <v>3393286.0</v>
      </c>
      <c r="D3516" s="2"/>
      <c r="E3516" s="2" t="s">
        <v>34</v>
      </c>
      <c r="F3516" s="2" t="s">
        <v>9341</v>
      </c>
      <c r="G3516" s="2"/>
      <c r="H3516" s="12">
        <v>0.0</v>
      </c>
      <c r="I3516" s="2" t="s">
        <v>40</v>
      </c>
      <c r="J3516" s="2"/>
      <c r="K3516" s="2" t="s">
        <v>9342</v>
      </c>
      <c r="L3516" s="12">
        <v>170.0</v>
      </c>
      <c r="M3516" s="2" t="s">
        <v>9343</v>
      </c>
      <c r="N3516" s="2" t="str">
        <f>IFERROR(__xludf.DUMMYFUNCTION("""COMPUTED_VALUE"""),"")</f>
        <v/>
      </c>
    </row>
    <row r="3517">
      <c r="A3517" s="2" t="s">
        <v>33</v>
      </c>
      <c r="B3517" s="12">
        <v>3393286.0</v>
      </c>
      <c r="C3517" s="12">
        <v>3393612.0</v>
      </c>
      <c r="D3517" s="2"/>
      <c r="E3517" s="2" t="s">
        <v>34</v>
      </c>
      <c r="F3517" s="2" t="s">
        <v>9344</v>
      </c>
      <c r="G3517" s="2" t="s">
        <v>9345</v>
      </c>
      <c r="H3517" s="12">
        <v>0.0</v>
      </c>
      <c r="I3517" s="2" t="s">
        <v>40</v>
      </c>
      <c r="J3517" s="2"/>
      <c r="K3517" s="2" t="s">
        <v>9346</v>
      </c>
      <c r="L3517" s="12">
        <v>108.0</v>
      </c>
      <c r="M3517" s="2" t="s">
        <v>9347</v>
      </c>
      <c r="N3517" s="2" t="str">
        <f>IFERROR(__xludf.DUMMYFUNCTION("""COMPUTED_VALUE"""),"")</f>
        <v/>
      </c>
    </row>
    <row r="3518">
      <c r="A3518" s="2" t="s">
        <v>33</v>
      </c>
      <c r="B3518" s="12">
        <v>3393730.0</v>
      </c>
      <c r="C3518" s="12">
        <v>3394752.0</v>
      </c>
      <c r="D3518" s="2"/>
      <c r="E3518" s="2" t="s">
        <v>34</v>
      </c>
      <c r="F3518" s="2" t="s">
        <v>6241</v>
      </c>
      <c r="G3518" s="2"/>
      <c r="H3518" s="12">
        <v>0.0</v>
      </c>
      <c r="I3518" s="2" t="s">
        <v>40</v>
      </c>
      <c r="J3518" s="2"/>
      <c r="K3518" s="2" t="s">
        <v>9348</v>
      </c>
      <c r="L3518" s="12">
        <v>340.0</v>
      </c>
      <c r="M3518" s="2" t="s">
        <v>9349</v>
      </c>
      <c r="N3518" s="2" t="str">
        <f>IFERROR(__xludf.DUMMYFUNCTION("""COMPUTED_VALUE"""),"")</f>
        <v/>
      </c>
    </row>
    <row r="3519">
      <c r="A3519" s="2" t="s">
        <v>33</v>
      </c>
      <c r="B3519" s="12">
        <v>3394919.0</v>
      </c>
      <c r="C3519" s="12">
        <v>3395992.0</v>
      </c>
      <c r="D3519" s="2"/>
      <c r="E3519" s="2" t="s">
        <v>34</v>
      </c>
      <c r="F3519" s="2" t="s">
        <v>9350</v>
      </c>
      <c r="G3519" s="2"/>
      <c r="H3519" s="12">
        <v>0.0</v>
      </c>
      <c r="I3519" s="2" t="s">
        <v>40</v>
      </c>
      <c r="J3519" s="2"/>
      <c r="K3519" s="2" t="s">
        <v>9351</v>
      </c>
      <c r="L3519" s="12">
        <v>357.0</v>
      </c>
      <c r="M3519" s="2" t="s">
        <v>9352</v>
      </c>
      <c r="N3519" s="2" t="str">
        <f>IFERROR(__xludf.DUMMYFUNCTION("""COMPUTED_VALUE"""),"")</f>
        <v/>
      </c>
    </row>
    <row r="3520">
      <c r="A3520" s="2" t="s">
        <v>33</v>
      </c>
      <c r="B3520" s="12">
        <v>3396485.0</v>
      </c>
      <c r="C3520" s="12">
        <v>3397483.0</v>
      </c>
      <c r="D3520" s="2"/>
      <c r="E3520" s="2" t="s">
        <v>34</v>
      </c>
      <c r="F3520" s="2" t="s">
        <v>9353</v>
      </c>
      <c r="G3520" s="2" t="s">
        <v>9354</v>
      </c>
      <c r="H3520" s="12">
        <v>0.0</v>
      </c>
      <c r="I3520" s="2" t="s">
        <v>40</v>
      </c>
      <c r="J3520" s="2"/>
      <c r="K3520" s="2" t="s">
        <v>9355</v>
      </c>
      <c r="L3520" s="12">
        <v>332.0</v>
      </c>
      <c r="M3520" s="2" t="s">
        <v>9356</v>
      </c>
      <c r="N3520" s="2" t="str">
        <f>IFERROR(__xludf.DUMMYFUNCTION("""COMPUTED_VALUE"""),"")</f>
        <v/>
      </c>
    </row>
    <row r="3521">
      <c r="A3521" s="2" t="s">
        <v>33</v>
      </c>
      <c r="B3521" s="12">
        <v>3397518.0</v>
      </c>
      <c r="C3521" s="12">
        <v>3397715.0</v>
      </c>
      <c r="D3521" s="2"/>
      <c r="E3521" s="2" t="s">
        <v>38</v>
      </c>
      <c r="F3521" s="2" t="s">
        <v>39</v>
      </c>
      <c r="G3521" s="2"/>
      <c r="H3521" s="12">
        <v>0.0</v>
      </c>
      <c r="I3521" s="2" t="s">
        <v>40</v>
      </c>
      <c r="J3521" s="2"/>
      <c r="K3521" s="2" t="s">
        <v>9357</v>
      </c>
      <c r="L3521" s="12">
        <v>65.0</v>
      </c>
      <c r="M3521" s="2" t="s">
        <v>9358</v>
      </c>
      <c r="N3521" s="2" t="str">
        <f>IFERROR(__xludf.DUMMYFUNCTION("""COMPUTED_VALUE"""),"")</f>
        <v/>
      </c>
    </row>
    <row r="3522">
      <c r="A3522" s="2" t="s">
        <v>33</v>
      </c>
      <c r="B3522" s="12">
        <v>3397868.0</v>
      </c>
      <c r="C3522" s="12">
        <v>3398140.0</v>
      </c>
      <c r="D3522" s="2"/>
      <c r="E3522" s="2" t="s">
        <v>34</v>
      </c>
      <c r="F3522" s="2" t="s">
        <v>9359</v>
      </c>
      <c r="G3522" s="2"/>
      <c r="H3522" s="12">
        <v>0.0</v>
      </c>
      <c r="I3522" s="2" t="s">
        <v>40</v>
      </c>
      <c r="J3522" s="2"/>
      <c r="K3522" s="2" t="s">
        <v>9360</v>
      </c>
      <c r="L3522" s="12">
        <v>90.0</v>
      </c>
      <c r="M3522" s="2" t="s">
        <v>9361</v>
      </c>
      <c r="N3522" s="2" t="str">
        <f>IFERROR(__xludf.DUMMYFUNCTION("""COMPUTED_VALUE"""),"")</f>
        <v/>
      </c>
    </row>
    <row r="3523">
      <c r="A3523" s="2" t="s">
        <v>33</v>
      </c>
      <c r="B3523" s="12">
        <v>3398190.0</v>
      </c>
      <c r="C3523" s="12">
        <v>3398588.0</v>
      </c>
      <c r="D3523" s="2"/>
      <c r="E3523" s="2" t="s">
        <v>38</v>
      </c>
      <c r="F3523" s="2" t="s">
        <v>9362</v>
      </c>
      <c r="G3523" s="2" t="s">
        <v>9363</v>
      </c>
      <c r="H3523" s="12">
        <v>0.0</v>
      </c>
      <c r="I3523" s="2" t="s">
        <v>40</v>
      </c>
      <c r="J3523" s="2"/>
      <c r="K3523" s="2" t="s">
        <v>9364</v>
      </c>
      <c r="L3523" s="12">
        <v>132.0</v>
      </c>
      <c r="M3523" s="2" t="s">
        <v>9365</v>
      </c>
      <c r="N3523" s="2" t="str">
        <f>IFERROR(__xludf.DUMMYFUNCTION("""COMPUTED_VALUE"""),"")</f>
        <v/>
      </c>
    </row>
    <row r="3524">
      <c r="A3524" s="2" t="s">
        <v>33</v>
      </c>
      <c r="B3524" s="12">
        <v>3398717.0</v>
      </c>
      <c r="C3524" s="12">
        <v>3399643.0</v>
      </c>
      <c r="D3524" s="2"/>
      <c r="E3524" s="2" t="s">
        <v>38</v>
      </c>
      <c r="F3524" s="2" t="s">
        <v>9366</v>
      </c>
      <c r="G3524" s="2"/>
      <c r="H3524" s="12">
        <v>0.0</v>
      </c>
      <c r="I3524" s="2" t="s">
        <v>40</v>
      </c>
      <c r="J3524" s="2"/>
      <c r="K3524" s="2" t="s">
        <v>9367</v>
      </c>
      <c r="L3524" s="12">
        <v>308.0</v>
      </c>
      <c r="M3524" s="2" t="s">
        <v>9368</v>
      </c>
      <c r="N3524" s="2" t="str">
        <f>IFERROR(__xludf.DUMMYFUNCTION("""COMPUTED_VALUE"""),"")</f>
        <v/>
      </c>
    </row>
    <row r="3525">
      <c r="A3525" s="2" t="s">
        <v>33</v>
      </c>
      <c r="B3525" s="12">
        <v>3399723.0</v>
      </c>
      <c r="C3525" s="12">
        <v>3400403.0</v>
      </c>
      <c r="D3525" s="2"/>
      <c r="E3525" s="2" t="s">
        <v>38</v>
      </c>
      <c r="F3525" s="2" t="s">
        <v>5671</v>
      </c>
      <c r="G3525" s="2"/>
      <c r="H3525" s="12">
        <v>0.0</v>
      </c>
      <c r="I3525" s="2" t="s">
        <v>40</v>
      </c>
      <c r="J3525" s="2"/>
      <c r="K3525" s="2" t="s">
        <v>9369</v>
      </c>
      <c r="L3525" s="12">
        <v>226.0</v>
      </c>
      <c r="M3525" s="2" t="s">
        <v>9370</v>
      </c>
      <c r="N3525" s="2" t="str">
        <f>IFERROR(__xludf.DUMMYFUNCTION("""COMPUTED_VALUE"""),"")</f>
        <v/>
      </c>
    </row>
    <row r="3526">
      <c r="A3526" s="2" t="s">
        <v>33</v>
      </c>
      <c r="B3526" s="12">
        <v>3400553.0</v>
      </c>
      <c r="C3526" s="12">
        <v>3402007.0</v>
      </c>
      <c r="D3526" s="2"/>
      <c r="E3526" s="2" t="s">
        <v>34</v>
      </c>
      <c r="F3526" s="2" t="s">
        <v>5460</v>
      </c>
      <c r="G3526" s="2"/>
      <c r="H3526" s="12">
        <v>0.0</v>
      </c>
      <c r="I3526" s="2" t="s">
        <v>40</v>
      </c>
      <c r="J3526" s="2"/>
      <c r="K3526" s="2" t="s">
        <v>9371</v>
      </c>
      <c r="L3526" s="12">
        <v>484.0</v>
      </c>
      <c r="M3526" s="2" t="s">
        <v>9372</v>
      </c>
      <c r="N3526" s="2" t="str">
        <f>IFERROR(__xludf.DUMMYFUNCTION("""COMPUTED_VALUE"""),"")</f>
        <v/>
      </c>
    </row>
    <row r="3527">
      <c r="A3527" s="2" t="s">
        <v>33</v>
      </c>
      <c r="B3527" s="12">
        <v>3402009.0</v>
      </c>
      <c r="C3527" s="12">
        <v>3402698.0</v>
      </c>
      <c r="D3527" s="2"/>
      <c r="E3527" s="2" t="s">
        <v>34</v>
      </c>
      <c r="F3527" s="2" t="s">
        <v>379</v>
      </c>
      <c r="G3527" s="2"/>
      <c r="H3527" s="12">
        <v>0.0</v>
      </c>
      <c r="I3527" s="2" t="s">
        <v>40</v>
      </c>
      <c r="J3527" s="2"/>
      <c r="K3527" s="2" t="s">
        <v>9373</v>
      </c>
      <c r="L3527" s="12">
        <v>229.0</v>
      </c>
      <c r="M3527" s="2" t="s">
        <v>9374</v>
      </c>
      <c r="N3527" s="2" t="str">
        <f>IFERROR(__xludf.DUMMYFUNCTION("""COMPUTED_VALUE"""),"")</f>
        <v/>
      </c>
    </row>
    <row r="3528">
      <c r="A3528" s="2" t="s">
        <v>33</v>
      </c>
      <c r="B3528" s="12">
        <v>3402820.0</v>
      </c>
      <c r="C3528" s="12">
        <v>3403110.0</v>
      </c>
      <c r="D3528" s="2"/>
      <c r="E3528" s="2" t="s">
        <v>34</v>
      </c>
      <c r="F3528" s="2" t="s">
        <v>39</v>
      </c>
      <c r="G3528" s="2"/>
      <c r="H3528" s="12">
        <v>0.0</v>
      </c>
      <c r="I3528" s="2" t="s">
        <v>40</v>
      </c>
      <c r="J3528" s="2"/>
      <c r="K3528" s="2" t="s">
        <v>9375</v>
      </c>
      <c r="L3528" s="12">
        <v>96.0</v>
      </c>
      <c r="M3528" s="2" t="s">
        <v>9376</v>
      </c>
      <c r="N3528" s="2" t="str">
        <f>IFERROR(__xludf.DUMMYFUNCTION("""COMPUTED_VALUE"""),"")</f>
        <v/>
      </c>
    </row>
    <row r="3529">
      <c r="A3529" s="2" t="s">
        <v>33</v>
      </c>
      <c r="B3529" s="12">
        <v>3403149.0</v>
      </c>
      <c r="C3529" s="12">
        <v>3404036.0</v>
      </c>
      <c r="D3529" s="2"/>
      <c r="E3529" s="2" t="s">
        <v>38</v>
      </c>
      <c r="F3529" s="2" t="s">
        <v>326</v>
      </c>
      <c r="G3529" s="2"/>
      <c r="H3529" s="12">
        <v>0.0</v>
      </c>
      <c r="I3529" s="2" t="s">
        <v>40</v>
      </c>
      <c r="J3529" s="2"/>
      <c r="K3529" s="2" t="s">
        <v>9377</v>
      </c>
      <c r="L3529" s="12">
        <v>295.0</v>
      </c>
      <c r="M3529" s="2" t="s">
        <v>9378</v>
      </c>
      <c r="N3529" s="2" t="str">
        <f>IFERROR(__xludf.DUMMYFUNCTION("""COMPUTED_VALUE"""),"")</f>
        <v/>
      </c>
    </row>
    <row r="3530">
      <c r="A3530" s="2" t="s">
        <v>33</v>
      </c>
      <c r="B3530" s="12">
        <v>3404179.0</v>
      </c>
      <c r="C3530" s="12">
        <v>3405345.0</v>
      </c>
      <c r="D3530" s="2"/>
      <c r="E3530" s="2" t="s">
        <v>38</v>
      </c>
      <c r="F3530" s="2" t="s">
        <v>9379</v>
      </c>
      <c r="G3530" s="2" t="s">
        <v>9380</v>
      </c>
      <c r="H3530" s="12">
        <v>0.0</v>
      </c>
      <c r="I3530" s="2" t="s">
        <v>40</v>
      </c>
      <c r="J3530" s="2"/>
      <c r="K3530" s="2" t="s">
        <v>9381</v>
      </c>
      <c r="L3530" s="12">
        <v>388.0</v>
      </c>
      <c r="M3530" s="2" t="s">
        <v>9382</v>
      </c>
      <c r="N3530" s="2" t="str">
        <f>IFERROR(__xludf.DUMMYFUNCTION("""COMPUTED_VALUE"""),"")</f>
        <v/>
      </c>
    </row>
    <row r="3531">
      <c r="A3531" s="2" t="s">
        <v>33</v>
      </c>
      <c r="B3531" s="12">
        <v>3405342.0</v>
      </c>
      <c r="C3531" s="12">
        <v>3405986.0</v>
      </c>
      <c r="D3531" s="2"/>
      <c r="E3531" s="2" t="s">
        <v>38</v>
      </c>
      <c r="F3531" s="2" t="s">
        <v>9383</v>
      </c>
      <c r="G3531" s="2"/>
      <c r="H3531" s="12">
        <v>0.0</v>
      </c>
      <c r="I3531" s="2" t="s">
        <v>40</v>
      </c>
      <c r="J3531" s="2"/>
      <c r="K3531" s="2" t="s">
        <v>9384</v>
      </c>
      <c r="L3531" s="12">
        <v>214.0</v>
      </c>
      <c r="M3531" s="2" t="s">
        <v>9385</v>
      </c>
      <c r="N3531" s="2" t="str">
        <f>IFERROR(__xludf.DUMMYFUNCTION("""COMPUTED_VALUE"""),"")</f>
        <v/>
      </c>
    </row>
    <row r="3532">
      <c r="A3532" s="2" t="s">
        <v>33</v>
      </c>
      <c r="B3532" s="12">
        <v>3406004.0</v>
      </c>
      <c r="C3532" s="12">
        <v>3406636.0</v>
      </c>
      <c r="D3532" s="2"/>
      <c r="E3532" s="2" t="s">
        <v>38</v>
      </c>
      <c r="F3532" s="2" t="s">
        <v>9386</v>
      </c>
      <c r="G3532" s="2" t="s">
        <v>9387</v>
      </c>
      <c r="H3532" s="12">
        <v>0.0</v>
      </c>
      <c r="I3532" s="2" t="s">
        <v>40</v>
      </c>
      <c r="J3532" s="2"/>
      <c r="K3532" s="2" t="s">
        <v>9388</v>
      </c>
      <c r="L3532" s="12">
        <v>210.0</v>
      </c>
      <c r="M3532" s="2" t="s">
        <v>9389</v>
      </c>
      <c r="N3532" s="2" t="str">
        <f>IFERROR(__xludf.DUMMYFUNCTION("""COMPUTED_VALUE"""),"")</f>
        <v/>
      </c>
    </row>
    <row r="3533">
      <c r="A3533" s="2" t="s">
        <v>33</v>
      </c>
      <c r="B3533" s="12">
        <v>3406813.0</v>
      </c>
      <c r="C3533" s="12">
        <v>3408531.0</v>
      </c>
      <c r="D3533" s="2"/>
      <c r="E3533" s="2" t="s">
        <v>34</v>
      </c>
      <c r="F3533" s="2" t="s">
        <v>9390</v>
      </c>
      <c r="G3533" s="2" t="s">
        <v>9391</v>
      </c>
      <c r="H3533" s="12">
        <v>0.0</v>
      </c>
      <c r="I3533" s="2" t="s">
        <v>40</v>
      </c>
      <c r="J3533" s="2"/>
      <c r="K3533" s="2" t="s">
        <v>9392</v>
      </c>
      <c r="L3533" s="12">
        <v>572.0</v>
      </c>
      <c r="M3533" s="2" t="s">
        <v>9393</v>
      </c>
      <c r="N3533" s="2" t="str">
        <f>IFERROR(__xludf.DUMMYFUNCTION("""COMPUTED_VALUE"""),"")</f>
        <v/>
      </c>
    </row>
    <row r="3534">
      <c r="A3534" s="2" t="s">
        <v>33</v>
      </c>
      <c r="B3534" s="12">
        <v>3408616.0</v>
      </c>
      <c r="C3534" s="12">
        <v>3409176.0</v>
      </c>
      <c r="D3534" s="2"/>
      <c r="E3534" s="2" t="s">
        <v>34</v>
      </c>
      <c r="F3534" s="2" t="s">
        <v>9394</v>
      </c>
      <c r="G3534" s="2"/>
      <c r="H3534" s="12">
        <v>0.0</v>
      </c>
      <c r="I3534" s="2" t="s">
        <v>40</v>
      </c>
      <c r="J3534" s="2"/>
      <c r="K3534" s="2" t="s">
        <v>9395</v>
      </c>
      <c r="L3534" s="12">
        <v>186.0</v>
      </c>
      <c r="M3534" s="2" t="s">
        <v>9396</v>
      </c>
      <c r="N3534" s="2" t="str">
        <f>IFERROR(__xludf.DUMMYFUNCTION("""COMPUTED_VALUE"""),"")</f>
        <v/>
      </c>
    </row>
    <row r="3535">
      <c r="A3535" s="2" t="s">
        <v>33</v>
      </c>
      <c r="B3535" s="12">
        <v>3409653.0</v>
      </c>
      <c r="C3535" s="12">
        <v>3410909.0</v>
      </c>
      <c r="D3535" s="2"/>
      <c r="E3535" s="2" t="s">
        <v>34</v>
      </c>
      <c r="F3535" s="2" t="s">
        <v>8386</v>
      </c>
      <c r="G3535" s="2" t="s">
        <v>8387</v>
      </c>
      <c r="H3535" s="12">
        <v>0.0</v>
      </c>
      <c r="I3535" s="2" t="s">
        <v>40</v>
      </c>
      <c r="J3535" s="2"/>
      <c r="K3535" s="2" t="s">
        <v>9397</v>
      </c>
      <c r="L3535" s="12">
        <v>418.0</v>
      </c>
      <c r="M3535" s="2" t="s">
        <v>9398</v>
      </c>
      <c r="N3535" s="2" t="str">
        <f>IFERROR(__xludf.DUMMYFUNCTION("""COMPUTED_VALUE"""),"")</f>
        <v/>
      </c>
    </row>
    <row r="3536">
      <c r="A3536" s="2" t="s">
        <v>33</v>
      </c>
      <c r="B3536" s="12">
        <v>3410987.0</v>
      </c>
      <c r="C3536" s="12">
        <v>3411334.0</v>
      </c>
      <c r="D3536" s="2"/>
      <c r="E3536" s="2" t="s">
        <v>38</v>
      </c>
      <c r="F3536" s="2" t="s">
        <v>9399</v>
      </c>
      <c r="G3536" s="2"/>
      <c r="H3536" s="12">
        <v>0.0</v>
      </c>
      <c r="I3536" s="2" t="s">
        <v>40</v>
      </c>
      <c r="J3536" s="2"/>
      <c r="K3536" s="2" t="s">
        <v>9400</v>
      </c>
      <c r="L3536" s="12">
        <v>115.0</v>
      </c>
      <c r="M3536" s="2" t="s">
        <v>9401</v>
      </c>
      <c r="N3536" s="2" t="str">
        <f>IFERROR(__xludf.DUMMYFUNCTION("""COMPUTED_VALUE"""),"")</f>
        <v/>
      </c>
    </row>
    <row r="3537">
      <c r="A3537" s="2" t="s">
        <v>33</v>
      </c>
      <c r="B3537" s="12">
        <v>3411440.0</v>
      </c>
      <c r="C3537" s="12">
        <v>3411568.0</v>
      </c>
      <c r="D3537" s="2"/>
      <c r="E3537" s="2" t="s">
        <v>34</v>
      </c>
      <c r="F3537" s="2" t="s">
        <v>39</v>
      </c>
      <c r="G3537" s="2"/>
      <c r="H3537" s="12">
        <v>0.0</v>
      </c>
      <c r="I3537" s="2" t="s">
        <v>40</v>
      </c>
      <c r="J3537" s="2"/>
      <c r="K3537" s="2" t="s">
        <v>9402</v>
      </c>
      <c r="L3537" s="12">
        <v>42.0</v>
      </c>
      <c r="M3537" s="2" t="s">
        <v>9403</v>
      </c>
      <c r="N3537" s="2" t="str">
        <f>IFERROR(__xludf.DUMMYFUNCTION("""COMPUTED_VALUE"""),"")</f>
        <v/>
      </c>
    </row>
    <row r="3538">
      <c r="A3538" s="2" t="s">
        <v>33</v>
      </c>
      <c r="B3538" s="12">
        <v>3411623.0</v>
      </c>
      <c r="C3538" s="12">
        <v>3412225.0</v>
      </c>
      <c r="D3538" s="2"/>
      <c r="E3538" s="2" t="s">
        <v>38</v>
      </c>
      <c r="F3538" s="2" t="s">
        <v>9404</v>
      </c>
      <c r="G3538" s="2" t="s">
        <v>9405</v>
      </c>
      <c r="H3538" s="12">
        <v>0.0</v>
      </c>
      <c r="I3538" s="2" t="s">
        <v>40</v>
      </c>
      <c r="J3538" s="2"/>
      <c r="K3538" s="2" t="s">
        <v>9406</v>
      </c>
      <c r="L3538" s="12">
        <v>200.0</v>
      </c>
      <c r="M3538" s="2" t="s">
        <v>9407</v>
      </c>
      <c r="N3538" s="2" t="str">
        <f>IFERROR(__xludf.DUMMYFUNCTION("""COMPUTED_VALUE"""),"")</f>
        <v/>
      </c>
    </row>
    <row r="3539">
      <c r="A3539" s="2" t="s">
        <v>33</v>
      </c>
      <c r="B3539" s="12">
        <v>3412625.0</v>
      </c>
      <c r="C3539" s="12">
        <v>3413800.0</v>
      </c>
      <c r="D3539" s="2"/>
      <c r="E3539" s="2" t="s">
        <v>34</v>
      </c>
      <c r="F3539" s="2" t="s">
        <v>9408</v>
      </c>
      <c r="G3539" s="2" t="s">
        <v>9409</v>
      </c>
      <c r="H3539" s="12">
        <v>0.0</v>
      </c>
      <c r="I3539" s="2" t="s">
        <v>40</v>
      </c>
      <c r="J3539" s="2"/>
      <c r="K3539" s="2" t="s">
        <v>9410</v>
      </c>
      <c r="L3539" s="12">
        <v>391.0</v>
      </c>
      <c r="M3539" s="2" t="s">
        <v>9411</v>
      </c>
      <c r="N3539" s="2" t="str">
        <f>IFERROR(__xludf.DUMMYFUNCTION("""COMPUTED_VALUE"""),"")</f>
        <v/>
      </c>
    </row>
    <row r="3540">
      <c r="A3540" s="2" t="s">
        <v>33</v>
      </c>
      <c r="B3540" s="12">
        <v>3413863.0</v>
      </c>
      <c r="C3540" s="12">
        <v>3414342.0</v>
      </c>
      <c r="D3540" s="2"/>
      <c r="E3540" s="2" t="s">
        <v>38</v>
      </c>
      <c r="F3540" s="2" t="s">
        <v>9412</v>
      </c>
      <c r="G3540" s="2"/>
      <c r="H3540" s="12">
        <v>0.0</v>
      </c>
      <c r="I3540" s="2" t="s">
        <v>40</v>
      </c>
      <c r="J3540" s="2"/>
      <c r="K3540" s="2" t="s">
        <v>9413</v>
      </c>
      <c r="L3540" s="12">
        <v>159.0</v>
      </c>
      <c r="M3540" s="2" t="s">
        <v>9414</v>
      </c>
      <c r="N3540" s="2" t="str">
        <f>IFERROR(__xludf.DUMMYFUNCTION("""COMPUTED_VALUE"""),"")</f>
        <v/>
      </c>
    </row>
    <row r="3541">
      <c r="A3541" s="2" t="s">
        <v>33</v>
      </c>
      <c r="B3541" s="12">
        <v>3414490.0</v>
      </c>
      <c r="C3541" s="12">
        <v>3415128.0</v>
      </c>
      <c r="D3541" s="2"/>
      <c r="E3541" s="2" t="s">
        <v>34</v>
      </c>
      <c r="F3541" s="2" t="s">
        <v>9415</v>
      </c>
      <c r="G3541" s="2" t="s">
        <v>9416</v>
      </c>
      <c r="H3541" s="12">
        <v>0.0</v>
      </c>
      <c r="I3541" s="2" t="s">
        <v>40</v>
      </c>
      <c r="J3541" s="2"/>
      <c r="K3541" s="2" t="s">
        <v>9417</v>
      </c>
      <c r="L3541" s="12">
        <v>212.0</v>
      </c>
      <c r="M3541" s="2" t="s">
        <v>9418</v>
      </c>
      <c r="N3541" s="2" t="str">
        <f>IFERROR(__xludf.DUMMYFUNCTION("""COMPUTED_VALUE"""),"")</f>
        <v/>
      </c>
    </row>
    <row r="3542">
      <c r="A3542" s="2" t="s">
        <v>33</v>
      </c>
      <c r="B3542" s="12">
        <v>3415140.0</v>
      </c>
      <c r="C3542" s="12">
        <v>3416084.0</v>
      </c>
      <c r="D3542" s="2"/>
      <c r="E3542" s="2" t="s">
        <v>38</v>
      </c>
      <c r="F3542" s="2" t="s">
        <v>738</v>
      </c>
      <c r="G3542" s="2"/>
      <c r="H3542" s="12">
        <v>0.0</v>
      </c>
      <c r="I3542" s="2" t="s">
        <v>40</v>
      </c>
      <c r="J3542" s="2"/>
      <c r="K3542" s="2" t="s">
        <v>9419</v>
      </c>
      <c r="L3542" s="12">
        <v>314.0</v>
      </c>
      <c r="M3542" s="2" t="s">
        <v>9420</v>
      </c>
      <c r="N3542" s="2" t="str">
        <f>IFERROR(__xludf.DUMMYFUNCTION("""COMPUTED_VALUE"""),"")</f>
        <v/>
      </c>
    </row>
    <row r="3543">
      <c r="A3543" s="2" t="s">
        <v>33</v>
      </c>
      <c r="B3543" s="12">
        <v>3416209.0</v>
      </c>
      <c r="C3543" s="12">
        <v>3417051.0</v>
      </c>
      <c r="D3543" s="2"/>
      <c r="E3543" s="2" t="s">
        <v>34</v>
      </c>
      <c r="F3543" s="2" t="s">
        <v>694</v>
      </c>
      <c r="G3543" s="2"/>
      <c r="H3543" s="12">
        <v>0.0</v>
      </c>
      <c r="I3543" s="2" t="s">
        <v>40</v>
      </c>
      <c r="J3543" s="2"/>
      <c r="K3543" s="2" t="s">
        <v>9421</v>
      </c>
      <c r="L3543" s="12">
        <v>280.0</v>
      </c>
      <c r="M3543" s="2" t="s">
        <v>9422</v>
      </c>
      <c r="N3543" s="2" t="str">
        <f>IFERROR(__xludf.DUMMYFUNCTION("""COMPUTED_VALUE"""),"")</f>
        <v/>
      </c>
    </row>
    <row r="3544">
      <c r="A3544" s="2" t="s">
        <v>33</v>
      </c>
      <c r="B3544" s="12">
        <v>3417259.0</v>
      </c>
      <c r="C3544" s="12">
        <v>3418971.0</v>
      </c>
      <c r="D3544" s="2"/>
      <c r="E3544" s="2" t="s">
        <v>34</v>
      </c>
      <c r="F3544" s="2" t="s">
        <v>9423</v>
      </c>
      <c r="G3544" s="2" t="s">
        <v>9424</v>
      </c>
      <c r="H3544" s="12">
        <v>0.0</v>
      </c>
      <c r="I3544" s="2" t="s">
        <v>40</v>
      </c>
      <c r="J3544" s="2"/>
      <c r="K3544" s="2" t="s">
        <v>9425</v>
      </c>
      <c r="L3544" s="12">
        <v>570.0</v>
      </c>
      <c r="M3544" s="2" t="s">
        <v>9426</v>
      </c>
      <c r="N3544" s="2" t="str">
        <f>IFERROR(__xludf.DUMMYFUNCTION("""COMPUTED_VALUE"""),"")</f>
        <v/>
      </c>
    </row>
    <row r="3545">
      <c r="A3545" s="2" t="s">
        <v>33</v>
      </c>
      <c r="B3545" s="12">
        <v>3419350.0</v>
      </c>
      <c r="C3545" s="12">
        <v>3420492.0</v>
      </c>
      <c r="D3545" s="2"/>
      <c r="E3545" s="2" t="s">
        <v>34</v>
      </c>
      <c r="F3545" s="2" t="s">
        <v>9427</v>
      </c>
      <c r="G3545" s="2"/>
      <c r="H3545" s="12">
        <v>0.0</v>
      </c>
      <c r="I3545" s="2" t="s">
        <v>40</v>
      </c>
      <c r="J3545" s="2"/>
      <c r="K3545" s="2" t="s">
        <v>9428</v>
      </c>
      <c r="L3545" s="12">
        <v>380.0</v>
      </c>
      <c r="M3545" s="2" t="s">
        <v>9429</v>
      </c>
      <c r="N3545" s="2" t="str">
        <f>IFERROR(__xludf.DUMMYFUNCTION("""COMPUTED_VALUE"""),"")</f>
        <v/>
      </c>
    </row>
    <row r="3546">
      <c r="A3546" s="2" t="s">
        <v>33</v>
      </c>
      <c r="B3546" s="12">
        <v>3420500.0</v>
      </c>
      <c r="C3546" s="12">
        <v>3421714.0</v>
      </c>
      <c r="D3546" s="2"/>
      <c r="E3546" s="2" t="s">
        <v>34</v>
      </c>
      <c r="F3546" s="2" t="s">
        <v>9430</v>
      </c>
      <c r="G3546" s="2" t="s">
        <v>9431</v>
      </c>
      <c r="H3546" s="12">
        <v>0.0</v>
      </c>
      <c r="I3546" s="2" t="s">
        <v>40</v>
      </c>
      <c r="J3546" s="2"/>
      <c r="K3546" s="2" t="s">
        <v>9432</v>
      </c>
      <c r="L3546" s="12">
        <v>404.0</v>
      </c>
      <c r="M3546" s="2" t="s">
        <v>9433</v>
      </c>
      <c r="N3546" s="2" t="str">
        <f>IFERROR(__xludf.DUMMYFUNCTION("""COMPUTED_VALUE"""),"")</f>
        <v/>
      </c>
    </row>
    <row r="3547">
      <c r="A3547" s="2" t="s">
        <v>33</v>
      </c>
      <c r="B3547" s="12">
        <v>3421795.0</v>
      </c>
      <c r="C3547" s="12">
        <v>3421992.0</v>
      </c>
      <c r="D3547" s="2"/>
      <c r="E3547" s="2" t="s">
        <v>34</v>
      </c>
      <c r="F3547" s="2" t="s">
        <v>1752</v>
      </c>
      <c r="G3547" s="2"/>
      <c r="H3547" s="12">
        <v>0.0</v>
      </c>
      <c r="I3547" s="2" t="s">
        <v>40</v>
      </c>
      <c r="J3547" s="2"/>
      <c r="K3547" s="2" t="s">
        <v>9434</v>
      </c>
      <c r="L3547" s="12">
        <v>65.0</v>
      </c>
      <c r="M3547" s="2" t="s">
        <v>9435</v>
      </c>
      <c r="N3547" s="2" t="str">
        <f>IFERROR(__xludf.DUMMYFUNCTION("""COMPUTED_VALUE"""),"")</f>
        <v/>
      </c>
    </row>
    <row r="3548">
      <c r="A3548" s="2" t="s">
        <v>33</v>
      </c>
      <c r="B3548" s="12">
        <v>3422190.0</v>
      </c>
      <c r="C3548" s="12">
        <v>3423776.0</v>
      </c>
      <c r="D3548" s="2"/>
      <c r="E3548" s="2" t="s">
        <v>34</v>
      </c>
      <c r="F3548" s="2" t="s">
        <v>9436</v>
      </c>
      <c r="G3548" s="2" t="s">
        <v>9437</v>
      </c>
      <c r="H3548" s="12">
        <v>0.0</v>
      </c>
      <c r="I3548" s="2" t="s">
        <v>40</v>
      </c>
      <c r="J3548" s="2"/>
      <c r="K3548" s="2" t="s">
        <v>9438</v>
      </c>
      <c r="L3548" s="12">
        <v>528.0</v>
      </c>
      <c r="M3548" s="2" t="s">
        <v>9439</v>
      </c>
      <c r="N3548" s="2" t="str">
        <f>IFERROR(__xludf.DUMMYFUNCTION("""COMPUTED_VALUE"""),"")</f>
        <v/>
      </c>
    </row>
    <row r="3549">
      <c r="A3549" s="2" t="s">
        <v>33</v>
      </c>
      <c r="B3549" s="12">
        <v>3423879.0</v>
      </c>
      <c r="C3549" s="12">
        <v>3424310.0</v>
      </c>
      <c r="D3549" s="2"/>
      <c r="E3549" s="2" t="s">
        <v>34</v>
      </c>
      <c r="F3549" s="2" t="s">
        <v>541</v>
      </c>
      <c r="G3549" s="2"/>
      <c r="H3549" s="12">
        <v>0.0</v>
      </c>
      <c r="I3549" s="2" t="s">
        <v>40</v>
      </c>
      <c r="J3549" s="2"/>
      <c r="K3549" s="2" t="s">
        <v>9440</v>
      </c>
      <c r="L3549" s="12">
        <v>143.0</v>
      </c>
      <c r="M3549" s="2" t="s">
        <v>9441</v>
      </c>
      <c r="N3549" s="2" t="str">
        <f>IFERROR(__xludf.DUMMYFUNCTION("""COMPUTED_VALUE"""),"")</f>
        <v/>
      </c>
    </row>
    <row r="3550">
      <c r="A3550" s="2" t="s">
        <v>33</v>
      </c>
      <c r="B3550" s="12">
        <v>3424382.0</v>
      </c>
      <c r="C3550" s="12">
        <v>3425950.0</v>
      </c>
      <c r="D3550" s="2"/>
      <c r="E3550" s="2" t="s">
        <v>34</v>
      </c>
      <c r="F3550" s="2" t="s">
        <v>5311</v>
      </c>
      <c r="G3550" s="2"/>
      <c r="H3550" s="12">
        <v>0.0</v>
      </c>
      <c r="I3550" s="2" t="s">
        <v>40</v>
      </c>
      <c r="J3550" s="2"/>
      <c r="K3550" s="2" t="s">
        <v>9442</v>
      </c>
      <c r="L3550" s="12">
        <v>522.0</v>
      </c>
      <c r="M3550" s="2" t="s">
        <v>9443</v>
      </c>
      <c r="N3550" s="2" t="str">
        <f>IFERROR(__xludf.DUMMYFUNCTION("""COMPUTED_VALUE"""),"")</f>
        <v/>
      </c>
    </row>
    <row r="3551">
      <c r="A3551" s="2" t="s">
        <v>33</v>
      </c>
      <c r="B3551" s="12">
        <v>3426104.0</v>
      </c>
      <c r="C3551" s="12">
        <v>3426907.0</v>
      </c>
      <c r="D3551" s="2"/>
      <c r="E3551" s="2" t="s">
        <v>38</v>
      </c>
      <c r="F3551" s="2" t="s">
        <v>3979</v>
      </c>
      <c r="G3551" s="2"/>
      <c r="H3551" s="12">
        <v>0.0</v>
      </c>
      <c r="I3551" s="2" t="s">
        <v>40</v>
      </c>
      <c r="J3551" s="2"/>
      <c r="K3551" s="2" t="s">
        <v>9444</v>
      </c>
      <c r="L3551" s="12">
        <v>267.0</v>
      </c>
      <c r="M3551" s="2" t="s">
        <v>9445</v>
      </c>
      <c r="N3551" s="2" t="str">
        <f>IFERROR(__xludf.DUMMYFUNCTION("""COMPUTED_VALUE"""),"")</f>
        <v/>
      </c>
    </row>
    <row r="3552">
      <c r="A3552" s="2" t="s">
        <v>33</v>
      </c>
      <c r="B3552" s="12">
        <v>3427113.0</v>
      </c>
      <c r="C3552" s="12">
        <v>3427751.0</v>
      </c>
      <c r="D3552" s="2"/>
      <c r="E3552" s="2" t="s">
        <v>34</v>
      </c>
      <c r="F3552" s="2" t="s">
        <v>9446</v>
      </c>
      <c r="G3552" s="2"/>
      <c r="H3552" s="12">
        <v>0.0</v>
      </c>
      <c r="I3552" s="2" t="s">
        <v>40</v>
      </c>
      <c r="J3552" s="2"/>
      <c r="K3552" s="2" t="s">
        <v>9447</v>
      </c>
      <c r="L3552" s="12">
        <v>212.0</v>
      </c>
      <c r="M3552" s="2" t="s">
        <v>9448</v>
      </c>
      <c r="N3552" s="2" t="str">
        <f>IFERROR(__xludf.DUMMYFUNCTION("""COMPUTED_VALUE"""),"")</f>
        <v/>
      </c>
    </row>
    <row r="3553">
      <c r="A3553" s="2" t="s">
        <v>33</v>
      </c>
      <c r="B3553" s="12">
        <v>3427764.0</v>
      </c>
      <c r="C3553" s="12">
        <v>3428159.0</v>
      </c>
      <c r="D3553" s="2"/>
      <c r="E3553" s="2" t="s">
        <v>34</v>
      </c>
      <c r="F3553" s="2" t="s">
        <v>1428</v>
      </c>
      <c r="G3553" s="2" t="s">
        <v>1429</v>
      </c>
      <c r="H3553" s="12">
        <v>0.0</v>
      </c>
      <c r="I3553" s="2" t="s">
        <v>40</v>
      </c>
      <c r="J3553" s="2"/>
      <c r="K3553" s="2" t="s">
        <v>9449</v>
      </c>
      <c r="L3553" s="12">
        <v>131.0</v>
      </c>
      <c r="M3553" s="2" t="s">
        <v>9450</v>
      </c>
      <c r="N3553" s="2" t="str">
        <f>IFERROR(__xludf.DUMMYFUNCTION("""COMPUTED_VALUE"""),"")</f>
        <v/>
      </c>
    </row>
    <row r="3554">
      <c r="A3554" s="2" t="s">
        <v>33</v>
      </c>
      <c r="B3554" s="12">
        <v>3428294.0</v>
      </c>
      <c r="C3554" s="12">
        <v>3428794.0</v>
      </c>
      <c r="D3554" s="2"/>
      <c r="E3554" s="2" t="s">
        <v>34</v>
      </c>
      <c r="F3554" s="2" t="s">
        <v>9451</v>
      </c>
      <c r="G3554" s="2" t="s">
        <v>9452</v>
      </c>
      <c r="H3554" s="12">
        <v>0.0</v>
      </c>
      <c r="I3554" s="2" t="s">
        <v>40</v>
      </c>
      <c r="J3554" s="2"/>
      <c r="K3554" s="2" t="s">
        <v>9453</v>
      </c>
      <c r="L3554" s="12">
        <v>166.0</v>
      </c>
      <c r="M3554" s="2" t="s">
        <v>9454</v>
      </c>
      <c r="N3554" s="2" t="str">
        <f>IFERROR(__xludf.DUMMYFUNCTION("""COMPUTED_VALUE"""),"")</f>
        <v/>
      </c>
    </row>
    <row r="3555">
      <c r="A3555" s="2" t="s">
        <v>33</v>
      </c>
      <c r="B3555" s="12">
        <v>3428993.0</v>
      </c>
      <c r="C3555" s="12">
        <v>3429979.0</v>
      </c>
      <c r="D3555" s="2"/>
      <c r="E3555" s="2" t="s">
        <v>34</v>
      </c>
      <c r="F3555" s="2" t="s">
        <v>289</v>
      </c>
      <c r="G3555" s="2"/>
      <c r="H3555" s="12">
        <v>0.0</v>
      </c>
      <c r="I3555" s="2" t="s">
        <v>40</v>
      </c>
      <c r="J3555" s="2"/>
      <c r="K3555" s="2" t="s">
        <v>9455</v>
      </c>
      <c r="L3555" s="12">
        <v>328.0</v>
      </c>
      <c r="M3555" s="2" t="s">
        <v>9456</v>
      </c>
      <c r="N3555" s="2" t="str">
        <f>IFERROR(__xludf.DUMMYFUNCTION("""COMPUTED_VALUE"""),"")</f>
        <v/>
      </c>
    </row>
    <row r="3556">
      <c r="A3556" s="2" t="s">
        <v>33</v>
      </c>
      <c r="B3556" s="12">
        <v>3430279.0</v>
      </c>
      <c r="C3556" s="12">
        <v>3431472.0</v>
      </c>
      <c r="D3556" s="2"/>
      <c r="E3556" s="2" t="s">
        <v>34</v>
      </c>
      <c r="F3556" s="2" t="s">
        <v>9457</v>
      </c>
      <c r="G3556" s="2" t="s">
        <v>9458</v>
      </c>
      <c r="H3556" s="12">
        <v>0.0</v>
      </c>
      <c r="I3556" s="2" t="s">
        <v>40</v>
      </c>
      <c r="J3556" s="2"/>
      <c r="K3556" s="2" t="s">
        <v>9459</v>
      </c>
      <c r="L3556" s="12">
        <v>397.0</v>
      </c>
      <c r="M3556" s="2" t="s">
        <v>9460</v>
      </c>
      <c r="N3556" s="2" t="str">
        <f>IFERROR(__xludf.DUMMYFUNCTION("""COMPUTED_VALUE"""),"")</f>
        <v/>
      </c>
    </row>
    <row r="3557">
      <c r="A3557" s="2" t="s">
        <v>33</v>
      </c>
      <c r="B3557" s="12">
        <v>3431496.0</v>
      </c>
      <c r="C3557" s="12">
        <v>3431930.0</v>
      </c>
      <c r="D3557" s="2"/>
      <c r="E3557" s="2" t="s">
        <v>38</v>
      </c>
      <c r="F3557" s="2" t="s">
        <v>1611</v>
      </c>
      <c r="G3557" s="2"/>
      <c r="H3557" s="12">
        <v>0.0</v>
      </c>
      <c r="I3557" s="2" t="s">
        <v>40</v>
      </c>
      <c r="J3557" s="2"/>
      <c r="K3557" s="2" t="s">
        <v>9461</v>
      </c>
      <c r="L3557" s="12">
        <v>144.0</v>
      </c>
      <c r="M3557" s="2" t="s">
        <v>9462</v>
      </c>
      <c r="N3557" s="2" t="str">
        <f>IFERROR(__xludf.DUMMYFUNCTION("""COMPUTED_VALUE"""),"")</f>
        <v/>
      </c>
    </row>
    <row r="3558">
      <c r="A3558" s="2" t="s">
        <v>33</v>
      </c>
      <c r="B3558" s="12">
        <v>3432001.0</v>
      </c>
      <c r="C3558" s="12">
        <v>3432636.0</v>
      </c>
      <c r="D3558" s="2"/>
      <c r="E3558" s="2" t="s">
        <v>38</v>
      </c>
      <c r="F3558" s="2" t="s">
        <v>9463</v>
      </c>
      <c r="G3558" s="2"/>
      <c r="H3558" s="12">
        <v>0.0</v>
      </c>
      <c r="I3558" s="2" t="s">
        <v>40</v>
      </c>
      <c r="J3558" s="2"/>
      <c r="K3558" s="2" t="s">
        <v>9464</v>
      </c>
      <c r="L3558" s="12">
        <v>211.0</v>
      </c>
      <c r="M3558" s="2" t="s">
        <v>9465</v>
      </c>
      <c r="N3558" s="2" t="str">
        <f>IFERROR(__xludf.DUMMYFUNCTION("""COMPUTED_VALUE"""),"")</f>
        <v/>
      </c>
    </row>
    <row r="3559">
      <c r="A3559" s="2" t="s">
        <v>33</v>
      </c>
      <c r="B3559" s="12">
        <v>3432774.0</v>
      </c>
      <c r="C3559" s="12">
        <v>3433607.0</v>
      </c>
      <c r="D3559" s="2"/>
      <c r="E3559" s="2" t="s">
        <v>34</v>
      </c>
      <c r="F3559" s="2" t="s">
        <v>9466</v>
      </c>
      <c r="G3559" s="2"/>
      <c r="H3559" s="12">
        <v>0.0</v>
      </c>
      <c r="I3559" s="2" t="s">
        <v>40</v>
      </c>
      <c r="J3559" s="2"/>
      <c r="K3559" s="2" t="s">
        <v>9467</v>
      </c>
      <c r="L3559" s="12">
        <v>277.0</v>
      </c>
      <c r="M3559" s="2" t="s">
        <v>9468</v>
      </c>
      <c r="N3559" s="2" t="str">
        <f>IFERROR(__xludf.DUMMYFUNCTION("""COMPUTED_VALUE"""),"")</f>
        <v/>
      </c>
    </row>
    <row r="3560">
      <c r="A3560" s="2" t="s">
        <v>33</v>
      </c>
      <c r="B3560" s="12">
        <v>3433639.0</v>
      </c>
      <c r="C3560" s="12">
        <v>3434301.0</v>
      </c>
      <c r="D3560" s="2"/>
      <c r="E3560" s="2" t="s">
        <v>38</v>
      </c>
      <c r="F3560" s="2" t="s">
        <v>1506</v>
      </c>
      <c r="G3560" s="2"/>
      <c r="H3560" s="12">
        <v>0.0</v>
      </c>
      <c r="I3560" s="2" t="s">
        <v>40</v>
      </c>
      <c r="J3560" s="2"/>
      <c r="K3560" s="2" t="s">
        <v>9469</v>
      </c>
      <c r="L3560" s="12">
        <v>220.0</v>
      </c>
      <c r="M3560" s="2" t="s">
        <v>9470</v>
      </c>
      <c r="N3560" s="2" t="str">
        <f>IFERROR(__xludf.DUMMYFUNCTION("""COMPUTED_VALUE"""),"")</f>
        <v/>
      </c>
    </row>
    <row r="3561">
      <c r="A3561" s="2" t="s">
        <v>33</v>
      </c>
      <c r="B3561" s="12">
        <v>3435155.0</v>
      </c>
      <c r="C3561" s="12">
        <v>3435364.0</v>
      </c>
      <c r="D3561" s="2"/>
      <c r="E3561" s="2" t="s">
        <v>34</v>
      </c>
      <c r="F3561" s="2" t="s">
        <v>39</v>
      </c>
      <c r="G3561" s="2"/>
      <c r="H3561" s="12">
        <v>0.0</v>
      </c>
      <c r="I3561" s="2" t="s">
        <v>40</v>
      </c>
      <c r="J3561" s="2"/>
      <c r="K3561" s="2" t="s">
        <v>9471</v>
      </c>
      <c r="L3561" s="12">
        <v>69.0</v>
      </c>
      <c r="M3561" s="2" t="s">
        <v>9472</v>
      </c>
      <c r="N3561" s="2" t="str">
        <f>IFERROR(__xludf.DUMMYFUNCTION("""COMPUTED_VALUE"""),"")</f>
        <v/>
      </c>
    </row>
    <row r="3562">
      <c r="A3562" s="2" t="s">
        <v>33</v>
      </c>
      <c r="B3562" s="12">
        <v>3435379.0</v>
      </c>
      <c r="C3562" s="12">
        <v>3435696.0</v>
      </c>
      <c r="D3562" s="2"/>
      <c r="E3562" s="2" t="s">
        <v>38</v>
      </c>
      <c r="F3562" s="2" t="s">
        <v>39</v>
      </c>
      <c r="G3562" s="2"/>
      <c r="H3562" s="12">
        <v>0.0</v>
      </c>
      <c r="I3562" s="2" t="s">
        <v>40</v>
      </c>
      <c r="J3562" s="2"/>
      <c r="K3562" s="2" t="s">
        <v>9473</v>
      </c>
      <c r="L3562" s="12">
        <v>105.0</v>
      </c>
      <c r="M3562" s="2" t="s">
        <v>9474</v>
      </c>
      <c r="N3562" s="2" t="str">
        <f>IFERROR(__xludf.DUMMYFUNCTION("""COMPUTED_VALUE"""),"")</f>
        <v/>
      </c>
    </row>
    <row r="3563">
      <c r="A3563" s="2" t="s">
        <v>33</v>
      </c>
      <c r="B3563" s="12">
        <v>3435863.0</v>
      </c>
      <c r="C3563" s="12">
        <v>3437068.0</v>
      </c>
      <c r="D3563" s="2"/>
      <c r="E3563" s="2" t="s">
        <v>34</v>
      </c>
      <c r="F3563" s="2" t="s">
        <v>9475</v>
      </c>
      <c r="G3563" s="2"/>
      <c r="H3563" s="12">
        <v>0.0</v>
      </c>
      <c r="I3563" s="2" t="s">
        <v>40</v>
      </c>
      <c r="J3563" s="2"/>
      <c r="K3563" s="2" t="s">
        <v>9476</v>
      </c>
      <c r="L3563" s="12">
        <v>401.0</v>
      </c>
      <c r="M3563" s="2" t="s">
        <v>9477</v>
      </c>
      <c r="N3563" s="2" t="str">
        <f>IFERROR(__xludf.DUMMYFUNCTION("""COMPUTED_VALUE"""),"")</f>
        <v/>
      </c>
    </row>
    <row r="3564">
      <c r="A3564" s="2" t="s">
        <v>33</v>
      </c>
      <c r="B3564" s="12">
        <v>3437065.0</v>
      </c>
      <c r="C3564" s="12">
        <v>3438453.0</v>
      </c>
      <c r="D3564" s="2"/>
      <c r="E3564" s="2" t="s">
        <v>34</v>
      </c>
      <c r="F3564" s="2" t="s">
        <v>9478</v>
      </c>
      <c r="G3564" s="2" t="s">
        <v>9479</v>
      </c>
      <c r="H3564" s="12">
        <v>0.0</v>
      </c>
      <c r="I3564" s="2" t="s">
        <v>40</v>
      </c>
      <c r="J3564" s="2"/>
      <c r="K3564" s="2" t="s">
        <v>9480</v>
      </c>
      <c r="L3564" s="12">
        <v>462.0</v>
      </c>
      <c r="M3564" s="2" t="s">
        <v>9481</v>
      </c>
      <c r="N3564" s="2" t="str">
        <f>IFERROR(__xludf.DUMMYFUNCTION("""COMPUTED_VALUE"""),"")</f>
        <v/>
      </c>
    </row>
    <row r="3565">
      <c r="A3565" s="2" t="s">
        <v>33</v>
      </c>
      <c r="B3565" s="12">
        <v>3438552.0</v>
      </c>
      <c r="C3565" s="12">
        <v>3438905.0</v>
      </c>
      <c r="D3565" s="2"/>
      <c r="E3565" s="2" t="s">
        <v>34</v>
      </c>
      <c r="F3565" s="2" t="s">
        <v>9482</v>
      </c>
      <c r="G3565" s="2"/>
      <c r="H3565" s="12">
        <v>0.0</v>
      </c>
      <c r="I3565" s="2" t="s">
        <v>40</v>
      </c>
      <c r="J3565" s="2"/>
      <c r="K3565" s="2" t="s">
        <v>9483</v>
      </c>
      <c r="L3565" s="12">
        <v>117.0</v>
      </c>
      <c r="M3565" s="2" t="s">
        <v>9484</v>
      </c>
      <c r="N3565" s="2" t="str">
        <f>IFERROR(__xludf.DUMMYFUNCTION("""COMPUTED_VALUE"""),"")</f>
        <v/>
      </c>
    </row>
    <row r="3566">
      <c r="A3566" s="2" t="s">
        <v>33</v>
      </c>
      <c r="B3566" s="12">
        <v>3438949.0</v>
      </c>
      <c r="C3566" s="12">
        <v>3439128.0</v>
      </c>
      <c r="D3566" s="2"/>
      <c r="E3566" s="2" t="s">
        <v>38</v>
      </c>
      <c r="F3566" s="2" t="s">
        <v>39</v>
      </c>
      <c r="G3566" s="2"/>
      <c r="H3566" s="12">
        <v>0.0</v>
      </c>
      <c r="I3566" s="2" t="s">
        <v>40</v>
      </c>
      <c r="J3566" s="2"/>
      <c r="K3566" s="2" t="s">
        <v>9485</v>
      </c>
      <c r="L3566" s="12">
        <v>59.0</v>
      </c>
      <c r="M3566" s="2" t="s">
        <v>9486</v>
      </c>
      <c r="N3566" s="2" t="str">
        <f>IFERROR(__xludf.DUMMYFUNCTION("""COMPUTED_VALUE"""),"")</f>
        <v/>
      </c>
    </row>
    <row r="3567">
      <c r="A3567" s="2" t="s">
        <v>33</v>
      </c>
      <c r="B3567" s="12">
        <v>3439224.0</v>
      </c>
      <c r="C3567" s="12">
        <v>3439919.0</v>
      </c>
      <c r="D3567" s="2"/>
      <c r="E3567" s="2" t="s">
        <v>34</v>
      </c>
      <c r="F3567" s="2" t="s">
        <v>39</v>
      </c>
      <c r="G3567" s="2"/>
      <c r="H3567" s="12">
        <v>0.0</v>
      </c>
      <c r="I3567" s="2" t="s">
        <v>40</v>
      </c>
      <c r="J3567" s="2"/>
      <c r="K3567" s="2" t="s">
        <v>9487</v>
      </c>
      <c r="L3567" s="12">
        <v>231.0</v>
      </c>
      <c r="M3567" s="2" t="s">
        <v>9488</v>
      </c>
      <c r="N3567" s="2" t="str">
        <f>IFERROR(__xludf.DUMMYFUNCTION("""COMPUTED_VALUE"""),"")</f>
        <v/>
      </c>
    </row>
    <row r="3568">
      <c r="A3568" s="2" t="s">
        <v>33</v>
      </c>
      <c r="B3568" s="12">
        <v>3439961.0</v>
      </c>
      <c r="C3568" s="12">
        <v>3440419.0</v>
      </c>
      <c r="D3568" s="2"/>
      <c r="E3568" s="2" t="s">
        <v>38</v>
      </c>
      <c r="F3568" s="2" t="s">
        <v>5451</v>
      </c>
      <c r="G3568" s="2"/>
      <c r="H3568" s="12">
        <v>0.0</v>
      </c>
      <c r="I3568" s="2" t="s">
        <v>40</v>
      </c>
      <c r="J3568" s="2"/>
      <c r="K3568" s="2" t="s">
        <v>9489</v>
      </c>
      <c r="L3568" s="12">
        <v>152.0</v>
      </c>
      <c r="M3568" s="2" t="s">
        <v>9490</v>
      </c>
      <c r="N3568" s="2" t="str">
        <f>IFERROR(__xludf.DUMMYFUNCTION("""COMPUTED_VALUE"""),"")</f>
        <v/>
      </c>
    </row>
    <row r="3569">
      <c r="A3569" s="2" t="s">
        <v>33</v>
      </c>
      <c r="B3569" s="12">
        <v>3440567.0</v>
      </c>
      <c r="C3569" s="12">
        <v>3441358.0</v>
      </c>
      <c r="D3569" s="2"/>
      <c r="E3569" s="2" t="s">
        <v>34</v>
      </c>
      <c r="F3569" s="2" t="s">
        <v>333</v>
      </c>
      <c r="G3569" s="2"/>
      <c r="H3569" s="12">
        <v>0.0</v>
      </c>
      <c r="I3569" s="2" t="s">
        <v>40</v>
      </c>
      <c r="J3569" s="2"/>
      <c r="K3569" s="2" t="s">
        <v>9491</v>
      </c>
      <c r="L3569" s="12">
        <v>263.0</v>
      </c>
      <c r="M3569" s="2" t="s">
        <v>9492</v>
      </c>
      <c r="N3569" s="2" t="str">
        <f>IFERROR(__xludf.DUMMYFUNCTION("""COMPUTED_VALUE"""),"")</f>
        <v/>
      </c>
    </row>
    <row r="3570">
      <c r="A3570" s="2" t="s">
        <v>33</v>
      </c>
      <c r="B3570" s="12">
        <v>3441573.0</v>
      </c>
      <c r="C3570" s="12">
        <v>3442706.0</v>
      </c>
      <c r="D3570" s="2"/>
      <c r="E3570" s="2" t="s">
        <v>34</v>
      </c>
      <c r="F3570" s="2" t="s">
        <v>5601</v>
      </c>
      <c r="G3570" s="2" t="s">
        <v>5602</v>
      </c>
      <c r="H3570" s="12">
        <v>0.0</v>
      </c>
      <c r="I3570" s="2" t="s">
        <v>40</v>
      </c>
      <c r="J3570" s="2"/>
      <c r="K3570" s="2" t="s">
        <v>9493</v>
      </c>
      <c r="L3570" s="12">
        <v>377.0</v>
      </c>
      <c r="M3570" s="2" t="s">
        <v>9494</v>
      </c>
      <c r="N3570" s="2" t="str">
        <f>IFERROR(__xludf.DUMMYFUNCTION("""COMPUTED_VALUE"""),"")</f>
        <v/>
      </c>
    </row>
    <row r="3571">
      <c r="A3571" s="2" t="s">
        <v>33</v>
      </c>
      <c r="B3571" s="12">
        <v>3442849.0</v>
      </c>
      <c r="C3571" s="12">
        <v>3443271.0</v>
      </c>
      <c r="D3571" s="2"/>
      <c r="E3571" s="2" t="s">
        <v>34</v>
      </c>
      <c r="F3571" s="2" t="s">
        <v>39</v>
      </c>
      <c r="G3571" s="2"/>
      <c r="H3571" s="12">
        <v>0.0</v>
      </c>
      <c r="I3571" s="2" t="s">
        <v>40</v>
      </c>
      <c r="J3571" s="2"/>
      <c r="K3571" s="2" t="s">
        <v>9495</v>
      </c>
      <c r="L3571" s="12">
        <v>140.0</v>
      </c>
      <c r="M3571" s="2" t="s">
        <v>9496</v>
      </c>
      <c r="N3571" s="2" t="str">
        <f>IFERROR(__xludf.DUMMYFUNCTION("""COMPUTED_VALUE"""),"")</f>
        <v/>
      </c>
    </row>
    <row r="3572">
      <c r="A3572" s="2" t="s">
        <v>33</v>
      </c>
      <c r="B3572" s="12">
        <v>3443316.0</v>
      </c>
      <c r="C3572" s="12">
        <v>3443648.0</v>
      </c>
      <c r="D3572" s="2"/>
      <c r="E3572" s="2" t="s">
        <v>34</v>
      </c>
      <c r="F3572" s="2" t="s">
        <v>9497</v>
      </c>
      <c r="G3572" s="2"/>
      <c r="H3572" s="12">
        <v>0.0</v>
      </c>
      <c r="I3572" s="2" t="s">
        <v>40</v>
      </c>
      <c r="J3572" s="2"/>
      <c r="K3572" s="2" t="s">
        <v>9498</v>
      </c>
      <c r="L3572" s="12">
        <v>110.0</v>
      </c>
      <c r="M3572" s="2" t="s">
        <v>9499</v>
      </c>
      <c r="N3572" s="2" t="str">
        <f>IFERROR(__xludf.DUMMYFUNCTION("""COMPUTED_VALUE"""),"")</f>
        <v/>
      </c>
    </row>
    <row r="3573">
      <c r="A3573" s="2" t="s">
        <v>33</v>
      </c>
      <c r="B3573" s="12">
        <v>3443645.0</v>
      </c>
      <c r="C3573" s="12">
        <v>3444439.0</v>
      </c>
      <c r="D3573" s="2"/>
      <c r="E3573" s="2" t="s">
        <v>34</v>
      </c>
      <c r="F3573" s="2" t="s">
        <v>367</v>
      </c>
      <c r="G3573" s="2"/>
      <c r="H3573" s="12">
        <v>0.0</v>
      </c>
      <c r="I3573" s="2" t="s">
        <v>40</v>
      </c>
      <c r="J3573" s="2"/>
      <c r="K3573" s="2" t="s">
        <v>9500</v>
      </c>
      <c r="L3573" s="12">
        <v>264.0</v>
      </c>
      <c r="M3573" s="2" t="s">
        <v>9501</v>
      </c>
      <c r="N3573" s="2" t="str">
        <f>IFERROR(__xludf.DUMMYFUNCTION("""COMPUTED_VALUE"""),"")</f>
        <v/>
      </c>
    </row>
    <row r="3574">
      <c r="A3574" s="2" t="s">
        <v>33</v>
      </c>
      <c r="B3574" s="12">
        <v>3444436.0</v>
      </c>
      <c r="C3574" s="12">
        <v>3444780.0</v>
      </c>
      <c r="D3574" s="2"/>
      <c r="E3574" s="2" t="s">
        <v>34</v>
      </c>
      <c r="F3574" s="2" t="s">
        <v>9502</v>
      </c>
      <c r="G3574" s="2"/>
      <c r="H3574" s="12">
        <v>0.0</v>
      </c>
      <c r="I3574" s="2" t="s">
        <v>40</v>
      </c>
      <c r="J3574" s="2"/>
      <c r="K3574" s="2" t="s">
        <v>9503</v>
      </c>
      <c r="L3574" s="12">
        <v>114.0</v>
      </c>
      <c r="M3574" s="2" t="s">
        <v>9504</v>
      </c>
      <c r="N3574" s="2" t="str">
        <f>IFERROR(__xludf.DUMMYFUNCTION("""COMPUTED_VALUE"""),"")</f>
        <v/>
      </c>
    </row>
    <row r="3575">
      <c r="A3575" s="2" t="s">
        <v>33</v>
      </c>
      <c r="B3575" s="12">
        <v>3445009.0</v>
      </c>
      <c r="C3575" s="12">
        <v>3445149.0</v>
      </c>
      <c r="D3575" s="2"/>
      <c r="E3575" s="2" t="s">
        <v>34</v>
      </c>
      <c r="F3575" s="2" t="s">
        <v>35</v>
      </c>
      <c r="G3575" s="2"/>
      <c r="H3575" s="12">
        <v>0.0</v>
      </c>
      <c r="I3575" s="2" t="s">
        <v>36</v>
      </c>
      <c r="J3575" s="2"/>
      <c r="K3575" s="2"/>
      <c r="L3575" s="2"/>
      <c r="M3575" s="2" t="s">
        <v>9505</v>
      </c>
      <c r="N3575" s="2" t="str">
        <f>IFERROR(__xludf.DUMMYFUNCTION("""COMPUTED_VALUE"""),"")</f>
        <v/>
      </c>
    </row>
    <row r="3576">
      <c r="A3576" s="2" t="s">
        <v>33</v>
      </c>
      <c r="B3576" s="12">
        <v>3445213.0</v>
      </c>
      <c r="C3576" s="12">
        <v>3445419.0</v>
      </c>
      <c r="D3576" s="2"/>
      <c r="E3576" s="2" t="s">
        <v>34</v>
      </c>
      <c r="F3576" s="2" t="s">
        <v>39</v>
      </c>
      <c r="G3576" s="2"/>
      <c r="H3576" s="12">
        <v>0.0</v>
      </c>
      <c r="I3576" s="2" t="s">
        <v>40</v>
      </c>
      <c r="J3576" s="2"/>
      <c r="K3576" s="2" t="s">
        <v>9506</v>
      </c>
      <c r="L3576" s="12">
        <v>68.0</v>
      </c>
      <c r="M3576" s="2" t="s">
        <v>9507</v>
      </c>
      <c r="N3576" s="2" t="str">
        <f>IFERROR(__xludf.DUMMYFUNCTION("""COMPUTED_VALUE"""),"")</f>
        <v/>
      </c>
    </row>
    <row r="3577">
      <c r="A3577" s="2" t="s">
        <v>33</v>
      </c>
      <c r="B3577" s="12">
        <v>3445434.0</v>
      </c>
      <c r="C3577" s="12">
        <v>3446261.0</v>
      </c>
      <c r="D3577" s="2"/>
      <c r="E3577" s="2" t="s">
        <v>38</v>
      </c>
      <c r="F3577" s="2" t="s">
        <v>9508</v>
      </c>
      <c r="G3577" s="2"/>
      <c r="H3577" s="12">
        <v>0.0</v>
      </c>
      <c r="I3577" s="2" t="s">
        <v>40</v>
      </c>
      <c r="J3577" s="2"/>
      <c r="K3577" s="2" t="s">
        <v>9509</v>
      </c>
      <c r="L3577" s="12">
        <v>275.0</v>
      </c>
      <c r="M3577" s="2" t="s">
        <v>9510</v>
      </c>
      <c r="N3577" s="2" t="str">
        <f>IFERROR(__xludf.DUMMYFUNCTION("""COMPUTED_VALUE"""),"")</f>
        <v/>
      </c>
    </row>
    <row r="3578">
      <c r="A3578" s="2" t="s">
        <v>33</v>
      </c>
      <c r="B3578" s="12">
        <v>3446355.0</v>
      </c>
      <c r="C3578" s="12">
        <v>3446729.0</v>
      </c>
      <c r="D3578" s="2"/>
      <c r="E3578" s="2" t="s">
        <v>34</v>
      </c>
      <c r="F3578" s="2" t="s">
        <v>39</v>
      </c>
      <c r="G3578" s="2"/>
      <c r="H3578" s="12">
        <v>0.0</v>
      </c>
      <c r="I3578" s="2" t="s">
        <v>40</v>
      </c>
      <c r="J3578" s="2"/>
      <c r="K3578" s="2" t="s">
        <v>9511</v>
      </c>
      <c r="L3578" s="12">
        <v>124.0</v>
      </c>
      <c r="M3578" s="2" t="s">
        <v>9512</v>
      </c>
      <c r="N3578" s="2" t="str">
        <f>IFERROR(__xludf.DUMMYFUNCTION("""COMPUTED_VALUE"""),"")</f>
        <v/>
      </c>
    </row>
    <row r="3579">
      <c r="A3579" s="2" t="s">
        <v>33</v>
      </c>
      <c r="B3579" s="12">
        <v>3446750.0</v>
      </c>
      <c r="C3579" s="12">
        <v>3447115.0</v>
      </c>
      <c r="D3579" s="2"/>
      <c r="E3579" s="2" t="s">
        <v>34</v>
      </c>
      <c r="F3579" s="2" t="s">
        <v>9513</v>
      </c>
      <c r="G3579" s="2"/>
      <c r="H3579" s="12">
        <v>0.0</v>
      </c>
      <c r="I3579" s="2" t="s">
        <v>40</v>
      </c>
      <c r="J3579" s="2"/>
      <c r="K3579" s="2" t="s">
        <v>9514</v>
      </c>
      <c r="L3579" s="12">
        <v>121.0</v>
      </c>
      <c r="M3579" s="2" t="s">
        <v>9515</v>
      </c>
      <c r="N3579" s="2" t="str">
        <f>IFERROR(__xludf.DUMMYFUNCTION("""COMPUTED_VALUE"""),"")</f>
        <v/>
      </c>
    </row>
    <row r="3580">
      <c r="A3580" s="2" t="s">
        <v>33</v>
      </c>
      <c r="B3580" s="12">
        <v>3447147.0</v>
      </c>
      <c r="C3580" s="12">
        <v>3448244.0</v>
      </c>
      <c r="D3580" s="2"/>
      <c r="E3580" s="2" t="s">
        <v>38</v>
      </c>
      <c r="F3580" s="2" t="s">
        <v>9516</v>
      </c>
      <c r="G3580" s="2" t="s">
        <v>9517</v>
      </c>
      <c r="H3580" s="12">
        <v>0.0</v>
      </c>
      <c r="I3580" s="2" t="s">
        <v>40</v>
      </c>
      <c r="J3580" s="2"/>
      <c r="K3580" s="2" t="s">
        <v>9518</v>
      </c>
      <c r="L3580" s="12">
        <v>365.0</v>
      </c>
      <c r="M3580" s="2" t="s">
        <v>9519</v>
      </c>
      <c r="N3580" s="2" t="str">
        <f>IFERROR(__xludf.DUMMYFUNCTION("""COMPUTED_VALUE"""),"")</f>
        <v/>
      </c>
    </row>
    <row r="3581">
      <c r="A3581" s="2" t="s">
        <v>33</v>
      </c>
      <c r="B3581" s="12">
        <v>3448394.0</v>
      </c>
      <c r="C3581" s="12">
        <v>3449077.0</v>
      </c>
      <c r="D3581" s="2"/>
      <c r="E3581" s="2" t="s">
        <v>34</v>
      </c>
      <c r="F3581" s="2" t="s">
        <v>5808</v>
      </c>
      <c r="G3581" s="2"/>
      <c r="H3581" s="12">
        <v>0.0</v>
      </c>
      <c r="I3581" s="2" t="s">
        <v>40</v>
      </c>
      <c r="J3581" s="2"/>
      <c r="K3581" s="2" t="s">
        <v>9520</v>
      </c>
      <c r="L3581" s="12">
        <v>227.0</v>
      </c>
      <c r="M3581" s="2" t="s">
        <v>9521</v>
      </c>
      <c r="N3581" s="2" t="str">
        <f>IFERROR(__xludf.DUMMYFUNCTION("""COMPUTED_VALUE"""),"")</f>
        <v/>
      </c>
    </row>
    <row r="3582">
      <c r="A3582" s="2" t="s">
        <v>33</v>
      </c>
      <c r="B3582" s="12">
        <v>3449118.0</v>
      </c>
      <c r="C3582" s="12">
        <v>3449279.0</v>
      </c>
      <c r="D3582" s="2"/>
      <c r="E3582" s="2" t="s">
        <v>38</v>
      </c>
      <c r="F3582" s="2" t="s">
        <v>39</v>
      </c>
      <c r="G3582" s="2"/>
      <c r="H3582" s="12">
        <v>0.0</v>
      </c>
      <c r="I3582" s="2" t="s">
        <v>40</v>
      </c>
      <c r="J3582" s="2"/>
      <c r="K3582" s="2" t="s">
        <v>9522</v>
      </c>
      <c r="L3582" s="12">
        <v>53.0</v>
      </c>
      <c r="M3582" s="2" t="s">
        <v>9523</v>
      </c>
      <c r="N3582" s="2" t="str">
        <f>IFERROR(__xludf.DUMMYFUNCTION("""COMPUTED_VALUE"""),"")</f>
        <v/>
      </c>
    </row>
    <row r="3583">
      <c r="A3583" s="2" t="s">
        <v>33</v>
      </c>
      <c r="B3583" s="12">
        <v>3449524.0</v>
      </c>
      <c r="C3583" s="12">
        <v>3450837.0</v>
      </c>
      <c r="D3583" s="2"/>
      <c r="E3583" s="2" t="s">
        <v>34</v>
      </c>
      <c r="F3583" s="2" t="s">
        <v>5218</v>
      </c>
      <c r="G3583" s="2"/>
      <c r="H3583" s="12">
        <v>0.0</v>
      </c>
      <c r="I3583" s="2" t="s">
        <v>40</v>
      </c>
      <c r="J3583" s="2"/>
      <c r="K3583" s="2" t="s">
        <v>9524</v>
      </c>
      <c r="L3583" s="12">
        <v>437.0</v>
      </c>
      <c r="M3583" s="2" t="s">
        <v>9525</v>
      </c>
      <c r="N3583" s="2" t="str">
        <f>IFERROR(__xludf.DUMMYFUNCTION("""COMPUTED_VALUE"""),"")</f>
        <v/>
      </c>
    </row>
    <row r="3584">
      <c r="A3584" s="2" t="s">
        <v>33</v>
      </c>
      <c r="B3584" s="12">
        <v>3451048.0</v>
      </c>
      <c r="C3584" s="12">
        <v>3451311.0</v>
      </c>
      <c r="D3584" s="2"/>
      <c r="E3584" s="2" t="s">
        <v>34</v>
      </c>
      <c r="F3584" s="2" t="s">
        <v>9526</v>
      </c>
      <c r="G3584" s="2"/>
      <c r="H3584" s="12">
        <v>0.0</v>
      </c>
      <c r="I3584" s="2" t="s">
        <v>40</v>
      </c>
      <c r="J3584" s="2"/>
      <c r="K3584" s="2" t="s">
        <v>9527</v>
      </c>
      <c r="L3584" s="12">
        <v>87.0</v>
      </c>
      <c r="M3584" s="2" t="s">
        <v>9528</v>
      </c>
      <c r="N3584" s="2" t="str">
        <f>IFERROR(__xludf.DUMMYFUNCTION("""COMPUTED_VALUE"""),"")</f>
        <v/>
      </c>
    </row>
    <row r="3585">
      <c r="A3585" s="2" t="s">
        <v>33</v>
      </c>
      <c r="B3585" s="12">
        <v>3451319.0</v>
      </c>
      <c r="C3585" s="12">
        <v>3451624.0</v>
      </c>
      <c r="D3585" s="2"/>
      <c r="E3585" s="2" t="s">
        <v>38</v>
      </c>
      <c r="F3585" s="2" t="s">
        <v>9529</v>
      </c>
      <c r="G3585" s="2"/>
      <c r="H3585" s="12">
        <v>0.0</v>
      </c>
      <c r="I3585" s="2" t="s">
        <v>40</v>
      </c>
      <c r="J3585" s="2"/>
      <c r="K3585" s="2" t="s">
        <v>9530</v>
      </c>
      <c r="L3585" s="12">
        <v>101.0</v>
      </c>
      <c r="M3585" s="2" t="s">
        <v>9531</v>
      </c>
      <c r="N3585" s="2" t="str">
        <f>IFERROR(__xludf.DUMMYFUNCTION("""COMPUTED_VALUE"""),"")</f>
        <v/>
      </c>
    </row>
    <row r="3586">
      <c r="A3586" s="2" t="s">
        <v>33</v>
      </c>
      <c r="B3586" s="12">
        <v>3451784.0</v>
      </c>
      <c r="C3586" s="12">
        <v>3452716.0</v>
      </c>
      <c r="D3586" s="2"/>
      <c r="E3586" s="2" t="s">
        <v>34</v>
      </c>
      <c r="F3586" s="2" t="s">
        <v>9532</v>
      </c>
      <c r="G3586" s="2"/>
      <c r="H3586" s="12">
        <v>0.0</v>
      </c>
      <c r="I3586" s="2" t="s">
        <v>40</v>
      </c>
      <c r="J3586" s="2"/>
      <c r="K3586" s="2" t="s">
        <v>9533</v>
      </c>
      <c r="L3586" s="12">
        <v>310.0</v>
      </c>
      <c r="M3586" s="2" t="s">
        <v>9534</v>
      </c>
      <c r="N3586" s="2" t="str">
        <f>IFERROR(__xludf.DUMMYFUNCTION("""COMPUTED_VALUE"""),"")</f>
        <v/>
      </c>
    </row>
    <row r="3587">
      <c r="A3587" s="2" t="s">
        <v>33</v>
      </c>
      <c r="B3587" s="12">
        <v>3452768.0</v>
      </c>
      <c r="C3587" s="12">
        <v>3453271.0</v>
      </c>
      <c r="D3587" s="2"/>
      <c r="E3587" s="2" t="s">
        <v>38</v>
      </c>
      <c r="F3587" s="2" t="s">
        <v>9535</v>
      </c>
      <c r="G3587" s="2" t="s">
        <v>9536</v>
      </c>
      <c r="H3587" s="12">
        <v>0.0</v>
      </c>
      <c r="I3587" s="2" t="s">
        <v>40</v>
      </c>
      <c r="J3587" s="2"/>
      <c r="K3587" s="2" t="s">
        <v>9537</v>
      </c>
      <c r="L3587" s="12">
        <v>167.0</v>
      </c>
      <c r="M3587" s="2" t="s">
        <v>9538</v>
      </c>
      <c r="N3587" s="2" t="str">
        <f>IFERROR(__xludf.DUMMYFUNCTION("""COMPUTED_VALUE"""),"")</f>
        <v/>
      </c>
    </row>
    <row r="3588">
      <c r="A3588" s="2" t="s">
        <v>33</v>
      </c>
      <c r="B3588" s="12">
        <v>3453268.0</v>
      </c>
      <c r="C3588" s="12">
        <v>3453681.0</v>
      </c>
      <c r="D3588" s="2"/>
      <c r="E3588" s="2" t="s">
        <v>38</v>
      </c>
      <c r="F3588" s="2" t="s">
        <v>9539</v>
      </c>
      <c r="G3588" s="2"/>
      <c r="H3588" s="12">
        <v>0.0</v>
      </c>
      <c r="I3588" s="2" t="s">
        <v>40</v>
      </c>
      <c r="J3588" s="2"/>
      <c r="K3588" s="2" t="s">
        <v>9540</v>
      </c>
      <c r="L3588" s="12">
        <v>137.0</v>
      </c>
      <c r="M3588" s="2" t="s">
        <v>9541</v>
      </c>
      <c r="N3588" s="2" t="str">
        <f>IFERROR(__xludf.DUMMYFUNCTION("""COMPUTED_VALUE"""),"")</f>
        <v/>
      </c>
    </row>
    <row r="3589">
      <c r="A3589" s="2" t="s">
        <v>33</v>
      </c>
      <c r="B3589" s="12">
        <v>3453724.0</v>
      </c>
      <c r="C3589" s="12">
        <v>3457050.0</v>
      </c>
      <c r="D3589" s="2"/>
      <c r="E3589" s="2" t="s">
        <v>34</v>
      </c>
      <c r="F3589" s="2" t="s">
        <v>9542</v>
      </c>
      <c r="G3589" s="2" t="s">
        <v>9543</v>
      </c>
      <c r="H3589" s="12">
        <v>0.0</v>
      </c>
      <c r="I3589" s="2" t="s">
        <v>40</v>
      </c>
      <c r="J3589" s="2"/>
      <c r="K3589" s="2" t="s">
        <v>9544</v>
      </c>
      <c r="L3589" s="12">
        <v>1108.0</v>
      </c>
      <c r="M3589" s="2" t="s">
        <v>9545</v>
      </c>
      <c r="N3589" s="2" t="str">
        <f>IFERROR(__xludf.DUMMYFUNCTION("""COMPUTED_VALUE"""),"")</f>
        <v/>
      </c>
    </row>
    <row r="3590">
      <c r="A3590" s="2" t="s">
        <v>33</v>
      </c>
      <c r="B3590" s="12">
        <v>3457184.0</v>
      </c>
      <c r="C3590" s="12">
        <v>3458392.0</v>
      </c>
      <c r="D3590" s="2"/>
      <c r="E3590" s="2" t="s">
        <v>34</v>
      </c>
      <c r="F3590" s="2" t="s">
        <v>5636</v>
      </c>
      <c r="G3590" s="2"/>
      <c r="H3590" s="12">
        <v>0.0</v>
      </c>
      <c r="I3590" s="2" t="s">
        <v>40</v>
      </c>
      <c r="J3590" s="2"/>
      <c r="K3590" s="2" t="s">
        <v>9546</v>
      </c>
      <c r="L3590" s="12">
        <v>402.0</v>
      </c>
      <c r="M3590" s="2" t="s">
        <v>9547</v>
      </c>
      <c r="N3590" s="2" t="str">
        <f>IFERROR(__xludf.DUMMYFUNCTION("""COMPUTED_VALUE"""),"")</f>
        <v/>
      </c>
    </row>
    <row r="3591">
      <c r="A3591" s="2" t="s">
        <v>33</v>
      </c>
      <c r="B3591" s="12">
        <v>3458407.0</v>
      </c>
      <c r="C3591" s="12">
        <v>3459051.0</v>
      </c>
      <c r="D3591" s="2"/>
      <c r="E3591" s="2" t="s">
        <v>34</v>
      </c>
      <c r="F3591" s="2" t="s">
        <v>3697</v>
      </c>
      <c r="G3591" s="2"/>
      <c r="H3591" s="12">
        <v>0.0</v>
      </c>
      <c r="I3591" s="2" t="s">
        <v>40</v>
      </c>
      <c r="J3591" s="2"/>
      <c r="K3591" s="2" t="s">
        <v>9548</v>
      </c>
      <c r="L3591" s="12">
        <v>214.0</v>
      </c>
      <c r="M3591" s="2" t="s">
        <v>9549</v>
      </c>
      <c r="N3591" s="2" t="str">
        <f>IFERROR(__xludf.DUMMYFUNCTION("""COMPUTED_VALUE"""),"")</f>
        <v/>
      </c>
    </row>
    <row r="3592">
      <c r="A3592" s="2" t="s">
        <v>33</v>
      </c>
      <c r="B3592" s="12">
        <v>3459237.0</v>
      </c>
      <c r="C3592" s="12">
        <v>3460106.0</v>
      </c>
      <c r="D3592" s="2"/>
      <c r="E3592" s="2" t="s">
        <v>34</v>
      </c>
      <c r="F3592" s="2" t="s">
        <v>9550</v>
      </c>
      <c r="G3592" s="2" t="s">
        <v>9551</v>
      </c>
      <c r="H3592" s="12">
        <v>0.0</v>
      </c>
      <c r="I3592" s="2" t="s">
        <v>40</v>
      </c>
      <c r="J3592" s="2"/>
      <c r="K3592" s="2" t="s">
        <v>9552</v>
      </c>
      <c r="L3592" s="12">
        <v>289.0</v>
      </c>
      <c r="M3592" s="2" t="s">
        <v>9553</v>
      </c>
      <c r="N3592" s="2" t="str">
        <f>IFERROR(__xludf.DUMMYFUNCTION("""COMPUTED_VALUE"""),"")</f>
        <v/>
      </c>
    </row>
    <row r="3593">
      <c r="A3593" s="2" t="s">
        <v>33</v>
      </c>
      <c r="B3593" s="12">
        <v>3460094.0</v>
      </c>
      <c r="C3593" s="12">
        <v>3461068.0</v>
      </c>
      <c r="D3593" s="2"/>
      <c r="E3593" s="2" t="s">
        <v>34</v>
      </c>
      <c r="F3593" s="2" t="s">
        <v>9554</v>
      </c>
      <c r="G3593" s="2" t="s">
        <v>9555</v>
      </c>
      <c r="H3593" s="12">
        <v>0.0</v>
      </c>
      <c r="I3593" s="2" t="s">
        <v>40</v>
      </c>
      <c r="J3593" s="2"/>
      <c r="K3593" s="2" t="s">
        <v>9556</v>
      </c>
      <c r="L3593" s="12">
        <v>324.0</v>
      </c>
      <c r="M3593" s="2" t="s">
        <v>9557</v>
      </c>
      <c r="N3593" s="2" t="str">
        <f>IFERROR(__xludf.DUMMYFUNCTION("""COMPUTED_VALUE"""),"")</f>
        <v/>
      </c>
    </row>
    <row r="3594">
      <c r="A3594" s="2" t="s">
        <v>33</v>
      </c>
      <c r="B3594" s="12">
        <v>3461197.0</v>
      </c>
      <c r="C3594" s="12">
        <v>3462156.0</v>
      </c>
      <c r="D3594" s="2"/>
      <c r="E3594" s="2" t="s">
        <v>34</v>
      </c>
      <c r="F3594" s="2" t="s">
        <v>9558</v>
      </c>
      <c r="G3594" s="2" t="s">
        <v>9559</v>
      </c>
      <c r="H3594" s="12">
        <v>0.0</v>
      </c>
      <c r="I3594" s="2" t="s">
        <v>40</v>
      </c>
      <c r="J3594" s="2"/>
      <c r="K3594" s="2" t="s">
        <v>9560</v>
      </c>
      <c r="L3594" s="12">
        <v>319.0</v>
      </c>
      <c r="M3594" s="2" t="s">
        <v>9561</v>
      </c>
      <c r="N3594" s="2" t="str">
        <f>IFERROR(__xludf.DUMMYFUNCTION("""COMPUTED_VALUE"""),"")</f>
        <v/>
      </c>
    </row>
    <row r="3595">
      <c r="A3595" s="2" t="s">
        <v>33</v>
      </c>
      <c r="B3595" s="12">
        <v>3462210.0</v>
      </c>
      <c r="C3595" s="12">
        <v>3463967.0</v>
      </c>
      <c r="D3595" s="2"/>
      <c r="E3595" s="2" t="s">
        <v>34</v>
      </c>
      <c r="F3595" s="2" t="s">
        <v>9562</v>
      </c>
      <c r="G3595" s="2" t="s">
        <v>9563</v>
      </c>
      <c r="H3595" s="12">
        <v>0.0</v>
      </c>
      <c r="I3595" s="2" t="s">
        <v>40</v>
      </c>
      <c r="J3595" s="2"/>
      <c r="K3595" s="2" t="s">
        <v>9564</v>
      </c>
      <c r="L3595" s="12">
        <v>585.0</v>
      </c>
      <c r="M3595" s="2" t="s">
        <v>9565</v>
      </c>
      <c r="N3595" s="2" t="str">
        <f>IFERROR(__xludf.DUMMYFUNCTION("""COMPUTED_VALUE"""),"")</f>
        <v/>
      </c>
    </row>
    <row r="3596">
      <c r="A3596" s="2" t="s">
        <v>33</v>
      </c>
      <c r="B3596" s="12">
        <v>3464163.0</v>
      </c>
      <c r="C3596" s="12">
        <v>3464552.0</v>
      </c>
      <c r="D3596" s="2"/>
      <c r="E3596" s="2" t="s">
        <v>34</v>
      </c>
      <c r="F3596" s="2" t="s">
        <v>9566</v>
      </c>
      <c r="G3596" s="2"/>
      <c r="H3596" s="12">
        <v>0.0</v>
      </c>
      <c r="I3596" s="2" t="s">
        <v>40</v>
      </c>
      <c r="J3596" s="2"/>
      <c r="K3596" s="2" t="s">
        <v>9567</v>
      </c>
      <c r="L3596" s="12">
        <v>129.0</v>
      </c>
      <c r="M3596" s="2" t="s">
        <v>9568</v>
      </c>
      <c r="N3596" s="2" t="str">
        <f>IFERROR(__xludf.DUMMYFUNCTION("""COMPUTED_VALUE"""),"")</f>
        <v/>
      </c>
    </row>
    <row r="3597">
      <c r="A3597" s="2" t="s">
        <v>33</v>
      </c>
      <c r="B3597" s="12">
        <v>3465185.0</v>
      </c>
      <c r="C3597" s="12">
        <v>3466303.0</v>
      </c>
      <c r="D3597" s="2"/>
      <c r="E3597" s="2" t="s">
        <v>38</v>
      </c>
      <c r="F3597" s="2" t="s">
        <v>9569</v>
      </c>
      <c r="G3597" s="2" t="s">
        <v>9570</v>
      </c>
      <c r="H3597" s="12">
        <v>0.0</v>
      </c>
      <c r="I3597" s="2" t="s">
        <v>40</v>
      </c>
      <c r="J3597" s="2"/>
      <c r="K3597" s="2" t="s">
        <v>9571</v>
      </c>
      <c r="L3597" s="12">
        <v>372.0</v>
      </c>
      <c r="M3597" s="2" t="s">
        <v>9572</v>
      </c>
      <c r="N3597" s="2" t="str">
        <f>IFERROR(__xludf.DUMMYFUNCTION("""COMPUTED_VALUE"""),"")</f>
        <v/>
      </c>
    </row>
    <row r="3598">
      <c r="A3598" s="2" t="s">
        <v>33</v>
      </c>
      <c r="B3598" s="12">
        <v>3466723.0</v>
      </c>
      <c r="C3598" s="12">
        <v>3467184.0</v>
      </c>
      <c r="D3598" s="2"/>
      <c r="E3598" s="2" t="s">
        <v>34</v>
      </c>
      <c r="F3598" s="2" t="s">
        <v>9573</v>
      </c>
      <c r="G3598" s="2"/>
      <c r="H3598" s="12">
        <v>0.0</v>
      </c>
      <c r="I3598" s="2" t="s">
        <v>40</v>
      </c>
      <c r="J3598" s="2"/>
      <c r="K3598" s="2" t="s">
        <v>9574</v>
      </c>
      <c r="L3598" s="12">
        <v>153.0</v>
      </c>
      <c r="M3598" s="2" t="s">
        <v>9575</v>
      </c>
      <c r="N3598" s="2" t="str">
        <f>IFERROR(__xludf.DUMMYFUNCTION("""COMPUTED_VALUE"""),"")</f>
        <v/>
      </c>
    </row>
    <row r="3599">
      <c r="A3599" s="2" t="s">
        <v>33</v>
      </c>
      <c r="B3599" s="12">
        <v>3467572.0</v>
      </c>
      <c r="C3599" s="12">
        <v>3468720.0</v>
      </c>
      <c r="D3599" s="2"/>
      <c r="E3599" s="2" t="s">
        <v>34</v>
      </c>
      <c r="F3599" s="2" t="s">
        <v>9576</v>
      </c>
      <c r="G3599" s="2" t="s">
        <v>9577</v>
      </c>
      <c r="H3599" s="12">
        <v>0.0</v>
      </c>
      <c r="I3599" s="2" t="s">
        <v>40</v>
      </c>
      <c r="J3599" s="2"/>
      <c r="K3599" s="2" t="s">
        <v>9578</v>
      </c>
      <c r="L3599" s="12">
        <v>382.0</v>
      </c>
      <c r="M3599" s="2" t="s">
        <v>9579</v>
      </c>
      <c r="N3599" s="2" t="str">
        <f>IFERROR(__xludf.DUMMYFUNCTION("""COMPUTED_VALUE"""),"")</f>
        <v/>
      </c>
    </row>
    <row r="3600">
      <c r="A3600" s="2" t="s">
        <v>33</v>
      </c>
      <c r="B3600" s="12">
        <v>3468881.0</v>
      </c>
      <c r="C3600" s="12">
        <v>3470173.0</v>
      </c>
      <c r="D3600" s="2"/>
      <c r="E3600" s="2" t="s">
        <v>34</v>
      </c>
      <c r="F3600" s="2" t="s">
        <v>9580</v>
      </c>
      <c r="G3600" s="2" t="s">
        <v>9581</v>
      </c>
      <c r="H3600" s="12">
        <v>0.0</v>
      </c>
      <c r="I3600" s="2" t="s">
        <v>40</v>
      </c>
      <c r="J3600" s="2"/>
      <c r="K3600" s="2" t="s">
        <v>9582</v>
      </c>
      <c r="L3600" s="12">
        <v>430.0</v>
      </c>
      <c r="M3600" s="2" t="s">
        <v>9583</v>
      </c>
      <c r="N3600" s="2" t="str">
        <f>IFERROR(__xludf.DUMMYFUNCTION("""COMPUTED_VALUE"""),"")</f>
        <v/>
      </c>
    </row>
    <row r="3601">
      <c r="A3601" s="2" t="s">
        <v>33</v>
      </c>
      <c r="B3601" s="12">
        <v>3470193.0</v>
      </c>
      <c r="C3601" s="12">
        <v>3471131.0</v>
      </c>
      <c r="D3601" s="2"/>
      <c r="E3601" s="2" t="s">
        <v>34</v>
      </c>
      <c r="F3601" s="2" t="s">
        <v>9584</v>
      </c>
      <c r="G3601" s="2" t="s">
        <v>9585</v>
      </c>
      <c r="H3601" s="12">
        <v>0.0</v>
      </c>
      <c r="I3601" s="2" t="s">
        <v>40</v>
      </c>
      <c r="J3601" s="2"/>
      <c r="K3601" s="2" t="s">
        <v>9586</v>
      </c>
      <c r="L3601" s="12">
        <v>312.0</v>
      </c>
      <c r="M3601" s="2" t="s">
        <v>9587</v>
      </c>
      <c r="N3601" s="2" t="str">
        <f>IFERROR(__xludf.DUMMYFUNCTION("""COMPUTED_VALUE"""),"")</f>
        <v/>
      </c>
    </row>
    <row r="3602">
      <c r="A3602" s="2" t="s">
        <v>33</v>
      </c>
      <c r="B3602" s="12">
        <v>3471347.0</v>
      </c>
      <c r="C3602" s="12">
        <v>3471820.0</v>
      </c>
      <c r="D3602" s="2"/>
      <c r="E3602" s="2" t="s">
        <v>34</v>
      </c>
      <c r="F3602" s="2" t="s">
        <v>9588</v>
      </c>
      <c r="G3602" s="2"/>
      <c r="H3602" s="12">
        <v>0.0</v>
      </c>
      <c r="I3602" s="2" t="s">
        <v>40</v>
      </c>
      <c r="J3602" s="2"/>
      <c r="K3602" s="2" t="s">
        <v>9589</v>
      </c>
      <c r="L3602" s="12">
        <v>157.0</v>
      </c>
      <c r="M3602" s="2" t="s">
        <v>9590</v>
      </c>
      <c r="N3602" s="2" t="str">
        <f>IFERROR(__xludf.DUMMYFUNCTION("""COMPUTED_VALUE"""),"")</f>
        <v/>
      </c>
    </row>
    <row r="3603">
      <c r="A3603" s="2" t="s">
        <v>33</v>
      </c>
      <c r="B3603" s="12">
        <v>3471878.0</v>
      </c>
      <c r="C3603" s="12">
        <v>3472009.0</v>
      </c>
      <c r="D3603" s="2"/>
      <c r="E3603" s="2" t="s">
        <v>38</v>
      </c>
      <c r="F3603" s="2" t="s">
        <v>39</v>
      </c>
      <c r="G3603" s="2"/>
      <c r="H3603" s="12">
        <v>0.0</v>
      </c>
      <c r="I3603" s="2" t="s">
        <v>40</v>
      </c>
      <c r="J3603" s="2"/>
      <c r="K3603" s="2" t="s">
        <v>9591</v>
      </c>
      <c r="L3603" s="12">
        <v>43.0</v>
      </c>
      <c r="M3603" s="2" t="s">
        <v>9592</v>
      </c>
      <c r="N3603" s="2" t="str">
        <f>IFERROR(__xludf.DUMMYFUNCTION("""COMPUTED_VALUE"""),"")</f>
        <v/>
      </c>
    </row>
    <row r="3604">
      <c r="A3604" s="2" t="s">
        <v>33</v>
      </c>
      <c r="B3604" s="12">
        <v>3472099.0</v>
      </c>
      <c r="C3604" s="12">
        <v>3472335.0</v>
      </c>
      <c r="D3604" s="2"/>
      <c r="E3604" s="2" t="s">
        <v>34</v>
      </c>
      <c r="F3604" s="2" t="s">
        <v>39</v>
      </c>
      <c r="G3604" s="2"/>
      <c r="H3604" s="12">
        <v>0.0</v>
      </c>
      <c r="I3604" s="2" t="s">
        <v>40</v>
      </c>
      <c r="J3604" s="2"/>
      <c r="K3604" s="2" t="s">
        <v>9593</v>
      </c>
      <c r="L3604" s="12">
        <v>78.0</v>
      </c>
      <c r="M3604" s="2" t="s">
        <v>9594</v>
      </c>
      <c r="N3604" s="2" t="str">
        <f>IFERROR(__xludf.DUMMYFUNCTION("""COMPUTED_VALUE"""),"")</f>
        <v/>
      </c>
    </row>
    <row r="3605">
      <c r="A3605" s="2" t="s">
        <v>33</v>
      </c>
      <c r="B3605" s="12">
        <v>3472498.0</v>
      </c>
      <c r="C3605" s="12">
        <v>3473217.0</v>
      </c>
      <c r="D3605" s="2"/>
      <c r="E3605" s="2" t="s">
        <v>34</v>
      </c>
      <c r="F3605" s="2" t="s">
        <v>9595</v>
      </c>
      <c r="G3605" s="2" t="s">
        <v>9596</v>
      </c>
      <c r="H3605" s="12">
        <v>0.0</v>
      </c>
      <c r="I3605" s="2" t="s">
        <v>40</v>
      </c>
      <c r="J3605" s="2"/>
      <c r="K3605" s="2" t="s">
        <v>9597</v>
      </c>
      <c r="L3605" s="12">
        <v>239.0</v>
      </c>
      <c r="M3605" s="2" t="s">
        <v>9598</v>
      </c>
      <c r="N3605" s="2" t="str">
        <f>IFERROR(__xludf.DUMMYFUNCTION("""COMPUTED_VALUE"""),"")</f>
        <v/>
      </c>
    </row>
    <row r="3606">
      <c r="A3606" s="2" t="s">
        <v>33</v>
      </c>
      <c r="B3606" s="12">
        <v>3473210.0</v>
      </c>
      <c r="C3606" s="12">
        <v>3474973.0</v>
      </c>
      <c r="D3606" s="2"/>
      <c r="E3606" s="2" t="s">
        <v>34</v>
      </c>
      <c r="F3606" s="2" t="s">
        <v>9599</v>
      </c>
      <c r="G3606" s="2" t="s">
        <v>9600</v>
      </c>
      <c r="H3606" s="12">
        <v>0.0</v>
      </c>
      <c r="I3606" s="2" t="s">
        <v>40</v>
      </c>
      <c r="J3606" s="2"/>
      <c r="K3606" s="2" t="s">
        <v>9601</v>
      </c>
      <c r="L3606" s="12">
        <v>587.0</v>
      </c>
      <c r="M3606" s="2" t="s">
        <v>9602</v>
      </c>
      <c r="N3606" s="2" t="str">
        <f>IFERROR(__xludf.DUMMYFUNCTION("""COMPUTED_VALUE"""),"")</f>
        <v/>
      </c>
    </row>
    <row r="3607">
      <c r="A3607" s="2" t="s">
        <v>33</v>
      </c>
      <c r="B3607" s="12">
        <v>3475259.0</v>
      </c>
      <c r="C3607" s="12">
        <v>3477892.0</v>
      </c>
      <c r="D3607" s="2"/>
      <c r="E3607" s="2" t="s">
        <v>34</v>
      </c>
      <c r="F3607" s="2" t="s">
        <v>9603</v>
      </c>
      <c r="G3607" s="2" t="s">
        <v>9604</v>
      </c>
      <c r="H3607" s="12">
        <v>0.0</v>
      </c>
      <c r="I3607" s="2" t="s">
        <v>40</v>
      </c>
      <c r="J3607" s="2"/>
      <c r="K3607" s="2" t="s">
        <v>9605</v>
      </c>
      <c r="L3607" s="12">
        <v>877.0</v>
      </c>
      <c r="M3607" s="2" t="s">
        <v>9606</v>
      </c>
      <c r="N3607" s="2" t="str">
        <f>IFERROR(__xludf.DUMMYFUNCTION("""COMPUTED_VALUE"""),"")</f>
        <v/>
      </c>
    </row>
    <row r="3608">
      <c r="A3608" s="2" t="s">
        <v>33</v>
      </c>
      <c r="B3608" s="12">
        <v>3477905.0</v>
      </c>
      <c r="C3608" s="12">
        <v>3478735.0</v>
      </c>
      <c r="D3608" s="2"/>
      <c r="E3608" s="2" t="s">
        <v>34</v>
      </c>
      <c r="F3608" s="2" t="s">
        <v>9607</v>
      </c>
      <c r="G3608" s="2" t="s">
        <v>9608</v>
      </c>
      <c r="H3608" s="12">
        <v>0.0</v>
      </c>
      <c r="I3608" s="2" t="s">
        <v>40</v>
      </c>
      <c r="J3608" s="2"/>
      <c r="K3608" s="2" t="s">
        <v>9609</v>
      </c>
      <c r="L3608" s="12">
        <v>276.0</v>
      </c>
      <c r="M3608" s="2" t="s">
        <v>9610</v>
      </c>
      <c r="N3608" s="2" t="str">
        <f>IFERROR(__xludf.DUMMYFUNCTION("""COMPUTED_VALUE"""),"")</f>
        <v/>
      </c>
    </row>
    <row r="3609">
      <c r="A3609" s="2" t="s">
        <v>33</v>
      </c>
      <c r="B3609" s="12">
        <v>3478808.0</v>
      </c>
      <c r="C3609" s="12">
        <v>3479440.0</v>
      </c>
      <c r="D3609" s="2"/>
      <c r="E3609" s="2" t="s">
        <v>34</v>
      </c>
      <c r="F3609" s="2" t="s">
        <v>9611</v>
      </c>
      <c r="G3609" s="2" t="s">
        <v>9612</v>
      </c>
      <c r="H3609" s="12">
        <v>0.0</v>
      </c>
      <c r="I3609" s="2" t="s">
        <v>40</v>
      </c>
      <c r="J3609" s="2"/>
      <c r="K3609" s="2" t="s">
        <v>9613</v>
      </c>
      <c r="L3609" s="12">
        <v>210.0</v>
      </c>
      <c r="M3609" s="2" t="s">
        <v>9614</v>
      </c>
      <c r="N3609" s="2" t="str">
        <f>IFERROR(__xludf.DUMMYFUNCTION("""COMPUTED_VALUE"""),"")</f>
        <v/>
      </c>
    </row>
    <row r="3610">
      <c r="A3610" s="2" t="s">
        <v>33</v>
      </c>
      <c r="B3610" s="12">
        <v>3479492.0</v>
      </c>
      <c r="C3610" s="12">
        <v>3480094.0</v>
      </c>
      <c r="D3610" s="2"/>
      <c r="E3610" s="2" t="s">
        <v>34</v>
      </c>
      <c r="F3610" s="2" t="s">
        <v>9615</v>
      </c>
      <c r="G3610" s="2" t="s">
        <v>9616</v>
      </c>
      <c r="H3610" s="12">
        <v>0.0</v>
      </c>
      <c r="I3610" s="2" t="s">
        <v>40</v>
      </c>
      <c r="J3610" s="2"/>
      <c r="K3610" s="2" t="s">
        <v>9617</v>
      </c>
      <c r="L3610" s="12">
        <v>200.0</v>
      </c>
      <c r="M3610" s="2" t="s">
        <v>9618</v>
      </c>
      <c r="N3610" s="2" t="str">
        <f>IFERROR(__xludf.DUMMYFUNCTION("""COMPUTED_VALUE"""),"")</f>
        <v/>
      </c>
    </row>
    <row r="3611">
      <c r="A3611" s="2" t="s">
        <v>33</v>
      </c>
      <c r="B3611" s="12">
        <v>3480204.0</v>
      </c>
      <c r="C3611" s="12">
        <v>3481232.0</v>
      </c>
      <c r="D3611" s="2"/>
      <c r="E3611" s="2" t="s">
        <v>34</v>
      </c>
      <c r="F3611" s="2" t="s">
        <v>9619</v>
      </c>
      <c r="G3611" s="2"/>
      <c r="H3611" s="12">
        <v>0.0</v>
      </c>
      <c r="I3611" s="2" t="s">
        <v>40</v>
      </c>
      <c r="J3611" s="2"/>
      <c r="K3611" s="2" t="s">
        <v>9620</v>
      </c>
      <c r="L3611" s="12">
        <v>342.0</v>
      </c>
      <c r="M3611" s="2" t="s">
        <v>9621</v>
      </c>
      <c r="N3611" s="2" t="str">
        <f>IFERROR(__xludf.DUMMYFUNCTION("""COMPUTED_VALUE"""),"")</f>
        <v/>
      </c>
    </row>
    <row r="3612">
      <c r="A3612" s="2" t="s">
        <v>33</v>
      </c>
      <c r="B3612" s="12">
        <v>3481623.0</v>
      </c>
      <c r="C3612" s="12">
        <v>3482006.0</v>
      </c>
      <c r="D3612" s="2"/>
      <c r="E3612" s="2" t="s">
        <v>34</v>
      </c>
      <c r="F3612" s="2" t="s">
        <v>7984</v>
      </c>
      <c r="G3612" s="2" t="s">
        <v>7985</v>
      </c>
      <c r="H3612" s="12">
        <v>0.0</v>
      </c>
      <c r="I3612" s="2" t="s">
        <v>40</v>
      </c>
      <c r="J3612" s="2"/>
      <c r="K3612" s="2" t="s">
        <v>9622</v>
      </c>
      <c r="L3612" s="12">
        <v>127.0</v>
      </c>
      <c r="M3612" s="2" t="s">
        <v>9623</v>
      </c>
      <c r="N3612" s="2" t="str">
        <f>IFERROR(__xludf.DUMMYFUNCTION("""COMPUTED_VALUE"""),"")</f>
        <v/>
      </c>
    </row>
    <row r="3613">
      <c r="A3613" s="2" t="s">
        <v>33</v>
      </c>
      <c r="B3613" s="12">
        <v>3482290.0</v>
      </c>
      <c r="C3613" s="12">
        <v>3482751.0</v>
      </c>
      <c r="D3613" s="2"/>
      <c r="E3613" s="2" t="s">
        <v>34</v>
      </c>
      <c r="F3613" s="2" t="s">
        <v>9624</v>
      </c>
      <c r="G3613" s="2" t="s">
        <v>9625</v>
      </c>
      <c r="H3613" s="12">
        <v>0.0</v>
      </c>
      <c r="I3613" s="2" t="s">
        <v>40</v>
      </c>
      <c r="J3613" s="2"/>
      <c r="K3613" s="2" t="s">
        <v>9626</v>
      </c>
      <c r="L3613" s="12">
        <v>153.0</v>
      </c>
      <c r="M3613" s="2" t="s">
        <v>9627</v>
      </c>
      <c r="N3613" s="2" t="str">
        <f>IFERROR(__xludf.DUMMYFUNCTION("""COMPUTED_VALUE"""),"")</f>
        <v/>
      </c>
    </row>
    <row r="3614">
      <c r="A3614" s="2" t="s">
        <v>33</v>
      </c>
      <c r="B3614" s="12">
        <v>3482904.0</v>
      </c>
      <c r="C3614" s="12">
        <v>3484313.0</v>
      </c>
      <c r="D3614" s="2"/>
      <c r="E3614" s="2" t="s">
        <v>34</v>
      </c>
      <c r="F3614" s="2" t="s">
        <v>9628</v>
      </c>
      <c r="G3614" s="2"/>
      <c r="H3614" s="12">
        <v>0.0</v>
      </c>
      <c r="I3614" s="2" t="s">
        <v>40</v>
      </c>
      <c r="J3614" s="2"/>
      <c r="K3614" s="2" t="s">
        <v>9629</v>
      </c>
      <c r="L3614" s="12">
        <v>469.0</v>
      </c>
      <c r="M3614" s="2" t="s">
        <v>9630</v>
      </c>
      <c r="N3614" s="2" t="str">
        <f>IFERROR(__xludf.DUMMYFUNCTION("""COMPUTED_VALUE"""),"")</f>
        <v/>
      </c>
    </row>
    <row r="3615">
      <c r="A3615" s="2" t="s">
        <v>33</v>
      </c>
      <c r="B3615" s="12">
        <v>3484347.0</v>
      </c>
      <c r="C3615" s="12">
        <v>3485285.0</v>
      </c>
      <c r="D3615" s="2"/>
      <c r="E3615" s="2" t="s">
        <v>34</v>
      </c>
      <c r="F3615" s="2" t="s">
        <v>9631</v>
      </c>
      <c r="G3615" s="2" t="s">
        <v>9632</v>
      </c>
      <c r="H3615" s="12">
        <v>0.0</v>
      </c>
      <c r="I3615" s="2" t="s">
        <v>40</v>
      </c>
      <c r="J3615" s="2"/>
      <c r="K3615" s="2" t="s">
        <v>9633</v>
      </c>
      <c r="L3615" s="12">
        <v>312.0</v>
      </c>
      <c r="M3615" s="2" t="s">
        <v>9634</v>
      </c>
      <c r="N3615" s="2" t="str">
        <f>IFERROR(__xludf.DUMMYFUNCTION("""COMPUTED_VALUE"""),"")</f>
        <v/>
      </c>
    </row>
    <row r="3616">
      <c r="A3616" s="2" t="s">
        <v>33</v>
      </c>
      <c r="B3616" s="12">
        <v>3485317.0</v>
      </c>
      <c r="C3616" s="12">
        <v>3485514.0</v>
      </c>
      <c r="D3616" s="2"/>
      <c r="E3616" s="2" t="s">
        <v>38</v>
      </c>
      <c r="F3616" s="2" t="s">
        <v>9635</v>
      </c>
      <c r="G3616" s="2"/>
      <c r="H3616" s="12">
        <v>0.0</v>
      </c>
      <c r="I3616" s="2" t="s">
        <v>40</v>
      </c>
      <c r="J3616" s="2"/>
      <c r="K3616" s="2" t="s">
        <v>9636</v>
      </c>
      <c r="L3616" s="12">
        <v>65.0</v>
      </c>
      <c r="M3616" s="2" t="s">
        <v>9637</v>
      </c>
      <c r="N3616" s="2" t="str">
        <f>IFERROR(__xludf.DUMMYFUNCTION("""COMPUTED_VALUE"""),"")</f>
        <v/>
      </c>
    </row>
    <row r="3617">
      <c r="A3617" s="2" t="s">
        <v>33</v>
      </c>
      <c r="B3617" s="12">
        <v>3485749.0</v>
      </c>
      <c r="C3617" s="12">
        <v>3486630.0</v>
      </c>
      <c r="D3617" s="2"/>
      <c r="E3617" s="2" t="s">
        <v>34</v>
      </c>
      <c r="F3617" s="2" t="s">
        <v>9638</v>
      </c>
      <c r="G3617" s="2" t="s">
        <v>9639</v>
      </c>
      <c r="H3617" s="12">
        <v>0.0</v>
      </c>
      <c r="I3617" s="2" t="s">
        <v>40</v>
      </c>
      <c r="J3617" s="2"/>
      <c r="K3617" s="2" t="s">
        <v>9640</v>
      </c>
      <c r="L3617" s="12">
        <v>293.0</v>
      </c>
      <c r="M3617" s="2" t="s">
        <v>9641</v>
      </c>
      <c r="N3617" s="2" t="str">
        <f>IFERROR(__xludf.DUMMYFUNCTION("""COMPUTED_VALUE"""),"")</f>
        <v/>
      </c>
    </row>
    <row r="3618">
      <c r="A3618" s="2" t="s">
        <v>33</v>
      </c>
      <c r="B3618" s="12">
        <v>3486938.0</v>
      </c>
      <c r="C3618" s="12">
        <v>3488875.0</v>
      </c>
      <c r="D3618" s="2"/>
      <c r="E3618" s="2" t="s">
        <v>34</v>
      </c>
      <c r="F3618" s="2" t="s">
        <v>796</v>
      </c>
      <c r="G3618" s="2" t="s">
        <v>797</v>
      </c>
      <c r="H3618" s="12">
        <v>0.0</v>
      </c>
      <c r="I3618" s="2" t="s">
        <v>40</v>
      </c>
      <c r="J3618" s="2"/>
      <c r="K3618" s="2" t="s">
        <v>9642</v>
      </c>
      <c r="L3618" s="12">
        <v>645.0</v>
      </c>
      <c r="M3618" s="2" t="s">
        <v>9643</v>
      </c>
      <c r="N3618" s="2" t="str">
        <f>IFERROR(__xludf.DUMMYFUNCTION("""COMPUTED_VALUE"""),"")</f>
        <v/>
      </c>
    </row>
    <row r="3619">
      <c r="A3619" s="2" t="s">
        <v>33</v>
      </c>
      <c r="B3619" s="12">
        <v>3489270.0</v>
      </c>
      <c r="C3619" s="12">
        <v>3489773.0</v>
      </c>
      <c r="D3619" s="2"/>
      <c r="E3619" s="2" t="s">
        <v>34</v>
      </c>
      <c r="F3619" s="2" t="s">
        <v>9644</v>
      </c>
      <c r="G3619" s="2" t="s">
        <v>9645</v>
      </c>
      <c r="H3619" s="12">
        <v>0.0</v>
      </c>
      <c r="I3619" s="2" t="s">
        <v>40</v>
      </c>
      <c r="J3619" s="2"/>
      <c r="K3619" s="2" t="s">
        <v>9646</v>
      </c>
      <c r="L3619" s="12">
        <v>167.0</v>
      </c>
      <c r="M3619" s="2" t="s">
        <v>9647</v>
      </c>
      <c r="N3619" s="2" t="str">
        <f>IFERROR(__xludf.DUMMYFUNCTION("""COMPUTED_VALUE"""),"")</f>
        <v/>
      </c>
    </row>
    <row r="3620">
      <c r="A3620" s="2" t="s">
        <v>33</v>
      </c>
      <c r="B3620" s="12">
        <v>3489795.0</v>
      </c>
      <c r="C3620" s="12">
        <v>3489995.0</v>
      </c>
      <c r="D3620" s="2"/>
      <c r="E3620" s="2" t="s">
        <v>34</v>
      </c>
      <c r="F3620" s="2" t="s">
        <v>9648</v>
      </c>
      <c r="G3620" s="2" t="s">
        <v>9649</v>
      </c>
      <c r="H3620" s="12">
        <v>0.0</v>
      </c>
      <c r="I3620" s="2" t="s">
        <v>40</v>
      </c>
      <c r="J3620" s="2"/>
      <c r="K3620" s="2" t="s">
        <v>9650</v>
      </c>
      <c r="L3620" s="12">
        <v>66.0</v>
      </c>
      <c r="M3620" s="2" t="s">
        <v>9651</v>
      </c>
      <c r="N3620" s="2" t="str">
        <f>IFERROR(__xludf.DUMMYFUNCTION("""COMPUTED_VALUE"""),"")</f>
        <v/>
      </c>
    </row>
    <row r="3621">
      <c r="A3621" s="2" t="s">
        <v>33</v>
      </c>
      <c r="B3621" s="12">
        <v>3490033.0</v>
      </c>
      <c r="C3621" s="12">
        <v>3490389.0</v>
      </c>
      <c r="D3621" s="2"/>
      <c r="E3621" s="2" t="s">
        <v>34</v>
      </c>
      <c r="F3621" s="2" t="s">
        <v>9652</v>
      </c>
      <c r="G3621" s="2" t="s">
        <v>9653</v>
      </c>
      <c r="H3621" s="12">
        <v>0.0</v>
      </c>
      <c r="I3621" s="2" t="s">
        <v>40</v>
      </c>
      <c r="J3621" s="2"/>
      <c r="K3621" s="2" t="s">
        <v>9654</v>
      </c>
      <c r="L3621" s="12">
        <v>118.0</v>
      </c>
      <c r="M3621" s="2" t="s">
        <v>9655</v>
      </c>
      <c r="N3621" s="2" t="str">
        <f>IFERROR(__xludf.DUMMYFUNCTION("""COMPUTED_VALUE"""),"")</f>
        <v/>
      </c>
    </row>
    <row r="3622">
      <c r="A3622" s="2" t="s">
        <v>33</v>
      </c>
      <c r="B3622" s="12">
        <v>3490832.0</v>
      </c>
      <c r="C3622" s="12">
        <v>3491323.0</v>
      </c>
      <c r="D3622" s="2"/>
      <c r="E3622" s="2" t="s">
        <v>34</v>
      </c>
      <c r="F3622" s="2" t="s">
        <v>2059</v>
      </c>
      <c r="G3622" s="2"/>
      <c r="H3622" s="12">
        <v>0.0</v>
      </c>
      <c r="I3622" s="2" t="s">
        <v>40</v>
      </c>
      <c r="J3622" s="2"/>
      <c r="K3622" s="2" t="s">
        <v>9656</v>
      </c>
      <c r="L3622" s="12">
        <v>163.0</v>
      </c>
      <c r="M3622" s="2" t="s">
        <v>9657</v>
      </c>
      <c r="N3622" s="2" t="str">
        <f>IFERROR(__xludf.DUMMYFUNCTION("""COMPUTED_VALUE"""),"")</f>
        <v/>
      </c>
    </row>
    <row r="3623">
      <c r="A3623" s="2" t="s">
        <v>33</v>
      </c>
      <c r="B3623" s="12">
        <v>3491394.0</v>
      </c>
      <c r="C3623" s="12">
        <v>3492479.0</v>
      </c>
      <c r="D3623" s="2"/>
      <c r="E3623" s="2" t="s">
        <v>34</v>
      </c>
      <c r="F3623" s="2" t="s">
        <v>4784</v>
      </c>
      <c r="G3623" s="2"/>
      <c r="H3623" s="12">
        <v>0.0</v>
      </c>
      <c r="I3623" s="2" t="s">
        <v>40</v>
      </c>
      <c r="J3623" s="2"/>
      <c r="K3623" s="2" t="s">
        <v>9658</v>
      </c>
      <c r="L3623" s="12">
        <v>361.0</v>
      </c>
      <c r="M3623" s="2" t="s">
        <v>9659</v>
      </c>
      <c r="N3623" s="2" t="str">
        <f>IFERROR(__xludf.DUMMYFUNCTION("""COMPUTED_VALUE"""),"")</f>
        <v/>
      </c>
    </row>
    <row r="3624">
      <c r="A3624" s="2" t="s">
        <v>33</v>
      </c>
      <c r="B3624" s="12">
        <v>3492520.0</v>
      </c>
      <c r="C3624" s="12">
        <v>3493137.0</v>
      </c>
      <c r="D3624" s="2"/>
      <c r="E3624" s="2" t="s">
        <v>38</v>
      </c>
      <c r="F3624" s="2" t="s">
        <v>427</v>
      </c>
      <c r="G3624" s="2"/>
      <c r="H3624" s="12">
        <v>0.0</v>
      </c>
      <c r="I3624" s="2" t="s">
        <v>40</v>
      </c>
      <c r="J3624" s="2"/>
      <c r="K3624" s="2" t="s">
        <v>9660</v>
      </c>
      <c r="L3624" s="12">
        <v>205.0</v>
      </c>
      <c r="M3624" s="2" t="s">
        <v>9661</v>
      </c>
      <c r="N3624" s="2" t="str">
        <f>IFERROR(__xludf.DUMMYFUNCTION("""COMPUTED_VALUE"""),"")</f>
        <v/>
      </c>
    </row>
    <row r="3625">
      <c r="A3625" s="2" t="s">
        <v>33</v>
      </c>
      <c r="B3625" s="12">
        <v>3493435.0</v>
      </c>
      <c r="C3625" s="12">
        <v>3494088.0</v>
      </c>
      <c r="D3625" s="2"/>
      <c r="E3625" s="2" t="s">
        <v>34</v>
      </c>
      <c r="F3625" s="2" t="s">
        <v>9662</v>
      </c>
      <c r="G3625" s="2"/>
      <c r="H3625" s="12">
        <v>0.0</v>
      </c>
      <c r="I3625" s="2" t="s">
        <v>40</v>
      </c>
      <c r="J3625" s="2"/>
      <c r="K3625" s="2" t="s">
        <v>9663</v>
      </c>
      <c r="L3625" s="12">
        <v>217.0</v>
      </c>
      <c r="M3625" s="2" t="s">
        <v>9664</v>
      </c>
      <c r="N3625" s="2" t="str">
        <f>IFERROR(__xludf.DUMMYFUNCTION("""COMPUTED_VALUE"""),"")</f>
        <v/>
      </c>
    </row>
    <row r="3626">
      <c r="A3626" s="2" t="s">
        <v>33</v>
      </c>
      <c r="B3626" s="12">
        <v>3494101.0</v>
      </c>
      <c r="C3626" s="12">
        <v>3495900.0</v>
      </c>
      <c r="D3626" s="2"/>
      <c r="E3626" s="2" t="s">
        <v>34</v>
      </c>
      <c r="F3626" s="2" t="s">
        <v>9665</v>
      </c>
      <c r="G3626" s="2"/>
      <c r="H3626" s="12">
        <v>0.0</v>
      </c>
      <c r="I3626" s="2" t="s">
        <v>40</v>
      </c>
      <c r="J3626" s="2"/>
      <c r="K3626" s="2" t="s">
        <v>9666</v>
      </c>
      <c r="L3626" s="12">
        <v>599.0</v>
      </c>
      <c r="M3626" s="2" t="s">
        <v>9667</v>
      </c>
      <c r="N3626" s="2" t="str">
        <f>IFERROR(__xludf.DUMMYFUNCTION("""COMPUTED_VALUE"""),"")</f>
        <v/>
      </c>
    </row>
    <row r="3627">
      <c r="A3627" s="2" t="s">
        <v>33</v>
      </c>
      <c r="B3627" s="12">
        <v>3495922.0</v>
      </c>
      <c r="C3627" s="12">
        <v>3496278.0</v>
      </c>
      <c r="D3627" s="2"/>
      <c r="E3627" s="2" t="s">
        <v>38</v>
      </c>
      <c r="F3627" s="2" t="s">
        <v>39</v>
      </c>
      <c r="G3627" s="2"/>
      <c r="H3627" s="12">
        <v>0.0</v>
      </c>
      <c r="I3627" s="2" t="s">
        <v>40</v>
      </c>
      <c r="J3627" s="2"/>
      <c r="K3627" s="2" t="s">
        <v>9668</v>
      </c>
      <c r="L3627" s="12">
        <v>118.0</v>
      </c>
      <c r="M3627" s="2" t="s">
        <v>9669</v>
      </c>
      <c r="N3627" s="2" t="str">
        <f>IFERROR(__xludf.DUMMYFUNCTION("""COMPUTED_VALUE"""),"")</f>
        <v/>
      </c>
    </row>
    <row r="3628">
      <c r="A3628" s="2" t="s">
        <v>33</v>
      </c>
      <c r="B3628" s="12">
        <v>3496317.0</v>
      </c>
      <c r="C3628" s="12">
        <v>3496688.0</v>
      </c>
      <c r="D3628" s="2"/>
      <c r="E3628" s="2" t="s">
        <v>38</v>
      </c>
      <c r="F3628" s="2" t="s">
        <v>39</v>
      </c>
      <c r="G3628" s="2"/>
      <c r="H3628" s="12">
        <v>0.0</v>
      </c>
      <c r="I3628" s="2" t="s">
        <v>40</v>
      </c>
      <c r="J3628" s="2"/>
      <c r="K3628" s="2" t="s">
        <v>9670</v>
      </c>
      <c r="L3628" s="12">
        <v>123.0</v>
      </c>
      <c r="M3628" s="2" t="s">
        <v>9671</v>
      </c>
      <c r="N3628" s="2" t="str">
        <f>IFERROR(__xludf.DUMMYFUNCTION("""COMPUTED_VALUE"""),"")</f>
        <v/>
      </c>
    </row>
    <row r="3629">
      <c r="A3629" s="2" t="s">
        <v>33</v>
      </c>
      <c r="B3629" s="12">
        <v>3496876.0</v>
      </c>
      <c r="C3629" s="12">
        <v>3497589.0</v>
      </c>
      <c r="D3629" s="2"/>
      <c r="E3629" s="2" t="s">
        <v>38</v>
      </c>
      <c r="F3629" s="2" t="s">
        <v>306</v>
      </c>
      <c r="G3629" s="2"/>
      <c r="H3629" s="12">
        <v>0.0</v>
      </c>
      <c r="I3629" s="2" t="s">
        <v>40</v>
      </c>
      <c r="J3629" s="2"/>
      <c r="K3629" s="2" t="s">
        <v>9672</v>
      </c>
      <c r="L3629" s="12">
        <v>237.0</v>
      </c>
      <c r="M3629" s="2" t="s">
        <v>9673</v>
      </c>
      <c r="N3629" s="2" t="str">
        <f>IFERROR(__xludf.DUMMYFUNCTION("""COMPUTED_VALUE"""),"")</f>
        <v/>
      </c>
    </row>
    <row r="3630">
      <c r="A3630" s="2" t="s">
        <v>33</v>
      </c>
      <c r="B3630" s="12">
        <v>3497880.0</v>
      </c>
      <c r="C3630" s="12">
        <v>3498437.0</v>
      </c>
      <c r="D3630" s="2"/>
      <c r="E3630" s="2" t="s">
        <v>38</v>
      </c>
      <c r="F3630" s="2" t="s">
        <v>1265</v>
      </c>
      <c r="G3630" s="2"/>
      <c r="H3630" s="12">
        <v>0.0</v>
      </c>
      <c r="I3630" s="2" t="s">
        <v>40</v>
      </c>
      <c r="J3630" s="2"/>
      <c r="K3630" s="2" t="s">
        <v>9674</v>
      </c>
      <c r="L3630" s="12">
        <v>185.0</v>
      </c>
      <c r="M3630" s="2" t="s">
        <v>9675</v>
      </c>
      <c r="N3630" s="2" t="str">
        <f>IFERROR(__xludf.DUMMYFUNCTION("""COMPUTED_VALUE"""),"")</f>
        <v/>
      </c>
    </row>
    <row r="3631">
      <c r="A3631" s="2" t="s">
        <v>33</v>
      </c>
      <c r="B3631" s="12">
        <v>3498614.0</v>
      </c>
      <c r="C3631" s="12">
        <v>3498823.0</v>
      </c>
      <c r="D3631" s="2"/>
      <c r="E3631" s="2" t="s">
        <v>38</v>
      </c>
      <c r="F3631" s="2" t="s">
        <v>9676</v>
      </c>
      <c r="G3631" s="2" t="s">
        <v>9677</v>
      </c>
      <c r="H3631" s="12">
        <v>0.0</v>
      </c>
      <c r="I3631" s="2" t="s">
        <v>40</v>
      </c>
      <c r="J3631" s="2"/>
      <c r="K3631" s="2" t="s">
        <v>9678</v>
      </c>
      <c r="L3631" s="12">
        <v>69.0</v>
      </c>
      <c r="M3631" s="2" t="s">
        <v>9679</v>
      </c>
      <c r="N3631" s="2" t="str">
        <f>IFERROR(__xludf.DUMMYFUNCTION("""COMPUTED_VALUE"""),"")</f>
        <v/>
      </c>
    </row>
    <row r="3632">
      <c r="A3632" s="2" t="s">
        <v>33</v>
      </c>
      <c r="B3632" s="12">
        <v>3498906.0</v>
      </c>
      <c r="C3632" s="12">
        <v>3499703.0</v>
      </c>
      <c r="D3632" s="2"/>
      <c r="E3632" s="2" t="s">
        <v>34</v>
      </c>
      <c r="F3632" s="2" t="s">
        <v>9680</v>
      </c>
      <c r="G3632" s="2"/>
      <c r="H3632" s="12">
        <v>0.0</v>
      </c>
      <c r="I3632" s="2" t="s">
        <v>40</v>
      </c>
      <c r="J3632" s="2"/>
      <c r="K3632" s="2" t="s">
        <v>9681</v>
      </c>
      <c r="L3632" s="12">
        <v>265.0</v>
      </c>
      <c r="M3632" s="2" t="s">
        <v>9682</v>
      </c>
      <c r="N3632" s="2" t="str">
        <f>IFERROR(__xludf.DUMMYFUNCTION("""COMPUTED_VALUE"""),"")</f>
        <v/>
      </c>
    </row>
    <row r="3633">
      <c r="A3633" s="2" t="s">
        <v>33</v>
      </c>
      <c r="B3633" s="12">
        <v>3500025.0</v>
      </c>
      <c r="C3633" s="12">
        <v>3501059.0</v>
      </c>
      <c r="D3633" s="2"/>
      <c r="E3633" s="2" t="s">
        <v>34</v>
      </c>
      <c r="F3633" s="2" t="s">
        <v>9683</v>
      </c>
      <c r="G3633" s="2" t="s">
        <v>9684</v>
      </c>
      <c r="H3633" s="12">
        <v>0.0</v>
      </c>
      <c r="I3633" s="2" t="s">
        <v>40</v>
      </c>
      <c r="J3633" s="2"/>
      <c r="K3633" s="2" t="s">
        <v>9685</v>
      </c>
      <c r="L3633" s="12">
        <v>344.0</v>
      </c>
      <c r="M3633" s="2" t="s">
        <v>9686</v>
      </c>
      <c r="N3633" s="2" t="str">
        <f>IFERROR(__xludf.DUMMYFUNCTION("""COMPUTED_VALUE"""),"")</f>
        <v/>
      </c>
    </row>
    <row r="3634">
      <c r="A3634" s="2" t="s">
        <v>33</v>
      </c>
      <c r="B3634" s="12">
        <v>3501078.0</v>
      </c>
      <c r="C3634" s="12">
        <v>3503498.0</v>
      </c>
      <c r="D3634" s="2"/>
      <c r="E3634" s="2" t="s">
        <v>34</v>
      </c>
      <c r="F3634" s="2" t="s">
        <v>9687</v>
      </c>
      <c r="G3634" s="2" t="s">
        <v>9688</v>
      </c>
      <c r="H3634" s="12">
        <v>0.0</v>
      </c>
      <c r="I3634" s="2" t="s">
        <v>40</v>
      </c>
      <c r="J3634" s="2"/>
      <c r="K3634" s="2" t="s">
        <v>9689</v>
      </c>
      <c r="L3634" s="12">
        <v>806.0</v>
      </c>
      <c r="M3634" s="2" t="s">
        <v>9690</v>
      </c>
      <c r="N3634" s="2" t="str">
        <f>IFERROR(__xludf.DUMMYFUNCTION("""COMPUTED_VALUE"""),"")</f>
        <v/>
      </c>
    </row>
    <row r="3635">
      <c r="A3635" s="2" t="s">
        <v>33</v>
      </c>
      <c r="B3635" s="12">
        <v>3503957.0</v>
      </c>
      <c r="C3635" s="12">
        <v>3505348.0</v>
      </c>
      <c r="D3635" s="2"/>
      <c r="E3635" s="2" t="s">
        <v>34</v>
      </c>
      <c r="F3635" s="2" t="s">
        <v>9691</v>
      </c>
      <c r="G3635" s="2" t="s">
        <v>9692</v>
      </c>
      <c r="H3635" s="12">
        <v>0.0</v>
      </c>
      <c r="I3635" s="2" t="s">
        <v>40</v>
      </c>
      <c r="J3635" s="2"/>
      <c r="K3635" s="2" t="s">
        <v>9693</v>
      </c>
      <c r="L3635" s="12">
        <v>463.0</v>
      </c>
      <c r="M3635" s="2" t="s">
        <v>9694</v>
      </c>
      <c r="N3635" s="2" t="str">
        <f>IFERROR(__xludf.DUMMYFUNCTION("""COMPUTED_VALUE"""),"")</f>
        <v/>
      </c>
    </row>
    <row r="3636">
      <c r="A3636" s="2" t="s">
        <v>33</v>
      </c>
      <c r="B3636" s="12">
        <v>3505441.0</v>
      </c>
      <c r="C3636" s="12">
        <v>3505575.0</v>
      </c>
      <c r="D3636" s="2"/>
      <c r="E3636" s="2" t="s">
        <v>34</v>
      </c>
      <c r="F3636" s="2" t="s">
        <v>8529</v>
      </c>
      <c r="G3636" s="2"/>
      <c r="H3636" s="12">
        <v>0.0</v>
      </c>
      <c r="I3636" s="2" t="s">
        <v>40</v>
      </c>
      <c r="J3636" s="2"/>
      <c r="K3636" s="2" t="s">
        <v>9695</v>
      </c>
      <c r="L3636" s="12">
        <v>44.0</v>
      </c>
      <c r="M3636" s="2" t="s">
        <v>9696</v>
      </c>
      <c r="N3636" s="2" t="str">
        <f>IFERROR(__xludf.DUMMYFUNCTION("""COMPUTED_VALUE"""),"")</f>
        <v/>
      </c>
    </row>
    <row r="3637">
      <c r="A3637" s="2" t="s">
        <v>33</v>
      </c>
      <c r="B3637" s="12">
        <v>3505618.0</v>
      </c>
      <c r="C3637" s="12">
        <v>3505869.0</v>
      </c>
      <c r="D3637" s="2"/>
      <c r="E3637" s="2" t="s">
        <v>38</v>
      </c>
      <c r="F3637" s="2" t="s">
        <v>35</v>
      </c>
      <c r="G3637" s="2"/>
      <c r="H3637" s="12">
        <v>0.0</v>
      </c>
      <c r="I3637" s="2" t="s">
        <v>36</v>
      </c>
      <c r="J3637" s="2"/>
      <c r="K3637" s="2"/>
      <c r="L3637" s="2"/>
      <c r="M3637" s="2" t="s">
        <v>9697</v>
      </c>
      <c r="N3637" s="2" t="str">
        <f>IFERROR(__xludf.DUMMYFUNCTION("""COMPUTED_VALUE"""),"")</f>
        <v/>
      </c>
    </row>
    <row r="3638">
      <c r="A3638" s="2" t="s">
        <v>33</v>
      </c>
      <c r="B3638" s="12">
        <v>3505866.0</v>
      </c>
      <c r="C3638" s="12">
        <v>3506135.0</v>
      </c>
      <c r="D3638" s="2"/>
      <c r="E3638" s="2" t="s">
        <v>38</v>
      </c>
      <c r="F3638" s="2" t="s">
        <v>39</v>
      </c>
      <c r="G3638" s="2"/>
      <c r="H3638" s="12">
        <v>0.0</v>
      </c>
      <c r="I3638" s="2" t="s">
        <v>40</v>
      </c>
      <c r="J3638" s="2"/>
      <c r="K3638" s="2" t="s">
        <v>9698</v>
      </c>
      <c r="L3638" s="12">
        <v>89.0</v>
      </c>
      <c r="M3638" s="2" t="s">
        <v>9699</v>
      </c>
      <c r="N3638" s="2" t="str">
        <f>IFERROR(__xludf.DUMMYFUNCTION("""COMPUTED_VALUE"""),"")</f>
        <v/>
      </c>
    </row>
    <row r="3639">
      <c r="A3639" s="2" t="s">
        <v>33</v>
      </c>
      <c r="B3639" s="12">
        <v>3506252.0</v>
      </c>
      <c r="C3639" s="12">
        <v>3507187.0</v>
      </c>
      <c r="D3639" s="2"/>
      <c r="E3639" s="2" t="s">
        <v>38</v>
      </c>
      <c r="F3639" s="2" t="s">
        <v>9700</v>
      </c>
      <c r="G3639" s="2" t="s">
        <v>9701</v>
      </c>
      <c r="H3639" s="12">
        <v>0.0</v>
      </c>
      <c r="I3639" s="2" t="s">
        <v>40</v>
      </c>
      <c r="J3639" s="2"/>
      <c r="K3639" s="2" t="s">
        <v>9702</v>
      </c>
      <c r="L3639" s="12">
        <v>311.0</v>
      </c>
      <c r="M3639" s="2" t="s">
        <v>9703</v>
      </c>
      <c r="N3639" s="2" t="str">
        <f>IFERROR(__xludf.DUMMYFUNCTION("""COMPUTED_VALUE"""),"")</f>
        <v/>
      </c>
    </row>
    <row r="3640">
      <c r="A3640" s="2" t="s">
        <v>33</v>
      </c>
      <c r="B3640" s="12">
        <v>3507312.0</v>
      </c>
      <c r="C3640" s="12">
        <v>3507581.0</v>
      </c>
      <c r="D3640" s="2"/>
      <c r="E3640" s="2" t="s">
        <v>34</v>
      </c>
      <c r="F3640" s="2" t="s">
        <v>9704</v>
      </c>
      <c r="G3640" s="2" t="s">
        <v>9705</v>
      </c>
      <c r="H3640" s="12">
        <v>0.0</v>
      </c>
      <c r="I3640" s="2" t="s">
        <v>40</v>
      </c>
      <c r="J3640" s="2"/>
      <c r="K3640" s="2" t="s">
        <v>9706</v>
      </c>
      <c r="L3640" s="12">
        <v>89.0</v>
      </c>
      <c r="M3640" s="2" t="s">
        <v>9707</v>
      </c>
      <c r="N3640" s="2" t="str">
        <f>IFERROR(__xludf.DUMMYFUNCTION("""COMPUTED_VALUE"""),"")</f>
        <v/>
      </c>
    </row>
    <row r="3641">
      <c r="A3641" s="2" t="s">
        <v>33</v>
      </c>
      <c r="B3641" s="12">
        <v>3507583.0</v>
      </c>
      <c r="C3641" s="12">
        <v>3508122.0</v>
      </c>
      <c r="D3641" s="2"/>
      <c r="E3641" s="2" t="s">
        <v>34</v>
      </c>
      <c r="F3641" s="2" t="s">
        <v>9708</v>
      </c>
      <c r="G3641" s="2"/>
      <c r="H3641" s="12">
        <v>0.0</v>
      </c>
      <c r="I3641" s="2" t="s">
        <v>40</v>
      </c>
      <c r="J3641" s="2"/>
      <c r="K3641" s="2" t="s">
        <v>9709</v>
      </c>
      <c r="L3641" s="12">
        <v>179.0</v>
      </c>
      <c r="M3641" s="2" t="s">
        <v>9710</v>
      </c>
      <c r="N3641" s="2" t="str">
        <f>IFERROR(__xludf.DUMMYFUNCTION("""COMPUTED_VALUE"""),"")</f>
        <v/>
      </c>
    </row>
    <row r="3642">
      <c r="A3642" s="2" t="s">
        <v>33</v>
      </c>
      <c r="B3642" s="12">
        <v>3508178.0</v>
      </c>
      <c r="C3642" s="12">
        <v>3509896.0</v>
      </c>
      <c r="D3642" s="2"/>
      <c r="E3642" s="2" t="s">
        <v>34</v>
      </c>
      <c r="F3642" s="2" t="s">
        <v>9711</v>
      </c>
      <c r="G3642" s="2" t="s">
        <v>9712</v>
      </c>
      <c r="H3642" s="12">
        <v>0.0</v>
      </c>
      <c r="I3642" s="2" t="s">
        <v>40</v>
      </c>
      <c r="J3642" s="2"/>
      <c r="K3642" s="2" t="s">
        <v>9713</v>
      </c>
      <c r="L3642" s="12">
        <v>572.0</v>
      </c>
      <c r="M3642" s="2" t="s">
        <v>9714</v>
      </c>
      <c r="N3642" s="2" t="str">
        <f>IFERROR(__xludf.DUMMYFUNCTION("""COMPUTED_VALUE"""),"")</f>
        <v/>
      </c>
    </row>
    <row r="3643">
      <c r="A3643" s="2" t="s">
        <v>33</v>
      </c>
      <c r="B3643" s="12">
        <v>3509916.0</v>
      </c>
      <c r="C3643" s="12">
        <v>3512276.0</v>
      </c>
      <c r="D3643" s="2"/>
      <c r="E3643" s="2" t="s">
        <v>34</v>
      </c>
      <c r="F3643" s="2" t="s">
        <v>9715</v>
      </c>
      <c r="G3643" s="2"/>
      <c r="H3643" s="12">
        <v>0.0</v>
      </c>
      <c r="I3643" s="2" t="s">
        <v>40</v>
      </c>
      <c r="J3643" s="2"/>
      <c r="K3643" s="2" t="s">
        <v>9716</v>
      </c>
      <c r="L3643" s="12">
        <v>786.0</v>
      </c>
      <c r="M3643" s="2" t="s">
        <v>9717</v>
      </c>
      <c r="N3643" s="2" t="str">
        <f>IFERROR(__xludf.DUMMYFUNCTION("""COMPUTED_VALUE"""),"")</f>
        <v/>
      </c>
    </row>
    <row r="3644">
      <c r="A3644" s="2" t="s">
        <v>33</v>
      </c>
      <c r="B3644" s="12">
        <v>3512472.0</v>
      </c>
      <c r="C3644" s="12">
        <v>3513161.0</v>
      </c>
      <c r="D3644" s="2"/>
      <c r="E3644" s="2" t="s">
        <v>34</v>
      </c>
      <c r="F3644" s="2" t="s">
        <v>800</v>
      </c>
      <c r="G3644" s="2"/>
      <c r="H3644" s="12">
        <v>0.0</v>
      </c>
      <c r="I3644" s="2" t="s">
        <v>40</v>
      </c>
      <c r="J3644" s="2"/>
      <c r="K3644" s="2" t="s">
        <v>9718</v>
      </c>
      <c r="L3644" s="12">
        <v>229.0</v>
      </c>
      <c r="M3644" s="2" t="s">
        <v>9719</v>
      </c>
      <c r="N3644" s="2" t="str">
        <f>IFERROR(__xludf.DUMMYFUNCTION("""COMPUTED_VALUE"""),"")</f>
        <v/>
      </c>
    </row>
    <row r="3645">
      <c r="A3645" s="2" t="s">
        <v>33</v>
      </c>
      <c r="B3645" s="12">
        <v>3513641.0</v>
      </c>
      <c r="C3645" s="12">
        <v>3514966.0</v>
      </c>
      <c r="D3645" s="2"/>
      <c r="E3645" s="2" t="s">
        <v>34</v>
      </c>
      <c r="F3645" s="2" t="s">
        <v>9720</v>
      </c>
      <c r="G3645" s="2" t="s">
        <v>9721</v>
      </c>
      <c r="H3645" s="12">
        <v>0.0</v>
      </c>
      <c r="I3645" s="2" t="s">
        <v>40</v>
      </c>
      <c r="J3645" s="2"/>
      <c r="K3645" s="2" t="s">
        <v>9722</v>
      </c>
      <c r="L3645" s="12">
        <v>441.0</v>
      </c>
      <c r="M3645" s="2" t="s">
        <v>9723</v>
      </c>
      <c r="N3645" s="2" t="str">
        <f>IFERROR(__xludf.DUMMYFUNCTION("""COMPUTED_VALUE"""),"")</f>
        <v/>
      </c>
    </row>
    <row r="3646">
      <c r="A3646" s="2" t="s">
        <v>33</v>
      </c>
      <c r="B3646" s="12">
        <v>3515457.0</v>
      </c>
      <c r="C3646" s="12">
        <v>3516170.0</v>
      </c>
      <c r="D3646" s="2"/>
      <c r="E3646" s="2" t="s">
        <v>34</v>
      </c>
      <c r="F3646" s="2" t="s">
        <v>9724</v>
      </c>
      <c r="G3646" s="2" t="s">
        <v>9725</v>
      </c>
      <c r="H3646" s="12">
        <v>0.0</v>
      </c>
      <c r="I3646" s="2" t="s">
        <v>40</v>
      </c>
      <c r="J3646" s="2"/>
      <c r="K3646" s="2" t="s">
        <v>9726</v>
      </c>
      <c r="L3646" s="12">
        <v>237.0</v>
      </c>
      <c r="M3646" s="2" t="s">
        <v>9727</v>
      </c>
      <c r="N3646" s="2" t="str">
        <f>IFERROR(__xludf.DUMMYFUNCTION("""COMPUTED_VALUE"""),"")</f>
        <v/>
      </c>
    </row>
    <row r="3647">
      <c r="A3647" s="2" t="s">
        <v>33</v>
      </c>
      <c r="B3647" s="12">
        <v>3516194.0</v>
      </c>
      <c r="C3647" s="12">
        <v>3516652.0</v>
      </c>
      <c r="D3647" s="2"/>
      <c r="E3647" s="2" t="s">
        <v>34</v>
      </c>
      <c r="F3647" s="2" t="s">
        <v>9728</v>
      </c>
      <c r="G3647" s="2"/>
      <c r="H3647" s="12">
        <v>0.0</v>
      </c>
      <c r="I3647" s="2" t="s">
        <v>40</v>
      </c>
      <c r="J3647" s="2"/>
      <c r="K3647" s="2" t="s">
        <v>9729</v>
      </c>
      <c r="L3647" s="12">
        <v>152.0</v>
      </c>
      <c r="M3647" s="2" t="s">
        <v>9730</v>
      </c>
      <c r="N3647" s="2" t="str">
        <f>IFERROR(__xludf.DUMMYFUNCTION("""COMPUTED_VALUE"""),"")</f>
        <v/>
      </c>
    </row>
    <row r="3648">
      <c r="A3648" s="2" t="s">
        <v>33</v>
      </c>
      <c r="B3648" s="12">
        <v>3516677.0</v>
      </c>
      <c r="C3648" s="12">
        <v>3519391.0</v>
      </c>
      <c r="D3648" s="2"/>
      <c r="E3648" s="2" t="s">
        <v>34</v>
      </c>
      <c r="F3648" s="2" t="s">
        <v>9728</v>
      </c>
      <c r="G3648" s="2"/>
      <c r="H3648" s="12">
        <v>0.0</v>
      </c>
      <c r="I3648" s="2" t="s">
        <v>40</v>
      </c>
      <c r="J3648" s="2"/>
      <c r="K3648" s="2" t="s">
        <v>9731</v>
      </c>
      <c r="L3648" s="12">
        <v>904.0</v>
      </c>
      <c r="M3648" s="2" t="s">
        <v>9732</v>
      </c>
      <c r="N3648" s="2" t="str">
        <f>IFERROR(__xludf.DUMMYFUNCTION("""COMPUTED_VALUE"""),"")</f>
        <v/>
      </c>
    </row>
    <row r="3649">
      <c r="A3649" s="2" t="s">
        <v>33</v>
      </c>
      <c r="B3649" s="12">
        <v>3519461.0</v>
      </c>
      <c r="C3649" s="12">
        <v>3520342.0</v>
      </c>
      <c r="D3649" s="2"/>
      <c r="E3649" s="2" t="s">
        <v>34</v>
      </c>
      <c r="F3649" s="2" t="s">
        <v>9733</v>
      </c>
      <c r="G3649" s="2" t="s">
        <v>9734</v>
      </c>
      <c r="H3649" s="12">
        <v>0.0</v>
      </c>
      <c r="I3649" s="2" t="s">
        <v>40</v>
      </c>
      <c r="J3649" s="2"/>
      <c r="K3649" s="2" t="s">
        <v>9735</v>
      </c>
      <c r="L3649" s="12">
        <v>293.0</v>
      </c>
      <c r="M3649" s="2" t="s">
        <v>9736</v>
      </c>
      <c r="N3649" s="2" t="str">
        <f>IFERROR(__xludf.DUMMYFUNCTION("""COMPUTED_VALUE"""),"")</f>
        <v/>
      </c>
    </row>
    <row r="3650">
      <c r="A3650" s="2" t="s">
        <v>33</v>
      </c>
      <c r="B3650" s="12">
        <v>3520370.0</v>
      </c>
      <c r="C3650" s="12">
        <v>3521353.0</v>
      </c>
      <c r="D3650" s="2"/>
      <c r="E3650" s="2" t="s">
        <v>34</v>
      </c>
      <c r="F3650" s="2" t="s">
        <v>2555</v>
      </c>
      <c r="G3650" s="2"/>
      <c r="H3650" s="12">
        <v>0.0</v>
      </c>
      <c r="I3650" s="2" t="s">
        <v>40</v>
      </c>
      <c r="J3650" s="2"/>
      <c r="K3650" s="2" t="s">
        <v>9737</v>
      </c>
      <c r="L3650" s="12">
        <v>327.0</v>
      </c>
      <c r="M3650" s="2" t="s">
        <v>9738</v>
      </c>
      <c r="N3650" s="2" t="str">
        <f>IFERROR(__xludf.DUMMYFUNCTION("""COMPUTED_VALUE"""),"")</f>
        <v/>
      </c>
    </row>
    <row r="3651">
      <c r="A3651" s="2" t="s">
        <v>33</v>
      </c>
      <c r="B3651" s="12">
        <v>3521343.0</v>
      </c>
      <c r="C3651" s="12">
        <v>3522113.0</v>
      </c>
      <c r="D3651" s="2"/>
      <c r="E3651" s="2" t="s">
        <v>34</v>
      </c>
      <c r="F3651" s="2" t="s">
        <v>432</v>
      </c>
      <c r="G3651" s="2"/>
      <c r="H3651" s="12">
        <v>0.0</v>
      </c>
      <c r="I3651" s="2" t="s">
        <v>40</v>
      </c>
      <c r="J3651" s="2"/>
      <c r="K3651" s="2" t="s">
        <v>9739</v>
      </c>
      <c r="L3651" s="12">
        <v>256.0</v>
      </c>
      <c r="M3651" s="2" t="s">
        <v>9740</v>
      </c>
      <c r="N3651" s="2" t="str">
        <f>IFERROR(__xludf.DUMMYFUNCTION("""COMPUTED_VALUE"""),"")</f>
        <v/>
      </c>
    </row>
    <row r="3652">
      <c r="A3652" s="2" t="s">
        <v>33</v>
      </c>
      <c r="B3652" s="12">
        <v>3522146.0</v>
      </c>
      <c r="C3652" s="12">
        <v>3522910.0</v>
      </c>
      <c r="D3652" s="2"/>
      <c r="E3652" s="2" t="s">
        <v>34</v>
      </c>
      <c r="F3652" s="2" t="s">
        <v>9741</v>
      </c>
      <c r="G3652" s="2" t="s">
        <v>9742</v>
      </c>
      <c r="H3652" s="12">
        <v>0.0</v>
      </c>
      <c r="I3652" s="2" t="s">
        <v>40</v>
      </c>
      <c r="J3652" s="2"/>
      <c r="K3652" s="2" t="s">
        <v>9743</v>
      </c>
      <c r="L3652" s="12">
        <v>254.0</v>
      </c>
      <c r="M3652" s="2" t="s">
        <v>9744</v>
      </c>
      <c r="N3652" s="2" t="str">
        <f>IFERROR(__xludf.DUMMYFUNCTION("""COMPUTED_VALUE"""),"")</f>
        <v/>
      </c>
    </row>
    <row r="3653">
      <c r="A3653" s="2" t="s">
        <v>33</v>
      </c>
      <c r="B3653" s="12">
        <v>3522983.0</v>
      </c>
      <c r="C3653" s="12">
        <v>3523306.0</v>
      </c>
      <c r="D3653" s="2"/>
      <c r="E3653" s="2" t="s">
        <v>38</v>
      </c>
      <c r="F3653" s="2" t="s">
        <v>9745</v>
      </c>
      <c r="G3653" s="2" t="s">
        <v>9746</v>
      </c>
      <c r="H3653" s="12">
        <v>0.0</v>
      </c>
      <c r="I3653" s="2" t="s">
        <v>40</v>
      </c>
      <c r="J3653" s="2"/>
      <c r="K3653" s="2" t="s">
        <v>9747</v>
      </c>
      <c r="L3653" s="12">
        <v>107.0</v>
      </c>
      <c r="M3653" s="2" t="s">
        <v>9748</v>
      </c>
      <c r="N3653" s="2" t="str">
        <f>IFERROR(__xludf.DUMMYFUNCTION("""COMPUTED_VALUE"""),"")</f>
        <v/>
      </c>
    </row>
    <row r="3654">
      <c r="A3654" s="2" t="s">
        <v>33</v>
      </c>
      <c r="B3654" s="12">
        <v>3523602.0</v>
      </c>
      <c r="C3654" s="12">
        <v>3524801.0</v>
      </c>
      <c r="D3654" s="2"/>
      <c r="E3654" s="2" t="s">
        <v>34</v>
      </c>
      <c r="F3654" s="2" t="s">
        <v>9749</v>
      </c>
      <c r="G3654" s="2"/>
      <c r="H3654" s="12">
        <v>0.0</v>
      </c>
      <c r="I3654" s="2" t="s">
        <v>40</v>
      </c>
      <c r="J3654" s="2"/>
      <c r="K3654" s="2" t="s">
        <v>9750</v>
      </c>
      <c r="L3654" s="12">
        <v>399.0</v>
      </c>
      <c r="M3654" s="2" t="s">
        <v>9751</v>
      </c>
      <c r="N3654" s="2" t="str">
        <f>IFERROR(__xludf.DUMMYFUNCTION("""COMPUTED_VALUE"""),"")</f>
        <v/>
      </c>
    </row>
    <row r="3655">
      <c r="A3655" s="2" t="s">
        <v>33</v>
      </c>
      <c r="B3655" s="12">
        <v>3524840.0</v>
      </c>
      <c r="C3655" s="12">
        <v>3525034.0</v>
      </c>
      <c r="D3655" s="2"/>
      <c r="E3655" s="2" t="s">
        <v>38</v>
      </c>
      <c r="F3655" s="2" t="s">
        <v>9752</v>
      </c>
      <c r="G3655" s="2"/>
      <c r="H3655" s="12">
        <v>0.0</v>
      </c>
      <c r="I3655" s="2" t="s">
        <v>40</v>
      </c>
      <c r="J3655" s="2"/>
      <c r="K3655" s="2" t="s">
        <v>9753</v>
      </c>
      <c r="L3655" s="12">
        <v>64.0</v>
      </c>
      <c r="M3655" s="2" t="s">
        <v>9754</v>
      </c>
      <c r="N3655" s="2" t="str">
        <f>IFERROR(__xludf.DUMMYFUNCTION("""COMPUTED_VALUE"""),"")</f>
        <v/>
      </c>
    </row>
    <row r="3656">
      <c r="A3656" s="2" t="s">
        <v>33</v>
      </c>
      <c r="B3656" s="12">
        <v>3525035.0</v>
      </c>
      <c r="C3656" s="12">
        <v>3525208.0</v>
      </c>
      <c r="D3656" s="2"/>
      <c r="E3656" s="2" t="s">
        <v>38</v>
      </c>
      <c r="F3656" s="2" t="s">
        <v>39</v>
      </c>
      <c r="G3656" s="2"/>
      <c r="H3656" s="12">
        <v>0.0</v>
      </c>
      <c r="I3656" s="2" t="s">
        <v>40</v>
      </c>
      <c r="J3656" s="2"/>
      <c r="K3656" s="2" t="s">
        <v>9755</v>
      </c>
      <c r="L3656" s="12">
        <v>57.0</v>
      </c>
      <c r="M3656" s="2" t="s">
        <v>9756</v>
      </c>
      <c r="N3656" s="2" t="str">
        <f>IFERROR(__xludf.DUMMYFUNCTION("""COMPUTED_VALUE"""),"")</f>
        <v/>
      </c>
    </row>
    <row r="3657">
      <c r="A3657" s="2" t="s">
        <v>33</v>
      </c>
      <c r="B3657" s="12">
        <v>3525377.0</v>
      </c>
      <c r="C3657" s="12">
        <v>3526069.0</v>
      </c>
      <c r="D3657" s="2"/>
      <c r="E3657" s="2" t="s">
        <v>34</v>
      </c>
      <c r="F3657" s="2" t="s">
        <v>379</v>
      </c>
      <c r="G3657" s="2"/>
      <c r="H3657" s="12">
        <v>0.0</v>
      </c>
      <c r="I3657" s="2" t="s">
        <v>40</v>
      </c>
      <c r="J3657" s="2"/>
      <c r="K3657" s="2" t="s">
        <v>9757</v>
      </c>
      <c r="L3657" s="12">
        <v>230.0</v>
      </c>
      <c r="M3657" s="2" t="s">
        <v>9758</v>
      </c>
      <c r="N3657" s="2" t="str">
        <f>IFERROR(__xludf.DUMMYFUNCTION("""COMPUTED_VALUE"""),"")</f>
        <v/>
      </c>
    </row>
    <row r="3658">
      <c r="A3658" s="2" t="s">
        <v>33</v>
      </c>
      <c r="B3658" s="12">
        <v>3526071.0</v>
      </c>
      <c r="C3658" s="12">
        <v>3527006.0</v>
      </c>
      <c r="D3658" s="2"/>
      <c r="E3658" s="2" t="s">
        <v>34</v>
      </c>
      <c r="F3658" s="2" t="s">
        <v>9759</v>
      </c>
      <c r="G3658" s="2"/>
      <c r="H3658" s="12">
        <v>0.0</v>
      </c>
      <c r="I3658" s="2" t="s">
        <v>40</v>
      </c>
      <c r="J3658" s="2"/>
      <c r="K3658" s="2" t="s">
        <v>9760</v>
      </c>
      <c r="L3658" s="12">
        <v>311.0</v>
      </c>
      <c r="M3658" s="2" t="s">
        <v>9761</v>
      </c>
      <c r="N3658" s="2" t="str">
        <f>IFERROR(__xludf.DUMMYFUNCTION("""COMPUTED_VALUE"""),"")</f>
        <v/>
      </c>
    </row>
    <row r="3659">
      <c r="A3659" s="2" t="s">
        <v>33</v>
      </c>
      <c r="B3659" s="12">
        <v>3527132.0</v>
      </c>
      <c r="C3659" s="12">
        <v>3528055.0</v>
      </c>
      <c r="D3659" s="2"/>
      <c r="E3659" s="2" t="s">
        <v>34</v>
      </c>
      <c r="F3659" s="2" t="s">
        <v>432</v>
      </c>
      <c r="G3659" s="2"/>
      <c r="H3659" s="12">
        <v>0.0</v>
      </c>
      <c r="I3659" s="2" t="s">
        <v>40</v>
      </c>
      <c r="J3659" s="2"/>
      <c r="K3659" s="2" t="s">
        <v>9762</v>
      </c>
      <c r="L3659" s="12">
        <v>307.0</v>
      </c>
      <c r="M3659" s="2" t="s">
        <v>9763</v>
      </c>
      <c r="N3659" s="2" t="str">
        <f>IFERROR(__xludf.DUMMYFUNCTION("""COMPUTED_VALUE"""),"")</f>
        <v/>
      </c>
    </row>
    <row r="3660">
      <c r="A3660" s="2" t="s">
        <v>33</v>
      </c>
      <c r="B3660" s="12">
        <v>3528048.0</v>
      </c>
      <c r="C3660" s="12">
        <v>3528209.0</v>
      </c>
      <c r="D3660" s="2"/>
      <c r="E3660" s="2" t="s">
        <v>34</v>
      </c>
      <c r="F3660" s="2" t="s">
        <v>39</v>
      </c>
      <c r="G3660" s="2"/>
      <c r="H3660" s="12">
        <v>0.0</v>
      </c>
      <c r="I3660" s="2" t="s">
        <v>40</v>
      </c>
      <c r="J3660" s="2"/>
      <c r="K3660" s="2" t="s">
        <v>9764</v>
      </c>
      <c r="L3660" s="12">
        <v>53.0</v>
      </c>
      <c r="M3660" s="2" t="s">
        <v>9765</v>
      </c>
      <c r="N3660" s="2" t="str">
        <f>IFERROR(__xludf.DUMMYFUNCTION("""COMPUTED_VALUE"""),"")</f>
        <v/>
      </c>
    </row>
    <row r="3661">
      <c r="A3661" s="2" t="s">
        <v>33</v>
      </c>
      <c r="B3661" s="12">
        <v>3528244.0</v>
      </c>
      <c r="C3661" s="12">
        <v>3528948.0</v>
      </c>
      <c r="D3661" s="2"/>
      <c r="E3661" s="2" t="s">
        <v>34</v>
      </c>
      <c r="F3661" s="2" t="s">
        <v>265</v>
      </c>
      <c r="G3661" s="2"/>
      <c r="H3661" s="12">
        <v>0.0</v>
      </c>
      <c r="I3661" s="2" t="s">
        <v>40</v>
      </c>
      <c r="J3661" s="2"/>
      <c r="K3661" s="2" t="s">
        <v>9766</v>
      </c>
      <c r="L3661" s="12">
        <v>234.0</v>
      </c>
      <c r="M3661" s="2" t="s">
        <v>9767</v>
      </c>
      <c r="N3661" s="2" t="str">
        <f>IFERROR(__xludf.DUMMYFUNCTION("""COMPUTED_VALUE"""),"")</f>
        <v/>
      </c>
    </row>
    <row r="3662">
      <c r="A3662" s="2" t="s">
        <v>33</v>
      </c>
      <c r="B3662" s="12">
        <v>3528986.0</v>
      </c>
      <c r="C3662" s="12">
        <v>3529855.0</v>
      </c>
      <c r="D3662" s="2"/>
      <c r="E3662" s="2" t="s">
        <v>34</v>
      </c>
      <c r="F3662" s="2" t="s">
        <v>9768</v>
      </c>
      <c r="G3662" s="2"/>
      <c r="H3662" s="12">
        <v>0.0</v>
      </c>
      <c r="I3662" s="2" t="s">
        <v>40</v>
      </c>
      <c r="J3662" s="2"/>
      <c r="K3662" s="2" t="s">
        <v>9769</v>
      </c>
      <c r="L3662" s="12">
        <v>289.0</v>
      </c>
      <c r="M3662" s="2" t="s">
        <v>9770</v>
      </c>
      <c r="N3662" s="2" t="str">
        <f>IFERROR(__xludf.DUMMYFUNCTION("""COMPUTED_VALUE"""),"")</f>
        <v/>
      </c>
    </row>
    <row r="3663">
      <c r="A3663" s="2" t="s">
        <v>33</v>
      </c>
      <c r="B3663" s="12">
        <v>3529882.0</v>
      </c>
      <c r="C3663" s="12">
        <v>3530577.0</v>
      </c>
      <c r="D3663" s="2"/>
      <c r="E3663" s="2" t="s">
        <v>34</v>
      </c>
      <c r="F3663" s="2" t="s">
        <v>265</v>
      </c>
      <c r="G3663" s="2"/>
      <c r="H3663" s="12">
        <v>0.0</v>
      </c>
      <c r="I3663" s="2" t="s">
        <v>40</v>
      </c>
      <c r="J3663" s="2"/>
      <c r="K3663" s="2" t="s">
        <v>9771</v>
      </c>
      <c r="L3663" s="12">
        <v>231.0</v>
      </c>
      <c r="M3663" s="2" t="s">
        <v>9772</v>
      </c>
      <c r="N3663" s="2" t="str">
        <f>IFERROR(__xludf.DUMMYFUNCTION("""COMPUTED_VALUE"""),"")</f>
        <v/>
      </c>
    </row>
    <row r="3664">
      <c r="A3664" s="2" t="s">
        <v>33</v>
      </c>
      <c r="B3664" s="12">
        <v>3530641.0</v>
      </c>
      <c r="C3664" s="12">
        <v>3530973.0</v>
      </c>
      <c r="D3664" s="2"/>
      <c r="E3664" s="2" t="s">
        <v>38</v>
      </c>
      <c r="F3664" s="2" t="s">
        <v>39</v>
      </c>
      <c r="G3664" s="2"/>
      <c r="H3664" s="12">
        <v>0.0</v>
      </c>
      <c r="I3664" s="2" t="s">
        <v>40</v>
      </c>
      <c r="J3664" s="2"/>
      <c r="K3664" s="2" t="s">
        <v>9773</v>
      </c>
      <c r="L3664" s="12">
        <v>110.0</v>
      </c>
      <c r="M3664" s="2" t="s">
        <v>9774</v>
      </c>
      <c r="N3664" s="2" t="str">
        <f>IFERROR(__xludf.DUMMYFUNCTION("""COMPUTED_VALUE"""),"")</f>
        <v/>
      </c>
    </row>
    <row r="3665">
      <c r="A3665" s="2" t="s">
        <v>33</v>
      </c>
      <c r="B3665" s="12">
        <v>3531110.0</v>
      </c>
      <c r="C3665" s="12">
        <v>3531613.0</v>
      </c>
      <c r="D3665" s="2"/>
      <c r="E3665" s="2" t="s">
        <v>38</v>
      </c>
      <c r="F3665" s="2" t="s">
        <v>817</v>
      </c>
      <c r="G3665" s="2"/>
      <c r="H3665" s="12">
        <v>0.0</v>
      </c>
      <c r="I3665" s="2" t="s">
        <v>40</v>
      </c>
      <c r="J3665" s="2"/>
      <c r="K3665" s="2" t="s">
        <v>9775</v>
      </c>
      <c r="L3665" s="12">
        <v>167.0</v>
      </c>
      <c r="M3665" s="2" t="s">
        <v>9776</v>
      </c>
      <c r="N3665" s="2" t="str">
        <f>IFERROR(__xludf.DUMMYFUNCTION("""COMPUTED_VALUE"""),"")</f>
        <v/>
      </c>
    </row>
    <row r="3666">
      <c r="A3666" s="2" t="s">
        <v>33</v>
      </c>
      <c r="B3666" s="12">
        <v>3531767.0</v>
      </c>
      <c r="C3666" s="12">
        <v>3532666.0</v>
      </c>
      <c r="D3666" s="2"/>
      <c r="E3666" s="2" t="s">
        <v>34</v>
      </c>
      <c r="F3666" s="2" t="s">
        <v>39</v>
      </c>
      <c r="G3666" s="2"/>
      <c r="H3666" s="12">
        <v>0.0</v>
      </c>
      <c r="I3666" s="2" t="s">
        <v>40</v>
      </c>
      <c r="J3666" s="2"/>
      <c r="K3666" s="2" t="s">
        <v>9777</v>
      </c>
      <c r="L3666" s="12">
        <v>299.0</v>
      </c>
      <c r="M3666" s="2" t="s">
        <v>9778</v>
      </c>
      <c r="N3666" s="2" t="str">
        <f>IFERROR(__xludf.DUMMYFUNCTION("""COMPUTED_VALUE"""),"")</f>
        <v/>
      </c>
    </row>
    <row r="3667">
      <c r="A3667" s="2" t="s">
        <v>33</v>
      </c>
      <c r="B3667" s="12">
        <v>3532865.0</v>
      </c>
      <c r="C3667" s="12">
        <v>3534901.0</v>
      </c>
      <c r="D3667" s="2"/>
      <c r="E3667" s="2" t="s">
        <v>38</v>
      </c>
      <c r="F3667" s="2" t="s">
        <v>9779</v>
      </c>
      <c r="G3667" s="2" t="s">
        <v>9780</v>
      </c>
      <c r="H3667" s="12">
        <v>0.0</v>
      </c>
      <c r="I3667" s="2" t="s">
        <v>40</v>
      </c>
      <c r="J3667" s="2"/>
      <c r="K3667" s="2" t="s">
        <v>9781</v>
      </c>
      <c r="L3667" s="12">
        <v>678.0</v>
      </c>
      <c r="M3667" s="2" t="s">
        <v>9782</v>
      </c>
      <c r="N3667" s="2" t="str">
        <f>IFERROR(__xludf.DUMMYFUNCTION("""COMPUTED_VALUE"""),"")</f>
        <v/>
      </c>
    </row>
    <row r="3668">
      <c r="A3668" s="2" t="s">
        <v>33</v>
      </c>
      <c r="B3668" s="12">
        <v>3534909.0</v>
      </c>
      <c r="C3668" s="12">
        <v>3535883.0</v>
      </c>
      <c r="D3668" s="2"/>
      <c r="E3668" s="2" t="s">
        <v>38</v>
      </c>
      <c r="F3668" s="2" t="s">
        <v>1113</v>
      </c>
      <c r="G3668" s="2"/>
      <c r="H3668" s="12">
        <v>0.0</v>
      </c>
      <c r="I3668" s="2" t="s">
        <v>40</v>
      </c>
      <c r="J3668" s="2"/>
      <c r="K3668" s="2" t="s">
        <v>9783</v>
      </c>
      <c r="L3668" s="12">
        <v>324.0</v>
      </c>
      <c r="M3668" s="2" t="s">
        <v>9784</v>
      </c>
      <c r="N3668" s="2" t="str">
        <f>IFERROR(__xludf.DUMMYFUNCTION("""COMPUTED_VALUE"""),"")</f>
        <v/>
      </c>
    </row>
    <row r="3669">
      <c r="A3669" s="2" t="s">
        <v>33</v>
      </c>
      <c r="B3669" s="12">
        <v>3536335.0</v>
      </c>
      <c r="C3669" s="12">
        <v>3537228.0</v>
      </c>
      <c r="D3669" s="2"/>
      <c r="E3669" s="2" t="s">
        <v>34</v>
      </c>
      <c r="F3669" s="2" t="s">
        <v>3957</v>
      </c>
      <c r="G3669" s="2"/>
      <c r="H3669" s="12">
        <v>0.0</v>
      </c>
      <c r="I3669" s="2" t="s">
        <v>40</v>
      </c>
      <c r="J3669" s="2"/>
      <c r="K3669" s="2" t="s">
        <v>9785</v>
      </c>
      <c r="L3669" s="12">
        <v>297.0</v>
      </c>
      <c r="M3669" s="2" t="s">
        <v>9786</v>
      </c>
      <c r="N3669" s="2" t="str">
        <f>IFERROR(__xludf.DUMMYFUNCTION("""COMPUTED_VALUE"""),"")</f>
        <v/>
      </c>
    </row>
    <row r="3670">
      <c r="A3670" s="2" t="s">
        <v>33</v>
      </c>
      <c r="B3670" s="12">
        <v>3537418.0</v>
      </c>
      <c r="C3670" s="12">
        <v>3539103.0</v>
      </c>
      <c r="D3670" s="2"/>
      <c r="E3670" s="2" t="s">
        <v>34</v>
      </c>
      <c r="F3670" s="2" t="s">
        <v>9787</v>
      </c>
      <c r="G3670" s="2"/>
      <c r="H3670" s="12">
        <v>0.0</v>
      </c>
      <c r="I3670" s="2" t="s">
        <v>40</v>
      </c>
      <c r="J3670" s="2"/>
      <c r="K3670" s="2" t="s">
        <v>9788</v>
      </c>
      <c r="L3670" s="12">
        <v>561.0</v>
      </c>
      <c r="M3670" s="2" t="s">
        <v>9789</v>
      </c>
      <c r="N3670" s="2" t="str">
        <f>IFERROR(__xludf.DUMMYFUNCTION("""COMPUTED_VALUE"""),"")</f>
        <v/>
      </c>
    </row>
    <row r="3671">
      <c r="A3671" s="2" t="s">
        <v>33</v>
      </c>
      <c r="B3671" s="12">
        <v>3539165.0</v>
      </c>
      <c r="C3671" s="12">
        <v>3539797.0</v>
      </c>
      <c r="D3671" s="2"/>
      <c r="E3671" s="2" t="s">
        <v>34</v>
      </c>
      <c r="F3671" s="2" t="s">
        <v>427</v>
      </c>
      <c r="G3671" s="2"/>
      <c r="H3671" s="12">
        <v>0.0</v>
      </c>
      <c r="I3671" s="2" t="s">
        <v>40</v>
      </c>
      <c r="J3671" s="2"/>
      <c r="K3671" s="2" t="s">
        <v>9790</v>
      </c>
      <c r="L3671" s="12">
        <v>210.0</v>
      </c>
      <c r="M3671" s="2" t="s">
        <v>9791</v>
      </c>
      <c r="N3671" s="2" t="str">
        <f>IFERROR(__xludf.DUMMYFUNCTION("""COMPUTED_VALUE"""),"")</f>
        <v/>
      </c>
    </row>
    <row r="3672">
      <c r="A3672" s="2" t="s">
        <v>33</v>
      </c>
      <c r="B3672" s="12">
        <v>3539809.0</v>
      </c>
      <c r="C3672" s="12">
        <v>3540585.0</v>
      </c>
      <c r="D3672" s="2"/>
      <c r="E3672" s="2" t="s">
        <v>34</v>
      </c>
      <c r="F3672" s="2" t="s">
        <v>405</v>
      </c>
      <c r="G3672" s="2"/>
      <c r="H3672" s="12">
        <v>0.0</v>
      </c>
      <c r="I3672" s="2" t="s">
        <v>40</v>
      </c>
      <c r="J3672" s="2"/>
      <c r="K3672" s="2" t="s">
        <v>9792</v>
      </c>
      <c r="L3672" s="12">
        <v>258.0</v>
      </c>
      <c r="M3672" s="2" t="s">
        <v>9793</v>
      </c>
      <c r="N3672" s="2" t="str">
        <f>IFERROR(__xludf.DUMMYFUNCTION("""COMPUTED_VALUE"""),"")</f>
        <v/>
      </c>
    </row>
    <row r="3673">
      <c r="A3673" s="2" t="s">
        <v>33</v>
      </c>
      <c r="B3673" s="12">
        <v>3540664.0</v>
      </c>
      <c r="C3673" s="12">
        <v>3541437.0</v>
      </c>
      <c r="D3673" s="2"/>
      <c r="E3673" s="2" t="s">
        <v>34</v>
      </c>
      <c r="F3673" s="2" t="s">
        <v>9794</v>
      </c>
      <c r="G3673" s="2" t="s">
        <v>9795</v>
      </c>
      <c r="H3673" s="12">
        <v>0.0</v>
      </c>
      <c r="I3673" s="2" t="s">
        <v>40</v>
      </c>
      <c r="J3673" s="2"/>
      <c r="K3673" s="2" t="s">
        <v>9796</v>
      </c>
      <c r="L3673" s="12">
        <v>257.0</v>
      </c>
      <c r="M3673" s="2" t="s">
        <v>9797</v>
      </c>
      <c r="N3673" s="2" t="str">
        <f>IFERROR(__xludf.DUMMYFUNCTION("""COMPUTED_VALUE"""),"")</f>
        <v/>
      </c>
    </row>
    <row r="3674">
      <c r="A3674" s="2" t="s">
        <v>33</v>
      </c>
      <c r="B3674" s="12">
        <v>3541474.0</v>
      </c>
      <c r="C3674" s="12">
        <v>3542451.0</v>
      </c>
      <c r="D3674" s="2"/>
      <c r="E3674" s="2" t="s">
        <v>34</v>
      </c>
      <c r="F3674" s="2" t="s">
        <v>9798</v>
      </c>
      <c r="G3674" s="2" t="s">
        <v>9799</v>
      </c>
      <c r="H3674" s="12">
        <v>0.0</v>
      </c>
      <c r="I3674" s="2" t="s">
        <v>40</v>
      </c>
      <c r="J3674" s="2"/>
      <c r="K3674" s="2" t="s">
        <v>9800</v>
      </c>
      <c r="L3674" s="12">
        <v>325.0</v>
      </c>
      <c r="M3674" s="2" t="s">
        <v>9801</v>
      </c>
      <c r="N3674" s="2" t="str">
        <f>IFERROR(__xludf.DUMMYFUNCTION("""COMPUTED_VALUE"""),"")</f>
        <v/>
      </c>
    </row>
    <row r="3675">
      <c r="A3675" s="2" t="s">
        <v>33</v>
      </c>
      <c r="B3675" s="12">
        <v>3542663.0</v>
      </c>
      <c r="C3675" s="12">
        <v>3542977.0</v>
      </c>
      <c r="D3675" s="2"/>
      <c r="E3675" s="2" t="s">
        <v>34</v>
      </c>
      <c r="F3675" s="2" t="s">
        <v>9802</v>
      </c>
      <c r="G3675" s="2" t="s">
        <v>9803</v>
      </c>
      <c r="H3675" s="12">
        <v>0.0</v>
      </c>
      <c r="I3675" s="2" t="s">
        <v>40</v>
      </c>
      <c r="J3675" s="2"/>
      <c r="K3675" s="2" t="s">
        <v>9804</v>
      </c>
      <c r="L3675" s="12">
        <v>104.0</v>
      </c>
      <c r="M3675" s="2" t="s">
        <v>9805</v>
      </c>
      <c r="N3675" s="2" t="str">
        <f>IFERROR(__xludf.DUMMYFUNCTION("""COMPUTED_VALUE"""),"")</f>
        <v/>
      </c>
    </row>
    <row r="3676">
      <c r="A3676" s="2" t="s">
        <v>33</v>
      </c>
      <c r="B3676" s="12">
        <v>3543127.0</v>
      </c>
      <c r="C3676" s="12">
        <v>3544911.0</v>
      </c>
      <c r="D3676" s="2"/>
      <c r="E3676" s="2" t="s">
        <v>34</v>
      </c>
      <c r="F3676" s="2" t="s">
        <v>9806</v>
      </c>
      <c r="G3676" s="2" t="s">
        <v>9807</v>
      </c>
      <c r="H3676" s="12">
        <v>0.0</v>
      </c>
      <c r="I3676" s="2" t="s">
        <v>40</v>
      </c>
      <c r="J3676" s="2"/>
      <c r="K3676" s="2" t="s">
        <v>9808</v>
      </c>
      <c r="L3676" s="12">
        <v>594.0</v>
      </c>
      <c r="M3676" s="2" t="s">
        <v>9809</v>
      </c>
      <c r="N3676" s="2" t="str">
        <f>IFERROR(__xludf.DUMMYFUNCTION("""COMPUTED_VALUE"""),"")</f>
        <v/>
      </c>
    </row>
    <row r="3677">
      <c r="A3677" s="2" t="s">
        <v>33</v>
      </c>
      <c r="B3677" s="12">
        <v>3545027.0</v>
      </c>
      <c r="C3677" s="12">
        <v>3545476.0</v>
      </c>
      <c r="D3677" s="2"/>
      <c r="E3677" s="2" t="s">
        <v>38</v>
      </c>
      <c r="F3677" s="2" t="s">
        <v>9810</v>
      </c>
      <c r="G3677" s="2"/>
      <c r="H3677" s="12">
        <v>0.0</v>
      </c>
      <c r="I3677" s="2" t="s">
        <v>40</v>
      </c>
      <c r="J3677" s="2"/>
      <c r="K3677" s="2" t="s">
        <v>9811</v>
      </c>
      <c r="L3677" s="12">
        <v>149.0</v>
      </c>
      <c r="M3677" s="2" t="s">
        <v>9812</v>
      </c>
      <c r="N3677" s="2" t="str">
        <f>IFERROR(__xludf.DUMMYFUNCTION("""COMPUTED_VALUE"""),"")</f>
        <v/>
      </c>
    </row>
    <row r="3678">
      <c r="A3678" s="2" t="s">
        <v>33</v>
      </c>
      <c r="B3678" s="12">
        <v>3545777.0</v>
      </c>
      <c r="C3678" s="12">
        <v>3546403.0</v>
      </c>
      <c r="D3678" s="2"/>
      <c r="E3678" s="2" t="s">
        <v>34</v>
      </c>
      <c r="F3678" s="2" t="s">
        <v>9813</v>
      </c>
      <c r="G3678" s="2" t="s">
        <v>9814</v>
      </c>
      <c r="H3678" s="12">
        <v>0.0</v>
      </c>
      <c r="I3678" s="2" t="s">
        <v>40</v>
      </c>
      <c r="J3678" s="2"/>
      <c r="K3678" s="2" t="s">
        <v>9815</v>
      </c>
      <c r="L3678" s="12">
        <v>208.0</v>
      </c>
      <c r="M3678" s="2" t="s">
        <v>9816</v>
      </c>
      <c r="N3678" s="2" t="str">
        <f>IFERROR(__xludf.DUMMYFUNCTION("""COMPUTED_VALUE"""),"")</f>
        <v/>
      </c>
    </row>
    <row r="3679">
      <c r="A3679" s="2" t="s">
        <v>33</v>
      </c>
      <c r="B3679" s="12">
        <v>3546417.0</v>
      </c>
      <c r="C3679" s="12">
        <v>3548210.0</v>
      </c>
      <c r="D3679" s="2"/>
      <c r="E3679" s="2" t="s">
        <v>34</v>
      </c>
      <c r="F3679" s="2" t="s">
        <v>9817</v>
      </c>
      <c r="G3679" s="2" t="s">
        <v>9818</v>
      </c>
      <c r="H3679" s="12">
        <v>0.0</v>
      </c>
      <c r="I3679" s="2" t="s">
        <v>40</v>
      </c>
      <c r="J3679" s="2"/>
      <c r="K3679" s="2" t="s">
        <v>9819</v>
      </c>
      <c r="L3679" s="12">
        <v>597.0</v>
      </c>
      <c r="M3679" s="2" t="s">
        <v>9820</v>
      </c>
      <c r="N3679" s="2" t="str">
        <f>IFERROR(__xludf.DUMMYFUNCTION("""COMPUTED_VALUE"""),"")</f>
        <v/>
      </c>
    </row>
    <row r="3680">
      <c r="A3680" s="2" t="s">
        <v>33</v>
      </c>
      <c r="B3680" s="12">
        <v>3548203.0</v>
      </c>
      <c r="C3680" s="12">
        <v>3548964.0</v>
      </c>
      <c r="D3680" s="2"/>
      <c r="E3680" s="2" t="s">
        <v>34</v>
      </c>
      <c r="F3680" s="2" t="s">
        <v>9821</v>
      </c>
      <c r="G3680" s="2" t="s">
        <v>9822</v>
      </c>
      <c r="H3680" s="12">
        <v>0.0</v>
      </c>
      <c r="I3680" s="2" t="s">
        <v>40</v>
      </c>
      <c r="J3680" s="2"/>
      <c r="K3680" s="2" t="s">
        <v>9823</v>
      </c>
      <c r="L3680" s="12">
        <v>253.0</v>
      </c>
      <c r="M3680" s="2" t="s">
        <v>9824</v>
      </c>
      <c r="N3680" s="2" t="str">
        <f>IFERROR(__xludf.DUMMYFUNCTION("""COMPUTED_VALUE"""),"")</f>
        <v/>
      </c>
    </row>
    <row r="3681">
      <c r="A3681" s="2" t="s">
        <v>33</v>
      </c>
      <c r="B3681" s="12">
        <v>3549057.0</v>
      </c>
      <c r="C3681" s="12">
        <v>3549503.0</v>
      </c>
      <c r="D3681" s="2"/>
      <c r="E3681" s="2" t="s">
        <v>34</v>
      </c>
      <c r="F3681" s="2" t="s">
        <v>9825</v>
      </c>
      <c r="G3681" s="2"/>
      <c r="H3681" s="12">
        <v>0.0</v>
      </c>
      <c r="I3681" s="2" t="s">
        <v>40</v>
      </c>
      <c r="J3681" s="2"/>
      <c r="K3681" s="2" t="s">
        <v>9826</v>
      </c>
      <c r="L3681" s="12">
        <v>148.0</v>
      </c>
      <c r="M3681" s="2" t="s">
        <v>9827</v>
      </c>
      <c r="N3681" s="2" t="str">
        <f>IFERROR(__xludf.DUMMYFUNCTION("""COMPUTED_VALUE"""),"")</f>
        <v/>
      </c>
    </row>
    <row r="3682">
      <c r="A3682" s="2" t="s">
        <v>33</v>
      </c>
      <c r="B3682" s="12">
        <v>3549540.0</v>
      </c>
      <c r="C3682" s="12">
        <v>3550319.0</v>
      </c>
      <c r="D3682" s="2"/>
      <c r="E3682" s="2" t="s">
        <v>38</v>
      </c>
      <c r="F3682" s="2" t="s">
        <v>385</v>
      </c>
      <c r="G3682" s="2"/>
      <c r="H3682" s="12">
        <v>0.0</v>
      </c>
      <c r="I3682" s="2" t="s">
        <v>40</v>
      </c>
      <c r="J3682" s="2"/>
      <c r="K3682" s="2" t="s">
        <v>9828</v>
      </c>
      <c r="L3682" s="12">
        <v>259.0</v>
      </c>
      <c r="M3682" s="2" t="s">
        <v>9829</v>
      </c>
      <c r="N3682" s="2" t="str">
        <f>IFERROR(__xludf.DUMMYFUNCTION("""COMPUTED_VALUE"""),"")</f>
        <v/>
      </c>
    </row>
    <row r="3683">
      <c r="A3683" s="2" t="s">
        <v>33</v>
      </c>
      <c r="B3683" s="12">
        <v>3550586.0</v>
      </c>
      <c r="C3683" s="12">
        <v>3551380.0</v>
      </c>
      <c r="D3683" s="2"/>
      <c r="E3683" s="2" t="s">
        <v>34</v>
      </c>
      <c r="F3683" s="2" t="s">
        <v>9830</v>
      </c>
      <c r="G3683" s="2" t="s">
        <v>9831</v>
      </c>
      <c r="H3683" s="12">
        <v>0.0</v>
      </c>
      <c r="I3683" s="2" t="s">
        <v>40</v>
      </c>
      <c r="J3683" s="2"/>
      <c r="K3683" s="2" t="s">
        <v>9832</v>
      </c>
      <c r="L3683" s="12">
        <v>264.0</v>
      </c>
      <c r="M3683" s="2" t="s">
        <v>9833</v>
      </c>
      <c r="N3683" s="2" t="str">
        <f>IFERROR(__xludf.DUMMYFUNCTION("""COMPUTED_VALUE"""),"")</f>
        <v/>
      </c>
    </row>
    <row r="3684">
      <c r="A3684" s="2" t="s">
        <v>33</v>
      </c>
      <c r="B3684" s="12">
        <v>3551370.0</v>
      </c>
      <c r="C3684" s="12">
        <v>3552158.0</v>
      </c>
      <c r="D3684" s="2"/>
      <c r="E3684" s="2" t="s">
        <v>34</v>
      </c>
      <c r="F3684" s="2" t="s">
        <v>9834</v>
      </c>
      <c r="G3684" s="2" t="s">
        <v>9835</v>
      </c>
      <c r="H3684" s="12">
        <v>0.0</v>
      </c>
      <c r="I3684" s="2" t="s">
        <v>40</v>
      </c>
      <c r="J3684" s="2"/>
      <c r="K3684" s="2" t="s">
        <v>9836</v>
      </c>
      <c r="L3684" s="12">
        <v>262.0</v>
      </c>
      <c r="M3684" s="2" t="s">
        <v>9837</v>
      </c>
      <c r="N3684" s="2" t="str">
        <f>IFERROR(__xludf.DUMMYFUNCTION("""COMPUTED_VALUE"""),"")</f>
        <v/>
      </c>
    </row>
    <row r="3685">
      <c r="A3685" s="2" t="s">
        <v>33</v>
      </c>
      <c r="B3685" s="12">
        <v>3552185.0</v>
      </c>
      <c r="C3685" s="12">
        <v>3553012.0</v>
      </c>
      <c r="D3685" s="2"/>
      <c r="E3685" s="2" t="s">
        <v>38</v>
      </c>
      <c r="F3685" s="2" t="s">
        <v>9838</v>
      </c>
      <c r="G3685" s="2"/>
      <c r="H3685" s="12">
        <v>0.0</v>
      </c>
      <c r="I3685" s="2" t="s">
        <v>40</v>
      </c>
      <c r="J3685" s="2"/>
      <c r="K3685" s="2" t="s">
        <v>9839</v>
      </c>
      <c r="L3685" s="12">
        <v>275.0</v>
      </c>
      <c r="M3685" s="2" t="s">
        <v>9840</v>
      </c>
      <c r="N3685" s="2" t="str">
        <f>IFERROR(__xludf.DUMMYFUNCTION("""COMPUTED_VALUE"""),"")</f>
        <v/>
      </c>
    </row>
    <row r="3686">
      <c r="A3686" s="2" t="s">
        <v>33</v>
      </c>
      <c r="B3686" s="12">
        <v>3553355.0</v>
      </c>
      <c r="C3686" s="12">
        <v>3554239.0</v>
      </c>
      <c r="D3686" s="2"/>
      <c r="E3686" s="2" t="s">
        <v>34</v>
      </c>
      <c r="F3686" s="2" t="s">
        <v>432</v>
      </c>
      <c r="G3686" s="2"/>
      <c r="H3686" s="12">
        <v>0.0</v>
      </c>
      <c r="I3686" s="2" t="s">
        <v>40</v>
      </c>
      <c r="J3686" s="2"/>
      <c r="K3686" s="2" t="s">
        <v>9841</v>
      </c>
      <c r="L3686" s="12">
        <v>294.0</v>
      </c>
      <c r="M3686" s="2" t="s">
        <v>9842</v>
      </c>
      <c r="N3686" s="2" t="str">
        <f>IFERROR(__xludf.DUMMYFUNCTION("""COMPUTED_VALUE"""),"")</f>
        <v/>
      </c>
    </row>
    <row r="3687">
      <c r="A3687" s="2" t="s">
        <v>33</v>
      </c>
      <c r="B3687" s="12">
        <v>3554242.0</v>
      </c>
      <c r="C3687" s="12">
        <v>3555468.0</v>
      </c>
      <c r="D3687" s="2"/>
      <c r="E3687" s="2" t="s">
        <v>34</v>
      </c>
      <c r="F3687" s="2" t="s">
        <v>265</v>
      </c>
      <c r="G3687" s="2"/>
      <c r="H3687" s="12">
        <v>0.0</v>
      </c>
      <c r="I3687" s="2" t="s">
        <v>40</v>
      </c>
      <c r="J3687" s="2"/>
      <c r="K3687" s="2" t="s">
        <v>9843</v>
      </c>
      <c r="L3687" s="12">
        <v>408.0</v>
      </c>
      <c r="M3687" s="2" t="s">
        <v>9844</v>
      </c>
      <c r="N3687" s="2" t="str">
        <f>IFERROR(__xludf.DUMMYFUNCTION("""COMPUTED_VALUE"""),"")</f>
        <v/>
      </c>
    </row>
    <row r="3688">
      <c r="A3688" s="2" t="s">
        <v>33</v>
      </c>
      <c r="B3688" s="12">
        <v>3555587.0</v>
      </c>
      <c r="C3688" s="12">
        <v>3556018.0</v>
      </c>
      <c r="D3688" s="2"/>
      <c r="E3688" s="2" t="s">
        <v>34</v>
      </c>
      <c r="F3688" s="2" t="s">
        <v>2128</v>
      </c>
      <c r="G3688" s="2"/>
      <c r="H3688" s="12">
        <v>0.0</v>
      </c>
      <c r="I3688" s="2" t="s">
        <v>40</v>
      </c>
      <c r="J3688" s="2"/>
      <c r="K3688" s="2" t="s">
        <v>9845</v>
      </c>
      <c r="L3688" s="12">
        <v>143.0</v>
      </c>
      <c r="M3688" s="2" t="s">
        <v>9846</v>
      </c>
      <c r="N3688" s="2" t="str">
        <f>IFERROR(__xludf.DUMMYFUNCTION("""COMPUTED_VALUE"""),"")</f>
        <v/>
      </c>
    </row>
    <row r="3689">
      <c r="A3689" s="2" t="s">
        <v>33</v>
      </c>
      <c r="B3689" s="12">
        <v>3556079.0</v>
      </c>
      <c r="C3689" s="12">
        <v>3556744.0</v>
      </c>
      <c r="D3689" s="2"/>
      <c r="E3689" s="2" t="s">
        <v>38</v>
      </c>
      <c r="F3689" s="2" t="s">
        <v>9847</v>
      </c>
      <c r="G3689" s="2"/>
      <c r="H3689" s="12">
        <v>0.0</v>
      </c>
      <c r="I3689" s="2" t="s">
        <v>40</v>
      </c>
      <c r="J3689" s="2"/>
      <c r="K3689" s="2" t="s">
        <v>9848</v>
      </c>
      <c r="L3689" s="12">
        <v>221.0</v>
      </c>
      <c r="M3689" s="2" t="s">
        <v>9849</v>
      </c>
      <c r="N3689" s="2" t="str">
        <f>IFERROR(__xludf.DUMMYFUNCTION("""COMPUTED_VALUE"""),"")</f>
        <v/>
      </c>
    </row>
    <row r="3690">
      <c r="A3690" s="2" t="s">
        <v>33</v>
      </c>
      <c r="B3690" s="12">
        <v>3556888.0</v>
      </c>
      <c r="C3690" s="12">
        <v>3557853.0</v>
      </c>
      <c r="D3690" s="2"/>
      <c r="E3690" s="2" t="s">
        <v>38</v>
      </c>
      <c r="F3690" s="2" t="s">
        <v>9850</v>
      </c>
      <c r="G3690" s="2"/>
      <c r="H3690" s="12">
        <v>0.0</v>
      </c>
      <c r="I3690" s="2" t="s">
        <v>40</v>
      </c>
      <c r="J3690" s="2"/>
      <c r="K3690" s="2" t="s">
        <v>9851</v>
      </c>
      <c r="L3690" s="12">
        <v>321.0</v>
      </c>
      <c r="M3690" s="2" t="s">
        <v>9852</v>
      </c>
      <c r="N3690" s="2" t="str">
        <f>IFERROR(__xludf.DUMMYFUNCTION("""COMPUTED_VALUE"""),"")</f>
        <v/>
      </c>
    </row>
    <row r="3691">
      <c r="A3691" s="2" t="s">
        <v>33</v>
      </c>
      <c r="B3691" s="12">
        <v>3557954.0</v>
      </c>
      <c r="C3691" s="12">
        <v>3558526.0</v>
      </c>
      <c r="D3691" s="2"/>
      <c r="E3691" s="2" t="s">
        <v>34</v>
      </c>
      <c r="F3691" s="2" t="s">
        <v>216</v>
      </c>
      <c r="G3691" s="2"/>
      <c r="H3691" s="12">
        <v>0.0</v>
      </c>
      <c r="I3691" s="2" t="s">
        <v>40</v>
      </c>
      <c r="J3691" s="2"/>
      <c r="K3691" s="2" t="s">
        <v>9853</v>
      </c>
      <c r="L3691" s="12">
        <v>190.0</v>
      </c>
      <c r="M3691" s="2" t="s">
        <v>9854</v>
      </c>
      <c r="N3691" s="2" t="str">
        <f>IFERROR(__xludf.DUMMYFUNCTION("""COMPUTED_VALUE"""),"")</f>
        <v/>
      </c>
    </row>
    <row r="3692">
      <c r="A3692" s="2" t="s">
        <v>33</v>
      </c>
      <c r="B3692" s="12">
        <v>3558588.0</v>
      </c>
      <c r="C3692" s="12">
        <v>3558773.0</v>
      </c>
      <c r="D3692" s="2"/>
      <c r="E3692" s="2" t="s">
        <v>38</v>
      </c>
      <c r="F3692" s="2" t="s">
        <v>9855</v>
      </c>
      <c r="G3692" s="2"/>
      <c r="H3692" s="12">
        <v>0.0</v>
      </c>
      <c r="I3692" s="2" t="s">
        <v>40</v>
      </c>
      <c r="J3692" s="2"/>
      <c r="K3692" s="2" t="s">
        <v>9856</v>
      </c>
      <c r="L3692" s="12">
        <v>61.0</v>
      </c>
      <c r="M3692" s="2" t="s">
        <v>9857</v>
      </c>
      <c r="N3692" s="2" t="str">
        <f>IFERROR(__xludf.DUMMYFUNCTION("""COMPUTED_VALUE"""),"")</f>
        <v/>
      </c>
    </row>
    <row r="3693">
      <c r="A3693" s="2" t="s">
        <v>33</v>
      </c>
      <c r="B3693" s="12">
        <v>3558958.0</v>
      </c>
      <c r="C3693" s="12">
        <v>3560199.0</v>
      </c>
      <c r="D3693" s="2"/>
      <c r="E3693" s="2" t="s">
        <v>34</v>
      </c>
      <c r="F3693" s="2" t="s">
        <v>9858</v>
      </c>
      <c r="G3693" s="2"/>
      <c r="H3693" s="12">
        <v>0.0</v>
      </c>
      <c r="I3693" s="2" t="s">
        <v>40</v>
      </c>
      <c r="J3693" s="2"/>
      <c r="K3693" s="2" t="s">
        <v>9859</v>
      </c>
      <c r="L3693" s="12">
        <v>413.0</v>
      </c>
      <c r="M3693" s="2" t="s">
        <v>9860</v>
      </c>
      <c r="N3693" s="2" t="str">
        <f>IFERROR(__xludf.DUMMYFUNCTION("""COMPUTED_VALUE"""),"")</f>
        <v/>
      </c>
    </row>
    <row r="3694">
      <c r="A3694" s="2" t="s">
        <v>33</v>
      </c>
      <c r="B3694" s="12">
        <v>3560297.0</v>
      </c>
      <c r="C3694" s="12">
        <v>3561592.0</v>
      </c>
      <c r="D3694" s="2"/>
      <c r="E3694" s="2" t="s">
        <v>34</v>
      </c>
      <c r="F3694" s="2" t="s">
        <v>7477</v>
      </c>
      <c r="G3694" s="2"/>
      <c r="H3694" s="12">
        <v>0.0</v>
      </c>
      <c r="I3694" s="2" t="s">
        <v>40</v>
      </c>
      <c r="J3694" s="2"/>
      <c r="K3694" s="2" t="s">
        <v>9861</v>
      </c>
      <c r="L3694" s="12">
        <v>431.0</v>
      </c>
      <c r="M3694" s="2" t="s">
        <v>9862</v>
      </c>
      <c r="N3694" s="2" t="str">
        <f>IFERROR(__xludf.DUMMYFUNCTION("""COMPUTED_VALUE"""),"")</f>
        <v/>
      </c>
    </row>
    <row r="3695">
      <c r="A3695" s="2" t="s">
        <v>33</v>
      </c>
      <c r="B3695" s="12">
        <v>3561758.0</v>
      </c>
      <c r="C3695" s="12">
        <v>3561982.0</v>
      </c>
      <c r="D3695" s="2"/>
      <c r="E3695" s="2" t="s">
        <v>34</v>
      </c>
      <c r="F3695" s="2" t="s">
        <v>9863</v>
      </c>
      <c r="G3695" s="2" t="s">
        <v>9864</v>
      </c>
      <c r="H3695" s="12">
        <v>0.0</v>
      </c>
      <c r="I3695" s="2" t="s">
        <v>40</v>
      </c>
      <c r="J3695" s="2"/>
      <c r="K3695" s="2" t="s">
        <v>9865</v>
      </c>
      <c r="L3695" s="12">
        <v>74.0</v>
      </c>
      <c r="M3695" s="2" t="s">
        <v>9866</v>
      </c>
      <c r="N3695" s="2" t="str">
        <f>IFERROR(__xludf.DUMMYFUNCTION("""COMPUTED_VALUE"""),"")</f>
        <v/>
      </c>
    </row>
    <row r="3696">
      <c r="A3696" s="2" t="s">
        <v>33</v>
      </c>
      <c r="B3696" s="12">
        <v>3562089.0</v>
      </c>
      <c r="C3696" s="12">
        <v>3562751.0</v>
      </c>
      <c r="D3696" s="2"/>
      <c r="E3696" s="2" t="s">
        <v>34</v>
      </c>
      <c r="F3696" s="2" t="s">
        <v>4887</v>
      </c>
      <c r="G3696" s="2"/>
      <c r="H3696" s="12">
        <v>0.0</v>
      </c>
      <c r="I3696" s="2" t="s">
        <v>40</v>
      </c>
      <c r="J3696" s="2"/>
      <c r="K3696" s="2" t="s">
        <v>9867</v>
      </c>
      <c r="L3696" s="12">
        <v>220.0</v>
      </c>
      <c r="M3696" s="2" t="s">
        <v>9868</v>
      </c>
      <c r="N3696" s="2" t="str">
        <f>IFERROR(__xludf.DUMMYFUNCTION("""COMPUTED_VALUE"""),"")</f>
        <v/>
      </c>
    </row>
    <row r="3697">
      <c r="A3697" s="2" t="s">
        <v>33</v>
      </c>
      <c r="B3697" s="12">
        <v>3563072.0</v>
      </c>
      <c r="C3697" s="12">
        <v>3563710.0</v>
      </c>
      <c r="D3697" s="2"/>
      <c r="E3697" s="2" t="s">
        <v>34</v>
      </c>
      <c r="F3697" s="2" t="s">
        <v>427</v>
      </c>
      <c r="G3697" s="2"/>
      <c r="H3697" s="12">
        <v>0.0</v>
      </c>
      <c r="I3697" s="2" t="s">
        <v>40</v>
      </c>
      <c r="J3697" s="2"/>
      <c r="K3697" s="2" t="s">
        <v>9869</v>
      </c>
      <c r="L3697" s="12">
        <v>212.0</v>
      </c>
      <c r="M3697" s="2" t="s">
        <v>9870</v>
      </c>
      <c r="N3697" s="2" t="str">
        <f>IFERROR(__xludf.DUMMYFUNCTION("""COMPUTED_VALUE"""),"")</f>
        <v/>
      </c>
    </row>
    <row r="3698">
      <c r="A3698" s="2" t="s">
        <v>33</v>
      </c>
      <c r="B3698" s="12">
        <v>3563759.0</v>
      </c>
      <c r="C3698" s="12">
        <v>3564442.0</v>
      </c>
      <c r="D3698" s="2"/>
      <c r="E3698" s="2" t="s">
        <v>38</v>
      </c>
      <c r="F3698" s="2" t="s">
        <v>4887</v>
      </c>
      <c r="G3698" s="2"/>
      <c r="H3698" s="12">
        <v>0.0</v>
      </c>
      <c r="I3698" s="2" t="s">
        <v>40</v>
      </c>
      <c r="J3698" s="2"/>
      <c r="K3698" s="2" t="s">
        <v>9871</v>
      </c>
      <c r="L3698" s="12">
        <v>227.0</v>
      </c>
      <c r="M3698" s="2" t="s">
        <v>9872</v>
      </c>
      <c r="N3698" s="2" t="str">
        <f>IFERROR(__xludf.DUMMYFUNCTION("""COMPUTED_VALUE"""),"")</f>
        <v/>
      </c>
    </row>
    <row r="3699">
      <c r="A3699" s="2" t="s">
        <v>33</v>
      </c>
      <c r="B3699" s="12">
        <v>3564988.0</v>
      </c>
      <c r="C3699" s="12">
        <v>3566313.0</v>
      </c>
      <c r="D3699" s="2"/>
      <c r="E3699" s="2" t="s">
        <v>34</v>
      </c>
      <c r="F3699" s="2" t="s">
        <v>88</v>
      </c>
      <c r="G3699" s="2"/>
      <c r="H3699" s="12">
        <v>0.0</v>
      </c>
      <c r="I3699" s="2" t="s">
        <v>40</v>
      </c>
      <c r="J3699" s="2"/>
      <c r="K3699" s="2" t="s">
        <v>9873</v>
      </c>
      <c r="L3699" s="12">
        <v>441.0</v>
      </c>
      <c r="M3699" s="2" t="s">
        <v>9874</v>
      </c>
      <c r="N3699" s="2" t="str">
        <f>IFERROR(__xludf.DUMMYFUNCTION("""COMPUTED_VALUE"""),"")</f>
        <v/>
      </c>
    </row>
    <row r="3700">
      <c r="A3700" s="2" t="s">
        <v>33</v>
      </c>
      <c r="B3700" s="12">
        <v>3566527.0</v>
      </c>
      <c r="C3700" s="12">
        <v>3567336.0</v>
      </c>
      <c r="D3700" s="2"/>
      <c r="E3700" s="2" t="s">
        <v>34</v>
      </c>
      <c r="F3700" s="2" t="s">
        <v>4875</v>
      </c>
      <c r="G3700" s="2" t="s">
        <v>4876</v>
      </c>
      <c r="H3700" s="12">
        <v>0.0</v>
      </c>
      <c r="I3700" s="2" t="s">
        <v>40</v>
      </c>
      <c r="J3700" s="2"/>
      <c r="K3700" s="2" t="s">
        <v>9875</v>
      </c>
      <c r="L3700" s="12">
        <v>269.0</v>
      </c>
      <c r="M3700" s="2" t="s">
        <v>9876</v>
      </c>
      <c r="N3700" s="2" t="str">
        <f>IFERROR(__xludf.DUMMYFUNCTION("""COMPUTED_VALUE"""),"")</f>
        <v/>
      </c>
    </row>
    <row r="3701">
      <c r="A3701" s="2" t="s">
        <v>33</v>
      </c>
      <c r="B3701" s="12">
        <v>3567518.0</v>
      </c>
      <c r="C3701" s="12">
        <v>3568567.0</v>
      </c>
      <c r="D3701" s="2"/>
      <c r="E3701" s="2" t="s">
        <v>34</v>
      </c>
      <c r="F3701" s="2" t="s">
        <v>9877</v>
      </c>
      <c r="G3701" s="2" t="s">
        <v>9878</v>
      </c>
      <c r="H3701" s="12">
        <v>0.0</v>
      </c>
      <c r="I3701" s="2" t="s">
        <v>40</v>
      </c>
      <c r="J3701" s="2"/>
      <c r="K3701" s="2" t="s">
        <v>9879</v>
      </c>
      <c r="L3701" s="12">
        <v>349.0</v>
      </c>
      <c r="M3701" s="2" t="s">
        <v>9880</v>
      </c>
      <c r="N3701" s="2" t="str">
        <f>IFERROR(__xludf.DUMMYFUNCTION("""COMPUTED_VALUE"""),"")</f>
        <v/>
      </c>
    </row>
    <row r="3702">
      <c r="A3702" s="2" t="s">
        <v>33</v>
      </c>
      <c r="B3702" s="12">
        <v>3568699.0</v>
      </c>
      <c r="C3702" s="12">
        <v>3569436.0</v>
      </c>
      <c r="D3702" s="2"/>
      <c r="E3702" s="2" t="s">
        <v>34</v>
      </c>
      <c r="F3702" s="2" t="s">
        <v>9881</v>
      </c>
      <c r="G3702" s="2" t="s">
        <v>9882</v>
      </c>
      <c r="H3702" s="12">
        <v>0.0</v>
      </c>
      <c r="I3702" s="2" t="s">
        <v>40</v>
      </c>
      <c r="J3702" s="2"/>
      <c r="K3702" s="2" t="s">
        <v>9883</v>
      </c>
      <c r="L3702" s="12">
        <v>245.0</v>
      </c>
      <c r="M3702" s="2" t="s">
        <v>9884</v>
      </c>
      <c r="N3702" s="2" t="str">
        <f>IFERROR(__xludf.DUMMYFUNCTION("""COMPUTED_VALUE"""),"")</f>
        <v/>
      </c>
    </row>
    <row r="3703">
      <c r="A3703" s="2" t="s">
        <v>33</v>
      </c>
      <c r="B3703" s="12">
        <v>3569448.0</v>
      </c>
      <c r="C3703" s="12">
        <v>3570056.0</v>
      </c>
      <c r="D3703" s="2"/>
      <c r="E3703" s="2" t="s">
        <v>34</v>
      </c>
      <c r="F3703" s="2" t="s">
        <v>9885</v>
      </c>
      <c r="G3703" s="2"/>
      <c r="H3703" s="12">
        <v>0.0</v>
      </c>
      <c r="I3703" s="2" t="s">
        <v>40</v>
      </c>
      <c r="J3703" s="2"/>
      <c r="K3703" s="2" t="s">
        <v>9886</v>
      </c>
      <c r="L3703" s="12">
        <v>202.0</v>
      </c>
      <c r="M3703" s="2" t="s">
        <v>9887</v>
      </c>
      <c r="N3703" s="2" t="str">
        <f>IFERROR(__xludf.DUMMYFUNCTION("""COMPUTED_VALUE"""),"")</f>
        <v/>
      </c>
    </row>
    <row r="3704">
      <c r="A3704" s="2" t="s">
        <v>33</v>
      </c>
      <c r="B3704" s="12">
        <v>3570070.0</v>
      </c>
      <c r="C3704" s="12">
        <v>3570573.0</v>
      </c>
      <c r="D3704" s="2"/>
      <c r="E3704" s="2" t="s">
        <v>34</v>
      </c>
      <c r="F3704" s="2" t="s">
        <v>437</v>
      </c>
      <c r="G3704" s="2"/>
      <c r="H3704" s="12">
        <v>0.0</v>
      </c>
      <c r="I3704" s="2" t="s">
        <v>40</v>
      </c>
      <c r="J3704" s="2"/>
      <c r="K3704" s="2" t="s">
        <v>9888</v>
      </c>
      <c r="L3704" s="12">
        <v>167.0</v>
      </c>
      <c r="M3704" s="2" t="s">
        <v>9889</v>
      </c>
      <c r="N3704" s="2" t="str">
        <f>IFERROR(__xludf.DUMMYFUNCTION("""COMPUTED_VALUE"""),"")</f>
        <v/>
      </c>
    </row>
    <row r="3705">
      <c r="A3705" s="2" t="s">
        <v>33</v>
      </c>
      <c r="B3705" s="12">
        <v>3570682.0</v>
      </c>
      <c r="C3705" s="12">
        <v>3570755.0</v>
      </c>
      <c r="D3705" s="2"/>
      <c r="E3705" s="2" t="s">
        <v>34</v>
      </c>
      <c r="F3705" s="2" t="s">
        <v>5248</v>
      </c>
      <c r="G3705" s="2"/>
      <c r="H3705" s="12">
        <v>0.0</v>
      </c>
      <c r="I3705" s="2" t="s">
        <v>3783</v>
      </c>
      <c r="J3705" s="2"/>
      <c r="K3705" s="2"/>
      <c r="L3705" s="2"/>
      <c r="M3705" s="2" t="s">
        <v>9890</v>
      </c>
      <c r="N3705" s="2" t="str">
        <f>IFERROR(__xludf.DUMMYFUNCTION("""COMPUTED_VALUE"""),"")</f>
        <v/>
      </c>
    </row>
    <row r="3706">
      <c r="A3706" s="2" t="s">
        <v>33</v>
      </c>
      <c r="B3706" s="12">
        <v>3570757.0</v>
      </c>
      <c r="C3706" s="12">
        <v>3570830.0</v>
      </c>
      <c r="D3706" s="2"/>
      <c r="E3706" s="2" t="s">
        <v>34</v>
      </c>
      <c r="F3706" s="2" t="s">
        <v>5244</v>
      </c>
      <c r="G3706" s="2"/>
      <c r="H3706" s="12">
        <v>0.0</v>
      </c>
      <c r="I3706" s="2" t="s">
        <v>3783</v>
      </c>
      <c r="J3706" s="2"/>
      <c r="K3706" s="2"/>
      <c r="L3706" s="2"/>
      <c r="M3706" s="2" t="s">
        <v>9891</v>
      </c>
      <c r="N3706" s="2" t="str">
        <f>IFERROR(__xludf.DUMMYFUNCTION("""COMPUTED_VALUE"""),"")</f>
        <v/>
      </c>
    </row>
    <row r="3707">
      <c r="A3707" s="2" t="s">
        <v>33</v>
      </c>
      <c r="B3707" s="12">
        <v>3571256.0</v>
      </c>
      <c r="C3707" s="12">
        <v>3571456.0</v>
      </c>
      <c r="D3707" s="2"/>
      <c r="E3707" s="2" t="s">
        <v>34</v>
      </c>
      <c r="F3707" s="2" t="s">
        <v>39</v>
      </c>
      <c r="G3707" s="2"/>
      <c r="H3707" s="12">
        <v>0.0</v>
      </c>
      <c r="I3707" s="2" t="s">
        <v>40</v>
      </c>
      <c r="J3707" s="2"/>
      <c r="K3707" s="2" t="s">
        <v>9892</v>
      </c>
      <c r="L3707" s="12">
        <v>66.0</v>
      </c>
      <c r="M3707" s="2" t="s">
        <v>9893</v>
      </c>
      <c r="N3707" s="2" t="str">
        <f>IFERROR(__xludf.DUMMYFUNCTION("""COMPUTED_VALUE"""),"")</f>
        <v/>
      </c>
    </row>
    <row r="3708">
      <c r="A3708" s="2" t="s">
        <v>33</v>
      </c>
      <c r="B3708" s="12">
        <v>3571618.0</v>
      </c>
      <c r="C3708" s="12">
        <v>3572373.0</v>
      </c>
      <c r="D3708" s="2"/>
      <c r="E3708" s="2" t="s">
        <v>34</v>
      </c>
      <c r="F3708" s="2" t="s">
        <v>9894</v>
      </c>
      <c r="G3708" s="2"/>
      <c r="H3708" s="12">
        <v>0.0</v>
      </c>
      <c r="I3708" s="2" t="s">
        <v>40</v>
      </c>
      <c r="J3708" s="2"/>
      <c r="K3708" s="2" t="s">
        <v>9895</v>
      </c>
      <c r="L3708" s="12">
        <v>251.0</v>
      </c>
      <c r="M3708" s="2" t="s">
        <v>9896</v>
      </c>
      <c r="N3708" s="2" t="str">
        <f>IFERROR(__xludf.DUMMYFUNCTION("""COMPUTED_VALUE"""),"")</f>
        <v/>
      </c>
    </row>
    <row r="3709">
      <c r="A3709" s="2" t="s">
        <v>33</v>
      </c>
      <c r="B3709" s="12">
        <v>3572560.0</v>
      </c>
      <c r="C3709" s="12">
        <v>3573978.0</v>
      </c>
      <c r="D3709" s="2"/>
      <c r="E3709" s="2" t="s">
        <v>34</v>
      </c>
      <c r="F3709" s="2" t="s">
        <v>9897</v>
      </c>
      <c r="G3709" s="2"/>
      <c r="H3709" s="12">
        <v>0.0</v>
      </c>
      <c r="I3709" s="2" t="s">
        <v>40</v>
      </c>
      <c r="J3709" s="2"/>
      <c r="K3709" s="2" t="s">
        <v>9898</v>
      </c>
      <c r="L3709" s="12">
        <v>472.0</v>
      </c>
      <c r="M3709" s="2" t="s">
        <v>9899</v>
      </c>
      <c r="N3709" s="2" t="str">
        <f>IFERROR(__xludf.DUMMYFUNCTION("""COMPUTED_VALUE"""),"")</f>
        <v/>
      </c>
    </row>
    <row r="3710">
      <c r="A3710" s="2" t="s">
        <v>33</v>
      </c>
      <c r="B3710" s="12">
        <v>3573975.0</v>
      </c>
      <c r="C3710" s="12">
        <v>3574673.0</v>
      </c>
      <c r="D3710" s="2"/>
      <c r="E3710" s="2" t="s">
        <v>34</v>
      </c>
      <c r="F3710" s="2" t="s">
        <v>9900</v>
      </c>
      <c r="G3710" s="2"/>
      <c r="H3710" s="12">
        <v>0.0</v>
      </c>
      <c r="I3710" s="2" t="s">
        <v>40</v>
      </c>
      <c r="J3710" s="2"/>
      <c r="K3710" s="2" t="s">
        <v>9901</v>
      </c>
      <c r="L3710" s="12">
        <v>232.0</v>
      </c>
      <c r="M3710" s="2" t="s">
        <v>9902</v>
      </c>
      <c r="N3710" s="2" t="str">
        <f>IFERROR(__xludf.DUMMYFUNCTION("""COMPUTED_VALUE"""),"")</f>
        <v/>
      </c>
    </row>
    <row r="3711">
      <c r="A3711" s="2" t="s">
        <v>33</v>
      </c>
      <c r="B3711" s="12">
        <v>3574680.0</v>
      </c>
      <c r="C3711" s="12">
        <v>3576332.0</v>
      </c>
      <c r="D3711" s="2"/>
      <c r="E3711" s="2" t="s">
        <v>34</v>
      </c>
      <c r="F3711" s="2" t="s">
        <v>9903</v>
      </c>
      <c r="G3711" s="2"/>
      <c r="H3711" s="12">
        <v>0.0</v>
      </c>
      <c r="I3711" s="2" t="s">
        <v>40</v>
      </c>
      <c r="J3711" s="2"/>
      <c r="K3711" s="2" t="s">
        <v>9904</v>
      </c>
      <c r="L3711" s="12">
        <v>550.0</v>
      </c>
      <c r="M3711" s="2" t="s">
        <v>9905</v>
      </c>
      <c r="N3711" s="2" t="str">
        <f>IFERROR(__xludf.DUMMYFUNCTION("""COMPUTED_VALUE"""),"")</f>
        <v/>
      </c>
    </row>
    <row r="3712">
      <c r="A3712" s="2" t="s">
        <v>33</v>
      </c>
      <c r="B3712" s="12">
        <v>3576479.0</v>
      </c>
      <c r="C3712" s="12">
        <v>3577093.0</v>
      </c>
      <c r="D3712" s="2"/>
      <c r="E3712" s="2" t="s">
        <v>38</v>
      </c>
      <c r="F3712" s="2" t="s">
        <v>2480</v>
      </c>
      <c r="G3712" s="2"/>
      <c r="H3712" s="12">
        <v>0.0</v>
      </c>
      <c r="I3712" s="2" t="s">
        <v>40</v>
      </c>
      <c r="J3712" s="2"/>
      <c r="K3712" s="2" t="s">
        <v>9906</v>
      </c>
      <c r="L3712" s="12">
        <v>204.0</v>
      </c>
      <c r="M3712" s="2" t="s">
        <v>9907</v>
      </c>
      <c r="N3712" s="2" t="str">
        <f>IFERROR(__xludf.DUMMYFUNCTION("""COMPUTED_VALUE"""),"")</f>
        <v/>
      </c>
    </row>
    <row r="3713">
      <c r="A3713" s="2" t="s">
        <v>33</v>
      </c>
      <c r="B3713" s="12">
        <v>3577613.0</v>
      </c>
      <c r="C3713" s="12">
        <v>3577861.0</v>
      </c>
      <c r="D3713" s="2"/>
      <c r="E3713" s="2" t="s">
        <v>34</v>
      </c>
      <c r="F3713" s="2" t="s">
        <v>39</v>
      </c>
      <c r="G3713" s="2"/>
      <c r="H3713" s="12">
        <v>0.0</v>
      </c>
      <c r="I3713" s="2" t="s">
        <v>40</v>
      </c>
      <c r="J3713" s="2"/>
      <c r="K3713" s="2" t="s">
        <v>9908</v>
      </c>
      <c r="L3713" s="12">
        <v>82.0</v>
      </c>
      <c r="M3713" s="2" t="s">
        <v>9909</v>
      </c>
      <c r="N3713" s="2" t="str">
        <f>IFERROR(__xludf.DUMMYFUNCTION("""COMPUTED_VALUE"""),"")</f>
        <v/>
      </c>
    </row>
    <row r="3714">
      <c r="A3714" s="2" t="s">
        <v>33</v>
      </c>
      <c r="B3714" s="12">
        <v>3578059.0</v>
      </c>
      <c r="C3714" s="12">
        <v>3579057.0</v>
      </c>
      <c r="D3714" s="2"/>
      <c r="E3714" s="2" t="s">
        <v>34</v>
      </c>
      <c r="F3714" s="2" t="s">
        <v>39</v>
      </c>
      <c r="G3714" s="2"/>
      <c r="H3714" s="12">
        <v>0.0</v>
      </c>
      <c r="I3714" s="2" t="s">
        <v>40</v>
      </c>
      <c r="J3714" s="2"/>
      <c r="K3714" s="2" t="s">
        <v>9910</v>
      </c>
      <c r="L3714" s="12">
        <v>332.0</v>
      </c>
      <c r="M3714" s="2" t="s">
        <v>9911</v>
      </c>
      <c r="N3714" s="2" t="str">
        <f>IFERROR(__xludf.DUMMYFUNCTION("""COMPUTED_VALUE"""),"")</f>
        <v/>
      </c>
    </row>
    <row r="3715">
      <c r="A3715" s="2" t="s">
        <v>33</v>
      </c>
      <c r="B3715" s="12">
        <v>3579367.0</v>
      </c>
      <c r="C3715" s="12">
        <v>3580644.0</v>
      </c>
      <c r="D3715" s="2"/>
      <c r="E3715" s="2" t="s">
        <v>34</v>
      </c>
      <c r="F3715" s="2" t="s">
        <v>9912</v>
      </c>
      <c r="G3715" s="2" t="s">
        <v>9913</v>
      </c>
      <c r="H3715" s="12">
        <v>0.0</v>
      </c>
      <c r="I3715" s="2" t="s">
        <v>40</v>
      </c>
      <c r="J3715" s="2"/>
      <c r="K3715" s="2" t="s">
        <v>9914</v>
      </c>
      <c r="L3715" s="12">
        <v>425.0</v>
      </c>
      <c r="M3715" s="2" t="s">
        <v>9915</v>
      </c>
      <c r="N3715" s="2" t="str">
        <f>IFERROR(__xludf.DUMMYFUNCTION("""COMPUTED_VALUE"""),"")</f>
        <v/>
      </c>
    </row>
    <row r="3716">
      <c r="A3716" s="2" t="s">
        <v>33</v>
      </c>
      <c r="B3716" s="12">
        <v>3580909.0</v>
      </c>
      <c r="C3716" s="12">
        <v>3582168.0</v>
      </c>
      <c r="D3716" s="2"/>
      <c r="E3716" s="2" t="s">
        <v>34</v>
      </c>
      <c r="F3716" s="2" t="s">
        <v>9916</v>
      </c>
      <c r="G3716" s="2" t="s">
        <v>9917</v>
      </c>
      <c r="H3716" s="12">
        <v>0.0</v>
      </c>
      <c r="I3716" s="2" t="s">
        <v>40</v>
      </c>
      <c r="J3716" s="2"/>
      <c r="K3716" s="2" t="s">
        <v>9918</v>
      </c>
      <c r="L3716" s="12">
        <v>419.0</v>
      </c>
      <c r="M3716" s="2" t="s">
        <v>9919</v>
      </c>
      <c r="N3716" s="2" t="str">
        <f>IFERROR(__xludf.DUMMYFUNCTION("""COMPUTED_VALUE"""),"")</f>
        <v/>
      </c>
    </row>
    <row r="3717">
      <c r="A3717" s="2" t="s">
        <v>33</v>
      </c>
      <c r="B3717" s="12">
        <v>3582275.0</v>
      </c>
      <c r="C3717" s="12">
        <v>3583945.0</v>
      </c>
      <c r="D3717" s="2"/>
      <c r="E3717" s="2" t="s">
        <v>34</v>
      </c>
      <c r="F3717" s="2" t="s">
        <v>9920</v>
      </c>
      <c r="G3717" s="2" t="s">
        <v>9921</v>
      </c>
      <c r="H3717" s="12">
        <v>0.0</v>
      </c>
      <c r="I3717" s="2" t="s">
        <v>40</v>
      </c>
      <c r="J3717" s="2"/>
      <c r="K3717" s="2" t="s">
        <v>9922</v>
      </c>
      <c r="L3717" s="12">
        <v>556.0</v>
      </c>
      <c r="M3717" s="2" t="s">
        <v>9923</v>
      </c>
      <c r="N3717" s="2" t="str">
        <f>IFERROR(__xludf.DUMMYFUNCTION("""COMPUTED_VALUE"""),"")</f>
        <v/>
      </c>
    </row>
    <row r="3718">
      <c r="A3718" s="2" t="s">
        <v>33</v>
      </c>
      <c r="B3718" s="12">
        <v>3584128.0</v>
      </c>
      <c r="C3718" s="12">
        <v>3586458.0</v>
      </c>
      <c r="D3718" s="2"/>
      <c r="E3718" s="2" t="s">
        <v>34</v>
      </c>
      <c r="F3718" s="2" t="s">
        <v>9924</v>
      </c>
      <c r="G3718" s="2" t="s">
        <v>9925</v>
      </c>
      <c r="H3718" s="12">
        <v>0.0</v>
      </c>
      <c r="I3718" s="2" t="s">
        <v>40</v>
      </c>
      <c r="J3718" s="2"/>
      <c r="K3718" s="2" t="s">
        <v>9926</v>
      </c>
      <c r="L3718" s="12">
        <v>776.0</v>
      </c>
      <c r="M3718" s="2" t="s">
        <v>9927</v>
      </c>
      <c r="N3718" s="2" t="str">
        <f>IFERROR(__xludf.DUMMYFUNCTION("""COMPUTED_VALUE"""),"")</f>
        <v/>
      </c>
    </row>
    <row r="3719">
      <c r="A3719" s="2" t="s">
        <v>33</v>
      </c>
      <c r="B3719" s="12">
        <v>3586455.0</v>
      </c>
      <c r="C3719" s="12">
        <v>3587051.0</v>
      </c>
      <c r="D3719" s="2"/>
      <c r="E3719" s="2" t="s">
        <v>34</v>
      </c>
      <c r="F3719" s="2" t="s">
        <v>9928</v>
      </c>
      <c r="G3719" s="2" t="s">
        <v>9929</v>
      </c>
      <c r="H3719" s="12">
        <v>0.0</v>
      </c>
      <c r="I3719" s="2" t="s">
        <v>40</v>
      </c>
      <c r="J3719" s="2"/>
      <c r="K3719" s="2" t="s">
        <v>9930</v>
      </c>
      <c r="L3719" s="12">
        <v>198.0</v>
      </c>
      <c r="M3719" s="2" t="s">
        <v>9931</v>
      </c>
      <c r="N3719" s="2" t="str">
        <f>IFERROR(__xludf.DUMMYFUNCTION("""COMPUTED_VALUE"""),"")</f>
        <v/>
      </c>
    </row>
    <row r="3720">
      <c r="A3720" s="2" t="s">
        <v>33</v>
      </c>
      <c r="B3720" s="12">
        <v>3587085.0</v>
      </c>
      <c r="C3720" s="12">
        <v>3587501.0</v>
      </c>
      <c r="D3720" s="2"/>
      <c r="E3720" s="2" t="s">
        <v>38</v>
      </c>
      <c r="F3720" s="2" t="s">
        <v>9932</v>
      </c>
      <c r="G3720" s="2"/>
      <c r="H3720" s="12">
        <v>0.0</v>
      </c>
      <c r="I3720" s="2" t="s">
        <v>40</v>
      </c>
      <c r="J3720" s="2"/>
      <c r="K3720" s="2" t="s">
        <v>9933</v>
      </c>
      <c r="L3720" s="12">
        <v>138.0</v>
      </c>
      <c r="M3720" s="2" t="s">
        <v>9934</v>
      </c>
      <c r="N3720" s="2" t="str">
        <f>IFERROR(__xludf.DUMMYFUNCTION("""COMPUTED_VALUE"""),"")</f>
        <v/>
      </c>
    </row>
    <row r="3721">
      <c r="A3721" s="2" t="s">
        <v>33</v>
      </c>
      <c r="B3721" s="12">
        <v>3587504.0</v>
      </c>
      <c r="C3721" s="12">
        <v>3587956.0</v>
      </c>
      <c r="D3721" s="2"/>
      <c r="E3721" s="2" t="s">
        <v>38</v>
      </c>
      <c r="F3721" s="2" t="s">
        <v>534</v>
      </c>
      <c r="G3721" s="2"/>
      <c r="H3721" s="12">
        <v>0.0</v>
      </c>
      <c r="I3721" s="2" t="s">
        <v>40</v>
      </c>
      <c r="J3721" s="2"/>
      <c r="K3721" s="2" t="s">
        <v>9935</v>
      </c>
      <c r="L3721" s="12">
        <v>150.0</v>
      </c>
      <c r="M3721" s="2" t="s">
        <v>9936</v>
      </c>
      <c r="N3721" s="2" t="str">
        <f>IFERROR(__xludf.DUMMYFUNCTION("""COMPUTED_VALUE"""),"")</f>
        <v/>
      </c>
    </row>
    <row r="3722">
      <c r="A3722" s="2" t="s">
        <v>33</v>
      </c>
      <c r="B3722" s="12">
        <v>3588373.0</v>
      </c>
      <c r="C3722" s="12">
        <v>3589707.0</v>
      </c>
      <c r="D3722" s="2"/>
      <c r="E3722" s="2" t="s">
        <v>34</v>
      </c>
      <c r="F3722" s="2" t="s">
        <v>9937</v>
      </c>
      <c r="G3722" s="2" t="s">
        <v>9938</v>
      </c>
      <c r="H3722" s="12">
        <v>0.0</v>
      </c>
      <c r="I3722" s="2" t="s">
        <v>40</v>
      </c>
      <c r="J3722" s="2"/>
      <c r="K3722" s="2" t="s">
        <v>9939</v>
      </c>
      <c r="L3722" s="12">
        <v>444.0</v>
      </c>
      <c r="M3722" s="2" t="s">
        <v>9940</v>
      </c>
      <c r="N3722" s="2" t="str">
        <f>IFERROR(__xludf.DUMMYFUNCTION("""COMPUTED_VALUE"""),"")</f>
        <v/>
      </c>
    </row>
    <row r="3723">
      <c r="A3723" s="2" t="s">
        <v>33</v>
      </c>
      <c r="B3723" s="12">
        <v>3589725.0</v>
      </c>
      <c r="C3723" s="12">
        <v>3590558.0</v>
      </c>
      <c r="D3723" s="2"/>
      <c r="E3723" s="2" t="s">
        <v>34</v>
      </c>
      <c r="F3723" s="2" t="s">
        <v>9941</v>
      </c>
      <c r="G3723" s="2"/>
      <c r="H3723" s="12">
        <v>0.0</v>
      </c>
      <c r="I3723" s="2" t="s">
        <v>40</v>
      </c>
      <c r="J3723" s="2"/>
      <c r="K3723" s="2" t="s">
        <v>9942</v>
      </c>
      <c r="L3723" s="12">
        <v>277.0</v>
      </c>
      <c r="M3723" s="2" t="s">
        <v>9943</v>
      </c>
      <c r="N3723" s="2" t="str">
        <f>IFERROR(__xludf.DUMMYFUNCTION("""COMPUTED_VALUE"""),"")</f>
        <v/>
      </c>
    </row>
    <row r="3724">
      <c r="A3724" s="2" t="s">
        <v>33</v>
      </c>
      <c r="B3724" s="12">
        <v>3590574.0</v>
      </c>
      <c r="C3724" s="12">
        <v>3591503.0</v>
      </c>
      <c r="D3724" s="2"/>
      <c r="E3724" s="2" t="s">
        <v>34</v>
      </c>
      <c r="F3724" s="2" t="s">
        <v>9944</v>
      </c>
      <c r="G3724" s="2" t="s">
        <v>9945</v>
      </c>
      <c r="H3724" s="12">
        <v>0.0</v>
      </c>
      <c r="I3724" s="2" t="s">
        <v>40</v>
      </c>
      <c r="J3724" s="2"/>
      <c r="K3724" s="2" t="s">
        <v>9946</v>
      </c>
      <c r="L3724" s="12">
        <v>309.0</v>
      </c>
      <c r="M3724" s="2" t="s">
        <v>9947</v>
      </c>
      <c r="N3724" s="2" t="str">
        <f>IFERROR(__xludf.DUMMYFUNCTION("""COMPUTED_VALUE"""),"")</f>
        <v/>
      </c>
    </row>
    <row r="3725">
      <c r="A3725" s="2" t="s">
        <v>33</v>
      </c>
      <c r="B3725" s="12">
        <v>3591506.0</v>
      </c>
      <c r="C3725" s="12">
        <v>3592258.0</v>
      </c>
      <c r="D3725" s="2"/>
      <c r="E3725" s="2" t="s">
        <v>34</v>
      </c>
      <c r="F3725" s="2" t="s">
        <v>9948</v>
      </c>
      <c r="G3725" s="2" t="s">
        <v>9949</v>
      </c>
      <c r="H3725" s="12">
        <v>0.0</v>
      </c>
      <c r="I3725" s="2" t="s">
        <v>40</v>
      </c>
      <c r="J3725" s="2"/>
      <c r="K3725" s="2" t="s">
        <v>9950</v>
      </c>
      <c r="L3725" s="12">
        <v>250.0</v>
      </c>
      <c r="M3725" s="2" t="s">
        <v>9951</v>
      </c>
      <c r="N3725" s="2" t="str">
        <f>IFERROR(__xludf.DUMMYFUNCTION("""COMPUTED_VALUE"""),"")</f>
        <v/>
      </c>
    </row>
    <row r="3726">
      <c r="A3726" s="2" t="s">
        <v>33</v>
      </c>
      <c r="B3726" s="12">
        <v>3592279.0</v>
      </c>
      <c r="C3726" s="12">
        <v>3593268.0</v>
      </c>
      <c r="D3726" s="2"/>
      <c r="E3726" s="2" t="s">
        <v>34</v>
      </c>
      <c r="F3726" s="2" t="s">
        <v>9952</v>
      </c>
      <c r="G3726" s="2" t="s">
        <v>9953</v>
      </c>
      <c r="H3726" s="12">
        <v>0.0</v>
      </c>
      <c r="I3726" s="2" t="s">
        <v>40</v>
      </c>
      <c r="J3726" s="2"/>
      <c r="K3726" s="2" t="s">
        <v>9954</v>
      </c>
      <c r="L3726" s="12">
        <v>329.0</v>
      </c>
      <c r="M3726" s="2" t="s">
        <v>9955</v>
      </c>
      <c r="N3726" s="2" t="str">
        <f>IFERROR(__xludf.DUMMYFUNCTION("""COMPUTED_VALUE"""),"")</f>
        <v/>
      </c>
    </row>
    <row r="3727">
      <c r="A3727" s="2" t="s">
        <v>33</v>
      </c>
      <c r="B3727" s="12">
        <v>3593268.0</v>
      </c>
      <c r="C3727" s="12">
        <v>3594557.0</v>
      </c>
      <c r="D3727" s="2"/>
      <c r="E3727" s="2" t="s">
        <v>34</v>
      </c>
      <c r="F3727" s="2" t="s">
        <v>9956</v>
      </c>
      <c r="G3727" s="2" t="s">
        <v>5783</v>
      </c>
      <c r="H3727" s="12">
        <v>0.0</v>
      </c>
      <c r="I3727" s="2" t="s">
        <v>40</v>
      </c>
      <c r="J3727" s="2"/>
      <c r="K3727" s="2" t="s">
        <v>9957</v>
      </c>
      <c r="L3727" s="12">
        <v>429.0</v>
      </c>
      <c r="M3727" s="2" t="s">
        <v>9958</v>
      </c>
      <c r="N3727" s="2" t="str">
        <f>IFERROR(__xludf.DUMMYFUNCTION("""COMPUTED_VALUE"""),"")</f>
        <v/>
      </c>
    </row>
    <row r="3728">
      <c r="A3728" s="2" t="s">
        <v>33</v>
      </c>
      <c r="B3728" s="12">
        <v>3594637.0</v>
      </c>
      <c r="C3728" s="12">
        <v>3595647.0</v>
      </c>
      <c r="D3728" s="2"/>
      <c r="E3728" s="2" t="s">
        <v>34</v>
      </c>
      <c r="F3728" s="2" t="s">
        <v>9959</v>
      </c>
      <c r="G3728" s="2" t="s">
        <v>9960</v>
      </c>
      <c r="H3728" s="12">
        <v>0.0</v>
      </c>
      <c r="I3728" s="2" t="s">
        <v>40</v>
      </c>
      <c r="J3728" s="2"/>
      <c r="K3728" s="2" t="s">
        <v>9961</v>
      </c>
      <c r="L3728" s="12">
        <v>336.0</v>
      </c>
      <c r="M3728" s="2" t="s">
        <v>9962</v>
      </c>
      <c r="N3728" s="2" t="str">
        <f>IFERROR(__xludf.DUMMYFUNCTION("""COMPUTED_VALUE"""),"")</f>
        <v/>
      </c>
    </row>
    <row r="3729">
      <c r="A3729" s="2" t="s">
        <v>33</v>
      </c>
      <c r="B3729" s="12">
        <v>3595714.0</v>
      </c>
      <c r="C3729" s="12">
        <v>3596739.0</v>
      </c>
      <c r="D3729" s="2"/>
      <c r="E3729" s="2" t="s">
        <v>34</v>
      </c>
      <c r="F3729" s="2" t="s">
        <v>9963</v>
      </c>
      <c r="G3729" s="2" t="s">
        <v>9964</v>
      </c>
      <c r="H3729" s="12">
        <v>0.0</v>
      </c>
      <c r="I3729" s="2" t="s">
        <v>40</v>
      </c>
      <c r="J3729" s="2"/>
      <c r="K3729" s="2" t="s">
        <v>9965</v>
      </c>
      <c r="L3729" s="12">
        <v>341.0</v>
      </c>
      <c r="M3729" s="2" t="s">
        <v>9966</v>
      </c>
      <c r="N3729" s="2" t="str">
        <f>IFERROR(__xludf.DUMMYFUNCTION("""COMPUTED_VALUE"""),"")</f>
        <v/>
      </c>
    </row>
    <row r="3730">
      <c r="A3730" s="2" t="s">
        <v>33</v>
      </c>
      <c r="B3730" s="12">
        <v>3597259.0</v>
      </c>
      <c r="C3730" s="12">
        <v>3599904.0</v>
      </c>
      <c r="D3730" s="2"/>
      <c r="E3730" s="2" t="s">
        <v>34</v>
      </c>
      <c r="F3730" s="2" t="s">
        <v>9967</v>
      </c>
      <c r="G3730" s="2"/>
      <c r="H3730" s="12">
        <v>0.0</v>
      </c>
      <c r="I3730" s="2" t="s">
        <v>40</v>
      </c>
      <c r="J3730" s="2"/>
      <c r="K3730" s="2" t="s">
        <v>9968</v>
      </c>
      <c r="L3730" s="12">
        <v>881.0</v>
      </c>
      <c r="M3730" s="2" t="s">
        <v>9969</v>
      </c>
      <c r="N3730" s="2" t="str">
        <f>IFERROR(__xludf.DUMMYFUNCTION("""COMPUTED_VALUE"""),"")</f>
        <v/>
      </c>
    </row>
    <row r="3731">
      <c r="A3731" s="2" t="s">
        <v>33</v>
      </c>
      <c r="B3731" s="12">
        <v>3599998.0</v>
      </c>
      <c r="C3731" s="12">
        <v>3601299.0</v>
      </c>
      <c r="D3731" s="2"/>
      <c r="E3731" s="2" t="s">
        <v>34</v>
      </c>
      <c r="F3731" s="2" t="s">
        <v>9970</v>
      </c>
      <c r="G3731" s="2" t="s">
        <v>9971</v>
      </c>
      <c r="H3731" s="12">
        <v>0.0</v>
      </c>
      <c r="I3731" s="2" t="s">
        <v>40</v>
      </c>
      <c r="J3731" s="2"/>
      <c r="K3731" s="2" t="s">
        <v>9972</v>
      </c>
      <c r="L3731" s="12">
        <v>433.0</v>
      </c>
      <c r="M3731" s="2" t="s">
        <v>9973</v>
      </c>
      <c r="N3731" s="2" t="str">
        <f>IFERROR(__xludf.DUMMYFUNCTION("""COMPUTED_VALUE"""),"")</f>
        <v/>
      </c>
    </row>
    <row r="3732">
      <c r="A3732" s="2" t="s">
        <v>33</v>
      </c>
      <c r="B3732" s="12">
        <v>3601465.0</v>
      </c>
      <c r="C3732" s="12">
        <v>3602415.0</v>
      </c>
      <c r="D3732" s="2"/>
      <c r="E3732" s="2" t="s">
        <v>34</v>
      </c>
      <c r="F3732" s="2" t="s">
        <v>9974</v>
      </c>
      <c r="G3732" s="2"/>
      <c r="H3732" s="12">
        <v>0.0</v>
      </c>
      <c r="I3732" s="2" t="s">
        <v>40</v>
      </c>
      <c r="J3732" s="2"/>
      <c r="K3732" s="2" t="s">
        <v>9975</v>
      </c>
      <c r="L3732" s="12">
        <v>316.0</v>
      </c>
      <c r="M3732" s="2" t="s">
        <v>9976</v>
      </c>
      <c r="N3732" s="2" t="str">
        <f>IFERROR(__xludf.DUMMYFUNCTION("""COMPUTED_VALUE"""),"")</f>
        <v/>
      </c>
    </row>
    <row r="3733">
      <c r="A3733" s="2" t="s">
        <v>33</v>
      </c>
      <c r="B3733" s="12">
        <v>3602648.0</v>
      </c>
      <c r="C3733" s="12">
        <v>3603223.0</v>
      </c>
      <c r="D3733" s="2"/>
      <c r="E3733" s="2" t="s">
        <v>34</v>
      </c>
      <c r="F3733" s="2" t="s">
        <v>9977</v>
      </c>
      <c r="G3733" s="2"/>
      <c r="H3733" s="12">
        <v>0.0</v>
      </c>
      <c r="I3733" s="2" t="s">
        <v>40</v>
      </c>
      <c r="J3733" s="2"/>
      <c r="K3733" s="2" t="s">
        <v>9978</v>
      </c>
      <c r="L3733" s="12">
        <v>191.0</v>
      </c>
      <c r="M3733" s="2" t="s">
        <v>9979</v>
      </c>
      <c r="N3733" s="2" t="str">
        <f>IFERROR(__xludf.DUMMYFUNCTION("""COMPUTED_VALUE"""),"")</f>
        <v/>
      </c>
    </row>
    <row r="3734">
      <c r="A3734" s="2" t="s">
        <v>33</v>
      </c>
      <c r="B3734" s="12">
        <v>3603270.0</v>
      </c>
      <c r="C3734" s="12">
        <v>3603821.0</v>
      </c>
      <c r="D3734" s="2"/>
      <c r="E3734" s="2" t="s">
        <v>34</v>
      </c>
      <c r="F3734" s="2" t="s">
        <v>9980</v>
      </c>
      <c r="G3734" s="2" t="s">
        <v>9981</v>
      </c>
      <c r="H3734" s="12">
        <v>0.0</v>
      </c>
      <c r="I3734" s="2" t="s">
        <v>40</v>
      </c>
      <c r="J3734" s="2"/>
      <c r="K3734" s="2" t="s">
        <v>9982</v>
      </c>
      <c r="L3734" s="12">
        <v>183.0</v>
      </c>
      <c r="M3734" s="2" t="s">
        <v>9983</v>
      </c>
      <c r="N3734" s="2" t="str">
        <f>IFERROR(__xludf.DUMMYFUNCTION("""COMPUTED_VALUE"""),"")</f>
        <v/>
      </c>
    </row>
    <row r="3735">
      <c r="A3735" s="2" t="s">
        <v>33</v>
      </c>
      <c r="B3735" s="12">
        <v>3604376.0</v>
      </c>
      <c r="C3735" s="12">
        <v>3604942.0</v>
      </c>
      <c r="D3735" s="2"/>
      <c r="E3735" s="2" t="s">
        <v>34</v>
      </c>
      <c r="F3735" s="2" t="s">
        <v>9984</v>
      </c>
      <c r="G3735" s="2"/>
      <c r="H3735" s="12">
        <v>0.0</v>
      </c>
      <c r="I3735" s="2" t="s">
        <v>40</v>
      </c>
      <c r="J3735" s="2"/>
      <c r="K3735" s="2" t="s">
        <v>9985</v>
      </c>
      <c r="L3735" s="12">
        <v>188.0</v>
      </c>
      <c r="M3735" s="2" t="s">
        <v>9986</v>
      </c>
      <c r="N3735" s="2" t="str">
        <f>IFERROR(__xludf.DUMMYFUNCTION("""COMPUTED_VALUE"""),"")</f>
        <v/>
      </c>
    </row>
    <row r="3736">
      <c r="A3736" s="2" t="s">
        <v>33</v>
      </c>
      <c r="B3736" s="12">
        <v>3604965.0</v>
      </c>
      <c r="C3736" s="12">
        <v>3606557.0</v>
      </c>
      <c r="D3736" s="2"/>
      <c r="E3736" s="2" t="s">
        <v>34</v>
      </c>
      <c r="F3736" s="2" t="s">
        <v>9987</v>
      </c>
      <c r="G3736" s="2"/>
      <c r="H3736" s="12">
        <v>0.0</v>
      </c>
      <c r="I3736" s="2" t="s">
        <v>40</v>
      </c>
      <c r="J3736" s="2"/>
      <c r="K3736" s="2" t="s">
        <v>9988</v>
      </c>
      <c r="L3736" s="12">
        <v>530.0</v>
      </c>
      <c r="M3736" s="2" t="s">
        <v>9989</v>
      </c>
      <c r="N3736" s="2" t="str">
        <f>IFERROR(__xludf.DUMMYFUNCTION("""COMPUTED_VALUE"""),"")</f>
        <v/>
      </c>
    </row>
    <row r="3737">
      <c r="A3737" s="2" t="s">
        <v>33</v>
      </c>
      <c r="B3737" s="12">
        <v>3606547.0</v>
      </c>
      <c r="C3737" s="12">
        <v>3607791.0</v>
      </c>
      <c r="D3737" s="2"/>
      <c r="E3737" s="2" t="s">
        <v>34</v>
      </c>
      <c r="F3737" s="2" t="s">
        <v>9984</v>
      </c>
      <c r="G3737" s="2"/>
      <c r="H3737" s="12">
        <v>0.0</v>
      </c>
      <c r="I3737" s="2" t="s">
        <v>40</v>
      </c>
      <c r="J3737" s="2"/>
      <c r="K3737" s="2" t="s">
        <v>9990</v>
      </c>
      <c r="L3737" s="12">
        <v>414.0</v>
      </c>
      <c r="M3737" s="2" t="s">
        <v>9991</v>
      </c>
      <c r="N3737" s="2" t="str">
        <f>IFERROR(__xludf.DUMMYFUNCTION("""COMPUTED_VALUE"""),"")</f>
        <v/>
      </c>
    </row>
    <row r="3738">
      <c r="A3738" s="2" t="s">
        <v>33</v>
      </c>
      <c r="B3738" s="12">
        <v>3607815.0</v>
      </c>
      <c r="C3738" s="12">
        <v>3610973.0</v>
      </c>
      <c r="D3738" s="2"/>
      <c r="E3738" s="2" t="s">
        <v>34</v>
      </c>
      <c r="F3738" s="2" t="s">
        <v>9992</v>
      </c>
      <c r="G3738" s="2"/>
      <c r="H3738" s="12">
        <v>0.0</v>
      </c>
      <c r="I3738" s="2" t="s">
        <v>40</v>
      </c>
      <c r="J3738" s="2"/>
      <c r="K3738" s="2" t="s">
        <v>9993</v>
      </c>
      <c r="L3738" s="12">
        <v>1052.0</v>
      </c>
      <c r="M3738" s="2" t="s">
        <v>9994</v>
      </c>
      <c r="N3738" s="2" t="str">
        <f>IFERROR(__xludf.DUMMYFUNCTION("""COMPUTED_VALUE"""),"")</f>
        <v/>
      </c>
    </row>
    <row r="3739">
      <c r="A3739" s="2" t="s">
        <v>33</v>
      </c>
      <c r="B3739" s="12">
        <v>3611051.0</v>
      </c>
      <c r="C3739" s="12">
        <v>3612553.0</v>
      </c>
      <c r="D3739" s="2"/>
      <c r="E3739" s="2" t="s">
        <v>34</v>
      </c>
      <c r="F3739" s="2" t="s">
        <v>1952</v>
      </c>
      <c r="G3739" s="2"/>
      <c r="H3739" s="12">
        <v>0.0</v>
      </c>
      <c r="I3739" s="2" t="s">
        <v>40</v>
      </c>
      <c r="J3739" s="2"/>
      <c r="K3739" s="2" t="s">
        <v>9995</v>
      </c>
      <c r="L3739" s="12">
        <v>500.0</v>
      </c>
      <c r="M3739" s="2" t="s">
        <v>9996</v>
      </c>
      <c r="N3739" s="2" t="str">
        <f>IFERROR(__xludf.DUMMYFUNCTION("""COMPUTED_VALUE"""),"")</f>
        <v/>
      </c>
    </row>
    <row r="3740">
      <c r="A3740" s="2" t="s">
        <v>33</v>
      </c>
      <c r="B3740" s="12">
        <v>3612572.0</v>
      </c>
      <c r="C3740" s="12">
        <v>3613192.0</v>
      </c>
      <c r="D3740" s="2"/>
      <c r="E3740" s="2" t="s">
        <v>34</v>
      </c>
      <c r="F3740" s="2" t="s">
        <v>9997</v>
      </c>
      <c r="G3740" s="2"/>
      <c r="H3740" s="12">
        <v>0.0</v>
      </c>
      <c r="I3740" s="2" t="s">
        <v>40</v>
      </c>
      <c r="J3740" s="2"/>
      <c r="K3740" s="2" t="s">
        <v>9998</v>
      </c>
      <c r="L3740" s="12">
        <v>206.0</v>
      </c>
      <c r="M3740" s="2" t="s">
        <v>9999</v>
      </c>
      <c r="N3740" s="2" t="str">
        <f>IFERROR(__xludf.DUMMYFUNCTION("""COMPUTED_VALUE"""),"")</f>
        <v/>
      </c>
    </row>
    <row r="3741">
      <c r="A3741" s="2" t="s">
        <v>33</v>
      </c>
      <c r="B3741" s="12">
        <v>3613602.0</v>
      </c>
      <c r="C3741" s="12">
        <v>3614288.0</v>
      </c>
      <c r="D3741" s="2"/>
      <c r="E3741" s="2" t="s">
        <v>34</v>
      </c>
      <c r="F3741" s="2" t="s">
        <v>39</v>
      </c>
      <c r="G3741" s="2"/>
      <c r="H3741" s="12">
        <v>0.0</v>
      </c>
      <c r="I3741" s="2" t="s">
        <v>40</v>
      </c>
      <c r="J3741" s="2"/>
      <c r="K3741" s="2" t="s">
        <v>10000</v>
      </c>
      <c r="L3741" s="12">
        <v>228.0</v>
      </c>
      <c r="M3741" s="2" t="s">
        <v>10001</v>
      </c>
      <c r="N3741" s="2" t="str">
        <f>IFERROR(__xludf.DUMMYFUNCTION("""COMPUTED_VALUE"""),"")</f>
        <v/>
      </c>
    </row>
    <row r="3742">
      <c r="A3742" s="2" t="s">
        <v>33</v>
      </c>
      <c r="B3742" s="12">
        <v>3615293.0</v>
      </c>
      <c r="C3742" s="12">
        <v>3615991.0</v>
      </c>
      <c r="D3742" s="2"/>
      <c r="E3742" s="2" t="s">
        <v>38</v>
      </c>
      <c r="F3742" s="2" t="s">
        <v>39</v>
      </c>
      <c r="G3742" s="2"/>
      <c r="H3742" s="12">
        <v>0.0</v>
      </c>
      <c r="I3742" s="2" t="s">
        <v>40</v>
      </c>
      <c r="J3742" s="2"/>
      <c r="K3742" s="2" t="s">
        <v>10002</v>
      </c>
      <c r="L3742" s="12">
        <v>232.0</v>
      </c>
      <c r="M3742" s="2" t="s">
        <v>10003</v>
      </c>
      <c r="N3742" s="2" t="str">
        <f>IFERROR(__xludf.DUMMYFUNCTION("""COMPUTED_VALUE"""),"")</f>
        <v/>
      </c>
    </row>
    <row r="3743">
      <c r="A3743" s="2" t="s">
        <v>33</v>
      </c>
      <c r="B3743" s="12">
        <v>3615984.0</v>
      </c>
      <c r="C3743" s="12">
        <v>3617699.0</v>
      </c>
      <c r="D3743" s="2"/>
      <c r="E3743" s="2" t="s">
        <v>38</v>
      </c>
      <c r="F3743" s="2" t="s">
        <v>55</v>
      </c>
      <c r="G3743" s="2"/>
      <c r="H3743" s="12">
        <v>0.0</v>
      </c>
      <c r="I3743" s="2" t="s">
        <v>40</v>
      </c>
      <c r="J3743" s="2"/>
      <c r="K3743" s="2" t="s">
        <v>10004</v>
      </c>
      <c r="L3743" s="12">
        <v>571.0</v>
      </c>
      <c r="M3743" s="2" t="s">
        <v>10005</v>
      </c>
      <c r="N3743" s="2" t="str">
        <f>IFERROR(__xludf.DUMMYFUNCTION("""COMPUTED_VALUE"""),"")</f>
        <v/>
      </c>
    </row>
    <row r="3744">
      <c r="A3744" s="2" t="s">
        <v>33</v>
      </c>
      <c r="B3744" s="12">
        <v>3617708.0</v>
      </c>
      <c r="C3744" s="12">
        <v>3620983.0</v>
      </c>
      <c r="D3744" s="2"/>
      <c r="E3744" s="2" t="s">
        <v>38</v>
      </c>
      <c r="F3744" s="2" t="s">
        <v>39</v>
      </c>
      <c r="G3744" s="2"/>
      <c r="H3744" s="12">
        <v>0.0</v>
      </c>
      <c r="I3744" s="2" t="s">
        <v>40</v>
      </c>
      <c r="J3744" s="2"/>
      <c r="K3744" s="2" t="s">
        <v>10006</v>
      </c>
      <c r="L3744" s="12">
        <v>1091.0</v>
      </c>
      <c r="M3744" s="2" t="s">
        <v>10007</v>
      </c>
      <c r="N3744" s="2" t="str">
        <f>IFERROR(__xludf.DUMMYFUNCTION("""COMPUTED_VALUE"""),"")</f>
        <v/>
      </c>
    </row>
    <row r="3745">
      <c r="A3745" s="2" t="s">
        <v>33</v>
      </c>
      <c r="B3745" s="12">
        <v>3620958.0</v>
      </c>
      <c r="C3745" s="12">
        <v>3622307.0</v>
      </c>
      <c r="D3745" s="2"/>
      <c r="E3745" s="2" t="s">
        <v>38</v>
      </c>
      <c r="F3745" s="2" t="s">
        <v>39</v>
      </c>
      <c r="G3745" s="2"/>
      <c r="H3745" s="12">
        <v>0.0</v>
      </c>
      <c r="I3745" s="2" t="s">
        <v>40</v>
      </c>
      <c r="J3745" s="2"/>
      <c r="K3745" s="2" t="s">
        <v>10008</v>
      </c>
      <c r="L3745" s="12">
        <v>449.0</v>
      </c>
      <c r="M3745" s="2" t="s">
        <v>10009</v>
      </c>
      <c r="N3745" s="2" t="str">
        <f>IFERROR(__xludf.DUMMYFUNCTION("""COMPUTED_VALUE"""),"")</f>
        <v/>
      </c>
    </row>
    <row r="3746">
      <c r="A3746" s="2" t="s">
        <v>33</v>
      </c>
      <c r="B3746" s="12">
        <v>3622489.0</v>
      </c>
      <c r="C3746" s="12">
        <v>3622656.0</v>
      </c>
      <c r="D3746" s="2"/>
      <c r="E3746" s="2" t="s">
        <v>34</v>
      </c>
      <c r="F3746" s="2" t="s">
        <v>35</v>
      </c>
      <c r="G3746" s="2"/>
      <c r="H3746" s="12">
        <v>0.0</v>
      </c>
      <c r="I3746" s="2" t="s">
        <v>36</v>
      </c>
      <c r="J3746" s="2"/>
      <c r="K3746" s="2"/>
      <c r="L3746" s="2"/>
      <c r="M3746" s="2" t="s">
        <v>10010</v>
      </c>
      <c r="N3746" s="2" t="str">
        <f>IFERROR(__xludf.DUMMYFUNCTION("""COMPUTED_VALUE"""),"")</f>
        <v/>
      </c>
    </row>
    <row r="3747">
      <c r="A3747" s="2" t="s">
        <v>33</v>
      </c>
      <c r="B3747" s="12">
        <v>3622814.0</v>
      </c>
      <c r="C3747" s="12">
        <v>3623833.0</v>
      </c>
      <c r="D3747" s="2"/>
      <c r="E3747" s="2" t="s">
        <v>34</v>
      </c>
      <c r="F3747" s="2" t="s">
        <v>10011</v>
      </c>
      <c r="G3747" s="2" t="s">
        <v>10012</v>
      </c>
      <c r="H3747" s="12">
        <v>0.0</v>
      </c>
      <c r="I3747" s="2" t="s">
        <v>40</v>
      </c>
      <c r="J3747" s="2"/>
      <c r="K3747" s="2" t="s">
        <v>10013</v>
      </c>
      <c r="L3747" s="12">
        <v>339.0</v>
      </c>
      <c r="M3747" s="2" t="s">
        <v>10014</v>
      </c>
      <c r="N3747" s="2" t="str">
        <f>IFERROR(__xludf.DUMMYFUNCTION("""COMPUTED_VALUE"""),"")</f>
        <v/>
      </c>
    </row>
    <row r="3748">
      <c r="A3748" s="2" t="s">
        <v>33</v>
      </c>
      <c r="B3748" s="12">
        <v>3623875.0</v>
      </c>
      <c r="C3748" s="12">
        <v>3624726.0</v>
      </c>
      <c r="D3748" s="2"/>
      <c r="E3748" s="2" t="s">
        <v>34</v>
      </c>
      <c r="F3748" s="2" t="s">
        <v>10015</v>
      </c>
      <c r="G3748" s="2" t="s">
        <v>10016</v>
      </c>
      <c r="H3748" s="12">
        <v>0.0</v>
      </c>
      <c r="I3748" s="2" t="s">
        <v>40</v>
      </c>
      <c r="J3748" s="2"/>
      <c r="K3748" s="2" t="s">
        <v>10017</v>
      </c>
      <c r="L3748" s="12">
        <v>283.0</v>
      </c>
      <c r="M3748" s="2" t="s">
        <v>10018</v>
      </c>
      <c r="N3748" s="2" t="str">
        <f>IFERROR(__xludf.DUMMYFUNCTION("""COMPUTED_VALUE"""),"")</f>
        <v/>
      </c>
    </row>
    <row r="3749">
      <c r="A3749" s="2" t="s">
        <v>33</v>
      </c>
      <c r="B3749" s="12">
        <v>3624741.0</v>
      </c>
      <c r="C3749" s="12">
        <v>3625286.0</v>
      </c>
      <c r="D3749" s="2"/>
      <c r="E3749" s="2" t="s">
        <v>34</v>
      </c>
      <c r="F3749" s="2" t="s">
        <v>10019</v>
      </c>
      <c r="G3749" s="2" t="s">
        <v>10020</v>
      </c>
      <c r="H3749" s="12">
        <v>0.0</v>
      </c>
      <c r="I3749" s="2" t="s">
        <v>40</v>
      </c>
      <c r="J3749" s="2"/>
      <c r="K3749" s="2" t="s">
        <v>10021</v>
      </c>
      <c r="L3749" s="12">
        <v>181.0</v>
      </c>
      <c r="M3749" s="2" t="s">
        <v>10022</v>
      </c>
      <c r="N3749" s="2" t="str">
        <f>IFERROR(__xludf.DUMMYFUNCTION("""COMPUTED_VALUE"""),"")</f>
        <v/>
      </c>
    </row>
    <row r="3750">
      <c r="A3750" s="2" t="s">
        <v>33</v>
      </c>
      <c r="B3750" s="12">
        <v>3625322.0</v>
      </c>
      <c r="C3750" s="12">
        <v>3626008.0</v>
      </c>
      <c r="D3750" s="2"/>
      <c r="E3750" s="2" t="s">
        <v>34</v>
      </c>
      <c r="F3750" s="2" t="s">
        <v>10023</v>
      </c>
      <c r="G3750" s="2" t="s">
        <v>10024</v>
      </c>
      <c r="H3750" s="12">
        <v>0.0</v>
      </c>
      <c r="I3750" s="2" t="s">
        <v>40</v>
      </c>
      <c r="J3750" s="2"/>
      <c r="K3750" s="2" t="s">
        <v>10025</v>
      </c>
      <c r="L3750" s="12">
        <v>228.0</v>
      </c>
      <c r="M3750" s="2" t="s">
        <v>10026</v>
      </c>
      <c r="N3750" s="2" t="str">
        <f>IFERROR(__xludf.DUMMYFUNCTION("""COMPUTED_VALUE"""),"")</f>
        <v/>
      </c>
    </row>
    <row r="3751">
      <c r="A3751" s="2" t="s">
        <v>33</v>
      </c>
      <c r="B3751" s="12">
        <v>3626011.0</v>
      </c>
      <c r="C3751" s="12">
        <v>3626808.0</v>
      </c>
      <c r="D3751" s="2"/>
      <c r="E3751" s="2" t="s">
        <v>34</v>
      </c>
      <c r="F3751" s="2" t="s">
        <v>10027</v>
      </c>
      <c r="G3751" s="2" t="s">
        <v>10028</v>
      </c>
      <c r="H3751" s="12">
        <v>0.0</v>
      </c>
      <c r="I3751" s="2" t="s">
        <v>40</v>
      </c>
      <c r="J3751" s="2"/>
      <c r="K3751" s="2" t="s">
        <v>10029</v>
      </c>
      <c r="L3751" s="12">
        <v>265.0</v>
      </c>
      <c r="M3751" s="2" t="s">
        <v>10030</v>
      </c>
      <c r="N3751" s="2" t="str">
        <f>IFERROR(__xludf.DUMMYFUNCTION("""COMPUTED_VALUE"""),"")</f>
        <v/>
      </c>
    </row>
    <row r="3752">
      <c r="A3752" s="2" t="s">
        <v>33</v>
      </c>
      <c r="B3752" s="12">
        <v>3626942.0</v>
      </c>
      <c r="C3752" s="12">
        <v>3627688.0</v>
      </c>
      <c r="D3752" s="2"/>
      <c r="E3752" s="2" t="s">
        <v>34</v>
      </c>
      <c r="F3752" s="2" t="s">
        <v>10031</v>
      </c>
      <c r="G3752" s="2" t="s">
        <v>10032</v>
      </c>
      <c r="H3752" s="12">
        <v>0.0</v>
      </c>
      <c r="I3752" s="2" t="s">
        <v>40</v>
      </c>
      <c r="J3752" s="2"/>
      <c r="K3752" s="2" t="s">
        <v>10033</v>
      </c>
      <c r="L3752" s="12">
        <v>248.0</v>
      </c>
      <c r="M3752" s="2" t="s">
        <v>10034</v>
      </c>
      <c r="N3752" s="2" t="str">
        <f>IFERROR(__xludf.DUMMYFUNCTION("""COMPUTED_VALUE"""),"")</f>
        <v/>
      </c>
    </row>
    <row r="3753">
      <c r="A3753" s="2" t="s">
        <v>33</v>
      </c>
      <c r="B3753" s="12">
        <v>3627681.0</v>
      </c>
      <c r="C3753" s="12">
        <v>3628541.0</v>
      </c>
      <c r="D3753" s="2"/>
      <c r="E3753" s="2" t="s">
        <v>34</v>
      </c>
      <c r="F3753" s="2" t="s">
        <v>10035</v>
      </c>
      <c r="G3753" s="2" t="s">
        <v>10036</v>
      </c>
      <c r="H3753" s="12">
        <v>0.0</v>
      </c>
      <c r="I3753" s="2" t="s">
        <v>40</v>
      </c>
      <c r="J3753" s="2"/>
      <c r="K3753" s="2" t="s">
        <v>10037</v>
      </c>
      <c r="L3753" s="12">
        <v>286.0</v>
      </c>
      <c r="M3753" s="2" t="s">
        <v>10038</v>
      </c>
      <c r="N3753" s="2" t="str">
        <f>IFERROR(__xludf.DUMMYFUNCTION("""COMPUTED_VALUE"""),"")</f>
        <v/>
      </c>
    </row>
    <row r="3754">
      <c r="A3754" s="2" t="s">
        <v>33</v>
      </c>
      <c r="B3754" s="12">
        <v>3628609.0</v>
      </c>
      <c r="C3754" s="12">
        <v>3629997.0</v>
      </c>
      <c r="D3754" s="2"/>
      <c r="E3754" s="2" t="s">
        <v>34</v>
      </c>
      <c r="F3754" s="2" t="s">
        <v>10039</v>
      </c>
      <c r="G3754" s="2"/>
      <c r="H3754" s="12">
        <v>0.0</v>
      </c>
      <c r="I3754" s="2" t="s">
        <v>40</v>
      </c>
      <c r="J3754" s="2"/>
      <c r="K3754" s="2" t="s">
        <v>10040</v>
      </c>
      <c r="L3754" s="12">
        <v>462.0</v>
      </c>
      <c r="M3754" s="2" t="s">
        <v>10041</v>
      </c>
      <c r="N3754" s="2" t="str">
        <f>IFERROR(__xludf.DUMMYFUNCTION("""COMPUTED_VALUE"""),"")</f>
        <v/>
      </c>
    </row>
    <row r="3755">
      <c r="A3755" s="2" t="s">
        <v>33</v>
      </c>
      <c r="B3755" s="12">
        <v>3630167.0</v>
      </c>
      <c r="C3755" s="12">
        <v>3630475.0</v>
      </c>
      <c r="D3755" s="2"/>
      <c r="E3755" s="2" t="s">
        <v>34</v>
      </c>
      <c r="F3755" s="2" t="s">
        <v>10042</v>
      </c>
      <c r="G3755" s="2" t="s">
        <v>10043</v>
      </c>
      <c r="H3755" s="12">
        <v>0.0</v>
      </c>
      <c r="I3755" s="2" t="s">
        <v>40</v>
      </c>
      <c r="J3755" s="2"/>
      <c r="K3755" s="2" t="s">
        <v>10044</v>
      </c>
      <c r="L3755" s="12">
        <v>102.0</v>
      </c>
      <c r="M3755" s="2" t="s">
        <v>10045</v>
      </c>
      <c r="N3755" s="2" t="str">
        <f>IFERROR(__xludf.DUMMYFUNCTION("""COMPUTED_VALUE"""),"")</f>
        <v/>
      </c>
    </row>
    <row r="3756">
      <c r="A3756" s="2" t="s">
        <v>33</v>
      </c>
      <c r="B3756" s="12">
        <v>3630487.0</v>
      </c>
      <c r="C3756" s="12">
        <v>3630831.0</v>
      </c>
      <c r="D3756" s="2"/>
      <c r="E3756" s="2" t="s">
        <v>34</v>
      </c>
      <c r="F3756" s="2" t="s">
        <v>10046</v>
      </c>
      <c r="G3756" s="2"/>
      <c r="H3756" s="12">
        <v>0.0</v>
      </c>
      <c r="I3756" s="2" t="s">
        <v>40</v>
      </c>
      <c r="J3756" s="2"/>
      <c r="K3756" s="2" t="s">
        <v>10047</v>
      </c>
      <c r="L3756" s="12">
        <v>114.0</v>
      </c>
      <c r="M3756" s="2" t="s">
        <v>10048</v>
      </c>
      <c r="N3756" s="2" t="str">
        <f>IFERROR(__xludf.DUMMYFUNCTION("""COMPUTED_VALUE"""),"")</f>
        <v/>
      </c>
    </row>
    <row r="3757">
      <c r="A3757" s="2" t="s">
        <v>33</v>
      </c>
      <c r="B3757" s="12">
        <v>3630835.0</v>
      </c>
      <c r="C3757" s="12">
        <v>3631125.0</v>
      </c>
      <c r="D3757" s="2"/>
      <c r="E3757" s="2" t="s">
        <v>34</v>
      </c>
      <c r="F3757" s="2" t="s">
        <v>10049</v>
      </c>
      <c r="G3757" s="2" t="s">
        <v>10050</v>
      </c>
      <c r="H3757" s="12">
        <v>0.0</v>
      </c>
      <c r="I3757" s="2" t="s">
        <v>40</v>
      </c>
      <c r="J3757" s="2"/>
      <c r="K3757" s="2" t="s">
        <v>10051</v>
      </c>
      <c r="L3757" s="12">
        <v>96.0</v>
      </c>
      <c r="M3757" s="2" t="s">
        <v>10052</v>
      </c>
      <c r="N3757" s="2" t="str">
        <f>IFERROR(__xludf.DUMMYFUNCTION("""COMPUTED_VALUE"""),"")</f>
        <v/>
      </c>
    </row>
    <row r="3758">
      <c r="A3758" s="2" t="s">
        <v>33</v>
      </c>
      <c r="B3758" s="12">
        <v>3631189.0</v>
      </c>
      <c r="C3758" s="12">
        <v>3631737.0</v>
      </c>
      <c r="D3758" s="2"/>
      <c r="E3758" s="2" t="s">
        <v>34</v>
      </c>
      <c r="F3758" s="2" t="s">
        <v>10053</v>
      </c>
      <c r="G3758" s="2"/>
      <c r="H3758" s="12">
        <v>0.0</v>
      </c>
      <c r="I3758" s="2" t="s">
        <v>40</v>
      </c>
      <c r="J3758" s="2"/>
      <c r="K3758" s="2" t="s">
        <v>10054</v>
      </c>
      <c r="L3758" s="12">
        <v>182.0</v>
      </c>
      <c r="M3758" s="2" t="s">
        <v>10055</v>
      </c>
      <c r="N3758" s="2" t="str">
        <f>IFERROR(__xludf.DUMMYFUNCTION("""COMPUTED_VALUE"""),"")</f>
        <v/>
      </c>
    </row>
    <row r="3759">
      <c r="A3759" s="2" t="s">
        <v>33</v>
      </c>
      <c r="B3759" s="12">
        <v>3631737.0</v>
      </c>
      <c r="C3759" s="12">
        <v>3633023.0</v>
      </c>
      <c r="D3759" s="2"/>
      <c r="E3759" s="2" t="s">
        <v>34</v>
      </c>
      <c r="F3759" s="2" t="s">
        <v>10056</v>
      </c>
      <c r="G3759" s="2" t="s">
        <v>10057</v>
      </c>
      <c r="H3759" s="12">
        <v>0.0</v>
      </c>
      <c r="I3759" s="2" t="s">
        <v>40</v>
      </c>
      <c r="J3759" s="2"/>
      <c r="K3759" s="2" t="s">
        <v>10058</v>
      </c>
      <c r="L3759" s="12">
        <v>428.0</v>
      </c>
      <c r="M3759" s="2" t="s">
        <v>10059</v>
      </c>
      <c r="N3759" s="2" t="str">
        <f>IFERROR(__xludf.DUMMYFUNCTION("""COMPUTED_VALUE"""),"")</f>
        <v/>
      </c>
    </row>
    <row r="3760">
      <c r="A3760" s="2" t="s">
        <v>33</v>
      </c>
      <c r="B3760" s="12">
        <v>3633163.0</v>
      </c>
      <c r="C3760" s="12">
        <v>3633870.0</v>
      </c>
      <c r="D3760" s="2"/>
      <c r="E3760" s="2" t="s">
        <v>34</v>
      </c>
      <c r="F3760" s="2" t="s">
        <v>379</v>
      </c>
      <c r="G3760" s="2"/>
      <c r="H3760" s="12">
        <v>0.0</v>
      </c>
      <c r="I3760" s="2" t="s">
        <v>40</v>
      </c>
      <c r="J3760" s="2"/>
      <c r="K3760" s="2" t="s">
        <v>10060</v>
      </c>
      <c r="L3760" s="12">
        <v>235.0</v>
      </c>
      <c r="M3760" s="2" t="s">
        <v>10061</v>
      </c>
      <c r="N3760" s="2" t="str">
        <f>IFERROR(__xludf.DUMMYFUNCTION("""COMPUTED_VALUE"""),"")</f>
        <v/>
      </c>
    </row>
    <row r="3761">
      <c r="A3761" s="2" t="s">
        <v>33</v>
      </c>
      <c r="B3761" s="12">
        <v>3633860.0</v>
      </c>
      <c r="C3761" s="12">
        <v>3634942.0</v>
      </c>
      <c r="D3761" s="2"/>
      <c r="E3761" s="2" t="s">
        <v>34</v>
      </c>
      <c r="F3761" s="2" t="s">
        <v>9759</v>
      </c>
      <c r="G3761" s="2"/>
      <c r="H3761" s="12">
        <v>0.0</v>
      </c>
      <c r="I3761" s="2" t="s">
        <v>40</v>
      </c>
      <c r="J3761" s="2"/>
      <c r="K3761" s="2" t="s">
        <v>10062</v>
      </c>
      <c r="L3761" s="12">
        <v>360.0</v>
      </c>
      <c r="M3761" s="2" t="s">
        <v>10063</v>
      </c>
      <c r="N3761" s="2" t="str">
        <f>IFERROR(__xludf.DUMMYFUNCTION("""COMPUTED_VALUE"""),"")</f>
        <v/>
      </c>
    </row>
    <row r="3762">
      <c r="A3762" s="2" t="s">
        <v>33</v>
      </c>
      <c r="B3762" s="12">
        <v>3635036.0</v>
      </c>
      <c r="C3762" s="12">
        <v>3635812.0</v>
      </c>
      <c r="D3762" s="2"/>
      <c r="E3762" s="2" t="s">
        <v>34</v>
      </c>
      <c r="F3762" s="2" t="s">
        <v>432</v>
      </c>
      <c r="G3762" s="2"/>
      <c r="H3762" s="12">
        <v>0.0</v>
      </c>
      <c r="I3762" s="2" t="s">
        <v>40</v>
      </c>
      <c r="J3762" s="2"/>
      <c r="K3762" s="2" t="s">
        <v>10064</v>
      </c>
      <c r="L3762" s="12">
        <v>258.0</v>
      </c>
      <c r="M3762" s="2" t="s">
        <v>10065</v>
      </c>
      <c r="N3762" s="2" t="str">
        <f>IFERROR(__xludf.DUMMYFUNCTION("""COMPUTED_VALUE"""),"")</f>
        <v/>
      </c>
    </row>
    <row r="3763">
      <c r="A3763" s="2" t="s">
        <v>33</v>
      </c>
      <c r="B3763" s="12">
        <v>3635787.0</v>
      </c>
      <c r="C3763" s="12">
        <v>3637709.0</v>
      </c>
      <c r="D3763" s="2"/>
      <c r="E3763" s="2" t="s">
        <v>34</v>
      </c>
      <c r="F3763" s="2" t="s">
        <v>265</v>
      </c>
      <c r="G3763" s="2"/>
      <c r="H3763" s="12">
        <v>0.0</v>
      </c>
      <c r="I3763" s="2" t="s">
        <v>40</v>
      </c>
      <c r="J3763" s="2"/>
      <c r="K3763" s="2" t="s">
        <v>10066</v>
      </c>
      <c r="L3763" s="12">
        <v>640.0</v>
      </c>
      <c r="M3763" s="2" t="s">
        <v>10067</v>
      </c>
      <c r="N3763" s="2" t="str">
        <f>IFERROR(__xludf.DUMMYFUNCTION("""COMPUTED_VALUE"""),"")</f>
        <v/>
      </c>
    </row>
    <row r="3764">
      <c r="A3764" s="2" t="s">
        <v>33</v>
      </c>
      <c r="B3764" s="12">
        <v>3637759.0</v>
      </c>
      <c r="C3764" s="12">
        <v>3639672.0</v>
      </c>
      <c r="D3764" s="2"/>
      <c r="E3764" s="2" t="s">
        <v>34</v>
      </c>
      <c r="F3764" s="2" t="s">
        <v>265</v>
      </c>
      <c r="G3764" s="2"/>
      <c r="H3764" s="12">
        <v>0.0</v>
      </c>
      <c r="I3764" s="2" t="s">
        <v>40</v>
      </c>
      <c r="J3764" s="2"/>
      <c r="K3764" s="2" t="s">
        <v>10068</v>
      </c>
      <c r="L3764" s="12">
        <v>637.0</v>
      </c>
      <c r="M3764" s="2" t="s">
        <v>10069</v>
      </c>
      <c r="N3764" s="2" t="str">
        <f>IFERROR(__xludf.DUMMYFUNCTION("""COMPUTED_VALUE"""),"")</f>
        <v/>
      </c>
    </row>
    <row r="3765">
      <c r="A3765" s="2" t="s">
        <v>33</v>
      </c>
      <c r="B3765" s="12">
        <v>3639769.0</v>
      </c>
      <c r="C3765" s="12">
        <v>3640620.0</v>
      </c>
      <c r="D3765" s="2"/>
      <c r="E3765" s="2" t="s">
        <v>34</v>
      </c>
      <c r="F3765" s="2" t="s">
        <v>10070</v>
      </c>
      <c r="G3765" s="2" t="s">
        <v>10071</v>
      </c>
      <c r="H3765" s="12">
        <v>0.0</v>
      </c>
      <c r="I3765" s="2" t="s">
        <v>40</v>
      </c>
      <c r="J3765" s="2"/>
      <c r="K3765" s="2" t="s">
        <v>10072</v>
      </c>
      <c r="L3765" s="12">
        <v>283.0</v>
      </c>
      <c r="M3765" s="2" t="s">
        <v>10073</v>
      </c>
      <c r="N3765" s="2" t="str">
        <f>IFERROR(__xludf.DUMMYFUNCTION("""COMPUTED_VALUE"""),"")</f>
        <v/>
      </c>
    </row>
    <row r="3766">
      <c r="A3766" s="2" t="s">
        <v>33</v>
      </c>
      <c r="B3766" s="12">
        <v>3640781.0</v>
      </c>
      <c r="C3766" s="12">
        <v>3641428.0</v>
      </c>
      <c r="D3766" s="2"/>
      <c r="E3766" s="2" t="s">
        <v>38</v>
      </c>
      <c r="F3766" s="2" t="s">
        <v>691</v>
      </c>
      <c r="G3766" s="2"/>
      <c r="H3766" s="12">
        <v>0.0</v>
      </c>
      <c r="I3766" s="2" t="s">
        <v>40</v>
      </c>
      <c r="J3766" s="2"/>
      <c r="K3766" s="2" t="s">
        <v>10074</v>
      </c>
      <c r="L3766" s="12">
        <v>215.0</v>
      </c>
      <c r="M3766" s="2" t="s">
        <v>10075</v>
      </c>
      <c r="N3766" s="2" t="str">
        <f>IFERROR(__xludf.DUMMYFUNCTION("""COMPUTED_VALUE"""),"")</f>
        <v/>
      </c>
    </row>
    <row r="3767">
      <c r="A3767" s="2" t="s">
        <v>33</v>
      </c>
      <c r="B3767" s="12">
        <v>3641508.0</v>
      </c>
      <c r="C3767" s="12">
        <v>3642050.0</v>
      </c>
      <c r="D3767" s="2"/>
      <c r="E3767" s="2" t="s">
        <v>38</v>
      </c>
      <c r="F3767" s="2" t="s">
        <v>10076</v>
      </c>
      <c r="G3767" s="2"/>
      <c r="H3767" s="12">
        <v>0.0</v>
      </c>
      <c r="I3767" s="2" t="s">
        <v>40</v>
      </c>
      <c r="J3767" s="2"/>
      <c r="K3767" s="2" t="s">
        <v>10077</v>
      </c>
      <c r="L3767" s="12">
        <v>180.0</v>
      </c>
      <c r="M3767" s="2" t="s">
        <v>10078</v>
      </c>
      <c r="N3767" s="2" t="str">
        <f>IFERROR(__xludf.DUMMYFUNCTION("""COMPUTED_VALUE"""),"")</f>
        <v/>
      </c>
    </row>
    <row r="3768">
      <c r="A3768" s="2" t="s">
        <v>33</v>
      </c>
      <c r="B3768" s="12">
        <v>3642050.0</v>
      </c>
      <c r="C3768" s="12">
        <v>3643192.0</v>
      </c>
      <c r="D3768" s="2"/>
      <c r="E3768" s="2" t="s">
        <v>38</v>
      </c>
      <c r="F3768" s="2" t="s">
        <v>10079</v>
      </c>
      <c r="G3768" s="2"/>
      <c r="H3768" s="12">
        <v>0.0</v>
      </c>
      <c r="I3768" s="2" t="s">
        <v>40</v>
      </c>
      <c r="J3768" s="2"/>
      <c r="K3768" s="2" t="s">
        <v>10080</v>
      </c>
      <c r="L3768" s="12">
        <v>380.0</v>
      </c>
      <c r="M3768" s="2" t="s">
        <v>10081</v>
      </c>
      <c r="N3768" s="2" t="str">
        <f>IFERROR(__xludf.DUMMYFUNCTION("""COMPUTED_VALUE"""),"")</f>
        <v/>
      </c>
    </row>
    <row r="3769">
      <c r="A3769" s="2" t="s">
        <v>33</v>
      </c>
      <c r="B3769" s="12">
        <v>3643345.0</v>
      </c>
      <c r="C3769" s="12">
        <v>3644874.0</v>
      </c>
      <c r="D3769" s="2"/>
      <c r="E3769" s="2" t="s">
        <v>34</v>
      </c>
      <c r="F3769" s="2" t="s">
        <v>10082</v>
      </c>
      <c r="G3769" s="2" t="s">
        <v>10083</v>
      </c>
      <c r="H3769" s="12">
        <v>0.0</v>
      </c>
      <c r="I3769" s="2" t="s">
        <v>40</v>
      </c>
      <c r="J3769" s="2"/>
      <c r="K3769" s="2" t="s">
        <v>10084</v>
      </c>
      <c r="L3769" s="12">
        <v>509.0</v>
      </c>
      <c r="M3769" s="2" t="s">
        <v>10085</v>
      </c>
      <c r="N3769" s="2" t="str">
        <f>IFERROR(__xludf.DUMMYFUNCTION("""COMPUTED_VALUE"""),"")</f>
        <v/>
      </c>
    </row>
    <row r="3770">
      <c r="A3770" s="2" t="s">
        <v>33</v>
      </c>
      <c r="B3770" s="12">
        <v>3644894.0</v>
      </c>
      <c r="C3770" s="12">
        <v>3645727.0</v>
      </c>
      <c r="D3770" s="2"/>
      <c r="E3770" s="2" t="s">
        <v>34</v>
      </c>
      <c r="F3770" s="2" t="s">
        <v>10086</v>
      </c>
      <c r="G3770" s="2" t="s">
        <v>10087</v>
      </c>
      <c r="H3770" s="12">
        <v>0.0</v>
      </c>
      <c r="I3770" s="2" t="s">
        <v>40</v>
      </c>
      <c r="J3770" s="2"/>
      <c r="K3770" s="2" t="s">
        <v>10088</v>
      </c>
      <c r="L3770" s="12">
        <v>277.0</v>
      </c>
      <c r="M3770" s="2" t="s">
        <v>10089</v>
      </c>
      <c r="N3770" s="2" t="str">
        <f>IFERROR(__xludf.DUMMYFUNCTION("""COMPUTED_VALUE"""),"")</f>
        <v/>
      </c>
    </row>
    <row r="3771">
      <c r="A3771" s="2" t="s">
        <v>33</v>
      </c>
      <c r="B3771" s="12">
        <v>3645757.0</v>
      </c>
      <c r="C3771" s="12">
        <v>3646863.0</v>
      </c>
      <c r="D3771" s="2"/>
      <c r="E3771" s="2" t="s">
        <v>34</v>
      </c>
      <c r="F3771" s="2" t="s">
        <v>10090</v>
      </c>
      <c r="G3771" s="2" t="s">
        <v>10091</v>
      </c>
      <c r="H3771" s="12">
        <v>0.0</v>
      </c>
      <c r="I3771" s="2" t="s">
        <v>40</v>
      </c>
      <c r="J3771" s="2"/>
      <c r="K3771" s="2" t="s">
        <v>10092</v>
      </c>
      <c r="L3771" s="12">
        <v>368.0</v>
      </c>
      <c r="M3771" s="2" t="s">
        <v>10093</v>
      </c>
      <c r="N3771" s="2" t="str">
        <f>IFERROR(__xludf.DUMMYFUNCTION("""COMPUTED_VALUE"""),"")</f>
        <v/>
      </c>
    </row>
    <row r="3772">
      <c r="A3772" s="2" t="s">
        <v>33</v>
      </c>
      <c r="B3772" s="12">
        <v>3647089.0</v>
      </c>
      <c r="C3772" s="12">
        <v>3647245.0</v>
      </c>
      <c r="D3772" s="2"/>
      <c r="E3772" s="2" t="s">
        <v>34</v>
      </c>
      <c r="F3772" s="2" t="s">
        <v>35</v>
      </c>
      <c r="G3772" s="2" t="s">
        <v>10094</v>
      </c>
      <c r="H3772" s="12">
        <v>0.0</v>
      </c>
      <c r="I3772" s="2" t="s">
        <v>36</v>
      </c>
      <c r="J3772" s="2"/>
      <c r="K3772" s="2"/>
      <c r="L3772" s="2"/>
      <c r="M3772" s="2" t="s">
        <v>10095</v>
      </c>
      <c r="N3772" s="2" t="str">
        <f>IFERROR(__xludf.DUMMYFUNCTION("""COMPUTED_VALUE"""),"")</f>
        <v/>
      </c>
    </row>
    <row r="3773">
      <c r="A3773" s="2" t="s">
        <v>33</v>
      </c>
      <c r="B3773" s="12">
        <v>3649010.0</v>
      </c>
      <c r="C3773" s="12">
        <v>3649654.0</v>
      </c>
      <c r="D3773" s="2"/>
      <c r="E3773" s="2" t="s">
        <v>34</v>
      </c>
      <c r="F3773" s="2" t="s">
        <v>8183</v>
      </c>
      <c r="G3773" s="2"/>
      <c r="H3773" s="12">
        <v>0.0</v>
      </c>
      <c r="I3773" s="2" t="s">
        <v>40</v>
      </c>
      <c r="J3773" s="2"/>
      <c r="K3773" s="2" t="s">
        <v>10096</v>
      </c>
      <c r="L3773" s="12">
        <v>214.0</v>
      </c>
      <c r="M3773" s="2" t="s">
        <v>10097</v>
      </c>
      <c r="N3773" s="2" t="str">
        <f>IFERROR(__xludf.DUMMYFUNCTION("""COMPUTED_VALUE"""),"")</f>
        <v/>
      </c>
    </row>
    <row r="3774">
      <c r="A3774" s="2" t="s">
        <v>33</v>
      </c>
      <c r="B3774" s="12">
        <v>3649688.0</v>
      </c>
      <c r="C3774" s="12">
        <v>3650122.0</v>
      </c>
      <c r="D3774" s="2"/>
      <c r="E3774" s="2" t="s">
        <v>38</v>
      </c>
      <c r="F3774" s="2" t="s">
        <v>39</v>
      </c>
      <c r="G3774" s="2"/>
      <c r="H3774" s="12">
        <v>0.0</v>
      </c>
      <c r="I3774" s="2" t="s">
        <v>40</v>
      </c>
      <c r="J3774" s="2"/>
      <c r="K3774" s="2" t="s">
        <v>10098</v>
      </c>
      <c r="L3774" s="12">
        <v>144.0</v>
      </c>
      <c r="M3774" s="2" t="s">
        <v>10099</v>
      </c>
      <c r="N3774" s="2" t="str">
        <f>IFERROR(__xludf.DUMMYFUNCTION("""COMPUTED_VALUE"""),"")</f>
        <v/>
      </c>
    </row>
    <row r="3775">
      <c r="A3775" s="2" t="s">
        <v>33</v>
      </c>
      <c r="B3775" s="12">
        <v>3650556.0</v>
      </c>
      <c r="C3775" s="12">
        <v>3651086.0</v>
      </c>
      <c r="D3775" s="2"/>
      <c r="E3775" s="2" t="s">
        <v>34</v>
      </c>
      <c r="F3775" s="2" t="s">
        <v>10100</v>
      </c>
      <c r="G3775" s="2"/>
      <c r="H3775" s="12">
        <v>0.0</v>
      </c>
      <c r="I3775" s="2" t="s">
        <v>40</v>
      </c>
      <c r="J3775" s="2"/>
      <c r="K3775" s="2" t="s">
        <v>10101</v>
      </c>
      <c r="L3775" s="12">
        <v>176.0</v>
      </c>
      <c r="M3775" s="2" t="s">
        <v>10102</v>
      </c>
      <c r="N3775" s="2" t="str">
        <f>IFERROR(__xludf.DUMMYFUNCTION("""COMPUTED_VALUE"""),"")</f>
        <v/>
      </c>
    </row>
    <row r="3776">
      <c r="A3776" s="2" t="s">
        <v>33</v>
      </c>
      <c r="B3776" s="12">
        <v>3651100.0</v>
      </c>
      <c r="C3776" s="12">
        <v>3652044.0</v>
      </c>
      <c r="D3776" s="2"/>
      <c r="E3776" s="2" t="s">
        <v>38</v>
      </c>
      <c r="F3776" s="2" t="s">
        <v>6126</v>
      </c>
      <c r="G3776" s="2"/>
      <c r="H3776" s="12">
        <v>0.0</v>
      </c>
      <c r="I3776" s="2" t="s">
        <v>40</v>
      </c>
      <c r="J3776" s="2"/>
      <c r="K3776" s="2" t="s">
        <v>10103</v>
      </c>
      <c r="L3776" s="12">
        <v>314.0</v>
      </c>
      <c r="M3776" s="2" t="s">
        <v>10104</v>
      </c>
      <c r="N3776" s="2" t="str">
        <f>IFERROR(__xludf.DUMMYFUNCTION("""COMPUTED_VALUE"""),"")</f>
        <v/>
      </c>
    </row>
    <row r="3777">
      <c r="A3777" s="2" t="s">
        <v>33</v>
      </c>
      <c r="B3777" s="12">
        <v>3652233.0</v>
      </c>
      <c r="C3777" s="12">
        <v>3652850.0</v>
      </c>
      <c r="D3777" s="2"/>
      <c r="E3777" s="2" t="s">
        <v>34</v>
      </c>
      <c r="F3777" s="2" t="s">
        <v>10105</v>
      </c>
      <c r="G3777" s="2" t="s">
        <v>10106</v>
      </c>
      <c r="H3777" s="12">
        <v>0.0</v>
      </c>
      <c r="I3777" s="2" t="s">
        <v>40</v>
      </c>
      <c r="J3777" s="2"/>
      <c r="K3777" s="2" t="s">
        <v>10107</v>
      </c>
      <c r="L3777" s="12">
        <v>205.0</v>
      </c>
      <c r="M3777" s="2" t="s">
        <v>10108</v>
      </c>
      <c r="N3777" s="2" t="str">
        <f>IFERROR(__xludf.DUMMYFUNCTION("""COMPUTED_VALUE"""),"")</f>
        <v/>
      </c>
    </row>
    <row r="3778">
      <c r="A3778" s="2" t="s">
        <v>33</v>
      </c>
      <c r="B3778" s="12">
        <v>3652856.0</v>
      </c>
      <c r="C3778" s="12">
        <v>3653857.0</v>
      </c>
      <c r="D3778" s="2"/>
      <c r="E3778" s="2" t="s">
        <v>34</v>
      </c>
      <c r="F3778" s="2" t="s">
        <v>10109</v>
      </c>
      <c r="G3778" s="2" t="s">
        <v>10110</v>
      </c>
      <c r="H3778" s="12">
        <v>0.0</v>
      </c>
      <c r="I3778" s="2" t="s">
        <v>40</v>
      </c>
      <c r="J3778" s="2"/>
      <c r="K3778" s="2" t="s">
        <v>10111</v>
      </c>
      <c r="L3778" s="12">
        <v>333.0</v>
      </c>
      <c r="M3778" s="2" t="s">
        <v>10112</v>
      </c>
      <c r="N3778" s="2" t="str">
        <f>IFERROR(__xludf.DUMMYFUNCTION("""COMPUTED_VALUE"""),"")</f>
        <v/>
      </c>
    </row>
    <row r="3779">
      <c r="A3779" s="2" t="s">
        <v>33</v>
      </c>
      <c r="B3779" s="12">
        <v>3653854.0</v>
      </c>
      <c r="C3779" s="12">
        <v>3654054.0</v>
      </c>
      <c r="D3779" s="2"/>
      <c r="E3779" s="2" t="s">
        <v>34</v>
      </c>
      <c r="F3779" s="2" t="s">
        <v>10113</v>
      </c>
      <c r="G3779" s="2"/>
      <c r="H3779" s="12">
        <v>0.0</v>
      </c>
      <c r="I3779" s="2" t="s">
        <v>40</v>
      </c>
      <c r="J3779" s="2"/>
      <c r="K3779" s="2" t="s">
        <v>10114</v>
      </c>
      <c r="L3779" s="12">
        <v>66.0</v>
      </c>
      <c r="M3779" s="2" t="s">
        <v>10115</v>
      </c>
      <c r="N3779" s="2" t="str">
        <f>IFERROR(__xludf.DUMMYFUNCTION("""COMPUTED_VALUE"""),"")</f>
        <v/>
      </c>
    </row>
    <row r="3780">
      <c r="A3780" s="2" t="s">
        <v>33</v>
      </c>
      <c r="B3780" s="12">
        <v>3654074.0</v>
      </c>
      <c r="C3780" s="12">
        <v>3655126.0</v>
      </c>
      <c r="D3780" s="2"/>
      <c r="E3780" s="2" t="s">
        <v>34</v>
      </c>
      <c r="F3780" s="2" t="s">
        <v>10116</v>
      </c>
      <c r="G3780" s="2" t="s">
        <v>10117</v>
      </c>
      <c r="H3780" s="12">
        <v>0.0</v>
      </c>
      <c r="I3780" s="2" t="s">
        <v>40</v>
      </c>
      <c r="J3780" s="2"/>
      <c r="K3780" s="2" t="s">
        <v>10118</v>
      </c>
      <c r="L3780" s="12">
        <v>350.0</v>
      </c>
      <c r="M3780" s="2" t="s">
        <v>10119</v>
      </c>
      <c r="N3780" s="2" t="str">
        <f>IFERROR(__xludf.DUMMYFUNCTION("""COMPUTED_VALUE"""),"")</f>
        <v/>
      </c>
    </row>
    <row r="3781">
      <c r="A3781" s="2" t="s">
        <v>33</v>
      </c>
      <c r="B3781" s="12">
        <v>3655139.0</v>
      </c>
      <c r="C3781" s="12">
        <v>3656278.0</v>
      </c>
      <c r="D3781" s="2"/>
      <c r="E3781" s="2" t="s">
        <v>34</v>
      </c>
      <c r="F3781" s="2" t="s">
        <v>10120</v>
      </c>
      <c r="G3781" s="2" t="s">
        <v>10121</v>
      </c>
      <c r="H3781" s="12">
        <v>0.0</v>
      </c>
      <c r="I3781" s="2" t="s">
        <v>40</v>
      </c>
      <c r="J3781" s="2"/>
      <c r="K3781" s="2" t="s">
        <v>10122</v>
      </c>
      <c r="L3781" s="12">
        <v>379.0</v>
      </c>
      <c r="M3781" s="2" t="s">
        <v>10123</v>
      </c>
      <c r="N3781" s="2" t="str">
        <f>IFERROR(__xludf.DUMMYFUNCTION("""COMPUTED_VALUE"""),"")</f>
        <v/>
      </c>
    </row>
    <row r="3782">
      <c r="A3782" s="2" t="s">
        <v>33</v>
      </c>
      <c r="B3782" s="12">
        <v>3656306.0</v>
      </c>
      <c r="C3782" s="12">
        <v>3656566.0</v>
      </c>
      <c r="D3782" s="2"/>
      <c r="E3782" s="2" t="s">
        <v>34</v>
      </c>
      <c r="F3782" s="2" t="s">
        <v>10124</v>
      </c>
      <c r="G3782" s="2" t="s">
        <v>10125</v>
      </c>
      <c r="H3782" s="12">
        <v>0.0</v>
      </c>
      <c r="I3782" s="2" t="s">
        <v>40</v>
      </c>
      <c r="J3782" s="2"/>
      <c r="K3782" s="2" t="s">
        <v>10126</v>
      </c>
      <c r="L3782" s="12">
        <v>86.0</v>
      </c>
      <c r="M3782" s="2" t="s">
        <v>10127</v>
      </c>
      <c r="N3782" s="2" t="str">
        <f>IFERROR(__xludf.DUMMYFUNCTION("""COMPUTED_VALUE"""),"")</f>
        <v/>
      </c>
    </row>
    <row r="3783">
      <c r="A3783" s="2" t="s">
        <v>33</v>
      </c>
      <c r="B3783" s="12">
        <v>3656603.0</v>
      </c>
      <c r="C3783" s="12">
        <v>3656986.0</v>
      </c>
      <c r="D3783" s="2"/>
      <c r="E3783" s="2" t="s">
        <v>38</v>
      </c>
      <c r="F3783" s="2" t="s">
        <v>10128</v>
      </c>
      <c r="G3783" s="2"/>
      <c r="H3783" s="12">
        <v>0.0</v>
      </c>
      <c r="I3783" s="2" t="s">
        <v>40</v>
      </c>
      <c r="J3783" s="2"/>
      <c r="K3783" s="2" t="s">
        <v>10129</v>
      </c>
      <c r="L3783" s="12">
        <v>127.0</v>
      </c>
      <c r="M3783" s="2" t="s">
        <v>10130</v>
      </c>
      <c r="N3783" s="2" t="str">
        <f>IFERROR(__xludf.DUMMYFUNCTION("""COMPUTED_VALUE"""),"")</f>
        <v/>
      </c>
    </row>
    <row r="3784">
      <c r="A3784" s="2" t="s">
        <v>33</v>
      </c>
      <c r="B3784" s="12">
        <v>3657090.0</v>
      </c>
      <c r="C3784" s="12">
        <v>3657737.0</v>
      </c>
      <c r="D3784" s="2"/>
      <c r="E3784" s="2" t="s">
        <v>34</v>
      </c>
      <c r="F3784" s="2" t="s">
        <v>293</v>
      </c>
      <c r="G3784" s="2"/>
      <c r="H3784" s="12">
        <v>0.0</v>
      </c>
      <c r="I3784" s="2" t="s">
        <v>40</v>
      </c>
      <c r="J3784" s="2"/>
      <c r="K3784" s="2" t="s">
        <v>10131</v>
      </c>
      <c r="L3784" s="12">
        <v>215.0</v>
      </c>
      <c r="M3784" s="2" t="s">
        <v>10132</v>
      </c>
      <c r="N3784" s="2" t="str">
        <f>IFERROR(__xludf.DUMMYFUNCTION("""COMPUTED_VALUE"""),"")</f>
        <v/>
      </c>
    </row>
    <row r="3785">
      <c r="A3785" s="2" t="s">
        <v>33</v>
      </c>
      <c r="B3785" s="12">
        <v>3657818.0</v>
      </c>
      <c r="C3785" s="12">
        <v>3659377.0</v>
      </c>
      <c r="D3785" s="2"/>
      <c r="E3785" s="2" t="s">
        <v>38</v>
      </c>
      <c r="F3785" s="2" t="s">
        <v>10133</v>
      </c>
      <c r="G3785" s="2" t="s">
        <v>10134</v>
      </c>
      <c r="H3785" s="12">
        <v>0.0</v>
      </c>
      <c r="I3785" s="2" t="s">
        <v>40</v>
      </c>
      <c r="J3785" s="2"/>
      <c r="K3785" s="2" t="s">
        <v>10135</v>
      </c>
      <c r="L3785" s="12">
        <v>519.0</v>
      </c>
      <c r="M3785" s="2" t="s">
        <v>10136</v>
      </c>
      <c r="N3785" s="2" t="str">
        <f>IFERROR(__xludf.DUMMYFUNCTION("""COMPUTED_VALUE"""),"")</f>
        <v/>
      </c>
    </row>
    <row r="3786">
      <c r="A3786" s="2" t="s">
        <v>33</v>
      </c>
      <c r="B3786" s="12">
        <v>3659564.0</v>
      </c>
      <c r="C3786" s="12">
        <v>3659848.0</v>
      </c>
      <c r="D3786" s="2"/>
      <c r="E3786" s="2" t="s">
        <v>34</v>
      </c>
      <c r="F3786" s="2" t="s">
        <v>10137</v>
      </c>
      <c r="G3786" s="2"/>
      <c r="H3786" s="12">
        <v>0.0</v>
      </c>
      <c r="I3786" s="2" t="s">
        <v>40</v>
      </c>
      <c r="J3786" s="2"/>
      <c r="K3786" s="2" t="s">
        <v>10138</v>
      </c>
      <c r="L3786" s="12">
        <v>94.0</v>
      </c>
      <c r="M3786" s="2" t="s">
        <v>10139</v>
      </c>
      <c r="N3786" s="2" t="str">
        <f>IFERROR(__xludf.DUMMYFUNCTION("""COMPUTED_VALUE"""),"")</f>
        <v/>
      </c>
    </row>
    <row r="3787">
      <c r="A3787" s="2" t="s">
        <v>33</v>
      </c>
      <c r="B3787" s="12">
        <v>3660118.0</v>
      </c>
      <c r="C3787" s="12">
        <v>3662382.0</v>
      </c>
      <c r="D3787" s="2"/>
      <c r="E3787" s="2" t="s">
        <v>34</v>
      </c>
      <c r="F3787" s="2" t="s">
        <v>10140</v>
      </c>
      <c r="G3787" s="2" t="s">
        <v>10141</v>
      </c>
      <c r="H3787" s="12">
        <v>0.0</v>
      </c>
      <c r="I3787" s="2" t="s">
        <v>40</v>
      </c>
      <c r="J3787" s="2"/>
      <c r="K3787" s="2" t="s">
        <v>10142</v>
      </c>
      <c r="L3787" s="12">
        <v>754.0</v>
      </c>
      <c r="M3787" s="2" t="s">
        <v>10143</v>
      </c>
      <c r="N3787" s="2" t="str">
        <f>IFERROR(__xludf.DUMMYFUNCTION("""COMPUTED_VALUE"""),"")</f>
        <v/>
      </c>
    </row>
    <row r="3788">
      <c r="A3788" s="2" t="s">
        <v>33</v>
      </c>
      <c r="B3788" s="12">
        <v>3662539.0</v>
      </c>
      <c r="C3788" s="12">
        <v>3663432.0</v>
      </c>
      <c r="D3788" s="2"/>
      <c r="E3788" s="2" t="s">
        <v>34</v>
      </c>
      <c r="F3788" s="2" t="s">
        <v>960</v>
      </c>
      <c r="G3788" s="2"/>
      <c r="H3788" s="12">
        <v>0.0</v>
      </c>
      <c r="I3788" s="2" t="s">
        <v>40</v>
      </c>
      <c r="J3788" s="2"/>
      <c r="K3788" s="2" t="s">
        <v>10144</v>
      </c>
      <c r="L3788" s="12">
        <v>297.0</v>
      </c>
      <c r="M3788" s="2" t="s">
        <v>10145</v>
      </c>
      <c r="N3788" s="2" t="str">
        <f>IFERROR(__xludf.DUMMYFUNCTION("""COMPUTED_VALUE"""),"")</f>
        <v/>
      </c>
    </row>
    <row r="3789">
      <c r="A3789" s="2" t="s">
        <v>33</v>
      </c>
      <c r="B3789" s="12">
        <v>3663534.0</v>
      </c>
      <c r="C3789" s="12">
        <v>3665873.0</v>
      </c>
      <c r="D3789" s="2"/>
      <c r="E3789" s="2" t="s">
        <v>34</v>
      </c>
      <c r="F3789" s="2" t="s">
        <v>10146</v>
      </c>
      <c r="G3789" s="2" t="s">
        <v>10147</v>
      </c>
      <c r="H3789" s="12">
        <v>0.0</v>
      </c>
      <c r="I3789" s="2" t="s">
        <v>40</v>
      </c>
      <c r="J3789" s="2"/>
      <c r="K3789" s="2" t="s">
        <v>10148</v>
      </c>
      <c r="L3789" s="12">
        <v>779.0</v>
      </c>
      <c r="M3789" s="2" t="s">
        <v>10149</v>
      </c>
      <c r="N3789" s="2" t="str">
        <f>IFERROR(__xludf.DUMMYFUNCTION("""COMPUTED_VALUE"""),"")</f>
        <v/>
      </c>
    </row>
    <row r="3790">
      <c r="A3790" s="2" t="s">
        <v>33</v>
      </c>
      <c r="B3790" s="12">
        <v>3665921.0</v>
      </c>
      <c r="C3790" s="12">
        <v>3666433.0</v>
      </c>
      <c r="D3790" s="2"/>
      <c r="E3790" s="2" t="s">
        <v>34</v>
      </c>
      <c r="F3790" s="2" t="s">
        <v>10150</v>
      </c>
      <c r="G3790" s="2"/>
      <c r="H3790" s="12">
        <v>0.0</v>
      </c>
      <c r="I3790" s="2" t="s">
        <v>40</v>
      </c>
      <c r="J3790" s="2"/>
      <c r="K3790" s="2" t="s">
        <v>10151</v>
      </c>
      <c r="L3790" s="12">
        <v>170.0</v>
      </c>
      <c r="M3790" s="2" t="s">
        <v>10152</v>
      </c>
      <c r="N3790" s="2" t="str">
        <f>IFERROR(__xludf.DUMMYFUNCTION("""COMPUTED_VALUE"""),"")</f>
        <v/>
      </c>
    </row>
    <row r="3791">
      <c r="A3791" s="2" t="s">
        <v>33</v>
      </c>
      <c r="B3791" s="12">
        <v>3666644.0</v>
      </c>
      <c r="C3791" s="12">
        <v>3668827.0</v>
      </c>
      <c r="D3791" s="2"/>
      <c r="E3791" s="2" t="s">
        <v>34</v>
      </c>
      <c r="F3791" s="2" t="s">
        <v>10153</v>
      </c>
      <c r="G3791" s="2" t="s">
        <v>10154</v>
      </c>
      <c r="H3791" s="12">
        <v>0.0</v>
      </c>
      <c r="I3791" s="2" t="s">
        <v>40</v>
      </c>
      <c r="J3791" s="2"/>
      <c r="K3791" s="2" t="s">
        <v>10155</v>
      </c>
      <c r="L3791" s="12">
        <v>727.0</v>
      </c>
      <c r="M3791" s="2" t="s">
        <v>10156</v>
      </c>
      <c r="N3791" s="2" t="str">
        <f>IFERROR(__xludf.DUMMYFUNCTION("""COMPUTED_VALUE"""),"")</f>
        <v/>
      </c>
    </row>
    <row r="3792">
      <c r="A3792" s="2" t="s">
        <v>33</v>
      </c>
      <c r="B3792" s="12">
        <v>3668844.0</v>
      </c>
      <c r="C3792" s="12">
        <v>3669284.0</v>
      </c>
      <c r="D3792" s="2"/>
      <c r="E3792" s="2" t="s">
        <v>34</v>
      </c>
      <c r="F3792" s="2" t="s">
        <v>10157</v>
      </c>
      <c r="G3792" s="2"/>
      <c r="H3792" s="12">
        <v>0.0</v>
      </c>
      <c r="I3792" s="2" t="s">
        <v>40</v>
      </c>
      <c r="J3792" s="2"/>
      <c r="K3792" s="2" t="s">
        <v>10158</v>
      </c>
      <c r="L3792" s="12">
        <v>146.0</v>
      </c>
      <c r="M3792" s="2" t="s">
        <v>10159</v>
      </c>
      <c r="N3792" s="2" t="str">
        <f>IFERROR(__xludf.DUMMYFUNCTION("""COMPUTED_VALUE"""),"")</f>
        <v/>
      </c>
    </row>
    <row r="3793">
      <c r="A3793" s="2" t="s">
        <v>33</v>
      </c>
      <c r="B3793" s="12">
        <v>3669450.0</v>
      </c>
      <c r="C3793" s="12">
        <v>3669626.0</v>
      </c>
      <c r="D3793" s="2"/>
      <c r="E3793" s="2" t="s">
        <v>34</v>
      </c>
      <c r="F3793" s="2" t="s">
        <v>39</v>
      </c>
      <c r="G3793" s="2"/>
      <c r="H3793" s="12">
        <v>0.0</v>
      </c>
      <c r="I3793" s="2" t="s">
        <v>40</v>
      </c>
      <c r="J3793" s="2"/>
      <c r="K3793" s="2" t="s">
        <v>10160</v>
      </c>
      <c r="L3793" s="12">
        <v>58.0</v>
      </c>
      <c r="M3793" s="2" t="s">
        <v>10161</v>
      </c>
      <c r="N3793" s="2" t="str">
        <f>IFERROR(__xludf.DUMMYFUNCTION("""COMPUTED_VALUE"""),"")</f>
        <v/>
      </c>
    </row>
    <row r="3794">
      <c r="A3794" s="2" t="s">
        <v>33</v>
      </c>
      <c r="B3794" s="12">
        <v>3669981.0</v>
      </c>
      <c r="C3794" s="12">
        <v>3671252.0</v>
      </c>
      <c r="D3794" s="2"/>
      <c r="E3794" s="2" t="s">
        <v>34</v>
      </c>
      <c r="F3794" s="2" t="s">
        <v>10162</v>
      </c>
      <c r="G3794" s="2" t="s">
        <v>10163</v>
      </c>
      <c r="H3794" s="12">
        <v>0.0</v>
      </c>
      <c r="I3794" s="2" t="s">
        <v>40</v>
      </c>
      <c r="J3794" s="2"/>
      <c r="K3794" s="2" t="s">
        <v>10164</v>
      </c>
      <c r="L3794" s="12">
        <v>423.0</v>
      </c>
      <c r="M3794" s="2" t="s">
        <v>10165</v>
      </c>
      <c r="N3794" s="2" t="str">
        <f>IFERROR(__xludf.DUMMYFUNCTION("""COMPUTED_VALUE"""),"")</f>
        <v/>
      </c>
    </row>
    <row r="3795">
      <c r="A3795" s="2" t="s">
        <v>33</v>
      </c>
      <c r="B3795" s="12">
        <v>3671265.0</v>
      </c>
      <c r="C3795" s="12">
        <v>3673040.0</v>
      </c>
      <c r="D3795" s="2"/>
      <c r="E3795" s="2" t="s">
        <v>34</v>
      </c>
      <c r="F3795" s="2" t="s">
        <v>10166</v>
      </c>
      <c r="G3795" s="2" t="s">
        <v>1218</v>
      </c>
      <c r="H3795" s="12">
        <v>0.0</v>
      </c>
      <c r="I3795" s="2" t="s">
        <v>40</v>
      </c>
      <c r="J3795" s="2"/>
      <c r="K3795" s="2" t="s">
        <v>10167</v>
      </c>
      <c r="L3795" s="12">
        <v>591.0</v>
      </c>
      <c r="M3795" s="2" t="s">
        <v>10168</v>
      </c>
      <c r="N3795" s="2" t="str">
        <f>IFERROR(__xludf.DUMMYFUNCTION("""COMPUTED_VALUE"""),"")</f>
        <v/>
      </c>
    </row>
    <row r="3796">
      <c r="A3796" s="2" t="s">
        <v>33</v>
      </c>
      <c r="B3796" s="12">
        <v>3673538.0</v>
      </c>
      <c r="C3796" s="12">
        <v>3674305.0</v>
      </c>
      <c r="D3796" s="2"/>
      <c r="E3796" s="2" t="s">
        <v>34</v>
      </c>
      <c r="F3796" s="2" t="s">
        <v>10169</v>
      </c>
      <c r="G3796" s="2"/>
      <c r="H3796" s="12">
        <v>0.0</v>
      </c>
      <c r="I3796" s="2" t="s">
        <v>40</v>
      </c>
      <c r="J3796" s="2"/>
      <c r="K3796" s="2" t="s">
        <v>10170</v>
      </c>
      <c r="L3796" s="12">
        <v>255.0</v>
      </c>
      <c r="M3796" s="2" t="s">
        <v>10171</v>
      </c>
      <c r="N3796" s="2" t="str">
        <f>IFERROR(__xludf.DUMMYFUNCTION("""COMPUTED_VALUE"""),"")</f>
        <v/>
      </c>
    </row>
    <row r="3797">
      <c r="A3797" s="2" t="s">
        <v>33</v>
      </c>
      <c r="B3797" s="12">
        <v>3674880.0</v>
      </c>
      <c r="C3797" s="12">
        <v>3675521.0</v>
      </c>
      <c r="D3797" s="2"/>
      <c r="E3797" s="2" t="s">
        <v>38</v>
      </c>
      <c r="F3797" s="2" t="s">
        <v>7510</v>
      </c>
      <c r="G3797" s="2"/>
      <c r="H3797" s="12">
        <v>0.0</v>
      </c>
      <c r="I3797" s="2" t="s">
        <v>40</v>
      </c>
      <c r="J3797" s="2"/>
      <c r="K3797" s="2" t="s">
        <v>10172</v>
      </c>
      <c r="L3797" s="12">
        <v>213.0</v>
      </c>
      <c r="M3797" s="2" t="s">
        <v>10173</v>
      </c>
      <c r="N3797" s="2" t="str">
        <f>IFERROR(__xludf.DUMMYFUNCTION("""COMPUTED_VALUE"""),"")</f>
        <v/>
      </c>
    </row>
    <row r="3798">
      <c r="A3798" s="2" t="s">
        <v>33</v>
      </c>
      <c r="B3798" s="12">
        <v>3675559.0</v>
      </c>
      <c r="C3798" s="12">
        <v>3676845.0</v>
      </c>
      <c r="D3798" s="2"/>
      <c r="E3798" s="2" t="s">
        <v>38</v>
      </c>
      <c r="F3798" s="2" t="s">
        <v>10174</v>
      </c>
      <c r="G3798" s="2"/>
      <c r="H3798" s="12">
        <v>0.0</v>
      </c>
      <c r="I3798" s="2" t="s">
        <v>40</v>
      </c>
      <c r="J3798" s="2"/>
      <c r="K3798" s="2" t="s">
        <v>10175</v>
      </c>
      <c r="L3798" s="12">
        <v>428.0</v>
      </c>
      <c r="M3798" s="2" t="s">
        <v>10176</v>
      </c>
      <c r="N3798" s="2" t="str">
        <f>IFERROR(__xludf.DUMMYFUNCTION("""COMPUTED_VALUE"""),"")</f>
        <v/>
      </c>
    </row>
    <row r="3799">
      <c r="A3799" s="2" t="s">
        <v>33</v>
      </c>
      <c r="B3799" s="12">
        <v>3677139.0</v>
      </c>
      <c r="C3799" s="12">
        <v>3677555.0</v>
      </c>
      <c r="D3799" s="2"/>
      <c r="E3799" s="2" t="s">
        <v>34</v>
      </c>
      <c r="F3799" s="2" t="s">
        <v>10177</v>
      </c>
      <c r="G3799" s="2" t="s">
        <v>10178</v>
      </c>
      <c r="H3799" s="12">
        <v>0.0</v>
      </c>
      <c r="I3799" s="2" t="s">
        <v>40</v>
      </c>
      <c r="J3799" s="2"/>
      <c r="K3799" s="2" t="s">
        <v>10179</v>
      </c>
      <c r="L3799" s="12">
        <v>138.0</v>
      </c>
      <c r="M3799" s="2" t="s">
        <v>10180</v>
      </c>
      <c r="N3799" s="2" t="str">
        <f>IFERROR(__xludf.DUMMYFUNCTION("""COMPUTED_VALUE"""),"")</f>
        <v/>
      </c>
    </row>
    <row r="3800">
      <c r="A3800" s="2" t="s">
        <v>33</v>
      </c>
      <c r="B3800" s="12">
        <v>3677591.0</v>
      </c>
      <c r="C3800" s="12">
        <v>3678736.0</v>
      </c>
      <c r="D3800" s="2"/>
      <c r="E3800" s="2" t="s">
        <v>34</v>
      </c>
      <c r="F3800" s="2" t="s">
        <v>9427</v>
      </c>
      <c r="G3800" s="2"/>
      <c r="H3800" s="12">
        <v>0.0</v>
      </c>
      <c r="I3800" s="2" t="s">
        <v>40</v>
      </c>
      <c r="J3800" s="2"/>
      <c r="K3800" s="2" t="s">
        <v>10181</v>
      </c>
      <c r="L3800" s="12">
        <v>381.0</v>
      </c>
      <c r="M3800" s="2" t="s">
        <v>10182</v>
      </c>
      <c r="N3800" s="2" t="str">
        <f>IFERROR(__xludf.DUMMYFUNCTION("""COMPUTED_VALUE"""),"")</f>
        <v/>
      </c>
    </row>
    <row r="3801">
      <c r="A3801" s="2" t="s">
        <v>33</v>
      </c>
      <c r="B3801" s="12">
        <v>3678753.0</v>
      </c>
      <c r="C3801" s="12">
        <v>3679868.0</v>
      </c>
      <c r="D3801" s="2"/>
      <c r="E3801" s="2" t="s">
        <v>34</v>
      </c>
      <c r="F3801" s="2" t="s">
        <v>10183</v>
      </c>
      <c r="G3801" s="2" t="s">
        <v>10184</v>
      </c>
      <c r="H3801" s="12">
        <v>0.0</v>
      </c>
      <c r="I3801" s="2" t="s">
        <v>40</v>
      </c>
      <c r="J3801" s="2"/>
      <c r="K3801" s="2" t="s">
        <v>10185</v>
      </c>
      <c r="L3801" s="12">
        <v>371.0</v>
      </c>
      <c r="M3801" s="2" t="s">
        <v>10186</v>
      </c>
      <c r="N3801" s="2" t="str">
        <f>IFERROR(__xludf.DUMMYFUNCTION("""COMPUTED_VALUE"""),"")</f>
        <v/>
      </c>
    </row>
    <row r="3802">
      <c r="A3802" s="2" t="s">
        <v>33</v>
      </c>
      <c r="B3802" s="12">
        <v>3679978.0</v>
      </c>
      <c r="C3802" s="12">
        <v>3680637.0</v>
      </c>
      <c r="D3802" s="2"/>
      <c r="E3802" s="2" t="s">
        <v>34</v>
      </c>
      <c r="F3802" s="2" t="s">
        <v>1273</v>
      </c>
      <c r="G3802" s="2"/>
      <c r="H3802" s="12">
        <v>0.0</v>
      </c>
      <c r="I3802" s="2" t="s">
        <v>40</v>
      </c>
      <c r="J3802" s="2"/>
      <c r="K3802" s="2" t="s">
        <v>10187</v>
      </c>
      <c r="L3802" s="12">
        <v>219.0</v>
      </c>
      <c r="M3802" s="2" t="s">
        <v>10188</v>
      </c>
      <c r="N3802" s="2" t="str">
        <f>IFERROR(__xludf.DUMMYFUNCTION("""COMPUTED_VALUE"""),"")</f>
        <v/>
      </c>
    </row>
    <row r="3803">
      <c r="A3803" s="2" t="s">
        <v>33</v>
      </c>
      <c r="B3803" s="12">
        <v>3680733.0</v>
      </c>
      <c r="C3803" s="12">
        <v>3683069.0</v>
      </c>
      <c r="D3803" s="2"/>
      <c r="E3803" s="2" t="s">
        <v>34</v>
      </c>
      <c r="F3803" s="2" t="s">
        <v>10189</v>
      </c>
      <c r="G3803" s="2"/>
      <c r="H3803" s="12">
        <v>0.0</v>
      </c>
      <c r="I3803" s="2" t="s">
        <v>40</v>
      </c>
      <c r="J3803" s="2"/>
      <c r="K3803" s="2" t="s">
        <v>10190</v>
      </c>
      <c r="L3803" s="12">
        <v>778.0</v>
      </c>
      <c r="M3803" s="2" t="s">
        <v>10191</v>
      </c>
      <c r="N3803" s="2" t="str">
        <f>IFERROR(__xludf.DUMMYFUNCTION("""COMPUTED_VALUE"""),"")</f>
        <v/>
      </c>
    </row>
    <row r="3804">
      <c r="A3804" s="2" t="s">
        <v>33</v>
      </c>
      <c r="B3804" s="12">
        <v>3683197.0</v>
      </c>
      <c r="C3804" s="12">
        <v>3683385.0</v>
      </c>
      <c r="D3804" s="2"/>
      <c r="E3804" s="2" t="s">
        <v>34</v>
      </c>
      <c r="F3804" s="2" t="s">
        <v>39</v>
      </c>
      <c r="G3804" s="2"/>
      <c r="H3804" s="12">
        <v>0.0</v>
      </c>
      <c r="I3804" s="2" t="s">
        <v>40</v>
      </c>
      <c r="J3804" s="2"/>
      <c r="K3804" s="2" t="s">
        <v>10192</v>
      </c>
      <c r="L3804" s="12">
        <v>62.0</v>
      </c>
      <c r="M3804" s="2" t="s">
        <v>10193</v>
      </c>
      <c r="N3804" s="2" t="str">
        <f>IFERROR(__xludf.DUMMYFUNCTION("""COMPUTED_VALUE"""),"")</f>
        <v/>
      </c>
    </row>
    <row r="3805">
      <c r="A3805" s="2" t="s">
        <v>33</v>
      </c>
      <c r="B3805" s="12">
        <v>3683404.0</v>
      </c>
      <c r="C3805" s="12">
        <v>3683532.0</v>
      </c>
      <c r="D3805" s="2"/>
      <c r="E3805" s="2" t="s">
        <v>34</v>
      </c>
      <c r="F3805" s="2" t="s">
        <v>10194</v>
      </c>
      <c r="G3805" s="2"/>
      <c r="H3805" s="12">
        <v>0.0</v>
      </c>
      <c r="I3805" s="2" t="s">
        <v>40</v>
      </c>
      <c r="J3805" s="2"/>
      <c r="K3805" s="2" t="s">
        <v>10195</v>
      </c>
      <c r="L3805" s="12">
        <v>42.0</v>
      </c>
      <c r="M3805" s="2" t="s">
        <v>10196</v>
      </c>
      <c r="N3805" s="2" t="str">
        <f>IFERROR(__xludf.DUMMYFUNCTION("""COMPUTED_VALUE"""),"")</f>
        <v/>
      </c>
    </row>
    <row r="3806">
      <c r="A3806" s="2" t="s">
        <v>33</v>
      </c>
      <c r="B3806" s="12">
        <v>3683578.0</v>
      </c>
      <c r="C3806" s="12">
        <v>3683790.0</v>
      </c>
      <c r="D3806" s="2"/>
      <c r="E3806" s="2" t="s">
        <v>38</v>
      </c>
      <c r="F3806" s="2" t="s">
        <v>39</v>
      </c>
      <c r="G3806" s="2"/>
      <c r="H3806" s="12">
        <v>0.0</v>
      </c>
      <c r="I3806" s="2" t="s">
        <v>40</v>
      </c>
      <c r="J3806" s="2"/>
      <c r="K3806" s="2" t="s">
        <v>10197</v>
      </c>
      <c r="L3806" s="12">
        <v>70.0</v>
      </c>
      <c r="M3806" s="2" t="s">
        <v>10198</v>
      </c>
      <c r="N3806" s="2" t="str">
        <f>IFERROR(__xludf.DUMMYFUNCTION("""COMPUTED_VALUE"""),"")</f>
        <v/>
      </c>
    </row>
    <row r="3807">
      <c r="A3807" s="2" t="s">
        <v>33</v>
      </c>
      <c r="B3807" s="12">
        <v>3683967.0</v>
      </c>
      <c r="C3807" s="12">
        <v>3685034.0</v>
      </c>
      <c r="D3807" s="2"/>
      <c r="E3807" s="2" t="s">
        <v>34</v>
      </c>
      <c r="F3807" s="2" t="s">
        <v>1918</v>
      </c>
      <c r="G3807" s="2"/>
      <c r="H3807" s="12">
        <v>0.0</v>
      </c>
      <c r="I3807" s="2" t="s">
        <v>40</v>
      </c>
      <c r="J3807" s="2"/>
      <c r="K3807" s="2" t="s">
        <v>10199</v>
      </c>
      <c r="L3807" s="12">
        <v>355.0</v>
      </c>
      <c r="M3807" s="2" t="s">
        <v>10200</v>
      </c>
      <c r="N3807" s="2" t="str">
        <f>IFERROR(__xludf.DUMMYFUNCTION("""COMPUTED_VALUE"""),"")</f>
        <v/>
      </c>
    </row>
    <row r="3808">
      <c r="A3808" s="2" t="s">
        <v>33</v>
      </c>
      <c r="B3808" s="12">
        <v>3685079.0</v>
      </c>
      <c r="C3808" s="12">
        <v>3685423.0</v>
      </c>
      <c r="D3808" s="2"/>
      <c r="E3808" s="2" t="s">
        <v>38</v>
      </c>
      <c r="F3808" s="2" t="s">
        <v>2480</v>
      </c>
      <c r="G3808" s="2"/>
      <c r="H3808" s="12">
        <v>0.0</v>
      </c>
      <c r="I3808" s="2" t="s">
        <v>40</v>
      </c>
      <c r="J3808" s="2"/>
      <c r="K3808" s="2" t="s">
        <v>10201</v>
      </c>
      <c r="L3808" s="12">
        <v>114.0</v>
      </c>
      <c r="M3808" s="2" t="s">
        <v>10202</v>
      </c>
      <c r="N3808" s="2" t="str">
        <f>IFERROR(__xludf.DUMMYFUNCTION("""COMPUTED_VALUE"""),"")</f>
        <v/>
      </c>
    </row>
    <row r="3809">
      <c r="A3809" s="2" t="s">
        <v>33</v>
      </c>
      <c r="B3809" s="12">
        <v>3685925.0</v>
      </c>
      <c r="C3809" s="12">
        <v>3688567.0</v>
      </c>
      <c r="D3809" s="2"/>
      <c r="E3809" s="2" t="s">
        <v>34</v>
      </c>
      <c r="F3809" s="2" t="s">
        <v>10203</v>
      </c>
      <c r="G3809" s="2" t="s">
        <v>10204</v>
      </c>
      <c r="H3809" s="12">
        <v>0.0</v>
      </c>
      <c r="I3809" s="2" t="s">
        <v>40</v>
      </c>
      <c r="J3809" s="2"/>
      <c r="K3809" s="2" t="s">
        <v>10205</v>
      </c>
      <c r="L3809" s="12">
        <v>880.0</v>
      </c>
      <c r="M3809" s="2" t="s">
        <v>10206</v>
      </c>
      <c r="N3809" s="2" t="str">
        <f>IFERROR(__xludf.DUMMYFUNCTION("""COMPUTED_VALUE"""),"")</f>
        <v/>
      </c>
    </row>
    <row r="3810">
      <c r="A3810" s="2" t="s">
        <v>33</v>
      </c>
      <c r="B3810" s="12">
        <v>3688644.0</v>
      </c>
      <c r="C3810" s="12">
        <v>3688910.0</v>
      </c>
      <c r="D3810" s="2"/>
      <c r="E3810" s="2" t="s">
        <v>34</v>
      </c>
      <c r="F3810" s="2" t="s">
        <v>10207</v>
      </c>
      <c r="G3810" s="2"/>
      <c r="H3810" s="12">
        <v>0.0</v>
      </c>
      <c r="I3810" s="2" t="s">
        <v>40</v>
      </c>
      <c r="J3810" s="2"/>
      <c r="K3810" s="2" t="s">
        <v>10208</v>
      </c>
      <c r="L3810" s="12">
        <v>88.0</v>
      </c>
      <c r="M3810" s="2" t="s">
        <v>10209</v>
      </c>
      <c r="N3810" s="2" t="str">
        <f>IFERROR(__xludf.DUMMYFUNCTION("""COMPUTED_VALUE"""),"")</f>
        <v/>
      </c>
    </row>
    <row r="3811">
      <c r="A3811" s="2" t="s">
        <v>33</v>
      </c>
      <c r="B3811" s="12">
        <v>3688914.0</v>
      </c>
      <c r="C3811" s="12">
        <v>3689327.0</v>
      </c>
      <c r="D3811" s="2"/>
      <c r="E3811" s="2" t="s">
        <v>34</v>
      </c>
      <c r="F3811" s="2" t="s">
        <v>10210</v>
      </c>
      <c r="G3811" s="2" t="s">
        <v>10211</v>
      </c>
      <c r="H3811" s="12">
        <v>0.0</v>
      </c>
      <c r="I3811" s="2" t="s">
        <v>40</v>
      </c>
      <c r="J3811" s="2"/>
      <c r="K3811" s="2" t="s">
        <v>10212</v>
      </c>
      <c r="L3811" s="12">
        <v>137.0</v>
      </c>
      <c r="M3811" s="2" t="s">
        <v>10213</v>
      </c>
      <c r="N3811" s="2" t="str">
        <f>IFERROR(__xludf.DUMMYFUNCTION("""COMPUTED_VALUE"""),"")</f>
        <v/>
      </c>
    </row>
    <row r="3812">
      <c r="A3812" s="2" t="s">
        <v>33</v>
      </c>
      <c r="B3812" s="12">
        <v>3689340.0</v>
      </c>
      <c r="C3812" s="12">
        <v>3689618.0</v>
      </c>
      <c r="D3812" s="2"/>
      <c r="E3812" s="2" t="s">
        <v>34</v>
      </c>
      <c r="F3812" s="2" t="s">
        <v>10214</v>
      </c>
      <c r="G3812" s="2"/>
      <c r="H3812" s="12">
        <v>0.0</v>
      </c>
      <c r="I3812" s="2" t="s">
        <v>40</v>
      </c>
      <c r="J3812" s="2"/>
      <c r="K3812" s="2" t="s">
        <v>10215</v>
      </c>
      <c r="L3812" s="12">
        <v>92.0</v>
      </c>
      <c r="M3812" s="2" t="s">
        <v>10216</v>
      </c>
      <c r="N3812" s="2" t="str">
        <f>IFERROR(__xludf.DUMMYFUNCTION("""COMPUTED_VALUE"""),"")</f>
        <v/>
      </c>
    </row>
    <row r="3813">
      <c r="A3813" s="2" t="s">
        <v>33</v>
      </c>
      <c r="B3813" s="12">
        <v>3689842.0</v>
      </c>
      <c r="C3813" s="12">
        <v>3690912.0</v>
      </c>
      <c r="D3813" s="2"/>
      <c r="E3813" s="2" t="s">
        <v>34</v>
      </c>
      <c r="F3813" s="2" t="s">
        <v>10217</v>
      </c>
      <c r="G3813" s="2" t="s">
        <v>10218</v>
      </c>
      <c r="H3813" s="12">
        <v>0.0</v>
      </c>
      <c r="I3813" s="2" t="s">
        <v>40</v>
      </c>
      <c r="J3813" s="2"/>
      <c r="K3813" s="2" t="s">
        <v>10219</v>
      </c>
      <c r="L3813" s="12">
        <v>356.0</v>
      </c>
      <c r="M3813" s="2" t="s">
        <v>10220</v>
      </c>
      <c r="N3813" s="2" t="str">
        <f>IFERROR(__xludf.DUMMYFUNCTION("""COMPUTED_VALUE"""),"")</f>
        <v/>
      </c>
    </row>
    <row r="3814">
      <c r="A3814" s="2" t="s">
        <v>33</v>
      </c>
      <c r="B3814" s="12">
        <v>3691116.0</v>
      </c>
      <c r="C3814" s="12">
        <v>3691757.0</v>
      </c>
      <c r="D3814" s="2"/>
      <c r="E3814" s="2" t="s">
        <v>34</v>
      </c>
      <c r="F3814" s="2" t="s">
        <v>646</v>
      </c>
      <c r="G3814" s="2"/>
      <c r="H3814" s="12">
        <v>0.0</v>
      </c>
      <c r="I3814" s="2" t="s">
        <v>40</v>
      </c>
      <c r="J3814" s="2"/>
      <c r="K3814" s="2" t="s">
        <v>10221</v>
      </c>
      <c r="L3814" s="12">
        <v>213.0</v>
      </c>
      <c r="M3814" s="2" t="s">
        <v>10222</v>
      </c>
      <c r="N3814" s="2" t="str">
        <f>IFERROR(__xludf.DUMMYFUNCTION("""COMPUTED_VALUE"""),"")</f>
        <v/>
      </c>
    </row>
    <row r="3815">
      <c r="A3815" s="2" t="s">
        <v>33</v>
      </c>
      <c r="B3815" s="12">
        <v>3691765.0</v>
      </c>
      <c r="C3815" s="12">
        <v>3692694.0</v>
      </c>
      <c r="D3815" s="2"/>
      <c r="E3815" s="2" t="s">
        <v>34</v>
      </c>
      <c r="F3815" s="2" t="s">
        <v>10223</v>
      </c>
      <c r="G3815" s="2"/>
      <c r="H3815" s="12">
        <v>0.0</v>
      </c>
      <c r="I3815" s="2" t="s">
        <v>40</v>
      </c>
      <c r="J3815" s="2"/>
      <c r="K3815" s="2" t="s">
        <v>10224</v>
      </c>
      <c r="L3815" s="12">
        <v>309.0</v>
      </c>
      <c r="M3815" s="2" t="s">
        <v>10225</v>
      </c>
      <c r="N3815" s="2" t="str">
        <f>IFERROR(__xludf.DUMMYFUNCTION("""COMPUTED_VALUE"""),"")</f>
        <v/>
      </c>
    </row>
    <row r="3816">
      <c r="A3816" s="2" t="s">
        <v>33</v>
      </c>
      <c r="B3816" s="12">
        <v>3692713.0</v>
      </c>
      <c r="C3816" s="12">
        <v>3693993.0</v>
      </c>
      <c r="D3816" s="2"/>
      <c r="E3816" s="2" t="s">
        <v>34</v>
      </c>
      <c r="F3816" s="2" t="s">
        <v>10226</v>
      </c>
      <c r="G3816" s="2"/>
      <c r="H3816" s="12">
        <v>0.0</v>
      </c>
      <c r="I3816" s="2" t="s">
        <v>40</v>
      </c>
      <c r="J3816" s="2"/>
      <c r="K3816" s="2" t="s">
        <v>10227</v>
      </c>
      <c r="L3816" s="12">
        <v>426.0</v>
      </c>
      <c r="M3816" s="2" t="s">
        <v>10228</v>
      </c>
      <c r="N3816" s="2" t="str">
        <f>IFERROR(__xludf.DUMMYFUNCTION("""COMPUTED_VALUE"""),"")</f>
        <v/>
      </c>
    </row>
    <row r="3817">
      <c r="A3817" s="2" t="s">
        <v>33</v>
      </c>
      <c r="B3817" s="12">
        <v>3694011.0</v>
      </c>
      <c r="C3817" s="12">
        <v>3694649.0</v>
      </c>
      <c r="D3817" s="2"/>
      <c r="E3817" s="2" t="s">
        <v>34</v>
      </c>
      <c r="F3817" s="2" t="s">
        <v>10229</v>
      </c>
      <c r="G3817" s="2" t="s">
        <v>10230</v>
      </c>
      <c r="H3817" s="12">
        <v>0.0</v>
      </c>
      <c r="I3817" s="2" t="s">
        <v>40</v>
      </c>
      <c r="J3817" s="2"/>
      <c r="K3817" s="2" t="s">
        <v>10231</v>
      </c>
      <c r="L3817" s="12">
        <v>212.0</v>
      </c>
      <c r="M3817" s="2" t="s">
        <v>10232</v>
      </c>
      <c r="N3817" s="2" t="str">
        <f>IFERROR(__xludf.DUMMYFUNCTION("""COMPUTED_VALUE"""),"")</f>
        <v/>
      </c>
    </row>
    <row r="3818">
      <c r="A3818" s="2" t="s">
        <v>33</v>
      </c>
      <c r="B3818" s="12">
        <v>3694928.0</v>
      </c>
      <c r="C3818" s="12">
        <v>3695404.0</v>
      </c>
      <c r="D3818" s="2"/>
      <c r="E3818" s="2" t="s">
        <v>34</v>
      </c>
      <c r="F3818" s="2" t="s">
        <v>10233</v>
      </c>
      <c r="G3818" s="2" t="s">
        <v>10234</v>
      </c>
      <c r="H3818" s="12">
        <v>0.0</v>
      </c>
      <c r="I3818" s="2" t="s">
        <v>40</v>
      </c>
      <c r="J3818" s="2"/>
      <c r="K3818" s="2" t="s">
        <v>10235</v>
      </c>
      <c r="L3818" s="12">
        <v>158.0</v>
      </c>
      <c r="M3818" s="2" t="s">
        <v>10236</v>
      </c>
      <c r="N3818" s="2" t="str">
        <f>IFERROR(__xludf.DUMMYFUNCTION("""COMPUTED_VALUE"""),"")</f>
        <v/>
      </c>
    </row>
    <row r="3819">
      <c r="A3819" s="2" t="s">
        <v>33</v>
      </c>
      <c r="B3819" s="12">
        <v>3695686.0</v>
      </c>
      <c r="C3819" s="12">
        <v>3696384.0</v>
      </c>
      <c r="D3819" s="2"/>
      <c r="E3819" s="2" t="s">
        <v>34</v>
      </c>
      <c r="F3819" s="2" t="s">
        <v>39</v>
      </c>
      <c r="G3819" s="2"/>
      <c r="H3819" s="12">
        <v>0.0</v>
      </c>
      <c r="I3819" s="2" t="s">
        <v>40</v>
      </c>
      <c r="J3819" s="2"/>
      <c r="K3819" s="2" t="s">
        <v>10237</v>
      </c>
      <c r="L3819" s="12">
        <v>232.0</v>
      </c>
      <c r="M3819" s="2" t="s">
        <v>10238</v>
      </c>
      <c r="N3819" s="2" t="str">
        <f>IFERROR(__xludf.DUMMYFUNCTION("""COMPUTED_VALUE"""),"")</f>
        <v/>
      </c>
    </row>
    <row r="3820">
      <c r="A3820" s="2" t="s">
        <v>33</v>
      </c>
      <c r="B3820" s="12">
        <v>3696472.0</v>
      </c>
      <c r="C3820" s="12">
        <v>3698226.0</v>
      </c>
      <c r="D3820" s="2"/>
      <c r="E3820" s="2" t="s">
        <v>34</v>
      </c>
      <c r="F3820" s="2" t="s">
        <v>63</v>
      </c>
      <c r="G3820" s="2"/>
      <c r="H3820" s="12">
        <v>0.0</v>
      </c>
      <c r="I3820" s="2" t="s">
        <v>40</v>
      </c>
      <c r="J3820" s="2"/>
      <c r="K3820" s="2" t="s">
        <v>10239</v>
      </c>
      <c r="L3820" s="12">
        <v>584.0</v>
      </c>
      <c r="M3820" s="2" t="s">
        <v>10240</v>
      </c>
      <c r="N3820" s="2" t="str">
        <f>IFERROR(__xludf.DUMMYFUNCTION("""COMPUTED_VALUE"""),"")</f>
        <v/>
      </c>
    </row>
    <row r="3821">
      <c r="A3821" s="2" t="s">
        <v>33</v>
      </c>
      <c r="B3821" s="12">
        <v>3698343.0</v>
      </c>
      <c r="C3821" s="12">
        <v>3699005.0</v>
      </c>
      <c r="D3821" s="2"/>
      <c r="E3821" s="2" t="s">
        <v>34</v>
      </c>
      <c r="F3821" s="2" t="s">
        <v>10241</v>
      </c>
      <c r="G3821" s="2"/>
      <c r="H3821" s="12">
        <v>0.0</v>
      </c>
      <c r="I3821" s="2" t="s">
        <v>40</v>
      </c>
      <c r="J3821" s="2"/>
      <c r="K3821" s="2" t="s">
        <v>10242</v>
      </c>
      <c r="L3821" s="12">
        <v>220.0</v>
      </c>
      <c r="M3821" s="2" t="s">
        <v>10243</v>
      </c>
      <c r="N3821" s="2" t="str">
        <f>IFERROR(__xludf.DUMMYFUNCTION("""COMPUTED_VALUE"""),"")</f>
        <v/>
      </c>
    </row>
    <row r="3822">
      <c r="A3822" s="2" t="s">
        <v>33</v>
      </c>
      <c r="B3822" s="12">
        <v>3699040.0</v>
      </c>
      <c r="C3822" s="12">
        <v>3699255.0</v>
      </c>
      <c r="D3822" s="2"/>
      <c r="E3822" s="2" t="s">
        <v>38</v>
      </c>
      <c r="F3822" s="2" t="s">
        <v>10244</v>
      </c>
      <c r="G3822" s="2"/>
      <c r="H3822" s="12">
        <v>0.0</v>
      </c>
      <c r="I3822" s="2" t="s">
        <v>40</v>
      </c>
      <c r="J3822" s="2"/>
      <c r="K3822" s="2" t="s">
        <v>10245</v>
      </c>
      <c r="L3822" s="12">
        <v>71.0</v>
      </c>
      <c r="M3822" s="2" t="s">
        <v>10246</v>
      </c>
      <c r="N3822" s="2" t="str">
        <f>IFERROR(__xludf.DUMMYFUNCTION("""COMPUTED_VALUE"""),"")</f>
        <v/>
      </c>
    </row>
    <row r="3823">
      <c r="A3823" s="2" t="s">
        <v>33</v>
      </c>
      <c r="B3823" s="12">
        <v>3699392.0</v>
      </c>
      <c r="C3823" s="12">
        <v>3700030.0</v>
      </c>
      <c r="D3823" s="2"/>
      <c r="E3823" s="2" t="s">
        <v>34</v>
      </c>
      <c r="F3823" s="2" t="s">
        <v>289</v>
      </c>
      <c r="G3823" s="2"/>
      <c r="H3823" s="12">
        <v>0.0</v>
      </c>
      <c r="I3823" s="2" t="s">
        <v>40</v>
      </c>
      <c r="J3823" s="2"/>
      <c r="K3823" s="2" t="s">
        <v>10247</v>
      </c>
      <c r="L3823" s="12">
        <v>212.0</v>
      </c>
      <c r="M3823" s="2" t="s">
        <v>10248</v>
      </c>
      <c r="N3823" s="2" t="str">
        <f>IFERROR(__xludf.DUMMYFUNCTION("""COMPUTED_VALUE"""),"")</f>
        <v/>
      </c>
    </row>
    <row r="3824">
      <c r="A3824" s="2" t="s">
        <v>33</v>
      </c>
      <c r="B3824" s="12">
        <v>3700045.0</v>
      </c>
      <c r="C3824" s="12">
        <v>3700740.0</v>
      </c>
      <c r="D3824" s="2"/>
      <c r="E3824" s="2" t="s">
        <v>34</v>
      </c>
      <c r="F3824" s="2" t="s">
        <v>370</v>
      </c>
      <c r="G3824" s="2" t="s">
        <v>371</v>
      </c>
      <c r="H3824" s="12">
        <v>0.0</v>
      </c>
      <c r="I3824" s="2" t="s">
        <v>40</v>
      </c>
      <c r="J3824" s="2"/>
      <c r="K3824" s="2" t="s">
        <v>10249</v>
      </c>
      <c r="L3824" s="12">
        <v>231.0</v>
      </c>
      <c r="M3824" s="2" t="s">
        <v>10250</v>
      </c>
      <c r="N3824" s="2" t="str">
        <f>IFERROR(__xludf.DUMMYFUNCTION("""COMPUTED_VALUE"""),"")</f>
        <v/>
      </c>
    </row>
    <row r="3825">
      <c r="A3825" s="2" t="s">
        <v>33</v>
      </c>
      <c r="B3825" s="12">
        <v>3700823.0</v>
      </c>
      <c r="C3825" s="12">
        <v>3701746.0</v>
      </c>
      <c r="D3825" s="2"/>
      <c r="E3825" s="2" t="s">
        <v>34</v>
      </c>
      <c r="F3825" s="2" t="s">
        <v>10251</v>
      </c>
      <c r="G3825" s="2"/>
      <c r="H3825" s="12">
        <v>0.0</v>
      </c>
      <c r="I3825" s="2" t="s">
        <v>40</v>
      </c>
      <c r="J3825" s="2"/>
      <c r="K3825" s="2" t="s">
        <v>10252</v>
      </c>
      <c r="L3825" s="12">
        <v>307.0</v>
      </c>
      <c r="M3825" s="2" t="s">
        <v>10253</v>
      </c>
      <c r="N3825" s="2" t="str">
        <f>IFERROR(__xludf.DUMMYFUNCTION("""COMPUTED_VALUE"""),"")</f>
        <v/>
      </c>
    </row>
    <row r="3826">
      <c r="A3826" s="2" t="s">
        <v>33</v>
      </c>
      <c r="B3826" s="12">
        <v>3701750.0</v>
      </c>
      <c r="C3826" s="12">
        <v>3702883.0</v>
      </c>
      <c r="D3826" s="2"/>
      <c r="E3826" s="2" t="s">
        <v>34</v>
      </c>
      <c r="F3826" s="2" t="s">
        <v>10254</v>
      </c>
      <c r="G3826" s="2"/>
      <c r="H3826" s="12">
        <v>0.0</v>
      </c>
      <c r="I3826" s="2" t="s">
        <v>40</v>
      </c>
      <c r="J3826" s="2"/>
      <c r="K3826" s="2" t="s">
        <v>10255</v>
      </c>
      <c r="L3826" s="12">
        <v>377.0</v>
      </c>
      <c r="M3826" s="2" t="s">
        <v>10256</v>
      </c>
      <c r="N3826" s="2" t="str">
        <f>IFERROR(__xludf.DUMMYFUNCTION("""COMPUTED_VALUE"""),"")</f>
        <v/>
      </c>
    </row>
    <row r="3827">
      <c r="A3827" s="2" t="s">
        <v>33</v>
      </c>
      <c r="B3827" s="12">
        <v>3703148.0</v>
      </c>
      <c r="C3827" s="12">
        <v>3705751.0</v>
      </c>
      <c r="D3827" s="2"/>
      <c r="E3827" s="2" t="s">
        <v>34</v>
      </c>
      <c r="F3827" s="2" t="s">
        <v>10257</v>
      </c>
      <c r="G3827" s="2" t="s">
        <v>10258</v>
      </c>
      <c r="H3827" s="12">
        <v>0.0</v>
      </c>
      <c r="I3827" s="2" t="s">
        <v>40</v>
      </c>
      <c r="J3827" s="2"/>
      <c r="K3827" s="2" t="s">
        <v>10259</v>
      </c>
      <c r="L3827" s="12">
        <v>867.0</v>
      </c>
      <c r="M3827" s="2" t="s">
        <v>10260</v>
      </c>
      <c r="N3827" s="2" t="str">
        <f>IFERROR(__xludf.DUMMYFUNCTION("""COMPUTED_VALUE"""),"")</f>
        <v/>
      </c>
    </row>
    <row r="3828">
      <c r="A3828" s="2" t="s">
        <v>33</v>
      </c>
      <c r="B3828" s="12">
        <v>3705878.0</v>
      </c>
      <c r="C3828" s="12">
        <v>3706105.0</v>
      </c>
      <c r="D3828" s="2"/>
      <c r="E3828" s="2" t="s">
        <v>34</v>
      </c>
      <c r="F3828" s="2" t="s">
        <v>10261</v>
      </c>
      <c r="G3828" s="2"/>
      <c r="H3828" s="12">
        <v>0.0</v>
      </c>
      <c r="I3828" s="2" t="s">
        <v>40</v>
      </c>
      <c r="J3828" s="2"/>
      <c r="K3828" s="2" t="s">
        <v>10262</v>
      </c>
      <c r="L3828" s="12">
        <v>75.0</v>
      </c>
      <c r="M3828" s="2" t="s">
        <v>10263</v>
      </c>
      <c r="N3828" s="2" t="str">
        <f>IFERROR(__xludf.DUMMYFUNCTION("""COMPUTED_VALUE"""),"")</f>
        <v/>
      </c>
    </row>
    <row r="3829">
      <c r="A3829" s="2" t="s">
        <v>33</v>
      </c>
      <c r="B3829" s="12">
        <v>3706263.0</v>
      </c>
      <c r="C3829" s="12">
        <v>3707210.0</v>
      </c>
      <c r="D3829" s="2"/>
      <c r="E3829" s="2" t="s">
        <v>34</v>
      </c>
      <c r="F3829" s="2" t="s">
        <v>1113</v>
      </c>
      <c r="G3829" s="2"/>
      <c r="H3829" s="12">
        <v>0.0</v>
      </c>
      <c r="I3829" s="2" t="s">
        <v>40</v>
      </c>
      <c r="J3829" s="2"/>
      <c r="K3829" s="2" t="s">
        <v>10264</v>
      </c>
      <c r="L3829" s="12">
        <v>315.0</v>
      </c>
      <c r="M3829" s="2" t="s">
        <v>10265</v>
      </c>
      <c r="N3829" s="2" t="str">
        <f>IFERROR(__xludf.DUMMYFUNCTION("""COMPUTED_VALUE"""),"")</f>
        <v/>
      </c>
    </row>
    <row r="3830">
      <c r="A3830" s="2" t="s">
        <v>33</v>
      </c>
      <c r="B3830" s="12">
        <v>3707216.0</v>
      </c>
      <c r="C3830" s="12">
        <v>3708244.0</v>
      </c>
      <c r="D3830" s="2"/>
      <c r="E3830" s="2" t="s">
        <v>34</v>
      </c>
      <c r="F3830" s="2" t="s">
        <v>2555</v>
      </c>
      <c r="G3830" s="2"/>
      <c r="H3830" s="12">
        <v>0.0</v>
      </c>
      <c r="I3830" s="2" t="s">
        <v>40</v>
      </c>
      <c r="J3830" s="2"/>
      <c r="K3830" s="2" t="s">
        <v>10266</v>
      </c>
      <c r="L3830" s="12">
        <v>342.0</v>
      </c>
      <c r="M3830" s="2" t="s">
        <v>10267</v>
      </c>
      <c r="N3830" s="2" t="str">
        <f>IFERROR(__xludf.DUMMYFUNCTION("""COMPUTED_VALUE"""),"")</f>
        <v/>
      </c>
    </row>
    <row r="3831">
      <c r="A3831" s="2" t="s">
        <v>33</v>
      </c>
      <c r="B3831" s="12">
        <v>3708231.0</v>
      </c>
      <c r="C3831" s="12">
        <v>3709049.0</v>
      </c>
      <c r="D3831" s="2"/>
      <c r="E3831" s="2" t="s">
        <v>34</v>
      </c>
      <c r="F3831" s="2" t="s">
        <v>432</v>
      </c>
      <c r="G3831" s="2"/>
      <c r="H3831" s="12">
        <v>0.0</v>
      </c>
      <c r="I3831" s="2" t="s">
        <v>40</v>
      </c>
      <c r="J3831" s="2"/>
      <c r="K3831" s="2" t="s">
        <v>10268</v>
      </c>
      <c r="L3831" s="12">
        <v>272.0</v>
      </c>
      <c r="M3831" s="2" t="s">
        <v>10269</v>
      </c>
      <c r="N3831" s="2" t="str">
        <f>IFERROR(__xludf.DUMMYFUNCTION("""COMPUTED_VALUE"""),"")</f>
        <v/>
      </c>
    </row>
    <row r="3832">
      <c r="A3832" s="2" t="s">
        <v>33</v>
      </c>
      <c r="B3832" s="12">
        <v>3709016.0</v>
      </c>
      <c r="C3832" s="12">
        <v>3709411.0</v>
      </c>
      <c r="D3832" s="2"/>
      <c r="E3832" s="2" t="s">
        <v>34</v>
      </c>
      <c r="F3832" s="2" t="s">
        <v>5671</v>
      </c>
      <c r="G3832" s="2"/>
      <c r="H3832" s="12">
        <v>0.0</v>
      </c>
      <c r="I3832" s="2" t="s">
        <v>40</v>
      </c>
      <c r="J3832" s="2"/>
      <c r="K3832" s="2" t="s">
        <v>10270</v>
      </c>
      <c r="L3832" s="12">
        <v>131.0</v>
      </c>
      <c r="M3832" s="2" t="s">
        <v>10271</v>
      </c>
      <c r="N3832" s="2" t="str">
        <f>IFERROR(__xludf.DUMMYFUNCTION("""COMPUTED_VALUE"""),"")</f>
        <v/>
      </c>
    </row>
    <row r="3833">
      <c r="A3833" s="2" t="s">
        <v>33</v>
      </c>
      <c r="B3833" s="12">
        <v>3709840.0</v>
      </c>
      <c r="C3833" s="12">
        <v>3710379.0</v>
      </c>
      <c r="D3833" s="2"/>
      <c r="E3833" s="2" t="s">
        <v>34</v>
      </c>
      <c r="F3833" s="2" t="s">
        <v>367</v>
      </c>
      <c r="G3833" s="2"/>
      <c r="H3833" s="12">
        <v>0.0</v>
      </c>
      <c r="I3833" s="2" t="s">
        <v>40</v>
      </c>
      <c r="J3833" s="2"/>
      <c r="K3833" s="2" t="s">
        <v>10272</v>
      </c>
      <c r="L3833" s="12">
        <v>179.0</v>
      </c>
      <c r="M3833" s="2" t="s">
        <v>10273</v>
      </c>
      <c r="N3833" s="2" t="str">
        <f>IFERROR(__xludf.DUMMYFUNCTION("""COMPUTED_VALUE"""),"")</f>
        <v/>
      </c>
    </row>
    <row r="3834">
      <c r="A3834" s="2" t="s">
        <v>33</v>
      </c>
      <c r="B3834" s="12">
        <v>3710450.0</v>
      </c>
      <c r="C3834" s="12">
        <v>3710908.0</v>
      </c>
      <c r="D3834" s="2"/>
      <c r="E3834" s="2" t="s">
        <v>34</v>
      </c>
      <c r="F3834" s="2" t="s">
        <v>367</v>
      </c>
      <c r="G3834" s="2"/>
      <c r="H3834" s="12">
        <v>0.0</v>
      </c>
      <c r="I3834" s="2" t="s">
        <v>40</v>
      </c>
      <c r="J3834" s="2"/>
      <c r="K3834" s="2" t="s">
        <v>10274</v>
      </c>
      <c r="L3834" s="12">
        <v>152.0</v>
      </c>
      <c r="M3834" s="2" t="s">
        <v>10275</v>
      </c>
      <c r="N3834" s="2" t="str">
        <f>IFERROR(__xludf.DUMMYFUNCTION("""COMPUTED_VALUE"""),"")</f>
        <v/>
      </c>
    </row>
    <row r="3835">
      <c r="A3835" s="2" t="s">
        <v>33</v>
      </c>
      <c r="B3835" s="12">
        <v>3711030.0</v>
      </c>
      <c r="C3835" s="12">
        <v>3711407.0</v>
      </c>
      <c r="D3835" s="2"/>
      <c r="E3835" s="2" t="s">
        <v>34</v>
      </c>
      <c r="F3835" s="2" t="s">
        <v>9588</v>
      </c>
      <c r="G3835" s="2"/>
      <c r="H3835" s="12">
        <v>0.0</v>
      </c>
      <c r="I3835" s="2" t="s">
        <v>40</v>
      </c>
      <c r="J3835" s="2"/>
      <c r="K3835" s="2" t="s">
        <v>10276</v>
      </c>
      <c r="L3835" s="12">
        <v>125.0</v>
      </c>
      <c r="M3835" s="2" t="s">
        <v>10277</v>
      </c>
      <c r="N3835" s="2" t="str">
        <f>IFERROR(__xludf.DUMMYFUNCTION("""COMPUTED_VALUE"""),"")</f>
        <v/>
      </c>
    </row>
    <row r="3836">
      <c r="A3836" s="2" t="s">
        <v>33</v>
      </c>
      <c r="B3836" s="12">
        <v>3711443.0</v>
      </c>
      <c r="C3836" s="12">
        <v>3711988.0</v>
      </c>
      <c r="D3836" s="2"/>
      <c r="E3836" s="2" t="s">
        <v>38</v>
      </c>
      <c r="F3836" s="2" t="s">
        <v>216</v>
      </c>
      <c r="G3836" s="2"/>
      <c r="H3836" s="12">
        <v>0.0</v>
      </c>
      <c r="I3836" s="2" t="s">
        <v>40</v>
      </c>
      <c r="J3836" s="2"/>
      <c r="K3836" s="2" t="s">
        <v>10278</v>
      </c>
      <c r="L3836" s="12">
        <v>181.0</v>
      </c>
      <c r="M3836" s="2" t="s">
        <v>10279</v>
      </c>
      <c r="N3836" s="2" t="str">
        <f>IFERROR(__xludf.DUMMYFUNCTION("""COMPUTED_VALUE"""),"")</f>
        <v/>
      </c>
    </row>
    <row r="3837">
      <c r="A3837" s="2" t="s">
        <v>33</v>
      </c>
      <c r="B3837" s="12">
        <v>3712145.0</v>
      </c>
      <c r="C3837" s="12">
        <v>3712549.0</v>
      </c>
      <c r="D3837" s="2"/>
      <c r="E3837" s="2" t="s">
        <v>34</v>
      </c>
      <c r="F3837" s="2" t="s">
        <v>4930</v>
      </c>
      <c r="G3837" s="2"/>
      <c r="H3837" s="12">
        <v>0.0</v>
      </c>
      <c r="I3837" s="2" t="s">
        <v>40</v>
      </c>
      <c r="J3837" s="2"/>
      <c r="K3837" s="2" t="s">
        <v>10280</v>
      </c>
      <c r="L3837" s="12">
        <v>134.0</v>
      </c>
      <c r="M3837" s="2" t="s">
        <v>10281</v>
      </c>
      <c r="N3837" s="2" t="str">
        <f>IFERROR(__xludf.DUMMYFUNCTION("""COMPUTED_VALUE"""),"")</f>
        <v/>
      </c>
    </row>
    <row r="3838">
      <c r="A3838" s="2" t="s">
        <v>33</v>
      </c>
      <c r="B3838" s="12">
        <v>3712572.0</v>
      </c>
      <c r="C3838" s="12">
        <v>3713429.0</v>
      </c>
      <c r="D3838" s="2"/>
      <c r="E3838" s="2" t="s">
        <v>34</v>
      </c>
      <c r="F3838" s="2" t="s">
        <v>541</v>
      </c>
      <c r="G3838" s="2"/>
      <c r="H3838" s="12">
        <v>0.0</v>
      </c>
      <c r="I3838" s="2" t="s">
        <v>40</v>
      </c>
      <c r="J3838" s="2"/>
      <c r="K3838" s="2" t="s">
        <v>10282</v>
      </c>
      <c r="L3838" s="12">
        <v>285.0</v>
      </c>
      <c r="M3838" s="2" t="s">
        <v>10283</v>
      </c>
      <c r="N3838" s="2" t="str">
        <f>IFERROR(__xludf.DUMMYFUNCTION("""COMPUTED_VALUE"""),"")</f>
        <v/>
      </c>
    </row>
    <row r="3839">
      <c r="A3839" s="2" t="s">
        <v>33</v>
      </c>
      <c r="B3839" s="12">
        <v>3713444.0</v>
      </c>
      <c r="C3839" s="12">
        <v>3713758.0</v>
      </c>
      <c r="D3839" s="2"/>
      <c r="E3839" s="2" t="s">
        <v>38</v>
      </c>
      <c r="F3839" s="2" t="s">
        <v>10284</v>
      </c>
      <c r="G3839" s="2"/>
      <c r="H3839" s="12">
        <v>0.0</v>
      </c>
      <c r="I3839" s="2" t="s">
        <v>40</v>
      </c>
      <c r="J3839" s="2"/>
      <c r="K3839" s="2" t="s">
        <v>10285</v>
      </c>
      <c r="L3839" s="12">
        <v>104.0</v>
      </c>
      <c r="M3839" s="2" t="s">
        <v>10286</v>
      </c>
      <c r="N3839" s="2" t="str">
        <f>IFERROR(__xludf.DUMMYFUNCTION("""COMPUTED_VALUE"""),"")</f>
        <v/>
      </c>
    </row>
    <row r="3840">
      <c r="A3840" s="2" t="s">
        <v>33</v>
      </c>
      <c r="B3840" s="12">
        <v>3713739.0</v>
      </c>
      <c r="C3840" s="12">
        <v>3715493.0</v>
      </c>
      <c r="D3840" s="2"/>
      <c r="E3840" s="2" t="s">
        <v>38</v>
      </c>
      <c r="F3840" s="2" t="s">
        <v>10287</v>
      </c>
      <c r="G3840" s="2"/>
      <c r="H3840" s="12">
        <v>0.0</v>
      </c>
      <c r="I3840" s="2" t="s">
        <v>40</v>
      </c>
      <c r="J3840" s="2"/>
      <c r="K3840" s="2" t="s">
        <v>10288</v>
      </c>
      <c r="L3840" s="12">
        <v>584.0</v>
      </c>
      <c r="M3840" s="2" t="s">
        <v>10289</v>
      </c>
      <c r="N3840" s="2" t="str">
        <f>IFERROR(__xludf.DUMMYFUNCTION("""COMPUTED_VALUE"""),"")</f>
        <v/>
      </c>
    </row>
    <row r="3841">
      <c r="A3841" s="2" t="s">
        <v>33</v>
      </c>
      <c r="B3841" s="12">
        <v>3716384.0</v>
      </c>
      <c r="C3841" s="12">
        <v>3719137.0</v>
      </c>
      <c r="D3841" s="2"/>
      <c r="E3841" s="2" t="s">
        <v>38</v>
      </c>
      <c r="F3841" s="2" t="s">
        <v>8847</v>
      </c>
      <c r="G3841" s="2"/>
      <c r="H3841" s="12">
        <v>0.0</v>
      </c>
      <c r="I3841" s="2" t="s">
        <v>40</v>
      </c>
      <c r="J3841" s="2"/>
      <c r="K3841" s="2" t="s">
        <v>10290</v>
      </c>
      <c r="L3841" s="12">
        <v>917.0</v>
      </c>
      <c r="M3841" s="2" t="s">
        <v>10291</v>
      </c>
      <c r="N3841" s="2" t="str">
        <f>IFERROR(__xludf.DUMMYFUNCTION("""COMPUTED_VALUE"""),"")</f>
        <v/>
      </c>
    </row>
    <row r="3842">
      <c r="A3842" s="2" t="s">
        <v>33</v>
      </c>
      <c r="B3842" s="12">
        <v>3719365.0</v>
      </c>
      <c r="C3842" s="12">
        <v>3720603.0</v>
      </c>
      <c r="D3842" s="2"/>
      <c r="E3842" s="2" t="s">
        <v>34</v>
      </c>
      <c r="F3842" s="2" t="s">
        <v>10292</v>
      </c>
      <c r="G3842" s="2"/>
      <c r="H3842" s="12">
        <v>0.0</v>
      </c>
      <c r="I3842" s="2" t="s">
        <v>40</v>
      </c>
      <c r="J3842" s="2"/>
      <c r="K3842" s="2" t="s">
        <v>10293</v>
      </c>
      <c r="L3842" s="12">
        <v>412.0</v>
      </c>
      <c r="M3842" s="2" t="s">
        <v>10294</v>
      </c>
      <c r="N3842" s="2" t="str">
        <f>IFERROR(__xludf.DUMMYFUNCTION("""COMPUTED_VALUE"""),"")</f>
        <v/>
      </c>
    </row>
    <row r="3843">
      <c r="A3843" s="2" t="s">
        <v>33</v>
      </c>
      <c r="B3843" s="12">
        <v>3720643.0</v>
      </c>
      <c r="C3843" s="12">
        <v>3720765.0</v>
      </c>
      <c r="D3843" s="2"/>
      <c r="E3843" s="2" t="s">
        <v>38</v>
      </c>
      <c r="F3843" s="2" t="s">
        <v>10295</v>
      </c>
      <c r="G3843" s="2"/>
      <c r="H3843" s="12">
        <v>0.0</v>
      </c>
      <c r="I3843" s="2" t="s">
        <v>40</v>
      </c>
      <c r="J3843" s="2"/>
      <c r="K3843" s="2" t="s">
        <v>10296</v>
      </c>
      <c r="L3843" s="12">
        <v>40.0</v>
      </c>
      <c r="M3843" s="2" t="s">
        <v>10297</v>
      </c>
      <c r="N3843" s="2" t="str">
        <f>IFERROR(__xludf.DUMMYFUNCTION("""COMPUTED_VALUE"""),"")</f>
        <v/>
      </c>
    </row>
    <row r="3844">
      <c r="A3844" s="2" t="s">
        <v>33</v>
      </c>
      <c r="B3844" s="12">
        <v>3720835.0</v>
      </c>
      <c r="C3844" s="12">
        <v>3721113.0</v>
      </c>
      <c r="D3844" s="2"/>
      <c r="E3844" s="2" t="s">
        <v>38</v>
      </c>
      <c r="F3844" s="2" t="s">
        <v>39</v>
      </c>
      <c r="G3844" s="2"/>
      <c r="H3844" s="12">
        <v>0.0</v>
      </c>
      <c r="I3844" s="2" t="s">
        <v>40</v>
      </c>
      <c r="J3844" s="2"/>
      <c r="K3844" s="2" t="s">
        <v>10298</v>
      </c>
      <c r="L3844" s="12">
        <v>92.0</v>
      </c>
      <c r="M3844" s="2" t="s">
        <v>10299</v>
      </c>
      <c r="N3844" s="2" t="str">
        <f>IFERROR(__xludf.DUMMYFUNCTION("""COMPUTED_VALUE"""),"")</f>
        <v/>
      </c>
    </row>
    <row r="3845">
      <c r="A3845" s="2" t="s">
        <v>33</v>
      </c>
      <c r="B3845" s="12">
        <v>3721449.0</v>
      </c>
      <c r="C3845" s="12">
        <v>3722051.0</v>
      </c>
      <c r="D3845" s="2"/>
      <c r="E3845" s="2" t="s">
        <v>34</v>
      </c>
      <c r="F3845" s="2" t="s">
        <v>1528</v>
      </c>
      <c r="G3845" s="2"/>
      <c r="H3845" s="12">
        <v>0.0</v>
      </c>
      <c r="I3845" s="2" t="s">
        <v>40</v>
      </c>
      <c r="J3845" s="2"/>
      <c r="K3845" s="2" t="s">
        <v>10300</v>
      </c>
      <c r="L3845" s="12">
        <v>200.0</v>
      </c>
      <c r="M3845" s="2" t="s">
        <v>10301</v>
      </c>
      <c r="N3845" s="2" t="str">
        <f>IFERROR(__xludf.DUMMYFUNCTION("""COMPUTED_VALUE"""),"")</f>
        <v/>
      </c>
    </row>
    <row r="3846">
      <c r="A3846" s="2" t="s">
        <v>33</v>
      </c>
      <c r="B3846" s="12">
        <v>3722070.0</v>
      </c>
      <c r="C3846" s="12">
        <v>3722606.0</v>
      </c>
      <c r="D3846" s="2"/>
      <c r="E3846" s="2" t="s">
        <v>34</v>
      </c>
      <c r="F3846" s="2" t="s">
        <v>39</v>
      </c>
      <c r="G3846" s="2"/>
      <c r="H3846" s="12">
        <v>0.0</v>
      </c>
      <c r="I3846" s="2" t="s">
        <v>40</v>
      </c>
      <c r="J3846" s="2"/>
      <c r="K3846" s="2" t="s">
        <v>10302</v>
      </c>
      <c r="L3846" s="12">
        <v>178.0</v>
      </c>
      <c r="M3846" s="2" t="s">
        <v>10303</v>
      </c>
      <c r="N3846" s="2" t="str">
        <f>IFERROR(__xludf.DUMMYFUNCTION("""COMPUTED_VALUE"""),"")</f>
        <v/>
      </c>
    </row>
    <row r="3847">
      <c r="A3847" s="2" t="s">
        <v>33</v>
      </c>
      <c r="B3847" s="12">
        <v>3722871.0</v>
      </c>
      <c r="C3847" s="12">
        <v>3723371.0</v>
      </c>
      <c r="D3847" s="2"/>
      <c r="E3847" s="2" t="s">
        <v>34</v>
      </c>
      <c r="F3847" s="2" t="s">
        <v>4930</v>
      </c>
      <c r="G3847" s="2"/>
      <c r="H3847" s="12">
        <v>0.0</v>
      </c>
      <c r="I3847" s="2" t="s">
        <v>40</v>
      </c>
      <c r="J3847" s="2"/>
      <c r="K3847" s="2" t="s">
        <v>10304</v>
      </c>
      <c r="L3847" s="12">
        <v>166.0</v>
      </c>
      <c r="M3847" s="2" t="s">
        <v>10305</v>
      </c>
      <c r="N3847" s="2" t="str">
        <f>IFERROR(__xludf.DUMMYFUNCTION("""COMPUTED_VALUE"""),"")</f>
        <v/>
      </c>
    </row>
    <row r="3848">
      <c r="A3848" s="2" t="s">
        <v>33</v>
      </c>
      <c r="B3848" s="12">
        <v>3723413.0</v>
      </c>
      <c r="C3848" s="12">
        <v>3724297.0</v>
      </c>
      <c r="D3848" s="2"/>
      <c r="E3848" s="2" t="s">
        <v>38</v>
      </c>
      <c r="F3848" s="2" t="s">
        <v>326</v>
      </c>
      <c r="G3848" s="2"/>
      <c r="H3848" s="12">
        <v>0.0</v>
      </c>
      <c r="I3848" s="2" t="s">
        <v>40</v>
      </c>
      <c r="J3848" s="2"/>
      <c r="K3848" s="2" t="s">
        <v>10306</v>
      </c>
      <c r="L3848" s="12">
        <v>294.0</v>
      </c>
      <c r="M3848" s="2" t="s">
        <v>10307</v>
      </c>
      <c r="N3848" s="2" t="str">
        <f>IFERROR(__xludf.DUMMYFUNCTION("""COMPUTED_VALUE"""),"")</f>
        <v/>
      </c>
    </row>
    <row r="3849">
      <c r="A3849" s="2" t="s">
        <v>33</v>
      </c>
      <c r="B3849" s="12">
        <v>3724313.0</v>
      </c>
      <c r="C3849" s="12">
        <v>3725146.0</v>
      </c>
      <c r="D3849" s="2"/>
      <c r="E3849" s="2" t="s">
        <v>38</v>
      </c>
      <c r="F3849" s="2" t="s">
        <v>367</v>
      </c>
      <c r="G3849" s="2"/>
      <c r="H3849" s="12">
        <v>0.0</v>
      </c>
      <c r="I3849" s="2" t="s">
        <v>40</v>
      </c>
      <c r="J3849" s="2"/>
      <c r="K3849" s="2" t="s">
        <v>10308</v>
      </c>
      <c r="L3849" s="12">
        <v>277.0</v>
      </c>
      <c r="M3849" s="2" t="s">
        <v>10309</v>
      </c>
      <c r="N3849" s="2" t="str">
        <f>IFERROR(__xludf.DUMMYFUNCTION("""COMPUTED_VALUE"""),"")</f>
        <v/>
      </c>
    </row>
    <row r="3850">
      <c r="A3850" s="2" t="s">
        <v>33</v>
      </c>
      <c r="B3850" s="12">
        <v>3725407.0</v>
      </c>
      <c r="C3850" s="12">
        <v>3726792.0</v>
      </c>
      <c r="D3850" s="2"/>
      <c r="E3850" s="2" t="s">
        <v>34</v>
      </c>
      <c r="F3850" s="2" t="s">
        <v>10310</v>
      </c>
      <c r="G3850" s="2"/>
      <c r="H3850" s="12">
        <v>0.0</v>
      </c>
      <c r="I3850" s="2" t="s">
        <v>40</v>
      </c>
      <c r="J3850" s="2"/>
      <c r="K3850" s="2" t="s">
        <v>10311</v>
      </c>
      <c r="L3850" s="12">
        <v>461.0</v>
      </c>
      <c r="M3850" s="2" t="s">
        <v>10312</v>
      </c>
      <c r="N3850" s="2" t="str">
        <f>IFERROR(__xludf.DUMMYFUNCTION("""COMPUTED_VALUE"""),"")</f>
        <v/>
      </c>
    </row>
    <row r="3851">
      <c r="A3851" s="2" t="s">
        <v>33</v>
      </c>
      <c r="B3851" s="12">
        <v>3726847.0</v>
      </c>
      <c r="C3851" s="12">
        <v>3727314.0</v>
      </c>
      <c r="D3851" s="2"/>
      <c r="E3851" s="2" t="s">
        <v>34</v>
      </c>
      <c r="F3851" s="2" t="s">
        <v>39</v>
      </c>
      <c r="G3851" s="2"/>
      <c r="H3851" s="12">
        <v>0.0</v>
      </c>
      <c r="I3851" s="2" t="s">
        <v>40</v>
      </c>
      <c r="J3851" s="2"/>
      <c r="K3851" s="2" t="s">
        <v>10313</v>
      </c>
      <c r="L3851" s="12">
        <v>155.0</v>
      </c>
      <c r="M3851" s="2" t="s">
        <v>10314</v>
      </c>
      <c r="N3851" s="2" t="str">
        <f>IFERROR(__xludf.DUMMYFUNCTION("""COMPUTED_VALUE"""),"")</f>
        <v/>
      </c>
    </row>
    <row r="3852">
      <c r="A3852" s="2" t="s">
        <v>33</v>
      </c>
      <c r="B3852" s="12">
        <v>3727392.0</v>
      </c>
      <c r="C3852" s="12">
        <v>3728042.0</v>
      </c>
      <c r="D3852" s="2"/>
      <c r="E3852" s="2" t="s">
        <v>38</v>
      </c>
      <c r="F3852" s="2" t="s">
        <v>3982</v>
      </c>
      <c r="G3852" s="2"/>
      <c r="H3852" s="12">
        <v>0.0</v>
      </c>
      <c r="I3852" s="2" t="s">
        <v>40</v>
      </c>
      <c r="J3852" s="2"/>
      <c r="K3852" s="2" t="s">
        <v>10315</v>
      </c>
      <c r="L3852" s="12">
        <v>216.0</v>
      </c>
      <c r="M3852" s="2" t="s">
        <v>10316</v>
      </c>
      <c r="N3852" s="2" t="str">
        <f>IFERROR(__xludf.DUMMYFUNCTION("""COMPUTED_VALUE"""),"")</f>
        <v/>
      </c>
    </row>
    <row r="3853">
      <c r="A3853" s="2" t="s">
        <v>33</v>
      </c>
      <c r="B3853" s="12">
        <v>3728392.0</v>
      </c>
      <c r="C3853" s="12">
        <v>3729018.0</v>
      </c>
      <c r="D3853" s="2"/>
      <c r="E3853" s="2" t="s">
        <v>34</v>
      </c>
      <c r="F3853" s="2" t="s">
        <v>1106</v>
      </c>
      <c r="G3853" s="2"/>
      <c r="H3853" s="12">
        <v>0.0</v>
      </c>
      <c r="I3853" s="2" t="s">
        <v>40</v>
      </c>
      <c r="J3853" s="2"/>
      <c r="K3853" s="2" t="s">
        <v>10317</v>
      </c>
      <c r="L3853" s="12">
        <v>208.0</v>
      </c>
      <c r="M3853" s="2" t="s">
        <v>10318</v>
      </c>
      <c r="N3853" s="2" t="str">
        <f>IFERROR(__xludf.DUMMYFUNCTION("""COMPUTED_VALUE"""),"")</f>
        <v/>
      </c>
    </row>
    <row r="3854">
      <c r="A3854" s="2" t="s">
        <v>33</v>
      </c>
      <c r="B3854" s="12">
        <v>3729215.0</v>
      </c>
      <c r="C3854" s="12">
        <v>3729364.0</v>
      </c>
      <c r="D3854" s="2"/>
      <c r="E3854" s="2" t="s">
        <v>34</v>
      </c>
      <c r="F3854" s="2" t="s">
        <v>6861</v>
      </c>
      <c r="G3854" s="2" t="s">
        <v>6862</v>
      </c>
      <c r="H3854" s="12">
        <v>0.0</v>
      </c>
      <c r="I3854" s="2" t="s">
        <v>40</v>
      </c>
      <c r="J3854" s="2"/>
      <c r="K3854" s="2" t="s">
        <v>10319</v>
      </c>
      <c r="L3854" s="12">
        <v>49.0</v>
      </c>
      <c r="M3854" s="2" t="s">
        <v>10320</v>
      </c>
      <c r="N3854" s="2" t="str">
        <f>IFERROR(__xludf.DUMMYFUNCTION("""COMPUTED_VALUE"""),"")</f>
        <v/>
      </c>
    </row>
    <row r="3855">
      <c r="A3855" s="2" t="s">
        <v>33</v>
      </c>
      <c r="B3855" s="12">
        <v>3729454.0</v>
      </c>
      <c r="C3855" s="12">
        <v>3730947.0</v>
      </c>
      <c r="D3855" s="2"/>
      <c r="E3855" s="2" t="s">
        <v>34</v>
      </c>
      <c r="F3855" s="2" t="s">
        <v>10321</v>
      </c>
      <c r="G3855" s="2"/>
      <c r="H3855" s="12">
        <v>0.0</v>
      </c>
      <c r="I3855" s="2" t="s">
        <v>40</v>
      </c>
      <c r="J3855" s="2"/>
      <c r="K3855" s="2" t="s">
        <v>10322</v>
      </c>
      <c r="L3855" s="12">
        <v>497.0</v>
      </c>
      <c r="M3855" s="2" t="s">
        <v>10323</v>
      </c>
      <c r="N3855" s="2" t="str">
        <f>IFERROR(__xludf.DUMMYFUNCTION("""COMPUTED_VALUE"""),"")</f>
        <v/>
      </c>
    </row>
    <row r="3856">
      <c r="A3856" s="2" t="s">
        <v>33</v>
      </c>
      <c r="B3856" s="12">
        <v>3730991.0</v>
      </c>
      <c r="C3856" s="12">
        <v>3731911.0</v>
      </c>
      <c r="D3856" s="2"/>
      <c r="E3856" s="2" t="s">
        <v>38</v>
      </c>
      <c r="F3856" s="2" t="s">
        <v>39</v>
      </c>
      <c r="G3856" s="2"/>
      <c r="H3856" s="12">
        <v>0.0</v>
      </c>
      <c r="I3856" s="2" t="s">
        <v>40</v>
      </c>
      <c r="J3856" s="2"/>
      <c r="K3856" s="2" t="s">
        <v>10324</v>
      </c>
      <c r="L3856" s="12">
        <v>306.0</v>
      </c>
      <c r="M3856" s="2" t="s">
        <v>10325</v>
      </c>
      <c r="N3856" s="2" t="str">
        <f>IFERROR(__xludf.DUMMYFUNCTION("""COMPUTED_VALUE"""),"")</f>
        <v/>
      </c>
    </row>
    <row r="3857">
      <c r="A3857" s="2" t="s">
        <v>33</v>
      </c>
      <c r="B3857" s="12">
        <v>3732064.0</v>
      </c>
      <c r="C3857" s="12">
        <v>3732777.0</v>
      </c>
      <c r="D3857" s="2"/>
      <c r="E3857" s="2" t="s">
        <v>34</v>
      </c>
      <c r="F3857" s="2" t="s">
        <v>10326</v>
      </c>
      <c r="G3857" s="2" t="s">
        <v>10327</v>
      </c>
      <c r="H3857" s="12">
        <v>0.0</v>
      </c>
      <c r="I3857" s="2" t="s">
        <v>40</v>
      </c>
      <c r="J3857" s="2"/>
      <c r="K3857" s="2" t="s">
        <v>10328</v>
      </c>
      <c r="L3857" s="12">
        <v>237.0</v>
      </c>
      <c r="M3857" s="2" t="s">
        <v>10329</v>
      </c>
      <c r="N3857" s="2" t="str">
        <f>IFERROR(__xludf.DUMMYFUNCTION("""COMPUTED_VALUE"""),"")</f>
        <v/>
      </c>
    </row>
    <row r="3858">
      <c r="A3858" s="2" t="s">
        <v>33</v>
      </c>
      <c r="B3858" s="12">
        <v>3733067.0</v>
      </c>
      <c r="C3858" s="12">
        <v>3733855.0</v>
      </c>
      <c r="D3858" s="2"/>
      <c r="E3858" s="2" t="s">
        <v>34</v>
      </c>
      <c r="F3858" s="2" t="s">
        <v>10330</v>
      </c>
      <c r="G3858" s="2"/>
      <c r="H3858" s="12">
        <v>0.0</v>
      </c>
      <c r="I3858" s="2" t="s">
        <v>40</v>
      </c>
      <c r="J3858" s="2"/>
      <c r="K3858" s="2" t="s">
        <v>10331</v>
      </c>
      <c r="L3858" s="12">
        <v>262.0</v>
      </c>
      <c r="M3858" s="2" t="s">
        <v>10332</v>
      </c>
      <c r="N3858" s="2" t="str">
        <f>IFERROR(__xludf.DUMMYFUNCTION("""COMPUTED_VALUE"""),"")</f>
        <v/>
      </c>
    </row>
    <row r="3859">
      <c r="A3859" s="2" t="s">
        <v>33</v>
      </c>
      <c r="B3859" s="12">
        <v>3734041.0</v>
      </c>
      <c r="C3859" s="12">
        <v>3734196.0</v>
      </c>
      <c r="D3859" s="2"/>
      <c r="E3859" s="2" t="s">
        <v>38</v>
      </c>
      <c r="F3859" s="2" t="s">
        <v>10333</v>
      </c>
      <c r="G3859" s="2"/>
      <c r="H3859" s="12">
        <v>0.0</v>
      </c>
      <c r="I3859" s="2" t="s">
        <v>40</v>
      </c>
      <c r="J3859" s="2"/>
      <c r="K3859" s="2" t="s">
        <v>10334</v>
      </c>
      <c r="L3859" s="12">
        <v>51.0</v>
      </c>
      <c r="M3859" s="2" t="s">
        <v>10335</v>
      </c>
      <c r="N3859" s="2" t="str">
        <f>IFERROR(__xludf.DUMMYFUNCTION("""COMPUTED_VALUE"""),"")</f>
        <v/>
      </c>
    </row>
    <row r="3860">
      <c r="A3860" s="2" t="s">
        <v>33</v>
      </c>
      <c r="B3860" s="12">
        <v>3734443.0</v>
      </c>
      <c r="C3860" s="12">
        <v>3734955.0</v>
      </c>
      <c r="D3860" s="2"/>
      <c r="E3860" s="2" t="s">
        <v>34</v>
      </c>
      <c r="F3860" s="2" t="s">
        <v>10336</v>
      </c>
      <c r="G3860" s="2"/>
      <c r="H3860" s="12">
        <v>0.0</v>
      </c>
      <c r="I3860" s="2" t="s">
        <v>40</v>
      </c>
      <c r="J3860" s="2"/>
      <c r="K3860" s="2" t="s">
        <v>10337</v>
      </c>
      <c r="L3860" s="12">
        <v>170.0</v>
      </c>
      <c r="M3860" s="2" t="s">
        <v>10338</v>
      </c>
      <c r="N3860" s="2" t="str">
        <f>IFERROR(__xludf.DUMMYFUNCTION("""COMPUTED_VALUE"""),"")</f>
        <v/>
      </c>
    </row>
    <row r="3861">
      <c r="A3861" s="2" t="s">
        <v>33</v>
      </c>
      <c r="B3861" s="12">
        <v>3734959.0</v>
      </c>
      <c r="C3861" s="12">
        <v>3736065.0</v>
      </c>
      <c r="D3861" s="2"/>
      <c r="E3861" s="2" t="s">
        <v>34</v>
      </c>
      <c r="F3861" s="2" t="s">
        <v>10339</v>
      </c>
      <c r="G3861" s="2" t="s">
        <v>10340</v>
      </c>
      <c r="H3861" s="12">
        <v>0.0</v>
      </c>
      <c r="I3861" s="2" t="s">
        <v>40</v>
      </c>
      <c r="J3861" s="2"/>
      <c r="K3861" s="2" t="s">
        <v>10341</v>
      </c>
      <c r="L3861" s="12">
        <v>368.0</v>
      </c>
      <c r="M3861" s="2" t="s">
        <v>10342</v>
      </c>
      <c r="N3861" s="2" t="str">
        <f>IFERROR(__xludf.DUMMYFUNCTION("""COMPUTED_VALUE"""),"")</f>
        <v/>
      </c>
    </row>
    <row r="3862">
      <c r="A3862" s="2" t="s">
        <v>33</v>
      </c>
      <c r="B3862" s="12">
        <v>3736081.0</v>
      </c>
      <c r="C3862" s="12">
        <v>3736914.0</v>
      </c>
      <c r="D3862" s="2"/>
      <c r="E3862" s="2" t="s">
        <v>34</v>
      </c>
      <c r="F3862" s="2" t="s">
        <v>10343</v>
      </c>
      <c r="G3862" s="2" t="s">
        <v>10344</v>
      </c>
      <c r="H3862" s="12">
        <v>0.0</v>
      </c>
      <c r="I3862" s="2" t="s">
        <v>40</v>
      </c>
      <c r="J3862" s="2"/>
      <c r="K3862" s="2" t="s">
        <v>10345</v>
      </c>
      <c r="L3862" s="12">
        <v>277.0</v>
      </c>
      <c r="M3862" s="2" t="s">
        <v>10346</v>
      </c>
      <c r="N3862" s="2" t="str">
        <f>IFERROR(__xludf.DUMMYFUNCTION("""COMPUTED_VALUE"""),"")</f>
        <v/>
      </c>
    </row>
    <row r="3863">
      <c r="A3863" s="2" t="s">
        <v>33</v>
      </c>
      <c r="B3863" s="12">
        <v>3736920.0</v>
      </c>
      <c r="C3863" s="12">
        <v>3737213.0</v>
      </c>
      <c r="D3863" s="2"/>
      <c r="E3863" s="2" t="s">
        <v>34</v>
      </c>
      <c r="F3863" s="2" t="s">
        <v>10347</v>
      </c>
      <c r="G3863" s="2" t="s">
        <v>10348</v>
      </c>
      <c r="H3863" s="12">
        <v>0.0</v>
      </c>
      <c r="I3863" s="2" t="s">
        <v>40</v>
      </c>
      <c r="J3863" s="2"/>
      <c r="K3863" s="2" t="s">
        <v>10349</v>
      </c>
      <c r="L3863" s="12">
        <v>97.0</v>
      </c>
      <c r="M3863" s="2" t="s">
        <v>10350</v>
      </c>
      <c r="N3863" s="2" t="str">
        <f>IFERROR(__xludf.DUMMYFUNCTION("""COMPUTED_VALUE"""),"")</f>
        <v/>
      </c>
    </row>
    <row r="3864">
      <c r="A3864" s="2" t="s">
        <v>33</v>
      </c>
      <c r="B3864" s="12">
        <v>3737351.0</v>
      </c>
      <c r="C3864" s="12">
        <v>3737920.0</v>
      </c>
      <c r="D3864" s="2"/>
      <c r="E3864" s="2" t="s">
        <v>34</v>
      </c>
      <c r="F3864" s="2" t="s">
        <v>10351</v>
      </c>
      <c r="G3864" s="2" t="s">
        <v>10352</v>
      </c>
      <c r="H3864" s="12">
        <v>0.0</v>
      </c>
      <c r="I3864" s="2" t="s">
        <v>40</v>
      </c>
      <c r="J3864" s="2"/>
      <c r="K3864" s="2" t="s">
        <v>10353</v>
      </c>
      <c r="L3864" s="12">
        <v>189.0</v>
      </c>
      <c r="M3864" s="2" t="s">
        <v>10354</v>
      </c>
      <c r="N3864" s="2" t="str">
        <f>IFERROR(__xludf.DUMMYFUNCTION("""COMPUTED_VALUE"""),"")</f>
        <v/>
      </c>
    </row>
    <row r="3865">
      <c r="A3865" s="2" t="s">
        <v>33</v>
      </c>
      <c r="B3865" s="12">
        <v>3737910.0</v>
      </c>
      <c r="C3865" s="12">
        <v>3738479.0</v>
      </c>
      <c r="D3865" s="2"/>
      <c r="E3865" s="2" t="s">
        <v>34</v>
      </c>
      <c r="F3865" s="2" t="s">
        <v>375</v>
      </c>
      <c r="G3865" s="2" t="s">
        <v>376</v>
      </c>
      <c r="H3865" s="12">
        <v>0.0</v>
      </c>
      <c r="I3865" s="2" t="s">
        <v>40</v>
      </c>
      <c r="J3865" s="2"/>
      <c r="K3865" s="2" t="s">
        <v>10355</v>
      </c>
      <c r="L3865" s="12">
        <v>189.0</v>
      </c>
      <c r="M3865" s="2" t="s">
        <v>10356</v>
      </c>
      <c r="N3865" s="2" t="str">
        <f>IFERROR(__xludf.DUMMYFUNCTION("""COMPUTED_VALUE"""),"")</f>
        <v/>
      </c>
    </row>
    <row r="3866">
      <c r="A3866" s="2" t="s">
        <v>33</v>
      </c>
      <c r="B3866" s="12">
        <v>3738476.0</v>
      </c>
      <c r="C3866" s="12">
        <v>3738832.0</v>
      </c>
      <c r="D3866" s="2"/>
      <c r="E3866" s="2" t="s">
        <v>34</v>
      </c>
      <c r="F3866" s="2" t="s">
        <v>10357</v>
      </c>
      <c r="G3866" s="2" t="s">
        <v>10358</v>
      </c>
      <c r="H3866" s="12">
        <v>0.0</v>
      </c>
      <c r="I3866" s="2" t="s">
        <v>40</v>
      </c>
      <c r="J3866" s="2"/>
      <c r="K3866" s="2" t="s">
        <v>10359</v>
      </c>
      <c r="L3866" s="12">
        <v>118.0</v>
      </c>
      <c r="M3866" s="2" t="s">
        <v>10360</v>
      </c>
      <c r="N3866" s="2" t="str">
        <f>IFERROR(__xludf.DUMMYFUNCTION("""COMPUTED_VALUE"""),"")</f>
        <v/>
      </c>
    </row>
    <row r="3867">
      <c r="A3867" s="2" t="s">
        <v>33</v>
      </c>
      <c r="B3867" s="12">
        <v>3738829.0</v>
      </c>
      <c r="C3867" s="12">
        <v>3739578.0</v>
      </c>
      <c r="D3867" s="2"/>
      <c r="E3867" s="2" t="s">
        <v>34</v>
      </c>
      <c r="F3867" s="2" t="s">
        <v>289</v>
      </c>
      <c r="G3867" s="2"/>
      <c r="H3867" s="12">
        <v>0.0</v>
      </c>
      <c r="I3867" s="2" t="s">
        <v>40</v>
      </c>
      <c r="J3867" s="2"/>
      <c r="K3867" s="2" t="s">
        <v>10361</v>
      </c>
      <c r="L3867" s="12">
        <v>249.0</v>
      </c>
      <c r="M3867" s="2" t="s">
        <v>10362</v>
      </c>
      <c r="N3867" s="2" t="str">
        <f>IFERROR(__xludf.DUMMYFUNCTION("""COMPUTED_VALUE"""),"")</f>
        <v/>
      </c>
    </row>
    <row r="3868">
      <c r="A3868" s="2" t="s">
        <v>33</v>
      </c>
      <c r="B3868" s="12">
        <v>3739750.0</v>
      </c>
      <c r="C3868" s="12">
        <v>3740577.0</v>
      </c>
      <c r="D3868" s="2"/>
      <c r="E3868" s="2" t="s">
        <v>38</v>
      </c>
      <c r="F3868" s="2" t="s">
        <v>10363</v>
      </c>
      <c r="G3868" s="2" t="s">
        <v>10364</v>
      </c>
      <c r="H3868" s="12">
        <v>0.0</v>
      </c>
      <c r="I3868" s="2" t="s">
        <v>40</v>
      </c>
      <c r="J3868" s="2"/>
      <c r="K3868" s="2" t="s">
        <v>10365</v>
      </c>
      <c r="L3868" s="12">
        <v>275.0</v>
      </c>
      <c r="M3868" s="2" t="s">
        <v>10366</v>
      </c>
      <c r="N3868" s="2" t="str">
        <f>IFERROR(__xludf.DUMMYFUNCTION("""COMPUTED_VALUE"""),"")</f>
        <v/>
      </c>
    </row>
    <row r="3869">
      <c r="A3869" s="2" t="s">
        <v>33</v>
      </c>
      <c r="B3869" s="12">
        <v>3740655.0</v>
      </c>
      <c r="C3869" s="12">
        <v>3741254.0</v>
      </c>
      <c r="D3869" s="2"/>
      <c r="E3869" s="2" t="s">
        <v>34</v>
      </c>
      <c r="F3869" s="2" t="s">
        <v>10367</v>
      </c>
      <c r="G3869" s="2"/>
      <c r="H3869" s="12">
        <v>0.0</v>
      </c>
      <c r="I3869" s="2" t="s">
        <v>40</v>
      </c>
      <c r="J3869" s="2"/>
      <c r="K3869" s="2" t="s">
        <v>10368</v>
      </c>
      <c r="L3869" s="12">
        <v>199.0</v>
      </c>
      <c r="M3869" s="2" t="s">
        <v>10369</v>
      </c>
      <c r="N3869" s="2" t="str">
        <f>IFERROR(__xludf.DUMMYFUNCTION("""COMPUTED_VALUE"""),"")</f>
        <v/>
      </c>
    </row>
    <row r="3870">
      <c r="A3870" s="2" t="s">
        <v>33</v>
      </c>
      <c r="B3870" s="12">
        <v>3741318.0</v>
      </c>
      <c r="C3870" s="12">
        <v>3741875.0</v>
      </c>
      <c r="D3870" s="2"/>
      <c r="E3870" s="2" t="s">
        <v>34</v>
      </c>
      <c r="F3870" s="2" t="s">
        <v>10370</v>
      </c>
      <c r="G3870" s="2"/>
      <c r="H3870" s="12">
        <v>0.0</v>
      </c>
      <c r="I3870" s="2" t="s">
        <v>40</v>
      </c>
      <c r="J3870" s="2"/>
      <c r="K3870" s="2" t="s">
        <v>10371</v>
      </c>
      <c r="L3870" s="12">
        <v>185.0</v>
      </c>
      <c r="M3870" s="2" t="s">
        <v>10372</v>
      </c>
      <c r="N3870" s="2" t="str">
        <f>IFERROR(__xludf.DUMMYFUNCTION("""COMPUTED_VALUE"""),"")</f>
        <v/>
      </c>
    </row>
    <row r="3871">
      <c r="A3871" s="2" t="s">
        <v>33</v>
      </c>
      <c r="B3871" s="12">
        <v>3741890.0</v>
      </c>
      <c r="C3871" s="12">
        <v>3744211.0</v>
      </c>
      <c r="D3871" s="2"/>
      <c r="E3871" s="2" t="s">
        <v>34</v>
      </c>
      <c r="F3871" s="2" t="s">
        <v>10373</v>
      </c>
      <c r="G3871" s="2"/>
      <c r="H3871" s="12">
        <v>0.0</v>
      </c>
      <c r="I3871" s="2" t="s">
        <v>40</v>
      </c>
      <c r="J3871" s="2"/>
      <c r="K3871" s="2" t="s">
        <v>10374</v>
      </c>
      <c r="L3871" s="12">
        <v>773.0</v>
      </c>
      <c r="M3871" s="2" t="s">
        <v>10375</v>
      </c>
      <c r="N3871" s="2" t="str">
        <f>IFERROR(__xludf.DUMMYFUNCTION("""COMPUTED_VALUE"""),"")</f>
        <v/>
      </c>
    </row>
    <row r="3872">
      <c r="A3872" s="2" t="s">
        <v>33</v>
      </c>
      <c r="B3872" s="12">
        <v>3744243.0</v>
      </c>
      <c r="C3872" s="12">
        <v>3744377.0</v>
      </c>
      <c r="D3872" s="2"/>
      <c r="E3872" s="2" t="s">
        <v>38</v>
      </c>
      <c r="F3872" s="2" t="s">
        <v>10376</v>
      </c>
      <c r="G3872" s="2"/>
      <c r="H3872" s="12">
        <v>0.0</v>
      </c>
      <c r="I3872" s="2" t="s">
        <v>40</v>
      </c>
      <c r="J3872" s="2"/>
      <c r="K3872" s="2" t="s">
        <v>10377</v>
      </c>
      <c r="L3872" s="12">
        <v>44.0</v>
      </c>
      <c r="M3872" s="2" t="s">
        <v>10378</v>
      </c>
      <c r="N3872" s="2" t="str">
        <f>IFERROR(__xludf.DUMMYFUNCTION("""COMPUTED_VALUE"""),"")</f>
        <v/>
      </c>
    </row>
    <row r="3873">
      <c r="A3873" s="2" t="s">
        <v>33</v>
      </c>
      <c r="B3873" s="12">
        <v>3744724.0</v>
      </c>
      <c r="C3873" s="12">
        <v>3745734.0</v>
      </c>
      <c r="D3873" s="2"/>
      <c r="E3873" s="2" t="s">
        <v>34</v>
      </c>
      <c r="F3873" s="2" t="s">
        <v>10379</v>
      </c>
      <c r="G3873" s="2" t="s">
        <v>10380</v>
      </c>
      <c r="H3873" s="12">
        <v>0.0</v>
      </c>
      <c r="I3873" s="2" t="s">
        <v>40</v>
      </c>
      <c r="J3873" s="2"/>
      <c r="K3873" s="2" t="s">
        <v>10381</v>
      </c>
      <c r="L3873" s="12">
        <v>336.0</v>
      </c>
      <c r="M3873" s="2" t="s">
        <v>10382</v>
      </c>
      <c r="N3873" s="2" t="str">
        <f>IFERROR(__xludf.DUMMYFUNCTION("""COMPUTED_VALUE"""),"")</f>
        <v/>
      </c>
    </row>
    <row r="3874">
      <c r="A3874" s="2" t="s">
        <v>33</v>
      </c>
      <c r="B3874" s="12">
        <v>3745818.0</v>
      </c>
      <c r="C3874" s="12">
        <v>3746075.0</v>
      </c>
      <c r="D3874" s="2"/>
      <c r="E3874" s="2" t="s">
        <v>38</v>
      </c>
      <c r="F3874" s="2" t="s">
        <v>10383</v>
      </c>
      <c r="G3874" s="2" t="s">
        <v>10384</v>
      </c>
      <c r="H3874" s="12">
        <v>0.0</v>
      </c>
      <c r="I3874" s="2" t="s">
        <v>40</v>
      </c>
      <c r="J3874" s="2"/>
      <c r="K3874" s="2" t="s">
        <v>10385</v>
      </c>
      <c r="L3874" s="12">
        <v>85.0</v>
      </c>
      <c r="M3874" s="2" t="s">
        <v>10386</v>
      </c>
      <c r="N3874" s="2" t="str">
        <f>IFERROR(__xludf.DUMMYFUNCTION("""COMPUTED_VALUE"""),"")</f>
        <v/>
      </c>
    </row>
    <row r="3875">
      <c r="A3875" s="2" t="s">
        <v>33</v>
      </c>
      <c r="B3875" s="12">
        <v>3746256.0</v>
      </c>
      <c r="C3875" s="12">
        <v>3747359.0</v>
      </c>
      <c r="D3875" s="2"/>
      <c r="E3875" s="2" t="s">
        <v>34</v>
      </c>
      <c r="F3875" s="2" t="s">
        <v>10387</v>
      </c>
      <c r="G3875" s="2" t="s">
        <v>10388</v>
      </c>
      <c r="H3875" s="12">
        <v>0.0</v>
      </c>
      <c r="I3875" s="2" t="s">
        <v>40</v>
      </c>
      <c r="J3875" s="2"/>
      <c r="K3875" s="2" t="s">
        <v>10389</v>
      </c>
      <c r="L3875" s="12">
        <v>367.0</v>
      </c>
      <c r="M3875" s="2" t="s">
        <v>10390</v>
      </c>
      <c r="N3875" s="2" t="str">
        <f>IFERROR(__xludf.DUMMYFUNCTION("""COMPUTED_VALUE"""),"")</f>
        <v/>
      </c>
    </row>
    <row r="3876">
      <c r="A3876" s="2" t="s">
        <v>33</v>
      </c>
      <c r="B3876" s="12">
        <v>3747356.0</v>
      </c>
      <c r="C3876" s="12">
        <v>3747721.0</v>
      </c>
      <c r="D3876" s="2"/>
      <c r="E3876" s="2" t="s">
        <v>34</v>
      </c>
      <c r="F3876" s="2" t="s">
        <v>10391</v>
      </c>
      <c r="G3876" s="2"/>
      <c r="H3876" s="12">
        <v>0.0</v>
      </c>
      <c r="I3876" s="2" t="s">
        <v>40</v>
      </c>
      <c r="J3876" s="2"/>
      <c r="K3876" s="2" t="s">
        <v>10392</v>
      </c>
      <c r="L3876" s="12">
        <v>121.0</v>
      </c>
      <c r="M3876" s="2" t="s">
        <v>10393</v>
      </c>
      <c r="N3876" s="2" t="str">
        <f>IFERROR(__xludf.DUMMYFUNCTION("""COMPUTED_VALUE"""),"")</f>
        <v/>
      </c>
    </row>
    <row r="3877">
      <c r="A3877" s="2" t="s">
        <v>33</v>
      </c>
      <c r="B3877" s="12">
        <v>3747932.0</v>
      </c>
      <c r="C3877" s="12">
        <v>3749755.0</v>
      </c>
      <c r="D3877" s="2"/>
      <c r="E3877" s="2" t="s">
        <v>34</v>
      </c>
      <c r="F3877" s="2" t="s">
        <v>10394</v>
      </c>
      <c r="G3877" s="2" t="s">
        <v>10395</v>
      </c>
      <c r="H3877" s="12">
        <v>0.0</v>
      </c>
      <c r="I3877" s="2" t="s">
        <v>40</v>
      </c>
      <c r="J3877" s="2"/>
      <c r="K3877" s="2" t="s">
        <v>10396</v>
      </c>
      <c r="L3877" s="12">
        <v>607.0</v>
      </c>
      <c r="M3877" s="2" t="s">
        <v>10397</v>
      </c>
      <c r="N3877" s="2" t="str">
        <f>IFERROR(__xludf.DUMMYFUNCTION("""COMPUTED_VALUE"""),"")</f>
        <v/>
      </c>
    </row>
    <row r="3878">
      <c r="A3878" s="2" t="s">
        <v>33</v>
      </c>
      <c r="B3878" s="12">
        <v>3749886.0</v>
      </c>
      <c r="C3878" s="12">
        <v>3750260.0</v>
      </c>
      <c r="D3878" s="2"/>
      <c r="E3878" s="2" t="s">
        <v>34</v>
      </c>
      <c r="F3878" s="2" t="s">
        <v>216</v>
      </c>
      <c r="G3878" s="2"/>
      <c r="H3878" s="12">
        <v>0.0</v>
      </c>
      <c r="I3878" s="2" t="s">
        <v>40</v>
      </c>
      <c r="J3878" s="2"/>
      <c r="K3878" s="2" t="s">
        <v>10398</v>
      </c>
      <c r="L3878" s="12">
        <v>124.0</v>
      </c>
      <c r="M3878" s="2" t="s">
        <v>10399</v>
      </c>
      <c r="N3878" s="2" t="str">
        <f>IFERROR(__xludf.DUMMYFUNCTION("""COMPUTED_VALUE"""),"")</f>
        <v/>
      </c>
    </row>
    <row r="3879">
      <c r="A3879" s="2" t="s">
        <v>33</v>
      </c>
      <c r="B3879" s="12">
        <v>3750312.0</v>
      </c>
      <c r="C3879" s="12">
        <v>3751451.0</v>
      </c>
      <c r="D3879" s="2"/>
      <c r="E3879" s="2" t="s">
        <v>34</v>
      </c>
      <c r="F3879" s="2" t="s">
        <v>10400</v>
      </c>
      <c r="G3879" s="2" t="s">
        <v>10401</v>
      </c>
      <c r="H3879" s="12">
        <v>0.0</v>
      </c>
      <c r="I3879" s="2" t="s">
        <v>40</v>
      </c>
      <c r="J3879" s="2"/>
      <c r="K3879" s="2" t="s">
        <v>10402</v>
      </c>
      <c r="L3879" s="12">
        <v>379.0</v>
      </c>
      <c r="M3879" s="2" t="s">
        <v>10403</v>
      </c>
      <c r="N3879" s="2" t="str">
        <f>IFERROR(__xludf.DUMMYFUNCTION("""COMPUTED_VALUE"""),"")</f>
        <v/>
      </c>
    </row>
    <row r="3880">
      <c r="A3880" s="2" t="s">
        <v>33</v>
      </c>
      <c r="B3880" s="12">
        <v>3751585.0</v>
      </c>
      <c r="C3880" s="12">
        <v>3752601.0</v>
      </c>
      <c r="D3880" s="2"/>
      <c r="E3880" s="2" t="s">
        <v>34</v>
      </c>
      <c r="F3880" s="2" t="s">
        <v>10404</v>
      </c>
      <c r="G3880" s="2" t="s">
        <v>10405</v>
      </c>
      <c r="H3880" s="12">
        <v>0.0</v>
      </c>
      <c r="I3880" s="2" t="s">
        <v>40</v>
      </c>
      <c r="J3880" s="2"/>
      <c r="K3880" s="2" t="s">
        <v>10406</v>
      </c>
      <c r="L3880" s="12">
        <v>338.0</v>
      </c>
      <c r="M3880" s="2" t="s">
        <v>10407</v>
      </c>
      <c r="N3880" s="2" t="str">
        <f>IFERROR(__xludf.DUMMYFUNCTION("""COMPUTED_VALUE"""),"")</f>
        <v/>
      </c>
    </row>
    <row r="3881">
      <c r="A3881" s="2" t="s">
        <v>33</v>
      </c>
      <c r="B3881" s="12">
        <v>3752716.0</v>
      </c>
      <c r="C3881" s="12">
        <v>3753282.0</v>
      </c>
      <c r="D3881" s="2"/>
      <c r="E3881" s="2" t="s">
        <v>34</v>
      </c>
      <c r="F3881" s="2" t="s">
        <v>10408</v>
      </c>
      <c r="G3881" s="2" t="s">
        <v>10409</v>
      </c>
      <c r="H3881" s="12">
        <v>0.0</v>
      </c>
      <c r="I3881" s="2" t="s">
        <v>40</v>
      </c>
      <c r="J3881" s="2"/>
      <c r="K3881" s="2" t="s">
        <v>10410</v>
      </c>
      <c r="L3881" s="12">
        <v>188.0</v>
      </c>
      <c r="M3881" s="2" t="s">
        <v>10411</v>
      </c>
      <c r="N3881" s="2" t="str">
        <f>IFERROR(__xludf.DUMMYFUNCTION("""COMPUTED_VALUE"""),"")</f>
        <v/>
      </c>
    </row>
    <row r="3882">
      <c r="A3882" s="2" t="s">
        <v>33</v>
      </c>
      <c r="B3882" s="12">
        <v>3753309.0</v>
      </c>
      <c r="C3882" s="12">
        <v>3755144.0</v>
      </c>
      <c r="D3882" s="2"/>
      <c r="E3882" s="2" t="s">
        <v>34</v>
      </c>
      <c r="F3882" s="2" t="s">
        <v>10412</v>
      </c>
      <c r="G3882" s="2" t="s">
        <v>10413</v>
      </c>
      <c r="H3882" s="12">
        <v>0.0</v>
      </c>
      <c r="I3882" s="2" t="s">
        <v>40</v>
      </c>
      <c r="J3882" s="2"/>
      <c r="K3882" s="2" t="s">
        <v>10414</v>
      </c>
      <c r="L3882" s="12">
        <v>611.0</v>
      </c>
      <c r="M3882" s="2" t="s">
        <v>10415</v>
      </c>
      <c r="N3882" s="2" t="str">
        <f>IFERROR(__xludf.DUMMYFUNCTION("""COMPUTED_VALUE"""),"")</f>
        <v/>
      </c>
    </row>
    <row r="3883">
      <c r="A3883" s="2" t="s">
        <v>33</v>
      </c>
      <c r="B3883" s="12">
        <v>3755349.0</v>
      </c>
      <c r="C3883" s="12">
        <v>3756464.0</v>
      </c>
      <c r="D3883" s="2"/>
      <c r="E3883" s="2" t="s">
        <v>34</v>
      </c>
      <c r="F3883" s="2" t="s">
        <v>10416</v>
      </c>
      <c r="G3883" s="2" t="s">
        <v>10417</v>
      </c>
      <c r="H3883" s="12">
        <v>0.0</v>
      </c>
      <c r="I3883" s="2" t="s">
        <v>40</v>
      </c>
      <c r="J3883" s="2"/>
      <c r="K3883" s="2" t="s">
        <v>10418</v>
      </c>
      <c r="L3883" s="12">
        <v>371.0</v>
      </c>
      <c r="M3883" s="2" t="s">
        <v>10419</v>
      </c>
      <c r="N3883" s="2" t="str">
        <f>IFERROR(__xludf.DUMMYFUNCTION("""COMPUTED_VALUE"""),"")</f>
        <v/>
      </c>
    </row>
    <row r="3884">
      <c r="A3884" s="2" t="s">
        <v>33</v>
      </c>
      <c r="B3884" s="12">
        <v>3756493.0</v>
      </c>
      <c r="C3884" s="12">
        <v>3757431.0</v>
      </c>
      <c r="D3884" s="2"/>
      <c r="E3884" s="2" t="s">
        <v>34</v>
      </c>
      <c r="F3884" s="2" t="s">
        <v>10420</v>
      </c>
      <c r="G3884" s="2" t="s">
        <v>10421</v>
      </c>
      <c r="H3884" s="12">
        <v>0.0</v>
      </c>
      <c r="I3884" s="2" t="s">
        <v>40</v>
      </c>
      <c r="J3884" s="2"/>
      <c r="K3884" s="2" t="s">
        <v>10422</v>
      </c>
      <c r="L3884" s="12">
        <v>312.0</v>
      </c>
      <c r="M3884" s="2" t="s">
        <v>10423</v>
      </c>
      <c r="N3884" s="2" t="str">
        <f>IFERROR(__xludf.DUMMYFUNCTION("""COMPUTED_VALUE"""),"")</f>
        <v/>
      </c>
    </row>
    <row r="3885">
      <c r="A3885" s="2" t="s">
        <v>33</v>
      </c>
      <c r="B3885" s="12">
        <v>3757576.0</v>
      </c>
      <c r="C3885" s="12">
        <v>3758325.0</v>
      </c>
      <c r="D3885" s="2"/>
      <c r="E3885" s="2" t="s">
        <v>34</v>
      </c>
      <c r="F3885" s="2" t="s">
        <v>10424</v>
      </c>
      <c r="G3885" s="2"/>
      <c r="H3885" s="12">
        <v>0.0</v>
      </c>
      <c r="I3885" s="2" t="s">
        <v>40</v>
      </c>
      <c r="J3885" s="2"/>
      <c r="K3885" s="2" t="s">
        <v>10425</v>
      </c>
      <c r="L3885" s="12">
        <v>249.0</v>
      </c>
      <c r="M3885" s="2" t="s">
        <v>10426</v>
      </c>
      <c r="N3885" s="2" t="str">
        <f>IFERROR(__xludf.DUMMYFUNCTION("""COMPUTED_VALUE"""),"")</f>
        <v/>
      </c>
    </row>
    <row r="3886">
      <c r="A3886" s="2" t="s">
        <v>33</v>
      </c>
      <c r="B3886" s="12">
        <v>3758332.0</v>
      </c>
      <c r="C3886" s="12">
        <v>3759684.0</v>
      </c>
      <c r="D3886" s="2"/>
      <c r="E3886" s="2" t="s">
        <v>34</v>
      </c>
      <c r="F3886" s="2" t="s">
        <v>10427</v>
      </c>
      <c r="G3886" s="2" t="s">
        <v>10428</v>
      </c>
      <c r="H3886" s="12">
        <v>0.0</v>
      </c>
      <c r="I3886" s="2" t="s">
        <v>40</v>
      </c>
      <c r="J3886" s="2"/>
      <c r="K3886" s="2" t="s">
        <v>10429</v>
      </c>
      <c r="L3886" s="12">
        <v>450.0</v>
      </c>
      <c r="M3886" s="2" t="s">
        <v>10430</v>
      </c>
      <c r="N3886" s="2" t="str">
        <f>IFERROR(__xludf.DUMMYFUNCTION("""COMPUTED_VALUE"""),"")</f>
        <v/>
      </c>
    </row>
    <row r="3887">
      <c r="A3887" s="2" t="s">
        <v>33</v>
      </c>
      <c r="B3887" s="12">
        <v>3760006.0</v>
      </c>
      <c r="C3887" s="12">
        <v>3760179.0</v>
      </c>
      <c r="D3887" s="2"/>
      <c r="E3887" s="2" t="s">
        <v>34</v>
      </c>
      <c r="F3887" s="2" t="s">
        <v>10431</v>
      </c>
      <c r="G3887" s="2" t="s">
        <v>10432</v>
      </c>
      <c r="H3887" s="12">
        <v>0.0</v>
      </c>
      <c r="I3887" s="2" t="s">
        <v>40</v>
      </c>
      <c r="J3887" s="2"/>
      <c r="K3887" s="2" t="s">
        <v>10433</v>
      </c>
      <c r="L3887" s="12">
        <v>57.0</v>
      </c>
      <c r="M3887" s="2" t="s">
        <v>10434</v>
      </c>
      <c r="N3887" s="2" t="str">
        <f>IFERROR(__xludf.DUMMYFUNCTION("""COMPUTED_VALUE"""),"")</f>
        <v/>
      </c>
    </row>
    <row r="3888">
      <c r="A3888" s="2" t="s">
        <v>33</v>
      </c>
      <c r="B3888" s="12">
        <v>3760195.0</v>
      </c>
      <c r="C3888" s="12">
        <v>3760638.0</v>
      </c>
      <c r="D3888" s="2"/>
      <c r="E3888" s="2" t="s">
        <v>34</v>
      </c>
      <c r="F3888" s="2" t="s">
        <v>10435</v>
      </c>
      <c r="G3888" s="2"/>
      <c r="H3888" s="12">
        <v>0.0</v>
      </c>
      <c r="I3888" s="2" t="s">
        <v>40</v>
      </c>
      <c r="J3888" s="2"/>
      <c r="K3888" s="2" t="s">
        <v>10436</v>
      </c>
      <c r="L3888" s="12">
        <v>147.0</v>
      </c>
      <c r="M3888" s="2" t="s">
        <v>10437</v>
      </c>
      <c r="N3888" s="2" t="str">
        <f>IFERROR(__xludf.DUMMYFUNCTION("""COMPUTED_VALUE"""),"")</f>
        <v/>
      </c>
    </row>
    <row r="3889">
      <c r="A3889" s="2" t="s">
        <v>33</v>
      </c>
      <c r="B3889" s="12">
        <v>3760774.0</v>
      </c>
      <c r="C3889" s="12">
        <v>3761400.0</v>
      </c>
      <c r="D3889" s="2"/>
      <c r="E3889" s="2" t="s">
        <v>38</v>
      </c>
      <c r="F3889" s="2" t="s">
        <v>10438</v>
      </c>
      <c r="G3889" s="2"/>
      <c r="H3889" s="12">
        <v>0.0</v>
      </c>
      <c r="I3889" s="2" t="s">
        <v>40</v>
      </c>
      <c r="J3889" s="2"/>
      <c r="K3889" s="2" t="s">
        <v>10439</v>
      </c>
      <c r="L3889" s="12">
        <v>208.0</v>
      </c>
      <c r="M3889" s="2" t="s">
        <v>10440</v>
      </c>
      <c r="N3889" s="2" t="str">
        <f>IFERROR(__xludf.DUMMYFUNCTION("""COMPUTED_VALUE"""),"")</f>
        <v/>
      </c>
    </row>
    <row r="3890">
      <c r="A3890" s="2" t="s">
        <v>33</v>
      </c>
      <c r="B3890" s="12">
        <v>3761826.0</v>
      </c>
      <c r="C3890" s="12">
        <v>3762119.0</v>
      </c>
      <c r="D3890" s="2"/>
      <c r="E3890" s="2" t="s">
        <v>34</v>
      </c>
      <c r="F3890" s="2" t="s">
        <v>10441</v>
      </c>
      <c r="G3890" s="2" t="s">
        <v>10442</v>
      </c>
      <c r="H3890" s="12">
        <v>0.0</v>
      </c>
      <c r="I3890" s="2" t="s">
        <v>40</v>
      </c>
      <c r="J3890" s="2"/>
      <c r="K3890" s="2" t="s">
        <v>10443</v>
      </c>
      <c r="L3890" s="12">
        <v>97.0</v>
      </c>
      <c r="M3890" s="2" t="s">
        <v>10444</v>
      </c>
      <c r="N3890" s="2" t="str">
        <f>IFERROR(__xludf.DUMMYFUNCTION("""COMPUTED_VALUE"""),"")</f>
        <v/>
      </c>
    </row>
    <row r="3891">
      <c r="A3891" s="2" t="s">
        <v>33</v>
      </c>
      <c r="B3891" s="12">
        <v>3762281.0</v>
      </c>
      <c r="C3891" s="12">
        <v>3763480.0</v>
      </c>
      <c r="D3891" s="2"/>
      <c r="E3891" s="2" t="s">
        <v>34</v>
      </c>
      <c r="F3891" s="2" t="s">
        <v>10445</v>
      </c>
      <c r="G3891" s="2" t="s">
        <v>10446</v>
      </c>
      <c r="H3891" s="12">
        <v>0.0</v>
      </c>
      <c r="I3891" s="2" t="s">
        <v>40</v>
      </c>
      <c r="J3891" s="2"/>
      <c r="K3891" s="2" t="s">
        <v>10447</v>
      </c>
      <c r="L3891" s="12">
        <v>399.0</v>
      </c>
      <c r="M3891" s="2" t="s">
        <v>10448</v>
      </c>
      <c r="N3891" s="2" t="str">
        <f>IFERROR(__xludf.DUMMYFUNCTION("""COMPUTED_VALUE"""),"")</f>
        <v/>
      </c>
    </row>
    <row r="3892">
      <c r="A3892" s="2" t="s">
        <v>33</v>
      </c>
      <c r="B3892" s="12">
        <v>3763484.0</v>
      </c>
      <c r="C3892" s="12">
        <v>3764443.0</v>
      </c>
      <c r="D3892" s="2"/>
      <c r="E3892" s="2" t="s">
        <v>34</v>
      </c>
      <c r="F3892" s="2" t="s">
        <v>10449</v>
      </c>
      <c r="G3892" s="2"/>
      <c r="H3892" s="12">
        <v>0.0</v>
      </c>
      <c r="I3892" s="2" t="s">
        <v>40</v>
      </c>
      <c r="J3892" s="2"/>
      <c r="K3892" s="2" t="s">
        <v>10450</v>
      </c>
      <c r="L3892" s="12">
        <v>319.0</v>
      </c>
      <c r="M3892" s="2" t="s">
        <v>10451</v>
      </c>
      <c r="N3892" s="2" t="str">
        <f>IFERROR(__xludf.DUMMYFUNCTION("""COMPUTED_VALUE"""),"")</f>
        <v/>
      </c>
    </row>
    <row r="3893">
      <c r="A3893" s="2" t="s">
        <v>33</v>
      </c>
      <c r="B3893" s="12">
        <v>3764638.0</v>
      </c>
      <c r="C3893" s="12">
        <v>3766782.0</v>
      </c>
      <c r="D3893" s="2"/>
      <c r="E3893" s="2" t="s">
        <v>34</v>
      </c>
      <c r="F3893" s="2" t="s">
        <v>10452</v>
      </c>
      <c r="G3893" s="2"/>
      <c r="H3893" s="12">
        <v>0.0</v>
      </c>
      <c r="I3893" s="2" t="s">
        <v>40</v>
      </c>
      <c r="J3893" s="2"/>
      <c r="K3893" s="2" t="s">
        <v>10453</v>
      </c>
      <c r="L3893" s="12">
        <v>714.0</v>
      </c>
      <c r="M3893" s="2" t="s">
        <v>10454</v>
      </c>
      <c r="N3893" s="2" t="str">
        <f>IFERROR(__xludf.DUMMYFUNCTION("""COMPUTED_VALUE"""),"")</f>
        <v/>
      </c>
    </row>
    <row r="3894">
      <c r="A3894" s="2" t="s">
        <v>33</v>
      </c>
      <c r="B3894" s="12">
        <v>3766779.0</v>
      </c>
      <c r="C3894" s="12">
        <v>3767249.0</v>
      </c>
      <c r="D3894" s="2"/>
      <c r="E3894" s="2" t="s">
        <v>34</v>
      </c>
      <c r="F3894" s="2" t="s">
        <v>10455</v>
      </c>
      <c r="G3894" s="2" t="s">
        <v>10456</v>
      </c>
      <c r="H3894" s="12">
        <v>0.0</v>
      </c>
      <c r="I3894" s="2" t="s">
        <v>40</v>
      </c>
      <c r="J3894" s="2"/>
      <c r="K3894" s="2" t="s">
        <v>10457</v>
      </c>
      <c r="L3894" s="12">
        <v>156.0</v>
      </c>
      <c r="M3894" s="2" t="s">
        <v>10458</v>
      </c>
      <c r="N3894" s="2" t="str">
        <f>IFERROR(__xludf.DUMMYFUNCTION("""COMPUTED_VALUE"""),"")</f>
        <v/>
      </c>
    </row>
    <row r="3895">
      <c r="A3895" s="2" t="s">
        <v>33</v>
      </c>
      <c r="B3895" s="12">
        <v>3767246.0</v>
      </c>
      <c r="C3895" s="12">
        <v>3767599.0</v>
      </c>
      <c r="D3895" s="2"/>
      <c r="E3895" s="2" t="s">
        <v>34</v>
      </c>
      <c r="F3895" s="2" t="s">
        <v>8992</v>
      </c>
      <c r="G3895" s="2"/>
      <c r="H3895" s="12">
        <v>0.0</v>
      </c>
      <c r="I3895" s="2" t="s">
        <v>40</v>
      </c>
      <c r="J3895" s="2"/>
      <c r="K3895" s="2" t="s">
        <v>10459</v>
      </c>
      <c r="L3895" s="12">
        <v>117.0</v>
      </c>
      <c r="M3895" s="2" t="s">
        <v>10460</v>
      </c>
      <c r="N3895" s="2" t="str">
        <f>IFERROR(__xludf.DUMMYFUNCTION("""COMPUTED_VALUE"""),"")</f>
        <v/>
      </c>
    </row>
    <row r="3896">
      <c r="A3896" s="2" t="s">
        <v>33</v>
      </c>
      <c r="B3896" s="12">
        <v>3767699.0</v>
      </c>
      <c r="C3896" s="12">
        <v>3768097.0</v>
      </c>
      <c r="D3896" s="2"/>
      <c r="E3896" s="2" t="s">
        <v>34</v>
      </c>
      <c r="F3896" s="2" t="s">
        <v>2178</v>
      </c>
      <c r="G3896" s="2"/>
      <c r="H3896" s="12">
        <v>0.0</v>
      </c>
      <c r="I3896" s="2" t="s">
        <v>40</v>
      </c>
      <c r="J3896" s="2"/>
      <c r="K3896" s="2" t="s">
        <v>10461</v>
      </c>
      <c r="L3896" s="12">
        <v>132.0</v>
      </c>
      <c r="M3896" s="2" t="s">
        <v>10462</v>
      </c>
      <c r="N3896" s="2" t="str">
        <f>IFERROR(__xludf.DUMMYFUNCTION("""COMPUTED_VALUE"""),"")</f>
        <v/>
      </c>
    </row>
    <row r="3897">
      <c r="A3897" s="2" t="s">
        <v>33</v>
      </c>
      <c r="B3897" s="12">
        <v>3768090.0</v>
      </c>
      <c r="C3897" s="12">
        <v>3768995.0</v>
      </c>
      <c r="D3897" s="2"/>
      <c r="E3897" s="2" t="s">
        <v>34</v>
      </c>
      <c r="F3897" s="2" t="s">
        <v>10463</v>
      </c>
      <c r="G3897" s="2" t="s">
        <v>10464</v>
      </c>
      <c r="H3897" s="12">
        <v>0.0</v>
      </c>
      <c r="I3897" s="2" t="s">
        <v>40</v>
      </c>
      <c r="J3897" s="2"/>
      <c r="K3897" s="2" t="s">
        <v>10465</v>
      </c>
      <c r="L3897" s="12">
        <v>301.0</v>
      </c>
      <c r="M3897" s="2" t="s">
        <v>10466</v>
      </c>
      <c r="N3897" s="2" t="str">
        <f>IFERROR(__xludf.DUMMYFUNCTION("""COMPUTED_VALUE"""),"")</f>
        <v/>
      </c>
    </row>
    <row r="3898">
      <c r="A3898" s="2" t="s">
        <v>33</v>
      </c>
      <c r="B3898" s="12">
        <v>3769172.0</v>
      </c>
      <c r="C3898" s="12">
        <v>3769315.0</v>
      </c>
      <c r="D3898" s="2"/>
      <c r="E3898" s="2" t="s">
        <v>34</v>
      </c>
      <c r="F3898" s="2" t="s">
        <v>10467</v>
      </c>
      <c r="G3898" s="2"/>
      <c r="H3898" s="12">
        <v>0.0</v>
      </c>
      <c r="I3898" s="2" t="s">
        <v>40</v>
      </c>
      <c r="J3898" s="2"/>
      <c r="K3898" s="2" t="s">
        <v>10468</v>
      </c>
      <c r="L3898" s="12">
        <v>47.0</v>
      </c>
      <c r="M3898" s="2" t="s">
        <v>10469</v>
      </c>
      <c r="N3898" s="2" t="str">
        <f>IFERROR(__xludf.DUMMYFUNCTION("""COMPUTED_VALUE"""),"")</f>
        <v/>
      </c>
    </row>
    <row r="3899">
      <c r="A3899" s="2" t="s">
        <v>33</v>
      </c>
      <c r="B3899" s="12">
        <v>3769349.0</v>
      </c>
      <c r="C3899" s="12">
        <v>3770095.0</v>
      </c>
      <c r="D3899" s="2"/>
      <c r="E3899" s="2" t="s">
        <v>34</v>
      </c>
      <c r="F3899" s="2" t="s">
        <v>10470</v>
      </c>
      <c r="G3899" s="2" t="s">
        <v>10471</v>
      </c>
      <c r="H3899" s="12">
        <v>0.0</v>
      </c>
      <c r="I3899" s="2" t="s">
        <v>40</v>
      </c>
      <c r="J3899" s="2"/>
      <c r="K3899" s="2" t="s">
        <v>10472</v>
      </c>
      <c r="L3899" s="12">
        <v>248.0</v>
      </c>
      <c r="M3899" s="2" t="s">
        <v>10473</v>
      </c>
      <c r="N3899" s="2" t="str">
        <f>IFERROR(__xludf.DUMMYFUNCTION("""COMPUTED_VALUE"""),"")</f>
        <v/>
      </c>
    </row>
    <row r="3900">
      <c r="A3900" s="2" t="s">
        <v>33</v>
      </c>
      <c r="B3900" s="12">
        <v>3770203.0</v>
      </c>
      <c r="C3900" s="12">
        <v>3770835.0</v>
      </c>
      <c r="D3900" s="2"/>
      <c r="E3900" s="2" t="s">
        <v>34</v>
      </c>
      <c r="F3900" s="2" t="s">
        <v>220</v>
      </c>
      <c r="G3900" s="2"/>
      <c r="H3900" s="12">
        <v>0.0</v>
      </c>
      <c r="I3900" s="2" t="s">
        <v>40</v>
      </c>
      <c r="J3900" s="2"/>
      <c r="K3900" s="2" t="s">
        <v>10474</v>
      </c>
      <c r="L3900" s="12">
        <v>210.0</v>
      </c>
      <c r="M3900" s="2" t="s">
        <v>10475</v>
      </c>
      <c r="N3900" s="2" t="str">
        <f>IFERROR(__xludf.DUMMYFUNCTION("""COMPUTED_VALUE"""),"")</f>
        <v/>
      </c>
    </row>
    <row r="3901">
      <c r="A3901" s="2" t="s">
        <v>33</v>
      </c>
      <c r="B3901" s="12">
        <v>3770865.0</v>
      </c>
      <c r="C3901" s="12">
        <v>3771677.0</v>
      </c>
      <c r="D3901" s="2"/>
      <c r="E3901" s="2" t="s">
        <v>34</v>
      </c>
      <c r="F3901" s="2" t="s">
        <v>10476</v>
      </c>
      <c r="G3901" s="2"/>
      <c r="H3901" s="12">
        <v>0.0</v>
      </c>
      <c r="I3901" s="2" t="s">
        <v>40</v>
      </c>
      <c r="J3901" s="2"/>
      <c r="K3901" s="2" t="s">
        <v>10477</v>
      </c>
      <c r="L3901" s="12">
        <v>270.0</v>
      </c>
      <c r="M3901" s="2" t="s">
        <v>10478</v>
      </c>
      <c r="N3901" s="2" t="str">
        <f>IFERROR(__xludf.DUMMYFUNCTION("""COMPUTED_VALUE"""),"")</f>
        <v/>
      </c>
    </row>
    <row r="3902">
      <c r="A3902" s="2" t="s">
        <v>33</v>
      </c>
      <c r="B3902" s="12">
        <v>3772313.0</v>
      </c>
      <c r="C3902" s="12">
        <v>3772456.0</v>
      </c>
      <c r="D3902" s="2"/>
      <c r="E3902" s="2" t="s">
        <v>34</v>
      </c>
      <c r="F3902" s="2" t="s">
        <v>39</v>
      </c>
      <c r="G3902" s="2"/>
      <c r="H3902" s="12">
        <v>0.0</v>
      </c>
      <c r="I3902" s="2" t="s">
        <v>40</v>
      </c>
      <c r="J3902" s="2"/>
      <c r="K3902" s="2" t="s">
        <v>10479</v>
      </c>
      <c r="L3902" s="12">
        <v>47.0</v>
      </c>
      <c r="M3902" s="2" t="s">
        <v>10480</v>
      </c>
      <c r="N3902" s="2" t="str">
        <f>IFERROR(__xludf.DUMMYFUNCTION("""COMPUTED_VALUE"""),"")</f>
        <v/>
      </c>
    </row>
    <row r="3903">
      <c r="A3903" s="2" t="s">
        <v>33</v>
      </c>
      <c r="B3903" s="12">
        <v>3772538.0</v>
      </c>
      <c r="C3903" s="12">
        <v>3774334.0</v>
      </c>
      <c r="D3903" s="2"/>
      <c r="E3903" s="2" t="s">
        <v>34</v>
      </c>
      <c r="F3903" s="2" t="s">
        <v>10481</v>
      </c>
      <c r="G3903" s="2" t="s">
        <v>10482</v>
      </c>
      <c r="H3903" s="12">
        <v>0.0</v>
      </c>
      <c r="I3903" s="2" t="s">
        <v>40</v>
      </c>
      <c r="J3903" s="2"/>
      <c r="K3903" s="2" t="s">
        <v>10483</v>
      </c>
      <c r="L3903" s="12">
        <v>598.0</v>
      </c>
      <c r="M3903" s="2" t="s">
        <v>10484</v>
      </c>
      <c r="N3903" s="2" t="str">
        <f>IFERROR(__xludf.DUMMYFUNCTION("""COMPUTED_VALUE"""),"")</f>
        <v/>
      </c>
    </row>
    <row r="3904">
      <c r="A3904" s="2" t="s">
        <v>33</v>
      </c>
      <c r="B3904" s="12">
        <v>3774394.0</v>
      </c>
      <c r="C3904" s="12">
        <v>3775521.0</v>
      </c>
      <c r="D3904" s="2"/>
      <c r="E3904" s="2" t="s">
        <v>34</v>
      </c>
      <c r="F3904" s="2" t="s">
        <v>10485</v>
      </c>
      <c r="G3904" s="2" t="s">
        <v>10486</v>
      </c>
      <c r="H3904" s="12">
        <v>0.0</v>
      </c>
      <c r="I3904" s="2" t="s">
        <v>40</v>
      </c>
      <c r="J3904" s="2"/>
      <c r="K3904" s="2" t="s">
        <v>10487</v>
      </c>
      <c r="L3904" s="12">
        <v>375.0</v>
      </c>
      <c r="M3904" s="2" t="s">
        <v>10488</v>
      </c>
      <c r="N3904" s="2" t="str">
        <f>IFERROR(__xludf.DUMMYFUNCTION("""COMPUTED_VALUE"""),"")</f>
        <v/>
      </c>
    </row>
    <row r="3905">
      <c r="A3905" s="2" t="s">
        <v>33</v>
      </c>
      <c r="B3905" s="12">
        <v>3775908.0</v>
      </c>
      <c r="C3905" s="12">
        <v>3776264.0</v>
      </c>
      <c r="D3905" s="2"/>
      <c r="E3905" s="2" t="s">
        <v>34</v>
      </c>
      <c r="F3905" s="2" t="s">
        <v>10489</v>
      </c>
      <c r="G3905" s="2" t="s">
        <v>10490</v>
      </c>
      <c r="H3905" s="12">
        <v>0.0</v>
      </c>
      <c r="I3905" s="2" t="s">
        <v>40</v>
      </c>
      <c r="J3905" s="2"/>
      <c r="K3905" s="2" t="s">
        <v>10491</v>
      </c>
      <c r="L3905" s="12">
        <v>118.0</v>
      </c>
      <c r="M3905" s="2" t="s">
        <v>10492</v>
      </c>
      <c r="N3905" s="2" t="str">
        <f>IFERROR(__xludf.DUMMYFUNCTION("""COMPUTED_VALUE"""),"")</f>
        <v/>
      </c>
    </row>
    <row r="3906">
      <c r="A3906" s="2" t="s">
        <v>33</v>
      </c>
      <c r="B3906" s="12">
        <v>3776430.0</v>
      </c>
      <c r="C3906" s="12">
        <v>3777137.0</v>
      </c>
      <c r="D3906" s="2"/>
      <c r="E3906" s="2" t="s">
        <v>34</v>
      </c>
      <c r="F3906" s="2" t="s">
        <v>10493</v>
      </c>
      <c r="G3906" s="2"/>
      <c r="H3906" s="12">
        <v>0.0</v>
      </c>
      <c r="I3906" s="2" t="s">
        <v>40</v>
      </c>
      <c r="J3906" s="2"/>
      <c r="K3906" s="2" t="s">
        <v>10494</v>
      </c>
      <c r="L3906" s="12">
        <v>235.0</v>
      </c>
      <c r="M3906" s="2" t="s">
        <v>10495</v>
      </c>
      <c r="N3906" s="2" t="str">
        <f>IFERROR(__xludf.DUMMYFUNCTION("""COMPUTED_VALUE"""),"")</f>
        <v/>
      </c>
    </row>
    <row r="3907">
      <c r="A3907" s="2" t="s">
        <v>33</v>
      </c>
      <c r="B3907" s="12">
        <v>3777134.0</v>
      </c>
      <c r="C3907" s="12">
        <v>3778255.0</v>
      </c>
      <c r="D3907" s="2"/>
      <c r="E3907" s="2" t="s">
        <v>34</v>
      </c>
      <c r="F3907" s="2" t="s">
        <v>9109</v>
      </c>
      <c r="G3907" s="2"/>
      <c r="H3907" s="12">
        <v>0.0</v>
      </c>
      <c r="I3907" s="2" t="s">
        <v>40</v>
      </c>
      <c r="J3907" s="2"/>
      <c r="K3907" s="2" t="s">
        <v>10496</v>
      </c>
      <c r="L3907" s="12">
        <v>373.0</v>
      </c>
      <c r="M3907" s="2" t="s">
        <v>10497</v>
      </c>
      <c r="N3907" s="2" t="str">
        <f>IFERROR(__xludf.DUMMYFUNCTION("""COMPUTED_VALUE"""),"")</f>
        <v/>
      </c>
    </row>
    <row r="3908">
      <c r="A3908" s="2" t="s">
        <v>33</v>
      </c>
      <c r="B3908" s="12">
        <v>3778296.0</v>
      </c>
      <c r="C3908" s="12">
        <v>3779246.0</v>
      </c>
      <c r="D3908" s="2"/>
      <c r="E3908" s="2" t="s">
        <v>38</v>
      </c>
      <c r="F3908" s="2" t="s">
        <v>10498</v>
      </c>
      <c r="G3908" s="2"/>
      <c r="H3908" s="12">
        <v>0.0</v>
      </c>
      <c r="I3908" s="2" t="s">
        <v>40</v>
      </c>
      <c r="J3908" s="2"/>
      <c r="K3908" s="2" t="s">
        <v>10499</v>
      </c>
      <c r="L3908" s="12">
        <v>316.0</v>
      </c>
      <c r="M3908" s="2" t="s">
        <v>10500</v>
      </c>
      <c r="N3908" s="2" t="str">
        <f>IFERROR(__xludf.DUMMYFUNCTION("""COMPUTED_VALUE"""),"")</f>
        <v/>
      </c>
    </row>
    <row r="3909">
      <c r="A3909" s="2" t="s">
        <v>33</v>
      </c>
      <c r="B3909" s="12">
        <v>3779336.0</v>
      </c>
      <c r="C3909" s="12">
        <v>3780070.0</v>
      </c>
      <c r="D3909" s="2"/>
      <c r="E3909" s="2" t="s">
        <v>38</v>
      </c>
      <c r="F3909" s="2" t="s">
        <v>10501</v>
      </c>
      <c r="G3909" s="2" t="s">
        <v>10502</v>
      </c>
      <c r="H3909" s="12">
        <v>0.0</v>
      </c>
      <c r="I3909" s="2" t="s">
        <v>40</v>
      </c>
      <c r="J3909" s="2"/>
      <c r="K3909" s="2" t="s">
        <v>10503</v>
      </c>
      <c r="L3909" s="12">
        <v>244.0</v>
      </c>
      <c r="M3909" s="2" t="s">
        <v>10504</v>
      </c>
      <c r="N3909" s="2" t="str">
        <f>IFERROR(__xludf.DUMMYFUNCTION("""COMPUTED_VALUE"""),"")</f>
        <v/>
      </c>
    </row>
    <row r="3910">
      <c r="A3910" s="2" t="s">
        <v>33</v>
      </c>
      <c r="B3910" s="12">
        <v>3780252.0</v>
      </c>
      <c r="C3910" s="12">
        <v>3781562.0</v>
      </c>
      <c r="D3910" s="2"/>
      <c r="E3910" s="2" t="s">
        <v>34</v>
      </c>
      <c r="F3910" s="2" t="s">
        <v>594</v>
      </c>
      <c r="G3910" s="2"/>
      <c r="H3910" s="12">
        <v>0.0</v>
      </c>
      <c r="I3910" s="2" t="s">
        <v>40</v>
      </c>
      <c r="J3910" s="2"/>
      <c r="K3910" s="2" t="s">
        <v>10505</v>
      </c>
      <c r="L3910" s="12">
        <v>436.0</v>
      </c>
      <c r="M3910" s="2" t="s">
        <v>10506</v>
      </c>
      <c r="N3910" s="2" t="str">
        <f>IFERROR(__xludf.DUMMYFUNCTION("""COMPUTED_VALUE"""),"")</f>
        <v/>
      </c>
    </row>
    <row r="3911">
      <c r="A3911" s="2" t="s">
        <v>33</v>
      </c>
      <c r="B3911" s="12">
        <v>3781731.0</v>
      </c>
      <c r="C3911" s="12">
        <v>3782627.0</v>
      </c>
      <c r="D3911" s="2"/>
      <c r="E3911" s="2" t="s">
        <v>34</v>
      </c>
      <c r="F3911" s="2" t="s">
        <v>10507</v>
      </c>
      <c r="G3911" s="2"/>
      <c r="H3911" s="12">
        <v>0.0</v>
      </c>
      <c r="I3911" s="2" t="s">
        <v>40</v>
      </c>
      <c r="J3911" s="2"/>
      <c r="K3911" s="2" t="s">
        <v>10508</v>
      </c>
      <c r="L3911" s="12">
        <v>298.0</v>
      </c>
      <c r="M3911" s="2" t="s">
        <v>10509</v>
      </c>
      <c r="N3911" s="2" t="str">
        <f>IFERROR(__xludf.DUMMYFUNCTION("""COMPUTED_VALUE"""),"")</f>
        <v/>
      </c>
    </row>
    <row r="3912">
      <c r="A3912" s="2" t="s">
        <v>33</v>
      </c>
      <c r="B3912" s="12">
        <v>3782647.0</v>
      </c>
      <c r="C3912" s="12">
        <v>3782901.0</v>
      </c>
      <c r="D3912" s="2"/>
      <c r="E3912" s="2" t="s">
        <v>38</v>
      </c>
      <c r="F3912" s="2" t="s">
        <v>10510</v>
      </c>
      <c r="G3912" s="2"/>
      <c r="H3912" s="12">
        <v>0.0</v>
      </c>
      <c r="I3912" s="2" t="s">
        <v>40</v>
      </c>
      <c r="J3912" s="2"/>
      <c r="K3912" s="2" t="s">
        <v>10511</v>
      </c>
      <c r="L3912" s="12">
        <v>84.0</v>
      </c>
      <c r="M3912" s="2" t="s">
        <v>10512</v>
      </c>
      <c r="N3912" s="2" t="str">
        <f>IFERROR(__xludf.DUMMYFUNCTION("""COMPUTED_VALUE"""),"")</f>
        <v/>
      </c>
    </row>
    <row r="3913">
      <c r="A3913" s="2" t="s">
        <v>33</v>
      </c>
      <c r="B3913" s="12">
        <v>3783050.0</v>
      </c>
      <c r="C3913" s="12">
        <v>3783928.0</v>
      </c>
      <c r="D3913" s="2"/>
      <c r="E3913" s="2" t="s">
        <v>34</v>
      </c>
      <c r="F3913" s="2" t="s">
        <v>1506</v>
      </c>
      <c r="G3913" s="2"/>
      <c r="H3913" s="12">
        <v>0.0</v>
      </c>
      <c r="I3913" s="2" t="s">
        <v>40</v>
      </c>
      <c r="J3913" s="2"/>
      <c r="K3913" s="2" t="s">
        <v>10513</v>
      </c>
      <c r="L3913" s="12">
        <v>292.0</v>
      </c>
      <c r="M3913" s="2" t="s">
        <v>10514</v>
      </c>
      <c r="N3913" s="2" t="str">
        <f>IFERROR(__xludf.DUMMYFUNCTION("""COMPUTED_VALUE"""),"")</f>
        <v/>
      </c>
    </row>
    <row r="3914">
      <c r="A3914" s="2" t="s">
        <v>33</v>
      </c>
      <c r="B3914" s="12">
        <v>3784109.0</v>
      </c>
      <c r="C3914" s="12">
        <v>3784879.0</v>
      </c>
      <c r="D3914" s="2"/>
      <c r="E3914" s="2" t="s">
        <v>34</v>
      </c>
      <c r="F3914" s="2" t="s">
        <v>10515</v>
      </c>
      <c r="G3914" s="2"/>
      <c r="H3914" s="12">
        <v>0.0</v>
      </c>
      <c r="I3914" s="2" t="s">
        <v>40</v>
      </c>
      <c r="J3914" s="2"/>
      <c r="K3914" s="2" t="s">
        <v>10516</v>
      </c>
      <c r="L3914" s="12">
        <v>256.0</v>
      </c>
      <c r="M3914" s="2" t="s">
        <v>10517</v>
      </c>
      <c r="N3914" s="2" t="str">
        <f>IFERROR(__xludf.DUMMYFUNCTION("""COMPUTED_VALUE"""),"")</f>
        <v/>
      </c>
    </row>
    <row r="3915">
      <c r="A3915" s="2" t="s">
        <v>33</v>
      </c>
      <c r="B3915" s="12">
        <v>3784879.0</v>
      </c>
      <c r="C3915" s="12">
        <v>3785712.0</v>
      </c>
      <c r="D3915" s="2"/>
      <c r="E3915" s="2" t="s">
        <v>34</v>
      </c>
      <c r="F3915" s="2" t="s">
        <v>10518</v>
      </c>
      <c r="G3915" s="2"/>
      <c r="H3915" s="12">
        <v>0.0</v>
      </c>
      <c r="I3915" s="2" t="s">
        <v>40</v>
      </c>
      <c r="J3915" s="2"/>
      <c r="K3915" s="2" t="s">
        <v>10519</v>
      </c>
      <c r="L3915" s="12">
        <v>277.0</v>
      </c>
      <c r="M3915" s="2" t="s">
        <v>10520</v>
      </c>
      <c r="N3915" s="2" t="str">
        <f>IFERROR(__xludf.DUMMYFUNCTION("""COMPUTED_VALUE"""),"")</f>
        <v/>
      </c>
    </row>
    <row r="3916">
      <c r="A3916" s="2" t="s">
        <v>33</v>
      </c>
      <c r="B3916" s="12">
        <v>3785726.0</v>
      </c>
      <c r="C3916" s="12">
        <v>3786139.0</v>
      </c>
      <c r="D3916" s="2"/>
      <c r="E3916" s="2" t="s">
        <v>34</v>
      </c>
      <c r="F3916" s="2" t="s">
        <v>10521</v>
      </c>
      <c r="G3916" s="2"/>
      <c r="H3916" s="12">
        <v>0.0</v>
      </c>
      <c r="I3916" s="2" t="s">
        <v>40</v>
      </c>
      <c r="J3916" s="2"/>
      <c r="K3916" s="2" t="s">
        <v>10522</v>
      </c>
      <c r="L3916" s="12">
        <v>137.0</v>
      </c>
      <c r="M3916" s="2" t="s">
        <v>10523</v>
      </c>
      <c r="N3916" s="2" t="str">
        <f>IFERROR(__xludf.DUMMYFUNCTION("""COMPUTED_VALUE"""),"")</f>
        <v/>
      </c>
    </row>
    <row r="3917">
      <c r="A3917" s="2" t="s">
        <v>33</v>
      </c>
      <c r="B3917" s="12">
        <v>3786219.0</v>
      </c>
      <c r="C3917" s="12">
        <v>3787322.0</v>
      </c>
      <c r="D3917" s="2"/>
      <c r="E3917" s="2" t="s">
        <v>38</v>
      </c>
      <c r="F3917" s="2" t="s">
        <v>10524</v>
      </c>
      <c r="G3917" s="2" t="s">
        <v>10525</v>
      </c>
      <c r="H3917" s="12">
        <v>0.0</v>
      </c>
      <c r="I3917" s="2" t="s">
        <v>40</v>
      </c>
      <c r="J3917" s="2"/>
      <c r="K3917" s="2" t="s">
        <v>10526</v>
      </c>
      <c r="L3917" s="12">
        <v>367.0</v>
      </c>
      <c r="M3917" s="2" t="s">
        <v>10527</v>
      </c>
      <c r="N3917" s="2" t="str">
        <f>IFERROR(__xludf.DUMMYFUNCTION("""COMPUTED_VALUE"""),"")</f>
        <v/>
      </c>
    </row>
    <row r="3918">
      <c r="A3918" s="2" t="s">
        <v>33</v>
      </c>
      <c r="B3918" s="12">
        <v>3787487.0</v>
      </c>
      <c r="C3918" s="12">
        <v>3787852.0</v>
      </c>
      <c r="D3918" s="2"/>
      <c r="E3918" s="2" t="s">
        <v>38</v>
      </c>
      <c r="F3918" s="2" t="s">
        <v>10528</v>
      </c>
      <c r="G3918" s="2" t="s">
        <v>10529</v>
      </c>
      <c r="H3918" s="12">
        <v>0.0</v>
      </c>
      <c r="I3918" s="2" t="s">
        <v>40</v>
      </c>
      <c r="J3918" s="2"/>
      <c r="K3918" s="2" t="s">
        <v>10530</v>
      </c>
      <c r="L3918" s="12">
        <v>121.0</v>
      </c>
      <c r="M3918" s="2" t="s">
        <v>10531</v>
      </c>
      <c r="N3918" s="2" t="str">
        <f>IFERROR(__xludf.DUMMYFUNCTION("""COMPUTED_VALUE"""),"")</f>
        <v/>
      </c>
    </row>
    <row r="3919">
      <c r="A3919" s="2" t="s">
        <v>33</v>
      </c>
      <c r="B3919" s="12">
        <v>3787927.0</v>
      </c>
      <c r="C3919" s="12">
        <v>3788685.0</v>
      </c>
      <c r="D3919" s="2"/>
      <c r="E3919" s="2" t="s">
        <v>38</v>
      </c>
      <c r="F3919" s="2" t="s">
        <v>10532</v>
      </c>
      <c r="G3919" s="2" t="s">
        <v>10533</v>
      </c>
      <c r="H3919" s="12">
        <v>0.0</v>
      </c>
      <c r="I3919" s="2" t="s">
        <v>40</v>
      </c>
      <c r="J3919" s="2"/>
      <c r="K3919" s="2" t="s">
        <v>10534</v>
      </c>
      <c r="L3919" s="12">
        <v>252.0</v>
      </c>
      <c r="M3919" s="2" t="s">
        <v>10535</v>
      </c>
      <c r="N3919" s="2" t="str">
        <f>IFERROR(__xludf.DUMMYFUNCTION("""COMPUTED_VALUE"""),"")</f>
        <v/>
      </c>
    </row>
    <row r="3920">
      <c r="A3920" s="2" t="s">
        <v>33</v>
      </c>
      <c r="B3920" s="12">
        <v>3788927.0</v>
      </c>
      <c r="C3920" s="12">
        <v>3789000.0</v>
      </c>
      <c r="D3920" s="2"/>
      <c r="E3920" s="2" t="s">
        <v>34</v>
      </c>
      <c r="F3920" s="2" t="s">
        <v>5225</v>
      </c>
      <c r="G3920" s="2"/>
      <c r="H3920" s="12">
        <v>0.0</v>
      </c>
      <c r="I3920" s="2" t="s">
        <v>3783</v>
      </c>
      <c r="J3920" s="2"/>
      <c r="K3920" s="2"/>
      <c r="L3920" s="2"/>
      <c r="M3920" s="2" t="s">
        <v>10536</v>
      </c>
      <c r="N3920" s="2" t="str">
        <f>IFERROR(__xludf.DUMMYFUNCTION("""COMPUTED_VALUE"""),"")</f>
        <v/>
      </c>
    </row>
    <row r="3921">
      <c r="A3921" s="2" t="s">
        <v>33</v>
      </c>
      <c r="B3921" s="12">
        <v>3789222.0</v>
      </c>
      <c r="C3921" s="12">
        <v>3789833.0</v>
      </c>
      <c r="D3921" s="2"/>
      <c r="E3921" s="2" t="s">
        <v>34</v>
      </c>
      <c r="F3921" s="2" t="s">
        <v>7344</v>
      </c>
      <c r="G3921" s="2" t="s">
        <v>7345</v>
      </c>
      <c r="H3921" s="12">
        <v>0.0</v>
      </c>
      <c r="I3921" s="2" t="s">
        <v>40</v>
      </c>
      <c r="J3921" s="2"/>
      <c r="K3921" s="2" t="s">
        <v>10537</v>
      </c>
      <c r="L3921" s="12">
        <v>203.0</v>
      </c>
      <c r="M3921" s="2" t="s">
        <v>10538</v>
      </c>
      <c r="N3921" s="2" t="str">
        <f>IFERROR(__xludf.DUMMYFUNCTION("""COMPUTED_VALUE"""),"")</f>
        <v/>
      </c>
    </row>
    <row r="3922">
      <c r="A3922" s="2" t="s">
        <v>33</v>
      </c>
      <c r="B3922" s="12">
        <v>3789950.0</v>
      </c>
      <c r="C3922" s="12">
        <v>3791227.0</v>
      </c>
      <c r="D3922" s="2"/>
      <c r="E3922" s="2" t="s">
        <v>34</v>
      </c>
      <c r="F3922" s="2" t="s">
        <v>88</v>
      </c>
      <c r="G3922" s="2"/>
      <c r="H3922" s="12">
        <v>0.0</v>
      </c>
      <c r="I3922" s="2" t="s">
        <v>40</v>
      </c>
      <c r="J3922" s="2"/>
      <c r="K3922" s="2" t="s">
        <v>10539</v>
      </c>
      <c r="L3922" s="12">
        <v>425.0</v>
      </c>
      <c r="M3922" s="2" t="s">
        <v>10540</v>
      </c>
      <c r="N3922" s="2" t="str">
        <f>IFERROR(__xludf.DUMMYFUNCTION("""COMPUTED_VALUE"""),"")</f>
        <v/>
      </c>
    </row>
    <row r="3923">
      <c r="A3923" s="2" t="s">
        <v>33</v>
      </c>
      <c r="B3923" s="12">
        <v>3791337.0</v>
      </c>
      <c r="C3923" s="12">
        <v>3793463.0</v>
      </c>
      <c r="D3923" s="2"/>
      <c r="E3923" s="2" t="s">
        <v>34</v>
      </c>
      <c r="F3923" s="2" t="s">
        <v>63</v>
      </c>
      <c r="G3923" s="2"/>
      <c r="H3923" s="12">
        <v>0.0</v>
      </c>
      <c r="I3923" s="2" t="s">
        <v>40</v>
      </c>
      <c r="J3923" s="2"/>
      <c r="K3923" s="2" t="s">
        <v>10541</v>
      </c>
      <c r="L3923" s="12">
        <v>708.0</v>
      </c>
      <c r="M3923" s="2" t="s">
        <v>10542</v>
      </c>
      <c r="N3923" s="2" t="str">
        <f>IFERROR(__xludf.DUMMYFUNCTION("""COMPUTED_VALUE"""),"")</f>
        <v/>
      </c>
    </row>
    <row r="3924">
      <c r="A3924" s="2" t="s">
        <v>33</v>
      </c>
      <c r="B3924" s="12">
        <v>3793796.0</v>
      </c>
      <c r="C3924" s="12">
        <v>3794713.0</v>
      </c>
      <c r="D3924" s="2"/>
      <c r="E3924" s="2" t="s">
        <v>34</v>
      </c>
      <c r="F3924" s="2" t="s">
        <v>10543</v>
      </c>
      <c r="G3924" s="2"/>
      <c r="H3924" s="12">
        <v>0.0</v>
      </c>
      <c r="I3924" s="2" t="s">
        <v>40</v>
      </c>
      <c r="J3924" s="2"/>
      <c r="K3924" s="2" t="s">
        <v>10544</v>
      </c>
      <c r="L3924" s="12">
        <v>305.0</v>
      </c>
      <c r="M3924" s="2" t="s">
        <v>10545</v>
      </c>
      <c r="N3924" s="2" t="str">
        <f>IFERROR(__xludf.DUMMYFUNCTION("""COMPUTED_VALUE"""),"")</f>
        <v/>
      </c>
    </row>
    <row r="3925">
      <c r="A3925" s="2" t="s">
        <v>33</v>
      </c>
      <c r="B3925" s="12">
        <v>3794741.0</v>
      </c>
      <c r="C3925" s="12">
        <v>3795691.0</v>
      </c>
      <c r="D3925" s="2"/>
      <c r="E3925" s="2" t="s">
        <v>34</v>
      </c>
      <c r="F3925" s="2" t="s">
        <v>5275</v>
      </c>
      <c r="G3925" s="2" t="s">
        <v>5276</v>
      </c>
      <c r="H3925" s="12">
        <v>0.0</v>
      </c>
      <c r="I3925" s="2" t="s">
        <v>40</v>
      </c>
      <c r="J3925" s="2"/>
      <c r="K3925" s="2" t="s">
        <v>10546</v>
      </c>
      <c r="L3925" s="12">
        <v>316.0</v>
      </c>
      <c r="M3925" s="2" t="s">
        <v>10547</v>
      </c>
      <c r="N3925" s="2" t="str">
        <f>IFERROR(__xludf.DUMMYFUNCTION("""COMPUTED_VALUE"""),"")</f>
        <v/>
      </c>
    </row>
    <row r="3926">
      <c r="A3926" s="2" t="s">
        <v>33</v>
      </c>
      <c r="B3926" s="12">
        <v>3795693.0</v>
      </c>
      <c r="C3926" s="12">
        <v>3796559.0</v>
      </c>
      <c r="D3926" s="2"/>
      <c r="E3926" s="2" t="s">
        <v>34</v>
      </c>
      <c r="F3926" s="2" t="s">
        <v>5271</v>
      </c>
      <c r="G3926" s="2" t="s">
        <v>5272</v>
      </c>
      <c r="H3926" s="12">
        <v>0.0</v>
      </c>
      <c r="I3926" s="2" t="s">
        <v>40</v>
      </c>
      <c r="J3926" s="2"/>
      <c r="K3926" s="2" t="s">
        <v>10548</v>
      </c>
      <c r="L3926" s="12">
        <v>288.0</v>
      </c>
      <c r="M3926" s="2" t="s">
        <v>10549</v>
      </c>
      <c r="N3926" s="2" t="str">
        <f>IFERROR(__xludf.DUMMYFUNCTION("""COMPUTED_VALUE"""),"")</f>
        <v/>
      </c>
    </row>
    <row r="3927">
      <c r="A3927" s="2" t="s">
        <v>33</v>
      </c>
      <c r="B3927" s="12">
        <v>3796588.0</v>
      </c>
      <c r="C3927" s="12">
        <v>3797403.0</v>
      </c>
      <c r="D3927" s="2"/>
      <c r="E3927" s="2" t="s">
        <v>34</v>
      </c>
      <c r="F3927" s="2" t="s">
        <v>10550</v>
      </c>
      <c r="G3927" s="2" t="s">
        <v>10551</v>
      </c>
      <c r="H3927" s="12">
        <v>0.0</v>
      </c>
      <c r="I3927" s="2" t="s">
        <v>40</v>
      </c>
      <c r="J3927" s="2"/>
      <c r="K3927" s="2" t="s">
        <v>10552</v>
      </c>
      <c r="L3927" s="12">
        <v>271.0</v>
      </c>
      <c r="M3927" s="2" t="s">
        <v>10553</v>
      </c>
      <c r="N3927" s="2" t="str">
        <f>IFERROR(__xludf.DUMMYFUNCTION("""COMPUTED_VALUE"""),"")</f>
        <v/>
      </c>
    </row>
    <row r="3928">
      <c r="A3928" s="2" t="s">
        <v>33</v>
      </c>
      <c r="B3928" s="12">
        <v>3797695.0</v>
      </c>
      <c r="C3928" s="12">
        <v>3798351.0</v>
      </c>
      <c r="D3928" s="2"/>
      <c r="E3928" s="2" t="s">
        <v>34</v>
      </c>
      <c r="F3928" s="2" t="s">
        <v>10554</v>
      </c>
      <c r="G3928" s="2" t="s">
        <v>10555</v>
      </c>
      <c r="H3928" s="12">
        <v>0.0</v>
      </c>
      <c r="I3928" s="2" t="s">
        <v>40</v>
      </c>
      <c r="J3928" s="2"/>
      <c r="K3928" s="2" t="s">
        <v>10556</v>
      </c>
      <c r="L3928" s="12">
        <v>218.0</v>
      </c>
      <c r="M3928" s="2" t="s">
        <v>10557</v>
      </c>
      <c r="N3928" s="2" t="str">
        <f>IFERROR(__xludf.DUMMYFUNCTION("""COMPUTED_VALUE"""),"")</f>
        <v/>
      </c>
    </row>
    <row r="3929">
      <c r="A3929" s="2" t="s">
        <v>33</v>
      </c>
      <c r="B3929" s="12">
        <v>3798692.0</v>
      </c>
      <c r="C3929" s="12">
        <v>3801046.0</v>
      </c>
      <c r="D3929" s="2"/>
      <c r="E3929" s="2" t="s">
        <v>34</v>
      </c>
      <c r="F3929" s="2" t="s">
        <v>3943</v>
      </c>
      <c r="G3929" s="2"/>
      <c r="H3929" s="12">
        <v>0.0</v>
      </c>
      <c r="I3929" s="2" t="s">
        <v>40</v>
      </c>
      <c r="J3929" s="2"/>
      <c r="K3929" s="2" t="s">
        <v>10558</v>
      </c>
      <c r="L3929" s="12">
        <v>784.0</v>
      </c>
      <c r="M3929" s="2" t="s">
        <v>10559</v>
      </c>
      <c r="N3929" s="2" t="str">
        <f>IFERROR(__xludf.DUMMYFUNCTION("""COMPUTED_VALUE"""),"")</f>
        <v/>
      </c>
    </row>
    <row r="3930">
      <c r="A3930" s="2" t="s">
        <v>33</v>
      </c>
      <c r="B3930" s="12">
        <v>3801116.0</v>
      </c>
      <c r="C3930" s="12">
        <v>3801265.0</v>
      </c>
      <c r="D3930" s="2"/>
      <c r="E3930" s="2" t="s">
        <v>34</v>
      </c>
      <c r="F3930" s="2" t="s">
        <v>6861</v>
      </c>
      <c r="G3930" s="2" t="s">
        <v>6862</v>
      </c>
      <c r="H3930" s="12">
        <v>0.0</v>
      </c>
      <c r="I3930" s="2" t="s">
        <v>40</v>
      </c>
      <c r="J3930" s="2"/>
      <c r="K3930" s="2" t="s">
        <v>10560</v>
      </c>
      <c r="L3930" s="12">
        <v>49.0</v>
      </c>
      <c r="M3930" s="2" t="s">
        <v>10561</v>
      </c>
      <c r="N3930" s="2" t="str">
        <f>IFERROR(__xludf.DUMMYFUNCTION("""COMPUTED_VALUE"""),"")</f>
        <v/>
      </c>
    </row>
    <row r="3931">
      <c r="A3931" s="2" t="s">
        <v>33</v>
      </c>
      <c r="B3931" s="12">
        <v>3801371.0</v>
      </c>
      <c r="C3931" s="12">
        <v>3801949.0</v>
      </c>
      <c r="D3931" s="2"/>
      <c r="E3931" s="2" t="s">
        <v>34</v>
      </c>
      <c r="F3931" s="2" t="s">
        <v>10562</v>
      </c>
      <c r="G3931" s="2"/>
      <c r="H3931" s="12">
        <v>0.0</v>
      </c>
      <c r="I3931" s="2" t="s">
        <v>40</v>
      </c>
      <c r="J3931" s="2"/>
      <c r="K3931" s="2" t="s">
        <v>10563</v>
      </c>
      <c r="L3931" s="12">
        <v>192.0</v>
      </c>
      <c r="M3931" s="2" t="s">
        <v>10564</v>
      </c>
      <c r="N3931" s="2" t="str">
        <f>IFERROR(__xludf.DUMMYFUNCTION("""COMPUTED_VALUE"""),"")</f>
        <v/>
      </c>
    </row>
    <row r="3932">
      <c r="A3932" s="2" t="s">
        <v>33</v>
      </c>
      <c r="B3932" s="12">
        <v>3802053.0</v>
      </c>
      <c r="C3932" s="12">
        <v>3802253.0</v>
      </c>
      <c r="D3932" s="2"/>
      <c r="E3932" s="2" t="s">
        <v>34</v>
      </c>
      <c r="F3932" s="2" t="s">
        <v>10565</v>
      </c>
      <c r="G3932" s="2"/>
      <c r="H3932" s="12">
        <v>0.0</v>
      </c>
      <c r="I3932" s="2" t="s">
        <v>40</v>
      </c>
      <c r="J3932" s="2"/>
      <c r="K3932" s="2" t="s">
        <v>10566</v>
      </c>
      <c r="L3932" s="12">
        <v>66.0</v>
      </c>
      <c r="M3932" s="2" t="s">
        <v>10567</v>
      </c>
      <c r="N3932" s="2" t="str">
        <f>IFERROR(__xludf.DUMMYFUNCTION("""COMPUTED_VALUE"""),"")</f>
        <v/>
      </c>
    </row>
    <row r="3933">
      <c r="A3933" s="2" t="s">
        <v>33</v>
      </c>
      <c r="B3933" s="12">
        <v>3802273.0</v>
      </c>
      <c r="C3933" s="12">
        <v>3803256.0</v>
      </c>
      <c r="D3933" s="2"/>
      <c r="E3933" s="2" t="s">
        <v>34</v>
      </c>
      <c r="F3933" s="2" t="s">
        <v>10568</v>
      </c>
      <c r="G3933" s="2" t="s">
        <v>10569</v>
      </c>
      <c r="H3933" s="12">
        <v>0.0</v>
      </c>
      <c r="I3933" s="2" t="s">
        <v>40</v>
      </c>
      <c r="J3933" s="2"/>
      <c r="K3933" s="2" t="s">
        <v>10570</v>
      </c>
      <c r="L3933" s="12">
        <v>327.0</v>
      </c>
      <c r="M3933" s="2" t="s">
        <v>10571</v>
      </c>
      <c r="N3933" s="2" t="str">
        <f>IFERROR(__xludf.DUMMYFUNCTION("""COMPUTED_VALUE"""),"")</f>
        <v/>
      </c>
    </row>
    <row r="3934">
      <c r="A3934" s="2" t="s">
        <v>33</v>
      </c>
      <c r="B3934" s="12">
        <v>3803337.0</v>
      </c>
      <c r="C3934" s="12">
        <v>3803510.0</v>
      </c>
      <c r="D3934" s="2"/>
      <c r="E3934" s="2" t="s">
        <v>38</v>
      </c>
      <c r="F3934" s="2" t="s">
        <v>10572</v>
      </c>
      <c r="G3934" s="2"/>
      <c r="H3934" s="12">
        <v>0.0</v>
      </c>
      <c r="I3934" s="2" t="s">
        <v>40</v>
      </c>
      <c r="J3934" s="2"/>
      <c r="K3934" s="2" t="s">
        <v>10573</v>
      </c>
      <c r="L3934" s="12">
        <v>57.0</v>
      </c>
      <c r="M3934" s="2" t="s">
        <v>10574</v>
      </c>
      <c r="N3934" s="2" t="str">
        <f>IFERROR(__xludf.DUMMYFUNCTION("""COMPUTED_VALUE"""),"")</f>
        <v/>
      </c>
    </row>
    <row r="3935">
      <c r="A3935" s="2" t="s">
        <v>33</v>
      </c>
      <c r="B3935" s="12">
        <v>3803681.0</v>
      </c>
      <c r="C3935" s="12">
        <v>3804310.0</v>
      </c>
      <c r="D3935" s="2"/>
      <c r="E3935" s="2" t="s">
        <v>34</v>
      </c>
      <c r="F3935" s="2" t="s">
        <v>599</v>
      </c>
      <c r="G3935" s="2"/>
      <c r="H3935" s="12">
        <v>0.0</v>
      </c>
      <c r="I3935" s="2" t="s">
        <v>40</v>
      </c>
      <c r="J3935" s="2"/>
      <c r="K3935" s="2" t="s">
        <v>10575</v>
      </c>
      <c r="L3935" s="12">
        <v>209.0</v>
      </c>
      <c r="M3935" s="2" t="s">
        <v>10576</v>
      </c>
      <c r="N3935" s="2" t="str">
        <f>IFERROR(__xludf.DUMMYFUNCTION("""COMPUTED_VALUE"""),"")</f>
        <v/>
      </c>
    </row>
    <row r="3936">
      <c r="A3936" s="2" t="s">
        <v>33</v>
      </c>
      <c r="B3936" s="12">
        <v>3804320.0</v>
      </c>
      <c r="C3936" s="12">
        <v>3805432.0</v>
      </c>
      <c r="D3936" s="2"/>
      <c r="E3936" s="2" t="s">
        <v>34</v>
      </c>
      <c r="F3936" s="2" t="s">
        <v>289</v>
      </c>
      <c r="G3936" s="2"/>
      <c r="H3936" s="12">
        <v>0.0</v>
      </c>
      <c r="I3936" s="2" t="s">
        <v>40</v>
      </c>
      <c r="J3936" s="2"/>
      <c r="K3936" s="2" t="s">
        <v>10577</v>
      </c>
      <c r="L3936" s="12">
        <v>370.0</v>
      </c>
      <c r="M3936" s="2" t="s">
        <v>10578</v>
      </c>
      <c r="N3936" s="2" t="str">
        <f>IFERROR(__xludf.DUMMYFUNCTION("""COMPUTED_VALUE"""),"")</f>
        <v/>
      </c>
    </row>
    <row r="3937">
      <c r="A3937" s="2" t="s">
        <v>33</v>
      </c>
      <c r="B3937" s="12">
        <v>3805575.0</v>
      </c>
      <c r="C3937" s="12">
        <v>3805865.0</v>
      </c>
      <c r="D3937" s="2"/>
      <c r="E3937" s="2" t="s">
        <v>38</v>
      </c>
      <c r="F3937" s="2" t="s">
        <v>5596</v>
      </c>
      <c r="G3937" s="2"/>
      <c r="H3937" s="12">
        <v>0.0</v>
      </c>
      <c r="I3937" s="2" t="s">
        <v>40</v>
      </c>
      <c r="J3937" s="2"/>
      <c r="K3937" s="2" t="s">
        <v>10579</v>
      </c>
      <c r="L3937" s="12">
        <v>96.0</v>
      </c>
      <c r="M3937" s="2" t="s">
        <v>10580</v>
      </c>
      <c r="N3937" s="2" t="str">
        <f>IFERROR(__xludf.DUMMYFUNCTION("""COMPUTED_VALUE"""),"")</f>
        <v/>
      </c>
    </row>
    <row r="3938">
      <c r="A3938" s="2" t="s">
        <v>33</v>
      </c>
      <c r="B3938" s="12">
        <v>3806299.0</v>
      </c>
      <c r="C3938" s="12">
        <v>3806811.0</v>
      </c>
      <c r="D3938" s="2"/>
      <c r="E3938" s="2" t="s">
        <v>38</v>
      </c>
      <c r="F3938" s="2" t="s">
        <v>1099</v>
      </c>
      <c r="G3938" s="2"/>
      <c r="H3938" s="12">
        <v>0.0</v>
      </c>
      <c r="I3938" s="2" t="s">
        <v>40</v>
      </c>
      <c r="J3938" s="2"/>
      <c r="K3938" s="2" t="s">
        <v>10581</v>
      </c>
      <c r="L3938" s="12">
        <v>170.0</v>
      </c>
      <c r="M3938" s="2" t="s">
        <v>10582</v>
      </c>
      <c r="N3938" s="2" t="str">
        <f>IFERROR(__xludf.DUMMYFUNCTION("""COMPUTED_VALUE"""),"")</f>
        <v/>
      </c>
    </row>
    <row r="3939">
      <c r="A3939" s="2" t="s">
        <v>33</v>
      </c>
      <c r="B3939" s="12">
        <v>3806979.0</v>
      </c>
      <c r="C3939" s="12">
        <v>3808142.0</v>
      </c>
      <c r="D3939" s="2"/>
      <c r="E3939" s="2" t="s">
        <v>38</v>
      </c>
      <c r="F3939" s="2" t="s">
        <v>10583</v>
      </c>
      <c r="G3939" s="2" t="s">
        <v>10584</v>
      </c>
      <c r="H3939" s="12">
        <v>0.0</v>
      </c>
      <c r="I3939" s="2" t="s">
        <v>40</v>
      </c>
      <c r="J3939" s="2"/>
      <c r="K3939" s="2" t="s">
        <v>10585</v>
      </c>
      <c r="L3939" s="12">
        <v>387.0</v>
      </c>
      <c r="M3939" s="2" t="s">
        <v>10586</v>
      </c>
      <c r="N3939" s="2" t="str">
        <f>IFERROR(__xludf.DUMMYFUNCTION("""COMPUTED_VALUE"""),"")</f>
        <v/>
      </c>
    </row>
    <row r="3940">
      <c r="A3940" s="2" t="s">
        <v>33</v>
      </c>
      <c r="B3940" s="12">
        <v>3808139.0</v>
      </c>
      <c r="C3940" s="12">
        <v>3809251.0</v>
      </c>
      <c r="D3940" s="2"/>
      <c r="E3940" s="2" t="s">
        <v>38</v>
      </c>
      <c r="F3940" s="2" t="s">
        <v>10587</v>
      </c>
      <c r="G3940" s="2" t="s">
        <v>10588</v>
      </c>
      <c r="H3940" s="12">
        <v>0.0</v>
      </c>
      <c r="I3940" s="2" t="s">
        <v>40</v>
      </c>
      <c r="J3940" s="2"/>
      <c r="K3940" s="2" t="s">
        <v>10589</v>
      </c>
      <c r="L3940" s="12">
        <v>370.0</v>
      </c>
      <c r="M3940" s="2" t="s">
        <v>10590</v>
      </c>
      <c r="N3940" s="2" t="str">
        <f>IFERROR(__xludf.DUMMYFUNCTION("""COMPUTED_VALUE"""),"")</f>
        <v/>
      </c>
    </row>
    <row r="3941">
      <c r="A3941" s="2" t="s">
        <v>33</v>
      </c>
      <c r="B3941" s="12">
        <v>3809840.0</v>
      </c>
      <c r="C3941" s="12">
        <v>3811672.0</v>
      </c>
      <c r="D3941" s="2"/>
      <c r="E3941" s="2" t="s">
        <v>34</v>
      </c>
      <c r="F3941" s="2" t="s">
        <v>10591</v>
      </c>
      <c r="G3941" s="2"/>
      <c r="H3941" s="12">
        <v>0.0</v>
      </c>
      <c r="I3941" s="2" t="s">
        <v>40</v>
      </c>
      <c r="J3941" s="2"/>
      <c r="K3941" s="2" t="s">
        <v>10592</v>
      </c>
      <c r="L3941" s="12">
        <v>610.0</v>
      </c>
      <c r="M3941" s="2" t="s">
        <v>10593</v>
      </c>
      <c r="N3941" s="2" t="str">
        <f>IFERROR(__xludf.DUMMYFUNCTION("""COMPUTED_VALUE"""),"")</f>
        <v/>
      </c>
    </row>
    <row r="3942">
      <c r="A3942" s="2" t="s">
        <v>33</v>
      </c>
      <c r="B3942" s="12">
        <v>3811672.0</v>
      </c>
      <c r="C3942" s="12">
        <v>3815070.0</v>
      </c>
      <c r="D3942" s="2"/>
      <c r="E3942" s="2" t="s">
        <v>34</v>
      </c>
      <c r="F3942" s="2" t="s">
        <v>10594</v>
      </c>
      <c r="G3942" s="2" t="s">
        <v>10595</v>
      </c>
      <c r="H3942" s="12">
        <v>0.0</v>
      </c>
      <c r="I3942" s="2" t="s">
        <v>40</v>
      </c>
      <c r="J3942" s="2"/>
      <c r="K3942" s="2" t="s">
        <v>10596</v>
      </c>
      <c r="L3942" s="12">
        <v>1132.0</v>
      </c>
      <c r="M3942" s="2" t="s">
        <v>10597</v>
      </c>
      <c r="N3942" s="2" t="str">
        <f>IFERROR(__xludf.DUMMYFUNCTION("""COMPUTED_VALUE"""),"")</f>
        <v/>
      </c>
    </row>
    <row r="3943">
      <c r="A3943" s="2" t="s">
        <v>33</v>
      </c>
      <c r="B3943" s="12">
        <v>3815089.0</v>
      </c>
      <c r="C3943" s="12">
        <v>3816147.0</v>
      </c>
      <c r="D3943" s="2"/>
      <c r="E3943" s="2" t="s">
        <v>34</v>
      </c>
      <c r="F3943" s="2" t="s">
        <v>10598</v>
      </c>
      <c r="G3943" s="2" t="s">
        <v>10599</v>
      </c>
      <c r="H3943" s="12">
        <v>0.0</v>
      </c>
      <c r="I3943" s="2" t="s">
        <v>40</v>
      </c>
      <c r="J3943" s="2"/>
      <c r="K3943" s="2" t="s">
        <v>10600</v>
      </c>
      <c r="L3943" s="12">
        <v>352.0</v>
      </c>
      <c r="M3943" s="2" t="s">
        <v>10601</v>
      </c>
      <c r="N3943" s="2" t="str">
        <f>IFERROR(__xludf.DUMMYFUNCTION("""COMPUTED_VALUE"""),"")</f>
        <v/>
      </c>
    </row>
    <row r="3944">
      <c r="A3944" s="2" t="s">
        <v>33</v>
      </c>
      <c r="B3944" s="12">
        <v>3816342.0</v>
      </c>
      <c r="C3944" s="12">
        <v>3816602.0</v>
      </c>
      <c r="D3944" s="2"/>
      <c r="E3944" s="2" t="s">
        <v>34</v>
      </c>
      <c r="F3944" s="2" t="s">
        <v>10602</v>
      </c>
      <c r="G3944" s="2"/>
      <c r="H3944" s="12">
        <v>0.0</v>
      </c>
      <c r="I3944" s="2" t="s">
        <v>40</v>
      </c>
      <c r="J3944" s="2"/>
      <c r="K3944" s="2" t="s">
        <v>10603</v>
      </c>
      <c r="L3944" s="12">
        <v>86.0</v>
      </c>
      <c r="M3944" s="2" t="s">
        <v>10604</v>
      </c>
      <c r="N3944" s="2" t="str">
        <f>IFERROR(__xludf.DUMMYFUNCTION("""COMPUTED_VALUE"""),"")</f>
        <v/>
      </c>
    </row>
    <row r="3945">
      <c r="A3945" s="2" t="s">
        <v>33</v>
      </c>
      <c r="B3945" s="12">
        <v>3816698.0</v>
      </c>
      <c r="C3945" s="12">
        <v>3817072.0</v>
      </c>
      <c r="D3945" s="2"/>
      <c r="E3945" s="2" t="s">
        <v>34</v>
      </c>
      <c r="F3945" s="2" t="s">
        <v>10605</v>
      </c>
      <c r="G3945" s="2"/>
      <c r="H3945" s="12">
        <v>0.0</v>
      </c>
      <c r="I3945" s="2" t="s">
        <v>40</v>
      </c>
      <c r="J3945" s="2"/>
      <c r="K3945" s="2" t="s">
        <v>10606</v>
      </c>
      <c r="L3945" s="12">
        <v>124.0</v>
      </c>
      <c r="M3945" s="2" t="s">
        <v>10607</v>
      </c>
      <c r="N3945" s="2" t="str">
        <f>IFERROR(__xludf.DUMMYFUNCTION("""COMPUTED_VALUE"""),"")</f>
        <v/>
      </c>
    </row>
    <row r="3946">
      <c r="A3946" s="2" t="s">
        <v>33</v>
      </c>
      <c r="B3946" s="12">
        <v>3817152.0</v>
      </c>
      <c r="C3946" s="12">
        <v>3817640.0</v>
      </c>
      <c r="D3946" s="2"/>
      <c r="E3946" s="2" t="s">
        <v>34</v>
      </c>
      <c r="F3946" s="2" t="s">
        <v>39</v>
      </c>
      <c r="G3946" s="2"/>
      <c r="H3946" s="12">
        <v>0.0</v>
      </c>
      <c r="I3946" s="2" t="s">
        <v>40</v>
      </c>
      <c r="J3946" s="2"/>
      <c r="K3946" s="2" t="s">
        <v>10608</v>
      </c>
      <c r="L3946" s="12">
        <v>162.0</v>
      </c>
      <c r="M3946" s="2" t="s">
        <v>10609</v>
      </c>
      <c r="N3946" s="2" t="str">
        <f>IFERROR(__xludf.DUMMYFUNCTION("""COMPUTED_VALUE"""),"")</f>
        <v/>
      </c>
    </row>
    <row r="3947">
      <c r="A3947" s="2" t="s">
        <v>33</v>
      </c>
      <c r="B3947" s="12">
        <v>3817675.0</v>
      </c>
      <c r="C3947" s="12">
        <v>3817986.0</v>
      </c>
      <c r="D3947" s="2"/>
      <c r="E3947" s="2" t="s">
        <v>38</v>
      </c>
      <c r="F3947" s="2" t="s">
        <v>39</v>
      </c>
      <c r="G3947" s="2"/>
      <c r="H3947" s="12">
        <v>0.0</v>
      </c>
      <c r="I3947" s="2" t="s">
        <v>40</v>
      </c>
      <c r="J3947" s="2"/>
      <c r="K3947" s="2" t="s">
        <v>10610</v>
      </c>
      <c r="L3947" s="12">
        <v>103.0</v>
      </c>
      <c r="M3947" s="2" t="s">
        <v>10611</v>
      </c>
      <c r="N3947" s="2" t="str">
        <f>IFERROR(__xludf.DUMMYFUNCTION("""COMPUTED_VALUE"""),"")</f>
        <v/>
      </c>
    </row>
    <row r="3948">
      <c r="A3948" s="2" t="s">
        <v>33</v>
      </c>
      <c r="B3948" s="12">
        <v>3818239.0</v>
      </c>
      <c r="C3948" s="12">
        <v>3818454.0</v>
      </c>
      <c r="D3948" s="2"/>
      <c r="E3948" s="2" t="s">
        <v>34</v>
      </c>
      <c r="F3948" s="2" t="s">
        <v>10612</v>
      </c>
      <c r="G3948" s="2"/>
      <c r="H3948" s="12">
        <v>0.0</v>
      </c>
      <c r="I3948" s="2" t="s">
        <v>40</v>
      </c>
      <c r="J3948" s="2"/>
      <c r="K3948" s="2" t="s">
        <v>10613</v>
      </c>
      <c r="L3948" s="12">
        <v>71.0</v>
      </c>
      <c r="M3948" s="2" t="s">
        <v>10614</v>
      </c>
      <c r="N3948" s="2" t="str">
        <f>IFERROR(__xludf.DUMMYFUNCTION("""COMPUTED_VALUE"""),"")</f>
        <v/>
      </c>
    </row>
    <row r="3949">
      <c r="A3949" s="2" t="s">
        <v>33</v>
      </c>
      <c r="B3949" s="12">
        <v>3818542.0</v>
      </c>
      <c r="C3949" s="12">
        <v>3818934.0</v>
      </c>
      <c r="D3949" s="2"/>
      <c r="E3949" s="2" t="s">
        <v>34</v>
      </c>
      <c r="F3949" s="2" t="s">
        <v>39</v>
      </c>
      <c r="G3949" s="2"/>
      <c r="H3949" s="12">
        <v>0.0</v>
      </c>
      <c r="I3949" s="2" t="s">
        <v>40</v>
      </c>
      <c r="J3949" s="2"/>
      <c r="K3949" s="2" t="s">
        <v>10615</v>
      </c>
      <c r="L3949" s="12">
        <v>130.0</v>
      </c>
      <c r="M3949" s="2" t="s">
        <v>10616</v>
      </c>
      <c r="N3949" s="2" t="str">
        <f>IFERROR(__xludf.DUMMYFUNCTION("""COMPUTED_VALUE"""),"")</f>
        <v/>
      </c>
    </row>
    <row r="3950">
      <c r="A3950" s="2" t="s">
        <v>33</v>
      </c>
      <c r="B3950" s="12">
        <v>3819013.0</v>
      </c>
      <c r="C3950" s="12">
        <v>3820407.0</v>
      </c>
      <c r="D3950" s="2"/>
      <c r="E3950" s="2" t="s">
        <v>38</v>
      </c>
      <c r="F3950" s="2" t="s">
        <v>10617</v>
      </c>
      <c r="G3950" s="2"/>
      <c r="H3950" s="12">
        <v>0.0</v>
      </c>
      <c r="I3950" s="2" t="s">
        <v>40</v>
      </c>
      <c r="J3950" s="2"/>
      <c r="K3950" s="2" t="s">
        <v>10618</v>
      </c>
      <c r="L3950" s="12">
        <v>464.0</v>
      </c>
      <c r="M3950" s="2" t="s">
        <v>10619</v>
      </c>
      <c r="N3950" s="2" t="str">
        <f>IFERROR(__xludf.DUMMYFUNCTION("""COMPUTED_VALUE"""),"")</f>
        <v/>
      </c>
    </row>
    <row r="3951">
      <c r="A3951" s="2" t="s">
        <v>33</v>
      </c>
      <c r="B3951" s="12">
        <v>3820515.0</v>
      </c>
      <c r="C3951" s="12">
        <v>3820757.0</v>
      </c>
      <c r="D3951" s="2"/>
      <c r="E3951" s="2" t="s">
        <v>38</v>
      </c>
      <c r="F3951" s="2" t="s">
        <v>10620</v>
      </c>
      <c r="G3951" s="2"/>
      <c r="H3951" s="12">
        <v>0.0</v>
      </c>
      <c r="I3951" s="2" t="s">
        <v>40</v>
      </c>
      <c r="J3951" s="2"/>
      <c r="K3951" s="2" t="s">
        <v>10621</v>
      </c>
      <c r="L3951" s="12">
        <v>80.0</v>
      </c>
      <c r="M3951" s="2" t="s">
        <v>10622</v>
      </c>
      <c r="N3951" s="2" t="str">
        <f>IFERROR(__xludf.DUMMYFUNCTION("""COMPUTED_VALUE"""),"")</f>
        <v/>
      </c>
    </row>
    <row r="3952">
      <c r="A3952" s="2" t="s">
        <v>33</v>
      </c>
      <c r="B3952" s="12">
        <v>3820883.0</v>
      </c>
      <c r="C3952" s="12">
        <v>3821578.0</v>
      </c>
      <c r="D3952" s="2"/>
      <c r="E3952" s="2" t="s">
        <v>38</v>
      </c>
      <c r="F3952" s="2" t="s">
        <v>5596</v>
      </c>
      <c r="G3952" s="2"/>
      <c r="H3952" s="12">
        <v>0.0</v>
      </c>
      <c r="I3952" s="2" t="s">
        <v>40</v>
      </c>
      <c r="J3952" s="2"/>
      <c r="K3952" s="2" t="s">
        <v>10623</v>
      </c>
      <c r="L3952" s="12">
        <v>231.0</v>
      </c>
      <c r="M3952" s="2" t="s">
        <v>10624</v>
      </c>
      <c r="N3952" s="2" t="str">
        <f>IFERROR(__xludf.DUMMYFUNCTION("""COMPUTED_VALUE"""),"")</f>
        <v/>
      </c>
    </row>
    <row r="3953">
      <c r="A3953" s="2" t="s">
        <v>33</v>
      </c>
      <c r="B3953" s="12">
        <v>3821784.0</v>
      </c>
      <c r="C3953" s="12">
        <v>3822827.0</v>
      </c>
      <c r="D3953" s="2"/>
      <c r="E3953" s="2" t="s">
        <v>34</v>
      </c>
      <c r="F3953" s="2" t="s">
        <v>10625</v>
      </c>
      <c r="G3953" s="2" t="s">
        <v>10626</v>
      </c>
      <c r="H3953" s="12">
        <v>0.0</v>
      </c>
      <c r="I3953" s="2" t="s">
        <v>40</v>
      </c>
      <c r="J3953" s="2"/>
      <c r="K3953" s="2" t="s">
        <v>10627</v>
      </c>
      <c r="L3953" s="12">
        <v>347.0</v>
      </c>
      <c r="M3953" s="2" t="s">
        <v>10628</v>
      </c>
      <c r="N3953" s="2" t="str">
        <f>IFERROR(__xludf.DUMMYFUNCTION("""COMPUTED_VALUE"""),"")</f>
        <v/>
      </c>
    </row>
    <row r="3954">
      <c r="A3954" s="2" t="s">
        <v>33</v>
      </c>
      <c r="B3954" s="12">
        <v>3822814.0</v>
      </c>
      <c r="C3954" s="12">
        <v>3823851.0</v>
      </c>
      <c r="D3954" s="2"/>
      <c r="E3954" s="2" t="s">
        <v>34</v>
      </c>
      <c r="F3954" s="2" t="s">
        <v>10629</v>
      </c>
      <c r="G3954" s="2" t="s">
        <v>10630</v>
      </c>
      <c r="H3954" s="12">
        <v>0.0</v>
      </c>
      <c r="I3954" s="2" t="s">
        <v>40</v>
      </c>
      <c r="J3954" s="2"/>
      <c r="K3954" s="2" t="s">
        <v>10631</v>
      </c>
      <c r="L3954" s="12">
        <v>345.0</v>
      </c>
      <c r="M3954" s="2" t="s">
        <v>10632</v>
      </c>
      <c r="N3954" s="2" t="str">
        <f>IFERROR(__xludf.DUMMYFUNCTION("""COMPUTED_VALUE"""),"")</f>
        <v/>
      </c>
    </row>
    <row r="3955">
      <c r="A3955" s="2" t="s">
        <v>33</v>
      </c>
      <c r="B3955" s="12">
        <v>3823863.0</v>
      </c>
      <c r="C3955" s="12">
        <v>3824162.0</v>
      </c>
      <c r="D3955" s="2"/>
      <c r="E3955" s="2" t="s">
        <v>34</v>
      </c>
      <c r="F3955" s="2" t="s">
        <v>10633</v>
      </c>
      <c r="G3955" s="2" t="s">
        <v>10634</v>
      </c>
      <c r="H3955" s="12">
        <v>0.0</v>
      </c>
      <c r="I3955" s="2" t="s">
        <v>40</v>
      </c>
      <c r="J3955" s="2"/>
      <c r="K3955" s="2" t="s">
        <v>10635</v>
      </c>
      <c r="L3955" s="12">
        <v>99.0</v>
      </c>
      <c r="M3955" s="2" t="s">
        <v>10636</v>
      </c>
      <c r="N3955" s="2" t="str">
        <f>IFERROR(__xludf.DUMMYFUNCTION("""COMPUTED_VALUE"""),"")</f>
        <v/>
      </c>
    </row>
    <row r="3956">
      <c r="A3956" s="2" t="s">
        <v>33</v>
      </c>
      <c r="B3956" s="12">
        <v>3824159.0</v>
      </c>
      <c r="C3956" s="12">
        <v>3824614.0</v>
      </c>
      <c r="D3956" s="2"/>
      <c r="E3956" s="2" t="s">
        <v>34</v>
      </c>
      <c r="F3956" s="2" t="s">
        <v>10637</v>
      </c>
      <c r="G3956" s="2" t="s">
        <v>10638</v>
      </c>
      <c r="H3956" s="12">
        <v>0.0</v>
      </c>
      <c r="I3956" s="2" t="s">
        <v>40</v>
      </c>
      <c r="J3956" s="2"/>
      <c r="K3956" s="2" t="s">
        <v>10639</v>
      </c>
      <c r="L3956" s="12">
        <v>151.0</v>
      </c>
      <c r="M3956" s="2" t="s">
        <v>10640</v>
      </c>
      <c r="N3956" s="2" t="str">
        <f>IFERROR(__xludf.DUMMYFUNCTION("""COMPUTED_VALUE"""),"")</f>
        <v/>
      </c>
    </row>
    <row r="3957">
      <c r="A3957" s="2" t="s">
        <v>33</v>
      </c>
      <c r="B3957" s="12">
        <v>3824607.0</v>
      </c>
      <c r="C3957" s="12">
        <v>3824909.0</v>
      </c>
      <c r="D3957" s="2"/>
      <c r="E3957" s="2" t="s">
        <v>34</v>
      </c>
      <c r="F3957" s="2" t="s">
        <v>39</v>
      </c>
      <c r="G3957" s="2"/>
      <c r="H3957" s="12">
        <v>0.0</v>
      </c>
      <c r="I3957" s="2" t="s">
        <v>40</v>
      </c>
      <c r="J3957" s="2"/>
      <c r="K3957" s="2" t="s">
        <v>10641</v>
      </c>
      <c r="L3957" s="12">
        <v>100.0</v>
      </c>
      <c r="M3957" s="2" t="s">
        <v>10642</v>
      </c>
      <c r="N3957" s="2" t="str">
        <f>IFERROR(__xludf.DUMMYFUNCTION("""COMPUTED_VALUE"""),"")</f>
        <v/>
      </c>
    </row>
    <row r="3958">
      <c r="A3958" s="2" t="s">
        <v>33</v>
      </c>
      <c r="B3958" s="12">
        <v>3824879.0</v>
      </c>
      <c r="C3958" s="12">
        <v>3825349.0</v>
      </c>
      <c r="D3958" s="2"/>
      <c r="E3958" s="2" t="s">
        <v>34</v>
      </c>
      <c r="F3958" s="2" t="s">
        <v>10643</v>
      </c>
      <c r="G3958" s="2" t="s">
        <v>10644</v>
      </c>
      <c r="H3958" s="12">
        <v>0.0</v>
      </c>
      <c r="I3958" s="2" t="s">
        <v>40</v>
      </c>
      <c r="J3958" s="2"/>
      <c r="K3958" s="2" t="s">
        <v>10645</v>
      </c>
      <c r="L3958" s="12">
        <v>156.0</v>
      </c>
      <c r="M3958" s="2" t="s">
        <v>10646</v>
      </c>
      <c r="N3958" s="2" t="str">
        <f>IFERROR(__xludf.DUMMYFUNCTION("""COMPUTED_VALUE"""),"")</f>
        <v/>
      </c>
    </row>
    <row r="3959">
      <c r="A3959" s="2" t="s">
        <v>33</v>
      </c>
      <c r="B3959" s="12">
        <v>3825346.0</v>
      </c>
      <c r="C3959" s="12">
        <v>3825717.0</v>
      </c>
      <c r="D3959" s="2"/>
      <c r="E3959" s="2" t="s">
        <v>34</v>
      </c>
      <c r="F3959" s="2" t="s">
        <v>10647</v>
      </c>
      <c r="G3959" s="2" t="s">
        <v>10648</v>
      </c>
      <c r="H3959" s="12">
        <v>0.0</v>
      </c>
      <c r="I3959" s="2" t="s">
        <v>40</v>
      </c>
      <c r="J3959" s="2"/>
      <c r="K3959" s="2" t="s">
        <v>10649</v>
      </c>
      <c r="L3959" s="12">
        <v>123.0</v>
      </c>
      <c r="M3959" s="2" t="s">
        <v>10650</v>
      </c>
      <c r="N3959" s="2" t="str">
        <f>IFERROR(__xludf.DUMMYFUNCTION("""COMPUTED_VALUE"""),"")</f>
        <v/>
      </c>
    </row>
    <row r="3960">
      <c r="A3960" s="2" t="s">
        <v>33</v>
      </c>
      <c r="B3960" s="12">
        <v>3825892.0</v>
      </c>
      <c r="C3960" s="12">
        <v>3826542.0</v>
      </c>
      <c r="D3960" s="2"/>
      <c r="E3960" s="2" t="s">
        <v>34</v>
      </c>
      <c r="F3960" s="2" t="s">
        <v>10651</v>
      </c>
      <c r="G3960" s="2"/>
      <c r="H3960" s="12">
        <v>0.0</v>
      </c>
      <c r="I3960" s="2" t="s">
        <v>40</v>
      </c>
      <c r="J3960" s="2"/>
      <c r="K3960" s="2" t="s">
        <v>10652</v>
      </c>
      <c r="L3960" s="12">
        <v>216.0</v>
      </c>
      <c r="M3960" s="2" t="s">
        <v>10653</v>
      </c>
      <c r="N3960" s="2" t="str">
        <f>IFERROR(__xludf.DUMMYFUNCTION("""COMPUTED_VALUE"""),"")</f>
        <v/>
      </c>
    </row>
    <row r="3961">
      <c r="A3961" s="2" t="s">
        <v>33</v>
      </c>
      <c r="B3961" s="12">
        <v>3826658.0</v>
      </c>
      <c r="C3961" s="12">
        <v>3827155.0</v>
      </c>
      <c r="D3961" s="2"/>
      <c r="E3961" s="2" t="s">
        <v>34</v>
      </c>
      <c r="F3961" s="2" t="s">
        <v>10654</v>
      </c>
      <c r="G3961" s="2"/>
      <c r="H3961" s="12">
        <v>0.0</v>
      </c>
      <c r="I3961" s="2" t="s">
        <v>40</v>
      </c>
      <c r="J3961" s="2"/>
      <c r="K3961" s="2" t="s">
        <v>10655</v>
      </c>
      <c r="L3961" s="12">
        <v>165.0</v>
      </c>
      <c r="M3961" s="2" t="s">
        <v>10656</v>
      </c>
      <c r="N3961" s="2" t="str">
        <f>IFERROR(__xludf.DUMMYFUNCTION("""COMPUTED_VALUE"""),"")</f>
        <v/>
      </c>
    </row>
    <row r="3962">
      <c r="A3962" s="2" t="s">
        <v>33</v>
      </c>
      <c r="B3962" s="12">
        <v>3827194.0</v>
      </c>
      <c r="C3962" s="12">
        <v>3827394.0</v>
      </c>
      <c r="D3962" s="2"/>
      <c r="E3962" s="2" t="s">
        <v>34</v>
      </c>
      <c r="F3962" s="2" t="s">
        <v>10657</v>
      </c>
      <c r="G3962" s="2"/>
      <c r="H3962" s="12">
        <v>0.0</v>
      </c>
      <c r="I3962" s="2" t="s">
        <v>40</v>
      </c>
      <c r="J3962" s="2"/>
      <c r="K3962" s="2" t="s">
        <v>10658</v>
      </c>
      <c r="L3962" s="12">
        <v>66.0</v>
      </c>
      <c r="M3962" s="2" t="s">
        <v>10659</v>
      </c>
      <c r="N3962" s="2" t="str">
        <f>IFERROR(__xludf.DUMMYFUNCTION("""COMPUTED_VALUE"""),"")</f>
        <v/>
      </c>
    </row>
    <row r="3963">
      <c r="A3963" s="2" t="s">
        <v>33</v>
      </c>
      <c r="B3963" s="12">
        <v>3827460.0</v>
      </c>
      <c r="C3963" s="12">
        <v>3828092.0</v>
      </c>
      <c r="D3963" s="2"/>
      <c r="E3963" s="2" t="s">
        <v>38</v>
      </c>
      <c r="F3963" s="2" t="s">
        <v>10660</v>
      </c>
      <c r="G3963" s="2"/>
      <c r="H3963" s="12">
        <v>0.0</v>
      </c>
      <c r="I3963" s="2" t="s">
        <v>40</v>
      </c>
      <c r="J3963" s="2"/>
      <c r="K3963" s="2" t="s">
        <v>10661</v>
      </c>
      <c r="L3963" s="12">
        <v>210.0</v>
      </c>
      <c r="M3963" s="2" t="s">
        <v>10662</v>
      </c>
      <c r="N3963" s="2" t="str">
        <f>IFERROR(__xludf.DUMMYFUNCTION("""COMPUTED_VALUE"""),"")</f>
        <v/>
      </c>
    </row>
    <row r="3964">
      <c r="A3964" s="2" t="s">
        <v>33</v>
      </c>
      <c r="B3964" s="12">
        <v>3828234.0</v>
      </c>
      <c r="C3964" s="12">
        <v>3828350.0</v>
      </c>
      <c r="D3964" s="2"/>
      <c r="E3964" s="2" t="s">
        <v>38</v>
      </c>
      <c r="F3964" s="2" t="s">
        <v>39</v>
      </c>
      <c r="G3964" s="2"/>
      <c r="H3964" s="12">
        <v>0.0</v>
      </c>
      <c r="I3964" s="2" t="s">
        <v>40</v>
      </c>
      <c r="J3964" s="2"/>
      <c r="K3964" s="2" t="s">
        <v>10663</v>
      </c>
      <c r="L3964" s="12">
        <v>38.0</v>
      </c>
      <c r="M3964" s="2" t="s">
        <v>10664</v>
      </c>
      <c r="N3964" s="2" t="str">
        <f>IFERROR(__xludf.DUMMYFUNCTION("""COMPUTED_VALUE"""),"")</f>
        <v/>
      </c>
    </row>
    <row r="3965">
      <c r="A3965" s="2" t="s">
        <v>33</v>
      </c>
      <c r="B3965" s="12">
        <v>3828424.0</v>
      </c>
      <c r="C3965" s="12">
        <v>3828651.0</v>
      </c>
      <c r="D3965" s="2"/>
      <c r="E3965" s="2" t="s">
        <v>34</v>
      </c>
      <c r="F3965" s="2" t="s">
        <v>39</v>
      </c>
      <c r="G3965" s="2"/>
      <c r="H3965" s="12">
        <v>0.0</v>
      </c>
      <c r="I3965" s="2" t="s">
        <v>40</v>
      </c>
      <c r="J3965" s="2"/>
      <c r="K3965" s="2" t="s">
        <v>10665</v>
      </c>
      <c r="L3965" s="12">
        <v>75.0</v>
      </c>
      <c r="M3965" s="2" t="s">
        <v>10666</v>
      </c>
      <c r="N3965" s="2" t="str">
        <f>IFERROR(__xludf.DUMMYFUNCTION("""COMPUTED_VALUE"""),"")</f>
        <v/>
      </c>
    </row>
    <row r="3966">
      <c r="A3966" s="2" t="s">
        <v>33</v>
      </c>
      <c r="B3966" s="12">
        <v>3828749.0</v>
      </c>
      <c r="C3966" s="12">
        <v>3828880.0</v>
      </c>
      <c r="D3966" s="2"/>
      <c r="E3966" s="2" t="s">
        <v>34</v>
      </c>
      <c r="F3966" s="2" t="s">
        <v>39</v>
      </c>
      <c r="G3966" s="2"/>
      <c r="H3966" s="12">
        <v>0.0</v>
      </c>
      <c r="I3966" s="2" t="s">
        <v>40</v>
      </c>
      <c r="J3966" s="2"/>
      <c r="K3966" s="2" t="s">
        <v>10667</v>
      </c>
      <c r="L3966" s="12">
        <v>43.0</v>
      </c>
      <c r="M3966" s="2" t="s">
        <v>10668</v>
      </c>
      <c r="N3966" s="2" t="str">
        <f>IFERROR(__xludf.DUMMYFUNCTION("""COMPUTED_VALUE"""),"")</f>
        <v/>
      </c>
    </row>
    <row r="3967">
      <c r="A3967" s="2" t="s">
        <v>33</v>
      </c>
      <c r="B3967" s="12">
        <v>3828916.0</v>
      </c>
      <c r="C3967" s="12">
        <v>3829713.0</v>
      </c>
      <c r="D3967" s="2"/>
      <c r="E3967" s="2" t="s">
        <v>38</v>
      </c>
      <c r="F3967" s="2" t="s">
        <v>10669</v>
      </c>
      <c r="G3967" s="2"/>
      <c r="H3967" s="12">
        <v>0.0</v>
      </c>
      <c r="I3967" s="2" t="s">
        <v>40</v>
      </c>
      <c r="J3967" s="2"/>
      <c r="K3967" s="2" t="s">
        <v>10670</v>
      </c>
      <c r="L3967" s="12">
        <v>265.0</v>
      </c>
      <c r="M3967" s="2" t="s">
        <v>10671</v>
      </c>
      <c r="N3967" s="2" t="str">
        <f>IFERROR(__xludf.DUMMYFUNCTION("""COMPUTED_VALUE"""),"")</f>
        <v/>
      </c>
    </row>
    <row r="3968">
      <c r="A3968" s="2" t="s">
        <v>33</v>
      </c>
      <c r="B3968" s="12">
        <v>3829700.0</v>
      </c>
      <c r="C3968" s="12">
        <v>3831382.0</v>
      </c>
      <c r="D3968" s="2"/>
      <c r="E3968" s="2" t="s">
        <v>38</v>
      </c>
      <c r="F3968" s="2" t="s">
        <v>594</v>
      </c>
      <c r="G3968" s="2"/>
      <c r="H3968" s="12">
        <v>0.0</v>
      </c>
      <c r="I3968" s="2" t="s">
        <v>40</v>
      </c>
      <c r="J3968" s="2"/>
      <c r="K3968" s="2" t="s">
        <v>10672</v>
      </c>
      <c r="L3968" s="12">
        <v>560.0</v>
      </c>
      <c r="M3968" s="2" t="s">
        <v>10673</v>
      </c>
      <c r="N3968" s="2" t="str">
        <f>IFERROR(__xludf.DUMMYFUNCTION("""COMPUTED_VALUE"""),"")</f>
        <v/>
      </c>
    </row>
    <row r="3969">
      <c r="A3969" s="2" t="s">
        <v>33</v>
      </c>
      <c r="B3969" s="12">
        <v>3831773.0</v>
      </c>
      <c r="C3969" s="12">
        <v>3832873.0</v>
      </c>
      <c r="D3969" s="2"/>
      <c r="E3969" s="2" t="s">
        <v>34</v>
      </c>
      <c r="F3969" s="2" t="s">
        <v>10674</v>
      </c>
      <c r="G3969" s="2" t="s">
        <v>10675</v>
      </c>
      <c r="H3969" s="12">
        <v>0.0</v>
      </c>
      <c r="I3969" s="2" t="s">
        <v>40</v>
      </c>
      <c r="J3969" s="2"/>
      <c r="K3969" s="2" t="s">
        <v>10676</v>
      </c>
      <c r="L3969" s="12">
        <v>366.0</v>
      </c>
      <c r="M3969" s="2" t="s">
        <v>10677</v>
      </c>
      <c r="N3969" s="2" t="str">
        <f>IFERROR(__xludf.DUMMYFUNCTION("""COMPUTED_VALUE"""),"")</f>
        <v/>
      </c>
    </row>
    <row r="3970">
      <c r="A3970" s="2" t="s">
        <v>33</v>
      </c>
      <c r="B3970" s="12">
        <v>3832894.0</v>
      </c>
      <c r="C3970" s="12">
        <v>3834237.0</v>
      </c>
      <c r="D3970" s="2"/>
      <c r="E3970" s="2" t="s">
        <v>34</v>
      </c>
      <c r="F3970" s="2" t="s">
        <v>10678</v>
      </c>
      <c r="G3970" s="2" t="s">
        <v>10679</v>
      </c>
      <c r="H3970" s="12">
        <v>0.0</v>
      </c>
      <c r="I3970" s="2" t="s">
        <v>40</v>
      </c>
      <c r="J3970" s="2"/>
      <c r="K3970" s="2" t="s">
        <v>10680</v>
      </c>
      <c r="L3970" s="12">
        <v>447.0</v>
      </c>
      <c r="M3970" s="2" t="s">
        <v>10681</v>
      </c>
      <c r="N3970" s="2" t="str">
        <f>IFERROR(__xludf.DUMMYFUNCTION("""COMPUTED_VALUE"""),"")</f>
        <v/>
      </c>
    </row>
    <row r="3971">
      <c r="A3971" s="2" t="s">
        <v>33</v>
      </c>
      <c r="B3971" s="12">
        <v>3834234.0</v>
      </c>
      <c r="C3971" s="12">
        <v>3835709.0</v>
      </c>
      <c r="D3971" s="2"/>
      <c r="E3971" s="2" t="s">
        <v>34</v>
      </c>
      <c r="F3971" s="2" t="s">
        <v>10682</v>
      </c>
      <c r="G3971" s="2" t="s">
        <v>10683</v>
      </c>
      <c r="H3971" s="12">
        <v>0.0</v>
      </c>
      <c r="I3971" s="2" t="s">
        <v>40</v>
      </c>
      <c r="J3971" s="2"/>
      <c r="K3971" s="2" t="s">
        <v>10684</v>
      </c>
      <c r="L3971" s="12">
        <v>491.0</v>
      </c>
      <c r="M3971" s="2" t="s">
        <v>10685</v>
      </c>
      <c r="N3971" s="2" t="str">
        <f>IFERROR(__xludf.DUMMYFUNCTION("""COMPUTED_VALUE"""),"")</f>
        <v/>
      </c>
    </row>
    <row r="3972">
      <c r="A3972" s="2" t="s">
        <v>33</v>
      </c>
      <c r="B3972" s="12">
        <v>3836152.0</v>
      </c>
      <c r="C3972" s="12">
        <v>3836355.0</v>
      </c>
      <c r="D3972" s="2"/>
      <c r="E3972" s="2" t="s">
        <v>34</v>
      </c>
      <c r="F3972" s="2" t="s">
        <v>10686</v>
      </c>
      <c r="G3972" s="2"/>
      <c r="H3972" s="12">
        <v>0.0</v>
      </c>
      <c r="I3972" s="2" t="s">
        <v>40</v>
      </c>
      <c r="J3972" s="2"/>
      <c r="K3972" s="2" t="s">
        <v>10687</v>
      </c>
      <c r="L3972" s="12">
        <v>67.0</v>
      </c>
      <c r="M3972" s="2" t="s">
        <v>10688</v>
      </c>
      <c r="N3972" s="2" t="str">
        <f>IFERROR(__xludf.DUMMYFUNCTION("""COMPUTED_VALUE"""),"")</f>
        <v/>
      </c>
    </row>
    <row r="3973">
      <c r="A3973" s="2" t="s">
        <v>33</v>
      </c>
      <c r="B3973" s="12">
        <v>3836426.0</v>
      </c>
      <c r="C3973" s="12">
        <v>3836617.0</v>
      </c>
      <c r="D3973" s="2"/>
      <c r="E3973" s="2" t="s">
        <v>34</v>
      </c>
      <c r="F3973" s="2" t="s">
        <v>39</v>
      </c>
      <c r="G3973" s="2"/>
      <c r="H3973" s="12">
        <v>0.0</v>
      </c>
      <c r="I3973" s="2" t="s">
        <v>40</v>
      </c>
      <c r="J3973" s="2"/>
      <c r="K3973" s="2" t="s">
        <v>10689</v>
      </c>
      <c r="L3973" s="12">
        <v>63.0</v>
      </c>
      <c r="M3973" s="2" t="s">
        <v>10690</v>
      </c>
      <c r="N3973" s="2" t="str">
        <f>IFERROR(__xludf.DUMMYFUNCTION("""COMPUTED_VALUE"""),"")</f>
        <v/>
      </c>
    </row>
    <row r="3974">
      <c r="A3974" s="2" t="s">
        <v>33</v>
      </c>
      <c r="B3974" s="12">
        <v>3836736.0</v>
      </c>
      <c r="C3974" s="12">
        <v>3837110.0</v>
      </c>
      <c r="D3974" s="2"/>
      <c r="E3974" s="2" t="s">
        <v>34</v>
      </c>
      <c r="F3974" s="2" t="s">
        <v>2509</v>
      </c>
      <c r="G3974" s="2"/>
      <c r="H3974" s="12">
        <v>0.0</v>
      </c>
      <c r="I3974" s="2" t="s">
        <v>40</v>
      </c>
      <c r="J3974" s="2"/>
      <c r="K3974" s="2" t="s">
        <v>10691</v>
      </c>
      <c r="L3974" s="12">
        <v>124.0</v>
      </c>
      <c r="M3974" s="2" t="s">
        <v>10692</v>
      </c>
      <c r="N3974" s="2" t="str">
        <f>IFERROR(__xludf.DUMMYFUNCTION("""COMPUTED_VALUE"""),"")</f>
        <v/>
      </c>
    </row>
    <row r="3975">
      <c r="A3975" s="2" t="s">
        <v>33</v>
      </c>
      <c r="B3975" s="12">
        <v>3837114.0</v>
      </c>
      <c r="C3975" s="12">
        <v>3837986.0</v>
      </c>
      <c r="D3975" s="2"/>
      <c r="E3975" s="2" t="s">
        <v>34</v>
      </c>
      <c r="F3975" s="2" t="s">
        <v>432</v>
      </c>
      <c r="G3975" s="2"/>
      <c r="H3975" s="12">
        <v>0.0</v>
      </c>
      <c r="I3975" s="2" t="s">
        <v>40</v>
      </c>
      <c r="J3975" s="2"/>
      <c r="K3975" s="2" t="s">
        <v>10693</v>
      </c>
      <c r="L3975" s="12">
        <v>290.0</v>
      </c>
      <c r="M3975" s="2" t="s">
        <v>10694</v>
      </c>
      <c r="N3975" s="2" t="str">
        <f>IFERROR(__xludf.DUMMYFUNCTION("""COMPUTED_VALUE"""),"")</f>
        <v/>
      </c>
    </row>
    <row r="3976">
      <c r="A3976" s="2" t="s">
        <v>33</v>
      </c>
      <c r="B3976" s="12">
        <v>3837967.0</v>
      </c>
      <c r="C3976" s="12">
        <v>3838632.0</v>
      </c>
      <c r="D3976" s="2"/>
      <c r="E3976" s="2" t="s">
        <v>34</v>
      </c>
      <c r="F3976" s="2" t="s">
        <v>10695</v>
      </c>
      <c r="G3976" s="2"/>
      <c r="H3976" s="12">
        <v>0.0</v>
      </c>
      <c r="I3976" s="2" t="s">
        <v>40</v>
      </c>
      <c r="J3976" s="2"/>
      <c r="K3976" s="2" t="s">
        <v>10696</v>
      </c>
      <c r="L3976" s="12">
        <v>221.0</v>
      </c>
      <c r="M3976" s="2" t="s">
        <v>10697</v>
      </c>
      <c r="N3976" s="2" t="str">
        <f>IFERROR(__xludf.DUMMYFUNCTION("""COMPUTED_VALUE"""),"")</f>
        <v/>
      </c>
    </row>
    <row r="3977">
      <c r="A3977" s="2" t="s">
        <v>33</v>
      </c>
      <c r="B3977" s="12">
        <v>3838647.0</v>
      </c>
      <c r="C3977" s="12">
        <v>3839279.0</v>
      </c>
      <c r="D3977" s="2"/>
      <c r="E3977" s="2" t="s">
        <v>34</v>
      </c>
      <c r="F3977" s="2" t="s">
        <v>10695</v>
      </c>
      <c r="G3977" s="2"/>
      <c r="H3977" s="12">
        <v>0.0</v>
      </c>
      <c r="I3977" s="2" t="s">
        <v>40</v>
      </c>
      <c r="J3977" s="2"/>
      <c r="K3977" s="2" t="s">
        <v>10698</v>
      </c>
      <c r="L3977" s="12">
        <v>210.0</v>
      </c>
      <c r="M3977" s="2" t="s">
        <v>10699</v>
      </c>
      <c r="N3977" s="2" t="str">
        <f>IFERROR(__xludf.DUMMYFUNCTION("""COMPUTED_VALUE"""),"")</f>
        <v/>
      </c>
    </row>
    <row r="3978">
      <c r="A3978" s="2" t="s">
        <v>33</v>
      </c>
      <c r="B3978" s="12">
        <v>3839350.0</v>
      </c>
      <c r="C3978" s="12">
        <v>3839973.0</v>
      </c>
      <c r="D3978" s="2"/>
      <c r="E3978" s="2" t="s">
        <v>34</v>
      </c>
      <c r="F3978" s="2" t="s">
        <v>10695</v>
      </c>
      <c r="G3978" s="2"/>
      <c r="H3978" s="12">
        <v>0.0</v>
      </c>
      <c r="I3978" s="2" t="s">
        <v>40</v>
      </c>
      <c r="J3978" s="2"/>
      <c r="K3978" s="2" t="s">
        <v>10700</v>
      </c>
      <c r="L3978" s="12">
        <v>207.0</v>
      </c>
      <c r="M3978" s="2" t="s">
        <v>10701</v>
      </c>
      <c r="N3978" s="2" t="str">
        <f>IFERROR(__xludf.DUMMYFUNCTION("""COMPUTED_VALUE"""),"")</f>
        <v/>
      </c>
    </row>
    <row r="3979">
      <c r="A3979" s="2" t="s">
        <v>33</v>
      </c>
      <c r="B3979" s="12">
        <v>3839990.0</v>
      </c>
      <c r="C3979" s="12">
        <v>3840583.0</v>
      </c>
      <c r="D3979" s="2"/>
      <c r="E3979" s="2" t="s">
        <v>34</v>
      </c>
      <c r="F3979" s="2" t="s">
        <v>10695</v>
      </c>
      <c r="G3979" s="2"/>
      <c r="H3979" s="12">
        <v>0.0</v>
      </c>
      <c r="I3979" s="2" t="s">
        <v>40</v>
      </c>
      <c r="J3979" s="2"/>
      <c r="K3979" s="2" t="s">
        <v>10702</v>
      </c>
      <c r="L3979" s="12">
        <v>197.0</v>
      </c>
      <c r="M3979" s="2" t="s">
        <v>10703</v>
      </c>
      <c r="N3979" s="2" t="str">
        <f>IFERROR(__xludf.DUMMYFUNCTION("""COMPUTED_VALUE"""),"")</f>
        <v/>
      </c>
    </row>
    <row r="3980">
      <c r="A3980" s="2" t="s">
        <v>33</v>
      </c>
      <c r="B3980" s="12">
        <v>3840830.0</v>
      </c>
      <c r="C3980" s="12">
        <v>3841017.0</v>
      </c>
      <c r="D3980" s="2"/>
      <c r="E3980" s="2" t="s">
        <v>34</v>
      </c>
      <c r="F3980" s="2" t="s">
        <v>35</v>
      </c>
      <c r="G3980" s="2"/>
      <c r="H3980" s="12">
        <v>0.0</v>
      </c>
      <c r="I3980" s="2" t="s">
        <v>36</v>
      </c>
      <c r="J3980" s="2"/>
      <c r="K3980" s="2"/>
      <c r="L3980" s="2"/>
      <c r="M3980" s="2" t="s">
        <v>10704</v>
      </c>
      <c r="N3980" s="2" t="str">
        <f>IFERROR(__xludf.DUMMYFUNCTION("""COMPUTED_VALUE"""),"")</f>
        <v/>
      </c>
    </row>
    <row r="3981">
      <c r="A3981" s="2" t="s">
        <v>33</v>
      </c>
      <c r="B3981" s="12">
        <v>3841034.0</v>
      </c>
      <c r="C3981" s="12">
        <v>3841291.0</v>
      </c>
      <c r="D3981" s="2"/>
      <c r="E3981" s="2" t="s">
        <v>38</v>
      </c>
      <c r="F3981" s="2" t="s">
        <v>10705</v>
      </c>
      <c r="G3981" s="2"/>
      <c r="H3981" s="12">
        <v>0.0</v>
      </c>
      <c r="I3981" s="2" t="s">
        <v>40</v>
      </c>
      <c r="J3981" s="2"/>
      <c r="K3981" s="2" t="s">
        <v>10706</v>
      </c>
      <c r="L3981" s="12">
        <v>85.0</v>
      </c>
      <c r="M3981" s="2" t="s">
        <v>10707</v>
      </c>
      <c r="N3981" s="2" t="str">
        <f>IFERROR(__xludf.DUMMYFUNCTION("""COMPUTED_VALUE"""),"")</f>
        <v/>
      </c>
    </row>
    <row r="3982">
      <c r="A3982" s="2" t="s">
        <v>33</v>
      </c>
      <c r="B3982" s="12">
        <v>3841307.0</v>
      </c>
      <c r="C3982" s="12">
        <v>3841621.0</v>
      </c>
      <c r="D3982" s="2"/>
      <c r="E3982" s="2" t="s">
        <v>38</v>
      </c>
      <c r="F3982" s="2" t="s">
        <v>4911</v>
      </c>
      <c r="G3982" s="2"/>
      <c r="H3982" s="12">
        <v>0.0</v>
      </c>
      <c r="I3982" s="2" t="s">
        <v>40</v>
      </c>
      <c r="J3982" s="2"/>
      <c r="K3982" s="2" t="s">
        <v>10708</v>
      </c>
      <c r="L3982" s="12">
        <v>104.0</v>
      </c>
      <c r="M3982" s="2" t="s">
        <v>10709</v>
      </c>
      <c r="N3982" s="2" t="str">
        <f>IFERROR(__xludf.DUMMYFUNCTION("""COMPUTED_VALUE"""),"")</f>
        <v/>
      </c>
    </row>
    <row r="3983">
      <c r="A3983" s="2" t="s">
        <v>33</v>
      </c>
      <c r="B3983" s="12">
        <v>3841623.0</v>
      </c>
      <c r="C3983" s="12">
        <v>3841955.0</v>
      </c>
      <c r="D3983" s="2"/>
      <c r="E3983" s="2" t="s">
        <v>38</v>
      </c>
      <c r="F3983" s="2" t="s">
        <v>4911</v>
      </c>
      <c r="G3983" s="2"/>
      <c r="H3983" s="12">
        <v>0.0</v>
      </c>
      <c r="I3983" s="2" t="s">
        <v>40</v>
      </c>
      <c r="J3983" s="2"/>
      <c r="K3983" s="2" t="s">
        <v>10710</v>
      </c>
      <c r="L3983" s="12">
        <v>110.0</v>
      </c>
      <c r="M3983" s="2" t="s">
        <v>10711</v>
      </c>
      <c r="N3983" s="2" t="str">
        <f>IFERROR(__xludf.DUMMYFUNCTION("""COMPUTED_VALUE"""),"")</f>
        <v/>
      </c>
    </row>
    <row r="3984">
      <c r="A3984" s="2" t="s">
        <v>33</v>
      </c>
      <c r="B3984" s="12">
        <v>3842027.0</v>
      </c>
      <c r="C3984" s="12">
        <v>3842608.0</v>
      </c>
      <c r="D3984" s="2"/>
      <c r="E3984" s="2" t="s">
        <v>38</v>
      </c>
      <c r="F3984" s="2" t="s">
        <v>427</v>
      </c>
      <c r="G3984" s="2"/>
      <c r="H3984" s="12">
        <v>0.0</v>
      </c>
      <c r="I3984" s="2" t="s">
        <v>40</v>
      </c>
      <c r="J3984" s="2"/>
      <c r="K3984" s="2" t="s">
        <v>10712</v>
      </c>
      <c r="L3984" s="12">
        <v>193.0</v>
      </c>
      <c r="M3984" s="2" t="s">
        <v>10713</v>
      </c>
      <c r="N3984" s="2" t="str">
        <f>IFERROR(__xludf.DUMMYFUNCTION("""COMPUTED_VALUE"""),"")</f>
        <v/>
      </c>
    </row>
    <row r="3985">
      <c r="A3985" s="2" t="s">
        <v>33</v>
      </c>
      <c r="B3985" s="12">
        <v>3842705.0</v>
      </c>
      <c r="C3985" s="12">
        <v>3843682.0</v>
      </c>
      <c r="D3985" s="2"/>
      <c r="E3985" s="2" t="s">
        <v>38</v>
      </c>
      <c r="F3985" s="2" t="s">
        <v>4305</v>
      </c>
      <c r="G3985" s="2"/>
      <c r="H3985" s="12">
        <v>0.0</v>
      </c>
      <c r="I3985" s="2" t="s">
        <v>40</v>
      </c>
      <c r="J3985" s="2"/>
      <c r="K3985" s="2" t="s">
        <v>10714</v>
      </c>
      <c r="L3985" s="12">
        <v>325.0</v>
      </c>
      <c r="M3985" s="2" t="s">
        <v>10715</v>
      </c>
      <c r="N3985" s="2" t="str">
        <f>IFERROR(__xludf.DUMMYFUNCTION("""COMPUTED_VALUE"""),"")</f>
        <v/>
      </c>
    </row>
    <row r="3986">
      <c r="A3986" s="2" t="s">
        <v>33</v>
      </c>
      <c r="B3986" s="12">
        <v>3843997.0</v>
      </c>
      <c r="C3986" s="12">
        <v>3844533.0</v>
      </c>
      <c r="D3986" s="2"/>
      <c r="E3986" s="2" t="s">
        <v>34</v>
      </c>
      <c r="F3986" s="2" t="s">
        <v>39</v>
      </c>
      <c r="G3986" s="2"/>
      <c r="H3986" s="12">
        <v>0.0</v>
      </c>
      <c r="I3986" s="2" t="s">
        <v>40</v>
      </c>
      <c r="J3986" s="2"/>
      <c r="K3986" s="2" t="s">
        <v>10716</v>
      </c>
      <c r="L3986" s="12">
        <v>178.0</v>
      </c>
      <c r="M3986" s="2" t="s">
        <v>10717</v>
      </c>
      <c r="N3986" s="2" t="str">
        <f>IFERROR(__xludf.DUMMYFUNCTION("""COMPUTED_VALUE"""),"")</f>
        <v/>
      </c>
    </row>
    <row r="3987">
      <c r="A3987" s="2" t="s">
        <v>33</v>
      </c>
      <c r="B3987" s="12">
        <v>3844574.0</v>
      </c>
      <c r="C3987" s="12">
        <v>3844957.0</v>
      </c>
      <c r="D3987" s="2"/>
      <c r="E3987" s="2" t="s">
        <v>38</v>
      </c>
      <c r="F3987" s="2" t="s">
        <v>5045</v>
      </c>
      <c r="G3987" s="2"/>
      <c r="H3987" s="12">
        <v>0.0</v>
      </c>
      <c r="I3987" s="2" t="s">
        <v>40</v>
      </c>
      <c r="J3987" s="2"/>
      <c r="K3987" s="2" t="s">
        <v>10718</v>
      </c>
      <c r="L3987" s="12">
        <v>127.0</v>
      </c>
      <c r="M3987" s="2" t="s">
        <v>10719</v>
      </c>
      <c r="N3987" s="2" t="str">
        <f>IFERROR(__xludf.DUMMYFUNCTION("""COMPUTED_VALUE"""),"")</f>
        <v/>
      </c>
    </row>
    <row r="3988">
      <c r="A3988" s="2" t="s">
        <v>33</v>
      </c>
      <c r="B3988" s="12">
        <v>3845128.0</v>
      </c>
      <c r="C3988" s="12">
        <v>3845964.0</v>
      </c>
      <c r="D3988" s="2"/>
      <c r="E3988" s="2" t="s">
        <v>34</v>
      </c>
      <c r="F3988" s="2" t="s">
        <v>7507</v>
      </c>
      <c r="G3988" s="2"/>
      <c r="H3988" s="12">
        <v>0.0</v>
      </c>
      <c r="I3988" s="2" t="s">
        <v>40</v>
      </c>
      <c r="J3988" s="2"/>
      <c r="K3988" s="2" t="s">
        <v>10720</v>
      </c>
      <c r="L3988" s="12">
        <v>278.0</v>
      </c>
      <c r="M3988" s="2" t="s">
        <v>10721</v>
      </c>
      <c r="N3988" s="2" t="str">
        <f>IFERROR(__xludf.DUMMYFUNCTION("""COMPUTED_VALUE"""),"")</f>
        <v/>
      </c>
    </row>
    <row r="3989">
      <c r="A3989" s="2" t="s">
        <v>33</v>
      </c>
      <c r="B3989" s="12">
        <v>3845993.0</v>
      </c>
      <c r="C3989" s="12">
        <v>3846835.0</v>
      </c>
      <c r="D3989" s="2"/>
      <c r="E3989" s="2" t="s">
        <v>38</v>
      </c>
      <c r="F3989" s="2" t="s">
        <v>39</v>
      </c>
      <c r="G3989" s="2"/>
      <c r="H3989" s="12">
        <v>0.0</v>
      </c>
      <c r="I3989" s="2" t="s">
        <v>40</v>
      </c>
      <c r="J3989" s="2"/>
      <c r="K3989" s="2" t="s">
        <v>10722</v>
      </c>
      <c r="L3989" s="12">
        <v>280.0</v>
      </c>
      <c r="M3989" s="2" t="s">
        <v>10723</v>
      </c>
      <c r="N3989" s="2" t="str">
        <f>IFERROR(__xludf.DUMMYFUNCTION("""COMPUTED_VALUE"""),"")</f>
        <v/>
      </c>
    </row>
    <row r="3990">
      <c r="A3990" s="2" t="s">
        <v>33</v>
      </c>
      <c r="B3990" s="12">
        <v>3847037.0</v>
      </c>
      <c r="C3990" s="12">
        <v>3847708.0</v>
      </c>
      <c r="D3990" s="2"/>
      <c r="E3990" s="2" t="s">
        <v>38</v>
      </c>
      <c r="F3990" s="2" t="s">
        <v>10724</v>
      </c>
      <c r="G3990" s="2"/>
      <c r="H3990" s="12">
        <v>0.0</v>
      </c>
      <c r="I3990" s="2" t="s">
        <v>40</v>
      </c>
      <c r="J3990" s="2"/>
      <c r="K3990" s="2" t="s">
        <v>10725</v>
      </c>
      <c r="L3990" s="12">
        <v>223.0</v>
      </c>
      <c r="M3990" s="2" t="s">
        <v>10726</v>
      </c>
      <c r="N3990" s="2" t="str">
        <f>IFERROR(__xludf.DUMMYFUNCTION("""COMPUTED_VALUE"""),"")</f>
        <v/>
      </c>
    </row>
    <row r="3991">
      <c r="A3991" s="2" t="s">
        <v>33</v>
      </c>
      <c r="B3991" s="12">
        <v>3847714.0</v>
      </c>
      <c r="C3991" s="12">
        <v>3848031.0</v>
      </c>
      <c r="D3991" s="2"/>
      <c r="E3991" s="2" t="s">
        <v>38</v>
      </c>
      <c r="F3991" s="2" t="s">
        <v>2365</v>
      </c>
      <c r="G3991" s="2"/>
      <c r="H3991" s="12">
        <v>0.0</v>
      </c>
      <c r="I3991" s="2" t="s">
        <v>40</v>
      </c>
      <c r="J3991" s="2"/>
      <c r="K3991" s="2" t="s">
        <v>10727</v>
      </c>
      <c r="L3991" s="12">
        <v>105.0</v>
      </c>
      <c r="M3991" s="2" t="s">
        <v>10728</v>
      </c>
      <c r="N3991" s="2" t="str">
        <f>IFERROR(__xludf.DUMMYFUNCTION("""COMPUTED_VALUE"""),"")</f>
        <v/>
      </c>
    </row>
    <row r="3992">
      <c r="A3992" s="2" t="s">
        <v>33</v>
      </c>
      <c r="B3992" s="12">
        <v>3848189.0</v>
      </c>
      <c r="C3992" s="12">
        <v>3849214.0</v>
      </c>
      <c r="D3992" s="2"/>
      <c r="E3992" s="2" t="s">
        <v>34</v>
      </c>
      <c r="F3992" s="2" t="s">
        <v>10729</v>
      </c>
      <c r="G3992" s="2" t="s">
        <v>10730</v>
      </c>
      <c r="H3992" s="12">
        <v>0.0</v>
      </c>
      <c r="I3992" s="2" t="s">
        <v>40</v>
      </c>
      <c r="J3992" s="2"/>
      <c r="K3992" s="2" t="s">
        <v>10731</v>
      </c>
      <c r="L3992" s="12">
        <v>341.0</v>
      </c>
      <c r="M3992" s="2" t="s">
        <v>10732</v>
      </c>
      <c r="N3992" s="2" t="str">
        <f>IFERROR(__xludf.DUMMYFUNCTION("""COMPUTED_VALUE"""),"")</f>
        <v/>
      </c>
    </row>
    <row r="3993">
      <c r="A3993" s="2" t="s">
        <v>33</v>
      </c>
      <c r="B3993" s="12">
        <v>3849359.0</v>
      </c>
      <c r="C3993" s="12">
        <v>3849787.0</v>
      </c>
      <c r="D3993" s="2"/>
      <c r="E3993" s="2" t="s">
        <v>34</v>
      </c>
      <c r="F3993" s="2" t="s">
        <v>10733</v>
      </c>
      <c r="G3993" s="2" t="s">
        <v>10734</v>
      </c>
      <c r="H3993" s="12">
        <v>0.0</v>
      </c>
      <c r="I3993" s="2" t="s">
        <v>40</v>
      </c>
      <c r="J3993" s="2"/>
      <c r="K3993" s="2" t="s">
        <v>10735</v>
      </c>
      <c r="L3993" s="12">
        <v>142.0</v>
      </c>
      <c r="M3993" s="2" t="s">
        <v>10736</v>
      </c>
      <c r="N3993" s="2" t="str">
        <f>IFERROR(__xludf.DUMMYFUNCTION("""COMPUTED_VALUE"""),"")</f>
        <v/>
      </c>
    </row>
    <row r="3994">
      <c r="A3994" s="2" t="s">
        <v>33</v>
      </c>
      <c r="B3994" s="12">
        <v>3849842.0</v>
      </c>
      <c r="C3994" s="12">
        <v>3850504.0</v>
      </c>
      <c r="D3994" s="2"/>
      <c r="E3994" s="2" t="s">
        <v>34</v>
      </c>
      <c r="F3994" s="2" t="s">
        <v>1172</v>
      </c>
      <c r="G3994" s="2"/>
      <c r="H3994" s="12">
        <v>0.0</v>
      </c>
      <c r="I3994" s="2" t="s">
        <v>40</v>
      </c>
      <c r="J3994" s="2"/>
      <c r="K3994" s="2" t="s">
        <v>10737</v>
      </c>
      <c r="L3994" s="12">
        <v>220.0</v>
      </c>
      <c r="M3994" s="2" t="s">
        <v>10738</v>
      </c>
      <c r="N3994" s="2" t="str">
        <f>IFERROR(__xludf.DUMMYFUNCTION("""COMPUTED_VALUE"""),"")</f>
        <v/>
      </c>
    </row>
    <row r="3995">
      <c r="A3995" s="2" t="s">
        <v>33</v>
      </c>
      <c r="B3995" s="12">
        <v>3850501.0</v>
      </c>
      <c r="C3995" s="12">
        <v>3850902.0</v>
      </c>
      <c r="D3995" s="2"/>
      <c r="E3995" s="2" t="s">
        <v>38</v>
      </c>
      <c r="F3995" s="2" t="s">
        <v>10739</v>
      </c>
      <c r="G3995" s="2"/>
      <c r="H3995" s="12">
        <v>0.0</v>
      </c>
      <c r="I3995" s="2" t="s">
        <v>40</v>
      </c>
      <c r="J3995" s="2"/>
      <c r="K3995" s="2" t="s">
        <v>10740</v>
      </c>
      <c r="L3995" s="12">
        <v>133.0</v>
      </c>
      <c r="M3995" s="2" t="s">
        <v>10741</v>
      </c>
      <c r="N3995" s="2" t="str">
        <f>IFERROR(__xludf.DUMMYFUNCTION("""COMPUTED_VALUE"""),"")</f>
        <v/>
      </c>
    </row>
    <row r="3996">
      <c r="A3996" s="2" t="s">
        <v>33</v>
      </c>
      <c r="B3996" s="12">
        <v>3850982.0</v>
      </c>
      <c r="C3996" s="12">
        <v>3851902.0</v>
      </c>
      <c r="D3996" s="2"/>
      <c r="E3996" s="2" t="s">
        <v>38</v>
      </c>
      <c r="F3996" s="2" t="s">
        <v>10742</v>
      </c>
      <c r="G3996" s="2"/>
      <c r="H3996" s="12">
        <v>0.0</v>
      </c>
      <c r="I3996" s="2" t="s">
        <v>40</v>
      </c>
      <c r="J3996" s="2"/>
      <c r="K3996" s="2" t="s">
        <v>10743</v>
      </c>
      <c r="L3996" s="12">
        <v>306.0</v>
      </c>
      <c r="M3996" s="2" t="s">
        <v>10744</v>
      </c>
      <c r="N3996" s="2" t="str">
        <f>IFERROR(__xludf.DUMMYFUNCTION("""COMPUTED_VALUE"""),"")</f>
        <v/>
      </c>
    </row>
    <row r="3997">
      <c r="A3997" s="2" t="s">
        <v>33</v>
      </c>
      <c r="B3997" s="12">
        <v>3852147.0</v>
      </c>
      <c r="C3997" s="12">
        <v>3852635.0</v>
      </c>
      <c r="D3997" s="2"/>
      <c r="E3997" s="2" t="s">
        <v>34</v>
      </c>
      <c r="F3997" s="2" t="s">
        <v>10745</v>
      </c>
      <c r="G3997" s="2"/>
      <c r="H3997" s="12">
        <v>0.0</v>
      </c>
      <c r="I3997" s="2" t="s">
        <v>40</v>
      </c>
      <c r="J3997" s="2"/>
      <c r="K3997" s="2" t="s">
        <v>10746</v>
      </c>
      <c r="L3997" s="12">
        <v>162.0</v>
      </c>
      <c r="M3997" s="2" t="s">
        <v>10747</v>
      </c>
      <c r="N3997" s="2" t="str">
        <f>IFERROR(__xludf.DUMMYFUNCTION("""COMPUTED_VALUE"""),"")</f>
        <v/>
      </c>
    </row>
    <row r="3998">
      <c r="A3998" s="2" t="s">
        <v>33</v>
      </c>
      <c r="B3998" s="12">
        <v>3852688.0</v>
      </c>
      <c r="C3998" s="12">
        <v>3853128.0</v>
      </c>
      <c r="D3998" s="2"/>
      <c r="E3998" s="2" t="s">
        <v>34</v>
      </c>
      <c r="F3998" s="2" t="s">
        <v>10748</v>
      </c>
      <c r="G3998" s="2" t="s">
        <v>10749</v>
      </c>
      <c r="H3998" s="12">
        <v>0.0</v>
      </c>
      <c r="I3998" s="2" t="s">
        <v>40</v>
      </c>
      <c r="J3998" s="2"/>
      <c r="K3998" s="2" t="s">
        <v>10750</v>
      </c>
      <c r="L3998" s="12">
        <v>146.0</v>
      </c>
      <c r="M3998" s="2" t="s">
        <v>10751</v>
      </c>
      <c r="N3998" s="2" t="str">
        <f>IFERROR(__xludf.DUMMYFUNCTION("""COMPUTED_VALUE"""),"")</f>
        <v/>
      </c>
    </row>
    <row r="3999">
      <c r="A3999" s="2" t="s">
        <v>33</v>
      </c>
      <c r="B3999" s="12">
        <v>3853133.0</v>
      </c>
      <c r="C3999" s="12">
        <v>3854194.0</v>
      </c>
      <c r="D3999" s="2"/>
      <c r="E3999" s="2" t="s">
        <v>34</v>
      </c>
      <c r="F3999" s="2" t="s">
        <v>9516</v>
      </c>
      <c r="G3999" s="2" t="s">
        <v>9517</v>
      </c>
      <c r="H3999" s="12">
        <v>0.0</v>
      </c>
      <c r="I3999" s="2" t="s">
        <v>40</v>
      </c>
      <c r="J3999" s="2"/>
      <c r="K3999" s="2" t="s">
        <v>10752</v>
      </c>
      <c r="L3999" s="12">
        <v>353.0</v>
      </c>
      <c r="M3999" s="2" t="s">
        <v>10753</v>
      </c>
      <c r="N3999" s="2" t="str">
        <f>IFERROR(__xludf.DUMMYFUNCTION("""COMPUTED_VALUE"""),"")</f>
        <v/>
      </c>
    </row>
    <row r="4000">
      <c r="A4000" s="2" t="s">
        <v>33</v>
      </c>
      <c r="B4000" s="12">
        <v>3854216.0</v>
      </c>
      <c r="C4000" s="12">
        <v>3854773.0</v>
      </c>
      <c r="D4000" s="2"/>
      <c r="E4000" s="2" t="s">
        <v>34</v>
      </c>
      <c r="F4000" s="2" t="s">
        <v>10754</v>
      </c>
      <c r="G4000" s="2" t="s">
        <v>10755</v>
      </c>
      <c r="H4000" s="12">
        <v>0.0</v>
      </c>
      <c r="I4000" s="2" t="s">
        <v>40</v>
      </c>
      <c r="J4000" s="2"/>
      <c r="K4000" s="2" t="s">
        <v>10756</v>
      </c>
      <c r="L4000" s="12">
        <v>185.0</v>
      </c>
      <c r="M4000" s="2" t="s">
        <v>10757</v>
      </c>
      <c r="N4000" s="2" t="str">
        <f>IFERROR(__xludf.DUMMYFUNCTION("""COMPUTED_VALUE"""),"")</f>
        <v/>
      </c>
    </row>
    <row r="4001">
      <c r="A4001" s="2" t="s">
        <v>33</v>
      </c>
      <c r="B4001" s="12">
        <v>3854810.0</v>
      </c>
      <c r="C4001" s="12">
        <v>3855130.0</v>
      </c>
      <c r="D4001" s="2"/>
      <c r="E4001" s="2" t="s">
        <v>38</v>
      </c>
      <c r="F4001" s="2" t="s">
        <v>39</v>
      </c>
      <c r="G4001" s="2"/>
      <c r="H4001" s="12">
        <v>0.0</v>
      </c>
      <c r="I4001" s="2" t="s">
        <v>40</v>
      </c>
      <c r="J4001" s="2"/>
      <c r="K4001" s="2" t="s">
        <v>10758</v>
      </c>
      <c r="L4001" s="12">
        <v>106.0</v>
      </c>
      <c r="M4001" s="2" t="s">
        <v>10759</v>
      </c>
      <c r="N4001" s="2" t="str">
        <f>IFERROR(__xludf.DUMMYFUNCTION("""COMPUTED_VALUE"""),"")</f>
        <v/>
      </c>
    </row>
    <row r="4002">
      <c r="A4002" s="2" t="s">
        <v>33</v>
      </c>
      <c r="B4002" s="12">
        <v>3855111.0</v>
      </c>
      <c r="C4002" s="12">
        <v>3855689.0</v>
      </c>
      <c r="D4002" s="2"/>
      <c r="E4002" s="2" t="s">
        <v>38</v>
      </c>
      <c r="F4002" s="2" t="s">
        <v>367</v>
      </c>
      <c r="G4002" s="2"/>
      <c r="H4002" s="12">
        <v>0.0</v>
      </c>
      <c r="I4002" s="2" t="s">
        <v>40</v>
      </c>
      <c r="J4002" s="2"/>
      <c r="K4002" s="2" t="s">
        <v>10760</v>
      </c>
      <c r="L4002" s="12">
        <v>192.0</v>
      </c>
      <c r="M4002" s="2" t="s">
        <v>10761</v>
      </c>
      <c r="N4002" s="2" t="str">
        <f>IFERROR(__xludf.DUMMYFUNCTION("""COMPUTED_VALUE"""),"")</f>
        <v/>
      </c>
    </row>
    <row r="4003">
      <c r="A4003" s="2" t="s">
        <v>33</v>
      </c>
      <c r="B4003" s="12">
        <v>3855881.0</v>
      </c>
      <c r="C4003" s="12">
        <v>3856162.0</v>
      </c>
      <c r="D4003" s="2"/>
      <c r="E4003" s="2" t="s">
        <v>34</v>
      </c>
      <c r="F4003" s="2" t="s">
        <v>10762</v>
      </c>
      <c r="G4003" s="2"/>
      <c r="H4003" s="12">
        <v>0.0</v>
      </c>
      <c r="I4003" s="2" t="s">
        <v>40</v>
      </c>
      <c r="J4003" s="2"/>
      <c r="K4003" s="2" t="s">
        <v>10763</v>
      </c>
      <c r="L4003" s="12">
        <v>93.0</v>
      </c>
      <c r="M4003" s="2" t="s">
        <v>10764</v>
      </c>
      <c r="N4003" s="2" t="str">
        <f>IFERROR(__xludf.DUMMYFUNCTION("""COMPUTED_VALUE"""),"")</f>
        <v/>
      </c>
    </row>
    <row r="4004">
      <c r="A4004" s="2" t="s">
        <v>33</v>
      </c>
      <c r="B4004" s="12">
        <v>3856190.0</v>
      </c>
      <c r="C4004" s="12">
        <v>3857116.0</v>
      </c>
      <c r="D4004" s="2"/>
      <c r="E4004" s="2" t="s">
        <v>34</v>
      </c>
      <c r="F4004" s="2" t="s">
        <v>10765</v>
      </c>
      <c r="G4004" s="2" t="s">
        <v>10766</v>
      </c>
      <c r="H4004" s="12">
        <v>0.0</v>
      </c>
      <c r="I4004" s="2" t="s">
        <v>40</v>
      </c>
      <c r="J4004" s="2"/>
      <c r="K4004" s="2" t="s">
        <v>10767</v>
      </c>
      <c r="L4004" s="12">
        <v>308.0</v>
      </c>
      <c r="M4004" s="2" t="s">
        <v>10768</v>
      </c>
      <c r="N4004" s="2" t="str">
        <f>IFERROR(__xludf.DUMMYFUNCTION("""COMPUTED_VALUE"""),"")</f>
        <v/>
      </c>
    </row>
    <row r="4005">
      <c r="A4005" s="2" t="s">
        <v>33</v>
      </c>
      <c r="B4005" s="12">
        <v>3857110.0</v>
      </c>
      <c r="C4005" s="12">
        <v>3857625.0</v>
      </c>
      <c r="D4005" s="2"/>
      <c r="E4005" s="2" t="s">
        <v>34</v>
      </c>
      <c r="F4005" s="2" t="s">
        <v>10769</v>
      </c>
      <c r="G4005" s="2" t="s">
        <v>10770</v>
      </c>
      <c r="H4005" s="12">
        <v>0.0</v>
      </c>
      <c r="I4005" s="2" t="s">
        <v>40</v>
      </c>
      <c r="J4005" s="2"/>
      <c r="K4005" s="2" t="s">
        <v>10771</v>
      </c>
      <c r="L4005" s="12">
        <v>171.0</v>
      </c>
      <c r="M4005" s="2" t="s">
        <v>10772</v>
      </c>
      <c r="N4005" s="2" t="str">
        <f>IFERROR(__xludf.DUMMYFUNCTION("""COMPUTED_VALUE"""),"")</f>
        <v/>
      </c>
    </row>
    <row r="4006">
      <c r="A4006" s="2" t="s">
        <v>33</v>
      </c>
      <c r="B4006" s="12">
        <v>3857640.0</v>
      </c>
      <c r="C4006" s="12">
        <v>3857843.0</v>
      </c>
      <c r="D4006" s="2"/>
      <c r="E4006" s="2" t="s">
        <v>34</v>
      </c>
      <c r="F4006" s="2" t="s">
        <v>10773</v>
      </c>
      <c r="G4006" s="2" t="s">
        <v>10774</v>
      </c>
      <c r="H4006" s="12">
        <v>0.0</v>
      </c>
      <c r="I4006" s="2" t="s">
        <v>40</v>
      </c>
      <c r="J4006" s="2"/>
      <c r="K4006" s="2" t="s">
        <v>10775</v>
      </c>
      <c r="L4006" s="12">
        <v>67.0</v>
      </c>
      <c r="M4006" s="2" t="s">
        <v>10776</v>
      </c>
      <c r="N4006" s="2" t="str">
        <f>IFERROR(__xludf.DUMMYFUNCTION("""COMPUTED_VALUE"""),"")</f>
        <v/>
      </c>
    </row>
    <row r="4007">
      <c r="A4007" s="2" t="s">
        <v>33</v>
      </c>
      <c r="B4007" s="12">
        <v>3857867.0</v>
      </c>
      <c r="C4007" s="12">
        <v>3858250.0</v>
      </c>
      <c r="D4007" s="2"/>
      <c r="E4007" s="2" t="s">
        <v>34</v>
      </c>
      <c r="F4007" s="2" t="s">
        <v>10777</v>
      </c>
      <c r="G4007" s="2" t="s">
        <v>10778</v>
      </c>
      <c r="H4007" s="12">
        <v>0.0</v>
      </c>
      <c r="I4007" s="2" t="s">
        <v>40</v>
      </c>
      <c r="J4007" s="2"/>
      <c r="K4007" s="2" t="s">
        <v>10779</v>
      </c>
      <c r="L4007" s="12">
        <v>127.0</v>
      </c>
      <c r="M4007" s="2" t="s">
        <v>10780</v>
      </c>
      <c r="N4007" s="2" t="str">
        <f>IFERROR(__xludf.DUMMYFUNCTION("""COMPUTED_VALUE"""),"")</f>
        <v/>
      </c>
    </row>
    <row r="4008">
      <c r="A4008" s="2" t="s">
        <v>33</v>
      </c>
      <c r="B4008" s="12">
        <v>3858261.0</v>
      </c>
      <c r="C4008" s="12">
        <v>3859433.0</v>
      </c>
      <c r="D4008" s="2"/>
      <c r="E4008" s="2" t="s">
        <v>34</v>
      </c>
      <c r="F4008" s="2" t="s">
        <v>10781</v>
      </c>
      <c r="G4008" s="2" t="s">
        <v>10782</v>
      </c>
      <c r="H4008" s="12">
        <v>0.0</v>
      </c>
      <c r="I4008" s="2" t="s">
        <v>40</v>
      </c>
      <c r="J4008" s="2"/>
      <c r="K4008" s="2" t="s">
        <v>10783</v>
      </c>
      <c r="L4008" s="12">
        <v>390.0</v>
      </c>
      <c r="M4008" s="2" t="s">
        <v>10784</v>
      </c>
      <c r="N4008" s="2" t="str">
        <f>IFERROR(__xludf.DUMMYFUNCTION("""COMPUTED_VALUE"""),"")</f>
        <v/>
      </c>
    </row>
    <row r="4009">
      <c r="A4009" s="2" t="s">
        <v>33</v>
      </c>
      <c r="B4009" s="12">
        <v>3859446.0</v>
      </c>
      <c r="C4009" s="12">
        <v>3860078.0</v>
      </c>
      <c r="D4009" s="2"/>
      <c r="E4009" s="2" t="s">
        <v>34</v>
      </c>
      <c r="F4009" s="2" t="s">
        <v>10785</v>
      </c>
      <c r="G4009" s="2" t="s">
        <v>10786</v>
      </c>
      <c r="H4009" s="12">
        <v>0.0</v>
      </c>
      <c r="I4009" s="2" t="s">
        <v>40</v>
      </c>
      <c r="J4009" s="2"/>
      <c r="K4009" s="2" t="s">
        <v>10787</v>
      </c>
      <c r="L4009" s="12">
        <v>210.0</v>
      </c>
      <c r="M4009" s="2" t="s">
        <v>10788</v>
      </c>
      <c r="N4009" s="2" t="str">
        <f>IFERROR(__xludf.DUMMYFUNCTION("""COMPUTED_VALUE"""),"")</f>
        <v/>
      </c>
    </row>
    <row r="4010">
      <c r="A4010" s="2" t="s">
        <v>33</v>
      </c>
      <c r="B4010" s="12">
        <v>3860068.0</v>
      </c>
      <c r="C4010" s="12">
        <v>3860730.0</v>
      </c>
      <c r="D4010" s="2"/>
      <c r="E4010" s="2" t="s">
        <v>34</v>
      </c>
      <c r="F4010" s="2" t="s">
        <v>10789</v>
      </c>
      <c r="G4010" s="2" t="s">
        <v>10790</v>
      </c>
      <c r="H4010" s="12">
        <v>0.0</v>
      </c>
      <c r="I4010" s="2" t="s">
        <v>40</v>
      </c>
      <c r="J4010" s="2"/>
      <c r="K4010" s="2" t="s">
        <v>10791</v>
      </c>
      <c r="L4010" s="12">
        <v>220.0</v>
      </c>
      <c r="M4010" s="2" t="s">
        <v>10792</v>
      </c>
      <c r="N4010" s="2" t="str">
        <f>IFERROR(__xludf.DUMMYFUNCTION("""COMPUTED_VALUE"""),"")</f>
        <v/>
      </c>
    </row>
    <row r="4011">
      <c r="A4011" s="2" t="s">
        <v>33</v>
      </c>
      <c r="B4011" s="12">
        <v>3860746.0</v>
      </c>
      <c r="C4011" s="12">
        <v>3861390.0</v>
      </c>
      <c r="D4011" s="2"/>
      <c r="E4011" s="2" t="s">
        <v>34</v>
      </c>
      <c r="F4011" s="2" t="s">
        <v>10793</v>
      </c>
      <c r="G4011" s="2"/>
      <c r="H4011" s="12">
        <v>0.0</v>
      </c>
      <c r="I4011" s="2" t="s">
        <v>40</v>
      </c>
      <c r="J4011" s="2"/>
      <c r="K4011" s="2" t="s">
        <v>10794</v>
      </c>
      <c r="L4011" s="12">
        <v>214.0</v>
      </c>
      <c r="M4011" s="2" t="s">
        <v>10795</v>
      </c>
      <c r="N4011" s="2" t="str">
        <f>IFERROR(__xludf.DUMMYFUNCTION("""COMPUTED_VALUE"""),"")</f>
        <v/>
      </c>
    </row>
    <row r="4012">
      <c r="A4012" s="2" t="s">
        <v>33</v>
      </c>
      <c r="B4012" s="12">
        <v>3861501.0</v>
      </c>
      <c r="C4012" s="12">
        <v>3861695.0</v>
      </c>
      <c r="D4012" s="2"/>
      <c r="E4012" s="2" t="s">
        <v>38</v>
      </c>
      <c r="F4012" s="2" t="s">
        <v>39</v>
      </c>
      <c r="G4012" s="2"/>
      <c r="H4012" s="12">
        <v>0.0</v>
      </c>
      <c r="I4012" s="2" t="s">
        <v>40</v>
      </c>
      <c r="J4012" s="2"/>
      <c r="K4012" s="2" t="s">
        <v>10796</v>
      </c>
      <c r="L4012" s="12">
        <v>64.0</v>
      </c>
      <c r="M4012" s="2" t="s">
        <v>10797</v>
      </c>
      <c r="N4012" s="2" t="str">
        <f>IFERROR(__xludf.DUMMYFUNCTION("""COMPUTED_VALUE"""),"")</f>
        <v/>
      </c>
    </row>
    <row r="4013">
      <c r="A4013" s="2" t="s">
        <v>33</v>
      </c>
      <c r="B4013" s="12">
        <v>3862166.0</v>
      </c>
      <c r="C4013" s="12">
        <v>3862654.0</v>
      </c>
      <c r="D4013" s="2"/>
      <c r="E4013" s="2" t="s">
        <v>34</v>
      </c>
      <c r="F4013" s="2" t="s">
        <v>10798</v>
      </c>
      <c r="G4013" s="2" t="s">
        <v>10799</v>
      </c>
      <c r="H4013" s="12">
        <v>0.0</v>
      </c>
      <c r="I4013" s="2" t="s">
        <v>40</v>
      </c>
      <c r="J4013" s="2"/>
      <c r="K4013" s="2" t="s">
        <v>10800</v>
      </c>
      <c r="L4013" s="12">
        <v>162.0</v>
      </c>
      <c r="M4013" s="2" t="s">
        <v>10801</v>
      </c>
      <c r="N4013" s="2" t="str">
        <f>IFERROR(__xludf.DUMMYFUNCTION("""COMPUTED_VALUE"""),"")</f>
        <v/>
      </c>
    </row>
    <row r="4014">
      <c r="A4014" s="2" t="s">
        <v>33</v>
      </c>
      <c r="B4014" s="12">
        <v>3862671.0</v>
      </c>
      <c r="C4014" s="12">
        <v>3864023.0</v>
      </c>
      <c r="D4014" s="2"/>
      <c r="E4014" s="2" t="s">
        <v>34</v>
      </c>
      <c r="F4014" s="2" t="s">
        <v>415</v>
      </c>
      <c r="G4014" s="2" t="s">
        <v>10802</v>
      </c>
      <c r="H4014" s="12">
        <v>0.0</v>
      </c>
      <c r="I4014" s="2" t="s">
        <v>40</v>
      </c>
      <c r="J4014" s="2"/>
      <c r="K4014" s="2" t="s">
        <v>10803</v>
      </c>
      <c r="L4014" s="12">
        <v>450.0</v>
      </c>
      <c r="M4014" s="2" t="s">
        <v>10804</v>
      </c>
      <c r="N4014" s="2" t="str">
        <f>IFERROR(__xludf.DUMMYFUNCTION("""COMPUTED_VALUE"""),"")</f>
        <v/>
      </c>
    </row>
    <row r="4015">
      <c r="A4015" s="2" t="s">
        <v>33</v>
      </c>
      <c r="B4015" s="12">
        <v>3864046.0</v>
      </c>
      <c r="C4015" s="12">
        <v>3864438.0</v>
      </c>
      <c r="D4015" s="2"/>
      <c r="E4015" s="2" t="s">
        <v>34</v>
      </c>
      <c r="F4015" s="2" t="s">
        <v>10805</v>
      </c>
      <c r="G4015" s="2"/>
      <c r="H4015" s="12">
        <v>0.0</v>
      </c>
      <c r="I4015" s="2" t="s">
        <v>40</v>
      </c>
      <c r="J4015" s="2"/>
      <c r="K4015" s="2" t="s">
        <v>10806</v>
      </c>
      <c r="L4015" s="12">
        <v>130.0</v>
      </c>
      <c r="M4015" s="2" t="s">
        <v>10807</v>
      </c>
      <c r="N4015" s="2" t="str">
        <f>IFERROR(__xludf.DUMMYFUNCTION("""COMPUTED_VALUE"""),"")</f>
        <v/>
      </c>
    </row>
    <row r="4016">
      <c r="A4016" s="2" t="s">
        <v>33</v>
      </c>
      <c r="B4016" s="12">
        <v>3864785.0</v>
      </c>
      <c r="C4016" s="12">
        <v>3865177.0</v>
      </c>
      <c r="D4016" s="2"/>
      <c r="E4016" s="2" t="s">
        <v>34</v>
      </c>
      <c r="F4016" s="2" t="s">
        <v>10808</v>
      </c>
      <c r="G4016" s="2" t="s">
        <v>10809</v>
      </c>
      <c r="H4016" s="12">
        <v>0.0</v>
      </c>
      <c r="I4016" s="2" t="s">
        <v>40</v>
      </c>
      <c r="J4016" s="2"/>
      <c r="K4016" s="2" t="s">
        <v>10810</v>
      </c>
      <c r="L4016" s="12">
        <v>130.0</v>
      </c>
      <c r="M4016" s="2" t="s">
        <v>10811</v>
      </c>
      <c r="N4016" s="2" t="str">
        <f>IFERROR(__xludf.DUMMYFUNCTION("""COMPUTED_VALUE"""),"")</f>
        <v/>
      </c>
    </row>
    <row r="4017">
      <c r="A4017" s="2" t="s">
        <v>33</v>
      </c>
      <c r="B4017" s="12">
        <v>3865201.0</v>
      </c>
      <c r="C4017" s="12">
        <v>3866061.0</v>
      </c>
      <c r="D4017" s="2"/>
      <c r="E4017" s="2" t="s">
        <v>34</v>
      </c>
      <c r="F4017" s="2" t="s">
        <v>10812</v>
      </c>
      <c r="G4017" s="2" t="s">
        <v>10813</v>
      </c>
      <c r="H4017" s="12">
        <v>0.0</v>
      </c>
      <c r="I4017" s="2" t="s">
        <v>40</v>
      </c>
      <c r="J4017" s="2"/>
      <c r="K4017" s="2" t="s">
        <v>10814</v>
      </c>
      <c r="L4017" s="12">
        <v>286.0</v>
      </c>
      <c r="M4017" s="2" t="s">
        <v>10815</v>
      </c>
      <c r="N4017" s="2" t="str">
        <f>IFERROR(__xludf.DUMMYFUNCTION("""COMPUTED_VALUE"""),"")</f>
        <v/>
      </c>
    </row>
    <row r="4018">
      <c r="A4018" s="2" t="s">
        <v>33</v>
      </c>
      <c r="B4018" s="12">
        <v>3866088.0</v>
      </c>
      <c r="C4018" s="12">
        <v>3867446.0</v>
      </c>
      <c r="D4018" s="2"/>
      <c r="E4018" s="2" t="s">
        <v>34</v>
      </c>
      <c r="F4018" s="2" t="s">
        <v>10816</v>
      </c>
      <c r="G4018" s="2" t="s">
        <v>10817</v>
      </c>
      <c r="H4018" s="12">
        <v>0.0</v>
      </c>
      <c r="I4018" s="2" t="s">
        <v>40</v>
      </c>
      <c r="J4018" s="2"/>
      <c r="K4018" s="2" t="s">
        <v>10818</v>
      </c>
      <c r="L4018" s="12">
        <v>452.0</v>
      </c>
      <c r="M4018" s="2" t="s">
        <v>10819</v>
      </c>
      <c r="N4018" s="2" t="str">
        <f>IFERROR(__xludf.DUMMYFUNCTION("""COMPUTED_VALUE"""),"")</f>
        <v/>
      </c>
    </row>
    <row r="4019">
      <c r="A4019" s="2" t="s">
        <v>33</v>
      </c>
      <c r="B4019" s="12">
        <v>3867436.0</v>
      </c>
      <c r="C4019" s="12">
        <v>3867666.0</v>
      </c>
      <c r="D4019" s="2"/>
      <c r="E4019" s="2" t="s">
        <v>34</v>
      </c>
      <c r="F4019" s="2" t="s">
        <v>10820</v>
      </c>
      <c r="G4019" s="2" t="s">
        <v>10821</v>
      </c>
      <c r="H4019" s="12">
        <v>0.0</v>
      </c>
      <c r="I4019" s="2" t="s">
        <v>40</v>
      </c>
      <c r="J4019" s="2"/>
      <c r="K4019" s="2" t="s">
        <v>10822</v>
      </c>
      <c r="L4019" s="12">
        <v>76.0</v>
      </c>
      <c r="M4019" s="2" t="s">
        <v>10823</v>
      </c>
      <c r="N4019" s="2" t="str">
        <f>IFERROR(__xludf.DUMMYFUNCTION("""COMPUTED_VALUE"""),"")</f>
        <v/>
      </c>
    </row>
    <row r="4020">
      <c r="A4020" s="2" t="s">
        <v>33</v>
      </c>
      <c r="B4020" s="12">
        <v>3867666.0</v>
      </c>
      <c r="C4020" s="12">
        <v>3868556.0</v>
      </c>
      <c r="D4020" s="2"/>
      <c r="E4020" s="2" t="s">
        <v>34</v>
      </c>
      <c r="F4020" s="2" t="s">
        <v>10824</v>
      </c>
      <c r="G4020" s="2" t="s">
        <v>10825</v>
      </c>
      <c r="H4020" s="12">
        <v>0.0</v>
      </c>
      <c r="I4020" s="2" t="s">
        <v>40</v>
      </c>
      <c r="J4020" s="2"/>
      <c r="K4020" s="2" t="s">
        <v>10826</v>
      </c>
      <c r="L4020" s="12">
        <v>296.0</v>
      </c>
      <c r="M4020" s="2" t="s">
        <v>10827</v>
      </c>
      <c r="N4020" s="2" t="str">
        <f>IFERROR(__xludf.DUMMYFUNCTION("""COMPUTED_VALUE"""),"")</f>
        <v/>
      </c>
    </row>
    <row r="4021">
      <c r="A4021" s="2" t="s">
        <v>33</v>
      </c>
      <c r="B4021" s="12">
        <v>3868858.0</v>
      </c>
      <c r="C4021" s="12">
        <v>3870750.0</v>
      </c>
      <c r="D4021" s="2"/>
      <c r="E4021" s="2" t="s">
        <v>34</v>
      </c>
      <c r="F4021" s="2" t="s">
        <v>10828</v>
      </c>
      <c r="G4021" s="2" t="s">
        <v>10829</v>
      </c>
      <c r="H4021" s="12">
        <v>0.0</v>
      </c>
      <c r="I4021" s="2" t="s">
        <v>40</v>
      </c>
      <c r="J4021" s="2"/>
      <c r="K4021" s="2" t="s">
        <v>10830</v>
      </c>
      <c r="L4021" s="12">
        <v>630.0</v>
      </c>
      <c r="M4021" s="2" t="s">
        <v>10831</v>
      </c>
      <c r="N4021" s="2" t="str">
        <f>IFERROR(__xludf.DUMMYFUNCTION("""COMPUTED_VALUE"""),"")</f>
        <v/>
      </c>
    </row>
    <row r="4022">
      <c r="A4022" s="2" t="s">
        <v>33</v>
      </c>
      <c r="B4022" s="12">
        <v>3870754.0</v>
      </c>
      <c r="C4022" s="12">
        <v>3871593.0</v>
      </c>
      <c r="D4022" s="2"/>
      <c r="E4022" s="2" t="s">
        <v>34</v>
      </c>
      <c r="F4022" s="2" t="s">
        <v>10832</v>
      </c>
      <c r="G4022" s="2"/>
      <c r="H4022" s="12">
        <v>0.0</v>
      </c>
      <c r="I4022" s="2" t="s">
        <v>40</v>
      </c>
      <c r="J4022" s="2"/>
      <c r="K4022" s="2" t="s">
        <v>10833</v>
      </c>
      <c r="L4022" s="12">
        <v>279.0</v>
      </c>
      <c r="M4022" s="2" t="s">
        <v>10834</v>
      </c>
      <c r="N4022" s="2" t="str">
        <f>IFERROR(__xludf.DUMMYFUNCTION("""COMPUTED_VALUE"""),"")</f>
        <v/>
      </c>
    </row>
    <row r="4023">
      <c r="A4023" s="2" t="s">
        <v>33</v>
      </c>
      <c r="B4023" s="12">
        <v>3871736.0</v>
      </c>
      <c r="C4023" s="12">
        <v>3872185.0</v>
      </c>
      <c r="D4023" s="2"/>
      <c r="E4023" s="2" t="s">
        <v>34</v>
      </c>
      <c r="F4023" s="2" t="s">
        <v>10835</v>
      </c>
      <c r="G4023" s="2" t="s">
        <v>6079</v>
      </c>
      <c r="H4023" s="12">
        <v>0.0</v>
      </c>
      <c r="I4023" s="2" t="s">
        <v>40</v>
      </c>
      <c r="J4023" s="2"/>
      <c r="K4023" s="2" t="s">
        <v>10836</v>
      </c>
      <c r="L4023" s="12">
        <v>149.0</v>
      </c>
      <c r="M4023" s="2" t="s">
        <v>10837</v>
      </c>
      <c r="N4023" s="2" t="str">
        <f>IFERROR(__xludf.DUMMYFUNCTION("""COMPUTED_VALUE"""),"")</f>
        <v/>
      </c>
    </row>
    <row r="4024">
      <c r="A4024" s="2" t="s">
        <v>33</v>
      </c>
      <c r="B4024" s="12">
        <v>3872450.0</v>
      </c>
      <c r="C4024" s="12">
        <v>3874189.0</v>
      </c>
      <c r="D4024" s="2"/>
      <c r="E4024" s="2" t="s">
        <v>34</v>
      </c>
      <c r="F4024" s="2" t="s">
        <v>10838</v>
      </c>
      <c r="G4024" s="2" t="s">
        <v>10839</v>
      </c>
      <c r="H4024" s="12">
        <v>0.0</v>
      </c>
      <c r="I4024" s="2" t="s">
        <v>40</v>
      </c>
      <c r="J4024" s="2"/>
      <c r="K4024" s="2" t="s">
        <v>10840</v>
      </c>
      <c r="L4024" s="12">
        <v>579.0</v>
      </c>
      <c r="M4024" s="2" t="s">
        <v>10841</v>
      </c>
      <c r="N4024" s="2" t="str">
        <f>IFERROR(__xludf.DUMMYFUNCTION("""COMPUTED_VALUE"""),"")</f>
        <v/>
      </c>
    </row>
    <row r="4025">
      <c r="A4025" s="2" t="s">
        <v>33</v>
      </c>
      <c r="B4025" s="12">
        <v>3874308.0</v>
      </c>
      <c r="C4025" s="12">
        <v>3875606.0</v>
      </c>
      <c r="D4025" s="2"/>
      <c r="E4025" s="2" t="s">
        <v>34</v>
      </c>
      <c r="F4025" s="2" t="s">
        <v>10842</v>
      </c>
      <c r="G4025" s="2" t="s">
        <v>10843</v>
      </c>
      <c r="H4025" s="12">
        <v>0.0</v>
      </c>
      <c r="I4025" s="2" t="s">
        <v>40</v>
      </c>
      <c r="J4025" s="2"/>
      <c r="K4025" s="2" t="s">
        <v>10844</v>
      </c>
      <c r="L4025" s="12">
        <v>432.0</v>
      </c>
      <c r="M4025" s="2" t="s">
        <v>10845</v>
      </c>
      <c r="N4025" s="2" t="str">
        <f>IFERROR(__xludf.DUMMYFUNCTION("""COMPUTED_VALUE"""),"")</f>
        <v/>
      </c>
    </row>
    <row r="4026">
      <c r="A4026" s="2" t="s">
        <v>33</v>
      </c>
      <c r="B4026" s="12">
        <v>3875897.0</v>
      </c>
      <c r="C4026" s="12">
        <v>3876691.0</v>
      </c>
      <c r="D4026" s="2"/>
      <c r="E4026" s="2" t="s">
        <v>34</v>
      </c>
      <c r="F4026" s="2" t="s">
        <v>10846</v>
      </c>
      <c r="G4026" s="2" t="s">
        <v>10847</v>
      </c>
      <c r="H4026" s="12">
        <v>0.0</v>
      </c>
      <c r="I4026" s="2" t="s">
        <v>40</v>
      </c>
      <c r="J4026" s="2"/>
      <c r="K4026" s="2" t="s">
        <v>10848</v>
      </c>
      <c r="L4026" s="12">
        <v>264.0</v>
      </c>
      <c r="M4026" s="2" t="s">
        <v>10849</v>
      </c>
      <c r="N4026" s="2" t="str">
        <f>IFERROR(__xludf.DUMMYFUNCTION("""COMPUTED_VALUE"""),"")</f>
        <v/>
      </c>
    </row>
    <row r="4027">
      <c r="A4027" s="2" t="s">
        <v>33</v>
      </c>
      <c r="B4027" s="12">
        <v>3876944.0</v>
      </c>
      <c r="C4027" s="12">
        <v>3877507.0</v>
      </c>
      <c r="D4027" s="2"/>
      <c r="E4027" s="2" t="s">
        <v>34</v>
      </c>
      <c r="F4027" s="2" t="s">
        <v>709</v>
      </c>
      <c r="G4027" s="2"/>
      <c r="H4027" s="12">
        <v>0.0</v>
      </c>
      <c r="I4027" s="2" t="s">
        <v>40</v>
      </c>
      <c r="J4027" s="2"/>
      <c r="K4027" s="2" t="s">
        <v>10850</v>
      </c>
      <c r="L4027" s="12">
        <v>187.0</v>
      </c>
      <c r="M4027" s="2" t="s">
        <v>10851</v>
      </c>
      <c r="N4027" s="2" t="str">
        <f>IFERROR(__xludf.DUMMYFUNCTION("""COMPUTED_VALUE"""),"")</f>
        <v/>
      </c>
    </row>
    <row r="4028">
      <c r="A4028" s="2" t="s">
        <v>33</v>
      </c>
      <c r="B4028" s="12">
        <v>3877749.0</v>
      </c>
      <c r="C4028" s="12">
        <v>3877895.0</v>
      </c>
      <c r="D4028" s="2"/>
      <c r="E4028" s="2" t="s">
        <v>38</v>
      </c>
      <c r="F4028" s="2" t="s">
        <v>10852</v>
      </c>
      <c r="G4028" s="2"/>
      <c r="H4028" s="12">
        <v>0.0</v>
      </c>
      <c r="I4028" s="2" t="s">
        <v>40</v>
      </c>
      <c r="J4028" s="2"/>
      <c r="K4028" s="2" t="s">
        <v>10853</v>
      </c>
      <c r="L4028" s="12">
        <v>48.0</v>
      </c>
      <c r="M4028" s="2" t="s">
        <v>10854</v>
      </c>
      <c r="N4028" s="2" t="str">
        <f>IFERROR(__xludf.DUMMYFUNCTION("""COMPUTED_VALUE"""),"")</f>
        <v/>
      </c>
    </row>
    <row r="4029">
      <c r="A4029" s="2" t="s">
        <v>33</v>
      </c>
      <c r="B4029" s="12">
        <v>3877946.0</v>
      </c>
      <c r="C4029" s="12">
        <v>3878674.0</v>
      </c>
      <c r="D4029" s="2"/>
      <c r="E4029" s="2" t="s">
        <v>34</v>
      </c>
      <c r="F4029" s="2" t="s">
        <v>5605</v>
      </c>
      <c r="G4029" s="2"/>
      <c r="H4029" s="12">
        <v>0.0</v>
      </c>
      <c r="I4029" s="2" t="s">
        <v>40</v>
      </c>
      <c r="J4029" s="2"/>
      <c r="K4029" s="2" t="s">
        <v>10855</v>
      </c>
      <c r="L4029" s="12">
        <v>242.0</v>
      </c>
      <c r="M4029" s="2" t="s">
        <v>10856</v>
      </c>
      <c r="N4029" s="2" t="str">
        <f>IFERROR(__xludf.DUMMYFUNCTION("""COMPUTED_VALUE"""),"")</f>
        <v/>
      </c>
    </row>
    <row r="4030">
      <c r="A4030" s="2" t="s">
        <v>33</v>
      </c>
      <c r="B4030" s="12">
        <v>3878724.0</v>
      </c>
      <c r="C4030" s="12">
        <v>3878957.0</v>
      </c>
      <c r="D4030" s="2"/>
      <c r="E4030" s="2" t="s">
        <v>38</v>
      </c>
      <c r="F4030" s="2" t="s">
        <v>10857</v>
      </c>
      <c r="G4030" s="2"/>
      <c r="H4030" s="12">
        <v>0.0</v>
      </c>
      <c r="I4030" s="2" t="s">
        <v>40</v>
      </c>
      <c r="J4030" s="2"/>
      <c r="K4030" s="2" t="s">
        <v>10858</v>
      </c>
      <c r="L4030" s="12">
        <v>77.0</v>
      </c>
      <c r="M4030" s="2" t="s">
        <v>10859</v>
      </c>
      <c r="N4030" s="2" t="str">
        <f>IFERROR(__xludf.DUMMYFUNCTION("""COMPUTED_VALUE"""),"")</f>
        <v/>
      </c>
    </row>
    <row r="4031">
      <c r="A4031" s="2" t="s">
        <v>33</v>
      </c>
      <c r="B4031" s="12">
        <v>3879095.0</v>
      </c>
      <c r="C4031" s="12">
        <v>3881167.0</v>
      </c>
      <c r="D4031" s="2"/>
      <c r="E4031" s="2" t="s">
        <v>34</v>
      </c>
      <c r="F4031" s="2" t="s">
        <v>5892</v>
      </c>
      <c r="G4031" s="2"/>
      <c r="H4031" s="12">
        <v>0.0</v>
      </c>
      <c r="I4031" s="2" t="s">
        <v>40</v>
      </c>
      <c r="J4031" s="2"/>
      <c r="K4031" s="2" t="s">
        <v>10860</v>
      </c>
      <c r="L4031" s="12">
        <v>690.0</v>
      </c>
      <c r="M4031" s="2" t="s">
        <v>10861</v>
      </c>
      <c r="N4031" s="2" t="str">
        <f>IFERROR(__xludf.DUMMYFUNCTION("""COMPUTED_VALUE"""),"")</f>
        <v/>
      </c>
    </row>
    <row r="4032">
      <c r="A4032" s="2" t="s">
        <v>33</v>
      </c>
      <c r="B4032" s="12">
        <v>3881363.0</v>
      </c>
      <c r="C4032" s="12">
        <v>3882262.0</v>
      </c>
      <c r="D4032" s="2"/>
      <c r="E4032" s="2" t="s">
        <v>34</v>
      </c>
      <c r="F4032" s="2" t="s">
        <v>10862</v>
      </c>
      <c r="G4032" s="2" t="s">
        <v>10863</v>
      </c>
      <c r="H4032" s="12">
        <v>0.0</v>
      </c>
      <c r="I4032" s="2" t="s">
        <v>40</v>
      </c>
      <c r="J4032" s="2"/>
      <c r="K4032" s="2" t="s">
        <v>10864</v>
      </c>
      <c r="L4032" s="12">
        <v>299.0</v>
      </c>
      <c r="M4032" s="2" t="s">
        <v>10865</v>
      </c>
      <c r="N4032" s="2" t="str">
        <f>IFERROR(__xludf.DUMMYFUNCTION("""COMPUTED_VALUE"""),"")</f>
        <v/>
      </c>
    </row>
    <row r="4033">
      <c r="A4033" s="2" t="s">
        <v>33</v>
      </c>
      <c r="B4033" s="12">
        <v>3882297.0</v>
      </c>
      <c r="C4033" s="12">
        <v>3883397.0</v>
      </c>
      <c r="D4033" s="2"/>
      <c r="E4033" s="2" t="s">
        <v>34</v>
      </c>
      <c r="F4033" s="2" t="s">
        <v>10866</v>
      </c>
      <c r="G4033" s="2"/>
      <c r="H4033" s="12">
        <v>0.0</v>
      </c>
      <c r="I4033" s="2" t="s">
        <v>40</v>
      </c>
      <c r="J4033" s="2"/>
      <c r="K4033" s="2" t="s">
        <v>10867</v>
      </c>
      <c r="L4033" s="12">
        <v>366.0</v>
      </c>
      <c r="M4033" s="2" t="s">
        <v>10868</v>
      </c>
      <c r="N4033" s="2" t="str">
        <f>IFERROR(__xludf.DUMMYFUNCTION("""COMPUTED_VALUE"""),"")</f>
        <v/>
      </c>
    </row>
    <row r="4034">
      <c r="A4034" s="2" t="s">
        <v>33</v>
      </c>
      <c r="B4034" s="12">
        <v>3883485.0</v>
      </c>
      <c r="C4034" s="12">
        <v>3884588.0</v>
      </c>
      <c r="D4034" s="2"/>
      <c r="E4034" s="2" t="s">
        <v>34</v>
      </c>
      <c r="F4034" s="2" t="s">
        <v>10869</v>
      </c>
      <c r="G4034" s="2" t="s">
        <v>10870</v>
      </c>
      <c r="H4034" s="12">
        <v>0.0</v>
      </c>
      <c r="I4034" s="2" t="s">
        <v>40</v>
      </c>
      <c r="J4034" s="2"/>
      <c r="K4034" s="2" t="s">
        <v>10871</v>
      </c>
      <c r="L4034" s="12">
        <v>367.0</v>
      </c>
      <c r="M4034" s="2" t="s">
        <v>10872</v>
      </c>
      <c r="N4034" s="2" t="str">
        <f>IFERROR(__xludf.DUMMYFUNCTION("""COMPUTED_VALUE"""),"")</f>
        <v/>
      </c>
    </row>
    <row r="4035">
      <c r="A4035" s="2" t="s">
        <v>33</v>
      </c>
      <c r="B4035" s="12">
        <v>3884593.0</v>
      </c>
      <c r="C4035" s="12">
        <v>3886014.0</v>
      </c>
      <c r="D4035" s="2"/>
      <c r="E4035" s="2" t="s">
        <v>34</v>
      </c>
      <c r="F4035" s="2" t="s">
        <v>10873</v>
      </c>
      <c r="G4035" s="2" t="s">
        <v>10874</v>
      </c>
      <c r="H4035" s="12">
        <v>0.0</v>
      </c>
      <c r="I4035" s="2" t="s">
        <v>40</v>
      </c>
      <c r="J4035" s="2"/>
      <c r="K4035" s="2" t="s">
        <v>10875</v>
      </c>
      <c r="L4035" s="12">
        <v>473.0</v>
      </c>
      <c r="M4035" s="2" t="s">
        <v>10876</v>
      </c>
      <c r="N4035" s="2" t="str">
        <f>IFERROR(__xludf.DUMMYFUNCTION("""COMPUTED_VALUE"""),"")</f>
        <v/>
      </c>
    </row>
    <row r="4036">
      <c r="A4036" s="2" t="s">
        <v>33</v>
      </c>
      <c r="B4036" s="12">
        <v>3886042.0</v>
      </c>
      <c r="C4036" s="12">
        <v>3887043.0</v>
      </c>
      <c r="D4036" s="2"/>
      <c r="E4036" s="2" t="s">
        <v>34</v>
      </c>
      <c r="F4036" s="2" t="s">
        <v>10877</v>
      </c>
      <c r="G4036" s="2" t="s">
        <v>10878</v>
      </c>
      <c r="H4036" s="12">
        <v>0.0</v>
      </c>
      <c r="I4036" s="2" t="s">
        <v>40</v>
      </c>
      <c r="J4036" s="2"/>
      <c r="K4036" s="2" t="s">
        <v>10879</v>
      </c>
      <c r="L4036" s="12">
        <v>333.0</v>
      </c>
      <c r="M4036" s="2" t="s">
        <v>10880</v>
      </c>
      <c r="N4036" s="2" t="str">
        <f>IFERROR(__xludf.DUMMYFUNCTION("""COMPUTED_VALUE"""),"")</f>
        <v/>
      </c>
    </row>
    <row r="4037">
      <c r="A4037" s="2" t="s">
        <v>33</v>
      </c>
      <c r="B4037" s="12">
        <v>3887057.0</v>
      </c>
      <c r="C4037" s="12">
        <v>3888040.0</v>
      </c>
      <c r="D4037" s="2"/>
      <c r="E4037" s="2" t="s">
        <v>34</v>
      </c>
      <c r="F4037" s="2" t="s">
        <v>10881</v>
      </c>
      <c r="G4037" s="2" t="s">
        <v>10882</v>
      </c>
      <c r="H4037" s="12">
        <v>0.0</v>
      </c>
      <c r="I4037" s="2" t="s">
        <v>40</v>
      </c>
      <c r="J4037" s="2"/>
      <c r="K4037" s="2" t="s">
        <v>10883</v>
      </c>
      <c r="L4037" s="12">
        <v>327.0</v>
      </c>
      <c r="M4037" s="2" t="s">
        <v>10884</v>
      </c>
      <c r="N4037" s="2" t="str">
        <f>IFERROR(__xludf.DUMMYFUNCTION("""COMPUTED_VALUE"""),"")</f>
        <v/>
      </c>
    </row>
    <row r="4038">
      <c r="A4038" s="2" t="s">
        <v>33</v>
      </c>
      <c r="B4038" s="12">
        <v>3888056.0</v>
      </c>
      <c r="C4038" s="12">
        <v>3889375.0</v>
      </c>
      <c r="D4038" s="2"/>
      <c r="E4038" s="2" t="s">
        <v>34</v>
      </c>
      <c r="F4038" s="2" t="s">
        <v>10885</v>
      </c>
      <c r="G4038" s="2"/>
      <c r="H4038" s="12">
        <v>0.0</v>
      </c>
      <c r="I4038" s="2" t="s">
        <v>40</v>
      </c>
      <c r="J4038" s="2"/>
      <c r="K4038" s="2" t="s">
        <v>10886</v>
      </c>
      <c r="L4038" s="12">
        <v>439.0</v>
      </c>
      <c r="M4038" s="2" t="s">
        <v>10887</v>
      </c>
      <c r="N4038" s="2" t="str">
        <f>IFERROR(__xludf.DUMMYFUNCTION("""COMPUTED_VALUE"""),"")</f>
        <v/>
      </c>
    </row>
    <row r="4039">
      <c r="A4039" s="2" t="s">
        <v>33</v>
      </c>
      <c r="B4039" s="12">
        <v>3889718.0</v>
      </c>
      <c r="C4039" s="12">
        <v>3890896.0</v>
      </c>
      <c r="D4039" s="2"/>
      <c r="E4039" s="2" t="s">
        <v>34</v>
      </c>
      <c r="F4039" s="2" t="s">
        <v>3967</v>
      </c>
      <c r="G4039" s="2"/>
      <c r="H4039" s="12">
        <v>0.0</v>
      </c>
      <c r="I4039" s="2" t="s">
        <v>40</v>
      </c>
      <c r="J4039" s="2"/>
      <c r="K4039" s="2" t="s">
        <v>10888</v>
      </c>
      <c r="L4039" s="12">
        <v>392.0</v>
      </c>
      <c r="M4039" s="2" t="s">
        <v>10889</v>
      </c>
      <c r="N4039" s="2" t="str">
        <f>IFERROR(__xludf.DUMMYFUNCTION("""COMPUTED_VALUE"""),"")</f>
        <v/>
      </c>
    </row>
    <row r="4040">
      <c r="A4040" s="2" t="s">
        <v>33</v>
      </c>
      <c r="B4040" s="12">
        <v>3891004.0</v>
      </c>
      <c r="C4040" s="12">
        <v>3891708.0</v>
      </c>
      <c r="D4040" s="2"/>
      <c r="E4040" s="2" t="s">
        <v>34</v>
      </c>
      <c r="F4040" s="2" t="s">
        <v>293</v>
      </c>
      <c r="G4040" s="2"/>
      <c r="H4040" s="12">
        <v>0.0</v>
      </c>
      <c r="I4040" s="2" t="s">
        <v>40</v>
      </c>
      <c r="J4040" s="2"/>
      <c r="K4040" s="2" t="s">
        <v>10890</v>
      </c>
      <c r="L4040" s="12">
        <v>234.0</v>
      </c>
      <c r="M4040" s="2" t="s">
        <v>10891</v>
      </c>
      <c r="N4040" s="2" t="str">
        <f>IFERROR(__xludf.DUMMYFUNCTION("""COMPUTED_VALUE"""),"")</f>
        <v/>
      </c>
    </row>
    <row r="4041">
      <c r="A4041" s="2" t="s">
        <v>33</v>
      </c>
      <c r="B4041" s="12">
        <v>3891779.0</v>
      </c>
      <c r="C4041" s="12">
        <v>3892243.0</v>
      </c>
      <c r="D4041" s="2"/>
      <c r="E4041" s="2" t="s">
        <v>34</v>
      </c>
      <c r="F4041" s="2" t="s">
        <v>1611</v>
      </c>
      <c r="G4041" s="2"/>
      <c r="H4041" s="12">
        <v>0.0</v>
      </c>
      <c r="I4041" s="2" t="s">
        <v>40</v>
      </c>
      <c r="J4041" s="2"/>
      <c r="K4041" s="2" t="s">
        <v>10892</v>
      </c>
      <c r="L4041" s="12">
        <v>154.0</v>
      </c>
      <c r="M4041" s="2" t="s">
        <v>10893</v>
      </c>
      <c r="N4041" s="2" t="str">
        <f>IFERROR(__xludf.DUMMYFUNCTION("""COMPUTED_VALUE"""),"")</f>
        <v/>
      </c>
    </row>
    <row r="4042">
      <c r="A4042" s="2" t="s">
        <v>33</v>
      </c>
      <c r="B4042" s="12">
        <v>3892365.0</v>
      </c>
      <c r="C4042" s="12">
        <v>3892772.0</v>
      </c>
      <c r="D4042" s="2"/>
      <c r="E4042" s="2" t="s">
        <v>34</v>
      </c>
      <c r="F4042" s="2" t="s">
        <v>10894</v>
      </c>
      <c r="G4042" s="2"/>
      <c r="H4042" s="12">
        <v>0.0</v>
      </c>
      <c r="I4042" s="2" t="s">
        <v>40</v>
      </c>
      <c r="J4042" s="2"/>
      <c r="K4042" s="2" t="s">
        <v>10895</v>
      </c>
      <c r="L4042" s="12">
        <v>135.0</v>
      </c>
      <c r="M4042" s="2" t="s">
        <v>10896</v>
      </c>
      <c r="N4042" s="2" t="str">
        <f>IFERROR(__xludf.DUMMYFUNCTION("""COMPUTED_VALUE"""),"")</f>
        <v/>
      </c>
    </row>
    <row r="4043">
      <c r="A4043" s="2" t="s">
        <v>33</v>
      </c>
      <c r="B4043" s="12">
        <v>3892917.0</v>
      </c>
      <c r="C4043" s="12">
        <v>3893330.0</v>
      </c>
      <c r="D4043" s="2"/>
      <c r="E4043" s="2" t="s">
        <v>34</v>
      </c>
      <c r="F4043" s="2" t="s">
        <v>1244</v>
      </c>
      <c r="G4043" s="2"/>
      <c r="H4043" s="12">
        <v>0.0</v>
      </c>
      <c r="I4043" s="2" t="s">
        <v>40</v>
      </c>
      <c r="J4043" s="2"/>
      <c r="K4043" s="2" t="s">
        <v>10897</v>
      </c>
      <c r="L4043" s="12">
        <v>137.0</v>
      </c>
      <c r="M4043" s="2" t="s">
        <v>10898</v>
      </c>
      <c r="N4043" s="2" t="str">
        <f>IFERROR(__xludf.DUMMYFUNCTION("""COMPUTED_VALUE"""),"")</f>
        <v/>
      </c>
    </row>
    <row r="4044">
      <c r="A4044" s="2" t="s">
        <v>33</v>
      </c>
      <c r="B4044" s="12">
        <v>3893583.0</v>
      </c>
      <c r="C4044" s="12">
        <v>3894362.0</v>
      </c>
      <c r="D4044" s="2"/>
      <c r="E4044" s="2" t="s">
        <v>34</v>
      </c>
      <c r="F4044" s="2" t="s">
        <v>10899</v>
      </c>
      <c r="G4044" s="2"/>
      <c r="H4044" s="12">
        <v>0.0</v>
      </c>
      <c r="I4044" s="2" t="s">
        <v>40</v>
      </c>
      <c r="J4044" s="2"/>
      <c r="K4044" s="2" t="s">
        <v>10900</v>
      </c>
      <c r="L4044" s="12">
        <v>259.0</v>
      </c>
      <c r="M4044" s="2" t="s">
        <v>10901</v>
      </c>
      <c r="N4044" s="2" t="str">
        <f>IFERROR(__xludf.DUMMYFUNCTION("""COMPUTED_VALUE"""),"")</f>
        <v/>
      </c>
    </row>
    <row r="4045">
      <c r="A4045" s="2" t="s">
        <v>33</v>
      </c>
      <c r="B4045" s="12">
        <v>3894399.0</v>
      </c>
      <c r="C4045" s="12">
        <v>3895058.0</v>
      </c>
      <c r="D4045" s="2"/>
      <c r="E4045" s="2" t="s">
        <v>34</v>
      </c>
      <c r="F4045" s="2" t="s">
        <v>4858</v>
      </c>
      <c r="G4045" s="2"/>
      <c r="H4045" s="12">
        <v>0.0</v>
      </c>
      <c r="I4045" s="2" t="s">
        <v>40</v>
      </c>
      <c r="J4045" s="2"/>
      <c r="K4045" s="2" t="s">
        <v>10902</v>
      </c>
      <c r="L4045" s="12">
        <v>219.0</v>
      </c>
      <c r="M4045" s="2" t="s">
        <v>10903</v>
      </c>
      <c r="N4045" s="2" t="str">
        <f>IFERROR(__xludf.DUMMYFUNCTION("""COMPUTED_VALUE"""),"")</f>
        <v/>
      </c>
    </row>
    <row r="4046">
      <c r="A4046" s="2" t="s">
        <v>33</v>
      </c>
      <c r="B4046" s="12">
        <v>3895051.0</v>
      </c>
      <c r="C4046" s="12">
        <v>3895773.0</v>
      </c>
      <c r="D4046" s="2"/>
      <c r="E4046" s="2" t="s">
        <v>34</v>
      </c>
      <c r="F4046" s="2" t="s">
        <v>4855</v>
      </c>
      <c r="G4046" s="2"/>
      <c r="H4046" s="12">
        <v>0.0</v>
      </c>
      <c r="I4046" s="2" t="s">
        <v>40</v>
      </c>
      <c r="J4046" s="2"/>
      <c r="K4046" s="2" t="s">
        <v>10904</v>
      </c>
      <c r="L4046" s="12">
        <v>240.0</v>
      </c>
      <c r="M4046" s="2" t="s">
        <v>10905</v>
      </c>
      <c r="N4046" s="2" t="str">
        <f>IFERROR(__xludf.DUMMYFUNCTION("""COMPUTED_VALUE"""),"")</f>
        <v/>
      </c>
    </row>
    <row r="4047">
      <c r="A4047" s="2" t="s">
        <v>33</v>
      </c>
      <c r="B4047" s="12">
        <v>3895874.0</v>
      </c>
      <c r="C4047" s="12">
        <v>3896842.0</v>
      </c>
      <c r="D4047" s="2"/>
      <c r="E4047" s="2" t="s">
        <v>34</v>
      </c>
      <c r="F4047" s="2" t="s">
        <v>5789</v>
      </c>
      <c r="G4047" s="2"/>
      <c r="H4047" s="12">
        <v>0.0</v>
      </c>
      <c r="I4047" s="2" t="s">
        <v>40</v>
      </c>
      <c r="J4047" s="2"/>
      <c r="K4047" s="2" t="s">
        <v>10906</v>
      </c>
      <c r="L4047" s="12">
        <v>322.0</v>
      </c>
      <c r="M4047" s="2" t="s">
        <v>10907</v>
      </c>
      <c r="N4047" s="2" t="str">
        <f>IFERROR(__xludf.DUMMYFUNCTION("""COMPUTED_VALUE"""),"")</f>
        <v/>
      </c>
    </row>
    <row r="4048">
      <c r="A4048" s="2" t="s">
        <v>33</v>
      </c>
      <c r="B4048" s="12">
        <v>3896859.0</v>
      </c>
      <c r="C4048" s="12">
        <v>3897419.0</v>
      </c>
      <c r="D4048" s="2"/>
      <c r="E4048" s="2" t="s">
        <v>34</v>
      </c>
      <c r="F4048" s="2" t="s">
        <v>5117</v>
      </c>
      <c r="G4048" s="2"/>
      <c r="H4048" s="12">
        <v>0.0</v>
      </c>
      <c r="I4048" s="2" t="s">
        <v>40</v>
      </c>
      <c r="J4048" s="2"/>
      <c r="K4048" s="2" t="s">
        <v>10908</v>
      </c>
      <c r="L4048" s="12">
        <v>186.0</v>
      </c>
      <c r="M4048" s="2" t="s">
        <v>10909</v>
      </c>
      <c r="N4048" s="2" t="str">
        <f>IFERROR(__xludf.DUMMYFUNCTION("""COMPUTED_VALUE"""),"")</f>
        <v/>
      </c>
    </row>
    <row r="4049">
      <c r="A4049" s="2" t="s">
        <v>33</v>
      </c>
      <c r="B4049" s="12">
        <v>3897486.0</v>
      </c>
      <c r="C4049" s="12">
        <v>3897725.0</v>
      </c>
      <c r="D4049" s="2"/>
      <c r="E4049" s="2" t="s">
        <v>34</v>
      </c>
      <c r="F4049" s="2" t="s">
        <v>10910</v>
      </c>
      <c r="G4049" s="2"/>
      <c r="H4049" s="12">
        <v>0.0</v>
      </c>
      <c r="I4049" s="2" t="s">
        <v>40</v>
      </c>
      <c r="J4049" s="2"/>
      <c r="K4049" s="2" t="s">
        <v>10911</v>
      </c>
      <c r="L4049" s="12">
        <v>79.0</v>
      </c>
      <c r="M4049" s="2" t="s">
        <v>10912</v>
      </c>
      <c r="N4049" s="2" t="str">
        <f>IFERROR(__xludf.DUMMYFUNCTION("""COMPUTED_VALUE"""),"")</f>
        <v/>
      </c>
    </row>
    <row r="4050">
      <c r="A4050" s="2" t="s">
        <v>33</v>
      </c>
      <c r="B4050" s="12">
        <v>3897798.0</v>
      </c>
      <c r="C4050" s="12">
        <v>3897890.0</v>
      </c>
      <c r="D4050" s="2"/>
      <c r="E4050" s="2" t="s">
        <v>38</v>
      </c>
      <c r="F4050" s="2" t="s">
        <v>10913</v>
      </c>
      <c r="G4050" s="2" t="s">
        <v>10914</v>
      </c>
      <c r="H4050" s="12">
        <v>0.0</v>
      </c>
      <c r="I4050" s="2" t="s">
        <v>40</v>
      </c>
      <c r="J4050" s="2"/>
      <c r="K4050" s="2" t="s">
        <v>10915</v>
      </c>
      <c r="L4050" s="12">
        <v>30.0</v>
      </c>
      <c r="M4050" s="2" t="s">
        <v>10916</v>
      </c>
      <c r="N4050" s="2" t="str">
        <f>IFERROR(__xludf.DUMMYFUNCTION("""COMPUTED_VALUE"""),"")</f>
        <v/>
      </c>
    </row>
    <row r="4051">
      <c r="A4051" s="2" t="s">
        <v>33</v>
      </c>
      <c r="B4051" s="12">
        <v>3898080.0</v>
      </c>
      <c r="C4051" s="12">
        <v>3898625.0</v>
      </c>
      <c r="D4051" s="2"/>
      <c r="E4051" s="2" t="s">
        <v>34</v>
      </c>
      <c r="F4051" s="2" t="s">
        <v>367</v>
      </c>
      <c r="G4051" s="2"/>
      <c r="H4051" s="12">
        <v>0.0</v>
      </c>
      <c r="I4051" s="2" t="s">
        <v>40</v>
      </c>
      <c r="J4051" s="2"/>
      <c r="K4051" s="2" t="s">
        <v>10917</v>
      </c>
      <c r="L4051" s="12">
        <v>181.0</v>
      </c>
      <c r="M4051" s="2" t="s">
        <v>10918</v>
      </c>
      <c r="N4051" s="2" t="str">
        <f>IFERROR(__xludf.DUMMYFUNCTION("""COMPUTED_VALUE"""),"")</f>
        <v/>
      </c>
    </row>
    <row r="4052">
      <c r="A4052" s="2" t="s">
        <v>33</v>
      </c>
      <c r="B4052" s="12">
        <v>3898753.0</v>
      </c>
      <c r="C4052" s="12">
        <v>3899871.0</v>
      </c>
      <c r="D4052" s="2"/>
      <c r="E4052" s="2" t="s">
        <v>34</v>
      </c>
      <c r="F4052" s="2" t="s">
        <v>10919</v>
      </c>
      <c r="G4052" s="2"/>
      <c r="H4052" s="12">
        <v>0.0</v>
      </c>
      <c r="I4052" s="2" t="s">
        <v>40</v>
      </c>
      <c r="J4052" s="2"/>
      <c r="K4052" s="2" t="s">
        <v>10920</v>
      </c>
      <c r="L4052" s="12">
        <v>372.0</v>
      </c>
      <c r="M4052" s="2" t="s">
        <v>10921</v>
      </c>
      <c r="N4052" s="2" t="str">
        <f>IFERROR(__xludf.DUMMYFUNCTION("""COMPUTED_VALUE"""),"")</f>
        <v/>
      </c>
    </row>
    <row r="4053">
      <c r="A4053" s="2" t="s">
        <v>33</v>
      </c>
      <c r="B4053" s="12">
        <v>3900319.0</v>
      </c>
      <c r="C4053" s="12">
        <v>3901557.0</v>
      </c>
      <c r="D4053" s="2"/>
      <c r="E4053" s="2" t="s">
        <v>34</v>
      </c>
      <c r="F4053" s="2" t="s">
        <v>10922</v>
      </c>
      <c r="G4053" s="2"/>
      <c r="H4053" s="12">
        <v>0.0</v>
      </c>
      <c r="I4053" s="2" t="s">
        <v>40</v>
      </c>
      <c r="J4053" s="2"/>
      <c r="K4053" s="2" t="s">
        <v>10923</v>
      </c>
      <c r="L4053" s="12">
        <v>412.0</v>
      </c>
      <c r="M4053" s="2" t="s">
        <v>10924</v>
      </c>
      <c r="N4053" s="2" t="str">
        <f>IFERROR(__xludf.DUMMYFUNCTION("""COMPUTED_VALUE"""),"")</f>
        <v/>
      </c>
    </row>
    <row r="4054">
      <c r="A4054" s="2" t="s">
        <v>33</v>
      </c>
      <c r="B4054" s="12">
        <v>3901598.0</v>
      </c>
      <c r="C4054" s="12">
        <v>3902299.0</v>
      </c>
      <c r="D4054" s="2"/>
      <c r="E4054" s="2" t="s">
        <v>38</v>
      </c>
      <c r="F4054" s="2" t="s">
        <v>1774</v>
      </c>
      <c r="G4054" s="2"/>
      <c r="H4054" s="12">
        <v>0.0</v>
      </c>
      <c r="I4054" s="2" t="s">
        <v>40</v>
      </c>
      <c r="J4054" s="2"/>
      <c r="K4054" s="2" t="s">
        <v>10925</v>
      </c>
      <c r="L4054" s="12">
        <v>233.0</v>
      </c>
      <c r="M4054" s="2" t="s">
        <v>10926</v>
      </c>
      <c r="N4054" s="2" t="str">
        <f>IFERROR(__xludf.DUMMYFUNCTION("""COMPUTED_VALUE"""),"")</f>
        <v/>
      </c>
    </row>
    <row r="4055">
      <c r="A4055" s="2" t="s">
        <v>33</v>
      </c>
      <c r="B4055" s="12">
        <v>3902372.0</v>
      </c>
      <c r="C4055" s="12">
        <v>3905077.0</v>
      </c>
      <c r="D4055" s="2"/>
      <c r="E4055" s="2" t="s">
        <v>38</v>
      </c>
      <c r="F4055" s="2" t="s">
        <v>10927</v>
      </c>
      <c r="G4055" s="2" t="s">
        <v>10928</v>
      </c>
      <c r="H4055" s="12">
        <v>0.0</v>
      </c>
      <c r="I4055" s="2" t="s">
        <v>40</v>
      </c>
      <c r="J4055" s="2"/>
      <c r="K4055" s="2" t="s">
        <v>10929</v>
      </c>
      <c r="L4055" s="12">
        <v>901.0</v>
      </c>
      <c r="M4055" s="2" t="s">
        <v>10930</v>
      </c>
      <c r="N4055" s="2" t="str">
        <f>IFERROR(__xludf.DUMMYFUNCTION("""COMPUTED_VALUE"""),"")</f>
        <v/>
      </c>
    </row>
    <row r="4056">
      <c r="A4056" s="2" t="s">
        <v>33</v>
      </c>
      <c r="B4056" s="12">
        <v>3905745.0</v>
      </c>
      <c r="C4056" s="12">
        <v>3906284.0</v>
      </c>
      <c r="D4056" s="2"/>
      <c r="E4056" s="2" t="s">
        <v>34</v>
      </c>
      <c r="F4056" s="2" t="s">
        <v>39</v>
      </c>
      <c r="G4056" s="2"/>
      <c r="H4056" s="12">
        <v>0.0</v>
      </c>
      <c r="I4056" s="2" t="s">
        <v>40</v>
      </c>
      <c r="J4056" s="2"/>
      <c r="K4056" s="2" t="s">
        <v>10931</v>
      </c>
      <c r="L4056" s="12">
        <v>179.0</v>
      </c>
      <c r="M4056" s="2" t="s">
        <v>10932</v>
      </c>
      <c r="N4056" s="2" t="str">
        <f>IFERROR(__xludf.DUMMYFUNCTION("""COMPUTED_VALUE"""),"")</f>
        <v/>
      </c>
    </row>
    <row r="4057">
      <c r="A4057" s="2" t="s">
        <v>33</v>
      </c>
      <c r="B4057" s="12">
        <v>3906319.0</v>
      </c>
      <c r="C4057" s="12">
        <v>3906570.0</v>
      </c>
      <c r="D4057" s="2"/>
      <c r="E4057" s="2" t="s">
        <v>38</v>
      </c>
      <c r="F4057" s="2" t="s">
        <v>10933</v>
      </c>
      <c r="G4057" s="2"/>
      <c r="H4057" s="12">
        <v>0.0</v>
      </c>
      <c r="I4057" s="2" t="s">
        <v>40</v>
      </c>
      <c r="J4057" s="2"/>
      <c r="K4057" s="2" t="s">
        <v>10934</v>
      </c>
      <c r="L4057" s="12">
        <v>83.0</v>
      </c>
      <c r="M4057" s="2" t="s">
        <v>10935</v>
      </c>
      <c r="N4057" s="2" t="str">
        <f>IFERROR(__xludf.DUMMYFUNCTION("""COMPUTED_VALUE"""),"")</f>
        <v/>
      </c>
    </row>
    <row r="4058">
      <c r="A4058" s="2" t="s">
        <v>33</v>
      </c>
      <c r="B4058" s="12">
        <v>3906760.0</v>
      </c>
      <c r="C4058" s="12">
        <v>3907683.0</v>
      </c>
      <c r="D4058" s="2"/>
      <c r="E4058" s="2" t="s">
        <v>34</v>
      </c>
      <c r="F4058" s="2" t="s">
        <v>10936</v>
      </c>
      <c r="G4058" s="2" t="s">
        <v>10937</v>
      </c>
      <c r="H4058" s="12">
        <v>0.0</v>
      </c>
      <c r="I4058" s="2" t="s">
        <v>40</v>
      </c>
      <c r="J4058" s="2"/>
      <c r="K4058" s="2" t="s">
        <v>10938</v>
      </c>
      <c r="L4058" s="12">
        <v>307.0</v>
      </c>
      <c r="M4058" s="2" t="s">
        <v>10939</v>
      </c>
      <c r="N4058" s="2" t="str">
        <f>IFERROR(__xludf.DUMMYFUNCTION("""COMPUTED_VALUE"""),"")</f>
        <v/>
      </c>
    </row>
    <row r="4059">
      <c r="A4059" s="2" t="s">
        <v>33</v>
      </c>
      <c r="B4059" s="12">
        <v>3908370.0</v>
      </c>
      <c r="C4059" s="12">
        <v>3908516.0</v>
      </c>
      <c r="D4059" s="2"/>
      <c r="E4059" s="2" t="s">
        <v>34</v>
      </c>
      <c r="F4059" s="2" t="s">
        <v>39</v>
      </c>
      <c r="G4059" s="2"/>
      <c r="H4059" s="12">
        <v>0.0</v>
      </c>
      <c r="I4059" s="2" t="s">
        <v>40</v>
      </c>
      <c r="J4059" s="2"/>
      <c r="K4059" s="2" t="s">
        <v>10940</v>
      </c>
      <c r="L4059" s="12">
        <v>48.0</v>
      </c>
      <c r="M4059" s="2" t="s">
        <v>10941</v>
      </c>
      <c r="N4059" s="2" t="str">
        <f>IFERROR(__xludf.DUMMYFUNCTION("""COMPUTED_VALUE"""),"")</f>
        <v/>
      </c>
    </row>
    <row r="4060">
      <c r="A4060" s="2" t="s">
        <v>33</v>
      </c>
      <c r="B4060" s="12">
        <v>3908564.0</v>
      </c>
      <c r="C4060" s="12">
        <v>3909223.0</v>
      </c>
      <c r="D4060" s="2"/>
      <c r="E4060" s="2" t="s">
        <v>34</v>
      </c>
      <c r="F4060" s="2" t="s">
        <v>10942</v>
      </c>
      <c r="G4060" s="2" t="s">
        <v>10943</v>
      </c>
      <c r="H4060" s="12">
        <v>0.0</v>
      </c>
      <c r="I4060" s="2" t="s">
        <v>40</v>
      </c>
      <c r="J4060" s="2"/>
      <c r="K4060" s="2" t="s">
        <v>10944</v>
      </c>
      <c r="L4060" s="12">
        <v>219.0</v>
      </c>
      <c r="M4060" s="2" t="s">
        <v>10945</v>
      </c>
      <c r="N4060" s="2" t="str">
        <f>IFERROR(__xludf.DUMMYFUNCTION("""COMPUTED_VALUE"""),"")</f>
        <v/>
      </c>
    </row>
    <row r="4061">
      <c r="A4061" s="2" t="s">
        <v>33</v>
      </c>
      <c r="B4061" s="12">
        <v>3909242.0</v>
      </c>
      <c r="C4061" s="12">
        <v>3910120.0</v>
      </c>
      <c r="D4061" s="2"/>
      <c r="E4061" s="2" t="s">
        <v>34</v>
      </c>
      <c r="F4061" s="2" t="s">
        <v>10946</v>
      </c>
      <c r="G4061" s="2" t="s">
        <v>10947</v>
      </c>
      <c r="H4061" s="12">
        <v>0.0</v>
      </c>
      <c r="I4061" s="2" t="s">
        <v>40</v>
      </c>
      <c r="J4061" s="2"/>
      <c r="K4061" s="2" t="s">
        <v>10948</v>
      </c>
      <c r="L4061" s="12">
        <v>292.0</v>
      </c>
      <c r="M4061" s="2" t="s">
        <v>10949</v>
      </c>
      <c r="N4061" s="2" t="str">
        <f>IFERROR(__xludf.DUMMYFUNCTION("""COMPUTED_VALUE"""),"")</f>
        <v/>
      </c>
    </row>
    <row r="4062">
      <c r="A4062" s="2" t="s">
        <v>33</v>
      </c>
      <c r="B4062" s="12">
        <v>3910167.0</v>
      </c>
      <c r="C4062" s="12">
        <v>3911006.0</v>
      </c>
      <c r="D4062" s="2"/>
      <c r="E4062" s="2" t="s">
        <v>38</v>
      </c>
      <c r="F4062" s="2" t="s">
        <v>10950</v>
      </c>
      <c r="G4062" s="2" t="s">
        <v>10951</v>
      </c>
      <c r="H4062" s="12">
        <v>0.0</v>
      </c>
      <c r="I4062" s="2" t="s">
        <v>40</v>
      </c>
      <c r="J4062" s="2"/>
      <c r="K4062" s="2" t="s">
        <v>10952</v>
      </c>
      <c r="L4062" s="12">
        <v>279.0</v>
      </c>
      <c r="M4062" s="2" t="s">
        <v>10953</v>
      </c>
      <c r="N4062" s="2" t="str">
        <f>IFERROR(__xludf.DUMMYFUNCTION("""COMPUTED_VALUE"""),"")</f>
        <v/>
      </c>
    </row>
    <row r="4063">
      <c r="A4063" s="2" t="s">
        <v>33</v>
      </c>
      <c r="B4063" s="12">
        <v>3911172.0</v>
      </c>
      <c r="C4063" s="12">
        <v>3912125.0</v>
      </c>
      <c r="D4063" s="2"/>
      <c r="E4063" s="2" t="s">
        <v>34</v>
      </c>
      <c r="F4063" s="2" t="s">
        <v>599</v>
      </c>
      <c r="G4063" s="2"/>
      <c r="H4063" s="12">
        <v>0.0</v>
      </c>
      <c r="I4063" s="2" t="s">
        <v>40</v>
      </c>
      <c r="J4063" s="2"/>
      <c r="K4063" s="2" t="s">
        <v>10954</v>
      </c>
      <c r="L4063" s="12">
        <v>317.0</v>
      </c>
      <c r="M4063" s="2" t="s">
        <v>10955</v>
      </c>
      <c r="N4063" s="2" t="str">
        <f>IFERROR(__xludf.DUMMYFUNCTION("""COMPUTED_VALUE"""),"")</f>
        <v/>
      </c>
    </row>
    <row r="4064">
      <c r="A4064" s="2" t="s">
        <v>33</v>
      </c>
      <c r="B4064" s="12">
        <v>3912135.0</v>
      </c>
      <c r="C4064" s="12">
        <v>3912929.0</v>
      </c>
      <c r="D4064" s="2"/>
      <c r="E4064" s="2" t="s">
        <v>34</v>
      </c>
      <c r="F4064" s="2" t="s">
        <v>333</v>
      </c>
      <c r="G4064" s="2"/>
      <c r="H4064" s="12">
        <v>0.0</v>
      </c>
      <c r="I4064" s="2" t="s">
        <v>40</v>
      </c>
      <c r="J4064" s="2"/>
      <c r="K4064" s="2" t="s">
        <v>10956</v>
      </c>
      <c r="L4064" s="12">
        <v>264.0</v>
      </c>
      <c r="M4064" s="2" t="s">
        <v>10957</v>
      </c>
      <c r="N4064" s="2" t="str">
        <f>IFERROR(__xludf.DUMMYFUNCTION("""COMPUTED_VALUE"""),"")</f>
        <v/>
      </c>
    </row>
    <row r="4065">
      <c r="A4065" s="2" t="s">
        <v>33</v>
      </c>
      <c r="B4065" s="12">
        <v>3912959.0</v>
      </c>
      <c r="C4065" s="12">
        <v>3913147.0</v>
      </c>
      <c r="D4065" s="2"/>
      <c r="E4065" s="2" t="s">
        <v>38</v>
      </c>
      <c r="F4065" s="2" t="s">
        <v>10958</v>
      </c>
      <c r="G4065" s="2"/>
      <c r="H4065" s="12">
        <v>0.0</v>
      </c>
      <c r="I4065" s="2" t="s">
        <v>40</v>
      </c>
      <c r="J4065" s="2"/>
      <c r="K4065" s="2" t="s">
        <v>10959</v>
      </c>
      <c r="L4065" s="12">
        <v>62.0</v>
      </c>
      <c r="M4065" s="2" t="s">
        <v>10960</v>
      </c>
      <c r="N4065" s="2" t="str">
        <f>IFERROR(__xludf.DUMMYFUNCTION("""COMPUTED_VALUE"""),"")</f>
        <v/>
      </c>
    </row>
    <row r="4066">
      <c r="A4066" s="2" t="s">
        <v>33</v>
      </c>
      <c r="B4066" s="12">
        <v>3913372.0</v>
      </c>
      <c r="C4066" s="12">
        <v>3914409.0</v>
      </c>
      <c r="D4066" s="2"/>
      <c r="E4066" s="2" t="s">
        <v>34</v>
      </c>
      <c r="F4066" s="2" t="s">
        <v>10961</v>
      </c>
      <c r="G4066" s="2" t="s">
        <v>10962</v>
      </c>
      <c r="H4066" s="12">
        <v>0.0</v>
      </c>
      <c r="I4066" s="2" t="s">
        <v>40</v>
      </c>
      <c r="J4066" s="2"/>
      <c r="K4066" s="2" t="s">
        <v>10963</v>
      </c>
      <c r="L4066" s="12">
        <v>345.0</v>
      </c>
      <c r="M4066" s="2" t="s">
        <v>10964</v>
      </c>
      <c r="N4066" s="2" t="str">
        <f>IFERROR(__xludf.DUMMYFUNCTION("""COMPUTED_VALUE"""),"")</f>
        <v/>
      </c>
    </row>
    <row r="4067">
      <c r="A4067" s="2" t="s">
        <v>33</v>
      </c>
      <c r="B4067" s="12">
        <v>3914420.0</v>
      </c>
      <c r="C4067" s="12">
        <v>3915643.0</v>
      </c>
      <c r="D4067" s="2"/>
      <c r="E4067" s="2" t="s">
        <v>34</v>
      </c>
      <c r="F4067" s="2" t="s">
        <v>10965</v>
      </c>
      <c r="G4067" s="2" t="s">
        <v>10966</v>
      </c>
      <c r="H4067" s="12">
        <v>0.0</v>
      </c>
      <c r="I4067" s="2" t="s">
        <v>40</v>
      </c>
      <c r="J4067" s="2"/>
      <c r="K4067" s="2" t="s">
        <v>10967</v>
      </c>
      <c r="L4067" s="12">
        <v>407.0</v>
      </c>
      <c r="M4067" s="2" t="s">
        <v>10968</v>
      </c>
      <c r="N4067" s="2" t="str">
        <f>IFERROR(__xludf.DUMMYFUNCTION("""COMPUTED_VALUE"""),"")</f>
        <v/>
      </c>
    </row>
    <row r="4068">
      <c r="A4068" s="2" t="s">
        <v>33</v>
      </c>
      <c r="B4068" s="12">
        <v>3915655.0</v>
      </c>
      <c r="C4068" s="12">
        <v>3916422.0</v>
      </c>
      <c r="D4068" s="2"/>
      <c r="E4068" s="2" t="s">
        <v>34</v>
      </c>
      <c r="F4068" s="2" t="s">
        <v>10969</v>
      </c>
      <c r="G4068" s="2" t="s">
        <v>10970</v>
      </c>
      <c r="H4068" s="12">
        <v>0.0</v>
      </c>
      <c r="I4068" s="2" t="s">
        <v>40</v>
      </c>
      <c r="J4068" s="2"/>
      <c r="K4068" s="2" t="s">
        <v>10971</v>
      </c>
      <c r="L4068" s="12">
        <v>255.0</v>
      </c>
      <c r="M4068" s="2" t="s">
        <v>10972</v>
      </c>
      <c r="N4068" s="2" t="str">
        <f>IFERROR(__xludf.DUMMYFUNCTION("""COMPUTED_VALUE"""),"")</f>
        <v/>
      </c>
    </row>
    <row r="4069">
      <c r="A4069" s="2" t="s">
        <v>33</v>
      </c>
      <c r="B4069" s="12">
        <v>3916419.0</v>
      </c>
      <c r="C4069" s="12">
        <v>3917579.0</v>
      </c>
      <c r="D4069" s="2"/>
      <c r="E4069" s="2" t="s">
        <v>34</v>
      </c>
      <c r="F4069" s="2" t="s">
        <v>10973</v>
      </c>
      <c r="G4069" s="2"/>
      <c r="H4069" s="12">
        <v>0.0</v>
      </c>
      <c r="I4069" s="2" t="s">
        <v>40</v>
      </c>
      <c r="J4069" s="2"/>
      <c r="K4069" s="2" t="s">
        <v>10974</v>
      </c>
      <c r="L4069" s="12">
        <v>386.0</v>
      </c>
      <c r="M4069" s="2" t="s">
        <v>10975</v>
      </c>
      <c r="N4069" s="2" t="str">
        <f>IFERROR(__xludf.DUMMYFUNCTION("""COMPUTED_VALUE"""),"")</f>
        <v/>
      </c>
    </row>
    <row r="4070">
      <c r="A4070" s="2" t="s">
        <v>33</v>
      </c>
      <c r="B4070" s="12">
        <v>3917592.0</v>
      </c>
      <c r="C4070" s="12">
        <v>3918542.0</v>
      </c>
      <c r="D4070" s="2"/>
      <c r="E4070" s="2" t="s">
        <v>34</v>
      </c>
      <c r="F4070" s="2" t="s">
        <v>6070</v>
      </c>
      <c r="G4070" s="2" t="s">
        <v>6071</v>
      </c>
      <c r="H4070" s="12">
        <v>0.0</v>
      </c>
      <c r="I4070" s="2" t="s">
        <v>40</v>
      </c>
      <c r="J4070" s="2"/>
      <c r="K4070" s="2" t="s">
        <v>10976</v>
      </c>
      <c r="L4070" s="12">
        <v>316.0</v>
      </c>
      <c r="M4070" s="2" t="s">
        <v>10977</v>
      </c>
      <c r="N4070" s="2" t="str">
        <f>IFERROR(__xludf.DUMMYFUNCTION("""COMPUTED_VALUE"""),"")</f>
        <v/>
      </c>
    </row>
    <row r="4071">
      <c r="A4071" s="2" t="s">
        <v>33</v>
      </c>
      <c r="B4071" s="12">
        <v>3918681.0</v>
      </c>
      <c r="C4071" s="12">
        <v>3919241.0</v>
      </c>
      <c r="D4071" s="2"/>
      <c r="E4071" s="2" t="s">
        <v>34</v>
      </c>
      <c r="F4071" s="2" t="s">
        <v>10978</v>
      </c>
      <c r="G4071" s="2"/>
      <c r="H4071" s="12">
        <v>0.0</v>
      </c>
      <c r="I4071" s="2" t="s">
        <v>40</v>
      </c>
      <c r="J4071" s="2"/>
      <c r="K4071" s="2" t="s">
        <v>10979</v>
      </c>
      <c r="L4071" s="12">
        <v>186.0</v>
      </c>
      <c r="M4071" s="2" t="s">
        <v>10980</v>
      </c>
      <c r="N4071" s="2" t="str">
        <f>IFERROR(__xludf.DUMMYFUNCTION("""COMPUTED_VALUE"""),"")</f>
        <v/>
      </c>
    </row>
    <row r="4072">
      <c r="A4072" s="2" t="s">
        <v>33</v>
      </c>
      <c r="B4072" s="12">
        <v>3919299.0</v>
      </c>
      <c r="C4072" s="12">
        <v>3919514.0</v>
      </c>
      <c r="D4072" s="2"/>
      <c r="E4072" s="2" t="s">
        <v>34</v>
      </c>
      <c r="F4072" s="2" t="s">
        <v>39</v>
      </c>
      <c r="G4072" s="2"/>
      <c r="H4072" s="12">
        <v>0.0</v>
      </c>
      <c r="I4072" s="2" t="s">
        <v>40</v>
      </c>
      <c r="J4072" s="2"/>
      <c r="K4072" s="2" t="s">
        <v>10981</v>
      </c>
      <c r="L4072" s="12">
        <v>71.0</v>
      </c>
      <c r="M4072" s="2" t="s">
        <v>10982</v>
      </c>
      <c r="N4072" s="2" t="str">
        <f>IFERROR(__xludf.DUMMYFUNCTION("""COMPUTED_VALUE"""),"")</f>
        <v/>
      </c>
    </row>
    <row r="4073">
      <c r="A4073" s="2" t="s">
        <v>33</v>
      </c>
      <c r="B4073" s="12">
        <v>3919539.0</v>
      </c>
      <c r="C4073" s="12">
        <v>3919985.0</v>
      </c>
      <c r="D4073" s="2"/>
      <c r="E4073" s="2" t="s">
        <v>38</v>
      </c>
      <c r="F4073" s="2" t="s">
        <v>534</v>
      </c>
      <c r="G4073" s="2"/>
      <c r="H4073" s="12">
        <v>0.0</v>
      </c>
      <c r="I4073" s="2" t="s">
        <v>40</v>
      </c>
      <c r="J4073" s="2"/>
      <c r="K4073" s="2" t="s">
        <v>10983</v>
      </c>
      <c r="L4073" s="12">
        <v>148.0</v>
      </c>
      <c r="M4073" s="2" t="s">
        <v>10984</v>
      </c>
      <c r="N4073" s="2" t="str">
        <f>IFERROR(__xludf.DUMMYFUNCTION("""COMPUTED_VALUE"""),"")</f>
        <v/>
      </c>
    </row>
    <row r="4074">
      <c r="A4074" s="2" t="s">
        <v>33</v>
      </c>
      <c r="B4074" s="12">
        <v>3920058.0</v>
      </c>
      <c r="C4074" s="12">
        <v>3920837.0</v>
      </c>
      <c r="D4074" s="2"/>
      <c r="E4074" s="2" t="s">
        <v>38</v>
      </c>
      <c r="F4074" s="2" t="s">
        <v>10985</v>
      </c>
      <c r="G4074" s="2"/>
      <c r="H4074" s="12">
        <v>0.0</v>
      </c>
      <c r="I4074" s="2" t="s">
        <v>40</v>
      </c>
      <c r="J4074" s="2"/>
      <c r="K4074" s="2" t="s">
        <v>10986</v>
      </c>
      <c r="L4074" s="12">
        <v>259.0</v>
      </c>
      <c r="M4074" s="2" t="s">
        <v>10987</v>
      </c>
      <c r="N4074" s="2" t="str">
        <f>IFERROR(__xludf.DUMMYFUNCTION("""COMPUTED_VALUE"""),"")</f>
        <v/>
      </c>
    </row>
    <row r="4075">
      <c r="A4075" s="2" t="s">
        <v>33</v>
      </c>
      <c r="B4075" s="12">
        <v>3921203.0</v>
      </c>
      <c r="C4075" s="12">
        <v>3923560.0</v>
      </c>
      <c r="D4075" s="2"/>
      <c r="E4075" s="2" t="s">
        <v>34</v>
      </c>
      <c r="F4075" s="2" t="s">
        <v>10988</v>
      </c>
      <c r="G4075" s="2" t="s">
        <v>10989</v>
      </c>
      <c r="H4075" s="12">
        <v>0.0</v>
      </c>
      <c r="I4075" s="2" t="s">
        <v>40</v>
      </c>
      <c r="J4075" s="2"/>
      <c r="K4075" s="2" t="s">
        <v>10990</v>
      </c>
      <c r="L4075" s="12">
        <v>785.0</v>
      </c>
      <c r="M4075" s="2" t="s">
        <v>10991</v>
      </c>
      <c r="N4075" s="2" t="str">
        <f>IFERROR(__xludf.DUMMYFUNCTION("""COMPUTED_VALUE"""),"")</f>
        <v/>
      </c>
    </row>
    <row r="4076">
      <c r="A4076" s="2" t="s">
        <v>33</v>
      </c>
      <c r="B4076" s="12">
        <v>3923609.0</v>
      </c>
      <c r="C4076" s="12">
        <v>3924982.0</v>
      </c>
      <c r="D4076" s="2"/>
      <c r="E4076" s="2" t="s">
        <v>38</v>
      </c>
      <c r="F4076" s="2" t="s">
        <v>2492</v>
      </c>
      <c r="G4076" s="2" t="s">
        <v>2493</v>
      </c>
      <c r="H4076" s="12">
        <v>0.0</v>
      </c>
      <c r="I4076" s="2" t="s">
        <v>40</v>
      </c>
      <c r="J4076" s="2"/>
      <c r="K4076" s="2" t="s">
        <v>10992</v>
      </c>
      <c r="L4076" s="12">
        <v>457.0</v>
      </c>
      <c r="M4076" s="2" t="s">
        <v>10993</v>
      </c>
      <c r="N4076" s="2" t="str">
        <f>IFERROR(__xludf.DUMMYFUNCTION("""COMPUTED_VALUE"""),"")</f>
        <v/>
      </c>
    </row>
    <row r="4077">
      <c r="A4077" s="2" t="s">
        <v>33</v>
      </c>
      <c r="B4077" s="12">
        <v>3925621.0</v>
      </c>
      <c r="C4077" s="12">
        <v>3925977.0</v>
      </c>
      <c r="D4077" s="2"/>
      <c r="E4077" s="2" t="s">
        <v>34</v>
      </c>
      <c r="F4077" s="2" t="s">
        <v>39</v>
      </c>
      <c r="G4077" s="2"/>
      <c r="H4077" s="12">
        <v>0.0</v>
      </c>
      <c r="I4077" s="2" t="s">
        <v>40</v>
      </c>
      <c r="J4077" s="2"/>
      <c r="K4077" s="2" t="s">
        <v>10994</v>
      </c>
      <c r="L4077" s="12">
        <v>118.0</v>
      </c>
      <c r="M4077" s="2" t="s">
        <v>10995</v>
      </c>
      <c r="N4077" s="2" t="str">
        <f>IFERROR(__xludf.DUMMYFUNCTION("""COMPUTED_VALUE"""),"")</f>
        <v/>
      </c>
    </row>
    <row r="4078">
      <c r="A4078" s="2" t="s">
        <v>33</v>
      </c>
      <c r="B4078" s="12">
        <v>3926055.0</v>
      </c>
      <c r="C4078" s="12">
        <v>3927488.0</v>
      </c>
      <c r="D4078" s="2"/>
      <c r="E4078" s="2" t="s">
        <v>34</v>
      </c>
      <c r="F4078" s="2" t="s">
        <v>10996</v>
      </c>
      <c r="G4078" s="2" t="s">
        <v>10997</v>
      </c>
      <c r="H4078" s="12">
        <v>0.0</v>
      </c>
      <c r="I4078" s="2" t="s">
        <v>40</v>
      </c>
      <c r="J4078" s="2"/>
      <c r="K4078" s="2" t="s">
        <v>10998</v>
      </c>
      <c r="L4078" s="12">
        <v>477.0</v>
      </c>
      <c r="M4078" s="2" t="s">
        <v>10999</v>
      </c>
      <c r="N4078" s="2" t="str">
        <f>IFERROR(__xludf.DUMMYFUNCTION("""COMPUTED_VALUE"""),"")</f>
        <v/>
      </c>
    </row>
    <row r="4079">
      <c r="A4079" s="2" t="s">
        <v>33</v>
      </c>
      <c r="B4079" s="12">
        <v>3927488.0</v>
      </c>
      <c r="C4079" s="12">
        <v>3928216.0</v>
      </c>
      <c r="D4079" s="2"/>
      <c r="E4079" s="2" t="s">
        <v>34</v>
      </c>
      <c r="F4079" s="2" t="s">
        <v>11000</v>
      </c>
      <c r="G4079" s="2" t="s">
        <v>11001</v>
      </c>
      <c r="H4079" s="12">
        <v>0.0</v>
      </c>
      <c r="I4079" s="2" t="s">
        <v>40</v>
      </c>
      <c r="J4079" s="2"/>
      <c r="K4079" s="2" t="s">
        <v>11002</v>
      </c>
      <c r="L4079" s="12">
        <v>242.0</v>
      </c>
      <c r="M4079" s="2" t="s">
        <v>11003</v>
      </c>
      <c r="N4079" s="2" t="str">
        <f>IFERROR(__xludf.DUMMYFUNCTION("""COMPUTED_VALUE"""),"")</f>
        <v/>
      </c>
    </row>
    <row r="4080">
      <c r="A4080" s="2" t="s">
        <v>33</v>
      </c>
      <c r="B4080" s="12">
        <v>3928182.0</v>
      </c>
      <c r="C4080" s="12">
        <v>3929369.0</v>
      </c>
      <c r="D4080" s="2"/>
      <c r="E4080" s="2" t="s">
        <v>34</v>
      </c>
      <c r="F4080" s="2" t="s">
        <v>11004</v>
      </c>
      <c r="G4080" s="2" t="s">
        <v>11005</v>
      </c>
      <c r="H4080" s="12">
        <v>0.0</v>
      </c>
      <c r="I4080" s="2" t="s">
        <v>40</v>
      </c>
      <c r="J4080" s="2"/>
      <c r="K4080" s="2" t="s">
        <v>11006</v>
      </c>
      <c r="L4080" s="12">
        <v>395.0</v>
      </c>
      <c r="M4080" s="2" t="s">
        <v>11007</v>
      </c>
      <c r="N4080" s="2" t="str">
        <f>IFERROR(__xludf.DUMMYFUNCTION("""COMPUTED_VALUE"""),"")</f>
        <v/>
      </c>
    </row>
    <row r="4081">
      <c r="A4081" s="2" t="s">
        <v>33</v>
      </c>
      <c r="B4081" s="12">
        <v>3929366.0</v>
      </c>
      <c r="C4081" s="12">
        <v>3930106.0</v>
      </c>
      <c r="D4081" s="2"/>
      <c r="E4081" s="2" t="s">
        <v>34</v>
      </c>
      <c r="F4081" s="2" t="s">
        <v>326</v>
      </c>
      <c r="G4081" s="2"/>
      <c r="H4081" s="12">
        <v>0.0</v>
      </c>
      <c r="I4081" s="2" t="s">
        <v>40</v>
      </c>
      <c r="J4081" s="2"/>
      <c r="K4081" s="2" t="s">
        <v>11008</v>
      </c>
      <c r="L4081" s="12">
        <v>246.0</v>
      </c>
      <c r="M4081" s="2" t="s">
        <v>11009</v>
      </c>
      <c r="N4081" s="2" t="str">
        <f>IFERROR(__xludf.DUMMYFUNCTION("""COMPUTED_VALUE"""),"")</f>
        <v/>
      </c>
    </row>
    <row r="4082">
      <c r="A4082" s="2" t="s">
        <v>33</v>
      </c>
      <c r="B4082" s="12">
        <v>3930072.0</v>
      </c>
      <c r="C4082" s="12">
        <v>3930881.0</v>
      </c>
      <c r="D4082" s="2"/>
      <c r="E4082" s="2" t="s">
        <v>34</v>
      </c>
      <c r="F4082" s="2" t="s">
        <v>11010</v>
      </c>
      <c r="G4082" s="2" t="s">
        <v>11011</v>
      </c>
      <c r="H4082" s="12">
        <v>0.0</v>
      </c>
      <c r="I4082" s="2" t="s">
        <v>40</v>
      </c>
      <c r="J4082" s="2"/>
      <c r="K4082" s="2" t="s">
        <v>11012</v>
      </c>
      <c r="L4082" s="12">
        <v>269.0</v>
      </c>
      <c r="M4082" s="2" t="s">
        <v>11013</v>
      </c>
      <c r="N4082" s="2" t="str">
        <f>IFERROR(__xludf.DUMMYFUNCTION("""COMPUTED_VALUE"""),"")</f>
        <v/>
      </c>
    </row>
    <row r="4083">
      <c r="A4083" s="2" t="s">
        <v>33</v>
      </c>
      <c r="B4083" s="12">
        <v>3930883.0</v>
      </c>
      <c r="C4083" s="12">
        <v>3931881.0</v>
      </c>
      <c r="D4083" s="2"/>
      <c r="E4083" s="2" t="s">
        <v>34</v>
      </c>
      <c r="F4083" s="2" t="s">
        <v>11014</v>
      </c>
      <c r="G4083" s="2" t="s">
        <v>11015</v>
      </c>
      <c r="H4083" s="12">
        <v>0.0</v>
      </c>
      <c r="I4083" s="2" t="s">
        <v>40</v>
      </c>
      <c r="J4083" s="2"/>
      <c r="K4083" s="2" t="s">
        <v>11016</v>
      </c>
      <c r="L4083" s="12">
        <v>332.0</v>
      </c>
      <c r="M4083" s="2" t="s">
        <v>11017</v>
      </c>
      <c r="N4083" s="2" t="str">
        <f>IFERROR(__xludf.DUMMYFUNCTION("""COMPUTED_VALUE"""),"")</f>
        <v/>
      </c>
    </row>
    <row r="4084">
      <c r="A4084" s="2" t="s">
        <v>33</v>
      </c>
      <c r="B4084" s="12">
        <v>3932064.0</v>
      </c>
      <c r="C4084" s="12">
        <v>3932384.0</v>
      </c>
      <c r="D4084" s="2"/>
      <c r="E4084" s="2" t="s">
        <v>34</v>
      </c>
      <c r="F4084" s="2" t="s">
        <v>39</v>
      </c>
      <c r="G4084" s="2"/>
      <c r="H4084" s="12">
        <v>0.0</v>
      </c>
      <c r="I4084" s="2" t="s">
        <v>40</v>
      </c>
      <c r="J4084" s="2"/>
      <c r="K4084" s="2" t="s">
        <v>11018</v>
      </c>
      <c r="L4084" s="12">
        <v>106.0</v>
      </c>
      <c r="M4084" s="2" t="s">
        <v>11019</v>
      </c>
      <c r="N4084" s="2" t="str">
        <f>IFERROR(__xludf.DUMMYFUNCTION("""COMPUTED_VALUE"""),"")</f>
        <v/>
      </c>
    </row>
    <row r="4085">
      <c r="A4085" s="2" t="s">
        <v>33</v>
      </c>
      <c r="B4085" s="12">
        <v>3932407.0</v>
      </c>
      <c r="C4085" s="12">
        <v>3932868.0</v>
      </c>
      <c r="D4085" s="2"/>
      <c r="E4085" s="2" t="s">
        <v>38</v>
      </c>
      <c r="F4085" s="2" t="s">
        <v>11020</v>
      </c>
      <c r="G4085" s="2" t="s">
        <v>11021</v>
      </c>
      <c r="H4085" s="12">
        <v>0.0</v>
      </c>
      <c r="I4085" s="2" t="s">
        <v>40</v>
      </c>
      <c r="J4085" s="2"/>
      <c r="K4085" s="2" t="s">
        <v>11022</v>
      </c>
      <c r="L4085" s="12">
        <v>153.0</v>
      </c>
      <c r="M4085" s="2" t="s">
        <v>11023</v>
      </c>
      <c r="N4085" s="2" t="str">
        <f>IFERROR(__xludf.DUMMYFUNCTION("""COMPUTED_VALUE"""),"")</f>
        <v/>
      </c>
    </row>
    <row r="4086">
      <c r="A4086" s="2" t="s">
        <v>33</v>
      </c>
      <c r="B4086" s="12">
        <v>3932887.0</v>
      </c>
      <c r="C4086" s="12">
        <v>3934080.0</v>
      </c>
      <c r="D4086" s="2"/>
      <c r="E4086" s="2" t="s">
        <v>38</v>
      </c>
      <c r="F4086" s="2" t="s">
        <v>11024</v>
      </c>
      <c r="G4086" s="2" t="s">
        <v>11025</v>
      </c>
      <c r="H4086" s="12">
        <v>0.0</v>
      </c>
      <c r="I4086" s="2" t="s">
        <v>40</v>
      </c>
      <c r="J4086" s="2"/>
      <c r="K4086" s="2" t="s">
        <v>11026</v>
      </c>
      <c r="L4086" s="12">
        <v>397.0</v>
      </c>
      <c r="M4086" s="2" t="s">
        <v>11027</v>
      </c>
      <c r="N4086" s="2" t="str">
        <f>IFERROR(__xludf.DUMMYFUNCTION("""COMPUTED_VALUE"""),"")</f>
        <v/>
      </c>
    </row>
    <row r="4087">
      <c r="A4087" s="2" t="s">
        <v>33</v>
      </c>
      <c r="B4087" s="12">
        <v>3934093.0</v>
      </c>
      <c r="C4087" s="12">
        <v>3934737.0</v>
      </c>
      <c r="D4087" s="2"/>
      <c r="E4087" s="2" t="s">
        <v>38</v>
      </c>
      <c r="F4087" s="2" t="s">
        <v>11028</v>
      </c>
      <c r="G4087" s="2" t="s">
        <v>11029</v>
      </c>
      <c r="H4087" s="12">
        <v>0.0</v>
      </c>
      <c r="I4087" s="2" t="s">
        <v>40</v>
      </c>
      <c r="J4087" s="2"/>
      <c r="K4087" s="2" t="s">
        <v>11030</v>
      </c>
      <c r="L4087" s="12">
        <v>214.0</v>
      </c>
      <c r="M4087" s="2" t="s">
        <v>11031</v>
      </c>
      <c r="N4087" s="2" t="str">
        <f>IFERROR(__xludf.DUMMYFUNCTION("""COMPUTED_VALUE"""),"")</f>
        <v/>
      </c>
    </row>
    <row r="4088">
      <c r="A4088" s="2" t="s">
        <v>33</v>
      </c>
      <c r="B4088" s="12">
        <v>3934719.0</v>
      </c>
      <c r="C4088" s="12">
        <v>3935831.0</v>
      </c>
      <c r="D4088" s="2"/>
      <c r="E4088" s="2" t="s">
        <v>38</v>
      </c>
      <c r="F4088" s="2" t="s">
        <v>11032</v>
      </c>
      <c r="G4088" s="2" t="s">
        <v>11033</v>
      </c>
      <c r="H4088" s="12">
        <v>0.0</v>
      </c>
      <c r="I4088" s="2" t="s">
        <v>40</v>
      </c>
      <c r="J4088" s="2"/>
      <c r="K4088" s="2" t="s">
        <v>11034</v>
      </c>
      <c r="L4088" s="12">
        <v>370.0</v>
      </c>
      <c r="M4088" s="2" t="s">
        <v>11035</v>
      </c>
      <c r="N4088" s="2" t="str">
        <f>IFERROR(__xludf.DUMMYFUNCTION("""COMPUTED_VALUE"""),"")</f>
        <v/>
      </c>
    </row>
    <row r="4089">
      <c r="A4089" s="2" t="s">
        <v>33</v>
      </c>
      <c r="B4089" s="12">
        <v>3936471.0</v>
      </c>
      <c r="C4089" s="12">
        <v>3936677.0</v>
      </c>
      <c r="D4089" s="2"/>
      <c r="E4089" s="2" t="s">
        <v>38</v>
      </c>
      <c r="F4089" s="2" t="s">
        <v>11036</v>
      </c>
      <c r="G4089" s="2"/>
      <c r="H4089" s="12">
        <v>0.0</v>
      </c>
      <c r="I4089" s="2" t="s">
        <v>40</v>
      </c>
      <c r="J4089" s="2"/>
      <c r="K4089" s="2" t="s">
        <v>11037</v>
      </c>
      <c r="L4089" s="12">
        <v>68.0</v>
      </c>
      <c r="M4089" s="2" t="s">
        <v>11038</v>
      </c>
      <c r="N4089" s="2" t="str">
        <f>IFERROR(__xludf.DUMMYFUNCTION("""COMPUTED_VALUE"""),"")</f>
        <v/>
      </c>
    </row>
    <row r="4090">
      <c r="A4090" s="2" t="s">
        <v>33</v>
      </c>
      <c r="B4090" s="12">
        <v>3936817.0</v>
      </c>
      <c r="C4090" s="12">
        <v>3937062.0</v>
      </c>
      <c r="D4090" s="2"/>
      <c r="E4090" s="2" t="s">
        <v>34</v>
      </c>
      <c r="F4090" s="2" t="s">
        <v>11039</v>
      </c>
      <c r="G4090" s="2"/>
      <c r="H4090" s="12">
        <v>0.0</v>
      </c>
      <c r="I4090" s="2" t="s">
        <v>40</v>
      </c>
      <c r="J4090" s="2"/>
      <c r="K4090" s="2" t="s">
        <v>11040</v>
      </c>
      <c r="L4090" s="12">
        <v>81.0</v>
      </c>
      <c r="M4090" s="2" t="s">
        <v>11041</v>
      </c>
      <c r="N4090" s="2" t="str">
        <f>IFERROR(__xludf.DUMMYFUNCTION("""COMPUTED_VALUE"""),"")</f>
        <v/>
      </c>
    </row>
    <row r="4091">
      <c r="A4091" s="2" t="s">
        <v>33</v>
      </c>
      <c r="B4091" s="12">
        <v>3937072.0</v>
      </c>
      <c r="C4091" s="12">
        <v>3937998.0</v>
      </c>
      <c r="D4091" s="2"/>
      <c r="E4091" s="2" t="s">
        <v>38</v>
      </c>
      <c r="F4091" s="2" t="s">
        <v>1672</v>
      </c>
      <c r="G4091" s="2"/>
      <c r="H4091" s="12">
        <v>0.0</v>
      </c>
      <c r="I4091" s="2" t="s">
        <v>40</v>
      </c>
      <c r="J4091" s="2"/>
      <c r="K4091" s="2" t="s">
        <v>11042</v>
      </c>
      <c r="L4091" s="12">
        <v>308.0</v>
      </c>
      <c r="M4091" s="2" t="s">
        <v>11043</v>
      </c>
      <c r="N4091" s="2" t="str">
        <f>IFERROR(__xludf.DUMMYFUNCTION("""COMPUTED_VALUE"""),"")</f>
        <v/>
      </c>
    </row>
    <row r="4092">
      <c r="A4092" s="2" t="s">
        <v>33</v>
      </c>
      <c r="B4092" s="12">
        <v>3938080.0</v>
      </c>
      <c r="C4092" s="12">
        <v>3938562.0</v>
      </c>
      <c r="D4092" s="2"/>
      <c r="E4092" s="2" t="s">
        <v>34</v>
      </c>
      <c r="F4092" s="2" t="s">
        <v>367</v>
      </c>
      <c r="G4092" s="2"/>
      <c r="H4092" s="12">
        <v>0.0</v>
      </c>
      <c r="I4092" s="2" t="s">
        <v>40</v>
      </c>
      <c r="J4092" s="2"/>
      <c r="K4092" s="2" t="s">
        <v>11044</v>
      </c>
      <c r="L4092" s="12">
        <v>160.0</v>
      </c>
      <c r="M4092" s="2" t="s">
        <v>11045</v>
      </c>
      <c r="N4092" s="2" t="str">
        <f>IFERROR(__xludf.DUMMYFUNCTION("""COMPUTED_VALUE"""),"")</f>
        <v/>
      </c>
    </row>
    <row r="4093">
      <c r="A4093" s="2" t="s">
        <v>33</v>
      </c>
      <c r="B4093" s="12">
        <v>3938662.0</v>
      </c>
      <c r="C4093" s="12">
        <v>3939525.0</v>
      </c>
      <c r="D4093" s="2"/>
      <c r="E4093" s="2" t="s">
        <v>34</v>
      </c>
      <c r="F4093" s="2" t="s">
        <v>4305</v>
      </c>
      <c r="G4093" s="2"/>
      <c r="H4093" s="12">
        <v>0.0</v>
      </c>
      <c r="I4093" s="2" t="s">
        <v>40</v>
      </c>
      <c r="J4093" s="2"/>
      <c r="K4093" s="2" t="s">
        <v>11046</v>
      </c>
      <c r="L4093" s="12">
        <v>287.0</v>
      </c>
      <c r="M4093" s="2" t="s">
        <v>11047</v>
      </c>
      <c r="N4093" s="2" t="str">
        <f>IFERROR(__xludf.DUMMYFUNCTION("""COMPUTED_VALUE"""),"")</f>
        <v/>
      </c>
    </row>
    <row r="4094">
      <c r="A4094" s="2" t="s">
        <v>33</v>
      </c>
      <c r="B4094" s="12">
        <v>3939550.0</v>
      </c>
      <c r="C4094" s="12">
        <v>3940869.0</v>
      </c>
      <c r="D4094" s="2"/>
      <c r="E4094" s="2" t="s">
        <v>38</v>
      </c>
      <c r="F4094" s="2" t="s">
        <v>11048</v>
      </c>
      <c r="G4094" s="2"/>
      <c r="H4094" s="12">
        <v>0.0</v>
      </c>
      <c r="I4094" s="2" t="s">
        <v>40</v>
      </c>
      <c r="J4094" s="2"/>
      <c r="K4094" s="2" t="s">
        <v>11049</v>
      </c>
      <c r="L4094" s="12">
        <v>439.0</v>
      </c>
      <c r="M4094" s="2" t="s">
        <v>11050</v>
      </c>
      <c r="N4094" s="2" t="str">
        <f>IFERROR(__xludf.DUMMYFUNCTION("""COMPUTED_VALUE"""),"")</f>
        <v/>
      </c>
    </row>
    <row r="4095">
      <c r="A4095" s="2" t="s">
        <v>33</v>
      </c>
      <c r="B4095" s="12">
        <v>3941001.0</v>
      </c>
      <c r="C4095" s="12">
        <v>3941999.0</v>
      </c>
      <c r="D4095" s="2"/>
      <c r="E4095" s="2" t="s">
        <v>38</v>
      </c>
      <c r="F4095" s="2" t="s">
        <v>326</v>
      </c>
      <c r="G4095" s="2"/>
      <c r="H4095" s="12">
        <v>0.0</v>
      </c>
      <c r="I4095" s="2" t="s">
        <v>40</v>
      </c>
      <c r="J4095" s="2"/>
      <c r="K4095" s="2" t="s">
        <v>11051</v>
      </c>
      <c r="L4095" s="12">
        <v>332.0</v>
      </c>
      <c r="M4095" s="2" t="s">
        <v>11052</v>
      </c>
      <c r="N4095" s="2" t="str">
        <f>IFERROR(__xludf.DUMMYFUNCTION("""COMPUTED_VALUE"""),"")</f>
        <v/>
      </c>
    </row>
    <row r="4096">
      <c r="A4096" s="2" t="s">
        <v>33</v>
      </c>
      <c r="B4096" s="12">
        <v>3942121.0</v>
      </c>
      <c r="C4096" s="12">
        <v>3942597.0</v>
      </c>
      <c r="D4096" s="2"/>
      <c r="E4096" s="2" t="s">
        <v>34</v>
      </c>
      <c r="F4096" s="2" t="s">
        <v>11053</v>
      </c>
      <c r="G4096" s="2"/>
      <c r="H4096" s="12">
        <v>0.0</v>
      </c>
      <c r="I4096" s="2" t="s">
        <v>40</v>
      </c>
      <c r="J4096" s="2"/>
      <c r="K4096" s="2" t="s">
        <v>11054</v>
      </c>
      <c r="L4096" s="12">
        <v>158.0</v>
      </c>
      <c r="M4096" s="2" t="s">
        <v>11055</v>
      </c>
      <c r="N4096" s="2" t="str">
        <f>IFERROR(__xludf.DUMMYFUNCTION("""COMPUTED_VALUE"""),"")</f>
        <v/>
      </c>
    </row>
    <row r="4097">
      <c r="A4097" s="2" t="s">
        <v>33</v>
      </c>
      <c r="B4097" s="12">
        <v>3942722.0</v>
      </c>
      <c r="C4097" s="12">
        <v>3944311.0</v>
      </c>
      <c r="D4097" s="2"/>
      <c r="E4097" s="2" t="s">
        <v>38</v>
      </c>
      <c r="F4097" s="2" t="s">
        <v>8602</v>
      </c>
      <c r="G4097" s="2"/>
      <c r="H4097" s="12">
        <v>0.0</v>
      </c>
      <c r="I4097" s="2" t="s">
        <v>40</v>
      </c>
      <c r="J4097" s="2"/>
      <c r="K4097" s="2" t="s">
        <v>11056</v>
      </c>
      <c r="L4097" s="12">
        <v>529.0</v>
      </c>
      <c r="M4097" s="2" t="s">
        <v>11057</v>
      </c>
      <c r="N4097" s="2" t="str">
        <f>IFERROR(__xludf.DUMMYFUNCTION("""COMPUTED_VALUE"""),"")</f>
        <v/>
      </c>
    </row>
    <row r="4098">
      <c r="A4098" s="2" t="s">
        <v>33</v>
      </c>
      <c r="B4098" s="12">
        <v>3944512.0</v>
      </c>
      <c r="C4098" s="12">
        <v>3944775.0</v>
      </c>
      <c r="D4098" s="2"/>
      <c r="E4098" s="2" t="s">
        <v>34</v>
      </c>
      <c r="F4098" s="2" t="s">
        <v>11058</v>
      </c>
      <c r="G4098" s="2"/>
      <c r="H4098" s="12">
        <v>0.0</v>
      </c>
      <c r="I4098" s="2" t="s">
        <v>40</v>
      </c>
      <c r="J4098" s="2"/>
      <c r="K4098" s="2" t="s">
        <v>11059</v>
      </c>
      <c r="L4098" s="12">
        <v>87.0</v>
      </c>
      <c r="M4098" s="2" t="s">
        <v>11060</v>
      </c>
      <c r="N4098" s="2" t="str">
        <f>IFERROR(__xludf.DUMMYFUNCTION("""COMPUTED_VALUE"""),"")</f>
        <v/>
      </c>
    </row>
    <row r="4099">
      <c r="A4099" s="2" t="s">
        <v>33</v>
      </c>
      <c r="B4099" s="12">
        <v>3944843.0</v>
      </c>
      <c r="C4099" s="12">
        <v>3945367.0</v>
      </c>
      <c r="D4099" s="2"/>
      <c r="E4099" s="2" t="s">
        <v>34</v>
      </c>
      <c r="F4099" s="2" t="s">
        <v>11061</v>
      </c>
      <c r="G4099" s="2"/>
      <c r="H4099" s="12">
        <v>0.0</v>
      </c>
      <c r="I4099" s="2" t="s">
        <v>40</v>
      </c>
      <c r="J4099" s="2"/>
      <c r="K4099" s="2" t="s">
        <v>11062</v>
      </c>
      <c r="L4099" s="12">
        <v>174.0</v>
      </c>
      <c r="M4099" s="2" t="s">
        <v>11063</v>
      </c>
      <c r="N4099" s="2" t="str">
        <f>IFERROR(__xludf.DUMMYFUNCTION("""COMPUTED_VALUE"""),"")</f>
        <v/>
      </c>
    </row>
    <row r="4100">
      <c r="A4100" s="2" t="s">
        <v>33</v>
      </c>
      <c r="B4100" s="12">
        <v>3945495.0</v>
      </c>
      <c r="C4100" s="12">
        <v>3946322.0</v>
      </c>
      <c r="D4100" s="2"/>
      <c r="E4100" s="2" t="s">
        <v>34</v>
      </c>
      <c r="F4100" s="2" t="s">
        <v>1711</v>
      </c>
      <c r="G4100" s="2"/>
      <c r="H4100" s="12">
        <v>0.0</v>
      </c>
      <c r="I4100" s="2" t="s">
        <v>40</v>
      </c>
      <c r="J4100" s="2"/>
      <c r="K4100" s="2" t="s">
        <v>11064</v>
      </c>
      <c r="L4100" s="12">
        <v>275.0</v>
      </c>
      <c r="M4100" s="2" t="s">
        <v>11065</v>
      </c>
      <c r="N4100" s="2" t="str">
        <f>IFERROR(__xludf.DUMMYFUNCTION("""COMPUTED_VALUE"""),"")</f>
        <v/>
      </c>
    </row>
    <row r="4101">
      <c r="A4101" s="2" t="s">
        <v>33</v>
      </c>
      <c r="B4101" s="12">
        <v>3946381.0</v>
      </c>
      <c r="C4101" s="12">
        <v>3947295.0</v>
      </c>
      <c r="D4101" s="2"/>
      <c r="E4101" s="2" t="s">
        <v>38</v>
      </c>
      <c r="F4101" s="2" t="s">
        <v>1711</v>
      </c>
      <c r="G4101" s="2"/>
      <c r="H4101" s="12">
        <v>0.0</v>
      </c>
      <c r="I4101" s="2" t="s">
        <v>40</v>
      </c>
      <c r="J4101" s="2"/>
      <c r="K4101" s="2" t="s">
        <v>11066</v>
      </c>
      <c r="L4101" s="12">
        <v>304.0</v>
      </c>
      <c r="M4101" s="2" t="s">
        <v>11067</v>
      </c>
      <c r="N4101" s="2" t="str">
        <f>IFERROR(__xludf.DUMMYFUNCTION("""COMPUTED_VALUE"""),"")</f>
        <v/>
      </c>
    </row>
    <row r="4102">
      <c r="A4102" s="2" t="s">
        <v>33</v>
      </c>
      <c r="B4102" s="12">
        <v>3947388.0</v>
      </c>
      <c r="C4102" s="12">
        <v>3947522.0</v>
      </c>
      <c r="D4102" s="2"/>
      <c r="E4102" s="2" t="s">
        <v>38</v>
      </c>
      <c r="F4102" s="2" t="s">
        <v>11068</v>
      </c>
      <c r="G4102" s="2" t="s">
        <v>11069</v>
      </c>
      <c r="H4102" s="12">
        <v>0.0</v>
      </c>
      <c r="I4102" s="2" t="s">
        <v>40</v>
      </c>
      <c r="J4102" s="2"/>
      <c r="K4102" s="2" t="s">
        <v>11070</v>
      </c>
      <c r="L4102" s="12">
        <v>44.0</v>
      </c>
      <c r="M4102" s="2" t="s">
        <v>11071</v>
      </c>
      <c r="N4102" s="2" t="str">
        <f>IFERROR(__xludf.DUMMYFUNCTION("""COMPUTED_VALUE"""),"")</f>
        <v/>
      </c>
    </row>
    <row r="4103">
      <c r="A4103" s="2" t="s">
        <v>33</v>
      </c>
      <c r="B4103" s="12">
        <v>3947597.0</v>
      </c>
      <c r="C4103" s="12">
        <v>3948136.0</v>
      </c>
      <c r="D4103" s="2"/>
      <c r="E4103" s="2" t="s">
        <v>34</v>
      </c>
      <c r="F4103" s="2" t="s">
        <v>1611</v>
      </c>
      <c r="G4103" s="2"/>
      <c r="H4103" s="12">
        <v>0.0</v>
      </c>
      <c r="I4103" s="2" t="s">
        <v>40</v>
      </c>
      <c r="J4103" s="2"/>
      <c r="K4103" s="2" t="s">
        <v>11072</v>
      </c>
      <c r="L4103" s="12">
        <v>179.0</v>
      </c>
      <c r="M4103" s="2" t="s">
        <v>11073</v>
      </c>
      <c r="N4103" s="2" t="str">
        <f>IFERROR(__xludf.DUMMYFUNCTION("""COMPUTED_VALUE"""),"")</f>
        <v/>
      </c>
    </row>
    <row r="4104">
      <c r="A4104" s="2" t="s">
        <v>33</v>
      </c>
      <c r="B4104" s="12">
        <v>3948161.0</v>
      </c>
      <c r="C4104" s="12">
        <v>3948712.0</v>
      </c>
      <c r="D4104" s="2"/>
      <c r="E4104" s="2" t="s">
        <v>38</v>
      </c>
      <c r="F4104" s="2" t="s">
        <v>367</v>
      </c>
      <c r="G4104" s="2"/>
      <c r="H4104" s="12">
        <v>0.0</v>
      </c>
      <c r="I4104" s="2" t="s">
        <v>40</v>
      </c>
      <c r="J4104" s="2"/>
      <c r="K4104" s="2" t="s">
        <v>11074</v>
      </c>
      <c r="L4104" s="12">
        <v>183.0</v>
      </c>
      <c r="M4104" s="2" t="s">
        <v>11075</v>
      </c>
      <c r="N4104" s="2" t="str">
        <f>IFERROR(__xludf.DUMMYFUNCTION("""COMPUTED_VALUE"""),"")</f>
        <v/>
      </c>
    </row>
    <row r="4105">
      <c r="A4105" s="2" t="s">
        <v>33</v>
      </c>
      <c r="B4105" s="12">
        <v>3948868.0</v>
      </c>
      <c r="C4105" s="12">
        <v>3949485.0</v>
      </c>
      <c r="D4105" s="2"/>
      <c r="E4105" s="2" t="s">
        <v>34</v>
      </c>
      <c r="F4105" s="2" t="s">
        <v>11076</v>
      </c>
      <c r="G4105" s="2" t="s">
        <v>11077</v>
      </c>
      <c r="H4105" s="12">
        <v>0.0</v>
      </c>
      <c r="I4105" s="2" t="s">
        <v>40</v>
      </c>
      <c r="J4105" s="2"/>
      <c r="K4105" s="2" t="s">
        <v>11078</v>
      </c>
      <c r="L4105" s="12">
        <v>205.0</v>
      </c>
      <c r="M4105" s="2" t="s">
        <v>11079</v>
      </c>
      <c r="N4105" s="2" t="str">
        <f>IFERROR(__xludf.DUMMYFUNCTION("""COMPUTED_VALUE"""),"")</f>
        <v/>
      </c>
    </row>
    <row r="4106">
      <c r="A4106" s="2" t="s">
        <v>33</v>
      </c>
      <c r="B4106" s="12">
        <v>3949593.0</v>
      </c>
      <c r="C4106" s="12">
        <v>3950048.0</v>
      </c>
      <c r="D4106" s="2"/>
      <c r="E4106" s="2" t="s">
        <v>34</v>
      </c>
      <c r="F4106" s="2" t="s">
        <v>10521</v>
      </c>
      <c r="G4106" s="2"/>
      <c r="H4106" s="12">
        <v>0.0</v>
      </c>
      <c r="I4106" s="2" t="s">
        <v>40</v>
      </c>
      <c r="J4106" s="2"/>
      <c r="K4106" s="2" t="s">
        <v>11080</v>
      </c>
      <c r="L4106" s="12">
        <v>151.0</v>
      </c>
      <c r="M4106" s="2" t="s">
        <v>11081</v>
      </c>
      <c r="N4106" s="2" t="str">
        <f>IFERROR(__xludf.DUMMYFUNCTION("""COMPUTED_VALUE"""),"")</f>
        <v/>
      </c>
    </row>
    <row r="4107">
      <c r="A4107" s="2" t="s">
        <v>33</v>
      </c>
      <c r="B4107" s="12">
        <v>3950152.0</v>
      </c>
      <c r="C4107" s="12">
        <v>3950382.0</v>
      </c>
      <c r="D4107" s="2"/>
      <c r="E4107" s="2" t="s">
        <v>34</v>
      </c>
      <c r="F4107" s="2" t="s">
        <v>11082</v>
      </c>
      <c r="G4107" s="2"/>
      <c r="H4107" s="12">
        <v>0.0</v>
      </c>
      <c r="I4107" s="2" t="s">
        <v>40</v>
      </c>
      <c r="J4107" s="2"/>
      <c r="K4107" s="2" t="s">
        <v>11083</v>
      </c>
      <c r="L4107" s="12">
        <v>76.0</v>
      </c>
      <c r="M4107" s="2" t="s">
        <v>11084</v>
      </c>
      <c r="N4107" s="2" t="str">
        <f>IFERROR(__xludf.DUMMYFUNCTION("""COMPUTED_VALUE"""),"")</f>
        <v/>
      </c>
    </row>
    <row r="4108">
      <c r="A4108" s="2" t="s">
        <v>33</v>
      </c>
      <c r="B4108" s="12">
        <v>3950389.0</v>
      </c>
      <c r="C4108" s="12">
        <v>3951279.0</v>
      </c>
      <c r="D4108" s="2"/>
      <c r="E4108" s="2" t="s">
        <v>34</v>
      </c>
      <c r="F4108" s="2" t="s">
        <v>11085</v>
      </c>
      <c r="G4108" s="2" t="s">
        <v>11086</v>
      </c>
      <c r="H4108" s="12">
        <v>0.0</v>
      </c>
      <c r="I4108" s="2" t="s">
        <v>40</v>
      </c>
      <c r="J4108" s="2"/>
      <c r="K4108" s="2" t="s">
        <v>11087</v>
      </c>
      <c r="L4108" s="12">
        <v>296.0</v>
      </c>
      <c r="M4108" s="2" t="s">
        <v>11088</v>
      </c>
      <c r="N4108" s="2" t="str">
        <f>IFERROR(__xludf.DUMMYFUNCTION("""COMPUTED_VALUE"""),"")</f>
        <v/>
      </c>
    </row>
    <row r="4109">
      <c r="A4109" s="2" t="s">
        <v>33</v>
      </c>
      <c r="B4109" s="12">
        <v>3951427.0</v>
      </c>
      <c r="C4109" s="12">
        <v>3952167.0</v>
      </c>
      <c r="D4109" s="2"/>
      <c r="E4109" s="2" t="s">
        <v>34</v>
      </c>
      <c r="F4109" s="2" t="s">
        <v>11089</v>
      </c>
      <c r="G4109" s="2"/>
      <c r="H4109" s="12">
        <v>0.0</v>
      </c>
      <c r="I4109" s="2" t="s">
        <v>40</v>
      </c>
      <c r="J4109" s="2"/>
      <c r="K4109" s="2" t="s">
        <v>11090</v>
      </c>
      <c r="L4109" s="12">
        <v>246.0</v>
      </c>
      <c r="M4109" s="2" t="s">
        <v>11091</v>
      </c>
      <c r="N4109" s="2" t="str">
        <f>IFERROR(__xludf.DUMMYFUNCTION("""COMPUTED_VALUE"""),"")</f>
        <v/>
      </c>
    </row>
    <row r="4110">
      <c r="A4110" s="2" t="s">
        <v>33</v>
      </c>
      <c r="B4110" s="12">
        <v>3952522.0</v>
      </c>
      <c r="C4110" s="12">
        <v>3953706.0</v>
      </c>
      <c r="D4110" s="2"/>
      <c r="E4110" s="2" t="s">
        <v>34</v>
      </c>
      <c r="F4110" s="2" t="s">
        <v>11092</v>
      </c>
      <c r="G4110" s="2" t="s">
        <v>11093</v>
      </c>
      <c r="H4110" s="12">
        <v>0.0</v>
      </c>
      <c r="I4110" s="2" t="s">
        <v>40</v>
      </c>
      <c r="J4110" s="2"/>
      <c r="K4110" s="2" t="s">
        <v>11094</v>
      </c>
      <c r="L4110" s="12">
        <v>394.0</v>
      </c>
      <c r="M4110" s="2" t="s">
        <v>11095</v>
      </c>
      <c r="N4110" s="2" t="str">
        <f>IFERROR(__xludf.DUMMYFUNCTION("""COMPUTED_VALUE"""),"")</f>
        <v/>
      </c>
    </row>
    <row r="4111">
      <c r="A4111" s="2" t="s">
        <v>33</v>
      </c>
      <c r="B4111" s="12">
        <v>3953719.0</v>
      </c>
      <c r="C4111" s="12">
        <v>3954540.0</v>
      </c>
      <c r="D4111" s="2"/>
      <c r="E4111" s="2" t="s">
        <v>34</v>
      </c>
      <c r="F4111" s="2" t="s">
        <v>3240</v>
      </c>
      <c r="G4111" s="2"/>
      <c r="H4111" s="12">
        <v>0.0</v>
      </c>
      <c r="I4111" s="2" t="s">
        <v>40</v>
      </c>
      <c r="J4111" s="2"/>
      <c r="K4111" s="2" t="s">
        <v>11096</v>
      </c>
      <c r="L4111" s="12">
        <v>273.0</v>
      </c>
      <c r="M4111" s="2" t="s">
        <v>11097</v>
      </c>
      <c r="N4111" s="2" t="str">
        <f>IFERROR(__xludf.DUMMYFUNCTION("""COMPUTED_VALUE"""),"")</f>
        <v/>
      </c>
    </row>
    <row r="4112">
      <c r="A4112" s="2" t="s">
        <v>33</v>
      </c>
      <c r="B4112" s="12">
        <v>3954548.0</v>
      </c>
      <c r="C4112" s="12">
        <v>3955852.0</v>
      </c>
      <c r="D4112" s="2"/>
      <c r="E4112" s="2" t="s">
        <v>34</v>
      </c>
      <c r="F4112" s="2" t="s">
        <v>2181</v>
      </c>
      <c r="G4112" s="2"/>
      <c r="H4112" s="12">
        <v>0.0</v>
      </c>
      <c r="I4112" s="2" t="s">
        <v>40</v>
      </c>
      <c r="J4112" s="2"/>
      <c r="K4112" s="2" t="s">
        <v>11098</v>
      </c>
      <c r="L4112" s="12">
        <v>434.0</v>
      </c>
      <c r="M4112" s="2" t="s">
        <v>11099</v>
      </c>
      <c r="N4112" s="2" t="str">
        <f>IFERROR(__xludf.DUMMYFUNCTION("""COMPUTED_VALUE"""),"")</f>
        <v/>
      </c>
    </row>
    <row r="4113">
      <c r="A4113" s="2" t="s">
        <v>33</v>
      </c>
      <c r="B4113" s="12">
        <v>3955913.0</v>
      </c>
      <c r="C4113" s="12">
        <v>3956875.0</v>
      </c>
      <c r="D4113" s="2"/>
      <c r="E4113" s="2" t="s">
        <v>34</v>
      </c>
      <c r="F4113" s="2" t="s">
        <v>11100</v>
      </c>
      <c r="G4113" s="2" t="s">
        <v>11101</v>
      </c>
      <c r="H4113" s="12">
        <v>0.0</v>
      </c>
      <c r="I4113" s="2" t="s">
        <v>40</v>
      </c>
      <c r="J4113" s="2"/>
      <c r="K4113" s="2" t="s">
        <v>11102</v>
      </c>
      <c r="L4113" s="12">
        <v>320.0</v>
      </c>
      <c r="M4113" s="2" t="s">
        <v>11103</v>
      </c>
      <c r="N4113" s="2" t="str">
        <f>IFERROR(__xludf.DUMMYFUNCTION("""COMPUTED_VALUE"""),"")</f>
        <v/>
      </c>
    </row>
    <row r="4114">
      <c r="A4114" s="2" t="s">
        <v>33</v>
      </c>
      <c r="B4114" s="12">
        <v>3956908.0</v>
      </c>
      <c r="C4114" s="12">
        <v>3958197.0</v>
      </c>
      <c r="D4114" s="2"/>
      <c r="E4114" s="2" t="s">
        <v>38</v>
      </c>
      <c r="F4114" s="2" t="s">
        <v>5122</v>
      </c>
      <c r="G4114" s="2"/>
      <c r="H4114" s="12">
        <v>0.0</v>
      </c>
      <c r="I4114" s="2" t="s">
        <v>40</v>
      </c>
      <c r="J4114" s="2"/>
      <c r="K4114" s="2" t="s">
        <v>11104</v>
      </c>
      <c r="L4114" s="12">
        <v>429.0</v>
      </c>
      <c r="M4114" s="2" t="s">
        <v>11105</v>
      </c>
      <c r="N4114" s="2" t="str">
        <f>IFERROR(__xludf.DUMMYFUNCTION("""COMPUTED_VALUE"""),"")</f>
        <v/>
      </c>
    </row>
    <row r="4115">
      <c r="A4115" s="2" t="s">
        <v>33</v>
      </c>
      <c r="B4115" s="12">
        <v>3958332.0</v>
      </c>
      <c r="C4115" s="12">
        <v>3959003.0</v>
      </c>
      <c r="D4115" s="2"/>
      <c r="E4115" s="2" t="s">
        <v>38</v>
      </c>
      <c r="F4115" s="2" t="s">
        <v>11106</v>
      </c>
      <c r="G4115" s="2"/>
      <c r="H4115" s="12">
        <v>0.0</v>
      </c>
      <c r="I4115" s="2" t="s">
        <v>40</v>
      </c>
      <c r="J4115" s="2"/>
      <c r="K4115" s="2" t="s">
        <v>11107</v>
      </c>
      <c r="L4115" s="12">
        <v>223.0</v>
      </c>
      <c r="M4115" s="2" t="s">
        <v>11108</v>
      </c>
      <c r="N4115" s="2" t="str">
        <f>IFERROR(__xludf.DUMMYFUNCTION("""COMPUTED_VALUE"""),"")</f>
        <v/>
      </c>
    </row>
    <row r="4116">
      <c r="A4116" s="2" t="s">
        <v>33</v>
      </c>
      <c r="B4116" s="12">
        <v>3959163.0</v>
      </c>
      <c r="C4116" s="12">
        <v>3959582.0</v>
      </c>
      <c r="D4116" s="2"/>
      <c r="E4116" s="2" t="s">
        <v>34</v>
      </c>
      <c r="F4116" s="2" t="s">
        <v>534</v>
      </c>
      <c r="G4116" s="2"/>
      <c r="H4116" s="12">
        <v>0.0</v>
      </c>
      <c r="I4116" s="2" t="s">
        <v>40</v>
      </c>
      <c r="J4116" s="2"/>
      <c r="K4116" s="2" t="s">
        <v>11109</v>
      </c>
      <c r="L4116" s="12">
        <v>139.0</v>
      </c>
      <c r="M4116" s="2" t="s">
        <v>11110</v>
      </c>
      <c r="N4116" s="2" t="str">
        <f>IFERROR(__xludf.DUMMYFUNCTION("""COMPUTED_VALUE"""),"")</f>
        <v/>
      </c>
    </row>
    <row r="4117">
      <c r="A4117" s="2" t="s">
        <v>33</v>
      </c>
      <c r="B4117" s="12">
        <v>3959682.0</v>
      </c>
      <c r="C4117" s="12">
        <v>3960227.0</v>
      </c>
      <c r="D4117" s="2"/>
      <c r="E4117" s="2" t="s">
        <v>34</v>
      </c>
      <c r="F4117" s="2" t="s">
        <v>39</v>
      </c>
      <c r="G4117" s="2"/>
      <c r="H4117" s="12">
        <v>0.0</v>
      </c>
      <c r="I4117" s="2" t="s">
        <v>40</v>
      </c>
      <c r="J4117" s="2"/>
      <c r="K4117" s="2" t="s">
        <v>11111</v>
      </c>
      <c r="L4117" s="12">
        <v>181.0</v>
      </c>
      <c r="M4117" s="2" t="s">
        <v>11112</v>
      </c>
      <c r="N4117" s="2" t="str">
        <f>IFERROR(__xludf.DUMMYFUNCTION("""COMPUTED_VALUE"""),"")</f>
        <v/>
      </c>
    </row>
    <row r="4118">
      <c r="A4118" s="2" t="s">
        <v>33</v>
      </c>
      <c r="B4118" s="12">
        <v>3960247.0</v>
      </c>
      <c r="C4118" s="12">
        <v>3961332.0</v>
      </c>
      <c r="D4118" s="2"/>
      <c r="E4118" s="2" t="s">
        <v>38</v>
      </c>
      <c r="F4118" s="2" t="s">
        <v>39</v>
      </c>
      <c r="G4118" s="2"/>
      <c r="H4118" s="12">
        <v>0.0</v>
      </c>
      <c r="I4118" s="2" t="s">
        <v>40</v>
      </c>
      <c r="J4118" s="2"/>
      <c r="K4118" s="2" t="s">
        <v>11113</v>
      </c>
      <c r="L4118" s="12">
        <v>361.0</v>
      </c>
      <c r="M4118" s="2" t="s">
        <v>11114</v>
      </c>
      <c r="N4118" s="2" t="str">
        <f>IFERROR(__xludf.DUMMYFUNCTION("""COMPUTED_VALUE"""),"")</f>
        <v/>
      </c>
    </row>
    <row r="4119">
      <c r="A4119" s="2" t="s">
        <v>33</v>
      </c>
      <c r="B4119" s="12">
        <v>3961345.0</v>
      </c>
      <c r="C4119" s="12">
        <v>3962412.0</v>
      </c>
      <c r="D4119" s="2"/>
      <c r="E4119" s="2" t="s">
        <v>38</v>
      </c>
      <c r="F4119" s="2" t="s">
        <v>265</v>
      </c>
      <c r="G4119" s="2"/>
      <c r="H4119" s="12">
        <v>0.0</v>
      </c>
      <c r="I4119" s="2" t="s">
        <v>40</v>
      </c>
      <c r="J4119" s="2"/>
      <c r="K4119" s="2" t="s">
        <v>11115</v>
      </c>
      <c r="L4119" s="12">
        <v>355.0</v>
      </c>
      <c r="M4119" s="2" t="s">
        <v>11116</v>
      </c>
      <c r="N4119" s="2" t="str">
        <f>IFERROR(__xludf.DUMMYFUNCTION("""COMPUTED_VALUE"""),"")</f>
        <v/>
      </c>
    </row>
    <row r="4120">
      <c r="A4120" s="2" t="s">
        <v>33</v>
      </c>
      <c r="B4120" s="12">
        <v>3962402.0</v>
      </c>
      <c r="C4120" s="12">
        <v>3963283.0</v>
      </c>
      <c r="D4120" s="2"/>
      <c r="E4120" s="2" t="s">
        <v>38</v>
      </c>
      <c r="F4120" s="2" t="s">
        <v>432</v>
      </c>
      <c r="G4120" s="2"/>
      <c r="H4120" s="12">
        <v>0.0</v>
      </c>
      <c r="I4120" s="2" t="s">
        <v>40</v>
      </c>
      <c r="J4120" s="2"/>
      <c r="K4120" s="2" t="s">
        <v>11117</v>
      </c>
      <c r="L4120" s="12">
        <v>293.0</v>
      </c>
      <c r="M4120" s="2" t="s">
        <v>11118</v>
      </c>
      <c r="N4120" s="2" t="str">
        <f>IFERROR(__xludf.DUMMYFUNCTION("""COMPUTED_VALUE"""),"")</f>
        <v/>
      </c>
    </row>
    <row r="4121">
      <c r="A4121" s="2" t="s">
        <v>33</v>
      </c>
      <c r="B4121" s="12">
        <v>3963249.0</v>
      </c>
      <c r="C4121" s="12">
        <v>3963668.0</v>
      </c>
      <c r="D4121" s="2"/>
      <c r="E4121" s="2" t="s">
        <v>38</v>
      </c>
      <c r="F4121" s="2" t="s">
        <v>2509</v>
      </c>
      <c r="G4121" s="2"/>
      <c r="H4121" s="12">
        <v>0.0</v>
      </c>
      <c r="I4121" s="2" t="s">
        <v>40</v>
      </c>
      <c r="J4121" s="2"/>
      <c r="K4121" s="2" t="s">
        <v>11119</v>
      </c>
      <c r="L4121" s="12">
        <v>139.0</v>
      </c>
      <c r="M4121" s="2" t="s">
        <v>11120</v>
      </c>
      <c r="N4121" s="2" t="str">
        <f>IFERROR(__xludf.DUMMYFUNCTION("""COMPUTED_VALUE"""),"")</f>
        <v/>
      </c>
    </row>
    <row r="4122">
      <c r="A4122" s="2" t="s">
        <v>33</v>
      </c>
      <c r="B4122" s="12">
        <v>3963835.0</v>
      </c>
      <c r="C4122" s="12">
        <v>3965025.0</v>
      </c>
      <c r="D4122" s="2"/>
      <c r="E4122" s="2" t="s">
        <v>34</v>
      </c>
      <c r="F4122" s="2" t="s">
        <v>11121</v>
      </c>
      <c r="G4122" s="2" t="s">
        <v>11122</v>
      </c>
      <c r="H4122" s="12">
        <v>0.0</v>
      </c>
      <c r="I4122" s="2" t="s">
        <v>40</v>
      </c>
      <c r="J4122" s="2"/>
      <c r="K4122" s="2" t="s">
        <v>11123</v>
      </c>
      <c r="L4122" s="12">
        <v>396.0</v>
      </c>
      <c r="M4122" s="2" t="s">
        <v>11124</v>
      </c>
      <c r="N4122" s="2" t="str">
        <f>IFERROR(__xludf.DUMMYFUNCTION("""COMPUTED_VALUE"""),"")</f>
        <v/>
      </c>
    </row>
    <row r="4123">
      <c r="A4123" s="2" t="s">
        <v>33</v>
      </c>
      <c r="B4123" s="12">
        <v>3965195.0</v>
      </c>
      <c r="C4123" s="12">
        <v>3965545.0</v>
      </c>
      <c r="D4123" s="2"/>
      <c r="E4123" s="2" t="s">
        <v>34</v>
      </c>
      <c r="F4123" s="2" t="s">
        <v>11125</v>
      </c>
      <c r="G4123" s="2" t="s">
        <v>11126</v>
      </c>
      <c r="H4123" s="12">
        <v>0.0</v>
      </c>
      <c r="I4123" s="2" t="s">
        <v>40</v>
      </c>
      <c r="J4123" s="2"/>
      <c r="K4123" s="2" t="s">
        <v>11127</v>
      </c>
      <c r="L4123" s="12">
        <v>116.0</v>
      </c>
      <c r="M4123" s="2" t="s">
        <v>11128</v>
      </c>
      <c r="N4123" s="2" t="str">
        <f>IFERROR(__xludf.DUMMYFUNCTION("""COMPUTED_VALUE"""),"")</f>
        <v/>
      </c>
    </row>
    <row r="4124">
      <c r="A4124" s="2" t="s">
        <v>33</v>
      </c>
      <c r="B4124" s="12">
        <v>3965546.0</v>
      </c>
      <c r="C4124" s="12">
        <v>3965986.0</v>
      </c>
      <c r="D4124" s="2"/>
      <c r="E4124" s="2" t="s">
        <v>34</v>
      </c>
      <c r="F4124" s="2" t="s">
        <v>11129</v>
      </c>
      <c r="G4124" s="2" t="s">
        <v>11130</v>
      </c>
      <c r="H4124" s="12">
        <v>0.0</v>
      </c>
      <c r="I4124" s="2" t="s">
        <v>40</v>
      </c>
      <c r="J4124" s="2"/>
      <c r="K4124" s="2" t="s">
        <v>11131</v>
      </c>
      <c r="L4124" s="12">
        <v>146.0</v>
      </c>
      <c r="M4124" s="2" t="s">
        <v>11132</v>
      </c>
      <c r="N4124" s="2" t="str">
        <f>IFERROR(__xludf.DUMMYFUNCTION("""COMPUTED_VALUE"""),"")</f>
        <v/>
      </c>
    </row>
    <row r="4125">
      <c r="A4125" s="2" t="s">
        <v>33</v>
      </c>
      <c r="B4125" s="12">
        <v>3965999.0</v>
      </c>
      <c r="C4125" s="12">
        <v>3966757.0</v>
      </c>
      <c r="D4125" s="2"/>
      <c r="E4125" s="2" t="s">
        <v>34</v>
      </c>
      <c r="F4125" s="2" t="s">
        <v>11133</v>
      </c>
      <c r="G4125" s="2" t="s">
        <v>11134</v>
      </c>
      <c r="H4125" s="12">
        <v>0.0</v>
      </c>
      <c r="I4125" s="2" t="s">
        <v>40</v>
      </c>
      <c r="J4125" s="2"/>
      <c r="K4125" s="2" t="s">
        <v>11135</v>
      </c>
      <c r="L4125" s="12">
        <v>252.0</v>
      </c>
      <c r="M4125" s="2" t="s">
        <v>11136</v>
      </c>
      <c r="N4125" s="2" t="str">
        <f>IFERROR(__xludf.DUMMYFUNCTION("""COMPUTED_VALUE"""),"")</f>
        <v/>
      </c>
    </row>
    <row r="4126">
      <c r="A4126" s="2" t="s">
        <v>33</v>
      </c>
      <c r="B4126" s="12">
        <v>3966893.0</v>
      </c>
      <c r="C4126" s="12">
        <v>3968419.0</v>
      </c>
      <c r="D4126" s="2"/>
      <c r="E4126" s="2" t="s">
        <v>34</v>
      </c>
      <c r="F4126" s="2" t="s">
        <v>1214</v>
      </c>
      <c r="G4126" s="2"/>
      <c r="H4126" s="12">
        <v>0.0</v>
      </c>
      <c r="I4126" s="2" t="s">
        <v>40</v>
      </c>
      <c r="J4126" s="2"/>
      <c r="K4126" s="2" t="s">
        <v>11137</v>
      </c>
      <c r="L4126" s="12">
        <v>508.0</v>
      </c>
      <c r="M4126" s="2" t="s">
        <v>11138</v>
      </c>
      <c r="N4126" s="2" t="str">
        <f>IFERROR(__xludf.DUMMYFUNCTION("""COMPUTED_VALUE"""),"")</f>
        <v/>
      </c>
    </row>
    <row r="4127">
      <c r="A4127" s="2" t="s">
        <v>33</v>
      </c>
      <c r="B4127" s="12">
        <v>3968419.0</v>
      </c>
      <c r="C4127" s="12">
        <v>3968517.0</v>
      </c>
      <c r="D4127" s="2"/>
      <c r="E4127" s="2" t="s">
        <v>34</v>
      </c>
      <c r="F4127" s="2" t="s">
        <v>11139</v>
      </c>
      <c r="G4127" s="2"/>
      <c r="H4127" s="12">
        <v>0.0</v>
      </c>
      <c r="I4127" s="2" t="s">
        <v>40</v>
      </c>
      <c r="J4127" s="2"/>
      <c r="K4127" s="2" t="s">
        <v>11140</v>
      </c>
      <c r="L4127" s="12">
        <v>32.0</v>
      </c>
      <c r="M4127" s="2" t="s">
        <v>11141</v>
      </c>
      <c r="N4127" s="2" t="str">
        <f>IFERROR(__xludf.DUMMYFUNCTION("""COMPUTED_VALUE"""),"")</f>
        <v/>
      </c>
    </row>
    <row r="4128">
      <c r="A4128" s="2" t="s">
        <v>33</v>
      </c>
      <c r="B4128" s="12">
        <v>3968633.0</v>
      </c>
      <c r="C4128" s="12">
        <v>3969253.0</v>
      </c>
      <c r="D4128" s="2"/>
      <c r="E4128" s="2" t="s">
        <v>34</v>
      </c>
      <c r="F4128" s="2" t="s">
        <v>11142</v>
      </c>
      <c r="G4128" s="2"/>
      <c r="H4128" s="12">
        <v>0.0</v>
      </c>
      <c r="I4128" s="2" t="s">
        <v>40</v>
      </c>
      <c r="J4128" s="2"/>
      <c r="K4128" s="2" t="s">
        <v>11143</v>
      </c>
      <c r="L4128" s="12">
        <v>206.0</v>
      </c>
      <c r="M4128" s="2" t="s">
        <v>11144</v>
      </c>
      <c r="N4128" s="2" t="str">
        <f>IFERROR(__xludf.DUMMYFUNCTION("""COMPUTED_VALUE"""),"")</f>
        <v/>
      </c>
    </row>
    <row r="4129">
      <c r="A4129" s="2" t="s">
        <v>33</v>
      </c>
      <c r="B4129" s="12">
        <v>3969246.0</v>
      </c>
      <c r="C4129" s="12">
        <v>3969662.0</v>
      </c>
      <c r="D4129" s="2"/>
      <c r="E4129" s="2" t="s">
        <v>34</v>
      </c>
      <c r="F4129" s="2" t="s">
        <v>11145</v>
      </c>
      <c r="G4129" s="2" t="s">
        <v>11146</v>
      </c>
      <c r="H4129" s="12">
        <v>0.0</v>
      </c>
      <c r="I4129" s="2" t="s">
        <v>40</v>
      </c>
      <c r="J4129" s="2"/>
      <c r="K4129" s="2" t="s">
        <v>11147</v>
      </c>
      <c r="L4129" s="12">
        <v>138.0</v>
      </c>
      <c r="M4129" s="2" t="s">
        <v>11148</v>
      </c>
      <c r="N4129" s="2" t="str">
        <f>IFERROR(__xludf.DUMMYFUNCTION("""COMPUTED_VALUE"""),"")</f>
        <v/>
      </c>
    </row>
    <row r="4130">
      <c r="A4130" s="2" t="s">
        <v>33</v>
      </c>
      <c r="B4130" s="12">
        <v>3969677.0</v>
      </c>
      <c r="C4130" s="12">
        <v>3970135.0</v>
      </c>
      <c r="D4130" s="2"/>
      <c r="E4130" s="2" t="s">
        <v>34</v>
      </c>
      <c r="F4130" s="2" t="s">
        <v>8179</v>
      </c>
      <c r="G4130" s="2" t="s">
        <v>8180</v>
      </c>
      <c r="H4130" s="12">
        <v>0.0</v>
      </c>
      <c r="I4130" s="2" t="s">
        <v>40</v>
      </c>
      <c r="J4130" s="2"/>
      <c r="K4130" s="2" t="s">
        <v>11149</v>
      </c>
      <c r="L4130" s="12">
        <v>152.0</v>
      </c>
      <c r="M4130" s="2" t="s">
        <v>11150</v>
      </c>
      <c r="N4130" s="2" t="str">
        <f>IFERROR(__xludf.DUMMYFUNCTION("""COMPUTED_VALUE"""),"")</f>
        <v/>
      </c>
    </row>
    <row r="4131">
      <c r="A4131" s="2" t="s">
        <v>33</v>
      </c>
      <c r="B4131" s="12">
        <v>3970148.0</v>
      </c>
      <c r="C4131" s="12">
        <v>3971164.0</v>
      </c>
      <c r="D4131" s="2"/>
      <c r="E4131" s="2" t="s">
        <v>34</v>
      </c>
      <c r="F4131" s="2" t="s">
        <v>8175</v>
      </c>
      <c r="G4131" s="2" t="s">
        <v>8176</v>
      </c>
      <c r="H4131" s="12">
        <v>0.0</v>
      </c>
      <c r="I4131" s="2" t="s">
        <v>40</v>
      </c>
      <c r="J4131" s="2"/>
      <c r="K4131" s="2" t="s">
        <v>11151</v>
      </c>
      <c r="L4131" s="12">
        <v>338.0</v>
      </c>
      <c r="M4131" s="2" t="s">
        <v>11152</v>
      </c>
      <c r="N4131" s="2" t="str">
        <f>IFERROR(__xludf.DUMMYFUNCTION("""COMPUTED_VALUE"""),"")</f>
        <v/>
      </c>
    </row>
    <row r="4132">
      <c r="A4132" s="2" t="s">
        <v>33</v>
      </c>
      <c r="B4132" s="12">
        <v>3971168.0</v>
      </c>
      <c r="C4132" s="12">
        <v>3971518.0</v>
      </c>
      <c r="D4132" s="2"/>
      <c r="E4132" s="2" t="s">
        <v>34</v>
      </c>
      <c r="F4132" s="2" t="s">
        <v>8171</v>
      </c>
      <c r="G4132" s="2" t="s">
        <v>8172</v>
      </c>
      <c r="H4132" s="12">
        <v>0.0</v>
      </c>
      <c r="I4132" s="2" t="s">
        <v>40</v>
      </c>
      <c r="J4132" s="2"/>
      <c r="K4132" s="2" t="s">
        <v>11153</v>
      </c>
      <c r="L4132" s="12">
        <v>116.0</v>
      </c>
      <c r="M4132" s="2" t="s">
        <v>11154</v>
      </c>
      <c r="N4132" s="2" t="str">
        <f>IFERROR(__xludf.DUMMYFUNCTION("""COMPUTED_VALUE"""),"")</f>
        <v/>
      </c>
    </row>
    <row r="4133">
      <c r="A4133" s="2" t="s">
        <v>33</v>
      </c>
      <c r="B4133" s="12">
        <v>3971524.0</v>
      </c>
      <c r="C4133" s="12">
        <v>3972093.0</v>
      </c>
      <c r="D4133" s="2"/>
      <c r="E4133" s="2" t="s">
        <v>34</v>
      </c>
      <c r="F4133" s="2" t="s">
        <v>8171</v>
      </c>
      <c r="G4133" s="2"/>
      <c r="H4133" s="12">
        <v>0.0</v>
      </c>
      <c r="I4133" s="2" t="s">
        <v>40</v>
      </c>
      <c r="J4133" s="2"/>
      <c r="K4133" s="2" t="s">
        <v>11155</v>
      </c>
      <c r="L4133" s="12">
        <v>189.0</v>
      </c>
      <c r="M4133" s="2" t="s">
        <v>11156</v>
      </c>
      <c r="N4133" s="2" t="str">
        <f>IFERROR(__xludf.DUMMYFUNCTION("""COMPUTED_VALUE"""),"")</f>
        <v/>
      </c>
    </row>
    <row r="4134">
      <c r="A4134" s="2" t="s">
        <v>33</v>
      </c>
      <c r="B4134" s="12">
        <v>3972080.0</v>
      </c>
      <c r="C4134" s="12">
        <v>3973552.0</v>
      </c>
      <c r="D4134" s="2"/>
      <c r="E4134" s="2" t="s">
        <v>34</v>
      </c>
      <c r="F4134" s="2" t="s">
        <v>11157</v>
      </c>
      <c r="G4134" s="2" t="s">
        <v>11158</v>
      </c>
      <c r="H4134" s="12">
        <v>0.0</v>
      </c>
      <c r="I4134" s="2" t="s">
        <v>40</v>
      </c>
      <c r="J4134" s="2"/>
      <c r="K4134" s="2" t="s">
        <v>11159</v>
      </c>
      <c r="L4134" s="12">
        <v>490.0</v>
      </c>
      <c r="M4134" s="2" t="s">
        <v>11160</v>
      </c>
      <c r="N4134" s="2" t="str">
        <f>IFERROR(__xludf.DUMMYFUNCTION("""COMPUTED_VALUE"""),"")</f>
        <v/>
      </c>
    </row>
    <row r="4135">
      <c r="A4135" s="2" t="s">
        <v>33</v>
      </c>
      <c r="B4135" s="12">
        <v>3973650.0</v>
      </c>
      <c r="C4135" s="12">
        <v>3974453.0</v>
      </c>
      <c r="D4135" s="2"/>
      <c r="E4135" s="2" t="s">
        <v>34</v>
      </c>
      <c r="F4135" s="2" t="s">
        <v>69</v>
      </c>
      <c r="G4135" s="2"/>
      <c r="H4135" s="12">
        <v>0.0</v>
      </c>
      <c r="I4135" s="2" t="s">
        <v>40</v>
      </c>
      <c r="J4135" s="2"/>
      <c r="K4135" s="2" t="s">
        <v>11161</v>
      </c>
      <c r="L4135" s="12">
        <v>267.0</v>
      </c>
      <c r="M4135" s="2" t="s">
        <v>11162</v>
      </c>
      <c r="N4135" s="2" t="str">
        <f>IFERROR(__xludf.DUMMYFUNCTION("""COMPUTED_VALUE"""),"")</f>
        <v/>
      </c>
    </row>
    <row r="4136">
      <c r="A4136" s="2" t="s">
        <v>33</v>
      </c>
      <c r="B4136" s="12">
        <v>3974485.0</v>
      </c>
      <c r="C4136" s="12">
        <v>3975351.0</v>
      </c>
      <c r="D4136" s="2"/>
      <c r="E4136" s="2" t="s">
        <v>38</v>
      </c>
      <c r="F4136" s="2" t="s">
        <v>11163</v>
      </c>
      <c r="G4136" s="2"/>
      <c r="H4136" s="12">
        <v>0.0</v>
      </c>
      <c r="I4136" s="2" t="s">
        <v>40</v>
      </c>
      <c r="J4136" s="2"/>
      <c r="K4136" s="2" t="s">
        <v>11164</v>
      </c>
      <c r="L4136" s="12">
        <v>288.0</v>
      </c>
      <c r="M4136" s="2" t="s">
        <v>11165</v>
      </c>
      <c r="N4136" s="2" t="str">
        <f>IFERROR(__xludf.DUMMYFUNCTION("""COMPUTED_VALUE"""),"")</f>
        <v/>
      </c>
    </row>
    <row r="4137">
      <c r="A4137" s="2" t="s">
        <v>33</v>
      </c>
      <c r="B4137" s="12">
        <v>3975539.0</v>
      </c>
      <c r="C4137" s="12">
        <v>3975976.0</v>
      </c>
      <c r="D4137" s="2"/>
      <c r="E4137" s="2" t="s">
        <v>34</v>
      </c>
      <c r="F4137" s="2" t="s">
        <v>11166</v>
      </c>
      <c r="G4137" s="2"/>
      <c r="H4137" s="12">
        <v>0.0</v>
      </c>
      <c r="I4137" s="2" t="s">
        <v>40</v>
      </c>
      <c r="J4137" s="2"/>
      <c r="K4137" s="2" t="s">
        <v>11167</v>
      </c>
      <c r="L4137" s="12">
        <v>145.0</v>
      </c>
      <c r="M4137" s="2" t="s">
        <v>11168</v>
      </c>
      <c r="N4137" s="2" t="str">
        <f>IFERROR(__xludf.DUMMYFUNCTION("""COMPUTED_VALUE"""),"")</f>
        <v/>
      </c>
    </row>
    <row r="4138">
      <c r="A4138" s="2" t="s">
        <v>33</v>
      </c>
      <c r="B4138" s="12">
        <v>3976437.0</v>
      </c>
      <c r="C4138" s="12">
        <v>3976805.0</v>
      </c>
      <c r="D4138" s="2"/>
      <c r="E4138" s="2" t="s">
        <v>34</v>
      </c>
      <c r="F4138" s="2" t="s">
        <v>11169</v>
      </c>
      <c r="G4138" s="2" t="s">
        <v>11170</v>
      </c>
      <c r="H4138" s="12">
        <v>0.0</v>
      </c>
      <c r="I4138" s="2" t="s">
        <v>40</v>
      </c>
      <c r="J4138" s="2"/>
      <c r="K4138" s="2" t="s">
        <v>11171</v>
      </c>
      <c r="L4138" s="12">
        <v>122.0</v>
      </c>
      <c r="M4138" s="2" t="s">
        <v>11172</v>
      </c>
      <c r="N4138" s="2" t="str">
        <f>IFERROR(__xludf.DUMMYFUNCTION("""COMPUTED_VALUE"""),"")</f>
        <v/>
      </c>
    </row>
    <row r="4139">
      <c r="A4139" s="2" t="s">
        <v>33</v>
      </c>
      <c r="B4139" s="12">
        <v>3976826.0</v>
      </c>
      <c r="C4139" s="12">
        <v>3977344.0</v>
      </c>
      <c r="D4139" s="2"/>
      <c r="E4139" s="2" t="s">
        <v>38</v>
      </c>
      <c r="F4139" s="2" t="s">
        <v>11173</v>
      </c>
      <c r="G4139" s="2"/>
      <c r="H4139" s="12">
        <v>0.0</v>
      </c>
      <c r="I4139" s="2" t="s">
        <v>40</v>
      </c>
      <c r="J4139" s="2"/>
      <c r="K4139" s="2" t="s">
        <v>11174</v>
      </c>
      <c r="L4139" s="12">
        <v>172.0</v>
      </c>
      <c r="M4139" s="2" t="s">
        <v>11175</v>
      </c>
      <c r="N4139" s="2" t="str">
        <f>IFERROR(__xludf.DUMMYFUNCTION("""COMPUTED_VALUE"""),"")</f>
        <v/>
      </c>
    </row>
    <row r="4140">
      <c r="A4140" s="2" t="s">
        <v>33</v>
      </c>
      <c r="B4140" s="12">
        <v>3977444.0</v>
      </c>
      <c r="C4140" s="12">
        <v>3977539.0</v>
      </c>
      <c r="D4140" s="2"/>
      <c r="E4140" s="2" t="s">
        <v>38</v>
      </c>
      <c r="F4140" s="2" t="s">
        <v>560</v>
      </c>
      <c r="G4140" s="2"/>
      <c r="H4140" s="12">
        <v>0.0</v>
      </c>
      <c r="I4140" s="2" t="s">
        <v>40</v>
      </c>
      <c r="J4140" s="2"/>
      <c r="K4140" s="2" t="s">
        <v>11176</v>
      </c>
      <c r="L4140" s="12">
        <v>31.0</v>
      </c>
      <c r="M4140" s="2" t="s">
        <v>11177</v>
      </c>
      <c r="N4140" s="2" t="str">
        <f>IFERROR(__xludf.DUMMYFUNCTION("""COMPUTED_VALUE"""),"")</f>
        <v/>
      </c>
    </row>
    <row r="4141">
      <c r="A4141" s="2" t="s">
        <v>33</v>
      </c>
      <c r="B4141" s="12">
        <v>3977709.0</v>
      </c>
      <c r="C4141" s="12">
        <v>3978452.0</v>
      </c>
      <c r="D4141" s="2"/>
      <c r="E4141" s="2" t="s">
        <v>34</v>
      </c>
      <c r="F4141" s="2" t="s">
        <v>11178</v>
      </c>
      <c r="G4141" s="2" t="s">
        <v>11179</v>
      </c>
      <c r="H4141" s="12">
        <v>0.0</v>
      </c>
      <c r="I4141" s="2" t="s">
        <v>40</v>
      </c>
      <c r="J4141" s="2"/>
      <c r="K4141" s="2" t="s">
        <v>11180</v>
      </c>
      <c r="L4141" s="12">
        <v>247.0</v>
      </c>
      <c r="M4141" s="2" t="s">
        <v>11181</v>
      </c>
      <c r="N4141" s="2" t="str">
        <f>IFERROR(__xludf.DUMMYFUNCTION("""COMPUTED_VALUE"""),"")</f>
        <v/>
      </c>
    </row>
    <row r="4142">
      <c r="A4142" s="2" t="s">
        <v>33</v>
      </c>
      <c r="B4142" s="12">
        <v>3978611.0</v>
      </c>
      <c r="C4142" s="12">
        <v>3979183.0</v>
      </c>
      <c r="D4142" s="2"/>
      <c r="E4142" s="2" t="s">
        <v>34</v>
      </c>
      <c r="F4142" s="2" t="s">
        <v>11182</v>
      </c>
      <c r="G4142" s="2" t="s">
        <v>11183</v>
      </c>
      <c r="H4142" s="12">
        <v>0.0</v>
      </c>
      <c r="I4142" s="2" t="s">
        <v>40</v>
      </c>
      <c r="J4142" s="2"/>
      <c r="K4142" s="2" t="s">
        <v>11184</v>
      </c>
      <c r="L4142" s="12">
        <v>190.0</v>
      </c>
      <c r="M4142" s="2" t="s">
        <v>11185</v>
      </c>
      <c r="N4142" s="2" t="str">
        <f>IFERROR(__xludf.DUMMYFUNCTION("""COMPUTED_VALUE"""),"")</f>
        <v/>
      </c>
    </row>
    <row r="4143">
      <c r="A4143" s="2" t="s">
        <v>33</v>
      </c>
      <c r="B4143" s="12">
        <v>3979262.0</v>
      </c>
      <c r="C4143" s="12">
        <v>3980164.0</v>
      </c>
      <c r="D4143" s="2"/>
      <c r="E4143" s="2" t="s">
        <v>34</v>
      </c>
      <c r="F4143" s="2" t="s">
        <v>11186</v>
      </c>
      <c r="G4143" s="2"/>
      <c r="H4143" s="12">
        <v>0.0</v>
      </c>
      <c r="I4143" s="2" t="s">
        <v>40</v>
      </c>
      <c r="J4143" s="2"/>
      <c r="K4143" s="2" t="s">
        <v>11187</v>
      </c>
      <c r="L4143" s="12">
        <v>300.0</v>
      </c>
      <c r="M4143" s="2" t="s">
        <v>11188</v>
      </c>
      <c r="N4143" s="2" t="str">
        <f>IFERROR(__xludf.DUMMYFUNCTION("""COMPUTED_VALUE"""),"")</f>
        <v/>
      </c>
    </row>
    <row r="4144">
      <c r="A4144" s="2" t="s">
        <v>33</v>
      </c>
      <c r="B4144" s="12">
        <v>3980376.0</v>
      </c>
      <c r="C4144" s="12">
        <v>3981518.0</v>
      </c>
      <c r="D4144" s="2"/>
      <c r="E4144" s="2" t="s">
        <v>34</v>
      </c>
      <c r="F4144" s="2" t="s">
        <v>11189</v>
      </c>
      <c r="G4144" s="2" t="s">
        <v>11190</v>
      </c>
      <c r="H4144" s="12">
        <v>0.0</v>
      </c>
      <c r="I4144" s="2" t="s">
        <v>40</v>
      </c>
      <c r="J4144" s="2"/>
      <c r="K4144" s="2" t="s">
        <v>11191</v>
      </c>
      <c r="L4144" s="12">
        <v>380.0</v>
      </c>
      <c r="M4144" s="2" t="s">
        <v>11192</v>
      </c>
      <c r="N4144" s="2" t="str">
        <f>IFERROR(__xludf.DUMMYFUNCTION("""COMPUTED_VALUE"""),"")</f>
        <v/>
      </c>
    </row>
    <row r="4145">
      <c r="A4145" s="2" t="s">
        <v>33</v>
      </c>
      <c r="B4145" s="12">
        <v>3981523.0</v>
      </c>
      <c r="C4145" s="12">
        <v>3982311.0</v>
      </c>
      <c r="D4145" s="2"/>
      <c r="E4145" s="2" t="s">
        <v>34</v>
      </c>
      <c r="F4145" s="2" t="s">
        <v>11193</v>
      </c>
      <c r="G4145" s="2" t="s">
        <v>11194</v>
      </c>
      <c r="H4145" s="12">
        <v>0.0</v>
      </c>
      <c r="I4145" s="2" t="s">
        <v>40</v>
      </c>
      <c r="J4145" s="2"/>
      <c r="K4145" s="2" t="s">
        <v>11195</v>
      </c>
      <c r="L4145" s="12">
        <v>262.0</v>
      </c>
      <c r="M4145" s="2" t="s">
        <v>11196</v>
      </c>
      <c r="N4145" s="2" t="str">
        <f>IFERROR(__xludf.DUMMYFUNCTION("""COMPUTED_VALUE"""),"")</f>
        <v/>
      </c>
    </row>
    <row r="4146">
      <c r="A4146" s="2" t="s">
        <v>33</v>
      </c>
      <c r="B4146" s="12">
        <v>3982241.0</v>
      </c>
      <c r="C4146" s="12">
        <v>3982972.0</v>
      </c>
      <c r="D4146" s="2"/>
      <c r="E4146" s="2" t="s">
        <v>34</v>
      </c>
      <c r="F4146" s="2" t="s">
        <v>2509</v>
      </c>
      <c r="G4146" s="2"/>
      <c r="H4146" s="12">
        <v>0.0</v>
      </c>
      <c r="I4146" s="2" t="s">
        <v>40</v>
      </c>
      <c r="J4146" s="2"/>
      <c r="K4146" s="2" t="s">
        <v>11197</v>
      </c>
      <c r="L4146" s="12">
        <v>243.0</v>
      </c>
      <c r="M4146" s="2" t="s">
        <v>11198</v>
      </c>
      <c r="N4146" s="2" t="str">
        <f>IFERROR(__xludf.DUMMYFUNCTION("""COMPUTED_VALUE"""),"")</f>
        <v/>
      </c>
    </row>
    <row r="4147">
      <c r="A4147" s="2" t="s">
        <v>33</v>
      </c>
      <c r="B4147" s="12">
        <v>3983046.0</v>
      </c>
      <c r="C4147" s="12">
        <v>3983852.0</v>
      </c>
      <c r="D4147" s="2"/>
      <c r="E4147" s="2" t="s">
        <v>38</v>
      </c>
      <c r="F4147" s="2" t="s">
        <v>69</v>
      </c>
      <c r="G4147" s="2"/>
      <c r="H4147" s="12">
        <v>0.0</v>
      </c>
      <c r="I4147" s="2" t="s">
        <v>40</v>
      </c>
      <c r="J4147" s="2"/>
      <c r="K4147" s="2" t="s">
        <v>11199</v>
      </c>
      <c r="L4147" s="12">
        <v>268.0</v>
      </c>
      <c r="M4147" s="2" t="s">
        <v>11200</v>
      </c>
      <c r="N4147" s="2" t="str">
        <f>IFERROR(__xludf.DUMMYFUNCTION("""COMPUTED_VALUE"""),"")</f>
        <v/>
      </c>
    </row>
    <row r="4148">
      <c r="A4148" s="2" t="s">
        <v>33</v>
      </c>
      <c r="B4148" s="12">
        <v>3984018.0</v>
      </c>
      <c r="C4148" s="12">
        <v>3984866.0</v>
      </c>
      <c r="D4148" s="2"/>
      <c r="E4148" s="2" t="s">
        <v>34</v>
      </c>
      <c r="F4148" s="2" t="s">
        <v>11201</v>
      </c>
      <c r="G4148" s="2" t="s">
        <v>11202</v>
      </c>
      <c r="H4148" s="12">
        <v>0.0</v>
      </c>
      <c r="I4148" s="2" t="s">
        <v>40</v>
      </c>
      <c r="J4148" s="2"/>
      <c r="K4148" s="2" t="s">
        <v>11203</v>
      </c>
      <c r="L4148" s="12">
        <v>282.0</v>
      </c>
      <c r="M4148" s="2" t="s">
        <v>11204</v>
      </c>
      <c r="N4148" s="2" t="str">
        <f>IFERROR(__xludf.DUMMYFUNCTION("""COMPUTED_VALUE"""),"")</f>
        <v/>
      </c>
    </row>
    <row r="4149">
      <c r="A4149" s="2" t="s">
        <v>33</v>
      </c>
      <c r="B4149" s="12">
        <v>3985206.0</v>
      </c>
      <c r="C4149" s="12">
        <v>3987269.0</v>
      </c>
      <c r="D4149" s="2"/>
      <c r="E4149" s="2" t="s">
        <v>34</v>
      </c>
      <c r="F4149" s="2" t="s">
        <v>11205</v>
      </c>
      <c r="G4149" s="2" t="s">
        <v>11206</v>
      </c>
      <c r="H4149" s="12">
        <v>0.0</v>
      </c>
      <c r="I4149" s="2" t="s">
        <v>40</v>
      </c>
      <c r="J4149" s="2"/>
      <c r="K4149" s="2" t="s">
        <v>11207</v>
      </c>
      <c r="L4149" s="12">
        <v>687.0</v>
      </c>
      <c r="M4149" s="2" t="s">
        <v>11208</v>
      </c>
      <c r="N4149" s="2" t="str">
        <f>IFERROR(__xludf.DUMMYFUNCTION("""COMPUTED_VALUE"""),"")</f>
        <v/>
      </c>
    </row>
    <row r="4150">
      <c r="A4150" s="2" t="s">
        <v>33</v>
      </c>
      <c r="B4150" s="12">
        <v>3987405.0</v>
      </c>
      <c r="C4150" s="12">
        <v>3987668.0</v>
      </c>
      <c r="D4150" s="2"/>
      <c r="E4150" s="2" t="s">
        <v>34</v>
      </c>
      <c r="F4150" s="2" t="s">
        <v>11209</v>
      </c>
      <c r="G4150" s="2" t="s">
        <v>11210</v>
      </c>
      <c r="H4150" s="12">
        <v>0.0</v>
      </c>
      <c r="I4150" s="2" t="s">
        <v>40</v>
      </c>
      <c r="J4150" s="2"/>
      <c r="K4150" s="2" t="s">
        <v>11211</v>
      </c>
      <c r="L4150" s="12">
        <v>87.0</v>
      </c>
      <c r="M4150" s="2" t="s">
        <v>11212</v>
      </c>
      <c r="N4150" s="2" t="str">
        <f>IFERROR(__xludf.DUMMYFUNCTION("""COMPUTED_VALUE"""),"")</f>
        <v/>
      </c>
    </row>
    <row r="4151">
      <c r="A4151" s="2" t="s">
        <v>33</v>
      </c>
      <c r="B4151" s="12">
        <v>3987668.0</v>
      </c>
      <c r="C4151" s="12">
        <v>3989380.0</v>
      </c>
      <c r="D4151" s="2"/>
      <c r="E4151" s="2" t="s">
        <v>34</v>
      </c>
      <c r="F4151" s="2" t="s">
        <v>11213</v>
      </c>
      <c r="G4151" s="2" t="s">
        <v>11214</v>
      </c>
      <c r="H4151" s="12">
        <v>0.0</v>
      </c>
      <c r="I4151" s="2" t="s">
        <v>40</v>
      </c>
      <c r="J4151" s="2"/>
      <c r="K4151" s="2" t="s">
        <v>11215</v>
      </c>
      <c r="L4151" s="12">
        <v>570.0</v>
      </c>
      <c r="M4151" s="2" t="s">
        <v>11216</v>
      </c>
      <c r="N4151" s="2" t="str">
        <f>IFERROR(__xludf.DUMMYFUNCTION("""COMPUTED_VALUE"""),"")</f>
        <v/>
      </c>
    </row>
    <row r="4152">
      <c r="A4152" s="2" t="s">
        <v>33</v>
      </c>
      <c r="B4152" s="12">
        <v>3989478.0</v>
      </c>
      <c r="C4152" s="12">
        <v>3989840.0</v>
      </c>
      <c r="D4152" s="2"/>
      <c r="E4152" s="2" t="s">
        <v>38</v>
      </c>
      <c r="F4152" s="2" t="s">
        <v>11217</v>
      </c>
      <c r="G4152" s="2"/>
      <c r="H4152" s="12">
        <v>0.0</v>
      </c>
      <c r="I4152" s="2" t="s">
        <v>40</v>
      </c>
      <c r="J4152" s="2"/>
      <c r="K4152" s="2" t="s">
        <v>11218</v>
      </c>
      <c r="L4152" s="12">
        <v>120.0</v>
      </c>
      <c r="M4152" s="2" t="s">
        <v>11219</v>
      </c>
      <c r="N4152" s="2" t="str">
        <f>IFERROR(__xludf.DUMMYFUNCTION("""COMPUTED_VALUE"""),"")</f>
        <v/>
      </c>
    </row>
    <row r="4153">
      <c r="A4153" s="2" t="s">
        <v>33</v>
      </c>
      <c r="B4153" s="12">
        <v>3990037.0</v>
      </c>
      <c r="C4153" s="12">
        <v>3990255.0</v>
      </c>
      <c r="D4153" s="2"/>
      <c r="E4153" s="2" t="s">
        <v>38</v>
      </c>
      <c r="F4153" s="2" t="s">
        <v>39</v>
      </c>
      <c r="G4153" s="2"/>
      <c r="H4153" s="12">
        <v>0.0</v>
      </c>
      <c r="I4153" s="2" t="s">
        <v>40</v>
      </c>
      <c r="J4153" s="2"/>
      <c r="K4153" s="2" t="s">
        <v>11220</v>
      </c>
      <c r="L4153" s="12">
        <v>72.0</v>
      </c>
      <c r="M4153" s="2" t="s">
        <v>11221</v>
      </c>
      <c r="N4153" s="2" t="str">
        <f>IFERROR(__xludf.DUMMYFUNCTION("""COMPUTED_VALUE"""),"")</f>
        <v/>
      </c>
    </row>
    <row r="4154">
      <c r="A4154" s="2" t="s">
        <v>33</v>
      </c>
      <c r="B4154" s="12">
        <v>3990490.0</v>
      </c>
      <c r="C4154" s="12">
        <v>3991107.0</v>
      </c>
      <c r="D4154" s="2"/>
      <c r="E4154" s="2" t="s">
        <v>38</v>
      </c>
      <c r="F4154" s="2" t="s">
        <v>1106</v>
      </c>
      <c r="G4154" s="2"/>
      <c r="H4154" s="12">
        <v>0.0</v>
      </c>
      <c r="I4154" s="2" t="s">
        <v>40</v>
      </c>
      <c r="J4154" s="2"/>
      <c r="K4154" s="2" t="s">
        <v>11222</v>
      </c>
      <c r="L4154" s="12">
        <v>205.0</v>
      </c>
      <c r="M4154" s="2" t="s">
        <v>11223</v>
      </c>
      <c r="N4154" s="2" t="str">
        <f>IFERROR(__xludf.DUMMYFUNCTION("""COMPUTED_VALUE"""),"")</f>
        <v/>
      </c>
    </row>
    <row r="4155">
      <c r="A4155" s="2" t="s">
        <v>33</v>
      </c>
      <c r="B4155" s="12">
        <v>3991435.0</v>
      </c>
      <c r="C4155" s="12">
        <v>3992727.0</v>
      </c>
      <c r="D4155" s="2"/>
      <c r="E4155" s="2" t="s">
        <v>34</v>
      </c>
      <c r="F4155" s="2" t="s">
        <v>11224</v>
      </c>
      <c r="G4155" s="2"/>
      <c r="H4155" s="12">
        <v>0.0</v>
      </c>
      <c r="I4155" s="2" t="s">
        <v>40</v>
      </c>
      <c r="J4155" s="2"/>
      <c r="K4155" s="2" t="s">
        <v>11225</v>
      </c>
      <c r="L4155" s="12">
        <v>430.0</v>
      </c>
      <c r="M4155" s="2" t="s">
        <v>11226</v>
      </c>
      <c r="N4155" s="2" t="str">
        <f>IFERROR(__xludf.DUMMYFUNCTION("""COMPUTED_VALUE"""),"")</f>
        <v/>
      </c>
    </row>
    <row r="4156">
      <c r="A4156" s="2" t="s">
        <v>33</v>
      </c>
      <c r="B4156" s="12">
        <v>3992818.0</v>
      </c>
      <c r="C4156" s="12">
        <v>3993954.0</v>
      </c>
      <c r="D4156" s="2"/>
      <c r="E4156" s="2" t="s">
        <v>34</v>
      </c>
      <c r="F4156" s="2" t="s">
        <v>455</v>
      </c>
      <c r="G4156" s="2"/>
      <c r="H4156" s="12">
        <v>0.0</v>
      </c>
      <c r="I4156" s="2" t="s">
        <v>40</v>
      </c>
      <c r="J4156" s="2"/>
      <c r="K4156" s="2" t="s">
        <v>11227</v>
      </c>
      <c r="L4156" s="12">
        <v>378.0</v>
      </c>
      <c r="M4156" s="2" t="s">
        <v>11228</v>
      </c>
      <c r="N4156" s="2" t="str">
        <f>IFERROR(__xludf.DUMMYFUNCTION("""COMPUTED_VALUE"""),"")</f>
        <v/>
      </c>
    </row>
    <row r="4157">
      <c r="A4157" s="2" t="s">
        <v>33</v>
      </c>
      <c r="B4157" s="12">
        <v>3993959.0</v>
      </c>
      <c r="C4157" s="12">
        <v>3994837.0</v>
      </c>
      <c r="D4157" s="2"/>
      <c r="E4157" s="2" t="s">
        <v>34</v>
      </c>
      <c r="F4157" s="2" t="s">
        <v>296</v>
      </c>
      <c r="G4157" s="2"/>
      <c r="H4157" s="12">
        <v>0.0</v>
      </c>
      <c r="I4157" s="2" t="s">
        <v>40</v>
      </c>
      <c r="J4157" s="2"/>
      <c r="K4157" s="2" t="s">
        <v>11229</v>
      </c>
      <c r="L4157" s="12">
        <v>292.0</v>
      </c>
      <c r="M4157" s="2" t="s">
        <v>11230</v>
      </c>
      <c r="N4157" s="2" t="str">
        <f>IFERROR(__xludf.DUMMYFUNCTION("""COMPUTED_VALUE"""),"")</f>
        <v/>
      </c>
    </row>
    <row r="4158">
      <c r="A4158" s="2" t="s">
        <v>33</v>
      </c>
      <c r="B4158" s="12">
        <v>3994843.0</v>
      </c>
      <c r="C4158" s="12">
        <v>3995175.0</v>
      </c>
      <c r="D4158" s="2"/>
      <c r="E4158" s="2" t="s">
        <v>34</v>
      </c>
      <c r="F4158" s="2" t="s">
        <v>11231</v>
      </c>
      <c r="G4158" s="2"/>
      <c r="H4158" s="12">
        <v>0.0</v>
      </c>
      <c r="I4158" s="2" t="s">
        <v>40</v>
      </c>
      <c r="J4158" s="2"/>
      <c r="K4158" s="2" t="s">
        <v>11232</v>
      </c>
      <c r="L4158" s="12">
        <v>110.0</v>
      </c>
      <c r="M4158" s="2" t="s">
        <v>11233</v>
      </c>
      <c r="N4158" s="2" t="str">
        <f>IFERROR(__xludf.DUMMYFUNCTION("""COMPUTED_VALUE"""),"")</f>
        <v/>
      </c>
    </row>
    <row r="4159">
      <c r="A4159" s="2" t="s">
        <v>33</v>
      </c>
      <c r="B4159" s="12">
        <v>3995227.0</v>
      </c>
      <c r="C4159" s="12">
        <v>3995502.0</v>
      </c>
      <c r="D4159" s="2"/>
      <c r="E4159" s="2" t="s">
        <v>38</v>
      </c>
      <c r="F4159" s="2" t="s">
        <v>39</v>
      </c>
      <c r="G4159" s="2"/>
      <c r="H4159" s="12">
        <v>0.0</v>
      </c>
      <c r="I4159" s="2" t="s">
        <v>40</v>
      </c>
      <c r="J4159" s="2"/>
      <c r="K4159" s="2" t="s">
        <v>11234</v>
      </c>
      <c r="L4159" s="12">
        <v>91.0</v>
      </c>
      <c r="M4159" s="2" t="s">
        <v>11235</v>
      </c>
      <c r="N4159" s="2" t="str">
        <f>IFERROR(__xludf.DUMMYFUNCTION("""COMPUTED_VALUE"""),"")</f>
        <v/>
      </c>
    </row>
    <row r="4160">
      <c r="A4160" s="2" t="s">
        <v>33</v>
      </c>
      <c r="B4160" s="12">
        <v>3995789.0</v>
      </c>
      <c r="C4160" s="12">
        <v>3996301.0</v>
      </c>
      <c r="D4160" s="2"/>
      <c r="E4160" s="2" t="s">
        <v>38</v>
      </c>
      <c r="F4160" s="2" t="s">
        <v>11236</v>
      </c>
      <c r="G4160" s="2"/>
      <c r="H4160" s="12">
        <v>0.0</v>
      </c>
      <c r="I4160" s="2" t="s">
        <v>40</v>
      </c>
      <c r="J4160" s="2"/>
      <c r="K4160" s="2" t="s">
        <v>11237</v>
      </c>
      <c r="L4160" s="12">
        <v>170.0</v>
      </c>
      <c r="M4160" s="2" t="s">
        <v>11238</v>
      </c>
      <c r="N4160" s="2" t="str">
        <f>IFERROR(__xludf.DUMMYFUNCTION("""COMPUTED_VALUE"""),"")</f>
        <v/>
      </c>
    </row>
    <row r="4161">
      <c r="A4161" s="2" t="s">
        <v>33</v>
      </c>
      <c r="B4161" s="12">
        <v>3996279.0</v>
      </c>
      <c r="C4161" s="12">
        <v>3996917.0</v>
      </c>
      <c r="D4161" s="2"/>
      <c r="E4161" s="2" t="s">
        <v>38</v>
      </c>
      <c r="F4161" s="2" t="s">
        <v>11239</v>
      </c>
      <c r="G4161" s="2"/>
      <c r="H4161" s="12">
        <v>0.0</v>
      </c>
      <c r="I4161" s="2" t="s">
        <v>40</v>
      </c>
      <c r="J4161" s="2"/>
      <c r="K4161" s="2" t="s">
        <v>11240</v>
      </c>
      <c r="L4161" s="12">
        <v>212.0</v>
      </c>
      <c r="M4161" s="2" t="s">
        <v>11241</v>
      </c>
      <c r="N4161" s="2" t="str">
        <f>IFERROR(__xludf.DUMMYFUNCTION("""COMPUTED_VALUE"""),"")</f>
        <v/>
      </c>
    </row>
    <row r="4162">
      <c r="A4162" s="2" t="s">
        <v>33</v>
      </c>
      <c r="B4162" s="12">
        <v>3996914.0</v>
      </c>
      <c r="C4162" s="12">
        <v>3997573.0</v>
      </c>
      <c r="D4162" s="2"/>
      <c r="E4162" s="2" t="s">
        <v>38</v>
      </c>
      <c r="F4162" s="2" t="s">
        <v>11242</v>
      </c>
      <c r="G4162" s="2"/>
      <c r="H4162" s="12">
        <v>0.0</v>
      </c>
      <c r="I4162" s="2" t="s">
        <v>40</v>
      </c>
      <c r="J4162" s="2"/>
      <c r="K4162" s="2" t="s">
        <v>11243</v>
      </c>
      <c r="L4162" s="12">
        <v>219.0</v>
      </c>
      <c r="M4162" s="2" t="s">
        <v>11244</v>
      </c>
      <c r="N4162" s="2" t="str">
        <f>IFERROR(__xludf.DUMMYFUNCTION("""COMPUTED_VALUE"""),"")</f>
        <v/>
      </c>
    </row>
    <row r="4163">
      <c r="A4163" s="2" t="s">
        <v>33</v>
      </c>
      <c r="B4163" s="12">
        <v>3997570.0</v>
      </c>
      <c r="C4163" s="12">
        <v>3998814.0</v>
      </c>
      <c r="D4163" s="2"/>
      <c r="E4163" s="2" t="s">
        <v>38</v>
      </c>
      <c r="F4163" s="2" t="s">
        <v>11245</v>
      </c>
      <c r="G4163" s="2" t="s">
        <v>11246</v>
      </c>
      <c r="H4163" s="12">
        <v>0.0</v>
      </c>
      <c r="I4163" s="2" t="s">
        <v>40</v>
      </c>
      <c r="J4163" s="2"/>
      <c r="K4163" s="2" t="s">
        <v>11247</v>
      </c>
      <c r="L4163" s="12">
        <v>414.0</v>
      </c>
      <c r="M4163" s="2" t="s">
        <v>11248</v>
      </c>
      <c r="N4163" s="2" t="str">
        <f>IFERROR(__xludf.DUMMYFUNCTION("""COMPUTED_VALUE"""),"")</f>
        <v/>
      </c>
    </row>
    <row r="4164">
      <c r="A4164" s="2" t="s">
        <v>33</v>
      </c>
      <c r="B4164" s="12">
        <v>3999049.0</v>
      </c>
      <c r="C4164" s="12">
        <v>4000227.0</v>
      </c>
      <c r="D4164" s="2"/>
      <c r="E4164" s="2" t="s">
        <v>38</v>
      </c>
      <c r="F4164" s="2" t="s">
        <v>11249</v>
      </c>
      <c r="G4164" s="2"/>
      <c r="H4164" s="12">
        <v>0.0</v>
      </c>
      <c r="I4164" s="2" t="s">
        <v>40</v>
      </c>
      <c r="J4164" s="2"/>
      <c r="K4164" s="2" t="s">
        <v>11250</v>
      </c>
      <c r="L4164" s="12">
        <v>392.0</v>
      </c>
      <c r="M4164" s="2" t="s">
        <v>11251</v>
      </c>
      <c r="N4164" s="2" t="str">
        <f>IFERROR(__xludf.DUMMYFUNCTION("""COMPUTED_VALUE"""),"")</f>
        <v/>
      </c>
    </row>
    <row r="4165">
      <c r="A4165" s="2" t="s">
        <v>33</v>
      </c>
      <c r="B4165" s="12">
        <v>4000242.0</v>
      </c>
      <c r="C4165" s="12">
        <v>4001105.0</v>
      </c>
      <c r="D4165" s="2"/>
      <c r="E4165" s="2" t="s">
        <v>34</v>
      </c>
      <c r="F4165" s="2" t="s">
        <v>11252</v>
      </c>
      <c r="G4165" s="2"/>
      <c r="H4165" s="12">
        <v>0.0</v>
      </c>
      <c r="I4165" s="2" t="s">
        <v>40</v>
      </c>
      <c r="J4165" s="2"/>
      <c r="K4165" s="2" t="s">
        <v>11253</v>
      </c>
      <c r="L4165" s="12">
        <v>287.0</v>
      </c>
      <c r="M4165" s="2" t="s">
        <v>11254</v>
      </c>
      <c r="N4165" s="2" t="str">
        <f>IFERROR(__xludf.DUMMYFUNCTION("""COMPUTED_VALUE"""),"")</f>
        <v/>
      </c>
    </row>
    <row r="4166">
      <c r="A4166" s="2" t="s">
        <v>33</v>
      </c>
      <c r="B4166" s="12">
        <v>4001409.0</v>
      </c>
      <c r="C4166" s="12">
        <v>4002590.0</v>
      </c>
      <c r="D4166" s="2"/>
      <c r="E4166" s="2" t="s">
        <v>34</v>
      </c>
      <c r="F4166" s="2" t="s">
        <v>6140</v>
      </c>
      <c r="G4166" s="2" t="s">
        <v>6141</v>
      </c>
      <c r="H4166" s="12">
        <v>0.0</v>
      </c>
      <c r="I4166" s="2" t="s">
        <v>40</v>
      </c>
      <c r="J4166" s="2"/>
      <c r="K4166" s="2" t="s">
        <v>11255</v>
      </c>
      <c r="L4166" s="12">
        <v>393.0</v>
      </c>
      <c r="M4166" s="2" t="s">
        <v>11256</v>
      </c>
      <c r="N4166" s="2" t="str">
        <f>IFERROR(__xludf.DUMMYFUNCTION("""COMPUTED_VALUE"""),"")</f>
        <v/>
      </c>
    </row>
    <row r="4167">
      <c r="A4167" s="2" t="s">
        <v>33</v>
      </c>
      <c r="B4167" s="12">
        <v>4002587.0</v>
      </c>
      <c r="C4167" s="12">
        <v>4003648.0</v>
      </c>
      <c r="D4167" s="2"/>
      <c r="E4167" s="2" t="s">
        <v>34</v>
      </c>
      <c r="F4167" s="2" t="s">
        <v>6136</v>
      </c>
      <c r="G4167" s="2" t="s">
        <v>6137</v>
      </c>
      <c r="H4167" s="12">
        <v>0.0</v>
      </c>
      <c r="I4167" s="2" t="s">
        <v>40</v>
      </c>
      <c r="J4167" s="2"/>
      <c r="K4167" s="2" t="s">
        <v>11257</v>
      </c>
      <c r="L4167" s="12">
        <v>353.0</v>
      </c>
      <c r="M4167" s="2" t="s">
        <v>11258</v>
      </c>
      <c r="N4167" s="2" t="str">
        <f>IFERROR(__xludf.DUMMYFUNCTION("""COMPUTED_VALUE"""),"")</f>
        <v/>
      </c>
    </row>
    <row r="4168">
      <c r="A4168" s="2" t="s">
        <v>33</v>
      </c>
      <c r="B4168" s="12">
        <v>4003716.0</v>
      </c>
      <c r="C4168" s="12">
        <v>4003877.0</v>
      </c>
      <c r="D4168" s="2"/>
      <c r="E4168" s="2" t="s">
        <v>34</v>
      </c>
      <c r="F4168" s="2" t="s">
        <v>11259</v>
      </c>
      <c r="G4168" s="2"/>
      <c r="H4168" s="12">
        <v>0.0</v>
      </c>
      <c r="I4168" s="2" t="s">
        <v>40</v>
      </c>
      <c r="J4168" s="2"/>
      <c r="K4168" s="2" t="s">
        <v>11260</v>
      </c>
      <c r="L4168" s="12">
        <v>53.0</v>
      </c>
      <c r="M4168" s="2" t="s">
        <v>11261</v>
      </c>
      <c r="N4168" s="2" t="str">
        <f>IFERROR(__xludf.DUMMYFUNCTION("""COMPUTED_VALUE"""),"")</f>
        <v/>
      </c>
    </row>
    <row r="4169">
      <c r="A4169" s="2" t="s">
        <v>33</v>
      </c>
      <c r="B4169" s="12">
        <v>4003907.0</v>
      </c>
      <c r="C4169" s="12">
        <v>4004683.0</v>
      </c>
      <c r="D4169" s="2"/>
      <c r="E4169" s="2" t="s">
        <v>38</v>
      </c>
      <c r="F4169" s="2" t="s">
        <v>11262</v>
      </c>
      <c r="G4169" s="2"/>
      <c r="H4169" s="12">
        <v>0.0</v>
      </c>
      <c r="I4169" s="2" t="s">
        <v>40</v>
      </c>
      <c r="J4169" s="2"/>
      <c r="K4169" s="2" t="s">
        <v>11263</v>
      </c>
      <c r="L4169" s="12">
        <v>258.0</v>
      </c>
      <c r="M4169" s="2" t="s">
        <v>11264</v>
      </c>
      <c r="N4169" s="2" t="str">
        <f>IFERROR(__xludf.DUMMYFUNCTION("""COMPUTED_VALUE"""),"")</f>
        <v/>
      </c>
    </row>
    <row r="4170">
      <c r="A4170" s="2" t="s">
        <v>33</v>
      </c>
      <c r="B4170" s="12">
        <v>4004880.0</v>
      </c>
      <c r="C4170" s="12">
        <v>4005212.0</v>
      </c>
      <c r="D4170" s="2"/>
      <c r="E4170" s="2" t="s">
        <v>34</v>
      </c>
      <c r="F4170" s="2" t="s">
        <v>2365</v>
      </c>
      <c r="G4170" s="2"/>
      <c r="H4170" s="12">
        <v>0.0</v>
      </c>
      <c r="I4170" s="2" t="s">
        <v>40</v>
      </c>
      <c r="J4170" s="2"/>
      <c r="K4170" s="2" t="s">
        <v>11265</v>
      </c>
      <c r="L4170" s="12">
        <v>110.0</v>
      </c>
      <c r="M4170" s="2" t="s">
        <v>11266</v>
      </c>
      <c r="N4170" s="2" t="str">
        <f>IFERROR(__xludf.DUMMYFUNCTION("""COMPUTED_VALUE"""),"")</f>
        <v/>
      </c>
    </row>
    <row r="4171">
      <c r="A4171" s="2" t="s">
        <v>33</v>
      </c>
      <c r="B4171" s="12">
        <v>4005212.0</v>
      </c>
      <c r="C4171" s="12">
        <v>4005976.0</v>
      </c>
      <c r="D4171" s="2"/>
      <c r="E4171" s="2" t="s">
        <v>34</v>
      </c>
      <c r="F4171" s="2" t="s">
        <v>11267</v>
      </c>
      <c r="G4171" s="2"/>
      <c r="H4171" s="12">
        <v>0.0</v>
      </c>
      <c r="I4171" s="2" t="s">
        <v>40</v>
      </c>
      <c r="J4171" s="2"/>
      <c r="K4171" s="2" t="s">
        <v>11268</v>
      </c>
      <c r="L4171" s="12">
        <v>254.0</v>
      </c>
      <c r="M4171" s="2" t="s">
        <v>11269</v>
      </c>
      <c r="N4171" s="2" t="str">
        <f>IFERROR(__xludf.DUMMYFUNCTION("""COMPUTED_VALUE"""),"")</f>
        <v/>
      </c>
    </row>
    <row r="4172">
      <c r="A4172" s="2" t="s">
        <v>33</v>
      </c>
      <c r="B4172" s="12">
        <v>4005996.0</v>
      </c>
      <c r="C4172" s="12">
        <v>4006754.0</v>
      </c>
      <c r="D4172" s="2"/>
      <c r="E4172" s="2" t="s">
        <v>34</v>
      </c>
      <c r="F4172" s="2" t="s">
        <v>11267</v>
      </c>
      <c r="G4172" s="2"/>
      <c r="H4172" s="12">
        <v>0.0</v>
      </c>
      <c r="I4172" s="2" t="s">
        <v>40</v>
      </c>
      <c r="J4172" s="2"/>
      <c r="K4172" s="2" t="s">
        <v>11270</v>
      </c>
      <c r="L4172" s="12">
        <v>252.0</v>
      </c>
      <c r="M4172" s="2" t="s">
        <v>11271</v>
      </c>
      <c r="N4172" s="2" t="str">
        <f>IFERROR(__xludf.DUMMYFUNCTION("""COMPUTED_VALUE"""),"")</f>
        <v/>
      </c>
    </row>
    <row r="4173">
      <c r="A4173" s="2" t="s">
        <v>33</v>
      </c>
      <c r="B4173" s="12">
        <v>4006776.0</v>
      </c>
      <c r="C4173" s="12">
        <v>4007035.0</v>
      </c>
      <c r="D4173" s="2"/>
      <c r="E4173" s="2" t="s">
        <v>34</v>
      </c>
      <c r="F4173" s="2" t="s">
        <v>35</v>
      </c>
      <c r="G4173" s="2"/>
      <c r="H4173" s="12">
        <v>0.0</v>
      </c>
      <c r="I4173" s="2" t="s">
        <v>36</v>
      </c>
      <c r="J4173" s="2"/>
      <c r="K4173" s="2"/>
      <c r="L4173" s="2"/>
      <c r="M4173" s="2" t="s">
        <v>11272</v>
      </c>
      <c r="N4173" s="2" t="str">
        <f>IFERROR(__xludf.DUMMYFUNCTION("""COMPUTED_VALUE"""),"")</f>
        <v/>
      </c>
    </row>
    <row r="4174">
      <c r="A4174" s="2" t="s">
        <v>33</v>
      </c>
      <c r="B4174" s="12">
        <v>4007051.0</v>
      </c>
      <c r="C4174" s="12">
        <v>4007668.0</v>
      </c>
      <c r="D4174" s="2"/>
      <c r="E4174" s="2" t="s">
        <v>38</v>
      </c>
      <c r="F4174" s="2" t="s">
        <v>11273</v>
      </c>
      <c r="G4174" s="2"/>
      <c r="H4174" s="12">
        <v>0.0</v>
      </c>
      <c r="I4174" s="2" t="s">
        <v>40</v>
      </c>
      <c r="J4174" s="2"/>
      <c r="K4174" s="2" t="s">
        <v>11274</v>
      </c>
      <c r="L4174" s="12">
        <v>205.0</v>
      </c>
      <c r="M4174" s="2" t="s">
        <v>11275</v>
      </c>
      <c r="N4174" s="2" t="str">
        <f>IFERROR(__xludf.DUMMYFUNCTION("""COMPUTED_VALUE"""),"")</f>
        <v/>
      </c>
    </row>
    <row r="4175">
      <c r="A4175" s="2" t="s">
        <v>33</v>
      </c>
      <c r="B4175" s="12">
        <v>4007844.0</v>
      </c>
      <c r="C4175" s="12">
        <v>4008137.0</v>
      </c>
      <c r="D4175" s="2"/>
      <c r="E4175" s="2" t="s">
        <v>34</v>
      </c>
      <c r="F4175" s="2" t="s">
        <v>11276</v>
      </c>
      <c r="G4175" s="2"/>
      <c r="H4175" s="12">
        <v>0.0</v>
      </c>
      <c r="I4175" s="2" t="s">
        <v>40</v>
      </c>
      <c r="J4175" s="2"/>
      <c r="K4175" s="2" t="s">
        <v>11277</v>
      </c>
      <c r="L4175" s="12">
        <v>97.0</v>
      </c>
      <c r="M4175" s="2" t="s">
        <v>11278</v>
      </c>
      <c r="N4175" s="2" t="str">
        <f>IFERROR(__xludf.DUMMYFUNCTION("""COMPUTED_VALUE"""),"")</f>
        <v/>
      </c>
    </row>
    <row r="4176">
      <c r="A4176" s="2" t="s">
        <v>33</v>
      </c>
      <c r="B4176" s="12">
        <v>4008245.0</v>
      </c>
      <c r="C4176" s="12">
        <v>4008694.0</v>
      </c>
      <c r="D4176" s="2"/>
      <c r="E4176" s="2" t="s">
        <v>34</v>
      </c>
      <c r="F4176" s="2" t="s">
        <v>1611</v>
      </c>
      <c r="G4176" s="2"/>
      <c r="H4176" s="12">
        <v>0.0</v>
      </c>
      <c r="I4176" s="2" t="s">
        <v>40</v>
      </c>
      <c r="J4176" s="2"/>
      <c r="K4176" s="2" t="s">
        <v>11279</v>
      </c>
      <c r="L4176" s="12">
        <v>149.0</v>
      </c>
      <c r="M4176" s="2" t="s">
        <v>11280</v>
      </c>
      <c r="N4176" s="2" t="str">
        <f>IFERROR(__xludf.DUMMYFUNCTION("""COMPUTED_VALUE"""),"")</f>
        <v/>
      </c>
    </row>
    <row r="4177">
      <c r="A4177" s="2" t="s">
        <v>33</v>
      </c>
      <c r="B4177" s="12">
        <v>4008834.0</v>
      </c>
      <c r="C4177" s="12">
        <v>4010009.0</v>
      </c>
      <c r="D4177" s="2"/>
      <c r="E4177" s="2" t="s">
        <v>34</v>
      </c>
      <c r="F4177" s="2" t="s">
        <v>7602</v>
      </c>
      <c r="G4177" s="2"/>
      <c r="H4177" s="12">
        <v>0.0</v>
      </c>
      <c r="I4177" s="2" t="s">
        <v>40</v>
      </c>
      <c r="J4177" s="2"/>
      <c r="K4177" s="2" t="s">
        <v>11281</v>
      </c>
      <c r="L4177" s="12">
        <v>391.0</v>
      </c>
      <c r="M4177" s="2" t="s">
        <v>11282</v>
      </c>
      <c r="N4177" s="2" t="str">
        <f>IFERROR(__xludf.DUMMYFUNCTION("""COMPUTED_VALUE"""),"")</f>
        <v/>
      </c>
    </row>
    <row r="4178">
      <c r="A4178" s="2" t="s">
        <v>33</v>
      </c>
      <c r="B4178" s="12">
        <v>4010039.0</v>
      </c>
      <c r="C4178" s="12">
        <v>4010791.0</v>
      </c>
      <c r="D4178" s="2"/>
      <c r="E4178" s="2" t="s">
        <v>38</v>
      </c>
      <c r="F4178" s="2" t="s">
        <v>712</v>
      </c>
      <c r="G4178" s="2"/>
      <c r="H4178" s="12">
        <v>0.0</v>
      </c>
      <c r="I4178" s="2" t="s">
        <v>40</v>
      </c>
      <c r="J4178" s="2"/>
      <c r="K4178" s="2" t="s">
        <v>11283</v>
      </c>
      <c r="L4178" s="12">
        <v>250.0</v>
      </c>
      <c r="M4178" s="2" t="s">
        <v>11284</v>
      </c>
      <c r="N4178" s="2" t="str">
        <f>IFERROR(__xludf.DUMMYFUNCTION("""COMPUTED_VALUE"""),"")</f>
        <v/>
      </c>
    </row>
    <row r="4179">
      <c r="A4179" s="2" t="s">
        <v>33</v>
      </c>
      <c r="B4179" s="12">
        <v>4011007.0</v>
      </c>
      <c r="C4179" s="12">
        <v>4011735.0</v>
      </c>
      <c r="D4179" s="2"/>
      <c r="E4179" s="2" t="s">
        <v>34</v>
      </c>
      <c r="F4179" s="2" t="s">
        <v>11285</v>
      </c>
      <c r="G4179" s="2"/>
      <c r="H4179" s="12">
        <v>0.0</v>
      </c>
      <c r="I4179" s="2" t="s">
        <v>40</v>
      </c>
      <c r="J4179" s="2"/>
      <c r="K4179" s="2" t="s">
        <v>11286</v>
      </c>
      <c r="L4179" s="12">
        <v>242.0</v>
      </c>
      <c r="M4179" s="2" t="s">
        <v>11287</v>
      </c>
      <c r="N4179" s="2" t="str">
        <f>IFERROR(__xludf.DUMMYFUNCTION("""COMPUTED_VALUE"""),"")</f>
        <v/>
      </c>
    </row>
    <row r="4180">
      <c r="A4180" s="2" t="s">
        <v>33</v>
      </c>
      <c r="B4180" s="12">
        <v>4011773.0</v>
      </c>
      <c r="C4180" s="12">
        <v>4012534.0</v>
      </c>
      <c r="D4180" s="2"/>
      <c r="E4180" s="2" t="s">
        <v>34</v>
      </c>
      <c r="F4180" s="2" t="s">
        <v>39</v>
      </c>
      <c r="G4180" s="2"/>
      <c r="H4180" s="12">
        <v>0.0</v>
      </c>
      <c r="I4180" s="2" t="s">
        <v>40</v>
      </c>
      <c r="J4180" s="2"/>
      <c r="K4180" s="2" t="s">
        <v>11288</v>
      </c>
      <c r="L4180" s="12">
        <v>253.0</v>
      </c>
      <c r="M4180" s="2" t="s">
        <v>11289</v>
      </c>
      <c r="N4180" s="2" t="str">
        <f>IFERROR(__xludf.DUMMYFUNCTION("""COMPUTED_VALUE"""),"")</f>
        <v/>
      </c>
    </row>
    <row r="4181">
      <c r="A4181" s="2" t="s">
        <v>33</v>
      </c>
      <c r="B4181" s="12">
        <v>4012564.0</v>
      </c>
      <c r="C4181" s="12">
        <v>4012995.0</v>
      </c>
      <c r="D4181" s="2"/>
      <c r="E4181" s="2" t="s">
        <v>38</v>
      </c>
      <c r="F4181" s="2" t="s">
        <v>11290</v>
      </c>
      <c r="G4181" s="2"/>
      <c r="H4181" s="12">
        <v>0.0</v>
      </c>
      <c r="I4181" s="2" t="s">
        <v>40</v>
      </c>
      <c r="J4181" s="2"/>
      <c r="K4181" s="2" t="s">
        <v>11291</v>
      </c>
      <c r="L4181" s="12">
        <v>143.0</v>
      </c>
      <c r="M4181" s="2" t="s">
        <v>11292</v>
      </c>
      <c r="N4181" s="2" t="str">
        <f>IFERROR(__xludf.DUMMYFUNCTION("""COMPUTED_VALUE"""),"")</f>
        <v/>
      </c>
    </row>
    <row r="4182">
      <c r="A4182" s="2" t="s">
        <v>33</v>
      </c>
      <c r="B4182" s="12">
        <v>4013127.0</v>
      </c>
      <c r="C4182" s="12">
        <v>4013582.0</v>
      </c>
      <c r="D4182" s="2"/>
      <c r="E4182" s="2" t="s">
        <v>34</v>
      </c>
      <c r="F4182" s="2" t="s">
        <v>11293</v>
      </c>
      <c r="G4182" s="2"/>
      <c r="H4182" s="12">
        <v>0.0</v>
      </c>
      <c r="I4182" s="2" t="s">
        <v>40</v>
      </c>
      <c r="J4182" s="2"/>
      <c r="K4182" s="2" t="s">
        <v>11294</v>
      </c>
      <c r="L4182" s="12">
        <v>151.0</v>
      </c>
      <c r="M4182" s="2" t="s">
        <v>11295</v>
      </c>
      <c r="N4182" s="2" t="str">
        <f>IFERROR(__xludf.DUMMYFUNCTION("""COMPUTED_VALUE"""),"")</f>
        <v/>
      </c>
    </row>
    <row r="4183">
      <c r="A4183" s="2" t="s">
        <v>33</v>
      </c>
      <c r="B4183" s="12">
        <v>4013798.0</v>
      </c>
      <c r="C4183" s="12">
        <v>4013887.0</v>
      </c>
      <c r="D4183" s="2"/>
      <c r="E4183" s="2" t="s">
        <v>34</v>
      </c>
      <c r="F4183" s="2" t="s">
        <v>39</v>
      </c>
      <c r="G4183" s="2"/>
      <c r="H4183" s="12">
        <v>0.0</v>
      </c>
      <c r="I4183" s="2" t="s">
        <v>40</v>
      </c>
      <c r="J4183" s="2"/>
      <c r="K4183" s="2" t="s">
        <v>11296</v>
      </c>
      <c r="L4183" s="12">
        <v>29.0</v>
      </c>
      <c r="M4183" s="2" t="s">
        <v>11297</v>
      </c>
      <c r="N4183" s="2" t="str">
        <f>IFERROR(__xludf.DUMMYFUNCTION("""COMPUTED_VALUE"""),"")</f>
        <v/>
      </c>
    </row>
    <row r="4184">
      <c r="A4184" s="2" t="s">
        <v>33</v>
      </c>
      <c r="B4184" s="12">
        <v>4013959.0</v>
      </c>
      <c r="C4184" s="12">
        <v>4014468.0</v>
      </c>
      <c r="D4184" s="2"/>
      <c r="E4184" s="2" t="s">
        <v>34</v>
      </c>
      <c r="F4184" s="2" t="s">
        <v>2487</v>
      </c>
      <c r="G4184" s="2"/>
      <c r="H4184" s="12">
        <v>0.0</v>
      </c>
      <c r="I4184" s="2" t="s">
        <v>40</v>
      </c>
      <c r="J4184" s="2"/>
      <c r="K4184" s="2" t="s">
        <v>11298</v>
      </c>
      <c r="L4184" s="12">
        <v>169.0</v>
      </c>
      <c r="M4184" s="2" t="s">
        <v>11299</v>
      </c>
      <c r="N4184" s="2" t="str">
        <f>IFERROR(__xludf.DUMMYFUNCTION("""COMPUTED_VALUE"""),"")</f>
        <v/>
      </c>
    </row>
    <row r="4185">
      <c r="A4185" s="2" t="s">
        <v>33</v>
      </c>
      <c r="B4185" s="12">
        <v>4014533.0</v>
      </c>
      <c r="C4185" s="12">
        <v>4015633.0</v>
      </c>
      <c r="D4185" s="2"/>
      <c r="E4185" s="2" t="s">
        <v>38</v>
      </c>
      <c r="F4185" s="2" t="s">
        <v>432</v>
      </c>
      <c r="G4185" s="2"/>
      <c r="H4185" s="12">
        <v>0.0</v>
      </c>
      <c r="I4185" s="2" t="s">
        <v>40</v>
      </c>
      <c r="J4185" s="2"/>
      <c r="K4185" s="2" t="s">
        <v>11300</v>
      </c>
      <c r="L4185" s="12">
        <v>366.0</v>
      </c>
      <c r="M4185" s="2" t="s">
        <v>11301</v>
      </c>
      <c r="N4185" s="2" t="str">
        <f>IFERROR(__xludf.DUMMYFUNCTION("""COMPUTED_VALUE"""),"")</f>
        <v/>
      </c>
    </row>
    <row r="4186">
      <c r="A4186" s="2" t="s">
        <v>33</v>
      </c>
      <c r="B4186" s="12">
        <v>4015896.0</v>
      </c>
      <c r="C4186" s="12">
        <v>4017572.0</v>
      </c>
      <c r="D4186" s="2"/>
      <c r="E4186" s="2" t="s">
        <v>34</v>
      </c>
      <c r="F4186" s="2" t="s">
        <v>11302</v>
      </c>
      <c r="G4186" s="2" t="s">
        <v>11303</v>
      </c>
      <c r="H4186" s="12">
        <v>0.0</v>
      </c>
      <c r="I4186" s="2" t="s">
        <v>40</v>
      </c>
      <c r="J4186" s="2"/>
      <c r="K4186" s="2" t="s">
        <v>11304</v>
      </c>
      <c r="L4186" s="12">
        <v>558.0</v>
      </c>
      <c r="M4186" s="2" t="s">
        <v>11305</v>
      </c>
      <c r="N4186" s="2" t="str">
        <f>IFERROR(__xludf.DUMMYFUNCTION("""COMPUTED_VALUE"""),"")</f>
        <v/>
      </c>
    </row>
    <row r="4187">
      <c r="A4187" s="2" t="s">
        <v>33</v>
      </c>
      <c r="B4187" s="12">
        <v>4017619.0</v>
      </c>
      <c r="C4187" s="12">
        <v>4019379.0</v>
      </c>
      <c r="D4187" s="2"/>
      <c r="E4187" s="2" t="s">
        <v>38</v>
      </c>
      <c r="F4187" s="2" t="s">
        <v>11306</v>
      </c>
      <c r="G4187" s="2"/>
      <c r="H4187" s="12">
        <v>0.0</v>
      </c>
      <c r="I4187" s="2" t="s">
        <v>40</v>
      </c>
      <c r="J4187" s="2"/>
      <c r="K4187" s="2" t="s">
        <v>11307</v>
      </c>
      <c r="L4187" s="12">
        <v>586.0</v>
      </c>
      <c r="M4187" s="2" t="s">
        <v>11308</v>
      </c>
      <c r="N4187" s="2" t="str">
        <f>IFERROR(__xludf.DUMMYFUNCTION("""COMPUTED_VALUE"""),"")</f>
        <v/>
      </c>
    </row>
    <row r="4188">
      <c r="A4188" s="2" t="s">
        <v>33</v>
      </c>
      <c r="B4188" s="12">
        <v>4019703.0</v>
      </c>
      <c r="C4188" s="12">
        <v>4020962.0</v>
      </c>
      <c r="D4188" s="2"/>
      <c r="E4188" s="2" t="s">
        <v>34</v>
      </c>
      <c r="F4188" s="2" t="s">
        <v>11309</v>
      </c>
      <c r="G4188" s="2"/>
      <c r="H4188" s="12">
        <v>0.0</v>
      </c>
      <c r="I4188" s="2" t="s">
        <v>40</v>
      </c>
      <c r="J4188" s="2"/>
      <c r="K4188" s="2" t="s">
        <v>11310</v>
      </c>
      <c r="L4188" s="12">
        <v>419.0</v>
      </c>
      <c r="M4188" s="2" t="s">
        <v>11311</v>
      </c>
      <c r="N4188" s="2" t="str">
        <f>IFERROR(__xludf.DUMMYFUNCTION("""COMPUTED_VALUE"""),"")</f>
        <v/>
      </c>
    </row>
    <row r="4189">
      <c r="A4189" s="2" t="s">
        <v>33</v>
      </c>
      <c r="B4189" s="12">
        <v>4021039.0</v>
      </c>
      <c r="C4189" s="12">
        <v>4022340.0</v>
      </c>
      <c r="D4189" s="2"/>
      <c r="E4189" s="2" t="s">
        <v>34</v>
      </c>
      <c r="F4189" s="2" t="s">
        <v>11312</v>
      </c>
      <c r="G4189" s="2" t="s">
        <v>11313</v>
      </c>
      <c r="H4189" s="12">
        <v>0.0</v>
      </c>
      <c r="I4189" s="2" t="s">
        <v>40</v>
      </c>
      <c r="J4189" s="2"/>
      <c r="K4189" s="2" t="s">
        <v>11314</v>
      </c>
      <c r="L4189" s="12">
        <v>433.0</v>
      </c>
      <c r="M4189" s="2" t="s">
        <v>11315</v>
      </c>
      <c r="N4189" s="2" t="str">
        <f>IFERROR(__xludf.DUMMYFUNCTION("""COMPUTED_VALUE"""),"")</f>
        <v/>
      </c>
    </row>
    <row r="4190">
      <c r="A4190" s="2" t="s">
        <v>33</v>
      </c>
      <c r="B4190" s="12">
        <v>4022341.0</v>
      </c>
      <c r="C4190" s="12">
        <v>4023183.0</v>
      </c>
      <c r="D4190" s="2"/>
      <c r="E4190" s="2" t="s">
        <v>34</v>
      </c>
      <c r="F4190" s="2" t="s">
        <v>11316</v>
      </c>
      <c r="G4190" s="2" t="s">
        <v>11317</v>
      </c>
      <c r="H4190" s="12">
        <v>0.0</v>
      </c>
      <c r="I4190" s="2" t="s">
        <v>40</v>
      </c>
      <c r="J4190" s="2"/>
      <c r="K4190" s="2" t="s">
        <v>11318</v>
      </c>
      <c r="L4190" s="12">
        <v>280.0</v>
      </c>
      <c r="M4190" s="2" t="s">
        <v>11319</v>
      </c>
      <c r="N4190" s="2" t="str">
        <f>IFERROR(__xludf.DUMMYFUNCTION("""COMPUTED_VALUE"""),"")</f>
        <v/>
      </c>
    </row>
    <row r="4191">
      <c r="A4191" s="2" t="s">
        <v>33</v>
      </c>
      <c r="B4191" s="12">
        <v>4023453.0</v>
      </c>
      <c r="C4191" s="12">
        <v>4024475.0</v>
      </c>
      <c r="D4191" s="2"/>
      <c r="E4191" s="2" t="s">
        <v>34</v>
      </c>
      <c r="F4191" s="2" t="s">
        <v>11320</v>
      </c>
      <c r="G4191" s="2" t="s">
        <v>11321</v>
      </c>
      <c r="H4191" s="12">
        <v>0.0</v>
      </c>
      <c r="I4191" s="2" t="s">
        <v>40</v>
      </c>
      <c r="J4191" s="2"/>
      <c r="K4191" s="2" t="s">
        <v>11322</v>
      </c>
      <c r="L4191" s="12">
        <v>340.0</v>
      </c>
      <c r="M4191" s="2" t="s">
        <v>11323</v>
      </c>
      <c r="N4191" s="2" t="str">
        <f>IFERROR(__xludf.DUMMYFUNCTION("""COMPUTED_VALUE"""),"")</f>
        <v/>
      </c>
    </row>
    <row r="4192">
      <c r="A4192" s="2" t="s">
        <v>33</v>
      </c>
      <c r="B4192" s="12">
        <v>4024489.0</v>
      </c>
      <c r="C4192" s="12">
        <v>4025652.0</v>
      </c>
      <c r="D4192" s="2"/>
      <c r="E4192" s="2" t="s">
        <v>38</v>
      </c>
      <c r="F4192" s="2" t="s">
        <v>11324</v>
      </c>
      <c r="G4192" s="2"/>
      <c r="H4192" s="12">
        <v>0.0</v>
      </c>
      <c r="I4192" s="2" t="s">
        <v>40</v>
      </c>
      <c r="J4192" s="2"/>
      <c r="K4192" s="2" t="s">
        <v>11325</v>
      </c>
      <c r="L4192" s="12">
        <v>387.0</v>
      </c>
      <c r="M4192" s="2" t="s">
        <v>11326</v>
      </c>
      <c r="N4192" s="2" t="str">
        <f>IFERROR(__xludf.DUMMYFUNCTION("""COMPUTED_VALUE"""),"")</f>
        <v/>
      </c>
    </row>
    <row r="4193">
      <c r="A4193" s="2" t="s">
        <v>33</v>
      </c>
      <c r="B4193" s="12">
        <v>4025775.0</v>
      </c>
      <c r="C4193" s="12">
        <v>4025975.0</v>
      </c>
      <c r="D4193" s="2"/>
      <c r="E4193" s="2" t="s">
        <v>38</v>
      </c>
      <c r="F4193" s="2" t="s">
        <v>39</v>
      </c>
      <c r="G4193" s="2"/>
      <c r="H4193" s="12">
        <v>0.0</v>
      </c>
      <c r="I4193" s="2" t="s">
        <v>40</v>
      </c>
      <c r="J4193" s="2"/>
      <c r="K4193" s="2" t="s">
        <v>11327</v>
      </c>
      <c r="L4193" s="12">
        <v>66.0</v>
      </c>
      <c r="M4193" s="2" t="s">
        <v>11328</v>
      </c>
      <c r="N4193" s="2" t="str">
        <f>IFERROR(__xludf.DUMMYFUNCTION("""COMPUTED_VALUE"""),"")</f>
        <v/>
      </c>
    </row>
    <row r="4194">
      <c r="A4194" s="2" t="s">
        <v>33</v>
      </c>
      <c r="B4194" s="12">
        <v>4026286.0</v>
      </c>
      <c r="C4194" s="12">
        <v>4027560.0</v>
      </c>
      <c r="D4194" s="2"/>
      <c r="E4194" s="2" t="s">
        <v>34</v>
      </c>
      <c r="F4194" s="2" t="s">
        <v>3590</v>
      </c>
      <c r="G4194" s="2" t="s">
        <v>3591</v>
      </c>
      <c r="H4194" s="12">
        <v>0.0</v>
      </c>
      <c r="I4194" s="2" t="s">
        <v>40</v>
      </c>
      <c r="J4194" s="2"/>
      <c r="K4194" s="2" t="s">
        <v>11329</v>
      </c>
      <c r="L4194" s="12">
        <v>424.0</v>
      </c>
      <c r="M4194" s="2" t="s">
        <v>11330</v>
      </c>
      <c r="N4194" s="2" t="str">
        <f>IFERROR(__xludf.DUMMYFUNCTION("""COMPUTED_VALUE"""),"")</f>
        <v/>
      </c>
    </row>
    <row r="4195">
      <c r="A4195" s="2" t="s">
        <v>33</v>
      </c>
      <c r="B4195" s="12">
        <v>4027599.0</v>
      </c>
      <c r="C4195" s="12">
        <v>4028348.0</v>
      </c>
      <c r="D4195" s="2"/>
      <c r="E4195" s="2" t="s">
        <v>38</v>
      </c>
      <c r="F4195" s="2" t="s">
        <v>11331</v>
      </c>
      <c r="G4195" s="2"/>
      <c r="H4195" s="12">
        <v>0.0</v>
      </c>
      <c r="I4195" s="2" t="s">
        <v>40</v>
      </c>
      <c r="J4195" s="2"/>
      <c r="K4195" s="2" t="s">
        <v>11332</v>
      </c>
      <c r="L4195" s="12">
        <v>249.0</v>
      </c>
      <c r="M4195" s="2" t="s">
        <v>11333</v>
      </c>
      <c r="N4195" s="2" t="str">
        <f>IFERROR(__xludf.DUMMYFUNCTION("""COMPUTED_VALUE"""),"")</f>
        <v/>
      </c>
    </row>
    <row r="4196">
      <c r="A4196" s="2" t="s">
        <v>33</v>
      </c>
      <c r="B4196" s="12">
        <v>4028575.0</v>
      </c>
      <c r="C4196" s="12">
        <v>4029009.0</v>
      </c>
      <c r="D4196" s="2"/>
      <c r="E4196" s="2" t="s">
        <v>34</v>
      </c>
      <c r="F4196" s="2" t="s">
        <v>11334</v>
      </c>
      <c r="G4196" s="2" t="s">
        <v>11335</v>
      </c>
      <c r="H4196" s="12">
        <v>0.0</v>
      </c>
      <c r="I4196" s="2" t="s">
        <v>40</v>
      </c>
      <c r="J4196" s="2"/>
      <c r="K4196" s="2" t="s">
        <v>11336</v>
      </c>
      <c r="L4196" s="12">
        <v>144.0</v>
      </c>
      <c r="M4196" s="2" t="s">
        <v>11337</v>
      </c>
      <c r="N4196" s="2" t="str">
        <f>IFERROR(__xludf.DUMMYFUNCTION("""COMPUTED_VALUE"""),"")</f>
        <v/>
      </c>
    </row>
    <row r="4197">
      <c r="A4197" s="2" t="s">
        <v>33</v>
      </c>
      <c r="B4197" s="12">
        <v>4029046.0</v>
      </c>
      <c r="C4197" s="12">
        <v>4029435.0</v>
      </c>
      <c r="D4197" s="2"/>
      <c r="E4197" s="2" t="s">
        <v>34</v>
      </c>
      <c r="F4197" s="2" t="s">
        <v>11338</v>
      </c>
      <c r="G4197" s="2" t="s">
        <v>11339</v>
      </c>
      <c r="H4197" s="12">
        <v>0.0</v>
      </c>
      <c r="I4197" s="2" t="s">
        <v>40</v>
      </c>
      <c r="J4197" s="2"/>
      <c r="K4197" s="2" t="s">
        <v>11340</v>
      </c>
      <c r="L4197" s="12">
        <v>129.0</v>
      </c>
      <c r="M4197" s="2" t="s">
        <v>11341</v>
      </c>
      <c r="N4197" s="2" t="str">
        <f>IFERROR(__xludf.DUMMYFUNCTION("""COMPUTED_VALUE"""),"")</f>
        <v/>
      </c>
    </row>
    <row r="4198">
      <c r="A4198" s="2" t="s">
        <v>33</v>
      </c>
      <c r="B4198" s="12">
        <v>4029474.0</v>
      </c>
      <c r="C4198" s="12">
        <v>4031762.0</v>
      </c>
      <c r="D4198" s="2"/>
      <c r="E4198" s="2" t="s">
        <v>38</v>
      </c>
      <c r="F4198" s="2" t="s">
        <v>11342</v>
      </c>
      <c r="G4198" s="2" t="s">
        <v>11343</v>
      </c>
      <c r="H4198" s="12">
        <v>0.0</v>
      </c>
      <c r="I4198" s="2" t="s">
        <v>40</v>
      </c>
      <c r="J4198" s="2"/>
      <c r="K4198" s="2" t="s">
        <v>11344</v>
      </c>
      <c r="L4198" s="12">
        <v>762.0</v>
      </c>
      <c r="M4198" s="2" t="s">
        <v>11345</v>
      </c>
      <c r="N4198" s="2" t="str">
        <f>IFERROR(__xludf.DUMMYFUNCTION("""COMPUTED_VALUE"""),"")</f>
        <v/>
      </c>
    </row>
    <row r="4199">
      <c r="A4199" s="2" t="s">
        <v>33</v>
      </c>
      <c r="B4199" s="12">
        <v>4032276.0</v>
      </c>
      <c r="C4199" s="12">
        <v>4032833.0</v>
      </c>
      <c r="D4199" s="2"/>
      <c r="E4199" s="2" t="s">
        <v>38</v>
      </c>
      <c r="F4199" s="2" t="s">
        <v>2365</v>
      </c>
      <c r="G4199" s="2"/>
      <c r="H4199" s="12">
        <v>0.0</v>
      </c>
      <c r="I4199" s="2" t="s">
        <v>40</v>
      </c>
      <c r="J4199" s="2"/>
      <c r="K4199" s="2" t="s">
        <v>11346</v>
      </c>
      <c r="L4199" s="12">
        <v>185.0</v>
      </c>
      <c r="M4199" s="2" t="s">
        <v>11347</v>
      </c>
      <c r="N4199" s="2" t="str">
        <f>IFERROR(__xludf.DUMMYFUNCTION("""COMPUTED_VALUE"""),"")</f>
        <v/>
      </c>
    </row>
    <row r="4200">
      <c r="A4200" s="2" t="s">
        <v>33</v>
      </c>
      <c r="B4200" s="12">
        <v>4032923.0</v>
      </c>
      <c r="C4200" s="12">
        <v>4034464.0</v>
      </c>
      <c r="D4200" s="2"/>
      <c r="E4200" s="2" t="s">
        <v>38</v>
      </c>
      <c r="F4200" s="2" t="s">
        <v>832</v>
      </c>
      <c r="G4200" s="2"/>
      <c r="H4200" s="12">
        <v>0.0</v>
      </c>
      <c r="I4200" s="2" t="s">
        <v>40</v>
      </c>
      <c r="J4200" s="2"/>
      <c r="K4200" s="2" t="s">
        <v>11348</v>
      </c>
      <c r="L4200" s="12">
        <v>513.0</v>
      </c>
      <c r="M4200" s="2" t="s">
        <v>11349</v>
      </c>
      <c r="N4200" s="2" t="str">
        <f>IFERROR(__xludf.DUMMYFUNCTION("""COMPUTED_VALUE"""),"")</f>
        <v/>
      </c>
    </row>
    <row r="4201">
      <c r="A4201" s="2" t="s">
        <v>33</v>
      </c>
      <c r="B4201" s="12">
        <v>4034876.0</v>
      </c>
      <c r="C4201" s="12">
        <v>4035376.0</v>
      </c>
      <c r="D4201" s="2"/>
      <c r="E4201" s="2" t="s">
        <v>34</v>
      </c>
      <c r="F4201" s="2" t="s">
        <v>39</v>
      </c>
      <c r="G4201" s="2"/>
      <c r="H4201" s="12">
        <v>0.0</v>
      </c>
      <c r="I4201" s="2" t="s">
        <v>40</v>
      </c>
      <c r="J4201" s="2"/>
      <c r="K4201" s="2" t="s">
        <v>11350</v>
      </c>
      <c r="L4201" s="12">
        <v>166.0</v>
      </c>
      <c r="M4201" s="2" t="s">
        <v>11351</v>
      </c>
      <c r="N4201" s="2" t="str">
        <f>IFERROR(__xludf.DUMMYFUNCTION("""COMPUTED_VALUE"""),"")</f>
        <v/>
      </c>
    </row>
    <row r="4202">
      <c r="A4202" s="2" t="s">
        <v>33</v>
      </c>
      <c r="B4202" s="12">
        <v>4035408.0</v>
      </c>
      <c r="C4202" s="12">
        <v>4035641.0</v>
      </c>
      <c r="D4202" s="2"/>
      <c r="E4202" s="2" t="s">
        <v>38</v>
      </c>
      <c r="F4202" s="2" t="s">
        <v>11352</v>
      </c>
      <c r="G4202" s="2"/>
      <c r="H4202" s="12">
        <v>0.0</v>
      </c>
      <c r="I4202" s="2" t="s">
        <v>40</v>
      </c>
      <c r="J4202" s="2"/>
      <c r="K4202" s="2" t="s">
        <v>11353</v>
      </c>
      <c r="L4202" s="12">
        <v>77.0</v>
      </c>
      <c r="M4202" s="2" t="s">
        <v>11354</v>
      </c>
      <c r="N4202" s="2" t="str">
        <f>IFERROR(__xludf.DUMMYFUNCTION("""COMPUTED_VALUE"""),"")</f>
        <v/>
      </c>
    </row>
    <row r="4203">
      <c r="A4203" s="2" t="s">
        <v>33</v>
      </c>
      <c r="B4203" s="12">
        <v>4035805.0</v>
      </c>
      <c r="C4203" s="12">
        <v>4036458.0</v>
      </c>
      <c r="D4203" s="2"/>
      <c r="E4203" s="2" t="s">
        <v>34</v>
      </c>
      <c r="F4203" s="2" t="s">
        <v>7930</v>
      </c>
      <c r="G4203" s="2"/>
      <c r="H4203" s="12">
        <v>0.0</v>
      </c>
      <c r="I4203" s="2" t="s">
        <v>40</v>
      </c>
      <c r="J4203" s="2"/>
      <c r="K4203" s="2" t="s">
        <v>11355</v>
      </c>
      <c r="L4203" s="12">
        <v>217.0</v>
      </c>
      <c r="M4203" s="2" t="s">
        <v>11356</v>
      </c>
      <c r="N4203" s="2" t="str">
        <f>IFERROR(__xludf.DUMMYFUNCTION("""COMPUTED_VALUE"""),"")</f>
        <v/>
      </c>
    </row>
    <row r="4204">
      <c r="A4204" s="2" t="s">
        <v>33</v>
      </c>
      <c r="B4204" s="12">
        <v>4037073.0</v>
      </c>
      <c r="C4204" s="12">
        <v>4037735.0</v>
      </c>
      <c r="D4204" s="2"/>
      <c r="E4204" s="2" t="s">
        <v>34</v>
      </c>
      <c r="F4204" s="2" t="s">
        <v>1777</v>
      </c>
      <c r="G4204" s="2"/>
      <c r="H4204" s="12">
        <v>0.0</v>
      </c>
      <c r="I4204" s="2" t="s">
        <v>40</v>
      </c>
      <c r="J4204" s="2"/>
      <c r="K4204" s="2" t="s">
        <v>11357</v>
      </c>
      <c r="L4204" s="12">
        <v>220.0</v>
      </c>
      <c r="M4204" s="2" t="s">
        <v>11358</v>
      </c>
      <c r="N4204" s="2" t="str">
        <f>IFERROR(__xludf.DUMMYFUNCTION("""COMPUTED_VALUE"""),"")</f>
        <v/>
      </c>
    </row>
    <row r="4205">
      <c r="A4205" s="2" t="s">
        <v>33</v>
      </c>
      <c r="B4205" s="12">
        <v>4037767.0</v>
      </c>
      <c r="C4205" s="12">
        <v>4038225.0</v>
      </c>
      <c r="D4205" s="2"/>
      <c r="E4205" s="2" t="s">
        <v>38</v>
      </c>
      <c r="F4205" s="2" t="s">
        <v>11359</v>
      </c>
      <c r="G4205" s="2"/>
      <c r="H4205" s="12">
        <v>0.0</v>
      </c>
      <c r="I4205" s="2" t="s">
        <v>40</v>
      </c>
      <c r="J4205" s="2"/>
      <c r="K4205" s="2" t="s">
        <v>11360</v>
      </c>
      <c r="L4205" s="12">
        <v>152.0</v>
      </c>
      <c r="M4205" s="2" t="s">
        <v>11361</v>
      </c>
      <c r="N4205" s="2" t="str">
        <f>IFERROR(__xludf.DUMMYFUNCTION("""COMPUTED_VALUE"""),"")</f>
        <v/>
      </c>
    </row>
    <row r="4206">
      <c r="A4206" s="2" t="s">
        <v>33</v>
      </c>
      <c r="B4206" s="12">
        <v>4038367.0</v>
      </c>
      <c r="C4206" s="12">
        <v>4039941.0</v>
      </c>
      <c r="D4206" s="2"/>
      <c r="E4206" s="2" t="s">
        <v>34</v>
      </c>
      <c r="F4206" s="2" t="s">
        <v>11362</v>
      </c>
      <c r="G4206" s="2"/>
      <c r="H4206" s="12">
        <v>0.0</v>
      </c>
      <c r="I4206" s="2" t="s">
        <v>40</v>
      </c>
      <c r="J4206" s="2"/>
      <c r="K4206" s="2" t="s">
        <v>11363</v>
      </c>
      <c r="L4206" s="12">
        <v>524.0</v>
      </c>
      <c r="M4206" s="2" t="s">
        <v>11364</v>
      </c>
      <c r="N4206" s="2" t="str">
        <f>IFERROR(__xludf.DUMMYFUNCTION("""COMPUTED_VALUE"""),"")</f>
        <v/>
      </c>
    </row>
    <row r="4207">
      <c r="A4207" s="2" t="s">
        <v>33</v>
      </c>
      <c r="B4207" s="12">
        <v>4040051.0</v>
      </c>
      <c r="C4207" s="12">
        <v>4042159.0</v>
      </c>
      <c r="D4207" s="2"/>
      <c r="E4207" s="2" t="s">
        <v>34</v>
      </c>
      <c r="F4207" s="2" t="s">
        <v>11365</v>
      </c>
      <c r="G4207" s="2"/>
      <c r="H4207" s="12">
        <v>0.0</v>
      </c>
      <c r="I4207" s="2" t="s">
        <v>40</v>
      </c>
      <c r="J4207" s="2"/>
      <c r="K4207" s="2" t="s">
        <v>11366</v>
      </c>
      <c r="L4207" s="12">
        <v>702.0</v>
      </c>
      <c r="M4207" s="2" t="s">
        <v>11367</v>
      </c>
      <c r="N4207" s="2" t="str">
        <f>IFERROR(__xludf.DUMMYFUNCTION("""COMPUTED_VALUE"""),"")</f>
        <v/>
      </c>
    </row>
    <row r="4208">
      <c r="A4208" s="2" t="s">
        <v>33</v>
      </c>
      <c r="B4208" s="12">
        <v>4042321.0</v>
      </c>
      <c r="C4208" s="12">
        <v>4042557.0</v>
      </c>
      <c r="D4208" s="2"/>
      <c r="E4208" s="2" t="s">
        <v>38</v>
      </c>
      <c r="F4208" s="2" t="s">
        <v>39</v>
      </c>
      <c r="G4208" s="2"/>
      <c r="H4208" s="12">
        <v>0.0</v>
      </c>
      <c r="I4208" s="2" t="s">
        <v>40</v>
      </c>
      <c r="J4208" s="2"/>
      <c r="K4208" s="2" t="s">
        <v>11368</v>
      </c>
      <c r="L4208" s="12">
        <v>78.0</v>
      </c>
      <c r="M4208" s="2" t="s">
        <v>11369</v>
      </c>
      <c r="N4208" s="2" t="str">
        <f>IFERROR(__xludf.DUMMYFUNCTION("""COMPUTED_VALUE"""),"")</f>
        <v/>
      </c>
    </row>
    <row r="4209">
      <c r="A4209" s="2" t="s">
        <v>33</v>
      </c>
      <c r="B4209" s="12">
        <v>4042655.0</v>
      </c>
      <c r="C4209" s="12">
        <v>4043512.0</v>
      </c>
      <c r="D4209" s="2"/>
      <c r="E4209" s="2" t="s">
        <v>38</v>
      </c>
      <c r="F4209" s="2" t="s">
        <v>437</v>
      </c>
      <c r="G4209" s="2"/>
      <c r="H4209" s="12">
        <v>0.0</v>
      </c>
      <c r="I4209" s="2" t="s">
        <v>40</v>
      </c>
      <c r="J4209" s="2"/>
      <c r="K4209" s="2" t="s">
        <v>11370</v>
      </c>
      <c r="L4209" s="12">
        <v>285.0</v>
      </c>
      <c r="M4209" s="2" t="s">
        <v>11371</v>
      </c>
      <c r="N4209" s="2" t="str">
        <f>IFERROR(__xludf.DUMMYFUNCTION("""COMPUTED_VALUE"""),"")</f>
        <v/>
      </c>
    </row>
    <row r="4210">
      <c r="A4210" s="2" t="s">
        <v>33</v>
      </c>
      <c r="B4210" s="12">
        <v>4043745.0</v>
      </c>
      <c r="C4210" s="12">
        <v>4044509.0</v>
      </c>
      <c r="D4210" s="2"/>
      <c r="E4210" s="2" t="s">
        <v>34</v>
      </c>
      <c r="F4210" s="2" t="s">
        <v>11372</v>
      </c>
      <c r="G4210" s="2" t="s">
        <v>11373</v>
      </c>
      <c r="H4210" s="12">
        <v>0.0</v>
      </c>
      <c r="I4210" s="2" t="s">
        <v>40</v>
      </c>
      <c r="J4210" s="2"/>
      <c r="K4210" s="2" t="s">
        <v>11374</v>
      </c>
      <c r="L4210" s="12">
        <v>254.0</v>
      </c>
      <c r="M4210" s="2" t="s">
        <v>11375</v>
      </c>
      <c r="N4210" s="2" t="str">
        <f>IFERROR(__xludf.DUMMYFUNCTION("""COMPUTED_VALUE"""),"")</f>
        <v/>
      </c>
    </row>
    <row r="4211">
      <c r="A4211" s="2" t="s">
        <v>33</v>
      </c>
      <c r="B4211" s="12">
        <v>4044765.0</v>
      </c>
      <c r="C4211" s="12">
        <v>4045982.0</v>
      </c>
      <c r="D4211" s="2"/>
      <c r="E4211" s="2" t="s">
        <v>34</v>
      </c>
      <c r="F4211" s="2" t="s">
        <v>11376</v>
      </c>
      <c r="G4211" s="2"/>
      <c r="H4211" s="12">
        <v>0.0</v>
      </c>
      <c r="I4211" s="2" t="s">
        <v>40</v>
      </c>
      <c r="J4211" s="2"/>
      <c r="K4211" s="2" t="s">
        <v>11377</v>
      </c>
      <c r="L4211" s="12">
        <v>405.0</v>
      </c>
      <c r="M4211" s="2" t="s">
        <v>11378</v>
      </c>
      <c r="N4211" s="2" t="str">
        <f>IFERROR(__xludf.DUMMYFUNCTION("""COMPUTED_VALUE"""),"")</f>
        <v/>
      </c>
    </row>
    <row r="4212">
      <c r="A4212" s="2" t="s">
        <v>33</v>
      </c>
      <c r="B4212" s="12">
        <v>4046165.0</v>
      </c>
      <c r="C4212" s="12">
        <v>4046653.0</v>
      </c>
      <c r="D4212" s="2"/>
      <c r="E4212" s="2" t="s">
        <v>34</v>
      </c>
      <c r="F4212" s="2" t="s">
        <v>11379</v>
      </c>
      <c r="G4212" s="2"/>
      <c r="H4212" s="12">
        <v>0.0</v>
      </c>
      <c r="I4212" s="2" t="s">
        <v>40</v>
      </c>
      <c r="J4212" s="2"/>
      <c r="K4212" s="2" t="s">
        <v>11380</v>
      </c>
      <c r="L4212" s="12">
        <v>162.0</v>
      </c>
      <c r="M4212" s="2" t="s">
        <v>11381</v>
      </c>
      <c r="N4212" s="2" t="str">
        <f>IFERROR(__xludf.DUMMYFUNCTION("""COMPUTED_VALUE"""),"")</f>
        <v/>
      </c>
    </row>
    <row r="4213">
      <c r="A4213" s="2" t="s">
        <v>33</v>
      </c>
      <c r="B4213" s="12">
        <v>4046735.0</v>
      </c>
      <c r="C4213" s="12">
        <v>4046971.0</v>
      </c>
      <c r="D4213" s="2"/>
      <c r="E4213" s="2" t="s">
        <v>38</v>
      </c>
      <c r="F4213" s="2" t="s">
        <v>8193</v>
      </c>
      <c r="G4213" s="2"/>
      <c r="H4213" s="12">
        <v>0.0</v>
      </c>
      <c r="I4213" s="2" t="s">
        <v>40</v>
      </c>
      <c r="J4213" s="2"/>
      <c r="K4213" s="2" t="s">
        <v>11382</v>
      </c>
      <c r="L4213" s="12">
        <v>78.0</v>
      </c>
      <c r="M4213" s="2" t="s">
        <v>11383</v>
      </c>
      <c r="N4213" s="2" t="str">
        <f>IFERROR(__xludf.DUMMYFUNCTION("""COMPUTED_VALUE"""),"")</f>
        <v/>
      </c>
    </row>
    <row r="4214">
      <c r="A4214" s="2" t="s">
        <v>33</v>
      </c>
      <c r="B4214" s="12">
        <v>4047205.0</v>
      </c>
      <c r="C4214" s="12">
        <v>4047441.0</v>
      </c>
      <c r="D4214" s="2"/>
      <c r="E4214" s="2" t="s">
        <v>34</v>
      </c>
      <c r="F4214" s="2" t="s">
        <v>11384</v>
      </c>
      <c r="G4214" s="2"/>
      <c r="H4214" s="12">
        <v>0.0</v>
      </c>
      <c r="I4214" s="2" t="s">
        <v>40</v>
      </c>
      <c r="J4214" s="2"/>
      <c r="K4214" s="2" t="s">
        <v>11385</v>
      </c>
      <c r="L4214" s="12">
        <v>78.0</v>
      </c>
      <c r="M4214" s="2" t="s">
        <v>11386</v>
      </c>
      <c r="N4214" s="2" t="str">
        <f>IFERROR(__xludf.DUMMYFUNCTION("""COMPUTED_VALUE"""),"")</f>
        <v/>
      </c>
    </row>
    <row r="4215">
      <c r="A4215" s="2" t="s">
        <v>33</v>
      </c>
      <c r="B4215" s="12">
        <v>4047683.0</v>
      </c>
      <c r="C4215" s="12">
        <v>4047832.0</v>
      </c>
      <c r="D4215" s="2"/>
      <c r="E4215" s="2" t="s">
        <v>34</v>
      </c>
      <c r="F4215" s="2" t="s">
        <v>39</v>
      </c>
      <c r="G4215" s="2"/>
      <c r="H4215" s="12">
        <v>0.0</v>
      </c>
      <c r="I4215" s="2" t="s">
        <v>40</v>
      </c>
      <c r="J4215" s="2"/>
      <c r="K4215" s="2" t="s">
        <v>11387</v>
      </c>
      <c r="L4215" s="12">
        <v>49.0</v>
      </c>
      <c r="M4215" s="2" t="s">
        <v>11388</v>
      </c>
      <c r="N4215" s="2" t="str">
        <f>IFERROR(__xludf.DUMMYFUNCTION("""COMPUTED_VALUE"""),"")</f>
        <v/>
      </c>
    </row>
    <row r="4216">
      <c r="A4216" s="2" t="s">
        <v>33</v>
      </c>
      <c r="B4216" s="12">
        <v>4047907.0</v>
      </c>
      <c r="C4216" s="12">
        <v>4048425.0</v>
      </c>
      <c r="D4216" s="2"/>
      <c r="E4216" s="2" t="s">
        <v>34</v>
      </c>
      <c r="F4216" s="2" t="s">
        <v>11389</v>
      </c>
      <c r="G4216" s="2"/>
      <c r="H4216" s="12">
        <v>0.0</v>
      </c>
      <c r="I4216" s="2" t="s">
        <v>40</v>
      </c>
      <c r="J4216" s="2"/>
      <c r="K4216" s="2" t="s">
        <v>11390</v>
      </c>
      <c r="L4216" s="12">
        <v>172.0</v>
      </c>
      <c r="M4216" s="2" t="s">
        <v>11391</v>
      </c>
      <c r="N4216" s="2" t="str">
        <f>IFERROR(__xludf.DUMMYFUNCTION("""COMPUTED_VALUE"""),"")</f>
        <v/>
      </c>
    </row>
    <row r="4217">
      <c r="A4217" s="2" t="s">
        <v>33</v>
      </c>
      <c r="B4217" s="12">
        <v>4048546.0</v>
      </c>
      <c r="C4217" s="12">
        <v>4048737.0</v>
      </c>
      <c r="D4217" s="2"/>
      <c r="E4217" s="2" t="s">
        <v>34</v>
      </c>
      <c r="F4217" s="2" t="s">
        <v>11392</v>
      </c>
      <c r="G4217" s="2" t="s">
        <v>11393</v>
      </c>
      <c r="H4217" s="12">
        <v>0.0</v>
      </c>
      <c r="I4217" s="2" t="s">
        <v>40</v>
      </c>
      <c r="J4217" s="2"/>
      <c r="K4217" s="2" t="s">
        <v>11394</v>
      </c>
      <c r="L4217" s="12">
        <v>63.0</v>
      </c>
      <c r="M4217" s="2" t="s">
        <v>11395</v>
      </c>
      <c r="N4217" s="2" t="str">
        <f>IFERROR(__xludf.DUMMYFUNCTION("""COMPUTED_VALUE"""),"")</f>
        <v/>
      </c>
    </row>
    <row r="4218">
      <c r="A4218" s="2" t="s">
        <v>33</v>
      </c>
      <c r="B4218" s="12">
        <v>4048906.0</v>
      </c>
      <c r="C4218" s="12">
        <v>4049349.0</v>
      </c>
      <c r="D4218" s="2"/>
      <c r="E4218" s="2" t="s">
        <v>34</v>
      </c>
      <c r="F4218" s="2" t="s">
        <v>11396</v>
      </c>
      <c r="G4218" s="2" t="s">
        <v>11397</v>
      </c>
      <c r="H4218" s="12">
        <v>0.0</v>
      </c>
      <c r="I4218" s="2" t="s">
        <v>40</v>
      </c>
      <c r="J4218" s="2"/>
      <c r="K4218" s="2" t="s">
        <v>11398</v>
      </c>
      <c r="L4218" s="12">
        <v>147.0</v>
      </c>
      <c r="M4218" s="2" t="s">
        <v>11399</v>
      </c>
      <c r="N4218" s="2" t="str">
        <f>IFERROR(__xludf.DUMMYFUNCTION("""COMPUTED_VALUE"""),"")</f>
        <v/>
      </c>
    </row>
    <row r="4219">
      <c r="A4219" s="2" t="s">
        <v>33</v>
      </c>
      <c r="B4219" s="12">
        <v>4049529.0</v>
      </c>
      <c r="C4219" s="12">
        <v>4050413.0</v>
      </c>
      <c r="D4219" s="2"/>
      <c r="E4219" s="2" t="s">
        <v>34</v>
      </c>
      <c r="F4219" s="2" t="s">
        <v>694</v>
      </c>
      <c r="G4219" s="2"/>
      <c r="H4219" s="12">
        <v>0.0</v>
      </c>
      <c r="I4219" s="2" t="s">
        <v>40</v>
      </c>
      <c r="J4219" s="2"/>
      <c r="K4219" s="2" t="s">
        <v>11400</v>
      </c>
      <c r="L4219" s="12">
        <v>294.0</v>
      </c>
      <c r="M4219" s="2" t="s">
        <v>11401</v>
      </c>
      <c r="N4219" s="2" t="str">
        <f>IFERROR(__xludf.DUMMYFUNCTION("""COMPUTED_VALUE"""),"")</f>
        <v/>
      </c>
    </row>
    <row r="4220">
      <c r="A4220" s="2" t="s">
        <v>33</v>
      </c>
      <c r="B4220" s="12">
        <v>4050485.0</v>
      </c>
      <c r="C4220" s="12">
        <v>4051207.0</v>
      </c>
      <c r="D4220" s="2"/>
      <c r="E4220" s="2" t="s">
        <v>34</v>
      </c>
      <c r="F4220" s="2" t="s">
        <v>11402</v>
      </c>
      <c r="G4220" s="2" t="s">
        <v>11403</v>
      </c>
      <c r="H4220" s="12">
        <v>0.0</v>
      </c>
      <c r="I4220" s="2" t="s">
        <v>40</v>
      </c>
      <c r="J4220" s="2"/>
      <c r="K4220" s="2" t="s">
        <v>11404</v>
      </c>
      <c r="L4220" s="12">
        <v>240.0</v>
      </c>
      <c r="M4220" s="2" t="s">
        <v>11405</v>
      </c>
      <c r="N4220" s="2" t="str">
        <f>IFERROR(__xludf.DUMMYFUNCTION("""COMPUTED_VALUE"""),"")</f>
        <v/>
      </c>
    </row>
    <row r="4221">
      <c r="A4221" s="2" t="s">
        <v>33</v>
      </c>
      <c r="B4221" s="12">
        <v>4051271.0</v>
      </c>
      <c r="C4221" s="12">
        <v>4052401.0</v>
      </c>
      <c r="D4221" s="2"/>
      <c r="E4221" s="2" t="s">
        <v>34</v>
      </c>
      <c r="F4221" s="2" t="s">
        <v>11406</v>
      </c>
      <c r="G4221" s="2"/>
      <c r="H4221" s="12">
        <v>0.0</v>
      </c>
      <c r="I4221" s="2" t="s">
        <v>40</v>
      </c>
      <c r="J4221" s="2"/>
      <c r="K4221" s="2" t="s">
        <v>11407</v>
      </c>
      <c r="L4221" s="12">
        <v>376.0</v>
      </c>
      <c r="M4221" s="2" t="s">
        <v>11408</v>
      </c>
      <c r="N4221" s="2" t="str">
        <f>IFERROR(__xludf.DUMMYFUNCTION("""COMPUTED_VALUE"""),"")</f>
        <v/>
      </c>
    </row>
    <row r="4222">
      <c r="A4222" s="2" t="s">
        <v>33</v>
      </c>
      <c r="B4222" s="12">
        <v>4052648.0</v>
      </c>
      <c r="C4222" s="12">
        <v>4053514.0</v>
      </c>
      <c r="D4222" s="2"/>
      <c r="E4222" s="2" t="s">
        <v>34</v>
      </c>
      <c r="F4222" s="2" t="s">
        <v>11409</v>
      </c>
      <c r="G4222" s="2"/>
      <c r="H4222" s="12">
        <v>0.0</v>
      </c>
      <c r="I4222" s="2" t="s">
        <v>40</v>
      </c>
      <c r="J4222" s="2"/>
      <c r="K4222" s="2" t="s">
        <v>11410</v>
      </c>
      <c r="L4222" s="12">
        <v>288.0</v>
      </c>
      <c r="M4222" s="2" t="s">
        <v>11411</v>
      </c>
      <c r="N4222" s="2" t="str">
        <f>IFERROR(__xludf.DUMMYFUNCTION("""COMPUTED_VALUE"""),"")</f>
        <v/>
      </c>
    </row>
    <row r="4223">
      <c r="A4223" s="2" t="s">
        <v>33</v>
      </c>
      <c r="B4223" s="12">
        <v>4053597.0</v>
      </c>
      <c r="C4223" s="12">
        <v>4054262.0</v>
      </c>
      <c r="D4223" s="2"/>
      <c r="E4223" s="2" t="s">
        <v>34</v>
      </c>
      <c r="F4223" s="2" t="s">
        <v>7480</v>
      </c>
      <c r="G4223" s="2"/>
      <c r="H4223" s="12">
        <v>0.0</v>
      </c>
      <c r="I4223" s="2" t="s">
        <v>40</v>
      </c>
      <c r="J4223" s="2"/>
      <c r="K4223" s="2" t="s">
        <v>11412</v>
      </c>
      <c r="L4223" s="12">
        <v>221.0</v>
      </c>
      <c r="M4223" s="2" t="s">
        <v>11413</v>
      </c>
      <c r="N4223" s="2" t="str">
        <f>IFERROR(__xludf.DUMMYFUNCTION("""COMPUTED_VALUE"""),"")</f>
        <v/>
      </c>
    </row>
    <row r="4224">
      <c r="A4224" s="2" t="s">
        <v>33</v>
      </c>
      <c r="B4224" s="12">
        <v>4054306.0</v>
      </c>
      <c r="C4224" s="12">
        <v>4055973.0</v>
      </c>
      <c r="D4224" s="2"/>
      <c r="E4224" s="2" t="s">
        <v>38</v>
      </c>
      <c r="F4224" s="2" t="s">
        <v>11414</v>
      </c>
      <c r="G4224" s="2" t="s">
        <v>11415</v>
      </c>
      <c r="H4224" s="12">
        <v>0.0</v>
      </c>
      <c r="I4224" s="2" t="s">
        <v>40</v>
      </c>
      <c r="J4224" s="2"/>
      <c r="K4224" s="2" t="s">
        <v>11416</v>
      </c>
      <c r="L4224" s="12">
        <v>555.0</v>
      </c>
      <c r="M4224" s="2" t="s">
        <v>11417</v>
      </c>
      <c r="N4224" s="2" t="str">
        <f>IFERROR(__xludf.DUMMYFUNCTION("""COMPUTED_VALUE"""),"")</f>
        <v/>
      </c>
    </row>
    <row r="4225">
      <c r="A4225" s="2" t="s">
        <v>33</v>
      </c>
      <c r="B4225" s="12">
        <v>4055978.0</v>
      </c>
      <c r="C4225" s="12">
        <v>4056190.0</v>
      </c>
      <c r="D4225" s="2"/>
      <c r="E4225" s="2" t="s">
        <v>38</v>
      </c>
      <c r="F4225" s="2" t="s">
        <v>11418</v>
      </c>
      <c r="G4225" s="2"/>
      <c r="H4225" s="12">
        <v>0.0</v>
      </c>
      <c r="I4225" s="2" t="s">
        <v>40</v>
      </c>
      <c r="J4225" s="2"/>
      <c r="K4225" s="2" t="s">
        <v>11419</v>
      </c>
      <c r="L4225" s="12">
        <v>70.0</v>
      </c>
      <c r="M4225" s="2" t="s">
        <v>11420</v>
      </c>
      <c r="N4225" s="2" t="str">
        <f>IFERROR(__xludf.DUMMYFUNCTION("""COMPUTED_VALUE"""),"")</f>
        <v/>
      </c>
    </row>
    <row r="4226">
      <c r="A4226" s="2" t="s">
        <v>33</v>
      </c>
      <c r="B4226" s="12">
        <v>4056738.0</v>
      </c>
      <c r="C4226" s="12">
        <v>4057511.0</v>
      </c>
      <c r="D4226" s="2"/>
      <c r="E4226" s="2" t="s">
        <v>34</v>
      </c>
      <c r="F4226" s="2" t="s">
        <v>69</v>
      </c>
      <c r="G4226" s="2"/>
      <c r="H4226" s="12">
        <v>0.0</v>
      </c>
      <c r="I4226" s="2" t="s">
        <v>40</v>
      </c>
      <c r="J4226" s="2"/>
      <c r="K4226" s="2" t="s">
        <v>11421</v>
      </c>
      <c r="L4226" s="12">
        <v>257.0</v>
      </c>
      <c r="M4226" s="2" t="s">
        <v>11422</v>
      </c>
      <c r="N4226" s="2" t="str">
        <f>IFERROR(__xludf.DUMMYFUNCTION("""COMPUTED_VALUE"""),"")</f>
        <v/>
      </c>
    </row>
    <row r="4227">
      <c r="A4227" s="2" t="s">
        <v>33</v>
      </c>
      <c r="B4227" s="12">
        <v>4057572.0</v>
      </c>
      <c r="C4227" s="12">
        <v>4058126.0</v>
      </c>
      <c r="D4227" s="2"/>
      <c r="E4227" s="2" t="s">
        <v>38</v>
      </c>
      <c r="F4227" s="2" t="s">
        <v>11423</v>
      </c>
      <c r="G4227" s="2" t="s">
        <v>11424</v>
      </c>
      <c r="H4227" s="12">
        <v>0.0</v>
      </c>
      <c r="I4227" s="2" t="s">
        <v>40</v>
      </c>
      <c r="J4227" s="2"/>
      <c r="K4227" s="2" t="s">
        <v>11425</v>
      </c>
      <c r="L4227" s="12">
        <v>184.0</v>
      </c>
      <c r="M4227" s="2" t="s">
        <v>11426</v>
      </c>
      <c r="N4227" s="2" t="str">
        <f>IFERROR(__xludf.DUMMYFUNCTION("""COMPUTED_VALUE"""),"")</f>
        <v/>
      </c>
    </row>
    <row r="4228">
      <c r="A4228" s="2" t="s">
        <v>33</v>
      </c>
      <c r="B4228" s="12">
        <v>4058296.0</v>
      </c>
      <c r="C4228" s="12">
        <v>4058442.0</v>
      </c>
      <c r="D4228" s="2"/>
      <c r="E4228" s="2" t="s">
        <v>38</v>
      </c>
      <c r="F4228" s="2" t="s">
        <v>560</v>
      </c>
      <c r="G4228" s="2"/>
      <c r="H4228" s="12">
        <v>0.0</v>
      </c>
      <c r="I4228" s="2" t="s">
        <v>40</v>
      </c>
      <c r="J4228" s="2"/>
      <c r="K4228" s="2" t="s">
        <v>11427</v>
      </c>
      <c r="L4228" s="12">
        <v>48.0</v>
      </c>
      <c r="M4228" s="2" t="s">
        <v>11428</v>
      </c>
      <c r="N4228" s="2" t="str">
        <f>IFERROR(__xludf.DUMMYFUNCTION("""COMPUTED_VALUE"""),"")</f>
        <v/>
      </c>
    </row>
    <row r="4229">
      <c r="A4229" s="2" t="s">
        <v>33</v>
      </c>
      <c r="B4229" s="12">
        <v>4058957.0</v>
      </c>
      <c r="C4229" s="12">
        <v>4060072.0</v>
      </c>
      <c r="D4229" s="2"/>
      <c r="E4229" s="2" t="s">
        <v>34</v>
      </c>
      <c r="F4229" s="2" t="s">
        <v>11429</v>
      </c>
      <c r="G4229" s="2" t="s">
        <v>11430</v>
      </c>
      <c r="H4229" s="12">
        <v>0.0</v>
      </c>
      <c r="I4229" s="2" t="s">
        <v>40</v>
      </c>
      <c r="J4229" s="2"/>
      <c r="K4229" s="2" t="s">
        <v>11431</v>
      </c>
      <c r="L4229" s="12">
        <v>371.0</v>
      </c>
      <c r="M4229" s="2" t="s">
        <v>11432</v>
      </c>
      <c r="N4229" s="2" t="str">
        <f>IFERROR(__xludf.DUMMYFUNCTION("""COMPUTED_VALUE"""),"")</f>
        <v/>
      </c>
    </row>
    <row r="4230">
      <c r="A4230" s="2" t="s">
        <v>33</v>
      </c>
      <c r="B4230" s="12">
        <v>4060076.0</v>
      </c>
      <c r="C4230" s="12">
        <v>4061053.0</v>
      </c>
      <c r="D4230" s="2"/>
      <c r="E4230" s="2" t="s">
        <v>34</v>
      </c>
      <c r="F4230" s="2" t="s">
        <v>11433</v>
      </c>
      <c r="G4230" s="2" t="s">
        <v>11434</v>
      </c>
      <c r="H4230" s="12">
        <v>0.0</v>
      </c>
      <c r="I4230" s="2" t="s">
        <v>40</v>
      </c>
      <c r="J4230" s="2"/>
      <c r="K4230" s="2" t="s">
        <v>11435</v>
      </c>
      <c r="L4230" s="12">
        <v>325.0</v>
      </c>
      <c r="M4230" s="2" t="s">
        <v>11436</v>
      </c>
      <c r="N4230" s="2" t="str">
        <f>IFERROR(__xludf.DUMMYFUNCTION("""COMPUTED_VALUE"""),"")</f>
        <v/>
      </c>
    </row>
    <row r="4231">
      <c r="A4231" s="2" t="s">
        <v>33</v>
      </c>
      <c r="B4231" s="12">
        <v>4061147.0</v>
      </c>
      <c r="C4231" s="12">
        <v>4062436.0</v>
      </c>
      <c r="D4231" s="2"/>
      <c r="E4231" s="2" t="s">
        <v>34</v>
      </c>
      <c r="F4231" s="2" t="s">
        <v>11437</v>
      </c>
      <c r="G4231" s="2" t="s">
        <v>11438</v>
      </c>
      <c r="H4231" s="12">
        <v>0.0</v>
      </c>
      <c r="I4231" s="2" t="s">
        <v>40</v>
      </c>
      <c r="J4231" s="2"/>
      <c r="K4231" s="2" t="s">
        <v>11439</v>
      </c>
      <c r="L4231" s="12">
        <v>429.0</v>
      </c>
      <c r="M4231" s="2" t="s">
        <v>11440</v>
      </c>
      <c r="N4231" s="2" t="str">
        <f>IFERROR(__xludf.DUMMYFUNCTION("""COMPUTED_VALUE"""),"")</f>
        <v/>
      </c>
    </row>
    <row r="4232">
      <c r="A4232" s="2" t="s">
        <v>33</v>
      </c>
      <c r="B4232" s="12">
        <v>4062442.0</v>
      </c>
      <c r="C4232" s="12">
        <v>4063854.0</v>
      </c>
      <c r="D4232" s="2"/>
      <c r="E4232" s="2" t="s">
        <v>34</v>
      </c>
      <c r="F4232" s="2" t="s">
        <v>10873</v>
      </c>
      <c r="G4232" s="2" t="s">
        <v>10874</v>
      </c>
      <c r="H4232" s="12">
        <v>0.0</v>
      </c>
      <c r="I4232" s="2" t="s">
        <v>40</v>
      </c>
      <c r="J4232" s="2"/>
      <c r="K4232" s="2" t="s">
        <v>11441</v>
      </c>
      <c r="L4232" s="12">
        <v>470.0</v>
      </c>
      <c r="M4232" s="2" t="s">
        <v>11442</v>
      </c>
      <c r="N4232" s="2" t="str">
        <f>IFERROR(__xludf.DUMMYFUNCTION("""COMPUTED_VALUE"""),"")</f>
        <v/>
      </c>
    </row>
    <row r="4233">
      <c r="A4233" s="2" t="s">
        <v>33</v>
      </c>
      <c r="B4233" s="12">
        <v>4064087.0</v>
      </c>
      <c r="C4233" s="12">
        <v>4064314.0</v>
      </c>
      <c r="D4233" s="2"/>
      <c r="E4233" s="2" t="s">
        <v>34</v>
      </c>
      <c r="F4233" s="2" t="s">
        <v>39</v>
      </c>
      <c r="G4233" s="2"/>
      <c r="H4233" s="12">
        <v>0.0</v>
      </c>
      <c r="I4233" s="2" t="s">
        <v>40</v>
      </c>
      <c r="J4233" s="2"/>
      <c r="K4233" s="2" t="s">
        <v>11443</v>
      </c>
      <c r="L4233" s="12">
        <v>75.0</v>
      </c>
      <c r="M4233" s="2" t="s">
        <v>11444</v>
      </c>
      <c r="N4233" s="2" t="str">
        <f>IFERROR(__xludf.DUMMYFUNCTION("""COMPUTED_VALUE"""),"")</f>
        <v/>
      </c>
    </row>
    <row r="4234">
      <c r="A4234" s="2" t="s">
        <v>33</v>
      </c>
      <c r="B4234" s="12">
        <v>4064316.0</v>
      </c>
      <c r="C4234" s="12">
        <v>4064708.0</v>
      </c>
      <c r="D4234" s="2"/>
      <c r="E4234" s="2" t="s">
        <v>38</v>
      </c>
      <c r="F4234" s="2" t="s">
        <v>11445</v>
      </c>
      <c r="G4234" s="2"/>
      <c r="H4234" s="12">
        <v>0.0</v>
      </c>
      <c r="I4234" s="2" t="s">
        <v>40</v>
      </c>
      <c r="J4234" s="2"/>
      <c r="K4234" s="2" t="s">
        <v>11446</v>
      </c>
      <c r="L4234" s="12">
        <v>130.0</v>
      </c>
      <c r="M4234" s="2" t="s">
        <v>11447</v>
      </c>
      <c r="N4234" s="2" t="str">
        <f>IFERROR(__xludf.DUMMYFUNCTION("""COMPUTED_VALUE"""),"")</f>
        <v/>
      </c>
    </row>
    <row r="4235">
      <c r="A4235" s="2" t="s">
        <v>33</v>
      </c>
      <c r="B4235" s="12">
        <v>4064839.0</v>
      </c>
      <c r="C4235" s="12">
        <v>4065135.0</v>
      </c>
      <c r="D4235" s="2"/>
      <c r="E4235" s="2" t="s">
        <v>34</v>
      </c>
      <c r="F4235" s="2" t="s">
        <v>8637</v>
      </c>
      <c r="G4235" s="2"/>
      <c r="H4235" s="12">
        <v>0.0</v>
      </c>
      <c r="I4235" s="2" t="s">
        <v>40</v>
      </c>
      <c r="J4235" s="2"/>
      <c r="K4235" s="2" t="s">
        <v>11448</v>
      </c>
      <c r="L4235" s="12">
        <v>98.0</v>
      </c>
      <c r="M4235" s="2" t="s">
        <v>11449</v>
      </c>
      <c r="N4235" s="2" t="str">
        <f>IFERROR(__xludf.DUMMYFUNCTION("""COMPUTED_VALUE"""),"")</f>
        <v/>
      </c>
    </row>
    <row r="4236">
      <c r="A4236" s="2" t="s">
        <v>33</v>
      </c>
      <c r="B4236" s="12">
        <v>4065330.0</v>
      </c>
      <c r="C4236" s="12">
        <v>4065458.0</v>
      </c>
      <c r="D4236" s="2"/>
      <c r="E4236" s="2" t="s">
        <v>34</v>
      </c>
      <c r="F4236" s="2" t="s">
        <v>11450</v>
      </c>
      <c r="G4236" s="2"/>
      <c r="H4236" s="12">
        <v>0.0</v>
      </c>
      <c r="I4236" s="2" t="s">
        <v>40</v>
      </c>
      <c r="J4236" s="2"/>
      <c r="K4236" s="2" t="s">
        <v>11451</v>
      </c>
      <c r="L4236" s="12">
        <v>42.0</v>
      </c>
      <c r="M4236" s="2" t="s">
        <v>11452</v>
      </c>
      <c r="N4236" s="2" t="str">
        <f>IFERROR(__xludf.DUMMYFUNCTION("""COMPUTED_VALUE"""),"")</f>
        <v/>
      </c>
    </row>
    <row r="4237">
      <c r="A4237" s="2" t="s">
        <v>33</v>
      </c>
      <c r="B4237" s="12">
        <v>4065518.0</v>
      </c>
      <c r="C4237" s="12">
        <v>4065646.0</v>
      </c>
      <c r="D4237" s="2"/>
      <c r="E4237" s="2" t="s">
        <v>34</v>
      </c>
      <c r="F4237" s="2" t="s">
        <v>11450</v>
      </c>
      <c r="G4237" s="2"/>
      <c r="H4237" s="12">
        <v>0.0</v>
      </c>
      <c r="I4237" s="2" t="s">
        <v>40</v>
      </c>
      <c r="J4237" s="2"/>
      <c r="K4237" s="2" t="s">
        <v>11453</v>
      </c>
      <c r="L4237" s="12">
        <v>42.0</v>
      </c>
      <c r="M4237" s="2" t="s">
        <v>11454</v>
      </c>
      <c r="N4237" s="2" t="str">
        <f>IFERROR(__xludf.DUMMYFUNCTION("""COMPUTED_VALUE"""),"")</f>
        <v/>
      </c>
    </row>
    <row r="4238">
      <c r="A4238" s="2" t="s">
        <v>33</v>
      </c>
      <c r="B4238" s="12">
        <v>4065691.0</v>
      </c>
      <c r="C4238" s="12">
        <v>4065819.0</v>
      </c>
      <c r="D4238" s="2"/>
      <c r="E4238" s="2" t="s">
        <v>34</v>
      </c>
      <c r="F4238" s="2" t="s">
        <v>11450</v>
      </c>
      <c r="G4238" s="2"/>
      <c r="H4238" s="12">
        <v>0.0</v>
      </c>
      <c r="I4238" s="2" t="s">
        <v>40</v>
      </c>
      <c r="J4238" s="2"/>
      <c r="K4238" s="2" t="s">
        <v>11455</v>
      </c>
      <c r="L4238" s="12">
        <v>42.0</v>
      </c>
      <c r="M4238" s="2" t="s">
        <v>11456</v>
      </c>
      <c r="N4238" s="2" t="str">
        <f>IFERROR(__xludf.DUMMYFUNCTION("""COMPUTED_VALUE"""),"")</f>
        <v/>
      </c>
    </row>
    <row r="4239">
      <c r="A4239" s="2" t="s">
        <v>33</v>
      </c>
      <c r="B4239" s="12">
        <v>4065856.0</v>
      </c>
      <c r="C4239" s="12">
        <v>4066686.0</v>
      </c>
      <c r="D4239" s="2"/>
      <c r="E4239" s="2" t="s">
        <v>38</v>
      </c>
      <c r="F4239" s="2" t="s">
        <v>11457</v>
      </c>
      <c r="G4239" s="2"/>
      <c r="H4239" s="12">
        <v>0.0</v>
      </c>
      <c r="I4239" s="2" t="s">
        <v>40</v>
      </c>
      <c r="J4239" s="2"/>
      <c r="K4239" s="2" t="s">
        <v>11458</v>
      </c>
      <c r="L4239" s="12">
        <v>276.0</v>
      </c>
      <c r="M4239" s="2" t="s">
        <v>11459</v>
      </c>
      <c r="N4239" s="2" t="str">
        <f>IFERROR(__xludf.DUMMYFUNCTION("""COMPUTED_VALUE"""),"")</f>
        <v/>
      </c>
    </row>
    <row r="4240">
      <c r="A4240" s="2" t="s">
        <v>33</v>
      </c>
      <c r="B4240" s="12">
        <v>4066762.0</v>
      </c>
      <c r="C4240" s="12">
        <v>4068234.0</v>
      </c>
      <c r="D4240" s="2"/>
      <c r="E4240" s="2" t="s">
        <v>38</v>
      </c>
      <c r="F4240" s="2" t="s">
        <v>11460</v>
      </c>
      <c r="G4240" s="2" t="s">
        <v>11461</v>
      </c>
      <c r="H4240" s="12">
        <v>0.0</v>
      </c>
      <c r="I4240" s="2" t="s">
        <v>40</v>
      </c>
      <c r="J4240" s="2"/>
      <c r="K4240" s="2" t="s">
        <v>11462</v>
      </c>
      <c r="L4240" s="12">
        <v>490.0</v>
      </c>
      <c r="M4240" s="2" t="s">
        <v>11463</v>
      </c>
      <c r="N4240" s="2" t="str">
        <f>IFERROR(__xludf.DUMMYFUNCTION("""COMPUTED_VALUE"""),"")</f>
        <v/>
      </c>
    </row>
    <row r="4241">
      <c r="A4241" s="2" t="s">
        <v>33</v>
      </c>
      <c r="B4241" s="12">
        <v>4068602.0</v>
      </c>
      <c r="C4241" s="12">
        <v>4068871.0</v>
      </c>
      <c r="D4241" s="2"/>
      <c r="E4241" s="2" t="s">
        <v>34</v>
      </c>
      <c r="F4241" s="2" t="s">
        <v>11464</v>
      </c>
      <c r="G4241" s="2"/>
      <c r="H4241" s="12">
        <v>0.0</v>
      </c>
      <c r="I4241" s="2" t="s">
        <v>40</v>
      </c>
      <c r="J4241" s="2"/>
      <c r="K4241" s="2" t="s">
        <v>11465</v>
      </c>
      <c r="L4241" s="12">
        <v>89.0</v>
      </c>
      <c r="M4241" s="2" t="s">
        <v>11466</v>
      </c>
      <c r="N4241" s="2" t="str">
        <f>IFERROR(__xludf.DUMMYFUNCTION("""COMPUTED_VALUE"""),"")</f>
        <v/>
      </c>
    </row>
    <row r="4242">
      <c r="A4242" s="2" t="s">
        <v>33</v>
      </c>
      <c r="B4242" s="12">
        <v>4068953.0</v>
      </c>
      <c r="C4242" s="12">
        <v>4069579.0</v>
      </c>
      <c r="D4242" s="2"/>
      <c r="E4242" s="2" t="s">
        <v>38</v>
      </c>
      <c r="F4242" s="2" t="s">
        <v>11467</v>
      </c>
      <c r="G4242" s="2"/>
      <c r="H4242" s="12">
        <v>0.0</v>
      </c>
      <c r="I4242" s="2" t="s">
        <v>40</v>
      </c>
      <c r="J4242" s="2"/>
      <c r="K4242" s="2" t="s">
        <v>11468</v>
      </c>
      <c r="L4242" s="12">
        <v>208.0</v>
      </c>
      <c r="M4242" s="2" t="s">
        <v>11469</v>
      </c>
      <c r="N4242" s="2" t="str">
        <f>IFERROR(__xludf.DUMMYFUNCTION("""COMPUTED_VALUE"""),"")</f>
        <v/>
      </c>
    </row>
    <row r="4243">
      <c r="A4243" s="2" t="s">
        <v>33</v>
      </c>
      <c r="B4243" s="12">
        <v>4069786.0</v>
      </c>
      <c r="C4243" s="12">
        <v>4069974.0</v>
      </c>
      <c r="D4243" s="2"/>
      <c r="E4243" s="2" t="s">
        <v>34</v>
      </c>
      <c r="F4243" s="2" t="s">
        <v>39</v>
      </c>
      <c r="G4243" s="2"/>
      <c r="H4243" s="12">
        <v>0.0</v>
      </c>
      <c r="I4243" s="2" t="s">
        <v>40</v>
      </c>
      <c r="J4243" s="2"/>
      <c r="K4243" s="2" t="s">
        <v>11470</v>
      </c>
      <c r="L4243" s="12">
        <v>62.0</v>
      </c>
      <c r="M4243" s="2" t="s">
        <v>11471</v>
      </c>
      <c r="N4243" s="2" t="str">
        <f>IFERROR(__xludf.DUMMYFUNCTION("""COMPUTED_VALUE"""),"")</f>
        <v/>
      </c>
    </row>
    <row r="4244">
      <c r="A4244" s="2" t="s">
        <v>33</v>
      </c>
      <c r="B4244" s="12">
        <v>4070063.0</v>
      </c>
      <c r="C4244" s="12">
        <v>4070848.0</v>
      </c>
      <c r="D4244" s="2"/>
      <c r="E4244" s="2" t="s">
        <v>34</v>
      </c>
      <c r="F4244" s="2" t="s">
        <v>11472</v>
      </c>
      <c r="G4244" s="2"/>
      <c r="H4244" s="12">
        <v>0.0</v>
      </c>
      <c r="I4244" s="2" t="s">
        <v>40</v>
      </c>
      <c r="J4244" s="2"/>
      <c r="K4244" s="2" t="s">
        <v>11473</v>
      </c>
      <c r="L4244" s="12">
        <v>261.0</v>
      </c>
      <c r="M4244" s="2" t="s">
        <v>11474</v>
      </c>
      <c r="N4244" s="2" t="str">
        <f>IFERROR(__xludf.DUMMYFUNCTION("""COMPUTED_VALUE"""),"")</f>
        <v/>
      </c>
    </row>
    <row r="4245">
      <c r="A4245" s="2" t="s">
        <v>33</v>
      </c>
      <c r="B4245" s="12">
        <v>4070899.0</v>
      </c>
      <c r="C4245" s="12">
        <v>4071078.0</v>
      </c>
      <c r="D4245" s="2"/>
      <c r="E4245" s="2" t="s">
        <v>38</v>
      </c>
      <c r="F4245" s="2" t="s">
        <v>11475</v>
      </c>
      <c r="G4245" s="2"/>
      <c r="H4245" s="12">
        <v>0.0</v>
      </c>
      <c r="I4245" s="2" t="s">
        <v>40</v>
      </c>
      <c r="J4245" s="2"/>
      <c r="K4245" s="2" t="s">
        <v>11476</v>
      </c>
      <c r="L4245" s="12">
        <v>59.0</v>
      </c>
      <c r="M4245" s="2" t="s">
        <v>11477</v>
      </c>
      <c r="N4245" s="2" t="str">
        <f>IFERROR(__xludf.DUMMYFUNCTION("""COMPUTED_VALUE"""),"")</f>
        <v/>
      </c>
    </row>
    <row r="4246">
      <c r="A4246" s="2" t="s">
        <v>33</v>
      </c>
      <c r="B4246" s="12">
        <v>4071219.0</v>
      </c>
      <c r="C4246" s="12">
        <v>4073063.0</v>
      </c>
      <c r="D4246" s="2"/>
      <c r="E4246" s="2" t="s">
        <v>34</v>
      </c>
      <c r="F4246" s="2" t="s">
        <v>11478</v>
      </c>
      <c r="G4246" s="2" t="s">
        <v>11479</v>
      </c>
      <c r="H4246" s="12">
        <v>0.0</v>
      </c>
      <c r="I4246" s="2" t="s">
        <v>40</v>
      </c>
      <c r="J4246" s="2"/>
      <c r="K4246" s="2" t="s">
        <v>11480</v>
      </c>
      <c r="L4246" s="12">
        <v>614.0</v>
      </c>
      <c r="M4246" s="2" t="s">
        <v>11481</v>
      </c>
      <c r="N4246" s="2" t="str">
        <f>IFERROR(__xludf.DUMMYFUNCTION("""COMPUTED_VALUE"""),"")</f>
        <v/>
      </c>
    </row>
    <row r="4247">
      <c r="A4247" s="2" t="s">
        <v>33</v>
      </c>
      <c r="B4247" s="12">
        <v>4073223.0</v>
      </c>
      <c r="C4247" s="12">
        <v>4073525.0</v>
      </c>
      <c r="D4247" s="2"/>
      <c r="E4247" s="2" t="s">
        <v>34</v>
      </c>
      <c r="F4247" s="2" t="s">
        <v>11482</v>
      </c>
      <c r="G4247" s="2"/>
      <c r="H4247" s="12">
        <v>0.0</v>
      </c>
      <c r="I4247" s="2" t="s">
        <v>40</v>
      </c>
      <c r="J4247" s="2"/>
      <c r="K4247" s="2" t="s">
        <v>11483</v>
      </c>
      <c r="L4247" s="12">
        <v>100.0</v>
      </c>
      <c r="M4247" s="2" t="s">
        <v>11484</v>
      </c>
      <c r="N4247" s="2" t="str">
        <f>IFERROR(__xludf.DUMMYFUNCTION("""COMPUTED_VALUE"""),"")</f>
        <v/>
      </c>
    </row>
    <row r="4248">
      <c r="A4248" s="2" t="s">
        <v>33</v>
      </c>
      <c r="B4248" s="12">
        <v>4073541.0</v>
      </c>
      <c r="C4248" s="12">
        <v>4073816.0</v>
      </c>
      <c r="D4248" s="2"/>
      <c r="E4248" s="2" t="s">
        <v>34</v>
      </c>
      <c r="F4248" s="2" t="s">
        <v>39</v>
      </c>
      <c r="G4248" s="2"/>
      <c r="H4248" s="12">
        <v>0.0</v>
      </c>
      <c r="I4248" s="2" t="s">
        <v>40</v>
      </c>
      <c r="J4248" s="2"/>
      <c r="K4248" s="2" t="s">
        <v>11485</v>
      </c>
      <c r="L4248" s="12">
        <v>91.0</v>
      </c>
      <c r="M4248" s="2" t="s">
        <v>11486</v>
      </c>
      <c r="N4248" s="2" t="str">
        <f>IFERROR(__xludf.DUMMYFUNCTION("""COMPUTED_VALUE"""),"")</f>
        <v/>
      </c>
    </row>
    <row r="4249">
      <c r="A4249" s="2" t="s">
        <v>33</v>
      </c>
      <c r="B4249" s="12">
        <v>4073872.0</v>
      </c>
      <c r="C4249" s="12">
        <v>4074072.0</v>
      </c>
      <c r="D4249" s="2"/>
      <c r="E4249" s="2" t="s">
        <v>38</v>
      </c>
      <c r="F4249" s="2" t="s">
        <v>11487</v>
      </c>
      <c r="G4249" s="2"/>
      <c r="H4249" s="12">
        <v>0.0</v>
      </c>
      <c r="I4249" s="2" t="s">
        <v>40</v>
      </c>
      <c r="J4249" s="2"/>
      <c r="K4249" s="2" t="s">
        <v>11488</v>
      </c>
      <c r="L4249" s="12">
        <v>66.0</v>
      </c>
      <c r="M4249" s="2" t="s">
        <v>11489</v>
      </c>
      <c r="N4249" s="2" t="str">
        <f>IFERROR(__xludf.DUMMYFUNCTION("""COMPUTED_VALUE"""),"")</f>
        <v/>
      </c>
    </row>
    <row r="4250">
      <c r="A4250" s="2" t="s">
        <v>33</v>
      </c>
      <c r="B4250" s="12">
        <v>4074218.0</v>
      </c>
      <c r="C4250" s="12">
        <v>4074673.0</v>
      </c>
      <c r="D4250" s="2"/>
      <c r="E4250" s="2" t="s">
        <v>34</v>
      </c>
      <c r="F4250" s="2" t="s">
        <v>1808</v>
      </c>
      <c r="G4250" s="2"/>
      <c r="H4250" s="12">
        <v>0.0</v>
      </c>
      <c r="I4250" s="2" t="s">
        <v>40</v>
      </c>
      <c r="J4250" s="2"/>
      <c r="K4250" s="2" t="s">
        <v>11490</v>
      </c>
      <c r="L4250" s="12">
        <v>151.0</v>
      </c>
      <c r="M4250" s="2" t="s">
        <v>11491</v>
      </c>
      <c r="N4250" s="2" t="str">
        <f>IFERROR(__xludf.DUMMYFUNCTION("""COMPUTED_VALUE"""),"")</f>
        <v/>
      </c>
    </row>
    <row r="4251">
      <c r="A4251" s="2" t="s">
        <v>33</v>
      </c>
      <c r="B4251" s="12">
        <v>4074920.0</v>
      </c>
      <c r="C4251" s="12">
        <v>4076248.0</v>
      </c>
      <c r="D4251" s="2"/>
      <c r="E4251" s="2" t="s">
        <v>34</v>
      </c>
      <c r="F4251" s="2" t="s">
        <v>10449</v>
      </c>
      <c r="G4251" s="2"/>
      <c r="H4251" s="12">
        <v>0.0</v>
      </c>
      <c r="I4251" s="2" t="s">
        <v>40</v>
      </c>
      <c r="J4251" s="2"/>
      <c r="K4251" s="2" t="s">
        <v>11492</v>
      </c>
      <c r="L4251" s="12">
        <v>442.0</v>
      </c>
      <c r="M4251" s="2" t="s">
        <v>11493</v>
      </c>
      <c r="N4251" s="2" t="str">
        <f>IFERROR(__xludf.DUMMYFUNCTION("""COMPUTED_VALUE"""),"")</f>
        <v/>
      </c>
    </row>
    <row r="4252">
      <c r="A4252" s="2" t="s">
        <v>33</v>
      </c>
      <c r="B4252" s="12">
        <v>4076280.0</v>
      </c>
      <c r="C4252" s="12">
        <v>4076777.0</v>
      </c>
      <c r="D4252" s="2"/>
      <c r="E4252" s="2" t="s">
        <v>38</v>
      </c>
      <c r="F4252" s="2" t="s">
        <v>39</v>
      </c>
      <c r="G4252" s="2"/>
      <c r="H4252" s="12">
        <v>0.0</v>
      </c>
      <c r="I4252" s="2" t="s">
        <v>40</v>
      </c>
      <c r="J4252" s="2"/>
      <c r="K4252" s="2" t="s">
        <v>11494</v>
      </c>
      <c r="L4252" s="12">
        <v>165.0</v>
      </c>
      <c r="M4252" s="2" t="s">
        <v>11495</v>
      </c>
      <c r="N4252" s="2" t="str">
        <f>IFERROR(__xludf.DUMMYFUNCTION("""COMPUTED_VALUE"""),"")</f>
        <v/>
      </c>
    </row>
    <row r="4253">
      <c r="A4253" s="2" t="s">
        <v>33</v>
      </c>
      <c r="B4253" s="12">
        <v>4076933.0</v>
      </c>
      <c r="C4253" s="12">
        <v>4077220.0</v>
      </c>
      <c r="D4253" s="2"/>
      <c r="E4253" s="2" t="s">
        <v>34</v>
      </c>
      <c r="F4253" s="2" t="s">
        <v>11496</v>
      </c>
      <c r="G4253" s="2"/>
      <c r="H4253" s="12">
        <v>0.0</v>
      </c>
      <c r="I4253" s="2" t="s">
        <v>40</v>
      </c>
      <c r="J4253" s="2"/>
      <c r="K4253" s="2" t="s">
        <v>11497</v>
      </c>
      <c r="L4253" s="12">
        <v>95.0</v>
      </c>
      <c r="M4253" s="2" t="s">
        <v>11498</v>
      </c>
      <c r="N4253" s="2" t="str">
        <f>IFERROR(__xludf.DUMMYFUNCTION("""COMPUTED_VALUE"""),"")</f>
        <v/>
      </c>
    </row>
    <row r="4254">
      <c r="A4254" s="2" t="s">
        <v>33</v>
      </c>
      <c r="B4254" s="12">
        <v>4077346.0</v>
      </c>
      <c r="C4254" s="12">
        <v>4078524.0</v>
      </c>
      <c r="D4254" s="2"/>
      <c r="E4254" s="2" t="s">
        <v>34</v>
      </c>
      <c r="F4254" s="2" t="s">
        <v>3967</v>
      </c>
      <c r="G4254" s="2"/>
      <c r="H4254" s="12">
        <v>0.0</v>
      </c>
      <c r="I4254" s="2" t="s">
        <v>40</v>
      </c>
      <c r="J4254" s="2"/>
      <c r="K4254" s="2" t="s">
        <v>11499</v>
      </c>
      <c r="L4254" s="12">
        <v>392.0</v>
      </c>
      <c r="M4254" s="2" t="s">
        <v>11500</v>
      </c>
      <c r="N4254" s="2" t="str">
        <f>IFERROR(__xludf.DUMMYFUNCTION("""COMPUTED_VALUE"""),"")</f>
        <v/>
      </c>
    </row>
    <row r="4255">
      <c r="A4255" s="2" t="s">
        <v>33</v>
      </c>
      <c r="B4255" s="12">
        <v>4078856.0</v>
      </c>
      <c r="C4255" s="12">
        <v>4082302.0</v>
      </c>
      <c r="D4255" s="2"/>
      <c r="E4255" s="2" t="s">
        <v>34</v>
      </c>
      <c r="F4255" s="2" t="s">
        <v>11501</v>
      </c>
      <c r="G4255" s="2" t="s">
        <v>11502</v>
      </c>
      <c r="H4255" s="12">
        <v>0.0</v>
      </c>
      <c r="I4255" s="2" t="s">
        <v>40</v>
      </c>
      <c r="J4255" s="2"/>
      <c r="K4255" s="2" t="s">
        <v>11503</v>
      </c>
      <c r="L4255" s="12">
        <v>1148.0</v>
      </c>
      <c r="M4255" s="2" t="s">
        <v>11504</v>
      </c>
      <c r="N4255" s="2" t="str">
        <f>IFERROR(__xludf.DUMMYFUNCTION("""COMPUTED_VALUE"""),"")</f>
        <v/>
      </c>
    </row>
    <row r="4256">
      <c r="A4256" s="2" t="s">
        <v>33</v>
      </c>
      <c r="B4256" s="12">
        <v>4082388.0</v>
      </c>
      <c r="C4256" s="12">
        <v>4083323.0</v>
      </c>
      <c r="D4256" s="2"/>
      <c r="E4256" s="2" t="s">
        <v>38</v>
      </c>
      <c r="F4256" s="2" t="s">
        <v>11505</v>
      </c>
      <c r="G4256" s="2" t="s">
        <v>11506</v>
      </c>
      <c r="H4256" s="12">
        <v>0.0</v>
      </c>
      <c r="I4256" s="2" t="s">
        <v>40</v>
      </c>
      <c r="J4256" s="2"/>
      <c r="K4256" s="2" t="s">
        <v>11507</v>
      </c>
      <c r="L4256" s="12">
        <v>311.0</v>
      </c>
      <c r="M4256" s="2" t="s">
        <v>11508</v>
      </c>
      <c r="N4256" s="2" t="str">
        <f>IFERROR(__xludf.DUMMYFUNCTION("""COMPUTED_VALUE"""),"")</f>
        <v/>
      </c>
    </row>
    <row r="4257">
      <c r="A4257" s="2" t="s">
        <v>33</v>
      </c>
      <c r="B4257" s="12">
        <v>4083822.0</v>
      </c>
      <c r="C4257" s="12">
        <v>4084745.0</v>
      </c>
      <c r="D4257" s="2"/>
      <c r="E4257" s="2" t="s">
        <v>34</v>
      </c>
      <c r="F4257" s="2" t="s">
        <v>11509</v>
      </c>
      <c r="G4257" s="2" t="s">
        <v>11510</v>
      </c>
      <c r="H4257" s="12">
        <v>0.0</v>
      </c>
      <c r="I4257" s="2" t="s">
        <v>40</v>
      </c>
      <c r="J4257" s="2"/>
      <c r="K4257" s="2" t="s">
        <v>11511</v>
      </c>
      <c r="L4257" s="12">
        <v>307.0</v>
      </c>
      <c r="M4257" s="2" t="s">
        <v>11512</v>
      </c>
      <c r="N4257" s="2" t="str">
        <f>IFERROR(__xludf.DUMMYFUNCTION("""COMPUTED_VALUE"""),"")</f>
        <v/>
      </c>
    </row>
    <row r="4258">
      <c r="A4258" s="2" t="s">
        <v>33</v>
      </c>
      <c r="B4258" s="12">
        <v>4084839.0</v>
      </c>
      <c r="C4258" s="12">
        <v>4085888.0</v>
      </c>
      <c r="D4258" s="2"/>
      <c r="E4258" s="2" t="s">
        <v>34</v>
      </c>
      <c r="F4258" s="2" t="s">
        <v>8485</v>
      </c>
      <c r="G4258" s="2" t="s">
        <v>11513</v>
      </c>
      <c r="H4258" s="12">
        <v>0.0</v>
      </c>
      <c r="I4258" s="2" t="s">
        <v>40</v>
      </c>
      <c r="J4258" s="2"/>
      <c r="K4258" s="2" t="s">
        <v>11514</v>
      </c>
      <c r="L4258" s="12">
        <v>349.0</v>
      </c>
      <c r="M4258" s="2" t="s">
        <v>11515</v>
      </c>
      <c r="N4258" s="2" t="str">
        <f>IFERROR(__xludf.DUMMYFUNCTION("""COMPUTED_VALUE"""),"")</f>
        <v/>
      </c>
    </row>
    <row r="4259">
      <c r="A4259" s="2" t="s">
        <v>33</v>
      </c>
      <c r="B4259" s="12">
        <v>4085949.0</v>
      </c>
      <c r="C4259" s="12">
        <v>4087784.0</v>
      </c>
      <c r="D4259" s="2"/>
      <c r="E4259" s="2" t="s">
        <v>34</v>
      </c>
      <c r="F4259" s="2" t="s">
        <v>11516</v>
      </c>
      <c r="G4259" s="2" t="s">
        <v>11517</v>
      </c>
      <c r="H4259" s="12">
        <v>0.0</v>
      </c>
      <c r="I4259" s="2" t="s">
        <v>40</v>
      </c>
      <c r="J4259" s="2"/>
      <c r="K4259" s="2" t="s">
        <v>11518</v>
      </c>
      <c r="L4259" s="12">
        <v>611.0</v>
      </c>
      <c r="M4259" s="2" t="s">
        <v>11519</v>
      </c>
      <c r="N4259" s="2" t="str">
        <f>IFERROR(__xludf.DUMMYFUNCTION("""COMPUTED_VALUE"""),"")</f>
        <v/>
      </c>
    </row>
    <row r="4260">
      <c r="A4260" s="2" t="s">
        <v>33</v>
      </c>
      <c r="B4260" s="12">
        <v>4087784.0</v>
      </c>
      <c r="C4260" s="12">
        <v>4088407.0</v>
      </c>
      <c r="D4260" s="2"/>
      <c r="E4260" s="2" t="s">
        <v>34</v>
      </c>
      <c r="F4260" s="2" t="s">
        <v>11520</v>
      </c>
      <c r="G4260" s="2" t="s">
        <v>11521</v>
      </c>
      <c r="H4260" s="12">
        <v>0.0</v>
      </c>
      <c r="I4260" s="2" t="s">
        <v>40</v>
      </c>
      <c r="J4260" s="2"/>
      <c r="K4260" s="2" t="s">
        <v>11522</v>
      </c>
      <c r="L4260" s="12">
        <v>207.0</v>
      </c>
      <c r="M4260" s="2" t="s">
        <v>11523</v>
      </c>
      <c r="N4260" s="2" t="str">
        <f>IFERROR(__xludf.DUMMYFUNCTION("""COMPUTED_VALUE"""),"")</f>
        <v/>
      </c>
    </row>
    <row r="4261">
      <c r="A4261" s="2" t="s">
        <v>33</v>
      </c>
      <c r="B4261" s="12">
        <v>4088411.0</v>
      </c>
      <c r="C4261" s="12">
        <v>4088743.0</v>
      </c>
      <c r="D4261" s="2"/>
      <c r="E4261" s="2" t="s">
        <v>34</v>
      </c>
      <c r="F4261" s="2" t="s">
        <v>11524</v>
      </c>
      <c r="G4261" s="2" t="s">
        <v>11525</v>
      </c>
      <c r="H4261" s="12">
        <v>0.0</v>
      </c>
      <c r="I4261" s="2" t="s">
        <v>40</v>
      </c>
      <c r="J4261" s="2"/>
      <c r="K4261" s="2" t="s">
        <v>11526</v>
      </c>
      <c r="L4261" s="12">
        <v>110.0</v>
      </c>
      <c r="M4261" s="2" t="s">
        <v>11527</v>
      </c>
      <c r="N4261" s="2" t="str">
        <f>IFERROR(__xludf.DUMMYFUNCTION("""COMPUTED_VALUE"""),"")</f>
        <v/>
      </c>
    </row>
    <row r="4262">
      <c r="A4262" s="2" t="s">
        <v>33</v>
      </c>
      <c r="B4262" s="12">
        <v>4088824.0</v>
      </c>
      <c r="C4262" s="12">
        <v>4089729.0</v>
      </c>
      <c r="D4262" s="2"/>
      <c r="E4262" s="2" t="s">
        <v>34</v>
      </c>
      <c r="F4262" s="2" t="s">
        <v>11528</v>
      </c>
      <c r="G4262" s="2" t="s">
        <v>11529</v>
      </c>
      <c r="H4262" s="12">
        <v>0.0</v>
      </c>
      <c r="I4262" s="2" t="s">
        <v>40</v>
      </c>
      <c r="J4262" s="2"/>
      <c r="K4262" s="2" t="s">
        <v>11530</v>
      </c>
      <c r="L4262" s="12">
        <v>301.0</v>
      </c>
      <c r="M4262" s="2" t="s">
        <v>11531</v>
      </c>
      <c r="N4262" s="2" t="str">
        <f>IFERROR(__xludf.DUMMYFUNCTION("""COMPUTED_VALUE"""),"")</f>
        <v/>
      </c>
    </row>
    <row r="4263">
      <c r="A4263" s="2" t="s">
        <v>33</v>
      </c>
      <c r="B4263" s="12">
        <v>4089963.0</v>
      </c>
      <c r="C4263" s="12">
        <v>4090961.0</v>
      </c>
      <c r="D4263" s="2"/>
      <c r="E4263" s="2" t="s">
        <v>34</v>
      </c>
      <c r="F4263" s="2" t="s">
        <v>11532</v>
      </c>
      <c r="G4263" s="2"/>
      <c r="H4263" s="12">
        <v>0.0</v>
      </c>
      <c r="I4263" s="2" t="s">
        <v>40</v>
      </c>
      <c r="J4263" s="2"/>
      <c r="K4263" s="2" t="s">
        <v>11533</v>
      </c>
      <c r="L4263" s="12">
        <v>332.0</v>
      </c>
      <c r="M4263" s="2" t="s">
        <v>11534</v>
      </c>
      <c r="N4263" s="2" t="str">
        <f>IFERROR(__xludf.DUMMYFUNCTION("""COMPUTED_VALUE"""),"")</f>
        <v/>
      </c>
    </row>
    <row r="4264">
      <c r="A4264" s="2" t="s">
        <v>33</v>
      </c>
      <c r="B4264" s="12">
        <v>4091008.0</v>
      </c>
      <c r="C4264" s="12">
        <v>4091373.0</v>
      </c>
      <c r="D4264" s="2"/>
      <c r="E4264" s="2" t="s">
        <v>38</v>
      </c>
      <c r="F4264" s="2" t="s">
        <v>11535</v>
      </c>
      <c r="G4264" s="2"/>
      <c r="H4264" s="12">
        <v>0.0</v>
      </c>
      <c r="I4264" s="2" t="s">
        <v>40</v>
      </c>
      <c r="J4264" s="2"/>
      <c r="K4264" s="2" t="s">
        <v>11536</v>
      </c>
      <c r="L4264" s="12">
        <v>121.0</v>
      </c>
      <c r="M4264" s="2" t="s">
        <v>11537</v>
      </c>
      <c r="N4264" s="2" t="str">
        <f>IFERROR(__xludf.DUMMYFUNCTION("""COMPUTED_VALUE"""),"")</f>
        <v/>
      </c>
    </row>
    <row r="4265">
      <c r="A4265" s="2" t="s">
        <v>33</v>
      </c>
      <c r="B4265" s="12">
        <v>4091578.0</v>
      </c>
      <c r="C4265" s="12">
        <v>4092612.0</v>
      </c>
      <c r="D4265" s="2"/>
      <c r="E4265" s="2" t="s">
        <v>34</v>
      </c>
      <c r="F4265" s="2" t="s">
        <v>3716</v>
      </c>
      <c r="G4265" s="2"/>
      <c r="H4265" s="12">
        <v>0.0</v>
      </c>
      <c r="I4265" s="2" t="s">
        <v>40</v>
      </c>
      <c r="J4265" s="2"/>
      <c r="K4265" s="2" t="s">
        <v>11538</v>
      </c>
      <c r="L4265" s="12">
        <v>344.0</v>
      </c>
      <c r="M4265" s="2" t="s">
        <v>11539</v>
      </c>
      <c r="N4265" s="2" t="str">
        <f>IFERROR(__xludf.DUMMYFUNCTION("""COMPUTED_VALUE"""),"")</f>
        <v/>
      </c>
    </row>
    <row r="4266">
      <c r="A4266" s="2" t="s">
        <v>33</v>
      </c>
      <c r="B4266" s="12">
        <v>4092800.0</v>
      </c>
      <c r="C4266" s="12">
        <v>4093237.0</v>
      </c>
      <c r="D4266" s="2"/>
      <c r="E4266" s="2" t="s">
        <v>34</v>
      </c>
      <c r="F4266" s="2" t="s">
        <v>11540</v>
      </c>
      <c r="G4266" s="2"/>
      <c r="H4266" s="12">
        <v>0.0</v>
      </c>
      <c r="I4266" s="2" t="s">
        <v>40</v>
      </c>
      <c r="J4266" s="2"/>
      <c r="K4266" s="2" t="s">
        <v>11541</v>
      </c>
      <c r="L4266" s="12">
        <v>145.0</v>
      </c>
      <c r="M4266" s="2" t="s">
        <v>11542</v>
      </c>
      <c r="N4266" s="2" t="str">
        <f>IFERROR(__xludf.DUMMYFUNCTION("""COMPUTED_VALUE"""),"")</f>
        <v/>
      </c>
    </row>
    <row r="4267">
      <c r="A4267" s="2" t="s">
        <v>33</v>
      </c>
      <c r="B4267" s="12">
        <v>4093249.0</v>
      </c>
      <c r="C4267" s="12">
        <v>4093494.0</v>
      </c>
      <c r="D4267" s="2"/>
      <c r="E4267" s="2" t="s">
        <v>34</v>
      </c>
      <c r="F4267" s="2" t="s">
        <v>11543</v>
      </c>
      <c r="G4267" s="2"/>
      <c r="H4267" s="12">
        <v>0.0</v>
      </c>
      <c r="I4267" s="2" t="s">
        <v>40</v>
      </c>
      <c r="J4267" s="2"/>
      <c r="K4267" s="2" t="s">
        <v>11544</v>
      </c>
      <c r="L4267" s="12">
        <v>81.0</v>
      </c>
      <c r="M4267" s="2" t="s">
        <v>11545</v>
      </c>
      <c r="N4267" s="2" t="str">
        <f>IFERROR(__xludf.DUMMYFUNCTION("""COMPUTED_VALUE"""),"")</f>
        <v/>
      </c>
    </row>
    <row r="4268">
      <c r="A4268" s="2" t="s">
        <v>33</v>
      </c>
      <c r="B4268" s="12">
        <v>4093571.0</v>
      </c>
      <c r="C4268" s="12">
        <v>4094143.0</v>
      </c>
      <c r="D4268" s="2"/>
      <c r="E4268" s="2" t="s">
        <v>34</v>
      </c>
      <c r="F4268" s="2" t="s">
        <v>1528</v>
      </c>
      <c r="G4268" s="2"/>
      <c r="H4268" s="12">
        <v>0.0</v>
      </c>
      <c r="I4268" s="2" t="s">
        <v>40</v>
      </c>
      <c r="J4268" s="2"/>
      <c r="K4268" s="2" t="s">
        <v>11546</v>
      </c>
      <c r="L4268" s="12">
        <v>190.0</v>
      </c>
      <c r="M4268" s="2" t="s">
        <v>11547</v>
      </c>
      <c r="N4268" s="2" t="str">
        <f>IFERROR(__xludf.DUMMYFUNCTION("""COMPUTED_VALUE"""),"")</f>
        <v/>
      </c>
    </row>
    <row r="4269">
      <c r="A4269" s="2" t="s">
        <v>33</v>
      </c>
      <c r="B4269" s="12">
        <v>4094258.0</v>
      </c>
      <c r="C4269" s="12">
        <v>4094710.0</v>
      </c>
      <c r="D4269" s="2"/>
      <c r="E4269" s="2" t="s">
        <v>34</v>
      </c>
      <c r="F4269" s="2" t="s">
        <v>11548</v>
      </c>
      <c r="G4269" s="2"/>
      <c r="H4269" s="12">
        <v>0.0</v>
      </c>
      <c r="I4269" s="2" t="s">
        <v>40</v>
      </c>
      <c r="J4269" s="2"/>
      <c r="K4269" s="2" t="s">
        <v>11549</v>
      </c>
      <c r="L4269" s="12">
        <v>150.0</v>
      </c>
      <c r="M4269" s="2" t="s">
        <v>11550</v>
      </c>
      <c r="N4269" s="2" t="str">
        <f>IFERROR(__xludf.DUMMYFUNCTION("""COMPUTED_VALUE"""),"")</f>
        <v/>
      </c>
    </row>
    <row r="4270">
      <c r="A4270" s="2" t="s">
        <v>33</v>
      </c>
      <c r="B4270" s="12">
        <v>4094837.0</v>
      </c>
      <c r="C4270" s="12">
        <v>4095103.0</v>
      </c>
      <c r="D4270" s="2"/>
      <c r="E4270" s="2" t="s">
        <v>34</v>
      </c>
      <c r="F4270" s="2" t="s">
        <v>11551</v>
      </c>
      <c r="G4270" s="2"/>
      <c r="H4270" s="12">
        <v>0.0</v>
      </c>
      <c r="I4270" s="2" t="s">
        <v>40</v>
      </c>
      <c r="J4270" s="2"/>
      <c r="K4270" s="2" t="s">
        <v>11552</v>
      </c>
      <c r="L4270" s="12">
        <v>88.0</v>
      </c>
      <c r="M4270" s="2" t="s">
        <v>11553</v>
      </c>
      <c r="N4270" s="2" t="str">
        <f>IFERROR(__xludf.DUMMYFUNCTION("""COMPUTED_VALUE"""),"")</f>
        <v/>
      </c>
    </row>
    <row r="4271">
      <c r="A4271" s="2" t="s">
        <v>33</v>
      </c>
      <c r="B4271" s="12">
        <v>4095158.0</v>
      </c>
      <c r="C4271" s="12">
        <v>4095547.0</v>
      </c>
      <c r="D4271" s="2"/>
      <c r="E4271" s="2" t="s">
        <v>38</v>
      </c>
      <c r="F4271" s="2" t="s">
        <v>39</v>
      </c>
      <c r="G4271" s="2"/>
      <c r="H4271" s="12">
        <v>0.0</v>
      </c>
      <c r="I4271" s="2" t="s">
        <v>40</v>
      </c>
      <c r="J4271" s="2"/>
      <c r="K4271" s="2" t="s">
        <v>11554</v>
      </c>
      <c r="L4271" s="12">
        <v>129.0</v>
      </c>
      <c r="M4271" s="2" t="s">
        <v>11555</v>
      </c>
      <c r="N4271" s="2" t="str">
        <f>IFERROR(__xludf.DUMMYFUNCTION("""COMPUTED_VALUE"""),"")</f>
        <v/>
      </c>
    </row>
    <row r="4272">
      <c r="A4272" s="2" t="s">
        <v>33</v>
      </c>
      <c r="B4272" s="12">
        <v>4096046.0</v>
      </c>
      <c r="C4272" s="12">
        <v>4096612.0</v>
      </c>
      <c r="D4272" s="2"/>
      <c r="E4272" s="2" t="s">
        <v>34</v>
      </c>
      <c r="F4272" s="2" t="s">
        <v>11556</v>
      </c>
      <c r="G4272" s="2" t="s">
        <v>11557</v>
      </c>
      <c r="H4272" s="12">
        <v>0.0</v>
      </c>
      <c r="I4272" s="2" t="s">
        <v>40</v>
      </c>
      <c r="J4272" s="2"/>
      <c r="K4272" s="2" t="s">
        <v>11558</v>
      </c>
      <c r="L4272" s="12">
        <v>188.0</v>
      </c>
      <c r="M4272" s="2" t="s">
        <v>11559</v>
      </c>
      <c r="N4272" s="2" t="str">
        <f>IFERROR(__xludf.DUMMYFUNCTION("""COMPUTED_VALUE"""),"")</f>
        <v/>
      </c>
    </row>
    <row r="4273">
      <c r="A4273" s="2" t="s">
        <v>33</v>
      </c>
      <c r="B4273" s="12">
        <v>4096609.0</v>
      </c>
      <c r="C4273" s="12">
        <v>4097100.0</v>
      </c>
      <c r="D4273" s="2"/>
      <c r="E4273" s="2" t="s">
        <v>34</v>
      </c>
      <c r="F4273" s="2" t="s">
        <v>11560</v>
      </c>
      <c r="G4273" s="2" t="s">
        <v>11561</v>
      </c>
      <c r="H4273" s="12">
        <v>0.0</v>
      </c>
      <c r="I4273" s="2" t="s">
        <v>40</v>
      </c>
      <c r="J4273" s="2"/>
      <c r="K4273" s="2" t="s">
        <v>11562</v>
      </c>
      <c r="L4273" s="12">
        <v>163.0</v>
      </c>
      <c r="M4273" s="2" t="s">
        <v>11563</v>
      </c>
      <c r="N4273" s="2" t="str">
        <f>IFERROR(__xludf.DUMMYFUNCTION("""COMPUTED_VALUE"""),"")</f>
        <v/>
      </c>
    </row>
    <row r="4274">
      <c r="A4274" s="2" t="s">
        <v>33</v>
      </c>
      <c r="B4274" s="12">
        <v>4097092.0</v>
      </c>
      <c r="C4274" s="12">
        <v>4098321.0</v>
      </c>
      <c r="D4274" s="2"/>
      <c r="E4274" s="2" t="s">
        <v>38</v>
      </c>
      <c r="F4274" s="2" t="s">
        <v>11564</v>
      </c>
      <c r="G4274" s="2" t="s">
        <v>11565</v>
      </c>
      <c r="H4274" s="12">
        <v>0.0</v>
      </c>
      <c r="I4274" s="2" t="s">
        <v>40</v>
      </c>
      <c r="J4274" s="2"/>
      <c r="K4274" s="2" t="s">
        <v>11566</v>
      </c>
      <c r="L4274" s="12">
        <v>409.0</v>
      </c>
      <c r="M4274" s="2" t="s">
        <v>11567</v>
      </c>
      <c r="N4274" s="2" t="str">
        <f>IFERROR(__xludf.DUMMYFUNCTION("""COMPUTED_VALUE"""),"")</f>
        <v/>
      </c>
    </row>
    <row r="4275">
      <c r="A4275" s="2" t="s">
        <v>33</v>
      </c>
      <c r="B4275" s="12">
        <v>4098435.0</v>
      </c>
      <c r="C4275" s="12">
        <v>4099226.0</v>
      </c>
      <c r="D4275" s="2"/>
      <c r="E4275" s="2" t="s">
        <v>34</v>
      </c>
      <c r="F4275" s="2" t="s">
        <v>1739</v>
      </c>
      <c r="G4275" s="2"/>
      <c r="H4275" s="12">
        <v>0.0</v>
      </c>
      <c r="I4275" s="2" t="s">
        <v>40</v>
      </c>
      <c r="J4275" s="2"/>
      <c r="K4275" s="2" t="s">
        <v>11568</v>
      </c>
      <c r="L4275" s="12">
        <v>263.0</v>
      </c>
      <c r="M4275" s="2" t="s">
        <v>11569</v>
      </c>
      <c r="N4275" s="2" t="str">
        <f>IFERROR(__xludf.DUMMYFUNCTION("""COMPUTED_VALUE"""),"")</f>
        <v/>
      </c>
    </row>
    <row r="4276">
      <c r="A4276" s="2" t="s">
        <v>33</v>
      </c>
      <c r="B4276" s="12">
        <v>4099219.0</v>
      </c>
      <c r="C4276" s="12">
        <v>4100256.0</v>
      </c>
      <c r="D4276" s="2"/>
      <c r="E4276" s="2" t="s">
        <v>34</v>
      </c>
      <c r="F4276" s="2" t="s">
        <v>11570</v>
      </c>
      <c r="G4276" s="2"/>
      <c r="H4276" s="12">
        <v>0.0</v>
      </c>
      <c r="I4276" s="2" t="s">
        <v>40</v>
      </c>
      <c r="J4276" s="2"/>
      <c r="K4276" s="2" t="s">
        <v>11571</v>
      </c>
      <c r="L4276" s="12">
        <v>345.0</v>
      </c>
      <c r="M4276" s="2" t="s">
        <v>11572</v>
      </c>
      <c r="N4276" s="2" t="str">
        <f>IFERROR(__xludf.DUMMYFUNCTION("""COMPUTED_VALUE"""),"")</f>
        <v/>
      </c>
    </row>
    <row r="4277">
      <c r="A4277" s="2" t="s">
        <v>33</v>
      </c>
      <c r="B4277" s="12">
        <v>4100266.0</v>
      </c>
      <c r="C4277" s="12">
        <v>4101447.0</v>
      </c>
      <c r="D4277" s="2"/>
      <c r="E4277" s="2" t="s">
        <v>38</v>
      </c>
      <c r="F4277" s="2" t="s">
        <v>11573</v>
      </c>
      <c r="G4277" s="2"/>
      <c r="H4277" s="12">
        <v>0.0</v>
      </c>
      <c r="I4277" s="2" t="s">
        <v>40</v>
      </c>
      <c r="J4277" s="2"/>
      <c r="K4277" s="2" t="s">
        <v>11574</v>
      </c>
      <c r="L4277" s="12">
        <v>393.0</v>
      </c>
      <c r="M4277" s="2" t="s">
        <v>11575</v>
      </c>
      <c r="N4277" s="2" t="str">
        <f>IFERROR(__xludf.DUMMYFUNCTION("""COMPUTED_VALUE"""),"")</f>
        <v/>
      </c>
    </row>
    <row r="4278">
      <c r="A4278" s="2" t="s">
        <v>33</v>
      </c>
      <c r="B4278" s="12">
        <v>4101661.0</v>
      </c>
      <c r="C4278" s="12">
        <v>4102161.0</v>
      </c>
      <c r="D4278" s="2"/>
      <c r="E4278" s="2" t="s">
        <v>34</v>
      </c>
      <c r="F4278" s="2" t="s">
        <v>11576</v>
      </c>
      <c r="G4278" s="2"/>
      <c r="H4278" s="12">
        <v>0.0</v>
      </c>
      <c r="I4278" s="2" t="s">
        <v>40</v>
      </c>
      <c r="J4278" s="2"/>
      <c r="K4278" s="2" t="s">
        <v>11577</v>
      </c>
      <c r="L4278" s="12">
        <v>166.0</v>
      </c>
      <c r="M4278" s="2" t="s">
        <v>11578</v>
      </c>
      <c r="N4278" s="2" t="str">
        <f>IFERROR(__xludf.DUMMYFUNCTION("""COMPUTED_VALUE"""),"")</f>
        <v/>
      </c>
    </row>
    <row r="4279">
      <c r="A4279" s="2" t="s">
        <v>33</v>
      </c>
      <c r="B4279" s="12">
        <v>4102223.0</v>
      </c>
      <c r="C4279" s="12">
        <v>4102396.0</v>
      </c>
      <c r="D4279" s="2"/>
      <c r="E4279" s="2" t="s">
        <v>34</v>
      </c>
      <c r="F4279" s="2" t="s">
        <v>11579</v>
      </c>
      <c r="G4279" s="2" t="s">
        <v>11580</v>
      </c>
      <c r="H4279" s="12">
        <v>0.0</v>
      </c>
      <c r="I4279" s="2" t="s">
        <v>40</v>
      </c>
      <c r="J4279" s="2"/>
      <c r="K4279" s="2" t="s">
        <v>11581</v>
      </c>
      <c r="L4279" s="12">
        <v>57.0</v>
      </c>
      <c r="M4279" s="2" t="s">
        <v>11582</v>
      </c>
      <c r="N4279" s="2" t="str">
        <f>IFERROR(__xludf.DUMMYFUNCTION("""COMPUTED_VALUE"""),"")</f>
        <v/>
      </c>
    </row>
    <row r="4280">
      <c r="A4280" s="2" t="s">
        <v>33</v>
      </c>
      <c r="B4280" s="12">
        <v>4102527.0</v>
      </c>
      <c r="C4280" s="12">
        <v>4103033.0</v>
      </c>
      <c r="D4280" s="2"/>
      <c r="E4280" s="2" t="s">
        <v>34</v>
      </c>
      <c r="F4280" s="2" t="s">
        <v>7510</v>
      </c>
      <c r="G4280" s="2"/>
      <c r="H4280" s="12">
        <v>0.0</v>
      </c>
      <c r="I4280" s="2" t="s">
        <v>40</v>
      </c>
      <c r="J4280" s="2"/>
      <c r="K4280" s="2" t="s">
        <v>11583</v>
      </c>
      <c r="L4280" s="12">
        <v>168.0</v>
      </c>
      <c r="M4280" s="2" t="s">
        <v>11584</v>
      </c>
      <c r="N4280" s="2" t="str">
        <f>IFERROR(__xludf.DUMMYFUNCTION("""COMPUTED_VALUE"""),"")</f>
        <v/>
      </c>
    </row>
    <row r="4281">
      <c r="A4281" s="2" t="s">
        <v>33</v>
      </c>
      <c r="B4281" s="12">
        <v>4103067.0</v>
      </c>
      <c r="C4281" s="12">
        <v>4103540.0</v>
      </c>
      <c r="D4281" s="2"/>
      <c r="E4281" s="2" t="s">
        <v>38</v>
      </c>
      <c r="F4281" s="2" t="s">
        <v>2202</v>
      </c>
      <c r="G4281" s="2"/>
      <c r="H4281" s="12">
        <v>0.0</v>
      </c>
      <c r="I4281" s="2" t="s">
        <v>40</v>
      </c>
      <c r="J4281" s="2"/>
      <c r="K4281" s="2" t="s">
        <v>11585</v>
      </c>
      <c r="L4281" s="12">
        <v>157.0</v>
      </c>
      <c r="M4281" s="2" t="s">
        <v>11586</v>
      </c>
      <c r="N4281" s="2" t="str">
        <f>IFERROR(__xludf.DUMMYFUNCTION("""COMPUTED_VALUE"""),"")</f>
        <v/>
      </c>
    </row>
    <row r="4282">
      <c r="A4282" s="2" t="s">
        <v>33</v>
      </c>
      <c r="B4282" s="12">
        <v>4103837.0</v>
      </c>
      <c r="C4282" s="12">
        <v>4104721.0</v>
      </c>
      <c r="D4282" s="2"/>
      <c r="E4282" s="2" t="s">
        <v>34</v>
      </c>
      <c r="F4282" s="2" t="s">
        <v>2232</v>
      </c>
      <c r="G4282" s="2" t="s">
        <v>2233</v>
      </c>
      <c r="H4282" s="12">
        <v>0.0</v>
      </c>
      <c r="I4282" s="2" t="s">
        <v>40</v>
      </c>
      <c r="J4282" s="2"/>
      <c r="K4282" s="2" t="s">
        <v>11587</v>
      </c>
      <c r="L4282" s="12">
        <v>294.0</v>
      </c>
      <c r="M4282" s="2" t="s">
        <v>11588</v>
      </c>
      <c r="N4282" s="2" t="str">
        <f>IFERROR(__xludf.DUMMYFUNCTION("""COMPUTED_VALUE"""),"")</f>
        <v/>
      </c>
    </row>
    <row r="4283">
      <c r="A4283" s="2" t="s">
        <v>33</v>
      </c>
      <c r="B4283" s="12">
        <v>4104801.0</v>
      </c>
      <c r="C4283" s="12">
        <v>4106417.0</v>
      </c>
      <c r="D4283" s="2"/>
      <c r="E4283" s="2" t="s">
        <v>34</v>
      </c>
      <c r="F4283" s="2" t="s">
        <v>11589</v>
      </c>
      <c r="G4283" s="2" t="s">
        <v>11590</v>
      </c>
      <c r="H4283" s="12">
        <v>0.0</v>
      </c>
      <c r="I4283" s="2" t="s">
        <v>40</v>
      </c>
      <c r="J4283" s="2"/>
      <c r="K4283" s="2" t="s">
        <v>11591</v>
      </c>
      <c r="L4283" s="12">
        <v>538.0</v>
      </c>
      <c r="M4283" s="2" t="s">
        <v>11592</v>
      </c>
      <c r="N4283" s="2" t="str">
        <f>IFERROR(__xludf.DUMMYFUNCTION("""COMPUTED_VALUE"""),"")</f>
        <v/>
      </c>
    </row>
    <row r="4284">
      <c r="A4284" s="2" t="s">
        <v>33</v>
      </c>
      <c r="B4284" s="12">
        <v>4106788.0</v>
      </c>
      <c r="C4284" s="12">
        <v>4107720.0</v>
      </c>
      <c r="D4284" s="2"/>
      <c r="E4284" s="2" t="s">
        <v>34</v>
      </c>
      <c r="F4284" s="2" t="s">
        <v>11593</v>
      </c>
      <c r="G4284" s="2" t="s">
        <v>11594</v>
      </c>
      <c r="H4284" s="12">
        <v>0.0</v>
      </c>
      <c r="I4284" s="2" t="s">
        <v>40</v>
      </c>
      <c r="J4284" s="2"/>
      <c r="K4284" s="2" t="s">
        <v>11595</v>
      </c>
      <c r="L4284" s="12">
        <v>310.0</v>
      </c>
      <c r="M4284" s="2" t="s">
        <v>11596</v>
      </c>
      <c r="N4284" s="2" t="str">
        <f>IFERROR(__xludf.DUMMYFUNCTION("""COMPUTED_VALUE"""),"")</f>
        <v/>
      </c>
    </row>
    <row r="4285">
      <c r="A4285" s="2" t="s">
        <v>33</v>
      </c>
      <c r="B4285" s="12">
        <v>4107736.0</v>
      </c>
      <c r="C4285" s="12">
        <v>4108098.0</v>
      </c>
      <c r="D4285" s="2"/>
      <c r="E4285" s="2" t="s">
        <v>34</v>
      </c>
      <c r="F4285" s="2" t="s">
        <v>11597</v>
      </c>
      <c r="G4285" s="2" t="s">
        <v>11598</v>
      </c>
      <c r="H4285" s="12">
        <v>0.0</v>
      </c>
      <c r="I4285" s="2" t="s">
        <v>40</v>
      </c>
      <c r="J4285" s="2"/>
      <c r="K4285" s="2" t="s">
        <v>11599</v>
      </c>
      <c r="L4285" s="12">
        <v>120.0</v>
      </c>
      <c r="M4285" s="2" t="s">
        <v>11600</v>
      </c>
      <c r="N4285" s="2" t="str">
        <f>IFERROR(__xludf.DUMMYFUNCTION("""COMPUTED_VALUE"""),"")</f>
        <v/>
      </c>
    </row>
    <row r="4286">
      <c r="A4286" s="2" t="s">
        <v>33</v>
      </c>
      <c r="B4286" s="12">
        <v>4108171.0</v>
      </c>
      <c r="C4286" s="12">
        <v>4110270.0</v>
      </c>
      <c r="D4286" s="2"/>
      <c r="E4286" s="2" t="s">
        <v>34</v>
      </c>
      <c r="F4286" s="2" t="s">
        <v>11601</v>
      </c>
      <c r="G4286" s="2"/>
      <c r="H4286" s="12">
        <v>0.0</v>
      </c>
      <c r="I4286" s="2" t="s">
        <v>40</v>
      </c>
      <c r="J4286" s="2"/>
      <c r="K4286" s="2" t="s">
        <v>11602</v>
      </c>
      <c r="L4286" s="12">
        <v>699.0</v>
      </c>
      <c r="M4286" s="2" t="s">
        <v>11603</v>
      </c>
      <c r="N4286" s="2" t="str">
        <f>IFERROR(__xludf.DUMMYFUNCTION("""COMPUTED_VALUE"""),"")</f>
        <v/>
      </c>
    </row>
    <row r="4287">
      <c r="A4287" s="2" t="s">
        <v>33</v>
      </c>
      <c r="B4287" s="12">
        <v>4110352.0</v>
      </c>
      <c r="C4287" s="12">
        <v>4112268.0</v>
      </c>
      <c r="D4287" s="2"/>
      <c r="E4287" s="2" t="s">
        <v>34</v>
      </c>
      <c r="F4287" s="2" t="s">
        <v>11604</v>
      </c>
      <c r="G4287" s="2"/>
      <c r="H4287" s="12">
        <v>0.0</v>
      </c>
      <c r="I4287" s="2" t="s">
        <v>40</v>
      </c>
      <c r="J4287" s="2"/>
      <c r="K4287" s="2" t="s">
        <v>11605</v>
      </c>
      <c r="L4287" s="12">
        <v>638.0</v>
      </c>
      <c r="M4287" s="2" t="s">
        <v>11606</v>
      </c>
      <c r="N4287" s="2" t="str">
        <f>IFERROR(__xludf.DUMMYFUNCTION("""COMPUTED_VALUE"""),"")</f>
        <v/>
      </c>
    </row>
    <row r="4288">
      <c r="A4288" s="2" t="s">
        <v>33</v>
      </c>
      <c r="B4288" s="12">
        <v>4112454.0</v>
      </c>
      <c r="C4288" s="12">
        <v>4113929.0</v>
      </c>
      <c r="D4288" s="2"/>
      <c r="E4288" s="2" t="s">
        <v>34</v>
      </c>
      <c r="F4288" s="2" t="s">
        <v>11607</v>
      </c>
      <c r="G4288" s="2" t="s">
        <v>11608</v>
      </c>
      <c r="H4288" s="12">
        <v>0.0</v>
      </c>
      <c r="I4288" s="2" t="s">
        <v>40</v>
      </c>
      <c r="J4288" s="2"/>
      <c r="K4288" s="2" t="s">
        <v>11609</v>
      </c>
      <c r="L4288" s="12">
        <v>491.0</v>
      </c>
      <c r="M4288" s="2" t="s">
        <v>11610</v>
      </c>
      <c r="N4288" s="2" t="str">
        <f>IFERROR(__xludf.DUMMYFUNCTION("""COMPUTED_VALUE"""),"")</f>
        <v/>
      </c>
    </row>
    <row r="4289">
      <c r="A4289" s="2" t="s">
        <v>33</v>
      </c>
      <c r="B4289" s="12">
        <v>4113952.0</v>
      </c>
      <c r="C4289" s="12">
        <v>4114926.0</v>
      </c>
      <c r="D4289" s="2"/>
      <c r="E4289" s="2" t="s">
        <v>34</v>
      </c>
      <c r="F4289" s="2" t="s">
        <v>11611</v>
      </c>
      <c r="G4289" s="2" t="s">
        <v>11612</v>
      </c>
      <c r="H4289" s="12">
        <v>0.0</v>
      </c>
      <c r="I4289" s="2" t="s">
        <v>40</v>
      </c>
      <c r="J4289" s="2"/>
      <c r="K4289" s="2" t="s">
        <v>11613</v>
      </c>
      <c r="L4289" s="12">
        <v>324.0</v>
      </c>
      <c r="M4289" s="2" t="s">
        <v>11614</v>
      </c>
      <c r="N4289" s="2" t="str">
        <f>IFERROR(__xludf.DUMMYFUNCTION("""COMPUTED_VALUE"""),"")</f>
        <v/>
      </c>
    </row>
    <row r="4290">
      <c r="A4290" s="2" t="s">
        <v>33</v>
      </c>
      <c r="B4290" s="12">
        <v>4114927.0</v>
      </c>
      <c r="C4290" s="12">
        <v>4116279.0</v>
      </c>
      <c r="D4290" s="2"/>
      <c r="E4290" s="2" t="s">
        <v>34</v>
      </c>
      <c r="F4290" s="2" t="s">
        <v>11615</v>
      </c>
      <c r="G4290" s="2" t="s">
        <v>11616</v>
      </c>
      <c r="H4290" s="12">
        <v>0.0</v>
      </c>
      <c r="I4290" s="2" t="s">
        <v>40</v>
      </c>
      <c r="J4290" s="2"/>
      <c r="K4290" s="2" t="s">
        <v>11617</v>
      </c>
      <c r="L4290" s="12">
        <v>450.0</v>
      </c>
      <c r="M4290" s="2" t="s">
        <v>11618</v>
      </c>
      <c r="N4290" s="2" t="str">
        <f>IFERROR(__xludf.DUMMYFUNCTION("""COMPUTED_VALUE"""),"")</f>
        <v/>
      </c>
    </row>
    <row r="4291">
      <c r="A4291" s="2" t="s">
        <v>33</v>
      </c>
      <c r="B4291" s="12">
        <v>4116370.0</v>
      </c>
      <c r="C4291" s="12">
        <v>4117461.0</v>
      </c>
      <c r="D4291" s="2"/>
      <c r="E4291" s="2" t="s">
        <v>34</v>
      </c>
      <c r="F4291" s="2" t="s">
        <v>11619</v>
      </c>
      <c r="G4291" s="2" t="s">
        <v>11620</v>
      </c>
      <c r="H4291" s="12">
        <v>0.0</v>
      </c>
      <c r="I4291" s="2" t="s">
        <v>40</v>
      </c>
      <c r="J4291" s="2"/>
      <c r="K4291" s="2" t="s">
        <v>11621</v>
      </c>
      <c r="L4291" s="12">
        <v>363.0</v>
      </c>
      <c r="M4291" s="2" t="s">
        <v>11622</v>
      </c>
      <c r="N4291" s="2" t="str">
        <f>IFERROR(__xludf.DUMMYFUNCTION("""COMPUTED_VALUE"""),"")</f>
        <v/>
      </c>
    </row>
    <row r="4292">
      <c r="A4292" s="2" t="s">
        <v>33</v>
      </c>
      <c r="B4292" s="12">
        <v>4117565.0</v>
      </c>
      <c r="C4292" s="12">
        <v>4118659.0</v>
      </c>
      <c r="D4292" s="2"/>
      <c r="E4292" s="2" t="s">
        <v>34</v>
      </c>
      <c r="F4292" s="2" t="s">
        <v>10598</v>
      </c>
      <c r="G4292" s="2" t="s">
        <v>10599</v>
      </c>
      <c r="H4292" s="12">
        <v>0.0</v>
      </c>
      <c r="I4292" s="2" t="s">
        <v>40</v>
      </c>
      <c r="J4292" s="2"/>
      <c r="K4292" s="2" t="s">
        <v>11623</v>
      </c>
      <c r="L4292" s="12">
        <v>364.0</v>
      </c>
      <c r="M4292" s="2" t="s">
        <v>11624</v>
      </c>
      <c r="N4292" s="2" t="str">
        <f>IFERROR(__xludf.DUMMYFUNCTION("""COMPUTED_VALUE"""),"")</f>
        <v/>
      </c>
    </row>
    <row r="4293">
      <c r="A4293" s="2" t="s">
        <v>33</v>
      </c>
      <c r="B4293" s="12">
        <v>4118872.0</v>
      </c>
      <c r="C4293" s="12">
        <v>4119777.0</v>
      </c>
      <c r="D4293" s="2"/>
      <c r="E4293" s="2" t="s">
        <v>34</v>
      </c>
      <c r="F4293" s="2" t="s">
        <v>8382</v>
      </c>
      <c r="G4293" s="2" t="s">
        <v>8383</v>
      </c>
      <c r="H4293" s="12">
        <v>0.0</v>
      </c>
      <c r="I4293" s="2" t="s">
        <v>40</v>
      </c>
      <c r="J4293" s="2"/>
      <c r="K4293" s="2" t="s">
        <v>11625</v>
      </c>
      <c r="L4293" s="12">
        <v>301.0</v>
      </c>
      <c r="M4293" s="2" t="s">
        <v>11626</v>
      </c>
      <c r="N4293" s="2" t="str">
        <f>IFERROR(__xludf.DUMMYFUNCTION("""COMPUTED_VALUE"""),"")</f>
        <v/>
      </c>
    </row>
    <row r="4294">
      <c r="A4294" s="2" t="s">
        <v>33</v>
      </c>
      <c r="B4294" s="12">
        <v>4119876.0</v>
      </c>
      <c r="C4294" s="12">
        <v>4120646.0</v>
      </c>
      <c r="D4294" s="2"/>
      <c r="E4294" s="2" t="s">
        <v>34</v>
      </c>
      <c r="F4294" s="2" t="s">
        <v>11627</v>
      </c>
      <c r="G4294" s="2" t="s">
        <v>11628</v>
      </c>
      <c r="H4294" s="12">
        <v>0.0</v>
      </c>
      <c r="I4294" s="2" t="s">
        <v>40</v>
      </c>
      <c r="J4294" s="2"/>
      <c r="K4294" s="2" t="s">
        <v>11629</v>
      </c>
      <c r="L4294" s="12">
        <v>256.0</v>
      </c>
      <c r="M4294" s="2" t="s">
        <v>11630</v>
      </c>
      <c r="N4294" s="2" t="str">
        <f>IFERROR(__xludf.DUMMYFUNCTION("""COMPUTED_VALUE"""),"")</f>
        <v/>
      </c>
    </row>
    <row r="4295">
      <c r="A4295" s="2" t="s">
        <v>33</v>
      </c>
      <c r="B4295" s="12">
        <v>4121046.0</v>
      </c>
      <c r="C4295" s="12">
        <v>4122353.0</v>
      </c>
      <c r="D4295" s="2"/>
      <c r="E4295" s="2" t="s">
        <v>34</v>
      </c>
      <c r="F4295" s="2" t="s">
        <v>11631</v>
      </c>
      <c r="G4295" s="2" t="s">
        <v>11632</v>
      </c>
      <c r="H4295" s="12">
        <v>0.0</v>
      </c>
      <c r="I4295" s="2" t="s">
        <v>40</v>
      </c>
      <c r="J4295" s="2"/>
      <c r="K4295" s="2" t="s">
        <v>11633</v>
      </c>
      <c r="L4295" s="12">
        <v>435.0</v>
      </c>
      <c r="M4295" s="2" t="s">
        <v>11634</v>
      </c>
      <c r="N4295" s="2" t="str">
        <f>IFERROR(__xludf.DUMMYFUNCTION("""COMPUTED_VALUE"""),"")</f>
        <v/>
      </c>
    </row>
    <row r="4296">
      <c r="A4296" s="2" t="s">
        <v>33</v>
      </c>
      <c r="B4296" s="12">
        <v>4122393.0</v>
      </c>
      <c r="C4296" s="12">
        <v>4123547.0</v>
      </c>
      <c r="D4296" s="2"/>
      <c r="E4296" s="2" t="s">
        <v>34</v>
      </c>
      <c r="F4296" s="2" t="s">
        <v>11635</v>
      </c>
      <c r="G4296" s="2" t="s">
        <v>11636</v>
      </c>
      <c r="H4296" s="12">
        <v>0.0</v>
      </c>
      <c r="I4296" s="2" t="s">
        <v>40</v>
      </c>
      <c r="J4296" s="2"/>
      <c r="K4296" s="2" t="s">
        <v>11637</v>
      </c>
      <c r="L4296" s="12">
        <v>384.0</v>
      </c>
      <c r="M4296" s="2" t="s">
        <v>11638</v>
      </c>
      <c r="N4296" s="2" t="str">
        <f>IFERROR(__xludf.DUMMYFUNCTION("""COMPUTED_VALUE"""),"")</f>
        <v/>
      </c>
    </row>
    <row r="4297">
      <c r="A4297" s="2" t="s">
        <v>33</v>
      </c>
      <c r="B4297" s="12">
        <v>4123805.0</v>
      </c>
      <c r="C4297" s="12">
        <v>4124722.0</v>
      </c>
      <c r="D4297" s="2"/>
      <c r="E4297" s="2" t="s">
        <v>34</v>
      </c>
      <c r="F4297" s="2" t="s">
        <v>11639</v>
      </c>
      <c r="G4297" s="2" t="s">
        <v>11640</v>
      </c>
      <c r="H4297" s="12">
        <v>0.0</v>
      </c>
      <c r="I4297" s="2" t="s">
        <v>40</v>
      </c>
      <c r="J4297" s="2"/>
      <c r="K4297" s="2" t="s">
        <v>11641</v>
      </c>
      <c r="L4297" s="12">
        <v>305.0</v>
      </c>
      <c r="M4297" s="2" t="s">
        <v>11642</v>
      </c>
      <c r="N4297" s="2" t="str">
        <f>IFERROR(__xludf.DUMMYFUNCTION("""COMPUTED_VALUE"""),"")</f>
        <v/>
      </c>
    </row>
    <row r="4298">
      <c r="A4298" s="2" t="s">
        <v>33</v>
      </c>
      <c r="B4298" s="12">
        <v>4124743.0</v>
      </c>
      <c r="C4298" s="12">
        <v>4125462.0</v>
      </c>
      <c r="D4298" s="2"/>
      <c r="E4298" s="2" t="s">
        <v>34</v>
      </c>
      <c r="F4298" s="2" t="s">
        <v>11643</v>
      </c>
      <c r="G4298" s="2" t="s">
        <v>11644</v>
      </c>
      <c r="H4298" s="12">
        <v>0.0</v>
      </c>
      <c r="I4298" s="2" t="s">
        <v>40</v>
      </c>
      <c r="J4298" s="2"/>
      <c r="K4298" s="2" t="s">
        <v>11645</v>
      </c>
      <c r="L4298" s="12">
        <v>239.0</v>
      </c>
      <c r="M4298" s="2" t="s">
        <v>11646</v>
      </c>
      <c r="N4298" s="2" t="str">
        <f>IFERROR(__xludf.DUMMYFUNCTION("""COMPUTED_VALUE"""),"")</f>
        <v/>
      </c>
    </row>
    <row r="4299">
      <c r="A4299" s="2" t="s">
        <v>33</v>
      </c>
      <c r="B4299" s="12">
        <v>4125620.0</v>
      </c>
      <c r="C4299" s="12">
        <v>4126399.0</v>
      </c>
      <c r="D4299" s="2"/>
      <c r="E4299" s="2" t="s">
        <v>34</v>
      </c>
      <c r="F4299" s="2" t="s">
        <v>11647</v>
      </c>
      <c r="G4299" s="2" t="s">
        <v>11648</v>
      </c>
      <c r="H4299" s="12">
        <v>0.0</v>
      </c>
      <c r="I4299" s="2" t="s">
        <v>40</v>
      </c>
      <c r="J4299" s="2"/>
      <c r="K4299" s="2" t="s">
        <v>11649</v>
      </c>
      <c r="L4299" s="12">
        <v>259.0</v>
      </c>
      <c r="M4299" s="2" t="s">
        <v>11650</v>
      </c>
      <c r="N4299" s="2" t="str">
        <f>IFERROR(__xludf.DUMMYFUNCTION("""COMPUTED_VALUE"""),"")</f>
        <v/>
      </c>
    </row>
    <row r="4300">
      <c r="A4300" s="2" t="s">
        <v>33</v>
      </c>
      <c r="B4300" s="12">
        <v>4126563.0</v>
      </c>
      <c r="C4300" s="12">
        <v>4126844.0</v>
      </c>
      <c r="D4300" s="2"/>
      <c r="E4300" s="2" t="s">
        <v>34</v>
      </c>
      <c r="F4300" s="2" t="s">
        <v>11651</v>
      </c>
      <c r="G4300" s="2"/>
      <c r="H4300" s="12">
        <v>0.0</v>
      </c>
      <c r="I4300" s="2" t="s">
        <v>40</v>
      </c>
      <c r="J4300" s="2"/>
      <c r="K4300" s="2" t="s">
        <v>11652</v>
      </c>
      <c r="L4300" s="12">
        <v>93.0</v>
      </c>
      <c r="M4300" s="2" t="s">
        <v>11653</v>
      </c>
      <c r="N4300" s="2" t="str">
        <f>IFERROR(__xludf.DUMMYFUNCTION("""COMPUTED_VALUE"""),"")</f>
        <v/>
      </c>
    </row>
    <row r="4301">
      <c r="A4301" s="2" t="s">
        <v>33</v>
      </c>
      <c r="B4301" s="12">
        <v>4126965.0</v>
      </c>
      <c r="C4301" s="12">
        <v>4127783.0</v>
      </c>
      <c r="D4301" s="2"/>
      <c r="E4301" s="2" t="s">
        <v>34</v>
      </c>
      <c r="F4301" s="2" t="s">
        <v>11654</v>
      </c>
      <c r="G4301" s="2" t="s">
        <v>11655</v>
      </c>
      <c r="H4301" s="12">
        <v>0.0</v>
      </c>
      <c r="I4301" s="2" t="s">
        <v>40</v>
      </c>
      <c r="J4301" s="2"/>
      <c r="K4301" s="2" t="s">
        <v>11656</v>
      </c>
      <c r="L4301" s="12">
        <v>272.0</v>
      </c>
      <c r="M4301" s="2" t="s">
        <v>11657</v>
      </c>
      <c r="N4301" s="2" t="str">
        <f>IFERROR(__xludf.DUMMYFUNCTION("""COMPUTED_VALUE"""),"")</f>
        <v/>
      </c>
    </row>
    <row r="4302">
      <c r="A4302" s="2" t="s">
        <v>33</v>
      </c>
      <c r="B4302" s="12">
        <v>4127780.0</v>
      </c>
      <c r="C4302" s="12">
        <v>4128454.0</v>
      </c>
      <c r="D4302" s="2"/>
      <c r="E4302" s="2" t="s">
        <v>34</v>
      </c>
      <c r="F4302" s="2" t="s">
        <v>11658</v>
      </c>
      <c r="G4302" s="2"/>
      <c r="H4302" s="12">
        <v>0.0</v>
      </c>
      <c r="I4302" s="2" t="s">
        <v>40</v>
      </c>
      <c r="J4302" s="2"/>
      <c r="K4302" s="2" t="s">
        <v>11659</v>
      </c>
      <c r="L4302" s="12">
        <v>224.0</v>
      </c>
      <c r="M4302" s="2" t="s">
        <v>11660</v>
      </c>
      <c r="N4302" s="2" t="str">
        <f>IFERROR(__xludf.DUMMYFUNCTION("""COMPUTED_VALUE"""),"")</f>
        <v/>
      </c>
    </row>
    <row r="4303">
      <c r="A4303" s="2" t="s">
        <v>33</v>
      </c>
      <c r="B4303" s="12">
        <v>4128474.0</v>
      </c>
      <c r="C4303" s="12">
        <v>4128944.0</v>
      </c>
      <c r="D4303" s="2"/>
      <c r="E4303" s="2" t="s">
        <v>34</v>
      </c>
      <c r="F4303" s="2" t="s">
        <v>11661</v>
      </c>
      <c r="G4303" s="2"/>
      <c r="H4303" s="12">
        <v>0.0</v>
      </c>
      <c r="I4303" s="2" t="s">
        <v>40</v>
      </c>
      <c r="J4303" s="2"/>
      <c r="K4303" s="2" t="s">
        <v>11662</v>
      </c>
      <c r="L4303" s="12">
        <v>156.0</v>
      </c>
      <c r="M4303" s="2" t="s">
        <v>11663</v>
      </c>
      <c r="N4303" s="2" t="str">
        <f>IFERROR(__xludf.DUMMYFUNCTION("""COMPUTED_VALUE"""),"")</f>
        <v/>
      </c>
    </row>
    <row r="4304">
      <c r="A4304" s="2" t="s">
        <v>33</v>
      </c>
      <c r="B4304" s="12">
        <v>4128951.0</v>
      </c>
      <c r="C4304" s="12">
        <v>4129214.0</v>
      </c>
      <c r="D4304" s="2"/>
      <c r="E4304" s="2" t="s">
        <v>34</v>
      </c>
      <c r="F4304" s="2" t="s">
        <v>11664</v>
      </c>
      <c r="G4304" s="2"/>
      <c r="H4304" s="12">
        <v>0.0</v>
      </c>
      <c r="I4304" s="2" t="s">
        <v>40</v>
      </c>
      <c r="J4304" s="2"/>
      <c r="K4304" s="2" t="s">
        <v>11665</v>
      </c>
      <c r="L4304" s="12">
        <v>87.0</v>
      </c>
      <c r="M4304" s="2" t="s">
        <v>11666</v>
      </c>
      <c r="N4304" s="2" t="str">
        <f>IFERROR(__xludf.DUMMYFUNCTION("""COMPUTED_VALUE"""),"")</f>
        <v/>
      </c>
    </row>
    <row r="4305">
      <c r="A4305" s="2" t="s">
        <v>33</v>
      </c>
      <c r="B4305" s="12">
        <v>4129230.0</v>
      </c>
      <c r="C4305" s="12">
        <v>4129997.0</v>
      </c>
      <c r="D4305" s="2"/>
      <c r="E4305" s="2" t="s">
        <v>34</v>
      </c>
      <c r="F4305" s="2" t="s">
        <v>11667</v>
      </c>
      <c r="G4305" s="2"/>
      <c r="H4305" s="12">
        <v>0.0</v>
      </c>
      <c r="I4305" s="2" t="s">
        <v>40</v>
      </c>
      <c r="J4305" s="2"/>
      <c r="K4305" s="2" t="s">
        <v>11668</v>
      </c>
      <c r="L4305" s="12">
        <v>255.0</v>
      </c>
      <c r="M4305" s="2" t="s">
        <v>11669</v>
      </c>
      <c r="N4305" s="2" t="str">
        <f>IFERROR(__xludf.DUMMYFUNCTION("""COMPUTED_VALUE"""),"")</f>
        <v/>
      </c>
    </row>
    <row r="4306">
      <c r="A4306" s="2" t="s">
        <v>33</v>
      </c>
      <c r="B4306" s="12">
        <v>4130087.0</v>
      </c>
      <c r="C4306" s="12">
        <v>4130593.0</v>
      </c>
      <c r="D4306" s="2"/>
      <c r="E4306" s="2" t="s">
        <v>34</v>
      </c>
      <c r="F4306" s="2" t="s">
        <v>11670</v>
      </c>
      <c r="G4306" s="2" t="s">
        <v>11671</v>
      </c>
      <c r="H4306" s="12">
        <v>0.0</v>
      </c>
      <c r="I4306" s="2" t="s">
        <v>40</v>
      </c>
      <c r="J4306" s="2"/>
      <c r="K4306" s="2" t="s">
        <v>11672</v>
      </c>
      <c r="L4306" s="12">
        <v>168.0</v>
      </c>
      <c r="M4306" s="2" t="s">
        <v>11673</v>
      </c>
      <c r="N4306" s="2" t="str">
        <f>IFERROR(__xludf.DUMMYFUNCTION("""COMPUTED_VALUE"""),"")</f>
        <v/>
      </c>
    </row>
    <row r="4307">
      <c r="A4307" s="2" t="s">
        <v>33</v>
      </c>
      <c r="B4307" s="12">
        <v>4130940.0</v>
      </c>
      <c r="C4307" s="12">
        <v>4133705.0</v>
      </c>
      <c r="D4307" s="2"/>
      <c r="E4307" s="2" t="s">
        <v>34</v>
      </c>
      <c r="F4307" s="2" t="s">
        <v>11674</v>
      </c>
      <c r="G4307" s="2" t="s">
        <v>11675</v>
      </c>
      <c r="H4307" s="12">
        <v>0.0</v>
      </c>
      <c r="I4307" s="2" t="s">
        <v>40</v>
      </c>
      <c r="J4307" s="2"/>
      <c r="K4307" s="2" t="s">
        <v>11676</v>
      </c>
      <c r="L4307" s="12">
        <v>921.0</v>
      </c>
      <c r="M4307" s="2" t="s">
        <v>11677</v>
      </c>
      <c r="N4307" s="2" t="str">
        <f>IFERROR(__xludf.DUMMYFUNCTION("""COMPUTED_VALUE"""),"")</f>
        <v/>
      </c>
    </row>
    <row r="4308">
      <c r="A4308" s="2" t="s">
        <v>33</v>
      </c>
      <c r="B4308" s="12">
        <v>4133863.0</v>
      </c>
      <c r="C4308" s="12">
        <v>4134192.0</v>
      </c>
      <c r="D4308" s="2"/>
      <c r="E4308" s="2" t="s">
        <v>34</v>
      </c>
      <c r="F4308" s="2" t="s">
        <v>11678</v>
      </c>
      <c r="G4308" s="2"/>
      <c r="H4308" s="12">
        <v>0.0</v>
      </c>
      <c r="I4308" s="2" t="s">
        <v>40</v>
      </c>
      <c r="J4308" s="2"/>
      <c r="K4308" s="2" t="s">
        <v>11679</v>
      </c>
      <c r="L4308" s="12">
        <v>109.0</v>
      </c>
      <c r="M4308" s="2" t="s">
        <v>11680</v>
      </c>
      <c r="N4308" s="2" t="str">
        <f>IFERROR(__xludf.DUMMYFUNCTION("""COMPUTED_VALUE"""),"")</f>
        <v/>
      </c>
    </row>
    <row r="4309">
      <c r="A4309" s="2" t="s">
        <v>33</v>
      </c>
      <c r="B4309" s="12">
        <v>4134317.0</v>
      </c>
      <c r="C4309" s="12">
        <v>4134775.0</v>
      </c>
      <c r="D4309" s="2"/>
      <c r="E4309" s="2" t="s">
        <v>34</v>
      </c>
      <c r="F4309" s="2" t="s">
        <v>11681</v>
      </c>
      <c r="G4309" s="2" t="s">
        <v>11682</v>
      </c>
      <c r="H4309" s="12">
        <v>0.0</v>
      </c>
      <c r="I4309" s="2" t="s">
        <v>40</v>
      </c>
      <c r="J4309" s="2"/>
      <c r="K4309" s="2" t="s">
        <v>11683</v>
      </c>
      <c r="L4309" s="12">
        <v>152.0</v>
      </c>
      <c r="M4309" s="2" t="s">
        <v>11684</v>
      </c>
      <c r="N4309" s="2" t="str">
        <f>IFERROR(__xludf.DUMMYFUNCTION("""COMPUTED_VALUE"""),"")</f>
        <v/>
      </c>
    </row>
    <row r="4310">
      <c r="A4310" s="2" t="s">
        <v>33</v>
      </c>
      <c r="B4310" s="12">
        <v>4134780.0</v>
      </c>
      <c r="C4310" s="12">
        <v>4135688.0</v>
      </c>
      <c r="D4310" s="2"/>
      <c r="E4310" s="2" t="s">
        <v>34</v>
      </c>
      <c r="F4310" s="2" t="s">
        <v>3721</v>
      </c>
      <c r="G4310" s="2"/>
      <c r="H4310" s="12">
        <v>0.0</v>
      </c>
      <c r="I4310" s="2" t="s">
        <v>40</v>
      </c>
      <c r="J4310" s="2"/>
      <c r="K4310" s="2" t="s">
        <v>11685</v>
      </c>
      <c r="L4310" s="12">
        <v>302.0</v>
      </c>
      <c r="M4310" s="2" t="s">
        <v>11686</v>
      </c>
      <c r="N4310" s="2" t="str">
        <f>IFERROR(__xludf.DUMMYFUNCTION("""COMPUTED_VALUE"""),"")</f>
        <v/>
      </c>
    </row>
    <row r="4311">
      <c r="A4311" s="2" t="s">
        <v>33</v>
      </c>
      <c r="B4311" s="12">
        <v>4135892.0</v>
      </c>
      <c r="C4311" s="12">
        <v>4136434.0</v>
      </c>
      <c r="D4311" s="2"/>
      <c r="E4311" s="2" t="s">
        <v>34</v>
      </c>
      <c r="F4311" s="2" t="s">
        <v>11687</v>
      </c>
      <c r="G4311" s="2" t="s">
        <v>11688</v>
      </c>
      <c r="H4311" s="12">
        <v>0.0</v>
      </c>
      <c r="I4311" s="2" t="s">
        <v>40</v>
      </c>
      <c r="J4311" s="2"/>
      <c r="K4311" s="2" t="s">
        <v>11689</v>
      </c>
      <c r="L4311" s="12">
        <v>180.0</v>
      </c>
      <c r="M4311" s="2" t="s">
        <v>11690</v>
      </c>
      <c r="N4311" s="2" t="str">
        <f>IFERROR(__xludf.DUMMYFUNCTION("""COMPUTED_VALUE"""),"")</f>
        <v/>
      </c>
    </row>
    <row r="4312">
      <c r="A4312" s="2" t="s">
        <v>33</v>
      </c>
      <c r="B4312" s="12">
        <v>4136583.0</v>
      </c>
      <c r="C4312" s="12">
        <v>4137866.0</v>
      </c>
      <c r="D4312" s="2"/>
      <c r="E4312" s="2" t="s">
        <v>34</v>
      </c>
      <c r="F4312" s="2" t="s">
        <v>11691</v>
      </c>
      <c r="G4312" s="2" t="s">
        <v>11692</v>
      </c>
      <c r="H4312" s="12">
        <v>0.0</v>
      </c>
      <c r="I4312" s="2" t="s">
        <v>40</v>
      </c>
      <c r="J4312" s="2"/>
      <c r="K4312" s="2" t="s">
        <v>11693</v>
      </c>
      <c r="L4312" s="12">
        <v>427.0</v>
      </c>
      <c r="M4312" s="2" t="s">
        <v>11694</v>
      </c>
      <c r="N4312" s="2" t="str">
        <f>IFERROR(__xludf.DUMMYFUNCTION("""COMPUTED_VALUE"""),"")</f>
        <v/>
      </c>
    </row>
    <row r="4313">
      <c r="A4313" s="2" t="s">
        <v>33</v>
      </c>
      <c r="B4313" s="12">
        <v>4138015.0</v>
      </c>
      <c r="C4313" s="12">
        <v>4138929.0</v>
      </c>
      <c r="D4313" s="2"/>
      <c r="E4313" s="2" t="s">
        <v>34</v>
      </c>
      <c r="F4313" s="2" t="s">
        <v>11695</v>
      </c>
      <c r="G4313" s="2" t="s">
        <v>11696</v>
      </c>
      <c r="H4313" s="12">
        <v>0.0</v>
      </c>
      <c r="I4313" s="2" t="s">
        <v>40</v>
      </c>
      <c r="J4313" s="2"/>
      <c r="K4313" s="2" t="s">
        <v>11697</v>
      </c>
      <c r="L4313" s="12">
        <v>304.0</v>
      </c>
      <c r="M4313" s="2" t="s">
        <v>11698</v>
      </c>
      <c r="N4313" s="2" t="str">
        <f>IFERROR(__xludf.DUMMYFUNCTION("""COMPUTED_VALUE"""),"")</f>
        <v/>
      </c>
    </row>
    <row r="4314">
      <c r="A4314" s="2" t="s">
        <v>33</v>
      </c>
      <c r="B4314" s="12">
        <v>4138913.0</v>
      </c>
      <c r="C4314" s="12">
        <v>4140199.0</v>
      </c>
      <c r="D4314" s="2"/>
      <c r="E4314" s="2" t="s">
        <v>34</v>
      </c>
      <c r="F4314" s="2" t="s">
        <v>11699</v>
      </c>
      <c r="G4314" s="2" t="s">
        <v>11700</v>
      </c>
      <c r="H4314" s="12">
        <v>0.0</v>
      </c>
      <c r="I4314" s="2" t="s">
        <v>40</v>
      </c>
      <c r="J4314" s="2"/>
      <c r="K4314" s="2" t="s">
        <v>11701</v>
      </c>
      <c r="L4314" s="12">
        <v>428.0</v>
      </c>
      <c r="M4314" s="2" t="s">
        <v>11702</v>
      </c>
      <c r="N4314" s="2" t="str">
        <f>IFERROR(__xludf.DUMMYFUNCTION("""COMPUTED_VALUE"""),"")</f>
        <v/>
      </c>
    </row>
    <row r="4315">
      <c r="A4315" s="2" t="s">
        <v>33</v>
      </c>
      <c r="B4315" s="12">
        <v>4140196.0</v>
      </c>
      <c r="C4315" s="12">
        <v>4141293.0</v>
      </c>
      <c r="D4315" s="2"/>
      <c r="E4315" s="2" t="s">
        <v>34</v>
      </c>
      <c r="F4315" s="2" t="s">
        <v>11703</v>
      </c>
      <c r="G4315" s="2"/>
      <c r="H4315" s="12">
        <v>0.0</v>
      </c>
      <c r="I4315" s="2" t="s">
        <v>40</v>
      </c>
      <c r="J4315" s="2"/>
      <c r="K4315" s="2" t="s">
        <v>11704</v>
      </c>
      <c r="L4315" s="12">
        <v>365.0</v>
      </c>
      <c r="M4315" s="2" t="s">
        <v>11705</v>
      </c>
      <c r="N4315" s="2" t="str">
        <f>IFERROR(__xludf.DUMMYFUNCTION("""COMPUTED_VALUE"""),"")</f>
        <v/>
      </c>
    </row>
    <row r="4316">
      <c r="A4316" s="2" t="s">
        <v>33</v>
      </c>
      <c r="B4316" s="12">
        <v>4141278.0</v>
      </c>
      <c r="C4316" s="12">
        <v>4144496.0</v>
      </c>
      <c r="D4316" s="2"/>
      <c r="E4316" s="2" t="s">
        <v>34</v>
      </c>
      <c r="F4316" s="2" t="s">
        <v>11706</v>
      </c>
      <c r="G4316" s="2" t="s">
        <v>11707</v>
      </c>
      <c r="H4316" s="12">
        <v>0.0</v>
      </c>
      <c r="I4316" s="2" t="s">
        <v>40</v>
      </c>
      <c r="J4316" s="2"/>
      <c r="K4316" s="2" t="s">
        <v>11708</v>
      </c>
      <c r="L4316" s="12">
        <v>1072.0</v>
      </c>
      <c r="M4316" s="2" t="s">
        <v>11709</v>
      </c>
      <c r="N4316" s="2" t="str">
        <f>IFERROR(__xludf.DUMMYFUNCTION("""COMPUTED_VALUE"""),"")</f>
        <v/>
      </c>
    </row>
    <row r="4317">
      <c r="A4317" s="2" t="s">
        <v>33</v>
      </c>
      <c r="B4317" s="12">
        <v>4144493.0</v>
      </c>
      <c r="C4317" s="12">
        <v>4145272.0</v>
      </c>
      <c r="D4317" s="2"/>
      <c r="E4317" s="2" t="s">
        <v>34</v>
      </c>
      <c r="F4317" s="2" t="s">
        <v>11710</v>
      </c>
      <c r="G4317" s="2" t="s">
        <v>11711</v>
      </c>
      <c r="H4317" s="12">
        <v>0.0</v>
      </c>
      <c r="I4317" s="2" t="s">
        <v>40</v>
      </c>
      <c r="J4317" s="2"/>
      <c r="K4317" s="2" t="s">
        <v>11712</v>
      </c>
      <c r="L4317" s="12">
        <v>259.0</v>
      </c>
      <c r="M4317" s="2" t="s">
        <v>11713</v>
      </c>
      <c r="N4317" s="2" t="str">
        <f>IFERROR(__xludf.DUMMYFUNCTION("""COMPUTED_VALUE"""),"")</f>
        <v/>
      </c>
    </row>
    <row r="4318">
      <c r="A4318" s="2" t="s">
        <v>33</v>
      </c>
      <c r="B4318" s="12">
        <v>4145269.0</v>
      </c>
      <c r="C4318" s="12">
        <v>4146198.0</v>
      </c>
      <c r="D4318" s="2"/>
      <c r="E4318" s="2" t="s">
        <v>34</v>
      </c>
      <c r="F4318" s="2" t="s">
        <v>11714</v>
      </c>
      <c r="G4318" s="2" t="s">
        <v>11715</v>
      </c>
      <c r="H4318" s="12">
        <v>0.0</v>
      </c>
      <c r="I4318" s="2" t="s">
        <v>40</v>
      </c>
      <c r="J4318" s="2"/>
      <c r="K4318" s="2" t="s">
        <v>11716</v>
      </c>
      <c r="L4318" s="12">
        <v>309.0</v>
      </c>
      <c r="M4318" s="2" t="s">
        <v>11717</v>
      </c>
      <c r="N4318" s="2" t="str">
        <f>IFERROR(__xludf.DUMMYFUNCTION("""COMPUTED_VALUE"""),"")</f>
        <v/>
      </c>
    </row>
    <row r="4319">
      <c r="A4319" s="2" t="s">
        <v>33</v>
      </c>
      <c r="B4319" s="12">
        <v>4146183.0</v>
      </c>
      <c r="C4319" s="12">
        <v>4146899.0</v>
      </c>
      <c r="D4319" s="2"/>
      <c r="E4319" s="2" t="s">
        <v>34</v>
      </c>
      <c r="F4319" s="2" t="s">
        <v>11718</v>
      </c>
      <c r="G4319" s="2" t="s">
        <v>11719</v>
      </c>
      <c r="H4319" s="12">
        <v>0.0</v>
      </c>
      <c r="I4319" s="2" t="s">
        <v>40</v>
      </c>
      <c r="J4319" s="2"/>
      <c r="K4319" s="2" t="s">
        <v>11720</v>
      </c>
      <c r="L4319" s="12">
        <v>238.0</v>
      </c>
      <c r="M4319" s="2" t="s">
        <v>11721</v>
      </c>
      <c r="N4319" s="2" t="str">
        <f>IFERROR(__xludf.DUMMYFUNCTION("""COMPUTED_VALUE"""),"")</f>
        <v/>
      </c>
    </row>
    <row r="4320">
      <c r="A4320" s="2" t="s">
        <v>33</v>
      </c>
      <c r="B4320" s="12">
        <v>4146896.0</v>
      </c>
      <c r="C4320" s="12">
        <v>4147528.0</v>
      </c>
      <c r="D4320" s="2"/>
      <c r="E4320" s="2" t="s">
        <v>34</v>
      </c>
      <c r="F4320" s="2" t="s">
        <v>11722</v>
      </c>
      <c r="G4320" s="2" t="s">
        <v>11723</v>
      </c>
      <c r="H4320" s="12">
        <v>0.0</v>
      </c>
      <c r="I4320" s="2" t="s">
        <v>40</v>
      </c>
      <c r="J4320" s="2"/>
      <c r="K4320" s="2" t="s">
        <v>11724</v>
      </c>
      <c r="L4320" s="12">
        <v>210.0</v>
      </c>
      <c r="M4320" s="2" t="s">
        <v>11725</v>
      </c>
      <c r="N4320" s="2" t="str">
        <f>IFERROR(__xludf.DUMMYFUNCTION("""COMPUTED_VALUE"""),"")</f>
        <v/>
      </c>
    </row>
    <row r="4321">
      <c r="A4321" s="2" t="s">
        <v>33</v>
      </c>
      <c r="B4321" s="12">
        <v>4147566.0</v>
      </c>
      <c r="C4321" s="12">
        <v>4147817.0</v>
      </c>
      <c r="D4321" s="2"/>
      <c r="E4321" s="2" t="s">
        <v>38</v>
      </c>
      <c r="F4321" s="2" t="s">
        <v>35</v>
      </c>
      <c r="G4321" s="2"/>
      <c r="H4321" s="12">
        <v>0.0</v>
      </c>
      <c r="I4321" s="2" t="s">
        <v>36</v>
      </c>
      <c r="J4321" s="2"/>
      <c r="K4321" s="2"/>
      <c r="L4321" s="2"/>
      <c r="M4321" s="2" t="s">
        <v>11726</v>
      </c>
      <c r="N4321" s="2" t="str">
        <f>IFERROR(__xludf.DUMMYFUNCTION("""COMPUTED_VALUE"""),"")</f>
        <v/>
      </c>
    </row>
    <row r="4322">
      <c r="A4322" s="2" t="s">
        <v>33</v>
      </c>
      <c r="B4322" s="12">
        <v>4147910.0</v>
      </c>
      <c r="C4322" s="12">
        <v>4148164.0</v>
      </c>
      <c r="D4322" s="2"/>
      <c r="E4322" s="2" t="s">
        <v>38</v>
      </c>
      <c r="F4322" s="2" t="s">
        <v>11727</v>
      </c>
      <c r="G4322" s="2"/>
      <c r="H4322" s="12">
        <v>0.0</v>
      </c>
      <c r="I4322" s="2" t="s">
        <v>40</v>
      </c>
      <c r="J4322" s="2"/>
      <c r="K4322" s="2" t="s">
        <v>11728</v>
      </c>
      <c r="L4322" s="12">
        <v>84.0</v>
      </c>
      <c r="M4322" s="2" t="s">
        <v>11729</v>
      </c>
      <c r="N4322" s="2" t="str">
        <f>IFERROR(__xludf.DUMMYFUNCTION("""COMPUTED_VALUE"""),"")</f>
        <v/>
      </c>
    </row>
    <row r="4323">
      <c r="A4323" s="2" t="s">
        <v>33</v>
      </c>
      <c r="B4323" s="12">
        <v>4148332.0</v>
      </c>
      <c r="C4323" s="12">
        <v>4149717.0</v>
      </c>
      <c r="D4323" s="2"/>
      <c r="E4323" s="2" t="s">
        <v>38</v>
      </c>
      <c r="F4323" s="2" t="s">
        <v>39</v>
      </c>
      <c r="G4323" s="2"/>
      <c r="H4323" s="12">
        <v>0.0</v>
      </c>
      <c r="I4323" s="2" t="s">
        <v>40</v>
      </c>
      <c r="J4323" s="2"/>
      <c r="K4323" s="2" t="s">
        <v>11730</v>
      </c>
      <c r="L4323" s="12">
        <v>461.0</v>
      </c>
      <c r="M4323" s="2" t="s">
        <v>11731</v>
      </c>
      <c r="N4323" s="2" t="str">
        <f>IFERROR(__xludf.DUMMYFUNCTION("""COMPUTED_VALUE"""),"")</f>
        <v/>
      </c>
    </row>
    <row r="4324">
      <c r="A4324" s="2" t="s">
        <v>33</v>
      </c>
      <c r="B4324" s="12">
        <v>4149884.0</v>
      </c>
      <c r="C4324" s="12">
        <v>4150247.0</v>
      </c>
      <c r="D4324" s="2"/>
      <c r="E4324" s="2" t="s">
        <v>34</v>
      </c>
      <c r="F4324" s="2" t="s">
        <v>35</v>
      </c>
      <c r="G4324" s="2"/>
      <c r="H4324" s="12">
        <v>0.0</v>
      </c>
      <c r="I4324" s="2" t="s">
        <v>36</v>
      </c>
      <c r="J4324" s="2"/>
      <c r="K4324" s="2"/>
      <c r="L4324" s="2"/>
      <c r="M4324" s="2" t="s">
        <v>11732</v>
      </c>
      <c r="N4324" s="2" t="str">
        <f>IFERROR(__xludf.DUMMYFUNCTION("""COMPUTED_VALUE"""),"")</f>
        <v/>
      </c>
    </row>
    <row r="4325">
      <c r="A4325" s="2" t="s">
        <v>33</v>
      </c>
      <c r="B4325" s="12">
        <v>4150263.0</v>
      </c>
      <c r="C4325" s="12">
        <v>4150631.0</v>
      </c>
      <c r="D4325" s="2"/>
      <c r="E4325" s="2" t="s">
        <v>34</v>
      </c>
      <c r="F4325" s="2" t="s">
        <v>11733</v>
      </c>
      <c r="G4325" s="2"/>
      <c r="H4325" s="12">
        <v>0.0</v>
      </c>
      <c r="I4325" s="2" t="s">
        <v>40</v>
      </c>
      <c r="J4325" s="2"/>
      <c r="K4325" s="2" t="s">
        <v>11734</v>
      </c>
      <c r="L4325" s="12">
        <v>122.0</v>
      </c>
      <c r="M4325" s="2" t="s">
        <v>11735</v>
      </c>
      <c r="N4325" s="2" t="str">
        <f>IFERROR(__xludf.DUMMYFUNCTION("""COMPUTED_VALUE"""),"")</f>
        <v/>
      </c>
    </row>
    <row r="4326">
      <c r="A4326" s="2" t="s">
        <v>33</v>
      </c>
      <c r="B4326" s="12">
        <v>4150664.0</v>
      </c>
      <c r="C4326" s="12">
        <v>4151188.0</v>
      </c>
      <c r="D4326" s="2"/>
      <c r="E4326" s="2" t="s">
        <v>38</v>
      </c>
      <c r="F4326" s="2" t="s">
        <v>817</v>
      </c>
      <c r="G4326" s="2"/>
      <c r="H4326" s="12">
        <v>0.0</v>
      </c>
      <c r="I4326" s="2" t="s">
        <v>40</v>
      </c>
      <c r="J4326" s="2"/>
      <c r="K4326" s="2" t="s">
        <v>11736</v>
      </c>
      <c r="L4326" s="12">
        <v>174.0</v>
      </c>
      <c r="M4326" s="2" t="s">
        <v>11737</v>
      </c>
      <c r="N4326" s="2" t="str">
        <f>IFERROR(__xludf.DUMMYFUNCTION("""COMPUTED_VALUE"""),"")</f>
        <v/>
      </c>
    </row>
    <row r="4327">
      <c r="A4327" s="2" t="s">
        <v>33</v>
      </c>
      <c r="B4327" s="12">
        <v>4151269.0</v>
      </c>
      <c r="C4327" s="12">
        <v>4152339.0</v>
      </c>
      <c r="D4327" s="2"/>
      <c r="E4327" s="2" t="s">
        <v>38</v>
      </c>
      <c r="F4327" s="2" t="s">
        <v>11738</v>
      </c>
      <c r="G4327" s="2"/>
      <c r="H4327" s="12">
        <v>0.0</v>
      </c>
      <c r="I4327" s="2" t="s">
        <v>40</v>
      </c>
      <c r="J4327" s="2"/>
      <c r="K4327" s="2" t="s">
        <v>11739</v>
      </c>
      <c r="L4327" s="12">
        <v>356.0</v>
      </c>
      <c r="M4327" s="2" t="s">
        <v>11740</v>
      </c>
      <c r="N4327" s="2" t="str">
        <f>IFERROR(__xludf.DUMMYFUNCTION("""COMPUTED_VALUE"""),"")</f>
        <v/>
      </c>
    </row>
    <row r="4328">
      <c r="A4328" s="2" t="s">
        <v>33</v>
      </c>
      <c r="B4328" s="12">
        <v>4152646.0</v>
      </c>
      <c r="C4328" s="12">
        <v>4153827.0</v>
      </c>
      <c r="D4328" s="2"/>
      <c r="E4328" s="2" t="s">
        <v>34</v>
      </c>
      <c r="F4328" s="2" t="s">
        <v>11741</v>
      </c>
      <c r="G4328" s="2"/>
      <c r="H4328" s="12">
        <v>0.0</v>
      </c>
      <c r="I4328" s="2" t="s">
        <v>40</v>
      </c>
      <c r="J4328" s="2"/>
      <c r="K4328" s="2" t="s">
        <v>11742</v>
      </c>
      <c r="L4328" s="12">
        <v>393.0</v>
      </c>
      <c r="M4328" s="2" t="s">
        <v>11743</v>
      </c>
      <c r="N4328" s="2" t="str">
        <f>IFERROR(__xludf.DUMMYFUNCTION("""COMPUTED_VALUE"""),"")</f>
        <v/>
      </c>
    </row>
    <row r="4329">
      <c r="A4329" s="2" t="s">
        <v>33</v>
      </c>
      <c r="B4329" s="12">
        <v>4153878.0</v>
      </c>
      <c r="C4329" s="12">
        <v>4155587.0</v>
      </c>
      <c r="D4329" s="2"/>
      <c r="E4329" s="2" t="s">
        <v>38</v>
      </c>
      <c r="F4329" s="2" t="s">
        <v>11744</v>
      </c>
      <c r="G4329" s="2"/>
      <c r="H4329" s="12">
        <v>0.0</v>
      </c>
      <c r="I4329" s="2" t="s">
        <v>40</v>
      </c>
      <c r="J4329" s="2"/>
      <c r="K4329" s="2" t="s">
        <v>11745</v>
      </c>
      <c r="L4329" s="12">
        <v>569.0</v>
      </c>
      <c r="M4329" s="2" t="s">
        <v>11746</v>
      </c>
      <c r="N4329" s="2" t="str">
        <f>IFERROR(__xludf.DUMMYFUNCTION("""COMPUTED_VALUE"""),"")</f>
        <v/>
      </c>
    </row>
    <row r="4330">
      <c r="A4330" s="2" t="s">
        <v>33</v>
      </c>
      <c r="B4330" s="12">
        <v>4155693.0</v>
      </c>
      <c r="C4330" s="12">
        <v>4158416.0</v>
      </c>
      <c r="D4330" s="2"/>
      <c r="E4330" s="2" t="s">
        <v>34</v>
      </c>
      <c r="F4330" s="2" t="s">
        <v>11747</v>
      </c>
      <c r="G4330" s="2"/>
      <c r="H4330" s="12">
        <v>0.0</v>
      </c>
      <c r="I4330" s="2" t="s">
        <v>40</v>
      </c>
      <c r="J4330" s="2"/>
      <c r="K4330" s="2" t="s">
        <v>11748</v>
      </c>
      <c r="L4330" s="12">
        <v>907.0</v>
      </c>
      <c r="M4330" s="2" t="s">
        <v>11749</v>
      </c>
      <c r="N4330" s="2" t="str">
        <f>IFERROR(__xludf.DUMMYFUNCTION("""COMPUTED_VALUE"""),"")</f>
        <v/>
      </c>
    </row>
    <row r="4331">
      <c r="A4331" s="2" t="s">
        <v>33</v>
      </c>
      <c r="B4331" s="12">
        <v>4158516.0</v>
      </c>
      <c r="C4331" s="12">
        <v>4159391.0</v>
      </c>
      <c r="D4331" s="2"/>
      <c r="E4331" s="2" t="s">
        <v>34</v>
      </c>
      <c r="F4331" s="2" t="s">
        <v>11750</v>
      </c>
      <c r="G4331" s="2"/>
      <c r="H4331" s="12">
        <v>0.0</v>
      </c>
      <c r="I4331" s="2" t="s">
        <v>40</v>
      </c>
      <c r="J4331" s="2"/>
      <c r="K4331" s="2" t="s">
        <v>11751</v>
      </c>
      <c r="L4331" s="12">
        <v>291.0</v>
      </c>
      <c r="M4331" s="2" t="s">
        <v>11752</v>
      </c>
      <c r="N4331" s="2" t="str">
        <f>IFERROR(__xludf.DUMMYFUNCTION("""COMPUTED_VALUE"""),"")</f>
        <v/>
      </c>
    </row>
    <row r="4332">
      <c r="A4332" s="2" t="s">
        <v>33</v>
      </c>
      <c r="B4332" s="12">
        <v>4159459.0</v>
      </c>
      <c r="C4332" s="12">
        <v>4159722.0</v>
      </c>
      <c r="D4332" s="2"/>
      <c r="E4332" s="2" t="s">
        <v>34</v>
      </c>
      <c r="F4332" s="2" t="s">
        <v>11753</v>
      </c>
      <c r="G4332" s="2" t="s">
        <v>11754</v>
      </c>
      <c r="H4332" s="12">
        <v>0.0</v>
      </c>
      <c r="I4332" s="2" t="s">
        <v>40</v>
      </c>
      <c r="J4332" s="2"/>
      <c r="K4332" s="2" t="s">
        <v>11755</v>
      </c>
      <c r="L4332" s="12">
        <v>87.0</v>
      </c>
      <c r="M4332" s="2" t="s">
        <v>11756</v>
      </c>
      <c r="N4332" s="2" t="str">
        <f>IFERROR(__xludf.DUMMYFUNCTION("""COMPUTED_VALUE"""),"")</f>
        <v/>
      </c>
    </row>
    <row r="4333">
      <c r="A4333" s="2" t="s">
        <v>33</v>
      </c>
      <c r="B4333" s="12">
        <v>4159736.0</v>
      </c>
      <c r="C4333" s="12">
        <v>4160353.0</v>
      </c>
      <c r="D4333" s="2"/>
      <c r="E4333" s="2" t="s">
        <v>34</v>
      </c>
      <c r="F4333" s="2" t="s">
        <v>11757</v>
      </c>
      <c r="G4333" s="2" t="s">
        <v>11758</v>
      </c>
      <c r="H4333" s="12">
        <v>0.0</v>
      </c>
      <c r="I4333" s="2" t="s">
        <v>40</v>
      </c>
      <c r="J4333" s="2"/>
      <c r="K4333" s="2" t="s">
        <v>11759</v>
      </c>
      <c r="L4333" s="12">
        <v>205.0</v>
      </c>
      <c r="M4333" s="2" t="s">
        <v>11760</v>
      </c>
      <c r="N4333" s="2" t="str">
        <f>IFERROR(__xludf.DUMMYFUNCTION("""COMPUTED_VALUE"""),"")</f>
        <v/>
      </c>
    </row>
    <row r="4334">
      <c r="A4334" s="2" t="s">
        <v>33</v>
      </c>
      <c r="B4334" s="12">
        <v>4160356.0</v>
      </c>
      <c r="C4334" s="12">
        <v>4160568.0</v>
      </c>
      <c r="D4334" s="2"/>
      <c r="E4334" s="2" t="s">
        <v>34</v>
      </c>
      <c r="F4334" s="2" t="s">
        <v>11761</v>
      </c>
      <c r="G4334" s="2" t="s">
        <v>11762</v>
      </c>
      <c r="H4334" s="12">
        <v>0.0</v>
      </c>
      <c r="I4334" s="2" t="s">
        <v>40</v>
      </c>
      <c r="J4334" s="2"/>
      <c r="K4334" s="2" t="s">
        <v>11763</v>
      </c>
      <c r="L4334" s="12">
        <v>70.0</v>
      </c>
      <c r="M4334" s="2" t="s">
        <v>11764</v>
      </c>
      <c r="N4334" s="2" t="str">
        <f>IFERROR(__xludf.DUMMYFUNCTION("""COMPUTED_VALUE"""),"")</f>
        <v/>
      </c>
    </row>
    <row r="4335">
      <c r="A4335" s="2" t="s">
        <v>33</v>
      </c>
      <c r="B4335" s="12">
        <v>4160741.0</v>
      </c>
      <c r="C4335" s="12">
        <v>4161946.0</v>
      </c>
      <c r="D4335" s="2"/>
      <c r="E4335" s="2" t="s">
        <v>34</v>
      </c>
      <c r="F4335" s="2" t="s">
        <v>11765</v>
      </c>
      <c r="G4335" s="2" t="s">
        <v>11766</v>
      </c>
      <c r="H4335" s="12">
        <v>0.0</v>
      </c>
      <c r="I4335" s="2" t="s">
        <v>40</v>
      </c>
      <c r="J4335" s="2"/>
      <c r="K4335" s="2" t="s">
        <v>11767</v>
      </c>
      <c r="L4335" s="12">
        <v>401.0</v>
      </c>
      <c r="M4335" s="2" t="s">
        <v>11768</v>
      </c>
      <c r="N4335" s="2" t="str">
        <f>IFERROR(__xludf.DUMMYFUNCTION("""COMPUTED_VALUE"""),"")</f>
        <v/>
      </c>
    </row>
    <row r="4336">
      <c r="A4336" s="2" t="s">
        <v>33</v>
      </c>
      <c r="B4336" s="12">
        <v>4161943.0</v>
      </c>
      <c r="C4336" s="12">
        <v>4164348.0</v>
      </c>
      <c r="D4336" s="2"/>
      <c r="E4336" s="2" t="s">
        <v>34</v>
      </c>
      <c r="F4336" s="2" t="s">
        <v>11769</v>
      </c>
      <c r="G4336" s="2" t="s">
        <v>11770</v>
      </c>
      <c r="H4336" s="12">
        <v>0.0</v>
      </c>
      <c r="I4336" s="2" t="s">
        <v>40</v>
      </c>
      <c r="J4336" s="2"/>
      <c r="K4336" s="2" t="s">
        <v>11771</v>
      </c>
      <c r="L4336" s="12">
        <v>801.0</v>
      </c>
      <c r="M4336" s="2" t="s">
        <v>11772</v>
      </c>
      <c r="N4336" s="2" t="str">
        <f>IFERROR(__xludf.DUMMYFUNCTION("""COMPUTED_VALUE"""),"")</f>
        <v/>
      </c>
    </row>
    <row r="4337">
      <c r="A4337" s="2" t="s">
        <v>33</v>
      </c>
      <c r="B4337" s="12">
        <v>4164360.0</v>
      </c>
      <c r="C4337" s="12">
        <v>4164830.0</v>
      </c>
      <c r="D4337" s="2"/>
      <c r="E4337" s="2" t="s">
        <v>34</v>
      </c>
      <c r="F4337" s="2" t="s">
        <v>11423</v>
      </c>
      <c r="G4337" s="2" t="s">
        <v>11424</v>
      </c>
      <c r="H4337" s="12">
        <v>0.0</v>
      </c>
      <c r="I4337" s="2" t="s">
        <v>40</v>
      </c>
      <c r="J4337" s="2"/>
      <c r="K4337" s="2" t="s">
        <v>11773</v>
      </c>
      <c r="L4337" s="12">
        <v>156.0</v>
      </c>
      <c r="M4337" s="2" t="s">
        <v>11774</v>
      </c>
      <c r="N4337" s="2" t="str">
        <f>IFERROR(__xludf.DUMMYFUNCTION("""COMPUTED_VALUE"""),"")</f>
        <v/>
      </c>
    </row>
    <row r="4338">
      <c r="A4338" s="2" t="s">
        <v>33</v>
      </c>
      <c r="B4338" s="12">
        <v>4164854.0</v>
      </c>
      <c r="C4338" s="12">
        <v>4165798.0</v>
      </c>
      <c r="D4338" s="2"/>
      <c r="E4338" s="2" t="s">
        <v>34</v>
      </c>
      <c r="F4338" s="2" t="s">
        <v>11775</v>
      </c>
      <c r="G4338" s="2" t="s">
        <v>11776</v>
      </c>
      <c r="H4338" s="12">
        <v>0.0</v>
      </c>
      <c r="I4338" s="2" t="s">
        <v>40</v>
      </c>
      <c r="J4338" s="2"/>
      <c r="K4338" s="2" t="s">
        <v>11777</v>
      </c>
      <c r="L4338" s="12">
        <v>314.0</v>
      </c>
      <c r="M4338" s="2" t="s">
        <v>11778</v>
      </c>
      <c r="N4338" s="2" t="str">
        <f>IFERROR(__xludf.DUMMYFUNCTION("""COMPUTED_VALUE"""),"")</f>
        <v/>
      </c>
    </row>
    <row r="4339">
      <c r="A4339" s="2" t="s">
        <v>33</v>
      </c>
      <c r="B4339" s="12">
        <v>4165795.0</v>
      </c>
      <c r="C4339" s="12">
        <v>4167129.0</v>
      </c>
      <c r="D4339" s="2"/>
      <c r="E4339" s="2" t="s">
        <v>34</v>
      </c>
      <c r="F4339" s="2" t="s">
        <v>11779</v>
      </c>
      <c r="G4339" s="2" t="s">
        <v>11780</v>
      </c>
      <c r="H4339" s="12">
        <v>0.0</v>
      </c>
      <c r="I4339" s="2" t="s">
        <v>40</v>
      </c>
      <c r="J4339" s="2"/>
      <c r="K4339" s="2" t="s">
        <v>11781</v>
      </c>
      <c r="L4339" s="12">
        <v>444.0</v>
      </c>
      <c r="M4339" s="2" t="s">
        <v>11782</v>
      </c>
      <c r="N4339" s="2" t="str">
        <f>IFERROR(__xludf.DUMMYFUNCTION("""COMPUTED_VALUE"""),"")</f>
        <v/>
      </c>
    </row>
    <row r="4340">
      <c r="A4340" s="2" t="s">
        <v>33</v>
      </c>
      <c r="B4340" s="12">
        <v>4167134.0</v>
      </c>
      <c r="C4340" s="12">
        <v>4168222.0</v>
      </c>
      <c r="D4340" s="2"/>
      <c r="E4340" s="2" t="s">
        <v>34</v>
      </c>
      <c r="F4340" s="2" t="s">
        <v>11783</v>
      </c>
      <c r="G4340" s="2" t="s">
        <v>11784</v>
      </c>
      <c r="H4340" s="12">
        <v>0.0</v>
      </c>
      <c r="I4340" s="2" t="s">
        <v>40</v>
      </c>
      <c r="J4340" s="2"/>
      <c r="K4340" s="2" t="s">
        <v>11785</v>
      </c>
      <c r="L4340" s="12">
        <v>362.0</v>
      </c>
      <c r="M4340" s="2" t="s">
        <v>11786</v>
      </c>
      <c r="N4340" s="2" t="str">
        <f>IFERROR(__xludf.DUMMYFUNCTION("""COMPUTED_VALUE"""),"")</f>
        <v/>
      </c>
    </row>
    <row r="4341">
      <c r="A4341" s="2" t="s">
        <v>33</v>
      </c>
      <c r="B4341" s="12">
        <v>4168227.0</v>
      </c>
      <c r="C4341" s="12">
        <v>4168979.0</v>
      </c>
      <c r="D4341" s="2"/>
      <c r="E4341" s="2" t="s">
        <v>34</v>
      </c>
      <c r="F4341" s="2" t="s">
        <v>11787</v>
      </c>
      <c r="G4341" s="2"/>
      <c r="H4341" s="12">
        <v>0.0</v>
      </c>
      <c r="I4341" s="2" t="s">
        <v>40</v>
      </c>
      <c r="J4341" s="2"/>
      <c r="K4341" s="2" t="s">
        <v>11788</v>
      </c>
      <c r="L4341" s="12">
        <v>250.0</v>
      </c>
      <c r="M4341" s="2" t="s">
        <v>11789</v>
      </c>
      <c r="N4341" s="2" t="str">
        <f>IFERROR(__xludf.DUMMYFUNCTION("""COMPUTED_VALUE"""),"")</f>
        <v/>
      </c>
    </row>
    <row r="4342">
      <c r="A4342" s="2" t="s">
        <v>33</v>
      </c>
      <c r="B4342" s="12">
        <v>4168988.0</v>
      </c>
      <c r="C4342" s="12">
        <v>4170961.0</v>
      </c>
      <c r="D4342" s="2"/>
      <c r="E4342" s="2" t="s">
        <v>34</v>
      </c>
      <c r="F4342" s="2" t="s">
        <v>11790</v>
      </c>
      <c r="G4342" s="2" t="s">
        <v>11791</v>
      </c>
      <c r="H4342" s="12">
        <v>0.0</v>
      </c>
      <c r="I4342" s="2" t="s">
        <v>40</v>
      </c>
      <c r="J4342" s="2"/>
      <c r="K4342" s="2" t="s">
        <v>11792</v>
      </c>
      <c r="L4342" s="12">
        <v>657.0</v>
      </c>
      <c r="M4342" s="2" t="s">
        <v>11793</v>
      </c>
      <c r="N4342" s="2" t="str">
        <f>IFERROR(__xludf.DUMMYFUNCTION("""COMPUTED_VALUE"""),"")</f>
        <v/>
      </c>
    </row>
    <row r="4343">
      <c r="A4343" s="2" t="s">
        <v>33</v>
      </c>
      <c r="B4343" s="12">
        <v>4171208.0</v>
      </c>
      <c r="C4343" s="12">
        <v>4172089.0</v>
      </c>
      <c r="D4343" s="2"/>
      <c r="E4343" s="2" t="s">
        <v>34</v>
      </c>
      <c r="F4343" s="2" t="s">
        <v>1693</v>
      </c>
      <c r="G4343" s="2" t="s">
        <v>1694</v>
      </c>
      <c r="H4343" s="12">
        <v>0.0</v>
      </c>
      <c r="I4343" s="2" t="s">
        <v>40</v>
      </c>
      <c r="J4343" s="2"/>
      <c r="K4343" s="2" t="s">
        <v>11794</v>
      </c>
      <c r="L4343" s="12">
        <v>293.0</v>
      </c>
      <c r="M4343" s="2" t="s">
        <v>11795</v>
      </c>
      <c r="N4343" s="2" t="str">
        <f>IFERROR(__xludf.DUMMYFUNCTION("""COMPUTED_VALUE"""),"")</f>
        <v/>
      </c>
    </row>
    <row r="4344">
      <c r="A4344" s="2" t="s">
        <v>33</v>
      </c>
      <c r="B4344" s="12">
        <v>4172092.0</v>
      </c>
      <c r="C4344" s="12">
        <v>4172736.0</v>
      </c>
      <c r="D4344" s="2"/>
      <c r="E4344" s="2" t="s">
        <v>34</v>
      </c>
      <c r="F4344" s="2" t="s">
        <v>11796</v>
      </c>
      <c r="G4344" s="2" t="s">
        <v>11797</v>
      </c>
      <c r="H4344" s="12">
        <v>0.0</v>
      </c>
      <c r="I4344" s="2" t="s">
        <v>40</v>
      </c>
      <c r="J4344" s="2"/>
      <c r="K4344" s="2" t="s">
        <v>11798</v>
      </c>
      <c r="L4344" s="12">
        <v>214.0</v>
      </c>
      <c r="M4344" s="2" t="s">
        <v>11799</v>
      </c>
      <c r="N4344" s="2" t="str">
        <f>IFERROR(__xludf.DUMMYFUNCTION("""COMPUTED_VALUE"""),"")</f>
        <v/>
      </c>
    </row>
    <row r="4345">
      <c r="A4345" s="2" t="s">
        <v>33</v>
      </c>
      <c r="B4345" s="12">
        <v>4172805.0</v>
      </c>
      <c r="C4345" s="12">
        <v>4173485.0</v>
      </c>
      <c r="D4345" s="2"/>
      <c r="E4345" s="2" t="s">
        <v>34</v>
      </c>
      <c r="F4345" s="2" t="s">
        <v>11800</v>
      </c>
      <c r="G4345" s="2"/>
      <c r="H4345" s="12">
        <v>0.0</v>
      </c>
      <c r="I4345" s="2" t="s">
        <v>40</v>
      </c>
      <c r="J4345" s="2"/>
      <c r="K4345" s="2" t="s">
        <v>11801</v>
      </c>
      <c r="L4345" s="12">
        <v>226.0</v>
      </c>
      <c r="M4345" s="2" t="s">
        <v>11802</v>
      </c>
      <c r="N4345" s="2" t="str">
        <f>IFERROR(__xludf.DUMMYFUNCTION("""COMPUTED_VALUE"""),"")</f>
        <v/>
      </c>
    </row>
    <row r="4346">
      <c r="A4346" s="2" t="s">
        <v>33</v>
      </c>
      <c r="B4346" s="12">
        <v>4173552.0</v>
      </c>
      <c r="C4346" s="12">
        <v>4173632.0</v>
      </c>
      <c r="D4346" s="2"/>
      <c r="E4346" s="2" t="s">
        <v>34</v>
      </c>
      <c r="F4346" s="2" t="s">
        <v>11803</v>
      </c>
      <c r="G4346" s="2" t="s">
        <v>11804</v>
      </c>
      <c r="H4346" s="12">
        <v>0.0</v>
      </c>
      <c r="I4346" s="2" t="s">
        <v>40</v>
      </c>
      <c r="J4346" s="2"/>
      <c r="K4346" s="2" t="s">
        <v>11805</v>
      </c>
      <c r="L4346" s="12">
        <v>26.0</v>
      </c>
      <c r="M4346" s="2" t="s">
        <v>11806</v>
      </c>
      <c r="N4346" s="2" t="str">
        <f>IFERROR(__xludf.DUMMYFUNCTION("""COMPUTED_VALUE"""),"")</f>
        <v/>
      </c>
    </row>
    <row r="4347">
      <c r="A4347" s="2" t="s">
        <v>33</v>
      </c>
      <c r="B4347" s="12">
        <v>4173706.0</v>
      </c>
      <c r="C4347" s="12">
        <v>4173894.0</v>
      </c>
      <c r="D4347" s="2"/>
      <c r="E4347" s="2" t="s">
        <v>38</v>
      </c>
      <c r="F4347" s="2" t="s">
        <v>11807</v>
      </c>
      <c r="G4347" s="2" t="s">
        <v>11808</v>
      </c>
      <c r="H4347" s="12">
        <v>0.0</v>
      </c>
      <c r="I4347" s="2" t="s">
        <v>40</v>
      </c>
      <c r="J4347" s="2"/>
      <c r="K4347" s="2" t="s">
        <v>11809</v>
      </c>
      <c r="L4347" s="12">
        <v>62.0</v>
      </c>
      <c r="M4347" s="2" t="s">
        <v>11810</v>
      </c>
      <c r="N4347" s="2" t="str">
        <f>IFERROR(__xludf.DUMMYFUNCTION("""COMPUTED_VALUE"""),"")</f>
        <v/>
      </c>
    </row>
    <row r="4348">
      <c r="A4348" s="2" t="s">
        <v>33</v>
      </c>
      <c r="B4348" s="12">
        <v>4174271.0</v>
      </c>
      <c r="C4348" s="12">
        <v>4174633.0</v>
      </c>
      <c r="D4348" s="2"/>
      <c r="E4348" s="2" t="s">
        <v>34</v>
      </c>
      <c r="F4348" s="2" t="s">
        <v>10805</v>
      </c>
      <c r="G4348" s="2"/>
      <c r="H4348" s="12">
        <v>0.0</v>
      </c>
      <c r="I4348" s="2" t="s">
        <v>40</v>
      </c>
      <c r="J4348" s="2"/>
      <c r="K4348" s="2" t="s">
        <v>11811</v>
      </c>
      <c r="L4348" s="12">
        <v>120.0</v>
      </c>
      <c r="M4348" s="2" t="s">
        <v>11812</v>
      </c>
      <c r="N4348" s="2" t="str">
        <f>IFERROR(__xludf.DUMMYFUNCTION("""COMPUTED_VALUE"""),"")</f>
        <v/>
      </c>
    </row>
    <row r="4349">
      <c r="A4349" s="2" t="s">
        <v>33</v>
      </c>
      <c r="B4349" s="12">
        <v>4174656.0</v>
      </c>
      <c r="C4349" s="12">
        <v>4176332.0</v>
      </c>
      <c r="D4349" s="2"/>
      <c r="E4349" s="2" t="s">
        <v>34</v>
      </c>
      <c r="F4349" s="2" t="s">
        <v>11813</v>
      </c>
      <c r="G4349" s="2"/>
      <c r="H4349" s="12">
        <v>0.0</v>
      </c>
      <c r="I4349" s="2" t="s">
        <v>40</v>
      </c>
      <c r="J4349" s="2"/>
      <c r="K4349" s="2" t="s">
        <v>11814</v>
      </c>
      <c r="L4349" s="12">
        <v>558.0</v>
      </c>
      <c r="M4349" s="2" t="s">
        <v>11815</v>
      </c>
      <c r="N4349" s="2" t="str">
        <f>IFERROR(__xludf.DUMMYFUNCTION("""COMPUTED_VALUE"""),"")</f>
        <v/>
      </c>
    </row>
    <row r="4350">
      <c r="A4350" s="2" t="s">
        <v>33</v>
      </c>
      <c r="B4350" s="12">
        <v>4176623.0</v>
      </c>
      <c r="C4350" s="12">
        <v>4178671.0</v>
      </c>
      <c r="D4350" s="2"/>
      <c r="E4350" s="2" t="s">
        <v>34</v>
      </c>
      <c r="F4350" s="2" t="s">
        <v>11816</v>
      </c>
      <c r="G4350" s="2" t="s">
        <v>11817</v>
      </c>
      <c r="H4350" s="12">
        <v>0.0</v>
      </c>
      <c r="I4350" s="2" t="s">
        <v>40</v>
      </c>
      <c r="J4350" s="2"/>
      <c r="K4350" s="2" t="s">
        <v>11818</v>
      </c>
      <c r="L4350" s="12">
        <v>682.0</v>
      </c>
      <c r="M4350" s="2" t="s">
        <v>11819</v>
      </c>
      <c r="N4350" s="2" t="str">
        <f>IFERROR(__xludf.DUMMYFUNCTION("""COMPUTED_VALUE"""),"")</f>
        <v/>
      </c>
    </row>
    <row r="4351">
      <c r="A4351" s="2" t="s">
        <v>33</v>
      </c>
      <c r="B4351" s="12">
        <v>4178760.0</v>
      </c>
      <c r="C4351" s="12">
        <v>4179353.0</v>
      </c>
      <c r="D4351" s="2"/>
      <c r="E4351" s="2" t="s">
        <v>34</v>
      </c>
      <c r="F4351" s="2" t="s">
        <v>11820</v>
      </c>
      <c r="G4351" s="2" t="s">
        <v>11821</v>
      </c>
      <c r="H4351" s="12">
        <v>0.0</v>
      </c>
      <c r="I4351" s="2" t="s">
        <v>40</v>
      </c>
      <c r="J4351" s="2"/>
      <c r="K4351" s="2" t="s">
        <v>11822</v>
      </c>
      <c r="L4351" s="12">
        <v>197.0</v>
      </c>
      <c r="M4351" s="2" t="s">
        <v>11823</v>
      </c>
      <c r="N4351" s="2" t="str">
        <f>IFERROR(__xludf.DUMMYFUNCTION("""COMPUTED_VALUE"""),"")</f>
        <v/>
      </c>
    </row>
    <row r="4352">
      <c r="A4352" s="2" t="s">
        <v>33</v>
      </c>
      <c r="B4352" s="12">
        <v>4179350.0</v>
      </c>
      <c r="C4352" s="12">
        <v>4180342.0</v>
      </c>
      <c r="D4352" s="2"/>
      <c r="E4352" s="2" t="s">
        <v>34</v>
      </c>
      <c r="F4352" s="2" t="s">
        <v>11824</v>
      </c>
      <c r="G4352" s="2" t="s">
        <v>11825</v>
      </c>
      <c r="H4352" s="12">
        <v>0.0</v>
      </c>
      <c r="I4352" s="2" t="s">
        <v>40</v>
      </c>
      <c r="J4352" s="2"/>
      <c r="K4352" s="2" t="s">
        <v>11826</v>
      </c>
      <c r="L4352" s="12">
        <v>330.0</v>
      </c>
      <c r="M4352" s="2" t="s">
        <v>11827</v>
      </c>
      <c r="N4352" s="2" t="str">
        <f>IFERROR(__xludf.DUMMYFUNCTION("""COMPUTED_VALUE"""),"")</f>
        <v/>
      </c>
    </row>
    <row r="4353">
      <c r="A4353" s="2" t="s">
        <v>33</v>
      </c>
      <c r="B4353" s="12">
        <v>4180357.0</v>
      </c>
      <c r="C4353" s="12">
        <v>4181301.0</v>
      </c>
      <c r="D4353" s="2"/>
      <c r="E4353" s="2" t="s">
        <v>34</v>
      </c>
      <c r="F4353" s="2" t="s">
        <v>11828</v>
      </c>
      <c r="G4353" s="2" t="s">
        <v>11829</v>
      </c>
      <c r="H4353" s="12">
        <v>0.0</v>
      </c>
      <c r="I4353" s="2" t="s">
        <v>40</v>
      </c>
      <c r="J4353" s="2"/>
      <c r="K4353" s="2" t="s">
        <v>11830</v>
      </c>
      <c r="L4353" s="12">
        <v>314.0</v>
      </c>
      <c r="M4353" s="2" t="s">
        <v>11831</v>
      </c>
      <c r="N4353" s="2" t="str">
        <f>IFERROR(__xludf.DUMMYFUNCTION("""COMPUTED_VALUE"""),"")</f>
        <v/>
      </c>
    </row>
    <row r="4354">
      <c r="A4354" s="2" t="s">
        <v>33</v>
      </c>
      <c r="B4354" s="12">
        <v>4181301.0</v>
      </c>
      <c r="C4354" s="12">
        <v>4182041.0</v>
      </c>
      <c r="D4354" s="2"/>
      <c r="E4354" s="2" t="s">
        <v>34</v>
      </c>
      <c r="F4354" s="2" t="s">
        <v>11832</v>
      </c>
      <c r="G4354" s="2" t="s">
        <v>11833</v>
      </c>
      <c r="H4354" s="12">
        <v>0.0</v>
      </c>
      <c r="I4354" s="2" t="s">
        <v>40</v>
      </c>
      <c r="J4354" s="2"/>
      <c r="K4354" s="2" t="s">
        <v>11834</v>
      </c>
      <c r="L4354" s="12">
        <v>246.0</v>
      </c>
      <c r="M4354" s="2" t="s">
        <v>11835</v>
      </c>
      <c r="N4354" s="2" t="str">
        <f>IFERROR(__xludf.DUMMYFUNCTION("""COMPUTED_VALUE"""),"")</f>
        <v/>
      </c>
    </row>
    <row r="4355">
      <c r="A4355" s="2" t="s">
        <v>33</v>
      </c>
      <c r="B4355" s="12">
        <v>4182111.0</v>
      </c>
      <c r="C4355" s="12">
        <v>4182344.0</v>
      </c>
      <c r="D4355" s="2"/>
      <c r="E4355" s="2" t="s">
        <v>34</v>
      </c>
      <c r="F4355" s="2" t="s">
        <v>11836</v>
      </c>
      <c r="G4355" s="2" t="s">
        <v>11837</v>
      </c>
      <c r="H4355" s="12">
        <v>0.0</v>
      </c>
      <c r="I4355" s="2" t="s">
        <v>40</v>
      </c>
      <c r="J4355" s="2"/>
      <c r="K4355" s="2" t="s">
        <v>11838</v>
      </c>
      <c r="L4355" s="12">
        <v>77.0</v>
      </c>
      <c r="M4355" s="2" t="s">
        <v>11839</v>
      </c>
      <c r="N4355" s="2" t="str">
        <f>IFERROR(__xludf.DUMMYFUNCTION("""COMPUTED_VALUE"""),"")</f>
        <v/>
      </c>
    </row>
    <row r="4356">
      <c r="A4356" s="2" t="s">
        <v>33</v>
      </c>
      <c r="B4356" s="12">
        <v>4182403.0</v>
      </c>
      <c r="C4356" s="12">
        <v>4183140.0</v>
      </c>
      <c r="D4356" s="2"/>
      <c r="E4356" s="2" t="s">
        <v>34</v>
      </c>
      <c r="F4356" s="2" t="s">
        <v>11840</v>
      </c>
      <c r="G4356" s="2" t="s">
        <v>11841</v>
      </c>
      <c r="H4356" s="12">
        <v>0.0</v>
      </c>
      <c r="I4356" s="2" t="s">
        <v>40</v>
      </c>
      <c r="J4356" s="2"/>
      <c r="K4356" s="2" t="s">
        <v>11842</v>
      </c>
      <c r="L4356" s="12">
        <v>245.0</v>
      </c>
      <c r="M4356" s="2" t="s">
        <v>11843</v>
      </c>
      <c r="N4356" s="2" t="str">
        <f>IFERROR(__xludf.DUMMYFUNCTION("""COMPUTED_VALUE"""),"")</f>
        <v/>
      </c>
    </row>
    <row r="4357">
      <c r="A4357" s="2" t="s">
        <v>33</v>
      </c>
      <c r="B4357" s="12">
        <v>4183287.0</v>
      </c>
      <c r="C4357" s="12">
        <v>4186856.0</v>
      </c>
      <c r="D4357" s="2"/>
      <c r="E4357" s="2" t="s">
        <v>34</v>
      </c>
      <c r="F4357" s="2" t="s">
        <v>11844</v>
      </c>
      <c r="G4357" s="2" t="s">
        <v>11845</v>
      </c>
      <c r="H4357" s="12">
        <v>0.0</v>
      </c>
      <c r="I4357" s="2" t="s">
        <v>40</v>
      </c>
      <c r="J4357" s="2"/>
      <c r="K4357" s="2" t="s">
        <v>11846</v>
      </c>
      <c r="L4357" s="12">
        <v>1189.0</v>
      </c>
      <c r="M4357" s="2" t="s">
        <v>11847</v>
      </c>
      <c r="N4357" s="2" t="str">
        <f>IFERROR(__xludf.DUMMYFUNCTION("""COMPUTED_VALUE"""),"")</f>
        <v/>
      </c>
    </row>
    <row r="4358">
      <c r="A4358" s="2" t="s">
        <v>33</v>
      </c>
      <c r="B4358" s="12">
        <v>4186872.0</v>
      </c>
      <c r="C4358" s="12">
        <v>4187861.0</v>
      </c>
      <c r="D4358" s="2"/>
      <c r="E4358" s="2" t="s">
        <v>34</v>
      </c>
      <c r="F4358" s="2" t="s">
        <v>11848</v>
      </c>
      <c r="G4358" s="2" t="s">
        <v>11849</v>
      </c>
      <c r="H4358" s="12">
        <v>0.0</v>
      </c>
      <c r="I4358" s="2" t="s">
        <v>40</v>
      </c>
      <c r="J4358" s="2"/>
      <c r="K4358" s="2" t="s">
        <v>11850</v>
      </c>
      <c r="L4358" s="12">
        <v>329.0</v>
      </c>
      <c r="M4358" s="2" t="s">
        <v>11851</v>
      </c>
      <c r="N4358" s="2" t="str">
        <f>IFERROR(__xludf.DUMMYFUNCTION("""COMPUTED_VALUE"""),"")</f>
        <v/>
      </c>
    </row>
    <row r="4359">
      <c r="A4359" s="2" t="s">
        <v>33</v>
      </c>
      <c r="B4359" s="12">
        <v>4187995.0</v>
      </c>
      <c r="C4359" s="12">
        <v>4188327.0</v>
      </c>
      <c r="D4359" s="2"/>
      <c r="E4359" s="2" t="s">
        <v>34</v>
      </c>
      <c r="F4359" s="2" t="s">
        <v>11852</v>
      </c>
      <c r="G4359" s="2"/>
      <c r="H4359" s="12">
        <v>0.0</v>
      </c>
      <c r="I4359" s="2" t="s">
        <v>40</v>
      </c>
      <c r="J4359" s="2"/>
      <c r="K4359" s="2" t="s">
        <v>11853</v>
      </c>
      <c r="L4359" s="12">
        <v>110.0</v>
      </c>
      <c r="M4359" s="2" t="s">
        <v>11854</v>
      </c>
      <c r="N4359" s="2" t="str">
        <f>IFERROR(__xludf.DUMMYFUNCTION("""COMPUTED_VALUE"""),"")</f>
        <v/>
      </c>
    </row>
    <row r="4360">
      <c r="A4360" s="2" t="s">
        <v>33</v>
      </c>
      <c r="B4360" s="12">
        <v>4188340.0</v>
      </c>
      <c r="C4360" s="12">
        <v>4189689.0</v>
      </c>
      <c r="D4360" s="2"/>
      <c r="E4360" s="2" t="s">
        <v>34</v>
      </c>
      <c r="F4360" s="2" t="s">
        <v>11855</v>
      </c>
      <c r="G4360" s="2" t="s">
        <v>11856</v>
      </c>
      <c r="H4360" s="12">
        <v>0.0</v>
      </c>
      <c r="I4360" s="2" t="s">
        <v>40</v>
      </c>
      <c r="J4360" s="2"/>
      <c r="K4360" s="2" t="s">
        <v>11857</v>
      </c>
      <c r="L4360" s="12">
        <v>449.0</v>
      </c>
      <c r="M4360" s="2" t="s">
        <v>11858</v>
      </c>
      <c r="N4360" s="2" t="str">
        <f>IFERROR(__xludf.DUMMYFUNCTION("""COMPUTED_VALUE"""),"")</f>
        <v/>
      </c>
    </row>
    <row r="4361">
      <c r="A4361" s="2" t="s">
        <v>33</v>
      </c>
      <c r="B4361" s="12">
        <v>4189791.0</v>
      </c>
      <c r="C4361" s="12">
        <v>4190063.0</v>
      </c>
      <c r="D4361" s="2"/>
      <c r="E4361" s="2" t="s">
        <v>34</v>
      </c>
      <c r="F4361" s="2" t="s">
        <v>11859</v>
      </c>
      <c r="G4361" s="2" t="s">
        <v>11860</v>
      </c>
      <c r="H4361" s="12">
        <v>0.0</v>
      </c>
      <c r="I4361" s="2" t="s">
        <v>40</v>
      </c>
      <c r="J4361" s="2"/>
      <c r="K4361" s="2" t="s">
        <v>11861</v>
      </c>
      <c r="L4361" s="12">
        <v>90.0</v>
      </c>
      <c r="M4361" s="2" t="s">
        <v>11862</v>
      </c>
      <c r="N4361" s="2" t="str">
        <f>IFERROR(__xludf.DUMMYFUNCTION("""COMPUTED_VALUE"""),"")</f>
        <v/>
      </c>
    </row>
    <row r="4362">
      <c r="A4362" s="2" t="s">
        <v>33</v>
      </c>
      <c r="B4362" s="12">
        <v>4190078.0</v>
      </c>
      <c r="C4362" s="12">
        <v>4190305.0</v>
      </c>
      <c r="D4362" s="2"/>
      <c r="E4362" s="2" t="s">
        <v>34</v>
      </c>
      <c r="F4362" s="2" t="s">
        <v>11863</v>
      </c>
      <c r="G4362" s="2"/>
      <c r="H4362" s="12">
        <v>0.0</v>
      </c>
      <c r="I4362" s="2" t="s">
        <v>40</v>
      </c>
      <c r="J4362" s="2"/>
      <c r="K4362" s="2" t="s">
        <v>11864</v>
      </c>
      <c r="L4362" s="12">
        <v>75.0</v>
      </c>
      <c r="M4362" s="2" t="s">
        <v>11865</v>
      </c>
      <c r="N4362" s="2" t="str">
        <f>IFERROR(__xludf.DUMMYFUNCTION("""COMPUTED_VALUE"""),"")</f>
        <v/>
      </c>
    </row>
    <row r="4363">
      <c r="A4363" s="2" t="s">
        <v>33</v>
      </c>
      <c r="B4363" s="12">
        <v>4190427.0</v>
      </c>
      <c r="C4363" s="12">
        <v>4190942.0</v>
      </c>
      <c r="D4363" s="2"/>
      <c r="E4363" s="2" t="s">
        <v>34</v>
      </c>
      <c r="F4363" s="2" t="s">
        <v>11866</v>
      </c>
      <c r="G4363" s="2" t="s">
        <v>11867</v>
      </c>
      <c r="H4363" s="12">
        <v>0.0</v>
      </c>
      <c r="I4363" s="2" t="s">
        <v>40</v>
      </c>
      <c r="J4363" s="2"/>
      <c r="K4363" s="2" t="s">
        <v>11868</v>
      </c>
      <c r="L4363" s="12">
        <v>171.0</v>
      </c>
      <c r="M4363" s="2" t="s">
        <v>11869</v>
      </c>
      <c r="N4363" s="2" t="str">
        <f>IFERROR(__xludf.DUMMYFUNCTION("""COMPUTED_VALUE"""),"")</f>
        <v/>
      </c>
    </row>
    <row r="4364">
      <c r="A4364" s="2" t="s">
        <v>33</v>
      </c>
      <c r="B4364" s="12">
        <v>4190942.0</v>
      </c>
      <c r="C4364" s="12">
        <v>4191676.0</v>
      </c>
      <c r="D4364" s="2"/>
      <c r="E4364" s="2" t="s">
        <v>34</v>
      </c>
      <c r="F4364" s="2" t="s">
        <v>11870</v>
      </c>
      <c r="G4364" s="2" t="s">
        <v>11871</v>
      </c>
      <c r="H4364" s="12">
        <v>0.0</v>
      </c>
      <c r="I4364" s="2" t="s">
        <v>40</v>
      </c>
      <c r="J4364" s="2"/>
      <c r="K4364" s="2" t="s">
        <v>11872</v>
      </c>
      <c r="L4364" s="12">
        <v>244.0</v>
      </c>
      <c r="M4364" s="2" t="s">
        <v>11873</v>
      </c>
      <c r="N4364" s="2" t="str">
        <f>IFERROR(__xludf.DUMMYFUNCTION("""COMPUTED_VALUE"""),"")</f>
        <v/>
      </c>
    </row>
    <row r="4365">
      <c r="A4365" s="2" t="s">
        <v>33</v>
      </c>
      <c r="B4365" s="12">
        <v>4191823.0</v>
      </c>
      <c r="C4365" s="12">
        <v>4192167.0</v>
      </c>
      <c r="D4365" s="2"/>
      <c r="E4365" s="2" t="s">
        <v>34</v>
      </c>
      <c r="F4365" s="2" t="s">
        <v>11874</v>
      </c>
      <c r="G4365" s="2" t="s">
        <v>11875</v>
      </c>
      <c r="H4365" s="12">
        <v>0.0</v>
      </c>
      <c r="I4365" s="2" t="s">
        <v>40</v>
      </c>
      <c r="J4365" s="2"/>
      <c r="K4365" s="2" t="s">
        <v>11876</v>
      </c>
      <c r="L4365" s="12">
        <v>114.0</v>
      </c>
      <c r="M4365" s="2" t="s">
        <v>11877</v>
      </c>
      <c r="N4365" s="2" t="str">
        <f>IFERROR(__xludf.DUMMYFUNCTION("""COMPUTED_VALUE"""),"")</f>
        <v/>
      </c>
    </row>
    <row r="4366">
      <c r="A4366" s="2" t="s">
        <v>33</v>
      </c>
      <c r="B4366" s="12">
        <v>4192269.0</v>
      </c>
      <c r="C4366" s="12">
        <v>4192820.0</v>
      </c>
      <c r="D4366" s="2"/>
      <c r="E4366" s="2" t="s">
        <v>34</v>
      </c>
      <c r="F4366" s="2" t="s">
        <v>4164</v>
      </c>
      <c r="G4366" s="2" t="s">
        <v>61</v>
      </c>
      <c r="H4366" s="12">
        <v>0.0</v>
      </c>
      <c r="I4366" s="2" t="s">
        <v>40</v>
      </c>
      <c r="J4366" s="2"/>
      <c r="K4366" s="2" t="s">
        <v>11878</v>
      </c>
      <c r="L4366" s="12">
        <v>183.0</v>
      </c>
      <c r="M4366" s="2" t="s">
        <v>11879</v>
      </c>
      <c r="N4366" s="2" t="str">
        <f>IFERROR(__xludf.DUMMYFUNCTION("""COMPUTED_VALUE"""),"")</f>
        <v/>
      </c>
    </row>
    <row r="4367">
      <c r="A4367" s="2" t="s">
        <v>33</v>
      </c>
      <c r="B4367" s="12">
        <v>4192841.0</v>
      </c>
      <c r="C4367" s="12">
        <v>4193731.0</v>
      </c>
      <c r="D4367" s="2"/>
      <c r="E4367" s="2" t="s">
        <v>34</v>
      </c>
      <c r="F4367" s="2" t="s">
        <v>11880</v>
      </c>
      <c r="G4367" s="2" t="s">
        <v>11881</v>
      </c>
      <c r="H4367" s="12">
        <v>0.0</v>
      </c>
      <c r="I4367" s="2" t="s">
        <v>40</v>
      </c>
      <c r="J4367" s="2"/>
      <c r="K4367" s="2" t="s">
        <v>11882</v>
      </c>
      <c r="L4367" s="12">
        <v>296.0</v>
      </c>
      <c r="M4367" s="2" t="s">
        <v>11883</v>
      </c>
      <c r="N4367" s="2" t="str">
        <f>IFERROR(__xludf.DUMMYFUNCTION("""COMPUTED_VALUE"""),"")</f>
        <v/>
      </c>
    </row>
    <row r="4368">
      <c r="A4368" s="2" t="s">
        <v>33</v>
      </c>
      <c r="B4368" s="12">
        <v>4193788.0</v>
      </c>
      <c r="C4368" s="12">
        <v>4194561.0</v>
      </c>
      <c r="D4368" s="2"/>
      <c r="E4368" s="2" t="s">
        <v>34</v>
      </c>
      <c r="F4368" s="2" t="s">
        <v>11884</v>
      </c>
      <c r="G4368" s="2"/>
      <c r="H4368" s="12">
        <v>0.0</v>
      </c>
      <c r="I4368" s="2" t="s">
        <v>40</v>
      </c>
      <c r="J4368" s="2"/>
      <c r="K4368" s="2" t="s">
        <v>11885</v>
      </c>
      <c r="L4368" s="12">
        <v>257.0</v>
      </c>
      <c r="M4368" s="2" t="s">
        <v>11886</v>
      </c>
      <c r="N4368" s="2" t="str">
        <f>IFERROR(__xludf.DUMMYFUNCTION("""COMPUTED_VALUE"""),"")</f>
        <v/>
      </c>
    </row>
    <row r="4369">
      <c r="A4369" s="2" t="s">
        <v>33</v>
      </c>
      <c r="B4369" s="12">
        <v>4194756.0</v>
      </c>
      <c r="C4369" s="12">
        <v>4195916.0</v>
      </c>
      <c r="D4369" s="2"/>
      <c r="E4369" s="2" t="s">
        <v>34</v>
      </c>
      <c r="F4369" s="2" t="s">
        <v>11887</v>
      </c>
      <c r="G4369" s="2" t="s">
        <v>11888</v>
      </c>
      <c r="H4369" s="12">
        <v>0.0</v>
      </c>
      <c r="I4369" s="2" t="s">
        <v>40</v>
      </c>
      <c r="J4369" s="2"/>
      <c r="K4369" s="2" t="s">
        <v>11889</v>
      </c>
      <c r="L4369" s="12">
        <v>386.0</v>
      </c>
      <c r="M4369" s="2" t="s">
        <v>11890</v>
      </c>
      <c r="N4369" s="2" t="str">
        <f>IFERROR(__xludf.DUMMYFUNCTION("""COMPUTED_VALUE"""),"")</f>
        <v/>
      </c>
    </row>
    <row r="4370">
      <c r="A4370" s="2" t="s">
        <v>33</v>
      </c>
      <c r="B4370" s="12">
        <v>4195936.0</v>
      </c>
      <c r="C4370" s="12">
        <v>4196838.0</v>
      </c>
      <c r="D4370" s="2"/>
      <c r="E4370" s="2" t="s">
        <v>34</v>
      </c>
      <c r="F4370" s="2" t="s">
        <v>11891</v>
      </c>
      <c r="G4370" s="2" t="s">
        <v>11892</v>
      </c>
      <c r="H4370" s="12">
        <v>0.0</v>
      </c>
      <c r="I4370" s="2" t="s">
        <v>40</v>
      </c>
      <c r="J4370" s="2"/>
      <c r="K4370" s="2" t="s">
        <v>11893</v>
      </c>
      <c r="L4370" s="12">
        <v>300.0</v>
      </c>
      <c r="M4370" s="2" t="s">
        <v>11894</v>
      </c>
      <c r="N4370" s="2" t="str">
        <f>IFERROR(__xludf.DUMMYFUNCTION("""COMPUTED_VALUE"""),"")</f>
        <v/>
      </c>
    </row>
    <row r="4371">
      <c r="A4371" s="2" t="s">
        <v>33</v>
      </c>
      <c r="B4371" s="12">
        <v>4196927.0</v>
      </c>
      <c r="C4371" s="12">
        <v>4197796.0</v>
      </c>
      <c r="D4371" s="2"/>
      <c r="E4371" s="2" t="s">
        <v>34</v>
      </c>
      <c r="F4371" s="2" t="s">
        <v>11895</v>
      </c>
      <c r="G4371" s="2" t="s">
        <v>11896</v>
      </c>
      <c r="H4371" s="12">
        <v>0.0</v>
      </c>
      <c r="I4371" s="2" t="s">
        <v>40</v>
      </c>
      <c r="J4371" s="2"/>
      <c r="K4371" s="2" t="s">
        <v>11897</v>
      </c>
      <c r="L4371" s="12">
        <v>289.0</v>
      </c>
      <c r="M4371" s="2" t="s">
        <v>11898</v>
      </c>
      <c r="N4371" s="2" t="str">
        <f>IFERROR(__xludf.DUMMYFUNCTION("""COMPUTED_VALUE"""),"")</f>
        <v/>
      </c>
    </row>
    <row r="4372">
      <c r="A4372" s="2" t="s">
        <v>33</v>
      </c>
      <c r="B4372" s="12">
        <v>4197941.0</v>
      </c>
      <c r="C4372" s="12">
        <v>4200019.0</v>
      </c>
      <c r="D4372" s="2"/>
      <c r="E4372" s="2" t="s">
        <v>34</v>
      </c>
      <c r="F4372" s="2" t="s">
        <v>11899</v>
      </c>
      <c r="G4372" s="2" t="s">
        <v>11900</v>
      </c>
      <c r="H4372" s="12">
        <v>0.0</v>
      </c>
      <c r="I4372" s="2" t="s">
        <v>40</v>
      </c>
      <c r="J4372" s="2"/>
      <c r="K4372" s="2" t="s">
        <v>11901</v>
      </c>
      <c r="L4372" s="12">
        <v>692.0</v>
      </c>
      <c r="M4372" s="2" t="s">
        <v>11902</v>
      </c>
      <c r="N4372" s="2" t="str">
        <f>IFERROR(__xludf.DUMMYFUNCTION("""COMPUTED_VALUE"""),"")</f>
        <v/>
      </c>
    </row>
    <row r="4373">
      <c r="A4373" s="2" t="s">
        <v>33</v>
      </c>
      <c r="B4373" s="12">
        <v>4200068.0</v>
      </c>
      <c r="C4373" s="12">
        <v>4201372.0</v>
      </c>
      <c r="D4373" s="2"/>
      <c r="E4373" s="2" t="s">
        <v>34</v>
      </c>
      <c r="F4373" s="2" t="s">
        <v>11903</v>
      </c>
      <c r="G4373" s="2" t="s">
        <v>11904</v>
      </c>
      <c r="H4373" s="12">
        <v>0.0</v>
      </c>
      <c r="I4373" s="2" t="s">
        <v>40</v>
      </c>
      <c r="J4373" s="2"/>
      <c r="K4373" s="2" t="s">
        <v>11905</v>
      </c>
      <c r="L4373" s="12">
        <v>434.0</v>
      </c>
      <c r="M4373" s="2" t="s">
        <v>11906</v>
      </c>
      <c r="N4373" s="2" t="str">
        <f>IFERROR(__xludf.DUMMYFUNCTION("""COMPUTED_VALUE"""),"")</f>
        <v/>
      </c>
    </row>
    <row r="4374">
      <c r="A4374" s="2" t="s">
        <v>33</v>
      </c>
      <c r="B4374" s="12">
        <v>4201438.0</v>
      </c>
      <c r="C4374" s="12">
        <v>4202337.0</v>
      </c>
      <c r="D4374" s="2"/>
      <c r="E4374" s="2" t="s">
        <v>34</v>
      </c>
      <c r="F4374" s="2" t="s">
        <v>11907</v>
      </c>
      <c r="G4374" s="2" t="s">
        <v>11908</v>
      </c>
      <c r="H4374" s="12">
        <v>0.0</v>
      </c>
      <c r="I4374" s="2" t="s">
        <v>40</v>
      </c>
      <c r="J4374" s="2"/>
      <c r="K4374" s="2" t="s">
        <v>11909</v>
      </c>
      <c r="L4374" s="12">
        <v>299.0</v>
      </c>
      <c r="M4374" s="2" t="s">
        <v>11910</v>
      </c>
      <c r="N4374" s="2" t="str">
        <f>IFERROR(__xludf.DUMMYFUNCTION("""COMPUTED_VALUE"""),"")</f>
        <v/>
      </c>
    </row>
    <row r="4375">
      <c r="A4375" s="2" t="s">
        <v>33</v>
      </c>
      <c r="B4375" s="12">
        <v>4202380.0</v>
      </c>
      <c r="C4375" s="12">
        <v>4202922.0</v>
      </c>
      <c r="D4375" s="2"/>
      <c r="E4375" s="2" t="s">
        <v>34</v>
      </c>
      <c r="F4375" s="2" t="s">
        <v>11911</v>
      </c>
      <c r="G4375" s="2" t="s">
        <v>11912</v>
      </c>
      <c r="H4375" s="12">
        <v>0.0</v>
      </c>
      <c r="I4375" s="2" t="s">
        <v>40</v>
      </c>
      <c r="J4375" s="2"/>
      <c r="K4375" s="2" t="s">
        <v>11913</v>
      </c>
      <c r="L4375" s="12">
        <v>180.0</v>
      </c>
      <c r="M4375" s="2" t="s">
        <v>11914</v>
      </c>
      <c r="N4375" s="2" t="str">
        <f>IFERROR(__xludf.DUMMYFUNCTION("""COMPUTED_VALUE"""),"")</f>
        <v/>
      </c>
    </row>
    <row r="4376">
      <c r="A4376" s="2" t="s">
        <v>33</v>
      </c>
      <c r="B4376" s="12">
        <v>4202945.0</v>
      </c>
      <c r="C4376" s="12">
        <v>4204336.0</v>
      </c>
      <c r="D4376" s="2"/>
      <c r="E4376" s="2" t="s">
        <v>34</v>
      </c>
      <c r="F4376" s="2" t="s">
        <v>11915</v>
      </c>
      <c r="G4376" s="2" t="s">
        <v>11916</v>
      </c>
      <c r="H4376" s="12">
        <v>0.0</v>
      </c>
      <c r="I4376" s="2" t="s">
        <v>40</v>
      </c>
      <c r="J4376" s="2"/>
      <c r="K4376" s="2" t="s">
        <v>11917</v>
      </c>
      <c r="L4376" s="12">
        <v>463.0</v>
      </c>
      <c r="M4376" s="2" t="s">
        <v>11918</v>
      </c>
      <c r="N4376" s="2" t="str">
        <f>IFERROR(__xludf.DUMMYFUNCTION("""COMPUTED_VALUE"""),"")</f>
        <v/>
      </c>
    </row>
    <row r="4377">
      <c r="A4377" s="2" t="s">
        <v>33</v>
      </c>
      <c r="B4377" s="12">
        <v>4204414.0</v>
      </c>
      <c r="C4377" s="12">
        <v>4205193.0</v>
      </c>
      <c r="D4377" s="2"/>
      <c r="E4377" s="2" t="s">
        <v>34</v>
      </c>
      <c r="F4377" s="2" t="s">
        <v>11919</v>
      </c>
      <c r="G4377" s="2" t="s">
        <v>11920</v>
      </c>
      <c r="H4377" s="12">
        <v>0.0</v>
      </c>
      <c r="I4377" s="2" t="s">
        <v>40</v>
      </c>
      <c r="J4377" s="2"/>
      <c r="K4377" s="2" t="s">
        <v>11921</v>
      </c>
      <c r="L4377" s="12">
        <v>259.0</v>
      </c>
      <c r="M4377" s="2" t="s">
        <v>11922</v>
      </c>
      <c r="N4377" s="2" t="str">
        <f>IFERROR(__xludf.DUMMYFUNCTION("""COMPUTED_VALUE"""),"")</f>
        <v/>
      </c>
    </row>
    <row r="4378">
      <c r="A4378" s="2" t="s">
        <v>33</v>
      </c>
      <c r="B4378" s="12">
        <v>4205541.0</v>
      </c>
      <c r="C4378" s="12">
        <v>4206242.0</v>
      </c>
      <c r="D4378" s="2"/>
      <c r="E4378" s="2" t="s">
        <v>34</v>
      </c>
      <c r="F4378" s="2" t="s">
        <v>11923</v>
      </c>
      <c r="G4378" s="2" t="s">
        <v>11924</v>
      </c>
      <c r="H4378" s="12">
        <v>0.0</v>
      </c>
      <c r="I4378" s="2" t="s">
        <v>40</v>
      </c>
      <c r="J4378" s="2"/>
      <c r="K4378" s="2" t="s">
        <v>11925</v>
      </c>
      <c r="L4378" s="12">
        <v>233.0</v>
      </c>
      <c r="M4378" s="2" t="s">
        <v>11926</v>
      </c>
      <c r="N4378" s="2" t="str">
        <f>IFERROR(__xludf.DUMMYFUNCTION("""COMPUTED_VALUE"""),"")</f>
        <v/>
      </c>
    </row>
    <row r="4379">
      <c r="A4379" s="2" t="s">
        <v>33</v>
      </c>
      <c r="B4379" s="12">
        <v>4206346.0</v>
      </c>
      <c r="C4379" s="12">
        <v>4207233.0</v>
      </c>
      <c r="D4379" s="2"/>
      <c r="E4379" s="2" t="s">
        <v>34</v>
      </c>
      <c r="F4379" s="2" t="s">
        <v>11927</v>
      </c>
      <c r="G4379" s="2" t="s">
        <v>11928</v>
      </c>
      <c r="H4379" s="12">
        <v>0.0</v>
      </c>
      <c r="I4379" s="2" t="s">
        <v>40</v>
      </c>
      <c r="J4379" s="2"/>
      <c r="K4379" s="2" t="s">
        <v>11929</v>
      </c>
      <c r="L4379" s="12">
        <v>295.0</v>
      </c>
      <c r="M4379" s="2" t="s">
        <v>11930</v>
      </c>
      <c r="N4379" s="2" t="str">
        <f>IFERROR(__xludf.DUMMYFUNCTION("""COMPUTED_VALUE"""),"")</f>
        <v/>
      </c>
    </row>
    <row r="4380">
      <c r="A4380" s="2" t="s">
        <v>33</v>
      </c>
      <c r="B4380" s="12">
        <v>4207300.0</v>
      </c>
      <c r="C4380" s="12">
        <v>4208022.0</v>
      </c>
      <c r="D4380" s="2"/>
      <c r="E4380" s="2" t="s">
        <v>34</v>
      </c>
      <c r="F4380" s="2" t="s">
        <v>2418</v>
      </c>
      <c r="G4380" s="2" t="s">
        <v>2419</v>
      </c>
      <c r="H4380" s="12">
        <v>0.0</v>
      </c>
      <c r="I4380" s="2" t="s">
        <v>40</v>
      </c>
      <c r="J4380" s="2"/>
      <c r="K4380" s="2" t="s">
        <v>11931</v>
      </c>
      <c r="L4380" s="12">
        <v>240.0</v>
      </c>
      <c r="M4380" s="2" t="s">
        <v>11932</v>
      </c>
      <c r="N4380" s="2" t="str">
        <f>IFERROR(__xludf.DUMMYFUNCTION("""COMPUTED_VALUE"""),"")</f>
        <v/>
      </c>
    </row>
    <row r="4381">
      <c r="A4381" s="2" t="s">
        <v>33</v>
      </c>
      <c r="B4381" s="12">
        <v>4208025.0</v>
      </c>
      <c r="C4381" s="12">
        <v>4208582.0</v>
      </c>
      <c r="D4381" s="2"/>
      <c r="E4381" s="2" t="s">
        <v>34</v>
      </c>
      <c r="F4381" s="2" t="s">
        <v>11933</v>
      </c>
      <c r="G4381" s="2" t="s">
        <v>11934</v>
      </c>
      <c r="H4381" s="12">
        <v>0.0</v>
      </c>
      <c r="I4381" s="2" t="s">
        <v>40</v>
      </c>
      <c r="J4381" s="2"/>
      <c r="K4381" s="2" t="s">
        <v>11935</v>
      </c>
      <c r="L4381" s="12">
        <v>185.0</v>
      </c>
      <c r="M4381" s="2" t="s">
        <v>11936</v>
      </c>
      <c r="N4381" s="2" t="str">
        <f>IFERROR(__xludf.DUMMYFUNCTION("""COMPUTED_VALUE"""),"")</f>
        <v/>
      </c>
    </row>
    <row r="4382">
      <c r="A4382" s="2" t="s">
        <v>33</v>
      </c>
      <c r="B4382" s="12">
        <v>4208668.0</v>
      </c>
      <c r="C4382" s="12">
        <v>4209444.0</v>
      </c>
      <c r="D4382" s="2"/>
      <c r="E4382" s="2" t="s">
        <v>34</v>
      </c>
      <c r="F4382" s="2" t="s">
        <v>11937</v>
      </c>
      <c r="G4382" s="2" t="s">
        <v>11938</v>
      </c>
      <c r="H4382" s="12">
        <v>0.0</v>
      </c>
      <c r="I4382" s="2" t="s">
        <v>40</v>
      </c>
      <c r="J4382" s="2"/>
      <c r="K4382" s="2" t="s">
        <v>11939</v>
      </c>
      <c r="L4382" s="12">
        <v>258.0</v>
      </c>
      <c r="M4382" s="2" t="s">
        <v>11940</v>
      </c>
      <c r="N4382" s="2" t="str">
        <f>IFERROR(__xludf.DUMMYFUNCTION("""COMPUTED_VALUE"""),"")</f>
        <v/>
      </c>
    </row>
    <row r="4383">
      <c r="A4383" s="2" t="s">
        <v>33</v>
      </c>
      <c r="B4383" s="12">
        <v>4209462.0</v>
      </c>
      <c r="C4383" s="12">
        <v>4210253.0</v>
      </c>
      <c r="D4383" s="2"/>
      <c r="E4383" s="2" t="s">
        <v>34</v>
      </c>
      <c r="F4383" s="2" t="s">
        <v>11941</v>
      </c>
      <c r="G4383" s="2" t="s">
        <v>11942</v>
      </c>
      <c r="H4383" s="12">
        <v>0.0</v>
      </c>
      <c r="I4383" s="2" t="s">
        <v>40</v>
      </c>
      <c r="J4383" s="2"/>
      <c r="K4383" s="2" t="s">
        <v>11943</v>
      </c>
      <c r="L4383" s="12">
        <v>263.0</v>
      </c>
      <c r="M4383" s="2" t="s">
        <v>11944</v>
      </c>
      <c r="N4383" s="2" t="str">
        <f>IFERROR(__xludf.DUMMYFUNCTION("""COMPUTED_VALUE"""),"")</f>
        <v/>
      </c>
    </row>
    <row r="4384">
      <c r="A4384" s="2" t="s">
        <v>33</v>
      </c>
      <c r="B4384" s="12">
        <v>4210277.0</v>
      </c>
      <c r="C4384" s="12">
        <v>4211419.0</v>
      </c>
      <c r="D4384" s="2"/>
      <c r="E4384" s="2" t="s">
        <v>34</v>
      </c>
      <c r="F4384" s="2" t="s">
        <v>11945</v>
      </c>
      <c r="G4384" s="2" t="s">
        <v>11946</v>
      </c>
      <c r="H4384" s="12">
        <v>0.0</v>
      </c>
      <c r="I4384" s="2" t="s">
        <v>40</v>
      </c>
      <c r="J4384" s="2"/>
      <c r="K4384" s="2" t="s">
        <v>11947</v>
      </c>
      <c r="L4384" s="12">
        <v>380.0</v>
      </c>
      <c r="M4384" s="2" t="s">
        <v>11948</v>
      </c>
      <c r="N4384" s="2" t="str">
        <f>IFERROR(__xludf.DUMMYFUNCTION("""COMPUTED_VALUE"""),"")</f>
        <v/>
      </c>
    </row>
    <row r="4385">
      <c r="A4385" s="2" t="s">
        <v>33</v>
      </c>
      <c r="B4385" s="12">
        <v>4211437.0</v>
      </c>
      <c r="C4385" s="12">
        <v>4212693.0</v>
      </c>
      <c r="D4385" s="2"/>
      <c r="E4385" s="2" t="s">
        <v>34</v>
      </c>
      <c r="F4385" s="2" t="s">
        <v>11949</v>
      </c>
      <c r="G4385" s="2" t="s">
        <v>11950</v>
      </c>
      <c r="H4385" s="12">
        <v>0.0</v>
      </c>
      <c r="I4385" s="2" t="s">
        <v>40</v>
      </c>
      <c r="J4385" s="2"/>
      <c r="K4385" s="2" t="s">
        <v>11951</v>
      </c>
      <c r="L4385" s="12">
        <v>418.0</v>
      </c>
      <c r="M4385" s="2" t="s">
        <v>11952</v>
      </c>
      <c r="N4385" s="2" t="str">
        <f>IFERROR(__xludf.DUMMYFUNCTION("""COMPUTED_VALUE"""),"")</f>
        <v/>
      </c>
    </row>
    <row r="4386">
      <c r="A4386" s="2" t="s">
        <v>33</v>
      </c>
      <c r="B4386" s="12">
        <v>4212803.0</v>
      </c>
      <c r="C4386" s="12">
        <v>4214503.0</v>
      </c>
      <c r="D4386" s="2"/>
      <c r="E4386" s="2" t="s">
        <v>34</v>
      </c>
      <c r="F4386" s="2" t="s">
        <v>5987</v>
      </c>
      <c r="G4386" s="2"/>
      <c r="H4386" s="12">
        <v>0.0</v>
      </c>
      <c r="I4386" s="2" t="s">
        <v>40</v>
      </c>
      <c r="J4386" s="2"/>
      <c r="K4386" s="2" t="s">
        <v>11953</v>
      </c>
      <c r="L4386" s="12">
        <v>566.0</v>
      </c>
      <c r="M4386" s="2" t="s">
        <v>11954</v>
      </c>
      <c r="N4386" s="2" t="str">
        <f>IFERROR(__xludf.DUMMYFUNCTION("""COMPUTED_VALUE"""),"")</f>
        <v/>
      </c>
    </row>
    <row r="4387">
      <c r="A4387" s="2" t="s">
        <v>33</v>
      </c>
      <c r="B4387" s="12">
        <v>4214628.0</v>
      </c>
      <c r="C4387" s="12">
        <v>4218929.0</v>
      </c>
      <c r="D4387" s="2"/>
      <c r="E4387" s="2" t="s">
        <v>34</v>
      </c>
      <c r="F4387" s="2" t="s">
        <v>11955</v>
      </c>
      <c r="G4387" s="2"/>
      <c r="H4387" s="12">
        <v>0.0</v>
      </c>
      <c r="I4387" s="2" t="s">
        <v>40</v>
      </c>
      <c r="J4387" s="2"/>
      <c r="K4387" s="2" t="s">
        <v>11956</v>
      </c>
      <c r="L4387" s="12">
        <v>1433.0</v>
      </c>
      <c r="M4387" s="2" t="s">
        <v>11957</v>
      </c>
      <c r="N4387" s="2" t="str">
        <f>IFERROR(__xludf.DUMMYFUNCTION("""COMPUTED_VALUE"""),"")</f>
        <v/>
      </c>
    </row>
    <row r="4388">
      <c r="A4388" s="2" t="s">
        <v>33</v>
      </c>
      <c r="B4388" s="12">
        <v>4219266.0</v>
      </c>
      <c r="C4388" s="12">
        <v>4219736.0</v>
      </c>
      <c r="D4388" s="2"/>
      <c r="E4388" s="2" t="s">
        <v>34</v>
      </c>
      <c r="F4388" s="2" t="s">
        <v>11958</v>
      </c>
      <c r="G4388" s="2" t="s">
        <v>11959</v>
      </c>
      <c r="H4388" s="12">
        <v>0.0</v>
      </c>
      <c r="I4388" s="2" t="s">
        <v>40</v>
      </c>
      <c r="J4388" s="2"/>
      <c r="K4388" s="2" t="s">
        <v>11960</v>
      </c>
      <c r="L4388" s="12">
        <v>156.0</v>
      </c>
      <c r="M4388" s="2" t="s">
        <v>11961</v>
      </c>
      <c r="N4388" s="2" t="str">
        <f>IFERROR(__xludf.DUMMYFUNCTION("""COMPUTED_VALUE"""),"")</f>
        <v/>
      </c>
    </row>
    <row r="4389">
      <c r="A4389" s="2" t="s">
        <v>33</v>
      </c>
      <c r="B4389" s="12">
        <v>4219754.0</v>
      </c>
      <c r="C4389" s="12">
        <v>4220860.0</v>
      </c>
      <c r="D4389" s="2"/>
      <c r="E4389" s="2" t="s">
        <v>34</v>
      </c>
      <c r="F4389" s="2" t="s">
        <v>11962</v>
      </c>
      <c r="G4389" s="2" t="s">
        <v>11963</v>
      </c>
      <c r="H4389" s="12">
        <v>0.0</v>
      </c>
      <c r="I4389" s="2" t="s">
        <v>40</v>
      </c>
      <c r="J4389" s="2"/>
      <c r="K4389" s="2" t="s">
        <v>11964</v>
      </c>
      <c r="L4389" s="12">
        <v>368.0</v>
      </c>
      <c r="M4389" s="2" t="s">
        <v>11965</v>
      </c>
      <c r="N4389" s="2" t="str">
        <f>IFERROR(__xludf.DUMMYFUNCTION("""COMPUTED_VALUE"""),"")</f>
        <v/>
      </c>
    </row>
    <row r="4390">
      <c r="A4390" s="2" t="s">
        <v>33</v>
      </c>
      <c r="B4390" s="12">
        <v>4220872.0</v>
      </c>
      <c r="C4390" s="12">
        <v>4221144.0</v>
      </c>
      <c r="D4390" s="2"/>
      <c r="E4390" s="2" t="s">
        <v>34</v>
      </c>
      <c r="F4390" s="2" t="s">
        <v>11966</v>
      </c>
      <c r="G4390" s="2" t="s">
        <v>11967</v>
      </c>
      <c r="H4390" s="12">
        <v>0.0</v>
      </c>
      <c r="I4390" s="2" t="s">
        <v>40</v>
      </c>
      <c r="J4390" s="2"/>
      <c r="K4390" s="2" t="s">
        <v>11968</v>
      </c>
      <c r="L4390" s="12">
        <v>90.0</v>
      </c>
      <c r="M4390" s="2" t="s">
        <v>11969</v>
      </c>
      <c r="N4390" s="2" t="str">
        <f>IFERROR(__xludf.DUMMYFUNCTION("""COMPUTED_VALUE"""),"")</f>
        <v/>
      </c>
    </row>
    <row r="4391">
      <c r="A4391" s="2" t="s">
        <v>33</v>
      </c>
      <c r="B4391" s="12">
        <v>4221145.0</v>
      </c>
      <c r="C4391" s="12">
        <v>4221456.0</v>
      </c>
      <c r="D4391" s="2"/>
      <c r="E4391" s="2" t="s">
        <v>34</v>
      </c>
      <c r="F4391" s="2" t="s">
        <v>11970</v>
      </c>
      <c r="G4391" s="2"/>
      <c r="H4391" s="12">
        <v>0.0</v>
      </c>
      <c r="I4391" s="2" t="s">
        <v>40</v>
      </c>
      <c r="J4391" s="2"/>
      <c r="K4391" s="2" t="s">
        <v>11971</v>
      </c>
      <c r="L4391" s="12">
        <v>103.0</v>
      </c>
      <c r="M4391" s="2" t="s">
        <v>11972</v>
      </c>
      <c r="N4391" s="2" t="str">
        <f>IFERROR(__xludf.DUMMYFUNCTION("""COMPUTED_VALUE"""),"")</f>
        <v/>
      </c>
    </row>
    <row r="4392">
      <c r="A4392" s="2" t="s">
        <v>33</v>
      </c>
      <c r="B4392" s="12">
        <v>4221461.0</v>
      </c>
      <c r="C4392" s="12">
        <v>4223521.0</v>
      </c>
      <c r="D4392" s="2"/>
      <c r="E4392" s="2" t="s">
        <v>34</v>
      </c>
      <c r="F4392" s="2" t="s">
        <v>11973</v>
      </c>
      <c r="G4392" s="2" t="s">
        <v>11974</v>
      </c>
      <c r="H4392" s="12">
        <v>0.0</v>
      </c>
      <c r="I4392" s="2" t="s">
        <v>40</v>
      </c>
      <c r="J4392" s="2"/>
      <c r="K4392" s="2" t="s">
        <v>11975</v>
      </c>
      <c r="L4392" s="12">
        <v>686.0</v>
      </c>
      <c r="M4392" s="2" t="s">
        <v>11976</v>
      </c>
      <c r="N4392" s="2" t="str">
        <f>IFERROR(__xludf.DUMMYFUNCTION("""COMPUTED_VALUE"""),"")</f>
        <v/>
      </c>
    </row>
    <row r="4393">
      <c r="A4393" s="2" t="s">
        <v>33</v>
      </c>
      <c r="B4393" s="12">
        <v>4223518.0</v>
      </c>
      <c r="C4393" s="12">
        <v>4223799.0</v>
      </c>
      <c r="D4393" s="2"/>
      <c r="E4393" s="2" t="s">
        <v>34</v>
      </c>
      <c r="F4393" s="2" t="s">
        <v>11977</v>
      </c>
      <c r="G4393" s="2"/>
      <c r="H4393" s="12">
        <v>0.0</v>
      </c>
      <c r="I4393" s="2" t="s">
        <v>40</v>
      </c>
      <c r="J4393" s="2"/>
      <c r="K4393" s="2" t="s">
        <v>11978</v>
      </c>
      <c r="L4393" s="12">
        <v>93.0</v>
      </c>
      <c r="M4393" s="2" t="s">
        <v>11979</v>
      </c>
      <c r="N4393" s="2" t="str">
        <f>IFERROR(__xludf.DUMMYFUNCTION("""COMPUTED_VALUE"""),"")</f>
        <v/>
      </c>
    </row>
    <row r="4394">
      <c r="A4394" s="2" t="s">
        <v>33</v>
      </c>
      <c r="B4394" s="12">
        <v>4223815.0</v>
      </c>
      <c r="C4394" s="12">
        <v>4224171.0</v>
      </c>
      <c r="D4394" s="2"/>
      <c r="E4394" s="2" t="s">
        <v>34</v>
      </c>
      <c r="F4394" s="2" t="s">
        <v>11980</v>
      </c>
      <c r="G4394" s="2" t="s">
        <v>11981</v>
      </c>
      <c r="H4394" s="12">
        <v>0.0</v>
      </c>
      <c r="I4394" s="2" t="s">
        <v>40</v>
      </c>
      <c r="J4394" s="2"/>
      <c r="K4394" s="2" t="s">
        <v>11982</v>
      </c>
      <c r="L4394" s="12">
        <v>118.0</v>
      </c>
      <c r="M4394" s="2" t="s">
        <v>11983</v>
      </c>
      <c r="N4394" s="2" t="str">
        <f>IFERROR(__xludf.DUMMYFUNCTION("""COMPUTED_VALUE"""),"")</f>
        <v/>
      </c>
    </row>
    <row r="4395">
      <c r="A4395" s="2" t="s">
        <v>33</v>
      </c>
      <c r="B4395" s="12">
        <v>4224258.0</v>
      </c>
      <c r="C4395" s="12">
        <v>4225181.0</v>
      </c>
      <c r="D4395" s="2"/>
      <c r="E4395" s="2" t="s">
        <v>34</v>
      </c>
      <c r="F4395" s="2" t="s">
        <v>11984</v>
      </c>
      <c r="G4395" s="2" t="s">
        <v>11985</v>
      </c>
      <c r="H4395" s="12">
        <v>0.0</v>
      </c>
      <c r="I4395" s="2" t="s">
        <v>40</v>
      </c>
      <c r="J4395" s="2"/>
      <c r="K4395" s="2" t="s">
        <v>11986</v>
      </c>
      <c r="L4395" s="12">
        <v>307.0</v>
      </c>
      <c r="M4395" s="2" t="s">
        <v>11987</v>
      </c>
      <c r="N4395" s="2" t="str">
        <f>IFERROR(__xludf.DUMMYFUNCTION("""COMPUTED_VALUE"""),"")</f>
        <v/>
      </c>
    </row>
    <row r="4396">
      <c r="A4396" s="2" t="s">
        <v>33</v>
      </c>
      <c r="B4396" s="12">
        <v>4225225.0</v>
      </c>
      <c r="C4396" s="12">
        <v>4226196.0</v>
      </c>
      <c r="D4396" s="2"/>
      <c r="E4396" s="2" t="s">
        <v>34</v>
      </c>
      <c r="F4396" s="2" t="s">
        <v>11988</v>
      </c>
      <c r="G4396" s="2" t="s">
        <v>11989</v>
      </c>
      <c r="H4396" s="12">
        <v>0.0</v>
      </c>
      <c r="I4396" s="2" t="s">
        <v>40</v>
      </c>
      <c r="J4396" s="2"/>
      <c r="K4396" s="2" t="s">
        <v>11990</v>
      </c>
      <c r="L4396" s="12">
        <v>323.0</v>
      </c>
      <c r="M4396" s="2" t="s">
        <v>11991</v>
      </c>
      <c r="N4396" s="2" t="str">
        <f>IFERROR(__xludf.DUMMYFUNCTION("""COMPUTED_VALUE"""),"")</f>
        <v/>
      </c>
    </row>
    <row r="4397">
      <c r="A4397" s="2" t="s">
        <v>33</v>
      </c>
      <c r="B4397" s="12">
        <v>4226297.0</v>
      </c>
      <c r="C4397" s="12">
        <v>4226566.0</v>
      </c>
      <c r="D4397" s="2"/>
      <c r="E4397" s="2" t="s">
        <v>34</v>
      </c>
      <c r="F4397" s="2" t="s">
        <v>11992</v>
      </c>
      <c r="G4397" s="2" t="s">
        <v>11993</v>
      </c>
      <c r="H4397" s="12">
        <v>0.0</v>
      </c>
      <c r="I4397" s="2" t="s">
        <v>40</v>
      </c>
      <c r="J4397" s="2"/>
      <c r="K4397" s="2" t="s">
        <v>11994</v>
      </c>
      <c r="L4397" s="12">
        <v>89.0</v>
      </c>
      <c r="M4397" s="2" t="s">
        <v>11995</v>
      </c>
      <c r="N4397" s="2" t="str">
        <f>IFERROR(__xludf.DUMMYFUNCTION("""COMPUTED_VALUE"""),"")</f>
        <v/>
      </c>
    </row>
    <row r="4398">
      <c r="A4398" s="2" t="s">
        <v>33</v>
      </c>
      <c r="B4398" s="12">
        <v>4226727.0</v>
      </c>
      <c r="C4398" s="12">
        <v>4228865.0</v>
      </c>
      <c r="D4398" s="2"/>
      <c r="E4398" s="2" t="s">
        <v>34</v>
      </c>
      <c r="F4398" s="2" t="s">
        <v>11996</v>
      </c>
      <c r="G4398" s="2" t="s">
        <v>11997</v>
      </c>
      <c r="H4398" s="12">
        <v>0.0</v>
      </c>
      <c r="I4398" s="2" t="s">
        <v>40</v>
      </c>
      <c r="J4398" s="2"/>
      <c r="K4398" s="2" t="s">
        <v>11998</v>
      </c>
      <c r="L4398" s="12">
        <v>712.0</v>
      </c>
      <c r="M4398" s="2" t="s">
        <v>11999</v>
      </c>
      <c r="N4398" s="2" t="str">
        <f>IFERROR(__xludf.DUMMYFUNCTION("""COMPUTED_VALUE"""),"")</f>
        <v/>
      </c>
    </row>
    <row r="4399">
      <c r="A4399" s="2" t="s">
        <v>33</v>
      </c>
      <c r="B4399" s="12">
        <v>4229017.0</v>
      </c>
      <c r="C4399" s="12">
        <v>4229916.0</v>
      </c>
      <c r="D4399" s="2"/>
      <c r="E4399" s="2" t="s">
        <v>34</v>
      </c>
      <c r="F4399" s="2" t="s">
        <v>2334</v>
      </c>
      <c r="G4399" s="2"/>
      <c r="H4399" s="12">
        <v>0.0</v>
      </c>
      <c r="I4399" s="2" t="s">
        <v>40</v>
      </c>
      <c r="J4399" s="2"/>
      <c r="K4399" s="2" t="s">
        <v>12000</v>
      </c>
      <c r="L4399" s="12">
        <v>299.0</v>
      </c>
      <c r="M4399" s="2" t="s">
        <v>12001</v>
      </c>
      <c r="N4399" s="2" t="str">
        <f>IFERROR(__xludf.DUMMYFUNCTION("""COMPUTED_VALUE"""),"")</f>
        <v/>
      </c>
    </row>
    <row r="4400">
      <c r="A4400" s="2" t="s">
        <v>33</v>
      </c>
      <c r="B4400" s="12">
        <v>4230003.0</v>
      </c>
      <c r="C4400" s="12">
        <v>4231244.0</v>
      </c>
      <c r="D4400" s="2"/>
      <c r="E4400" s="2" t="s">
        <v>34</v>
      </c>
      <c r="F4400" s="2" t="s">
        <v>12002</v>
      </c>
      <c r="G4400" s="2"/>
      <c r="H4400" s="12">
        <v>0.0</v>
      </c>
      <c r="I4400" s="2" t="s">
        <v>40</v>
      </c>
      <c r="J4400" s="2"/>
      <c r="K4400" s="2" t="s">
        <v>12003</v>
      </c>
      <c r="L4400" s="12">
        <v>413.0</v>
      </c>
      <c r="M4400" s="2" t="s">
        <v>12004</v>
      </c>
      <c r="N4400" s="2" t="str">
        <f>IFERROR(__xludf.DUMMYFUNCTION("""COMPUTED_VALUE"""),"")</f>
        <v/>
      </c>
    </row>
    <row r="4401">
      <c r="A4401" s="2" t="s">
        <v>33</v>
      </c>
      <c r="B4401" s="12">
        <v>4231378.0</v>
      </c>
      <c r="C4401" s="12">
        <v>4231629.0</v>
      </c>
      <c r="D4401" s="2"/>
      <c r="E4401" s="2" t="s">
        <v>34</v>
      </c>
      <c r="F4401" s="2" t="s">
        <v>11651</v>
      </c>
      <c r="G4401" s="2"/>
      <c r="H4401" s="12">
        <v>0.0</v>
      </c>
      <c r="I4401" s="2" t="s">
        <v>40</v>
      </c>
      <c r="J4401" s="2"/>
      <c r="K4401" s="2" t="s">
        <v>12005</v>
      </c>
      <c r="L4401" s="12">
        <v>83.0</v>
      </c>
      <c r="M4401" s="2" t="s">
        <v>12006</v>
      </c>
      <c r="N4401" s="2" t="str">
        <f>IFERROR(__xludf.DUMMYFUNCTION("""COMPUTED_VALUE"""),"")</f>
        <v/>
      </c>
    </row>
    <row r="4402">
      <c r="A4402" s="2" t="s">
        <v>33</v>
      </c>
      <c r="B4402" s="12">
        <v>4231800.0</v>
      </c>
      <c r="C4402" s="12">
        <v>4232702.0</v>
      </c>
      <c r="D4402" s="2"/>
      <c r="E4402" s="2" t="s">
        <v>34</v>
      </c>
      <c r="F4402" s="2" t="s">
        <v>12007</v>
      </c>
      <c r="G4402" s="2" t="s">
        <v>12008</v>
      </c>
      <c r="H4402" s="12">
        <v>0.0</v>
      </c>
      <c r="I4402" s="2" t="s">
        <v>40</v>
      </c>
      <c r="J4402" s="2"/>
      <c r="K4402" s="2" t="s">
        <v>12009</v>
      </c>
      <c r="L4402" s="12">
        <v>300.0</v>
      </c>
      <c r="M4402" s="2" t="s">
        <v>12010</v>
      </c>
      <c r="N4402" s="2" t="str">
        <f>IFERROR(__xludf.DUMMYFUNCTION("""COMPUTED_VALUE"""),"")</f>
        <v/>
      </c>
    </row>
    <row r="4403">
      <c r="A4403" s="2" t="s">
        <v>33</v>
      </c>
      <c r="B4403" s="12">
        <v>4232699.0</v>
      </c>
      <c r="C4403" s="12">
        <v>4233298.0</v>
      </c>
      <c r="D4403" s="2"/>
      <c r="E4403" s="2" t="s">
        <v>34</v>
      </c>
      <c r="F4403" s="2" t="s">
        <v>12011</v>
      </c>
      <c r="G4403" s="2" t="s">
        <v>12012</v>
      </c>
      <c r="H4403" s="12">
        <v>0.0</v>
      </c>
      <c r="I4403" s="2" t="s">
        <v>40</v>
      </c>
      <c r="J4403" s="2"/>
      <c r="K4403" s="2" t="s">
        <v>12013</v>
      </c>
      <c r="L4403" s="12">
        <v>199.0</v>
      </c>
      <c r="M4403" s="2" t="s">
        <v>12014</v>
      </c>
      <c r="N4403" s="2" t="str">
        <f>IFERROR(__xludf.DUMMYFUNCTION("""COMPUTED_VALUE"""),"")</f>
        <v/>
      </c>
    </row>
    <row r="4404">
      <c r="A4404" s="2" t="s">
        <v>33</v>
      </c>
      <c r="B4404" s="12">
        <v>4233449.0</v>
      </c>
      <c r="C4404" s="12">
        <v>4234495.0</v>
      </c>
      <c r="D4404" s="2"/>
      <c r="E4404" s="2" t="s">
        <v>34</v>
      </c>
      <c r="F4404" s="2" t="s">
        <v>704</v>
      </c>
      <c r="G4404" s="2" t="s">
        <v>12015</v>
      </c>
      <c r="H4404" s="12">
        <v>0.0</v>
      </c>
      <c r="I4404" s="2" t="s">
        <v>40</v>
      </c>
      <c r="J4404" s="2"/>
      <c r="K4404" s="2" t="s">
        <v>12016</v>
      </c>
      <c r="L4404" s="12">
        <v>348.0</v>
      </c>
      <c r="M4404" s="2" t="s">
        <v>12017</v>
      </c>
      <c r="N4404" s="2" t="str">
        <f>IFERROR(__xludf.DUMMYFUNCTION("""COMPUTED_VALUE"""),"")</f>
        <v/>
      </c>
    </row>
    <row r="4405">
      <c r="A4405" s="2" t="s">
        <v>33</v>
      </c>
      <c r="B4405" s="12">
        <v>4234519.0</v>
      </c>
      <c r="C4405" s="12">
        <v>4235751.0</v>
      </c>
      <c r="D4405" s="2"/>
      <c r="E4405" s="2" t="s">
        <v>34</v>
      </c>
      <c r="F4405" s="2" t="s">
        <v>2387</v>
      </c>
      <c r="G4405" s="2" t="s">
        <v>12018</v>
      </c>
      <c r="H4405" s="12">
        <v>0.0</v>
      </c>
      <c r="I4405" s="2" t="s">
        <v>40</v>
      </c>
      <c r="J4405" s="2"/>
      <c r="K4405" s="2" t="s">
        <v>12019</v>
      </c>
      <c r="L4405" s="12">
        <v>410.0</v>
      </c>
      <c r="M4405" s="2" t="s">
        <v>12020</v>
      </c>
      <c r="N4405" s="2" t="str">
        <f>IFERROR(__xludf.DUMMYFUNCTION("""COMPUTED_VALUE"""),"")</f>
        <v/>
      </c>
    </row>
    <row r="4406">
      <c r="A4406" s="2" t="s">
        <v>33</v>
      </c>
      <c r="B4406" s="12">
        <v>4235763.0</v>
      </c>
      <c r="C4406" s="12">
        <v>4236641.0</v>
      </c>
      <c r="D4406" s="2"/>
      <c r="E4406" s="2" t="s">
        <v>34</v>
      </c>
      <c r="F4406" s="2" t="s">
        <v>12021</v>
      </c>
      <c r="G4406" s="2" t="s">
        <v>12022</v>
      </c>
      <c r="H4406" s="12">
        <v>0.0</v>
      </c>
      <c r="I4406" s="2" t="s">
        <v>40</v>
      </c>
      <c r="J4406" s="2"/>
      <c r="K4406" s="2" t="s">
        <v>12023</v>
      </c>
      <c r="L4406" s="12">
        <v>292.0</v>
      </c>
      <c r="M4406" s="2" t="s">
        <v>12024</v>
      </c>
      <c r="N4406" s="2" t="str">
        <f>IFERROR(__xludf.DUMMYFUNCTION("""COMPUTED_VALUE"""),"")</f>
        <v/>
      </c>
    </row>
    <row r="4407">
      <c r="A4407" s="2" t="s">
        <v>33</v>
      </c>
      <c r="B4407" s="12">
        <v>4237378.0</v>
      </c>
      <c r="C4407" s="12">
        <v>4239048.0</v>
      </c>
      <c r="D4407" s="2"/>
      <c r="E4407" s="2" t="s">
        <v>34</v>
      </c>
      <c r="F4407" s="2" t="s">
        <v>2769</v>
      </c>
      <c r="G4407" s="2"/>
      <c r="H4407" s="12">
        <v>0.0</v>
      </c>
      <c r="I4407" s="2" t="s">
        <v>40</v>
      </c>
      <c r="J4407" s="2"/>
      <c r="K4407" s="2" t="s">
        <v>12025</v>
      </c>
      <c r="L4407" s="12">
        <v>556.0</v>
      </c>
      <c r="M4407" s="2" t="s">
        <v>12026</v>
      </c>
      <c r="N4407" s="2" t="str">
        <f>IFERROR(__xludf.DUMMYFUNCTION("""COMPUTED_VALUE"""),"")</f>
        <v/>
      </c>
    </row>
    <row r="4408">
      <c r="A4408" s="2" t="s">
        <v>33</v>
      </c>
      <c r="B4408" s="12">
        <v>4239150.0</v>
      </c>
      <c r="C4408" s="12">
        <v>4239899.0</v>
      </c>
      <c r="D4408" s="2"/>
      <c r="E4408" s="2" t="s">
        <v>34</v>
      </c>
      <c r="F4408" s="2" t="s">
        <v>12027</v>
      </c>
      <c r="G4408" s="2" t="s">
        <v>12028</v>
      </c>
      <c r="H4408" s="12">
        <v>0.0</v>
      </c>
      <c r="I4408" s="2" t="s">
        <v>40</v>
      </c>
      <c r="J4408" s="2"/>
      <c r="K4408" s="2" t="s">
        <v>12029</v>
      </c>
      <c r="L4408" s="12">
        <v>249.0</v>
      </c>
      <c r="M4408" s="2" t="s">
        <v>12030</v>
      </c>
      <c r="N4408" s="2" t="str">
        <f>IFERROR(__xludf.DUMMYFUNCTION("""COMPUTED_VALUE"""),"")</f>
        <v/>
      </c>
    </row>
    <row r="4409">
      <c r="A4409" s="2" t="s">
        <v>33</v>
      </c>
      <c r="B4409" s="12">
        <v>4239896.0</v>
      </c>
      <c r="C4409" s="12">
        <v>4240099.0</v>
      </c>
      <c r="D4409" s="2"/>
      <c r="E4409" s="2" t="s">
        <v>34</v>
      </c>
      <c r="F4409" s="2" t="s">
        <v>12031</v>
      </c>
      <c r="G4409" s="2"/>
      <c r="H4409" s="12">
        <v>0.0</v>
      </c>
      <c r="I4409" s="2" t="s">
        <v>40</v>
      </c>
      <c r="J4409" s="2"/>
      <c r="K4409" s="2" t="s">
        <v>12032</v>
      </c>
      <c r="L4409" s="12">
        <v>67.0</v>
      </c>
      <c r="M4409" s="2" t="s">
        <v>12033</v>
      </c>
      <c r="N4409" s="2" t="str">
        <f>IFERROR(__xludf.DUMMYFUNCTION("""COMPUTED_VALUE"""),"")</f>
        <v/>
      </c>
    </row>
    <row r="4410">
      <c r="A4410" s="2" t="s">
        <v>33</v>
      </c>
      <c r="B4410" s="12">
        <v>4240312.0</v>
      </c>
      <c r="C4410" s="12">
        <v>4242693.0</v>
      </c>
      <c r="D4410" s="2"/>
      <c r="E4410" s="2" t="s">
        <v>34</v>
      </c>
      <c r="F4410" s="2" t="s">
        <v>9320</v>
      </c>
      <c r="G4410" s="2"/>
      <c r="H4410" s="12">
        <v>0.0</v>
      </c>
      <c r="I4410" s="2" t="s">
        <v>40</v>
      </c>
      <c r="J4410" s="2"/>
      <c r="K4410" s="2" t="s">
        <v>12034</v>
      </c>
      <c r="L4410" s="12">
        <v>793.0</v>
      </c>
      <c r="M4410" s="2" t="s">
        <v>12035</v>
      </c>
      <c r="N4410" s="2" t="str">
        <f>IFERROR(__xludf.DUMMYFUNCTION("""COMPUTED_VALUE"""),"")</f>
        <v/>
      </c>
    </row>
    <row r="4411">
      <c r="A4411" s="2" t="s">
        <v>33</v>
      </c>
      <c r="B4411" s="12">
        <v>4243231.0</v>
      </c>
      <c r="C4411" s="12">
        <v>4243956.0</v>
      </c>
      <c r="D4411" s="2"/>
      <c r="E4411" s="2" t="s">
        <v>34</v>
      </c>
      <c r="F4411" s="2" t="s">
        <v>2509</v>
      </c>
      <c r="G4411" s="2"/>
      <c r="H4411" s="12">
        <v>0.0</v>
      </c>
      <c r="I4411" s="2" t="s">
        <v>40</v>
      </c>
      <c r="J4411" s="2"/>
      <c r="K4411" s="2" t="s">
        <v>12036</v>
      </c>
      <c r="L4411" s="12">
        <v>241.0</v>
      </c>
      <c r="M4411" s="2" t="s">
        <v>12037</v>
      </c>
      <c r="N4411" s="2" t="str">
        <f>IFERROR(__xludf.DUMMYFUNCTION("""COMPUTED_VALUE"""),"")</f>
        <v/>
      </c>
    </row>
    <row r="4412">
      <c r="A4412" s="2" t="s">
        <v>33</v>
      </c>
      <c r="B4412" s="12">
        <v>4244049.0</v>
      </c>
      <c r="C4412" s="12">
        <v>4245134.0</v>
      </c>
      <c r="D4412" s="2"/>
      <c r="E4412" s="2" t="s">
        <v>34</v>
      </c>
      <c r="F4412" s="2" t="s">
        <v>12038</v>
      </c>
      <c r="G4412" s="2"/>
      <c r="H4412" s="12">
        <v>0.0</v>
      </c>
      <c r="I4412" s="2" t="s">
        <v>40</v>
      </c>
      <c r="J4412" s="2"/>
      <c r="K4412" s="2" t="s">
        <v>12039</v>
      </c>
      <c r="L4412" s="12">
        <v>361.0</v>
      </c>
      <c r="M4412" s="2" t="s">
        <v>12040</v>
      </c>
      <c r="N4412" s="2" t="str">
        <f>IFERROR(__xludf.DUMMYFUNCTION("""COMPUTED_VALUE"""),"")</f>
        <v/>
      </c>
    </row>
    <row r="4413">
      <c r="A4413" s="2" t="s">
        <v>33</v>
      </c>
      <c r="B4413" s="12">
        <v>4245252.0</v>
      </c>
      <c r="C4413" s="12">
        <v>4246784.0</v>
      </c>
      <c r="D4413" s="2"/>
      <c r="E4413" s="2" t="s">
        <v>34</v>
      </c>
      <c r="F4413" s="2" t="s">
        <v>432</v>
      </c>
      <c r="G4413" s="2"/>
      <c r="H4413" s="12">
        <v>0.0</v>
      </c>
      <c r="I4413" s="2" t="s">
        <v>40</v>
      </c>
      <c r="J4413" s="2"/>
      <c r="K4413" s="2" t="s">
        <v>12041</v>
      </c>
      <c r="L4413" s="12">
        <v>510.0</v>
      </c>
      <c r="M4413" s="2" t="s">
        <v>12042</v>
      </c>
      <c r="N4413" s="2" t="str">
        <f>IFERROR(__xludf.DUMMYFUNCTION("""COMPUTED_VALUE"""),"")</f>
        <v/>
      </c>
    </row>
    <row r="4414">
      <c r="A4414" s="2" t="s">
        <v>33</v>
      </c>
      <c r="B4414" s="12">
        <v>4246777.0</v>
      </c>
      <c r="C4414" s="12">
        <v>4247835.0</v>
      </c>
      <c r="D4414" s="2"/>
      <c r="E4414" s="2" t="s">
        <v>34</v>
      </c>
      <c r="F4414" s="2" t="s">
        <v>265</v>
      </c>
      <c r="G4414" s="2"/>
      <c r="H4414" s="12">
        <v>0.0</v>
      </c>
      <c r="I4414" s="2" t="s">
        <v>40</v>
      </c>
      <c r="J4414" s="2"/>
      <c r="K4414" s="2" t="s">
        <v>12043</v>
      </c>
      <c r="L4414" s="12">
        <v>352.0</v>
      </c>
      <c r="M4414" s="2" t="s">
        <v>12044</v>
      </c>
      <c r="N4414" s="2" t="str">
        <f>IFERROR(__xludf.DUMMYFUNCTION("""COMPUTED_VALUE"""),"")</f>
        <v/>
      </c>
    </row>
    <row r="4415">
      <c r="A4415" s="2" t="s">
        <v>33</v>
      </c>
      <c r="B4415" s="12">
        <v>4247836.0</v>
      </c>
      <c r="C4415" s="12">
        <v>4248795.0</v>
      </c>
      <c r="D4415" s="2"/>
      <c r="E4415" s="2" t="s">
        <v>34</v>
      </c>
      <c r="F4415" s="2" t="s">
        <v>265</v>
      </c>
      <c r="G4415" s="2"/>
      <c r="H4415" s="12">
        <v>0.0</v>
      </c>
      <c r="I4415" s="2" t="s">
        <v>40</v>
      </c>
      <c r="J4415" s="2"/>
      <c r="K4415" s="2" t="s">
        <v>12045</v>
      </c>
      <c r="L4415" s="12">
        <v>319.0</v>
      </c>
      <c r="M4415" s="2" t="s">
        <v>12046</v>
      </c>
      <c r="N4415" s="2" t="str">
        <f>IFERROR(__xludf.DUMMYFUNCTION("""COMPUTED_VALUE"""),"")</f>
        <v/>
      </c>
    </row>
    <row r="4416">
      <c r="A4416" s="2" t="s">
        <v>33</v>
      </c>
      <c r="B4416" s="12">
        <v>4249005.0</v>
      </c>
      <c r="C4416" s="12">
        <v>4250279.0</v>
      </c>
      <c r="D4416" s="2"/>
      <c r="E4416" s="2" t="s">
        <v>34</v>
      </c>
      <c r="F4416" s="2" t="s">
        <v>12047</v>
      </c>
      <c r="G4416" s="2" t="s">
        <v>12048</v>
      </c>
      <c r="H4416" s="12">
        <v>0.0</v>
      </c>
      <c r="I4416" s="2" t="s">
        <v>40</v>
      </c>
      <c r="J4416" s="2"/>
      <c r="K4416" s="2" t="s">
        <v>12049</v>
      </c>
      <c r="L4416" s="12">
        <v>424.0</v>
      </c>
      <c r="M4416" s="2" t="s">
        <v>12050</v>
      </c>
      <c r="N4416" s="2" t="str">
        <f>IFERROR(__xludf.DUMMYFUNCTION("""COMPUTED_VALUE"""),"")</f>
        <v/>
      </c>
    </row>
    <row r="4417">
      <c r="A4417" s="2" t="s">
        <v>33</v>
      </c>
      <c r="B4417" s="12">
        <v>4250280.0</v>
      </c>
      <c r="C4417" s="12">
        <v>4251566.0</v>
      </c>
      <c r="D4417" s="2"/>
      <c r="E4417" s="2" t="s">
        <v>34</v>
      </c>
      <c r="F4417" s="2" t="s">
        <v>12051</v>
      </c>
      <c r="G4417" s="2" t="s">
        <v>12052</v>
      </c>
      <c r="H4417" s="12">
        <v>0.0</v>
      </c>
      <c r="I4417" s="2" t="s">
        <v>40</v>
      </c>
      <c r="J4417" s="2"/>
      <c r="K4417" s="2" t="s">
        <v>12053</v>
      </c>
      <c r="L4417" s="12">
        <v>428.0</v>
      </c>
      <c r="M4417" s="2" t="s">
        <v>12054</v>
      </c>
      <c r="N4417" s="2" t="str">
        <f>IFERROR(__xludf.DUMMYFUNCTION("""COMPUTED_VALUE"""),"")</f>
        <v/>
      </c>
    </row>
    <row r="4418">
      <c r="A4418" s="2" t="s">
        <v>33</v>
      </c>
      <c r="B4418" s="12">
        <v>4251667.0</v>
      </c>
      <c r="C4418" s="12">
        <v>4252380.0</v>
      </c>
      <c r="D4418" s="2"/>
      <c r="E4418" s="2" t="s">
        <v>34</v>
      </c>
      <c r="F4418" s="2" t="s">
        <v>12055</v>
      </c>
      <c r="G4418" s="2" t="s">
        <v>12056</v>
      </c>
      <c r="H4418" s="12">
        <v>0.0</v>
      </c>
      <c r="I4418" s="2" t="s">
        <v>40</v>
      </c>
      <c r="J4418" s="2"/>
      <c r="K4418" s="2" t="s">
        <v>12057</v>
      </c>
      <c r="L4418" s="12">
        <v>237.0</v>
      </c>
      <c r="M4418" s="2" t="s">
        <v>12058</v>
      </c>
      <c r="N4418" s="2" t="str">
        <f>IFERROR(__xludf.DUMMYFUNCTION("""COMPUTED_VALUE"""),"")</f>
        <v/>
      </c>
    </row>
    <row r="4419">
      <c r="A4419" s="2" t="s">
        <v>33</v>
      </c>
      <c r="B4419" s="12">
        <v>4252456.0</v>
      </c>
      <c r="C4419" s="12">
        <v>4252704.0</v>
      </c>
      <c r="D4419" s="2"/>
      <c r="E4419" s="2" t="s">
        <v>34</v>
      </c>
      <c r="F4419" s="2" t="s">
        <v>12059</v>
      </c>
      <c r="G4419" s="2"/>
      <c r="H4419" s="12">
        <v>0.0</v>
      </c>
      <c r="I4419" s="2" t="s">
        <v>40</v>
      </c>
      <c r="J4419" s="2"/>
      <c r="K4419" s="2" t="s">
        <v>12060</v>
      </c>
      <c r="L4419" s="12">
        <v>82.0</v>
      </c>
      <c r="M4419" s="2" t="s">
        <v>12061</v>
      </c>
      <c r="N4419" s="2" t="str">
        <f>IFERROR(__xludf.DUMMYFUNCTION("""COMPUTED_VALUE"""),"")</f>
        <v/>
      </c>
    </row>
    <row r="4420">
      <c r="A4420" s="2" t="s">
        <v>33</v>
      </c>
      <c r="B4420" s="12">
        <v>4252843.0</v>
      </c>
      <c r="C4420" s="12">
        <v>4253628.0</v>
      </c>
      <c r="D4420" s="2"/>
      <c r="E4420" s="2" t="s">
        <v>34</v>
      </c>
      <c r="F4420" s="2" t="s">
        <v>12062</v>
      </c>
      <c r="G4420" s="2"/>
      <c r="H4420" s="12">
        <v>0.0</v>
      </c>
      <c r="I4420" s="2" t="s">
        <v>40</v>
      </c>
      <c r="J4420" s="2"/>
      <c r="K4420" s="2" t="s">
        <v>12063</v>
      </c>
      <c r="L4420" s="12">
        <v>261.0</v>
      </c>
      <c r="M4420" s="2" t="s">
        <v>12064</v>
      </c>
      <c r="N4420" s="2" t="str">
        <f>IFERROR(__xludf.DUMMYFUNCTION("""COMPUTED_VALUE"""),"")</f>
        <v/>
      </c>
    </row>
    <row r="4421">
      <c r="A4421" s="2" t="s">
        <v>33</v>
      </c>
      <c r="B4421" s="12">
        <v>4253650.0</v>
      </c>
      <c r="C4421" s="12">
        <v>4254561.0</v>
      </c>
      <c r="D4421" s="2"/>
      <c r="E4421" s="2" t="s">
        <v>34</v>
      </c>
      <c r="F4421" s="2" t="s">
        <v>12065</v>
      </c>
      <c r="G4421" s="2"/>
      <c r="H4421" s="12">
        <v>0.0</v>
      </c>
      <c r="I4421" s="2" t="s">
        <v>40</v>
      </c>
      <c r="J4421" s="2"/>
      <c r="K4421" s="2" t="s">
        <v>12066</v>
      </c>
      <c r="L4421" s="12">
        <v>303.0</v>
      </c>
      <c r="M4421" s="2" t="s">
        <v>12067</v>
      </c>
      <c r="N4421" s="2" t="str">
        <f>IFERROR(__xludf.DUMMYFUNCTION("""COMPUTED_VALUE"""),"")</f>
        <v/>
      </c>
    </row>
    <row r="4422">
      <c r="A4422" s="2" t="s">
        <v>33</v>
      </c>
      <c r="B4422" s="12">
        <v>4254626.0</v>
      </c>
      <c r="C4422" s="12">
        <v>4255204.0</v>
      </c>
      <c r="D4422" s="2"/>
      <c r="E4422" s="2" t="s">
        <v>34</v>
      </c>
      <c r="F4422" s="2" t="s">
        <v>12068</v>
      </c>
      <c r="G4422" s="2" t="s">
        <v>12069</v>
      </c>
      <c r="H4422" s="12">
        <v>0.0</v>
      </c>
      <c r="I4422" s="2" t="s">
        <v>40</v>
      </c>
      <c r="J4422" s="2"/>
      <c r="K4422" s="2" t="s">
        <v>12070</v>
      </c>
      <c r="L4422" s="12">
        <v>192.0</v>
      </c>
      <c r="M4422" s="2" t="s">
        <v>12071</v>
      </c>
      <c r="N4422" s="2" t="str">
        <f>IFERROR(__xludf.DUMMYFUNCTION("""COMPUTED_VALUE"""),"")</f>
        <v/>
      </c>
    </row>
    <row r="4423">
      <c r="A4423" s="2" t="s">
        <v>33</v>
      </c>
      <c r="B4423" s="12">
        <v>4255225.0</v>
      </c>
      <c r="C4423" s="12">
        <v>4256463.0</v>
      </c>
      <c r="D4423" s="2"/>
      <c r="E4423" s="2" t="s">
        <v>34</v>
      </c>
      <c r="F4423" s="2" t="s">
        <v>12072</v>
      </c>
      <c r="G4423" s="2" t="s">
        <v>12073</v>
      </c>
      <c r="H4423" s="12">
        <v>0.0</v>
      </c>
      <c r="I4423" s="2" t="s">
        <v>40</v>
      </c>
      <c r="J4423" s="2"/>
      <c r="K4423" s="2" t="s">
        <v>12074</v>
      </c>
      <c r="L4423" s="12">
        <v>412.0</v>
      </c>
      <c r="M4423" s="2" t="s">
        <v>12075</v>
      </c>
      <c r="N4423" s="2" t="str">
        <f>IFERROR(__xludf.DUMMYFUNCTION("""COMPUTED_VALUE"""),"")</f>
        <v/>
      </c>
    </row>
    <row r="4424">
      <c r="A4424" s="2" t="s">
        <v>33</v>
      </c>
      <c r="B4424" s="12">
        <v>4256607.0</v>
      </c>
      <c r="C4424" s="12">
        <v>4257638.0</v>
      </c>
      <c r="D4424" s="2"/>
      <c r="E4424" s="2" t="s">
        <v>34</v>
      </c>
      <c r="F4424" s="2" t="s">
        <v>12076</v>
      </c>
      <c r="G4424" s="2" t="s">
        <v>12077</v>
      </c>
      <c r="H4424" s="12">
        <v>0.0</v>
      </c>
      <c r="I4424" s="2" t="s">
        <v>40</v>
      </c>
      <c r="J4424" s="2"/>
      <c r="K4424" s="2" t="s">
        <v>12078</v>
      </c>
      <c r="L4424" s="12">
        <v>343.0</v>
      </c>
      <c r="M4424" s="2" t="s">
        <v>12079</v>
      </c>
      <c r="N4424" s="2" t="str">
        <f>IFERROR(__xludf.DUMMYFUNCTION("""COMPUTED_VALUE"""),"")</f>
        <v/>
      </c>
    </row>
    <row r="4425">
      <c r="A4425" s="2" t="s">
        <v>33</v>
      </c>
      <c r="B4425" s="12">
        <v>4258121.0</v>
      </c>
      <c r="C4425" s="12">
        <v>4259683.0</v>
      </c>
      <c r="D4425" s="2"/>
      <c r="E4425" s="2" t="s">
        <v>34</v>
      </c>
      <c r="F4425" s="2" t="s">
        <v>12080</v>
      </c>
      <c r="G4425" s="2" t="s">
        <v>12081</v>
      </c>
      <c r="H4425" s="12">
        <v>0.0</v>
      </c>
      <c r="I4425" s="2" t="s">
        <v>40</v>
      </c>
      <c r="J4425" s="2"/>
      <c r="K4425" s="2" t="s">
        <v>12082</v>
      </c>
      <c r="L4425" s="12">
        <v>520.0</v>
      </c>
      <c r="M4425" s="2" t="s">
        <v>12083</v>
      </c>
      <c r="N4425" s="2" t="str">
        <f>IFERROR(__xludf.DUMMYFUNCTION("""COMPUTED_VALUE"""),"")</f>
        <v/>
      </c>
    </row>
    <row r="4426">
      <c r="A4426" s="2" t="s">
        <v>33</v>
      </c>
      <c r="B4426" s="12">
        <v>4259846.0</v>
      </c>
      <c r="C4426" s="12">
        <v>4260640.0</v>
      </c>
      <c r="D4426" s="2"/>
      <c r="E4426" s="2" t="s">
        <v>34</v>
      </c>
      <c r="F4426" s="2" t="s">
        <v>12084</v>
      </c>
      <c r="G4426" s="2"/>
      <c r="H4426" s="12">
        <v>0.0</v>
      </c>
      <c r="I4426" s="2" t="s">
        <v>40</v>
      </c>
      <c r="J4426" s="2"/>
      <c r="K4426" s="2" t="s">
        <v>12085</v>
      </c>
      <c r="L4426" s="12">
        <v>264.0</v>
      </c>
      <c r="M4426" s="2" t="s">
        <v>12086</v>
      </c>
      <c r="N4426" s="2" t="str">
        <f>IFERROR(__xludf.DUMMYFUNCTION("""COMPUTED_VALUE"""),"")</f>
        <v/>
      </c>
    </row>
    <row r="4427">
      <c r="A4427" s="2" t="s">
        <v>33</v>
      </c>
      <c r="B4427" s="12">
        <v>4260790.0</v>
      </c>
      <c r="C4427" s="12">
        <v>4261050.0</v>
      </c>
      <c r="D4427" s="2"/>
      <c r="E4427" s="2" t="s">
        <v>34</v>
      </c>
      <c r="F4427" s="2" t="s">
        <v>12087</v>
      </c>
      <c r="G4427" s="2" t="s">
        <v>12088</v>
      </c>
      <c r="H4427" s="12">
        <v>0.0</v>
      </c>
      <c r="I4427" s="2" t="s">
        <v>40</v>
      </c>
      <c r="J4427" s="2"/>
      <c r="K4427" s="2" t="s">
        <v>12089</v>
      </c>
      <c r="L4427" s="12">
        <v>86.0</v>
      </c>
      <c r="M4427" s="2" t="s">
        <v>12090</v>
      </c>
      <c r="N4427" s="2" t="str">
        <f>IFERROR(__xludf.DUMMYFUNCTION("""COMPUTED_VALUE"""),"")</f>
        <v/>
      </c>
    </row>
    <row r="4428">
      <c r="A4428" s="2" t="s">
        <v>33</v>
      </c>
      <c r="B4428" s="12">
        <v>4261110.0</v>
      </c>
      <c r="C4428" s="12">
        <v>4262033.0</v>
      </c>
      <c r="D4428" s="2"/>
      <c r="E4428" s="2" t="s">
        <v>34</v>
      </c>
      <c r="F4428" s="2" t="s">
        <v>12091</v>
      </c>
      <c r="G4428" s="2"/>
      <c r="H4428" s="12">
        <v>0.0</v>
      </c>
      <c r="I4428" s="2" t="s">
        <v>40</v>
      </c>
      <c r="J4428" s="2"/>
      <c r="K4428" s="2" t="s">
        <v>12092</v>
      </c>
      <c r="L4428" s="12">
        <v>307.0</v>
      </c>
      <c r="M4428" s="2" t="s">
        <v>12093</v>
      </c>
      <c r="N4428" s="2" t="str">
        <f>IFERROR(__xludf.DUMMYFUNCTION("""COMPUTED_VALUE"""),"")</f>
        <v/>
      </c>
    </row>
    <row r="4429">
      <c r="A4429" s="2" t="s">
        <v>33</v>
      </c>
      <c r="B4429" s="12">
        <v>4262258.0</v>
      </c>
      <c r="C4429" s="12">
        <v>4264015.0</v>
      </c>
      <c r="D4429" s="2"/>
      <c r="E4429" s="2" t="s">
        <v>34</v>
      </c>
      <c r="F4429" s="2" t="s">
        <v>12094</v>
      </c>
      <c r="G4429" s="2"/>
      <c r="H4429" s="12">
        <v>0.0</v>
      </c>
      <c r="I4429" s="2" t="s">
        <v>40</v>
      </c>
      <c r="J4429" s="2"/>
      <c r="K4429" s="2" t="s">
        <v>12095</v>
      </c>
      <c r="L4429" s="12">
        <v>585.0</v>
      </c>
      <c r="M4429" s="2" t="s">
        <v>12096</v>
      </c>
      <c r="N4429" s="2" t="str">
        <f>IFERROR(__xludf.DUMMYFUNCTION("""COMPUTED_VALUE"""),"")</f>
        <v/>
      </c>
    </row>
    <row r="4430">
      <c r="A4430" s="2" t="s">
        <v>33</v>
      </c>
      <c r="B4430" s="12">
        <v>4264002.0</v>
      </c>
      <c r="C4430" s="12">
        <v>4264868.0</v>
      </c>
      <c r="D4430" s="2"/>
      <c r="E4430" s="2" t="s">
        <v>34</v>
      </c>
      <c r="F4430" s="2" t="s">
        <v>12097</v>
      </c>
      <c r="G4430" s="2"/>
      <c r="H4430" s="12">
        <v>0.0</v>
      </c>
      <c r="I4430" s="2" t="s">
        <v>40</v>
      </c>
      <c r="J4430" s="2"/>
      <c r="K4430" s="2" t="s">
        <v>12098</v>
      </c>
      <c r="L4430" s="12">
        <v>288.0</v>
      </c>
      <c r="M4430" s="2" t="s">
        <v>12099</v>
      </c>
      <c r="N4430" s="2" t="str">
        <f>IFERROR(__xludf.DUMMYFUNCTION("""COMPUTED_VALUE"""),"")</f>
        <v/>
      </c>
    </row>
    <row r="4431">
      <c r="A4431" s="2" t="s">
        <v>33</v>
      </c>
      <c r="B4431" s="12">
        <v>4265299.0</v>
      </c>
      <c r="C4431" s="12">
        <v>4266828.0</v>
      </c>
      <c r="D4431" s="2"/>
      <c r="E4431" s="2" t="s">
        <v>34</v>
      </c>
      <c r="F4431" s="2" t="s">
        <v>12100</v>
      </c>
      <c r="G4431" s="2" t="s">
        <v>12101</v>
      </c>
      <c r="H4431" s="12">
        <v>0.0</v>
      </c>
      <c r="I4431" s="2" t="s">
        <v>40</v>
      </c>
      <c r="J4431" s="2"/>
      <c r="K4431" s="2" t="s">
        <v>12102</v>
      </c>
      <c r="L4431" s="12">
        <v>509.0</v>
      </c>
      <c r="M4431" s="2" t="s">
        <v>12103</v>
      </c>
      <c r="N4431" s="2" t="str">
        <f>IFERROR(__xludf.DUMMYFUNCTION("""COMPUTED_VALUE"""),"")</f>
        <v/>
      </c>
    </row>
    <row r="4432">
      <c r="A4432" s="2" t="s">
        <v>33</v>
      </c>
      <c r="B4432" s="12">
        <v>4266832.0</v>
      </c>
      <c r="C4432" s="12">
        <v>4267263.0</v>
      </c>
      <c r="D4432" s="2"/>
      <c r="E4432" s="2" t="s">
        <v>34</v>
      </c>
      <c r="F4432" s="2" t="s">
        <v>12104</v>
      </c>
      <c r="G4432" s="2"/>
      <c r="H4432" s="12">
        <v>0.0</v>
      </c>
      <c r="I4432" s="2" t="s">
        <v>40</v>
      </c>
      <c r="J4432" s="2"/>
      <c r="K4432" s="2" t="s">
        <v>12105</v>
      </c>
      <c r="L4432" s="12">
        <v>143.0</v>
      </c>
      <c r="M4432" s="2" t="s">
        <v>12106</v>
      </c>
      <c r="N4432" s="2" t="str">
        <f>IFERROR(__xludf.DUMMYFUNCTION("""COMPUTED_VALUE"""),"")</f>
        <v/>
      </c>
    </row>
    <row r="4433">
      <c r="A4433" s="2" t="s">
        <v>33</v>
      </c>
      <c r="B4433" s="12">
        <v>4267389.0</v>
      </c>
      <c r="C4433" s="12">
        <v>4267931.0</v>
      </c>
      <c r="D4433" s="2"/>
      <c r="E4433" s="2" t="s">
        <v>34</v>
      </c>
      <c r="F4433" s="2" t="s">
        <v>12107</v>
      </c>
      <c r="G4433" s="2" t="s">
        <v>12108</v>
      </c>
      <c r="H4433" s="12">
        <v>0.0</v>
      </c>
      <c r="I4433" s="2" t="s">
        <v>40</v>
      </c>
      <c r="J4433" s="2"/>
      <c r="K4433" s="2" t="s">
        <v>12109</v>
      </c>
      <c r="L4433" s="12">
        <v>180.0</v>
      </c>
      <c r="M4433" s="2" t="s">
        <v>12110</v>
      </c>
      <c r="N4433" s="2" t="str">
        <f>IFERROR(__xludf.DUMMYFUNCTION("""COMPUTED_VALUE"""),"")</f>
        <v/>
      </c>
    </row>
    <row r="4434">
      <c r="A4434" s="2" t="s">
        <v>33</v>
      </c>
      <c r="B4434" s="12">
        <v>4268112.0</v>
      </c>
      <c r="C4434" s="12">
        <v>4270784.0</v>
      </c>
      <c r="D4434" s="2"/>
      <c r="E4434" s="2" t="s">
        <v>34</v>
      </c>
      <c r="F4434" s="2" t="s">
        <v>12111</v>
      </c>
      <c r="G4434" s="2" t="s">
        <v>12112</v>
      </c>
      <c r="H4434" s="12">
        <v>0.0</v>
      </c>
      <c r="I4434" s="2" t="s">
        <v>40</v>
      </c>
      <c r="J4434" s="2"/>
      <c r="K4434" s="2" t="s">
        <v>12113</v>
      </c>
      <c r="L4434" s="12">
        <v>890.0</v>
      </c>
      <c r="M4434" s="2" t="s">
        <v>12114</v>
      </c>
      <c r="N4434" s="2" t="str">
        <f>IFERROR(__xludf.DUMMYFUNCTION("""COMPUTED_VALUE"""),"")</f>
        <v/>
      </c>
    </row>
    <row r="4435">
      <c r="A4435" s="2" t="s">
        <v>33</v>
      </c>
      <c r="B4435" s="12">
        <v>4270793.0</v>
      </c>
      <c r="C4435" s="12">
        <v>4272736.0</v>
      </c>
      <c r="D4435" s="2"/>
      <c r="E4435" s="2" t="s">
        <v>34</v>
      </c>
      <c r="F4435" s="2" t="s">
        <v>12115</v>
      </c>
      <c r="G4435" s="2" t="s">
        <v>12116</v>
      </c>
      <c r="H4435" s="12">
        <v>0.0</v>
      </c>
      <c r="I4435" s="2" t="s">
        <v>40</v>
      </c>
      <c r="J4435" s="2"/>
      <c r="K4435" s="2" t="s">
        <v>12117</v>
      </c>
      <c r="L4435" s="12">
        <v>647.0</v>
      </c>
      <c r="M4435" s="2" t="s">
        <v>12118</v>
      </c>
      <c r="N4435" s="2" t="str">
        <f>IFERROR(__xludf.DUMMYFUNCTION("""COMPUTED_VALUE"""),"")</f>
        <v/>
      </c>
    </row>
    <row r="4436">
      <c r="A4436" s="2" t="s">
        <v>33</v>
      </c>
      <c r="B4436" s="12">
        <v>4273000.0</v>
      </c>
      <c r="C4436" s="12">
        <v>4273185.0</v>
      </c>
      <c r="D4436" s="2"/>
      <c r="E4436" s="2" t="s">
        <v>38</v>
      </c>
      <c r="F4436" s="2" t="s">
        <v>39</v>
      </c>
      <c r="G4436" s="2"/>
      <c r="H4436" s="12">
        <v>0.0</v>
      </c>
      <c r="I4436" s="2" t="s">
        <v>40</v>
      </c>
      <c r="J4436" s="2"/>
      <c r="K4436" s="2" t="s">
        <v>12119</v>
      </c>
      <c r="L4436" s="12">
        <v>61.0</v>
      </c>
      <c r="M4436" s="2" t="s">
        <v>12120</v>
      </c>
      <c r="N4436" s="2" t="str">
        <f>IFERROR(__xludf.DUMMYFUNCTION("""COMPUTED_VALUE"""),"")</f>
        <v/>
      </c>
    </row>
    <row r="4437">
      <c r="A4437" s="2" t="s">
        <v>33</v>
      </c>
      <c r="B4437" s="12">
        <v>4273691.0</v>
      </c>
      <c r="C4437" s="12">
        <v>4276474.0</v>
      </c>
      <c r="D4437" s="2"/>
      <c r="E4437" s="2" t="s">
        <v>34</v>
      </c>
      <c r="F4437" s="2" t="s">
        <v>2889</v>
      </c>
      <c r="G4437" s="2"/>
      <c r="H4437" s="12">
        <v>0.0</v>
      </c>
      <c r="I4437" s="2" t="s">
        <v>40</v>
      </c>
      <c r="J4437" s="2"/>
      <c r="K4437" s="2" t="s">
        <v>12121</v>
      </c>
      <c r="L4437" s="12">
        <v>927.0</v>
      </c>
      <c r="M4437" s="2" t="s">
        <v>12122</v>
      </c>
      <c r="N4437" s="2" t="str">
        <f>IFERROR(__xludf.DUMMYFUNCTION("""COMPUTED_VALUE"""),"")</f>
        <v/>
      </c>
    </row>
    <row r="4438">
      <c r="A4438" s="2" t="s">
        <v>33</v>
      </c>
      <c r="B4438" s="12">
        <v>4276523.0</v>
      </c>
      <c r="C4438" s="12">
        <v>4278442.0</v>
      </c>
      <c r="D4438" s="2"/>
      <c r="E4438" s="2" t="s">
        <v>38</v>
      </c>
      <c r="F4438" s="2" t="s">
        <v>3365</v>
      </c>
      <c r="G4438" s="2"/>
      <c r="H4438" s="12">
        <v>0.0</v>
      </c>
      <c r="I4438" s="2" t="s">
        <v>40</v>
      </c>
      <c r="J4438" s="2"/>
      <c r="K4438" s="2" t="s">
        <v>12123</v>
      </c>
      <c r="L4438" s="12">
        <v>639.0</v>
      </c>
      <c r="M4438" s="2" t="s">
        <v>12124</v>
      </c>
      <c r="N4438" s="2" t="str">
        <f>IFERROR(__xludf.DUMMYFUNCTION("""COMPUTED_VALUE"""),"")</f>
        <v/>
      </c>
    </row>
    <row r="4439">
      <c r="A4439" s="2" t="s">
        <v>33</v>
      </c>
      <c r="B4439" s="12">
        <v>4278945.0</v>
      </c>
      <c r="C4439" s="12">
        <v>4280282.0</v>
      </c>
      <c r="D4439" s="2"/>
      <c r="E4439" s="2" t="s">
        <v>38</v>
      </c>
      <c r="F4439" s="2" t="s">
        <v>654</v>
      </c>
      <c r="G4439" s="2"/>
      <c r="H4439" s="12">
        <v>0.0</v>
      </c>
      <c r="I4439" s="2" t="s">
        <v>40</v>
      </c>
      <c r="J4439" s="2"/>
      <c r="K4439" s="2" t="s">
        <v>12125</v>
      </c>
      <c r="L4439" s="12">
        <v>445.0</v>
      </c>
      <c r="M4439" s="2" t="s">
        <v>12126</v>
      </c>
      <c r="N4439" s="2" t="str">
        <f>IFERROR(__xludf.DUMMYFUNCTION("""COMPUTED_VALUE"""),"")</f>
        <v/>
      </c>
    </row>
    <row r="4440">
      <c r="A4440" s="2" t="s">
        <v>33</v>
      </c>
      <c r="B4440" s="12">
        <v>4280548.0</v>
      </c>
      <c r="C4440" s="12">
        <v>4281345.0</v>
      </c>
      <c r="D4440" s="2"/>
      <c r="E4440" s="2" t="s">
        <v>38</v>
      </c>
      <c r="F4440" s="2" t="s">
        <v>276</v>
      </c>
      <c r="G4440" s="2"/>
      <c r="H4440" s="12">
        <v>0.0</v>
      </c>
      <c r="I4440" s="2" t="s">
        <v>40</v>
      </c>
      <c r="J4440" s="2"/>
      <c r="K4440" s="2" t="s">
        <v>12127</v>
      </c>
      <c r="L4440" s="12">
        <v>265.0</v>
      </c>
      <c r="M4440" s="2" t="s">
        <v>12128</v>
      </c>
      <c r="N4440" s="2" t="str">
        <f>IFERROR(__xludf.DUMMYFUNCTION("""COMPUTED_VALUE"""),"")</f>
        <v/>
      </c>
    </row>
    <row r="4441">
      <c r="A4441" s="2" t="s">
        <v>33</v>
      </c>
      <c r="B4441" s="12">
        <v>4281638.0</v>
      </c>
      <c r="C4441" s="12">
        <v>4283479.0</v>
      </c>
      <c r="D4441" s="2"/>
      <c r="E4441" s="2" t="s">
        <v>34</v>
      </c>
      <c r="F4441" s="2" t="s">
        <v>1000</v>
      </c>
      <c r="G4441" s="2"/>
      <c r="H4441" s="12">
        <v>0.0</v>
      </c>
      <c r="I4441" s="2" t="s">
        <v>40</v>
      </c>
      <c r="J4441" s="2"/>
      <c r="K4441" s="2" t="s">
        <v>12129</v>
      </c>
      <c r="L4441" s="12">
        <v>613.0</v>
      </c>
      <c r="M4441" s="2" t="s">
        <v>12130</v>
      </c>
      <c r="N4441" s="2" t="str">
        <f>IFERROR(__xludf.DUMMYFUNCTION("""COMPUTED_VALUE"""),"")</f>
        <v/>
      </c>
    </row>
    <row r="4442">
      <c r="A4442" s="2" t="s">
        <v>33</v>
      </c>
      <c r="B4442" s="12">
        <v>4283659.0</v>
      </c>
      <c r="C4442" s="12">
        <v>4284648.0</v>
      </c>
      <c r="D4442" s="2"/>
      <c r="E4442" s="2" t="s">
        <v>34</v>
      </c>
      <c r="F4442" s="2" t="s">
        <v>12131</v>
      </c>
      <c r="G4442" s="2" t="s">
        <v>12132</v>
      </c>
      <c r="H4442" s="12">
        <v>0.0</v>
      </c>
      <c r="I4442" s="2" t="s">
        <v>40</v>
      </c>
      <c r="J4442" s="2"/>
      <c r="K4442" s="2" t="s">
        <v>12133</v>
      </c>
      <c r="L4442" s="12">
        <v>329.0</v>
      </c>
      <c r="M4442" s="2" t="s">
        <v>12134</v>
      </c>
      <c r="N4442" s="2" t="str">
        <f>IFERROR(__xludf.DUMMYFUNCTION("""COMPUTED_VALUE"""),"")</f>
        <v/>
      </c>
    </row>
    <row r="4443">
      <c r="A4443" s="2" t="s">
        <v>33</v>
      </c>
      <c r="B4443" s="12">
        <v>4284841.0</v>
      </c>
      <c r="C4443" s="12">
        <v>4286250.0</v>
      </c>
      <c r="D4443" s="2"/>
      <c r="E4443" s="2" t="s">
        <v>34</v>
      </c>
      <c r="F4443" s="2" t="s">
        <v>12135</v>
      </c>
      <c r="G4443" s="2"/>
      <c r="H4443" s="12">
        <v>0.0</v>
      </c>
      <c r="I4443" s="2" t="s">
        <v>40</v>
      </c>
      <c r="J4443" s="2"/>
      <c r="K4443" s="2" t="s">
        <v>12136</v>
      </c>
      <c r="L4443" s="12">
        <v>469.0</v>
      </c>
      <c r="M4443" s="2" t="s">
        <v>12137</v>
      </c>
      <c r="N4443" s="2" t="str">
        <f>IFERROR(__xludf.DUMMYFUNCTION("""COMPUTED_VALUE"""),"")</f>
        <v/>
      </c>
    </row>
    <row r="4444">
      <c r="A4444" s="2" t="s">
        <v>33</v>
      </c>
      <c r="B4444" s="12">
        <v>4286281.0</v>
      </c>
      <c r="C4444" s="12">
        <v>4286988.0</v>
      </c>
      <c r="D4444" s="2"/>
      <c r="E4444" s="2" t="s">
        <v>34</v>
      </c>
      <c r="F4444" s="2" t="s">
        <v>2509</v>
      </c>
      <c r="G4444" s="2"/>
      <c r="H4444" s="12">
        <v>0.0</v>
      </c>
      <c r="I4444" s="2" t="s">
        <v>40</v>
      </c>
      <c r="J4444" s="2"/>
      <c r="K4444" s="2" t="s">
        <v>12138</v>
      </c>
      <c r="L4444" s="12">
        <v>235.0</v>
      </c>
      <c r="M4444" s="2" t="s">
        <v>12139</v>
      </c>
      <c r="N4444" s="2" t="str">
        <f>IFERROR(__xludf.DUMMYFUNCTION("""COMPUTED_VALUE"""),"")</f>
        <v/>
      </c>
    </row>
    <row r="4445">
      <c r="A4445" s="2" t="s">
        <v>33</v>
      </c>
      <c r="B4445" s="12">
        <v>4287208.0</v>
      </c>
      <c r="C4445" s="12">
        <v>4287399.0</v>
      </c>
      <c r="D4445" s="2"/>
      <c r="E4445" s="2" t="s">
        <v>34</v>
      </c>
      <c r="F4445" s="2" t="s">
        <v>39</v>
      </c>
      <c r="G4445" s="2"/>
      <c r="H4445" s="12">
        <v>0.0</v>
      </c>
      <c r="I4445" s="2" t="s">
        <v>40</v>
      </c>
      <c r="J4445" s="2"/>
      <c r="K4445" s="2" t="s">
        <v>12140</v>
      </c>
      <c r="L4445" s="12">
        <v>63.0</v>
      </c>
      <c r="M4445" s="2" t="s">
        <v>12141</v>
      </c>
      <c r="N4445" s="2" t="str">
        <f>IFERROR(__xludf.DUMMYFUNCTION("""COMPUTED_VALUE"""),"")</f>
        <v/>
      </c>
    </row>
    <row r="4446">
      <c r="A4446" s="2" t="s">
        <v>33</v>
      </c>
      <c r="B4446" s="12">
        <v>4287586.0</v>
      </c>
      <c r="C4446" s="12">
        <v>4289019.0</v>
      </c>
      <c r="D4446" s="2"/>
      <c r="E4446" s="2" t="s">
        <v>34</v>
      </c>
      <c r="F4446" s="2" t="s">
        <v>250</v>
      </c>
      <c r="G4446" s="2"/>
      <c r="H4446" s="12">
        <v>0.0</v>
      </c>
      <c r="I4446" s="2" t="s">
        <v>40</v>
      </c>
      <c r="J4446" s="2"/>
      <c r="K4446" s="2" t="s">
        <v>12142</v>
      </c>
      <c r="L4446" s="12">
        <v>477.0</v>
      </c>
      <c r="M4446" s="2" t="s">
        <v>12143</v>
      </c>
      <c r="N4446" s="2" t="str">
        <f>IFERROR(__xludf.DUMMYFUNCTION("""COMPUTED_VALUE"""),"")</f>
        <v/>
      </c>
    </row>
    <row r="4447">
      <c r="A4447" s="2" t="s">
        <v>33</v>
      </c>
      <c r="B4447" s="12">
        <v>4289053.0</v>
      </c>
      <c r="C4447" s="12">
        <v>4289409.0</v>
      </c>
      <c r="D4447" s="2"/>
      <c r="E4447" s="2" t="s">
        <v>34</v>
      </c>
      <c r="F4447" s="2" t="s">
        <v>8221</v>
      </c>
      <c r="G4447" s="2"/>
      <c r="H4447" s="12">
        <v>0.0</v>
      </c>
      <c r="I4447" s="2" t="s">
        <v>40</v>
      </c>
      <c r="J4447" s="2"/>
      <c r="K4447" s="2" t="s">
        <v>12144</v>
      </c>
      <c r="L4447" s="12">
        <v>118.0</v>
      </c>
      <c r="M4447" s="2" t="s">
        <v>12145</v>
      </c>
      <c r="N4447" s="2" t="str">
        <f>IFERROR(__xludf.DUMMYFUNCTION("""COMPUTED_VALUE"""),"")</f>
        <v/>
      </c>
    </row>
    <row r="4448">
      <c r="A4448" s="2" t="s">
        <v>33</v>
      </c>
      <c r="B4448" s="12">
        <v>4289433.0</v>
      </c>
      <c r="C4448" s="12">
        <v>4290104.0</v>
      </c>
      <c r="D4448" s="2"/>
      <c r="E4448" s="2" t="s">
        <v>34</v>
      </c>
      <c r="F4448" s="2" t="s">
        <v>8224</v>
      </c>
      <c r="G4448" s="2"/>
      <c r="H4448" s="12">
        <v>0.0</v>
      </c>
      <c r="I4448" s="2" t="s">
        <v>40</v>
      </c>
      <c r="J4448" s="2"/>
      <c r="K4448" s="2" t="s">
        <v>12146</v>
      </c>
      <c r="L4448" s="12">
        <v>223.0</v>
      </c>
      <c r="M4448" s="2" t="s">
        <v>12147</v>
      </c>
      <c r="N4448" s="2" t="str">
        <f>IFERROR(__xludf.DUMMYFUNCTION("""COMPUTED_VALUE"""),"")</f>
        <v/>
      </c>
    </row>
    <row r="4449">
      <c r="A4449" s="2" t="s">
        <v>33</v>
      </c>
      <c r="B4449" s="12">
        <v>4290125.0</v>
      </c>
      <c r="C4449" s="12">
        <v>4290550.0</v>
      </c>
      <c r="D4449" s="2"/>
      <c r="E4449" s="2" t="s">
        <v>34</v>
      </c>
      <c r="F4449" s="2" t="s">
        <v>2548</v>
      </c>
      <c r="G4449" s="2"/>
      <c r="H4449" s="12">
        <v>0.0</v>
      </c>
      <c r="I4449" s="2" t="s">
        <v>40</v>
      </c>
      <c r="J4449" s="2"/>
      <c r="K4449" s="2" t="s">
        <v>12148</v>
      </c>
      <c r="L4449" s="12">
        <v>141.0</v>
      </c>
      <c r="M4449" s="2" t="s">
        <v>12149</v>
      </c>
      <c r="N4449" s="2" t="str">
        <f>IFERROR(__xludf.DUMMYFUNCTION("""COMPUTED_VALUE"""),"")</f>
        <v/>
      </c>
    </row>
    <row r="4450">
      <c r="A4450" s="2" t="s">
        <v>33</v>
      </c>
      <c r="B4450" s="12">
        <v>4290573.0</v>
      </c>
      <c r="C4450" s="12">
        <v>4290974.0</v>
      </c>
      <c r="D4450" s="2"/>
      <c r="E4450" s="2" t="s">
        <v>38</v>
      </c>
      <c r="F4450" s="2" t="s">
        <v>12150</v>
      </c>
      <c r="G4450" s="2"/>
      <c r="H4450" s="12">
        <v>0.0</v>
      </c>
      <c r="I4450" s="2" t="s">
        <v>40</v>
      </c>
      <c r="J4450" s="2"/>
      <c r="K4450" s="2" t="s">
        <v>12151</v>
      </c>
      <c r="L4450" s="12">
        <v>133.0</v>
      </c>
      <c r="M4450" s="2" t="s">
        <v>12152</v>
      </c>
      <c r="N4450" s="2" t="str">
        <f>IFERROR(__xludf.DUMMYFUNCTION("""COMPUTED_VALUE"""),"")</f>
        <v/>
      </c>
    </row>
    <row r="4451">
      <c r="A4451" s="2" t="s">
        <v>33</v>
      </c>
      <c r="B4451" s="12">
        <v>4290949.0</v>
      </c>
      <c r="C4451" s="12">
        <v>4292127.0</v>
      </c>
      <c r="D4451" s="2"/>
      <c r="E4451" s="2" t="s">
        <v>38</v>
      </c>
      <c r="F4451" s="2" t="s">
        <v>2949</v>
      </c>
      <c r="G4451" s="2"/>
      <c r="H4451" s="12">
        <v>0.0</v>
      </c>
      <c r="I4451" s="2" t="s">
        <v>40</v>
      </c>
      <c r="J4451" s="2"/>
      <c r="K4451" s="2" t="s">
        <v>12153</v>
      </c>
      <c r="L4451" s="12">
        <v>392.0</v>
      </c>
      <c r="M4451" s="2" t="s">
        <v>12154</v>
      </c>
      <c r="N4451" s="2" t="str">
        <f>IFERROR(__xludf.DUMMYFUNCTION("""COMPUTED_VALUE"""),"")</f>
        <v/>
      </c>
    </row>
    <row r="4452">
      <c r="A4452" s="2" t="s">
        <v>33</v>
      </c>
      <c r="B4452" s="12">
        <v>4292430.0</v>
      </c>
      <c r="C4452" s="12">
        <v>4293416.0</v>
      </c>
      <c r="D4452" s="2"/>
      <c r="E4452" s="2" t="s">
        <v>34</v>
      </c>
      <c r="F4452" s="2" t="s">
        <v>12155</v>
      </c>
      <c r="G4452" s="2"/>
      <c r="H4452" s="12">
        <v>0.0</v>
      </c>
      <c r="I4452" s="2" t="s">
        <v>40</v>
      </c>
      <c r="J4452" s="2"/>
      <c r="K4452" s="2" t="s">
        <v>12156</v>
      </c>
      <c r="L4452" s="12">
        <v>328.0</v>
      </c>
      <c r="M4452" s="2" t="s">
        <v>12157</v>
      </c>
      <c r="N4452" s="2" t="str">
        <f>IFERROR(__xludf.DUMMYFUNCTION("""COMPUTED_VALUE"""),"")</f>
        <v/>
      </c>
    </row>
    <row r="4453">
      <c r="A4453" s="2" t="s">
        <v>33</v>
      </c>
      <c r="B4453" s="12">
        <v>4293413.0</v>
      </c>
      <c r="C4453" s="12">
        <v>4294324.0</v>
      </c>
      <c r="D4453" s="2"/>
      <c r="E4453" s="2" t="s">
        <v>34</v>
      </c>
      <c r="F4453" s="2" t="s">
        <v>6328</v>
      </c>
      <c r="G4453" s="2"/>
      <c r="H4453" s="12">
        <v>0.0</v>
      </c>
      <c r="I4453" s="2" t="s">
        <v>40</v>
      </c>
      <c r="J4453" s="2"/>
      <c r="K4453" s="2" t="s">
        <v>12158</v>
      </c>
      <c r="L4453" s="12">
        <v>303.0</v>
      </c>
      <c r="M4453" s="2" t="s">
        <v>12159</v>
      </c>
      <c r="N4453" s="2" t="str">
        <f>IFERROR(__xludf.DUMMYFUNCTION("""COMPUTED_VALUE"""),"")</f>
        <v/>
      </c>
    </row>
    <row r="4454">
      <c r="A4454" s="2" t="s">
        <v>33</v>
      </c>
      <c r="B4454" s="12">
        <v>4294321.0</v>
      </c>
      <c r="C4454" s="12">
        <v>4294671.0</v>
      </c>
      <c r="D4454" s="2"/>
      <c r="E4454" s="2" t="s">
        <v>34</v>
      </c>
      <c r="F4454" s="2" t="s">
        <v>12160</v>
      </c>
      <c r="G4454" s="2"/>
      <c r="H4454" s="12">
        <v>0.0</v>
      </c>
      <c r="I4454" s="2" t="s">
        <v>40</v>
      </c>
      <c r="J4454" s="2"/>
      <c r="K4454" s="2" t="s">
        <v>12161</v>
      </c>
      <c r="L4454" s="12">
        <v>116.0</v>
      </c>
      <c r="M4454" s="2" t="s">
        <v>12162</v>
      </c>
      <c r="N4454" s="2" t="str">
        <f>IFERROR(__xludf.DUMMYFUNCTION("""COMPUTED_VALUE"""),"")</f>
        <v/>
      </c>
    </row>
    <row r="4455">
      <c r="A4455" s="2" t="s">
        <v>33</v>
      </c>
      <c r="B4455" s="12">
        <v>4294720.0</v>
      </c>
      <c r="C4455" s="12">
        <v>4295784.0</v>
      </c>
      <c r="D4455" s="2"/>
      <c r="E4455" s="2" t="s">
        <v>34</v>
      </c>
      <c r="F4455" s="2" t="s">
        <v>10598</v>
      </c>
      <c r="G4455" s="2"/>
      <c r="H4455" s="12">
        <v>0.0</v>
      </c>
      <c r="I4455" s="2" t="s">
        <v>40</v>
      </c>
      <c r="J4455" s="2"/>
      <c r="K4455" s="2" t="s">
        <v>12163</v>
      </c>
      <c r="L4455" s="12">
        <v>354.0</v>
      </c>
      <c r="M4455" s="2" t="s">
        <v>12164</v>
      </c>
      <c r="N4455" s="2" t="str">
        <f>IFERROR(__xludf.DUMMYFUNCTION("""COMPUTED_VALUE"""),"")</f>
        <v/>
      </c>
    </row>
    <row r="4456">
      <c r="A4456" s="2" t="s">
        <v>33</v>
      </c>
      <c r="B4456" s="12">
        <v>4295864.0</v>
      </c>
      <c r="C4456" s="12">
        <v>4298584.0</v>
      </c>
      <c r="D4456" s="2"/>
      <c r="E4456" s="2" t="s">
        <v>38</v>
      </c>
      <c r="F4456" s="2" t="s">
        <v>5521</v>
      </c>
      <c r="G4456" s="2"/>
      <c r="H4456" s="12">
        <v>0.0</v>
      </c>
      <c r="I4456" s="2" t="s">
        <v>40</v>
      </c>
      <c r="J4456" s="2"/>
      <c r="K4456" s="2" t="s">
        <v>12165</v>
      </c>
      <c r="L4456" s="12">
        <v>906.0</v>
      </c>
      <c r="M4456" s="2" t="s">
        <v>12166</v>
      </c>
      <c r="N4456" s="2" t="str">
        <f>IFERROR(__xludf.DUMMYFUNCTION("""COMPUTED_VALUE"""),"")</f>
        <v/>
      </c>
    </row>
    <row r="4457">
      <c r="A4457" s="2" t="s">
        <v>33</v>
      </c>
      <c r="B4457" s="12">
        <v>4298992.0</v>
      </c>
      <c r="C4457" s="12">
        <v>4299807.0</v>
      </c>
      <c r="D4457" s="2"/>
      <c r="E4457" s="2" t="s">
        <v>34</v>
      </c>
      <c r="F4457" s="2" t="s">
        <v>326</v>
      </c>
      <c r="G4457" s="2"/>
      <c r="H4457" s="12">
        <v>0.0</v>
      </c>
      <c r="I4457" s="2" t="s">
        <v>40</v>
      </c>
      <c r="J4457" s="2"/>
      <c r="K4457" s="2" t="s">
        <v>12167</v>
      </c>
      <c r="L4457" s="12">
        <v>271.0</v>
      </c>
      <c r="M4457" s="2" t="s">
        <v>12168</v>
      </c>
      <c r="N4457" s="2" t="str">
        <f>IFERROR(__xludf.DUMMYFUNCTION("""COMPUTED_VALUE"""),"")</f>
        <v/>
      </c>
    </row>
    <row r="4458">
      <c r="A4458" s="2" t="s">
        <v>33</v>
      </c>
      <c r="B4458" s="12">
        <v>4299946.0</v>
      </c>
      <c r="C4458" s="12">
        <v>4300521.0</v>
      </c>
      <c r="D4458" s="2"/>
      <c r="E4458" s="2" t="s">
        <v>34</v>
      </c>
      <c r="F4458" s="2" t="s">
        <v>1528</v>
      </c>
      <c r="G4458" s="2"/>
      <c r="H4458" s="12">
        <v>0.0</v>
      </c>
      <c r="I4458" s="2" t="s">
        <v>40</v>
      </c>
      <c r="J4458" s="2"/>
      <c r="K4458" s="2" t="s">
        <v>12169</v>
      </c>
      <c r="L4458" s="12">
        <v>191.0</v>
      </c>
      <c r="M4458" s="2" t="s">
        <v>12170</v>
      </c>
      <c r="N4458" s="2" t="str">
        <f>IFERROR(__xludf.DUMMYFUNCTION("""COMPUTED_VALUE"""),"")</f>
        <v/>
      </c>
    </row>
    <row r="4459">
      <c r="A4459" s="2" t="s">
        <v>33</v>
      </c>
      <c r="B4459" s="12">
        <v>4300843.0</v>
      </c>
      <c r="C4459" s="12">
        <v>4301160.0</v>
      </c>
      <c r="D4459" s="2"/>
      <c r="E4459" s="2" t="s">
        <v>34</v>
      </c>
      <c r="F4459" s="2" t="s">
        <v>39</v>
      </c>
      <c r="G4459" s="2"/>
      <c r="H4459" s="12">
        <v>0.0</v>
      </c>
      <c r="I4459" s="2" t="s">
        <v>40</v>
      </c>
      <c r="J4459" s="2"/>
      <c r="K4459" s="2" t="s">
        <v>12171</v>
      </c>
      <c r="L4459" s="12">
        <v>105.0</v>
      </c>
      <c r="M4459" s="2" t="s">
        <v>12172</v>
      </c>
      <c r="N4459" s="2" t="str">
        <f>IFERROR(__xludf.DUMMYFUNCTION("""COMPUTED_VALUE"""),"")</f>
        <v/>
      </c>
    </row>
    <row r="4460">
      <c r="A4460" s="2" t="s">
        <v>33</v>
      </c>
      <c r="B4460" s="12">
        <v>4301397.0</v>
      </c>
      <c r="C4460" s="12">
        <v>4302629.0</v>
      </c>
      <c r="D4460" s="2"/>
      <c r="E4460" s="2" t="s">
        <v>34</v>
      </c>
      <c r="F4460" s="2" t="s">
        <v>12173</v>
      </c>
      <c r="G4460" s="2" t="s">
        <v>12174</v>
      </c>
      <c r="H4460" s="12">
        <v>0.0</v>
      </c>
      <c r="I4460" s="2" t="s">
        <v>40</v>
      </c>
      <c r="J4460" s="2"/>
      <c r="K4460" s="2" t="s">
        <v>12175</v>
      </c>
      <c r="L4460" s="12">
        <v>410.0</v>
      </c>
      <c r="M4460" s="2" t="s">
        <v>12176</v>
      </c>
      <c r="N4460" s="2" t="str">
        <f>IFERROR(__xludf.DUMMYFUNCTION("""COMPUTED_VALUE"""),"")</f>
        <v/>
      </c>
    </row>
    <row r="4461">
      <c r="A4461" s="2" t="s">
        <v>33</v>
      </c>
      <c r="B4461" s="12">
        <v>4302668.0</v>
      </c>
      <c r="C4461" s="12">
        <v>4303579.0</v>
      </c>
      <c r="D4461" s="2"/>
      <c r="E4461" s="2" t="s">
        <v>38</v>
      </c>
      <c r="F4461" s="2" t="s">
        <v>12177</v>
      </c>
      <c r="G4461" s="2"/>
      <c r="H4461" s="12">
        <v>0.0</v>
      </c>
      <c r="I4461" s="2" t="s">
        <v>40</v>
      </c>
      <c r="J4461" s="2"/>
      <c r="K4461" s="2" t="s">
        <v>12178</v>
      </c>
      <c r="L4461" s="12">
        <v>303.0</v>
      </c>
      <c r="M4461" s="2" t="s">
        <v>12179</v>
      </c>
      <c r="N4461" s="2" t="str">
        <f>IFERROR(__xludf.DUMMYFUNCTION("""COMPUTED_VALUE"""),"")</f>
        <v/>
      </c>
    </row>
    <row r="4462">
      <c r="A4462" s="2" t="s">
        <v>33</v>
      </c>
      <c r="B4462" s="12">
        <v>4303576.0</v>
      </c>
      <c r="C4462" s="12">
        <v>4304106.0</v>
      </c>
      <c r="D4462" s="2"/>
      <c r="E4462" s="2" t="s">
        <v>38</v>
      </c>
      <c r="F4462" s="2" t="s">
        <v>1638</v>
      </c>
      <c r="G4462" s="2"/>
      <c r="H4462" s="12">
        <v>0.0</v>
      </c>
      <c r="I4462" s="2" t="s">
        <v>40</v>
      </c>
      <c r="J4462" s="2"/>
      <c r="K4462" s="2" t="s">
        <v>12180</v>
      </c>
      <c r="L4462" s="12">
        <v>176.0</v>
      </c>
      <c r="M4462" s="2" t="s">
        <v>12181</v>
      </c>
      <c r="N4462" s="2" t="str">
        <f>IFERROR(__xludf.DUMMYFUNCTION("""COMPUTED_VALUE"""),"")</f>
        <v/>
      </c>
    </row>
    <row r="4463">
      <c r="A4463" s="2" t="s">
        <v>33</v>
      </c>
      <c r="B4463" s="12">
        <v>4304087.0</v>
      </c>
      <c r="C4463" s="12">
        <v>4304683.0</v>
      </c>
      <c r="D4463" s="2"/>
      <c r="E4463" s="2" t="s">
        <v>38</v>
      </c>
      <c r="F4463" s="2" t="s">
        <v>12182</v>
      </c>
      <c r="G4463" s="2"/>
      <c r="H4463" s="12">
        <v>0.0</v>
      </c>
      <c r="I4463" s="2" t="s">
        <v>40</v>
      </c>
      <c r="J4463" s="2"/>
      <c r="K4463" s="2" t="s">
        <v>12183</v>
      </c>
      <c r="L4463" s="12">
        <v>198.0</v>
      </c>
      <c r="M4463" s="2" t="s">
        <v>12184</v>
      </c>
      <c r="N4463" s="2" t="str">
        <f>IFERROR(__xludf.DUMMYFUNCTION("""COMPUTED_VALUE"""),"")</f>
        <v/>
      </c>
    </row>
    <row r="4464">
      <c r="A4464" s="2" t="s">
        <v>33</v>
      </c>
      <c r="B4464" s="12">
        <v>4304837.0</v>
      </c>
      <c r="C4464" s="12">
        <v>4305595.0</v>
      </c>
      <c r="D4464" s="2"/>
      <c r="E4464" s="2" t="s">
        <v>34</v>
      </c>
      <c r="F4464" s="2" t="s">
        <v>12185</v>
      </c>
      <c r="G4464" s="2"/>
      <c r="H4464" s="12">
        <v>0.0</v>
      </c>
      <c r="I4464" s="2" t="s">
        <v>40</v>
      </c>
      <c r="J4464" s="2"/>
      <c r="K4464" s="2" t="s">
        <v>12186</v>
      </c>
      <c r="L4464" s="12">
        <v>252.0</v>
      </c>
      <c r="M4464" s="2" t="s">
        <v>12187</v>
      </c>
      <c r="N4464" s="2" t="str">
        <f>IFERROR(__xludf.DUMMYFUNCTION("""COMPUTED_VALUE"""),"")</f>
        <v/>
      </c>
    </row>
    <row r="4465">
      <c r="A4465" s="2" t="s">
        <v>33</v>
      </c>
      <c r="B4465" s="12">
        <v>4305898.0</v>
      </c>
      <c r="C4465" s="12">
        <v>4306863.0</v>
      </c>
      <c r="D4465" s="2"/>
      <c r="E4465" s="2" t="s">
        <v>34</v>
      </c>
      <c r="F4465" s="2" t="s">
        <v>6126</v>
      </c>
      <c r="G4465" s="2"/>
      <c r="H4465" s="12">
        <v>0.0</v>
      </c>
      <c r="I4465" s="2" t="s">
        <v>40</v>
      </c>
      <c r="J4465" s="2"/>
      <c r="K4465" s="2" t="s">
        <v>12188</v>
      </c>
      <c r="L4465" s="12">
        <v>321.0</v>
      </c>
      <c r="M4465" s="2" t="s">
        <v>12189</v>
      </c>
      <c r="N4465" s="2" t="str">
        <f>IFERROR(__xludf.DUMMYFUNCTION("""COMPUTED_VALUE"""),"")</f>
        <v/>
      </c>
    </row>
    <row r="4466">
      <c r="A4466" s="2" t="s">
        <v>33</v>
      </c>
      <c r="B4466" s="12">
        <v>4306891.0</v>
      </c>
      <c r="C4466" s="12">
        <v>4307898.0</v>
      </c>
      <c r="D4466" s="2"/>
      <c r="E4466" s="2" t="s">
        <v>34</v>
      </c>
      <c r="F4466" s="2" t="s">
        <v>2555</v>
      </c>
      <c r="G4466" s="2"/>
      <c r="H4466" s="12">
        <v>0.0</v>
      </c>
      <c r="I4466" s="2" t="s">
        <v>40</v>
      </c>
      <c r="J4466" s="2"/>
      <c r="K4466" s="2" t="s">
        <v>12190</v>
      </c>
      <c r="L4466" s="12">
        <v>335.0</v>
      </c>
      <c r="M4466" s="2" t="s">
        <v>12191</v>
      </c>
      <c r="N4466" s="2" t="str">
        <f>IFERROR(__xludf.DUMMYFUNCTION("""COMPUTED_VALUE"""),"")</f>
        <v/>
      </c>
    </row>
    <row r="4467">
      <c r="A4467" s="2" t="s">
        <v>33</v>
      </c>
      <c r="B4467" s="12">
        <v>4307891.0</v>
      </c>
      <c r="C4467" s="12">
        <v>4308913.0</v>
      </c>
      <c r="D4467" s="2"/>
      <c r="E4467" s="2" t="s">
        <v>34</v>
      </c>
      <c r="F4467" s="2" t="s">
        <v>2555</v>
      </c>
      <c r="G4467" s="2"/>
      <c r="H4467" s="12">
        <v>0.0</v>
      </c>
      <c r="I4467" s="2" t="s">
        <v>40</v>
      </c>
      <c r="J4467" s="2"/>
      <c r="K4467" s="2" t="s">
        <v>12192</v>
      </c>
      <c r="L4467" s="12">
        <v>340.0</v>
      </c>
      <c r="M4467" s="2" t="s">
        <v>12193</v>
      </c>
      <c r="N4467" s="2" t="str">
        <f>IFERROR(__xludf.DUMMYFUNCTION("""COMPUTED_VALUE"""),"")</f>
        <v/>
      </c>
    </row>
    <row r="4468">
      <c r="A4468" s="2" t="s">
        <v>33</v>
      </c>
      <c r="B4468" s="12">
        <v>4308928.0</v>
      </c>
      <c r="C4468" s="12">
        <v>4309749.0</v>
      </c>
      <c r="D4468" s="2"/>
      <c r="E4468" s="2" t="s">
        <v>34</v>
      </c>
      <c r="F4468" s="2" t="s">
        <v>432</v>
      </c>
      <c r="G4468" s="2"/>
      <c r="H4468" s="12">
        <v>0.0</v>
      </c>
      <c r="I4468" s="2" t="s">
        <v>40</v>
      </c>
      <c r="J4468" s="2"/>
      <c r="K4468" s="2" t="s">
        <v>12194</v>
      </c>
      <c r="L4468" s="12">
        <v>273.0</v>
      </c>
      <c r="M4468" s="2" t="s">
        <v>12195</v>
      </c>
      <c r="N4468" s="2" t="str">
        <f>IFERROR(__xludf.DUMMYFUNCTION("""COMPUTED_VALUE"""),"")</f>
        <v/>
      </c>
    </row>
    <row r="4469">
      <c r="A4469" s="2" t="s">
        <v>33</v>
      </c>
      <c r="B4469" s="12">
        <v>4309765.0</v>
      </c>
      <c r="C4469" s="12">
        <v>4310583.0</v>
      </c>
      <c r="D4469" s="2"/>
      <c r="E4469" s="2" t="s">
        <v>34</v>
      </c>
      <c r="F4469" s="2" t="s">
        <v>1672</v>
      </c>
      <c r="G4469" s="2"/>
      <c r="H4469" s="12">
        <v>0.0</v>
      </c>
      <c r="I4469" s="2" t="s">
        <v>40</v>
      </c>
      <c r="J4469" s="2"/>
      <c r="K4469" s="2" t="s">
        <v>12196</v>
      </c>
      <c r="L4469" s="12">
        <v>272.0</v>
      </c>
      <c r="M4469" s="2" t="s">
        <v>12197</v>
      </c>
      <c r="N4469" s="2" t="str">
        <f>IFERROR(__xludf.DUMMYFUNCTION("""COMPUTED_VALUE"""),"")</f>
        <v/>
      </c>
    </row>
    <row r="4470">
      <c r="A4470" s="2" t="s">
        <v>33</v>
      </c>
      <c r="B4470" s="12">
        <v>4310831.0</v>
      </c>
      <c r="C4470" s="12">
        <v>4311058.0</v>
      </c>
      <c r="D4470" s="2"/>
      <c r="E4470" s="2" t="s">
        <v>34</v>
      </c>
      <c r="F4470" s="2" t="s">
        <v>39</v>
      </c>
      <c r="G4470" s="2"/>
      <c r="H4470" s="12">
        <v>0.0</v>
      </c>
      <c r="I4470" s="2" t="s">
        <v>40</v>
      </c>
      <c r="J4470" s="2"/>
      <c r="K4470" s="2" t="s">
        <v>12198</v>
      </c>
      <c r="L4470" s="12">
        <v>75.0</v>
      </c>
      <c r="M4470" s="2" t="s">
        <v>12199</v>
      </c>
      <c r="N4470" s="2" t="str">
        <f>IFERROR(__xludf.DUMMYFUNCTION("""COMPUTED_VALUE"""),"")</f>
        <v/>
      </c>
    </row>
    <row r="4471">
      <c r="A4471" s="2" t="s">
        <v>33</v>
      </c>
      <c r="B4471" s="12">
        <v>4311387.0</v>
      </c>
      <c r="C4471" s="12">
        <v>4311689.0</v>
      </c>
      <c r="D4471" s="2"/>
      <c r="E4471" s="2" t="s">
        <v>34</v>
      </c>
      <c r="F4471" s="2" t="s">
        <v>12200</v>
      </c>
      <c r="G4471" s="2"/>
      <c r="H4471" s="12">
        <v>0.0</v>
      </c>
      <c r="I4471" s="2" t="s">
        <v>40</v>
      </c>
      <c r="J4471" s="2"/>
      <c r="K4471" s="2" t="s">
        <v>12201</v>
      </c>
      <c r="L4471" s="12">
        <v>100.0</v>
      </c>
      <c r="M4471" s="2" t="s">
        <v>12202</v>
      </c>
      <c r="N4471" s="2" t="str">
        <f>IFERROR(__xludf.DUMMYFUNCTION("""COMPUTED_VALUE"""),"")</f>
        <v/>
      </c>
    </row>
    <row r="4472">
      <c r="A4472" s="2" t="s">
        <v>33</v>
      </c>
      <c r="B4472" s="12">
        <v>4311893.0</v>
      </c>
      <c r="C4472" s="12">
        <v>4312099.0</v>
      </c>
      <c r="D4472" s="2"/>
      <c r="E4472" s="2" t="s">
        <v>34</v>
      </c>
      <c r="F4472" s="2" t="s">
        <v>12203</v>
      </c>
      <c r="G4472" s="2" t="s">
        <v>12204</v>
      </c>
      <c r="H4472" s="12">
        <v>0.0</v>
      </c>
      <c r="I4472" s="2" t="s">
        <v>40</v>
      </c>
      <c r="J4472" s="2"/>
      <c r="K4472" s="2" t="s">
        <v>12205</v>
      </c>
      <c r="L4472" s="12">
        <v>68.0</v>
      </c>
      <c r="M4472" s="2" t="s">
        <v>12206</v>
      </c>
      <c r="N4472" s="2" t="str">
        <f>IFERROR(__xludf.DUMMYFUNCTION("""COMPUTED_VALUE"""),"")</f>
        <v/>
      </c>
    </row>
    <row r="4473">
      <c r="A4473" s="2" t="s">
        <v>33</v>
      </c>
      <c r="B4473" s="12">
        <v>4312195.0</v>
      </c>
      <c r="C4473" s="12">
        <v>4314615.0</v>
      </c>
      <c r="D4473" s="2"/>
      <c r="E4473" s="2" t="s">
        <v>34</v>
      </c>
      <c r="F4473" s="2" t="s">
        <v>5593</v>
      </c>
      <c r="G4473" s="2"/>
      <c r="H4473" s="12">
        <v>0.0</v>
      </c>
      <c r="I4473" s="2" t="s">
        <v>40</v>
      </c>
      <c r="J4473" s="2"/>
      <c r="K4473" s="2" t="s">
        <v>12207</v>
      </c>
      <c r="L4473" s="12">
        <v>806.0</v>
      </c>
      <c r="M4473" s="2" t="s">
        <v>12208</v>
      </c>
      <c r="N4473" s="2" t="str">
        <f>IFERROR(__xludf.DUMMYFUNCTION("""COMPUTED_VALUE"""),"")</f>
        <v/>
      </c>
    </row>
    <row r="4474">
      <c r="A4474" s="2" t="s">
        <v>33</v>
      </c>
      <c r="B4474" s="12">
        <v>4314772.0</v>
      </c>
      <c r="C4474" s="12">
        <v>4315254.0</v>
      </c>
      <c r="D4474" s="2"/>
      <c r="E4474" s="2" t="s">
        <v>34</v>
      </c>
      <c r="F4474" s="2" t="s">
        <v>367</v>
      </c>
      <c r="G4474" s="2"/>
      <c r="H4474" s="12">
        <v>0.0</v>
      </c>
      <c r="I4474" s="2" t="s">
        <v>40</v>
      </c>
      <c r="J4474" s="2"/>
      <c r="K4474" s="2" t="s">
        <v>12209</v>
      </c>
      <c r="L4474" s="12">
        <v>160.0</v>
      </c>
      <c r="M4474" s="2" t="s">
        <v>12210</v>
      </c>
      <c r="N4474" s="2" t="str">
        <f>IFERROR(__xludf.DUMMYFUNCTION("""COMPUTED_VALUE"""),"")</f>
        <v/>
      </c>
    </row>
    <row r="4475">
      <c r="A4475" s="2" t="s">
        <v>33</v>
      </c>
      <c r="B4475" s="12">
        <v>4315270.0</v>
      </c>
      <c r="C4475" s="12">
        <v>4315542.0</v>
      </c>
      <c r="D4475" s="2"/>
      <c r="E4475" s="2" t="s">
        <v>38</v>
      </c>
      <c r="F4475" s="2" t="s">
        <v>823</v>
      </c>
      <c r="G4475" s="2"/>
      <c r="H4475" s="12">
        <v>0.0</v>
      </c>
      <c r="I4475" s="2" t="s">
        <v>40</v>
      </c>
      <c r="J4475" s="2"/>
      <c r="K4475" s="2" t="s">
        <v>12211</v>
      </c>
      <c r="L4475" s="12">
        <v>90.0</v>
      </c>
      <c r="M4475" s="2" t="s">
        <v>12212</v>
      </c>
      <c r="N4475" s="2" t="str">
        <f>IFERROR(__xludf.DUMMYFUNCTION("""COMPUTED_VALUE"""),"")</f>
        <v/>
      </c>
    </row>
    <row r="4476">
      <c r="A4476" s="2" t="s">
        <v>33</v>
      </c>
      <c r="B4476" s="12">
        <v>4315682.0</v>
      </c>
      <c r="C4476" s="12">
        <v>4316497.0</v>
      </c>
      <c r="D4476" s="2"/>
      <c r="E4476" s="2" t="s">
        <v>38</v>
      </c>
      <c r="F4476" s="2" t="s">
        <v>3679</v>
      </c>
      <c r="G4476" s="2"/>
      <c r="H4476" s="12">
        <v>0.0</v>
      </c>
      <c r="I4476" s="2" t="s">
        <v>40</v>
      </c>
      <c r="J4476" s="2"/>
      <c r="K4476" s="2" t="s">
        <v>12213</v>
      </c>
      <c r="L4476" s="12">
        <v>271.0</v>
      </c>
      <c r="M4476" s="2" t="s">
        <v>12214</v>
      </c>
      <c r="N4476" s="2" t="str">
        <f>IFERROR(__xludf.DUMMYFUNCTION("""COMPUTED_VALUE"""),"")</f>
        <v/>
      </c>
    </row>
    <row r="4477">
      <c r="A4477" s="2" t="s">
        <v>33</v>
      </c>
      <c r="B4477" s="12">
        <v>4316690.0</v>
      </c>
      <c r="C4477" s="12">
        <v>4317583.0</v>
      </c>
      <c r="D4477" s="2"/>
      <c r="E4477" s="2" t="s">
        <v>34</v>
      </c>
      <c r="F4477" s="2" t="s">
        <v>437</v>
      </c>
      <c r="G4477" s="2"/>
      <c r="H4477" s="12">
        <v>0.0</v>
      </c>
      <c r="I4477" s="2" t="s">
        <v>40</v>
      </c>
      <c r="J4477" s="2"/>
      <c r="K4477" s="2" t="s">
        <v>12215</v>
      </c>
      <c r="L4477" s="12">
        <v>297.0</v>
      </c>
      <c r="M4477" s="2" t="s">
        <v>12216</v>
      </c>
      <c r="N4477" s="2" t="str">
        <f>IFERROR(__xludf.DUMMYFUNCTION("""COMPUTED_VALUE"""),"")</f>
        <v/>
      </c>
    </row>
    <row r="4478">
      <c r="A4478" s="2" t="s">
        <v>33</v>
      </c>
      <c r="B4478" s="12">
        <v>4317783.0</v>
      </c>
      <c r="C4478" s="12">
        <v>4318865.0</v>
      </c>
      <c r="D4478" s="2"/>
      <c r="E4478" s="2" t="s">
        <v>38</v>
      </c>
      <c r="F4478" s="2" t="s">
        <v>12217</v>
      </c>
      <c r="G4478" s="2"/>
      <c r="H4478" s="12">
        <v>0.0</v>
      </c>
      <c r="I4478" s="2" t="s">
        <v>40</v>
      </c>
      <c r="J4478" s="2"/>
      <c r="K4478" s="2" t="s">
        <v>12218</v>
      </c>
      <c r="L4478" s="12">
        <v>360.0</v>
      </c>
      <c r="M4478" s="2" t="s">
        <v>12219</v>
      </c>
      <c r="N4478" s="2" t="str">
        <f>IFERROR(__xludf.DUMMYFUNCTION("""COMPUTED_VALUE"""),"")</f>
        <v/>
      </c>
    </row>
    <row r="4479">
      <c r="A4479" s="2" t="s">
        <v>33</v>
      </c>
      <c r="B4479" s="12">
        <v>4319136.0</v>
      </c>
      <c r="C4479" s="12">
        <v>4320530.0</v>
      </c>
      <c r="D4479" s="2"/>
      <c r="E4479" s="2" t="s">
        <v>34</v>
      </c>
      <c r="F4479" s="2" t="s">
        <v>12220</v>
      </c>
      <c r="G4479" s="2" t="s">
        <v>12221</v>
      </c>
      <c r="H4479" s="12">
        <v>0.0</v>
      </c>
      <c r="I4479" s="2" t="s">
        <v>40</v>
      </c>
      <c r="J4479" s="2"/>
      <c r="K4479" s="2" t="s">
        <v>12222</v>
      </c>
      <c r="L4479" s="12">
        <v>464.0</v>
      </c>
      <c r="M4479" s="2" t="s">
        <v>12223</v>
      </c>
      <c r="N4479" s="2" t="str">
        <f>IFERROR(__xludf.DUMMYFUNCTION("""COMPUTED_VALUE"""),"")</f>
        <v/>
      </c>
    </row>
    <row r="4480">
      <c r="A4480" s="2" t="s">
        <v>33</v>
      </c>
      <c r="B4480" s="12">
        <v>4320665.0</v>
      </c>
      <c r="C4480" s="12">
        <v>4321003.0</v>
      </c>
      <c r="D4480" s="2"/>
      <c r="E4480" s="2" t="s">
        <v>34</v>
      </c>
      <c r="F4480" s="2" t="s">
        <v>39</v>
      </c>
      <c r="G4480" s="2"/>
      <c r="H4480" s="12">
        <v>0.0</v>
      </c>
      <c r="I4480" s="2" t="s">
        <v>40</v>
      </c>
      <c r="J4480" s="2"/>
      <c r="K4480" s="2" t="s">
        <v>12224</v>
      </c>
      <c r="L4480" s="12">
        <v>112.0</v>
      </c>
      <c r="M4480" s="2" t="s">
        <v>12225</v>
      </c>
      <c r="N4480" s="2" t="str">
        <f>IFERROR(__xludf.DUMMYFUNCTION("""COMPUTED_VALUE"""),"")</f>
        <v/>
      </c>
    </row>
    <row r="4481">
      <c r="A4481" s="2" t="s">
        <v>33</v>
      </c>
      <c r="B4481" s="12">
        <v>4321322.0</v>
      </c>
      <c r="C4481" s="12">
        <v>4321864.0</v>
      </c>
      <c r="D4481" s="2"/>
      <c r="E4481" s="2" t="s">
        <v>34</v>
      </c>
      <c r="F4481" s="2" t="s">
        <v>12226</v>
      </c>
      <c r="G4481" s="2"/>
      <c r="H4481" s="12">
        <v>0.0</v>
      </c>
      <c r="I4481" s="2" t="s">
        <v>40</v>
      </c>
      <c r="J4481" s="2"/>
      <c r="K4481" s="2" t="s">
        <v>12227</v>
      </c>
      <c r="L4481" s="12">
        <v>180.0</v>
      </c>
      <c r="M4481" s="2" t="s">
        <v>12228</v>
      </c>
      <c r="N4481" s="2" t="str">
        <f>IFERROR(__xludf.DUMMYFUNCTION("""COMPUTED_VALUE"""),"")</f>
        <v/>
      </c>
    </row>
    <row r="4482">
      <c r="A4482" s="2" t="s">
        <v>33</v>
      </c>
      <c r="B4482" s="12">
        <v>4321982.0</v>
      </c>
      <c r="C4482" s="12">
        <v>4323145.0</v>
      </c>
      <c r="D4482" s="2"/>
      <c r="E4482" s="2" t="s">
        <v>34</v>
      </c>
      <c r="F4482" s="2" t="s">
        <v>1199</v>
      </c>
      <c r="G4482" s="2"/>
      <c r="H4482" s="12">
        <v>0.0</v>
      </c>
      <c r="I4482" s="2" t="s">
        <v>40</v>
      </c>
      <c r="J4482" s="2"/>
      <c r="K4482" s="2" t="s">
        <v>12229</v>
      </c>
      <c r="L4482" s="12">
        <v>387.0</v>
      </c>
      <c r="M4482" s="2" t="s">
        <v>12230</v>
      </c>
      <c r="N4482" s="2" t="str">
        <f>IFERROR(__xludf.DUMMYFUNCTION("""COMPUTED_VALUE"""),"")</f>
        <v/>
      </c>
    </row>
    <row r="4483">
      <c r="A4483" s="2" t="s">
        <v>33</v>
      </c>
      <c r="B4483" s="12">
        <v>4323305.0</v>
      </c>
      <c r="C4483" s="12">
        <v>4324057.0</v>
      </c>
      <c r="D4483" s="2"/>
      <c r="E4483" s="2" t="s">
        <v>34</v>
      </c>
      <c r="F4483" s="2" t="s">
        <v>3617</v>
      </c>
      <c r="G4483" s="2"/>
      <c r="H4483" s="12">
        <v>0.0</v>
      </c>
      <c r="I4483" s="2" t="s">
        <v>40</v>
      </c>
      <c r="J4483" s="2"/>
      <c r="K4483" s="2" t="s">
        <v>12231</v>
      </c>
      <c r="L4483" s="12">
        <v>250.0</v>
      </c>
      <c r="M4483" s="2" t="s">
        <v>12232</v>
      </c>
      <c r="N4483" s="2" t="str">
        <f>IFERROR(__xludf.DUMMYFUNCTION("""COMPUTED_VALUE"""),"")</f>
        <v/>
      </c>
    </row>
    <row r="4484">
      <c r="A4484" s="2" t="s">
        <v>33</v>
      </c>
      <c r="B4484" s="12">
        <v>4324054.0</v>
      </c>
      <c r="C4484" s="12">
        <v>4324965.0</v>
      </c>
      <c r="D4484" s="2"/>
      <c r="E4484" s="2" t="s">
        <v>34</v>
      </c>
      <c r="F4484" s="2" t="s">
        <v>12233</v>
      </c>
      <c r="G4484" s="2" t="s">
        <v>12234</v>
      </c>
      <c r="H4484" s="12">
        <v>0.0</v>
      </c>
      <c r="I4484" s="2" t="s">
        <v>40</v>
      </c>
      <c r="J4484" s="2"/>
      <c r="K4484" s="2" t="s">
        <v>12235</v>
      </c>
      <c r="L4484" s="12">
        <v>303.0</v>
      </c>
      <c r="M4484" s="2" t="s">
        <v>12236</v>
      </c>
      <c r="N4484" s="2" t="str">
        <f>IFERROR(__xludf.DUMMYFUNCTION("""COMPUTED_VALUE"""),"")</f>
        <v/>
      </c>
    </row>
    <row r="4485">
      <c r="A4485" s="2" t="s">
        <v>33</v>
      </c>
      <c r="B4485" s="12">
        <v>4324979.0</v>
      </c>
      <c r="C4485" s="12">
        <v>4326835.0</v>
      </c>
      <c r="D4485" s="2"/>
      <c r="E4485" s="2" t="s">
        <v>34</v>
      </c>
      <c r="F4485" s="2" t="s">
        <v>12237</v>
      </c>
      <c r="G4485" s="2"/>
      <c r="H4485" s="12">
        <v>0.0</v>
      </c>
      <c r="I4485" s="2" t="s">
        <v>40</v>
      </c>
      <c r="J4485" s="2"/>
      <c r="K4485" s="2" t="s">
        <v>12238</v>
      </c>
      <c r="L4485" s="12">
        <v>618.0</v>
      </c>
      <c r="M4485" s="2" t="s">
        <v>12239</v>
      </c>
      <c r="N4485" s="2" t="str">
        <f>IFERROR(__xludf.DUMMYFUNCTION("""COMPUTED_VALUE"""),"")</f>
        <v/>
      </c>
    </row>
    <row r="4486">
      <c r="A4486" s="2" t="s">
        <v>33</v>
      </c>
      <c r="B4486" s="12">
        <v>4327185.0</v>
      </c>
      <c r="C4486" s="12">
        <v>4328135.0</v>
      </c>
      <c r="D4486" s="2"/>
      <c r="E4486" s="2" t="s">
        <v>34</v>
      </c>
      <c r="F4486" s="2" t="s">
        <v>12240</v>
      </c>
      <c r="G4486" s="2" t="s">
        <v>12241</v>
      </c>
      <c r="H4486" s="12">
        <v>0.0</v>
      </c>
      <c r="I4486" s="2" t="s">
        <v>40</v>
      </c>
      <c r="J4486" s="2"/>
      <c r="K4486" s="2" t="s">
        <v>12242</v>
      </c>
      <c r="L4486" s="12">
        <v>316.0</v>
      </c>
      <c r="M4486" s="2" t="s">
        <v>12243</v>
      </c>
      <c r="N4486" s="2" t="str">
        <f>IFERROR(__xludf.DUMMYFUNCTION("""COMPUTED_VALUE"""),"")</f>
        <v/>
      </c>
    </row>
    <row r="4487">
      <c r="A4487" s="2" t="s">
        <v>33</v>
      </c>
      <c r="B4487" s="12">
        <v>4328198.0</v>
      </c>
      <c r="C4487" s="12">
        <v>4328443.0</v>
      </c>
      <c r="D4487" s="2"/>
      <c r="E4487" s="2" t="s">
        <v>38</v>
      </c>
      <c r="F4487" s="2" t="s">
        <v>39</v>
      </c>
      <c r="G4487" s="2"/>
      <c r="H4487" s="12">
        <v>0.0</v>
      </c>
      <c r="I4487" s="2" t="s">
        <v>40</v>
      </c>
      <c r="J4487" s="2"/>
      <c r="K4487" s="2" t="s">
        <v>12244</v>
      </c>
      <c r="L4487" s="12">
        <v>81.0</v>
      </c>
      <c r="M4487" s="2" t="s">
        <v>12245</v>
      </c>
      <c r="N4487" s="2" t="str">
        <f>IFERROR(__xludf.DUMMYFUNCTION("""COMPUTED_VALUE"""),"")</f>
        <v/>
      </c>
    </row>
    <row r="4488">
      <c r="A4488" s="2" t="s">
        <v>33</v>
      </c>
      <c r="B4488" s="12">
        <v>4328624.0</v>
      </c>
      <c r="C4488" s="12">
        <v>4329577.0</v>
      </c>
      <c r="D4488" s="2"/>
      <c r="E4488" s="2" t="s">
        <v>34</v>
      </c>
      <c r="F4488" s="2" t="s">
        <v>12246</v>
      </c>
      <c r="G4488" s="2" t="s">
        <v>12247</v>
      </c>
      <c r="H4488" s="12">
        <v>0.0</v>
      </c>
      <c r="I4488" s="2" t="s">
        <v>40</v>
      </c>
      <c r="J4488" s="2"/>
      <c r="K4488" s="2" t="s">
        <v>12248</v>
      </c>
      <c r="L4488" s="12">
        <v>317.0</v>
      </c>
      <c r="M4488" s="2" t="s">
        <v>12249</v>
      </c>
      <c r="N4488" s="2" t="str">
        <f>IFERROR(__xludf.DUMMYFUNCTION("""COMPUTED_VALUE"""),"")</f>
        <v/>
      </c>
    </row>
    <row r="4489">
      <c r="A4489" s="2" t="s">
        <v>33</v>
      </c>
      <c r="B4489" s="12">
        <v>4329599.0</v>
      </c>
      <c r="C4489" s="12">
        <v>4329823.0</v>
      </c>
      <c r="D4489" s="2"/>
      <c r="E4489" s="2" t="s">
        <v>34</v>
      </c>
      <c r="F4489" s="2" t="s">
        <v>2741</v>
      </c>
      <c r="G4489" s="2" t="s">
        <v>2742</v>
      </c>
      <c r="H4489" s="12">
        <v>0.0</v>
      </c>
      <c r="I4489" s="2" t="s">
        <v>40</v>
      </c>
      <c r="J4489" s="2"/>
      <c r="K4489" s="2" t="s">
        <v>12250</v>
      </c>
      <c r="L4489" s="12">
        <v>74.0</v>
      </c>
      <c r="M4489" s="2" t="s">
        <v>12251</v>
      </c>
      <c r="N4489" s="2" t="str">
        <f>IFERROR(__xludf.DUMMYFUNCTION("""COMPUTED_VALUE"""),"")</f>
        <v/>
      </c>
    </row>
    <row r="4490">
      <c r="A4490" s="2" t="s">
        <v>33</v>
      </c>
      <c r="B4490" s="12">
        <v>4329905.0</v>
      </c>
      <c r="C4490" s="12">
        <v>4333414.0</v>
      </c>
      <c r="D4490" s="2"/>
      <c r="E4490" s="2" t="s">
        <v>38</v>
      </c>
      <c r="F4490" s="2" t="s">
        <v>12252</v>
      </c>
      <c r="G4490" s="2"/>
      <c r="H4490" s="12">
        <v>0.0</v>
      </c>
      <c r="I4490" s="2" t="s">
        <v>40</v>
      </c>
      <c r="J4490" s="2"/>
      <c r="K4490" s="2" t="s">
        <v>12253</v>
      </c>
      <c r="L4490" s="12">
        <v>1169.0</v>
      </c>
      <c r="M4490" s="2" t="s">
        <v>12254</v>
      </c>
      <c r="N4490" s="2" t="str">
        <f>IFERROR(__xludf.DUMMYFUNCTION("""COMPUTED_VALUE"""),"")</f>
        <v/>
      </c>
    </row>
    <row r="4491">
      <c r="A4491" s="2" t="s">
        <v>33</v>
      </c>
      <c r="B4491" s="12">
        <v>4333528.0</v>
      </c>
      <c r="C4491" s="12">
        <v>4334493.0</v>
      </c>
      <c r="D4491" s="2"/>
      <c r="E4491" s="2" t="s">
        <v>38</v>
      </c>
      <c r="F4491" s="2" t="s">
        <v>176</v>
      </c>
      <c r="G4491" s="2"/>
      <c r="H4491" s="12">
        <v>0.0</v>
      </c>
      <c r="I4491" s="2" t="s">
        <v>40</v>
      </c>
      <c r="J4491" s="2"/>
      <c r="K4491" s="2" t="s">
        <v>12255</v>
      </c>
      <c r="L4491" s="12">
        <v>321.0</v>
      </c>
      <c r="M4491" s="2" t="s">
        <v>12256</v>
      </c>
      <c r="N4491" s="2" t="str">
        <f>IFERROR(__xludf.DUMMYFUNCTION("""COMPUTED_VALUE"""),"")</f>
        <v/>
      </c>
    </row>
    <row r="4492">
      <c r="A4492" s="2" t="s">
        <v>33</v>
      </c>
      <c r="B4492" s="12">
        <v>4334607.0</v>
      </c>
      <c r="C4492" s="12">
        <v>4335563.0</v>
      </c>
      <c r="D4492" s="2"/>
      <c r="E4492" s="2" t="s">
        <v>34</v>
      </c>
      <c r="F4492" s="2" t="s">
        <v>12257</v>
      </c>
      <c r="G4492" s="2" t="s">
        <v>12258</v>
      </c>
      <c r="H4492" s="12">
        <v>0.0</v>
      </c>
      <c r="I4492" s="2" t="s">
        <v>40</v>
      </c>
      <c r="J4492" s="2"/>
      <c r="K4492" s="2" t="s">
        <v>12259</v>
      </c>
      <c r="L4492" s="12">
        <v>318.0</v>
      </c>
      <c r="M4492" s="2" t="s">
        <v>12260</v>
      </c>
      <c r="N4492" s="2" t="str">
        <f>IFERROR(__xludf.DUMMYFUNCTION("""COMPUTED_VALUE"""),"")</f>
        <v/>
      </c>
    </row>
    <row r="4493">
      <c r="A4493" s="2" t="s">
        <v>33</v>
      </c>
      <c r="B4493" s="12">
        <v>4335594.0</v>
      </c>
      <c r="C4493" s="12">
        <v>4335731.0</v>
      </c>
      <c r="D4493" s="2"/>
      <c r="E4493" s="2" t="s">
        <v>38</v>
      </c>
      <c r="F4493" s="2" t="s">
        <v>39</v>
      </c>
      <c r="G4493" s="2"/>
      <c r="H4493" s="12">
        <v>0.0</v>
      </c>
      <c r="I4493" s="2" t="s">
        <v>40</v>
      </c>
      <c r="J4493" s="2"/>
      <c r="K4493" s="2" t="s">
        <v>12261</v>
      </c>
      <c r="L4493" s="12">
        <v>45.0</v>
      </c>
      <c r="M4493" s="2" t="s">
        <v>12262</v>
      </c>
      <c r="N4493" s="2" t="str">
        <f>IFERROR(__xludf.DUMMYFUNCTION("""COMPUTED_VALUE"""),"")</f>
        <v/>
      </c>
    </row>
    <row r="4494">
      <c r="A4494" s="2" t="s">
        <v>33</v>
      </c>
      <c r="B4494" s="12">
        <v>4335831.0</v>
      </c>
      <c r="C4494" s="12">
        <v>4336454.0</v>
      </c>
      <c r="D4494" s="2"/>
      <c r="E4494" s="2" t="s">
        <v>38</v>
      </c>
      <c r="F4494" s="2" t="s">
        <v>7407</v>
      </c>
      <c r="G4494" s="2"/>
      <c r="H4494" s="12">
        <v>0.0</v>
      </c>
      <c r="I4494" s="2" t="s">
        <v>40</v>
      </c>
      <c r="J4494" s="2"/>
      <c r="K4494" s="2" t="s">
        <v>12263</v>
      </c>
      <c r="L4494" s="12">
        <v>207.0</v>
      </c>
      <c r="M4494" s="2" t="s">
        <v>12264</v>
      </c>
      <c r="N4494" s="2" t="str">
        <f>IFERROR(__xludf.DUMMYFUNCTION("""COMPUTED_VALUE"""),"")</f>
        <v/>
      </c>
    </row>
    <row r="4495">
      <c r="A4495" s="2" t="s">
        <v>33</v>
      </c>
      <c r="B4495" s="12">
        <v>4336547.0</v>
      </c>
      <c r="C4495" s="12">
        <v>4337821.0</v>
      </c>
      <c r="D4495" s="2"/>
      <c r="E4495" s="2" t="s">
        <v>34</v>
      </c>
      <c r="F4495" s="2" t="s">
        <v>2352</v>
      </c>
      <c r="G4495" s="2" t="s">
        <v>2353</v>
      </c>
      <c r="H4495" s="12">
        <v>0.0</v>
      </c>
      <c r="I4495" s="2" t="s">
        <v>40</v>
      </c>
      <c r="J4495" s="2"/>
      <c r="K4495" s="2" t="s">
        <v>12265</v>
      </c>
      <c r="L4495" s="12">
        <v>424.0</v>
      </c>
      <c r="M4495" s="2" t="s">
        <v>12266</v>
      </c>
      <c r="N4495" s="2" t="str">
        <f>IFERROR(__xludf.DUMMYFUNCTION("""COMPUTED_VALUE"""),"")</f>
        <v/>
      </c>
    </row>
    <row r="4496">
      <c r="A4496" s="2" t="s">
        <v>33</v>
      </c>
      <c r="B4496" s="12">
        <v>4337814.0</v>
      </c>
      <c r="C4496" s="12">
        <v>4339085.0</v>
      </c>
      <c r="D4496" s="2"/>
      <c r="E4496" s="2" t="s">
        <v>34</v>
      </c>
      <c r="F4496" s="2" t="s">
        <v>12267</v>
      </c>
      <c r="G4496" s="2"/>
      <c r="H4496" s="12">
        <v>0.0</v>
      </c>
      <c r="I4496" s="2" t="s">
        <v>40</v>
      </c>
      <c r="J4496" s="2"/>
      <c r="K4496" s="2" t="s">
        <v>12268</v>
      </c>
      <c r="L4496" s="12">
        <v>423.0</v>
      </c>
      <c r="M4496" s="2" t="s">
        <v>12269</v>
      </c>
      <c r="N4496" s="2" t="str">
        <f>IFERROR(__xludf.DUMMYFUNCTION("""COMPUTED_VALUE"""),"")</f>
        <v/>
      </c>
    </row>
    <row r="4497">
      <c r="A4497" s="2" t="s">
        <v>33</v>
      </c>
      <c r="B4497" s="12">
        <v>4339260.0</v>
      </c>
      <c r="C4497" s="12">
        <v>4339649.0</v>
      </c>
      <c r="D4497" s="2"/>
      <c r="E4497" s="2" t="s">
        <v>34</v>
      </c>
      <c r="F4497" s="2" t="s">
        <v>12270</v>
      </c>
      <c r="G4497" s="2" t="s">
        <v>12271</v>
      </c>
      <c r="H4497" s="12">
        <v>0.0</v>
      </c>
      <c r="I4497" s="2" t="s">
        <v>40</v>
      </c>
      <c r="J4497" s="2"/>
      <c r="K4497" s="2" t="s">
        <v>12272</v>
      </c>
      <c r="L4497" s="12">
        <v>129.0</v>
      </c>
      <c r="M4497" s="2" t="s">
        <v>12273</v>
      </c>
      <c r="N4497" s="2" t="str">
        <f>IFERROR(__xludf.DUMMYFUNCTION("""COMPUTED_VALUE"""),"")</f>
        <v/>
      </c>
    </row>
    <row r="4498">
      <c r="A4498" s="2" t="s">
        <v>33</v>
      </c>
      <c r="B4498" s="12">
        <v>4339698.0</v>
      </c>
      <c r="C4498" s="12">
        <v>4341032.0</v>
      </c>
      <c r="D4498" s="2"/>
      <c r="E4498" s="2" t="s">
        <v>34</v>
      </c>
      <c r="F4498" s="2" t="s">
        <v>12274</v>
      </c>
      <c r="G4498" s="2" t="s">
        <v>12275</v>
      </c>
      <c r="H4498" s="12">
        <v>0.0</v>
      </c>
      <c r="I4498" s="2" t="s">
        <v>40</v>
      </c>
      <c r="J4498" s="2"/>
      <c r="K4498" s="2" t="s">
        <v>12276</v>
      </c>
      <c r="L4498" s="12">
        <v>444.0</v>
      </c>
      <c r="M4498" s="2" t="s">
        <v>12277</v>
      </c>
      <c r="N4498" s="2" t="str">
        <f>IFERROR(__xludf.DUMMYFUNCTION("""COMPUTED_VALUE"""),"")</f>
        <v/>
      </c>
    </row>
    <row r="4499">
      <c r="A4499" s="2" t="s">
        <v>33</v>
      </c>
      <c r="B4499" s="12">
        <v>4341368.0</v>
      </c>
      <c r="C4499" s="12">
        <v>4342027.0</v>
      </c>
      <c r="D4499" s="2"/>
      <c r="E4499" s="2" t="s">
        <v>38</v>
      </c>
      <c r="F4499" s="2" t="s">
        <v>12278</v>
      </c>
      <c r="G4499" s="2"/>
      <c r="H4499" s="12">
        <v>0.0</v>
      </c>
      <c r="I4499" s="2" t="s">
        <v>40</v>
      </c>
      <c r="J4499" s="2"/>
      <c r="K4499" s="2" t="s">
        <v>12279</v>
      </c>
      <c r="L4499" s="12">
        <v>219.0</v>
      </c>
      <c r="M4499" s="2" t="s">
        <v>12280</v>
      </c>
      <c r="N4499" s="2" t="str">
        <f>IFERROR(__xludf.DUMMYFUNCTION("""COMPUTED_VALUE"""),"")</f>
        <v/>
      </c>
    </row>
    <row r="4500">
      <c r="A4500" s="2" t="s">
        <v>33</v>
      </c>
      <c r="B4500" s="12">
        <v>4342271.0</v>
      </c>
      <c r="C4500" s="12">
        <v>4342483.0</v>
      </c>
      <c r="D4500" s="2"/>
      <c r="E4500" s="2" t="s">
        <v>34</v>
      </c>
      <c r="F4500" s="2" t="s">
        <v>39</v>
      </c>
      <c r="G4500" s="2"/>
      <c r="H4500" s="12">
        <v>0.0</v>
      </c>
      <c r="I4500" s="2" t="s">
        <v>40</v>
      </c>
      <c r="J4500" s="2"/>
      <c r="K4500" s="2" t="s">
        <v>12281</v>
      </c>
      <c r="L4500" s="12">
        <v>70.0</v>
      </c>
      <c r="M4500" s="2" t="s">
        <v>12282</v>
      </c>
      <c r="N4500" s="2" t="str">
        <f>IFERROR(__xludf.DUMMYFUNCTION("""COMPUTED_VALUE"""),"")</f>
        <v/>
      </c>
    </row>
    <row r="4501">
      <c r="A4501" s="2" t="s">
        <v>33</v>
      </c>
      <c r="B4501" s="12">
        <v>4342686.0</v>
      </c>
      <c r="C4501" s="12">
        <v>4343444.0</v>
      </c>
      <c r="D4501" s="2"/>
      <c r="E4501" s="2" t="s">
        <v>34</v>
      </c>
      <c r="F4501" s="2" t="s">
        <v>12283</v>
      </c>
      <c r="G4501" s="2"/>
      <c r="H4501" s="12">
        <v>0.0</v>
      </c>
      <c r="I4501" s="2" t="s">
        <v>40</v>
      </c>
      <c r="J4501" s="2"/>
      <c r="K4501" s="2" t="s">
        <v>12284</v>
      </c>
      <c r="L4501" s="12">
        <v>252.0</v>
      </c>
      <c r="M4501" s="2" t="s">
        <v>12285</v>
      </c>
      <c r="N4501" s="2" t="str">
        <f>IFERROR(__xludf.DUMMYFUNCTION("""COMPUTED_VALUE"""),"")</f>
        <v/>
      </c>
    </row>
    <row r="4502">
      <c r="A4502" s="2" t="s">
        <v>33</v>
      </c>
      <c r="B4502" s="12">
        <v>4343456.0</v>
      </c>
      <c r="C4502" s="12">
        <v>4343650.0</v>
      </c>
      <c r="D4502" s="2"/>
      <c r="E4502" s="2" t="s">
        <v>34</v>
      </c>
      <c r="F4502" s="2" t="s">
        <v>39</v>
      </c>
      <c r="G4502" s="2"/>
      <c r="H4502" s="12">
        <v>0.0</v>
      </c>
      <c r="I4502" s="2" t="s">
        <v>40</v>
      </c>
      <c r="J4502" s="2"/>
      <c r="K4502" s="2" t="s">
        <v>12286</v>
      </c>
      <c r="L4502" s="12">
        <v>64.0</v>
      </c>
      <c r="M4502" s="2" t="s">
        <v>12287</v>
      </c>
      <c r="N4502" s="2" t="str">
        <f>IFERROR(__xludf.DUMMYFUNCTION("""COMPUTED_VALUE"""),"")</f>
        <v/>
      </c>
    </row>
    <row r="4503">
      <c r="A4503" s="2" t="s">
        <v>33</v>
      </c>
      <c r="B4503" s="12">
        <v>4343803.0</v>
      </c>
      <c r="C4503" s="12">
        <v>4344675.0</v>
      </c>
      <c r="D4503" s="2"/>
      <c r="E4503" s="2" t="s">
        <v>34</v>
      </c>
      <c r="F4503" s="2" t="s">
        <v>209</v>
      </c>
      <c r="G4503" s="2"/>
      <c r="H4503" s="12">
        <v>0.0</v>
      </c>
      <c r="I4503" s="2" t="s">
        <v>40</v>
      </c>
      <c r="J4503" s="2"/>
      <c r="K4503" s="2" t="s">
        <v>12288</v>
      </c>
      <c r="L4503" s="12">
        <v>290.0</v>
      </c>
      <c r="M4503" s="2" t="s">
        <v>12289</v>
      </c>
      <c r="N4503" s="2" t="str">
        <f>IFERROR(__xludf.DUMMYFUNCTION("""COMPUTED_VALUE"""),"")</f>
        <v/>
      </c>
    </row>
    <row r="4504">
      <c r="A4504" s="2" t="s">
        <v>33</v>
      </c>
      <c r="B4504" s="12">
        <v>4344794.0</v>
      </c>
      <c r="C4504" s="12">
        <v>4345180.0</v>
      </c>
      <c r="D4504" s="2"/>
      <c r="E4504" s="2" t="s">
        <v>34</v>
      </c>
      <c r="F4504" s="2" t="s">
        <v>12290</v>
      </c>
      <c r="G4504" s="2"/>
      <c r="H4504" s="12">
        <v>0.0</v>
      </c>
      <c r="I4504" s="2" t="s">
        <v>40</v>
      </c>
      <c r="J4504" s="2"/>
      <c r="K4504" s="2" t="s">
        <v>12291</v>
      </c>
      <c r="L4504" s="12">
        <v>128.0</v>
      </c>
      <c r="M4504" s="2" t="s">
        <v>12292</v>
      </c>
      <c r="N4504" s="2" t="str">
        <f>IFERROR(__xludf.DUMMYFUNCTION("""COMPUTED_VALUE"""),"")</f>
        <v/>
      </c>
    </row>
    <row r="4505">
      <c r="A4505" s="2" t="s">
        <v>33</v>
      </c>
      <c r="B4505" s="12">
        <v>4345419.0</v>
      </c>
      <c r="C4505" s="12">
        <v>4346396.0</v>
      </c>
      <c r="D4505" s="2"/>
      <c r="E4505" s="2" t="s">
        <v>34</v>
      </c>
      <c r="F4505" s="2" t="s">
        <v>470</v>
      </c>
      <c r="G4505" s="2"/>
      <c r="H4505" s="12">
        <v>0.0</v>
      </c>
      <c r="I4505" s="2" t="s">
        <v>40</v>
      </c>
      <c r="J4505" s="2"/>
      <c r="K4505" s="2" t="s">
        <v>12293</v>
      </c>
      <c r="L4505" s="12">
        <v>325.0</v>
      </c>
      <c r="M4505" s="2" t="s">
        <v>12294</v>
      </c>
      <c r="N4505" s="2" t="str">
        <f>IFERROR(__xludf.DUMMYFUNCTION("""COMPUTED_VALUE"""),"")</f>
        <v/>
      </c>
    </row>
    <row r="4506">
      <c r="A4506" s="2" t="s">
        <v>33</v>
      </c>
      <c r="B4506" s="12">
        <v>4346746.0</v>
      </c>
      <c r="C4506" s="12">
        <v>4347567.0</v>
      </c>
      <c r="D4506" s="2"/>
      <c r="E4506" s="2" t="s">
        <v>34</v>
      </c>
      <c r="F4506" s="2" t="s">
        <v>2244</v>
      </c>
      <c r="G4506" s="2"/>
      <c r="H4506" s="12">
        <v>0.0</v>
      </c>
      <c r="I4506" s="2" t="s">
        <v>40</v>
      </c>
      <c r="J4506" s="2"/>
      <c r="K4506" s="2" t="s">
        <v>12295</v>
      </c>
      <c r="L4506" s="12">
        <v>273.0</v>
      </c>
      <c r="M4506" s="2" t="s">
        <v>12296</v>
      </c>
      <c r="N4506" s="2" t="str">
        <f>IFERROR(__xludf.DUMMYFUNCTION("""COMPUTED_VALUE"""),"")</f>
        <v/>
      </c>
    </row>
    <row r="4507">
      <c r="A4507" s="2" t="s">
        <v>33</v>
      </c>
      <c r="B4507" s="12">
        <v>4347916.0</v>
      </c>
      <c r="C4507" s="12">
        <v>4348122.0</v>
      </c>
      <c r="D4507" s="2"/>
      <c r="E4507" s="2" t="s">
        <v>34</v>
      </c>
      <c r="F4507" s="2" t="s">
        <v>39</v>
      </c>
      <c r="G4507" s="2"/>
      <c r="H4507" s="12">
        <v>0.0</v>
      </c>
      <c r="I4507" s="2" t="s">
        <v>40</v>
      </c>
      <c r="J4507" s="2"/>
      <c r="K4507" s="2" t="s">
        <v>12297</v>
      </c>
      <c r="L4507" s="12">
        <v>68.0</v>
      </c>
      <c r="M4507" s="2" t="s">
        <v>12298</v>
      </c>
      <c r="N4507" s="2" t="str">
        <f>IFERROR(__xludf.DUMMYFUNCTION("""COMPUTED_VALUE"""),"")</f>
        <v/>
      </c>
    </row>
    <row r="4508">
      <c r="A4508" s="2" t="s">
        <v>33</v>
      </c>
      <c r="B4508" s="12">
        <v>4348200.0</v>
      </c>
      <c r="C4508" s="12">
        <v>4348436.0</v>
      </c>
      <c r="D4508" s="2"/>
      <c r="E4508" s="2" t="s">
        <v>34</v>
      </c>
      <c r="F4508" s="2" t="s">
        <v>1959</v>
      </c>
      <c r="G4508" s="2"/>
      <c r="H4508" s="12">
        <v>0.0</v>
      </c>
      <c r="I4508" s="2" t="s">
        <v>40</v>
      </c>
      <c r="J4508" s="2"/>
      <c r="K4508" s="2" t="s">
        <v>12299</v>
      </c>
      <c r="L4508" s="12">
        <v>78.0</v>
      </c>
      <c r="M4508" s="2" t="s">
        <v>12300</v>
      </c>
      <c r="N4508" s="2" t="str">
        <f>IFERROR(__xludf.DUMMYFUNCTION("""COMPUTED_VALUE"""),"")</f>
        <v/>
      </c>
    </row>
    <row r="4509">
      <c r="A4509" s="2" t="s">
        <v>33</v>
      </c>
      <c r="B4509" s="12">
        <v>4348436.0</v>
      </c>
      <c r="C4509" s="12">
        <v>4348675.0</v>
      </c>
      <c r="D4509" s="2"/>
      <c r="E4509" s="2" t="s">
        <v>34</v>
      </c>
      <c r="F4509" s="2" t="s">
        <v>12301</v>
      </c>
      <c r="G4509" s="2"/>
      <c r="H4509" s="12">
        <v>0.0</v>
      </c>
      <c r="I4509" s="2" t="s">
        <v>40</v>
      </c>
      <c r="J4509" s="2"/>
      <c r="K4509" s="2" t="s">
        <v>12302</v>
      </c>
      <c r="L4509" s="12">
        <v>79.0</v>
      </c>
      <c r="M4509" s="2" t="s">
        <v>12303</v>
      </c>
      <c r="N4509" s="2" t="str">
        <f>IFERROR(__xludf.DUMMYFUNCTION("""COMPUTED_VALUE"""),"")</f>
        <v/>
      </c>
    </row>
    <row r="4510">
      <c r="A4510" s="2" t="s">
        <v>33</v>
      </c>
      <c r="B4510" s="12">
        <v>4348672.0</v>
      </c>
      <c r="C4510" s="12">
        <v>4349727.0</v>
      </c>
      <c r="D4510" s="2"/>
      <c r="E4510" s="2" t="s">
        <v>34</v>
      </c>
      <c r="F4510" s="2" t="s">
        <v>1116</v>
      </c>
      <c r="G4510" s="2"/>
      <c r="H4510" s="12">
        <v>0.0</v>
      </c>
      <c r="I4510" s="2" t="s">
        <v>40</v>
      </c>
      <c r="J4510" s="2"/>
      <c r="K4510" s="2" t="s">
        <v>12304</v>
      </c>
      <c r="L4510" s="12">
        <v>351.0</v>
      </c>
      <c r="M4510" s="2" t="s">
        <v>12305</v>
      </c>
      <c r="N4510" s="2" t="str">
        <f>IFERROR(__xludf.DUMMYFUNCTION("""COMPUTED_VALUE"""),"")</f>
        <v/>
      </c>
    </row>
    <row r="4511">
      <c r="A4511" s="2" t="s">
        <v>33</v>
      </c>
      <c r="B4511" s="12">
        <v>4350766.0</v>
      </c>
      <c r="C4511" s="12">
        <v>4351089.0</v>
      </c>
      <c r="D4511" s="2"/>
      <c r="E4511" s="2" t="s">
        <v>34</v>
      </c>
      <c r="F4511" s="2" t="s">
        <v>2365</v>
      </c>
      <c r="G4511" s="2"/>
      <c r="H4511" s="12">
        <v>0.0</v>
      </c>
      <c r="I4511" s="2" t="s">
        <v>40</v>
      </c>
      <c r="J4511" s="2"/>
      <c r="K4511" s="2" t="s">
        <v>12306</v>
      </c>
      <c r="L4511" s="12">
        <v>107.0</v>
      </c>
      <c r="M4511" s="2" t="s">
        <v>12307</v>
      </c>
      <c r="N4511" s="2" t="str">
        <f>IFERROR(__xludf.DUMMYFUNCTION("""COMPUTED_VALUE"""),"")</f>
        <v/>
      </c>
    </row>
    <row r="4512">
      <c r="A4512" s="2" t="s">
        <v>33</v>
      </c>
      <c r="B4512" s="12">
        <v>4351082.0</v>
      </c>
      <c r="C4512" s="12">
        <v>4351624.0</v>
      </c>
      <c r="D4512" s="2"/>
      <c r="E4512" s="2" t="s">
        <v>34</v>
      </c>
      <c r="F4512" s="2" t="s">
        <v>12308</v>
      </c>
      <c r="G4512" s="2"/>
      <c r="H4512" s="12">
        <v>0.0</v>
      </c>
      <c r="I4512" s="2" t="s">
        <v>40</v>
      </c>
      <c r="J4512" s="2"/>
      <c r="K4512" s="2" t="s">
        <v>12309</v>
      </c>
      <c r="L4512" s="12">
        <v>180.0</v>
      </c>
      <c r="M4512" s="2" t="s">
        <v>12310</v>
      </c>
      <c r="N4512" s="2" t="str">
        <f>IFERROR(__xludf.DUMMYFUNCTION("""COMPUTED_VALUE"""),"")</f>
        <v/>
      </c>
    </row>
    <row r="4513">
      <c r="A4513" s="2" t="s">
        <v>33</v>
      </c>
      <c r="B4513" s="12">
        <v>4351625.0</v>
      </c>
      <c r="C4513" s="12">
        <v>4352428.0</v>
      </c>
      <c r="D4513" s="2"/>
      <c r="E4513" s="2" t="s">
        <v>34</v>
      </c>
      <c r="F4513" s="2" t="s">
        <v>9768</v>
      </c>
      <c r="G4513" s="2"/>
      <c r="H4513" s="12">
        <v>0.0</v>
      </c>
      <c r="I4513" s="2" t="s">
        <v>40</v>
      </c>
      <c r="J4513" s="2"/>
      <c r="K4513" s="2" t="s">
        <v>12311</v>
      </c>
      <c r="L4513" s="12">
        <v>267.0</v>
      </c>
      <c r="M4513" s="2" t="s">
        <v>12312</v>
      </c>
      <c r="N4513" s="2" t="str">
        <f>IFERROR(__xludf.DUMMYFUNCTION("""COMPUTED_VALUE"""),"")</f>
        <v/>
      </c>
    </row>
    <row r="4514">
      <c r="A4514" s="2" t="s">
        <v>33</v>
      </c>
      <c r="B4514" s="12">
        <v>4352519.0</v>
      </c>
      <c r="C4514" s="12">
        <v>4353139.0</v>
      </c>
      <c r="D4514" s="2"/>
      <c r="E4514" s="2" t="s">
        <v>38</v>
      </c>
      <c r="F4514" s="2" t="s">
        <v>12313</v>
      </c>
      <c r="G4514" s="2" t="s">
        <v>12314</v>
      </c>
      <c r="H4514" s="12">
        <v>0.0</v>
      </c>
      <c r="I4514" s="2" t="s">
        <v>40</v>
      </c>
      <c r="J4514" s="2"/>
      <c r="K4514" s="2" t="s">
        <v>12315</v>
      </c>
      <c r="L4514" s="12">
        <v>206.0</v>
      </c>
      <c r="M4514" s="2" t="s">
        <v>12316</v>
      </c>
      <c r="N4514" s="2" t="str">
        <f>IFERROR(__xludf.DUMMYFUNCTION("""COMPUTED_VALUE"""),"")</f>
        <v/>
      </c>
    </row>
    <row r="4515">
      <c r="A4515" s="2" t="s">
        <v>33</v>
      </c>
      <c r="B4515" s="12">
        <v>4353281.0</v>
      </c>
      <c r="C4515" s="12">
        <v>4353937.0</v>
      </c>
      <c r="D4515" s="2"/>
      <c r="E4515" s="2" t="s">
        <v>34</v>
      </c>
      <c r="F4515" s="2" t="s">
        <v>1922</v>
      </c>
      <c r="G4515" s="2"/>
      <c r="H4515" s="12">
        <v>0.0</v>
      </c>
      <c r="I4515" s="2" t="s">
        <v>40</v>
      </c>
      <c r="J4515" s="2"/>
      <c r="K4515" s="2" t="s">
        <v>12317</v>
      </c>
      <c r="L4515" s="12">
        <v>218.0</v>
      </c>
      <c r="M4515" s="2" t="s">
        <v>12318</v>
      </c>
      <c r="N4515" s="2" t="str">
        <f>IFERROR(__xludf.DUMMYFUNCTION("""COMPUTED_VALUE"""),"")</f>
        <v/>
      </c>
    </row>
    <row r="4516">
      <c r="A4516" s="2" t="s">
        <v>33</v>
      </c>
      <c r="B4516" s="12">
        <v>4353983.0</v>
      </c>
      <c r="C4516" s="12">
        <v>4354222.0</v>
      </c>
      <c r="D4516" s="2"/>
      <c r="E4516" s="2" t="s">
        <v>34</v>
      </c>
      <c r="F4516" s="2" t="s">
        <v>2170</v>
      </c>
      <c r="G4516" s="2"/>
      <c r="H4516" s="12">
        <v>0.0</v>
      </c>
      <c r="I4516" s="2" t="s">
        <v>40</v>
      </c>
      <c r="J4516" s="2"/>
      <c r="K4516" s="2" t="s">
        <v>12319</v>
      </c>
      <c r="L4516" s="12">
        <v>79.0</v>
      </c>
      <c r="M4516" s="2" t="s">
        <v>12320</v>
      </c>
      <c r="N4516" s="2" t="str">
        <f>IFERROR(__xludf.DUMMYFUNCTION("""COMPUTED_VALUE"""),"")</f>
        <v/>
      </c>
    </row>
    <row r="4517">
      <c r="A4517" s="2" t="s">
        <v>33</v>
      </c>
      <c r="B4517" s="12">
        <v>4354262.0</v>
      </c>
      <c r="C4517" s="12">
        <v>4355845.0</v>
      </c>
      <c r="D4517" s="2"/>
      <c r="E4517" s="2" t="s">
        <v>38</v>
      </c>
      <c r="F4517" s="2" t="s">
        <v>8602</v>
      </c>
      <c r="G4517" s="2"/>
      <c r="H4517" s="12">
        <v>0.0</v>
      </c>
      <c r="I4517" s="2" t="s">
        <v>40</v>
      </c>
      <c r="J4517" s="2"/>
      <c r="K4517" s="2" t="s">
        <v>12321</v>
      </c>
      <c r="L4517" s="12">
        <v>527.0</v>
      </c>
      <c r="M4517" s="2" t="s">
        <v>12322</v>
      </c>
      <c r="N4517" s="2" t="str">
        <f>IFERROR(__xludf.DUMMYFUNCTION("""COMPUTED_VALUE"""),"")</f>
        <v/>
      </c>
    </row>
    <row r="4518">
      <c r="A4518" s="2" t="s">
        <v>33</v>
      </c>
      <c r="B4518" s="12">
        <v>4356031.0</v>
      </c>
      <c r="C4518" s="12">
        <v>4356969.0</v>
      </c>
      <c r="D4518" s="2"/>
      <c r="E4518" s="2" t="s">
        <v>34</v>
      </c>
      <c r="F4518" s="2" t="s">
        <v>12323</v>
      </c>
      <c r="G4518" s="2"/>
      <c r="H4518" s="12">
        <v>0.0</v>
      </c>
      <c r="I4518" s="2" t="s">
        <v>40</v>
      </c>
      <c r="J4518" s="2"/>
      <c r="K4518" s="2" t="s">
        <v>12324</v>
      </c>
      <c r="L4518" s="12">
        <v>312.0</v>
      </c>
      <c r="M4518" s="2" t="s">
        <v>12325</v>
      </c>
      <c r="N4518" s="2" t="str">
        <f>IFERROR(__xludf.DUMMYFUNCTION("""COMPUTED_VALUE"""),"")</f>
        <v/>
      </c>
    </row>
    <row r="4519">
      <c r="A4519" s="2" t="s">
        <v>33</v>
      </c>
      <c r="B4519" s="12">
        <v>4357053.0</v>
      </c>
      <c r="C4519" s="12">
        <v>4357826.0</v>
      </c>
      <c r="D4519" s="2"/>
      <c r="E4519" s="2" t="s">
        <v>34</v>
      </c>
      <c r="F4519" s="2" t="s">
        <v>12326</v>
      </c>
      <c r="G4519" s="2" t="s">
        <v>12327</v>
      </c>
      <c r="H4519" s="12">
        <v>0.0</v>
      </c>
      <c r="I4519" s="2" t="s">
        <v>40</v>
      </c>
      <c r="J4519" s="2"/>
      <c r="K4519" s="2" t="s">
        <v>12328</v>
      </c>
      <c r="L4519" s="12">
        <v>257.0</v>
      </c>
      <c r="M4519" s="2" t="s">
        <v>12329</v>
      </c>
      <c r="N4519" s="2" t="str">
        <f>IFERROR(__xludf.DUMMYFUNCTION("""COMPUTED_VALUE"""),"")</f>
        <v/>
      </c>
    </row>
    <row r="4520">
      <c r="A4520" s="2" t="s">
        <v>33</v>
      </c>
      <c r="B4520" s="12">
        <v>4357823.0</v>
      </c>
      <c r="C4520" s="12">
        <v>4358617.0</v>
      </c>
      <c r="D4520" s="2"/>
      <c r="E4520" s="2" t="s">
        <v>34</v>
      </c>
      <c r="F4520" s="2" t="s">
        <v>12330</v>
      </c>
      <c r="G4520" s="2" t="s">
        <v>12331</v>
      </c>
      <c r="H4520" s="12">
        <v>0.0</v>
      </c>
      <c r="I4520" s="2" t="s">
        <v>40</v>
      </c>
      <c r="J4520" s="2"/>
      <c r="K4520" s="2" t="s">
        <v>12332</v>
      </c>
      <c r="L4520" s="12">
        <v>264.0</v>
      </c>
      <c r="M4520" s="2" t="s">
        <v>12333</v>
      </c>
      <c r="N4520" s="2" t="str">
        <f>IFERROR(__xludf.DUMMYFUNCTION("""COMPUTED_VALUE"""),"")</f>
        <v/>
      </c>
    </row>
    <row r="4521">
      <c r="A4521" s="2" t="s">
        <v>33</v>
      </c>
      <c r="B4521" s="12">
        <v>4358617.0</v>
      </c>
      <c r="C4521" s="12">
        <v>4359420.0</v>
      </c>
      <c r="D4521" s="2"/>
      <c r="E4521" s="2" t="s">
        <v>34</v>
      </c>
      <c r="F4521" s="2" t="s">
        <v>12330</v>
      </c>
      <c r="G4521" s="2" t="s">
        <v>12331</v>
      </c>
      <c r="H4521" s="12">
        <v>0.0</v>
      </c>
      <c r="I4521" s="2" t="s">
        <v>40</v>
      </c>
      <c r="J4521" s="2"/>
      <c r="K4521" s="2" t="s">
        <v>12334</v>
      </c>
      <c r="L4521" s="12">
        <v>267.0</v>
      </c>
      <c r="M4521" s="2" t="s">
        <v>12335</v>
      </c>
      <c r="N4521" s="2" t="str">
        <f>IFERROR(__xludf.DUMMYFUNCTION("""COMPUTED_VALUE"""),"")</f>
        <v/>
      </c>
    </row>
    <row r="4522">
      <c r="A4522" s="2" t="s">
        <v>33</v>
      </c>
      <c r="B4522" s="12">
        <v>4359717.0</v>
      </c>
      <c r="C4522" s="12">
        <v>4361717.0</v>
      </c>
      <c r="D4522" s="2"/>
      <c r="E4522" s="2" t="s">
        <v>34</v>
      </c>
      <c r="F4522" s="2" t="s">
        <v>12336</v>
      </c>
      <c r="G4522" s="2" t="s">
        <v>12337</v>
      </c>
      <c r="H4522" s="12">
        <v>0.0</v>
      </c>
      <c r="I4522" s="2" t="s">
        <v>40</v>
      </c>
      <c r="J4522" s="2"/>
      <c r="K4522" s="2" t="s">
        <v>12338</v>
      </c>
      <c r="L4522" s="12">
        <v>666.0</v>
      </c>
      <c r="M4522" s="2" t="s">
        <v>12339</v>
      </c>
      <c r="N4522" s="2" t="str">
        <f>IFERROR(__xludf.DUMMYFUNCTION("""COMPUTED_VALUE"""),"")</f>
        <v/>
      </c>
    </row>
    <row r="4523">
      <c r="A4523" s="2" t="s">
        <v>33</v>
      </c>
      <c r="B4523" s="12">
        <v>4361874.0</v>
      </c>
      <c r="C4523" s="12">
        <v>4362314.0</v>
      </c>
      <c r="D4523" s="2"/>
      <c r="E4523" s="2" t="s">
        <v>34</v>
      </c>
      <c r="F4523" s="2" t="s">
        <v>12340</v>
      </c>
      <c r="G4523" s="2" t="s">
        <v>12341</v>
      </c>
      <c r="H4523" s="12">
        <v>0.0</v>
      </c>
      <c r="I4523" s="2" t="s">
        <v>40</v>
      </c>
      <c r="J4523" s="2"/>
      <c r="K4523" s="2" t="s">
        <v>12342</v>
      </c>
      <c r="L4523" s="12">
        <v>146.0</v>
      </c>
      <c r="M4523" s="2" t="s">
        <v>12343</v>
      </c>
      <c r="N4523" s="2" t="str">
        <f>IFERROR(__xludf.DUMMYFUNCTION("""COMPUTED_VALUE"""),"")</f>
        <v/>
      </c>
    </row>
    <row r="4524">
      <c r="A4524" s="2" t="s">
        <v>33</v>
      </c>
      <c r="B4524" s="12">
        <v>4362393.0</v>
      </c>
      <c r="C4524" s="12">
        <v>4362614.0</v>
      </c>
      <c r="D4524" s="2"/>
      <c r="E4524" s="2" t="s">
        <v>34</v>
      </c>
      <c r="F4524" s="2" t="s">
        <v>12344</v>
      </c>
      <c r="G4524" s="2"/>
      <c r="H4524" s="12">
        <v>0.0</v>
      </c>
      <c r="I4524" s="2" t="s">
        <v>40</v>
      </c>
      <c r="J4524" s="2"/>
      <c r="K4524" s="2" t="s">
        <v>12345</v>
      </c>
      <c r="L4524" s="12">
        <v>73.0</v>
      </c>
      <c r="M4524" s="2" t="s">
        <v>12346</v>
      </c>
      <c r="N4524" s="2" t="str">
        <f>IFERROR(__xludf.DUMMYFUNCTION("""COMPUTED_VALUE"""),"")</f>
        <v/>
      </c>
    </row>
    <row r="4525">
      <c r="A4525" s="2" t="s">
        <v>33</v>
      </c>
      <c r="B4525" s="12">
        <v>4362737.0</v>
      </c>
      <c r="C4525" s="12">
        <v>4364488.0</v>
      </c>
      <c r="D4525" s="2"/>
      <c r="E4525" s="2" t="s">
        <v>34</v>
      </c>
      <c r="F4525" s="2" t="s">
        <v>432</v>
      </c>
      <c r="G4525" s="2"/>
      <c r="H4525" s="12">
        <v>0.0</v>
      </c>
      <c r="I4525" s="2" t="s">
        <v>40</v>
      </c>
      <c r="J4525" s="2"/>
      <c r="K4525" s="2" t="s">
        <v>12347</v>
      </c>
      <c r="L4525" s="12">
        <v>583.0</v>
      </c>
      <c r="M4525" s="2" t="s">
        <v>12348</v>
      </c>
      <c r="N4525" s="2" t="str">
        <f>IFERROR(__xludf.DUMMYFUNCTION("""COMPUTED_VALUE"""),"")</f>
        <v/>
      </c>
    </row>
    <row r="4526">
      <c r="A4526" s="2" t="s">
        <v>33</v>
      </c>
      <c r="B4526" s="12">
        <v>4364488.0</v>
      </c>
      <c r="C4526" s="12">
        <v>4366251.0</v>
      </c>
      <c r="D4526" s="2"/>
      <c r="E4526" s="2" t="s">
        <v>34</v>
      </c>
      <c r="F4526" s="2" t="s">
        <v>432</v>
      </c>
      <c r="G4526" s="2"/>
      <c r="H4526" s="12">
        <v>0.0</v>
      </c>
      <c r="I4526" s="2" t="s">
        <v>40</v>
      </c>
      <c r="J4526" s="2"/>
      <c r="K4526" s="2" t="s">
        <v>12349</v>
      </c>
      <c r="L4526" s="12">
        <v>587.0</v>
      </c>
      <c r="M4526" s="2" t="s">
        <v>12350</v>
      </c>
      <c r="N4526" s="2" t="str">
        <f>IFERROR(__xludf.DUMMYFUNCTION("""COMPUTED_VALUE"""),"")</f>
        <v/>
      </c>
    </row>
    <row r="4527">
      <c r="A4527" s="2" t="s">
        <v>33</v>
      </c>
      <c r="B4527" s="12">
        <v>4366382.0</v>
      </c>
      <c r="C4527" s="12">
        <v>4367428.0</v>
      </c>
      <c r="D4527" s="2"/>
      <c r="E4527" s="2" t="s">
        <v>34</v>
      </c>
      <c r="F4527" s="2" t="s">
        <v>115</v>
      </c>
      <c r="G4527" s="2"/>
      <c r="H4527" s="12">
        <v>0.0</v>
      </c>
      <c r="I4527" s="2" t="s">
        <v>40</v>
      </c>
      <c r="J4527" s="2"/>
      <c r="K4527" s="2" t="s">
        <v>12351</v>
      </c>
      <c r="L4527" s="12">
        <v>348.0</v>
      </c>
      <c r="M4527" s="2" t="s">
        <v>12352</v>
      </c>
      <c r="N4527" s="2" t="str">
        <f>IFERROR(__xludf.DUMMYFUNCTION("""COMPUTED_VALUE"""),"")</f>
        <v/>
      </c>
    </row>
    <row r="4528">
      <c r="A4528" s="2" t="s">
        <v>33</v>
      </c>
      <c r="B4528" s="12">
        <v>4367569.0</v>
      </c>
      <c r="C4528" s="12">
        <v>4368588.0</v>
      </c>
      <c r="D4528" s="2"/>
      <c r="E4528" s="2" t="s">
        <v>34</v>
      </c>
      <c r="F4528" s="2" t="s">
        <v>12353</v>
      </c>
      <c r="G4528" s="2"/>
      <c r="H4528" s="12">
        <v>0.0</v>
      </c>
      <c r="I4528" s="2" t="s">
        <v>40</v>
      </c>
      <c r="J4528" s="2"/>
      <c r="K4528" s="2" t="s">
        <v>12354</v>
      </c>
      <c r="L4528" s="12">
        <v>339.0</v>
      </c>
      <c r="M4528" s="2" t="s">
        <v>12355</v>
      </c>
      <c r="N4528" s="2" t="str">
        <f>IFERROR(__xludf.DUMMYFUNCTION("""COMPUTED_VALUE"""),"")</f>
        <v/>
      </c>
    </row>
    <row r="4529">
      <c r="A4529" s="2" t="s">
        <v>33</v>
      </c>
      <c r="B4529" s="12">
        <v>4368612.0</v>
      </c>
      <c r="C4529" s="12">
        <v>4369160.0</v>
      </c>
      <c r="D4529" s="2"/>
      <c r="E4529" s="2" t="s">
        <v>34</v>
      </c>
      <c r="F4529" s="2" t="s">
        <v>39</v>
      </c>
      <c r="G4529" s="2"/>
      <c r="H4529" s="12">
        <v>0.0</v>
      </c>
      <c r="I4529" s="2" t="s">
        <v>40</v>
      </c>
      <c r="J4529" s="2"/>
      <c r="K4529" s="2" t="s">
        <v>12356</v>
      </c>
      <c r="L4529" s="12">
        <v>182.0</v>
      </c>
      <c r="M4529" s="2" t="s">
        <v>12357</v>
      </c>
      <c r="N4529" s="2" t="str">
        <f>IFERROR(__xludf.DUMMYFUNCTION("""COMPUTED_VALUE"""),"")</f>
        <v/>
      </c>
    </row>
    <row r="4530">
      <c r="A4530" s="2" t="s">
        <v>33</v>
      </c>
      <c r="B4530" s="12">
        <v>4369400.0</v>
      </c>
      <c r="C4530" s="12">
        <v>4369546.0</v>
      </c>
      <c r="D4530" s="2"/>
      <c r="E4530" s="2" t="s">
        <v>34</v>
      </c>
      <c r="F4530" s="2" t="s">
        <v>2026</v>
      </c>
      <c r="G4530" s="2"/>
      <c r="H4530" s="12">
        <v>0.0</v>
      </c>
      <c r="I4530" s="2" t="s">
        <v>40</v>
      </c>
      <c r="J4530" s="2"/>
      <c r="K4530" s="2" t="s">
        <v>12358</v>
      </c>
      <c r="L4530" s="12">
        <v>48.0</v>
      </c>
      <c r="M4530" s="2" t="s">
        <v>12359</v>
      </c>
      <c r="N4530" s="2" t="str">
        <f>IFERROR(__xludf.DUMMYFUNCTION("""COMPUTED_VALUE"""),"")</f>
        <v/>
      </c>
    </row>
    <row r="4531">
      <c r="A4531" s="2" t="s">
        <v>33</v>
      </c>
      <c r="B4531" s="12">
        <v>4369645.0</v>
      </c>
      <c r="C4531" s="12">
        <v>4370400.0</v>
      </c>
      <c r="D4531" s="2"/>
      <c r="E4531" s="2" t="s">
        <v>34</v>
      </c>
      <c r="F4531" s="2" t="s">
        <v>2751</v>
      </c>
      <c r="G4531" s="2"/>
      <c r="H4531" s="12">
        <v>0.0</v>
      </c>
      <c r="I4531" s="2" t="s">
        <v>40</v>
      </c>
      <c r="J4531" s="2"/>
      <c r="K4531" s="2" t="s">
        <v>12360</v>
      </c>
      <c r="L4531" s="12">
        <v>251.0</v>
      </c>
      <c r="M4531" s="2" t="s">
        <v>12361</v>
      </c>
      <c r="N4531" s="2" t="str">
        <f>IFERROR(__xludf.DUMMYFUNCTION("""COMPUTED_VALUE"""),"")</f>
        <v/>
      </c>
    </row>
    <row r="4532">
      <c r="A4532" s="2" t="s">
        <v>33</v>
      </c>
      <c r="B4532" s="12">
        <v>4370762.0</v>
      </c>
      <c r="C4532" s="12">
        <v>4370968.0</v>
      </c>
      <c r="D4532" s="2"/>
      <c r="E4532" s="2" t="s">
        <v>38</v>
      </c>
      <c r="F4532" s="2" t="s">
        <v>12362</v>
      </c>
      <c r="G4532" s="2"/>
      <c r="H4532" s="12">
        <v>0.0</v>
      </c>
      <c r="I4532" s="2" t="s">
        <v>40</v>
      </c>
      <c r="J4532" s="2"/>
      <c r="K4532" s="2" t="s">
        <v>12363</v>
      </c>
      <c r="L4532" s="12">
        <v>68.0</v>
      </c>
      <c r="M4532" s="2" t="s">
        <v>12364</v>
      </c>
      <c r="N4532" s="2" t="str">
        <f>IFERROR(__xludf.DUMMYFUNCTION("""COMPUTED_VALUE"""),"")</f>
        <v/>
      </c>
    </row>
    <row r="4533">
      <c r="A4533" s="2" t="s">
        <v>33</v>
      </c>
      <c r="B4533" s="12">
        <v>4371111.0</v>
      </c>
      <c r="C4533" s="12">
        <v>4371524.0</v>
      </c>
      <c r="D4533" s="2"/>
      <c r="E4533" s="2" t="s">
        <v>34</v>
      </c>
      <c r="F4533" s="2" t="s">
        <v>1611</v>
      </c>
      <c r="G4533" s="2"/>
      <c r="H4533" s="12">
        <v>0.0</v>
      </c>
      <c r="I4533" s="2" t="s">
        <v>40</v>
      </c>
      <c r="J4533" s="2"/>
      <c r="K4533" s="2" t="s">
        <v>12365</v>
      </c>
      <c r="L4533" s="12">
        <v>137.0</v>
      </c>
      <c r="M4533" s="2" t="s">
        <v>12366</v>
      </c>
      <c r="N4533" s="2" t="str">
        <f>IFERROR(__xludf.DUMMYFUNCTION("""COMPUTED_VALUE"""),"")</f>
        <v/>
      </c>
    </row>
    <row r="4534">
      <c r="A4534" s="2" t="s">
        <v>33</v>
      </c>
      <c r="B4534" s="12">
        <v>4371537.0</v>
      </c>
      <c r="C4534" s="12">
        <v>4372214.0</v>
      </c>
      <c r="D4534" s="2"/>
      <c r="E4534" s="2" t="s">
        <v>38</v>
      </c>
      <c r="F4534" s="2" t="s">
        <v>8224</v>
      </c>
      <c r="G4534" s="2"/>
      <c r="H4534" s="12">
        <v>0.0</v>
      </c>
      <c r="I4534" s="2" t="s">
        <v>40</v>
      </c>
      <c r="J4534" s="2"/>
      <c r="K4534" s="2" t="s">
        <v>12367</v>
      </c>
      <c r="L4534" s="12">
        <v>225.0</v>
      </c>
      <c r="M4534" s="2" t="s">
        <v>12368</v>
      </c>
      <c r="N4534" s="2" t="str">
        <f>IFERROR(__xludf.DUMMYFUNCTION("""COMPUTED_VALUE"""),"")</f>
        <v/>
      </c>
    </row>
    <row r="4535">
      <c r="A4535" s="2" t="s">
        <v>33</v>
      </c>
      <c r="B4535" s="12">
        <v>4372211.0</v>
      </c>
      <c r="C4535" s="12">
        <v>4372576.0</v>
      </c>
      <c r="D4535" s="2"/>
      <c r="E4535" s="2" t="s">
        <v>38</v>
      </c>
      <c r="F4535" s="2" t="s">
        <v>8221</v>
      </c>
      <c r="G4535" s="2"/>
      <c r="H4535" s="12">
        <v>0.0</v>
      </c>
      <c r="I4535" s="2" t="s">
        <v>40</v>
      </c>
      <c r="J4535" s="2"/>
      <c r="K4535" s="2" t="s">
        <v>12369</v>
      </c>
      <c r="L4535" s="12">
        <v>121.0</v>
      </c>
      <c r="M4535" s="2" t="s">
        <v>12370</v>
      </c>
      <c r="N4535" s="2" t="str">
        <f>IFERROR(__xludf.DUMMYFUNCTION("""COMPUTED_VALUE"""),"")</f>
        <v/>
      </c>
    </row>
    <row r="4536">
      <c r="A4536" s="2" t="s">
        <v>33</v>
      </c>
      <c r="B4536" s="12">
        <v>4372730.0</v>
      </c>
      <c r="C4536" s="12">
        <v>4373629.0</v>
      </c>
      <c r="D4536" s="2"/>
      <c r="E4536" s="2" t="s">
        <v>34</v>
      </c>
      <c r="F4536" s="2" t="s">
        <v>12371</v>
      </c>
      <c r="G4536" s="2" t="s">
        <v>12372</v>
      </c>
      <c r="H4536" s="12">
        <v>0.0</v>
      </c>
      <c r="I4536" s="2" t="s">
        <v>40</v>
      </c>
      <c r="J4536" s="2"/>
      <c r="K4536" s="2" t="s">
        <v>12373</v>
      </c>
      <c r="L4536" s="12">
        <v>299.0</v>
      </c>
      <c r="M4536" s="2" t="s">
        <v>12374</v>
      </c>
      <c r="N4536" s="2" t="str">
        <f>IFERROR(__xludf.DUMMYFUNCTION("""COMPUTED_VALUE"""),"")</f>
        <v/>
      </c>
    </row>
    <row r="4537">
      <c r="A4537" s="2" t="s">
        <v>33</v>
      </c>
      <c r="B4537" s="12">
        <v>4373723.0</v>
      </c>
      <c r="C4537" s="12">
        <v>4374322.0</v>
      </c>
      <c r="D4537" s="2"/>
      <c r="E4537" s="2" t="s">
        <v>38</v>
      </c>
      <c r="F4537" s="2" t="s">
        <v>39</v>
      </c>
      <c r="G4537" s="2"/>
      <c r="H4537" s="12">
        <v>0.0</v>
      </c>
      <c r="I4537" s="2" t="s">
        <v>40</v>
      </c>
      <c r="J4537" s="2"/>
      <c r="K4537" s="2" t="s">
        <v>12375</v>
      </c>
      <c r="L4537" s="12">
        <v>199.0</v>
      </c>
      <c r="M4537" s="2" t="s">
        <v>12376</v>
      </c>
      <c r="N4537" s="2" t="str">
        <f>IFERROR(__xludf.DUMMYFUNCTION("""COMPUTED_VALUE"""),"")</f>
        <v/>
      </c>
    </row>
    <row r="4538">
      <c r="A4538" s="2" t="s">
        <v>33</v>
      </c>
      <c r="B4538" s="12">
        <v>4374492.0</v>
      </c>
      <c r="C4538" s="12">
        <v>4375067.0</v>
      </c>
      <c r="D4538" s="2"/>
      <c r="E4538" s="2" t="s">
        <v>34</v>
      </c>
      <c r="F4538" s="2" t="s">
        <v>265</v>
      </c>
      <c r="G4538" s="2"/>
      <c r="H4538" s="12">
        <v>0.0</v>
      </c>
      <c r="I4538" s="2" t="s">
        <v>40</v>
      </c>
      <c r="J4538" s="2"/>
      <c r="K4538" s="2" t="s">
        <v>12377</v>
      </c>
      <c r="L4538" s="12">
        <v>191.0</v>
      </c>
      <c r="M4538" s="2" t="s">
        <v>12378</v>
      </c>
      <c r="N4538" s="2" t="str">
        <f>IFERROR(__xludf.DUMMYFUNCTION("""COMPUTED_VALUE"""),"")</f>
        <v/>
      </c>
    </row>
    <row r="4539">
      <c r="A4539" s="2" t="s">
        <v>33</v>
      </c>
      <c r="B4539" s="12">
        <v>4375158.0</v>
      </c>
      <c r="C4539" s="12">
        <v>4376069.0</v>
      </c>
      <c r="D4539" s="2"/>
      <c r="E4539" s="2" t="s">
        <v>34</v>
      </c>
      <c r="F4539" s="2" t="s">
        <v>432</v>
      </c>
      <c r="G4539" s="2"/>
      <c r="H4539" s="12">
        <v>0.0</v>
      </c>
      <c r="I4539" s="2" t="s">
        <v>40</v>
      </c>
      <c r="J4539" s="2"/>
      <c r="K4539" s="2" t="s">
        <v>12379</v>
      </c>
      <c r="L4539" s="12">
        <v>303.0</v>
      </c>
      <c r="M4539" s="2" t="s">
        <v>12380</v>
      </c>
      <c r="N4539" s="2" t="str">
        <f>IFERROR(__xludf.DUMMYFUNCTION("""COMPUTED_VALUE"""),"")</f>
        <v/>
      </c>
    </row>
    <row r="4540">
      <c r="A4540" s="2" t="s">
        <v>33</v>
      </c>
      <c r="B4540" s="12">
        <v>4376062.0</v>
      </c>
      <c r="C4540" s="12">
        <v>4377006.0</v>
      </c>
      <c r="D4540" s="2"/>
      <c r="E4540" s="2" t="s">
        <v>34</v>
      </c>
      <c r="F4540" s="2" t="s">
        <v>265</v>
      </c>
      <c r="G4540" s="2"/>
      <c r="H4540" s="12">
        <v>0.0</v>
      </c>
      <c r="I4540" s="2" t="s">
        <v>40</v>
      </c>
      <c r="J4540" s="2"/>
      <c r="K4540" s="2" t="s">
        <v>12381</v>
      </c>
      <c r="L4540" s="12">
        <v>314.0</v>
      </c>
      <c r="M4540" s="2" t="s">
        <v>12382</v>
      </c>
      <c r="N4540" s="2" t="str">
        <f>IFERROR(__xludf.DUMMYFUNCTION("""COMPUTED_VALUE"""),"")</f>
        <v/>
      </c>
    </row>
    <row r="4541">
      <c r="A4541" s="2" t="s">
        <v>33</v>
      </c>
      <c r="B4541" s="12">
        <v>4377053.0</v>
      </c>
      <c r="C4541" s="12">
        <v>4378198.0</v>
      </c>
      <c r="D4541" s="2"/>
      <c r="E4541" s="2" t="s">
        <v>38</v>
      </c>
      <c r="F4541" s="2" t="s">
        <v>6155</v>
      </c>
      <c r="G4541" s="2"/>
      <c r="H4541" s="12">
        <v>0.0</v>
      </c>
      <c r="I4541" s="2" t="s">
        <v>40</v>
      </c>
      <c r="J4541" s="2"/>
      <c r="K4541" s="2" t="s">
        <v>12383</v>
      </c>
      <c r="L4541" s="12">
        <v>381.0</v>
      </c>
      <c r="M4541" s="2" t="s">
        <v>12384</v>
      </c>
      <c r="N4541" s="2" t="str">
        <f>IFERROR(__xludf.DUMMYFUNCTION("""COMPUTED_VALUE"""),"")</f>
        <v/>
      </c>
    </row>
    <row r="4542">
      <c r="A4542" s="2" t="s">
        <v>33</v>
      </c>
      <c r="B4542" s="12">
        <v>4378338.0</v>
      </c>
      <c r="C4542" s="12">
        <v>4379246.0</v>
      </c>
      <c r="D4542" s="2"/>
      <c r="E4542" s="2" t="s">
        <v>38</v>
      </c>
      <c r="F4542" s="2" t="s">
        <v>738</v>
      </c>
      <c r="G4542" s="2"/>
      <c r="H4542" s="12">
        <v>0.0</v>
      </c>
      <c r="I4542" s="2" t="s">
        <v>40</v>
      </c>
      <c r="J4542" s="2"/>
      <c r="K4542" s="2" t="s">
        <v>12385</v>
      </c>
      <c r="L4542" s="12">
        <v>302.0</v>
      </c>
      <c r="M4542" s="2" t="s">
        <v>12386</v>
      </c>
      <c r="N4542" s="2" t="str">
        <f>IFERROR(__xludf.DUMMYFUNCTION("""COMPUTED_VALUE"""),"")</f>
        <v/>
      </c>
    </row>
    <row r="4543">
      <c r="A4543" s="2" t="s">
        <v>33</v>
      </c>
      <c r="B4543" s="12">
        <v>4379569.0</v>
      </c>
      <c r="C4543" s="12">
        <v>4379718.0</v>
      </c>
      <c r="D4543" s="2"/>
      <c r="E4543" s="2" t="s">
        <v>34</v>
      </c>
      <c r="F4543" s="2" t="s">
        <v>12173</v>
      </c>
      <c r="G4543" s="2"/>
      <c r="H4543" s="12">
        <v>0.0</v>
      </c>
      <c r="I4543" s="2" t="s">
        <v>40</v>
      </c>
      <c r="J4543" s="2"/>
      <c r="K4543" s="2" t="s">
        <v>12387</v>
      </c>
      <c r="L4543" s="12">
        <v>49.0</v>
      </c>
      <c r="M4543" s="2" t="s">
        <v>12388</v>
      </c>
      <c r="N4543" s="2" t="str">
        <f>IFERROR(__xludf.DUMMYFUNCTION("""COMPUTED_VALUE"""),"")</f>
        <v/>
      </c>
    </row>
    <row r="4544">
      <c r="A4544" s="2" t="s">
        <v>33</v>
      </c>
      <c r="B4544" s="12">
        <v>4379735.0</v>
      </c>
      <c r="C4544" s="12">
        <v>4380442.0</v>
      </c>
      <c r="D4544" s="2"/>
      <c r="E4544" s="2" t="s">
        <v>34</v>
      </c>
      <c r="F4544" s="2" t="s">
        <v>2459</v>
      </c>
      <c r="G4544" s="2" t="s">
        <v>2460</v>
      </c>
      <c r="H4544" s="12">
        <v>0.0</v>
      </c>
      <c r="I4544" s="2" t="s">
        <v>40</v>
      </c>
      <c r="J4544" s="2"/>
      <c r="K4544" s="2" t="s">
        <v>12389</v>
      </c>
      <c r="L4544" s="12">
        <v>235.0</v>
      </c>
      <c r="M4544" s="2" t="s">
        <v>12390</v>
      </c>
      <c r="N4544" s="2" t="str">
        <f>IFERROR(__xludf.DUMMYFUNCTION("""COMPUTED_VALUE"""),"")</f>
        <v/>
      </c>
    </row>
    <row r="4545">
      <c r="A4545" s="2" t="s">
        <v>33</v>
      </c>
      <c r="B4545" s="12">
        <v>4380533.0</v>
      </c>
      <c r="C4545" s="12">
        <v>4381039.0</v>
      </c>
      <c r="D4545" s="2"/>
      <c r="E4545" s="2" t="s">
        <v>34</v>
      </c>
      <c r="F4545" s="2" t="s">
        <v>2173</v>
      </c>
      <c r="G4545" s="2"/>
      <c r="H4545" s="12">
        <v>0.0</v>
      </c>
      <c r="I4545" s="2" t="s">
        <v>40</v>
      </c>
      <c r="J4545" s="2"/>
      <c r="K4545" s="2" t="s">
        <v>12391</v>
      </c>
      <c r="L4545" s="12">
        <v>168.0</v>
      </c>
      <c r="M4545" s="2" t="s">
        <v>12392</v>
      </c>
      <c r="N4545" s="2" t="str">
        <f>IFERROR(__xludf.DUMMYFUNCTION("""COMPUTED_VALUE"""),"")</f>
        <v/>
      </c>
    </row>
    <row r="4546">
      <c r="A4546" s="2" t="s">
        <v>33</v>
      </c>
      <c r="B4546" s="12">
        <v>4381110.0</v>
      </c>
      <c r="C4546" s="12">
        <v>4381541.0</v>
      </c>
      <c r="D4546" s="2"/>
      <c r="E4546" s="2" t="s">
        <v>38</v>
      </c>
      <c r="F4546" s="2" t="s">
        <v>12393</v>
      </c>
      <c r="G4546" s="2"/>
      <c r="H4546" s="12">
        <v>0.0</v>
      </c>
      <c r="I4546" s="2" t="s">
        <v>40</v>
      </c>
      <c r="J4546" s="2"/>
      <c r="K4546" s="2" t="s">
        <v>12394</v>
      </c>
      <c r="L4546" s="12">
        <v>143.0</v>
      </c>
      <c r="M4546" s="2" t="s">
        <v>12395</v>
      </c>
      <c r="N4546" s="2" t="str">
        <f>IFERROR(__xludf.DUMMYFUNCTION("""COMPUTED_VALUE"""),"")</f>
        <v/>
      </c>
    </row>
    <row r="4547">
      <c r="A4547" s="2" t="s">
        <v>33</v>
      </c>
      <c r="B4547" s="12">
        <v>4381645.0</v>
      </c>
      <c r="C4547" s="12">
        <v>4381941.0</v>
      </c>
      <c r="D4547" s="2"/>
      <c r="E4547" s="2" t="s">
        <v>38</v>
      </c>
      <c r="F4547" s="2" t="s">
        <v>39</v>
      </c>
      <c r="G4547" s="2"/>
      <c r="H4547" s="12">
        <v>0.0</v>
      </c>
      <c r="I4547" s="2" t="s">
        <v>40</v>
      </c>
      <c r="J4547" s="2"/>
      <c r="K4547" s="2" t="s">
        <v>12396</v>
      </c>
      <c r="L4547" s="12">
        <v>98.0</v>
      </c>
      <c r="M4547" s="2" t="s">
        <v>12397</v>
      </c>
      <c r="N4547" s="2" t="str">
        <f>IFERROR(__xludf.DUMMYFUNCTION("""COMPUTED_VALUE"""),"")</f>
        <v/>
      </c>
    </row>
    <row r="4548">
      <c r="A4548" s="2" t="s">
        <v>33</v>
      </c>
      <c r="B4548" s="12">
        <v>4382187.0</v>
      </c>
      <c r="C4548" s="12">
        <v>4382773.0</v>
      </c>
      <c r="D4548" s="2"/>
      <c r="E4548" s="2" t="s">
        <v>34</v>
      </c>
      <c r="F4548" s="2" t="s">
        <v>35</v>
      </c>
      <c r="G4548" s="2"/>
      <c r="H4548" s="12">
        <v>0.0</v>
      </c>
      <c r="I4548" s="2" t="s">
        <v>36</v>
      </c>
      <c r="J4548" s="2"/>
      <c r="K4548" s="2"/>
      <c r="L4548" s="2"/>
      <c r="M4548" s="2" t="s">
        <v>12398</v>
      </c>
      <c r="N4548" s="2" t="str">
        <f>IFERROR(__xludf.DUMMYFUNCTION("""COMPUTED_VALUE"""),"")</f>
        <v/>
      </c>
    </row>
    <row r="4549">
      <c r="A4549" s="2" t="s">
        <v>33</v>
      </c>
      <c r="B4549" s="12">
        <v>4382770.0</v>
      </c>
      <c r="C4549" s="12">
        <v>4383342.0</v>
      </c>
      <c r="D4549" s="2"/>
      <c r="E4549" s="2" t="s">
        <v>34</v>
      </c>
      <c r="F4549" s="2" t="s">
        <v>12399</v>
      </c>
      <c r="G4549" s="2"/>
      <c r="H4549" s="12">
        <v>0.0</v>
      </c>
      <c r="I4549" s="2" t="s">
        <v>40</v>
      </c>
      <c r="J4549" s="2"/>
      <c r="K4549" s="2" t="s">
        <v>12400</v>
      </c>
      <c r="L4549" s="12">
        <v>190.0</v>
      </c>
      <c r="M4549" s="2" t="s">
        <v>12401</v>
      </c>
      <c r="N4549" s="2" t="str">
        <f>IFERROR(__xludf.DUMMYFUNCTION("""COMPUTED_VALUE"""),"")</f>
        <v/>
      </c>
    </row>
    <row r="4550">
      <c r="A4550" s="2" t="s">
        <v>33</v>
      </c>
      <c r="B4550" s="12">
        <v>4383346.0</v>
      </c>
      <c r="C4550" s="12">
        <v>4384296.0</v>
      </c>
      <c r="D4550" s="2"/>
      <c r="E4550" s="2" t="s">
        <v>38</v>
      </c>
      <c r="F4550" s="2" t="s">
        <v>289</v>
      </c>
      <c r="G4550" s="2"/>
      <c r="H4550" s="12">
        <v>0.0</v>
      </c>
      <c r="I4550" s="2" t="s">
        <v>40</v>
      </c>
      <c r="J4550" s="2"/>
      <c r="K4550" s="2" t="s">
        <v>12402</v>
      </c>
      <c r="L4550" s="12">
        <v>316.0</v>
      </c>
      <c r="M4550" s="2" t="s">
        <v>12403</v>
      </c>
      <c r="N4550" s="2" t="str">
        <f>IFERROR(__xludf.DUMMYFUNCTION("""COMPUTED_VALUE"""),"")</f>
        <v/>
      </c>
    </row>
    <row r="4551">
      <c r="A4551" s="2" t="s">
        <v>33</v>
      </c>
      <c r="B4551" s="12">
        <v>4384493.0</v>
      </c>
      <c r="C4551" s="12">
        <v>4384933.0</v>
      </c>
      <c r="D4551" s="2"/>
      <c r="E4551" s="2" t="s">
        <v>34</v>
      </c>
      <c r="F4551" s="2" t="s">
        <v>12404</v>
      </c>
      <c r="G4551" s="2" t="s">
        <v>12405</v>
      </c>
      <c r="H4551" s="12">
        <v>0.0</v>
      </c>
      <c r="I4551" s="2" t="s">
        <v>40</v>
      </c>
      <c r="J4551" s="2"/>
      <c r="K4551" s="2" t="s">
        <v>12406</v>
      </c>
      <c r="L4551" s="12">
        <v>146.0</v>
      </c>
      <c r="M4551" s="2" t="s">
        <v>12407</v>
      </c>
      <c r="N4551" s="2" t="str">
        <f>IFERROR(__xludf.DUMMYFUNCTION("""COMPUTED_VALUE"""),"")</f>
        <v/>
      </c>
    </row>
    <row r="4552">
      <c r="A4552" s="2" t="s">
        <v>33</v>
      </c>
      <c r="B4552" s="12">
        <v>4385037.0</v>
      </c>
      <c r="C4552" s="12">
        <v>4386554.0</v>
      </c>
      <c r="D4552" s="2"/>
      <c r="E4552" s="2" t="s">
        <v>34</v>
      </c>
      <c r="F4552" s="2" t="s">
        <v>12408</v>
      </c>
      <c r="G4552" s="2" t="s">
        <v>12409</v>
      </c>
      <c r="H4552" s="12">
        <v>0.0</v>
      </c>
      <c r="I4552" s="2" t="s">
        <v>40</v>
      </c>
      <c r="J4552" s="2"/>
      <c r="K4552" s="2" t="s">
        <v>12410</v>
      </c>
      <c r="L4552" s="12">
        <v>505.0</v>
      </c>
      <c r="M4552" s="2" t="s">
        <v>12411</v>
      </c>
      <c r="N4552" s="2" t="str">
        <f>IFERROR(__xludf.DUMMYFUNCTION("""COMPUTED_VALUE"""),"")</f>
        <v/>
      </c>
    </row>
    <row r="4553">
      <c r="A4553" s="2" t="s">
        <v>33</v>
      </c>
      <c r="B4553" s="12">
        <v>4386578.0</v>
      </c>
      <c r="C4553" s="12">
        <v>4388236.0</v>
      </c>
      <c r="D4553" s="2"/>
      <c r="E4553" s="2" t="s">
        <v>34</v>
      </c>
      <c r="F4553" s="2" t="s">
        <v>12412</v>
      </c>
      <c r="G4553" s="2" t="s">
        <v>12413</v>
      </c>
      <c r="H4553" s="12">
        <v>0.0</v>
      </c>
      <c r="I4553" s="2" t="s">
        <v>40</v>
      </c>
      <c r="J4553" s="2"/>
      <c r="K4553" s="2" t="s">
        <v>12414</v>
      </c>
      <c r="L4553" s="12">
        <v>552.0</v>
      </c>
      <c r="M4553" s="2" t="s">
        <v>12415</v>
      </c>
      <c r="N4553" s="2" t="str">
        <f>IFERROR(__xludf.DUMMYFUNCTION("""COMPUTED_VALUE"""),"")</f>
        <v/>
      </c>
    </row>
    <row r="4554">
      <c r="A4554" s="2" t="s">
        <v>33</v>
      </c>
      <c r="B4554" s="12">
        <v>4388249.0</v>
      </c>
      <c r="C4554" s="12">
        <v>4389520.0</v>
      </c>
      <c r="D4554" s="2"/>
      <c r="E4554" s="2" t="s">
        <v>34</v>
      </c>
      <c r="F4554" s="2" t="s">
        <v>12416</v>
      </c>
      <c r="G4554" s="2" t="s">
        <v>12417</v>
      </c>
      <c r="H4554" s="12">
        <v>0.0</v>
      </c>
      <c r="I4554" s="2" t="s">
        <v>40</v>
      </c>
      <c r="J4554" s="2"/>
      <c r="K4554" s="2" t="s">
        <v>12418</v>
      </c>
      <c r="L4554" s="12">
        <v>423.0</v>
      </c>
      <c r="M4554" s="2" t="s">
        <v>12419</v>
      </c>
      <c r="N4554" s="2" t="str">
        <f>IFERROR(__xludf.DUMMYFUNCTION("""COMPUTED_VALUE"""),"")</f>
        <v/>
      </c>
    </row>
    <row r="4555">
      <c r="A4555" s="2" t="s">
        <v>33</v>
      </c>
      <c r="B4555" s="12">
        <v>4389499.0</v>
      </c>
      <c r="C4555" s="12">
        <v>4390470.0</v>
      </c>
      <c r="D4555" s="2"/>
      <c r="E4555" s="2" t="s">
        <v>34</v>
      </c>
      <c r="F4555" s="2" t="s">
        <v>12420</v>
      </c>
      <c r="G4555" s="2" t="s">
        <v>12421</v>
      </c>
      <c r="H4555" s="12">
        <v>0.0</v>
      </c>
      <c r="I4555" s="2" t="s">
        <v>40</v>
      </c>
      <c r="J4555" s="2"/>
      <c r="K4555" s="2" t="s">
        <v>12422</v>
      </c>
      <c r="L4555" s="12">
        <v>323.0</v>
      </c>
      <c r="M4555" s="2" t="s">
        <v>12423</v>
      </c>
      <c r="N4555" s="2" t="str">
        <f>IFERROR(__xludf.DUMMYFUNCTION("""COMPUTED_VALUE"""),"")</f>
        <v/>
      </c>
    </row>
    <row r="4556">
      <c r="A4556" s="2" t="s">
        <v>33</v>
      </c>
      <c r="B4556" s="12">
        <v>4390731.0</v>
      </c>
      <c r="C4556" s="12">
        <v>4391192.0</v>
      </c>
      <c r="D4556" s="2"/>
      <c r="E4556" s="2" t="s">
        <v>34</v>
      </c>
      <c r="F4556" s="2" t="s">
        <v>9247</v>
      </c>
      <c r="G4556" s="2"/>
      <c r="H4556" s="12">
        <v>0.0</v>
      </c>
      <c r="I4556" s="2" t="s">
        <v>40</v>
      </c>
      <c r="J4556" s="2"/>
      <c r="K4556" s="2" t="s">
        <v>12424</v>
      </c>
      <c r="L4556" s="12">
        <v>153.0</v>
      </c>
      <c r="M4556" s="2" t="s">
        <v>12425</v>
      </c>
      <c r="N4556" s="2" t="str">
        <f>IFERROR(__xludf.DUMMYFUNCTION("""COMPUTED_VALUE"""),"")</f>
        <v/>
      </c>
    </row>
    <row r="4557">
      <c r="A4557" s="2" t="s">
        <v>33</v>
      </c>
      <c r="B4557" s="12">
        <v>4391779.0</v>
      </c>
      <c r="C4557" s="12">
        <v>4392906.0</v>
      </c>
      <c r="D4557" s="2"/>
      <c r="E4557" s="2" t="s">
        <v>34</v>
      </c>
      <c r="F4557" s="2" t="s">
        <v>12426</v>
      </c>
      <c r="G4557" s="2"/>
      <c r="H4557" s="12">
        <v>0.0</v>
      </c>
      <c r="I4557" s="2" t="s">
        <v>40</v>
      </c>
      <c r="J4557" s="2"/>
      <c r="K4557" s="2" t="s">
        <v>12427</v>
      </c>
      <c r="L4557" s="12">
        <v>375.0</v>
      </c>
      <c r="M4557" s="2" t="s">
        <v>12428</v>
      </c>
      <c r="N4557" s="2" t="str">
        <f>IFERROR(__xludf.DUMMYFUNCTION("""COMPUTED_VALUE"""),"")</f>
        <v/>
      </c>
    </row>
    <row r="4558">
      <c r="A4558" s="2" t="s">
        <v>33</v>
      </c>
      <c r="B4558" s="12">
        <v>4392974.0</v>
      </c>
      <c r="C4558" s="12">
        <v>4394548.0</v>
      </c>
      <c r="D4558" s="2"/>
      <c r="E4558" s="2" t="s">
        <v>34</v>
      </c>
      <c r="F4558" s="2" t="s">
        <v>12429</v>
      </c>
      <c r="G4558" s="2"/>
      <c r="H4558" s="12">
        <v>0.0</v>
      </c>
      <c r="I4558" s="2" t="s">
        <v>40</v>
      </c>
      <c r="J4558" s="2"/>
      <c r="K4558" s="2" t="s">
        <v>12430</v>
      </c>
      <c r="L4558" s="12">
        <v>524.0</v>
      </c>
      <c r="M4558" s="2" t="s">
        <v>12431</v>
      </c>
      <c r="N4558" s="2" t="str">
        <f>IFERROR(__xludf.DUMMYFUNCTION("""COMPUTED_VALUE"""),"")</f>
        <v/>
      </c>
    </row>
    <row r="4559">
      <c r="A4559" s="2" t="s">
        <v>33</v>
      </c>
      <c r="B4559" s="12">
        <v>4394660.0</v>
      </c>
      <c r="C4559" s="12">
        <v>4395148.0</v>
      </c>
      <c r="D4559" s="2"/>
      <c r="E4559" s="2" t="s">
        <v>34</v>
      </c>
      <c r="F4559" s="2" t="s">
        <v>12432</v>
      </c>
      <c r="G4559" s="2"/>
      <c r="H4559" s="12">
        <v>0.0</v>
      </c>
      <c r="I4559" s="2" t="s">
        <v>40</v>
      </c>
      <c r="J4559" s="2"/>
      <c r="K4559" s="2" t="s">
        <v>12433</v>
      </c>
      <c r="L4559" s="12">
        <v>162.0</v>
      </c>
      <c r="M4559" s="2" t="s">
        <v>12434</v>
      </c>
      <c r="N4559" s="2" t="str">
        <f>IFERROR(__xludf.DUMMYFUNCTION("""COMPUTED_VALUE"""),"")</f>
        <v/>
      </c>
    </row>
    <row r="4560">
      <c r="A4560" s="2" t="s">
        <v>33</v>
      </c>
      <c r="B4560" s="12">
        <v>4395447.0</v>
      </c>
      <c r="C4560" s="12">
        <v>4396925.0</v>
      </c>
      <c r="D4560" s="2"/>
      <c r="E4560" s="2" t="s">
        <v>34</v>
      </c>
      <c r="F4560" s="2" t="s">
        <v>3888</v>
      </c>
      <c r="G4560" s="2" t="s">
        <v>3889</v>
      </c>
      <c r="H4560" s="12">
        <v>0.0</v>
      </c>
      <c r="I4560" s="2" t="s">
        <v>40</v>
      </c>
      <c r="J4560" s="2"/>
      <c r="K4560" s="2" t="s">
        <v>12435</v>
      </c>
      <c r="L4560" s="12">
        <v>492.0</v>
      </c>
      <c r="M4560" s="2" t="s">
        <v>12436</v>
      </c>
      <c r="N4560" s="2" t="str">
        <f>IFERROR(__xludf.DUMMYFUNCTION("""COMPUTED_VALUE"""),"")</f>
        <v/>
      </c>
    </row>
    <row r="4561">
      <c r="A4561" s="2" t="s">
        <v>33</v>
      </c>
      <c r="B4561" s="12">
        <v>4397278.0</v>
      </c>
      <c r="C4561" s="12">
        <v>4398216.0</v>
      </c>
      <c r="D4561" s="2"/>
      <c r="E4561" s="2" t="s">
        <v>34</v>
      </c>
      <c r="F4561" s="2" t="s">
        <v>4461</v>
      </c>
      <c r="G4561" s="2"/>
      <c r="H4561" s="12">
        <v>0.0</v>
      </c>
      <c r="I4561" s="2" t="s">
        <v>40</v>
      </c>
      <c r="J4561" s="2"/>
      <c r="K4561" s="2" t="s">
        <v>12437</v>
      </c>
      <c r="L4561" s="12">
        <v>312.0</v>
      </c>
      <c r="M4561" s="2" t="s">
        <v>12438</v>
      </c>
      <c r="N4561" s="2" t="str">
        <f>IFERROR(__xludf.DUMMYFUNCTION("""COMPUTED_VALUE"""),"")</f>
        <v/>
      </c>
    </row>
    <row r="4562">
      <c r="A4562" s="2" t="s">
        <v>33</v>
      </c>
      <c r="B4562" s="12">
        <v>4398241.0</v>
      </c>
      <c r="C4562" s="12">
        <v>4398849.0</v>
      </c>
      <c r="D4562" s="2"/>
      <c r="E4562" s="2" t="s">
        <v>34</v>
      </c>
      <c r="F4562" s="2" t="s">
        <v>1672</v>
      </c>
      <c r="G4562" s="2"/>
      <c r="H4562" s="12">
        <v>0.0</v>
      </c>
      <c r="I4562" s="2" t="s">
        <v>40</v>
      </c>
      <c r="J4562" s="2"/>
      <c r="K4562" s="2" t="s">
        <v>12439</v>
      </c>
      <c r="L4562" s="12">
        <v>202.0</v>
      </c>
      <c r="M4562" s="2" t="s">
        <v>12440</v>
      </c>
      <c r="N4562" s="2" t="str">
        <f>IFERROR(__xludf.DUMMYFUNCTION("""COMPUTED_VALUE"""),"")</f>
        <v/>
      </c>
    </row>
    <row r="4563">
      <c r="A4563" s="2" t="s">
        <v>33</v>
      </c>
      <c r="B4563" s="12">
        <v>4398894.0</v>
      </c>
      <c r="C4563" s="12">
        <v>4400426.0</v>
      </c>
      <c r="D4563" s="2"/>
      <c r="E4563" s="2" t="s">
        <v>38</v>
      </c>
      <c r="F4563" s="2" t="s">
        <v>12441</v>
      </c>
      <c r="G4563" s="2"/>
      <c r="H4563" s="12">
        <v>0.0</v>
      </c>
      <c r="I4563" s="2" t="s">
        <v>40</v>
      </c>
      <c r="J4563" s="2"/>
      <c r="K4563" s="2" t="s">
        <v>12442</v>
      </c>
      <c r="L4563" s="12">
        <v>510.0</v>
      </c>
      <c r="M4563" s="2" t="s">
        <v>12443</v>
      </c>
      <c r="N4563" s="2" t="str">
        <f>IFERROR(__xludf.DUMMYFUNCTION("""COMPUTED_VALUE"""),"")</f>
        <v/>
      </c>
    </row>
    <row r="4564">
      <c r="A4564" s="2" t="s">
        <v>33</v>
      </c>
      <c r="B4564" s="12">
        <v>4400663.0</v>
      </c>
      <c r="C4564" s="12">
        <v>4401034.0</v>
      </c>
      <c r="D4564" s="2"/>
      <c r="E4564" s="2" t="s">
        <v>34</v>
      </c>
      <c r="F4564" s="2" t="s">
        <v>541</v>
      </c>
      <c r="G4564" s="2"/>
      <c r="H4564" s="12">
        <v>0.0</v>
      </c>
      <c r="I4564" s="2" t="s">
        <v>40</v>
      </c>
      <c r="J4564" s="2"/>
      <c r="K4564" s="2" t="s">
        <v>12444</v>
      </c>
      <c r="L4564" s="12">
        <v>123.0</v>
      </c>
      <c r="M4564" s="2" t="s">
        <v>12445</v>
      </c>
      <c r="N4564" s="2" t="str">
        <f>IFERROR(__xludf.DUMMYFUNCTION("""COMPUTED_VALUE"""),"")</f>
        <v/>
      </c>
    </row>
    <row r="4565">
      <c r="A4565" s="2" t="s">
        <v>33</v>
      </c>
      <c r="B4565" s="12">
        <v>4401054.0</v>
      </c>
      <c r="C4565" s="12">
        <v>4401863.0</v>
      </c>
      <c r="D4565" s="2"/>
      <c r="E4565" s="2" t="s">
        <v>38</v>
      </c>
      <c r="F4565" s="2" t="s">
        <v>1506</v>
      </c>
      <c r="G4565" s="2"/>
      <c r="H4565" s="12">
        <v>0.0</v>
      </c>
      <c r="I4565" s="2" t="s">
        <v>40</v>
      </c>
      <c r="J4565" s="2"/>
      <c r="K4565" s="2" t="s">
        <v>12446</v>
      </c>
      <c r="L4565" s="12">
        <v>269.0</v>
      </c>
      <c r="M4565" s="2" t="s">
        <v>12447</v>
      </c>
      <c r="N4565" s="2" t="str">
        <f>IFERROR(__xludf.DUMMYFUNCTION("""COMPUTED_VALUE"""),"")</f>
        <v/>
      </c>
    </row>
    <row r="4566">
      <c r="A4566" s="2" t="s">
        <v>33</v>
      </c>
      <c r="B4566" s="12">
        <v>4401990.0</v>
      </c>
      <c r="C4566" s="12">
        <v>4402811.0</v>
      </c>
      <c r="D4566" s="2"/>
      <c r="E4566" s="2" t="s">
        <v>34</v>
      </c>
      <c r="F4566" s="2" t="s">
        <v>2528</v>
      </c>
      <c r="G4566" s="2"/>
      <c r="H4566" s="12">
        <v>0.0</v>
      </c>
      <c r="I4566" s="2" t="s">
        <v>40</v>
      </c>
      <c r="J4566" s="2"/>
      <c r="K4566" s="2" t="s">
        <v>12448</v>
      </c>
      <c r="L4566" s="12">
        <v>273.0</v>
      </c>
      <c r="M4566" s="2" t="s">
        <v>12449</v>
      </c>
      <c r="N4566" s="2" t="str">
        <f>IFERROR(__xludf.DUMMYFUNCTION("""COMPUTED_VALUE"""),"")</f>
        <v/>
      </c>
    </row>
    <row r="4567">
      <c r="A4567" s="2" t="s">
        <v>33</v>
      </c>
      <c r="B4567" s="12">
        <v>4402827.0</v>
      </c>
      <c r="C4567" s="12">
        <v>4403279.0</v>
      </c>
      <c r="D4567" s="2"/>
      <c r="E4567" s="2" t="s">
        <v>34</v>
      </c>
      <c r="F4567" s="2" t="s">
        <v>12450</v>
      </c>
      <c r="G4567" s="2"/>
      <c r="H4567" s="12">
        <v>0.0</v>
      </c>
      <c r="I4567" s="2" t="s">
        <v>40</v>
      </c>
      <c r="J4567" s="2"/>
      <c r="K4567" s="2" t="s">
        <v>12451</v>
      </c>
      <c r="L4567" s="12">
        <v>150.0</v>
      </c>
      <c r="M4567" s="2" t="s">
        <v>12452</v>
      </c>
      <c r="N4567" s="2" t="str">
        <f>IFERROR(__xludf.DUMMYFUNCTION("""COMPUTED_VALUE"""),"")</f>
        <v/>
      </c>
    </row>
    <row r="4568">
      <c r="A4568" s="2" t="s">
        <v>33</v>
      </c>
      <c r="B4568" s="12">
        <v>4403299.0</v>
      </c>
      <c r="C4568" s="12">
        <v>4403547.0</v>
      </c>
      <c r="D4568" s="2"/>
      <c r="E4568" s="2" t="s">
        <v>34</v>
      </c>
      <c r="F4568" s="2" t="s">
        <v>12453</v>
      </c>
      <c r="G4568" s="2"/>
      <c r="H4568" s="12">
        <v>0.0</v>
      </c>
      <c r="I4568" s="2" t="s">
        <v>40</v>
      </c>
      <c r="J4568" s="2"/>
      <c r="K4568" s="2" t="s">
        <v>12454</v>
      </c>
      <c r="L4568" s="12">
        <v>82.0</v>
      </c>
      <c r="M4568" s="2" t="s">
        <v>12455</v>
      </c>
      <c r="N4568" s="2" t="str">
        <f>IFERROR(__xludf.DUMMYFUNCTION("""COMPUTED_VALUE"""),"")</f>
        <v/>
      </c>
    </row>
    <row r="4569">
      <c r="A4569" s="2" t="s">
        <v>33</v>
      </c>
      <c r="B4569" s="12">
        <v>4403572.0</v>
      </c>
      <c r="C4569" s="12">
        <v>4403784.0</v>
      </c>
      <c r="D4569" s="2"/>
      <c r="E4569" s="2" t="s">
        <v>38</v>
      </c>
      <c r="F4569" s="2" t="s">
        <v>4538</v>
      </c>
      <c r="G4569" s="2"/>
      <c r="H4569" s="12">
        <v>0.0</v>
      </c>
      <c r="I4569" s="2" t="s">
        <v>40</v>
      </c>
      <c r="J4569" s="2"/>
      <c r="K4569" s="2" t="s">
        <v>12456</v>
      </c>
      <c r="L4569" s="12">
        <v>70.0</v>
      </c>
      <c r="M4569" s="2" t="s">
        <v>12457</v>
      </c>
      <c r="N4569" s="2" t="str">
        <f>IFERROR(__xludf.DUMMYFUNCTION("""COMPUTED_VALUE"""),"")</f>
        <v/>
      </c>
    </row>
    <row r="4570">
      <c r="A4570" s="2" t="s">
        <v>33</v>
      </c>
      <c r="B4570" s="12">
        <v>4403956.0</v>
      </c>
      <c r="C4570" s="12">
        <v>4404765.0</v>
      </c>
      <c r="D4570" s="2"/>
      <c r="E4570" s="2" t="s">
        <v>38</v>
      </c>
      <c r="F4570" s="2" t="s">
        <v>367</v>
      </c>
      <c r="G4570" s="2"/>
      <c r="H4570" s="12">
        <v>0.0</v>
      </c>
      <c r="I4570" s="2" t="s">
        <v>40</v>
      </c>
      <c r="J4570" s="2"/>
      <c r="K4570" s="2" t="s">
        <v>12458</v>
      </c>
      <c r="L4570" s="12">
        <v>269.0</v>
      </c>
      <c r="M4570" s="2" t="s">
        <v>12459</v>
      </c>
      <c r="N4570" s="2" t="str">
        <f>IFERROR(__xludf.DUMMYFUNCTION("""COMPUTED_VALUE"""),"")</f>
        <v/>
      </c>
    </row>
    <row r="4571">
      <c r="A4571" s="2" t="s">
        <v>33</v>
      </c>
      <c r="B4571" s="12">
        <v>4404918.0</v>
      </c>
      <c r="C4571" s="12">
        <v>4405121.0</v>
      </c>
      <c r="D4571" s="2"/>
      <c r="E4571" s="2" t="s">
        <v>34</v>
      </c>
      <c r="F4571" s="2" t="s">
        <v>39</v>
      </c>
      <c r="G4571" s="2"/>
      <c r="H4571" s="12">
        <v>0.0</v>
      </c>
      <c r="I4571" s="2" t="s">
        <v>40</v>
      </c>
      <c r="J4571" s="2"/>
      <c r="K4571" s="2" t="s">
        <v>12460</v>
      </c>
      <c r="L4571" s="12">
        <v>67.0</v>
      </c>
      <c r="M4571" s="2" t="s">
        <v>12461</v>
      </c>
      <c r="N4571" s="2" t="str">
        <f>IFERROR(__xludf.DUMMYFUNCTION("""COMPUTED_VALUE"""),"")</f>
        <v/>
      </c>
    </row>
    <row r="4572">
      <c r="A4572" s="2" t="s">
        <v>33</v>
      </c>
      <c r="B4572" s="12">
        <v>4405118.0</v>
      </c>
      <c r="C4572" s="12">
        <v>4405678.0</v>
      </c>
      <c r="D4572" s="2"/>
      <c r="E4572" s="2" t="s">
        <v>34</v>
      </c>
      <c r="F4572" s="2" t="s">
        <v>367</v>
      </c>
      <c r="G4572" s="2"/>
      <c r="H4572" s="12">
        <v>0.0</v>
      </c>
      <c r="I4572" s="2" t="s">
        <v>40</v>
      </c>
      <c r="J4572" s="2"/>
      <c r="K4572" s="2" t="s">
        <v>12462</v>
      </c>
      <c r="L4572" s="12">
        <v>186.0</v>
      </c>
      <c r="M4572" s="2" t="s">
        <v>12463</v>
      </c>
      <c r="N4572" s="2" t="str">
        <f>IFERROR(__xludf.DUMMYFUNCTION("""COMPUTED_VALUE"""),"")</f>
        <v/>
      </c>
    </row>
    <row r="4573">
      <c r="A4573" s="2" t="s">
        <v>33</v>
      </c>
      <c r="B4573" s="12">
        <v>4405743.0</v>
      </c>
      <c r="C4573" s="12">
        <v>4405883.0</v>
      </c>
      <c r="D4573" s="2"/>
      <c r="E4573" s="2" t="s">
        <v>34</v>
      </c>
      <c r="F4573" s="2" t="s">
        <v>35</v>
      </c>
      <c r="G4573" s="2"/>
      <c r="H4573" s="12">
        <v>0.0</v>
      </c>
      <c r="I4573" s="2" t="s">
        <v>36</v>
      </c>
      <c r="J4573" s="2"/>
      <c r="K4573" s="2"/>
      <c r="L4573" s="2"/>
      <c r="M4573" s="2" t="s">
        <v>12464</v>
      </c>
      <c r="N4573" s="2" t="str">
        <f>IFERROR(__xludf.DUMMYFUNCTION("""COMPUTED_VALUE"""),"")</f>
        <v/>
      </c>
    </row>
    <row r="4574">
      <c r="A4574" s="2" t="s">
        <v>33</v>
      </c>
      <c r="B4574" s="12">
        <v>4405996.0</v>
      </c>
      <c r="C4574" s="12">
        <v>4407609.0</v>
      </c>
      <c r="D4574" s="2"/>
      <c r="E4574" s="2" t="s">
        <v>34</v>
      </c>
      <c r="F4574" s="2" t="s">
        <v>12465</v>
      </c>
      <c r="G4574" s="2"/>
      <c r="H4574" s="12">
        <v>0.0</v>
      </c>
      <c r="I4574" s="2" t="s">
        <v>40</v>
      </c>
      <c r="J4574" s="2"/>
      <c r="K4574" s="2" t="s">
        <v>12466</v>
      </c>
      <c r="L4574" s="12">
        <v>537.0</v>
      </c>
      <c r="M4574" s="2" t="s">
        <v>12467</v>
      </c>
      <c r="N4574" s="2" t="str">
        <f>IFERROR(__xludf.DUMMYFUNCTION("""COMPUTED_VALUE"""),"")</f>
        <v/>
      </c>
    </row>
    <row r="4575">
      <c r="A4575" s="2" t="s">
        <v>33</v>
      </c>
      <c r="B4575" s="12">
        <v>4407733.0</v>
      </c>
      <c r="C4575" s="12">
        <v>4408308.0</v>
      </c>
      <c r="D4575" s="2"/>
      <c r="E4575" s="2" t="s">
        <v>34</v>
      </c>
      <c r="F4575" s="2" t="s">
        <v>8754</v>
      </c>
      <c r="G4575" s="2"/>
      <c r="H4575" s="12">
        <v>0.0</v>
      </c>
      <c r="I4575" s="2" t="s">
        <v>40</v>
      </c>
      <c r="J4575" s="2"/>
      <c r="K4575" s="2" t="s">
        <v>12468</v>
      </c>
      <c r="L4575" s="12">
        <v>191.0</v>
      </c>
      <c r="M4575" s="2" t="s">
        <v>12469</v>
      </c>
      <c r="N4575" s="2" t="str">
        <f>IFERROR(__xludf.DUMMYFUNCTION("""COMPUTED_VALUE"""),"")</f>
        <v/>
      </c>
    </row>
    <row r="4576">
      <c r="A4576" s="2" t="s">
        <v>33</v>
      </c>
      <c r="B4576" s="12">
        <v>4408375.0</v>
      </c>
      <c r="C4576" s="12">
        <v>4409838.0</v>
      </c>
      <c r="D4576" s="2"/>
      <c r="E4576" s="2" t="s">
        <v>34</v>
      </c>
      <c r="F4576" s="2" t="s">
        <v>12470</v>
      </c>
      <c r="G4576" s="2"/>
      <c r="H4576" s="12">
        <v>0.0</v>
      </c>
      <c r="I4576" s="2" t="s">
        <v>40</v>
      </c>
      <c r="J4576" s="2"/>
      <c r="K4576" s="2" t="s">
        <v>12471</v>
      </c>
      <c r="L4576" s="12">
        <v>487.0</v>
      </c>
      <c r="M4576" s="2" t="s">
        <v>12472</v>
      </c>
      <c r="N4576" s="2" t="str">
        <f>IFERROR(__xludf.DUMMYFUNCTION("""COMPUTED_VALUE"""),"")</f>
        <v/>
      </c>
    </row>
    <row r="4577">
      <c r="A4577" s="2" t="s">
        <v>33</v>
      </c>
      <c r="B4577" s="12">
        <v>4409831.0</v>
      </c>
      <c r="C4577" s="12">
        <v>4410922.0</v>
      </c>
      <c r="D4577" s="2"/>
      <c r="E4577" s="2" t="s">
        <v>34</v>
      </c>
      <c r="F4577" s="2" t="s">
        <v>12473</v>
      </c>
      <c r="G4577" s="2"/>
      <c r="H4577" s="12">
        <v>0.0</v>
      </c>
      <c r="I4577" s="2" t="s">
        <v>40</v>
      </c>
      <c r="J4577" s="2"/>
      <c r="K4577" s="2" t="s">
        <v>12474</v>
      </c>
      <c r="L4577" s="12">
        <v>363.0</v>
      </c>
      <c r="M4577" s="2" t="s">
        <v>12475</v>
      </c>
      <c r="N4577" s="2" t="str">
        <f>IFERROR(__xludf.DUMMYFUNCTION("""COMPUTED_VALUE"""),"")</f>
        <v/>
      </c>
    </row>
    <row r="4578">
      <c r="A4578" s="2" t="s">
        <v>33</v>
      </c>
      <c r="B4578" s="12">
        <v>4410931.0</v>
      </c>
      <c r="C4578" s="12">
        <v>4411512.0</v>
      </c>
      <c r="D4578" s="2"/>
      <c r="E4578" s="2" t="s">
        <v>38</v>
      </c>
      <c r="F4578" s="2" t="s">
        <v>12476</v>
      </c>
      <c r="G4578" s="2"/>
      <c r="H4578" s="12">
        <v>0.0</v>
      </c>
      <c r="I4578" s="2" t="s">
        <v>40</v>
      </c>
      <c r="J4578" s="2"/>
      <c r="K4578" s="2" t="s">
        <v>12477</v>
      </c>
      <c r="L4578" s="12">
        <v>193.0</v>
      </c>
      <c r="M4578" s="2" t="s">
        <v>12478</v>
      </c>
      <c r="N4578" s="2" t="str">
        <f>IFERROR(__xludf.DUMMYFUNCTION("""COMPUTED_VALUE"""),"")</f>
        <v/>
      </c>
    </row>
    <row r="4579">
      <c r="A4579" s="2" t="s">
        <v>33</v>
      </c>
      <c r="B4579" s="12">
        <v>4411617.0</v>
      </c>
      <c r="C4579" s="12">
        <v>4412060.0</v>
      </c>
      <c r="D4579" s="2"/>
      <c r="E4579" s="2" t="s">
        <v>34</v>
      </c>
      <c r="F4579" s="2" t="s">
        <v>1611</v>
      </c>
      <c r="G4579" s="2"/>
      <c r="H4579" s="12">
        <v>0.0</v>
      </c>
      <c r="I4579" s="2" t="s">
        <v>40</v>
      </c>
      <c r="J4579" s="2"/>
      <c r="K4579" s="2" t="s">
        <v>12479</v>
      </c>
      <c r="L4579" s="12">
        <v>147.0</v>
      </c>
      <c r="M4579" s="2" t="s">
        <v>12480</v>
      </c>
      <c r="N4579" s="2" t="str">
        <f>IFERROR(__xludf.DUMMYFUNCTION("""COMPUTED_VALUE"""),"")</f>
        <v/>
      </c>
    </row>
    <row r="4580">
      <c r="A4580" s="2" t="s">
        <v>33</v>
      </c>
      <c r="B4580" s="12">
        <v>4412104.0</v>
      </c>
      <c r="C4580" s="12">
        <v>4413306.0</v>
      </c>
      <c r="D4580" s="2"/>
      <c r="E4580" s="2" t="s">
        <v>38</v>
      </c>
      <c r="F4580" s="2" t="s">
        <v>12481</v>
      </c>
      <c r="G4580" s="2"/>
      <c r="H4580" s="12">
        <v>0.0</v>
      </c>
      <c r="I4580" s="2" t="s">
        <v>40</v>
      </c>
      <c r="J4580" s="2"/>
      <c r="K4580" s="2" t="s">
        <v>12482</v>
      </c>
      <c r="L4580" s="12">
        <v>400.0</v>
      </c>
      <c r="M4580" s="2" t="s">
        <v>12483</v>
      </c>
      <c r="N4580" s="2" t="str">
        <f>IFERROR(__xludf.DUMMYFUNCTION("""COMPUTED_VALUE"""),"")</f>
        <v/>
      </c>
    </row>
    <row r="4581">
      <c r="A4581" s="2" t="s">
        <v>33</v>
      </c>
      <c r="B4581" s="12">
        <v>4413444.0</v>
      </c>
      <c r="C4581" s="12">
        <v>4413851.0</v>
      </c>
      <c r="D4581" s="2"/>
      <c r="E4581" s="2" t="s">
        <v>34</v>
      </c>
      <c r="F4581" s="2" t="s">
        <v>39</v>
      </c>
      <c r="G4581" s="2"/>
      <c r="H4581" s="12">
        <v>0.0</v>
      </c>
      <c r="I4581" s="2" t="s">
        <v>40</v>
      </c>
      <c r="J4581" s="2"/>
      <c r="K4581" s="2" t="s">
        <v>12484</v>
      </c>
      <c r="L4581" s="12">
        <v>135.0</v>
      </c>
      <c r="M4581" s="2" t="s">
        <v>12485</v>
      </c>
      <c r="N4581" s="2" t="str">
        <f>IFERROR(__xludf.DUMMYFUNCTION("""COMPUTED_VALUE"""),"")</f>
        <v/>
      </c>
    </row>
    <row r="4582">
      <c r="A4582" s="2" t="s">
        <v>33</v>
      </c>
      <c r="B4582" s="12">
        <v>4413918.0</v>
      </c>
      <c r="C4582" s="12">
        <v>4415156.0</v>
      </c>
      <c r="D4582" s="2"/>
      <c r="E4582" s="2" t="s">
        <v>34</v>
      </c>
      <c r="F4582" s="2" t="s">
        <v>88</v>
      </c>
      <c r="G4582" s="2"/>
      <c r="H4582" s="12">
        <v>0.0</v>
      </c>
      <c r="I4582" s="2" t="s">
        <v>40</v>
      </c>
      <c r="J4582" s="2"/>
      <c r="K4582" s="2" t="s">
        <v>12486</v>
      </c>
      <c r="L4582" s="12">
        <v>412.0</v>
      </c>
      <c r="M4582" s="2" t="s">
        <v>12487</v>
      </c>
      <c r="N4582" s="2" t="str">
        <f>IFERROR(__xludf.DUMMYFUNCTION("""COMPUTED_VALUE"""),"")</f>
        <v/>
      </c>
    </row>
    <row r="4583">
      <c r="A4583" s="2" t="s">
        <v>33</v>
      </c>
      <c r="B4583" s="12">
        <v>4415205.0</v>
      </c>
      <c r="C4583" s="12">
        <v>4415585.0</v>
      </c>
      <c r="D4583" s="2"/>
      <c r="E4583" s="2" t="s">
        <v>38</v>
      </c>
      <c r="F4583" s="2" t="s">
        <v>12488</v>
      </c>
      <c r="G4583" s="2"/>
      <c r="H4583" s="12">
        <v>0.0</v>
      </c>
      <c r="I4583" s="2" t="s">
        <v>40</v>
      </c>
      <c r="J4583" s="2"/>
      <c r="K4583" s="2" t="s">
        <v>12489</v>
      </c>
      <c r="L4583" s="12">
        <v>126.0</v>
      </c>
      <c r="M4583" s="2" t="s">
        <v>12490</v>
      </c>
      <c r="N4583" s="2" t="str">
        <f>IFERROR(__xludf.DUMMYFUNCTION("""COMPUTED_VALUE"""),"")</f>
        <v/>
      </c>
    </row>
    <row r="4584">
      <c r="A4584" s="2" t="s">
        <v>33</v>
      </c>
      <c r="B4584" s="12">
        <v>4415710.0</v>
      </c>
      <c r="C4584" s="12">
        <v>4415832.0</v>
      </c>
      <c r="D4584" s="2"/>
      <c r="E4584" s="2" t="s">
        <v>38</v>
      </c>
      <c r="F4584" s="2" t="s">
        <v>12491</v>
      </c>
      <c r="G4584" s="2"/>
      <c r="H4584" s="12">
        <v>0.0</v>
      </c>
      <c r="I4584" s="2" t="s">
        <v>40</v>
      </c>
      <c r="J4584" s="2"/>
      <c r="K4584" s="2" t="s">
        <v>12492</v>
      </c>
      <c r="L4584" s="12">
        <v>40.0</v>
      </c>
      <c r="M4584" s="2" t="s">
        <v>12493</v>
      </c>
      <c r="N4584" s="2" t="str">
        <f>IFERROR(__xludf.DUMMYFUNCTION("""COMPUTED_VALUE"""),"")</f>
        <v/>
      </c>
    </row>
    <row r="4585">
      <c r="A4585" s="2" t="s">
        <v>33</v>
      </c>
      <c r="B4585" s="12">
        <v>4415954.0</v>
      </c>
      <c r="C4585" s="12">
        <v>4416217.0</v>
      </c>
      <c r="D4585" s="2"/>
      <c r="E4585" s="2" t="s">
        <v>34</v>
      </c>
      <c r="F4585" s="2" t="s">
        <v>39</v>
      </c>
      <c r="G4585" s="2"/>
      <c r="H4585" s="12">
        <v>0.0</v>
      </c>
      <c r="I4585" s="2" t="s">
        <v>40</v>
      </c>
      <c r="J4585" s="2"/>
      <c r="K4585" s="2" t="s">
        <v>12494</v>
      </c>
      <c r="L4585" s="12">
        <v>87.0</v>
      </c>
      <c r="M4585" s="2" t="s">
        <v>12495</v>
      </c>
      <c r="N4585" s="2" t="str">
        <f>IFERROR(__xludf.DUMMYFUNCTION("""COMPUTED_VALUE"""),"")</f>
        <v/>
      </c>
    </row>
    <row r="4586">
      <c r="A4586" s="2" t="s">
        <v>33</v>
      </c>
      <c r="B4586" s="12">
        <v>4416264.0</v>
      </c>
      <c r="C4586" s="12">
        <v>4416989.0</v>
      </c>
      <c r="D4586" s="2"/>
      <c r="E4586" s="2" t="s">
        <v>34</v>
      </c>
      <c r="F4586" s="2" t="s">
        <v>6651</v>
      </c>
      <c r="G4586" s="2" t="s">
        <v>6652</v>
      </c>
      <c r="H4586" s="12">
        <v>0.0</v>
      </c>
      <c r="I4586" s="2" t="s">
        <v>40</v>
      </c>
      <c r="J4586" s="2"/>
      <c r="K4586" s="2" t="s">
        <v>12496</v>
      </c>
      <c r="L4586" s="12">
        <v>241.0</v>
      </c>
      <c r="M4586" s="2" t="s">
        <v>12497</v>
      </c>
      <c r="N4586" s="2" t="str">
        <f>IFERROR(__xludf.DUMMYFUNCTION("""COMPUTED_VALUE"""),"")</f>
        <v/>
      </c>
    </row>
    <row r="4587">
      <c r="A4587" s="2" t="s">
        <v>33</v>
      </c>
      <c r="B4587" s="12">
        <v>4417031.0</v>
      </c>
      <c r="C4587" s="12">
        <v>4417180.0</v>
      </c>
      <c r="D4587" s="2"/>
      <c r="E4587" s="2" t="s">
        <v>38</v>
      </c>
      <c r="F4587" s="2" t="s">
        <v>12498</v>
      </c>
      <c r="G4587" s="2" t="s">
        <v>12499</v>
      </c>
      <c r="H4587" s="12">
        <v>0.0</v>
      </c>
      <c r="I4587" s="2" t="s">
        <v>40</v>
      </c>
      <c r="J4587" s="2"/>
      <c r="K4587" s="2" t="s">
        <v>12500</v>
      </c>
      <c r="L4587" s="12">
        <v>49.0</v>
      </c>
      <c r="M4587" s="2" t="s">
        <v>12501</v>
      </c>
      <c r="N4587" s="2" t="str">
        <f>IFERROR(__xludf.DUMMYFUNCTION("""COMPUTED_VALUE"""),"")</f>
        <v/>
      </c>
    </row>
    <row r="4588">
      <c r="A4588" s="2" t="s">
        <v>33</v>
      </c>
      <c r="B4588" s="12">
        <v>4417472.0</v>
      </c>
      <c r="C4588" s="12">
        <v>4420195.0</v>
      </c>
      <c r="D4588" s="2"/>
      <c r="E4588" s="2" t="s">
        <v>34</v>
      </c>
      <c r="F4588" s="2" t="s">
        <v>12502</v>
      </c>
      <c r="G4588" s="2" t="s">
        <v>12503</v>
      </c>
      <c r="H4588" s="12">
        <v>0.0</v>
      </c>
      <c r="I4588" s="2" t="s">
        <v>40</v>
      </c>
      <c r="J4588" s="2"/>
      <c r="K4588" s="2" t="s">
        <v>12504</v>
      </c>
      <c r="L4588" s="12">
        <v>907.0</v>
      </c>
      <c r="M4588" s="2" t="s">
        <v>12505</v>
      </c>
      <c r="N4588" s="2" t="str">
        <f>IFERROR(__xludf.DUMMYFUNCTION("""COMPUTED_VALUE"""),"")</f>
        <v/>
      </c>
    </row>
    <row r="4589">
      <c r="A4589" s="2" t="s">
        <v>33</v>
      </c>
      <c r="B4589" s="12">
        <v>4420314.0</v>
      </c>
      <c r="C4589" s="12">
        <v>4421973.0</v>
      </c>
      <c r="D4589" s="2"/>
      <c r="E4589" s="2" t="s">
        <v>34</v>
      </c>
      <c r="F4589" s="2" t="s">
        <v>35</v>
      </c>
      <c r="G4589" s="2"/>
      <c r="H4589" s="12">
        <v>0.0</v>
      </c>
      <c r="I4589" s="2" t="s">
        <v>36</v>
      </c>
      <c r="J4589" s="2"/>
      <c r="K4589" s="2"/>
      <c r="L4589" s="2"/>
      <c r="M4589" s="2" t="s">
        <v>12506</v>
      </c>
      <c r="N4589" s="2" t="str">
        <f>IFERROR(__xludf.DUMMYFUNCTION("""COMPUTED_VALUE"""),"")</f>
        <v/>
      </c>
    </row>
    <row r="4590">
      <c r="A4590" s="2" t="s">
        <v>33</v>
      </c>
      <c r="B4590" s="12">
        <v>4422051.0</v>
      </c>
      <c r="C4590" s="12">
        <v>4422383.0</v>
      </c>
      <c r="D4590" s="2"/>
      <c r="E4590" s="2" t="s">
        <v>38</v>
      </c>
      <c r="F4590" s="2" t="s">
        <v>4597</v>
      </c>
      <c r="G4590" s="2"/>
      <c r="H4590" s="12">
        <v>0.0</v>
      </c>
      <c r="I4590" s="2" t="s">
        <v>40</v>
      </c>
      <c r="J4590" s="2"/>
      <c r="K4590" s="2" t="s">
        <v>12507</v>
      </c>
      <c r="L4590" s="12">
        <v>110.0</v>
      </c>
      <c r="M4590" s="2" t="s">
        <v>12508</v>
      </c>
      <c r="N4590" s="2" t="str">
        <f>IFERROR(__xludf.DUMMYFUNCTION("""COMPUTED_VALUE"""),"")</f>
        <v/>
      </c>
    </row>
    <row r="4591">
      <c r="A4591" s="2" t="s">
        <v>33</v>
      </c>
      <c r="B4591" s="12">
        <v>4422395.0</v>
      </c>
      <c r="C4591" s="12">
        <v>4422610.0</v>
      </c>
      <c r="D4591" s="2"/>
      <c r="E4591" s="2" t="s">
        <v>38</v>
      </c>
      <c r="F4591" s="2" t="s">
        <v>39</v>
      </c>
      <c r="G4591" s="2"/>
      <c r="H4591" s="12">
        <v>0.0</v>
      </c>
      <c r="I4591" s="2" t="s">
        <v>40</v>
      </c>
      <c r="J4591" s="2"/>
      <c r="K4591" s="2" t="s">
        <v>12509</v>
      </c>
      <c r="L4591" s="12">
        <v>71.0</v>
      </c>
      <c r="M4591" s="2" t="s">
        <v>12510</v>
      </c>
      <c r="N4591" s="2" t="str">
        <f>IFERROR(__xludf.DUMMYFUNCTION("""COMPUTED_VALUE"""),"")</f>
        <v/>
      </c>
    </row>
    <row r="4592">
      <c r="A4592" s="2" t="s">
        <v>33</v>
      </c>
      <c r="B4592" s="12">
        <v>4422806.0</v>
      </c>
      <c r="C4592" s="12">
        <v>4423381.0</v>
      </c>
      <c r="D4592" s="2"/>
      <c r="E4592" s="2" t="s">
        <v>34</v>
      </c>
      <c r="F4592" s="2" t="s">
        <v>12511</v>
      </c>
      <c r="G4592" s="2"/>
      <c r="H4592" s="12">
        <v>0.0</v>
      </c>
      <c r="I4592" s="2" t="s">
        <v>40</v>
      </c>
      <c r="J4592" s="2"/>
      <c r="K4592" s="2" t="s">
        <v>12512</v>
      </c>
      <c r="L4592" s="12">
        <v>191.0</v>
      </c>
      <c r="M4592" s="2" t="s">
        <v>12513</v>
      </c>
      <c r="N4592" s="2" t="str">
        <f>IFERROR(__xludf.DUMMYFUNCTION("""COMPUTED_VALUE"""),"")</f>
        <v/>
      </c>
    </row>
    <row r="4593">
      <c r="A4593" s="2" t="s">
        <v>33</v>
      </c>
      <c r="B4593" s="12">
        <v>4423497.0</v>
      </c>
      <c r="C4593" s="12">
        <v>4424444.0</v>
      </c>
      <c r="D4593" s="2"/>
      <c r="E4593" s="2" t="s">
        <v>34</v>
      </c>
      <c r="F4593" s="2" t="s">
        <v>9897</v>
      </c>
      <c r="G4593" s="2"/>
      <c r="H4593" s="12">
        <v>0.0</v>
      </c>
      <c r="I4593" s="2" t="s">
        <v>40</v>
      </c>
      <c r="J4593" s="2"/>
      <c r="K4593" s="2" t="s">
        <v>12514</v>
      </c>
      <c r="L4593" s="12">
        <v>315.0</v>
      </c>
      <c r="M4593" s="2" t="s">
        <v>12515</v>
      </c>
      <c r="N4593" s="2" t="str">
        <f>IFERROR(__xludf.DUMMYFUNCTION("""COMPUTED_VALUE"""),"")</f>
        <v/>
      </c>
    </row>
    <row r="4594">
      <c r="A4594" s="2" t="s">
        <v>33</v>
      </c>
      <c r="B4594" s="12">
        <v>4424584.0</v>
      </c>
      <c r="C4594" s="12">
        <v>4424727.0</v>
      </c>
      <c r="D4594" s="2"/>
      <c r="E4594" s="2" t="s">
        <v>34</v>
      </c>
      <c r="F4594" s="2" t="s">
        <v>2854</v>
      </c>
      <c r="G4594" s="2"/>
      <c r="H4594" s="12">
        <v>0.0</v>
      </c>
      <c r="I4594" s="2" t="s">
        <v>40</v>
      </c>
      <c r="J4594" s="2"/>
      <c r="K4594" s="2" t="s">
        <v>12516</v>
      </c>
      <c r="L4594" s="12">
        <v>47.0</v>
      </c>
      <c r="M4594" s="2" t="s">
        <v>12517</v>
      </c>
      <c r="N4594" s="2" t="str">
        <f>IFERROR(__xludf.DUMMYFUNCTION("""COMPUTED_VALUE"""),"")</f>
        <v/>
      </c>
    </row>
    <row r="4595">
      <c r="A4595" s="2" t="s">
        <v>33</v>
      </c>
      <c r="B4595" s="12">
        <v>4424771.0</v>
      </c>
      <c r="C4595" s="12">
        <v>4424905.0</v>
      </c>
      <c r="D4595" s="2"/>
      <c r="E4595" s="2" t="s">
        <v>34</v>
      </c>
      <c r="F4595" s="2" t="s">
        <v>12518</v>
      </c>
      <c r="G4595" s="2" t="s">
        <v>12519</v>
      </c>
      <c r="H4595" s="12">
        <v>0.0</v>
      </c>
      <c r="I4595" s="2" t="s">
        <v>40</v>
      </c>
      <c r="J4595" s="2"/>
      <c r="K4595" s="2" t="s">
        <v>12520</v>
      </c>
      <c r="L4595" s="12">
        <v>44.0</v>
      </c>
      <c r="M4595" s="2" t="s">
        <v>12521</v>
      </c>
      <c r="N4595" s="2" t="str">
        <f>IFERROR(__xludf.DUMMYFUNCTION("""COMPUTED_VALUE"""),"")</f>
        <v/>
      </c>
    </row>
    <row r="4596">
      <c r="A4596" s="2" t="s">
        <v>33</v>
      </c>
      <c r="B4596" s="12">
        <v>4425005.0</v>
      </c>
      <c r="C4596" s="12">
        <v>4425202.0</v>
      </c>
      <c r="D4596" s="2"/>
      <c r="E4596" s="2" t="s">
        <v>34</v>
      </c>
      <c r="F4596" s="2" t="s">
        <v>12522</v>
      </c>
      <c r="G4596" s="2" t="s">
        <v>12523</v>
      </c>
      <c r="H4596" s="12">
        <v>0.0</v>
      </c>
      <c r="I4596" s="2" t="s">
        <v>40</v>
      </c>
      <c r="J4596" s="2"/>
      <c r="K4596" s="2" t="s">
        <v>12524</v>
      </c>
      <c r="L4596" s="12">
        <v>65.0</v>
      </c>
      <c r="M4596" s="2" t="s">
        <v>12525</v>
      </c>
      <c r="N4596" s="2" t="str">
        <f>IFERROR(__xludf.DUMMYFUNCTION("""COMPUTED_VALUE"""),"")</f>
        <v/>
      </c>
    </row>
    <row r="4597">
      <c r="A4597" s="2" t="s">
        <v>33</v>
      </c>
      <c r="B4597" s="12">
        <v>4425231.0</v>
      </c>
      <c r="C4597" s="12">
        <v>4426522.0</v>
      </c>
      <c r="D4597" s="2"/>
      <c r="E4597" s="2" t="s">
        <v>38</v>
      </c>
      <c r="F4597" s="2" t="s">
        <v>35</v>
      </c>
      <c r="G4597" s="2"/>
      <c r="H4597" s="12">
        <v>0.0</v>
      </c>
      <c r="I4597" s="2" t="s">
        <v>36</v>
      </c>
      <c r="J4597" s="2"/>
      <c r="K4597" s="2"/>
      <c r="L4597" s="2"/>
      <c r="M4597" s="2" t="s">
        <v>12526</v>
      </c>
      <c r="N4597" s="2" t="str">
        <f>IFERROR(__xludf.DUMMYFUNCTION("""COMPUTED_VALUE"""),"")</f>
        <v/>
      </c>
    </row>
    <row r="4598">
      <c r="A4598" s="2" t="s">
        <v>33</v>
      </c>
      <c r="B4598" s="12">
        <v>4426632.0</v>
      </c>
      <c r="C4598" s="12">
        <v>4427051.0</v>
      </c>
      <c r="D4598" s="2"/>
      <c r="E4598" s="2" t="s">
        <v>34</v>
      </c>
      <c r="F4598" s="2" t="s">
        <v>9825</v>
      </c>
      <c r="G4598" s="2"/>
      <c r="H4598" s="12">
        <v>0.0</v>
      </c>
      <c r="I4598" s="2" t="s">
        <v>40</v>
      </c>
      <c r="J4598" s="2"/>
      <c r="K4598" s="2" t="s">
        <v>12527</v>
      </c>
      <c r="L4598" s="12">
        <v>139.0</v>
      </c>
      <c r="M4598" s="2" t="s">
        <v>12528</v>
      </c>
      <c r="N4598" s="2" t="str">
        <f>IFERROR(__xludf.DUMMYFUNCTION("""COMPUTED_VALUE"""),"")</f>
        <v/>
      </c>
    </row>
    <row r="4599">
      <c r="A4599" s="2" t="s">
        <v>33</v>
      </c>
      <c r="B4599" s="12">
        <v>4427078.0</v>
      </c>
      <c r="C4599" s="12">
        <v>4427368.0</v>
      </c>
      <c r="D4599" s="2"/>
      <c r="E4599" s="2" t="s">
        <v>38</v>
      </c>
      <c r="F4599" s="2" t="s">
        <v>901</v>
      </c>
      <c r="G4599" s="2"/>
      <c r="H4599" s="12">
        <v>0.0</v>
      </c>
      <c r="I4599" s="2" t="s">
        <v>40</v>
      </c>
      <c r="J4599" s="2"/>
      <c r="K4599" s="2" t="s">
        <v>12529</v>
      </c>
      <c r="L4599" s="12">
        <v>96.0</v>
      </c>
      <c r="M4599" s="2" t="s">
        <v>12530</v>
      </c>
      <c r="N4599" s="2" t="str">
        <f>IFERROR(__xludf.DUMMYFUNCTION("""COMPUTED_VALUE"""),"")</f>
        <v/>
      </c>
    </row>
    <row r="4600">
      <c r="A4600" s="2" t="s">
        <v>33</v>
      </c>
      <c r="B4600" s="12">
        <v>4427477.0</v>
      </c>
      <c r="C4600" s="12">
        <v>4428073.0</v>
      </c>
      <c r="D4600" s="2"/>
      <c r="E4600" s="2" t="s">
        <v>38</v>
      </c>
      <c r="F4600" s="2" t="s">
        <v>618</v>
      </c>
      <c r="G4600" s="2" t="s">
        <v>619</v>
      </c>
      <c r="H4600" s="12">
        <v>0.0</v>
      </c>
      <c r="I4600" s="2" t="s">
        <v>40</v>
      </c>
      <c r="J4600" s="2"/>
      <c r="K4600" s="2" t="s">
        <v>12531</v>
      </c>
      <c r="L4600" s="12">
        <v>198.0</v>
      </c>
      <c r="M4600" s="2" t="s">
        <v>12532</v>
      </c>
      <c r="N4600" s="2" t="str">
        <f>IFERROR(__xludf.DUMMYFUNCTION("""COMPUTED_VALUE"""),"")</f>
        <v/>
      </c>
    </row>
    <row r="4601">
      <c r="A4601" s="2" t="s">
        <v>33</v>
      </c>
      <c r="B4601" s="12">
        <v>4428299.0</v>
      </c>
      <c r="C4601" s="12">
        <v>4430155.0</v>
      </c>
      <c r="D4601" s="2"/>
      <c r="E4601" s="2" t="s">
        <v>34</v>
      </c>
      <c r="F4601" s="2" t="s">
        <v>12533</v>
      </c>
      <c r="G4601" s="2"/>
      <c r="H4601" s="12">
        <v>0.0</v>
      </c>
      <c r="I4601" s="2" t="s">
        <v>40</v>
      </c>
      <c r="J4601" s="2"/>
      <c r="K4601" s="2" t="s">
        <v>12534</v>
      </c>
      <c r="L4601" s="12">
        <v>618.0</v>
      </c>
      <c r="M4601" s="2" t="s">
        <v>12535</v>
      </c>
      <c r="N4601" s="2" t="str">
        <f>IFERROR(__xludf.DUMMYFUNCTION("""COMPUTED_VALUE"""),"")</f>
        <v/>
      </c>
    </row>
    <row r="4602">
      <c r="A4602" s="2" t="s">
        <v>33</v>
      </c>
      <c r="B4602" s="12">
        <v>4430152.0</v>
      </c>
      <c r="C4602" s="12">
        <v>4430604.0</v>
      </c>
      <c r="D4602" s="2"/>
      <c r="E4602" s="2" t="s">
        <v>34</v>
      </c>
      <c r="F4602" s="2" t="s">
        <v>12536</v>
      </c>
      <c r="G4602" s="2" t="s">
        <v>12537</v>
      </c>
      <c r="H4602" s="12">
        <v>0.0</v>
      </c>
      <c r="I4602" s="2" t="s">
        <v>40</v>
      </c>
      <c r="J4602" s="2"/>
      <c r="K4602" s="2" t="s">
        <v>12538</v>
      </c>
      <c r="L4602" s="12">
        <v>150.0</v>
      </c>
      <c r="M4602" s="2" t="s">
        <v>12539</v>
      </c>
      <c r="N4602" s="2" t="str">
        <f>IFERROR(__xludf.DUMMYFUNCTION("""COMPUTED_VALUE"""),"")</f>
        <v/>
      </c>
    </row>
    <row r="4603">
      <c r="A4603" s="2" t="s">
        <v>33</v>
      </c>
      <c r="B4603" s="12">
        <v>4430623.0</v>
      </c>
      <c r="C4603" s="12">
        <v>4431300.0</v>
      </c>
      <c r="D4603" s="2"/>
      <c r="E4603" s="2" t="s">
        <v>34</v>
      </c>
      <c r="F4603" s="2" t="s">
        <v>379</v>
      </c>
      <c r="G4603" s="2"/>
      <c r="H4603" s="12">
        <v>0.0</v>
      </c>
      <c r="I4603" s="2" t="s">
        <v>40</v>
      </c>
      <c r="J4603" s="2"/>
      <c r="K4603" s="2" t="s">
        <v>12540</v>
      </c>
      <c r="L4603" s="12">
        <v>225.0</v>
      </c>
      <c r="M4603" s="2" t="s">
        <v>12541</v>
      </c>
      <c r="N4603" s="2" t="str">
        <f>IFERROR(__xludf.DUMMYFUNCTION("""COMPUTED_VALUE"""),"")</f>
        <v/>
      </c>
    </row>
    <row r="4604">
      <c r="A4604" s="2" t="s">
        <v>33</v>
      </c>
      <c r="B4604" s="12">
        <v>4431504.0</v>
      </c>
      <c r="C4604" s="12">
        <v>4432745.0</v>
      </c>
      <c r="D4604" s="2"/>
      <c r="E4604" s="2" t="s">
        <v>34</v>
      </c>
      <c r="F4604" s="2" t="s">
        <v>7307</v>
      </c>
      <c r="G4604" s="2"/>
      <c r="H4604" s="12">
        <v>0.0</v>
      </c>
      <c r="I4604" s="2" t="s">
        <v>40</v>
      </c>
      <c r="J4604" s="2"/>
      <c r="K4604" s="2" t="s">
        <v>12542</v>
      </c>
      <c r="L4604" s="12">
        <v>413.0</v>
      </c>
      <c r="M4604" s="2" t="s">
        <v>12543</v>
      </c>
      <c r="N4604" s="2" t="str">
        <f>IFERROR(__xludf.DUMMYFUNCTION("""COMPUTED_VALUE"""),"")</f>
        <v/>
      </c>
    </row>
    <row r="4605">
      <c r="A4605" s="2" t="s">
        <v>33</v>
      </c>
      <c r="B4605" s="12">
        <v>4432825.0</v>
      </c>
      <c r="C4605" s="12">
        <v>4433238.0</v>
      </c>
      <c r="D4605" s="2"/>
      <c r="E4605" s="2" t="s">
        <v>34</v>
      </c>
      <c r="F4605" s="2" t="s">
        <v>12544</v>
      </c>
      <c r="G4605" s="2"/>
      <c r="H4605" s="12">
        <v>0.0</v>
      </c>
      <c r="I4605" s="2" t="s">
        <v>40</v>
      </c>
      <c r="J4605" s="2"/>
      <c r="K4605" s="2" t="s">
        <v>12545</v>
      </c>
      <c r="L4605" s="12">
        <v>137.0</v>
      </c>
      <c r="M4605" s="2" t="s">
        <v>12546</v>
      </c>
      <c r="N4605" s="2" t="str">
        <f>IFERROR(__xludf.DUMMYFUNCTION("""COMPUTED_VALUE"""),"")</f>
        <v/>
      </c>
    </row>
    <row r="4606">
      <c r="A4606" s="2" t="s">
        <v>33</v>
      </c>
      <c r="B4606" s="12">
        <v>4433614.0</v>
      </c>
      <c r="C4606" s="12">
        <v>4435578.0</v>
      </c>
      <c r="D4606" s="2"/>
      <c r="E4606" s="2" t="s">
        <v>34</v>
      </c>
      <c r="F4606" s="2" t="s">
        <v>12547</v>
      </c>
      <c r="G4606" s="2" t="s">
        <v>12548</v>
      </c>
      <c r="H4606" s="12">
        <v>0.0</v>
      </c>
      <c r="I4606" s="2" t="s">
        <v>40</v>
      </c>
      <c r="J4606" s="2"/>
      <c r="K4606" s="2" t="s">
        <v>12549</v>
      </c>
      <c r="L4606" s="12">
        <v>654.0</v>
      </c>
      <c r="M4606" s="2" t="s">
        <v>12550</v>
      </c>
      <c r="N4606" s="2" t="str">
        <f>IFERROR(__xludf.DUMMYFUNCTION("""COMPUTED_VALUE"""),"")</f>
        <v/>
      </c>
    </row>
    <row r="4607">
      <c r="A4607" s="2" t="s">
        <v>33</v>
      </c>
      <c r="B4607" s="12">
        <v>4435580.0</v>
      </c>
      <c r="C4607" s="12">
        <v>4438003.0</v>
      </c>
      <c r="D4607" s="2"/>
      <c r="E4607" s="2" t="s">
        <v>34</v>
      </c>
      <c r="F4607" s="2" t="s">
        <v>12551</v>
      </c>
      <c r="G4607" s="2" t="s">
        <v>12552</v>
      </c>
      <c r="H4607" s="12">
        <v>0.0</v>
      </c>
      <c r="I4607" s="2" t="s">
        <v>40</v>
      </c>
      <c r="J4607" s="2"/>
      <c r="K4607" s="2" t="s">
        <v>12553</v>
      </c>
      <c r="L4607" s="12">
        <v>807.0</v>
      </c>
      <c r="M4607" s="2" t="s">
        <v>12554</v>
      </c>
      <c r="N4607" s="2" t="str">
        <f>IFERROR(__xludf.DUMMYFUNCTION("""COMPUTED_VALUE"""),"")</f>
        <v/>
      </c>
    </row>
    <row r="4608">
      <c r="A4608" s="2" t="s">
        <v>33</v>
      </c>
      <c r="B4608" s="12">
        <v>4438227.0</v>
      </c>
      <c r="C4608" s="12">
        <v>4439258.0</v>
      </c>
      <c r="D4608" s="2"/>
      <c r="E4608" s="2" t="s">
        <v>34</v>
      </c>
      <c r="F4608" s="2" t="s">
        <v>1645</v>
      </c>
      <c r="G4608" s="2"/>
      <c r="H4608" s="12">
        <v>0.0</v>
      </c>
      <c r="I4608" s="2" t="s">
        <v>40</v>
      </c>
      <c r="J4608" s="2"/>
      <c r="K4608" s="2" t="s">
        <v>12555</v>
      </c>
      <c r="L4608" s="12">
        <v>343.0</v>
      </c>
      <c r="M4608" s="2" t="s">
        <v>12556</v>
      </c>
      <c r="N4608" s="2" t="str">
        <f>IFERROR(__xludf.DUMMYFUNCTION("""COMPUTED_VALUE"""),"")</f>
        <v/>
      </c>
    </row>
    <row r="4609">
      <c r="A4609" s="2" t="s">
        <v>33</v>
      </c>
      <c r="B4609" s="12">
        <v>4439314.0</v>
      </c>
      <c r="C4609" s="12">
        <v>4439757.0</v>
      </c>
      <c r="D4609" s="2"/>
      <c r="E4609" s="2" t="s">
        <v>38</v>
      </c>
      <c r="F4609" s="2" t="s">
        <v>541</v>
      </c>
      <c r="G4609" s="2"/>
      <c r="H4609" s="12">
        <v>0.0</v>
      </c>
      <c r="I4609" s="2" t="s">
        <v>40</v>
      </c>
      <c r="J4609" s="2"/>
      <c r="K4609" s="2" t="s">
        <v>12557</v>
      </c>
      <c r="L4609" s="12">
        <v>147.0</v>
      </c>
      <c r="M4609" s="2" t="s">
        <v>12558</v>
      </c>
      <c r="N4609" s="2" t="str">
        <f>IFERROR(__xludf.DUMMYFUNCTION("""COMPUTED_VALUE"""),"")</f>
        <v/>
      </c>
    </row>
    <row r="4610">
      <c r="A4610" s="2" t="s">
        <v>33</v>
      </c>
      <c r="B4610" s="12">
        <v>4439817.0</v>
      </c>
      <c r="C4610" s="12">
        <v>4440785.0</v>
      </c>
      <c r="D4610" s="2"/>
      <c r="E4610" s="2" t="s">
        <v>34</v>
      </c>
      <c r="F4610" s="2" t="s">
        <v>5466</v>
      </c>
      <c r="G4610" s="2"/>
      <c r="H4610" s="12">
        <v>0.0</v>
      </c>
      <c r="I4610" s="2" t="s">
        <v>40</v>
      </c>
      <c r="J4610" s="2"/>
      <c r="K4610" s="2" t="s">
        <v>12559</v>
      </c>
      <c r="L4610" s="12">
        <v>322.0</v>
      </c>
      <c r="M4610" s="2" t="s">
        <v>12560</v>
      </c>
      <c r="N4610" s="2" t="str">
        <f>IFERROR(__xludf.DUMMYFUNCTION("""COMPUTED_VALUE"""),"")</f>
        <v/>
      </c>
    </row>
    <row r="4611">
      <c r="A4611" s="2" t="s">
        <v>33</v>
      </c>
      <c r="B4611" s="12">
        <v>4440880.0</v>
      </c>
      <c r="C4611" s="12">
        <v>4441482.0</v>
      </c>
      <c r="D4611" s="2"/>
      <c r="E4611" s="2" t="s">
        <v>38</v>
      </c>
      <c r="F4611" s="2" t="s">
        <v>427</v>
      </c>
      <c r="G4611" s="2"/>
      <c r="H4611" s="12">
        <v>0.0</v>
      </c>
      <c r="I4611" s="2" t="s">
        <v>40</v>
      </c>
      <c r="J4611" s="2"/>
      <c r="K4611" s="2" t="s">
        <v>12561</v>
      </c>
      <c r="L4611" s="12">
        <v>200.0</v>
      </c>
      <c r="M4611" s="2" t="s">
        <v>12562</v>
      </c>
      <c r="N4611" s="2" t="str">
        <f>IFERROR(__xludf.DUMMYFUNCTION("""COMPUTED_VALUE"""),"")</f>
        <v/>
      </c>
    </row>
    <row r="4612">
      <c r="A4612" s="2" t="s">
        <v>33</v>
      </c>
      <c r="B4612" s="12">
        <v>4441638.0</v>
      </c>
      <c r="C4612" s="12">
        <v>4442531.0</v>
      </c>
      <c r="D4612" s="2"/>
      <c r="E4612" s="2" t="s">
        <v>34</v>
      </c>
      <c r="F4612" s="2" t="s">
        <v>432</v>
      </c>
      <c r="G4612" s="2"/>
      <c r="H4612" s="12">
        <v>0.0</v>
      </c>
      <c r="I4612" s="2" t="s">
        <v>40</v>
      </c>
      <c r="J4612" s="2"/>
      <c r="K4612" s="2" t="s">
        <v>12563</v>
      </c>
      <c r="L4612" s="12">
        <v>297.0</v>
      </c>
      <c r="M4612" s="2" t="s">
        <v>12564</v>
      </c>
      <c r="N4612" s="2" t="str">
        <f>IFERROR(__xludf.DUMMYFUNCTION("""COMPUTED_VALUE"""),"")</f>
        <v/>
      </c>
    </row>
    <row r="4613">
      <c r="A4613" s="2" t="s">
        <v>33</v>
      </c>
      <c r="B4613" s="12">
        <v>4442524.0</v>
      </c>
      <c r="C4613" s="12">
        <v>4443330.0</v>
      </c>
      <c r="D4613" s="2"/>
      <c r="E4613" s="2" t="s">
        <v>34</v>
      </c>
      <c r="F4613" s="2" t="s">
        <v>787</v>
      </c>
      <c r="G4613" s="2"/>
      <c r="H4613" s="12">
        <v>0.0</v>
      </c>
      <c r="I4613" s="2" t="s">
        <v>40</v>
      </c>
      <c r="J4613" s="2"/>
      <c r="K4613" s="2" t="s">
        <v>12565</v>
      </c>
      <c r="L4613" s="12">
        <v>268.0</v>
      </c>
      <c r="M4613" s="2" t="s">
        <v>12566</v>
      </c>
      <c r="N4613" s="2" t="str">
        <f>IFERROR(__xludf.DUMMYFUNCTION("""COMPUTED_VALUE"""),"")</f>
        <v/>
      </c>
    </row>
    <row r="4614">
      <c r="A4614" s="2" t="s">
        <v>33</v>
      </c>
      <c r="B4614" s="12">
        <v>4443534.0</v>
      </c>
      <c r="C4614" s="12">
        <v>4444067.0</v>
      </c>
      <c r="D4614" s="2"/>
      <c r="E4614" s="2" t="s">
        <v>34</v>
      </c>
      <c r="F4614" s="2" t="s">
        <v>651</v>
      </c>
      <c r="G4614" s="2"/>
      <c r="H4614" s="12">
        <v>0.0</v>
      </c>
      <c r="I4614" s="2" t="s">
        <v>40</v>
      </c>
      <c r="J4614" s="2"/>
      <c r="K4614" s="2" t="s">
        <v>12567</v>
      </c>
      <c r="L4614" s="12">
        <v>177.0</v>
      </c>
      <c r="M4614" s="2" t="s">
        <v>12568</v>
      </c>
      <c r="N4614" s="2" t="str">
        <f>IFERROR(__xludf.DUMMYFUNCTION("""COMPUTED_VALUE"""),"")</f>
        <v/>
      </c>
    </row>
    <row r="4615">
      <c r="A4615" s="2" t="s">
        <v>33</v>
      </c>
      <c r="B4615" s="12">
        <v>4444080.0</v>
      </c>
      <c r="C4615" s="12">
        <v>4445078.0</v>
      </c>
      <c r="D4615" s="2"/>
      <c r="E4615" s="2" t="s">
        <v>34</v>
      </c>
      <c r="F4615" s="2" t="s">
        <v>7563</v>
      </c>
      <c r="G4615" s="2"/>
      <c r="H4615" s="12">
        <v>0.0</v>
      </c>
      <c r="I4615" s="2" t="s">
        <v>40</v>
      </c>
      <c r="J4615" s="2"/>
      <c r="K4615" s="2" t="s">
        <v>12569</v>
      </c>
      <c r="L4615" s="12">
        <v>332.0</v>
      </c>
      <c r="M4615" s="2" t="s">
        <v>12570</v>
      </c>
      <c r="N4615" s="2" t="str">
        <f>IFERROR(__xludf.DUMMYFUNCTION("""COMPUTED_VALUE"""),"")</f>
        <v/>
      </c>
    </row>
    <row r="4616">
      <c r="A4616" s="2" t="s">
        <v>33</v>
      </c>
      <c r="B4616" s="12">
        <v>4445096.0</v>
      </c>
      <c r="C4616" s="12">
        <v>4446133.0</v>
      </c>
      <c r="D4616" s="2"/>
      <c r="E4616" s="2" t="s">
        <v>34</v>
      </c>
      <c r="F4616" s="2" t="s">
        <v>1789</v>
      </c>
      <c r="G4616" s="2"/>
      <c r="H4616" s="12">
        <v>0.0</v>
      </c>
      <c r="I4616" s="2" t="s">
        <v>40</v>
      </c>
      <c r="J4616" s="2"/>
      <c r="K4616" s="2" t="s">
        <v>12571</v>
      </c>
      <c r="L4616" s="12">
        <v>345.0</v>
      </c>
      <c r="M4616" s="2" t="s">
        <v>12572</v>
      </c>
      <c r="N4616" s="2" t="str">
        <f>IFERROR(__xludf.DUMMYFUNCTION("""COMPUTED_VALUE"""),"")</f>
        <v/>
      </c>
    </row>
    <row r="4617">
      <c r="A4617" s="2" t="s">
        <v>33</v>
      </c>
      <c r="B4617" s="12">
        <v>4446480.0</v>
      </c>
      <c r="C4617" s="12">
        <v>4448183.0</v>
      </c>
      <c r="D4617" s="2"/>
      <c r="E4617" s="2" t="s">
        <v>34</v>
      </c>
      <c r="F4617" s="2" t="s">
        <v>1632</v>
      </c>
      <c r="G4617" s="2"/>
      <c r="H4617" s="12">
        <v>0.0</v>
      </c>
      <c r="I4617" s="2" t="s">
        <v>40</v>
      </c>
      <c r="J4617" s="2"/>
      <c r="K4617" s="2" t="s">
        <v>12573</v>
      </c>
      <c r="L4617" s="12">
        <v>567.0</v>
      </c>
      <c r="M4617" s="2" t="s">
        <v>12574</v>
      </c>
      <c r="N4617" s="2" t="str">
        <f>IFERROR(__xludf.DUMMYFUNCTION("""COMPUTED_VALUE"""),"")</f>
        <v/>
      </c>
    </row>
    <row r="4618">
      <c r="A4618" s="2" t="s">
        <v>33</v>
      </c>
      <c r="B4618" s="12">
        <v>4448482.0</v>
      </c>
      <c r="C4618" s="12">
        <v>4450197.0</v>
      </c>
      <c r="D4618" s="2"/>
      <c r="E4618" s="2" t="s">
        <v>34</v>
      </c>
      <c r="F4618" s="2" t="s">
        <v>1632</v>
      </c>
      <c r="G4618" s="2"/>
      <c r="H4618" s="12">
        <v>0.0</v>
      </c>
      <c r="I4618" s="2" t="s">
        <v>40</v>
      </c>
      <c r="J4618" s="2"/>
      <c r="K4618" s="2" t="s">
        <v>12575</v>
      </c>
      <c r="L4618" s="12">
        <v>571.0</v>
      </c>
      <c r="M4618" s="2" t="s">
        <v>12576</v>
      </c>
      <c r="N4618" s="2" t="str">
        <f>IFERROR(__xludf.DUMMYFUNCTION("""COMPUTED_VALUE"""),"")</f>
        <v/>
      </c>
    </row>
    <row r="4619">
      <c r="A4619" s="2" t="s">
        <v>33</v>
      </c>
      <c r="B4619" s="12">
        <v>4450639.0</v>
      </c>
      <c r="C4619" s="12">
        <v>4452333.0</v>
      </c>
      <c r="D4619" s="2"/>
      <c r="E4619" s="2" t="s">
        <v>34</v>
      </c>
      <c r="F4619" s="2" t="s">
        <v>1632</v>
      </c>
      <c r="G4619" s="2"/>
      <c r="H4619" s="12">
        <v>0.0</v>
      </c>
      <c r="I4619" s="2" t="s">
        <v>40</v>
      </c>
      <c r="J4619" s="2"/>
      <c r="K4619" s="2" t="s">
        <v>12577</v>
      </c>
      <c r="L4619" s="12">
        <v>564.0</v>
      </c>
      <c r="M4619" s="2" t="s">
        <v>12578</v>
      </c>
      <c r="N4619" s="2" t="str">
        <f>IFERROR(__xludf.DUMMYFUNCTION("""COMPUTED_VALUE"""),"")</f>
        <v/>
      </c>
    </row>
    <row r="4620">
      <c r="A4620" s="2" t="s">
        <v>33</v>
      </c>
      <c r="B4620" s="12">
        <v>4452416.0</v>
      </c>
      <c r="C4620" s="12">
        <v>4453135.0</v>
      </c>
      <c r="D4620" s="2"/>
      <c r="E4620" s="2" t="s">
        <v>34</v>
      </c>
      <c r="F4620" s="2" t="s">
        <v>289</v>
      </c>
      <c r="G4620" s="2"/>
      <c r="H4620" s="12">
        <v>0.0</v>
      </c>
      <c r="I4620" s="2" t="s">
        <v>40</v>
      </c>
      <c r="J4620" s="2"/>
      <c r="K4620" s="2" t="s">
        <v>12579</v>
      </c>
      <c r="L4620" s="12">
        <v>239.0</v>
      </c>
      <c r="M4620" s="2" t="s">
        <v>12580</v>
      </c>
      <c r="N4620" s="2" t="str">
        <f>IFERROR(__xludf.DUMMYFUNCTION("""COMPUTED_VALUE"""),"")</f>
        <v/>
      </c>
    </row>
    <row r="4621">
      <c r="A4621" s="2" t="s">
        <v>33</v>
      </c>
      <c r="B4621" s="12">
        <v>4453176.0</v>
      </c>
      <c r="C4621" s="12">
        <v>4453571.0</v>
      </c>
      <c r="D4621" s="2"/>
      <c r="E4621" s="2" t="s">
        <v>38</v>
      </c>
      <c r="F4621" s="2" t="s">
        <v>39</v>
      </c>
      <c r="G4621" s="2"/>
      <c r="H4621" s="12">
        <v>0.0</v>
      </c>
      <c r="I4621" s="2" t="s">
        <v>40</v>
      </c>
      <c r="J4621" s="2"/>
      <c r="K4621" s="2" t="s">
        <v>12581</v>
      </c>
      <c r="L4621" s="12">
        <v>131.0</v>
      </c>
      <c r="M4621" s="2" t="s">
        <v>12582</v>
      </c>
      <c r="N4621" s="2" t="str">
        <f>IFERROR(__xludf.DUMMYFUNCTION("""COMPUTED_VALUE"""),"")</f>
        <v/>
      </c>
    </row>
    <row r="4622">
      <c r="A4622" s="2" t="s">
        <v>33</v>
      </c>
      <c r="B4622" s="12">
        <v>4453706.0</v>
      </c>
      <c r="C4622" s="12">
        <v>4454053.0</v>
      </c>
      <c r="D4622" s="2"/>
      <c r="E4622" s="2" t="s">
        <v>34</v>
      </c>
      <c r="F4622" s="2" t="s">
        <v>39</v>
      </c>
      <c r="G4622" s="2"/>
      <c r="H4622" s="12">
        <v>0.0</v>
      </c>
      <c r="I4622" s="2" t="s">
        <v>40</v>
      </c>
      <c r="J4622" s="2"/>
      <c r="K4622" s="2" t="s">
        <v>12583</v>
      </c>
      <c r="L4622" s="12">
        <v>115.0</v>
      </c>
      <c r="M4622" s="2" t="s">
        <v>12584</v>
      </c>
      <c r="N4622" s="2" t="str">
        <f>IFERROR(__xludf.DUMMYFUNCTION("""COMPUTED_VALUE"""),"")</f>
        <v/>
      </c>
    </row>
    <row r="4623">
      <c r="A4623" s="2" t="s">
        <v>33</v>
      </c>
      <c r="B4623" s="12">
        <v>4454113.0</v>
      </c>
      <c r="C4623" s="12">
        <v>4454451.0</v>
      </c>
      <c r="D4623" s="2"/>
      <c r="E4623" s="2" t="s">
        <v>34</v>
      </c>
      <c r="F4623" s="2" t="s">
        <v>541</v>
      </c>
      <c r="G4623" s="2"/>
      <c r="H4623" s="12">
        <v>0.0</v>
      </c>
      <c r="I4623" s="2" t="s">
        <v>40</v>
      </c>
      <c r="J4623" s="2"/>
      <c r="K4623" s="2" t="s">
        <v>12585</v>
      </c>
      <c r="L4623" s="12">
        <v>112.0</v>
      </c>
      <c r="M4623" s="2" t="s">
        <v>12586</v>
      </c>
      <c r="N4623" s="2" t="str">
        <f>IFERROR(__xludf.DUMMYFUNCTION("""COMPUTED_VALUE"""),"")</f>
        <v/>
      </c>
    </row>
    <row r="4624">
      <c r="A4624" s="2" t="s">
        <v>33</v>
      </c>
      <c r="B4624" s="12">
        <v>4454708.0</v>
      </c>
      <c r="C4624" s="12">
        <v>4456807.0</v>
      </c>
      <c r="D4624" s="2"/>
      <c r="E4624" s="2" t="s">
        <v>34</v>
      </c>
      <c r="F4624" s="2" t="s">
        <v>12587</v>
      </c>
      <c r="G4624" s="2"/>
      <c r="H4624" s="12">
        <v>0.0</v>
      </c>
      <c r="I4624" s="2" t="s">
        <v>40</v>
      </c>
      <c r="J4624" s="2"/>
      <c r="K4624" s="2" t="s">
        <v>12588</v>
      </c>
      <c r="L4624" s="12">
        <v>699.0</v>
      </c>
      <c r="M4624" s="2" t="s">
        <v>12589</v>
      </c>
      <c r="N4624" s="2" t="str">
        <f>IFERROR(__xludf.DUMMYFUNCTION("""COMPUTED_VALUE"""),"")</f>
        <v/>
      </c>
    </row>
    <row r="4625">
      <c r="A4625" s="2" t="s">
        <v>33</v>
      </c>
      <c r="B4625" s="12">
        <v>4456887.0</v>
      </c>
      <c r="C4625" s="12">
        <v>4460249.0</v>
      </c>
      <c r="D4625" s="2"/>
      <c r="E4625" s="2" t="s">
        <v>34</v>
      </c>
      <c r="F4625" s="2" t="s">
        <v>12590</v>
      </c>
      <c r="G4625" s="2"/>
      <c r="H4625" s="12">
        <v>0.0</v>
      </c>
      <c r="I4625" s="2" t="s">
        <v>40</v>
      </c>
      <c r="J4625" s="2"/>
      <c r="K4625" s="2" t="s">
        <v>12591</v>
      </c>
      <c r="L4625" s="12">
        <v>1120.0</v>
      </c>
      <c r="M4625" s="2" t="s">
        <v>12592</v>
      </c>
      <c r="N4625" s="2" t="str">
        <f>IFERROR(__xludf.DUMMYFUNCTION("""COMPUTED_VALUE"""),"")</f>
        <v/>
      </c>
    </row>
    <row r="4626">
      <c r="A4626" s="2" t="s">
        <v>33</v>
      </c>
      <c r="B4626" s="12">
        <v>4460307.0</v>
      </c>
      <c r="C4626" s="12">
        <v>4460447.0</v>
      </c>
      <c r="D4626" s="2"/>
      <c r="E4626" s="2" t="s">
        <v>34</v>
      </c>
      <c r="F4626" s="2" t="s">
        <v>39</v>
      </c>
      <c r="G4626" s="2"/>
      <c r="H4626" s="12">
        <v>0.0</v>
      </c>
      <c r="I4626" s="2" t="s">
        <v>40</v>
      </c>
      <c r="J4626" s="2"/>
      <c r="K4626" s="2" t="s">
        <v>12593</v>
      </c>
      <c r="L4626" s="12">
        <v>46.0</v>
      </c>
      <c r="M4626" s="2" t="s">
        <v>12594</v>
      </c>
      <c r="N4626" s="2" t="str">
        <f>IFERROR(__xludf.DUMMYFUNCTION("""COMPUTED_VALUE"""),"")</f>
        <v/>
      </c>
    </row>
    <row r="4627">
      <c r="A4627" s="2" t="s">
        <v>33</v>
      </c>
      <c r="B4627" s="12">
        <v>4460906.0</v>
      </c>
      <c r="C4627" s="12">
        <v>4462288.0</v>
      </c>
      <c r="D4627" s="2"/>
      <c r="E4627" s="2" t="s">
        <v>34</v>
      </c>
      <c r="F4627" s="2" t="s">
        <v>2227</v>
      </c>
      <c r="G4627" s="2"/>
      <c r="H4627" s="12">
        <v>0.0</v>
      </c>
      <c r="I4627" s="2" t="s">
        <v>40</v>
      </c>
      <c r="J4627" s="2"/>
      <c r="K4627" s="2" t="s">
        <v>12595</v>
      </c>
      <c r="L4627" s="12">
        <v>460.0</v>
      </c>
      <c r="M4627" s="2" t="s">
        <v>12596</v>
      </c>
      <c r="N4627" s="2" t="str">
        <f>IFERROR(__xludf.DUMMYFUNCTION("""COMPUTED_VALUE"""),"")</f>
        <v/>
      </c>
    </row>
    <row r="4628">
      <c r="A4628" s="2" t="s">
        <v>33</v>
      </c>
      <c r="B4628" s="12">
        <v>4462363.0</v>
      </c>
      <c r="C4628" s="12">
        <v>4463499.0</v>
      </c>
      <c r="D4628" s="2"/>
      <c r="E4628" s="2" t="s">
        <v>38</v>
      </c>
      <c r="F4628" s="2" t="s">
        <v>12597</v>
      </c>
      <c r="G4628" s="2" t="s">
        <v>12598</v>
      </c>
      <c r="H4628" s="12">
        <v>0.0</v>
      </c>
      <c r="I4628" s="2" t="s">
        <v>40</v>
      </c>
      <c r="J4628" s="2"/>
      <c r="K4628" s="2" t="s">
        <v>12599</v>
      </c>
      <c r="L4628" s="12">
        <v>378.0</v>
      </c>
      <c r="M4628" s="2" t="s">
        <v>12600</v>
      </c>
      <c r="N4628" s="2" t="str">
        <f>IFERROR(__xludf.DUMMYFUNCTION("""COMPUTED_VALUE"""),"")</f>
        <v/>
      </c>
    </row>
    <row r="4629">
      <c r="A4629" s="2" t="s">
        <v>33</v>
      </c>
      <c r="B4629" s="12">
        <v>4463500.0</v>
      </c>
      <c r="C4629" s="12">
        <v>4464597.0</v>
      </c>
      <c r="D4629" s="2"/>
      <c r="E4629" s="2" t="s">
        <v>38</v>
      </c>
      <c r="F4629" s="2" t="s">
        <v>12601</v>
      </c>
      <c r="G4629" s="2"/>
      <c r="H4629" s="12">
        <v>0.0</v>
      </c>
      <c r="I4629" s="2" t="s">
        <v>40</v>
      </c>
      <c r="J4629" s="2"/>
      <c r="K4629" s="2" t="s">
        <v>12602</v>
      </c>
      <c r="L4629" s="12">
        <v>365.0</v>
      </c>
      <c r="M4629" s="2" t="s">
        <v>12603</v>
      </c>
      <c r="N4629" s="2" t="str">
        <f>IFERROR(__xludf.DUMMYFUNCTION("""COMPUTED_VALUE"""),"")</f>
        <v/>
      </c>
    </row>
    <row r="4630">
      <c r="A4630" s="2" t="s">
        <v>33</v>
      </c>
      <c r="B4630" s="12">
        <v>4464594.0</v>
      </c>
      <c r="C4630" s="12">
        <v>4466132.0</v>
      </c>
      <c r="D4630" s="2"/>
      <c r="E4630" s="2" t="s">
        <v>38</v>
      </c>
      <c r="F4630" s="2" t="s">
        <v>5082</v>
      </c>
      <c r="G4630" s="2"/>
      <c r="H4630" s="12">
        <v>0.0</v>
      </c>
      <c r="I4630" s="2" t="s">
        <v>40</v>
      </c>
      <c r="J4630" s="2"/>
      <c r="K4630" s="2" t="s">
        <v>12604</v>
      </c>
      <c r="L4630" s="12">
        <v>512.0</v>
      </c>
      <c r="M4630" s="2" t="s">
        <v>12605</v>
      </c>
      <c r="N4630" s="2" t="str">
        <f>IFERROR(__xludf.DUMMYFUNCTION("""COMPUTED_VALUE"""),"")</f>
        <v/>
      </c>
    </row>
    <row r="4631">
      <c r="A4631" s="2" t="s">
        <v>33</v>
      </c>
      <c r="B4631" s="12">
        <v>4466499.0</v>
      </c>
      <c r="C4631" s="12">
        <v>4469438.0</v>
      </c>
      <c r="D4631" s="2"/>
      <c r="E4631" s="2" t="s">
        <v>34</v>
      </c>
      <c r="F4631" s="2" t="s">
        <v>5611</v>
      </c>
      <c r="G4631" s="2" t="s">
        <v>5612</v>
      </c>
      <c r="H4631" s="12">
        <v>0.0</v>
      </c>
      <c r="I4631" s="2" t="s">
        <v>40</v>
      </c>
      <c r="J4631" s="2"/>
      <c r="K4631" s="2" t="s">
        <v>12606</v>
      </c>
      <c r="L4631" s="12">
        <v>979.0</v>
      </c>
      <c r="M4631" s="2" t="s">
        <v>12607</v>
      </c>
      <c r="N4631" s="2" t="str">
        <f>IFERROR(__xludf.DUMMYFUNCTION("""COMPUTED_VALUE"""),"")</f>
        <v/>
      </c>
    </row>
    <row r="4632">
      <c r="A4632" s="2" t="s">
        <v>33</v>
      </c>
      <c r="B4632" s="12">
        <v>4469451.0</v>
      </c>
      <c r="C4632" s="12">
        <v>4469933.0</v>
      </c>
      <c r="D4632" s="2"/>
      <c r="E4632" s="2" t="s">
        <v>34</v>
      </c>
      <c r="F4632" s="2" t="s">
        <v>5608</v>
      </c>
      <c r="G4632" s="2"/>
      <c r="H4632" s="12">
        <v>0.0</v>
      </c>
      <c r="I4632" s="2" t="s">
        <v>40</v>
      </c>
      <c r="J4632" s="2"/>
      <c r="K4632" s="2" t="s">
        <v>12608</v>
      </c>
      <c r="L4632" s="12">
        <v>160.0</v>
      </c>
      <c r="M4632" s="2" t="s">
        <v>12609</v>
      </c>
      <c r="N4632" s="2" t="str">
        <f>IFERROR(__xludf.DUMMYFUNCTION("""COMPUTED_VALUE"""),"")</f>
        <v/>
      </c>
    </row>
    <row r="4633">
      <c r="A4633" s="2" t="s">
        <v>33</v>
      </c>
      <c r="B4633" s="12">
        <v>4470049.0</v>
      </c>
      <c r="C4633" s="12">
        <v>4470393.0</v>
      </c>
      <c r="D4633" s="2"/>
      <c r="E4633" s="2" t="s">
        <v>34</v>
      </c>
      <c r="F4633" s="2" t="s">
        <v>12610</v>
      </c>
      <c r="G4633" s="2"/>
      <c r="H4633" s="12">
        <v>0.0</v>
      </c>
      <c r="I4633" s="2" t="s">
        <v>40</v>
      </c>
      <c r="J4633" s="2"/>
      <c r="K4633" s="2" t="s">
        <v>12611</v>
      </c>
      <c r="L4633" s="12">
        <v>114.0</v>
      </c>
      <c r="M4633" s="2" t="s">
        <v>12612</v>
      </c>
      <c r="N4633" s="2" t="str">
        <f>IFERROR(__xludf.DUMMYFUNCTION("""COMPUTED_VALUE"""),"")</f>
        <v/>
      </c>
    </row>
    <row r="4634">
      <c r="A4634" s="2" t="s">
        <v>33</v>
      </c>
      <c r="B4634" s="12">
        <v>4470410.0</v>
      </c>
      <c r="C4634" s="12">
        <v>4471207.0</v>
      </c>
      <c r="D4634" s="2"/>
      <c r="E4634" s="2" t="s">
        <v>34</v>
      </c>
      <c r="F4634" s="2" t="s">
        <v>5615</v>
      </c>
      <c r="G4634" s="2" t="s">
        <v>5616</v>
      </c>
      <c r="H4634" s="12">
        <v>0.0</v>
      </c>
      <c r="I4634" s="2" t="s">
        <v>40</v>
      </c>
      <c r="J4634" s="2"/>
      <c r="K4634" s="2" t="s">
        <v>12613</v>
      </c>
      <c r="L4634" s="12">
        <v>265.0</v>
      </c>
      <c r="M4634" s="2" t="s">
        <v>12614</v>
      </c>
      <c r="N4634" s="2" t="str">
        <f>IFERROR(__xludf.DUMMYFUNCTION("""COMPUTED_VALUE"""),"")</f>
        <v/>
      </c>
    </row>
    <row r="4635">
      <c r="A4635" s="2" t="s">
        <v>33</v>
      </c>
      <c r="B4635" s="12">
        <v>4471224.0</v>
      </c>
      <c r="C4635" s="12">
        <v>4472240.0</v>
      </c>
      <c r="D4635" s="2"/>
      <c r="E4635" s="2" t="s">
        <v>34</v>
      </c>
      <c r="F4635" s="2" t="s">
        <v>1350</v>
      </c>
      <c r="G4635" s="2" t="s">
        <v>1351</v>
      </c>
      <c r="H4635" s="12">
        <v>0.0</v>
      </c>
      <c r="I4635" s="2" t="s">
        <v>40</v>
      </c>
      <c r="J4635" s="2"/>
      <c r="K4635" s="2" t="s">
        <v>12615</v>
      </c>
      <c r="L4635" s="12">
        <v>338.0</v>
      </c>
      <c r="M4635" s="2" t="s">
        <v>12616</v>
      </c>
      <c r="N4635" s="2" t="str">
        <f>IFERROR(__xludf.DUMMYFUNCTION("""COMPUTED_VALUE"""),"")</f>
        <v/>
      </c>
    </row>
    <row r="4636">
      <c r="A4636" s="2" t="s">
        <v>33</v>
      </c>
      <c r="B4636" s="12">
        <v>4472432.0</v>
      </c>
      <c r="C4636" s="12">
        <v>4473211.0</v>
      </c>
      <c r="D4636" s="2"/>
      <c r="E4636" s="2" t="s">
        <v>34</v>
      </c>
      <c r="F4636" s="2" t="s">
        <v>3679</v>
      </c>
      <c r="G4636" s="2"/>
      <c r="H4636" s="12">
        <v>0.0</v>
      </c>
      <c r="I4636" s="2" t="s">
        <v>40</v>
      </c>
      <c r="J4636" s="2"/>
      <c r="K4636" s="2" t="s">
        <v>12617</v>
      </c>
      <c r="L4636" s="12">
        <v>259.0</v>
      </c>
      <c r="M4636" s="2" t="s">
        <v>12618</v>
      </c>
      <c r="N4636" s="2" t="str">
        <f>IFERROR(__xludf.DUMMYFUNCTION("""COMPUTED_VALUE"""),"")</f>
        <v/>
      </c>
    </row>
    <row r="4637">
      <c r="A4637" s="2" t="s">
        <v>33</v>
      </c>
      <c r="B4637" s="12">
        <v>4473236.0</v>
      </c>
      <c r="C4637" s="12">
        <v>4474252.0</v>
      </c>
      <c r="D4637" s="2"/>
      <c r="E4637" s="2" t="s">
        <v>34</v>
      </c>
      <c r="F4637" s="2" t="s">
        <v>1347</v>
      </c>
      <c r="G4637" s="2"/>
      <c r="H4637" s="12">
        <v>0.0</v>
      </c>
      <c r="I4637" s="2" t="s">
        <v>40</v>
      </c>
      <c r="J4637" s="2"/>
      <c r="K4637" s="2" t="s">
        <v>12619</v>
      </c>
      <c r="L4637" s="12">
        <v>338.0</v>
      </c>
      <c r="M4637" s="2" t="s">
        <v>12620</v>
      </c>
      <c r="N4637" s="2" t="str">
        <f>IFERROR(__xludf.DUMMYFUNCTION("""COMPUTED_VALUE"""),"")</f>
        <v/>
      </c>
    </row>
    <row r="4638">
      <c r="A4638" s="2" t="s">
        <v>33</v>
      </c>
      <c r="B4638" s="12">
        <v>4474270.0</v>
      </c>
      <c r="C4638" s="12">
        <v>4475577.0</v>
      </c>
      <c r="D4638" s="2"/>
      <c r="E4638" s="2" t="s">
        <v>34</v>
      </c>
      <c r="F4638" s="2" t="s">
        <v>1343</v>
      </c>
      <c r="G4638" s="2" t="s">
        <v>1344</v>
      </c>
      <c r="H4638" s="12">
        <v>0.0</v>
      </c>
      <c r="I4638" s="2" t="s">
        <v>40</v>
      </c>
      <c r="J4638" s="2"/>
      <c r="K4638" s="2" t="s">
        <v>12621</v>
      </c>
      <c r="L4638" s="12">
        <v>435.0</v>
      </c>
      <c r="M4638" s="2" t="s">
        <v>12622</v>
      </c>
      <c r="N4638" s="2" t="str">
        <f>IFERROR(__xludf.DUMMYFUNCTION("""COMPUTED_VALUE"""),"")</f>
        <v/>
      </c>
    </row>
    <row r="4639">
      <c r="A4639" s="2" t="s">
        <v>33</v>
      </c>
      <c r="B4639" s="12">
        <v>4475558.0</v>
      </c>
      <c r="C4639" s="12">
        <v>4476022.0</v>
      </c>
      <c r="D4639" s="2"/>
      <c r="E4639" s="2" t="s">
        <v>34</v>
      </c>
      <c r="F4639" s="2" t="s">
        <v>1339</v>
      </c>
      <c r="G4639" s="2" t="s">
        <v>1340</v>
      </c>
      <c r="H4639" s="12">
        <v>0.0</v>
      </c>
      <c r="I4639" s="2" t="s">
        <v>40</v>
      </c>
      <c r="J4639" s="2"/>
      <c r="K4639" s="2" t="s">
        <v>12623</v>
      </c>
      <c r="L4639" s="12">
        <v>154.0</v>
      </c>
      <c r="M4639" s="2" t="s">
        <v>12624</v>
      </c>
      <c r="N4639" s="2" t="str">
        <f>IFERROR(__xludf.DUMMYFUNCTION("""COMPUTED_VALUE"""),"")</f>
        <v/>
      </c>
    </row>
    <row r="4640">
      <c r="A4640" s="2" t="s">
        <v>33</v>
      </c>
      <c r="B4640" s="12">
        <v>4476027.0</v>
      </c>
      <c r="C4640" s="12">
        <v>4476263.0</v>
      </c>
      <c r="D4640" s="2"/>
      <c r="E4640" s="2" t="s">
        <v>34</v>
      </c>
      <c r="F4640" s="2" t="s">
        <v>1335</v>
      </c>
      <c r="G4640" s="2" t="s">
        <v>1336</v>
      </c>
      <c r="H4640" s="12">
        <v>0.0</v>
      </c>
      <c r="I4640" s="2" t="s">
        <v>40</v>
      </c>
      <c r="J4640" s="2"/>
      <c r="K4640" s="2" t="s">
        <v>12625</v>
      </c>
      <c r="L4640" s="12">
        <v>78.0</v>
      </c>
      <c r="M4640" s="2" t="s">
        <v>12626</v>
      </c>
      <c r="N4640" s="2" t="str">
        <f>IFERROR(__xludf.DUMMYFUNCTION("""COMPUTED_VALUE"""),"")</f>
        <v/>
      </c>
    </row>
    <row r="4641">
      <c r="A4641" s="2" t="s">
        <v>33</v>
      </c>
      <c r="B4641" s="12">
        <v>4476336.0</v>
      </c>
      <c r="C4641" s="12">
        <v>4477385.0</v>
      </c>
      <c r="D4641" s="2"/>
      <c r="E4641" s="2" t="s">
        <v>34</v>
      </c>
      <c r="F4641" s="2" t="s">
        <v>12627</v>
      </c>
      <c r="G4641" s="2"/>
      <c r="H4641" s="12">
        <v>0.0</v>
      </c>
      <c r="I4641" s="2" t="s">
        <v>40</v>
      </c>
      <c r="J4641" s="2"/>
      <c r="K4641" s="2" t="s">
        <v>12628</v>
      </c>
      <c r="L4641" s="12">
        <v>349.0</v>
      </c>
      <c r="M4641" s="2" t="s">
        <v>12629</v>
      </c>
      <c r="N4641" s="2" t="str">
        <f>IFERROR(__xludf.DUMMYFUNCTION("""COMPUTED_VALUE"""),"")</f>
        <v/>
      </c>
    </row>
    <row r="4642">
      <c r="A4642" s="2" t="s">
        <v>33</v>
      </c>
      <c r="B4642" s="12">
        <v>4477401.0</v>
      </c>
      <c r="C4642" s="12">
        <v>4477625.0</v>
      </c>
      <c r="D4642" s="2"/>
      <c r="E4642" s="2" t="s">
        <v>34</v>
      </c>
      <c r="F4642" s="2" t="s">
        <v>39</v>
      </c>
      <c r="G4642" s="2"/>
      <c r="H4642" s="12">
        <v>0.0</v>
      </c>
      <c r="I4642" s="2" t="s">
        <v>40</v>
      </c>
      <c r="J4642" s="2"/>
      <c r="K4642" s="2" t="s">
        <v>12630</v>
      </c>
      <c r="L4642" s="12">
        <v>74.0</v>
      </c>
      <c r="M4642" s="2" t="s">
        <v>12631</v>
      </c>
      <c r="N4642" s="2" t="str">
        <f>IFERROR(__xludf.DUMMYFUNCTION("""COMPUTED_VALUE"""),"")</f>
        <v/>
      </c>
    </row>
    <row r="4643">
      <c r="A4643" s="2" t="s">
        <v>33</v>
      </c>
      <c r="B4643" s="12">
        <v>4477668.0</v>
      </c>
      <c r="C4643" s="12">
        <v>4478066.0</v>
      </c>
      <c r="D4643" s="2"/>
      <c r="E4643" s="2" t="s">
        <v>34</v>
      </c>
      <c r="F4643" s="2" t="s">
        <v>39</v>
      </c>
      <c r="G4643" s="2"/>
      <c r="H4643" s="12">
        <v>0.0</v>
      </c>
      <c r="I4643" s="2" t="s">
        <v>40</v>
      </c>
      <c r="J4643" s="2"/>
      <c r="K4643" s="2" t="s">
        <v>12632</v>
      </c>
      <c r="L4643" s="12">
        <v>132.0</v>
      </c>
      <c r="M4643" s="2" t="s">
        <v>12633</v>
      </c>
      <c r="N4643" s="2" t="str">
        <f>IFERROR(__xludf.DUMMYFUNCTION("""COMPUTED_VALUE"""),"")</f>
        <v/>
      </c>
    </row>
    <row r="4644">
      <c r="A4644" s="2" t="s">
        <v>33</v>
      </c>
      <c r="B4644" s="12">
        <v>4478250.0</v>
      </c>
      <c r="C4644" s="12">
        <v>4478498.0</v>
      </c>
      <c r="D4644" s="2"/>
      <c r="E4644" s="2" t="s">
        <v>34</v>
      </c>
      <c r="F4644" s="2" t="s">
        <v>12634</v>
      </c>
      <c r="G4644" s="2"/>
      <c r="H4644" s="12">
        <v>0.0</v>
      </c>
      <c r="I4644" s="2" t="s">
        <v>40</v>
      </c>
      <c r="J4644" s="2"/>
      <c r="K4644" s="2" t="s">
        <v>12635</v>
      </c>
      <c r="L4644" s="12">
        <v>82.0</v>
      </c>
      <c r="M4644" s="2" t="s">
        <v>12636</v>
      </c>
      <c r="N4644" s="2" t="str">
        <f>IFERROR(__xludf.DUMMYFUNCTION("""COMPUTED_VALUE"""),"")</f>
        <v/>
      </c>
    </row>
    <row r="4645">
      <c r="A4645" s="2" t="s">
        <v>33</v>
      </c>
      <c r="B4645" s="12">
        <v>4478591.0</v>
      </c>
      <c r="C4645" s="12">
        <v>4479532.0</v>
      </c>
      <c r="D4645" s="2"/>
      <c r="E4645" s="2" t="s">
        <v>34</v>
      </c>
      <c r="F4645" s="2" t="s">
        <v>12637</v>
      </c>
      <c r="G4645" s="2" t="s">
        <v>12638</v>
      </c>
      <c r="H4645" s="12">
        <v>0.0</v>
      </c>
      <c r="I4645" s="2" t="s">
        <v>40</v>
      </c>
      <c r="J4645" s="2"/>
      <c r="K4645" s="2" t="s">
        <v>12639</v>
      </c>
      <c r="L4645" s="12">
        <v>313.0</v>
      </c>
      <c r="M4645" s="2" t="s">
        <v>12640</v>
      </c>
      <c r="N4645" s="2" t="str">
        <f>IFERROR(__xludf.DUMMYFUNCTION("""COMPUTED_VALUE"""),"")</f>
        <v/>
      </c>
    </row>
    <row r="4646">
      <c r="A4646" s="2" t="s">
        <v>33</v>
      </c>
      <c r="B4646" s="12">
        <v>4479612.0</v>
      </c>
      <c r="C4646" s="12">
        <v>4480037.0</v>
      </c>
      <c r="D4646" s="2"/>
      <c r="E4646" s="2" t="s">
        <v>34</v>
      </c>
      <c r="F4646" s="2" t="s">
        <v>12641</v>
      </c>
      <c r="G4646" s="2"/>
      <c r="H4646" s="12">
        <v>0.0</v>
      </c>
      <c r="I4646" s="2" t="s">
        <v>40</v>
      </c>
      <c r="J4646" s="2"/>
      <c r="K4646" s="2" t="s">
        <v>12642</v>
      </c>
      <c r="L4646" s="12">
        <v>141.0</v>
      </c>
      <c r="M4646" s="2" t="s">
        <v>12643</v>
      </c>
      <c r="N4646" s="2" t="str">
        <f>IFERROR(__xludf.DUMMYFUNCTION("""COMPUTED_VALUE"""),"")</f>
        <v/>
      </c>
    </row>
    <row r="4647">
      <c r="A4647" s="2" t="s">
        <v>33</v>
      </c>
      <c r="B4647" s="12">
        <v>4480137.0</v>
      </c>
      <c r="C4647" s="12">
        <v>4481990.0</v>
      </c>
      <c r="D4647" s="2"/>
      <c r="E4647" s="2" t="s">
        <v>34</v>
      </c>
      <c r="F4647" s="2" t="s">
        <v>12644</v>
      </c>
      <c r="G4647" s="2"/>
      <c r="H4647" s="12">
        <v>0.0</v>
      </c>
      <c r="I4647" s="2" t="s">
        <v>40</v>
      </c>
      <c r="J4647" s="2"/>
      <c r="K4647" s="2" t="s">
        <v>12645</v>
      </c>
      <c r="L4647" s="12">
        <v>617.0</v>
      </c>
      <c r="M4647" s="2" t="s">
        <v>12646</v>
      </c>
      <c r="N4647" s="2" t="str">
        <f>IFERROR(__xludf.DUMMYFUNCTION("""COMPUTED_VALUE"""),"")</f>
        <v/>
      </c>
    </row>
    <row r="4648">
      <c r="A4648" s="2" t="s">
        <v>33</v>
      </c>
      <c r="B4648" s="12">
        <v>4482064.0</v>
      </c>
      <c r="C4648" s="12">
        <v>4482213.0</v>
      </c>
      <c r="D4648" s="2"/>
      <c r="E4648" s="2" t="s">
        <v>38</v>
      </c>
      <c r="F4648" s="2" t="s">
        <v>12647</v>
      </c>
      <c r="G4648" s="2"/>
      <c r="H4648" s="12">
        <v>0.0</v>
      </c>
      <c r="I4648" s="2" t="s">
        <v>40</v>
      </c>
      <c r="J4648" s="2"/>
      <c r="K4648" s="2" t="s">
        <v>12648</v>
      </c>
      <c r="L4648" s="12">
        <v>49.0</v>
      </c>
      <c r="M4648" s="2" t="s">
        <v>12649</v>
      </c>
      <c r="N4648" s="2" t="str">
        <f>IFERROR(__xludf.DUMMYFUNCTION("""COMPUTED_VALUE"""),"")</f>
        <v/>
      </c>
    </row>
    <row r="4649">
      <c r="A4649" s="2" t="s">
        <v>33</v>
      </c>
      <c r="B4649" s="12">
        <v>4482346.0</v>
      </c>
      <c r="C4649" s="12">
        <v>4483086.0</v>
      </c>
      <c r="D4649" s="2"/>
      <c r="E4649" s="2" t="s">
        <v>34</v>
      </c>
      <c r="F4649" s="2" t="s">
        <v>12650</v>
      </c>
      <c r="G4649" s="2" t="s">
        <v>11833</v>
      </c>
      <c r="H4649" s="12">
        <v>0.0</v>
      </c>
      <c r="I4649" s="2" t="s">
        <v>40</v>
      </c>
      <c r="J4649" s="2"/>
      <c r="K4649" s="2" t="s">
        <v>12651</v>
      </c>
      <c r="L4649" s="12">
        <v>246.0</v>
      </c>
      <c r="M4649" s="2" t="s">
        <v>12652</v>
      </c>
      <c r="N4649" s="2" t="str">
        <f>IFERROR(__xludf.DUMMYFUNCTION("""COMPUTED_VALUE"""),"")</f>
        <v/>
      </c>
    </row>
    <row r="4650">
      <c r="A4650" s="2" t="s">
        <v>33</v>
      </c>
      <c r="B4650" s="12">
        <v>4483137.0</v>
      </c>
      <c r="C4650" s="12">
        <v>4484621.0</v>
      </c>
      <c r="D4650" s="2"/>
      <c r="E4650" s="2" t="s">
        <v>38</v>
      </c>
      <c r="F4650" s="2" t="s">
        <v>12653</v>
      </c>
      <c r="G4650" s="2" t="s">
        <v>4581</v>
      </c>
      <c r="H4650" s="12">
        <v>0.0</v>
      </c>
      <c r="I4650" s="2" t="s">
        <v>40</v>
      </c>
      <c r="J4650" s="2"/>
      <c r="K4650" s="2" t="s">
        <v>12654</v>
      </c>
      <c r="L4650" s="12">
        <v>494.0</v>
      </c>
      <c r="M4650" s="2" t="s">
        <v>12655</v>
      </c>
      <c r="N4650" s="2" t="str">
        <f>IFERROR(__xludf.DUMMYFUNCTION("""COMPUTED_VALUE"""),"")</f>
        <v/>
      </c>
    </row>
    <row r="4651">
      <c r="A4651" s="2" t="s">
        <v>33</v>
      </c>
      <c r="B4651" s="12">
        <v>4484895.0</v>
      </c>
      <c r="C4651" s="12">
        <v>4485173.0</v>
      </c>
      <c r="D4651" s="2"/>
      <c r="E4651" s="2" t="s">
        <v>34</v>
      </c>
      <c r="F4651" s="2" t="s">
        <v>12656</v>
      </c>
      <c r="G4651" s="2"/>
      <c r="H4651" s="12">
        <v>0.0</v>
      </c>
      <c r="I4651" s="2" t="s">
        <v>40</v>
      </c>
      <c r="J4651" s="2"/>
      <c r="K4651" s="2" t="s">
        <v>12657</v>
      </c>
      <c r="L4651" s="12">
        <v>92.0</v>
      </c>
      <c r="M4651" s="2" t="s">
        <v>12658</v>
      </c>
      <c r="N4651" s="2" t="str">
        <f>IFERROR(__xludf.DUMMYFUNCTION("""COMPUTED_VALUE"""),"")</f>
        <v/>
      </c>
    </row>
    <row r="4652">
      <c r="A4652" s="2" t="s">
        <v>33</v>
      </c>
      <c r="B4652" s="12">
        <v>4485177.0</v>
      </c>
      <c r="C4652" s="12">
        <v>4486610.0</v>
      </c>
      <c r="D4652" s="2"/>
      <c r="E4652" s="2" t="s">
        <v>34</v>
      </c>
      <c r="F4652" s="2" t="s">
        <v>12659</v>
      </c>
      <c r="G4652" s="2" t="s">
        <v>12660</v>
      </c>
      <c r="H4652" s="12">
        <v>0.0</v>
      </c>
      <c r="I4652" s="2" t="s">
        <v>40</v>
      </c>
      <c r="J4652" s="2"/>
      <c r="K4652" s="2" t="s">
        <v>12661</v>
      </c>
      <c r="L4652" s="12">
        <v>477.0</v>
      </c>
      <c r="M4652" s="2" t="s">
        <v>12662</v>
      </c>
      <c r="N4652" s="2" t="str">
        <f>IFERROR(__xludf.DUMMYFUNCTION("""COMPUTED_VALUE"""),"")</f>
        <v/>
      </c>
    </row>
    <row r="4653">
      <c r="A4653" s="2" t="s">
        <v>33</v>
      </c>
      <c r="B4653" s="12">
        <v>4486734.0</v>
      </c>
      <c r="C4653" s="12">
        <v>4487666.0</v>
      </c>
      <c r="D4653" s="2"/>
      <c r="E4653" s="2" t="s">
        <v>34</v>
      </c>
      <c r="F4653" s="2" t="s">
        <v>779</v>
      </c>
      <c r="G4653" s="2"/>
      <c r="H4653" s="12">
        <v>0.0</v>
      </c>
      <c r="I4653" s="2" t="s">
        <v>40</v>
      </c>
      <c r="J4653" s="2"/>
      <c r="K4653" s="2" t="s">
        <v>12663</v>
      </c>
      <c r="L4653" s="12">
        <v>310.0</v>
      </c>
      <c r="M4653" s="2" t="s">
        <v>12664</v>
      </c>
      <c r="N4653" s="2" t="str">
        <f>IFERROR(__xludf.DUMMYFUNCTION("""COMPUTED_VALUE"""),"")</f>
        <v/>
      </c>
    </row>
    <row r="4654">
      <c r="A4654" s="2" t="s">
        <v>33</v>
      </c>
      <c r="B4654" s="12">
        <v>4487784.0</v>
      </c>
      <c r="C4654" s="12">
        <v>4488893.0</v>
      </c>
      <c r="D4654" s="2"/>
      <c r="E4654" s="2" t="s">
        <v>34</v>
      </c>
      <c r="F4654" s="2" t="s">
        <v>455</v>
      </c>
      <c r="G4654" s="2"/>
      <c r="H4654" s="12">
        <v>0.0</v>
      </c>
      <c r="I4654" s="2" t="s">
        <v>40</v>
      </c>
      <c r="J4654" s="2"/>
      <c r="K4654" s="2" t="s">
        <v>12665</v>
      </c>
      <c r="L4654" s="12">
        <v>369.0</v>
      </c>
      <c r="M4654" s="2" t="s">
        <v>12666</v>
      </c>
      <c r="N4654" s="2" t="str">
        <f>IFERROR(__xludf.DUMMYFUNCTION("""COMPUTED_VALUE"""),"")</f>
        <v/>
      </c>
    </row>
    <row r="4655">
      <c r="A4655" s="2" t="s">
        <v>33</v>
      </c>
      <c r="B4655" s="12">
        <v>4488995.0</v>
      </c>
      <c r="C4655" s="12">
        <v>4490503.0</v>
      </c>
      <c r="D4655" s="2"/>
      <c r="E4655" s="2" t="s">
        <v>34</v>
      </c>
      <c r="F4655" s="2" t="s">
        <v>9478</v>
      </c>
      <c r="G4655" s="2" t="s">
        <v>9479</v>
      </c>
      <c r="H4655" s="12">
        <v>0.0</v>
      </c>
      <c r="I4655" s="2" t="s">
        <v>40</v>
      </c>
      <c r="J4655" s="2"/>
      <c r="K4655" s="2" t="s">
        <v>12667</v>
      </c>
      <c r="L4655" s="12">
        <v>502.0</v>
      </c>
      <c r="M4655" s="2" t="s">
        <v>12668</v>
      </c>
      <c r="N4655" s="2" t="str">
        <f>IFERROR(__xludf.DUMMYFUNCTION("""COMPUTED_VALUE"""),"")</f>
        <v/>
      </c>
    </row>
    <row r="4656">
      <c r="A4656" s="2" t="s">
        <v>33</v>
      </c>
      <c r="B4656" s="12">
        <v>4490570.0</v>
      </c>
      <c r="C4656" s="12">
        <v>4491403.0</v>
      </c>
      <c r="D4656" s="2"/>
      <c r="E4656" s="2" t="s">
        <v>34</v>
      </c>
      <c r="F4656" s="2" t="s">
        <v>367</v>
      </c>
      <c r="G4656" s="2"/>
      <c r="H4656" s="12">
        <v>0.0</v>
      </c>
      <c r="I4656" s="2" t="s">
        <v>40</v>
      </c>
      <c r="J4656" s="2"/>
      <c r="K4656" s="2" t="s">
        <v>12669</v>
      </c>
      <c r="L4656" s="12">
        <v>277.0</v>
      </c>
      <c r="M4656" s="2" t="s">
        <v>12670</v>
      </c>
      <c r="N4656" s="2" t="str">
        <f>IFERROR(__xludf.DUMMYFUNCTION("""COMPUTED_VALUE"""),"")</f>
        <v/>
      </c>
    </row>
    <row r="4657">
      <c r="A4657" s="2" t="s">
        <v>33</v>
      </c>
      <c r="B4657" s="12">
        <v>4491439.0</v>
      </c>
      <c r="C4657" s="12">
        <v>4492188.0</v>
      </c>
      <c r="D4657" s="2"/>
      <c r="E4657" s="2" t="s">
        <v>38</v>
      </c>
      <c r="F4657" s="2" t="s">
        <v>12671</v>
      </c>
      <c r="G4657" s="2"/>
      <c r="H4657" s="12">
        <v>0.0</v>
      </c>
      <c r="I4657" s="2" t="s">
        <v>40</v>
      </c>
      <c r="J4657" s="2"/>
      <c r="K4657" s="2" t="s">
        <v>12672</v>
      </c>
      <c r="L4657" s="12">
        <v>249.0</v>
      </c>
      <c r="M4657" s="2" t="s">
        <v>12673</v>
      </c>
      <c r="N4657" s="2" t="str">
        <f>IFERROR(__xludf.DUMMYFUNCTION("""COMPUTED_VALUE"""),"")</f>
        <v/>
      </c>
    </row>
    <row r="4658">
      <c r="A4658" s="2" t="s">
        <v>33</v>
      </c>
      <c r="B4658" s="12">
        <v>4492305.0</v>
      </c>
      <c r="C4658" s="12">
        <v>4499777.0</v>
      </c>
      <c r="D4658" s="2"/>
      <c r="E4658" s="2" t="s">
        <v>34</v>
      </c>
      <c r="F4658" s="2" t="s">
        <v>2827</v>
      </c>
      <c r="G4658" s="2"/>
      <c r="H4658" s="12">
        <v>0.0</v>
      </c>
      <c r="I4658" s="2" t="s">
        <v>40</v>
      </c>
      <c r="J4658" s="2"/>
      <c r="K4658" s="2" t="s">
        <v>12674</v>
      </c>
      <c r="L4658" s="12">
        <v>2490.0</v>
      </c>
      <c r="M4658" s="2" t="s">
        <v>12675</v>
      </c>
      <c r="N4658" s="2" t="str">
        <f>IFERROR(__xludf.DUMMYFUNCTION("""COMPUTED_VALUE"""),"")</f>
        <v/>
      </c>
    </row>
    <row r="4659">
      <c r="A4659" s="2" t="s">
        <v>33</v>
      </c>
      <c r="B4659" s="12">
        <v>4499827.0</v>
      </c>
      <c r="C4659" s="12">
        <v>4500384.0</v>
      </c>
      <c r="D4659" s="2"/>
      <c r="E4659" s="2" t="s">
        <v>38</v>
      </c>
      <c r="F4659" s="2" t="s">
        <v>496</v>
      </c>
      <c r="G4659" s="2"/>
      <c r="H4659" s="12">
        <v>0.0</v>
      </c>
      <c r="I4659" s="2" t="s">
        <v>40</v>
      </c>
      <c r="J4659" s="2"/>
      <c r="K4659" s="2" t="s">
        <v>12676</v>
      </c>
      <c r="L4659" s="12">
        <v>185.0</v>
      </c>
      <c r="M4659" s="2" t="s">
        <v>12677</v>
      </c>
      <c r="N4659" s="2" t="str">
        <f>IFERROR(__xludf.DUMMYFUNCTION("""COMPUTED_VALUE"""),"")</f>
        <v/>
      </c>
    </row>
    <row r="4660">
      <c r="A4660" s="2" t="s">
        <v>33</v>
      </c>
      <c r="B4660" s="12">
        <v>4500495.0</v>
      </c>
      <c r="C4660" s="12">
        <v>4500836.0</v>
      </c>
      <c r="D4660" s="2"/>
      <c r="E4660" s="2" t="s">
        <v>34</v>
      </c>
      <c r="F4660" s="2" t="s">
        <v>12678</v>
      </c>
      <c r="G4660" s="2"/>
      <c r="H4660" s="12">
        <v>0.0</v>
      </c>
      <c r="I4660" s="2" t="s">
        <v>40</v>
      </c>
      <c r="J4660" s="2"/>
      <c r="K4660" s="2" t="s">
        <v>12679</v>
      </c>
      <c r="L4660" s="12">
        <v>113.0</v>
      </c>
      <c r="M4660" s="2" t="s">
        <v>12680</v>
      </c>
      <c r="N4660" s="2" t="str">
        <f>IFERROR(__xludf.DUMMYFUNCTION("""COMPUTED_VALUE"""),"")</f>
        <v/>
      </c>
    </row>
    <row r="4661">
      <c r="A4661" s="2" t="s">
        <v>33</v>
      </c>
      <c r="B4661" s="12">
        <v>4500833.0</v>
      </c>
      <c r="C4661" s="12">
        <v>4501228.0</v>
      </c>
      <c r="D4661" s="2"/>
      <c r="E4661" s="2" t="s">
        <v>34</v>
      </c>
      <c r="F4661" s="2" t="s">
        <v>1546</v>
      </c>
      <c r="G4661" s="2"/>
      <c r="H4661" s="12">
        <v>0.0</v>
      </c>
      <c r="I4661" s="2" t="s">
        <v>40</v>
      </c>
      <c r="J4661" s="2"/>
      <c r="K4661" s="2" t="s">
        <v>12681</v>
      </c>
      <c r="L4661" s="12">
        <v>131.0</v>
      </c>
      <c r="M4661" s="2" t="s">
        <v>12682</v>
      </c>
      <c r="N4661" s="2" t="str">
        <f>IFERROR(__xludf.DUMMYFUNCTION("""COMPUTED_VALUE"""),"")</f>
        <v/>
      </c>
    </row>
    <row r="4662">
      <c r="A4662" s="2" t="s">
        <v>33</v>
      </c>
      <c r="B4662" s="12">
        <v>4501315.0</v>
      </c>
      <c r="C4662" s="12">
        <v>4501935.0</v>
      </c>
      <c r="D4662" s="2"/>
      <c r="E4662" s="2" t="s">
        <v>34</v>
      </c>
      <c r="F4662" s="2" t="s">
        <v>12683</v>
      </c>
      <c r="G4662" s="2"/>
      <c r="H4662" s="12">
        <v>0.0</v>
      </c>
      <c r="I4662" s="2" t="s">
        <v>40</v>
      </c>
      <c r="J4662" s="2"/>
      <c r="K4662" s="2" t="s">
        <v>12684</v>
      </c>
      <c r="L4662" s="12">
        <v>206.0</v>
      </c>
      <c r="M4662" s="2" t="s">
        <v>12685</v>
      </c>
      <c r="N4662" s="2" t="str">
        <f>IFERROR(__xludf.DUMMYFUNCTION("""COMPUTED_VALUE"""),"")</f>
        <v/>
      </c>
    </row>
    <row r="4663">
      <c r="A4663" s="2" t="s">
        <v>33</v>
      </c>
      <c r="B4663" s="12">
        <v>4502264.0</v>
      </c>
      <c r="C4663" s="12">
        <v>4502707.0</v>
      </c>
      <c r="D4663" s="2"/>
      <c r="E4663" s="2" t="s">
        <v>34</v>
      </c>
      <c r="F4663" s="2" t="s">
        <v>3487</v>
      </c>
      <c r="G4663" s="2"/>
      <c r="H4663" s="12">
        <v>0.0</v>
      </c>
      <c r="I4663" s="2" t="s">
        <v>40</v>
      </c>
      <c r="J4663" s="2"/>
      <c r="K4663" s="2" t="s">
        <v>12686</v>
      </c>
      <c r="L4663" s="12">
        <v>147.0</v>
      </c>
      <c r="M4663" s="2" t="s">
        <v>12687</v>
      </c>
      <c r="N4663" s="2" t="str">
        <f>IFERROR(__xludf.DUMMYFUNCTION("""COMPUTED_VALUE"""),"")</f>
        <v/>
      </c>
    </row>
    <row r="4664">
      <c r="A4664" s="2" t="s">
        <v>33</v>
      </c>
      <c r="B4664" s="12">
        <v>4502724.0</v>
      </c>
      <c r="C4664" s="12">
        <v>4503623.0</v>
      </c>
      <c r="D4664" s="2"/>
      <c r="E4664" s="2" t="s">
        <v>34</v>
      </c>
      <c r="F4664" s="2" t="s">
        <v>39</v>
      </c>
      <c r="G4664" s="2"/>
      <c r="H4664" s="12">
        <v>0.0</v>
      </c>
      <c r="I4664" s="2" t="s">
        <v>40</v>
      </c>
      <c r="J4664" s="2"/>
      <c r="K4664" s="2" t="s">
        <v>12688</v>
      </c>
      <c r="L4664" s="12">
        <v>299.0</v>
      </c>
      <c r="M4664" s="2" t="s">
        <v>12689</v>
      </c>
      <c r="N4664" s="2" t="str">
        <f>IFERROR(__xludf.DUMMYFUNCTION("""COMPUTED_VALUE"""),"")</f>
        <v/>
      </c>
    </row>
    <row r="4665">
      <c r="A4665" s="2" t="s">
        <v>33</v>
      </c>
      <c r="B4665" s="12">
        <v>4503839.0</v>
      </c>
      <c r="C4665" s="12">
        <v>4504039.0</v>
      </c>
      <c r="D4665" s="2"/>
      <c r="E4665" s="2" t="s">
        <v>34</v>
      </c>
      <c r="F4665" s="2" t="s">
        <v>2796</v>
      </c>
      <c r="G4665" s="2" t="s">
        <v>2797</v>
      </c>
      <c r="H4665" s="12">
        <v>0.0</v>
      </c>
      <c r="I4665" s="2" t="s">
        <v>40</v>
      </c>
      <c r="J4665" s="2"/>
      <c r="K4665" s="2" t="s">
        <v>12690</v>
      </c>
      <c r="L4665" s="12">
        <v>66.0</v>
      </c>
      <c r="M4665" s="2" t="s">
        <v>12691</v>
      </c>
      <c r="N4665" s="2" t="str">
        <f>IFERROR(__xludf.DUMMYFUNCTION("""COMPUTED_VALUE"""),"")</f>
        <v/>
      </c>
    </row>
    <row r="4666">
      <c r="A4666" s="2" t="s">
        <v>33</v>
      </c>
      <c r="B4666" s="12">
        <v>4504228.0</v>
      </c>
      <c r="C4666" s="12">
        <v>4505073.0</v>
      </c>
      <c r="D4666" s="2"/>
      <c r="E4666" s="2" t="s">
        <v>34</v>
      </c>
      <c r="F4666" s="2" t="s">
        <v>12692</v>
      </c>
      <c r="G4666" s="2"/>
      <c r="H4666" s="12">
        <v>0.0</v>
      </c>
      <c r="I4666" s="2" t="s">
        <v>40</v>
      </c>
      <c r="J4666" s="2"/>
      <c r="K4666" s="2" t="s">
        <v>12693</v>
      </c>
      <c r="L4666" s="12">
        <v>281.0</v>
      </c>
      <c r="M4666" s="2" t="s">
        <v>12694</v>
      </c>
      <c r="N4666" s="2" t="str">
        <f>IFERROR(__xludf.DUMMYFUNCTION("""COMPUTED_VALUE"""),"")</f>
        <v/>
      </c>
    </row>
    <row r="4667">
      <c r="A4667" s="2" t="s">
        <v>33</v>
      </c>
      <c r="B4667" s="12">
        <v>4505438.0</v>
      </c>
      <c r="C4667" s="12">
        <v>4505785.0</v>
      </c>
      <c r="D4667" s="2"/>
      <c r="E4667" s="2" t="s">
        <v>34</v>
      </c>
      <c r="F4667" s="2" t="s">
        <v>39</v>
      </c>
      <c r="G4667" s="2"/>
      <c r="H4667" s="12">
        <v>0.0</v>
      </c>
      <c r="I4667" s="2" t="s">
        <v>40</v>
      </c>
      <c r="J4667" s="2"/>
      <c r="K4667" s="2" t="s">
        <v>12695</v>
      </c>
      <c r="L4667" s="12">
        <v>115.0</v>
      </c>
      <c r="M4667" s="2" t="s">
        <v>12696</v>
      </c>
      <c r="N4667" s="2" t="str">
        <f>IFERROR(__xludf.DUMMYFUNCTION("""COMPUTED_VALUE"""),"")</f>
        <v/>
      </c>
    </row>
    <row r="4668">
      <c r="A4668" s="2" t="s">
        <v>33</v>
      </c>
      <c r="B4668" s="12">
        <v>4506122.0</v>
      </c>
      <c r="C4668" s="12">
        <v>4507213.0</v>
      </c>
      <c r="D4668" s="2"/>
      <c r="E4668" s="2" t="s">
        <v>38</v>
      </c>
      <c r="F4668" s="2" t="s">
        <v>12697</v>
      </c>
      <c r="G4668" s="2"/>
      <c r="H4668" s="12">
        <v>0.0</v>
      </c>
      <c r="I4668" s="2" t="s">
        <v>40</v>
      </c>
      <c r="J4668" s="2"/>
      <c r="K4668" s="2" t="s">
        <v>12698</v>
      </c>
      <c r="L4668" s="12">
        <v>363.0</v>
      </c>
      <c r="M4668" s="2" t="s">
        <v>12699</v>
      </c>
      <c r="N4668" s="2" t="str">
        <f>IFERROR(__xludf.DUMMYFUNCTION("""COMPUTED_VALUE"""),"")</f>
        <v/>
      </c>
    </row>
    <row r="4669">
      <c r="A4669" s="2" t="s">
        <v>33</v>
      </c>
      <c r="B4669" s="12">
        <v>4507330.0</v>
      </c>
      <c r="C4669" s="12">
        <v>4507659.0</v>
      </c>
      <c r="D4669" s="2"/>
      <c r="E4669" s="2" t="s">
        <v>38</v>
      </c>
      <c r="F4669" s="2" t="s">
        <v>39</v>
      </c>
      <c r="G4669" s="2"/>
      <c r="H4669" s="12">
        <v>0.0</v>
      </c>
      <c r="I4669" s="2" t="s">
        <v>40</v>
      </c>
      <c r="J4669" s="2"/>
      <c r="K4669" s="2" t="s">
        <v>12700</v>
      </c>
      <c r="L4669" s="12">
        <v>109.0</v>
      </c>
      <c r="M4669" s="2" t="s">
        <v>12701</v>
      </c>
      <c r="N4669" s="2" t="str">
        <f>IFERROR(__xludf.DUMMYFUNCTION("""COMPUTED_VALUE"""),"")</f>
        <v/>
      </c>
    </row>
    <row r="4670">
      <c r="A4670" s="2" t="s">
        <v>33</v>
      </c>
      <c r="B4670" s="12">
        <v>4508143.0</v>
      </c>
      <c r="C4670" s="12">
        <v>4509054.0</v>
      </c>
      <c r="D4670" s="2"/>
      <c r="E4670" s="2" t="s">
        <v>34</v>
      </c>
      <c r="F4670" s="2" t="s">
        <v>5570</v>
      </c>
      <c r="G4670" s="2"/>
      <c r="H4670" s="12">
        <v>0.0</v>
      </c>
      <c r="I4670" s="2" t="s">
        <v>40</v>
      </c>
      <c r="J4670" s="2"/>
      <c r="K4670" s="2" t="s">
        <v>12702</v>
      </c>
      <c r="L4670" s="12">
        <v>303.0</v>
      </c>
      <c r="M4670" s="2" t="s">
        <v>12703</v>
      </c>
      <c r="N4670" s="2" t="str">
        <f>IFERROR(__xludf.DUMMYFUNCTION("""COMPUTED_VALUE"""),"")</f>
        <v/>
      </c>
    </row>
    <row r="4671">
      <c r="A4671" s="2" t="s">
        <v>33</v>
      </c>
      <c r="B4671" s="12">
        <v>4509192.0</v>
      </c>
      <c r="C4671" s="12">
        <v>4510136.0</v>
      </c>
      <c r="D4671" s="2"/>
      <c r="E4671" s="2" t="s">
        <v>34</v>
      </c>
      <c r="F4671" s="2" t="s">
        <v>541</v>
      </c>
      <c r="G4671" s="2"/>
      <c r="H4671" s="12">
        <v>0.0</v>
      </c>
      <c r="I4671" s="2" t="s">
        <v>40</v>
      </c>
      <c r="J4671" s="2"/>
      <c r="K4671" s="2" t="s">
        <v>12704</v>
      </c>
      <c r="L4671" s="12">
        <v>314.0</v>
      </c>
      <c r="M4671" s="2" t="s">
        <v>12705</v>
      </c>
      <c r="N4671" s="2" t="str">
        <f>IFERROR(__xludf.DUMMYFUNCTION("""COMPUTED_VALUE"""),"")</f>
        <v/>
      </c>
    </row>
    <row r="4672">
      <c r="A4672" s="2" t="s">
        <v>33</v>
      </c>
      <c r="B4672" s="12">
        <v>4510184.0</v>
      </c>
      <c r="C4672" s="12">
        <v>4510702.0</v>
      </c>
      <c r="D4672" s="2"/>
      <c r="E4672" s="2" t="s">
        <v>38</v>
      </c>
      <c r="F4672" s="2" t="s">
        <v>367</v>
      </c>
      <c r="G4672" s="2"/>
      <c r="H4672" s="12">
        <v>0.0</v>
      </c>
      <c r="I4672" s="2" t="s">
        <v>40</v>
      </c>
      <c r="J4672" s="2"/>
      <c r="K4672" s="2" t="s">
        <v>12706</v>
      </c>
      <c r="L4672" s="12">
        <v>172.0</v>
      </c>
      <c r="M4672" s="2" t="s">
        <v>12707</v>
      </c>
      <c r="N4672" s="2" t="str">
        <f>IFERROR(__xludf.DUMMYFUNCTION("""COMPUTED_VALUE"""),"")</f>
        <v/>
      </c>
    </row>
    <row r="4673">
      <c r="A4673" s="2" t="s">
        <v>33</v>
      </c>
      <c r="B4673" s="12">
        <v>4510993.0</v>
      </c>
      <c r="C4673" s="12">
        <v>4511670.0</v>
      </c>
      <c r="D4673" s="2"/>
      <c r="E4673" s="2" t="s">
        <v>34</v>
      </c>
      <c r="F4673" s="2" t="s">
        <v>1774</v>
      </c>
      <c r="G4673" s="2"/>
      <c r="H4673" s="12">
        <v>0.0</v>
      </c>
      <c r="I4673" s="2" t="s">
        <v>40</v>
      </c>
      <c r="J4673" s="2"/>
      <c r="K4673" s="2" t="s">
        <v>12708</v>
      </c>
      <c r="L4673" s="12">
        <v>225.0</v>
      </c>
      <c r="M4673" s="2" t="s">
        <v>12709</v>
      </c>
      <c r="N4673" s="2" t="str">
        <f>IFERROR(__xludf.DUMMYFUNCTION("""COMPUTED_VALUE"""),"")</f>
        <v/>
      </c>
    </row>
    <row r="4674">
      <c r="A4674" s="2" t="s">
        <v>33</v>
      </c>
      <c r="B4674" s="12">
        <v>4511873.0</v>
      </c>
      <c r="C4674" s="12">
        <v>4514788.0</v>
      </c>
      <c r="D4674" s="2"/>
      <c r="E4674" s="2" t="s">
        <v>34</v>
      </c>
      <c r="F4674" s="2" t="s">
        <v>5694</v>
      </c>
      <c r="G4674" s="2" t="s">
        <v>458</v>
      </c>
      <c r="H4674" s="12">
        <v>0.0</v>
      </c>
      <c r="I4674" s="2" t="s">
        <v>40</v>
      </c>
      <c r="J4674" s="2"/>
      <c r="K4674" s="2" t="s">
        <v>12710</v>
      </c>
      <c r="L4674" s="12">
        <v>971.0</v>
      </c>
      <c r="M4674" s="2" t="s">
        <v>12711</v>
      </c>
      <c r="N4674" s="2" t="str">
        <f>IFERROR(__xludf.DUMMYFUNCTION("""COMPUTED_VALUE"""),"")</f>
        <v/>
      </c>
    </row>
    <row r="4675">
      <c r="A4675" s="2" t="s">
        <v>33</v>
      </c>
      <c r="B4675" s="12">
        <v>4515167.0</v>
      </c>
      <c r="C4675" s="12">
        <v>4516420.0</v>
      </c>
      <c r="D4675" s="2"/>
      <c r="E4675" s="2" t="s">
        <v>38</v>
      </c>
      <c r="F4675" s="2" t="s">
        <v>5460</v>
      </c>
      <c r="G4675" s="2"/>
      <c r="H4675" s="12">
        <v>0.0</v>
      </c>
      <c r="I4675" s="2" t="s">
        <v>40</v>
      </c>
      <c r="J4675" s="2"/>
      <c r="K4675" s="2" t="s">
        <v>12712</v>
      </c>
      <c r="L4675" s="12">
        <v>417.0</v>
      </c>
      <c r="M4675" s="2" t="s">
        <v>12713</v>
      </c>
      <c r="N4675" s="2" t="str">
        <f>IFERROR(__xludf.DUMMYFUNCTION("""COMPUTED_VALUE"""),"")</f>
        <v/>
      </c>
    </row>
    <row r="4676">
      <c r="A4676" s="2" t="s">
        <v>33</v>
      </c>
      <c r="B4676" s="12">
        <v>4517053.0</v>
      </c>
      <c r="C4676" s="12">
        <v>4517493.0</v>
      </c>
      <c r="D4676" s="2"/>
      <c r="E4676" s="2" t="s">
        <v>34</v>
      </c>
      <c r="F4676" s="2" t="s">
        <v>39</v>
      </c>
      <c r="G4676" s="2"/>
      <c r="H4676" s="12">
        <v>0.0</v>
      </c>
      <c r="I4676" s="2" t="s">
        <v>40</v>
      </c>
      <c r="J4676" s="2"/>
      <c r="K4676" s="2" t="s">
        <v>12714</v>
      </c>
      <c r="L4676" s="12">
        <v>146.0</v>
      </c>
      <c r="M4676" s="2" t="s">
        <v>12715</v>
      </c>
      <c r="N4676" s="2" t="str">
        <f>IFERROR(__xludf.DUMMYFUNCTION("""COMPUTED_VALUE"""),"")</f>
        <v/>
      </c>
    </row>
    <row r="4677">
      <c r="A4677" s="2" t="s">
        <v>33</v>
      </c>
      <c r="B4677" s="12">
        <v>4517956.0</v>
      </c>
      <c r="C4677" s="12">
        <v>4518309.0</v>
      </c>
      <c r="D4677" s="2"/>
      <c r="E4677" s="2" t="s">
        <v>38</v>
      </c>
      <c r="F4677" s="2" t="s">
        <v>39</v>
      </c>
      <c r="G4677" s="2"/>
      <c r="H4677" s="12">
        <v>0.0</v>
      </c>
      <c r="I4677" s="2" t="s">
        <v>40</v>
      </c>
      <c r="J4677" s="2"/>
      <c r="K4677" s="2" t="s">
        <v>12716</v>
      </c>
      <c r="L4677" s="12">
        <v>117.0</v>
      </c>
      <c r="M4677" s="2" t="s">
        <v>12717</v>
      </c>
      <c r="N4677" s="2" t="str">
        <f>IFERROR(__xludf.DUMMYFUNCTION("""COMPUTED_VALUE"""),"")</f>
        <v/>
      </c>
    </row>
    <row r="4678">
      <c r="A4678" s="2" t="s">
        <v>33</v>
      </c>
      <c r="B4678" s="12">
        <v>4518881.0</v>
      </c>
      <c r="C4678" s="12">
        <v>4522162.0</v>
      </c>
      <c r="D4678" s="2"/>
      <c r="E4678" s="2" t="s">
        <v>34</v>
      </c>
      <c r="F4678" s="2" t="s">
        <v>12718</v>
      </c>
      <c r="G4678" s="2"/>
      <c r="H4678" s="12">
        <v>0.0</v>
      </c>
      <c r="I4678" s="2" t="s">
        <v>40</v>
      </c>
      <c r="J4678" s="2"/>
      <c r="K4678" s="2" t="s">
        <v>12719</v>
      </c>
      <c r="L4678" s="12">
        <v>1093.0</v>
      </c>
      <c r="M4678" s="2" t="s">
        <v>12720</v>
      </c>
      <c r="N4678" s="2" t="str">
        <f>IFERROR(__xludf.DUMMYFUNCTION("""COMPUTED_VALUE"""),"")</f>
        <v/>
      </c>
    </row>
    <row r="4679">
      <c r="A4679" s="2" t="s">
        <v>33</v>
      </c>
      <c r="B4679" s="12">
        <v>4522241.0</v>
      </c>
      <c r="C4679" s="12">
        <v>4522495.0</v>
      </c>
      <c r="D4679" s="2"/>
      <c r="E4679" s="2" t="s">
        <v>38</v>
      </c>
      <c r="F4679" s="2" t="s">
        <v>39</v>
      </c>
      <c r="G4679" s="2"/>
      <c r="H4679" s="12">
        <v>0.0</v>
      </c>
      <c r="I4679" s="2" t="s">
        <v>40</v>
      </c>
      <c r="J4679" s="2"/>
      <c r="K4679" s="2" t="s">
        <v>12721</v>
      </c>
      <c r="L4679" s="12">
        <v>84.0</v>
      </c>
      <c r="M4679" s="2" t="s">
        <v>12722</v>
      </c>
      <c r="N4679" s="2" t="str">
        <f>IFERROR(__xludf.DUMMYFUNCTION("""COMPUTED_VALUE"""),"")</f>
        <v/>
      </c>
    </row>
    <row r="4680">
      <c r="A4680" s="2" t="s">
        <v>33</v>
      </c>
      <c r="B4680" s="12">
        <v>4523450.0</v>
      </c>
      <c r="C4680" s="12">
        <v>4524682.0</v>
      </c>
      <c r="D4680" s="2"/>
      <c r="E4680" s="2" t="s">
        <v>34</v>
      </c>
      <c r="F4680" s="2" t="s">
        <v>1116</v>
      </c>
      <c r="G4680" s="2"/>
      <c r="H4680" s="12">
        <v>0.0</v>
      </c>
      <c r="I4680" s="2" t="s">
        <v>40</v>
      </c>
      <c r="J4680" s="2"/>
      <c r="K4680" s="2" t="s">
        <v>12723</v>
      </c>
      <c r="L4680" s="12">
        <v>410.0</v>
      </c>
      <c r="M4680" s="2" t="s">
        <v>12724</v>
      </c>
      <c r="N4680" s="2" t="str">
        <f>IFERROR(__xludf.DUMMYFUNCTION("""COMPUTED_VALUE"""),"")</f>
        <v/>
      </c>
    </row>
    <row r="4681">
      <c r="A4681" s="2" t="s">
        <v>33</v>
      </c>
      <c r="B4681" s="12">
        <v>4524977.0</v>
      </c>
      <c r="C4681" s="12">
        <v>4526215.0</v>
      </c>
      <c r="D4681" s="2"/>
      <c r="E4681" s="2" t="s">
        <v>34</v>
      </c>
      <c r="F4681" s="2" t="s">
        <v>12725</v>
      </c>
      <c r="G4681" s="2" t="s">
        <v>12726</v>
      </c>
      <c r="H4681" s="12">
        <v>0.0</v>
      </c>
      <c r="I4681" s="2" t="s">
        <v>40</v>
      </c>
      <c r="J4681" s="2"/>
      <c r="K4681" s="2" t="s">
        <v>12727</v>
      </c>
      <c r="L4681" s="12">
        <v>412.0</v>
      </c>
      <c r="M4681" s="2" t="s">
        <v>12728</v>
      </c>
      <c r="N4681" s="2" t="str">
        <f>IFERROR(__xludf.DUMMYFUNCTION("""COMPUTED_VALUE"""),"")</f>
        <v/>
      </c>
    </row>
    <row r="4682">
      <c r="A4682" s="2" t="s">
        <v>33</v>
      </c>
      <c r="B4682" s="12">
        <v>4526593.0</v>
      </c>
      <c r="C4682" s="12">
        <v>4527198.0</v>
      </c>
      <c r="D4682" s="2"/>
      <c r="E4682" s="2" t="s">
        <v>34</v>
      </c>
      <c r="F4682" s="2" t="s">
        <v>12729</v>
      </c>
      <c r="G4682" s="2" t="s">
        <v>12730</v>
      </c>
      <c r="H4682" s="12">
        <v>0.0</v>
      </c>
      <c r="I4682" s="2" t="s">
        <v>40</v>
      </c>
      <c r="J4682" s="2"/>
      <c r="K4682" s="2" t="s">
        <v>12731</v>
      </c>
      <c r="L4682" s="12">
        <v>201.0</v>
      </c>
      <c r="M4682" s="2" t="s">
        <v>12732</v>
      </c>
      <c r="N4682" s="2" t="str">
        <f>IFERROR(__xludf.DUMMYFUNCTION("""COMPUTED_VALUE"""),"")</f>
        <v/>
      </c>
    </row>
    <row r="4683">
      <c r="A4683" s="2" t="s">
        <v>33</v>
      </c>
      <c r="B4683" s="12">
        <v>4528882.0</v>
      </c>
      <c r="C4683" s="12">
        <v>4529217.0</v>
      </c>
      <c r="D4683" s="2"/>
      <c r="E4683" s="2" t="s">
        <v>34</v>
      </c>
      <c r="F4683" s="2" t="s">
        <v>39</v>
      </c>
      <c r="G4683" s="2"/>
      <c r="H4683" s="12">
        <v>0.0</v>
      </c>
      <c r="I4683" s="2" t="s">
        <v>40</v>
      </c>
      <c r="J4683" s="2"/>
      <c r="K4683" s="2" t="s">
        <v>12733</v>
      </c>
      <c r="L4683" s="12">
        <v>111.0</v>
      </c>
      <c r="M4683" s="2" t="s">
        <v>12734</v>
      </c>
      <c r="N4683" s="2" t="str">
        <f>IFERROR(__xludf.DUMMYFUNCTION("""COMPUTED_VALUE"""),"")</f>
        <v/>
      </c>
    </row>
    <row r="4684">
      <c r="A4684" s="2" t="s">
        <v>33</v>
      </c>
      <c r="B4684" s="12">
        <v>4529478.0</v>
      </c>
      <c r="C4684" s="12">
        <v>4529852.0</v>
      </c>
      <c r="D4684" s="2"/>
      <c r="E4684" s="2" t="s">
        <v>38</v>
      </c>
      <c r="F4684" s="2" t="s">
        <v>39</v>
      </c>
      <c r="G4684" s="2"/>
      <c r="H4684" s="12">
        <v>0.0</v>
      </c>
      <c r="I4684" s="2" t="s">
        <v>40</v>
      </c>
      <c r="J4684" s="2"/>
      <c r="K4684" s="2" t="s">
        <v>12735</v>
      </c>
      <c r="L4684" s="12">
        <v>124.0</v>
      </c>
      <c r="M4684" s="2" t="s">
        <v>12736</v>
      </c>
      <c r="N4684" s="2" t="str">
        <f>IFERROR(__xludf.DUMMYFUNCTION("""COMPUTED_VALUE"""),"")</f>
        <v/>
      </c>
    </row>
    <row r="4685">
      <c r="A4685" s="2" t="s">
        <v>33</v>
      </c>
      <c r="B4685" s="12">
        <v>4530400.0</v>
      </c>
      <c r="C4685" s="12">
        <v>4530683.0</v>
      </c>
      <c r="D4685" s="2"/>
      <c r="E4685" s="2" t="s">
        <v>34</v>
      </c>
      <c r="F4685" s="2" t="s">
        <v>35</v>
      </c>
      <c r="G4685" s="2"/>
      <c r="H4685" s="12">
        <v>0.0</v>
      </c>
      <c r="I4685" s="2" t="s">
        <v>36</v>
      </c>
      <c r="J4685" s="2"/>
      <c r="K4685" s="2"/>
      <c r="L4685" s="2"/>
      <c r="M4685" s="2" t="s">
        <v>12737</v>
      </c>
      <c r="N4685" s="2" t="str">
        <f>IFERROR(__xludf.DUMMYFUNCTION("""COMPUTED_VALUE"""),"")</f>
        <v/>
      </c>
    </row>
    <row r="4686">
      <c r="A4686" s="2" t="s">
        <v>33</v>
      </c>
      <c r="B4686" s="12">
        <v>4531487.0</v>
      </c>
      <c r="C4686" s="12">
        <v>4533469.0</v>
      </c>
      <c r="D4686" s="2"/>
      <c r="E4686" s="2" t="s">
        <v>34</v>
      </c>
      <c r="F4686" s="2" t="s">
        <v>1689</v>
      </c>
      <c r="G4686" s="2"/>
      <c r="H4686" s="12">
        <v>0.0</v>
      </c>
      <c r="I4686" s="2" t="s">
        <v>40</v>
      </c>
      <c r="J4686" s="2"/>
      <c r="K4686" s="2" t="s">
        <v>12738</v>
      </c>
      <c r="L4686" s="12">
        <v>660.0</v>
      </c>
      <c r="M4686" s="2" t="s">
        <v>12739</v>
      </c>
      <c r="N4686" s="2" t="str">
        <f>IFERROR(__xludf.DUMMYFUNCTION("""COMPUTED_VALUE"""),"")</f>
        <v/>
      </c>
    </row>
    <row r="4687">
      <c r="A4687" s="2" t="s">
        <v>33</v>
      </c>
      <c r="B4687" s="12">
        <v>4533631.0</v>
      </c>
      <c r="C4687" s="12">
        <v>4533792.0</v>
      </c>
      <c r="D4687" s="2"/>
      <c r="E4687" s="2" t="s">
        <v>38</v>
      </c>
      <c r="F4687" s="2" t="s">
        <v>39</v>
      </c>
      <c r="G4687" s="2"/>
      <c r="H4687" s="12">
        <v>0.0</v>
      </c>
      <c r="I4687" s="2" t="s">
        <v>40</v>
      </c>
      <c r="J4687" s="2"/>
      <c r="K4687" s="2" t="s">
        <v>12740</v>
      </c>
      <c r="L4687" s="12">
        <v>53.0</v>
      </c>
      <c r="M4687" s="2" t="s">
        <v>12741</v>
      </c>
      <c r="N4687" s="2" t="str">
        <f>IFERROR(__xludf.DUMMYFUNCTION("""COMPUTED_VALUE"""),"")</f>
        <v/>
      </c>
    </row>
    <row r="4688">
      <c r="A4688" s="2" t="s">
        <v>33</v>
      </c>
      <c r="B4688" s="12">
        <v>4533792.0</v>
      </c>
      <c r="C4688" s="12">
        <v>4534907.0</v>
      </c>
      <c r="D4688" s="2"/>
      <c r="E4688" s="2" t="s">
        <v>38</v>
      </c>
      <c r="F4688" s="2" t="s">
        <v>12742</v>
      </c>
      <c r="G4688" s="2"/>
      <c r="H4688" s="12">
        <v>0.0</v>
      </c>
      <c r="I4688" s="2" t="s">
        <v>40</v>
      </c>
      <c r="J4688" s="2"/>
      <c r="K4688" s="2" t="s">
        <v>12743</v>
      </c>
      <c r="L4688" s="12">
        <v>371.0</v>
      </c>
      <c r="M4688" s="2" t="s">
        <v>12744</v>
      </c>
      <c r="N4688" s="2" t="str">
        <f>IFERROR(__xludf.DUMMYFUNCTION("""COMPUTED_VALUE"""),"")</f>
        <v/>
      </c>
    </row>
    <row r="4689">
      <c r="A4689" s="2" t="s">
        <v>33</v>
      </c>
      <c r="B4689" s="12">
        <v>4536053.0</v>
      </c>
      <c r="C4689" s="12">
        <v>4537141.0</v>
      </c>
      <c r="D4689" s="2"/>
      <c r="E4689" s="2" t="s">
        <v>38</v>
      </c>
      <c r="F4689" s="2" t="s">
        <v>12745</v>
      </c>
      <c r="G4689" s="2" t="s">
        <v>12746</v>
      </c>
      <c r="H4689" s="12">
        <v>0.0</v>
      </c>
      <c r="I4689" s="2" t="s">
        <v>40</v>
      </c>
      <c r="J4689" s="2"/>
      <c r="K4689" s="2" t="s">
        <v>12747</v>
      </c>
      <c r="L4689" s="12">
        <v>362.0</v>
      </c>
      <c r="M4689" s="2" t="s">
        <v>12748</v>
      </c>
      <c r="N4689" s="2" t="str">
        <f>IFERROR(__xludf.DUMMYFUNCTION("""COMPUTED_VALUE"""),"")</f>
        <v/>
      </c>
    </row>
    <row r="4690">
      <c r="A4690" s="2" t="s">
        <v>33</v>
      </c>
      <c r="B4690" s="12">
        <v>4537170.0</v>
      </c>
      <c r="C4690" s="12">
        <v>4538129.0</v>
      </c>
      <c r="D4690" s="2"/>
      <c r="E4690" s="2" t="s">
        <v>38</v>
      </c>
      <c r="F4690" s="2" t="s">
        <v>296</v>
      </c>
      <c r="G4690" s="2"/>
      <c r="H4690" s="12">
        <v>0.0</v>
      </c>
      <c r="I4690" s="2" t="s">
        <v>40</v>
      </c>
      <c r="J4690" s="2"/>
      <c r="K4690" s="2" t="s">
        <v>12749</v>
      </c>
      <c r="L4690" s="12">
        <v>319.0</v>
      </c>
      <c r="M4690" s="2" t="s">
        <v>12750</v>
      </c>
      <c r="N4690" s="2" t="str">
        <f>IFERROR(__xludf.DUMMYFUNCTION("""COMPUTED_VALUE"""),"")</f>
        <v/>
      </c>
    </row>
    <row r="4691">
      <c r="A4691" s="2" t="s">
        <v>33</v>
      </c>
      <c r="B4691" s="12">
        <v>4538212.0</v>
      </c>
      <c r="C4691" s="12">
        <v>4540281.0</v>
      </c>
      <c r="D4691" s="2"/>
      <c r="E4691" s="2" t="s">
        <v>38</v>
      </c>
      <c r="F4691" s="2" t="s">
        <v>12751</v>
      </c>
      <c r="G4691" s="2"/>
      <c r="H4691" s="12">
        <v>0.0</v>
      </c>
      <c r="I4691" s="2" t="s">
        <v>40</v>
      </c>
      <c r="J4691" s="2"/>
      <c r="K4691" s="2" t="s">
        <v>12752</v>
      </c>
      <c r="L4691" s="12">
        <v>689.0</v>
      </c>
      <c r="M4691" s="2" t="s">
        <v>12753</v>
      </c>
      <c r="N4691" s="2" t="str">
        <f>IFERROR(__xludf.DUMMYFUNCTION("""COMPUTED_VALUE"""),"")</f>
        <v/>
      </c>
    </row>
    <row r="4692">
      <c r="A4692" s="2" t="s">
        <v>33</v>
      </c>
      <c r="B4692" s="12">
        <v>4540302.0</v>
      </c>
      <c r="C4692" s="12">
        <v>4541051.0</v>
      </c>
      <c r="D4692" s="2"/>
      <c r="E4692" s="2" t="s">
        <v>38</v>
      </c>
      <c r="F4692" s="2" t="s">
        <v>3943</v>
      </c>
      <c r="G4692" s="2"/>
      <c r="H4692" s="12">
        <v>0.0</v>
      </c>
      <c r="I4692" s="2" t="s">
        <v>40</v>
      </c>
      <c r="J4692" s="2"/>
      <c r="K4692" s="2" t="s">
        <v>12754</v>
      </c>
      <c r="L4692" s="12">
        <v>249.0</v>
      </c>
      <c r="M4692" s="2" t="s">
        <v>12755</v>
      </c>
      <c r="N4692" s="2" t="str">
        <f>IFERROR(__xludf.DUMMYFUNCTION("""COMPUTED_VALUE"""),"")</f>
        <v/>
      </c>
    </row>
    <row r="4693">
      <c r="A4693" s="2" t="s">
        <v>33</v>
      </c>
      <c r="B4693" s="12">
        <v>4541720.0</v>
      </c>
      <c r="C4693" s="12">
        <v>4542394.0</v>
      </c>
      <c r="D4693" s="2"/>
      <c r="E4693" s="2" t="s">
        <v>38</v>
      </c>
      <c r="F4693" s="2" t="s">
        <v>12756</v>
      </c>
      <c r="G4693" s="2"/>
      <c r="H4693" s="12">
        <v>0.0</v>
      </c>
      <c r="I4693" s="2" t="s">
        <v>40</v>
      </c>
      <c r="J4693" s="2"/>
      <c r="K4693" s="2" t="s">
        <v>12757</v>
      </c>
      <c r="L4693" s="12">
        <v>224.0</v>
      </c>
      <c r="M4693" s="2" t="s">
        <v>12758</v>
      </c>
      <c r="N4693" s="2" t="str">
        <f>IFERROR(__xludf.DUMMYFUNCTION("""COMPUTED_VALUE"""),"")</f>
        <v/>
      </c>
    </row>
    <row r="4694">
      <c r="A4694" s="2" t="s">
        <v>33</v>
      </c>
      <c r="B4694" s="12">
        <v>4543457.0</v>
      </c>
      <c r="C4694" s="12">
        <v>4544656.0</v>
      </c>
      <c r="D4694" s="2"/>
      <c r="E4694" s="2" t="s">
        <v>34</v>
      </c>
      <c r="F4694" s="2" t="s">
        <v>12759</v>
      </c>
      <c r="G4694" s="2"/>
      <c r="H4694" s="12">
        <v>0.0</v>
      </c>
      <c r="I4694" s="2" t="s">
        <v>40</v>
      </c>
      <c r="J4694" s="2"/>
      <c r="K4694" s="2" t="s">
        <v>12760</v>
      </c>
      <c r="L4694" s="12">
        <v>399.0</v>
      </c>
      <c r="M4694" s="2" t="s">
        <v>12761</v>
      </c>
      <c r="N4694" s="2" t="str">
        <f>IFERROR(__xludf.DUMMYFUNCTION("""COMPUTED_VALUE"""),"")</f>
        <v/>
      </c>
    </row>
    <row r="4695">
      <c r="A4695" s="2" t="s">
        <v>33</v>
      </c>
      <c r="B4695" s="12">
        <v>4544723.0</v>
      </c>
      <c r="C4695" s="12">
        <v>4546159.0</v>
      </c>
      <c r="D4695" s="2"/>
      <c r="E4695" s="2" t="s">
        <v>34</v>
      </c>
      <c r="F4695" s="2" t="s">
        <v>5045</v>
      </c>
      <c r="G4695" s="2"/>
      <c r="H4695" s="12">
        <v>0.0</v>
      </c>
      <c r="I4695" s="2" t="s">
        <v>40</v>
      </c>
      <c r="J4695" s="2"/>
      <c r="K4695" s="2" t="s">
        <v>12762</v>
      </c>
      <c r="L4695" s="12">
        <v>478.0</v>
      </c>
      <c r="M4695" s="2" t="s">
        <v>12763</v>
      </c>
      <c r="N4695" s="2" t="str">
        <f>IFERROR(__xludf.DUMMYFUNCTION("""COMPUTED_VALUE"""),"")</f>
        <v/>
      </c>
    </row>
    <row r="4696">
      <c r="A4696" s="2" t="s">
        <v>33</v>
      </c>
      <c r="B4696" s="12">
        <v>4546777.0</v>
      </c>
      <c r="C4696" s="12">
        <v>4547268.0</v>
      </c>
      <c r="D4696" s="2"/>
      <c r="E4696" s="2" t="s">
        <v>38</v>
      </c>
      <c r="F4696" s="2" t="s">
        <v>3368</v>
      </c>
      <c r="G4696" s="2" t="s">
        <v>3369</v>
      </c>
      <c r="H4696" s="12">
        <v>0.0</v>
      </c>
      <c r="I4696" s="2" t="s">
        <v>40</v>
      </c>
      <c r="J4696" s="2"/>
      <c r="K4696" s="2" t="s">
        <v>12764</v>
      </c>
      <c r="L4696" s="12">
        <v>163.0</v>
      </c>
      <c r="M4696" s="2" t="s">
        <v>12765</v>
      </c>
      <c r="N4696" s="2" t="str">
        <f>IFERROR(__xludf.DUMMYFUNCTION("""COMPUTED_VALUE"""),"")</f>
        <v/>
      </c>
    </row>
    <row r="4697">
      <c r="A4697" s="2" t="s">
        <v>33</v>
      </c>
      <c r="B4697" s="12">
        <v>4547770.0</v>
      </c>
      <c r="C4697" s="12">
        <v>4547952.0</v>
      </c>
      <c r="D4697" s="2"/>
      <c r="E4697" s="2" t="s">
        <v>34</v>
      </c>
      <c r="F4697" s="2" t="s">
        <v>12766</v>
      </c>
      <c r="G4697" s="2"/>
      <c r="H4697" s="12">
        <v>0.0</v>
      </c>
      <c r="I4697" s="2" t="s">
        <v>40</v>
      </c>
      <c r="J4697" s="2"/>
      <c r="K4697" s="2" t="s">
        <v>12767</v>
      </c>
      <c r="L4697" s="12">
        <v>60.0</v>
      </c>
      <c r="M4697" s="2" t="s">
        <v>12768</v>
      </c>
      <c r="N4697" s="2" t="str">
        <f>IFERROR(__xludf.DUMMYFUNCTION("""COMPUTED_VALUE"""),"")</f>
        <v/>
      </c>
    </row>
    <row r="4698">
      <c r="A4698" s="2" t="s">
        <v>33</v>
      </c>
      <c r="B4698" s="12">
        <v>4548157.0</v>
      </c>
      <c r="C4698" s="12">
        <v>4548339.0</v>
      </c>
      <c r="D4698" s="2"/>
      <c r="E4698" s="2" t="s">
        <v>38</v>
      </c>
      <c r="F4698" s="2" t="s">
        <v>39</v>
      </c>
      <c r="G4698" s="2"/>
      <c r="H4698" s="12">
        <v>0.0</v>
      </c>
      <c r="I4698" s="2" t="s">
        <v>40</v>
      </c>
      <c r="J4698" s="2"/>
      <c r="K4698" s="2" t="s">
        <v>12769</v>
      </c>
      <c r="L4698" s="12">
        <v>60.0</v>
      </c>
      <c r="M4698" s="2" t="s">
        <v>12770</v>
      </c>
      <c r="N4698" s="2" t="str">
        <f>IFERROR(__xludf.DUMMYFUNCTION("""COMPUTED_VALUE"""),"")</f>
        <v/>
      </c>
    </row>
    <row r="4699">
      <c r="A4699" s="2" t="s">
        <v>33</v>
      </c>
      <c r="B4699" s="12">
        <v>4548542.0</v>
      </c>
      <c r="C4699" s="12">
        <v>4549045.0</v>
      </c>
      <c r="D4699" s="2"/>
      <c r="E4699" s="2" t="s">
        <v>38</v>
      </c>
      <c r="F4699" s="2" t="s">
        <v>367</v>
      </c>
      <c r="G4699" s="2"/>
      <c r="H4699" s="12">
        <v>0.0</v>
      </c>
      <c r="I4699" s="2" t="s">
        <v>40</v>
      </c>
      <c r="J4699" s="2"/>
      <c r="K4699" s="2" t="s">
        <v>12771</v>
      </c>
      <c r="L4699" s="12">
        <v>167.0</v>
      </c>
      <c r="M4699" s="2" t="s">
        <v>12772</v>
      </c>
      <c r="N4699" s="2" t="str">
        <f>IFERROR(__xludf.DUMMYFUNCTION("""COMPUTED_VALUE"""),"")</f>
        <v/>
      </c>
    </row>
    <row r="4700">
      <c r="A4700" s="2" t="s">
        <v>33</v>
      </c>
      <c r="B4700" s="12">
        <v>4549301.0</v>
      </c>
      <c r="C4700" s="12">
        <v>4549699.0</v>
      </c>
      <c r="D4700" s="2"/>
      <c r="E4700" s="2" t="s">
        <v>34</v>
      </c>
      <c r="F4700" s="2" t="s">
        <v>12773</v>
      </c>
      <c r="G4700" s="2"/>
      <c r="H4700" s="12">
        <v>0.0</v>
      </c>
      <c r="I4700" s="2" t="s">
        <v>40</v>
      </c>
      <c r="J4700" s="2"/>
      <c r="K4700" s="2" t="s">
        <v>12774</v>
      </c>
      <c r="L4700" s="12">
        <v>132.0</v>
      </c>
      <c r="M4700" s="2" t="s">
        <v>12775</v>
      </c>
      <c r="N4700" s="2" t="str">
        <f>IFERROR(__xludf.DUMMYFUNCTION("""COMPUTED_VALUE"""),"")</f>
        <v/>
      </c>
    </row>
    <row r="4701">
      <c r="A4701" s="2" t="s">
        <v>33</v>
      </c>
      <c r="B4701" s="12">
        <v>4549826.0</v>
      </c>
      <c r="C4701" s="12">
        <v>4551217.0</v>
      </c>
      <c r="D4701" s="2"/>
      <c r="E4701" s="2" t="s">
        <v>34</v>
      </c>
      <c r="F4701" s="2" t="s">
        <v>3647</v>
      </c>
      <c r="G4701" s="2"/>
      <c r="H4701" s="12">
        <v>0.0</v>
      </c>
      <c r="I4701" s="2" t="s">
        <v>40</v>
      </c>
      <c r="J4701" s="2"/>
      <c r="K4701" s="2" t="s">
        <v>12776</v>
      </c>
      <c r="L4701" s="12">
        <v>463.0</v>
      </c>
      <c r="M4701" s="2" t="s">
        <v>12777</v>
      </c>
      <c r="N4701" s="2" t="str">
        <f>IFERROR(__xludf.DUMMYFUNCTION("""COMPUTED_VALUE"""),"")</f>
        <v/>
      </c>
    </row>
    <row r="4702">
      <c r="A4702" s="2" t="s">
        <v>33</v>
      </c>
      <c r="B4702" s="12">
        <v>4551265.0</v>
      </c>
      <c r="C4702" s="12">
        <v>4551420.0</v>
      </c>
      <c r="D4702" s="2"/>
      <c r="E4702" s="2" t="s">
        <v>34</v>
      </c>
      <c r="F4702" s="2" t="s">
        <v>12778</v>
      </c>
      <c r="G4702" s="2"/>
      <c r="H4702" s="12">
        <v>0.0</v>
      </c>
      <c r="I4702" s="2" t="s">
        <v>40</v>
      </c>
      <c r="J4702" s="2"/>
      <c r="K4702" s="2" t="s">
        <v>12779</v>
      </c>
      <c r="L4702" s="12">
        <v>51.0</v>
      </c>
      <c r="M4702" s="2" t="s">
        <v>12780</v>
      </c>
      <c r="N4702" s="2" t="str">
        <f>IFERROR(__xludf.DUMMYFUNCTION("""COMPUTED_VALUE"""),"")</f>
        <v/>
      </c>
    </row>
    <row r="4703">
      <c r="A4703" s="2" t="s">
        <v>33</v>
      </c>
      <c r="B4703" s="12">
        <v>4551433.0</v>
      </c>
      <c r="C4703" s="12">
        <v>4551780.0</v>
      </c>
      <c r="D4703" s="2"/>
      <c r="E4703" s="2" t="s">
        <v>34</v>
      </c>
      <c r="F4703" s="2" t="s">
        <v>12781</v>
      </c>
      <c r="G4703" s="2"/>
      <c r="H4703" s="12">
        <v>0.0</v>
      </c>
      <c r="I4703" s="2" t="s">
        <v>40</v>
      </c>
      <c r="J4703" s="2"/>
      <c r="K4703" s="2" t="s">
        <v>12782</v>
      </c>
      <c r="L4703" s="12">
        <v>115.0</v>
      </c>
      <c r="M4703" s="2" t="s">
        <v>12783</v>
      </c>
      <c r="N4703" s="2" t="str">
        <f>IFERROR(__xludf.DUMMYFUNCTION("""COMPUTED_VALUE"""),"")</f>
        <v/>
      </c>
    </row>
    <row r="4704">
      <c r="A4704" s="2" t="s">
        <v>33</v>
      </c>
      <c r="B4704" s="12">
        <v>4551936.0</v>
      </c>
      <c r="C4704" s="12">
        <v>4553030.0</v>
      </c>
      <c r="D4704" s="2"/>
      <c r="E4704" s="2" t="s">
        <v>34</v>
      </c>
      <c r="F4704" s="2" t="s">
        <v>39</v>
      </c>
      <c r="G4704" s="2"/>
      <c r="H4704" s="12">
        <v>0.0</v>
      </c>
      <c r="I4704" s="2" t="s">
        <v>40</v>
      </c>
      <c r="J4704" s="2"/>
      <c r="K4704" s="2" t="s">
        <v>12784</v>
      </c>
      <c r="L4704" s="12">
        <v>364.0</v>
      </c>
      <c r="M4704" s="2" t="s">
        <v>12785</v>
      </c>
      <c r="N4704" s="2" t="str">
        <f>IFERROR(__xludf.DUMMYFUNCTION("""COMPUTED_VALUE"""),"")</f>
        <v/>
      </c>
    </row>
    <row r="4705">
      <c r="A4705" s="2" t="s">
        <v>33</v>
      </c>
      <c r="B4705" s="12">
        <v>4553085.0</v>
      </c>
      <c r="C4705" s="12">
        <v>4553216.0</v>
      </c>
      <c r="D4705" s="2"/>
      <c r="E4705" s="2" t="s">
        <v>34</v>
      </c>
      <c r="F4705" s="2" t="s">
        <v>39</v>
      </c>
      <c r="G4705" s="2"/>
      <c r="H4705" s="12">
        <v>0.0</v>
      </c>
      <c r="I4705" s="2" t="s">
        <v>40</v>
      </c>
      <c r="J4705" s="2"/>
      <c r="K4705" s="2" t="s">
        <v>12786</v>
      </c>
      <c r="L4705" s="12">
        <v>43.0</v>
      </c>
      <c r="M4705" s="2" t="s">
        <v>12787</v>
      </c>
      <c r="N4705" s="2" t="str">
        <f>IFERROR(__xludf.DUMMYFUNCTION("""COMPUTED_VALUE"""),"")</f>
        <v/>
      </c>
    </row>
    <row r="4706">
      <c r="A4706" s="2" t="s">
        <v>33</v>
      </c>
      <c r="B4706" s="12">
        <v>4553371.0</v>
      </c>
      <c r="C4706" s="12">
        <v>4554837.0</v>
      </c>
      <c r="D4706" s="2"/>
      <c r="E4706" s="2" t="s">
        <v>38</v>
      </c>
      <c r="F4706" s="2" t="s">
        <v>12788</v>
      </c>
      <c r="G4706" s="2"/>
      <c r="H4706" s="12">
        <v>0.0</v>
      </c>
      <c r="I4706" s="2" t="s">
        <v>40</v>
      </c>
      <c r="J4706" s="2"/>
      <c r="K4706" s="2" t="s">
        <v>12789</v>
      </c>
      <c r="L4706" s="12">
        <v>488.0</v>
      </c>
      <c r="M4706" s="2" t="s">
        <v>12790</v>
      </c>
      <c r="N4706" s="2" t="str">
        <f>IFERROR(__xludf.DUMMYFUNCTION("""COMPUTED_VALUE"""),"")</f>
        <v/>
      </c>
    </row>
    <row r="4707">
      <c r="A4707" s="2" t="s">
        <v>33</v>
      </c>
      <c r="B4707" s="12">
        <v>4555016.0</v>
      </c>
      <c r="C4707" s="12">
        <v>4556014.0</v>
      </c>
      <c r="D4707" s="2"/>
      <c r="E4707" s="2" t="s">
        <v>38</v>
      </c>
      <c r="F4707" s="2" t="s">
        <v>12791</v>
      </c>
      <c r="G4707" s="2"/>
      <c r="H4707" s="12">
        <v>0.0</v>
      </c>
      <c r="I4707" s="2" t="s">
        <v>40</v>
      </c>
      <c r="J4707" s="2"/>
      <c r="K4707" s="2" t="s">
        <v>12792</v>
      </c>
      <c r="L4707" s="12">
        <v>332.0</v>
      </c>
      <c r="M4707" s="2" t="s">
        <v>12793</v>
      </c>
      <c r="N4707" s="2" t="str">
        <f>IFERROR(__xludf.DUMMYFUNCTION("""COMPUTED_VALUE"""),"")</f>
        <v/>
      </c>
    </row>
    <row r="4708">
      <c r="A4708" s="2" t="s">
        <v>33</v>
      </c>
      <c r="B4708" s="12">
        <v>4556033.0</v>
      </c>
      <c r="C4708" s="12">
        <v>4556377.0</v>
      </c>
      <c r="D4708" s="2"/>
      <c r="E4708" s="2" t="s">
        <v>38</v>
      </c>
      <c r="F4708" s="2" t="s">
        <v>220</v>
      </c>
      <c r="G4708" s="2"/>
      <c r="H4708" s="12">
        <v>0.0</v>
      </c>
      <c r="I4708" s="2" t="s">
        <v>40</v>
      </c>
      <c r="J4708" s="2"/>
      <c r="K4708" s="2" t="s">
        <v>12794</v>
      </c>
      <c r="L4708" s="12">
        <v>114.0</v>
      </c>
      <c r="M4708" s="2" t="s">
        <v>12795</v>
      </c>
      <c r="N4708" s="2" t="str">
        <f>IFERROR(__xludf.DUMMYFUNCTION("""COMPUTED_VALUE"""),"")</f>
        <v/>
      </c>
    </row>
    <row r="4709">
      <c r="A4709" s="2" t="s">
        <v>33</v>
      </c>
      <c r="B4709" s="12">
        <v>4556469.0</v>
      </c>
      <c r="C4709" s="12">
        <v>4556600.0</v>
      </c>
      <c r="D4709" s="2"/>
      <c r="E4709" s="2" t="s">
        <v>34</v>
      </c>
      <c r="F4709" s="2" t="s">
        <v>39</v>
      </c>
      <c r="G4709" s="2"/>
      <c r="H4709" s="12">
        <v>0.0</v>
      </c>
      <c r="I4709" s="2" t="s">
        <v>40</v>
      </c>
      <c r="J4709" s="2"/>
      <c r="K4709" s="2" t="s">
        <v>12796</v>
      </c>
      <c r="L4709" s="12">
        <v>43.0</v>
      </c>
      <c r="M4709" s="2" t="s">
        <v>12797</v>
      </c>
      <c r="N4709" s="2" t="str">
        <f>IFERROR(__xludf.DUMMYFUNCTION("""COMPUTED_VALUE"""),"")</f>
        <v/>
      </c>
    </row>
    <row r="4710">
      <c r="A4710" s="2" t="s">
        <v>33</v>
      </c>
      <c r="B4710" s="12">
        <v>4556888.0</v>
      </c>
      <c r="C4710" s="12">
        <v>4558507.0</v>
      </c>
      <c r="D4710" s="2"/>
      <c r="E4710" s="2" t="s">
        <v>34</v>
      </c>
      <c r="F4710" s="2" t="s">
        <v>12798</v>
      </c>
      <c r="G4710" s="2"/>
      <c r="H4710" s="12">
        <v>0.0</v>
      </c>
      <c r="I4710" s="2" t="s">
        <v>40</v>
      </c>
      <c r="J4710" s="2"/>
      <c r="K4710" s="2" t="s">
        <v>12799</v>
      </c>
      <c r="L4710" s="12">
        <v>539.0</v>
      </c>
      <c r="M4710" s="2" t="s">
        <v>12800</v>
      </c>
      <c r="N4710" s="2" t="str">
        <f>IFERROR(__xludf.DUMMYFUNCTION("""COMPUTED_VALUE"""),"")</f>
        <v/>
      </c>
    </row>
    <row r="4711">
      <c r="A4711" s="2" t="s">
        <v>33</v>
      </c>
      <c r="B4711" s="12">
        <v>4558899.0</v>
      </c>
      <c r="C4711" s="12">
        <v>4559843.0</v>
      </c>
      <c r="D4711" s="2"/>
      <c r="E4711" s="2" t="s">
        <v>34</v>
      </c>
      <c r="F4711" s="2" t="s">
        <v>5605</v>
      </c>
      <c r="G4711" s="2"/>
      <c r="H4711" s="12">
        <v>0.0</v>
      </c>
      <c r="I4711" s="2" t="s">
        <v>40</v>
      </c>
      <c r="J4711" s="2"/>
      <c r="K4711" s="2" t="s">
        <v>12801</v>
      </c>
      <c r="L4711" s="12">
        <v>314.0</v>
      </c>
      <c r="M4711" s="2" t="s">
        <v>12802</v>
      </c>
      <c r="N4711" s="2" t="str">
        <f>IFERROR(__xludf.DUMMYFUNCTION("""COMPUTED_VALUE"""),"")</f>
        <v/>
      </c>
    </row>
    <row r="4712">
      <c r="A4712" s="2" t="s">
        <v>33</v>
      </c>
      <c r="B4712" s="12">
        <v>4559882.0</v>
      </c>
      <c r="C4712" s="12">
        <v>4560391.0</v>
      </c>
      <c r="D4712" s="2"/>
      <c r="E4712" s="2" t="s">
        <v>38</v>
      </c>
      <c r="F4712" s="2" t="s">
        <v>12803</v>
      </c>
      <c r="G4712" s="2"/>
      <c r="H4712" s="12">
        <v>0.0</v>
      </c>
      <c r="I4712" s="2" t="s">
        <v>40</v>
      </c>
      <c r="J4712" s="2"/>
      <c r="K4712" s="2" t="s">
        <v>12804</v>
      </c>
      <c r="L4712" s="12">
        <v>169.0</v>
      </c>
      <c r="M4712" s="2" t="s">
        <v>12805</v>
      </c>
      <c r="N4712" s="2" t="str">
        <f>IFERROR(__xludf.DUMMYFUNCTION("""COMPUTED_VALUE"""),"")</f>
        <v/>
      </c>
    </row>
    <row r="4713">
      <c r="A4713" s="2" t="s">
        <v>33</v>
      </c>
      <c r="B4713" s="12">
        <v>4560384.0</v>
      </c>
      <c r="C4713" s="12">
        <v>4561235.0</v>
      </c>
      <c r="D4713" s="2"/>
      <c r="E4713" s="2" t="s">
        <v>38</v>
      </c>
      <c r="F4713" s="2" t="s">
        <v>694</v>
      </c>
      <c r="G4713" s="2"/>
      <c r="H4713" s="12">
        <v>0.0</v>
      </c>
      <c r="I4713" s="2" t="s">
        <v>40</v>
      </c>
      <c r="J4713" s="2"/>
      <c r="K4713" s="2" t="s">
        <v>12806</v>
      </c>
      <c r="L4713" s="12">
        <v>283.0</v>
      </c>
      <c r="M4713" s="2" t="s">
        <v>12807</v>
      </c>
      <c r="N4713" s="2" t="str">
        <f>IFERROR(__xludf.DUMMYFUNCTION("""COMPUTED_VALUE"""),"")</f>
        <v/>
      </c>
    </row>
    <row r="4714">
      <c r="A4714" s="2" t="s">
        <v>33</v>
      </c>
      <c r="B4714" s="12">
        <v>4561322.0</v>
      </c>
      <c r="C4714" s="12">
        <v>4562551.0</v>
      </c>
      <c r="D4714" s="2"/>
      <c r="E4714" s="2" t="s">
        <v>34</v>
      </c>
      <c r="F4714" s="2" t="s">
        <v>88</v>
      </c>
      <c r="G4714" s="2"/>
      <c r="H4714" s="12">
        <v>0.0</v>
      </c>
      <c r="I4714" s="2" t="s">
        <v>40</v>
      </c>
      <c r="J4714" s="2"/>
      <c r="K4714" s="2" t="s">
        <v>12808</v>
      </c>
      <c r="L4714" s="12">
        <v>409.0</v>
      </c>
      <c r="M4714" s="2" t="s">
        <v>12809</v>
      </c>
      <c r="N4714" s="2" t="str">
        <f>IFERROR(__xludf.DUMMYFUNCTION("""COMPUTED_VALUE"""),"")</f>
        <v/>
      </c>
    </row>
    <row r="4715">
      <c r="A4715" s="2" t="s">
        <v>33</v>
      </c>
      <c r="B4715" s="12">
        <v>4562661.0</v>
      </c>
      <c r="C4715" s="12">
        <v>4562891.0</v>
      </c>
      <c r="D4715" s="2"/>
      <c r="E4715" s="2" t="s">
        <v>38</v>
      </c>
      <c r="F4715" s="2" t="s">
        <v>39</v>
      </c>
      <c r="G4715" s="2"/>
      <c r="H4715" s="12">
        <v>0.0</v>
      </c>
      <c r="I4715" s="2" t="s">
        <v>40</v>
      </c>
      <c r="J4715" s="2"/>
      <c r="K4715" s="2" t="s">
        <v>12810</v>
      </c>
      <c r="L4715" s="12">
        <v>76.0</v>
      </c>
      <c r="M4715" s="2" t="s">
        <v>12811</v>
      </c>
      <c r="N4715" s="2" t="str">
        <f>IFERROR(__xludf.DUMMYFUNCTION("""COMPUTED_VALUE"""),"")</f>
        <v/>
      </c>
    </row>
    <row r="4716">
      <c r="A4716" s="2" t="s">
        <v>33</v>
      </c>
      <c r="B4716" s="12">
        <v>4563149.0</v>
      </c>
      <c r="C4716" s="12">
        <v>4564276.0</v>
      </c>
      <c r="D4716" s="2"/>
      <c r="E4716" s="2" t="s">
        <v>34</v>
      </c>
      <c r="F4716" s="2" t="s">
        <v>455</v>
      </c>
      <c r="G4716" s="2"/>
      <c r="H4716" s="12">
        <v>0.0</v>
      </c>
      <c r="I4716" s="2" t="s">
        <v>40</v>
      </c>
      <c r="J4716" s="2"/>
      <c r="K4716" s="2" t="s">
        <v>12812</v>
      </c>
      <c r="L4716" s="12">
        <v>375.0</v>
      </c>
      <c r="M4716" s="2" t="s">
        <v>12813</v>
      </c>
      <c r="N4716" s="2" t="str">
        <f>IFERROR(__xludf.DUMMYFUNCTION("""COMPUTED_VALUE"""),"")</f>
        <v/>
      </c>
    </row>
    <row r="4717">
      <c r="A4717" s="2" t="s">
        <v>33</v>
      </c>
      <c r="B4717" s="12">
        <v>4564670.0</v>
      </c>
      <c r="C4717" s="12">
        <v>4565827.0</v>
      </c>
      <c r="D4717" s="2"/>
      <c r="E4717" s="2" t="s">
        <v>34</v>
      </c>
      <c r="F4717" s="2" t="s">
        <v>12814</v>
      </c>
      <c r="G4717" s="2"/>
      <c r="H4717" s="12">
        <v>0.0</v>
      </c>
      <c r="I4717" s="2" t="s">
        <v>40</v>
      </c>
      <c r="J4717" s="2"/>
      <c r="K4717" s="2" t="s">
        <v>12815</v>
      </c>
      <c r="L4717" s="12">
        <v>385.0</v>
      </c>
      <c r="M4717" s="2" t="s">
        <v>12816</v>
      </c>
      <c r="N4717" s="2" t="str">
        <f>IFERROR(__xludf.DUMMYFUNCTION("""COMPUTED_VALUE"""),"")</f>
        <v/>
      </c>
    </row>
    <row r="4718">
      <c r="A4718" s="2" t="s">
        <v>33</v>
      </c>
      <c r="B4718" s="12">
        <v>4565991.0</v>
      </c>
      <c r="C4718" s="12">
        <v>4566407.0</v>
      </c>
      <c r="D4718" s="2"/>
      <c r="E4718" s="2" t="s">
        <v>34</v>
      </c>
      <c r="F4718" s="2" t="s">
        <v>12817</v>
      </c>
      <c r="G4718" s="2" t="s">
        <v>12818</v>
      </c>
      <c r="H4718" s="12">
        <v>0.0</v>
      </c>
      <c r="I4718" s="2" t="s">
        <v>40</v>
      </c>
      <c r="J4718" s="2"/>
      <c r="K4718" s="2" t="s">
        <v>12819</v>
      </c>
      <c r="L4718" s="12">
        <v>138.0</v>
      </c>
      <c r="M4718" s="2" t="s">
        <v>12820</v>
      </c>
      <c r="N4718" s="2" t="str">
        <f>IFERROR(__xludf.DUMMYFUNCTION("""COMPUTED_VALUE"""),"")</f>
        <v/>
      </c>
    </row>
    <row r="4719">
      <c r="A4719" s="2" t="s">
        <v>33</v>
      </c>
      <c r="B4719" s="12">
        <v>4566618.0</v>
      </c>
      <c r="C4719" s="12">
        <v>4566809.0</v>
      </c>
      <c r="D4719" s="2"/>
      <c r="E4719" s="2" t="s">
        <v>34</v>
      </c>
      <c r="F4719" s="2" t="s">
        <v>35</v>
      </c>
      <c r="G4719" s="2"/>
      <c r="H4719" s="12">
        <v>0.0</v>
      </c>
      <c r="I4719" s="2" t="s">
        <v>36</v>
      </c>
      <c r="J4719" s="2"/>
      <c r="K4719" s="2"/>
      <c r="L4719" s="2"/>
      <c r="M4719" s="2" t="s">
        <v>12821</v>
      </c>
      <c r="N4719" s="2" t="str">
        <f>IFERROR(__xludf.DUMMYFUNCTION("""COMPUTED_VALUE"""),"")</f>
        <v/>
      </c>
    </row>
    <row r="4720">
      <c r="A4720" s="2" t="s">
        <v>33</v>
      </c>
      <c r="B4720" s="12">
        <v>4567041.0</v>
      </c>
      <c r="C4720" s="12">
        <v>4568018.0</v>
      </c>
      <c r="D4720" s="2"/>
      <c r="E4720" s="2" t="s">
        <v>34</v>
      </c>
      <c r="F4720" s="2" t="s">
        <v>12822</v>
      </c>
      <c r="G4720" s="2"/>
      <c r="H4720" s="12">
        <v>0.0</v>
      </c>
      <c r="I4720" s="2" t="s">
        <v>40</v>
      </c>
      <c r="J4720" s="2"/>
      <c r="K4720" s="2" t="s">
        <v>12823</v>
      </c>
      <c r="L4720" s="12">
        <v>325.0</v>
      </c>
      <c r="M4720" s="2" t="s">
        <v>12824</v>
      </c>
      <c r="N4720" s="2" t="str">
        <f>IFERROR(__xludf.DUMMYFUNCTION("""COMPUTED_VALUE"""),"")</f>
        <v/>
      </c>
    </row>
    <row r="4721">
      <c r="A4721" s="2" t="s">
        <v>33</v>
      </c>
      <c r="B4721" s="12">
        <v>4568061.0</v>
      </c>
      <c r="C4721" s="12">
        <v>4568882.0</v>
      </c>
      <c r="D4721" s="2"/>
      <c r="E4721" s="2" t="s">
        <v>34</v>
      </c>
      <c r="F4721" s="2" t="s">
        <v>338</v>
      </c>
      <c r="G4721" s="2"/>
      <c r="H4721" s="12">
        <v>0.0</v>
      </c>
      <c r="I4721" s="2" t="s">
        <v>40</v>
      </c>
      <c r="J4721" s="2"/>
      <c r="K4721" s="2" t="s">
        <v>12825</v>
      </c>
      <c r="L4721" s="12">
        <v>273.0</v>
      </c>
      <c r="M4721" s="2" t="s">
        <v>12826</v>
      </c>
      <c r="N4721" s="2" t="str">
        <f>IFERROR(__xludf.DUMMYFUNCTION("""COMPUTED_VALUE"""),"")</f>
        <v/>
      </c>
    </row>
    <row r="4722">
      <c r="A4722" s="2" t="s">
        <v>33</v>
      </c>
      <c r="B4722" s="12">
        <v>4568869.0</v>
      </c>
      <c r="C4722" s="12">
        <v>4569369.0</v>
      </c>
      <c r="D4722" s="2"/>
      <c r="E4722" s="2" t="s">
        <v>34</v>
      </c>
      <c r="F4722" s="2" t="s">
        <v>35</v>
      </c>
      <c r="G4722" s="2"/>
      <c r="H4722" s="12">
        <v>0.0</v>
      </c>
      <c r="I4722" s="2" t="s">
        <v>36</v>
      </c>
      <c r="J4722" s="2"/>
      <c r="K4722" s="2"/>
      <c r="L4722" s="2"/>
      <c r="M4722" s="2" t="s">
        <v>12827</v>
      </c>
      <c r="N4722" s="2" t="str">
        <f>IFERROR(__xludf.DUMMYFUNCTION("""COMPUTED_VALUE"""),"")</f>
        <v/>
      </c>
    </row>
    <row r="4723">
      <c r="A4723" s="2" t="s">
        <v>33</v>
      </c>
      <c r="B4723" s="12">
        <v>4569417.0</v>
      </c>
      <c r="C4723" s="12">
        <v>4571204.0</v>
      </c>
      <c r="D4723" s="2"/>
      <c r="E4723" s="2" t="s">
        <v>38</v>
      </c>
      <c r="F4723" s="2" t="s">
        <v>3997</v>
      </c>
      <c r="G4723" s="2" t="s">
        <v>3998</v>
      </c>
      <c r="H4723" s="12">
        <v>0.0</v>
      </c>
      <c r="I4723" s="2" t="s">
        <v>40</v>
      </c>
      <c r="J4723" s="2"/>
      <c r="K4723" s="2" t="s">
        <v>12828</v>
      </c>
      <c r="L4723" s="12">
        <v>595.0</v>
      </c>
      <c r="M4723" s="2" t="s">
        <v>12829</v>
      </c>
      <c r="N4723" s="2" t="str">
        <f>IFERROR(__xludf.DUMMYFUNCTION("""COMPUTED_VALUE"""),"")</f>
        <v/>
      </c>
    </row>
    <row r="4724">
      <c r="A4724" s="2" t="s">
        <v>33</v>
      </c>
      <c r="B4724" s="12">
        <v>4571322.0</v>
      </c>
      <c r="C4724" s="12">
        <v>4572113.0</v>
      </c>
      <c r="D4724" s="2"/>
      <c r="E4724" s="2" t="s">
        <v>38</v>
      </c>
      <c r="F4724" s="2" t="s">
        <v>1291</v>
      </c>
      <c r="G4724" s="2"/>
      <c r="H4724" s="12">
        <v>0.0</v>
      </c>
      <c r="I4724" s="2" t="s">
        <v>40</v>
      </c>
      <c r="J4724" s="2"/>
      <c r="K4724" s="2" t="s">
        <v>12830</v>
      </c>
      <c r="L4724" s="12">
        <v>263.0</v>
      </c>
      <c r="M4724" s="2" t="s">
        <v>12831</v>
      </c>
      <c r="N4724" s="2" t="str">
        <f>IFERROR(__xludf.DUMMYFUNCTION("""COMPUTED_VALUE"""),"")</f>
        <v/>
      </c>
    </row>
    <row r="4725">
      <c r="A4725" s="2" t="s">
        <v>33</v>
      </c>
      <c r="B4725" s="12">
        <v>4572317.0</v>
      </c>
      <c r="C4725" s="12">
        <v>4573858.0</v>
      </c>
      <c r="D4725" s="2"/>
      <c r="E4725" s="2" t="s">
        <v>34</v>
      </c>
      <c r="F4725" s="2" t="s">
        <v>12832</v>
      </c>
      <c r="G4725" s="2" t="s">
        <v>12833</v>
      </c>
      <c r="H4725" s="12">
        <v>0.0</v>
      </c>
      <c r="I4725" s="2" t="s">
        <v>40</v>
      </c>
      <c r="J4725" s="2"/>
      <c r="K4725" s="2" t="s">
        <v>12834</v>
      </c>
      <c r="L4725" s="12">
        <v>513.0</v>
      </c>
      <c r="M4725" s="2" t="s">
        <v>12835</v>
      </c>
      <c r="N4725" s="2" t="str">
        <f>IFERROR(__xludf.DUMMYFUNCTION("""COMPUTED_VALUE"""),"")</f>
        <v/>
      </c>
    </row>
    <row r="4726">
      <c r="A4726" s="2" t="s">
        <v>33</v>
      </c>
      <c r="B4726" s="12">
        <v>4574014.0</v>
      </c>
      <c r="C4726" s="12">
        <v>4574769.0</v>
      </c>
      <c r="D4726" s="2"/>
      <c r="E4726" s="2" t="s">
        <v>38</v>
      </c>
      <c r="F4726" s="2" t="s">
        <v>582</v>
      </c>
      <c r="G4726" s="2"/>
      <c r="H4726" s="12">
        <v>0.0</v>
      </c>
      <c r="I4726" s="2" t="s">
        <v>40</v>
      </c>
      <c r="J4726" s="2"/>
      <c r="K4726" s="2" t="s">
        <v>12836</v>
      </c>
      <c r="L4726" s="12">
        <v>251.0</v>
      </c>
      <c r="M4726" s="2" t="s">
        <v>12837</v>
      </c>
      <c r="N4726" s="2" t="str">
        <f>IFERROR(__xludf.DUMMYFUNCTION("""COMPUTED_VALUE"""),"")</f>
        <v/>
      </c>
    </row>
    <row r="4727">
      <c r="A4727" s="2" t="s">
        <v>33</v>
      </c>
      <c r="B4727" s="12">
        <v>4575377.0</v>
      </c>
      <c r="C4727" s="12">
        <v>4577278.0</v>
      </c>
      <c r="D4727" s="2"/>
      <c r="E4727" s="2" t="s">
        <v>34</v>
      </c>
      <c r="F4727" s="2" t="s">
        <v>9715</v>
      </c>
      <c r="G4727" s="2"/>
      <c r="H4727" s="12">
        <v>0.0</v>
      </c>
      <c r="I4727" s="2" t="s">
        <v>40</v>
      </c>
      <c r="J4727" s="2"/>
      <c r="K4727" s="2" t="s">
        <v>12838</v>
      </c>
      <c r="L4727" s="12">
        <v>633.0</v>
      </c>
      <c r="M4727" s="2" t="s">
        <v>12839</v>
      </c>
      <c r="N4727" s="2" t="str">
        <f>IFERROR(__xludf.DUMMYFUNCTION("""COMPUTED_VALUE"""),"")</f>
        <v/>
      </c>
    </row>
    <row r="4728">
      <c r="A4728" s="2" t="s">
        <v>33</v>
      </c>
      <c r="B4728" s="12">
        <v>4577285.0</v>
      </c>
      <c r="C4728" s="12">
        <v>4577809.0</v>
      </c>
      <c r="D4728" s="2"/>
      <c r="E4728" s="2" t="s">
        <v>34</v>
      </c>
      <c r="F4728" s="2" t="s">
        <v>367</v>
      </c>
      <c r="G4728" s="2"/>
      <c r="H4728" s="12">
        <v>0.0</v>
      </c>
      <c r="I4728" s="2" t="s">
        <v>40</v>
      </c>
      <c r="J4728" s="2"/>
      <c r="K4728" s="2" t="s">
        <v>12840</v>
      </c>
      <c r="L4728" s="12">
        <v>174.0</v>
      </c>
      <c r="M4728" s="2" t="s">
        <v>12841</v>
      </c>
      <c r="N4728" s="2" t="str">
        <f>IFERROR(__xludf.DUMMYFUNCTION("""COMPUTED_VALUE"""),"")</f>
        <v/>
      </c>
    </row>
    <row r="4729">
      <c r="A4729" s="2" t="s">
        <v>33</v>
      </c>
      <c r="B4729" s="12">
        <v>4577970.0</v>
      </c>
      <c r="C4729" s="12">
        <v>4578680.0</v>
      </c>
      <c r="D4729" s="2"/>
      <c r="E4729" s="2" t="s">
        <v>34</v>
      </c>
      <c r="F4729" s="2" t="s">
        <v>1528</v>
      </c>
      <c r="G4729" s="2"/>
      <c r="H4729" s="12">
        <v>0.0</v>
      </c>
      <c r="I4729" s="2" t="s">
        <v>40</v>
      </c>
      <c r="J4729" s="2"/>
      <c r="K4729" s="2" t="s">
        <v>12842</v>
      </c>
      <c r="L4729" s="12">
        <v>236.0</v>
      </c>
      <c r="M4729" s="2" t="s">
        <v>12843</v>
      </c>
      <c r="N4729" s="2" t="str">
        <f>IFERROR(__xludf.DUMMYFUNCTION("""COMPUTED_VALUE"""),"")</f>
        <v/>
      </c>
    </row>
    <row r="4730">
      <c r="A4730" s="2" t="s">
        <v>33</v>
      </c>
      <c r="B4730" s="12">
        <v>4578746.0</v>
      </c>
      <c r="C4730" s="12">
        <v>4579711.0</v>
      </c>
      <c r="D4730" s="2"/>
      <c r="E4730" s="2" t="s">
        <v>38</v>
      </c>
      <c r="F4730" s="2" t="s">
        <v>1399</v>
      </c>
      <c r="G4730" s="2"/>
      <c r="H4730" s="12">
        <v>0.0</v>
      </c>
      <c r="I4730" s="2" t="s">
        <v>40</v>
      </c>
      <c r="J4730" s="2"/>
      <c r="K4730" s="2" t="s">
        <v>12844</v>
      </c>
      <c r="L4730" s="12">
        <v>321.0</v>
      </c>
      <c r="M4730" s="2" t="s">
        <v>12845</v>
      </c>
      <c r="N4730" s="2" t="str">
        <f>IFERROR(__xludf.DUMMYFUNCTION("""COMPUTED_VALUE"""),"")</f>
        <v/>
      </c>
    </row>
    <row r="4731">
      <c r="A4731" s="2" t="s">
        <v>33</v>
      </c>
      <c r="B4731" s="12">
        <v>4579835.0</v>
      </c>
      <c r="C4731" s="12">
        <v>4580728.0</v>
      </c>
      <c r="D4731" s="2"/>
      <c r="E4731" s="2" t="s">
        <v>34</v>
      </c>
      <c r="F4731" s="2" t="s">
        <v>694</v>
      </c>
      <c r="G4731" s="2"/>
      <c r="H4731" s="12">
        <v>0.0</v>
      </c>
      <c r="I4731" s="2" t="s">
        <v>40</v>
      </c>
      <c r="J4731" s="2"/>
      <c r="K4731" s="2" t="s">
        <v>12846</v>
      </c>
      <c r="L4731" s="12">
        <v>297.0</v>
      </c>
      <c r="M4731" s="2" t="s">
        <v>12847</v>
      </c>
      <c r="N4731" s="2" t="str">
        <f>IFERROR(__xludf.DUMMYFUNCTION("""COMPUTED_VALUE"""),"")</f>
        <v/>
      </c>
    </row>
    <row r="4732">
      <c r="A4732" s="2" t="s">
        <v>33</v>
      </c>
      <c r="B4732" s="12">
        <v>4581020.0</v>
      </c>
      <c r="C4732" s="12">
        <v>4581532.0</v>
      </c>
      <c r="D4732" s="2"/>
      <c r="E4732" s="2" t="s">
        <v>34</v>
      </c>
      <c r="F4732" s="2" t="s">
        <v>12848</v>
      </c>
      <c r="G4732" s="2"/>
      <c r="H4732" s="12">
        <v>0.0</v>
      </c>
      <c r="I4732" s="2" t="s">
        <v>40</v>
      </c>
      <c r="J4732" s="2"/>
      <c r="K4732" s="2" t="s">
        <v>12849</v>
      </c>
      <c r="L4732" s="12">
        <v>170.0</v>
      </c>
      <c r="M4732" s="2" t="s">
        <v>12850</v>
      </c>
      <c r="N4732" s="2" t="str">
        <f>IFERROR(__xludf.DUMMYFUNCTION("""COMPUTED_VALUE"""),"")</f>
        <v/>
      </c>
    </row>
    <row r="4733">
      <c r="A4733" s="2" t="s">
        <v>33</v>
      </c>
      <c r="B4733" s="12">
        <v>4581550.0</v>
      </c>
      <c r="C4733" s="12">
        <v>4582026.0</v>
      </c>
      <c r="D4733" s="2"/>
      <c r="E4733" s="2" t="s">
        <v>34</v>
      </c>
      <c r="F4733" s="2" t="s">
        <v>12851</v>
      </c>
      <c r="G4733" s="2"/>
      <c r="H4733" s="12">
        <v>0.0</v>
      </c>
      <c r="I4733" s="2" t="s">
        <v>40</v>
      </c>
      <c r="J4733" s="2"/>
      <c r="K4733" s="2" t="s">
        <v>12852</v>
      </c>
      <c r="L4733" s="12">
        <v>158.0</v>
      </c>
      <c r="M4733" s="2" t="s">
        <v>12853</v>
      </c>
      <c r="N4733" s="2" t="str">
        <f>IFERROR(__xludf.DUMMYFUNCTION("""COMPUTED_VALUE"""),"")</f>
        <v/>
      </c>
    </row>
    <row r="4734">
      <c r="A4734" s="2" t="s">
        <v>33</v>
      </c>
      <c r="B4734" s="12">
        <v>4582139.0</v>
      </c>
      <c r="C4734" s="12">
        <v>4582675.0</v>
      </c>
      <c r="D4734" s="2"/>
      <c r="E4734" s="2" t="s">
        <v>38</v>
      </c>
      <c r="F4734" s="2" t="s">
        <v>367</v>
      </c>
      <c r="G4734" s="2"/>
      <c r="H4734" s="12">
        <v>0.0</v>
      </c>
      <c r="I4734" s="2" t="s">
        <v>40</v>
      </c>
      <c r="J4734" s="2"/>
      <c r="K4734" s="2" t="s">
        <v>12854</v>
      </c>
      <c r="L4734" s="12">
        <v>178.0</v>
      </c>
      <c r="M4734" s="2" t="s">
        <v>12855</v>
      </c>
      <c r="N4734" s="2" t="str">
        <f>IFERROR(__xludf.DUMMYFUNCTION("""COMPUTED_VALUE"""),"")</f>
        <v/>
      </c>
    </row>
    <row r="4735">
      <c r="A4735" s="2" t="s">
        <v>33</v>
      </c>
      <c r="B4735" s="12">
        <v>4582903.0</v>
      </c>
      <c r="C4735" s="12">
        <v>4583391.0</v>
      </c>
      <c r="D4735" s="2"/>
      <c r="E4735" s="2" t="s">
        <v>38</v>
      </c>
      <c r="F4735" s="2" t="s">
        <v>817</v>
      </c>
      <c r="G4735" s="2"/>
      <c r="H4735" s="12">
        <v>0.0</v>
      </c>
      <c r="I4735" s="2" t="s">
        <v>40</v>
      </c>
      <c r="J4735" s="2"/>
      <c r="K4735" s="2" t="s">
        <v>12856</v>
      </c>
      <c r="L4735" s="12">
        <v>162.0</v>
      </c>
      <c r="M4735" s="2" t="s">
        <v>12857</v>
      </c>
      <c r="N4735" s="2" t="str">
        <f>IFERROR(__xludf.DUMMYFUNCTION("""COMPUTED_VALUE"""),"")</f>
        <v/>
      </c>
    </row>
    <row r="4736">
      <c r="A4736" s="2" t="s">
        <v>33</v>
      </c>
      <c r="B4736" s="12">
        <v>4583584.0</v>
      </c>
      <c r="C4736" s="12">
        <v>4584039.0</v>
      </c>
      <c r="D4736" s="2"/>
      <c r="E4736" s="2" t="s">
        <v>34</v>
      </c>
      <c r="F4736" s="2" t="s">
        <v>817</v>
      </c>
      <c r="G4736" s="2"/>
      <c r="H4736" s="12">
        <v>0.0</v>
      </c>
      <c r="I4736" s="2" t="s">
        <v>40</v>
      </c>
      <c r="J4736" s="2"/>
      <c r="K4736" s="2" t="s">
        <v>12858</v>
      </c>
      <c r="L4736" s="12">
        <v>151.0</v>
      </c>
      <c r="M4736" s="2" t="s">
        <v>12859</v>
      </c>
      <c r="N4736" s="2" t="str">
        <f>IFERROR(__xludf.DUMMYFUNCTION("""COMPUTED_VALUE"""),"")</f>
        <v/>
      </c>
    </row>
    <row r="4737">
      <c r="A4737" s="2" t="s">
        <v>33</v>
      </c>
      <c r="B4737" s="12">
        <v>4584198.0</v>
      </c>
      <c r="C4737" s="12">
        <v>4585235.0</v>
      </c>
      <c r="D4737" s="2"/>
      <c r="E4737" s="2" t="s">
        <v>34</v>
      </c>
      <c r="F4737" s="2" t="s">
        <v>12860</v>
      </c>
      <c r="G4737" s="2"/>
      <c r="H4737" s="12">
        <v>0.0</v>
      </c>
      <c r="I4737" s="2" t="s">
        <v>40</v>
      </c>
      <c r="J4737" s="2"/>
      <c r="K4737" s="2" t="s">
        <v>12861</v>
      </c>
      <c r="L4737" s="12">
        <v>345.0</v>
      </c>
      <c r="M4737" s="2" t="s">
        <v>12862</v>
      </c>
      <c r="N4737" s="2" t="str">
        <f>IFERROR(__xludf.DUMMYFUNCTION("""COMPUTED_VALUE"""),"")</f>
        <v/>
      </c>
    </row>
    <row r="4738">
      <c r="A4738" s="2" t="s">
        <v>33</v>
      </c>
      <c r="B4738" s="12">
        <v>4585364.0</v>
      </c>
      <c r="C4738" s="12">
        <v>4586128.0</v>
      </c>
      <c r="D4738" s="2"/>
      <c r="E4738" s="2" t="s">
        <v>38</v>
      </c>
      <c r="F4738" s="2" t="s">
        <v>12863</v>
      </c>
      <c r="G4738" s="2"/>
      <c r="H4738" s="12">
        <v>0.0</v>
      </c>
      <c r="I4738" s="2" t="s">
        <v>40</v>
      </c>
      <c r="J4738" s="2"/>
      <c r="K4738" s="2" t="s">
        <v>12864</v>
      </c>
      <c r="L4738" s="12">
        <v>254.0</v>
      </c>
      <c r="M4738" s="2" t="s">
        <v>12865</v>
      </c>
      <c r="N4738" s="2" t="str">
        <f>IFERROR(__xludf.DUMMYFUNCTION("""COMPUTED_VALUE"""),"")</f>
        <v/>
      </c>
    </row>
    <row r="4739">
      <c r="A4739" s="2" t="s">
        <v>33</v>
      </c>
      <c r="B4739" s="12">
        <v>4586405.0</v>
      </c>
      <c r="C4739" s="12">
        <v>4587439.0</v>
      </c>
      <c r="D4739" s="2"/>
      <c r="E4739" s="2" t="s">
        <v>34</v>
      </c>
      <c r="F4739" s="2" t="s">
        <v>2555</v>
      </c>
      <c r="G4739" s="2"/>
      <c r="H4739" s="12">
        <v>0.0</v>
      </c>
      <c r="I4739" s="2" t="s">
        <v>40</v>
      </c>
      <c r="J4739" s="2"/>
      <c r="K4739" s="2" t="s">
        <v>12866</v>
      </c>
      <c r="L4739" s="12">
        <v>344.0</v>
      </c>
      <c r="M4739" s="2" t="s">
        <v>12867</v>
      </c>
      <c r="N4739" s="2" t="str">
        <f>IFERROR(__xludf.DUMMYFUNCTION("""COMPUTED_VALUE"""),"")</f>
        <v/>
      </c>
    </row>
    <row r="4740">
      <c r="A4740" s="2" t="s">
        <v>33</v>
      </c>
      <c r="B4740" s="12">
        <v>4587440.0</v>
      </c>
      <c r="C4740" s="12">
        <v>4588456.0</v>
      </c>
      <c r="D4740" s="2"/>
      <c r="E4740" s="2" t="s">
        <v>34</v>
      </c>
      <c r="F4740" s="2" t="s">
        <v>2555</v>
      </c>
      <c r="G4740" s="2"/>
      <c r="H4740" s="12">
        <v>0.0</v>
      </c>
      <c r="I4740" s="2" t="s">
        <v>40</v>
      </c>
      <c r="J4740" s="2"/>
      <c r="K4740" s="2" t="s">
        <v>12868</v>
      </c>
      <c r="L4740" s="12">
        <v>338.0</v>
      </c>
      <c r="M4740" s="2" t="s">
        <v>12869</v>
      </c>
      <c r="N4740" s="2" t="str">
        <f>IFERROR(__xludf.DUMMYFUNCTION("""COMPUTED_VALUE"""),"")</f>
        <v/>
      </c>
    </row>
    <row r="4741">
      <c r="A4741" s="2" t="s">
        <v>33</v>
      </c>
      <c r="B4741" s="12">
        <v>4588478.0</v>
      </c>
      <c r="C4741" s="12">
        <v>4589386.0</v>
      </c>
      <c r="D4741" s="2"/>
      <c r="E4741" s="2" t="s">
        <v>34</v>
      </c>
      <c r="F4741" s="2" t="s">
        <v>6126</v>
      </c>
      <c r="G4741" s="2"/>
      <c r="H4741" s="12">
        <v>0.0</v>
      </c>
      <c r="I4741" s="2" t="s">
        <v>40</v>
      </c>
      <c r="J4741" s="2"/>
      <c r="K4741" s="2" t="s">
        <v>12870</v>
      </c>
      <c r="L4741" s="12">
        <v>302.0</v>
      </c>
      <c r="M4741" s="2" t="s">
        <v>12871</v>
      </c>
      <c r="N4741" s="2" t="str">
        <f>IFERROR(__xludf.DUMMYFUNCTION("""COMPUTED_VALUE"""),"")</f>
        <v/>
      </c>
    </row>
    <row r="4742">
      <c r="A4742" s="2" t="s">
        <v>33</v>
      </c>
      <c r="B4742" s="12">
        <v>4589603.0</v>
      </c>
      <c r="C4742" s="12">
        <v>4590154.0</v>
      </c>
      <c r="D4742" s="2"/>
      <c r="E4742" s="2" t="s">
        <v>34</v>
      </c>
      <c r="F4742" s="2" t="s">
        <v>367</v>
      </c>
      <c r="G4742" s="2"/>
      <c r="H4742" s="12">
        <v>0.0</v>
      </c>
      <c r="I4742" s="2" t="s">
        <v>40</v>
      </c>
      <c r="J4742" s="2"/>
      <c r="K4742" s="2" t="s">
        <v>12872</v>
      </c>
      <c r="L4742" s="12">
        <v>183.0</v>
      </c>
      <c r="M4742" s="2" t="s">
        <v>12873</v>
      </c>
      <c r="N4742" s="2" t="str">
        <f>IFERROR(__xludf.DUMMYFUNCTION("""COMPUTED_VALUE"""),"")</f>
        <v/>
      </c>
    </row>
    <row r="4743">
      <c r="A4743" s="2" t="s">
        <v>33</v>
      </c>
      <c r="B4743" s="12">
        <v>4590254.0</v>
      </c>
      <c r="C4743" s="12">
        <v>4590481.0</v>
      </c>
      <c r="D4743" s="2"/>
      <c r="E4743" s="2" t="s">
        <v>34</v>
      </c>
      <c r="F4743" s="2" t="s">
        <v>39</v>
      </c>
      <c r="G4743" s="2"/>
      <c r="H4743" s="12">
        <v>0.0</v>
      </c>
      <c r="I4743" s="2" t="s">
        <v>40</v>
      </c>
      <c r="J4743" s="2"/>
      <c r="K4743" s="2" t="s">
        <v>12874</v>
      </c>
      <c r="L4743" s="12">
        <v>75.0</v>
      </c>
      <c r="M4743" s="2" t="s">
        <v>12875</v>
      </c>
      <c r="N4743" s="2" t="str">
        <f>IFERROR(__xludf.DUMMYFUNCTION("""COMPUTED_VALUE"""),"")</f>
        <v/>
      </c>
    </row>
    <row r="4744">
      <c r="A4744" s="2" t="s">
        <v>33</v>
      </c>
      <c r="B4744" s="12">
        <v>4590553.0</v>
      </c>
      <c r="C4744" s="12">
        <v>4591878.0</v>
      </c>
      <c r="D4744" s="2"/>
      <c r="E4744" s="2" t="s">
        <v>38</v>
      </c>
      <c r="F4744" s="2" t="s">
        <v>8771</v>
      </c>
      <c r="G4744" s="2"/>
      <c r="H4744" s="12">
        <v>0.0</v>
      </c>
      <c r="I4744" s="2" t="s">
        <v>40</v>
      </c>
      <c r="J4744" s="2"/>
      <c r="K4744" s="2" t="s">
        <v>12876</v>
      </c>
      <c r="L4744" s="12">
        <v>441.0</v>
      </c>
      <c r="M4744" s="2" t="s">
        <v>12877</v>
      </c>
      <c r="N4744" s="2" t="str">
        <f>IFERROR(__xludf.DUMMYFUNCTION("""COMPUTED_VALUE"""),"")</f>
        <v/>
      </c>
    </row>
    <row r="4745">
      <c r="A4745" s="2" t="s">
        <v>33</v>
      </c>
      <c r="B4745" s="12">
        <v>4592141.0</v>
      </c>
      <c r="C4745" s="12">
        <v>4592491.0</v>
      </c>
      <c r="D4745" s="2"/>
      <c r="E4745" s="2" t="s">
        <v>34</v>
      </c>
      <c r="F4745" s="2" t="s">
        <v>12878</v>
      </c>
      <c r="G4745" s="2"/>
      <c r="H4745" s="12">
        <v>0.0</v>
      </c>
      <c r="I4745" s="2" t="s">
        <v>40</v>
      </c>
      <c r="J4745" s="2"/>
      <c r="K4745" s="2" t="s">
        <v>12879</v>
      </c>
      <c r="L4745" s="12">
        <v>116.0</v>
      </c>
      <c r="M4745" s="2" t="s">
        <v>12880</v>
      </c>
      <c r="N4745" s="2" t="str">
        <f>IFERROR(__xludf.DUMMYFUNCTION("""COMPUTED_VALUE"""),"")</f>
        <v/>
      </c>
    </row>
    <row r="4746">
      <c r="A4746" s="2" t="s">
        <v>33</v>
      </c>
      <c r="B4746" s="12">
        <v>4592507.0</v>
      </c>
      <c r="C4746" s="12">
        <v>4593169.0</v>
      </c>
      <c r="D4746" s="2"/>
      <c r="E4746" s="2" t="s">
        <v>34</v>
      </c>
      <c r="F4746" s="2" t="s">
        <v>12881</v>
      </c>
      <c r="G4746" s="2" t="s">
        <v>12882</v>
      </c>
      <c r="H4746" s="12">
        <v>0.0</v>
      </c>
      <c r="I4746" s="2" t="s">
        <v>40</v>
      </c>
      <c r="J4746" s="2"/>
      <c r="K4746" s="2" t="s">
        <v>12883</v>
      </c>
      <c r="L4746" s="12">
        <v>220.0</v>
      </c>
      <c r="M4746" s="2" t="s">
        <v>12884</v>
      </c>
      <c r="N4746" s="2" t="str">
        <f>IFERROR(__xludf.DUMMYFUNCTION("""COMPUTED_VALUE"""),"")</f>
        <v/>
      </c>
    </row>
    <row r="4747">
      <c r="A4747" s="2" t="s">
        <v>33</v>
      </c>
      <c r="B4747" s="12">
        <v>4593282.0</v>
      </c>
      <c r="C4747" s="12">
        <v>4594025.0</v>
      </c>
      <c r="D4747" s="2"/>
      <c r="E4747" s="2" t="s">
        <v>38</v>
      </c>
      <c r="F4747" s="2" t="s">
        <v>2487</v>
      </c>
      <c r="G4747" s="2"/>
      <c r="H4747" s="12">
        <v>0.0</v>
      </c>
      <c r="I4747" s="2" t="s">
        <v>40</v>
      </c>
      <c r="J4747" s="2"/>
      <c r="K4747" s="2" t="s">
        <v>12885</v>
      </c>
      <c r="L4747" s="12">
        <v>247.0</v>
      </c>
      <c r="M4747" s="2" t="s">
        <v>12886</v>
      </c>
      <c r="N4747" s="2" t="str">
        <f>IFERROR(__xludf.DUMMYFUNCTION("""COMPUTED_VALUE"""),"")</f>
        <v/>
      </c>
    </row>
    <row r="4748">
      <c r="A4748" s="2" t="s">
        <v>33</v>
      </c>
      <c r="B4748" s="12">
        <v>4594623.0</v>
      </c>
      <c r="C4748" s="12">
        <v>4594901.0</v>
      </c>
      <c r="D4748" s="2"/>
      <c r="E4748" s="2" t="s">
        <v>34</v>
      </c>
      <c r="F4748" s="2" t="s">
        <v>39</v>
      </c>
      <c r="G4748" s="2"/>
      <c r="H4748" s="12">
        <v>0.0</v>
      </c>
      <c r="I4748" s="2" t="s">
        <v>40</v>
      </c>
      <c r="J4748" s="2"/>
      <c r="K4748" s="2" t="s">
        <v>12887</v>
      </c>
      <c r="L4748" s="12">
        <v>92.0</v>
      </c>
      <c r="M4748" s="2" t="s">
        <v>12888</v>
      </c>
      <c r="N4748" s="2" t="str">
        <f>IFERROR(__xludf.DUMMYFUNCTION("""COMPUTED_VALUE"""),"")</f>
        <v/>
      </c>
    </row>
    <row r="4749">
      <c r="A4749" s="2" t="s">
        <v>33</v>
      </c>
      <c r="B4749" s="12">
        <v>4595212.0</v>
      </c>
      <c r="C4749" s="12">
        <v>4595436.0</v>
      </c>
      <c r="D4749" s="2"/>
      <c r="E4749" s="2" t="s">
        <v>34</v>
      </c>
      <c r="F4749" s="2" t="s">
        <v>1959</v>
      </c>
      <c r="G4749" s="2"/>
      <c r="H4749" s="12">
        <v>0.0</v>
      </c>
      <c r="I4749" s="2" t="s">
        <v>40</v>
      </c>
      <c r="J4749" s="2"/>
      <c r="K4749" s="2" t="s">
        <v>12889</v>
      </c>
      <c r="L4749" s="12">
        <v>74.0</v>
      </c>
      <c r="M4749" s="2" t="s">
        <v>12890</v>
      </c>
      <c r="N4749" s="2" t="str">
        <f>IFERROR(__xludf.DUMMYFUNCTION("""COMPUTED_VALUE"""),"")</f>
        <v/>
      </c>
    </row>
    <row r="4750">
      <c r="A4750" s="2" t="s">
        <v>33</v>
      </c>
      <c r="B4750" s="12">
        <v>4595480.0</v>
      </c>
      <c r="C4750" s="12">
        <v>4596046.0</v>
      </c>
      <c r="D4750" s="2"/>
      <c r="E4750" s="2" t="s">
        <v>38</v>
      </c>
      <c r="F4750" s="2" t="s">
        <v>12891</v>
      </c>
      <c r="G4750" s="2"/>
      <c r="H4750" s="12">
        <v>0.0</v>
      </c>
      <c r="I4750" s="2" t="s">
        <v>40</v>
      </c>
      <c r="J4750" s="2"/>
      <c r="K4750" s="2" t="s">
        <v>12892</v>
      </c>
      <c r="L4750" s="12">
        <v>188.0</v>
      </c>
      <c r="M4750" s="2" t="s">
        <v>12893</v>
      </c>
      <c r="N4750" s="2" t="str">
        <f>IFERROR(__xludf.DUMMYFUNCTION("""COMPUTED_VALUE"""),"")</f>
        <v/>
      </c>
    </row>
    <row r="4751">
      <c r="A4751" s="2" t="s">
        <v>33</v>
      </c>
      <c r="B4751" s="12">
        <v>4596409.0</v>
      </c>
      <c r="C4751" s="12">
        <v>4597608.0</v>
      </c>
      <c r="D4751" s="2"/>
      <c r="E4751" s="2" t="s">
        <v>34</v>
      </c>
      <c r="F4751" s="2" t="s">
        <v>6577</v>
      </c>
      <c r="G4751" s="2"/>
      <c r="H4751" s="12">
        <v>0.0</v>
      </c>
      <c r="I4751" s="2" t="s">
        <v>40</v>
      </c>
      <c r="J4751" s="2"/>
      <c r="K4751" s="2" t="s">
        <v>12894</v>
      </c>
      <c r="L4751" s="12">
        <v>399.0</v>
      </c>
      <c r="M4751" s="2" t="s">
        <v>12895</v>
      </c>
      <c r="N4751" s="2" t="str">
        <f>IFERROR(__xludf.DUMMYFUNCTION("""COMPUTED_VALUE"""),"")</f>
        <v/>
      </c>
    </row>
    <row r="4752">
      <c r="A4752" s="2" t="s">
        <v>33</v>
      </c>
      <c r="B4752" s="12">
        <v>4598146.0</v>
      </c>
      <c r="C4752" s="12">
        <v>4599537.0</v>
      </c>
      <c r="D4752" s="2"/>
      <c r="E4752" s="2" t="s">
        <v>34</v>
      </c>
      <c r="F4752" s="2" t="s">
        <v>4879</v>
      </c>
      <c r="G4752" s="2"/>
      <c r="H4752" s="12">
        <v>0.0</v>
      </c>
      <c r="I4752" s="2" t="s">
        <v>40</v>
      </c>
      <c r="J4752" s="2"/>
      <c r="K4752" s="2" t="s">
        <v>12896</v>
      </c>
      <c r="L4752" s="12">
        <v>463.0</v>
      </c>
      <c r="M4752" s="2" t="s">
        <v>12897</v>
      </c>
      <c r="N4752" s="2" t="str">
        <f>IFERROR(__xludf.DUMMYFUNCTION("""COMPUTED_VALUE"""),"")</f>
        <v/>
      </c>
    </row>
    <row r="4753">
      <c r="A4753" s="2" t="s">
        <v>33</v>
      </c>
      <c r="B4753" s="12">
        <v>4599939.0</v>
      </c>
      <c r="C4753" s="12">
        <v>4600691.0</v>
      </c>
      <c r="D4753" s="2"/>
      <c r="E4753" s="2" t="s">
        <v>34</v>
      </c>
      <c r="F4753" s="2" t="s">
        <v>12898</v>
      </c>
      <c r="G4753" s="2" t="s">
        <v>12899</v>
      </c>
      <c r="H4753" s="12">
        <v>0.0</v>
      </c>
      <c r="I4753" s="2" t="s">
        <v>40</v>
      </c>
      <c r="J4753" s="2"/>
      <c r="K4753" s="2" t="s">
        <v>12900</v>
      </c>
      <c r="L4753" s="12">
        <v>250.0</v>
      </c>
      <c r="M4753" s="2" t="s">
        <v>12901</v>
      </c>
      <c r="N4753" s="2" t="str">
        <f>IFERROR(__xludf.DUMMYFUNCTION("""COMPUTED_VALUE"""),"")</f>
        <v/>
      </c>
    </row>
    <row r="4754">
      <c r="A4754" s="2" t="s">
        <v>33</v>
      </c>
      <c r="B4754" s="12">
        <v>4600732.0</v>
      </c>
      <c r="C4754" s="12">
        <v>4601226.0</v>
      </c>
      <c r="D4754" s="2"/>
      <c r="E4754" s="2" t="s">
        <v>38</v>
      </c>
      <c r="F4754" s="2" t="s">
        <v>39</v>
      </c>
      <c r="G4754" s="2"/>
      <c r="H4754" s="12">
        <v>0.0</v>
      </c>
      <c r="I4754" s="2" t="s">
        <v>40</v>
      </c>
      <c r="J4754" s="2"/>
      <c r="K4754" s="2" t="s">
        <v>12902</v>
      </c>
      <c r="L4754" s="12">
        <v>164.0</v>
      </c>
      <c r="M4754" s="2" t="s">
        <v>12903</v>
      </c>
      <c r="N4754" s="2" t="str">
        <f>IFERROR(__xludf.DUMMYFUNCTION("""COMPUTED_VALUE"""),"")</f>
        <v/>
      </c>
    </row>
    <row r="4755">
      <c r="A4755" s="2" t="s">
        <v>33</v>
      </c>
      <c r="B4755" s="12">
        <v>4601316.0</v>
      </c>
      <c r="C4755" s="12">
        <v>4601780.0</v>
      </c>
      <c r="D4755" s="2"/>
      <c r="E4755" s="2" t="s">
        <v>38</v>
      </c>
      <c r="F4755" s="2" t="s">
        <v>738</v>
      </c>
      <c r="G4755" s="2"/>
      <c r="H4755" s="12">
        <v>0.0</v>
      </c>
      <c r="I4755" s="2" t="s">
        <v>40</v>
      </c>
      <c r="J4755" s="2"/>
      <c r="K4755" s="2" t="s">
        <v>12904</v>
      </c>
      <c r="L4755" s="12">
        <v>154.0</v>
      </c>
      <c r="M4755" s="2" t="s">
        <v>12905</v>
      </c>
      <c r="N4755" s="2" t="str">
        <f>IFERROR(__xludf.DUMMYFUNCTION("""COMPUTED_VALUE"""),"")</f>
        <v/>
      </c>
    </row>
    <row r="4756">
      <c r="A4756" s="2" t="s">
        <v>33</v>
      </c>
      <c r="B4756" s="12">
        <v>4601794.0</v>
      </c>
      <c r="C4756" s="12">
        <v>4602240.0</v>
      </c>
      <c r="D4756" s="2"/>
      <c r="E4756" s="2" t="s">
        <v>38</v>
      </c>
      <c r="F4756" s="2" t="s">
        <v>738</v>
      </c>
      <c r="G4756" s="2"/>
      <c r="H4756" s="12">
        <v>0.0</v>
      </c>
      <c r="I4756" s="2" t="s">
        <v>40</v>
      </c>
      <c r="J4756" s="2"/>
      <c r="K4756" s="2" t="s">
        <v>12906</v>
      </c>
      <c r="L4756" s="12">
        <v>148.0</v>
      </c>
      <c r="M4756" s="2" t="s">
        <v>12907</v>
      </c>
      <c r="N4756" s="2" t="str">
        <f>IFERROR(__xludf.DUMMYFUNCTION("""COMPUTED_VALUE"""),"")</f>
        <v/>
      </c>
    </row>
    <row r="4757">
      <c r="A4757" s="2" t="s">
        <v>33</v>
      </c>
      <c r="B4757" s="12">
        <v>4602349.0</v>
      </c>
      <c r="C4757" s="12">
        <v>4603041.0</v>
      </c>
      <c r="D4757" s="2"/>
      <c r="E4757" s="2" t="s">
        <v>34</v>
      </c>
      <c r="F4757" s="2" t="s">
        <v>7442</v>
      </c>
      <c r="G4757" s="2" t="s">
        <v>12908</v>
      </c>
      <c r="H4757" s="12">
        <v>0.0</v>
      </c>
      <c r="I4757" s="2" t="s">
        <v>40</v>
      </c>
      <c r="J4757" s="2"/>
      <c r="K4757" s="2" t="s">
        <v>12909</v>
      </c>
      <c r="L4757" s="12">
        <v>230.0</v>
      </c>
      <c r="M4757" s="2" t="s">
        <v>12910</v>
      </c>
      <c r="N4757" s="2" t="str">
        <f>IFERROR(__xludf.DUMMYFUNCTION("""COMPUTED_VALUE"""),"")</f>
        <v/>
      </c>
    </row>
    <row r="4758">
      <c r="A4758" s="2" t="s">
        <v>33</v>
      </c>
      <c r="B4758" s="12">
        <v>4603055.0</v>
      </c>
      <c r="C4758" s="12">
        <v>4603408.0</v>
      </c>
      <c r="D4758" s="2"/>
      <c r="E4758" s="2" t="s">
        <v>34</v>
      </c>
      <c r="F4758" s="2" t="s">
        <v>12911</v>
      </c>
      <c r="G4758" s="2"/>
      <c r="H4758" s="12">
        <v>0.0</v>
      </c>
      <c r="I4758" s="2" t="s">
        <v>40</v>
      </c>
      <c r="J4758" s="2"/>
      <c r="K4758" s="2" t="s">
        <v>12912</v>
      </c>
      <c r="L4758" s="12">
        <v>117.0</v>
      </c>
      <c r="M4758" s="2" t="s">
        <v>12913</v>
      </c>
      <c r="N4758" s="2" t="str">
        <f>IFERROR(__xludf.DUMMYFUNCTION("""COMPUTED_VALUE"""),"")</f>
        <v/>
      </c>
    </row>
    <row r="4759">
      <c r="A4759" s="2" t="s">
        <v>33</v>
      </c>
      <c r="B4759" s="12">
        <v>4603559.0</v>
      </c>
      <c r="C4759" s="12">
        <v>4604602.0</v>
      </c>
      <c r="D4759" s="2"/>
      <c r="E4759" s="2" t="s">
        <v>34</v>
      </c>
      <c r="F4759" s="2" t="s">
        <v>654</v>
      </c>
      <c r="G4759" s="2"/>
      <c r="H4759" s="12">
        <v>0.0</v>
      </c>
      <c r="I4759" s="2" t="s">
        <v>40</v>
      </c>
      <c r="J4759" s="2"/>
      <c r="K4759" s="2" t="s">
        <v>12914</v>
      </c>
      <c r="L4759" s="12">
        <v>347.0</v>
      </c>
      <c r="M4759" s="2" t="s">
        <v>12915</v>
      </c>
      <c r="N4759" s="2" t="str">
        <f>IFERROR(__xludf.DUMMYFUNCTION("""COMPUTED_VALUE"""),"")</f>
        <v/>
      </c>
    </row>
    <row r="4760">
      <c r="A4760" s="2" t="s">
        <v>33</v>
      </c>
      <c r="B4760" s="12">
        <v>4604883.0</v>
      </c>
      <c r="C4760" s="12">
        <v>4605131.0</v>
      </c>
      <c r="D4760" s="2"/>
      <c r="E4760" s="2" t="s">
        <v>34</v>
      </c>
      <c r="F4760" s="2" t="s">
        <v>39</v>
      </c>
      <c r="G4760" s="2"/>
      <c r="H4760" s="12">
        <v>0.0</v>
      </c>
      <c r="I4760" s="2" t="s">
        <v>40</v>
      </c>
      <c r="J4760" s="2"/>
      <c r="K4760" s="2" t="s">
        <v>12916</v>
      </c>
      <c r="L4760" s="12">
        <v>82.0</v>
      </c>
      <c r="M4760" s="2" t="s">
        <v>12917</v>
      </c>
      <c r="N4760" s="2" t="str">
        <f>IFERROR(__xludf.DUMMYFUNCTION("""COMPUTED_VALUE"""),"")</f>
        <v/>
      </c>
    </row>
    <row r="4761">
      <c r="A4761" s="2" t="s">
        <v>33</v>
      </c>
      <c r="B4761" s="12">
        <v>4605220.0</v>
      </c>
      <c r="C4761" s="12">
        <v>4605414.0</v>
      </c>
      <c r="D4761" s="2"/>
      <c r="E4761" s="2" t="s">
        <v>38</v>
      </c>
      <c r="F4761" s="2" t="s">
        <v>39</v>
      </c>
      <c r="G4761" s="2"/>
      <c r="H4761" s="12">
        <v>0.0</v>
      </c>
      <c r="I4761" s="2" t="s">
        <v>40</v>
      </c>
      <c r="J4761" s="2"/>
      <c r="K4761" s="2" t="s">
        <v>12918</v>
      </c>
      <c r="L4761" s="12">
        <v>64.0</v>
      </c>
      <c r="M4761" s="2" t="s">
        <v>12919</v>
      </c>
      <c r="N4761" s="2" t="str">
        <f>IFERROR(__xludf.DUMMYFUNCTION("""COMPUTED_VALUE"""),"")</f>
        <v/>
      </c>
    </row>
    <row r="4762">
      <c r="A4762" s="2" t="s">
        <v>33</v>
      </c>
      <c r="B4762" s="12">
        <v>4605550.0</v>
      </c>
      <c r="C4762" s="12">
        <v>4605831.0</v>
      </c>
      <c r="D4762" s="2"/>
      <c r="E4762" s="2" t="s">
        <v>34</v>
      </c>
      <c r="F4762" s="2" t="s">
        <v>39</v>
      </c>
      <c r="G4762" s="2"/>
      <c r="H4762" s="12">
        <v>0.0</v>
      </c>
      <c r="I4762" s="2" t="s">
        <v>40</v>
      </c>
      <c r="J4762" s="2"/>
      <c r="K4762" s="2" t="s">
        <v>12920</v>
      </c>
      <c r="L4762" s="12">
        <v>93.0</v>
      </c>
      <c r="M4762" s="2" t="s">
        <v>12921</v>
      </c>
      <c r="N4762" s="2" t="str">
        <f>IFERROR(__xludf.DUMMYFUNCTION("""COMPUTED_VALUE"""),"")</f>
        <v/>
      </c>
    </row>
    <row r="4763">
      <c r="A4763" s="2" t="s">
        <v>33</v>
      </c>
      <c r="B4763" s="12">
        <v>4605861.0</v>
      </c>
      <c r="C4763" s="12">
        <v>4606151.0</v>
      </c>
      <c r="D4763" s="2"/>
      <c r="E4763" s="2" t="s">
        <v>38</v>
      </c>
      <c r="F4763" s="2" t="s">
        <v>2504</v>
      </c>
      <c r="G4763" s="2"/>
      <c r="H4763" s="12">
        <v>0.0</v>
      </c>
      <c r="I4763" s="2" t="s">
        <v>40</v>
      </c>
      <c r="J4763" s="2"/>
      <c r="K4763" s="2" t="s">
        <v>12922</v>
      </c>
      <c r="L4763" s="12">
        <v>96.0</v>
      </c>
      <c r="M4763" s="2" t="s">
        <v>12923</v>
      </c>
      <c r="N4763" s="2" t="str">
        <f>IFERROR(__xludf.DUMMYFUNCTION("""COMPUTED_VALUE"""),"")</f>
        <v/>
      </c>
    </row>
    <row r="4764">
      <c r="A4764" s="2" t="s">
        <v>33</v>
      </c>
      <c r="B4764" s="12">
        <v>4606276.0</v>
      </c>
      <c r="C4764" s="12">
        <v>4606557.0</v>
      </c>
      <c r="D4764" s="2"/>
      <c r="E4764" s="2" t="s">
        <v>34</v>
      </c>
      <c r="F4764" s="2" t="s">
        <v>8421</v>
      </c>
      <c r="G4764" s="2"/>
      <c r="H4764" s="12">
        <v>0.0</v>
      </c>
      <c r="I4764" s="2" t="s">
        <v>40</v>
      </c>
      <c r="J4764" s="2"/>
      <c r="K4764" s="2" t="s">
        <v>12924</v>
      </c>
      <c r="L4764" s="12">
        <v>93.0</v>
      </c>
      <c r="M4764" s="2" t="s">
        <v>12925</v>
      </c>
      <c r="N4764" s="2" t="str">
        <f>IFERROR(__xludf.DUMMYFUNCTION("""COMPUTED_VALUE"""),"")</f>
        <v/>
      </c>
    </row>
    <row r="4765">
      <c r="A4765" s="2" t="s">
        <v>33</v>
      </c>
      <c r="B4765" s="12">
        <v>4606592.0</v>
      </c>
      <c r="C4765" s="12">
        <v>4607329.0</v>
      </c>
      <c r="D4765" s="2"/>
      <c r="E4765" s="2" t="s">
        <v>34</v>
      </c>
      <c r="F4765" s="2" t="s">
        <v>115</v>
      </c>
      <c r="G4765" s="2"/>
      <c r="H4765" s="12">
        <v>0.0</v>
      </c>
      <c r="I4765" s="2" t="s">
        <v>40</v>
      </c>
      <c r="J4765" s="2"/>
      <c r="K4765" s="2" t="s">
        <v>12926</v>
      </c>
      <c r="L4765" s="12">
        <v>245.0</v>
      </c>
      <c r="M4765" s="2" t="s">
        <v>12927</v>
      </c>
      <c r="N4765" s="2" t="str">
        <f>IFERROR(__xludf.DUMMYFUNCTION("""COMPUTED_VALUE"""),"")</f>
        <v/>
      </c>
    </row>
    <row r="4766">
      <c r="A4766" s="2" t="s">
        <v>33</v>
      </c>
      <c r="B4766" s="12">
        <v>4607466.0</v>
      </c>
      <c r="C4766" s="12">
        <v>4608239.0</v>
      </c>
      <c r="D4766" s="2"/>
      <c r="E4766" s="2" t="s">
        <v>34</v>
      </c>
      <c r="F4766" s="2" t="s">
        <v>12928</v>
      </c>
      <c r="G4766" s="2" t="s">
        <v>12929</v>
      </c>
      <c r="H4766" s="12">
        <v>0.0</v>
      </c>
      <c r="I4766" s="2" t="s">
        <v>40</v>
      </c>
      <c r="J4766" s="2"/>
      <c r="K4766" s="2" t="s">
        <v>12930</v>
      </c>
      <c r="L4766" s="12">
        <v>257.0</v>
      </c>
      <c r="M4766" s="2" t="s">
        <v>12931</v>
      </c>
      <c r="N4766" s="2" t="str">
        <f>IFERROR(__xludf.DUMMYFUNCTION("""COMPUTED_VALUE"""),"")</f>
        <v/>
      </c>
    </row>
    <row r="4767">
      <c r="A4767" s="2" t="s">
        <v>33</v>
      </c>
      <c r="B4767" s="12">
        <v>4608939.0</v>
      </c>
      <c r="C4767" s="12">
        <v>4610225.0</v>
      </c>
      <c r="D4767" s="2"/>
      <c r="E4767" s="2" t="s">
        <v>34</v>
      </c>
      <c r="F4767" s="2" t="s">
        <v>12932</v>
      </c>
      <c r="G4767" s="2" t="s">
        <v>12933</v>
      </c>
      <c r="H4767" s="12">
        <v>0.0</v>
      </c>
      <c r="I4767" s="2" t="s">
        <v>40</v>
      </c>
      <c r="J4767" s="2"/>
      <c r="K4767" s="2" t="s">
        <v>12934</v>
      </c>
      <c r="L4767" s="12">
        <v>428.0</v>
      </c>
      <c r="M4767" s="2" t="s">
        <v>12935</v>
      </c>
      <c r="N4767" s="2" t="str">
        <f>IFERROR(__xludf.DUMMYFUNCTION("""COMPUTED_VALUE"""),"")</f>
        <v/>
      </c>
    </row>
    <row r="4768">
      <c r="A4768" s="2" t="s">
        <v>33</v>
      </c>
      <c r="B4768" s="12">
        <v>4610715.0</v>
      </c>
      <c r="C4768" s="12">
        <v>4611035.0</v>
      </c>
      <c r="D4768" s="2"/>
      <c r="E4768" s="2" t="s">
        <v>34</v>
      </c>
      <c r="F4768" s="2" t="s">
        <v>2365</v>
      </c>
      <c r="G4768" s="2"/>
      <c r="H4768" s="12">
        <v>0.0</v>
      </c>
      <c r="I4768" s="2" t="s">
        <v>40</v>
      </c>
      <c r="J4768" s="2"/>
      <c r="K4768" s="2" t="s">
        <v>12936</v>
      </c>
      <c r="L4768" s="12">
        <v>106.0</v>
      </c>
      <c r="M4768" s="2" t="s">
        <v>12937</v>
      </c>
      <c r="N4768" s="2" t="str">
        <f>IFERROR(__xludf.DUMMYFUNCTION("""COMPUTED_VALUE"""),"")</f>
        <v/>
      </c>
    </row>
    <row r="4769">
      <c r="A4769" s="2" t="s">
        <v>33</v>
      </c>
      <c r="B4769" s="12">
        <v>4611111.0</v>
      </c>
      <c r="C4769" s="12">
        <v>4611452.0</v>
      </c>
      <c r="D4769" s="2"/>
      <c r="E4769" s="2" t="s">
        <v>34</v>
      </c>
      <c r="F4769" s="2" t="s">
        <v>12938</v>
      </c>
      <c r="G4769" s="2"/>
      <c r="H4769" s="12">
        <v>0.0</v>
      </c>
      <c r="I4769" s="2" t="s">
        <v>40</v>
      </c>
      <c r="J4769" s="2"/>
      <c r="K4769" s="2" t="s">
        <v>12939</v>
      </c>
      <c r="L4769" s="12">
        <v>113.0</v>
      </c>
      <c r="M4769" s="2" t="s">
        <v>12940</v>
      </c>
      <c r="N4769" s="2" t="str">
        <f>IFERROR(__xludf.DUMMYFUNCTION("""COMPUTED_VALUE"""),"")</f>
        <v/>
      </c>
    </row>
    <row r="4770">
      <c r="A4770" s="2" t="s">
        <v>33</v>
      </c>
      <c r="B4770" s="12">
        <v>4611623.0</v>
      </c>
      <c r="C4770" s="12">
        <v>4612384.0</v>
      </c>
      <c r="D4770" s="2"/>
      <c r="E4770" s="2" t="s">
        <v>34</v>
      </c>
      <c r="F4770" s="2" t="s">
        <v>432</v>
      </c>
      <c r="G4770" s="2"/>
      <c r="H4770" s="12">
        <v>0.0</v>
      </c>
      <c r="I4770" s="2" t="s">
        <v>40</v>
      </c>
      <c r="J4770" s="2"/>
      <c r="K4770" s="2" t="s">
        <v>12941</v>
      </c>
      <c r="L4770" s="12">
        <v>253.0</v>
      </c>
      <c r="M4770" s="2" t="s">
        <v>12942</v>
      </c>
      <c r="N4770" s="2" t="str">
        <f>IFERROR(__xludf.DUMMYFUNCTION("""COMPUTED_VALUE"""),"")</f>
        <v/>
      </c>
    </row>
    <row r="4771">
      <c r="A4771" s="2" t="s">
        <v>33</v>
      </c>
      <c r="B4771" s="12">
        <v>4612385.0</v>
      </c>
      <c r="C4771" s="12">
        <v>4613134.0</v>
      </c>
      <c r="D4771" s="2"/>
      <c r="E4771" s="2" t="s">
        <v>34</v>
      </c>
      <c r="F4771" s="2" t="s">
        <v>265</v>
      </c>
      <c r="G4771" s="2"/>
      <c r="H4771" s="12">
        <v>0.0</v>
      </c>
      <c r="I4771" s="2" t="s">
        <v>40</v>
      </c>
      <c r="J4771" s="2"/>
      <c r="K4771" s="2" t="s">
        <v>12943</v>
      </c>
      <c r="L4771" s="12">
        <v>249.0</v>
      </c>
      <c r="M4771" s="2" t="s">
        <v>12944</v>
      </c>
      <c r="N4771" s="2" t="str">
        <f>IFERROR(__xludf.DUMMYFUNCTION("""COMPUTED_VALUE"""),"")</f>
        <v/>
      </c>
    </row>
    <row r="4772">
      <c r="A4772" s="2" t="s">
        <v>33</v>
      </c>
      <c r="B4772" s="12">
        <v>4613298.0</v>
      </c>
      <c r="C4772" s="12">
        <v>4614260.0</v>
      </c>
      <c r="D4772" s="2"/>
      <c r="E4772" s="2" t="s">
        <v>38</v>
      </c>
      <c r="F4772" s="2" t="s">
        <v>5466</v>
      </c>
      <c r="G4772" s="2"/>
      <c r="H4772" s="12">
        <v>0.0</v>
      </c>
      <c r="I4772" s="2" t="s">
        <v>40</v>
      </c>
      <c r="J4772" s="2"/>
      <c r="K4772" s="2" t="s">
        <v>12945</v>
      </c>
      <c r="L4772" s="12">
        <v>320.0</v>
      </c>
      <c r="M4772" s="2" t="s">
        <v>12946</v>
      </c>
      <c r="N4772" s="2" t="str">
        <f>IFERROR(__xludf.DUMMYFUNCTION("""COMPUTED_VALUE"""),"")</f>
        <v/>
      </c>
    </row>
    <row r="4773">
      <c r="A4773" s="2" t="s">
        <v>33</v>
      </c>
      <c r="B4773" s="12">
        <v>4614370.0</v>
      </c>
      <c r="C4773" s="12">
        <v>4614849.0</v>
      </c>
      <c r="D4773" s="2"/>
      <c r="E4773" s="2" t="s">
        <v>34</v>
      </c>
      <c r="F4773" s="2" t="s">
        <v>8722</v>
      </c>
      <c r="G4773" s="2"/>
      <c r="H4773" s="12">
        <v>0.0</v>
      </c>
      <c r="I4773" s="2" t="s">
        <v>40</v>
      </c>
      <c r="J4773" s="2"/>
      <c r="K4773" s="2" t="s">
        <v>12947</v>
      </c>
      <c r="L4773" s="12">
        <v>159.0</v>
      </c>
      <c r="M4773" s="2" t="s">
        <v>12948</v>
      </c>
      <c r="N4773" s="2" t="str">
        <f>IFERROR(__xludf.DUMMYFUNCTION("""COMPUTED_VALUE"""),"")</f>
        <v/>
      </c>
    </row>
    <row r="4774">
      <c r="A4774" s="2" t="s">
        <v>33</v>
      </c>
      <c r="B4774" s="12">
        <v>4614996.0</v>
      </c>
      <c r="C4774" s="12">
        <v>4615253.0</v>
      </c>
      <c r="D4774" s="2"/>
      <c r="E4774" s="2" t="s">
        <v>34</v>
      </c>
      <c r="F4774" s="2" t="s">
        <v>12949</v>
      </c>
      <c r="G4774" s="2"/>
      <c r="H4774" s="12">
        <v>0.0</v>
      </c>
      <c r="I4774" s="2" t="s">
        <v>40</v>
      </c>
      <c r="J4774" s="2"/>
      <c r="K4774" s="2" t="s">
        <v>12950</v>
      </c>
      <c r="L4774" s="12">
        <v>85.0</v>
      </c>
      <c r="M4774" s="2" t="s">
        <v>12951</v>
      </c>
      <c r="N4774" s="2" t="str">
        <f>IFERROR(__xludf.DUMMYFUNCTION("""COMPUTED_VALUE"""),"")</f>
        <v/>
      </c>
    </row>
    <row r="4775">
      <c r="A4775" s="2" t="s">
        <v>33</v>
      </c>
      <c r="B4775" s="12">
        <v>4615405.0</v>
      </c>
      <c r="C4775" s="12">
        <v>4615570.0</v>
      </c>
      <c r="D4775" s="2"/>
      <c r="E4775" s="2" t="s">
        <v>34</v>
      </c>
      <c r="F4775" s="2" t="s">
        <v>35</v>
      </c>
      <c r="G4775" s="2"/>
      <c r="H4775" s="12">
        <v>0.0</v>
      </c>
      <c r="I4775" s="2" t="s">
        <v>36</v>
      </c>
      <c r="J4775" s="2"/>
      <c r="K4775" s="2"/>
      <c r="L4775" s="2"/>
      <c r="M4775" s="2" t="s">
        <v>12952</v>
      </c>
      <c r="N4775" s="2" t="str">
        <f>IFERROR(__xludf.DUMMYFUNCTION("""COMPUTED_VALUE"""),"")</f>
        <v/>
      </c>
    </row>
    <row r="4776">
      <c r="A4776" s="2" t="s">
        <v>33</v>
      </c>
      <c r="B4776" s="12">
        <v>4615740.0</v>
      </c>
      <c r="C4776" s="12">
        <v>4617224.0</v>
      </c>
      <c r="D4776" s="2"/>
      <c r="E4776" s="2" t="s">
        <v>34</v>
      </c>
      <c r="F4776" s="2" t="s">
        <v>2518</v>
      </c>
      <c r="G4776" s="2"/>
      <c r="H4776" s="12">
        <v>0.0</v>
      </c>
      <c r="I4776" s="2" t="s">
        <v>40</v>
      </c>
      <c r="J4776" s="2"/>
      <c r="K4776" s="2" t="s">
        <v>12953</v>
      </c>
      <c r="L4776" s="12">
        <v>494.0</v>
      </c>
      <c r="M4776" s="2" t="s">
        <v>12954</v>
      </c>
      <c r="N4776" s="2" t="str">
        <f>IFERROR(__xludf.DUMMYFUNCTION("""COMPUTED_VALUE"""),"")</f>
        <v/>
      </c>
    </row>
    <row r="4777">
      <c r="A4777" s="2" t="s">
        <v>33</v>
      </c>
      <c r="B4777" s="12">
        <v>4617333.0</v>
      </c>
      <c r="C4777" s="12">
        <v>4617518.0</v>
      </c>
      <c r="D4777" s="2"/>
      <c r="E4777" s="2" t="s">
        <v>34</v>
      </c>
      <c r="F4777" s="2" t="s">
        <v>35</v>
      </c>
      <c r="G4777" s="2"/>
      <c r="H4777" s="12">
        <v>0.0</v>
      </c>
      <c r="I4777" s="2" t="s">
        <v>36</v>
      </c>
      <c r="J4777" s="2"/>
      <c r="K4777" s="2"/>
      <c r="L4777" s="2"/>
      <c r="M4777" s="2" t="s">
        <v>12955</v>
      </c>
      <c r="N4777" s="2" t="str">
        <f>IFERROR(__xludf.DUMMYFUNCTION("""COMPUTED_VALUE"""),"")</f>
        <v/>
      </c>
    </row>
    <row r="4778">
      <c r="A4778" s="2" t="s">
        <v>33</v>
      </c>
      <c r="B4778" s="12">
        <v>4617640.0</v>
      </c>
      <c r="C4778" s="12">
        <v>4618272.0</v>
      </c>
      <c r="D4778" s="2"/>
      <c r="E4778" s="2" t="s">
        <v>34</v>
      </c>
      <c r="F4778" s="2" t="s">
        <v>880</v>
      </c>
      <c r="G4778" s="2"/>
      <c r="H4778" s="12">
        <v>0.0</v>
      </c>
      <c r="I4778" s="2" t="s">
        <v>40</v>
      </c>
      <c r="J4778" s="2"/>
      <c r="K4778" s="2" t="s">
        <v>12956</v>
      </c>
      <c r="L4778" s="12">
        <v>210.0</v>
      </c>
      <c r="M4778" s="2" t="s">
        <v>12957</v>
      </c>
      <c r="N4778" s="2" t="str">
        <f>IFERROR(__xludf.DUMMYFUNCTION("""COMPUTED_VALUE"""),"")</f>
        <v/>
      </c>
    </row>
    <row r="4779">
      <c r="A4779" s="2" t="s">
        <v>33</v>
      </c>
      <c r="B4779" s="12">
        <v>4618370.0</v>
      </c>
      <c r="C4779" s="12">
        <v>4619131.0</v>
      </c>
      <c r="D4779" s="2"/>
      <c r="E4779" s="2" t="s">
        <v>34</v>
      </c>
      <c r="F4779" s="2" t="s">
        <v>3954</v>
      </c>
      <c r="G4779" s="2"/>
      <c r="H4779" s="12">
        <v>0.0</v>
      </c>
      <c r="I4779" s="2" t="s">
        <v>40</v>
      </c>
      <c r="J4779" s="2"/>
      <c r="K4779" s="2" t="s">
        <v>12958</v>
      </c>
      <c r="L4779" s="12">
        <v>253.0</v>
      </c>
      <c r="M4779" s="2" t="s">
        <v>12959</v>
      </c>
      <c r="N4779" s="2" t="str">
        <f>IFERROR(__xludf.DUMMYFUNCTION("""COMPUTED_VALUE"""),"")</f>
        <v/>
      </c>
    </row>
    <row r="4780">
      <c r="A4780" s="2" t="s">
        <v>33</v>
      </c>
      <c r="B4780" s="12">
        <v>4619715.0</v>
      </c>
      <c r="C4780" s="12">
        <v>4620437.0</v>
      </c>
      <c r="D4780" s="2"/>
      <c r="E4780" s="2" t="s">
        <v>34</v>
      </c>
      <c r="F4780" s="2" t="s">
        <v>12960</v>
      </c>
      <c r="G4780" s="2" t="s">
        <v>12961</v>
      </c>
      <c r="H4780" s="12">
        <v>0.0</v>
      </c>
      <c r="I4780" s="2" t="s">
        <v>40</v>
      </c>
      <c r="J4780" s="2"/>
      <c r="K4780" s="2" t="s">
        <v>12962</v>
      </c>
      <c r="L4780" s="12">
        <v>240.0</v>
      </c>
      <c r="M4780" s="2" t="s">
        <v>12963</v>
      </c>
      <c r="N4780" s="2" t="str">
        <f>IFERROR(__xludf.DUMMYFUNCTION("""COMPUTED_VALUE"""),"")</f>
        <v/>
      </c>
    </row>
    <row r="4781">
      <c r="A4781" s="2" t="s">
        <v>33</v>
      </c>
      <c r="B4781" s="12">
        <v>4620427.0</v>
      </c>
      <c r="C4781" s="12">
        <v>4621716.0</v>
      </c>
      <c r="D4781" s="2"/>
      <c r="E4781" s="2" t="s">
        <v>34</v>
      </c>
      <c r="F4781" s="2" t="s">
        <v>12964</v>
      </c>
      <c r="G4781" s="2"/>
      <c r="H4781" s="12">
        <v>0.0</v>
      </c>
      <c r="I4781" s="2" t="s">
        <v>40</v>
      </c>
      <c r="J4781" s="2"/>
      <c r="K4781" s="2" t="s">
        <v>12965</v>
      </c>
      <c r="L4781" s="12">
        <v>429.0</v>
      </c>
      <c r="M4781" s="2" t="s">
        <v>12966</v>
      </c>
      <c r="N4781" s="2" t="str">
        <f>IFERROR(__xludf.DUMMYFUNCTION("""COMPUTED_VALUE"""),"")</f>
        <v/>
      </c>
    </row>
    <row r="4782">
      <c r="A4782" s="2" t="s">
        <v>33</v>
      </c>
      <c r="B4782" s="12">
        <v>4621923.0</v>
      </c>
      <c r="C4782" s="12">
        <v>4625270.0</v>
      </c>
      <c r="D4782" s="2"/>
      <c r="E4782" s="2" t="s">
        <v>34</v>
      </c>
      <c r="F4782" s="2" t="s">
        <v>1056</v>
      </c>
      <c r="G4782" s="2"/>
      <c r="H4782" s="12">
        <v>0.0</v>
      </c>
      <c r="I4782" s="2" t="s">
        <v>40</v>
      </c>
      <c r="J4782" s="2"/>
      <c r="K4782" s="2" t="s">
        <v>12967</v>
      </c>
      <c r="L4782" s="12">
        <v>1115.0</v>
      </c>
      <c r="M4782" s="2" t="s">
        <v>12968</v>
      </c>
      <c r="N4782" s="2" t="str">
        <f>IFERROR(__xludf.DUMMYFUNCTION("""COMPUTED_VALUE"""),"")</f>
        <v/>
      </c>
    </row>
    <row r="4783">
      <c r="A4783" s="2" t="s">
        <v>33</v>
      </c>
      <c r="B4783" s="12">
        <v>4625521.0</v>
      </c>
      <c r="C4783" s="12">
        <v>4625796.0</v>
      </c>
      <c r="D4783" s="2"/>
      <c r="E4783" s="2" t="s">
        <v>34</v>
      </c>
      <c r="F4783" s="2" t="s">
        <v>220</v>
      </c>
      <c r="G4783" s="2"/>
      <c r="H4783" s="12">
        <v>0.0</v>
      </c>
      <c r="I4783" s="2" t="s">
        <v>40</v>
      </c>
      <c r="J4783" s="2"/>
      <c r="K4783" s="2" t="s">
        <v>12969</v>
      </c>
      <c r="L4783" s="12">
        <v>91.0</v>
      </c>
      <c r="M4783" s="2" t="s">
        <v>12970</v>
      </c>
      <c r="N4783" s="2" t="str">
        <f>IFERROR(__xludf.DUMMYFUNCTION("""COMPUTED_VALUE"""),"")</f>
        <v/>
      </c>
    </row>
    <row r="4784">
      <c r="A4784" s="2" t="s">
        <v>33</v>
      </c>
      <c r="B4784" s="12">
        <v>4625891.0</v>
      </c>
      <c r="C4784" s="12">
        <v>4626046.0</v>
      </c>
      <c r="D4784" s="2"/>
      <c r="E4784" s="2" t="s">
        <v>34</v>
      </c>
      <c r="F4784" s="2" t="s">
        <v>39</v>
      </c>
      <c r="G4784" s="2"/>
      <c r="H4784" s="12">
        <v>0.0</v>
      </c>
      <c r="I4784" s="2" t="s">
        <v>40</v>
      </c>
      <c r="J4784" s="2"/>
      <c r="K4784" s="2" t="s">
        <v>12971</v>
      </c>
      <c r="L4784" s="12">
        <v>51.0</v>
      </c>
      <c r="M4784" s="2" t="s">
        <v>12972</v>
      </c>
      <c r="N4784" s="2" t="str">
        <f>IFERROR(__xludf.DUMMYFUNCTION("""COMPUTED_VALUE"""),"")</f>
        <v/>
      </c>
    </row>
    <row r="4785">
      <c r="A4785" s="2" t="s">
        <v>33</v>
      </c>
      <c r="B4785" s="12">
        <v>4626240.0</v>
      </c>
      <c r="C4785" s="12">
        <v>4626563.0</v>
      </c>
      <c r="D4785" s="2"/>
      <c r="E4785" s="2" t="s">
        <v>38</v>
      </c>
      <c r="F4785" s="2" t="s">
        <v>216</v>
      </c>
      <c r="G4785" s="2"/>
      <c r="H4785" s="12">
        <v>0.0</v>
      </c>
      <c r="I4785" s="2" t="s">
        <v>40</v>
      </c>
      <c r="J4785" s="2"/>
      <c r="K4785" s="2" t="s">
        <v>12973</v>
      </c>
      <c r="L4785" s="12">
        <v>107.0</v>
      </c>
      <c r="M4785" s="2" t="s">
        <v>12974</v>
      </c>
      <c r="N4785" s="2" t="str">
        <f>IFERROR(__xludf.DUMMYFUNCTION("""COMPUTED_VALUE"""),"")</f>
        <v/>
      </c>
    </row>
    <row r="4786">
      <c r="A4786" s="2" t="s">
        <v>33</v>
      </c>
      <c r="B4786" s="12">
        <v>4626688.0</v>
      </c>
      <c r="C4786" s="12">
        <v>4627221.0</v>
      </c>
      <c r="D4786" s="2"/>
      <c r="E4786" s="2" t="s">
        <v>34</v>
      </c>
      <c r="F4786" s="2" t="s">
        <v>4899</v>
      </c>
      <c r="G4786" s="2"/>
      <c r="H4786" s="12">
        <v>0.0</v>
      </c>
      <c r="I4786" s="2" t="s">
        <v>40</v>
      </c>
      <c r="J4786" s="2"/>
      <c r="K4786" s="2" t="s">
        <v>12975</v>
      </c>
      <c r="L4786" s="12">
        <v>177.0</v>
      </c>
      <c r="M4786" s="2" t="s">
        <v>12976</v>
      </c>
      <c r="N4786" s="2" t="str">
        <f>IFERROR(__xludf.DUMMYFUNCTION("""COMPUTED_VALUE"""),"")</f>
        <v/>
      </c>
    </row>
    <row r="4787">
      <c r="A4787" s="2" t="s">
        <v>33</v>
      </c>
      <c r="B4787" s="12">
        <v>4627365.0</v>
      </c>
      <c r="C4787" s="12">
        <v>4628858.0</v>
      </c>
      <c r="D4787" s="2"/>
      <c r="E4787" s="2" t="s">
        <v>34</v>
      </c>
      <c r="F4787" s="2" t="s">
        <v>12977</v>
      </c>
      <c r="G4787" s="2"/>
      <c r="H4787" s="12">
        <v>0.0</v>
      </c>
      <c r="I4787" s="2" t="s">
        <v>40</v>
      </c>
      <c r="J4787" s="2"/>
      <c r="K4787" s="2" t="s">
        <v>12978</v>
      </c>
      <c r="L4787" s="12">
        <v>497.0</v>
      </c>
      <c r="M4787" s="2" t="s">
        <v>12979</v>
      </c>
      <c r="N4787" s="2" t="str">
        <f>IFERROR(__xludf.DUMMYFUNCTION("""COMPUTED_VALUE"""),"")</f>
        <v/>
      </c>
    </row>
    <row r="4788">
      <c r="A4788" s="2" t="s">
        <v>33</v>
      </c>
      <c r="B4788" s="12">
        <v>4629003.0</v>
      </c>
      <c r="C4788" s="12">
        <v>4629095.0</v>
      </c>
      <c r="D4788" s="2"/>
      <c r="E4788" s="2" t="s">
        <v>34</v>
      </c>
      <c r="F4788" s="2" t="s">
        <v>35</v>
      </c>
      <c r="G4788" s="2"/>
      <c r="H4788" s="12">
        <v>0.0</v>
      </c>
      <c r="I4788" s="2" t="s">
        <v>36</v>
      </c>
      <c r="J4788" s="2"/>
      <c r="K4788" s="2"/>
      <c r="L4788" s="2"/>
      <c r="M4788" s="2" t="s">
        <v>12980</v>
      </c>
      <c r="N4788" s="2" t="str">
        <f>IFERROR(__xludf.DUMMYFUNCTION("""COMPUTED_VALUE"""),"")</f>
        <v/>
      </c>
    </row>
    <row r="4789">
      <c r="A4789" s="2" t="s">
        <v>33</v>
      </c>
      <c r="B4789" s="12">
        <v>4629142.0</v>
      </c>
      <c r="C4789" s="12">
        <v>4630041.0</v>
      </c>
      <c r="D4789" s="2"/>
      <c r="E4789" s="2" t="s">
        <v>34</v>
      </c>
      <c r="F4789" s="2" t="s">
        <v>12981</v>
      </c>
      <c r="G4789" s="2"/>
      <c r="H4789" s="12">
        <v>0.0</v>
      </c>
      <c r="I4789" s="2" t="s">
        <v>40</v>
      </c>
      <c r="J4789" s="2"/>
      <c r="K4789" s="2" t="s">
        <v>12982</v>
      </c>
      <c r="L4789" s="12">
        <v>299.0</v>
      </c>
      <c r="M4789" s="2" t="s">
        <v>12983</v>
      </c>
      <c r="N4789" s="2" t="str">
        <f>IFERROR(__xludf.DUMMYFUNCTION("""COMPUTED_VALUE"""),"")</f>
        <v/>
      </c>
    </row>
    <row r="4790">
      <c r="A4790" s="2" t="s">
        <v>33</v>
      </c>
      <c r="B4790" s="12">
        <v>4630074.0</v>
      </c>
      <c r="C4790" s="12">
        <v>4630283.0</v>
      </c>
      <c r="D4790" s="2"/>
      <c r="E4790" s="2" t="s">
        <v>38</v>
      </c>
      <c r="F4790" s="2" t="s">
        <v>39</v>
      </c>
      <c r="G4790" s="2"/>
      <c r="H4790" s="12">
        <v>0.0</v>
      </c>
      <c r="I4790" s="2" t="s">
        <v>40</v>
      </c>
      <c r="J4790" s="2"/>
      <c r="K4790" s="2" t="s">
        <v>12984</v>
      </c>
      <c r="L4790" s="12">
        <v>69.0</v>
      </c>
      <c r="M4790" s="2" t="s">
        <v>12985</v>
      </c>
      <c r="N4790" s="2" t="str">
        <f>IFERROR(__xludf.DUMMYFUNCTION("""COMPUTED_VALUE"""),"")</f>
        <v/>
      </c>
    </row>
    <row r="4791">
      <c r="A4791" s="2" t="s">
        <v>33</v>
      </c>
      <c r="B4791" s="12">
        <v>4630367.0</v>
      </c>
      <c r="C4791" s="12">
        <v>4631116.0</v>
      </c>
      <c r="D4791" s="2"/>
      <c r="E4791" s="2" t="s">
        <v>34</v>
      </c>
      <c r="F4791" s="2" t="s">
        <v>9109</v>
      </c>
      <c r="G4791" s="2"/>
      <c r="H4791" s="12">
        <v>0.0</v>
      </c>
      <c r="I4791" s="2" t="s">
        <v>40</v>
      </c>
      <c r="J4791" s="2"/>
      <c r="K4791" s="2" t="s">
        <v>12986</v>
      </c>
      <c r="L4791" s="12">
        <v>249.0</v>
      </c>
      <c r="M4791" s="2" t="s">
        <v>12987</v>
      </c>
      <c r="N4791" s="2" t="str">
        <f>IFERROR(__xludf.DUMMYFUNCTION("""COMPUTED_VALUE"""),"")</f>
        <v/>
      </c>
    </row>
    <row r="4792">
      <c r="A4792" s="2" t="s">
        <v>33</v>
      </c>
      <c r="B4792" s="12">
        <v>4631304.0</v>
      </c>
      <c r="C4792" s="12">
        <v>4632152.0</v>
      </c>
      <c r="D4792" s="2"/>
      <c r="E4792" s="2" t="s">
        <v>34</v>
      </c>
      <c r="F4792" s="2" t="s">
        <v>4184</v>
      </c>
      <c r="G4792" s="2"/>
      <c r="H4792" s="12">
        <v>0.0</v>
      </c>
      <c r="I4792" s="2" t="s">
        <v>40</v>
      </c>
      <c r="J4792" s="2"/>
      <c r="K4792" s="2" t="s">
        <v>12988</v>
      </c>
      <c r="L4792" s="12">
        <v>282.0</v>
      </c>
      <c r="M4792" s="2" t="s">
        <v>12989</v>
      </c>
      <c r="N4792" s="2" t="str">
        <f>IFERROR(__xludf.DUMMYFUNCTION("""COMPUTED_VALUE"""),"")</f>
        <v/>
      </c>
    </row>
    <row r="4793">
      <c r="A4793" s="2" t="s">
        <v>33</v>
      </c>
      <c r="B4793" s="12">
        <v>4632316.0</v>
      </c>
      <c r="C4793" s="12">
        <v>4633143.0</v>
      </c>
      <c r="D4793" s="2"/>
      <c r="E4793" s="2" t="s">
        <v>34</v>
      </c>
      <c r="F4793" s="2" t="s">
        <v>599</v>
      </c>
      <c r="G4793" s="2"/>
      <c r="H4793" s="12">
        <v>0.0</v>
      </c>
      <c r="I4793" s="2" t="s">
        <v>40</v>
      </c>
      <c r="J4793" s="2"/>
      <c r="K4793" s="2" t="s">
        <v>12990</v>
      </c>
      <c r="L4793" s="12">
        <v>275.0</v>
      </c>
      <c r="M4793" s="2" t="s">
        <v>12991</v>
      </c>
      <c r="N4793" s="2" t="str">
        <f>IFERROR(__xludf.DUMMYFUNCTION("""COMPUTED_VALUE"""),"")</f>
        <v/>
      </c>
    </row>
    <row r="4794">
      <c r="A4794" s="2" t="s">
        <v>33</v>
      </c>
      <c r="B4794" s="12">
        <v>4633159.0</v>
      </c>
      <c r="C4794" s="12">
        <v>4633725.0</v>
      </c>
      <c r="D4794" s="2"/>
      <c r="E4794" s="2" t="s">
        <v>34</v>
      </c>
      <c r="F4794" s="2" t="s">
        <v>491</v>
      </c>
      <c r="G4794" s="2"/>
      <c r="H4794" s="12">
        <v>0.0</v>
      </c>
      <c r="I4794" s="2" t="s">
        <v>40</v>
      </c>
      <c r="J4794" s="2"/>
      <c r="K4794" s="2" t="s">
        <v>12992</v>
      </c>
      <c r="L4794" s="12">
        <v>188.0</v>
      </c>
      <c r="M4794" s="2" t="s">
        <v>12993</v>
      </c>
      <c r="N4794" s="2" t="str">
        <f>IFERROR(__xludf.DUMMYFUNCTION("""COMPUTED_VALUE"""),"")</f>
        <v/>
      </c>
    </row>
    <row r="4795">
      <c r="A4795" s="2" t="s">
        <v>33</v>
      </c>
      <c r="B4795" s="12">
        <v>4634184.0</v>
      </c>
      <c r="C4795" s="12">
        <v>4635560.0</v>
      </c>
      <c r="D4795" s="2"/>
      <c r="E4795" s="2" t="s">
        <v>34</v>
      </c>
      <c r="F4795" s="2" t="s">
        <v>814</v>
      </c>
      <c r="G4795" s="2"/>
      <c r="H4795" s="12">
        <v>0.0</v>
      </c>
      <c r="I4795" s="2" t="s">
        <v>40</v>
      </c>
      <c r="J4795" s="2"/>
      <c r="K4795" s="2" t="s">
        <v>12994</v>
      </c>
      <c r="L4795" s="12">
        <v>458.0</v>
      </c>
      <c r="M4795" s="2" t="s">
        <v>12995</v>
      </c>
      <c r="N4795" s="2" t="str">
        <f>IFERROR(__xludf.DUMMYFUNCTION("""COMPUTED_VALUE"""),"")</f>
        <v/>
      </c>
    </row>
    <row r="4796">
      <c r="A4796" s="2" t="s">
        <v>33</v>
      </c>
      <c r="B4796" s="12">
        <v>4635722.0</v>
      </c>
      <c r="C4796" s="12">
        <v>4636138.0</v>
      </c>
      <c r="D4796" s="2"/>
      <c r="E4796" s="2" t="s">
        <v>38</v>
      </c>
      <c r="F4796" s="2" t="s">
        <v>344</v>
      </c>
      <c r="G4796" s="2"/>
      <c r="H4796" s="12">
        <v>0.0</v>
      </c>
      <c r="I4796" s="2" t="s">
        <v>40</v>
      </c>
      <c r="J4796" s="2"/>
      <c r="K4796" s="2" t="s">
        <v>12996</v>
      </c>
      <c r="L4796" s="12">
        <v>138.0</v>
      </c>
      <c r="M4796" s="2" t="s">
        <v>12997</v>
      </c>
      <c r="N4796" s="2" t="str">
        <f>IFERROR(__xludf.DUMMYFUNCTION("""COMPUTED_VALUE"""),"")</f>
        <v/>
      </c>
    </row>
    <row r="4797">
      <c r="A4797" s="2" t="s">
        <v>33</v>
      </c>
      <c r="B4797" s="12">
        <v>4636217.0</v>
      </c>
      <c r="C4797" s="12">
        <v>4637227.0</v>
      </c>
      <c r="D4797" s="2"/>
      <c r="E4797" s="2" t="s">
        <v>38</v>
      </c>
      <c r="F4797" s="2" t="s">
        <v>1711</v>
      </c>
      <c r="G4797" s="2"/>
      <c r="H4797" s="12">
        <v>0.0</v>
      </c>
      <c r="I4797" s="2" t="s">
        <v>40</v>
      </c>
      <c r="J4797" s="2"/>
      <c r="K4797" s="2" t="s">
        <v>12998</v>
      </c>
      <c r="L4797" s="12">
        <v>336.0</v>
      </c>
      <c r="M4797" s="2" t="s">
        <v>12999</v>
      </c>
      <c r="N4797" s="2" t="str">
        <f>IFERROR(__xludf.DUMMYFUNCTION("""COMPUTED_VALUE"""),"")</f>
        <v/>
      </c>
    </row>
    <row r="4798">
      <c r="A4798" s="2" t="s">
        <v>33</v>
      </c>
      <c r="B4798" s="12">
        <v>4637641.0</v>
      </c>
      <c r="C4798" s="12">
        <v>4637985.0</v>
      </c>
      <c r="D4798" s="2"/>
      <c r="E4798" s="2" t="s">
        <v>34</v>
      </c>
      <c r="F4798" s="2" t="s">
        <v>216</v>
      </c>
      <c r="G4798" s="2"/>
      <c r="H4798" s="12">
        <v>0.0</v>
      </c>
      <c r="I4798" s="2" t="s">
        <v>40</v>
      </c>
      <c r="J4798" s="2"/>
      <c r="K4798" s="2" t="s">
        <v>13000</v>
      </c>
      <c r="L4798" s="12">
        <v>114.0</v>
      </c>
      <c r="M4798" s="2" t="s">
        <v>13001</v>
      </c>
      <c r="N4798" s="2" t="str">
        <f>IFERROR(__xludf.DUMMYFUNCTION("""COMPUTED_VALUE"""),"")</f>
        <v/>
      </c>
    </row>
    <row r="4799">
      <c r="A4799" s="2" t="s">
        <v>33</v>
      </c>
      <c r="B4799" s="12">
        <v>4638176.0</v>
      </c>
      <c r="C4799" s="12">
        <v>4638502.0</v>
      </c>
      <c r="D4799" s="2"/>
      <c r="E4799" s="2" t="s">
        <v>34</v>
      </c>
      <c r="F4799" s="2" t="s">
        <v>216</v>
      </c>
      <c r="G4799" s="2"/>
      <c r="H4799" s="12">
        <v>0.0</v>
      </c>
      <c r="I4799" s="2" t="s">
        <v>40</v>
      </c>
      <c r="J4799" s="2"/>
      <c r="K4799" s="2" t="s">
        <v>13002</v>
      </c>
      <c r="L4799" s="12">
        <v>108.0</v>
      </c>
      <c r="M4799" s="2" t="s">
        <v>13003</v>
      </c>
      <c r="N4799" s="2" t="str">
        <f>IFERROR(__xludf.DUMMYFUNCTION("""COMPUTED_VALUE"""),"")</f>
        <v/>
      </c>
    </row>
    <row r="4800">
      <c r="A4800" s="2" t="s">
        <v>33</v>
      </c>
      <c r="B4800" s="12">
        <v>4638794.0</v>
      </c>
      <c r="C4800" s="12">
        <v>4639966.0</v>
      </c>
      <c r="D4800" s="2"/>
      <c r="E4800" s="2" t="s">
        <v>34</v>
      </c>
      <c r="F4800" s="2" t="s">
        <v>13004</v>
      </c>
      <c r="G4800" s="2"/>
      <c r="H4800" s="12">
        <v>0.0</v>
      </c>
      <c r="I4800" s="2" t="s">
        <v>40</v>
      </c>
      <c r="J4800" s="2"/>
      <c r="K4800" s="2" t="s">
        <v>13005</v>
      </c>
      <c r="L4800" s="12">
        <v>390.0</v>
      </c>
      <c r="M4800" s="2" t="s">
        <v>13006</v>
      </c>
      <c r="N4800" s="2" t="str">
        <f>IFERROR(__xludf.DUMMYFUNCTION("""COMPUTED_VALUE"""),"")</f>
        <v/>
      </c>
    </row>
    <row r="4801">
      <c r="A4801" s="2" t="s">
        <v>33</v>
      </c>
      <c r="B4801" s="12">
        <v>4640179.0</v>
      </c>
      <c r="C4801" s="12">
        <v>4641240.0</v>
      </c>
      <c r="D4801" s="2"/>
      <c r="E4801" s="2" t="s">
        <v>34</v>
      </c>
      <c r="F4801" s="2" t="s">
        <v>1645</v>
      </c>
      <c r="G4801" s="2"/>
      <c r="H4801" s="12">
        <v>0.0</v>
      </c>
      <c r="I4801" s="2" t="s">
        <v>40</v>
      </c>
      <c r="J4801" s="2"/>
      <c r="K4801" s="2" t="s">
        <v>13007</v>
      </c>
      <c r="L4801" s="12">
        <v>353.0</v>
      </c>
      <c r="M4801" s="2" t="s">
        <v>13008</v>
      </c>
      <c r="N4801" s="2" t="str">
        <f>IFERROR(__xludf.DUMMYFUNCTION("""COMPUTED_VALUE"""),"")</f>
        <v/>
      </c>
    </row>
    <row r="4802">
      <c r="A4802" s="2" t="s">
        <v>33</v>
      </c>
      <c r="B4802" s="12">
        <v>4641273.0</v>
      </c>
      <c r="C4802" s="12">
        <v>4642011.0</v>
      </c>
      <c r="D4802" s="2"/>
      <c r="E4802" s="2" t="s">
        <v>34</v>
      </c>
      <c r="F4802" s="2" t="s">
        <v>35</v>
      </c>
      <c r="G4802" s="2"/>
      <c r="H4802" s="12">
        <v>0.0</v>
      </c>
      <c r="I4802" s="2" t="s">
        <v>36</v>
      </c>
      <c r="J4802" s="2"/>
      <c r="K4802" s="2"/>
      <c r="L4802" s="2"/>
      <c r="M4802" s="2" t="s">
        <v>13009</v>
      </c>
      <c r="N4802" s="2" t="str">
        <f>IFERROR(__xludf.DUMMYFUNCTION("""COMPUTED_VALUE"""),"")</f>
        <v/>
      </c>
    </row>
    <row r="4803">
      <c r="A4803" s="2" t="s">
        <v>33</v>
      </c>
      <c r="B4803" s="12">
        <v>4642060.0</v>
      </c>
      <c r="C4803" s="12">
        <v>4642407.0</v>
      </c>
      <c r="D4803" s="2"/>
      <c r="E4803" s="2" t="s">
        <v>38</v>
      </c>
      <c r="F4803" s="2" t="s">
        <v>216</v>
      </c>
      <c r="G4803" s="2"/>
      <c r="H4803" s="12">
        <v>0.0</v>
      </c>
      <c r="I4803" s="2" t="s">
        <v>40</v>
      </c>
      <c r="J4803" s="2"/>
      <c r="K4803" s="2" t="s">
        <v>13010</v>
      </c>
      <c r="L4803" s="12">
        <v>115.0</v>
      </c>
      <c r="M4803" s="2" t="s">
        <v>13011</v>
      </c>
      <c r="N4803" s="2" t="str">
        <f>IFERROR(__xludf.DUMMYFUNCTION("""COMPUTED_VALUE"""),"")</f>
        <v/>
      </c>
    </row>
    <row r="4804">
      <c r="A4804" s="2" t="s">
        <v>33</v>
      </c>
      <c r="B4804" s="12">
        <v>4642986.0</v>
      </c>
      <c r="C4804" s="12">
        <v>4643381.0</v>
      </c>
      <c r="D4804" s="2"/>
      <c r="E4804" s="2" t="s">
        <v>34</v>
      </c>
      <c r="F4804" s="2" t="s">
        <v>13012</v>
      </c>
      <c r="G4804" s="2" t="s">
        <v>13013</v>
      </c>
      <c r="H4804" s="12">
        <v>0.0</v>
      </c>
      <c r="I4804" s="2" t="s">
        <v>40</v>
      </c>
      <c r="J4804" s="2"/>
      <c r="K4804" s="2" t="s">
        <v>13014</v>
      </c>
      <c r="L4804" s="12">
        <v>131.0</v>
      </c>
      <c r="M4804" s="2" t="s">
        <v>13015</v>
      </c>
      <c r="N4804" s="2" t="str">
        <f>IFERROR(__xludf.DUMMYFUNCTION("""COMPUTED_VALUE"""),"")</f>
        <v/>
      </c>
    </row>
    <row r="4805">
      <c r="A4805" s="2" t="s">
        <v>33</v>
      </c>
      <c r="B4805" s="12">
        <v>4643429.0</v>
      </c>
      <c r="C4805" s="12">
        <v>4643563.0</v>
      </c>
      <c r="D4805" s="2"/>
      <c r="E4805" s="2" t="s">
        <v>34</v>
      </c>
      <c r="F4805" s="2" t="s">
        <v>13016</v>
      </c>
      <c r="G4805" s="2"/>
      <c r="H4805" s="12">
        <v>0.0</v>
      </c>
      <c r="I4805" s="2" t="s">
        <v>40</v>
      </c>
      <c r="J4805" s="2"/>
      <c r="K4805" s="2" t="s">
        <v>13017</v>
      </c>
      <c r="L4805" s="12">
        <v>44.0</v>
      </c>
      <c r="M4805" s="2" t="s">
        <v>13018</v>
      </c>
      <c r="N4805" s="2" t="str">
        <f>IFERROR(__xludf.DUMMYFUNCTION("""COMPUTED_VALUE"""),"")</f>
        <v/>
      </c>
    </row>
    <row r="4806">
      <c r="A4806" s="2" t="s">
        <v>33</v>
      </c>
      <c r="B4806" s="12">
        <v>4643674.0</v>
      </c>
      <c r="C4806" s="12">
        <v>4643808.0</v>
      </c>
      <c r="D4806" s="2"/>
      <c r="E4806" s="2" t="s">
        <v>34</v>
      </c>
      <c r="F4806" s="2" t="s">
        <v>13016</v>
      </c>
      <c r="G4806" s="2"/>
      <c r="H4806" s="12">
        <v>0.0</v>
      </c>
      <c r="I4806" s="2" t="s">
        <v>40</v>
      </c>
      <c r="J4806" s="2"/>
      <c r="K4806" s="2" t="s">
        <v>13019</v>
      </c>
      <c r="L4806" s="12">
        <v>44.0</v>
      </c>
      <c r="M4806" s="2" t="s">
        <v>13020</v>
      </c>
      <c r="N4806" s="2" t="str">
        <f>IFERROR(__xludf.DUMMYFUNCTION("""COMPUTED_VALUE"""),"")</f>
        <v/>
      </c>
    </row>
    <row r="4807">
      <c r="A4807" s="2" t="s">
        <v>33</v>
      </c>
      <c r="B4807" s="12">
        <v>4643998.0</v>
      </c>
      <c r="C4807" s="12">
        <v>4644411.0</v>
      </c>
      <c r="D4807" s="2"/>
      <c r="E4807" s="2" t="s">
        <v>34</v>
      </c>
      <c r="F4807" s="2" t="s">
        <v>13021</v>
      </c>
      <c r="G4807" s="2" t="s">
        <v>13022</v>
      </c>
      <c r="H4807" s="12">
        <v>0.0</v>
      </c>
      <c r="I4807" s="2" t="s">
        <v>40</v>
      </c>
      <c r="J4807" s="2"/>
      <c r="K4807" s="2" t="s">
        <v>13023</v>
      </c>
      <c r="L4807" s="12">
        <v>137.0</v>
      </c>
      <c r="M4807" s="2" t="s">
        <v>13024</v>
      </c>
      <c r="N4807" s="2" t="str">
        <f>IFERROR(__xludf.DUMMYFUNCTION("""COMPUTED_VALUE"""),"")</f>
        <v/>
      </c>
    </row>
    <row r="4808">
      <c r="A4808" s="2" t="s">
        <v>33</v>
      </c>
      <c r="B4808" s="12">
        <v>4644536.0</v>
      </c>
      <c r="C4808" s="12">
        <v>4644871.0</v>
      </c>
      <c r="D4808" s="2"/>
      <c r="E4808" s="2" t="s">
        <v>34</v>
      </c>
      <c r="F4808" s="2" t="s">
        <v>13025</v>
      </c>
      <c r="G4808" s="2"/>
      <c r="H4808" s="12">
        <v>0.0</v>
      </c>
      <c r="I4808" s="2" t="s">
        <v>40</v>
      </c>
      <c r="J4808" s="2"/>
      <c r="K4808" s="2" t="s">
        <v>13026</v>
      </c>
      <c r="L4808" s="12">
        <v>111.0</v>
      </c>
      <c r="M4808" s="2" t="s">
        <v>13027</v>
      </c>
      <c r="N4808" s="2" t="str">
        <f>IFERROR(__xludf.DUMMYFUNCTION("""COMPUTED_VALUE"""),"")</f>
        <v/>
      </c>
    </row>
    <row r="4809">
      <c r="A4809" s="2" t="s">
        <v>33</v>
      </c>
      <c r="B4809" s="12">
        <v>4645970.0</v>
      </c>
      <c r="C4809" s="12">
        <v>4647289.0</v>
      </c>
      <c r="D4809" s="2"/>
      <c r="E4809" s="2" t="s">
        <v>34</v>
      </c>
      <c r="F4809" s="2" t="s">
        <v>13028</v>
      </c>
      <c r="G4809" s="2"/>
      <c r="H4809" s="12">
        <v>0.0</v>
      </c>
      <c r="I4809" s="2" t="s">
        <v>40</v>
      </c>
      <c r="J4809" s="2"/>
      <c r="K4809" s="2" t="s">
        <v>13029</v>
      </c>
      <c r="L4809" s="12">
        <v>439.0</v>
      </c>
      <c r="M4809" s="2" t="s">
        <v>13030</v>
      </c>
      <c r="N4809" s="2" t="str">
        <f>IFERROR(__xludf.DUMMYFUNCTION("""COMPUTED_VALUE"""),"")</f>
        <v/>
      </c>
    </row>
    <row r="4810">
      <c r="A4810" s="2" t="s">
        <v>33</v>
      </c>
      <c r="B4810" s="12">
        <v>4647440.0</v>
      </c>
      <c r="C4810" s="12">
        <v>4647574.0</v>
      </c>
      <c r="D4810" s="2"/>
      <c r="E4810" s="2" t="s">
        <v>38</v>
      </c>
      <c r="F4810" s="2" t="s">
        <v>35</v>
      </c>
      <c r="G4810" s="2"/>
      <c r="H4810" s="12">
        <v>0.0</v>
      </c>
      <c r="I4810" s="2" t="s">
        <v>36</v>
      </c>
      <c r="J4810" s="2"/>
      <c r="K4810" s="2"/>
      <c r="L4810" s="2"/>
      <c r="M4810" s="2" t="s">
        <v>13031</v>
      </c>
      <c r="N4810" s="2" t="str">
        <f>IFERROR(__xludf.DUMMYFUNCTION("""COMPUTED_VALUE"""),"")</f>
        <v/>
      </c>
    </row>
    <row r="4811">
      <c r="A4811" s="2" t="s">
        <v>33</v>
      </c>
      <c r="B4811" s="12">
        <v>4648058.0</v>
      </c>
      <c r="C4811" s="12">
        <v>4648429.0</v>
      </c>
      <c r="D4811" s="2"/>
      <c r="E4811" s="2" t="s">
        <v>34</v>
      </c>
      <c r="F4811" s="2" t="s">
        <v>13032</v>
      </c>
      <c r="G4811" s="2"/>
      <c r="H4811" s="12">
        <v>0.0</v>
      </c>
      <c r="I4811" s="2" t="s">
        <v>40</v>
      </c>
      <c r="J4811" s="2"/>
      <c r="K4811" s="2" t="s">
        <v>13033</v>
      </c>
      <c r="L4811" s="12">
        <v>123.0</v>
      </c>
      <c r="M4811" s="2" t="s">
        <v>13034</v>
      </c>
      <c r="N4811" s="2" t="str">
        <f>IFERROR(__xludf.DUMMYFUNCTION("""COMPUTED_VALUE"""),"")</f>
        <v/>
      </c>
    </row>
    <row r="4812">
      <c r="A4812" s="2" t="s">
        <v>33</v>
      </c>
      <c r="B4812" s="12">
        <v>4648962.0</v>
      </c>
      <c r="C4812" s="12">
        <v>4649477.0</v>
      </c>
      <c r="D4812" s="2"/>
      <c r="E4812" s="2" t="s">
        <v>34</v>
      </c>
      <c r="F4812" s="2" t="s">
        <v>13035</v>
      </c>
      <c r="G4812" s="2"/>
      <c r="H4812" s="12">
        <v>0.0</v>
      </c>
      <c r="I4812" s="2" t="s">
        <v>40</v>
      </c>
      <c r="J4812" s="2"/>
      <c r="K4812" s="2" t="s">
        <v>13036</v>
      </c>
      <c r="L4812" s="12">
        <v>171.0</v>
      </c>
      <c r="M4812" s="2" t="s">
        <v>13037</v>
      </c>
      <c r="N4812" s="2" t="str">
        <f>IFERROR(__xludf.DUMMYFUNCTION("""COMPUTED_VALUE"""),"")</f>
        <v/>
      </c>
    </row>
    <row r="4813">
      <c r="A4813" s="2" t="s">
        <v>33</v>
      </c>
      <c r="B4813" s="12">
        <v>4649520.0</v>
      </c>
      <c r="C4813" s="12">
        <v>4649993.0</v>
      </c>
      <c r="D4813" s="2"/>
      <c r="E4813" s="2" t="s">
        <v>34</v>
      </c>
      <c r="F4813" s="2" t="s">
        <v>13038</v>
      </c>
      <c r="G4813" s="2"/>
      <c r="H4813" s="12">
        <v>0.0</v>
      </c>
      <c r="I4813" s="2" t="s">
        <v>40</v>
      </c>
      <c r="J4813" s="2"/>
      <c r="K4813" s="2" t="s">
        <v>13039</v>
      </c>
      <c r="L4813" s="12">
        <v>157.0</v>
      </c>
      <c r="M4813" s="2" t="s">
        <v>13040</v>
      </c>
      <c r="N4813" s="2" t="str">
        <f>IFERROR(__xludf.DUMMYFUNCTION("""COMPUTED_VALUE"""),"")</f>
        <v/>
      </c>
    </row>
    <row r="4814">
      <c r="A4814" s="2" t="s">
        <v>33</v>
      </c>
      <c r="B4814" s="12">
        <v>4650575.0</v>
      </c>
      <c r="C4814" s="12">
        <v>4651789.0</v>
      </c>
      <c r="D4814" s="2"/>
      <c r="E4814" s="2" t="s">
        <v>34</v>
      </c>
      <c r="F4814" s="2" t="s">
        <v>88</v>
      </c>
      <c r="G4814" s="2"/>
      <c r="H4814" s="12">
        <v>0.0</v>
      </c>
      <c r="I4814" s="2" t="s">
        <v>40</v>
      </c>
      <c r="J4814" s="2"/>
      <c r="K4814" s="2" t="s">
        <v>13041</v>
      </c>
      <c r="L4814" s="12">
        <v>404.0</v>
      </c>
      <c r="M4814" s="2" t="s">
        <v>13042</v>
      </c>
      <c r="N4814" s="2" t="str">
        <f>IFERROR(__xludf.DUMMYFUNCTION("""COMPUTED_VALUE"""),"")</f>
        <v/>
      </c>
    </row>
    <row r="4815">
      <c r="A4815" s="2" t="s">
        <v>33</v>
      </c>
      <c r="B4815" s="12">
        <v>4651806.0</v>
      </c>
      <c r="C4815" s="12">
        <v>4652645.0</v>
      </c>
      <c r="D4815" s="2"/>
      <c r="E4815" s="2" t="s">
        <v>34</v>
      </c>
      <c r="F4815" s="2" t="s">
        <v>1711</v>
      </c>
      <c r="G4815" s="2"/>
      <c r="H4815" s="12">
        <v>0.0</v>
      </c>
      <c r="I4815" s="2" t="s">
        <v>40</v>
      </c>
      <c r="J4815" s="2"/>
      <c r="K4815" s="2" t="s">
        <v>13043</v>
      </c>
      <c r="L4815" s="12">
        <v>279.0</v>
      </c>
      <c r="M4815" s="2" t="s">
        <v>13044</v>
      </c>
      <c r="N4815" s="2" t="str">
        <f>IFERROR(__xludf.DUMMYFUNCTION("""COMPUTED_VALUE"""),"")</f>
        <v/>
      </c>
    </row>
    <row r="4816">
      <c r="A4816" s="2" t="s">
        <v>33</v>
      </c>
      <c r="B4816" s="12">
        <v>4653051.0</v>
      </c>
      <c r="C4816" s="12">
        <v>4654124.0</v>
      </c>
      <c r="D4816" s="2"/>
      <c r="E4816" s="2" t="s">
        <v>34</v>
      </c>
      <c r="F4816" s="2" t="s">
        <v>2518</v>
      </c>
      <c r="G4816" s="2"/>
      <c r="H4816" s="12">
        <v>0.0</v>
      </c>
      <c r="I4816" s="2" t="s">
        <v>40</v>
      </c>
      <c r="J4816" s="2"/>
      <c r="K4816" s="2" t="s">
        <v>13045</v>
      </c>
      <c r="L4816" s="12">
        <v>357.0</v>
      </c>
      <c r="M4816" s="2" t="s">
        <v>13046</v>
      </c>
      <c r="N4816" s="2" t="str">
        <f>IFERROR(__xludf.DUMMYFUNCTION("""COMPUTED_VALUE"""),"")</f>
        <v/>
      </c>
    </row>
    <row r="4817">
      <c r="A4817" s="2" t="s">
        <v>33</v>
      </c>
      <c r="B4817" s="12">
        <v>4654514.0</v>
      </c>
      <c r="C4817" s="12">
        <v>4655113.0</v>
      </c>
      <c r="D4817" s="2"/>
      <c r="E4817" s="2" t="s">
        <v>34</v>
      </c>
      <c r="F4817" s="2" t="s">
        <v>1106</v>
      </c>
      <c r="G4817" s="2"/>
      <c r="H4817" s="12">
        <v>0.0</v>
      </c>
      <c r="I4817" s="2" t="s">
        <v>40</v>
      </c>
      <c r="J4817" s="2"/>
      <c r="K4817" s="2" t="s">
        <v>13047</v>
      </c>
      <c r="L4817" s="12">
        <v>199.0</v>
      </c>
      <c r="M4817" s="2" t="s">
        <v>13048</v>
      </c>
      <c r="N4817" s="2" t="str">
        <f>IFERROR(__xludf.DUMMYFUNCTION("""COMPUTED_VALUE"""),"")</f>
        <v/>
      </c>
    </row>
    <row r="4818">
      <c r="A4818" s="2" t="s">
        <v>33</v>
      </c>
      <c r="B4818" s="12">
        <v>4655452.0</v>
      </c>
      <c r="C4818" s="12">
        <v>4655769.0</v>
      </c>
      <c r="D4818" s="2"/>
      <c r="E4818" s="2" t="s">
        <v>38</v>
      </c>
      <c r="F4818" s="2" t="s">
        <v>216</v>
      </c>
      <c r="G4818" s="2"/>
      <c r="H4818" s="12">
        <v>0.0</v>
      </c>
      <c r="I4818" s="2" t="s">
        <v>40</v>
      </c>
      <c r="J4818" s="2"/>
      <c r="K4818" s="2" t="s">
        <v>13049</v>
      </c>
      <c r="L4818" s="12">
        <v>105.0</v>
      </c>
      <c r="M4818" s="2" t="s">
        <v>13050</v>
      </c>
      <c r="N4818" s="2" t="str">
        <f>IFERROR(__xludf.DUMMYFUNCTION("""COMPUTED_VALUE"""),"")</f>
        <v/>
      </c>
    </row>
    <row r="4819">
      <c r="A4819" s="2" t="s">
        <v>33</v>
      </c>
      <c r="B4819" s="12">
        <v>4656073.0</v>
      </c>
      <c r="C4819" s="12">
        <v>4656810.0</v>
      </c>
      <c r="D4819" s="2"/>
      <c r="E4819" s="2" t="s">
        <v>34</v>
      </c>
      <c r="F4819" s="2" t="s">
        <v>13051</v>
      </c>
      <c r="G4819" s="2"/>
      <c r="H4819" s="12">
        <v>0.0</v>
      </c>
      <c r="I4819" s="2" t="s">
        <v>40</v>
      </c>
      <c r="J4819" s="2"/>
      <c r="K4819" s="2" t="s">
        <v>13052</v>
      </c>
      <c r="L4819" s="12">
        <v>245.0</v>
      </c>
      <c r="M4819" s="2" t="s">
        <v>13053</v>
      </c>
      <c r="N4819" s="2" t="str">
        <f>IFERROR(__xludf.DUMMYFUNCTION("""COMPUTED_VALUE"""),"")</f>
        <v/>
      </c>
    </row>
    <row r="4820">
      <c r="A4820" s="2" t="s">
        <v>33</v>
      </c>
      <c r="B4820" s="12">
        <v>4656803.0</v>
      </c>
      <c r="C4820" s="12">
        <v>4657900.0</v>
      </c>
      <c r="D4820" s="2"/>
      <c r="E4820" s="2" t="s">
        <v>34</v>
      </c>
      <c r="F4820" s="2" t="s">
        <v>11032</v>
      </c>
      <c r="G4820" s="2" t="s">
        <v>11033</v>
      </c>
      <c r="H4820" s="12">
        <v>0.0</v>
      </c>
      <c r="I4820" s="2" t="s">
        <v>40</v>
      </c>
      <c r="J4820" s="2"/>
      <c r="K4820" s="2" t="s">
        <v>13054</v>
      </c>
      <c r="L4820" s="12">
        <v>365.0</v>
      </c>
      <c r="M4820" s="2" t="s">
        <v>13055</v>
      </c>
      <c r="N4820" s="2" t="str">
        <f>IFERROR(__xludf.DUMMYFUNCTION("""COMPUTED_VALUE"""),"")</f>
        <v/>
      </c>
    </row>
    <row r="4821">
      <c r="A4821" s="2" t="s">
        <v>33</v>
      </c>
      <c r="B4821" s="12">
        <v>4657960.0</v>
      </c>
      <c r="C4821" s="12">
        <v>4658529.0</v>
      </c>
      <c r="D4821" s="2"/>
      <c r="E4821" s="2" t="s">
        <v>34</v>
      </c>
      <c r="F4821" s="2" t="s">
        <v>13056</v>
      </c>
      <c r="G4821" s="2"/>
      <c r="H4821" s="12">
        <v>0.0</v>
      </c>
      <c r="I4821" s="2" t="s">
        <v>40</v>
      </c>
      <c r="J4821" s="2"/>
      <c r="K4821" s="2" t="s">
        <v>13057</v>
      </c>
      <c r="L4821" s="12">
        <v>189.0</v>
      </c>
      <c r="M4821" s="2" t="s">
        <v>13058</v>
      </c>
      <c r="N4821" s="2" t="str">
        <f>IFERROR(__xludf.DUMMYFUNCTION("""COMPUTED_VALUE"""),"")</f>
        <v/>
      </c>
    </row>
    <row r="4822">
      <c r="A4822" s="2" t="s">
        <v>33</v>
      </c>
      <c r="B4822" s="12">
        <v>4658983.0</v>
      </c>
      <c r="C4822" s="12">
        <v>4660698.0</v>
      </c>
      <c r="D4822" s="2"/>
      <c r="E4822" s="2" t="s">
        <v>34</v>
      </c>
      <c r="F4822" s="2" t="s">
        <v>1689</v>
      </c>
      <c r="G4822" s="2"/>
      <c r="H4822" s="12">
        <v>0.0</v>
      </c>
      <c r="I4822" s="2" t="s">
        <v>40</v>
      </c>
      <c r="J4822" s="2"/>
      <c r="K4822" s="2" t="s">
        <v>13059</v>
      </c>
      <c r="L4822" s="12">
        <v>571.0</v>
      </c>
      <c r="M4822" s="2" t="s">
        <v>13060</v>
      </c>
      <c r="N4822" s="2" t="str">
        <f>IFERROR(__xludf.DUMMYFUNCTION("""COMPUTED_VALUE"""),"")</f>
        <v/>
      </c>
    </row>
    <row r="4823">
      <c r="A4823" s="2" t="s">
        <v>33</v>
      </c>
      <c r="B4823" s="12">
        <v>4660997.0</v>
      </c>
      <c r="C4823" s="12">
        <v>4663225.0</v>
      </c>
      <c r="D4823" s="2"/>
      <c r="E4823" s="2" t="s">
        <v>34</v>
      </c>
      <c r="F4823" s="2" t="s">
        <v>8403</v>
      </c>
      <c r="G4823" s="2"/>
      <c r="H4823" s="12">
        <v>0.0</v>
      </c>
      <c r="I4823" s="2" t="s">
        <v>40</v>
      </c>
      <c r="J4823" s="2"/>
      <c r="K4823" s="2" t="s">
        <v>13061</v>
      </c>
      <c r="L4823" s="12">
        <v>742.0</v>
      </c>
      <c r="M4823" s="2" t="s">
        <v>13062</v>
      </c>
      <c r="N4823" s="2" t="str">
        <f>IFERROR(__xludf.DUMMYFUNCTION("""COMPUTED_VALUE"""),"")</f>
        <v/>
      </c>
    </row>
    <row r="4824">
      <c r="A4824" s="2" t="s">
        <v>33</v>
      </c>
      <c r="B4824" s="12">
        <v>4663394.0</v>
      </c>
      <c r="C4824" s="12">
        <v>4665091.0</v>
      </c>
      <c r="D4824" s="2"/>
      <c r="E4824" s="2" t="s">
        <v>34</v>
      </c>
      <c r="F4824" s="2" t="s">
        <v>362</v>
      </c>
      <c r="G4824" s="2"/>
      <c r="H4824" s="12">
        <v>0.0</v>
      </c>
      <c r="I4824" s="2" t="s">
        <v>40</v>
      </c>
      <c r="J4824" s="2"/>
      <c r="K4824" s="2" t="s">
        <v>13063</v>
      </c>
      <c r="L4824" s="12">
        <v>565.0</v>
      </c>
      <c r="M4824" s="2" t="s">
        <v>13064</v>
      </c>
      <c r="N4824" s="2" t="str">
        <f>IFERROR(__xludf.DUMMYFUNCTION("""COMPUTED_VALUE"""),"")</f>
        <v/>
      </c>
    </row>
    <row r="4825">
      <c r="A4825" s="2" t="s">
        <v>33</v>
      </c>
      <c r="B4825" s="12">
        <v>4665779.0</v>
      </c>
      <c r="C4825" s="12">
        <v>4666573.0</v>
      </c>
      <c r="D4825" s="2"/>
      <c r="E4825" s="2" t="s">
        <v>34</v>
      </c>
      <c r="F4825" s="2" t="s">
        <v>2487</v>
      </c>
      <c r="G4825" s="2"/>
      <c r="H4825" s="12">
        <v>0.0</v>
      </c>
      <c r="I4825" s="2" t="s">
        <v>40</v>
      </c>
      <c r="J4825" s="2"/>
      <c r="K4825" s="2" t="s">
        <v>13065</v>
      </c>
      <c r="L4825" s="12">
        <v>264.0</v>
      </c>
      <c r="M4825" s="2" t="s">
        <v>13066</v>
      </c>
      <c r="N4825" s="2" t="str">
        <f>IFERROR(__xludf.DUMMYFUNCTION("""COMPUTED_VALUE"""),"")</f>
        <v/>
      </c>
    </row>
    <row r="4826">
      <c r="A4826" s="2" t="s">
        <v>33</v>
      </c>
      <c r="B4826" s="12">
        <v>4666825.0</v>
      </c>
      <c r="C4826" s="12">
        <v>4667820.0</v>
      </c>
      <c r="D4826" s="2"/>
      <c r="E4826" s="2" t="s">
        <v>38</v>
      </c>
      <c r="F4826" s="2" t="s">
        <v>4492</v>
      </c>
      <c r="G4826" s="2"/>
      <c r="H4826" s="12">
        <v>0.0</v>
      </c>
      <c r="I4826" s="2" t="s">
        <v>40</v>
      </c>
      <c r="J4826" s="2"/>
      <c r="K4826" s="2" t="s">
        <v>13067</v>
      </c>
      <c r="L4826" s="12">
        <v>331.0</v>
      </c>
      <c r="M4826" s="2" t="s">
        <v>13068</v>
      </c>
      <c r="N4826" s="2" t="str">
        <f>IFERROR(__xludf.DUMMYFUNCTION("""COMPUTED_VALUE"""),"")</f>
        <v/>
      </c>
    </row>
    <row r="4827">
      <c r="A4827" s="2" t="s">
        <v>33</v>
      </c>
      <c r="B4827" s="12">
        <v>4667926.0</v>
      </c>
      <c r="C4827" s="12">
        <v>4668105.0</v>
      </c>
      <c r="D4827" s="2"/>
      <c r="E4827" s="2" t="s">
        <v>34</v>
      </c>
      <c r="F4827" s="2" t="s">
        <v>39</v>
      </c>
      <c r="G4827" s="2"/>
      <c r="H4827" s="12">
        <v>0.0</v>
      </c>
      <c r="I4827" s="2" t="s">
        <v>40</v>
      </c>
      <c r="J4827" s="2"/>
      <c r="K4827" s="2" t="s">
        <v>13069</v>
      </c>
      <c r="L4827" s="12">
        <v>59.0</v>
      </c>
      <c r="M4827" s="2" t="s">
        <v>13070</v>
      </c>
      <c r="N4827" s="2" t="str">
        <f>IFERROR(__xludf.DUMMYFUNCTION("""COMPUTED_VALUE"""),"")</f>
        <v/>
      </c>
    </row>
    <row r="4828">
      <c r="A4828" s="2" t="s">
        <v>33</v>
      </c>
      <c r="B4828" s="12">
        <v>4668240.0</v>
      </c>
      <c r="C4828" s="12">
        <v>4669193.0</v>
      </c>
      <c r="D4828" s="2"/>
      <c r="E4828" s="2" t="s">
        <v>34</v>
      </c>
      <c r="F4828" s="2" t="s">
        <v>13071</v>
      </c>
      <c r="G4828" s="2"/>
      <c r="H4828" s="12">
        <v>0.0</v>
      </c>
      <c r="I4828" s="2" t="s">
        <v>40</v>
      </c>
      <c r="J4828" s="2"/>
      <c r="K4828" s="2" t="s">
        <v>13072</v>
      </c>
      <c r="L4828" s="12">
        <v>317.0</v>
      </c>
      <c r="M4828" s="2" t="s">
        <v>13073</v>
      </c>
      <c r="N4828" s="2" t="str">
        <f>IFERROR(__xludf.DUMMYFUNCTION("""COMPUTED_VALUE"""),"")</f>
        <v/>
      </c>
    </row>
    <row r="4829">
      <c r="A4829" s="2" t="s">
        <v>33</v>
      </c>
      <c r="B4829" s="12">
        <v>4669207.0</v>
      </c>
      <c r="C4829" s="12">
        <v>4670160.0</v>
      </c>
      <c r="D4829" s="2"/>
      <c r="E4829" s="2" t="s">
        <v>34</v>
      </c>
      <c r="F4829" s="2" t="s">
        <v>12791</v>
      </c>
      <c r="G4829" s="2"/>
      <c r="H4829" s="12">
        <v>0.0</v>
      </c>
      <c r="I4829" s="2" t="s">
        <v>40</v>
      </c>
      <c r="J4829" s="2"/>
      <c r="K4829" s="2" t="s">
        <v>13074</v>
      </c>
      <c r="L4829" s="12">
        <v>317.0</v>
      </c>
      <c r="M4829" s="2" t="s">
        <v>13075</v>
      </c>
      <c r="N4829" s="2" t="str">
        <f>IFERROR(__xludf.DUMMYFUNCTION("""COMPUTED_VALUE"""),"")</f>
        <v/>
      </c>
    </row>
    <row r="4830">
      <c r="A4830" s="2" t="s">
        <v>33</v>
      </c>
      <c r="B4830" s="12">
        <v>4670411.0</v>
      </c>
      <c r="C4830" s="12">
        <v>4670947.0</v>
      </c>
      <c r="D4830" s="2"/>
      <c r="E4830" s="2" t="s">
        <v>34</v>
      </c>
      <c r="F4830" s="2" t="s">
        <v>35</v>
      </c>
      <c r="G4830" s="2"/>
      <c r="H4830" s="12">
        <v>0.0</v>
      </c>
      <c r="I4830" s="2" t="s">
        <v>36</v>
      </c>
      <c r="J4830" s="2"/>
      <c r="K4830" s="2"/>
      <c r="L4830" s="2"/>
      <c r="M4830" s="2" t="s">
        <v>13076</v>
      </c>
      <c r="N4830" s="2" t="str">
        <f>IFERROR(__xludf.DUMMYFUNCTION("""COMPUTED_VALUE"""),"")</f>
        <v/>
      </c>
    </row>
    <row r="4831">
      <c r="A4831" s="2" t="s">
        <v>33</v>
      </c>
      <c r="B4831" s="12">
        <v>4671300.0</v>
      </c>
      <c r="C4831" s="12">
        <v>4672784.0</v>
      </c>
      <c r="D4831" s="2"/>
      <c r="E4831" s="2" t="s">
        <v>34</v>
      </c>
      <c r="F4831" s="2" t="s">
        <v>13077</v>
      </c>
      <c r="G4831" s="2" t="s">
        <v>13078</v>
      </c>
      <c r="H4831" s="12">
        <v>0.0</v>
      </c>
      <c r="I4831" s="2" t="s">
        <v>40</v>
      </c>
      <c r="J4831" s="2"/>
      <c r="K4831" s="2" t="s">
        <v>13079</v>
      </c>
      <c r="L4831" s="12">
        <v>494.0</v>
      </c>
      <c r="M4831" s="2" t="s">
        <v>13080</v>
      </c>
      <c r="N4831" s="2" t="str">
        <f>IFERROR(__xludf.DUMMYFUNCTION("""COMPUTED_VALUE"""),"")</f>
        <v/>
      </c>
    </row>
    <row r="4832">
      <c r="A4832" s="2" t="s">
        <v>33</v>
      </c>
      <c r="B4832" s="12">
        <v>4672824.0</v>
      </c>
      <c r="C4832" s="12">
        <v>4674818.0</v>
      </c>
      <c r="D4832" s="2"/>
      <c r="E4832" s="2" t="s">
        <v>34</v>
      </c>
      <c r="F4832" s="2" t="s">
        <v>12336</v>
      </c>
      <c r="G4832" s="2" t="s">
        <v>12337</v>
      </c>
      <c r="H4832" s="12">
        <v>0.0</v>
      </c>
      <c r="I4832" s="2" t="s">
        <v>40</v>
      </c>
      <c r="J4832" s="2"/>
      <c r="K4832" s="2" t="s">
        <v>13081</v>
      </c>
      <c r="L4832" s="12">
        <v>664.0</v>
      </c>
      <c r="M4832" s="2" t="s">
        <v>13082</v>
      </c>
      <c r="N4832" s="2" t="str">
        <f>IFERROR(__xludf.DUMMYFUNCTION("""COMPUTED_VALUE"""),"")</f>
        <v/>
      </c>
    </row>
    <row r="4833">
      <c r="A4833" s="2" t="s">
        <v>33</v>
      </c>
      <c r="B4833" s="12">
        <v>4674931.0</v>
      </c>
      <c r="C4833" s="12">
        <v>4675824.0</v>
      </c>
      <c r="D4833" s="2"/>
      <c r="E4833" s="2" t="s">
        <v>34</v>
      </c>
      <c r="F4833" s="2" t="s">
        <v>1062</v>
      </c>
      <c r="G4833" s="2" t="s">
        <v>1063</v>
      </c>
      <c r="H4833" s="12">
        <v>0.0</v>
      </c>
      <c r="I4833" s="2" t="s">
        <v>40</v>
      </c>
      <c r="J4833" s="2"/>
      <c r="K4833" s="2" t="s">
        <v>13083</v>
      </c>
      <c r="L4833" s="12">
        <v>297.0</v>
      </c>
      <c r="M4833" s="2" t="s">
        <v>13084</v>
      </c>
      <c r="N4833" s="2" t="str">
        <f>IFERROR(__xludf.DUMMYFUNCTION("""COMPUTED_VALUE"""),"")</f>
        <v/>
      </c>
    </row>
    <row r="4834">
      <c r="A4834" s="2" t="s">
        <v>33</v>
      </c>
      <c r="B4834" s="12">
        <v>4675934.0</v>
      </c>
      <c r="C4834" s="12">
        <v>4676602.0</v>
      </c>
      <c r="D4834" s="2"/>
      <c r="E4834" s="2" t="s">
        <v>34</v>
      </c>
      <c r="F4834" s="2" t="s">
        <v>5414</v>
      </c>
      <c r="G4834" s="2" t="s">
        <v>5415</v>
      </c>
      <c r="H4834" s="12">
        <v>0.0</v>
      </c>
      <c r="I4834" s="2" t="s">
        <v>40</v>
      </c>
      <c r="J4834" s="2"/>
      <c r="K4834" s="2" t="s">
        <v>13085</v>
      </c>
      <c r="L4834" s="12">
        <v>222.0</v>
      </c>
      <c r="M4834" s="2" t="s">
        <v>13086</v>
      </c>
      <c r="N4834" s="2" t="str">
        <f>IFERROR(__xludf.DUMMYFUNCTION("""COMPUTED_VALUE"""),"")</f>
        <v/>
      </c>
    </row>
    <row r="4835">
      <c r="A4835" s="2" t="s">
        <v>33</v>
      </c>
      <c r="B4835" s="12">
        <v>4676999.0</v>
      </c>
      <c r="C4835" s="12">
        <v>4678324.0</v>
      </c>
      <c r="D4835" s="2"/>
      <c r="E4835" s="2" t="s">
        <v>34</v>
      </c>
      <c r="F4835" s="2" t="s">
        <v>8933</v>
      </c>
      <c r="G4835" s="2" t="s">
        <v>8934</v>
      </c>
      <c r="H4835" s="12">
        <v>0.0</v>
      </c>
      <c r="I4835" s="2" t="s">
        <v>40</v>
      </c>
      <c r="J4835" s="2"/>
      <c r="K4835" s="2" t="s">
        <v>13087</v>
      </c>
      <c r="L4835" s="12">
        <v>441.0</v>
      </c>
      <c r="M4835" s="2" t="s">
        <v>13088</v>
      </c>
      <c r="N4835" s="2" t="str">
        <f>IFERROR(__xludf.DUMMYFUNCTION("""COMPUTED_VALUE"""),"")</f>
        <v/>
      </c>
    </row>
    <row r="4836">
      <c r="A4836" s="2" t="s">
        <v>33</v>
      </c>
      <c r="B4836" s="12">
        <v>4678455.0</v>
      </c>
      <c r="C4836" s="12">
        <v>4679996.0</v>
      </c>
      <c r="D4836" s="2"/>
      <c r="E4836" s="2" t="s">
        <v>34</v>
      </c>
      <c r="F4836" s="2" t="s">
        <v>1069</v>
      </c>
      <c r="G4836" s="2" t="s">
        <v>1070</v>
      </c>
      <c r="H4836" s="12">
        <v>0.0</v>
      </c>
      <c r="I4836" s="2" t="s">
        <v>40</v>
      </c>
      <c r="J4836" s="2"/>
      <c r="K4836" s="2" t="s">
        <v>13089</v>
      </c>
      <c r="L4836" s="12">
        <v>513.0</v>
      </c>
      <c r="M4836" s="2" t="s">
        <v>13090</v>
      </c>
      <c r="N4836" s="2" t="str">
        <f>IFERROR(__xludf.DUMMYFUNCTION("""COMPUTED_VALUE"""),"")</f>
        <v/>
      </c>
    </row>
    <row r="4837">
      <c r="A4837" s="2" t="s">
        <v>33</v>
      </c>
      <c r="B4837" s="12">
        <v>4680117.0</v>
      </c>
      <c r="C4837" s="12">
        <v>4681184.0</v>
      </c>
      <c r="D4837" s="2"/>
      <c r="E4837" s="2" t="s">
        <v>34</v>
      </c>
      <c r="F4837" s="2" t="s">
        <v>13091</v>
      </c>
      <c r="G4837" s="2"/>
      <c r="H4837" s="12">
        <v>0.0</v>
      </c>
      <c r="I4837" s="2" t="s">
        <v>40</v>
      </c>
      <c r="J4837" s="2"/>
      <c r="K4837" s="2" t="s">
        <v>13092</v>
      </c>
      <c r="L4837" s="12">
        <v>355.0</v>
      </c>
      <c r="M4837" s="2" t="s">
        <v>13093</v>
      </c>
      <c r="N4837" s="2" t="str">
        <f>IFERROR(__xludf.DUMMYFUNCTION("""COMPUTED_VALUE"""),"")</f>
        <v/>
      </c>
    </row>
    <row r="4838">
      <c r="A4838" s="2" t="s">
        <v>33</v>
      </c>
      <c r="B4838" s="12">
        <v>4681228.0</v>
      </c>
      <c r="C4838" s="12">
        <v>4681404.0</v>
      </c>
      <c r="D4838" s="2"/>
      <c r="E4838" s="2" t="s">
        <v>38</v>
      </c>
      <c r="F4838" s="2" t="s">
        <v>13094</v>
      </c>
      <c r="G4838" s="2"/>
      <c r="H4838" s="12">
        <v>0.0</v>
      </c>
      <c r="I4838" s="2" t="s">
        <v>40</v>
      </c>
      <c r="J4838" s="2"/>
      <c r="K4838" s="2" t="s">
        <v>13095</v>
      </c>
      <c r="L4838" s="12">
        <v>58.0</v>
      </c>
      <c r="M4838" s="2" t="s">
        <v>13096</v>
      </c>
      <c r="N4838" s="2" t="str">
        <f>IFERROR(__xludf.DUMMYFUNCTION("""COMPUTED_VALUE"""),"")</f>
        <v/>
      </c>
    </row>
    <row r="4839">
      <c r="A4839" s="2" t="s">
        <v>33</v>
      </c>
      <c r="B4839" s="12">
        <v>4681601.0</v>
      </c>
      <c r="C4839" s="12">
        <v>4682422.0</v>
      </c>
      <c r="D4839" s="2"/>
      <c r="E4839" s="2" t="s">
        <v>34</v>
      </c>
      <c r="F4839" s="2" t="s">
        <v>2164</v>
      </c>
      <c r="G4839" s="2"/>
      <c r="H4839" s="12">
        <v>0.0</v>
      </c>
      <c r="I4839" s="2" t="s">
        <v>40</v>
      </c>
      <c r="J4839" s="2"/>
      <c r="K4839" s="2" t="s">
        <v>13097</v>
      </c>
      <c r="L4839" s="12">
        <v>273.0</v>
      </c>
      <c r="M4839" s="2" t="s">
        <v>13098</v>
      </c>
      <c r="N4839" s="2" t="str">
        <f>IFERROR(__xludf.DUMMYFUNCTION("""COMPUTED_VALUE"""),"")</f>
        <v/>
      </c>
    </row>
    <row r="4840">
      <c r="A4840" s="2" t="s">
        <v>33</v>
      </c>
      <c r="B4840" s="12">
        <v>4682442.0</v>
      </c>
      <c r="C4840" s="12">
        <v>4682978.0</v>
      </c>
      <c r="D4840" s="2"/>
      <c r="E4840" s="2" t="s">
        <v>34</v>
      </c>
      <c r="F4840" s="2" t="s">
        <v>39</v>
      </c>
      <c r="G4840" s="2"/>
      <c r="H4840" s="12">
        <v>0.0</v>
      </c>
      <c r="I4840" s="2" t="s">
        <v>40</v>
      </c>
      <c r="J4840" s="2"/>
      <c r="K4840" s="2" t="s">
        <v>13099</v>
      </c>
      <c r="L4840" s="12">
        <v>178.0</v>
      </c>
      <c r="M4840" s="2" t="s">
        <v>13100</v>
      </c>
      <c r="N4840" s="2" t="str">
        <f>IFERROR(__xludf.DUMMYFUNCTION("""COMPUTED_VALUE"""),"")</f>
        <v/>
      </c>
    </row>
    <row r="4841">
      <c r="A4841" s="2" t="s">
        <v>33</v>
      </c>
      <c r="B4841" s="12">
        <v>4682996.0</v>
      </c>
      <c r="C4841" s="12">
        <v>4683880.0</v>
      </c>
      <c r="D4841" s="2"/>
      <c r="E4841" s="2" t="s">
        <v>38</v>
      </c>
      <c r="F4841" s="2" t="s">
        <v>738</v>
      </c>
      <c r="G4841" s="2"/>
      <c r="H4841" s="12">
        <v>0.0</v>
      </c>
      <c r="I4841" s="2" t="s">
        <v>40</v>
      </c>
      <c r="J4841" s="2"/>
      <c r="K4841" s="2" t="s">
        <v>13101</v>
      </c>
      <c r="L4841" s="12">
        <v>294.0</v>
      </c>
      <c r="M4841" s="2" t="s">
        <v>13102</v>
      </c>
      <c r="N4841" s="2" t="str">
        <f>IFERROR(__xludf.DUMMYFUNCTION("""COMPUTED_VALUE"""),"")</f>
        <v/>
      </c>
    </row>
    <row r="4842">
      <c r="A4842" s="2" t="s">
        <v>33</v>
      </c>
      <c r="B4842" s="12">
        <v>4684081.0</v>
      </c>
      <c r="C4842" s="12">
        <v>4684431.0</v>
      </c>
      <c r="D4842" s="2"/>
      <c r="E4842" s="2" t="s">
        <v>34</v>
      </c>
      <c r="F4842" s="2" t="s">
        <v>450</v>
      </c>
      <c r="G4842" s="2"/>
      <c r="H4842" s="12">
        <v>0.0</v>
      </c>
      <c r="I4842" s="2" t="s">
        <v>40</v>
      </c>
      <c r="J4842" s="2"/>
      <c r="K4842" s="2" t="s">
        <v>13103</v>
      </c>
      <c r="L4842" s="12">
        <v>116.0</v>
      </c>
      <c r="M4842" s="2" t="s">
        <v>13104</v>
      </c>
      <c r="N4842" s="2" t="str">
        <f>IFERROR(__xludf.DUMMYFUNCTION("""COMPUTED_VALUE"""),"")</f>
        <v/>
      </c>
    </row>
    <row r="4843">
      <c r="A4843" s="2" t="s">
        <v>33</v>
      </c>
      <c r="B4843" s="12">
        <v>4684493.0</v>
      </c>
      <c r="C4843" s="12">
        <v>4685293.0</v>
      </c>
      <c r="D4843" s="2"/>
      <c r="E4843" s="2" t="s">
        <v>34</v>
      </c>
      <c r="F4843" s="2" t="s">
        <v>3954</v>
      </c>
      <c r="G4843" s="2"/>
      <c r="H4843" s="12">
        <v>0.0</v>
      </c>
      <c r="I4843" s="2" t="s">
        <v>40</v>
      </c>
      <c r="J4843" s="2"/>
      <c r="K4843" s="2" t="s">
        <v>13105</v>
      </c>
      <c r="L4843" s="12">
        <v>266.0</v>
      </c>
      <c r="M4843" s="2" t="s">
        <v>13106</v>
      </c>
      <c r="N4843" s="2" t="str">
        <f>IFERROR(__xludf.DUMMYFUNCTION("""COMPUTED_VALUE"""),"")</f>
        <v/>
      </c>
    </row>
    <row r="4844">
      <c r="A4844" s="2" t="s">
        <v>33</v>
      </c>
      <c r="B4844" s="12">
        <v>4685262.0</v>
      </c>
      <c r="C4844" s="12">
        <v>4686185.0</v>
      </c>
      <c r="D4844" s="2"/>
      <c r="E4844" s="2" t="s">
        <v>38</v>
      </c>
      <c r="F4844" s="2" t="s">
        <v>296</v>
      </c>
      <c r="G4844" s="2"/>
      <c r="H4844" s="12">
        <v>0.0</v>
      </c>
      <c r="I4844" s="2" t="s">
        <v>40</v>
      </c>
      <c r="J4844" s="2"/>
      <c r="K4844" s="2" t="s">
        <v>13107</v>
      </c>
      <c r="L4844" s="12">
        <v>307.0</v>
      </c>
      <c r="M4844" s="2" t="s">
        <v>13108</v>
      </c>
      <c r="N4844" s="2" t="str">
        <f>IFERROR(__xludf.DUMMYFUNCTION("""COMPUTED_VALUE"""),"")</f>
        <v/>
      </c>
    </row>
    <row r="4845">
      <c r="A4845" s="2" t="s">
        <v>33</v>
      </c>
      <c r="B4845" s="12">
        <v>4686182.0</v>
      </c>
      <c r="C4845" s="12">
        <v>4687405.0</v>
      </c>
      <c r="D4845" s="2"/>
      <c r="E4845" s="2" t="s">
        <v>38</v>
      </c>
      <c r="F4845" s="2" t="s">
        <v>289</v>
      </c>
      <c r="G4845" s="2"/>
      <c r="H4845" s="12">
        <v>0.0</v>
      </c>
      <c r="I4845" s="2" t="s">
        <v>40</v>
      </c>
      <c r="J4845" s="2"/>
      <c r="K4845" s="2" t="s">
        <v>13109</v>
      </c>
      <c r="L4845" s="12">
        <v>407.0</v>
      </c>
      <c r="M4845" s="2" t="s">
        <v>13110</v>
      </c>
      <c r="N4845" s="2" t="str">
        <f>IFERROR(__xludf.DUMMYFUNCTION("""COMPUTED_VALUE"""),"")</f>
        <v/>
      </c>
    </row>
    <row r="4846">
      <c r="A4846" s="2" t="s">
        <v>33</v>
      </c>
      <c r="B4846" s="12">
        <v>4687418.0</v>
      </c>
      <c r="C4846" s="12">
        <v>4688473.0</v>
      </c>
      <c r="D4846" s="2"/>
      <c r="E4846" s="2" t="s">
        <v>38</v>
      </c>
      <c r="F4846" s="2" t="s">
        <v>12745</v>
      </c>
      <c r="G4846" s="2" t="s">
        <v>12746</v>
      </c>
      <c r="H4846" s="12">
        <v>0.0</v>
      </c>
      <c r="I4846" s="2" t="s">
        <v>40</v>
      </c>
      <c r="J4846" s="2"/>
      <c r="K4846" s="2" t="s">
        <v>13111</v>
      </c>
      <c r="L4846" s="12">
        <v>351.0</v>
      </c>
      <c r="M4846" s="2" t="s">
        <v>13112</v>
      </c>
      <c r="N4846" s="2" t="str">
        <f>IFERROR(__xludf.DUMMYFUNCTION("""COMPUTED_VALUE"""),"")</f>
        <v/>
      </c>
    </row>
    <row r="4847">
      <c r="A4847" s="2" t="s">
        <v>33</v>
      </c>
      <c r="B4847" s="12">
        <v>4688475.0</v>
      </c>
      <c r="C4847" s="12">
        <v>4689242.0</v>
      </c>
      <c r="D4847" s="2"/>
      <c r="E4847" s="2" t="s">
        <v>38</v>
      </c>
      <c r="F4847" s="2" t="s">
        <v>13113</v>
      </c>
      <c r="G4847" s="2" t="s">
        <v>13114</v>
      </c>
      <c r="H4847" s="12">
        <v>0.0</v>
      </c>
      <c r="I4847" s="2" t="s">
        <v>40</v>
      </c>
      <c r="J4847" s="2"/>
      <c r="K4847" s="2" t="s">
        <v>13115</v>
      </c>
      <c r="L4847" s="12">
        <v>255.0</v>
      </c>
      <c r="M4847" s="2" t="s">
        <v>13116</v>
      </c>
      <c r="N4847" s="2" t="str">
        <f>IFERROR(__xludf.DUMMYFUNCTION("""COMPUTED_VALUE"""),"")</f>
        <v/>
      </c>
    </row>
    <row r="4848">
      <c r="A4848" s="2" t="s">
        <v>33</v>
      </c>
      <c r="B4848" s="12">
        <v>4689358.0</v>
      </c>
      <c r="C4848" s="12">
        <v>4690131.0</v>
      </c>
      <c r="D4848" s="2"/>
      <c r="E4848" s="2" t="s">
        <v>38</v>
      </c>
      <c r="F4848" s="2" t="s">
        <v>3954</v>
      </c>
      <c r="G4848" s="2"/>
      <c r="H4848" s="12">
        <v>0.0</v>
      </c>
      <c r="I4848" s="2" t="s">
        <v>40</v>
      </c>
      <c r="J4848" s="2"/>
      <c r="K4848" s="2" t="s">
        <v>13117</v>
      </c>
      <c r="L4848" s="12">
        <v>257.0</v>
      </c>
      <c r="M4848" s="2" t="s">
        <v>13118</v>
      </c>
      <c r="N4848" s="2" t="str">
        <f>IFERROR(__xludf.DUMMYFUNCTION("""COMPUTED_VALUE"""),"")</f>
        <v/>
      </c>
    </row>
    <row r="4849">
      <c r="A4849" s="2" t="s">
        <v>33</v>
      </c>
      <c r="B4849" s="12">
        <v>4690393.0</v>
      </c>
      <c r="C4849" s="12">
        <v>4690800.0</v>
      </c>
      <c r="D4849" s="2"/>
      <c r="E4849" s="2" t="s">
        <v>34</v>
      </c>
      <c r="F4849" s="2" t="s">
        <v>338</v>
      </c>
      <c r="G4849" s="2"/>
      <c r="H4849" s="12">
        <v>0.0</v>
      </c>
      <c r="I4849" s="2" t="s">
        <v>40</v>
      </c>
      <c r="J4849" s="2"/>
      <c r="K4849" s="2" t="s">
        <v>13119</v>
      </c>
      <c r="L4849" s="12">
        <v>135.0</v>
      </c>
      <c r="M4849" s="2" t="s">
        <v>13120</v>
      </c>
      <c r="N4849" s="2" t="str">
        <f>IFERROR(__xludf.DUMMYFUNCTION("""COMPUTED_VALUE"""),"")</f>
        <v/>
      </c>
    </row>
    <row r="4850">
      <c r="A4850" s="2" t="s">
        <v>33</v>
      </c>
      <c r="B4850" s="12">
        <v>4690920.0</v>
      </c>
      <c r="C4850" s="12">
        <v>4692248.0</v>
      </c>
      <c r="D4850" s="2"/>
      <c r="E4850" s="2" t="s">
        <v>34</v>
      </c>
      <c r="F4850" s="2" t="s">
        <v>1023</v>
      </c>
      <c r="G4850" s="2"/>
      <c r="H4850" s="12">
        <v>0.0</v>
      </c>
      <c r="I4850" s="2" t="s">
        <v>40</v>
      </c>
      <c r="J4850" s="2"/>
      <c r="K4850" s="2" t="s">
        <v>13121</v>
      </c>
      <c r="L4850" s="12">
        <v>442.0</v>
      </c>
      <c r="M4850" s="2" t="s">
        <v>13122</v>
      </c>
      <c r="N4850" s="2" t="str">
        <f>IFERROR(__xludf.DUMMYFUNCTION("""COMPUTED_VALUE"""),"")</f>
        <v/>
      </c>
    </row>
    <row r="4851">
      <c r="A4851" s="2" t="s">
        <v>33</v>
      </c>
      <c r="B4851" s="12">
        <v>4692301.0</v>
      </c>
      <c r="C4851" s="12">
        <v>4692714.0</v>
      </c>
      <c r="D4851" s="2"/>
      <c r="E4851" s="2" t="s">
        <v>34</v>
      </c>
      <c r="F4851" s="2" t="s">
        <v>4590</v>
      </c>
      <c r="G4851" s="2"/>
      <c r="H4851" s="12">
        <v>0.0</v>
      </c>
      <c r="I4851" s="2" t="s">
        <v>40</v>
      </c>
      <c r="J4851" s="2"/>
      <c r="K4851" s="2" t="s">
        <v>13123</v>
      </c>
      <c r="L4851" s="12">
        <v>137.0</v>
      </c>
      <c r="M4851" s="2" t="s">
        <v>13124</v>
      </c>
      <c r="N4851" s="2" t="str">
        <f>IFERROR(__xludf.DUMMYFUNCTION("""COMPUTED_VALUE"""),"")</f>
        <v/>
      </c>
    </row>
    <row r="4852">
      <c r="A4852" s="2" t="s">
        <v>33</v>
      </c>
      <c r="B4852" s="12">
        <v>4692913.0</v>
      </c>
      <c r="C4852" s="12">
        <v>4693461.0</v>
      </c>
      <c r="D4852" s="2"/>
      <c r="E4852" s="2" t="s">
        <v>34</v>
      </c>
      <c r="F4852" s="2" t="s">
        <v>13125</v>
      </c>
      <c r="G4852" s="2"/>
      <c r="H4852" s="12">
        <v>0.0</v>
      </c>
      <c r="I4852" s="2" t="s">
        <v>40</v>
      </c>
      <c r="J4852" s="2"/>
      <c r="K4852" s="2" t="s">
        <v>13126</v>
      </c>
      <c r="L4852" s="12">
        <v>182.0</v>
      </c>
      <c r="M4852" s="2" t="s">
        <v>13127</v>
      </c>
      <c r="N4852" s="2" t="str">
        <f>IFERROR(__xludf.DUMMYFUNCTION("""COMPUTED_VALUE"""),"")</f>
        <v/>
      </c>
    </row>
    <row r="4853">
      <c r="A4853" s="2" t="s">
        <v>33</v>
      </c>
      <c r="B4853" s="12">
        <v>4693584.0</v>
      </c>
      <c r="C4853" s="12">
        <v>4693823.0</v>
      </c>
      <c r="D4853" s="2"/>
      <c r="E4853" s="2" t="s">
        <v>38</v>
      </c>
      <c r="F4853" s="2" t="s">
        <v>13128</v>
      </c>
      <c r="G4853" s="2"/>
      <c r="H4853" s="12">
        <v>0.0</v>
      </c>
      <c r="I4853" s="2" t="s">
        <v>40</v>
      </c>
      <c r="J4853" s="2"/>
      <c r="K4853" s="2" t="s">
        <v>13129</v>
      </c>
      <c r="L4853" s="12">
        <v>79.0</v>
      </c>
      <c r="M4853" s="2" t="s">
        <v>13130</v>
      </c>
      <c r="N4853" s="2" t="str">
        <f>IFERROR(__xludf.DUMMYFUNCTION("""COMPUTED_VALUE"""),"")</f>
        <v/>
      </c>
    </row>
    <row r="4854">
      <c r="A4854" s="2" t="s">
        <v>33</v>
      </c>
      <c r="B4854" s="12">
        <v>4693900.0</v>
      </c>
      <c r="C4854" s="12">
        <v>4694277.0</v>
      </c>
      <c r="D4854" s="2"/>
      <c r="E4854" s="2" t="s">
        <v>38</v>
      </c>
      <c r="F4854" s="2" t="s">
        <v>39</v>
      </c>
      <c r="G4854" s="2"/>
      <c r="H4854" s="12">
        <v>0.0</v>
      </c>
      <c r="I4854" s="2" t="s">
        <v>40</v>
      </c>
      <c r="J4854" s="2"/>
      <c r="K4854" s="2" t="s">
        <v>13131</v>
      </c>
      <c r="L4854" s="12">
        <v>125.0</v>
      </c>
      <c r="M4854" s="2" t="s">
        <v>13132</v>
      </c>
      <c r="N4854" s="2" t="str">
        <f>IFERROR(__xludf.DUMMYFUNCTION("""COMPUTED_VALUE"""),"")</f>
        <v/>
      </c>
    </row>
    <row r="4855">
      <c r="A4855" s="2" t="s">
        <v>33</v>
      </c>
      <c r="B4855" s="12">
        <v>4694577.0</v>
      </c>
      <c r="C4855" s="12">
        <v>4695491.0</v>
      </c>
      <c r="D4855" s="2"/>
      <c r="E4855" s="2" t="s">
        <v>34</v>
      </c>
      <c r="F4855" s="2" t="s">
        <v>5941</v>
      </c>
      <c r="G4855" s="2"/>
      <c r="H4855" s="12">
        <v>0.0</v>
      </c>
      <c r="I4855" s="2" t="s">
        <v>40</v>
      </c>
      <c r="J4855" s="2"/>
      <c r="K4855" s="2" t="s">
        <v>13133</v>
      </c>
      <c r="L4855" s="12">
        <v>304.0</v>
      </c>
      <c r="M4855" s="2" t="s">
        <v>13134</v>
      </c>
      <c r="N4855" s="2" t="str">
        <f>IFERROR(__xludf.DUMMYFUNCTION("""COMPUTED_VALUE"""),"")</f>
        <v/>
      </c>
    </row>
    <row r="4856">
      <c r="A4856" s="2" t="s">
        <v>33</v>
      </c>
      <c r="B4856" s="12">
        <v>4695532.0</v>
      </c>
      <c r="C4856" s="12">
        <v>4696725.0</v>
      </c>
      <c r="D4856" s="2"/>
      <c r="E4856" s="2" t="s">
        <v>38</v>
      </c>
      <c r="F4856" s="2" t="s">
        <v>88</v>
      </c>
      <c r="G4856" s="2"/>
      <c r="H4856" s="12">
        <v>0.0</v>
      </c>
      <c r="I4856" s="2" t="s">
        <v>40</v>
      </c>
      <c r="J4856" s="2"/>
      <c r="K4856" s="2" t="s">
        <v>13135</v>
      </c>
      <c r="L4856" s="12">
        <v>397.0</v>
      </c>
      <c r="M4856" s="2" t="s">
        <v>13136</v>
      </c>
      <c r="N4856" s="2" t="str">
        <f>IFERROR(__xludf.DUMMYFUNCTION("""COMPUTED_VALUE"""),"")</f>
        <v/>
      </c>
    </row>
    <row r="4857">
      <c r="A4857" s="2" t="s">
        <v>33</v>
      </c>
      <c r="B4857" s="12">
        <v>4696838.0</v>
      </c>
      <c r="C4857" s="12">
        <v>4697380.0</v>
      </c>
      <c r="D4857" s="2"/>
      <c r="E4857" s="2" t="s">
        <v>34</v>
      </c>
      <c r="F4857" s="2" t="s">
        <v>4603</v>
      </c>
      <c r="G4857" s="2"/>
      <c r="H4857" s="12">
        <v>0.0</v>
      </c>
      <c r="I4857" s="2" t="s">
        <v>40</v>
      </c>
      <c r="J4857" s="2"/>
      <c r="K4857" s="2" t="s">
        <v>13137</v>
      </c>
      <c r="L4857" s="12">
        <v>180.0</v>
      </c>
      <c r="M4857" s="2" t="s">
        <v>13138</v>
      </c>
      <c r="N4857" s="2" t="str">
        <f>IFERROR(__xludf.DUMMYFUNCTION("""COMPUTED_VALUE"""),"")</f>
        <v/>
      </c>
    </row>
    <row r="4858">
      <c r="A4858" s="2" t="s">
        <v>33</v>
      </c>
      <c r="B4858" s="12">
        <v>4697422.0</v>
      </c>
      <c r="C4858" s="12">
        <v>4698176.0</v>
      </c>
      <c r="D4858" s="2"/>
      <c r="E4858" s="2" t="s">
        <v>34</v>
      </c>
      <c r="F4858" s="2" t="s">
        <v>35</v>
      </c>
      <c r="G4858" s="2"/>
      <c r="H4858" s="12">
        <v>0.0</v>
      </c>
      <c r="I4858" s="2" t="s">
        <v>36</v>
      </c>
      <c r="J4858" s="2"/>
      <c r="K4858" s="2"/>
      <c r="L4858" s="2"/>
      <c r="M4858" s="2" t="s">
        <v>13139</v>
      </c>
      <c r="N4858" s="2" t="str">
        <f>IFERROR(__xludf.DUMMYFUNCTION("""COMPUTED_VALUE"""),"")</f>
        <v/>
      </c>
    </row>
    <row r="4859">
      <c r="A4859" s="2" t="s">
        <v>33</v>
      </c>
      <c r="B4859" s="12">
        <v>4698323.0</v>
      </c>
      <c r="C4859" s="12">
        <v>4700830.0</v>
      </c>
      <c r="D4859" s="2"/>
      <c r="E4859" s="2" t="s">
        <v>34</v>
      </c>
      <c r="F4859" s="2" t="s">
        <v>191</v>
      </c>
      <c r="G4859" s="2"/>
      <c r="H4859" s="12">
        <v>0.0</v>
      </c>
      <c r="I4859" s="2" t="s">
        <v>40</v>
      </c>
      <c r="J4859" s="2"/>
      <c r="K4859" s="2" t="s">
        <v>13140</v>
      </c>
      <c r="L4859" s="12">
        <v>835.0</v>
      </c>
      <c r="M4859" s="2" t="s">
        <v>13141</v>
      </c>
      <c r="N4859" s="2" t="str">
        <f>IFERROR(__xludf.DUMMYFUNCTION("""COMPUTED_VALUE"""),"")</f>
        <v/>
      </c>
    </row>
    <row r="4860">
      <c r="A4860" s="2" t="s">
        <v>33</v>
      </c>
      <c r="B4860" s="12">
        <v>4700853.0</v>
      </c>
      <c r="C4860" s="12">
        <v>4703366.0</v>
      </c>
      <c r="D4860" s="2"/>
      <c r="E4860" s="2" t="s">
        <v>34</v>
      </c>
      <c r="F4860" s="2" t="s">
        <v>13142</v>
      </c>
      <c r="G4860" s="2"/>
      <c r="H4860" s="12">
        <v>0.0</v>
      </c>
      <c r="I4860" s="2" t="s">
        <v>40</v>
      </c>
      <c r="J4860" s="2"/>
      <c r="K4860" s="2" t="s">
        <v>13143</v>
      </c>
      <c r="L4860" s="12">
        <v>837.0</v>
      </c>
      <c r="M4860" s="2" t="s">
        <v>13144</v>
      </c>
      <c r="N4860" s="2" t="str">
        <f>IFERROR(__xludf.DUMMYFUNCTION("""COMPUTED_VALUE"""),"")</f>
        <v/>
      </c>
    </row>
    <row r="4861">
      <c r="A4861" s="2" t="s">
        <v>33</v>
      </c>
      <c r="B4861" s="12">
        <v>4703440.0</v>
      </c>
      <c r="C4861" s="12">
        <v>4703583.0</v>
      </c>
      <c r="D4861" s="2"/>
      <c r="E4861" s="2" t="s">
        <v>38</v>
      </c>
      <c r="F4861" s="2" t="s">
        <v>39</v>
      </c>
      <c r="G4861" s="2"/>
      <c r="H4861" s="12">
        <v>0.0</v>
      </c>
      <c r="I4861" s="2" t="s">
        <v>40</v>
      </c>
      <c r="J4861" s="2"/>
      <c r="K4861" s="2" t="s">
        <v>13145</v>
      </c>
      <c r="L4861" s="12">
        <v>47.0</v>
      </c>
      <c r="M4861" s="2" t="s">
        <v>13146</v>
      </c>
      <c r="N4861" s="2" t="str">
        <f>IFERROR(__xludf.DUMMYFUNCTION("""COMPUTED_VALUE"""),"")</f>
        <v/>
      </c>
    </row>
    <row r="4862">
      <c r="A4862" s="2" t="s">
        <v>33</v>
      </c>
      <c r="B4862" s="12">
        <v>4703861.0</v>
      </c>
      <c r="C4862" s="12">
        <v>4704322.0</v>
      </c>
      <c r="D4862" s="2"/>
      <c r="E4862" s="2" t="s">
        <v>38</v>
      </c>
      <c r="F4862" s="2" t="s">
        <v>367</v>
      </c>
      <c r="G4862" s="2"/>
      <c r="H4862" s="12">
        <v>0.0</v>
      </c>
      <c r="I4862" s="2" t="s">
        <v>40</v>
      </c>
      <c r="J4862" s="2"/>
      <c r="K4862" s="2" t="s">
        <v>13147</v>
      </c>
      <c r="L4862" s="12">
        <v>153.0</v>
      </c>
      <c r="M4862" s="2" t="s">
        <v>13148</v>
      </c>
      <c r="N4862" s="2" t="str">
        <f>IFERROR(__xludf.DUMMYFUNCTION("""COMPUTED_VALUE"""),"")</f>
        <v/>
      </c>
    </row>
    <row r="4863">
      <c r="A4863" s="2" t="s">
        <v>33</v>
      </c>
      <c r="B4863" s="12">
        <v>4704532.0</v>
      </c>
      <c r="C4863" s="12">
        <v>4704780.0</v>
      </c>
      <c r="D4863" s="2"/>
      <c r="E4863" s="2" t="s">
        <v>34</v>
      </c>
      <c r="F4863" s="2" t="s">
        <v>4535</v>
      </c>
      <c r="G4863" s="2"/>
      <c r="H4863" s="12">
        <v>0.0</v>
      </c>
      <c r="I4863" s="2" t="s">
        <v>40</v>
      </c>
      <c r="J4863" s="2"/>
      <c r="K4863" s="2" t="s">
        <v>13149</v>
      </c>
      <c r="L4863" s="12">
        <v>82.0</v>
      </c>
      <c r="M4863" s="2" t="s">
        <v>13150</v>
      </c>
      <c r="N4863" s="2" t="str">
        <f>IFERROR(__xludf.DUMMYFUNCTION("""COMPUTED_VALUE"""),"")</f>
        <v/>
      </c>
    </row>
    <row r="4864">
      <c r="A4864" s="2" t="s">
        <v>33</v>
      </c>
      <c r="B4864" s="12">
        <v>4704844.0</v>
      </c>
      <c r="C4864" s="12">
        <v>4705965.0</v>
      </c>
      <c r="D4864" s="2"/>
      <c r="E4864" s="2" t="s">
        <v>34</v>
      </c>
      <c r="F4864" s="2" t="s">
        <v>1918</v>
      </c>
      <c r="G4864" s="2"/>
      <c r="H4864" s="12">
        <v>0.0</v>
      </c>
      <c r="I4864" s="2" t="s">
        <v>40</v>
      </c>
      <c r="J4864" s="2"/>
      <c r="K4864" s="2" t="s">
        <v>13151</v>
      </c>
      <c r="L4864" s="12">
        <v>373.0</v>
      </c>
      <c r="M4864" s="2" t="s">
        <v>13152</v>
      </c>
      <c r="N4864" s="2" t="str">
        <f>IFERROR(__xludf.DUMMYFUNCTION("""COMPUTED_VALUE"""),"")</f>
        <v/>
      </c>
    </row>
    <row r="4865">
      <c r="A4865" s="2" t="s">
        <v>33</v>
      </c>
      <c r="B4865" s="12">
        <v>4705995.0</v>
      </c>
      <c r="C4865" s="12">
        <v>4707152.0</v>
      </c>
      <c r="D4865" s="2"/>
      <c r="E4865" s="2" t="s">
        <v>38</v>
      </c>
      <c r="F4865" s="2" t="s">
        <v>11945</v>
      </c>
      <c r="G4865" s="2"/>
      <c r="H4865" s="12">
        <v>0.0</v>
      </c>
      <c r="I4865" s="2" t="s">
        <v>40</v>
      </c>
      <c r="J4865" s="2"/>
      <c r="K4865" s="2" t="s">
        <v>13153</v>
      </c>
      <c r="L4865" s="12">
        <v>385.0</v>
      </c>
      <c r="M4865" s="2" t="s">
        <v>13154</v>
      </c>
      <c r="N4865" s="2" t="str">
        <f>IFERROR(__xludf.DUMMYFUNCTION("""COMPUTED_VALUE"""),"")</f>
        <v/>
      </c>
    </row>
    <row r="4866">
      <c r="A4866" s="2" t="s">
        <v>33</v>
      </c>
      <c r="B4866" s="12">
        <v>4707543.0</v>
      </c>
      <c r="C4866" s="12">
        <v>4708541.0</v>
      </c>
      <c r="D4866" s="2"/>
      <c r="E4866" s="2" t="s">
        <v>34</v>
      </c>
      <c r="F4866" s="2" t="s">
        <v>4038</v>
      </c>
      <c r="G4866" s="2"/>
      <c r="H4866" s="12">
        <v>0.0</v>
      </c>
      <c r="I4866" s="2" t="s">
        <v>40</v>
      </c>
      <c r="J4866" s="2"/>
      <c r="K4866" s="2" t="s">
        <v>13155</v>
      </c>
      <c r="L4866" s="12">
        <v>332.0</v>
      </c>
      <c r="M4866" s="2" t="s">
        <v>13156</v>
      </c>
      <c r="N4866" s="2" t="str">
        <f>IFERROR(__xludf.DUMMYFUNCTION("""COMPUTED_VALUE"""),"")</f>
        <v/>
      </c>
    </row>
    <row r="4867">
      <c r="A4867" s="2" t="s">
        <v>33</v>
      </c>
      <c r="B4867" s="12">
        <v>4708550.0</v>
      </c>
      <c r="C4867" s="12">
        <v>4708996.0</v>
      </c>
      <c r="D4867" s="2"/>
      <c r="E4867" s="2" t="s">
        <v>38</v>
      </c>
      <c r="F4867" s="2" t="s">
        <v>1611</v>
      </c>
      <c r="G4867" s="2"/>
      <c r="H4867" s="12">
        <v>0.0</v>
      </c>
      <c r="I4867" s="2" t="s">
        <v>40</v>
      </c>
      <c r="J4867" s="2"/>
      <c r="K4867" s="2" t="s">
        <v>13157</v>
      </c>
      <c r="L4867" s="12">
        <v>148.0</v>
      </c>
      <c r="M4867" s="2" t="s">
        <v>13158</v>
      </c>
      <c r="N4867" s="2" t="str">
        <f>IFERROR(__xludf.DUMMYFUNCTION("""COMPUTED_VALUE"""),"")</f>
        <v/>
      </c>
    </row>
    <row r="4868">
      <c r="A4868" s="2" t="s">
        <v>33</v>
      </c>
      <c r="B4868" s="12">
        <v>4709014.0</v>
      </c>
      <c r="C4868" s="12">
        <v>4709853.0</v>
      </c>
      <c r="D4868" s="2"/>
      <c r="E4868" s="2" t="s">
        <v>38</v>
      </c>
      <c r="F4868" s="2" t="s">
        <v>9508</v>
      </c>
      <c r="G4868" s="2"/>
      <c r="H4868" s="12">
        <v>0.0</v>
      </c>
      <c r="I4868" s="2" t="s">
        <v>40</v>
      </c>
      <c r="J4868" s="2"/>
      <c r="K4868" s="2" t="s">
        <v>13159</v>
      </c>
      <c r="L4868" s="12">
        <v>279.0</v>
      </c>
      <c r="M4868" s="2" t="s">
        <v>13160</v>
      </c>
      <c r="N4868" s="2" t="str">
        <f>IFERROR(__xludf.DUMMYFUNCTION("""COMPUTED_VALUE"""),"")</f>
        <v/>
      </c>
    </row>
    <row r="4869">
      <c r="A4869" s="2" t="s">
        <v>33</v>
      </c>
      <c r="B4869" s="12">
        <v>4709977.0</v>
      </c>
      <c r="C4869" s="12">
        <v>4710699.0</v>
      </c>
      <c r="D4869" s="2"/>
      <c r="E4869" s="2" t="s">
        <v>34</v>
      </c>
      <c r="F4869" s="2" t="s">
        <v>367</v>
      </c>
      <c r="G4869" s="2"/>
      <c r="H4869" s="12">
        <v>0.0</v>
      </c>
      <c r="I4869" s="2" t="s">
        <v>40</v>
      </c>
      <c r="J4869" s="2"/>
      <c r="K4869" s="2" t="s">
        <v>13161</v>
      </c>
      <c r="L4869" s="12">
        <v>240.0</v>
      </c>
      <c r="M4869" s="2" t="s">
        <v>13162</v>
      </c>
      <c r="N4869" s="2" t="str">
        <f>IFERROR(__xludf.DUMMYFUNCTION("""COMPUTED_VALUE"""),"")</f>
        <v/>
      </c>
    </row>
    <row r="4870">
      <c r="A4870" s="2" t="s">
        <v>33</v>
      </c>
      <c r="B4870" s="12">
        <v>4710751.0</v>
      </c>
      <c r="C4870" s="12">
        <v>4711590.0</v>
      </c>
      <c r="D4870" s="2"/>
      <c r="E4870" s="2" t="s">
        <v>34</v>
      </c>
      <c r="F4870" s="2" t="s">
        <v>39</v>
      </c>
      <c r="G4870" s="2"/>
      <c r="H4870" s="12">
        <v>0.0</v>
      </c>
      <c r="I4870" s="2" t="s">
        <v>40</v>
      </c>
      <c r="J4870" s="2"/>
      <c r="K4870" s="2" t="s">
        <v>13163</v>
      </c>
      <c r="L4870" s="12">
        <v>279.0</v>
      </c>
      <c r="M4870" s="2" t="s">
        <v>13164</v>
      </c>
      <c r="N4870" s="2" t="str">
        <f>IFERROR(__xludf.DUMMYFUNCTION("""COMPUTED_VALUE"""),"")</f>
        <v/>
      </c>
    </row>
    <row r="4871">
      <c r="A4871" s="2" t="s">
        <v>33</v>
      </c>
      <c r="B4871" s="12">
        <v>4711680.0</v>
      </c>
      <c r="C4871" s="12">
        <v>4712699.0</v>
      </c>
      <c r="D4871" s="2"/>
      <c r="E4871" s="2" t="s">
        <v>34</v>
      </c>
      <c r="F4871" s="2" t="s">
        <v>7832</v>
      </c>
      <c r="G4871" s="2"/>
      <c r="H4871" s="12">
        <v>0.0</v>
      </c>
      <c r="I4871" s="2" t="s">
        <v>40</v>
      </c>
      <c r="J4871" s="2"/>
      <c r="K4871" s="2" t="s">
        <v>13165</v>
      </c>
      <c r="L4871" s="12">
        <v>339.0</v>
      </c>
      <c r="M4871" s="2" t="s">
        <v>13166</v>
      </c>
      <c r="N4871" s="2" t="str">
        <f>IFERROR(__xludf.DUMMYFUNCTION("""COMPUTED_VALUE"""),"")</f>
        <v/>
      </c>
    </row>
    <row r="4872">
      <c r="A4872" s="2" t="s">
        <v>33</v>
      </c>
      <c r="B4872" s="12">
        <v>4712788.0</v>
      </c>
      <c r="C4872" s="12">
        <v>4713498.0</v>
      </c>
      <c r="D4872" s="2"/>
      <c r="E4872" s="2" t="s">
        <v>34</v>
      </c>
      <c r="F4872" s="2" t="s">
        <v>7445</v>
      </c>
      <c r="G4872" s="2"/>
      <c r="H4872" s="12">
        <v>0.0</v>
      </c>
      <c r="I4872" s="2" t="s">
        <v>40</v>
      </c>
      <c r="J4872" s="2"/>
      <c r="K4872" s="2" t="s">
        <v>13167</v>
      </c>
      <c r="L4872" s="12">
        <v>236.0</v>
      </c>
      <c r="M4872" s="2" t="s">
        <v>13168</v>
      </c>
      <c r="N4872" s="2" t="str">
        <f>IFERROR(__xludf.DUMMYFUNCTION("""COMPUTED_VALUE"""),"")</f>
        <v/>
      </c>
    </row>
    <row r="4873">
      <c r="A4873" s="2" t="s">
        <v>33</v>
      </c>
      <c r="B4873" s="12">
        <v>4713811.0</v>
      </c>
      <c r="C4873" s="12">
        <v>4714776.0</v>
      </c>
      <c r="D4873" s="2"/>
      <c r="E4873" s="2" t="s">
        <v>34</v>
      </c>
      <c r="F4873" s="2" t="s">
        <v>39</v>
      </c>
      <c r="G4873" s="2"/>
      <c r="H4873" s="12">
        <v>0.0</v>
      </c>
      <c r="I4873" s="2" t="s">
        <v>40</v>
      </c>
      <c r="J4873" s="2"/>
      <c r="K4873" s="2" t="s">
        <v>13169</v>
      </c>
      <c r="L4873" s="12">
        <v>321.0</v>
      </c>
      <c r="M4873" s="2" t="s">
        <v>13170</v>
      </c>
      <c r="N4873" s="2" t="str">
        <f>IFERROR(__xludf.DUMMYFUNCTION("""COMPUTED_VALUE"""),"")</f>
        <v/>
      </c>
    </row>
    <row r="4874">
      <c r="A4874" s="2" t="s">
        <v>33</v>
      </c>
      <c r="B4874" s="12">
        <v>4714855.0</v>
      </c>
      <c r="C4874" s="12">
        <v>4715055.0</v>
      </c>
      <c r="D4874" s="2"/>
      <c r="E4874" s="2" t="s">
        <v>38</v>
      </c>
      <c r="F4874" s="2" t="s">
        <v>220</v>
      </c>
      <c r="G4874" s="2"/>
      <c r="H4874" s="12">
        <v>0.0</v>
      </c>
      <c r="I4874" s="2" t="s">
        <v>40</v>
      </c>
      <c r="J4874" s="2"/>
      <c r="K4874" s="2" t="s">
        <v>13171</v>
      </c>
      <c r="L4874" s="12">
        <v>66.0</v>
      </c>
      <c r="M4874" s="2" t="s">
        <v>13172</v>
      </c>
      <c r="N4874" s="2" t="str">
        <f>IFERROR(__xludf.DUMMYFUNCTION("""COMPUTED_VALUE"""),"")</f>
        <v/>
      </c>
    </row>
    <row r="4875">
      <c r="A4875" s="2" t="s">
        <v>33</v>
      </c>
      <c r="B4875" s="12">
        <v>4715043.0</v>
      </c>
      <c r="C4875" s="12">
        <v>4715402.0</v>
      </c>
      <c r="D4875" s="2"/>
      <c r="E4875" s="2" t="s">
        <v>38</v>
      </c>
      <c r="F4875" s="2" t="s">
        <v>13173</v>
      </c>
      <c r="G4875" s="2"/>
      <c r="H4875" s="12">
        <v>0.0</v>
      </c>
      <c r="I4875" s="2" t="s">
        <v>40</v>
      </c>
      <c r="J4875" s="2"/>
      <c r="K4875" s="2" t="s">
        <v>13174</v>
      </c>
      <c r="L4875" s="12">
        <v>119.0</v>
      </c>
      <c r="M4875" s="2" t="s">
        <v>13175</v>
      </c>
      <c r="N4875" s="2" t="str">
        <f>IFERROR(__xludf.DUMMYFUNCTION("""COMPUTED_VALUE"""),"")</f>
        <v/>
      </c>
    </row>
    <row r="4876">
      <c r="A4876" s="2" t="s">
        <v>33</v>
      </c>
      <c r="B4876" s="12">
        <v>4715582.0</v>
      </c>
      <c r="C4876" s="12">
        <v>4715776.0</v>
      </c>
      <c r="D4876" s="2"/>
      <c r="E4876" s="2" t="s">
        <v>34</v>
      </c>
      <c r="F4876" s="2" t="s">
        <v>39</v>
      </c>
      <c r="G4876" s="2"/>
      <c r="H4876" s="12">
        <v>0.0</v>
      </c>
      <c r="I4876" s="2" t="s">
        <v>40</v>
      </c>
      <c r="J4876" s="2"/>
      <c r="K4876" s="2" t="s">
        <v>13176</v>
      </c>
      <c r="L4876" s="12">
        <v>64.0</v>
      </c>
      <c r="M4876" s="2" t="s">
        <v>13177</v>
      </c>
      <c r="N4876" s="2" t="str">
        <f>IFERROR(__xludf.DUMMYFUNCTION("""COMPUTED_VALUE"""),"")</f>
        <v/>
      </c>
    </row>
    <row r="4877">
      <c r="A4877" s="2" t="s">
        <v>33</v>
      </c>
      <c r="B4877" s="12">
        <v>4715865.0</v>
      </c>
      <c r="C4877" s="12">
        <v>4716590.0</v>
      </c>
      <c r="D4877" s="2"/>
      <c r="E4877" s="2" t="s">
        <v>34</v>
      </c>
      <c r="F4877" s="2" t="s">
        <v>432</v>
      </c>
      <c r="G4877" s="2"/>
      <c r="H4877" s="12">
        <v>0.0</v>
      </c>
      <c r="I4877" s="2" t="s">
        <v>40</v>
      </c>
      <c r="J4877" s="2"/>
      <c r="K4877" s="2" t="s">
        <v>13178</v>
      </c>
      <c r="L4877" s="12">
        <v>241.0</v>
      </c>
      <c r="M4877" s="2" t="s">
        <v>13179</v>
      </c>
      <c r="N4877" s="2" t="str">
        <f>IFERROR(__xludf.DUMMYFUNCTION("""COMPUTED_VALUE"""),"")</f>
        <v/>
      </c>
    </row>
    <row r="4878">
      <c r="A4878" s="2" t="s">
        <v>33</v>
      </c>
      <c r="B4878" s="12">
        <v>4716583.0</v>
      </c>
      <c r="C4878" s="12">
        <v>4718241.0</v>
      </c>
      <c r="D4878" s="2"/>
      <c r="E4878" s="2" t="s">
        <v>34</v>
      </c>
      <c r="F4878" s="2" t="s">
        <v>13180</v>
      </c>
      <c r="G4878" s="2"/>
      <c r="H4878" s="12">
        <v>0.0</v>
      </c>
      <c r="I4878" s="2" t="s">
        <v>40</v>
      </c>
      <c r="J4878" s="2"/>
      <c r="K4878" s="2" t="s">
        <v>13181</v>
      </c>
      <c r="L4878" s="12">
        <v>552.0</v>
      </c>
      <c r="M4878" s="2" t="s">
        <v>13182</v>
      </c>
      <c r="N4878" s="2" t="str">
        <f>IFERROR(__xludf.DUMMYFUNCTION("""COMPUTED_VALUE"""),"")</f>
        <v/>
      </c>
    </row>
    <row r="4879">
      <c r="A4879" s="2" t="s">
        <v>33</v>
      </c>
      <c r="B4879" s="12">
        <v>4718299.0</v>
      </c>
      <c r="C4879" s="12">
        <v>4719057.0</v>
      </c>
      <c r="D4879" s="2"/>
      <c r="E4879" s="2" t="s">
        <v>34</v>
      </c>
      <c r="F4879" s="2" t="s">
        <v>333</v>
      </c>
      <c r="G4879" s="2"/>
      <c r="H4879" s="12">
        <v>0.0</v>
      </c>
      <c r="I4879" s="2" t="s">
        <v>40</v>
      </c>
      <c r="J4879" s="2"/>
      <c r="K4879" s="2" t="s">
        <v>13183</v>
      </c>
      <c r="L4879" s="12">
        <v>252.0</v>
      </c>
      <c r="M4879" s="2" t="s">
        <v>13184</v>
      </c>
      <c r="N4879" s="2" t="str">
        <f>IFERROR(__xludf.DUMMYFUNCTION("""COMPUTED_VALUE"""),"")</f>
        <v/>
      </c>
    </row>
    <row r="4880">
      <c r="A4880" s="2" t="s">
        <v>33</v>
      </c>
      <c r="B4880" s="12">
        <v>4719396.0</v>
      </c>
      <c r="C4880" s="12">
        <v>4720112.0</v>
      </c>
      <c r="D4880" s="2"/>
      <c r="E4880" s="2" t="s">
        <v>34</v>
      </c>
      <c r="F4880" s="2" t="s">
        <v>39</v>
      </c>
      <c r="G4880" s="2"/>
      <c r="H4880" s="12">
        <v>0.0</v>
      </c>
      <c r="I4880" s="2" t="s">
        <v>40</v>
      </c>
      <c r="J4880" s="2"/>
      <c r="K4880" s="2" t="s">
        <v>13185</v>
      </c>
      <c r="L4880" s="12">
        <v>238.0</v>
      </c>
      <c r="M4880" s="2" t="s">
        <v>13186</v>
      </c>
      <c r="N4880" s="2" t="str">
        <f>IFERROR(__xludf.DUMMYFUNCTION("""COMPUTED_VALUE"""),"")</f>
        <v/>
      </c>
    </row>
    <row r="4881">
      <c r="A4881" s="2" t="s">
        <v>33</v>
      </c>
      <c r="B4881" s="12">
        <v>4720175.0</v>
      </c>
      <c r="C4881" s="12">
        <v>4721113.0</v>
      </c>
      <c r="D4881" s="2"/>
      <c r="E4881" s="2" t="s">
        <v>38</v>
      </c>
      <c r="F4881" s="2" t="s">
        <v>39</v>
      </c>
      <c r="G4881" s="2"/>
      <c r="H4881" s="12">
        <v>0.0</v>
      </c>
      <c r="I4881" s="2" t="s">
        <v>40</v>
      </c>
      <c r="J4881" s="2"/>
      <c r="K4881" s="2" t="s">
        <v>13187</v>
      </c>
      <c r="L4881" s="12">
        <v>312.0</v>
      </c>
      <c r="M4881" s="2" t="s">
        <v>13188</v>
      </c>
      <c r="N4881" s="2" t="str">
        <f>IFERROR(__xludf.DUMMYFUNCTION("""COMPUTED_VALUE"""),"")</f>
        <v/>
      </c>
    </row>
    <row r="4882">
      <c r="A4882" s="2" t="s">
        <v>33</v>
      </c>
      <c r="B4882" s="12">
        <v>4721185.0</v>
      </c>
      <c r="C4882" s="12">
        <v>4721661.0</v>
      </c>
      <c r="D4882" s="2"/>
      <c r="E4882" s="2" t="s">
        <v>38</v>
      </c>
      <c r="F4882" s="2" t="s">
        <v>39</v>
      </c>
      <c r="G4882" s="2"/>
      <c r="H4882" s="12">
        <v>0.0</v>
      </c>
      <c r="I4882" s="2" t="s">
        <v>40</v>
      </c>
      <c r="J4882" s="2"/>
      <c r="K4882" s="2" t="s">
        <v>13189</v>
      </c>
      <c r="L4882" s="12">
        <v>158.0</v>
      </c>
      <c r="M4882" s="2" t="s">
        <v>13190</v>
      </c>
      <c r="N4882" s="2" t="str">
        <f>IFERROR(__xludf.DUMMYFUNCTION("""COMPUTED_VALUE"""),"")</f>
        <v/>
      </c>
    </row>
    <row r="4883">
      <c r="A4883" s="2" t="s">
        <v>33</v>
      </c>
      <c r="B4883" s="12">
        <v>4721944.0</v>
      </c>
      <c r="C4883" s="12">
        <v>4723002.0</v>
      </c>
      <c r="D4883" s="2"/>
      <c r="E4883" s="2" t="s">
        <v>34</v>
      </c>
      <c r="F4883" s="2" t="s">
        <v>9562</v>
      </c>
      <c r="G4883" s="2"/>
      <c r="H4883" s="12">
        <v>0.0</v>
      </c>
      <c r="I4883" s="2" t="s">
        <v>40</v>
      </c>
      <c r="J4883" s="2"/>
      <c r="K4883" s="2" t="s">
        <v>13191</v>
      </c>
      <c r="L4883" s="12">
        <v>352.0</v>
      </c>
      <c r="M4883" s="2" t="s">
        <v>13192</v>
      </c>
      <c r="N4883" s="2" t="str">
        <f>IFERROR(__xludf.DUMMYFUNCTION("""COMPUTED_VALUE"""),"")</f>
        <v/>
      </c>
    </row>
    <row r="4884">
      <c r="A4884" s="2" t="s">
        <v>33</v>
      </c>
      <c r="B4884" s="12">
        <v>4723053.0</v>
      </c>
      <c r="C4884" s="12">
        <v>4723334.0</v>
      </c>
      <c r="D4884" s="2"/>
      <c r="E4884" s="2" t="s">
        <v>38</v>
      </c>
      <c r="F4884" s="2" t="s">
        <v>10214</v>
      </c>
      <c r="G4884" s="2"/>
      <c r="H4884" s="12">
        <v>0.0</v>
      </c>
      <c r="I4884" s="2" t="s">
        <v>40</v>
      </c>
      <c r="J4884" s="2"/>
      <c r="K4884" s="2" t="s">
        <v>13193</v>
      </c>
      <c r="L4884" s="12">
        <v>93.0</v>
      </c>
      <c r="M4884" s="2" t="s">
        <v>13194</v>
      </c>
      <c r="N4884" s="2" t="str">
        <f>IFERROR(__xludf.DUMMYFUNCTION("""COMPUTED_VALUE"""),"")</f>
        <v/>
      </c>
    </row>
    <row r="4885">
      <c r="A4885" s="2" t="s">
        <v>33</v>
      </c>
      <c r="B4885" s="12">
        <v>4723489.0</v>
      </c>
      <c r="C4885" s="12">
        <v>4724172.0</v>
      </c>
      <c r="D4885" s="2"/>
      <c r="E4885" s="2" t="s">
        <v>38</v>
      </c>
      <c r="F4885" s="2" t="s">
        <v>4899</v>
      </c>
      <c r="G4885" s="2"/>
      <c r="H4885" s="12">
        <v>0.0</v>
      </c>
      <c r="I4885" s="2" t="s">
        <v>40</v>
      </c>
      <c r="J4885" s="2"/>
      <c r="K4885" s="2" t="s">
        <v>13195</v>
      </c>
      <c r="L4885" s="12">
        <v>227.0</v>
      </c>
      <c r="M4885" s="2" t="s">
        <v>13196</v>
      </c>
      <c r="N4885" s="2" t="str">
        <f>IFERROR(__xludf.DUMMYFUNCTION("""COMPUTED_VALUE"""),"")</f>
        <v/>
      </c>
    </row>
    <row r="4886">
      <c r="A4886" s="2" t="s">
        <v>33</v>
      </c>
      <c r="B4886" s="12">
        <v>4724302.0</v>
      </c>
      <c r="C4886" s="12">
        <v>4724682.0</v>
      </c>
      <c r="D4886" s="2"/>
      <c r="E4886" s="2" t="s">
        <v>34</v>
      </c>
      <c r="F4886" s="2" t="s">
        <v>216</v>
      </c>
      <c r="G4886" s="2"/>
      <c r="H4886" s="12">
        <v>0.0</v>
      </c>
      <c r="I4886" s="2" t="s">
        <v>40</v>
      </c>
      <c r="J4886" s="2"/>
      <c r="K4886" s="2" t="s">
        <v>13197</v>
      </c>
      <c r="L4886" s="12">
        <v>126.0</v>
      </c>
      <c r="M4886" s="2" t="s">
        <v>13198</v>
      </c>
      <c r="N4886" s="2" t="str">
        <f>IFERROR(__xludf.DUMMYFUNCTION("""COMPUTED_VALUE"""),"")</f>
        <v/>
      </c>
    </row>
    <row r="4887">
      <c r="A4887" s="2" t="s">
        <v>33</v>
      </c>
      <c r="B4887" s="12">
        <v>4724753.0</v>
      </c>
      <c r="C4887" s="12">
        <v>4725352.0</v>
      </c>
      <c r="D4887" s="2"/>
      <c r="E4887" s="2" t="s">
        <v>38</v>
      </c>
      <c r="F4887" s="2" t="s">
        <v>39</v>
      </c>
      <c r="G4887" s="2"/>
      <c r="H4887" s="12">
        <v>0.0</v>
      </c>
      <c r="I4887" s="2" t="s">
        <v>40</v>
      </c>
      <c r="J4887" s="2"/>
      <c r="K4887" s="2" t="s">
        <v>13199</v>
      </c>
      <c r="L4887" s="12">
        <v>199.0</v>
      </c>
      <c r="M4887" s="2" t="s">
        <v>13200</v>
      </c>
      <c r="N4887" s="2" t="str">
        <f>IFERROR(__xludf.DUMMYFUNCTION("""COMPUTED_VALUE"""),"")</f>
        <v/>
      </c>
    </row>
    <row r="4888">
      <c r="A4888" s="2" t="s">
        <v>33</v>
      </c>
      <c r="B4888" s="12">
        <v>4725574.0</v>
      </c>
      <c r="C4888" s="12">
        <v>4725885.0</v>
      </c>
      <c r="D4888" s="2"/>
      <c r="E4888" s="2" t="s">
        <v>38</v>
      </c>
      <c r="F4888" s="2" t="s">
        <v>39</v>
      </c>
      <c r="G4888" s="2"/>
      <c r="H4888" s="12">
        <v>0.0</v>
      </c>
      <c r="I4888" s="2" t="s">
        <v>40</v>
      </c>
      <c r="J4888" s="2"/>
      <c r="K4888" s="2" t="s">
        <v>13201</v>
      </c>
      <c r="L4888" s="12">
        <v>103.0</v>
      </c>
      <c r="M4888" s="2" t="s">
        <v>13202</v>
      </c>
      <c r="N4888" s="2" t="str">
        <f>IFERROR(__xludf.DUMMYFUNCTION("""COMPUTED_VALUE"""),"")</f>
        <v/>
      </c>
    </row>
    <row r="4889">
      <c r="A4889" s="2" t="s">
        <v>33</v>
      </c>
      <c r="B4889" s="12">
        <v>4726046.0</v>
      </c>
      <c r="C4889" s="12">
        <v>4727323.0</v>
      </c>
      <c r="D4889" s="2"/>
      <c r="E4889" s="2" t="s">
        <v>38</v>
      </c>
      <c r="F4889" s="2" t="s">
        <v>10162</v>
      </c>
      <c r="G4889" s="2"/>
      <c r="H4889" s="12">
        <v>0.0</v>
      </c>
      <c r="I4889" s="2" t="s">
        <v>40</v>
      </c>
      <c r="J4889" s="2"/>
      <c r="K4889" s="2" t="s">
        <v>13203</v>
      </c>
      <c r="L4889" s="12">
        <v>425.0</v>
      </c>
      <c r="M4889" s="2" t="s">
        <v>13204</v>
      </c>
      <c r="N4889" s="2" t="str">
        <f>IFERROR(__xludf.DUMMYFUNCTION("""COMPUTED_VALUE"""),"")</f>
        <v/>
      </c>
    </row>
    <row r="4890">
      <c r="A4890" s="2" t="s">
        <v>33</v>
      </c>
      <c r="B4890" s="12">
        <v>4727664.0</v>
      </c>
      <c r="C4890" s="12">
        <v>4728140.0</v>
      </c>
      <c r="D4890" s="2"/>
      <c r="E4890" s="2" t="s">
        <v>34</v>
      </c>
      <c r="F4890" s="2" t="s">
        <v>13205</v>
      </c>
      <c r="G4890" s="2" t="s">
        <v>13206</v>
      </c>
      <c r="H4890" s="12">
        <v>0.0</v>
      </c>
      <c r="I4890" s="2" t="s">
        <v>40</v>
      </c>
      <c r="J4890" s="2"/>
      <c r="K4890" s="2" t="s">
        <v>13207</v>
      </c>
      <c r="L4890" s="12">
        <v>158.0</v>
      </c>
      <c r="M4890" s="2" t="s">
        <v>13208</v>
      </c>
      <c r="N4890" s="2" t="str">
        <f>IFERROR(__xludf.DUMMYFUNCTION("""COMPUTED_VALUE"""),"")</f>
        <v/>
      </c>
    </row>
    <row r="4891">
      <c r="A4891" s="2" t="s">
        <v>33</v>
      </c>
      <c r="B4891" s="12">
        <v>4728444.0</v>
      </c>
      <c r="C4891" s="12">
        <v>4728584.0</v>
      </c>
      <c r="D4891" s="2"/>
      <c r="E4891" s="2" t="s">
        <v>34</v>
      </c>
      <c r="F4891" s="2" t="s">
        <v>39</v>
      </c>
      <c r="G4891" s="2"/>
      <c r="H4891" s="12">
        <v>0.0</v>
      </c>
      <c r="I4891" s="2" t="s">
        <v>40</v>
      </c>
      <c r="J4891" s="2"/>
      <c r="K4891" s="2" t="s">
        <v>13209</v>
      </c>
      <c r="L4891" s="12">
        <v>46.0</v>
      </c>
      <c r="M4891" s="2" t="s">
        <v>13210</v>
      </c>
      <c r="N4891" s="2" t="str">
        <f>IFERROR(__xludf.DUMMYFUNCTION("""COMPUTED_VALUE"""),"")</f>
        <v/>
      </c>
    </row>
    <row r="4892">
      <c r="A4892" s="2" t="s">
        <v>33</v>
      </c>
      <c r="B4892" s="12">
        <v>4728929.0</v>
      </c>
      <c r="C4892" s="12">
        <v>4729639.0</v>
      </c>
      <c r="D4892" s="2"/>
      <c r="E4892" s="2" t="s">
        <v>38</v>
      </c>
      <c r="F4892" s="2" t="s">
        <v>35</v>
      </c>
      <c r="G4892" s="2"/>
      <c r="H4892" s="12">
        <v>0.0</v>
      </c>
      <c r="I4892" s="2" t="s">
        <v>36</v>
      </c>
      <c r="J4892" s="2"/>
      <c r="K4892" s="2"/>
      <c r="L4892" s="2"/>
      <c r="M4892" s="2" t="s">
        <v>13211</v>
      </c>
      <c r="N4892" s="2" t="str">
        <f>IFERROR(__xludf.DUMMYFUNCTION("""COMPUTED_VALUE"""),"")</f>
        <v/>
      </c>
    </row>
    <row r="4893">
      <c r="A4893" s="2" t="s">
        <v>33</v>
      </c>
      <c r="B4893" s="12">
        <v>4729740.0</v>
      </c>
      <c r="C4893" s="12">
        <v>4730939.0</v>
      </c>
      <c r="D4893" s="2"/>
      <c r="E4893" s="2" t="s">
        <v>38</v>
      </c>
      <c r="F4893" s="2" t="s">
        <v>88</v>
      </c>
      <c r="G4893" s="2"/>
      <c r="H4893" s="12">
        <v>0.0</v>
      </c>
      <c r="I4893" s="2" t="s">
        <v>40</v>
      </c>
      <c r="J4893" s="2"/>
      <c r="K4893" s="2" t="s">
        <v>13212</v>
      </c>
      <c r="L4893" s="12">
        <v>399.0</v>
      </c>
      <c r="M4893" s="2" t="s">
        <v>13213</v>
      </c>
      <c r="N4893" s="2" t="str">
        <f>IFERROR(__xludf.DUMMYFUNCTION("""COMPUTED_VALUE"""),"")</f>
        <v/>
      </c>
    </row>
    <row r="4894">
      <c r="A4894" s="2" t="s">
        <v>33</v>
      </c>
      <c r="B4894" s="12">
        <v>4730955.0</v>
      </c>
      <c r="C4894" s="12">
        <v>4731371.0</v>
      </c>
      <c r="D4894" s="2"/>
      <c r="E4894" s="2" t="s">
        <v>38</v>
      </c>
      <c r="F4894" s="2" t="s">
        <v>534</v>
      </c>
      <c r="G4894" s="2"/>
      <c r="H4894" s="12">
        <v>0.0</v>
      </c>
      <c r="I4894" s="2" t="s">
        <v>40</v>
      </c>
      <c r="J4894" s="2"/>
      <c r="K4894" s="2" t="s">
        <v>13214</v>
      </c>
      <c r="L4894" s="12">
        <v>138.0</v>
      </c>
      <c r="M4894" s="2" t="s">
        <v>13215</v>
      </c>
      <c r="N4894" s="2" t="str">
        <f>IFERROR(__xludf.DUMMYFUNCTION("""COMPUTED_VALUE"""),"")</f>
        <v/>
      </c>
    </row>
    <row r="4895">
      <c r="A4895" s="2" t="s">
        <v>33</v>
      </c>
      <c r="B4895" s="12">
        <v>4731561.0</v>
      </c>
      <c r="C4895" s="12">
        <v>4732463.0</v>
      </c>
      <c r="D4895" s="2"/>
      <c r="E4895" s="2" t="s">
        <v>34</v>
      </c>
      <c r="F4895" s="2" t="s">
        <v>326</v>
      </c>
      <c r="G4895" s="2"/>
      <c r="H4895" s="12">
        <v>0.0</v>
      </c>
      <c r="I4895" s="2" t="s">
        <v>40</v>
      </c>
      <c r="J4895" s="2"/>
      <c r="K4895" s="2" t="s">
        <v>13216</v>
      </c>
      <c r="L4895" s="12">
        <v>300.0</v>
      </c>
      <c r="M4895" s="2" t="s">
        <v>13217</v>
      </c>
      <c r="N4895" s="2" t="str">
        <f>IFERROR(__xludf.DUMMYFUNCTION("""COMPUTED_VALUE"""),"")</f>
        <v/>
      </c>
    </row>
    <row r="4896">
      <c r="A4896" s="2" t="s">
        <v>33</v>
      </c>
      <c r="B4896" s="12">
        <v>4732525.0</v>
      </c>
      <c r="C4896" s="12">
        <v>4732752.0</v>
      </c>
      <c r="D4896" s="2"/>
      <c r="E4896" s="2" t="s">
        <v>34</v>
      </c>
      <c r="F4896" s="2" t="s">
        <v>39</v>
      </c>
      <c r="G4896" s="2"/>
      <c r="H4896" s="12">
        <v>0.0</v>
      </c>
      <c r="I4896" s="2" t="s">
        <v>40</v>
      </c>
      <c r="J4896" s="2"/>
      <c r="K4896" s="2" t="s">
        <v>13218</v>
      </c>
      <c r="L4896" s="12">
        <v>75.0</v>
      </c>
      <c r="M4896" s="2" t="s">
        <v>13219</v>
      </c>
      <c r="N4896" s="2" t="str">
        <f>IFERROR(__xludf.DUMMYFUNCTION("""COMPUTED_VALUE"""),"")</f>
        <v/>
      </c>
    </row>
    <row r="4897">
      <c r="A4897" s="2" t="s">
        <v>33</v>
      </c>
      <c r="B4897" s="12">
        <v>4732871.0</v>
      </c>
      <c r="C4897" s="12">
        <v>4734067.0</v>
      </c>
      <c r="D4897" s="2"/>
      <c r="E4897" s="2" t="s">
        <v>34</v>
      </c>
      <c r="F4897" s="2" t="s">
        <v>88</v>
      </c>
      <c r="G4897" s="2"/>
      <c r="H4897" s="12">
        <v>0.0</v>
      </c>
      <c r="I4897" s="2" t="s">
        <v>40</v>
      </c>
      <c r="J4897" s="2"/>
      <c r="K4897" s="2" t="s">
        <v>13220</v>
      </c>
      <c r="L4897" s="12">
        <v>398.0</v>
      </c>
      <c r="M4897" s="2" t="s">
        <v>13221</v>
      </c>
      <c r="N4897" s="2" t="str">
        <f>IFERROR(__xludf.DUMMYFUNCTION("""COMPUTED_VALUE"""),"")</f>
        <v/>
      </c>
    </row>
    <row r="4898">
      <c r="A4898" s="2" t="s">
        <v>33</v>
      </c>
      <c r="B4898" s="12">
        <v>4734051.0</v>
      </c>
      <c r="C4898" s="12">
        <v>4734251.0</v>
      </c>
      <c r="D4898" s="2"/>
      <c r="E4898" s="2" t="s">
        <v>34</v>
      </c>
      <c r="F4898" s="2" t="s">
        <v>13222</v>
      </c>
      <c r="G4898" s="2"/>
      <c r="H4898" s="12">
        <v>0.0</v>
      </c>
      <c r="I4898" s="2" t="s">
        <v>40</v>
      </c>
      <c r="J4898" s="2"/>
      <c r="K4898" s="2" t="s">
        <v>13223</v>
      </c>
      <c r="L4898" s="12">
        <v>66.0</v>
      </c>
      <c r="M4898" s="2" t="s">
        <v>13224</v>
      </c>
      <c r="N4898" s="2" t="str">
        <f>IFERROR(__xludf.DUMMYFUNCTION("""COMPUTED_VALUE"""),"")</f>
        <v/>
      </c>
    </row>
    <row r="4899">
      <c r="A4899" s="2" t="s">
        <v>33</v>
      </c>
      <c r="B4899" s="12">
        <v>4734851.0</v>
      </c>
      <c r="C4899" s="12">
        <v>4736086.0</v>
      </c>
      <c r="D4899" s="2"/>
      <c r="E4899" s="2" t="s">
        <v>34</v>
      </c>
      <c r="F4899" s="2" t="s">
        <v>2288</v>
      </c>
      <c r="G4899" s="2"/>
      <c r="H4899" s="12">
        <v>0.0</v>
      </c>
      <c r="I4899" s="2" t="s">
        <v>40</v>
      </c>
      <c r="J4899" s="2"/>
      <c r="K4899" s="2" t="s">
        <v>13225</v>
      </c>
      <c r="L4899" s="12">
        <v>411.0</v>
      </c>
      <c r="M4899" s="2" t="s">
        <v>13226</v>
      </c>
      <c r="N4899" s="2" t="str">
        <f>IFERROR(__xludf.DUMMYFUNCTION("""COMPUTED_VALUE"""),"")</f>
        <v/>
      </c>
    </row>
    <row r="4900">
      <c r="A4900" s="2" t="s">
        <v>33</v>
      </c>
      <c r="B4900" s="12">
        <v>4736135.0</v>
      </c>
      <c r="C4900" s="12">
        <v>4736866.0</v>
      </c>
      <c r="D4900" s="2"/>
      <c r="E4900" s="2" t="s">
        <v>34</v>
      </c>
      <c r="F4900" s="2" t="s">
        <v>13227</v>
      </c>
      <c r="G4900" s="2"/>
      <c r="H4900" s="12">
        <v>0.0</v>
      </c>
      <c r="I4900" s="2" t="s">
        <v>40</v>
      </c>
      <c r="J4900" s="2"/>
      <c r="K4900" s="2" t="s">
        <v>13228</v>
      </c>
      <c r="L4900" s="12">
        <v>243.0</v>
      </c>
      <c r="M4900" s="2" t="s">
        <v>13229</v>
      </c>
      <c r="N4900" s="2" t="str">
        <f>IFERROR(__xludf.DUMMYFUNCTION("""COMPUTED_VALUE"""),"")</f>
        <v/>
      </c>
    </row>
    <row r="4901">
      <c r="A4901" s="2" t="s">
        <v>33</v>
      </c>
      <c r="B4901" s="12">
        <v>4737512.0</v>
      </c>
      <c r="C4901" s="12">
        <v>4737934.0</v>
      </c>
      <c r="D4901" s="2"/>
      <c r="E4901" s="2" t="s">
        <v>34</v>
      </c>
      <c r="F4901" s="2" t="s">
        <v>39</v>
      </c>
      <c r="G4901" s="2"/>
      <c r="H4901" s="12">
        <v>0.0</v>
      </c>
      <c r="I4901" s="2" t="s">
        <v>40</v>
      </c>
      <c r="J4901" s="2"/>
      <c r="K4901" s="2" t="s">
        <v>13230</v>
      </c>
      <c r="L4901" s="12">
        <v>140.0</v>
      </c>
      <c r="M4901" s="2" t="s">
        <v>13231</v>
      </c>
      <c r="N4901" s="2" t="str">
        <f>IFERROR(__xludf.DUMMYFUNCTION("""COMPUTED_VALUE"""),"")</f>
        <v/>
      </c>
    </row>
    <row r="4902">
      <c r="A4902" s="2" t="s">
        <v>33</v>
      </c>
      <c r="B4902" s="12">
        <v>4737961.0</v>
      </c>
      <c r="C4902" s="12">
        <v>4738266.0</v>
      </c>
      <c r="D4902" s="2"/>
      <c r="E4902" s="2" t="s">
        <v>34</v>
      </c>
      <c r="F4902" s="2" t="s">
        <v>1482</v>
      </c>
      <c r="G4902" s="2"/>
      <c r="H4902" s="12">
        <v>0.0</v>
      </c>
      <c r="I4902" s="2" t="s">
        <v>40</v>
      </c>
      <c r="J4902" s="2"/>
      <c r="K4902" s="2" t="s">
        <v>13232</v>
      </c>
      <c r="L4902" s="12">
        <v>101.0</v>
      </c>
      <c r="M4902" s="2" t="s">
        <v>13233</v>
      </c>
      <c r="N4902" s="2" t="str">
        <f>IFERROR(__xludf.DUMMYFUNCTION("""COMPUTED_VALUE"""),"")</f>
        <v/>
      </c>
    </row>
    <row r="4903">
      <c r="A4903" s="2" t="s">
        <v>33</v>
      </c>
      <c r="B4903" s="12">
        <v>4738289.0</v>
      </c>
      <c r="C4903" s="12">
        <v>4739008.0</v>
      </c>
      <c r="D4903" s="2"/>
      <c r="E4903" s="2" t="s">
        <v>34</v>
      </c>
      <c r="F4903" s="2" t="s">
        <v>13234</v>
      </c>
      <c r="G4903" s="2"/>
      <c r="H4903" s="12">
        <v>0.0</v>
      </c>
      <c r="I4903" s="2" t="s">
        <v>40</v>
      </c>
      <c r="J4903" s="2"/>
      <c r="K4903" s="2" t="s">
        <v>13235</v>
      </c>
      <c r="L4903" s="12">
        <v>239.0</v>
      </c>
      <c r="M4903" s="2" t="s">
        <v>13236</v>
      </c>
      <c r="N4903" s="2" t="str">
        <f>IFERROR(__xludf.DUMMYFUNCTION("""COMPUTED_VALUE"""),"")</f>
        <v/>
      </c>
    </row>
    <row r="4904">
      <c r="A4904" s="2" t="s">
        <v>33</v>
      </c>
      <c r="B4904" s="12">
        <v>4739008.0</v>
      </c>
      <c r="C4904" s="12">
        <v>4739334.0</v>
      </c>
      <c r="D4904" s="2"/>
      <c r="E4904" s="2" t="s">
        <v>34</v>
      </c>
      <c r="F4904" s="2" t="s">
        <v>39</v>
      </c>
      <c r="G4904" s="2"/>
      <c r="H4904" s="12">
        <v>0.0</v>
      </c>
      <c r="I4904" s="2" t="s">
        <v>40</v>
      </c>
      <c r="J4904" s="2"/>
      <c r="K4904" s="2" t="s">
        <v>13237</v>
      </c>
      <c r="L4904" s="12">
        <v>108.0</v>
      </c>
      <c r="M4904" s="2" t="s">
        <v>13238</v>
      </c>
      <c r="N4904" s="2" t="str">
        <f>IFERROR(__xludf.DUMMYFUNCTION("""COMPUTED_VALUE"""),"")</f>
        <v/>
      </c>
    </row>
    <row r="4905">
      <c r="A4905" s="2" t="s">
        <v>33</v>
      </c>
      <c r="B4905" s="12">
        <v>4739368.0</v>
      </c>
      <c r="C4905" s="12">
        <v>4741176.0</v>
      </c>
      <c r="D4905" s="2"/>
      <c r="E4905" s="2" t="s">
        <v>34</v>
      </c>
      <c r="F4905" s="2" t="s">
        <v>39</v>
      </c>
      <c r="G4905" s="2"/>
      <c r="H4905" s="12">
        <v>0.0</v>
      </c>
      <c r="I4905" s="2" t="s">
        <v>40</v>
      </c>
      <c r="J4905" s="2"/>
      <c r="K4905" s="2" t="s">
        <v>13239</v>
      </c>
      <c r="L4905" s="12">
        <v>602.0</v>
      </c>
      <c r="M4905" s="2" t="s">
        <v>13240</v>
      </c>
      <c r="N4905" s="2" t="str">
        <f>IFERROR(__xludf.DUMMYFUNCTION("""COMPUTED_VALUE"""),"")</f>
        <v/>
      </c>
    </row>
    <row r="4906">
      <c r="A4906" s="2" t="s">
        <v>33</v>
      </c>
      <c r="B4906" s="12">
        <v>4741219.0</v>
      </c>
      <c r="C4906" s="12">
        <v>4741998.0</v>
      </c>
      <c r="D4906" s="2"/>
      <c r="E4906" s="2" t="s">
        <v>34</v>
      </c>
      <c r="F4906" s="2" t="s">
        <v>39</v>
      </c>
      <c r="G4906" s="2"/>
      <c r="H4906" s="12">
        <v>0.0</v>
      </c>
      <c r="I4906" s="2" t="s">
        <v>40</v>
      </c>
      <c r="J4906" s="2"/>
      <c r="K4906" s="2" t="s">
        <v>13241</v>
      </c>
      <c r="L4906" s="12">
        <v>259.0</v>
      </c>
      <c r="M4906" s="2" t="s">
        <v>13242</v>
      </c>
      <c r="N4906" s="2" t="str">
        <f>IFERROR(__xludf.DUMMYFUNCTION("""COMPUTED_VALUE"""),"")</f>
        <v/>
      </c>
    </row>
    <row r="4907">
      <c r="A4907" s="2" t="s">
        <v>33</v>
      </c>
      <c r="B4907" s="12">
        <v>4742018.0</v>
      </c>
      <c r="C4907" s="12">
        <v>4742731.0</v>
      </c>
      <c r="D4907" s="2"/>
      <c r="E4907" s="2" t="s">
        <v>34</v>
      </c>
      <c r="F4907" s="2" t="s">
        <v>2164</v>
      </c>
      <c r="G4907" s="2"/>
      <c r="H4907" s="12">
        <v>0.0</v>
      </c>
      <c r="I4907" s="2" t="s">
        <v>40</v>
      </c>
      <c r="J4907" s="2"/>
      <c r="K4907" s="2" t="s">
        <v>13243</v>
      </c>
      <c r="L4907" s="12">
        <v>237.0</v>
      </c>
      <c r="M4907" s="2" t="s">
        <v>13244</v>
      </c>
      <c r="N4907" s="2" t="str">
        <f>IFERROR(__xludf.DUMMYFUNCTION("""COMPUTED_VALUE"""),"")</f>
        <v/>
      </c>
    </row>
    <row r="4908">
      <c r="A4908" s="2" t="s">
        <v>33</v>
      </c>
      <c r="B4908" s="12">
        <v>4742854.0</v>
      </c>
      <c r="C4908" s="12">
        <v>4743492.0</v>
      </c>
      <c r="D4908" s="2"/>
      <c r="E4908" s="2" t="s">
        <v>34</v>
      </c>
      <c r="F4908" s="2" t="s">
        <v>159</v>
      </c>
      <c r="G4908" s="2"/>
      <c r="H4908" s="12">
        <v>0.0</v>
      </c>
      <c r="I4908" s="2" t="s">
        <v>40</v>
      </c>
      <c r="J4908" s="2"/>
      <c r="K4908" s="2" t="s">
        <v>13245</v>
      </c>
      <c r="L4908" s="12">
        <v>212.0</v>
      </c>
      <c r="M4908" s="2" t="s">
        <v>13246</v>
      </c>
      <c r="N4908" s="2" t="str">
        <f>IFERROR(__xludf.DUMMYFUNCTION("""COMPUTED_VALUE"""),"")</f>
        <v/>
      </c>
    </row>
    <row r="4909">
      <c r="A4909" s="2" t="s">
        <v>33</v>
      </c>
      <c r="B4909" s="12">
        <v>4743508.0</v>
      </c>
      <c r="C4909" s="12">
        <v>4743948.0</v>
      </c>
      <c r="D4909" s="2"/>
      <c r="E4909" s="2" t="s">
        <v>34</v>
      </c>
      <c r="F4909" s="2" t="s">
        <v>4722</v>
      </c>
      <c r="G4909" s="2"/>
      <c r="H4909" s="12">
        <v>0.0</v>
      </c>
      <c r="I4909" s="2" t="s">
        <v>40</v>
      </c>
      <c r="J4909" s="2"/>
      <c r="K4909" s="2" t="s">
        <v>13247</v>
      </c>
      <c r="L4909" s="12">
        <v>146.0</v>
      </c>
      <c r="M4909" s="2" t="s">
        <v>13248</v>
      </c>
      <c r="N4909" s="2" t="str">
        <f>IFERROR(__xludf.DUMMYFUNCTION("""COMPUTED_VALUE"""),"")</f>
        <v/>
      </c>
    </row>
    <row r="4910">
      <c r="A4910" s="2" t="s">
        <v>33</v>
      </c>
      <c r="B4910" s="12">
        <v>4744489.0</v>
      </c>
      <c r="C4910" s="12">
        <v>4745196.0</v>
      </c>
      <c r="D4910" s="2"/>
      <c r="E4910" s="2" t="s">
        <v>34</v>
      </c>
      <c r="F4910" s="2" t="s">
        <v>159</v>
      </c>
      <c r="G4910" s="2"/>
      <c r="H4910" s="12">
        <v>0.0</v>
      </c>
      <c r="I4910" s="2" t="s">
        <v>40</v>
      </c>
      <c r="J4910" s="2"/>
      <c r="K4910" s="2" t="s">
        <v>13249</v>
      </c>
      <c r="L4910" s="12">
        <v>235.0</v>
      </c>
      <c r="M4910" s="2" t="s">
        <v>13250</v>
      </c>
      <c r="N4910" s="2" t="str">
        <f>IFERROR(__xludf.DUMMYFUNCTION("""COMPUTED_VALUE"""),"")</f>
        <v/>
      </c>
    </row>
    <row r="4911">
      <c r="A4911" s="2" t="s">
        <v>33</v>
      </c>
      <c r="B4911" s="12">
        <v>4745212.0</v>
      </c>
      <c r="C4911" s="12">
        <v>4745679.0</v>
      </c>
      <c r="D4911" s="2"/>
      <c r="E4911" s="2" t="s">
        <v>34</v>
      </c>
      <c r="F4911" s="2" t="s">
        <v>13251</v>
      </c>
      <c r="G4911" s="2"/>
      <c r="H4911" s="12">
        <v>0.0</v>
      </c>
      <c r="I4911" s="2" t="s">
        <v>40</v>
      </c>
      <c r="J4911" s="2"/>
      <c r="K4911" s="2" t="s">
        <v>13252</v>
      </c>
      <c r="L4911" s="12">
        <v>155.0</v>
      </c>
      <c r="M4911" s="2" t="s">
        <v>13253</v>
      </c>
      <c r="N4911" s="2" t="str">
        <f>IFERROR(__xludf.DUMMYFUNCTION("""COMPUTED_VALUE"""),"")</f>
        <v/>
      </c>
    </row>
    <row r="4912">
      <c r="A4912" s="2" t="s">
        <v>33</v>
      </c>
      <c r="B4912" s="12">
        <v>4746048.0</v>
      </c>
      <c r="C4912" s="12">
        <v>4746742.0</v>
      </c>
      <c r="D4912" s="2"/>
      <c r="E4912" s="2" t="s">
        <v>34</v>
      </c>
      <c r="F4912" s="2" t="s">
        <v>35</v>
      </c>
      <c r="G4912" s="2"/>
      <c r="H4912" s="12">
        <v>0.0</v>
      </c>
      <c r="I4912" s="2" t="s">
        <v>36</v>
      </c>
      <c r="J4912" s="2"/>
      <c r="K4912" s="2"/>
      <c r="L4912" s="2"/>
      <c r="M4912" s="2" t="s">
        <v>13254</v>
      </c>
      <c r="N4912" s="2" t="str">
        <f>IFERROR(__xludf.DUMMYFUNCTION("""COMPUTED_VALUE"""),"")</f>
        <v/>
      </c>
    </row>
    <row r="4913">
      <c r="A4913" s="2" t="s">
        <v>33</v>
      </c>
      <c r="B4913" s="12">
        <v>4746735.0</v>
      </c>
      <c r="C4913" s="12">
        <v>4747217.0</v>
      </c>
      <c r="D4913" s="2"/>
      <c r="E4913" s="2" t="s">
        <v>34</v>
      </c>
      <c r="F4913" s="2" t="s">
        <v>13255</v>
      </c>
      <c r="G4913" s="2"/>
      <c r="H4913" s="12">
        <v>0.0</v>
      </c>
      <c r="I4913" s="2" t="s">
        <v>40</v>
      </c>
      <c r="J4913" s="2"/>
      <c r="K4913" s="2" t="s">
        <v>13256</v>
      </c>
      <c r="L4913" s="12">
        <v>160.0</v>
      </c>
      <c r="M4913" s="2" t="s">
        <v>13257</v>
      </c>
      <c r="N4913" s="2" t="str">
        <f>IFERROR(__xludf.DUMMYFUNCTION("""COMPUTED_VALUE"""),"")</f>
        <v/>
      </c>
    </row>
    <row r="4914">
      <c r="A4914" s="2" t="s">
        <v>33</v>
      </c>
      <c r="B4914" s="12">
        <v>4747412.0</v>
      </c>
      <c r="C4914" s="12">
        <v>4747534.0</v>
      </c>
      <c r="D4914" s="2"/>
      <c r="E4914" s="2" t="s">
        <v>34</v>
      </c>
      <c r="F4914" s="2" t="s">
        <v>39</v>
      </c>
      <c r="G4914" s="2"/>
      <c r="H4914" s="12">
        <v>0.0</v>
      </c>
      <c r="I4914" s="2" t="s">
        <v>40</v>
      </c>
      <c r="J4914" s="2"/>
      <c r="K4914" s="2" t="s">
        <v>13258</v>
      </c>
      <c r="L4914" s="12">
        <v>40.0</v>
      </c>
      <c r="M4914" s="2" t="s">
        <v>13259</v>
      </c>
      <c r="N4914" s="2" t="str">
        <f>IFERROR(__xludf.DUMMYFUNCTION("""COMPUTED_VALUE"""),"")</f>
        <v/>
      </c>
    </row>
    <row r="4915">
      <c r="A4915" s="2" t="s">
        <v>33</v>
      </c>
      <c r="B4915" s="12">
        <v>4747616.0</v>
      </c>
      <c r="C4915" s="12">
        <v>4748011.0</v>
      </c>
      <c r="D4915" s="2"/>
      <c r="E4915" s="2" t="s">
        <v>34</v>
      </c>
      <c r="F4915" s="2" t="s">
        <v>13260</v>
      </c>
      <c r="G4915" s="2"/>
      <c r="H4915" s="12">
        <v>0.0</v>
      </c>
      <c r="I4915" s="2" t="s">
        <v>40</v>
      </c>
      <c r="J4915" s="2"/>
      <c r="K4915" s="2" t="s">
        <v>13261</v>
      </c>
      <c r="L4915" s="12">
        <v>131.0</v>
      </c>
      <c r="M4915" s="2" t="s">
        <v>13262</v>
      </c>
      <c r="N4915" s="2" t="str">
        <f>IFERROR(__xludf.DUMMYFUNCTION("""COMPUTED_VALUE"""),"")</f>
        <v/>
      </c>
    </row>
    <row r="4916">
      <c r="A4916" s="2" t="s">
        <v>33</v>
      </c>
      <c r="B4916" s="12">
        <v>4748044.0</v>
      </c>
      <c r="C4916" s="12">
        <v>4748235.0</v>
      </c>
      <c r="D4916" s="2"/>
      <c r="E4916" s="2" t="s">
        <v>34</v>
      </c>
      <c r="F4916" s="2" t="s">
        <v>39</v>
      </c>
      <c r="G4916" s="2"/>
      <c r="H4916" s="12">
        <v>0.0</v>
      </c>
      <c r="I4916" s="2" t="s">
        <v>40</v>
      </c>
      <c r="J4916" s="2"/>
      <c r="K4916" s="2" t="s">
        <v>13263</v>
      </c>
      <c r="L4916" s="12">
        <v>63.0</v>
      </c>
      <c r="M4916" s="2" t="s">
        <v>13264</v>
      </c>
      <c r="N4916" s="2" t="str">
        <f>IFERROR(__xludf.DUMMYFUNCTION("""COMPUTED_VALUE"""),"")</f>
        <v/>
      </c>
    </row>
    <row r="4917">
      <c r="A4917" s="2" t="s">
        <v>33</v>
      </c>
      <c r="B4917" s="12">
        <v>4748242.0</v>
      </c>
      <c r="C4917" s="12">
        <v>4748445.0</v>
      </c>
      <c r="D4917" s="2"/>
      <c r="E4917" s="2" t="s">
        <v>34</v>
      </c>
      <c r="F4917" s="2" t="s">
        <v>35</v>
      </c>
      <c r="G4917" s="2"/>
      <c r="H4917" s="12">
        <v>0.0</v>
      </c>
      <c r="I4917" s="2" t="s">
        <v>36</v>
      </c>
      <c r="J4917" s="2"/>
      <c r="K4917" s="2"/>
      <c r="L4917" s="2"/>
      <c r="M4917" s="2" t="s">
        <v>13265</v>
      </c>
      <c r="N4917" s="2" t="str">
        <f>IFERROR(__xludf.DUMMYFUNCTION("""COMPUTED_VALUE"""),"")</f>
        <v/>
      </c>
    </row>
    <row r="4918">
      <c r="A4918" s="2" t="s">
        <v>33</v>
      </c>
      <c r="B4918" s="12">
        <v>4748559.0</v>
      </c>
      <c r="C4918" s="12">
        <v>4749212.0</v>
      </c>
      <c r="D4918" s="2"/>
      <c r="E4918" s="2" t="s">
        <v>34</v>
      </c>
      <c r="F4918" s="2" t="s">
        <v>4722</v>
      </c>
      <c r="G4918" s="2"/>
      <c r="H4918" s="12">
        <v>0.0</v>
      </c>
      <c r="I4918" s="2" t="s">
        <v>40</v>
      </c>
      <c r="J4918" s="2"/>
      <c r="K4918" s="2" t="s">
        <v>13266</v>
      </c>
      <c r="L4918" s="12">
        <v>217.0</v>
      </c>
      <c r="M4918" s="2" t="s">
        <v>13267</v>
      </c>
      <c r="N4918" s="2" t="str">
        <f>IFERROR(__xludf.DUMMYFUNCTION("""COMPUTED_VALUE"""),"")</f>
        <v/>
      </c>
    </row>
    <row r="4919">
      <c r="A4919" s="2" t="s">
        <v>33</v>
      </c>
      <c r="B4919" s="12">
        <v>4749285.0</v>
      </c>
      <c r="C4919" s="12">
        <v>4749752.0</v>
      </c>
      <c r="D4919" s="2"/>
      <c r="E4919" s="2" t="s">
        <v>34</v>
      </c>
      <c r="F4919" s="2" t="s">
        <v>13268</v>
      </c>
      <c r="G4919" s="2"/>
      <c r="H4919" s="12">
        <v>0.0</v>
      </c>
      <c r="I4919" s="2" t="s">
        <v>40</v>
      </c>
      <c r="J4919" s="2"/>
      <c r="K4919" s="2" t="s">
        <v>13269</v>
      </c>
      <c r="L4919" s="12">
        <v>155.0</v>
      </c>
      <c r="M4919" s="2" t="s">
        <v>13270</v>
      </c>
      <c r="N4919" s="2" t="str">
        <f>IFERROR(__xludf.DUMMYFUNCTION("""COMPUTED_VALUE"""),"")</f>
        <v/>
      </c>
    </row>
    <row r="4920">
      <c r="A4920" s="2" t="s">
        <v>33</v>
      </c>
      <c r="B4920" s="12">
        <v>4749781.0</v>
      </c>
      <c r="C4920" s="12">
        <v>4750236.0</v>
      </c>
      <c r="D4920" s="2"/>
      <c r="E4920" s="2" t="s">
        <v>34</v>
      </c>
      <c r="F4920" s="2" t="s">
        <v>13271</v>
      </c>
      <c r="G4920" s="2"/>
      <c r="H4920" s="12">
        <v>0.0</v>
      </c>
      <c r="I4920" s="2" t="s">
        <v>40</v>
      </c>
      <c r="J4920" s="2"/>
      <c r="K4920" s="2" t="s">
        <v>13272</v>
      </c>
      <c r="L4920" s="12">
        <v>151.0</v>
      </c>
      <c r="M4920" s="2" t="s">
        <v>13273</v>
      </c>
      <c r="N4920" s="2" t="str">
        <f>IFERROR(__xludf.DUMMYFUNCTION("""COMPUTED_VALUE"""),"")</f>
        <v/>
      </c>
    </row>
    <row r="4921">
      <c r="A4921" s="2" t="s">
        <v>33</v>
      </c>
      <c r="B4921" s="12">
        <v>4750293.0</v>
      </c>
      <c r="C4921" s="12">
        <v>4750817.0</v>
      </c>
      <c r="D4921" s="2"/>
      <c r="E4921" s="2" t="s">
        <v>34</v>
      </c>
      <c r="F4921" s="2" t="s">
        <v>39</v>
      </c>
      <c r="G4921" s="2"/>
      <c r="H4921" s="12">
        <v>0.0</v>
      </c>
      <c r="I4921" s="2" t="s">
        <v>40</v>
      </c>
      <c r="J4921" s="2"/>
      <c r="K4921" s="2" t="s">
        <v>13274</v>
      </c>
      <c r="L4921" s="12">
        <v>174.0</v>
      </c>
      <c r="M4921" s="2" t="s">
        <v>13275</v>
      </c>
      <c r="N4921" s="2" t="str">
        <f>IFERROR(__xludf.DUMMYFUNCTION("""COMPUTED_VALUE"""),"")</f>
        <v/>
      </c>
    </row>
    <row r="4922">
      <c r="A4922" s="2" t="s">
        <v>33</v>
      </c>
      <c r="B4922" s="12">
        <v>4750941.0</v>
      </c>
      <c r="C4922" s="12">
        <v>4751192.0</v>
      </c>
      <c r="D4922" s="2"/>
      <c r="E4922" s="2" t="s">
        <v>34</v>
      </c>
      <c r="F4922" s="2" t="s">
        <v>13276</v>
      </c>
      <c r="G4922" s="2"/>
      <c r="H4922" s="12">
        <v>0.0</v>
      </c>
      <c r="I4922" s="2" t="s">
        <v>40</v>
      </c>
      <c r="J4922" s="2"/>
      <c r="K4922" s="2" t="s">
        <v>13277</v>
      </c>
      <c r="L4922" s="12">
        <v>83.0</v>
      </c>
      <c r="M4922" s="2" t="s">
        <v>13278</v>
      </c>
      <c r="N4922" s="2" t="str">
        <f>IFERROR(__xludf.DUMMYFUNCTION("""COMPUTED_VALUE"""),"")</f>
        <v/>
      </c>
    </row>
    <row r="4923">
      <c r="A4923" s="2" t="s">
        <v>33</v>
      </c>
      <c r="B4923" s="12">
        <v>4751193.0</v>
      </c>
      <c r="C4923" s="12">
        <v>4751372.0</v>
      </c>
      <c r="D4923" s="2"/>
      <c r="E4923" s="2" t="s">
        <v>34</v>
      </c>
      <c r="F4923" s="2" t="s">
        <v>39</v>
      </c>
      <c r="G4923" s="2"/>
      <c r="H4923" s="12">
        <v>0.0</v>
      </c>
      <c r="I4923" s="2" t="s">
        <v>40</v>
      </c>
      <c r="J4923" s="2"/>
      <c r="K4923" s="2" t="s">
        <v>13279</v>
      </c>
      <c r="L4923" s="12">
        <v>59.0</v>
      </c>
      <c r="M4923" s="2" t="s">
        <v>13280</v>
      </c>
      <c r="N4923" s="2" t="str">
        <f>IFERROR(__xludf.DUMMYFUNCTION("""COMPUTED_VALUE"""),"")</f>
        <v/>
      </c>
    </row>
    <row r="4924">
      <c r="A4924" s="2" t="s">
        <v>33</v>
      </c>
      <c r="B4924" s="12">
        <v>4751486.0</v>
      </c>
      <c r="C4924" s="12">
        <v>4751920.0</v>
      </c>
      <c r="D4924" s="2"/>
      <c r="E4924" s="2" t="s">
        <v>34</v>
      </c>
      <c r="F4924" s="2" t="s">
        <v>4722</v>
      </c>
      <c r="G4924" s="2"/>
      <c r="H4924" s="12">
        <v>0.0</v>
      </c>
      <c r="I4924" s="2" t="s">
        <v>40</v>
      </c>
      <c r="J4924" s="2"/>
      <c r="K4924" s="2" t="s">
        <v>13281</v>
      </c>
      <c r="L4924" s="12">
        <v>144.0</v>
      </c>
      <c r="M4924" s="2" t="s">
        <v>13282</v>
      </c>
      <c r="N4924" s="2" t="str">
        <f>IFERROR(__xludf.DUMMYFUNCTION("""COMPUTED_VALUE"""),"")</f>
        <v/>
      </c>
    </row>
    <row r="4925">
      <c r="A4925" s="2" t="s">
        <v>33</v>
      </c>
      <c r="B4925" s="12">
        <v>4752098.0</v>
      </c>
      <c r="C4925" s="12">
        <v>4752361.0</v>
      </c>
      <c r="D4925" s="2"/>
      <c r="E4925" s="2" t="s">
        <v>34</v>
      </c>
      <c r="F4925" s="2" t="s">
        <v>35</v>
      </c>
      <c r="G4925" s="2"/>
      <c r="H4925" s="12">
        <v>0.0</v>
      </c>
      <c r="I4925" s="2" t="s">
        <v>36</v>
      </c>
      <c r="J4925" s="2"/>
      <c r="K4925" s="2"/>
      <c r="L4925" s="2"/>
      <c r="M4925" s="2" t="s">
        <v>13283</v>
      </c>
      <c r="N4925" s="2" t="str">
        <f>IFERROR(__xludf.DUMMYFUNCTION("""COMPUTED_VALUE"""),"")</f>
        <v/>
      </c>
    </row>
    <row r="4926">
      <c r="A4926" s="2" t="s">
        <v>33</v>
      </c>
      <c r="B4926" s="12">
        <v>4752546.0</v>
      </c>
      <c r="C4926" s="12">
        <v>4752800.0</v>
      </c>
      <c r="D4926" s="2"/>
      <c r="E4926" s="2" t="s">
        <v>38</v>
      </c>
      <c r="F4926" s="2" t="s">
        <v>39</v>
      </c>
      <c r="G4926" s="2"/>
      <c r="H4926" s="12">
        <v>0.0</v>
      </c>
      <c r="I4926" s="2" t="s">
        <v>40</v>
      </c>
      <c r="J4926" s="2"/>
      <c r="K4926" s="2" t="s">
        <v>13284</v>
      </c>
      <c r="L4926" s="12">
        <v>84.0</v>
      </c>
      <c r="M4926" s="2" t="s">
        <v>13285</v>
      </c>
      <c r="N4926" s="2" t="str">
        <f>IFERROR(__xludf.DUMMYFUNCTION("""COMPUTED_VALUE"""),"")</f>
        <v/>
      </c>
    </row>
    <row r="4927">
      <c r="A4927" s="2" t="s">
        <v>33</v>
      </c>
      <c r="B4927" s="12">
        <v>4753108.0</v>
      </c>
      <c r="C4927" s="12">
        <v>4753440.0</v>
      </c>
      <c r="D4927" s="2"/>
      <c r="E4927" s="2" t="s">
        <v>34</v>
      </c>
      <c r="F4927" s="2" t="s">
        <v>13286</v>
      </c>
      <c r="G4927" s="2"/>
      <c r="H4927" s="12">
        <v>0.0</v>
      </c>
      <c r="I4927" s="2" t="s">
        <v>40</v>
      </c>
      <c r="J4927" s="2"/>
      <c r="K4927" s="2" t="s">
        <v>13287</v>
      </c>
      <c r="L4927" s="12">
        <v>110.0</v>
      </c>
      <c r="M4927" s="2" t="s">
        <v>13288</v>
      </c>
      <c r="N4927" s="2" t="str">
        <f>IFERROR(__xludf.DUMMYFUNCTION("""COMPUTED_VALUE"""),"")</f>
        <v/>
      </c>
    </row>
    <row r="4928">
      <c r="A4928" s="2" t="s">
        <v>33</v>
      </c>
      <c r="B4928" s="12">
        <v>4753539.0</v>
      </c>
      <c r="C4928" s="12">
        <v>4753895.0</v>
      </c>
      <c r="D4928" s="2"/>
      <c r="E4928" s="2" t="s">
        <v>34</v>
      </c>
      <c r="F4928" s="2" t="s">
        <v>13289</v>
      </c>
      <c r="G4928" s="2"/>
      <c r="H4928" s="12">
        <v>0.0</v>
      </c>
      <c r="I4928" s="2" t="s">
        <v>40</v>
      </c>
      <c r="J4928" s="2"/>
      <c r="K4928" s="2" t="s">
        <v>13290</v>
      </c>
      <c r="L4928" s="12">
        <v>118.0</v>
      </c>
      <c r="M4928" s="2" t="s">
        <v>13291</v>
      </c>
      <c r="N4928" s="2" t="str">
        <f>IFERROR(__xludf.DUMMYFUNCTION("""COMPUTED_VALUE"""),"")</f>
        <v/>
      </c>
    </row>
    <row r="4929">
      <c r="A4929" s="2" t="s">
        <v>33</v>
      </c>
      <c r="B4929" s="12">
        <v>4754146.0</v>
      </c>
      <c r="C4929" s="12">
        <v>4754529.0</v>
      </c>
      <c r="D4929" s="2"/>
      <c r="E4929" s="2" t="s">
        <v>38</v>
      </c>
      <c r="F4929" s="2" t="s">
        <v>13292</v>
      </c>
      <c r="G4929" s="2"/>
      <c r="H4929" s="12">
        <v>0.0</v>
      </c>
      <c r="I4929" s="2" t="s">
        <v>40</v>
      </c>
      <c r="J4929" s="2"/>
      <c r="K4929" s="2" t="s">
        <v>13293</v>
      </c>
      <c r="L4929" s="12">
        <v>127.0</v>
      </c>
      <c r="M4929" s="2" t="s">
        <v>13294</v>
      </c>
      <c r="N4929" s="2" t="str">
        <f>IFERROR(__xludf.DUMMYFUNCTION("""COMPUTED_VALUE"""),"")</f>
        <v/>
      </c>
    </row>
    <row r="4930">
      <c r="A4930" s="2" t="s">
        <v>33</v>
      </c>
      <c r="B4930" s="12">
        <v>4754597.0</v>
      </c>
      <c r="C4930" s="12">
        <v>4754980.0</v>
      </c>
      <c r="D4930" s="2"/>
      <c r="E4930" s="2" t="s">
        <v>38</v>
      </c>
      <c r="F4930" s="2" t="s">
        <v>13292</v>
      </c>
      <c r="G4930" s="2"/>
      <c r="H4930" s="12">
        <v>0.0</v>
      </c>
      <c r="I4930" s="2" t="s">
        <v>40</v>
      </c>
      <c r="J4930" s="2"/>
      <c r="K4930" s="2" t="s">
        <v>13295</v>
      </c>
      <c r="L4930" s="12">
        <v>127.0</v>
      </c>
      <c r="M4930" s="2" t="s">
        <v>13296</v>
      </c>
      <c r="N4930" s="2" t="str">
        <f>IFERROR(__xludf.DUMMYFUNCTION("""COMPUTED_VALUE"""),"")</f>
        <v/>
      </c>
    </row>
    <row r="4931">
      <c r="A4931" s="2" t="s">
        <v>33</v>
      </c>
      <c r="B4931" s="12">
        <v>4755039.0</v>
      </c>
      <c r="C4931" s="12">
        <v>4756217.0</v>
      </c>
      <c r="D4931" s="2"/>
      <c r="E4931" s="2" t="s">
        <v>34</v>
      </c>
      <c r="F4931" s="2" t="s">
        <v>39</v>
      </c>
      <c r="G4931" s="2"/>
      <c r="H4931" s="12">
        <v>0.0</v>
      </c>
      <c r="I4931" s="2" t="s">
        <v>40</v>
      </c>
      <c r="J4931" s="2"/>
      <c r="K4931" s="2" t="s">
        <v>13297</v>
      </c>
      <c r="L4931" s="12">
        <v>392.0</v>
      </c>
      <c r="M4931" s="2" t="s">
        <v>13298</v>
      </c>
      <c r="N4931" s="2" t="str">
        <f>IFERROR(__xludf.DUMMYFUNCTION("""COMPUTED_VALUE"""),"")</f>
        <v/>
      </c>
    </row>
    <row r="4932">
      <c r="A4932" s="2" t="s">
        <v>33</v>
      </c>
      <c r="B4932" s="12">
        <v>4756230.0</v>
      </c>
      <c r="C4932" s="12">
        <v>4756613.0</v>
      </c>
      <c r="D4932" s="2"/>
      <c r="E4932" s="2" t="s">
        <v>34</v>
      </c>
      <c r="F4932" s="2" t="s">
        <v>39</v>
      </c>
      <c r="G4932" s="2"/>
      <c r="H4932" s="12">
        <v>0.0</v>
      </c>
      <c r="I4932" s="2" t="s">
        <v>40</v>
      </c>
      <c r="J4932" s="2"/>
      <c r="K4932" s="2" t="s">
        <v>13299</v>
      </c>
      <c r="L4932" s="12">
        <v>127.0</v>
      </c>
      <c r="M4932" s="2" t="s">
        <v>13300</v>
      </c>
      <c r="N4932" s="2" t="str">
        <f>IFERROR(__xludf.DUMMYFUNCTION("""COMPUTED_VALUE"""),"")</f>
        <v/>
      </c>
    </row>
    <row r="4933">
      <c r="A4933" s="2" t="s">
        <v>33</v>
      </c>
      <c r="B4933" s="12">
        <v>4756896.0</v>
      </c>
      <c r="C4933" s="12">
        <v>4757354.0</v>
      </c>
      <c r="D4933" s="2"/>
      <c r="E4933" s="2" t="s">
        <v>34</v>
      </c>
      <c r="F4933" s="2" t="s">
        <v>13301</v>
      </c>
      <c r="G4933" s="2"/>
      <c r="H4933" s="12">
        <v>0.0</v>
      </c>
      <c r="I4933" s="2" t="s">
        <v>40</v>
      </c>
      <c r="J4933" s="2"/>
      <c r="K4933" s="2" t="s">
        <v>13302</v>
      </c>
      <c r="L4933" s="12">
        <v>152.0</v>
      </c>
      <c r="M4933" s="2" t="s">
        <v>13303</v>
      </c>
      <c r="N4933" s="2" t="str">
        <f>IFERROR(__xludf.DUMMYFUNCTION("""COMPUTED_VALUE"""),"")</f>
        <v/>
      </c>
    </row>
    <row r="4934">
      <c r="A4934" s="2" t="s">
        <v>33</v>
      </c>
      <c r="B4934" s="12">
        <v>4757502.0</v>
      </c>
      <c r="C4934" s="12">
        <v>4757927.0</v>
      </c>
      <c r="D4934" s="2"/>
      <c r="E4934" s="2" t="s">
        <v>34</v>
      </c>
      <c r="F4934" s="2" t="s">
        <v>35</v>
      </c>
      <c r="G4934" s="2"/>
      <c r="H4934" s="12">
        <v>0.0</v>
      </c>
      <c r="I4934" s="2" t="s">
        <v>36</v>
      </c>
      <c r="J4934" s="2"/>
      <c r="K4934" s="2"/>
      <c r="L4934" s="2"/>
      <c r="M4934" s="2" t="s">
        <v>13304</v>
      </c>
      <c r="N4934" s="2" t="str">
        <f>IFERROR(__xludf.DUMMYFUNCTION("""COMPUTED_VALUE"""),"")</f>
        <v/>
      </c>
    </row>
    <row r="4935">
      <c r="A4935" s="2" t="s">
        <v>33</v>
      </c>
      <c r="B4935" s="12">
        <v>4757988.0</v>
      </c>
      <c r="C4935" s="12">
        <v>4758239.0</v>
      </c>
      <c r="D4935" s="2"/>
      <c r="E4935" s="2" t="s">
        <v>34</v>
      </c>
      <c r="F4935" s="2" t="s">
        <v>39</v>
      </c>
      <c r="G4935" s="2"/>
      <c r="H4935" s="12">
        <v>0.0</v>
      </c>
      <c r="I4935" s="2" t="s">
        <v>40</v>
      </c>
      <c r="J4935" s="2"/>
      <c r="K4935" s="2" t="s">
        <v>13305</v>
      </c>
      <c r="L4935" s="12">
        <v>83.0</v>
      </c>
      <c r="M4935" s="2" t="s">
        <v>13306</v>
      </c>
      <c r="N4935" s="2" t="str">
        <f>IFERROR(__xludf.DUMMYFUNCTION("""COMPUTED_VALUE"""),"")</f>
        <v/>
      </c>
    </row>
    <row r="4936">
      <c r="A4936" s="2" t="s">
        <v>33</v>
      </c>
      <c r="B4936" s="12">
        <v>4758354.0</v>
      </c>
      <c r="C4936" s="12">
        <v>4758971.0</v>
      </c>
      <c r="D4936" s="2"/>
      <c r="E4936" s="2" t="s">
        <v>38</v>
      </c>
      <c r="F4936" s="2" t="s">
        <v>13307</v>
      </c>
      <c r="G4936" s="2"/>
      <c r="H4936" s="12">
        <v>0.0</v>
      </c>
      <c r="I4936" s="2" t="s">
        <v>40</v>
      </c>
      <c r="J4936" s="2"/>
      <c r="K4936" s="2" t="s">
        <v>13308</v>
      </c>
      <c r="L4936" s="12">
        <v>205.0</v>
      </c>
      <c r="M4936" s="2" t="s">
        <v>13309</v>
      </c>
      <c r="N4936" s="2" t="str">
        <f>IFERROR(__xludf.DUMMYFUNCTION("""COMPUTED_VALUE"""),"")</f>
        <v/>
      </c>
    </row>
    <row r="4937">
      <c r="A4937" s="2" t="s">
        <v>33</v>
      </c>
      <c r="B4937" s="12">
        <v>4759632.0</v>
      </c>
      <c r="C4937" s="12">
        <v>4759931.0</v>
      </c>
      <c r="D4937" s="2"/>
      <c r="E4937" s="2" t="s">
        <v>34</v>
      </c>
      <c r="F4937" s="2" t="s">
        <v>39</v>
      </c>
      <c r="G4937" s="2"/>
      <c r="H4937" s="12">
        <v>0.0</v>
      </c>
      <c r="I4937" s="2" t="s">
        <v>40</v>
      </c>
      <c r="J4937" s="2"/>
      <c r="K4937" s="2" t="s">
        <v>13310</v>
      </c>
      <c r="L4937" s="12">
        <v>99.0</v>
      </c>
      <c r="M4937" s="2" t="s">
        <v>13311</v>
      </c>
      <c r="N4937" s="2" t="str">
        <f>IFERROR(__xludf.DUMMYFUNCTION("""COMPUTED_VALUE"""),"")</f>
        <v/>
      </c>
    </row>
    <row r="4938">
      <c r="A4938" s="2" t="s">
        <v>33</v>
      </c>
      <c r="B4938" s="12">
        <v>4760010.0</v>
      </c>
      <c r="C4938" s="12">
        <v>4760843.0</v>
      </c>
      <c r="D4938" s="2"/>
      <c r="E4938" s="2" t="s">
        <v>34</v>
      </c>
      <c r="F4938" s="2" t="s">
        <v>13312</v>
      </c>
      <c r="G4938" s="2"/>
      <c r="H4938" s="12">
        <v>0.0</v>
      </c>
      <c r="I4938" s="2" t="s">
        <v>40</v>
      </c>
      <c r="J4938" s="2"/>
      <c r="K4938" s="2" t="s">
        <v>13313</v>
      </c>
      <c r="L4938" s="12">
        <v>277.0</v>
      </c>
      <c r="M4938" s="2" t="s">
        <v>13314</v>
      </c>
      <c r="N4938" s="2" t="str">
        <f>IFERROR(__xludf.DUMMYFUNCTION("""COMPUTED_VALUE"""),"")</f>
        <v/>
      </c>
    </row>
    <row r="4939">
      <c r="A4939" s="2" t="s">
        <v>33</v>
      </c>
      <c r="B4939" s="12">
        <v>4760857.0</v>
      </c>
      <c r="C4939" s="12">
        <v>4761050.0</v>
      </c>
      <c r="D4939" s="2"/>
      <c r="E4939" s="2" t="s">
        <v>34</v>
      </c>
      <c r="F4939" s="2" t="s">
        <v>35</v>
      </c>
      <c r="G4939" s="2"/>
      <c r="H4939" s="12">
        <v>0.0</v>
      </c>
      <c r="I4939" s="2" t="s">
        <v>36</v>
      </c>
      <c r="J4939" s="2"/>
      <c r="K4939" s="2"/>
      <c r="L4939" s="2"/>
      <c r="M4939" s="2" t="s">
        <v>13315</v>
      </c>
      <c r="N4939" s="2" t="str">
        <f>IFERROR(__xludf.DUMMYFUNCTION("""COMPUTED_VALUE"""),"")</f>
        <v/>
      </c>
    </row>
    <row r="4940">
      <c r="A4940" s="2" t="s">
        <v>33</v>
      </c>
      <c r="B4940" s="12">
        <v>4761120.0</v>
      </c>
      <c r="C4940" s="12">
        <v>4761632.0</v>
      </c>
      <c r="D4940" s="2"/>
      <c r="E4940" s="2" t="s">
        <v>34</v>
      </c>
      <c r="F4940" s="2" t="s">
        <v>13316</v>
      </c>
      <c r="G4940" s="2"/>
      <c r="H4940" s="12">
        <v>0.0</v>
      </c>
      <c r="I4940" s="2" t="s">
        <v>40</v>
      </c>
      <c r="J4940" s="2"/>
      <c r="K4940" s="2" t="s">
        <v>13317</v>
      </c>
      <c r="L4940" s="12">
        <v>170.0</v>
      </c>
      <c r="M4940" s="2" t="s">
        <v>13318</v>
      </c>
      <c r="N4940" s="2" t="str">
        <f>IFERROR(__xludf.DUMMYFUNCTION("""COMPUTED_VALUE"""),"")</f>
        <v/>
      </c>
    </row>
    <row r="4941">
      <c r="A4941" s="2" t="s">
        <v>33</v>
      </c>
      <c r="B4941" s="12">
        <v>4761652.0</v>
      </c>
      <c r="C4941" s="12">
        <v>4762074.0</v>
      </c>
      <c r="D4941" s="2"/>
      <c r="E4941" s="2" t="s">
        <v>34</v>
      </c>
      <c r="F4941" s="2" t="s">
        <v>13260</v>
      </c>
      <c r="G4941" s="2"/>
      <c r="H4941" s="12">
        <v>0.0</v>
      </c>
      <c r="I4941" s="2" t="s">
        <v>40</v>
      </c>
      <c r="J4941" s="2"/>
      <c r="K4941" s="2" t="s">
        <v>13319</v>
      </c>
      <c r="L4941" s="12">
        <v>140.0</v>
      </c>
      <c r="M4941" s="2" t="s">
        <v>13320</v>
      </c>
      <c r="N4941" s="2" t="str">
        <f>IFERROR(__xludf.DUMMYFUNCTION("""COMPUTED_VALUE"""),"")</f>
        <v/>
      </c>
    </row>
    <row r="4942">
      <c r="A4942" s="2" t="s">
        <v>33</v>
      </c>
      <c r="B4942" s="12">
        <v>4762139.0</v>
      </c>
      <c r="C4942" s="12">
        <v>4762567.0</v>
      </c>
      <c r="D4942" s="2"/>
      <c r="E4942" s="2" t="s">
        <v>34</v>
      </c>
      <c r="F4942" s="2" t="s">
        <v>4722</v>
      </c>
      <c r="G4942" s="2"/>
      <c r="H4942" s="12">
        <v>0.0</v>
      </c>
      <c r="I4942" s="2" t="s">
        <v>40</v>
      </c>
      <c r="J4942" s="2"/>
      <c r="K4942" s="2" t="s">
        <v>13321</v>
      </c>
      <c r="L4942" s="12">
        <v>142.0</v>
      </c>
      <c r="M4942" s="2" t="s">
        <v>13322</v>
      </c>
      <c r="N4942" s="2" t="str">
        <f>IFERROR(__xludf.DUMMYFUNCTION("""COMPUTED_VALUE"""),"")</f>
        <v/>
      </c>
    </row>
    <row r="4943">
      <c r="A4943" s="2" t="s">
        <v>33</v>
      </c>
      <c r="B4943" s="12">
        <v>4762634.0</v>
      </c>
      <c r="C4943" s="12">
        <v>4763101.0</v>
      </c>
      <c r="D4943" s="2"/>
      <c r="E4943" s="2" t="s">
        <v>34</v>
      </c>
      <c r="F4943" s="2" t="s">
        <v>13251</v>
      </c>
      <c r="G4943" s="2"/>
      <c r="H4943" s="12">
        <v>0.0</v>
      </c>
      <c r="I4943" s="2" t="s">
        <v>40</v>
      </c>
      <c r="J4943" s="2"/>
      <c r="K4943" s="2" t="s">
        <v>13323</v>
      </c>
      <c r="L4943" s="12">
        <v>155.0</v>
      </c>
      <c r="M4943" s="2" t="s">
        <v>13324</v>
      </c>
      <c r="N4943" s="2" t="str">
        <f>IFERROR(__xludf.DUMMYFUNCTION("""COMPUTED_VALUE"""),"")</f>
        <v/>
      </c>
    </row>
    <row r="4944">
      <c r="A4944" s="2" t="s">
        <v>33</v>
      </c>
      <c r="B4944" s="12">
        <v>4763189.0</v>
      </c>
      <c r="C4944" s="12">
        <v>4763896.0</v>
      </c>
      <c r="D4944" s="2"/>
      <c r="E4944" s="2" t="s">
        <v>38</v>
      </c>
      <c r="F4944" s="2" t="s">
        <v>8766</v>
      </c>
      <c r="G4944" s="2"/>
      <c r="H4944" s="12">
        <v>0.0</v>
      </c>
      <c r="I4944" s="2" t="s">
        <v>40</v>
      </c>
      <c r="J4944" s="2"/>
      <c r="K4944" s="2" t="s">
        <v>13325</v>
      </c>
      <c r="L4944" s="12">
        <v>235.0</v>
      </c>
      <c r="M4944" s="2" t="s">
        <v>13326</v>
      </c>
      <c r="N4944" s="2" t="str">
        <f>IFERROR(__xludf.DUMMYFUNCTION("""COMPUTED_VALUE"""),"")</f>
        <v/>
      </c>
    </row>
    <row r="4945">
      <c r="A4945" s="2" t="s">
        <v>33</v>
      </c>
      <c r="B4945" s="12">
        <v>4764100.0</v>
      </c>
      <c r="C4945" s="12">
        <v>4764588.0</v>
      </c>
      <c r="D4945" s="2"/>
      <c r="E4945" s="2" t="s">
        <v>34</v>
      </c>
      <c r="F4945" s="2" t="s">
        <v>13255</v>
      </c>
      <c r="G4945" s="2"/>
      <c r="H4945" s="12">
        <v>0.0</v>
      </c>
      <c r="I4945" s="2" t="s">
        <v>40</v>
      </c>
      <c r="J4945" s="2"/>
      <c r="K4945" s="2" t="s">
        <v>13327</v>
      </c>
      <c r="L4945" s="12">
        <v>162.0</v>
      </c>
      <c r="M4945" s="2" t="s">
        <v>13328</v>
      </c>
      <c r="N4945" s="2" t="str">
        <f>IFERROR(__xludf.DUMMYFUNCTION("""COMPUTED_VALUE"""),"")</f>
        <v/>
      </c>
    </row>
    <row r="4946">
      <c r="A4946" s="2" t="s">
        <v>33</v>
      </c>
      <c r="B4946" s="12">
        <v>4764682.0</v>
      </c>
      <c r="C4946" s="12">
        <v>4765056.0</v>
      </c>
      <c r="D4946" s="2"/>
      <c r="E4946" s="2" t="s">
        <v>34</v>
      </c>
      <c r="F4946" s="2" t="s">
        <v>13260</v>
      </c>
      <c r="G4946" s="2"/>
      <c r="H4946" s="12">
        <v>0.0</v>
      </c>
      <c r="I4946" s="2" t="s">
        <v>40</v>
      </c>
      <c r="J4946" s="2"/>
      <c r="K4946" s="2" t="s">
        <v>13329</v>
      </c>
      <c r="L4946" s="12">
        <v>124.0</v>
      </c>
      <c r="M4946" s="2" t="s">
        <v>13330</v>
      </c>
      <c r="N4946" s="2" t="str">
        <f>IFERROR(__xludf.DUMMYFUNCTION("""COMPUTED_VALUE"""),"")</f>
        <v/>
      </c>
    </row>
    <row r="4947">
      <c r="A4947" s="2" t="s">
        <v>33</v>
      </c>
      <c r="B4947" s="12">
        <v>4765176.0</v>
      </c>
      <c r="C4947" s="12">
        <v>4765514.0</v>
      </c>
      <c r="D4947" s="2"/>
      <c r="E4947" s="2" t="s">
        <v>34</v>
      </c>
      <c r="F4947" s="2" t="s">
        <v>13331</v>
      </c>
      <c r="G4947" s="2"/>
      <c r="H4947" s="12">
        <v>0.0</v>
      </c>
      <c r="I4947" s="2" t="s">
        <v>40</v>
      </c>
      <c r="J4947" s="2"/>
      <c r="K4947" s="2" t="s">
        <v>13332</v>
      </c>
      <c r="L4947" s="12">
        <v>112.0</v>
      </c>
      <c r="M4947" s="2" t="s">
        <v>13333</v>
      </c>
      <c r="N4947" s="2" t="str">
        <f>IFERROR(__xludf.DUMMYFUNCTION("""COMPUTED_VALUE"""),"")</f>
        <v/>
      </c>
    </row>
    <row r="4948">
      <c r="A4948" s="2" t="s">
        <v>33</v>
      </c>
      <c r="B4948" s="12">
        <v>4765616.0</v>
      </c>
      <c r="C4948" s="12">
        <v>4765945.0</v>
      </c>
      <c r="D4948" s="2"/>
      <c r="E4948" s="2" t="s">
        <v>34</v>
      </c>
      <c r="F4948" s="2" t="s">
        <v>39</v>
      </c>
      <c r="G4948" s="2"/>
      <c r="H4948" s="12">
        <v>0.0</v>
      </c>
      <c r="I4948" s="2" t="s">
        <v>40</v>
      </c>
      <c r="J4948" s="2"/>
      <c r="K4948" s="2" t="s">
        <v>13334</v>
      </c>
      <c r="L4948" s="12">
        <v>109.0</v>
      </c>
      <c r="M4948" s="2" t="s">
        <v>13335</v>
      </c>
      <c r="N4948" s="2" t="str">
        <f>IFERROR(__xludf.DUMMYFUNCTION("""COMPUTED_VALUE"""),"")</f>
        <v/>
      </c>
    </row>
    <row r="4949">
      <c r="A4949" s="2" t="s">
        <v>33</v>
      </c>
      <c r="B4949" s="12">
        <v>4766002.0</v>
      </c>
      <c r="C4949" s="12">
        <v>4766958.0</v>
      </c>
      <c r="D4949" s="2"/>
      <c r="E4949" s="2" t="s">
        <v>34</v>
      </c>
      <c r="F4949" s="2" t="s">
        <v>6610</v>
      </c>
      <c r="G4949" s="2"/>
      <c r="H4949" s="12">
        <v>0.0</v>
      </c>
      <c r="I4949" s="2" t="s">
        <v>40</v>
      </c>
      <c r="J4949" s="2"/>
      <c r="K4949" s="2" t="s">
        <v>13336</v>
      </c>
      <c r="L4949" s="12">
        <v>318.0</v>
      </c>
      <c r="M4949" s="2" t="s">
        <v>13337</v>
      </c>
      <c r="N4949" s="2" t="str">
        <f>IFERROR(__xludf.DUMMYFUNCTION("""COMPUTED_VALUE"""),"")</f>
        <v/>
      </c>
    </row>
    <row r="4950">
      <c r="A4950" s="2" t="s">
        <v>33</v>
      </c>
      <c r="B4950" s="12">
        <v>4767115.0</v>
      </c>
      <c r="C4950" s="12">
        <v>4767576.0</v>
      </c>
      <c r="D4950" s="2"/>
      <c r="E4950" s="2" t="s">
        <v>34</v>
      </c>
      <c r="F4950" s="2" t="s">
        <v>39</v>
      </c>
      <c r="G4950" s="2"/>
      <c r="H4950" s="12">
        <v>0.0</v>
      </c>
      <c r="I4950" s="2" t="s">
        <v>40</v>
      </c>
      <c r="J4950" s="2"/>
      <c r="K4950" s="2" t="s">
        <v>13338</v>
      </c>
      <c r="L4950" s="12">
        <v>153.0</v>
      </c>
      <c r="M4950" s="2" t="s">
        <v>13339</v>
      </c>
      <c r="N4950" s="2" t="str">
        <f>IFERROR(__xludf.DUMMYFUNCTION("""COMPUTED_VALUE"""),"")</f>
        <v/>
      </c>
    </row>
    <row r="4951">
      <c r="A4951" s="2" t="s">
        <v>33</v>
      </c>
      <c r="B4951" s="12">
        <v>4767911.0</v>
      </c>
      <c r="C4951" s="12">
        <v>4769710.0</v>
      </c>
      <c r="D4951" s="2"/>
      <c r="E4951" s="2" t="s">
        <v>34</v>
      </c>
      <c r="F4951" s="2" t="s">
        <v>4195</v>
      </c>
      <c r="G4951" s="2"/>
      <c r="H4951" s="12">
        <v>0.0</v>
      </c>
      <c r="I4951" s="2" t="s">
        <v>40</v>
      </c>
      <c r="J4951" s="2"/>
      <c r="K4951" s="2" t="s">
        <v>13340</v>
      </c>
      <c r="L4951" s="12">
        <v>599.0</v>
      </c>
      <c r="M4951" s="2" t="s">
        <v>13341</v>
      </c>
      <c r="N4951" s="2" t="str">
        <f>IFERROR(__xludf.DUMMYFUNCTION("""COMPUTED_VALUE"""),"")</f>
        <v/>
      </c>
    </row>
    <row r="4952">
      <c r="A4952" s="2" t="s">
        <v>33</v>
      </c>
      <c r="B4952" s="12">
        <v>4770129.0</v>
      </c>
      <c r="C4952" s="12">
        <v>4770989.0</v>
      </c>
      <c r="D4952" s="2"/>
      <c r="E4952" s="2" t="s">
        <v>34</v>
      </c>
      <c r="F4952" s="2" t="s">
        <v>4650</v>
      </c>
      <c r="G4952" s="2"/>
      <c r="H4952" s="12">
        <v>0.0</v>
      </c>
      <c r="I4952" s="2" t="s">
        <v>40</v>
      </c>
      <c r="J4952" s="2"/>
      <c r="K4952" s="2" t="s">
        <v>13342</v>
      </c>
      <c r="L4952" s="12">
        <v>286.0</v>
      </c>
      <c r="M4952" s="2" t="s">
        <v>13343</v>
      </c>
      <c r="N4952" s="2" t="str">
        <f>IFERROR(__xludf.DUMMYFUNCTION("""COMPUTED_VALUE"""),"")</f>
        <v/>
      </c>
    </row>
    <row r="4953">
      <c r="A4953" s="2" t="s">
        <v>33</v>
      </c>
      <c r="B4953" s="12">
        <v>4771101.0</v>
      </c>
      <c r="C4953" s="12">
        <v>4774514.0</v>
      </c>
      <c r="D4953" s="2"/>
      <c r="E4953" s="2" t="s">
        <v>34</v>
      </c>
      <c r="F4953" s="2" t="s">
        <v>13344</v>
      </c>
      <c r="G4953" s="2"/>
      <c r="H4953" s="12">
        <v>0.0</v>
      </c>
      <c r="I4953" s="2" t="s">
        <v>40</v>
      </c>
      <c r="J4953" s="2"/>
      <c r="K4953" s="2" t="s">
        <v>13345</v>
      </c>
      <c r="L4953" s="12">
        <v>1137.0</v>
      </c>
      <c r="M4953" s="2" t="s">
        <v>13346</v>
      </c>
      <c r="N4953" s="2" t="str">
        <f>IFERROR(__xludf.DUMMYFUNCTION("""COMPUTED_VALUE"""),"")</f>
        <v/>
      </c>
    </row>
    <row r="4954">
      <c r="A4954" s="2" t="s">
        <v>33</v>
      </c>
      <c r="B4954" s="12">
        <v>4774617.0</v>
      </c>
      <c r="C4954" s="12">
        <v>4777007.0</v>
      </c>
      <c r="D4954" s="2"/>
      <c r="E4954" s="2" t="s">
        <v>34</v>
      </c>
      <c r="F4954" s="2" t="s">
        <v>13347</v>
      </c>
      <c r="G4954" s="2"/>
      <c r="H4954" s="12">
        <v>0.0</v>
      </c>
      <c r="I4954" s="2" t="s">
        <v>40</v>
      </c>
      <c r="J4954" s="2"/>
      <c r="K4954" s="2" t="s">
        <v>13348</v>
      </c>
      <c r="L4954" s="12">
        <v>796.0</v>
      </c>
      <c r="M4954" s="2" t="s">
        <v>13349</v>
      </c>
      <c r="N4954" s="2" t="str">
        <f>IFERROR(__xludf.DUMMYFUNCTION("""COMPUTED_VALUE"""),"")</f>
        <v/>
      </c>
    </row>
    <row r="4955">
      <c r="A4955" s="2" t="s">
        <v>33</v>
      </c>
      <c r="B4955" s="12">
        <v>4777121.0</v>
      </c>
      <c r="C4955" s="12">
        <v>4777246.0</v>
      </c>
      <c r="D4955" s="2"/>
      <c r="E4955" s="2" t="s">
        <v>38</v>
      </c>
      <c r="F4955" s="2" t="s">
        <v>39</v>
      </c>
      <c r="G4955" s="2"/>
      <c r="H4955" s="12">
        <v>0.0</v>
      </c>
      <c r="I4955" s="2" t="s">
        <v>40</v>
      </c>
      <c r="J4955" s="2"/>
      <c r="K4955" s="2" t="s">
        <v>13350</v>
      </c>
      <c r="L4955" s="12">
        <v>41.0</v>
      </c>
      <c r="M4955" s="2" t="s">
        <v>13351</v>
      </c>
      <c r="N4955" s="2" t="str">
        <f>IFERROR(__xludf.DUMMYFUNCTION("""COMPUTED_VALUE"""),"")</f>
        <v/>
      </c>
    </row>
    <row r="4956">
      <c r="A4956" s="2" t="s">
        <v>33</v>
      </c>
      <c r="B4956" s="12">
        <v>4777561.0</v>
      </c>
      <c r="C4956" s="12">
        <v>4778388.0</v>
      </c>
      <c r="D4956" s="2"/>
      <c r="E4956" s="2" t="s">
        <v>34</v>
      </c>
      <c r="F4956" s="2" t="s">
        <v>359</v>
      </c>
      <c r="G4956" s="2"/>
      <c r="H4956" s="12">
        <v>0.0</v>
      </c>
      <c r="I4956" s="2" t="s">
        <v>40</v>
      </c>
      <c r="J4956" s="2"/>
      <c r="K4956" s="2" t="s">
        <v>13352</v>
      </c>
      <c r="L4956" s="12">
        <v>275.0</v>
      </c>
      <c r="M4956" s="2" t="s">
        <v>13353</v>
      </c>
      <c r="N4956" s="2" t="str">
        <f>IFERROR(__xludf.DUMMYFUNCTION("""COMPUTED_VALUE"""),"")</f>
        <v/>
      </c>
    </row>
    <row r="4957">
      <c r="A4957" s="2" t="s">
        <v>33</v>
      </c>
      <c r="B4957" s="12">
        <v>4778682.0</v>
      </c>
      <c r="C4957" s="12">
        <v>4778921.0</v>
      </c>
      <c r="D4957" s="2"/>
      <c r="E4957" s="2" t="s">
        <v>34</v>
      </c>
      <c r="F4957" s="2" t="s">
        <v>9497</v>
      </c>
      <c r="G4957" s="2"/>
      <c r="H4957" s="12">
        <v>0.0</v>
      </c>
      <c r="I4957" s="2" t="s">
        <v>40</v>
      </c>
      <c r="J4957" s="2"/>
      <c r="K4957" s="2" t="s">
        <v>13354</v>
      </c>
      <c r="L4957" s="12">
        <v>79.0</v>
      </c>
      <c r="M4957" s="2" t="s">
        <v>13355</v>
      </c>
      <c r="N4957" s="2" t="str">
        <f>IFERROR(__xludf.DUMMYFUNCTION("""COMPUTED_VALUE"""),"")</f>
        <v/>
      </c>
    </row>
    <row r="4958">
      <c r="A4958" s="2" t="s">
        <v>33</v>
      </c>
      <c r="B4958" s="12">
        <v>4779123.0</v>
      </c>
      <c r="C4958" s="12">
        <v>4780190.0</v>
      </c>
      <c r="D4958" s="2"/>
      <c r="E4958" s="2" t="s">
        <v>34</v>
      </c>
      <c r="F4958" s="2" t="s">
        <v>13356</v>
      </c>
      <c r="G4958" s="2"/>
      <c r="H4958" s="12">
        <v>0.0</v>
      </c>
      <c r="I4958" s="2" t="s">
        <v>40</v>
      </c>
      <c r="J4958" s="2"/>
      <c r="K4958" s="2" t="s">
        <v>13357</v>
      </c>
      <c r="L4958" s="12">
        <v>355.0</v>
      </c>
      <c r="M4958" s="2" t="s">
        <v>13358</v>
      </c>
      <c r="N4958" s="2" t="str">
        <f>IFERROR(__xludf.DUMMYFUNCTION("""COMPUTED_VALUE"""),"")</f>
        <v/>
      </c>
    </row>
    <row r="4959">
      <c r="A4959" s="2" t="s">
        <v>33</v>
      </c>
      <c r="B4959" s="12">
        <v>4780280.0</v>
      </c>
      <c r="C4959" s="12">
        <v>4780471.0</v>
      </c>
      <c r="D4959" s="2"/>
      <c r="E4959" s="2" t="s">
        <v>34</v>
      </c>
      <c r="F4959" s="2" t="s">
        <v>8807</v>
      </c>
      <c r="G4959" s="2"/>
      <c r="H4959" s="12">
        <v>0.0</v>
      </c>
      <c r="I4959" s="2" t="s">
        <v>40</v>
      </c>
      <c r="J4959" s="2"/>
      <c r="K4959" s="2" t="s">
        <v>13359</v>
      </c>
      <c r="L4959" s="12">
        <v>63.0</v>
      </c>
      <c r="M4959" s="2" t="s">
        <v>13360</v>
      </c>
      <c r="N4959" s="2" t="str">
        <f>IFERROR(__xludf.DUMMYFUNCTION("""COMPUTED_VALUE"""),"")</f>
        <v/>
      </c>
    </row>
    <row r="4960">
      <c r="A4960" s="2" t="s">
        <v>33</v>
      </c>
      <c r="B4960" s="12">
        <v>4780680.0</v>
      </c>
      <c r="C4960" s="12">
        <v>4781762.0</v>
      </c>
      <c r="D4960" s="2"/>
      <c r="E4960" s="2" t="s">
        <v>34</v>
      </c>
      <c r="F4960" s="2" t="s">
        <v>13361</v>
      </c>
      <c r="G4960" s="2" t="s">
        <v>13362</v>
      </c>
      <c r="H4960" s="12">
        <v>0.0</v>
      </c>
      <c r="I4960" s="2" t="s">
        <v>40</v>
      </c>
      <c r="J4960" s="2"/>
      <c r="K4960" s="2" t="s">
        <v>13363</v>
      </c>
      <c r="L4960" s="12">
        <v>360.0</v>
      </c>
      <c r="M4960" s="2" t="s">
        <v>13364</v>
      </c>
      <c r="N4960" s="2" t="str">
        <f>IFERROR(__xludf.DUMMYFUNCTION("""COMPUTED_VALUE"""),"")</f>
        <v/>
      </c>
    </row>
    <row r="4961">
      <c r="A4961" s="2" t="s">
        <v>33</v>
      </c>
      <c r="B4961" s="12">
        <v>4781775.0</v>
      </c>
      <c r="C4961" s="12">
        <v>4782947.0</v>
      </c>
      <c r="D4961" s="2"/>
      <c r="E4961" s="2" t="s">
        <v>34</v>
      </c>
      <c r="F4961" s="2" t="s">
        <v>13365</v>
      </c>
      <c r="G4961" s="2"/>
      <c r="H4961" s="12">
        <v>0.0</v>
      </c>
      <c r="I4961" s="2" t="s">
        <v>40</v>
      </c>
      <c r="J4961" s="2"/>
      <c r="K4961" s="2" t="s">
        <v>13366</v>
      </c>
      <c r="L4961" s="12">
        <v>390.0</v>
      </c>
      <c r="M4961" s="2" t="s">
        <v>13367</v>
      </c>
      <c r="N4961" s="2" t="str">
        <f>IFERROR(__xludf.DUMMYFUNCTION("""COMPUTED_VALUE"""),"")</f>
        <v/>
      </c>
    </row>
    <row r="4962">
      <c r="A4962" s="2" t="s">
        <v>33</v>
      </c>
      <c r="B4962" s="12">
        <v>4782961.0</v>
      </c>
      <c r="C4962" s="12">
        <v>4784208.0</v>
      </c>
      <c r="D4962" s="2"/>
      <c r="E4962" s="2" t="s">
        <v>34</v>
      </c>
      <c r="F4962" s="2" t="s">
        <v>13368</v>
      </c>
      <c r="G4962" s="2"/>
      <c r="H4962" s="12">
        <v>0.0</v>
      </c>
      <c r="I4962" s="2" t="s">
        <v>40</v>
      </c>
      <c r="J4962" s="2"/>
      <c r="K4962" s="2" t="s">
        <v>13369</v>
      </c>
      <c r="L4962" s="12">
        <v>415.0</v>
      </c>
      <c r="M4962" s="2" t="s">
        <v>13370</v>
      </c>
      <c r="N4962" s="2" t="str">
        <f>IFERROR(__xludf.DUMMYFUNCTION("""COMPUTED_VALUE"""),"")</f>
        <v/>
      </c>
    </row>
    <row r="4963">
      <c r="A4963" s="2" t="s">
        <v>33</v>
      </c>
      <c r="B4963" s="12">
        <v>4784353.0</v>
      </c>
      <c r="C4963" s="12">
        <v>4784862.0</v>
      </c>
      <c r="D4963" s="2"/>
      <c r="E4963" s="2" t="s">
        <v>34</v>
      </c>
      <c r="F4963" s="2" t="s">
        <v>13371</v>
      </c>
      <c r="G4963" s="2"/>
      <c r="H4963" s="12">
        <v>0.0</v>
      </c>
      <c r="I4963" s="2" t="s">
        <v>40</v>
      </c>
      <c r="J4963" s="2"/>
      <c r="K4963" s="2" t="s">
        <v>13372</v>
      </c>
      <c r="L4963" s="12">
        <v>169.0</v>
      </c>
      <c r="M4963" s="2" t="s">
        <v>13373</v>
      </c>
      <c r="N4963" s="2" t="str">
        <f>IFERROR(__xludf.DUMMYFUNCTION("""COMPUTED_VALUE"""),"")</f>
        <v/>
      </c>
    </row>
    <row r="4964">
      <c r="A4964" s="2" t="s">
        <v>33</v>
      </c>
      <c r="B4964" s="12">
        <v>4784935.0</v>
      </c>
      <c r="C4964" s="12">
        <v>4785054.0</v>
      </c>
      <c r="D4964" s="2"/>
      <c r="E4964" s="2" t="s">
        <v>34</v>
      </c>
      <c r="F4964" s="2" t="s">
        <v>35</v>
      </c>
      <c r="G4964" s="2"/>
      <c r="H4964" s="12">
        <v>0.0</v>
      </c>
      <c r="I4964" s="2" t="s">
        <v>36</v>
      </c>
      <c r="J4964" s="2"/>
      <c r="K4964" s="2"/>
      <c r="L4964" s="2"/>
      <c r="M4964" s="2" t="s">
        <v>13374</v>
      </c>
      <c r="N4964" s="2" t="str">
        <f>IFERROR(__xludf.DUMMYFUNCTION("""COMPUTED_VALUE"""),"")</f>
        <v/>
      </c>
    </row>
    <row r="4965">
      <c r="A4965" s="2" t="s">
        <v>33</v>
      </c>
      <c r="B4965" s="12">
        <v>4785727.0</v>
      </c>
      <c r="C4965" s="12">
        <v>4787022.0</v>
      </c>
      <c r="D4965" s="2"/>
      <c r="E4965" s="2" t="s">
        <v>38</v>
      </c>
      <c r="F4965" s="2" t="s">
        <v>2227</v>
      </c>
      <c r="G4965" s="2"/>
      <c r="H4965" s="12">
        <v>0.0</v>
      </c>
      <c r="I4965" s="2" t="s">
        <v>40</v>
      </c>
      <c r="J4965" s="2"/>
      <c r="K4965" s="2" t="s">
        <v>13375</v>
      </c>
      <c r="L4965" s="12">
        <v>431.0</v>
      </c>
      <c r="M4965" s="2" t="s">
        <v>13376</v>
      </c>
      <c r="N4965" s="2" t="str">
        <f>IFERROR(__xludf.DUMMYFUNCTION("""COMPUTED_VALUE"""),"")</f>
        <v/>
      </c>
    </row>
    <row r="4966">
      <c r="A4966" s="2" t="s">
        <v>33</v>
      </c>
      <c r="B4966" s="12">
        <v>4787173.0</v>
      </c>
      <c r="C4966" s="12">
        <v>4787613.0</v>
      </c>
      <c r="D4966" s="2"/>
      <c r="E4966" s="2" t="s">
        <v>34</v>
      </c>
      <c r="F4966" s="2" t="s">
        <v>3529</v>
      </c>
      <c r="G4966" s="2"/>
      <c r="H4966" s="12">
        <v>0.0</v>
      </c>
      <c r="I4966" s="2" t="s">
        <v>40</v>
      </c>
      <c r="J4966" s="2"/>
      <c r="K4966" s="2" t="s">
        <v>13377</v>
      </c>
      <c r="L4966" s="12">
        <v>146.0</v>
      </c>
      <c r="M4966" s="2" t="s">
        <v>13378</v>
      </c>
      <c r="N4966" s="2" t="str">
        <f>IFERROR(__xludf.DUMMYFUNCTION("""COMPUTED_VALUE"""),"")</f>
        <v/>
      </c>
    </row>
    <row r="4967">
      <c r="A4967" s="2" t="s">
        <v>33</v>
      </c>
      <c r="B4967" s="12">
        <v>4787817.0</v>
      </c>
      <c r="C4967" s="12">
        <v>4788398.0</v>
      </c>
      <c r="D4967" s="2"/>
      <c r="E4967" s="2" t="s">
        <v>34</v>
      </c>
      <c r="F4967" s="2" t="s">
        <v>7145</v>
      </c>
      <c r="G4967" s="2"/>
      <c r="H4967" s="12">
        <v>0.0</v>
      </c>
      <c r="I4967" s="2" t="s">
        <v>40</v>
      </c>
      <c r="J4967" s="2"/>
      <c r="K4967" s="2" t="s">
        <v>13379</v>
      </c>
      <c r="L4967" s="12">
        <v>193.0</v>
      </c>
      <c r="M4967" s="2" t="s">
        <v>13380</v>
      </c>
      <c r="N4967" s="2" t="str">
        <f>IFERROR(__xludf.DUMMYFUNCTION("""COMPUTED_VALUE"""),"")</f>
        <v/>
      </c>
    </row>
    <row r="4968">
      <c r="A4968" s="2" t="s">
        <v>33</v>
      </c>
      <c r="B4968" s="12">
        <v>4788481.0</v>
      </c>
      <c r="C4968" s="12">
        <v>4789509.0</v>
      </c>
      <c r="D4968" s="2"/>
      <c r="E4968" s="2" t="s">
        <v>34</v>
      </c>
      <c r="F4968" s="2" t="s">
        <v>13381</v>
      </c>
      <c r="G4968" s="2" t="s">
        <v>13382</v>
      </c>
      <c r="H4968" s="12">
        <v>0.0</v>
      </c>
      <c r="I4968" s="2" t="s">
        <v>40</v>
      </c>
      <c r="J4968" s="2"/>
      <c r="K4968" s="2" t="s">
        <v>13383</v>
      </c>
      <c r="L4968" s="12">
        <v>342.0</v>
      </c>
      <c r="M4968" s="2" t="s">
        <v>13384</v>
      </c>
      <c r="N4968" s="2" t="str">
        <f>IFERROR(__xludf.DUMMYFUNCTION("""COMPUTED_VALUE"""),"")</f>
        <v/>
      </c>
    </row>
    <row r="4969">
      <c r="A4969" s="2" t="s">
        <v>33</v>
      </c>
      <c r="B4969" s="12">
        <v>4789520.0</v>
      </c>
      <c r="C4969" s="12">
        <v>4791649.0</v>
      </c>
      <c r="D4969" s="2"/>
      <c r="E4969" s="2" t="s">
        <v>34</v>
      </c>
      <c r="F4969" s="2" t="s">
        <v>13385</v>
      </c>
      <c r="G4969" s="2" t="s">
        <v>13386</v>
      </c>
      <c r="H4969" s="12">
        <v>0.0</v>
      </c>
      <c r="I4969" s="2" t="s">
        <v>40</v>
      </c>
      <c r="J4969" s="2"/>
      <c r="K4969" s="2" t="s">
        <v>13387</v>
      </c>
      <c r="L4969" s="12">
        <v>709.0</v>
      </c>
      <c r="M4969" s="2" t="s">
        <v>13388</v>
      </c>
      <c r="N4969" s="2" t="str">
        <f>IFERROR(__xludf.DUMMYFUNCTION("""COMPUTED_VALUE"""),"")</f>
        <v/>
      </c>
    </row>
    <row r="4970">
      <c r="A4970" s="2" t="s">
        <v>33</v>
      </c>
      <c r="B4970" s="12">
        <v>4791639.0</v>
      </c>
      <c r="C4970" s="12">
        <v>4792088.0</v>
      </c>
      <c r="D4970" s="2"/>
      <c r="E4970" s="2" t="s">
        <v>34</v>
      </c>
      <c r="F4970" s="2" t="s">
        <v>8847</v>
      </c>
      <c r="G4970" s="2"/>
      <c r="H4970" s="12">
        <v>0.0</v>
      </c>
      <c r="I4970" s="2" t="s">
        <v>40</v>
      </c>
      <c r="J4970" s="2"/>
      <c r="K4970" s="2" t="s">
        <v>13389</v>
      </c>
      <c r="L4970" s="12">
        <v>149.0</v>
      </c>
      <c r="M4970" s="2" t="s">
        <v>13390</v>
      </c>
      <c r="N4970" s="2" t="str">
        <f>IFERROR(__xludf.DUMMYFUNCTION("""COMPUTED_VALUE"""),"")</f>
        <v/>
      </c>
    </row>
    <row r="4971">
      <c r="A4971" s="2" t="s">
        <v>33</v>
      </c>
      <c r="B4971" s="12">
        <v>4792084.0</v>
      </c>
      <c r="C4971" s="12">
        <v>4792851.0</v>
      </c>
      <c r="D4971" s="2"/>
      <c r="E4971" s="2" t="s">
        <v>34</v>
      </c>
      <c r="F4971" s="2" t="s">
        <v>13391</v>
      </c>
      <c r="G4971" s="2"/>
      <c r="H4971" s="12">
        <v>0.0</v>
      </c>
      <c r="I4971" s="2" t="s">
        <v>40</v>
      </c>
      <c r="J4971" s="2"/>
      <c r="K4971" s="2" t="s">
        <v>13392</v>
      </c>
      <c r="L4971" s="12">
        <v>255.0</v>
      </c>
      <c r="M4971" s="2" t="s">
        <v>13393</v>
      </c>
      <c r="N4971" s="2" t="str">
        <f>IFERROR(__xludf.DUMMYFUNCTION("""COMPUTED_VALUE"""),"")</f>
        <v/>
      </c>
    </row>
    <row r="4972">
      <c r="A4972" s="2" t="s">
        <v>33</v>
      </c>
      <c r="B4972" s="12">
        <v>4792978.0</v>
      </c>
      <c r="C4972" s="12">
        <v>4793379.0</v>
      </c>
      <c r="D4972" s="2"/>
      <c r="E4972" s="2" t="s">
        <v>34</v>
      </c>
      <c r="F4972" s="2" t="s">
        <v>13394</v>
      </c>
      <c r="G4972" s="2"/>
      <c r="H4972" s="12">
        <v>0.0</v>
      </c>
      <c r="I4972" s="2" t="s">
        <v>40</v>
      </c>
      <c r="J4972" s="2"/>
      <c r="K4972" s="2" t="s">
        <v>13395</v>
      </c>
      <c r="L4972" s="12">
        <v>133.0</v>
      </c>
      <c r="M4972" s="2" t="s">
        <v>13396</v>
      </c>
      <c r="N4972" s="2" t="str">
        <f>IFERROR(__xludf.DUMMYFUNCTION("""COMPUTED_VALUE"""),"")</f>
        <v/>
      </c>
    </row>
    <row r="4973">
      <c r="A4973" s="2" t="s">
        <v>33</v>
      </c>
      <c r="B4973" s="12">
        <v>4793632.0</v>
      </c>
      <c r="C4973" s="12">
        <v>4793916.0</v>
      </c>
      <c r="D4973" s="2"/>
      <c r="E4973" s="2" t="s">
        <v>34</v>
      </c>
      <c r="F4973" s="2" t="s">
        <v>35</v>
      </c>
      <c r="G4973" s="2"/>
      <c r="H4973" s="12">
        <v>0.0</v>
      </c>
      <c r="I4973" s="2" t="s">
        <v>36</v>
      </c>
      <c r="J4973" s="2"/>
      <c r="K4973" s="2"/>
      <c r="L4973" s="2"/>
      <c r="M4973" s="2" t="s">
        <v>13397</v>
      </c>
      <c r="N4973" s="2" t="str">
        <f>IFERROR(__xludf.DUMMYFUNCTION("""COMPUTED_VALUE"""),"")</f>
        <v/>
      </c>
    </row>
    <row r="4974">
      <c r="A4974" s="2" t="s">
        <v>33</v>
      </c>
      <c r="B4974" s="12">
        <v>4794093.0</v>
      </c>
      <c r="C4974" s="12">
        <v>4794395.0</v>
      </c>
      <c r="D4974" s="2"/>
      <c r="E4974" s="2" t="s">
        <v>38</v>
      </c>
      <c r="F4974" s="2" t="s">
        <v>35</v>
      </c>
      <c r="G4974" s="2"/>
      <c r="H4974" s="12">
        <v>0.0</v>
      </c>
      <c r="I4974" s="2" t="s">
        <v>36</v>
      </c>
      <c r="J4974" s="2"/>
      <c r="K4974" s="2"/>
      <c r="L4974" s="2"/>
      <c r="M4974" s="2" t="s">
        <v>13398</v>
      </c>
      <c r="N4974" s="2" t="str">
        <f>IFERROR(__xludf.DUMMYFUNCTION("""COMPUTED_VALUE"""),"")</f>
        <v/>
      </c>
    </row>
    <row r="4975">
      <c r="A4975" s="2" t="s">
        <v>33</v>
      </c>
      <c r="B4975" s="12">
        <v>4794432.0</v>
      </c>
      <c r="C4975" s="12">
        <v>4795555.0</v>
      </c>
      <c r="D4975" s="2"/>
      <c r="E4975" s="2" t="s">
        <v>34</v>
      </c>
      <c r="F4975" s="2" t="s">
        <v>35</v>
      </c>
      <c r="G4975" s="2"/>
      <c r="H4975" s="12">
        <v>0.0</v>
      </c>
      <c r="I4975" s="2" t="s">
        <v>36</v>
      </c>
      <c r="J4975" s="2"/>
      <c r="K4975" s="2"/>
      <c r="L4975" s="2"/>
      <c r="M4975" s="2" t="s">
        <v>13399</v>
      </c>
      <c r="N4975" s="2" t="str">
        <f>IFERROR(__xludf.DUMMYFUNCTION("""COMPUTED_VALUE"""),"")</f>
        <v/>
      </c>
    </row>
    <row r="4976">
      <c r="A4976" s="2" t="s">
        <v>33</v>
      </c>
      <c r="B4976" s="12">
        <v>4795777.0</v>
      </c>
      <c r="C4976" s="12">
        <v>4795992.0</v>
      </c>
      <c r="D4976" s="2"/>
      <c r="E4976" s="2" t="s">
        <v>34</v>
      </c>
      <c r="F4976" s="2" t="s">
        <v>13400</v>
      </c>
      <c r="G4976" s="2"/>
      <c r="H4976" s="12">
        <v>0.0</v>
      </c>
      <c r="I4976" s="2" t="s">
        <v>40</v>
      </c>
      <c r="J4976" s="2"/>
      <c r="K4976" s="2" t="s">
        <v>13401</v>
      </c>
      <c r="L4976" s="12">
        <v>71.0</v>
      </c>
      <c r="M4976" s="2" t="s">
        <v>13402</v>
      </c>
      <c r="N4976" s="2" t="str">
        <f>IFERROR(__xludf.DUMMYFUNCTION("""COMPUTED_VALUE"""),"")</f>
        <v/>
      </c>
    </row>
    <row r="4977">
      <c r="A4977" s="2" t="s">
        <v>33</v>
      </c>
      <c r="B4977" s="12">
        <v>4796017.0</v>
      </c>
      <c r="C4977" s="12">
        <v>4796127.0</v>
      </c>
      <c r="D4977" s="2"/>
      <c r="E4977" s="2" t="s">
        <v>34</v>
      </c>
      <c r="F4977" s="2" t="s">
        <v>35</v>
      </c>
      <c r="G4977" s="2"/>
      <c r="H4977" s="12">
        <v>0.0</v>
      </c>
      <c r="I4977" s="2" t="s">
        <v>36</v>
      </c>
      <c r="J4977" s="2"/>
      <c r="K4977" s="2"/>
      <c r="L4977" s="2"/>
      <c r="M4977" s="2" t="s">
        <v>13403</v>
      </c>
      <c r="N4977" s="2" t="str">
        <f>IFERROR(__xludf.DUMMYFUNCTION("""COMPUTED_VALUE"""),"")</f>
        <v/>
      </c>
    </row>
    <row r="4978">
      <c r="A4978" s="2" t="s">
        <v>33</v>
      </c>
      <c r="B4978" s="12">
        <v>4796396.0</v>
      </c>
      <c r="C4978" s="12">
        <v>4797427.0</v>
      </c>
      <c r="D4978" s="2"/>
      <c r="E4978" s="2" t="s">
        <v>38</v>
      </c>
      <c r="F4978" s="2" t="s">
        <v>1846</v>
      </c>
      <c r="G4978" s="2"/>
      <c r="H4978" s="12">
        <v>0.0</v>
      </c>
      <c r="I4978" s="2" t="s">
        <v>40</v>
      </c>
      <c r="J4978" s="2"/>
      <c r="K4978" s="2" t="s">
        <v>13404</v>
      </c>
      <c r="L4978" s="12">
        <v>343.0</v>
      </c>
      <c r="M4978" s="2" t="s">
        <v>13405</v>
      </c>
      <c r="N4978" s="2" t="str">
        <f>IFERROR(__xludf.DUMMYFUNCTION("""COMPUTED_VALUE"""),"")</f>
        <v/>
      </c>
    </row>
    <row r="4979">
      <c r="A4979" s="2" t="s">
        <v>33</v>
      </c>
      <c r="B4979" s="12">
        <v>4797736.0</v>
      </c>
      <c r="C4979" s="12">
        <v>4798377.0</v>
      </c>
      <c r="D4979" s="2"/>
      <c r="E4979" s="2" t="s">
        <v>34</v>
      </c>
      <c r="F4979" s="2" t="s">
        <v>7728</v>
      </c>
      <c r="G4979" s="2"/>
      <c r="H4979" s="12">
        <v>0.0</v>
      </c>
      <c r="I4979" s="2" t="s">
        <v>40</v>
      </c>
      <c r="J4979" s="2"/>
      <c r="K4979" s="2" t="s">
        <v>13406</v>
      </c>
      <c r="L4979" s="12">
        <v>213.0</v>
      </c>
      <c r="M4979" s="2" t="s">
        <v>13407</v>
      </c>
      <c r="N4979" s="2" t="str">
        <f>IFERROR(__xludf.DUMMYFUNCTION("""COMPUTED_VALUE"""),"")</f>
        <v/>
      </c>
    </row>
    <row r="4980">
      <c r="A4980" s="2" t="s">
        <v>33</v>
      </c>
      <c r="B4980" s="12">
        <v>4798709.0</v>
      </c>
      <c r="C4980" s="12">
        <v>4799548.0</v>
      </c>
      <c r="D4980" s="2"/>
      <c r="E4980" s="2" t="s">
        <v>34</v>
      </c>
      <c r="F4980" s="2" t="s">
        <v>1506</v>
      </c>
      <c r="G4980" s="2"/>
      <c r="H4980" s="12">
        <v>0.0</v>
      </c>
      <c r="I4980" s="2" t="s">
        <v>40</v>
      </c>
      <c r="J4980" s="2"/>
      <c r="K4980" s="2" t="s">
        <v>13408</v>
      </c>
      <c r="L4980" s="12">
        <v>279.0</v>
      </c>
      <c r="M4980" s="2" t="s">
        <v>13409</v>
      </c>
      <c r="N4980" s="2" t="str">
        <f>IFERROR(__xludf.DUMMYFUNCTION("""COMPUTED_VALUE"""),"")</f>
        <v/>
      </c>
    </row>
    <row r="4981">
      <c r="A4981" s="2" t="s">
        <v>33</v>
      </c>
      <c r="B4981" s="12">
        <v>4799701.0</v>
      </c>
      <c r="C4981" s="12">
        <v>4800378.0</v>
      </c>
      <c r="D4981" s="2"/>
      <c r="E4981" s="2" t="s">
        <v>34</v>
      </c>
      <c r="F4981" s="2" t="s">
        <v>379</v>
      </c>
      <c r="G4981" s="2"/>
      <c r="H4981" s="12">
        <v>0.0</v>
      </c>
      <c r="I4981" s="2" t="s">
        <v>40</v>
      </c>
      <c r="J4981" s="2"/>
      <c r="K4981" s="2" t="s">
        <v>13410</v>
      </c>
      <c r="L4981" s="12">
        <v>225.0</v>
      </c>
      <c r="M4981" s="2" t="s">
        <v>13411</v>
      </c>
      <c r="N4981" s="2" t="str">
        <f>IFERROR(__xludf.DUMMYFUNCTION("""COMPUTED_VALUE"""),"")</f>
        <v/>
      </c>
    </row>
    <row r="4982">
      <c r="A4982" s="2" t="s">
        <v>33</v>
      </c>
      <c r="B4982" s="12">
        <v>4800380.0</v>
      </c>
      <c r="C4982" s="12">
        <v>4801756.0</v>
      </c>
      <c r="D4982" s="2"/>
      <c r="E4982" s="2" t="s">
        <v>34</v>
      </c>
      <c r="F4982" s="2" t="s">
        <v>382</v>
      </c>
      <c r="G4982" s="2"/>
      <c r="H4982" s="12">
        <v>0.0</v>
      </c>
      <c r="I4982" s="2" t="s">
        <v>40</v>
      </c>
      <c r="J4982" s="2"/>
      <c r="K4982" s="2" t="s">
        <v>13412</v>
      </c>
      <c r="L4982" s="12">
        <v>458.0</v>
      </c>
      <c r="M4982" s="2" t="s">
        <v>13413</v>
      </c>
      <c r="N4982" s="2" t="str">
        <f>IFERROR(__xludf.DUMMYFUNCTION("""COMPUTED_VALUE"""),"")</f>
        <v/>
      </c>
    </row>
    <row r="4983">
      <c r="A4983" s="2" t="s">
        <v>33</v>
      </c>
      <c r="B4983" s="12">
        <v>4801958.0</v>
      </c>
      <c r="C4983" s="12">
        <v>4802428.0</v>
      </c>
      <c r="D4983" s="2"/>
      <c r="E4983" s="2" t="s">
        <v>34</v>
      </c>
      <c r="F4983" s="2" t="s">
        <v>817</v>
      </c>
      <c r="G4983" s="2"/>
      <c r="H4983" s="12">
        <v>0.0</v>
      </c>
      <c r="I4983" s="2" t="s">
        <v>40</v>
      </c>
      <c r="J4983" s="2"/>
      <c r="K4983" s="2" t="s">
        <v>13414</v>
      </c>
      <c r="L4983" s="12">
        <v>156.0</v>
      </c>
      <c r="M4983" s="2" t="s">
        <v>13415</v>
      </c>
      <c r="N4983" s="2" t="str">
        <f>IFERROR(__xludf.DUMMYFUNCTION("""COMPUTED_VALUE"""),"")</f>
        <v/>
      </c>
    </row>
    <row r="4984">
      <c r="A4984" s="2" t="s">
        <v>33</v>
      </c>
      <c r="B4984" s="12">
        <v>4802538.0</v>
      </c>
      <c r="C4984" s="12">
        <v>4803797.0</v>
      </c>
      <c r="D4984" s="2"/>
      <c r="E4984" s="2" t="s">
        <v>38</v>
      </c>
      <c r="F4984" s="2" t="s">
        <v>88</v>
      </c>
      <c r="G4984" s="2"/>
      <c r="H4984" s="12">
        <v>0.0</v>
      </c>
      <c r="I4984" s="2" t="s">
        <v>40</v>
      </c>
      <c r="J4984" s="2"/>
      <c r="K4984" s="2" t="s">
        <v>13416</v>
      </c>
      <c r="L4984" s="12">
        <v>419.0</v>
      </c>
      <c r="M4984" s="2" t="s">
        <v>13417</v>
      </c>
      <c r="N4984" s="2" t="str">
        <f>IFERROR(__xludf.DUMMYFUNCTION("""COMPUTED_VALUE"""),"")</f>
        <v/>
      </c>
    </row>
    <row r="4985">
      <c r="A4985" s="2" t="s">
        <v>33</v>
      </c>
      <c r="B4985" s="12">
        <v>4803867.0</v>
      </c>
      <c r="C4985" s="12">
        <v>4804490.0</v>
      </c>
      <c r="D4985" s="2"/>
      <c r="E4985" s="2" t="s">
        <v>38</v>
      </c>
      <c r="F4985" s="2" t="s">
        <v>13418</v>
      </c>
      <c r="G4985" s="2"/>
      <c r="H4985" s="12">
        <v>0.0</v>
      </c>
      <c r="I4985" s="2" t="s">
        <v>40</v>
      </c>
      <c r="J4985" s="2"/>
      <c r="K4985" s="2" t="s">
        <v>13419</v>
      </c>
      <c r="L4985" s="12">
        <v>207.0</v>
      </c>
      <c r="M4985" s="2" t="s">
        <v>13420</v>
      </c>
      <c r="N4985" s="2" t="str">
        <f>IFERROR(__xludf.DUMMYFUNCTION("""COMPUTED_VALUE"""),"")</f>
        <v/>
      </c>
    </row>
    <row r="4986">
      <c r="A4986" s="2" t="s">
        <v>33</v>
      </c>
      <c r="B4986" s="12">
        <v>4804676.0</v>
      </c>
      <c r="C4986" s="12">
        <v>4805740.0</v>
      </c>
      <c r="D4986" s="2"/>
      <c r="E4986" s="2" t="s">
        <v>34</v>
      </c>
      <c r="F4986" s="2" t="s">
        <v>791</v>
      </c>
      <c r="G4986" s="2"/>
      <c r="H4986" s="12">
        <v>0.0</v>
      </c>
      <c r="I4986" s="2" t="s">
        <v>40</v>
      </c>
      <c r="J4986" s="2"/>
      <c r="K4986" s="2" t="s">
        <v>13421</v>
      </c>
      <c r="L4986" s="12">
        <v>354.0</v>
      </c>
      <c r="M4986" s="2" t="s">
        <v>13422</v>
      </c>
      <c r="N4986" s="2" t="str">
        <f>IFERROR(__xludf.DUMMYFUNCTION("""COMPUTED_VALUE"""),"")</f>
        <v/>
      </c>
    </row>
    <row r="4987">
      <c r="A4987" s="2" t="s">
        <v>33</v>
      </c>
      <c r="B4987" s="12">
        <v>4805740.0</v>
      </c>
      <c r="C4987" s="12">
        <v>4806411.0</v>
      </c>
      <c r="D4987" s="2"/>
      <c r="E4987" s="2" t="s">
        <v>34</v>
      </c>
      <c r="F4987" s="2" t="s">
        <v>432</v>
      </c>
      <c r="G4987" s="2"/>
      <c r="H4987" s="12">
        <v>0.0</v>
      </c>
      <c r="I4987" s="2" t="s">
        <v>40</v>
      </c>
      <c r="J4987" s="2"/>
      <c r="K4987" s="2" t="s">
        <v>13423</v>
      </c>
      <c r="L4987" s="12">
        <v>223.0</v>
      </c>
      <c r="M4987" s="2" t="s">
        <v>13424</v>
      </c>
      <c r="N4987" s="2" t="str">
        <f>IFERROR(__xludf.DUMMYFUNCTION("""COMPUTED_VALUE"""),"")</f>
        <v/>
      </c>
    </row>
    <row r="4988">
      <c r="A4988" s="2" t="s">
        <v>33</v>
      </c>
      <c r="B4988" s="12">
        <v>4806461.0</v>
      </c>
      <c r="C4988" s="12">
        <v>4807573.0</v>
      </c>
      <c r="D4988" s="2"/>
      <c r="E4988" s="2" t="s">
        <v>38</v>
      </c>
      <c r="F4988" s="2" t="s">
        <v>356</v>
      </c>
      <c r="G4988" s="2"/>
      <c r="H4988" s="12">
        <v>0.0</v>
      </c>
      <c r="I4988" s="2" t="s">
        <v>40</v>
      </c>
      <c r="J4988" s="2"/>
      <c r="K4988" s="2" t="s">
        <v>13425</v>
      </c>
      <c r="L4988" s="12">
        <v>370.0</v>
      </c>
      <c r="M4988" s="2" t="s">
        <v>13426</v>
      </c>
      <c r="N4988" s="2" t="str">
        <f>IFERROR(__xludf.DUMMYFUNCTION("""COMPUTED_VALUE"""),"")</f>
        <v/>
      </c>
    </row>
    <row r="4989">
      <c r="A4989" s="2" t="s">
        <v>33</v>
      </c>
      <c r="B4989" s="12">
        <v>4807714.0</v>
      </c>
      <c r="C4989" s="12">
        <v>4808304.0</v>
      </c>
      <c r="D4989" s="2"/>
      <c r="E4989" s="2" t="s">
        <v>38</v>
      </c>
      <c r="F4989" s="2" t="s">
        <v>712</v>
      </c>
      <c r="G4989" s="2"/>
      <c r="H4989" s="12">
        <v>0.0</v>
      </c>
      <c r="I4989" s="2" t="s">
        <v>40</v>
      </c>
      <c r="J4989" s="2"/>
      <c r="K4989" s="2" t="s">
        <v>13427</v>
      </c>
      <c r="L4989" s="12">
        <v>196.0</v>
      </c>
      <c r="M4989" s="2" t="s">
        <v>13428</v>
      </c>
      <c r="N4989" s="2" t="str">
        <f>IFERROR(__xludf.DUMMYFUNCTION("""COMPUTED_VALUE"""),"")</f>
        <v/>
      </c>
    </row>
    <row r="4990">
      <c r="A4990" s="2" t="s">
        <v>33</v>
      </c>
      <c r="B4990" s="12">
        <v>4808520.0</v>
      </c>
      <c r="C4990" s="12">
        <v>4809440.0</v>
      </c>
      <c r="D4990" s="2"/>
      <c r="E4990" s="2" t="s">
        <v>34</v>
      </c>
      <c r="F4990" s="2" t="s">
        <v>289</v>
      </c>
      <c r="G4990" s="2"/>
      <c r="H4990" s="12">
        <v>0.0</v>
      </c>
      <c r="I4990" s="2" t="s">
        <v>40</v>
      </c>
      <c r="J4990" s="2"/>
      <c r="K4990" s="2" t="s">
        <v>13429</v>
      </c>
      <c r="L4990" s="12">
        <v>306.0</v>
      </c>
      <c r="M4990" s="2" t="s">
        <v>13430</v>
      </c>
      <c r="N4990" s="2" t="str">
        <f>IFERROR(__xludf.DUMMYFUNCTION("""COMPUTED_VALUE"""),"")</f>
        <v/>
      </c>
    </row>
    <row r="4991">
      <c r="A4991" s="2" t="s">
        <v>33</v>
      </c>
      <c r="B4991" s="12">
        <v>4809651.0</v>
      </c>
      <c r="C4991" s="12">
        <v>4811191.0</v>
      </c>
      <c r="D4991" s="2"/>
      <c r="E4991" s="2" t="s">
        <v>34</v>
      </c>
      <c r="F4991" s="2" t="s">
        <v>35</v>
      </c>
      <c r="G4991" s="2"/>
      <c r="H4991" s="12">
        <v>0.0</v>
      </c>
      <c r="I4991" s="2" t="s">
        <v>36</v>
      </c>
      <c r="J4991" s="2"/>
      <c r="K4991" s="2"/>
      <c r="L4991" s="2"/>
      <c r="M4991" s="2" t="s">
        <v>13431</v>
      </c>
      <c r="N4991" s="2" t="str">
        <f>IFERROR(__xludf.DUMMYFUNCTION("""COMPUTED_VALUE"""),"")</f>
        <v/>
      </c>
    </row>
    <row r="4992">
      <c r="A4992" s="2" t="s">
        <v>33</v>
      </c>
      <c r="B4992" s="12">
        <v>4811388.0</v>
      </c>
      <c r="C4992" s="12">
        <v>4812620.0</v>
      </c>
      <c r="D4992" s="2"/>
      <c r="E4992" s="2" t="s">
        <v>34</v>
      </c>
      <c r="F4992" s="2" t="s">
        <v>13432</v>
      </c>
      <c r="G4992" s="2"/>
      <c r="H4992" s="12">
        <v>0.0</v>
      </c>
      <c r="I4992" s="2" t="s">
        <v>40</v>
      </c>
      <c r="J4992" s="2"/>
      <c r="K4992" s="2" t="s">
        <v>13433</v>
      </c>
      <c r="L4992" s="12">
        <v>410.0</v>
      </c>
      <c r="M4992" s="2" t="s">
        <v>13434</v>
      </c>
      <c r="N4992" s="2" t="str">
        <f>IFERROR(__xludf.DUMMYFUNCTION("""COMPUTED_VALUE"""),"")</f>
        <v/>
      </c>
    </row>
    <row r="4993">
      <c r="A4993" s="2" t="s">
        <v>33</v>
      </c>
      <c r="B4993" s="12">
        <v>4812976.0</v>
      </c>
      <c r="C4993" s="12">
        <v>4813971.0</v>
      </c>
      <c r="D4993" s="2"/>
      <c r="E4993" s="2" t="s">
        <v>34</v>
      </c>
      <c r="F4993" s="2" t="s">
        <v>13435</v>
      </c>
      <c r="G4993" s="2"/>
      <c r="H4993" s="12">
        <v>0.0</v>
      </c>
      <c r="I4993" s="2" t="s">
        <v>40</v>
      </c>
      <c r="J4993" s="2"/>
      <c r="K4993" s="2" t="s">
        <v>13436</v>
      </c>
      <c r="L4993" s="12">
        <v>331.0</v>
      </c>
      <c r="M4993" s="2" t="s">
        <v>13437</v>
      </c>
      <c r="N4993" s="2" t="str">
        <f>IFERROR(__xludf.DUMMYFUNCTION("""COMPUTED_VALUE"""),"")</f>
        <v/>
      </c>
    </row>
    <row r="4994">
      <c r="A4994" s="2" t="s">
        <v>33</v>
      </c>
      <c r="B4994" s="12">
        <v>4814232.0</v>
      </c>
      <c r="C4994" s="12">
        <v>4814780.0</v>
      </c>
      <c r="D4994" s="2"/>
      <c r="E4994" s="2" t="s">
        <v>34</v>
      </c>
      <c r="F4994" s="2" t="s">
        <v>39</v>
      </c>
      <c r="G4994" s="2"/>
      <c r="H4994" s="12">
        <v>0.0</v>
      </c>
      <c r="I4994" s="2" t="s">
        <v>40</v>
      </c>
      <c r="J4994" s="2"/>
      <c r="K4994" s="2" t="s">
        <v>13438</v>
      </c>
      <c r="L4994" s="12">
        <v>182.0</v>
      </c>
      <c r="M4994" s="2" t="s">
        <v>13439</v>
      </c>
      <c r="N4994" s="2" t="str">
        <f>IFERROR(__xludf.DUMMYFUNCTION("""COMPUTED_VALUE"""),"")</f>
        <v/>
      </c>
    </row>
    <row r="4995">
      <c r="A4995" s="2" t="s">
        <v>33</v>
      </c>
      <c r="B4995" s="12">
        <v>4814911.0</v>
      </c>
      <c r="C4995" s="12">
        <v>4815507.0</v>
      </c>
      <c r="D4995" s="2"/>
      <c r="E4995" s="2" t="s">
        <v>38</v>
      </c>
      <c r="F4995" s="2" t="s">
        <v>39</v>
      </c>
      <c r="G4995" s="2"/>
      <c r="H4995" s="12">
        <v>0.0</v>
      </c>
      <c r="I4995" s="2" t="s">
        <v>40</v>
      </c>
      <c r="J4995" s="2"/>
      <c r="K4995" s="2" t="s">
        <v>13440</v>
      </c>
      <c r="L4995" s="12">
        <v>198.0</v>
      </c>
      <c r="M4995" s="2" t="s">
        <v>13441</v>
      </c>
      <c r="N4995" s="2" t="str">
        <f>IFERROR(__xludf.DUMMYFUNCTION("""COMPUTED_VALUE"""),"")</f>
        <v/>
      </c>
    </row>
    <row r="4996">
      <c r="A4996" s="2" t="s">
        <v>33</v>
      </c>
      <c r="B4996" s="12">
        <v>4815622.0</v>
      </c>
      <c r="C4996" s="12">
        <v>4815861.0</v>
      </c>
      <c r="D4996" s="2"/>
      <c r="E4996" s="2" t="s">
        <v>34</v>
      </c>
      <c r="F4996" s="2" t="s">
        <v>39</v>
      </c>
      <c r="G4996" s="2"/>
      <c r="H4996" s="12">
        <v>0.0</v>
      </c>
      <c r="I4996" s="2" t="s">
        <v>40</v>
      </c>
      <c r="J4996" s="2"/>
      <c r="K4996" s="2" t="s">
        <v>13442</v>
      </c>
      <c r="L4996" s="12">
        <v>79.0</v>
      </c>
      <c r="M4996" s="2" t="s">
        <v>13443</v>
      </c>
      <c r="N4996" s="2" t="str">
        <f>IFERROR(__xludf.DUMMYFUNCTION("""COMPUTED_VALUE"""),"")</f>
        <v/>
      </c>
    </row>
    <row r="4997">
      <c r="A4997" s="2" t="s">
        <v>33</v>
      </c>
      <c r="B4997" s="12">
        <v>4815934.0</v>
      </c>
      <c r="C4997" s="12">
        <v>4817412.0</v>
      </c>
      <c r="D4997" s="2"/>
      <c r="E4997" s="2" t="s">
        <v>34</v>
      </c>
      <c r="F4997" s="2" t="s">
        <v>9665</v>
      </c>
      <c r="G4997" s="2"/>
      <c r="H4997" s="12">
        <v>0.0</v>
      </c>
      <c r="I4997" s="2" t="s">
        <v>40</v>
      </c>
      <c r="J4997" s="2"/>
      <c r="K4997" s="2" t="s">
        <v>13444</v>
      </c>
      <c r="L4997" s="12">
        <v>492.0</v>
      </c>
      <c r="M4997" s="2" t="s">
        <v>13445</v>
      </c>
      <c r="N4997" s="2" t="str">
        <f>IFERROR(__xludf.DUMMYFUNCTION("""COMPUTED_VALUE"""),"")</f>
        <v/>
      </c>
    </row>
    <row r="4998">
      <c r="A4998" s="2" t="s">
        <v>33</v>
      </c>
      <c r="B4998" s="12">
        <v>4817982.0</v>
      </c>
      <c r="C4998" s="12">
        <v>4821179.0</v>
      </c>
      <c r="D4998" s="2"/>
      <c r="E4998" s="2" t="s">
        <v>34</v>
      </c>
      <c r="F4998" s="2" t="s">
        <v>13446</v>
      </c>
      <c r="G4998" s="2" t="s">
        <v>13447</v>
      </c>
      <c r="H4998" s="12">
        <v>0.0</v>
      </c>
      <c r="I4998" s="2" t="s">
        <v>40</v>
      </c>
      <c r="J4998" s="2"/>
      <c r="K4998" s="2" t="s">
        <v>13448</v>
      </c>
      <c r="L4998" s="12">
        <v>1065.0</v>
      </c>
      <c r="M4998" s="2" t="s">
        <v>13449</v>
      </c>
      <c r="N4998" s="2" t="str">
        <f>IFERROR(__xludf.DUMMYFUNCTION("""COMPUTED_VALUE"""),"")</f>
        <v/>
      </c>
    </row>
    <row r="4999">
      <c r="A4999" s="2" t="s">
        <v>33</v>
      </c>
      <c r="B4999" s="12">
        <v>4821391.0</v>
      </c>
      <c r="C4999" s="12">
        <v>4823503.0</v>
      </c>
      <c r="D4999" s="2"/>
      <c r="E4999" s="2" t="s">
        <v>38</v>
      </c>
      <c r="F4999" s="2" t="s">
        <v>35</v>
      </c>
      <c r="G4999" s="2"/>
      <c r="H4999" s="12">
        <v>0.0</v>
      </c>
      <c r="I4999" s="2" t="s">
        <v>36</v>
      </c>
      <c r="J4999" s="2"/>
      <c r="K4999" s="2"/>
      <c r="L4999" s="2"/>
      <c r="M4999" s="2" t="s">
        <v>13450</v>
      </c>
      <c r="N4999" s="2" t="str">
        <f>IFERROR(__xludf.DUMMYFUNCTION("""COMPUTED_VALUE"""),"")</f>
        <v/>
      </c>
    </row>
    <row r="5000">
      <c r="A5000" s="2" t="s">
        <v>33</v>
      </c>
      <c r="B5000" s="12">
        <v>4824054.0</v>
      </c>
      <c r="C5000" s="12">
        <v>4824479.0</v>
      </c>
      <c r="D5000" s="2"/>
      <c r="E5000" s="2" t="s">
        <v>34</v>
      </c>
      <c r="F5000" s="2" t="s">
        <v>13451</v>
      </c>
      <c r="G5000" s="2"/>
      <c r="H5000" s="12">
        <v>0.0</v>
      </c>
      <c r="I5000" s="2" t="s">
        <v>40</v>
      </c>
      <c r="J5000" s="2"/>
      <c r="K5000" s="2" t="s">
        <v>13452</v>
      </c>
      <c r="L5000" s="12">
        <v>141.0</v>
      </c>
      <c r="M5000" s="2" t="s">
        <v>13453</v>
      </c>
      <c r="N5000" s="2" t="str">
        <f>IFERROR(__xludf.DUMMYFUNCTION("""COMPUTED_VALUE"""),"")</f>
        <v/>
      </c>
    </row>
    <row r="5001">
      <c r="A5001" s="2" t="s">
        <v>33</v>
      </c>
      <c r="B5001" s="12">
        <v>4824800.0</v>
      </c>
      <c r="C5001" s="12">
        <v>4826587.0</v>
      </c>
      <c r="D5001" s="2"/>
      <c r="E5001" s="2" t="s">
        <v>38</v>
      </c>
      <c r="F5001" s="2" t="s">
        <v>13454</v>
      </c>
      <c r="G5001" s="2"/>
      <c r="H5001" s="12">
        <v>0.0</v>
      </c>
      <c r="I5001" s="2" t="s">
        <v>40</v>
      </c>
      <c r="J5001" s="2"/>
      <c r="K5001" s="2" t="s">
        <v>13455</v>
      </c>
      <c r="L5001" s="12">
        <v>595.0</v>
      </c>
      <c r="M5001" s="2" t="s">
        <v>13456</v>
      </c>
      <c r="N5001" s="2" t="str">
        <f>IFERROR(__xludf.DUMMYFUNCTION("""COMPUTED_VALUE"""),"")</f>
        <v/>
      </c>
    </row>
    <row r="5002">
      <c r="A5002" s="2" t="s">
        <v>33</v>
      </c>
      <c r="B5002" s="12">
        <v>4826703.0</v>
      </c>
      <c r="C5002" s="12">
        <v>4827281.0</v>
      </c>
      <c r="D5002" s="2"/>
      <c r="E5002" s="2" t="s">
        <v>38</v>
      </c>
      <c r="F5002" s="2" t="s">
        <v>13457</v>
      </c>
      <c r="G5002" s="2"/>
      <c r="H5002" s="12">
        <v>0.0</v>
      </c>
      <c r="I5002" s="2" t="s">
        <v>40</v>
      </c>
      <c r="J5002" s="2"/>
      <c r="K5002" s="2" t="s">
        <v>13458</v>
      </c>
      <c r="L5002" s="12">
        <v>192.0</v>
      </c>
      <c r="M5002" s="2" t="s">
        <v>13459</v>
      </c>
      <c r="N5002" s="2" t="str">
        <f>IFERROR(__xludf.DUMMYFUNCTION("""COMPUTED_VALUE"""),"")</f>
        <v/>
      </c>
    </row>
    <row r="5003">
      <c r="A5003" s="2" t="s">
        <v>33</v>
      </c>
      <c r="B5003" s="12">
        <v>4827628.0</v>
      </c>
      <c r="C5003" s="12">
        <v>4828965.0</v>
      </c>
      <c r="D5003" s="2"/>
      <c r="E5003" s="2" t="s">
        <v>38</v>
      </c>
      <c r="F5003" s="2" t="s">
        <v>473</v>
      </c>
      <c r="G5003" s="2"/>
      <c r="H5003" s="12">
        <v>0.0</v>
      </c>
      <c r="I5003" s="2" t="s">
        <v>40</v>
      </c>
      <c r="J5003" s="2"/>
      <c r="K5003" s="2" t="s">
        <v>13460</v>
      </c>
      <c r="L5003" s="12">
        <v>445.0</v>
      </c>
      <c r="M5003" s="2" t="s">
        <v>13461</v>
      </c>
      <c r="N5003" s="2" t="str">
        <f>IFERROR(__xludf.DUMMYFUNCTION("""COMPUTED_VALUE"""),"")</f>
        <v/>
      </c>
    </row>
    <row r="5004">
      <c r="A5004" s="2" t="s">
        <v>33</v>
      </c>
      <c r="B5004" s="12">
        <v>4829325.0</v>
      </c>
      <c r="C5004" s="12">
        <v>4830203.0</v>
      </c>
      <c r="D5004" s="2"/>
      <c r="E5004" s="2" t="s">
        <v>34</v>
      </c>
      <c r="F5004" s="2" t="s">
        <v>306</v>
      </c>
      <c r="G5004" s="2"/>
      <c r="H5004" s="12">
        <v>0.0</v>
      </c>
      <c r="I5004" s="2" t="s">
        <v>40</v>
      </c>
      <c r="J5004" s="2"/>
      <c r="K5004" s="2" t="s">
        <v>13462</v>
      </c>
      <c r="L5004" s="12">
        <v>292.0</v>
      </c>
      <c r="M5004" s="2" t="s">
        <v>13463</v>
      </c>
      <c r="N5004" s="2" t="str">
        <f>IFERROR(__xludf.DUMMYFUNCTION("""COMPUTED_VALUE"""),"")</f>
        <v/>
      </c>
    </row>
    <row r="5005">
      <c r="A5005" s="2" t="s">
        <v>33</v>
      </c>
      <c r="B5005" s="12">
        <v>4830845.0</v>
      </c>
      <c r="C5005" s="12">
        <v>4832290.0</v>
      </c>
      <c r="D5005" s="2"/>
      <c r="E5005" s="2" t="s">
        <v>34</v>
      </c>
      <c r="F5005" s="2" t="s">
        <v>13464</v>
      </c>
      <c r="G5005" s="2"/>
      <c r="H5005" s="12">
        <v>0.0</v>
      </c>
      <c r="I5005" s="2" t="s">
        <v>40</v>
      </c>
      <c r="J5005" s="2"/>
      <c r="K5005" s="2" t="s">
        <v>13465</v>
      </c>
      <c r="L5005" s="12">
        <v>481.0</v>
      </c>
      <c r="M5005" s="2" t="s">
        <v>13466</v>
      </c>
      <c r="N5005" s="2" t="str">
        <f>IFERROR(__xludf.DUMMYFUNCTION("""COMPUTED_VALUE"""),"")</f>
        <v/>
      </c>
    </row>
    <row r="5006">
      <c r="A5006" s="2" t="s">
        <v>33</v>
      </c>
      <c r="B5006" s="12">
        <v>4832637.0</v>
      </c>
      <c r="C5006" s="12">
        <v>4832852.0</v>
      </c>
      <c r="D5006" s="2"/>
      <c r="E5006" s="2" t="s">
        <v>34</v>
      </c>
      <c r="F5006" s="2" t="s">
        <v>39</v>
      </c>
      <c r="G5006" s="2"/>
      <c r="H5006" s="12">
        <v>0.0</v>
      </c>
      <c r="I5006" s="2" t="s">
        <v>40</v>
      </c>
      <c r="J5006" s="2"/>
      <c r="K5006" s="2" t="s">
        <v>13467</v>
      </c>
      <c r="L5006" s="12">
        <v>71.0</v>
      </c>
      <c r="M5006" s="2" t="s">
        <v>13468</v>
      </c>
      <c r="N5006" s="2" t="str">
        <f>IFERROR(__xludf.DUMMYFUNCTION("""COMPUTED_VALUE"""),"")</f>
        <v/>
      </c>
    </row>
    <row r="5007">
      <c r="A5007" s="2" t="s">
        <v>33</v>
      </c>
      <c r="B5007" s="12">
        <v>4833044.0</v>
      </c>
      <c r="C5007" s="12">
        <v>4834417.0</v>
      </c>
      <c r="D5007" s="2"/>
      <c r="E5007" s="2" t="s">
        <v>38</v>
      </c>
      <c r="F5007" s="2" t="s">
        <v>5460</v>
      </c>
      <c r="G5007" s="2"/>
      <c r="H5007" s="12">
        <v>0.0</v>
      </c>
      <c r="I5007" s="2" t="s">
        <v>40</v>
      </c>
      <c r="J5007" s="2"/>
      <c r="K5007" s="2" t="s">
        <v>13469</v>
      </c>
      <c r="L5007" s="12">
        <v>457.0</v>
      </c>
      <c r="M5007" s="2" t="s">
        <v>13470</v>
      </c>
      <c r="N5007" s="2" t="str">
        <f>IFERROR(__xludf.DUMMYFUNCTION("""COMPUTED_VALUE"""),"")</f>
        <v/>
      </c>
    </row>
    <row r="5008">
      <c r="A5008" s="2" t="s">
        <v>33</v>
      </c>
      <c r="B5008" s="12">
        <v>4834414.0</v>
      </c>
      <c r="C5008" s="12">
        <v>4835088.0</v>
      </c>
      <c r="D5008" s="2"/>
      <c r="E5008" s="2" t="s">
        <v>38</v>
      </c>
      <c r="F5008" s="2" t="s">
        <v>379</v>
      </c>
      <c r="G5008" s="2"/>
      <c r="H5008" s="12">
        <v>0.0</v>
      </c>
      <c r="I5008" s="2" t="s">
        <v>40</v>
      </c>
      <c r="J5008" s="2"/>
      <c r="K5008" s="2" t="s">
        <v>13471</v>
      </c>
      <c r="L5008" s="12">
        <v>224.0</v>
      </c>
      <c r="M5008" s="2" t="s">
        <v>13472</v>
      </c>
      <c r="N5008" s="2" t="str">
        <f>IFERROR(__xludf.DUMMYFUNCTION("""COMPUTED_VALUE"""),"")</f>
        <v/>
      </c>
    </row>
    <row r="5009">
      <c r="A5009" s="2" t="s">
        <v>33</v>
      </c>
      <c r="B5009" s="12">
        <v>4835356.0</v>
      </c>
      <c r="C5009" s="12">
        <v>4835826.0</v>
      </c>
      <c r="D5009" s="2"/>
      <c r="E5009" s="2" t="s">
        <v>34</v>
      </c>
      <c r="F5009" s="2" t="s">
        <v>39</v>
      </c>
      <c r="G5009" s="2"/>
      <c r="H5009" s="12">
        <v>0.0</v>
      </c>
      <c r="I5009" s="2" t="s">
        <v>40</v>
      </c>
      <c r="J5009" s="2"/>
      <c r="K5009" s="2" t="s">
        <v>13473</v>
      </c>
      <c r="L5009" s="12">
        <v>156.0</v>
      </c>
      <c r="M5009" s="2" t="s">
        <v>13474</v>
      </c>
      <c r="N5009" s="2" t="str">
        <f>IFERROR(__xludf.DUMMYFUNCTION("""COMPUTED_VALUE"""),"")</f>
        <v/>
      </c>
    </row>
    <row r="5010">
      <c r="A5010" s="2" t="s">
        <v>33</v>
      </c>
      <c r="B5010" s="12">
        <v>4835847.0</v>
      </c>
      <c r="C5010" s="12">
        <v>4836170.0</v>
      </c>
      <c r="D5010" s="2"/>
      <c r="E5010" s="2" t="s">
        <v>34</v>
      </c>
      <c r="F5010" s="2" t="s">
        <v>9152</v>
      </c>
      <c r="G5010" s="2"/>
      <c r="H5010" s="12">
        <v>0.0</v>
      </c>
      <c r="I5010" s="2" t="s">
        <v>40</v>
      </c>
      <c r="J5010" s="2"/>
      <c r="K5010" s="2" t="s">
        <v>13475</v>
      </c>
      <c r="L5010" s="12">
        <v>107.0</v>
      </c>
      <c r="M5010" s="2" t="s">
        <v>13476</v>
      </c>
      <c r="N5010" s="2" t="str">
        <f>IFERROR(__xludf.DUMMYFUNCTION("""COMPUTED_VALUE"""),"")</f>
        <v/>
      </c>
    </row>
    <row r="5011">
      <c r="A5011" s="2" t="s">
        <v>33</v>
      </c>
      <c r="B5011" s="12">
        <v>4836884.0</v>
      </c>
      <c r="C5011" s="12">
        <v>4838128.0</v>
      </c>
      <c r="D5011" s="2"/>
      <c r="E5011" s="2" t="s">
        <v>34</v>
      </c>
      <c r="F5011" s="2" t="s">
        <v>88</v>
      </c>
      <c r="G5011" s="2"/>
      <c r="H5011" s="12">
        <v>0.0</v>
      </c>
      <c r="I5011" s="2" t="s">
        <v>40</v>
      </c>
      <c r="J5011" s="2"/>
      <c r="K5011" s="2" t="s">
        <v>13477</v>
      </c>
      <c r="L5011" s="12">
        <v>414.0</v>
      </c>
      <c r="M5011" s="2" t="s">
        <v>13478</v>
      </c>
      <c r="N5011" s="2" t="str">
        <f>IFERROR(__xludf.DUMMYFUNCTION("""COMPUTED_VALUE"""),"")</f>
        <v/>
      </c>
    </row>
    <row r="5012">
      <c r="A5012" s="2" t="s">
        <v>33</v>
      </c>
      <c r="B5012" s="12">
        <v>4838143.0</v>
      </c>
      <c r="C5012" s="12">
        <v>4839405.0</v>
      </c>
      <c r="D5012" s="2"/>
      <c r="E5012" s="2" t="s">
        <v>34</v>
      </c>
      <c r="F5012" s="2" t="s">
        <v>7845</v>
      </c>
      <c r="G5012" s="2"/>
      <c r="H5012" s="12">
        <v>0.0</v>
      </c>
      <c r="I5012" s="2" t="s">
        <v>40</v>
      </c>
      <c r="J5012" s="2"/>
      <c r="K5012" s="2" t="s">
        <v>13479</v>
      </c>
      <c r="L5012" s="12">
        <v>420.0</v>
      </c>
      <c r="M5012" s="2" t="s">
        <v>13480</v>
      </c>
      <c r="N5012" s="2" t="str">
        <f>IFERROR(__xludf.DUMMYFUNCTION("""COMPUTED_VALUE"""),"")</f>
        <v/>
      </c>
    </row>
    <row r="5013">
      <c r="A5013" s="2" t="s">
        <v>33</v>
      </c>
      <c r="B5013" s="12">
        <v>4839557.0</v>
      </c>
      <c r="C5013" s="12">
        <v>4839718.0</v>
      </c>
      <c r="D5013" s="2"/>
      <c r="E5013" s="2" t="s">
        <v>34</v>
      </c>
      <c r="F5013" s="2" t="s">
        <v>39</v>
      </c>
      <c r="G5013" s="2"/>
      <c r="H5013" s="12">
        <v>0.0</v>
      </c>
      <c r="I5013" s="2" t="s">
        <v>40</v>
      </c>
      <c r="J5013" s="2"/>
      <c r="K5013" s="2" t="s">
        <v>13481</v>
      </c>
      <c r="L5013" s="12">
        <v>53.0</v>
      </c>
      <c r="M5013" s="2" t="s">
        <v>13482</v>
      </c>
      <c r="N5013" s="2" t="str">
        <f>IFERROR(__xludf.DUMMYFUNCTION("""COMPUTED_VALUE"""),"")</f>
        <v/>
      </c>
    </row>
    <row r="5014">
      <c r="A5014" s="2" t="s">
        <v>33</v>
      </c>
      <c r="B5014" s="12">
        <v>4840136.0</v>
      </c>
      <c r="C5014" s="12">
        <v>4840522.0</v>
      </c>
      <c r="D5014" s="2"/>
      <c r="E5014" s="2" t="s">
        <v>34</v>
      </c>
      <c r="F5014" s="2" t="s">
        <v>13483</v>
      </c>
      <c r="G5014" s="2"/>
      <c r="H5014" s="12">
        <v>0.0</v>
      </c>
      <c r="I5014" s="2" t="s">
        <v>40</v>
      </c>
      <c r="J5014" s="2"/>
      <c r="K5014" s="2" t="s">
        <v>13484</v>
      </c>
      <c r="L5014" s="12">
        <v>128.0</v>
      </c>
      <c r="M5014" s="2" t="s">
        <v>13485</v>
      </c>
      <c r="N5014" s="2" t="str">
        <f>IFERROR(__xludf.DUMMYFUNCTION("""COMPUTED_VALUE"""),"")</f>
        <v/>
      </c>
    </row>
    <row r="5015">
      <c r="A5015" s="2" t="s">
        <v>33</v>
      </c>
      <c r="B5015" s="12">
        <v>4841026.0</v>
      </c>
      <c r="C5015" s="12">
        <v>4841445.0</v>
      </c>
      <c r="D5015" s="2"/>
      <c r="E5015" s="2" t="s">
        <v>34</v>
      </c>
      <c r="F5015" s="2" t="s">
        <v>534</v>
      </c>
      <c r="G5015" s="2"/>
      <c r="H5015" s="12">
        <v>0.0</v>
      </c>
      <c r="I5015" s="2" t="s">
        <v>40</v>
      </c>
      <c r="J5015" s="2"/>
      <c r="K5015" s="2" t="s">
        <v>13486</v>
      </c>
      <c r="L5015" s="12">
        <v>139.0</v>
      </c>
      <c r="M5015" s="2" t="s">
        <v>13487</v>
      </c>
      <c r="N5015" s="2" t="str">
        <f>IFERROR(__xludf.DUMMYFUNCTION("""COMPUTED_VALUE"""),"")</f>
        <v/>
      </c>
    </row>
    <row r="5016">
      <c r="A5016" s="2" t="s">
        <v>33</v>
      </c>
      <c r="B5016" s="12">
        <v>4841774.0</v>
      </c>
      <c r="C5016" s="12">
        <v>4842124.0</v>
      </c>
      <c r="D5016" s="2"/>
      <c r="E5016" s="2" t="s">
        <v>34</v>
      </c>
      <c r="F5016" s="2" t="s">
        <v>4930</v>
      </c>
      <c r="G5016" s="2"/>
      <c r="H5016" s="12">
        <v>0.0</v>
      </c>
      <c r="I5016" s="2" t="s">
        <v>40</v>
      </c>
      <c r="J5016" s="2"/>
      <c r="K5016" s="2" t="s">
        <v>13488</v>
      </c>
      <c r="L5016" s="12">
        <v>116.0</v>
      </c>
      <c r="M5016" s="2" t="s">
        <v>13489</v>
      </c>
      <c r="N5016" s="2" t="str">
        <f>IFERROR(__xludf.DUMMYFUNCTION("""COMPUTED_VALUE"""),"")</f>
        <v/>
      </c>
    </row>
    <row r="5017">
      <c r="A5017" s="2" t="s">
        <v>33</v>
      </c>
      <c r="B5017" s="12">
        <v>4842321.0</v>
      </c>
      <c r="C5017" s="12">
        <v>4842626.0</v>
      </c>
      <c r="D5017" s="2"/>
      <c r="E5017" s="2" t="s">
        <v>34</v>
      </c>
      <c r="F5017" s="2" t="s">
        <v>13490</v>
      </c>
      <c r="G5017" s="2"/>
      <c r="H5017" s="12">
        <v>0.0</v>
      </c>
      <c r="I5017" s="2" t="s">
        <v>40</v>
      </c>
      <c r="J5017" s="2"/>
      <c r="K5017" s="2" t="s">
        <v>13491</v>
      </c>
      <c r="L5017" s="12">
        <v>101.0</v>
      </c>
      <c r="M5017" s="2" t="s">
        <v>13492</v>
      </c>
      <c r="N5017" s="2" t="str">
        <f>IFERROR(__xludf.DUMMYFUNCTION("""COMPUTED_VALUE"""),"")</f>
        <v/>
      </c>
    </row>
    <row r="5018">
      <c r="A5018" s="2" t="s">
        <v>33</v>
      </c>
      <c r="B5018" s="12">
        <v>4842716.0</v>
      </c>
      <c r="C5018" s="12">
        <v>4842886.0</v>
      </c>
      <c r="D5018" s="2"/>
      <c r="E5018" s="2" t="s">
        <v>38</v>
      </c>
      <c r="F5018" s="2" t="s">
        <v>35</v>
      </c>
      <c r="G5018" s="2"/>
      <c r="H5018" s="12">
        <v>0.0</v>
      </c>
      <c r="I5018" s="2" t="s">
        <v>36</v>
      </c>
      <c r="J5018" s="2"/>
      <c r="K5018" s="2"/>
      <c r="L5018" s="2"/>
      <c r="M5018" s="2" t="s">
        <v>13493</v>
      </c>
      <c r="N5018" s="2" t="str">
        <f>IFERROR(__xludf.DUMMYFUNCTION("""COMPUTED_VALUE"""),"")</f>
        <v/>
      </c>
    </row>
    <row r="5019">
      <c r="A5019" s="2" t="s">
        <v>33</v>
      </c>
      <c r="B5019" s="12">
        <v>4842868.0</v>
      </c>
      <c r="C5019" s="12">
        <v>4843737.0</v>
      </c>
      <c r="D5019" s="2"/>
      <c r="E5019" s="2" t="s">
        <v>38</v>
      </c>
      <c r="F5019" s="2" t="s">
        <v>738</v>
      </c>
      <c r="G5019" s="2"/>
      <c r="H5019" s="12">
        <v>0.0</v>
      </c>
      <c r="I5019" s="2" t="s">
        <v>40</v>
      </c>
      <c r="J5019" s="2"/>
      <c r="K5019" s="2" t="s">
        <v>13494</v>
      </c>
      <c r="L5019" s="12">
        <v>289.0</v>
      </c>
      <c r="M5019" s="2" t="s">
        <v>13495</v>
      </c>
      <c r="N5019" s="2" t="str">
        <f>IFERROR(__xludf.DUMMYFUNCTION("""COMPUTED_VALUE"""),"")</f>
        <v/>
      </c>
    </row>
    <row r="5020">
      <c r="A5020" s="2" t="s">
        <v>33</v>
      </c>
      <c r="B5020" s="12">
        <v>4843858.0</v>
      </c>
      <c r="C5020" s="12">
        <v>4844730.0</v>
      </c>
      <c r="D5020" s="2"/>
      <c r="E5020" s="2" t="s">
        <v>34</v>
      </c>
      <c r="F5020" s="2" t="s">
        <v>694</v>
      </c>
      <c r="G5020" s="2"/>
      <c r="H5020" s="12">
        <v>0.0</v>
      </c>
      <c r="I5020" s="2" t="s">
        <v>40</v>
      </c>
      <c r="J5020" s="2"/>
      <c r="K5020" s="2" t="s">
        <v>13496</v>
      </c>
      <c r="L5020" s="12">
        <v>290.0</v>
      </c>
      <c r="M5020" s="2" t="s">
        <v>13497</v>
      </c>
      <c r="N5020" s="2" t="str">
        <f>IFERROR(__xludf.DUMMYFUNCTION("""COMPUTED_VALUE"""),"")</f>
        <v/>
      </c>
    </row>
    <row r="5021">
      <c r="A5021" s="2" t="s">
        <v>33</v>
      </c>
      <c r="B5021" s="12">
        <v>4845139.0</v>
      </c>
      <c r="C5021" s="12">
        <v>4846458.0</v>
      </c>
      <c r="D5021" s="2"/>
      <c r="E5021" s="2" t="s">
        <v>38</v>
      </c>
      <c r="F5021" s="2" t="s">
        <v>13028</v>
      </c>
      <c r="G5021" s="2"/>
      <c r="H5021" s="12">
        <v>0.0</v>
      </c>
      <c r="I5021" s="2" t="s">
        <v>40</v>
      </c>
      <c r="J5021" s="2"/>
      <c r="K5021" s="2" t="s">
        <v>13498</v>
      </c>
      <c r="L5021" s="12">
        <v>439.0</v>
      </c>
      <c r="M5021" s="2" t="s">
        <v>13499</v>
      </c>
      <c r="N5021" s="2" t="str">
        <f>IFERROR(__xludf.DUMMYFUNCTION("""COMPUTED_VALUE"""),"")</f>
        <v/>
      </c>
    </row>
    <row r="5022">
      <c r="A5022" s="2" t="s">
        <v>33</v>
      </c>
      <c r="B5022" s="12">
        <v>4847623.0</v>
      </c>
      <c r="C5022" s="12">
        <v>4848789.0</v>
      </c>
      <c r="D5022" s="2"/>
      <c r="E5022" s="2" t="s">
        <v>34</v>
      </c>
      <c r="F5022" s="2" t="s">
        <v>455</v>
      </c>
      <c r="G5022" s="2"/>
      <c r="H5022" s="12">
        <v>0.0</v>
      </c>
      <c r="I5022" s="2" t="s">
        <v>40</v>
      </c>
      <c r="J5022" s="2"/>
      <c r="K5022" s="2" t="s">
        <v>13500</v>
      </c>
      <c r="L5022" s="12">
        <v>388.0</v>
      </c>
      <c r="M5022" s="2" t="s">
        <v>13501</v>
      </c>
      <c r="N5022" s="2" t="str">
        <f>IFERROR(__xludf.DUMMYFUNCTION("""COMPUTED_VALUE"""),"")</f>
        <v/>
      </c>
    </row>
    <row r="5023">
      <c r="A5023" s="2" t="s">
        <v>33</v>
      </c>
      <c r="B5023" s="12">
        <v>4848883.0</v>
      </c>
      <c r="C5023" s="12">
        <v>4850967.0</v>
      </c>
      <c r="D5023" s="2"/>
      <c r="E5023" s="2" t="s">
        <v>34</v>
      </c>
      <c r="F5023" s="2" t="s">
        <v>455</v>
      </c>
      <c r="G5023" s="2"/>
      <c r="H5023" s="12">
        <v>0.0</v>
      </c>
      <c r="I5023" s="2" t="s">
        <v>40</v>
      </c>
      <c r="J5023" s="2"/>
      <c r="K5023" s="2" t="s">
        <v>13502</v>
      </c>
      <c r="L5023" s="12">
        <v>694.0</v>
      </c>
      <c r="M5023" s="2" t="s">
        <v>13503</v>
      </c>
      <c r="N5023" s="2" t="str">
        <f>IFERROR(__xludf.DUMMYFUNCTION("""COMPUTED_VALUE"""),"")</f>
        <v/>
      </c>
    </row>
    <row r="5024">
      <c r="A5024" s="2" t="s">
        <v>33</v>
      </c>
      <c r="B5024" s="12">
        <v>4851482.0</v>
      </c>
      <c r="C5024" s="12">
        <v>4851916.0</v>
      </c>
      <c r="D5024" s="2"/>
      <c r="E5024" s="2" t="s">
        <v>34</v>
      </c>
      <c r="F5024" s="2" t="s">
        <v>39</v>
      </c>
      <c r="G5024" s="2"/>
      <c r="H5024" s="12">
        <v>0.0</v>
      </c>
      <c r="I5024" s="2" t="s">
        <v>40</v>
      </c>
      <c r="J5024" s="2"/>
      <c r="K5024" s="2" t="s">
        <v>13504</v>
      </c>
      <c r="L5024" s="12">
        <v>144.0</v>
      </c>
      <c r="M5024" s="2" t="s">
        <v>13505</v>
      </c>
      <c r="N5024" s="2" t="str">
        <f>IFERROR(__xludf.DUMMYFUNCTION("""COMPUTED_VALUE"""),"")</f>
        <v/>
      </c>
    </row>
    <row r="5025">
      <c r="A5025" s="2" t="s">
        <v>33</v>
      </c>
      <c r="B5025" s="12">
        <v>4852154.0</v>
      </c>
      <c r="C5025" s="12">
        <v>4852855.0</v>
      </c>
      <c r="D5025" s="2"/>
      <c r="E5025" s="2" t="s">
        <v>34</v>
      </c>
      <c r="F5025" s="2" t="s">
        <v>10241</v>
      </c>
      <c r="G5025" s="2"/>
      <c r="H5025" s="12">
        <v>0.0</v>
      </c>
      <c r="I5025" s="2" t="s">
        <v>40</v>
      </c>
      <c r="J5025" s="2"/>
      <c r="K5025" s="2" t="s">
        <v>13506</v>
      </c>
      <c r="L5025" s="12">
        <v>233.0</v>
      </c>
      <c r="M5025" s="2" t="s">
        <v>13507</v>
      </c>
      <c r="N5025" s="2" t="str">
        <f>IFERROR(__xludf.DUMMYFUNCTION("""COMPUTED_VALUE"""),"")</f>
        <v/>
      </c>
    </row>
    <row r="5026">
      <c r="A5026" s="2" t="s">
        <v>33</v>
      </c>
      <c r="B5026" s="12">
        <v>4854289.0</v>
      </c>
      <c r="C5026" s="12">
        <v>4854476.0</v>
      </c>
      <c r="D5026" s="2"/>
      <c r="E5026" s="2" t="s">
        <v>34</v>
      </c>
      <c r="F5026" s="2" t="s">
        <v>35</v>
      </c>
      <c r="G5026" s="2"/>
      <c r="H5026" s="12">
        <v>0.0</v>
      </c>
      <c r="I5026" s="2" t="s">
        <v>36</v>
      </c>
      <c r="J5026" s="2"/>
      <c r="K5026" s="2"/>
      <c r="L5026" s="2"/>
      <c r="M5026" s="2" t="s">
        <v>13508</v>
      </c>
      <c r="N5026" s="2" t="str">
        <f>IFERROR(__xludf.DUMMYFUNCTION("""COMPUTED_VALUE"""),"")</f>
        <v/>
      </c>
    </row>
    <row r="5027">
      <c r="A5027" s="2" t="s">
        <v>33</v>
      </c>
      <c r="B5027" s="12">
        <v>4854974.0</v>
      </c>
      <c r="C5027" s="12">
        <v>4855216.0</v>
      </c>
      <c r="D5027" s="2"/>
      <c r="E5027" s="2" t="s">
        <v>34</v>
      </c>
      <c r="F5027" s="2" t="s">
        <v>35</v>
      </c>
      <c r="G5027" s="2"/>
      <c r="H5027" s="12">
        <v>0.0</v>
      </c>
      <c r="I5027" s="2" t="s">
        <v>36</v>
      </c>
      <c r="J5027" s="2"/>
      <c r="K5027" s="2"/>
      <c r="L5027" s="2"/>
      <c r="M5027" s="2" t="s">
        <v>13509</v>
      </c>
      <c r="N5027" s="2" t="str">
        <f>IFERROR(__xludf.DUMMYFUNCTION("""COMPUTED_VALUE"""),"")</f>
        <v/>
      </c>
    </row>
    <row r="5028">
      <c r="A5028" s="2" t="s">
        <v>33</v>
      </c>
      <c r="B5028" s="12">
        <v>4855778.0</v>
      </c>
      <c r="C5028" s="12">
        <v>4856809.0</v>
      </c>
      <c r="D5028" s="2"/>
      <c r="E5028" s="2" t="s">
        <v>34</v>
      </c>
      <c r="F5028" s="2" t="s">
        <v>1046</v>
      </c>
      <c r="G5028" s="2"/>
      <c r="H5028" s="12">
        <v>0.0</v>
      </c>
      <c r="I5028" s="2" t="s">
        <v>40</v>
      </c>
      <c r="J5028" s="2"/>
      <c r="K5028" s="2" t="s">
        <v>13510</v>
      </c>
      <c r="L5028" s="12">
        <v>343.0</v>
      </c>
      <c r="M5028" s="2" t="s">
        <v>13511</v>
      </c>
      <c r="N5028" s="2" t="str">
        <f>IFERROR(__xludf.DUMMYFUNCTION("""COMPUTED_VALUE"""),"")</f>
        <v/>
      </c>
    </row>
    <row r="5029">
      <c r="A5029" s="2" t="s">
        <v>33</v>
      </c>
      <c r="B5029" s="12">
        <v>4857080.0</v>
      </c>
      <c r="C5029" s="12">
        <v>4857433.0</v>
      </c>
      <c r="D5029" s="2"/>
      <c r="E5029" s="2" t="s">
        <v>34</v>
      </c>
      <c r="F5029" s="2" t="s">
        <v>35</v>
      </c>
      <c r="G5029" s="2"/>
      <c r="H5029" s="12">
        <v>0.0</v>
      </c>
      <c r="I5029" s="2" t="s">
        <v>36</v>
      </c>
      <c r="J5029" s="2"/>
      <c r="K5029" s="2"/>
      <c r="L5029" s="2"/>
      <c r="M5029" s="2" t="s">
        <v>13512</v>
      </c>
      <c r="N5029" s="2" t="str">
        <f>IFERROR(__xludf.DUMMYFUNCTION("""COMPUTED_VALUE"""),"")</f>
        <v/>
      </c>
    </row>
    <row r="5030">
      <c r="A5030" s="2" t="s">
        <v>33</v>
      </c>
      <c r="B5030" s="12">
        <v>4858003.0</v>
      </c>
      <c r="C5030" s="12">
        <v>4858183.0</v>
      </c>
      <c r="D5030" s="2"/>
      <c r="E5030" s="2" t="s">
        <v>38</v>
      </c>
      <c r="F5030" s="2" t="s">
        <v>35</v>
      </c>
      <c r="G5030" s="2"/>
      <c r="H5030" s="12">
        <v>0.0</v>
      </c>
      <c r="I5030" s="2" t="s">
        <v>36</v>
      </c>
      <c r="J5030" s="2"/>
      <c r="K5030" s="2"/>
      <c r="L5030" s="2"/>
      <c r="M5030" s="2" t="s">
        <v>13513</v>
      </c>
      <c r="N5030" s="2" t="str">
        <f>IFERROR(__xludf.DUMMYFUNCTION("""COMPUTED_VALUE"""),"")</f>
        <v/>
      </c>
    </row>
    <row r="5031">
      <c r="A5031" s="2" t="s">
        <v>33</v>
      </c>
      <c r="B5031" s="12">
        <v>4858255.0</v>
      </c>
      <c r="C5031" s="12">
        <v>4859346.0</v>
      </c>
      <c r="D5031" s="2"/>
      <c r="E5031" s="2" t="s">
        <v>38</v>
      </c>
      <c r="F5031" s="2" t="s">
        <v>13514</v>
      </c>
      <c r="G5031" s="2"/>
      <c r="H5031" s="12">
        <v>0.0</v>
      </c>
      <c r="I5031" s="2" t="s">
        <v>40</v>
      </c>
      <c r="J5031" s="2"/>
      <c r="K5031" s="2" t="s">
        <v>13515</v>
      </c>
      <c r="L5031" s="12">
        <v>363.0</v>
      </c>
      <c r="M5031" s="2" t="s">
        <v>13516</v>
      </c>
      <c r="N5031" s="2" t="str">
        <f>IFERROR(__xludf.DUMMYFUNCTION("""COMPUTED_VALUE"""),"")</f>
        <v/>
      </c>
    </row>
    <row r="5032">
      <c r="A5032" s="2" t="s">
        <v>33</v>
      </c>
      <c r="B5032" s="12">
        <v>4859756.0</v>
      </c>
      <c r="C5032" s="12">
        <v>4859938.0</v>
      </c>
      <c r="D5032" s="2"/>
      <c r="E5032" s="2" t="s">
        <v>34</v>
      </c>
      <c r="F5032" s="2" t="s">
        <v>35</v>
      </c>
      <c r="G5032" s="2"/>
      <c r="H5032" s="12">
        <v>0.0</v>
      </c>
      <c r="I5032" s="2" t="s">
        <v>36</v>
      </c>
      <c r="J5032" s="2"/>
      <c r="K5032" s="2"/>
      <c r="L5032" s="2"/>
      <c r="M5032" s="2" t="s">
        <v>13517</v>
      </c>
      <c r="N5032" s="2" t="str">
        <f>IFERROR(__xludf.DUMMYFUNCTION("""COMPUTED_VALUE"""),"")</f>
        <v/>
      </c>
    </row>
    <row r="5033">
      <c r="A5033" s="2" t="s">
        <v>33</v>
      </c>
      <c r="B5033" s="12">
        <v>4860318.0</v>
      </c>
      <c r="C5033" s="12">
        <v>4860710.0</v>
      </c>
      <c r="D5033" s="2"/>
      <c r="E5033" s="2" t="s">
        <v>38</v>
      </c>
      <c r="F5033" s="2" t="s">
        <v>541</v>
      </c>
      <c r="G5033" s="2"/>
      <c r="H5033" s="12">
        <v>0.0</v>
      </c>
      <c r="I5033" s="2" t="s">
        <v>40</v>
      </c>
      <c r="J5033" s="2"/>
      <c r="K5033" s="2" t="s">
        <v>13518</v>
      </c>
      <c r="L5033" s="12">
        <v>130.0</v>
      </c>
      <c r="M5033" s="2" t="s">
        <v>13519</v>
      </c>
      <c r="N5033" s="2" t="str">
        <f>IFERROR(__xludf.DUMMYFUNCTION("""COMPUTED_VALUE"""),"")</f>
        <v/>
      </c>
    </row>
    <row r="5034">
      <c r="A5034" s="2" t="s">
        <v>33</v>
      </c>
      <c r="B5034" s="12">
        <v>4860822.0</v>
      </c>
      <c r="C5034" s="12">
        <v>4863131.0</v>
      </c>
      <c r="D5034" s="2"/>
      <c r="E5034" s="2" t="s">
        <v>34</v>
      </c>
      <c r="F5034" s="2" t="s">
        <v>13520</v>
      </c>
      <c r="G5034" s="2"/>
      <c r="H5034" s="12">
        <v>0.0</v>
      </c>
      <c r="I5034" s="2" t="s">
        <v>40</v>
      </c>
      <c r="J5034" s="2"/>
      <c r="K5034" s="2" t="s">
        <v>13521</v>
      </c>
      <c r="L5034" s="12">
        <v>769.0</v>
      </c>
      <c r="M5034" s="2" t="s">
        <v>13522</v>
      </c>
      <c r="N5034" s="2" t="str">
        <f>IFERROR(__xludf.DUMMYFUNCTION("""COMPUTED_VALUE"""),"")</f>
        <v/>
      </c>
    </row>
    <row r="5035">
      <c r="A5035" s="2" t="s">
        <v>33</v>
      </c>
      <c r="B5035" s="12">
        <v>4863398.0</v>
      </c>
      <c r="C5035" s="12">
        <v>4864603.0</v>
      </c>
      <c r="D5035" s="2"/>
      <c r="E5035" s="2" t="s">
        <v>34</v>
      </c>
      <c r="F5035" s="2" t="s">
        <v>13523</v>
      </c>
      <c r="G5035" s="2"/>
      <c r="H5035" s="12">
        <v>0.0</v>
      </c>
      <c r="I5035" s="2" t="s">
        <v>40</v>
      </c>
      <c r="J5035" s="2"/>
      <c r="K5035" s="2" t="s">
        <v>13524</v>
      </c>
      <c r="L5035" s="12">
        <v>401.0</v>
      </c>
      <c r="M5035" s="2" t="s">
        <v>13525</v>
      </c>
      <c r="N5035" s="2" t="str">
        <f>IFERROR(__xludf.DUMMYFUNCTION("""COMPUTED_VALUE"""),"")</f>
        <v/>
      </c>
    </row>
    <row r="5036">
      <c r="A5036" s="2" t="s">
        <v>33</v>
      </c>
      <c r="B5036" s="12">
        <v>4864772.0</v>
      </c>
      <c r="C5036" s="12">
        <v>4865212.0</v>
      </c>
      <c r="D5036" s="2"/>
      <c r="E5036" s="2" t="s">
        <v>38</v>
      </c>
      <c r="F5036" s="2" t="s">
        <v>3529</v>
      </c>
      <c r="G5036" s="2"/>
      <c r="H5036" s="12">
        <v>0.0</v>
      </c>
      <c r="I5036" s="2" t="s">
        <v>40</v>
      </c>
      <c r="J5036" s="2"/>
      <c r="K5036" s="2" t="s">
        <v>13526</v>
      </c>
      <c r="L5036" s="12">
        <v>146.0</v>
      </c>
      <c r="M5036" s="2" t="s">
        <v>13527</v>
      </c>
      <c r="N5036" s="2" t="str">
        <f>IFERROR(__xludf.DUMMYFUNCTION("""COMPUTED_VALUE"""),"")</f>
        <v/>
      </c>
    </row>
    <row r="5037">
      <c r="A5037" s="2" t="s">
        <v>33</v>
      </c>
      <c r="B5037" s="12">
        <v>4865382.0</v>
      </c>
      <c r="C5037" s="12">
        <v>4866146.0</v>
      </c>
      <c r="D5037" s="2"/>
      <c r="E5037" s="2" t="s">
        <v>34</v>
      </c>
      <c r="F5037" s="2" t="s">
        <v>333</v>
      </c>
      <c r="G5037" s="2"/>
      <c r="H5037" s="12">
        <v>0.0</v>
      </c>
      <c r="I5037" s="2" t="s">
        <v>40</v>
      </c>
      <c r="J5037" s="2"/>
      <c r="K5037" s="2" t="s">
        <v>13528</v>
      </c>
      <c r="L5037" s="12">
        <v>254.0</v>
      </c>
      <c r="M5037" s="2" t="s">
        <v>13529</v>
      </c>
      <c r="N5037" s="2" t="str">
        <f>IFERROR(__xludf.DUMMYFUNCTION("""COMPUTED_VALUE"""),"")</f>
        <v/>
      </c>
    </row>
    <row r="5038">
      <c r="A5038" s="2" t="s">
        <v>33</v>
      </c>
      <c r="B5038" s="12">
        <v>4866471.0</v>
      </c>
      <c r="C5038" s="12">
        <v>4866917.0</v>
      </c>
      <c r="D5038" s="2"/>
      <c r="E5038" s="2" t="s">
        <v>34</v>
      </c>
      <c r="F5038" s="2" t="s">
        <v>39</v>
      </c>
      <c r="G5038" s="2"/>
      <c r="H5038" s="12">
        <v>0.0</v>
      </c>
      <c r="I5038" s="2" t="s">
        <v>40</v>
      </c>
      <c r="J5038" s="2"/>
      <c r="K5038" s="2" t="s">
        <v>13530</v>
      </c>
      <c r="L5038" s="12">
        <v>148.0</v>
      </c>
      <c r="M5038" s="2" t="s">
        <v>13531</v>
      </c>
      <c r="N5038" s="2" t="str">
        <f>IFERROR(__xludf.DUMMYFUNCTION("""COMPUTED_VALUE"""),"")</f>
        <v/>
      </c>
    </row>
    <row r="5039">
      <c r="A5039" s="2" t="s">
        <v>33</v>
      </c>
      <c r="B5039" s="12">
        <v>4867778.0</v>
      </c>
      <c r="C5039" s="12">
        <v>4868587.0</v>
      </c>
      <c r="D5039" s="2"/>
      <c r="E5039" s="2" t="s">
        <v>34</v>
      </c>
      <c r="F5039" s="2" t="s">
        <v>3951</v>
      </c>
      <c r="G5039" s="2"/>
      <c r="H5039" s="12">
        <v>0.0</v>
      </c>
      <c r="I5039" s="2" t="s">
        <v>40</v>
      </c>
      <c r="J5039" s="2"/>
      <c r="K5039" s="2" t="s">
        <v>13532</v>
      </c>
      <c r="L5039" s="12">
        <v>269.0</v>
      </c>
      <c r="M5039" s="2" t="s">
        <v>13533</v>
      </c>
      <c r="N5039" s="2" t="str">
        <f>IFERROR(__xludf.DUMMYFUNCTION("""COMPUTED_VALUE"""),"")</f>
        <v/>
      </c>
    </row>
    <row r="5040">
      <c r="A5040" s="2" t="s">
        <v>33</v>
      </c>
      <c r="B5040" s="12">
        <v>4868873.0</v>
      </c>
      <c r="C5040" s="12">
        <v>4869025.0</v>
      </c>
      <c r="D5040" s="2"/>
      <c r="E5040" s="2" t="s">
        <v>34</v>
      </c>
      <c r="F5040" s="2" t="s">
        <v>35</v>
      </c>
      <c r="G5040" s="2"/>
      <c r="H5040" s="12">
        <v>0.0</v>
      </c>
      <c r="I5040" s="2" t="s">
        <v>36</v>
      </c>
      <c r="J5040" s="2"/>
      <c r="K5040" s="2"/>
      <c r="L5040" s="2"/>
      <c r="M5040" s="2" t="s">
        <v>13534</v>
      </c>
      <c r="N5040" s="2" t="str">
        <f>IFERROR(__xludf.DUMMYFUNCTION("""COMPUTED_VALUE"""),"")</f>
        <v/>
      </c>
    </row>
    <row r="5041">
      <c r="A5041" s="2" t="s">
        <v>33</v>
      </c>
      <c r="B5041" s="12">
        <v>4869245.0</v>
      </c>
      <c r="C5041" s="12">
        <v>4869400.0</v>
      </c>
      <c r="D5041" s="2"/>
      <c r="E5041" s="2" t="s">
        <v>34</v>
      </c>
      <c r="F5041" s="2" t="s">
        <v>39</v>
      </c>
      <c r="G5041" s="2"/>
      <c r="H5041" s="12">
        <v>0.0</v>
      </c>
      <c r="I5041" s="2" t="s">
        <v>40</v>
      </c>
      <c r="J5041" s="2"/>
      <c r="K5041" s="2" t="s">
        <v>13535</v>
      </c>
      <c r="L5041" s="12">
        <v>51.0</v>
      </c>
      <c r="M5041" s="2" t="s">
        <v>13536</v>
      </c>
      <c r="N5041" s="2" t="str">
        <f>IFERROR(__xludf.DUMMYFUNCTION("""COMPUTED_VALUE"""),"")</f>
        <v/>
      </c>
    </row>
    <row r="5042">
      <c r="A5042" s="2" t="s">
        <v>33</v>
      </c>
      <c r="B5042" s="12">
        <v>4869504.0</v>
      </c>
      <c r="C5042" s="12">
        <v>4869725.0</v>
      </c>
      <c r="D5042" s="2"/>
      <c r="E5042" s="2" t="s">
        <v>34</v>
      </c>
      <c r="F5042" s="2" t="s">
        <v>35</v>
      </c>
      <c r="G5042" s="2"/>
      <c r="H5042" s="12">
        <v>0.0</v>
      </c>
      <c r="I5042" s="2" t="s">
        <v>36</v>
      </c>
      <c r="J5042" s="2"/>
      <c r="K5042" s="2"/>
      <c r="L5042" s="2"/>
      <c r="M5042" s="2" t="s">
        <v>13537</v>
      </c>
      <c r="N5042" s="2" t="str">
        <f>IFERROR(__xludf.DUMMYFUNCTION("""COMPUTED_VALUE"""),"")</f>
        <v/>
      </c>
    </row>
    <row r="5043">
      <c r="A5043" s="2" t="s">
        <v>33</v>
      </c>
      <c r="B5043" s="12">
        <v>4869906.0</v>
      </c>
      <c r="C5043" s="12">
        <v>4872248.0</v>
      </c>
      <c r="D5043" s="2"/>
      <c r="E5043" s="2" t="s">
        <v>34</v>
      </c>
      <c r="F5043" s="2" t="s">
        <v>13538</v>
      </c>
      <c r="G5043" s="2"/>
      <c r="H5043" s="12">
        <v>0.0</v>
      </c>
      <c r="I5043" s="2" t="s">
        <v>40</v>
      </c>
      <c r="J5043" s="2"/>
      <c r="K5043" s="2" t="s">
        <v>13539</v>
      </c>
      <c r="L5043" s="12">
        <v>780.0</v>
      </c>
      <c r="M5043" s="2" t="s">
        <v>13540</v>
      </c>
      <c r="N5043" s="2" t="str">
        <f>IFERROR(__xludf.DUMMYFUNCTION("""COMPUTED_VALUE"""),"")</f>
        <v/>
      </c>
    </row>
    <row r="5044">
      <c r="A5044" s="2" t="s">
        <v>33</v>
      </c>
      <c r="B5044" s="12">
        <v>4872245.0</v>
      </c>
      <c r="C5044" s="12">
        <v>4873084.0</v>
      </c>
      <c r="D5044" s="2"/>
      <c r="E5044" s="2" t="s">
        <v>34</v>
      </c>
      <c r="F5044" s="2" t="s">
        <v>13541</v>
      </c>
      <c r="G5044" s="2"/>
      <c r="H5044" s="12">
        <v>0.0</v>
      </c>
      <c r="I5044" s="2" t="s">
        <v>40</v>
      </c>
      <c r="J5044" s="2"/>
      <c r="K5044" s="2" t="s">
        <v>13542</v>
      </c>
      <c r="L5044" s="12">
        <v>279.0</v>
      </c>
      <c r="M5044" s="2" t="s">
        <v>13543</v>
      </c>
      <c r="N5044" s="2" t="str">
        <f>IFERROR(__xludf.DUMMYFUNCTION("""COMPUTED_VALUE"""),"")</f>
        <v/>
      </c>
    </row>
    <row r="5045">
      <c r="A5045" s="2" t="s">
        <v>33</v>
      </c>
      <c r="B5045" s="12">
        <v>4873081.0</v>
      </c>
      <c r="C5045" s="12">
        <v>4873530.0</v>
      </c>
      <c r="D5045" s="2"/>
      <c r="E5045" s="2" t="s">
        <v>34</v>
      </c>
      <c r="F5045" s="2" t="s">
        <v>13544</v>
      </c>
      <c r="G5045" s="2"/>
      <c r="H5045" s="12">
        <v>0.0</v>
      </c>
      <c r="I5045" s="2" t="s">
        <v>40</v>
      </c>
      <c r="J5045" s="2"/>
      <c r="K5045" s="2" t="s">
        <v>13545</v>
      </c>
      <c r="L5045" s="12">
        <v>149.0</v>
      </c>
      <c r="M5045" s="2" t="s">
        <v>13546</v>
      </c>
      <c r="N5045" s="2" t="str">
        <f>IFERROR(__xludf.DUMMYFUNCTION("""COMPUTED_VALUE"""),"")</f>
        <v/>
      </c>
    </row>
    <row r="5046">
      <c r="A5046" s="2" t="s">
        <v>33</v>
      </c>
      <c r="B5046" s="12">
        <v>4873548.0</v>
      </c>
      <c r="C5046" s="12">
        <v>4874543.0</v>
      </c>
      <c r="D5046" s="2"/>
      <c r="E5046" s="2" t="s">
        <v>34</v>
      </c>
      <c r="F5046" s="2" t="s">
        <v>13547</v>
      </c>
      <c r="G5046" s="2"/>
      <c r="H5046" s="12">
        <v>0.0</v>
      </c>
      <c r="I5046" s="2" t="s">
        <v>40</v>
      </c>
      <c r="J5046" s="2"/>
      <c r="K5046" s="2" t="s">
        <v>13548</v>
      </c>
      <c r="L5046" s="12">
        <v>331.0</v>
      </c>
      <c r="M5046" s="2" t="s">
        <v>13549</v>
      </c>
      <c r="N5046" s="2" t="str">
        <f>IFERROR(__xludf.DUMMYFUNCTION("""COMPUTED_VALUE"""),"")</f>
        <v/>
      </c>
    </row>
    <row r="5047">
      <c r="A5047" s="2" t="s">
        <v>33</v>
      </c>
      <c r="B5047" s="12">
        <v>4874503.0</v>
      </c>
      <c r="C5047" s="12">
        <v>4875102.0</v>
      </c>
      <c r="D5047" s="2"/>
      <c r="E5047" s="2" t="s">
        <v>34</v>
      </c>
      <c r="F5047" s="2" t="s">
        <v>13550</v>
      </c>
      <c r="G5047" s="2" t="s">
        <v>13551</v>
      </c>
      <c r="H5047" s="12">
        <v>0.0</v>
      </c>
      <c r="I5047" s="2" t="s">
        <v>40</v>
      </c>
      <c r="J5047" s="2"/>
      <c r="K5047" s="2" t="s">
        <v>13552</v>
      </c>
      <c r="L5047" s="12">
        <v>199.0</v>
      </c>
      <c r="M5047" s="2" t="s">
        <v>13553</v>
      </c>
      <c r="N5047" s="2" t="str">
        <f>IFERROR(__xludf.DUMMYFUNCTION("""COMPUTED_VALUE"""),"")</f>
        <v/>
      </c>
    </row>
    <row r="5048">
      <c r="A5048" s="2" t="s">
        <v>33</v>
      </c>
      <c r="B5048" s="12">
        <v>4875554.0</v>
      </c>
      <c r="C5048" s="12">
        <v>4876132.0</v>
      </c>
      <c r="D5048" s="2"/>
      <c r="E5048" s="2" t="s">
        <v>38</v>
      </c>
      <c r="F5048" s="2" t="s">
        <v>427</v>
      </c>
      <c r="G5048" s="2"/>
      <c r="H5048" s="12">
        <v>0.0</v>
      </c>
      <c r="I5048" s="2" t="s">
        <v>40</v>
      </c>
      <c r="J5048" s="2"/>
      <c r="K5048" s="2" t="s">
        <v>13554</v>
      </c>
      <c r="L5048" s="12">
        <v>192.0</v>
      </c>
      <c r="M5048" s="2" t="s">
        <v>13555</v>
      </c>
      <c r="N5048" s="2" t="str">
        <f>IFERROR(__xludf.DUMMYFUNCTION("""COMPUTED_VALUE"""),"")</f>
        <v/>
      </c>
    </row>
    <row r="5049">
      <c r="A5049" s="2" t="s">
        <v>33</v>
      </c>
      <c r="B5049" s="12">
        <v>4876498.0</v>
      </c>
      <c r="C5049" s="12">
        <v>4877688.0</v>
      </c>
      <c r="D5049" s="2"/>
      <c r="E5049" s="2" t="s">
        <v>34</v>
      </c>
      <c r="F5049" s="2" t="s">
        <v>88</v>
      </c>
      <c r="G5049" s="2"/>
      <c r="H5049" s="12">
        <v>0.0</v>
      </c>
      <c r="I5049" s="2" t="s">
        <v>40</v>
      </c>
      <c r="J5049" s="2"/>
      <c r="K5049" s="2" t="s">
        <v>13556</v>
      </c>
      <c r="L5049" s="12">
        <v>396.0</v>
      </c>
      <c r="M5049" s="2" t="s">
        <v>13557</v>
      </c>
      <c r="N5049" s="2" t="str">
        <f>IFERROR(__xludf.DUMMYFUNCTION("""COMPUTED_VALUE"""),"")</f>
        <v/>
      </c>
    </row>
    <row r="5050">
      <c r="A5050" s="2" t="s">
        <v>33</v>
      </c>
      <c r="B5050" s="12">
        <v>4877914.0</v>
      </c>
      <c r="C5050" s="12">
        <v>4878188.0</v>
      </c>
      <c r="D5050" s="2"/>
      <c r="E5050" s="2" t="s">
        <v>34</v>
      </c>
      <c r="F5050" s="2" t="s">
        <v>35</v>
      </c>
      <c r="G5050" s="2"/>
      <c r="H5050" s="12">
        <v>0.0</v>
      </c>
      <c r="I5050" s="2" t="s">
        <v>36</v>
      </c>
      <c r="J5050" s="2"/>
      <c r="K5050" s="2"/>
      <c r="L5050" s="2"/>
      <c r="M5050" s="2" t="s">
        <v>13558</v>
      </c>
      <c r="N5050" s="2" t="str">
        <f>IFERROR(__xludf.DUMMYFUNCTION("""COMPUTED_VALUE"""),"")</f>
        <v/>
      </c>
    </row>
    <row r="5051">
      <c r="A5051" s="2" t="s">
        <v>33</v>
      </c>
      <c r="B5051" s="12">
        <v>4878604.0</v>
      </c>
      <c r="C5051" s="12">
        <v>4881486.0</v>
      </c>
      <c r="D5051" s="2"/>
      <c r="E5051" s="2" t="s">
        <v>34</v>
      </c>
      <c r="F5051" s="2" t="s">
        <v>5694</v>
      </c>
      <c r="G5051" s="2" t="s">
        <v>458</v>
      </c>
      <c r="H5051" s="12">
        <v>0.0</v>
      </c>
      <c r="I5051" s="2" t="s">
        <v>40</v>
      </c>
      <c r="J5051" s="2"/>
      <c r="K5051" s="2" t="s">
        <v>13559</v>
      </c>
      <c r="L5051" s="12">
        <v>960.0</v>
      </c>
      <c r="M5051" s="2" t="s">
        <v>13560</v>
      </c>
      <c r="N5051" s="2" t="str">
        <f>IFERROR(__xludf.DUMMYFUNCTION("""COMPUTED_VALUE"""),"")</f>
        <v/>
      </c>
    </row>
    <row r="5052">
      <c r="A5052" s="2" t="s">
        <v>33</v>
      </c>
      <c r="B5052" s="12">
        <v>4881843.0</v>
      </c>
      <c r="C5052" s="12">
        <v>4882409.0</v>
      </c>
      <c r="D5052" s="2"/>
      <c r="E5052" s="2" t="s">
        <v>34</v>
      </c>
      <c r="F5052" s="2" t="s">
        <v>427</v>
      </c>
      <c r="G5052" s="2"/>
      <c r="H5052" s="12">
        <v>0.0</v>
      </c>
      <c r="I5052" s="2" t="s">
        <v>40</v>
      </c>
      <c r="J5052" s="2"/>
      <c r="K5052" s="2" t="s">
        <v>13561</v>
      </c>
      <c r="L5052" s="12">
        <v>188.0</v>
      </c>
      <c r="M5052" s="2" t="s">
        <v>13562</v>
      </c>
      <c r="N5052" s="2" t="str">
        <f>IFERROR(__xludf.DUMMYFUNCTION("""COMPUTED_VALUE"""),"")</f>
        <v/>
      </c>
    </row>
    <row r="5053">
      <c r="A5053" s="2" t="s">
        <v>33</v>
      </c>
      <c r="B5053" s="12">
        <v>4882468.0</v>
      </c>
      <c r="C5053" s="12">
        <v>4884324.0</v>
      </c>
      <c r="D5053" s="2"/>
      <c r="E5053" s="2" t="s">
        <v>34</v>
      </c>
      <c r="F5053" s="2" t="s">
        <v>326</v>
      </c>
      <c r="G5053" s="2"/>
      <c r="H5053" s="12">
        <v>0.0</v>
      </c>
      <c r="I5053" s="2" t="s">
        <v>40</v>
      </c>
      <c r="J5053" s="2"/>
      <c r="K5053" s="2" t="s">
        <v>13563</v>
      </c>
      <c r="L5053" s="12">
        <v>618.0</v>
      </c>
      <c r="M5053" s="2" t="s">
        <v>13564</v>
      </c>
      <c r="N5053" s="2" t="str">
        <f>IFERROR(__xludf.DUMMYFUNCTION("""COMPUTED_VALUE"""),"")</f>
        <v/>
      </c>
    </row>
    <row r="5054">
      <c r="A5054" s="2" t="s">
        <v>33</v>
      </c>
      <c r="B5054" s="12">
        <v>4884553.0</v>
      </c>
      <c r="C5054" s="12">
        <v>4885098.0</v>
      </c>
      <c r="D5054" s="2"/>
      <c r="E5054" s="2" t="s">
        <v>38</v>
      </c>
      <c r="F5054" s="2" t="s">
        <v>5463</v>
      </c>
      <c r="G5054" s="2"/>
      <c r="H5054" s="12">
        <v>0.0</v>
      </c>
      <c r="I5054" s="2" t="s">
        <v>40</v>
      </c>
      <c r="J5054" s="2"/>
      <c r="K5054" s="2" t="s">
        <v>13565</v>
      </c>
      <c r="L5054" s="12">
        <v>181.0</v>
      </c>
      <c r="M5054" s="2" t="s">
        <v>13566</v>
      </c>
      <c r="N5054" s="2" t="str">
        <f>IFERROR(__xludf.DUMMYFUNCTION("""COMPUTED_VALUE"""),"")</f>
        <v/>
      </c>
    </row>
    <row r="5055">
      <c r="A5055" s="2" t="s">
        <v>33</v>
      </c>
      <c r="B5055" s="12">
        <v>4885446.0</v>
      </c>
      <c r="C5055" s="12">
        <v>4885955.0</v>
      </c>
      <c r="D5055" s="2"/>
      <c r="E5055" s="2" t="s">
        <v>34</v>
      </c>
      <c r="F5055" s="2" t="s">
        <v>817</v>
      </c>
      <c r="G5055" s="2"/>
      <c r="H5055" s="12">
        <v>0.0</v>
      </c>
      <c r="I5055" s="2" t="s">
        <v>40</v>
      </c>
      <c r="J5055" s="2"/>
      <c r="K5055" s="2" t="s">
        <v>13567</v>
      </c>
      <c r="L5055" s="12">
        <v>169.0</v>
      </c>
      <c r="M5055" s="2" t="s">
        <v>13568</v>
      </c>
      <c r="N5055" s="2" t="str">
        <f>IFERROR(__xludf.DUMMYFUNCTION("""COMPUTED_VALUE"""),"")</f>
        <v/>
      </c>
    </row>
    <row r="5056">
      <c r="A5056" s="2" t="s">
        <v>33</v>
      </c>
      <c r="B5056" s="12">
        <v>4886413.0</v>
      </c>
      <c r="C5056" s="12">
        <v>4886718.0</v>
      </c>
      <c r="D5056" s="2"/>
      <c r="E5056" s="2" t="s">
        <v>34</v>
      </c>
      <c r="F5056" s="2" t="s">
        <v>13569</v>
      </c>
      <c r="G5056" s="2" t="s">
        <v>13570</v>
      </c>
      <c r="H5056" s="12">
        <v>0.0</v>
      </c>
      <c r="I5056" s="2" t="s">
        <v>40</v>
      </c>
      <c r="J5056" s="2"/>
      <c r="K5056" s="2" t="s">
        <v>13571</v>
      </c>
      <c r="L5056" s="12">
        <v>101.0</v>
      </c>
      <c r="M5056" s="2" t="s">
        <v>13572</v>
      </c>
      <c r="N5056" s="2" t="str">
        <f>IFERROR(__xludf.DUMMYFUNCTION("""COMPUTED_VALUE"""),"")</f>
        <v/>
      </c>
    </row>
    <row r="5057">
      <c r="A5057" s="2" t="s">
        <v>33</v>
      </c>
      <c r="B5057" s="12">
        <v>4886779.0</v>
      </c>
      <c r="C5057" s="12">
        <v>4887216.0</v>
      </c>
      <c r="D5057" s="2"/>
      <c r="E5057" s="2" t="s">
        <v>34</v>
      </c>
      <c r="F5057" s="2" t="s">
        <v>13573</v>
      </c>
      <c r="G5057" s="2"/>
      <c r="H5057" s="12">
        <v>0.0</v>
      </c>
      <c r="I5057" s="2" t="s">
        <v>40</v>
      </c>
      <c r="J5057" s="2"/>
      <c r="K5057" s="2" t="s">
        <v>13574</v>
      </c>
      <c r="L5057" s="12">
        <v>145.0</v>
      </c>
      <c r="M5057" s="2" t="s">
        <v>13575</v>
      </c>
      <c r="N5057" s="2" t="str">
        <f>IFERROR(__xludf.DUMMYFUNCTION("""COMPUTED_VALUE"""),"")</f>
        <v/>
      </c>
    </row>
    <row r="5058">
      <c r="A5058" s="2" t="s">
        <v>33</v>
      </c>
      <c r="B5058" s="12">
        <v>4887235.0</v>
      </c>
      <c r="C5058" s="12">
        <v>4888275.0</v>
      </c>
      <c r="D5058" s="2"/>
      <c r="E5058" s="2" t="s">
        <v>34</v>
      </c>
      <c r="F5058" s="2" t="s">
        <v>13576</v>
      </c>
      <c r="G5058" s="2" t="s">
        <v>13577</v>
      </c>
      <c r="H5058" s="12">
        <v>0.0</v>
      </c>
      <c r="I5058" s="2" t="s">
        <v>40</v>
      </c>
      <c r="J5058" s="2"/>
      <c r="K5058" s="2" t="s">
        <v>13578</v>
      </c>
      <c r="L5058" s="12">
        <v>346.0</v>
      </c>
      <c r="M5058" s="2" t="s">
        <v>13579</v>
      </c>
      <c r="N5058" s="2" t="str">
        <f>IFERROR(__xludf.DUMMYFUNCTION("""COMPUTED_VALUE"""),"")</f>
        <v/>
      </c>
    </row>
    <row r="5059">
      <c r="A5059" s="2" t="s">
        <v>33</v>
      </c>
      <c r="B5059" s="12">
        <v>4888302.0</v>
      </c>
      <c r="C5059" s="12">
        <v>4888706.0</v>
      </c>
      <c r="D5059" s="2"/>
      <c r="E5059" s="2" t="s">
        <v>34</v>
      </c>
      <c r="F5059" s="2" t="s">
        <v>13580</v>
      </c>
      <c r="G5059" s="2" t="s">
        <v>13581</v>
      </c>
      <c r="H5059" s="12">
        <v>0.0</v>
      </c>
      <c r="I5059" s="2" t="s">
        <v>40</v>
      </c>
      <c r="J5059" s="2"/>
      <c r="K5059" s="2" t="s">
        <v>13582</v>
      </c>
      <c r="L5059" s="12">
        <v>134.0</v>
      </c>
      <c r="M5059" s="2" t="s">
        <v>13583</v>
      </c>
      <c r="N5059" s="2" t="str">
        <f>IFERROR(__xludf.DUMMYFUNCTION("""COMPUTED_VALUE"""),"")</f>
        <v/>
      </c>
    </row>
    <row r="5060">
      <c r="A5060" s="2" t="s">
        <v>33</v>
      </c>
      <c r="B5060" s="12">
        <v>4888871.0</v>
      </c>
      <c r="C5060" s="12">
        <v>4889701.0</v>
      </c>
      <c r="D5060" s="2"/>
      <c r="E5060" s="2" t="s">
        <v>34</v>
      </c>
      <c r="F5060" s="2" t="s">
        <v>367</v>
      </c>
      <c r="G5060" s="2"/>
      <c r="H5060" s="12">
        <v>0.0</v>
      </c>
      <c r="I5060" s="2" t="s">
        <v>40</v>
      </c>
      <c r="J5060" s="2"/>
      <c r="K5060" s="2" t="s">
        <v>13584</v>
      </c>
      <c r="L5060" s="12">
        <v>276.0</v>
      </c>
      <c r="M5060" s="2" t="s">
        <v>13585</v>
      </c>
      <c r="N5060" s="2" t="str">
        <f>IFERROR(__xludf.DUMMYFUNCTION("""COMPUTED_VALUE"""),"")</f>
        <v/>
      </c>
    </row>
    <row r="5061">
      <c r="A5061" s="2" t="s">
        <v>33</v>
      </c>
      <c r="B5061" s="12">
        <v>4889793.0</v>
      </c>
      <c r="C5061" s="12">
        <v>4890392.0</v>
      </c>
      <c r="D5061" s="2"/>
      <c r="E5061" s="2" t="s">
        <v>34</v>
      </c>
      <c r="F5061" s="2" t="s">
        <v>12399</v>
      </c>
      <c r="G5061" s="2"/>
      <c r="H5061" s="12">
        <v>0.0</v>
      </c>
      <c r="I5061" s="2" t="s">
        <v>40</v>
      </c>
      <c r="J5061" s="2"/>
      <c r="K5061" s="2" t="s">
        <v>13586</v>
      </c>
      <c r="L5061" s="12">
        <v>199.0</v>
      </c>
      <c r="M5061" s="2" t="s">
        <v>13587</v>
      </c>
      <c r="N5061" s="2" t="str">
        <f>IFERROR(__xludf.DUMMYFUNCTION("""COMPUTED_VALUE"""),"")</f>
        <v/>
      </c>
    </row>
    <row r="5062">
      <c r="A5062" s="2" t="s">
        <v>33</v>
      </c>
      <c r="B5062" s="12">
        <v>4890685.0</v>
      </c>
      <c r="C5062" s="12">
        <v>4891596.0</v>
      </c>
      <c r="D5062" s="2"/>
      <c r="E5062" s="2" t="s">
        <v>34</v>
      </c>
      <c r="F5062" s="2" t="s">
        <v>8886</v>
      </c>
      <c r="G5062" s="2" t="s">
        <v>13588</v>
      </c>
      <c r="H5062" s="12">
        <v>0.0</v>
      </c>
      <c r="I5062" s="2" t="s">
        <v>40</v>
      </c>
      <c r="J5062" s="2"/>
      <c r="K5062" s="2" t="s">
        <v>13589</v>
      </c>
      <c r="L5062" s="12">
        <v>303.0</v>
      </c>
      <c r="M5062" s="2" t="s">
        <v>13590</v>
      </c>
      <c r="N5062" s="2" t="str">
        <f>IFERROR(__xludf.DUMMYFUNCTION("""COMPUTED_VALUE"""),"")</f>
        <v/>
      </c>
    </row>
    <row r="5063">
      <c r="A5063" s="2" t="s">
        <v>33</v>
      </c>
      <c r="B5063" s="12">
        <v>4891683.0</v>
      </c>
      <c r="C5063" s="12">
        <v>4892243.0</v>
      </c>
      <c r="D5063" s="2"/>
      <c r="E5063" s="2" t="s">
        <v>38</v>
      </c>
      <c r="F5063" s="2" t="s">
        <v>13591</v>
      </c>
      <c r="G5063" s="2" t="s">
        <v>13592</v>
      </c>
      <c r="H5063" s="12">
        <v>0.0</v>
      </c>
      <c r="I5063" s="2" t="s">
        <v>40</v>
      </c>
      <c r="J5063" s="2"/>
      <c r="K5063" s="2" t="s">
        <v>13593</v>
      </c>
      <c r="L5063" s="12">
        <v>186.0</v>
      </c>
      <c r="M5063" s="2" t="s">
        <v>13594</v>
      </c>
      <c r="N5063" s="2" t="str">
        <f>IFERROR(__xludf.DUMMYFUNCTION("""COMPUTED_VALUE"""),"")</f>
        <v/>
      </c>
    </row>
    <row r="5064">
      <c r="A5064" s="2" t="s">
        <v>33</v>
      </c>
      <c r="B5064" s="12">
        <v>4892637.0</v>
      </c>
      <c r="C5064" s="12">
        <v>4893479.0</v>
      </c>
      <c r="D5064" s="2"/>
      <c r="E5064" s="2" t="s">
        <v>34</v>
      </c>
      <c r="F5064" s="2" t="s">
        <v>2334</v>
      </c>
      <c r="G5064" s="2"/>
      <c r="H5064" s="12">
        <v>0.0</v>
      </c>
      <c r="I5064" s="2" t="s">
        <v>40</v>
      </c>
      <c r="J5064" s="2"/>
      <c r="K5064" s="2" t="s">
        <v>13595</v>
      </c>
      <c r="L5064" s="12">
        <v>280.0</v>
      </c>
      <c r="M5064" s="2" t="s">
        <v>13596</v>
      </c>
      <c r="N5064" s="2" t="str">
        <f>IFERROR(__xludf.DUMMYFUNCTION("""COMPUTED_VALUE"""),"")</f>
        <v/>
      </c>
    </row>
    <row r="5065">
      <c r="A5065" s="2" t="s">
        <v>33</v>
      </c>
      <c r="B5065" s="12">
        <v>4893846.0</v>
      </c>
      <c r="C5065" s="12">
        <v>4894208.0</v>
      </c>
      <c r="D5065" s="2"/>
      <c r="E5065" s="2" t="s">
        <v>34</v>
      </c>
      <c r="F5065" s="2" t="s">
        <v>12610</v>
      </c>
      <c r="G5065" s="2"/>
      <c r="H5065" s="12">
        <v>0.0</v>
      </c>
      <c r="I5065" s="2" t="s">
        <v>40</v>
      </c>
      <c r="J5065" s="2"/>
      <c r="K5065" s="2" t="s">
        <v>13597</v>
      </c>
      <c r="L5065" s="12">
        <v>120.0</v>
      </c>
      <c r="M5065" s="2" t="s">
        <v>13598</v>
      </c>
      <c r="N5065" s="2" t="str">
        <f>IFERROR(__xludf.DUMMYFUNCTION("""COMPUTED_VALUE"""),"")</f>
        <v/>
      </c>
    </row>
    <row r="5066">
      <c r="A5066" s="2" t="s">
        <v>33</v>
      </c>
      <c r="B5066" s="12">
        <v>4894835.0</v>
      </c>
      <c r="C5066" s="12">
        <v>4896367.0</v>
      </c>
      <c r="D5066" s="2"/>
      <c r="E5066" s="2" t="s">
        <v>34</v>
      </c>
      <c r="F5066" s="2" t="s">
        <v>13599</v>
      </c>
      <c r="G5066" s="2"/>
      <c r="H5066" s="12">
        <v>0.0</v>
      </c>
      <c r="I5066" s="2" t="s">
        <v>40</v>
      </c>
      <c r="J5066" s="2"/>
      <c r="K5066" s="2" t="s">
        <v>13600</v>
      </c>
      <c r="L5066" s="12">
        <v>510.0</v>
      </c>
      <c r="M5066" s="2" t="s">
        <v>13601</v>
      </c>
      <c r="N5066" s="2" t="str">
        <f>IFERROR(__xludf.DUMMYFUNCTION("""COMPUTED_VALUE"""),"")</f>
        <v/>
      </c>
    </row>
    <row r="5067">
      <c r="A5067" s="2" t="s">
        <v>33</v>
      </c>
      <c r="B5067" s="12">
        <v>4896367.0</v>
      </c>
      <c r="C5067" s="12">
        <v>4898973.0</v>
      </c>
      <c r="D5067" s="2"/>
      <c r="E5067" s="2" t="s">
        <v>34</v>
      </c>
      <c r="F5067" s="2" t="s">
        <v>13602</v>
      </c>
      <c r="G5067" s="2"/>
      <c r="H5067" s="12">
        <v>0.0</v>
      </c>
      <c r="I5067" s="2" t="s">
        <v>40</v>
      </c>
      <c r="J5067" s="2"/>
      <c r="K5067" s="2" t="s">
        <v>13603</v>
      </c>
      <c r="L5067" s="12">
        <v>868.0</v>
      </c>
      <c r="M5067" s="2" t="s">
        <v>13604</v>
      </c>
      <c r="N5067" s="2" t="str">
        <f>IFERROR(__xludf.DUMMYFUNCTION("""COMPUTED_VALUE"""),"")</f>
        <v/>
      </c>
    </row>
    <row r="5068">
      <c r="A5068" s="2" t="s">
        <v>33</v>
      </c>
      <c r="B5068" s="12">
        <v>4899053.0</v>
      </c>
      <c r="C5068" s="12">
        <v>4899574.0</v>
      </c>
      <c r="D5068" s="2"/>
      <c r="E5068" s="2" t="s">
        <v>34</v>
      </c>
      <c r="F5068" s="2" t="s">
        <v>9048</v>
      </c>
      <c r="G5068" s="2"/>
      <c r="H5068" s="12">
        <v>0.0</v>
      </c>
      <c r="I5068" s="2" t="s">
        <v>40</v>
      </c>
      <c r="J5068" s="2"/>
      <c r="K5068" s="2" t="s">
        <v>13605</v>
      </c>
      <c r="L5068" s="12">
        <v>173.0</v>
      </c>
      <c r="M5068" s="2" t="s">
        <v>13606</v>
      </c>
      <c r="N5068" s="2" t="str">
        <f>IFERROR(__xludf.DUMMYFUNCTION("""COMPUTED_VALUE"""),"")</f>
        <v/>
      </c>
    </row>
    <row r="5069">
      <c r="A5069" s="2" t="s">
        <v>33</v>
      </c>
      <c r="B5069" s="12">
        <v>4899875.0</v>
      </c>
      <c r="C5069" s="12">
        <v>4901092.0</v>
      </c>
      <c r="D5069" s="2"/>
      <c r="E5069" s="2" t="s">
        <v>34</v>
      </c>
      <c r="F5069" s="2" t="s">
        <v>3647</v>
      </c>
      <c r="G5069" s="2"/>
      <c r="H5069" s="12">
        <v>0.0</v>
      </c>
      <c r="I5069" s="2" t="s">
        <v>40</v>
      </c>
      <c r="J5069" s="2"/>
      <c r="K5069" s="2" t="s">
        <v>13607</v>
      </c>
      <c r="L5069" s="12">
        <v>405.0</v>
      </c>
      <c r="M5069" s="2" t="s">
        <v>13608</v>
      </c>
      <c r="N5069" s="2" t="str">
        <f>IFERROR(__xludf.DUMMYFUNCTION("""COMPUTED_VALUE"""),"")</f>
        <v/>
      </c>
    </row>
    <row r="5070">
      <c r="A5070" s="2" t="s">
        <v>33</v>
      </c>
      <c r="B5070" s="12">
        <v>4901230.0</v>
      </c>
      <c r="C5070" s="12">
        <v>4901799.0</v>
      </c>
      <c r="D5070" s="2"/>
      <c r="E5070" s="2" t="s">
        <v>38</v>
      </c>
      <c r="F5070" s="2" t="s">
        <v>13609</v>
      </c>
      <c r="G5070" s="2"/>
      <c r="H5070" s="12">
        <v>0.0</v>
      </c>
      <c r="I5070" s="2" t="s">
        <v>40</v>
      </c>
      <c r="J5070" s="2"/>
      <c r="K5070" s="2" t="s">
        <v>13610</v>
      </c>
      <c r="L5070" s="12">
        <v>189.0</v>
      </c>
      <c r="M5070" s="2" t="s">
        <v>13611</v>
      </c>
      <c r="N5070" s="2" t="str">
        <f>IFERROR(__xludf.DUMMYFUNCTION("""COMPUTED_VALUE"""),"")</f>
        <v/>
      </c>
    </row>
    <row r="5071">
      <c r="A5071" s="2" t="s">
        <v>33</v>
      </c>
      <c r="B5071" s="12">
        <v>4902013.0</v>
      </c>
      <c r="C5071" s="12">
        <v>4903443.0</v>
      </c>
      <c r="D5071" s="2"/>
      <c r="E5071" s="2" t="s">
        <v>34</v>
      </c>
      <c r="F5071" s="2" t="s">
        <v>13612</v>
      </c>
      <c r="G5071" s="2"/>
      <c r="H5071" s="12">
        <v>0.0</v>
      </c>
      <c r="I5071" s="2" t="s">
        <v>40</v>
      </c>
      <c r="J5071" s="2"/>
      <c r="K5071" s="2" t="s">
        <v>13613</v>
      </c>
      <c r="L5071" s="12">
        <v>476.0</v>
      </c>
      <c r="M5071" s="2" t="s">
        <v>13614</v>
      </c>
      <c r="N5071" s="2" t="str">
        <f>IFERROR(__xludf.DUMMYFUNCTION("""COMPUTED_VALUE"""),"")</f>
        <v/>
      </c>
    </row>
    <row r="5072">
      <c r="A5072" s="2" t="s">
        <v>33</v>
      </c>
      <c r="B5072" s="12">
        <v>4903555.0</v>
      </c>
      <c r="C5072" s="12">
        <v>4904010.0</v>
      </c>
      <c r="D5072" s="2"/>
      <c r="E5072" s="2" t="s">
        <v>34</v>
      </c>
      <c r="F5072" s="2" t="s">
        <v>13615</v>
      </c>
      <c r="G5072" s="2"/>
      <c r="H5072" s="12">
        <v>0.0</v>
      </c>
      <c r="I5072" s="2" t="s">
        <v>40</v>
      </c>
      <c r="J5072" s="2"/>
      <c r="K5072" s="2" t="s">
        <v>13616</v>
      </c>
      <c r="L5072" s="12">
        <v>151.0</v>
      </c>
      <c r="M5072" s="2" t="s">
        <v>13617</v>
      </c>
      <c r="N5072" s="2" t="str">
        <f>IFERROR(__xludf.DUMMYFUNCTION("""COMPUTED_VALUE"""),"")</f>
        <v/>
      </c>
    </row>
    <row r="5073">
      <c r="A5073" s="2" t="s">
        <v>33</v>
      </c>
      <c r="B5073" s="12">
        <v>4904113.0</v>
      </c>
      <c r="C5073" s="12">
        <v>4904823.0</v>
      </c>
      <c r="D5073" s="2"/>
      <c r="E5073" s="2" t="s">
        <v>34</v>
      </c>
      <c r="F5073" s="2" t="s">
        <v>1672</v>
      </c>
      <c r="G5073" s="2"/>
      <c r="H5073" s="12">
        <v>0.0</v>
      </c>
      <c r="I5073" s="2" t="s">
        <v>40</v>
      </c>
      <c r="J5073" s="2"/>
      <c r="K5073" s="2" t="s">
        <v>13618</v>
      </c>
      <c r="L5073" s="12">
        <v>236.0</v>
      </c>
      <c r="M5073" s="2" t="s">
        <v>13619</v>
      </c>
      <c r="N5073" s="2" t="str">
        <f>IFERROR(__xludf.DUMMYFUNCTION("""COMPUTED_VALUE"""),"")</f>
        <v/>
      </c>
    </row>
    <row r="5074">
      <c r="A5074" s="2" t="s">
        <v>33</v>
      </c>
      <c r="B5074" s="12">
        <v>4904911.0</v>
      </c>
      <c r="C5074" s="12">
        <v>4905276.0</v>
      </c>
      <c r="D5074" s="2"/>
      <c r="E5074" s="2" t="s">
        <v>38</v>
      </c>
      <c r="F5074" s="2" t="s">
        <v>519</v>
      </c>
      <c r="G5074" s="2"/>
      <c r="H5074" s="12">
        <v>0.0</v>
      </c>
      <c r="I5074" s="2" t="s">
        <v>40</v>
      </c>
      <c r="J5074" s="2"/>
      <c r="K5074" s="2" t="s">
        <v>13620</v>
      </c>
      <c r="L5074" s="12">
        <v>121.0</v>
      </c>
      <c r="M5074" s="2" t="s">
        <v>13621</v>
      </c>
      <c r="N5074" s="2" t="str">
        <f>IFERROR(__xludf.DUMMYFUNCTION("""COMPUTED_VALUE"""),"")</f>
        <v/>
      </c>
    </row>
    <row r="5075">
      <c r="A5075" s="2" t="s">
        <v>33</v>
      </c>
      <c r="B5075" s="12">
        <v>4905832.0</v>
      </c>
      <c r="C5075" s="12">
        <v>4907370.0</v>
      </c>
      <c r="D5075" s="2"/>
      <c r="E5075" s="2" t="s">
        <v>34</v>
      </c>
      <c r="F5075" s="2" t="s">
        <v>13622</v>
      </c>
      <c r="G5075" s="2"/>
      <c r="H5075" s="12">
        <v>0.0</v>
      </c>
      <c r="I5075" s="2" t="s">
        <v>40</v>
      </c>
      <c r="J5075" s="2"/>
      <c r="K5075" s="2" t="s">
        <v>13623</v>
      </c>
      <c r="L5075" s="12">
        <v>512.0</v>
      </c>
      <c r="M5075" s="2" t="s">
        <v>13624</v>
      </c>
      <c r="N5075" s="2" t="str">
        <f>IFERROR(__xludf.DUMMYFUNCTION("""COMPUTED_VALUE"""),"")</f>
        <v/>
      </c>
    </row>
    <row r="5076">
      <c r="A5076" s="2" t="s">
        <v>33</v>
      </c>
      <c r="B5076" s="12">
        <v>4907698.0</v>
      </c>
      <c r="C5076" s="12">
        <v>4908084.0</v>
      </c>
      <c r="D5076" s="2"/>
      <c r="E5076" s="2" t="s">
        <v>34</v>
      </c>
      <c r="F5076" s="2" t="s">
        <v>4504</v>
      </c>
      <c r="G5076" s="2"/>
      <c r="H5076" s="12">
        <v>0.0</v>
      </c>
      <c r="I5076" s="2" t="s">
        <v>40</v>
      </c>
      <c r="J5076" s="2"/>
      <c r="K5076" s="2" t="s">
        <v>13625</v>
      </c>
      <c r="L5076" s="12">
        <v>128.0</v>
      </c>
      <c r="M5076" s="2" t="s">
        <v>13626</v>
      </c>
      <c r="N5076" s="2" t="str">
        <f>IFERROR(__xludf.DUMMYFUNCTION("""COMPUTED_VALUE"""),"")</f>
        <v/>
      </c>
    </row>
    <row r="5077">
      <c r="A5077" s="2" t="s">
        <v>33</v>
      </c>
      <c r="B5077" s="12">
        <v>4908170.0</v>
      </c>
      <c r="C5077" s="12">
        <v>4908571.0</v>
      </c>
      <c r="D5077" s="2"/>
      <c r="E5077" s="2" t="s">
        <v>34</v>
      </c>
      <c r="F5077" s="2" t="s">
        <v>39</v>
      </c>
      <c r="G5077" s="2"/>
      <c r="H5077" s="12">
        <v>0.0</v>
      </c>
      <c r="I5077" s="2" t="s">
        <v>40</v>
      </c>
      <c r="J5077" s="2"/>
      <c r="K5077" s="2" t="s">
        <v>13627</v>
      </c>
      <c r="L5077" s="12">
        <v>133.0</v>
      </c>
      <c r="M5077" s="2" t="s">
        <v>13628</v>
      </c>
      <c r="N5077" s="2" t="str">
        <f>IFERROR(__xludf.DUMMYFUNCTION("""COMPUTED_VALUE"""),"")</f>
        <v/>
      </c>
    </row>
    <row r="5078">
      <c r="A5078" s="2" t="s">
        <v>33</v>
      </c>
      <c r="B5078" s="12">
        <v>4908607.0</v>
      </c>
      <c r="C5078" s="12">
        <v>4909632.0</v>
      </c>
      <c r="D5078" s="2"/>
      <c r="E5078" s="2" t="s">
        <v>34</v>
      </c>
      <c r="F5078" s="2" t="s">
        <v>13629</v>
      </c>
      <c r="G5078" s="2"/>
      <c r="H5078" s="12">
        <v>0.0</v>
      </c>
      <c r="I5078" s="2" t="s">
        <v>40</v>
      </c>
      <c r="J5078" s="2"/>
      <c r="K5078" s="2" t="s">
        <v>13630</v>
      </c>
      <c r="L5078" s="12">
        <v>341.0</v>
      </c>
      <c r="M5078" s="2" t="s">
        <v>13631</v>
      </c>
      <c r="N5078" s="2" t="str">
        <f>IFERROR(__xludf.DUMMYFUNCTION("""COMPUTED_VALUE"""),"")</f>
        <v/>
      </c>
    </row>
    <row r="5079">
      <c r="A5079" s="2" t="s">
        <v>33</v>
      </c>
      <c r="B5079" s="12">
        <v>4909938.0</v>
      </c>
      <c r="C5079" s="12">
        <v>4910888.0</v>
      </c>
      <c r="D5079" s="2"/>
      <c r="E5079" s="2" t="s">
        <v>34</v>
      </c>
      <c r="F5079" s="2" t="s">
        <v>1602</v>
      </c>
      <c r="G5079" s="2"/>
      <c r="H5079" s="12">
        <v>0.0</v>
      </c>
      <c r="I5079" s="2" t="s">
        <v>40</v>
      </c>
      <c r="J5079" s="2"/>
      <c r="K5079" s="2" t="s">
        <v>13632</v>
      </c>
      <c r="L5079" s="12">
        <v>316.0</v>
      </c>
      <c r="M5079" s="2" t="s">
        <v>13633</v>
      </c>
      <c r="N5079" s="2" t="str">
        <f>IFERROR(__xludf.DUMMYFUNCTION("""COMPUTED_VALUE"""),"")</f>
        <v/>
      </c>
    </row>
    <row r="5080">
      <c r="A5080" s="2" t="s">
        <v>33</v>
      </c>
      <c r="B5080" s="12">
        <v>4911332.0</v>
      </c>
      <c r="C5080" s="12">
        <v>4911775.0</v>
      </c>
      <c r="D5080" s="2"/>
      <c r="E5080" s="2" t="s">
        <v>34</v>
      </c>
      <c r="F5080" s="2" t="s">
        <v>534</v>
      </c>
      <c r="G5080" s="2"/>
      <c r="H5080" s="12">
        <v>0.0</v>
      </c>
      <c r="I5080" s="2" t="s">
        <v>40</v>
      </c>
      <c r="J5080" s="2"/>
      <c r="K5080" s="2" t="s">
        <v>13634</v>
      </c>
      <c r="L5080" s="12">
        <v>147.0</v>
      </c>
      <c r="M5080" s="2" t="s">
        <v>13635</v>
      </c>
      <c r="N5080" s="2" t="str">
        <f>IFERROR(__xludf.DUMMYFUNCTION("""COMPUTED_VALUE"""),"")</f>
        <v/>
      </c>
    </row>
    <row r="5081">
      <c r="A5081" s="2" t="s">
        <v>33</v>
      </c>
      <c r="B5081" s="12">
        <v>4911995.0</v>
      </c>
      <c r="C5081" s="12">
        <v>4912873.0</v>
      </c>
      <c r="D5081" s="2"/>
      <c r="E5081" s="2" t="s">
        <v>34</v>
      </c>
      <c r="F5081" s="2" t="s">
        <v>694</v>
      </c>
      <c r="G5081" s="2"/>
      <c r="H5081" s="12">
        <v>0.0</v>
      </c>
      <c r="I5081" s="2" t="s">
        <v>40</v>
      </c>
      <c r="J5081" s="2"/>
      <c r="K5081" s="2" t="s">
        <v>13636</v>
      </c>
      <c r="L5081" s="12">
        <v>292.0</v>
      </c>
      <c r="M5081" s="2" t="s">
        <v>13637</v>
      </c>
      <c r="N5081" s="2" t="str">
        <f>IFERROR(__xludf.DUMMYFUNCTION("""COMPUTED_VALUE"""),"")</f>
        <v/>
      </c>
    </row>
    <row r="5082">
      <c r="A5082" s="2" t="s">
        <v>33</v>
      </c>
      <c r="B5082" s="12">
        <v>4913176.0</v>
      </c>
      <c r="C5082" s="12">
        <v>4915011.0</v>
      </c>
      <c r="D5082" s="2"/>
      <c r="E5082" s="2" t="s">
        <v>38</v>
      </c>
      <c r="F5082" s="2" t="s">
        <v>5311</v>
      </c>
      <c r="G5082" s="2"/>
      <c r="H5082" s="12">
        <v>0.0</v>
      </c>
      <c r="I5082" s="2" t="s">
        <v>40</v>
      </c>
      <c r="J5082" s="2"/>
      <c r="K5082" s="2" t="s">
        <v>13638</v>
      </c>
      <c r="L5082" s="12">
        <v>611.0</v>
      </c>
      <c r="M5082" s="2" t="s">
        <v>13639</v>
      </c>
      <c r="N5082" s="2" t="str">
        <f>IFERROR(__xludf.DUMMYFUNCTION("""COMPUTED_VALUE"""),"")</f>
        <v/>
      </c>
    </row>
    <row r="5083">
      <c r="A5083" s="2" t="s">
        <v>33</v>
      </c>
      <c r="B5083" s="12">
        <v>4915025.0</v>
      </c>
      <c r="C5083" s="12">
        <v>4915618.0</v>
      </c>
      <c r="D5083" s="2"/>
      <c r="E5083" s="2" t="s">
        <v>38</v>
      </c>
      <c r="F5083" s="2" t="s">
        <v>13640</v>
      </c>
      <c r="G5083" s="2"/>
      <c r="H5083" s="12">
        <v>0.0</v>
      </c>
      <c r="I5083" s="2" t="s">
        <v>40</v>
      </c>
      <c r="J5083" s="2"/>
      <c r="K5083" s="2" t="s">
        <v>13641</v>
      </c>
      <c r="L5083" s="12">
        <v>197.0</v>
      </c>
      <c r="M5083" s="2" t="s">
        <v>13642</v>
      </c>
      <c r="N5083" s="2" t="str">
        <f>IFERROR(__xludf.DUMMYFUNCTION("""COMPUTED_VALUE"""),"")</f>
        <v/>
      </c>
    </row>
    <row r="5084">
      <c r="A5084" s="2" t="s">
        <v>33</v>
      </c>
      <c r="B5084" s="12">
        <v>4915615.0</v>
      </c>
      <c r="C5084" s="12">
        <v>4916259.0</v>
      </c>
      <c r="D5084" s="2"/>
      <c r="E5084" s="2" t="s">
        <v>38</v>
      </c>
      <c r="F5084" s="2" t="s">
        <v>4063</v>
      </c>
      <c r="G5084" s="2"/>
      <c r="H5084" s="12">
        <v>0.0</v>
      </c>
      <c r="I5084" s="2" t="s">
        <v>40</v>
      </c>
      <c r="J5084" s="2"/>
      <c r="K5084" s="2" t="s">
        <v>13643</v>
      </c>
      <c r="L5084" s="12">
        <v>214.0</v>
      </c>
      <c r="M5084" s="2" t="s">
        <v>13644</v>
      </c>
      <c r="N5084" s="2" t="str">
        <f>IFERROR(__xludf.DUMMYFUNCTION("""COMPUTED_VALUE"""),"")</f>
        <v/>
      </c>
    </row>
    <row r="5085">
      <c r="A5085" s="2" t="s">
        <v>33</v>
      </c>
      <c r="B5085" s="12">
        <v>4916424.0</v>
      </c>
      <c r="C5085" s="12">
        <v>4917068.0</v>
      </c>
      <c r="D5085" s="2"/>
      <c r="E5085" s="2" t="s">
        <v>38</v>
      </c>
      <c r="F5085" s="2" t="s">
        <v>13645</v>
      </c>
      <c r="G5085" s="2" t="s">
        <v>13646</v>
      </c>
      <c r="H5085" s="12">
        <v>0.0</v>
      </c>
      <c r="I5085" s="2" t="s">
        <v>40</v>
      </c>
      <c r="J5085" s="2"/>
      <c r="K5085" s="2" t="s">
        <v>13647</v>
      </c>
      <c r="L5085" s="12">
        <v>214.0</v>
      </c>
      <c r="M5085" s="2" t="s">
        <v>13648</v>
      </c>
      <c r="N5085" s="2" t="str">
        <f>IFERROR(__xludf.DUMMYFUNCTION("""COMPUTED_VALUE"""),"")</f>
        <v/>
      </c>
    </row>
    <row r="5086">
      <c r="A5086" s="2" t="s">
        <v>33</v>
      </c>
      <c r="B5086" s="12">
        <v>4917572.0</v>
      </c>
      <c r="C5086" s="12">
        <v>4918408.0</v>
      </c>
      <c r="D5086" s="2"/>
      <c r="E5086" s="2" t="s">
        <v>34</v>
      </c>
      <c r="F5086" s="2" t="s">
        <v>13649</v>
      </c>
      <c r="G5086" s="2"/>
      <c r="H5086" s="12">
        <v>0.0</v>
      </c>
      <c r="I5086" s="2" t="s">
        <v>40</v>
      </c>
      <c r="J5086" s="2"/>
      <c r="K5086" s="2" t="s">
        <v>13650</v>
      </c>
      <c r="L5086" s="12">
        <v>278.0</v>
      </c>
      <c r="M5086" s="2" t="s">
        <v>13651</v>
      </c>
      <c r="N5086" s="2" t="str">
        <f>IFERROR(__xludf.DUMMYFUNCTION("""COMPUTED_VALUE"""),"")</f>
        <v/>
      </c>
    </row>
    <row r="5087">
      <c r="A5087" s="2" t="s">
        <v>33</v>
      </c>
      <c r="B5087" s="12">
        <v>4918818.0</v>
      </c>
      <c r="C5087" s="12">
        <v>4920407.0</v>
      </c>
      <c r="D5087" s="2"/>
      <c r="E5087" s="2" t="s">
        <v>34</v>
      </c>
      <c r="F5087" s="2" t="s">
        <v>8602</v>
      </c>
      <c r="G5087" s="2"/>
      <c r="H5087" s="12">
        <v>0.0</v>
      </c>
      <c r="I5087" s="2" t="s">
        <v>40</v>
      </c>
      <c r="J5087" s="2"/>
      <c r="K5087" s="2" t="s">
        <v>13652</v>
      </c>
      <c r="L5087" s="12">
        <v>529.0</v>
      </c>
      <c r="M5087" s="2" t="s">
        <v>13653</v>
      </c>
      <c r="N5087" s="2" t="str">
        <f>IFERROR(__xludf.DUMMYFUNCTION("""COMPUTED_VALUE"""),"")</f>
        <v/>
      </c>
    </row>
    <row r="5088">
      <c r="A5088" s="2" t="s">
        <v>33</v>
      </c>
      <c r="B5088" s="12">
        <v>4920928.0</v>
      </c>
      <c r="C5088" s="12">
        <v>4922259.0</v>
      </c>
      <c r="D5088" s="2"/>
      <c r="E5088" s="2" t="s">
        <v>34</v>
      </c>
      <c r="F5088" s="2" t="s">
        <v>473</v>
      </c>
      <c r="G5088" s="2"/>
      <c r="H5088" s="12">
        <v>0.0</v>
      </c>
      <c r="I5088" s="2" t="s">
        <v>40</v>
      </c>
      <c r="J5088" s="2"/>
      <c r="K5088" s="2" t="s">
        <v>13654</v>
      </c>
      <c r="L5088" s="12">
        <v>443.0</v>
      </c>
      <c r="M5088" s="2" t="s">
        <v>13655</v>
      </c>
      <c r="N5088" s="2" t="str">
        <f>IFERROR(__xludf.DUMMYFUNCTION("""COMPUTED_VALUE"""),"")</f>
        <v/>
      </c>
    </row>
    <row r="5089">
      <c r="A5089" s="2" t="s">
        <v>33</v>
      </c>
      <c r="B5089" s="12">
        <v>4922763.0</v>
      </c>
      <c r="C5089" s="12">
        <v>4923920.0</v>
      </c>
      <c r="D5089" s="2"/>
      <c r="E5089" s="2" t="s">
        <v>34</v>
      </c>
      <c r="F5089" s="2" t="s">
        <v>455</v>
      </c>
      <c r="G5089" s="2"/>
      <c r="H5089" s="12">
        <v>0.0</v>
      </c>
      <c r="I5089" s="2" t="s">
        <v>40</v>
      </c>
      <c r="J5089" s="2"/>
      <c r="K5089" s="2" t="s">
        <v>13656</v>
      </c>
      <c r="L5089" s="12">
        <v>385.0</v>
      </c>
      <c r="M5089" s="2" t="s">
        <v>13657</v>
      </c>
      <c r="N5089" s="2" t="str">
        <f>IFERROR(__xludf.DUMMYFUNCTION("""COMPUTED_VALUE"""),"")</f>
        <v/>
      </c>
    </row>
    <row r="5090">
      <c r="A5090" s="2" t="s">
        <v>33</v>
      </c>
      <c r="B5090" s="12">
        <v>4924264.0</v>
      </c>
      <c r="C5090" s="12">
        <v>4924524.0</v>
      </c>
      <c r="D5090" s="2"/>
      <c r="E5090" s="2" t="s">
        <v>34</v>
      </c>
      <c r="F5090" s="2" t="s">
        <v>91</v>
      </c>
      <c r="G5090" s="2"/>
      <c r="H5090" s="12">
        <v>0.0</v>
      </c>
      <c r="I5090" s="2" t="s">
        <v>40</v>
      </c>
      <c r="J5090" s="2"/>
      <c r="K5090" s="2" t="s">
        <v>13658</v>
      </c>
      <c r="L5090" s="12">
        <v>86.0</v>
      </c>
      <c r="M5090" s="2" t="s">
        <v>13659</v>
      </c>
      <c r="N5090" s="2" t="str">
        <f>IFERROR(__xludf.DUMMYFUNCTION("""COMPUTED_VALUE"""),"")</f>
        <v/>
      </c>
    </row>
    <row r="5091">
      <c r="A5091" s="2" t="s">
        <v>33</v>
      </c>
      <c r="B5091" s="12">
        <v>4924689.0</v>
      </c>
      <c r="C5091" s="12">
        <v>4925842.0</v>
      </c>
      <c r="D5091" s="2"/>
      <c r="E5091" s="2" t="s">
        <v>38</v>
      </c>
      <c r="F5091" s="2" t="s">
        <v>35</v>
      </c>
      <c r="G5091" s="2"/>
      <c r="H5091" s="12">
        <v>0.0</v>
      </c>
      <c r="I5091" s="2" t="s">
        <v>36</v>
      </c>
      <c r="J5091" s="2"/>
      <c r="K5091" s="2"/>
      <c r="L5091" s="2"/>
      <c r="M5091" s="2" t="s">
        <v>13660</v>
      </c>
      <c r="N5091" s="2" t="str">
        <f>IFERROR(__xludf.DUMMYFUNCTION("""COMPUTED_VALUE"""),"")</f>
        <v/>
      </c>
    </row>
    <row r="5092">
      <c r="A5092" s="2" t="s">
        <v>33</v>
      </c>
      <c r="B5092" s="12">
        <v>4926797.0</v>
      </c>
      <c r="C5092" s="12">
        <v>4928221.0</v>
      </c>
      <c r="D5092" s="2"/>
      <c r="E5092" s="2" t="s">
        <v>34</v>
      </c>
      <c r="F5092" s="2" t="s">
        <v>811</v>
      </c>
      <c r="G5092" s="2"/>
      <c r="H5092" s="12">
        <v>0.0</v>
      </c>
      <c r="I5092" s="2" t="s">
        <v>40</v>
      </c>
      <c r="J5092" s="2"/>
      <c r="K5092" s="2" t="s">
        <v>13661</v>
      </c>
      <c r="L5092" s="12">
        <v>474.0</v>
      </c>
      <c r="M5092" s="2" t="s">
        <v>13662</v>
      </c>
      <c r="N5092" s="2" t="str">
        <f>IFERROR(__xludf.DUMMYFUNCTION("""COMPUTED_VALUE"""),"")</f>
        <v/>
      </c>
    </row>
    <row r="5093">
      <c r="A5093" s="2" t="s">
        <v>33</v>
      </c>
      <c r="B5093" s="12">
        <v>4928346.0</v>
      </c>
      <c r="C5093" s="12">
        <v>4929326.0</v>
      </c>
      <c r="D5093" s="2"/>
      <c r="E5093" s="2" t="s">
        <v>34</v>
      </c>
      <c r="F5093" s="2" t="s">
        <v>13663</v>
      </c>
      <c r="G5093" s="2" t="s">
        <v>5871</v>
      </c>
      <c r="H5093" s="12">
        <v>0.0</v>
      </c>
      <c r="I5093" s="2" t="s">
        <v>40</v>
      </c>
      <c r="J5093" s="2"/>
      <c r="K5093" s="2" t="s">
        <v>13664</v>
      </c>
      <c r="L5093" s="12">
        <v>326.0</v>
      </c>
      <c r="M5093" s="2" t="s">
        <v>13665</v>
      </c>
      <c r="N5093" s="2" t="str">
        <f>IFERROR(__xludf.DUMMYFUNCTION("""COMPUTED_VALUE"""),"")</f>
        <v/>
      </c>
    </row>
    <row r="5094">
      <c r="A5094" s="2" t="s">
        <v>33</v>
      </c>
      <c r="B5094" s="12">
        <v>4929560.0</v>
      </c>
      <c r="C5094" s="12">
        <v>4930876.0</v>
      </c>
      <c r="D5094" s="2"/>
      <c r="E5094" s="2" t="s">
        <v>34</v>
      </c>
      <c r="F5094" s="2" t="s">
        <v>5460</v>
      </c>
      <c r="G5094" s="2"/>
      <c r="H5094" s="12">
        <v>0.0</v>
      </c>
      <c r="I5094" s="2" t="s">
        <v>40</v>
      </c>
      <c r="J5094" s="2"/>
      <c r="K5094" s="2" t="s">
        <v>13666</v>
      </c>
      <c r="L5094" s="12">
        <v>438.0</v>
      </c>
      <c r="M5094" s="2" t="s">
        <v>13667</v>
      </c>
      <c r="N5094" s="2" t="str">
        <f>IFERROR(__xludf.DUMMYFUNCTION("""COMPUTED_VALUE"""),"")</f>
        <v/>
      </c>
    </row>
    <row r="5095">
      <c r="A5095" s="2" t="s">
        <v>33</v>
      </c>
      <c r="B5095" s="12">
        <v>4930881.0</v>
      </c>
      <c r="C5095" s="12">
        <v>4931825.0</v>
      </c>
      <c r="D5095" s="2"/>
      <c r="E5095" s="2" t="s">
        <v>34</v>
      </c>
      <c r="F5095" s="2" t="s">
        <v>2401</v>
      </c>
      <c r="G5095" s="2"/>
      <c r="H5095" s="12">
        <v>0.0</v>
      </c>
      <c r="I5095" s="2" t="s">
        <v>40</v>
      </c>
      <c r="J5095" s="2"/>
      <c r="K5095" s="2" t="s">
        <v>13668</v>
      </c>
      <c r="L5095" s="12">
        <v>314.0</v>
      </c>
      <c r="M5095" s="2" t="s">
        <v>13669</v>
      </c>
      <c r="N5095" s="2" t="str">
        <f>IFERROR(__xludf.DUMMYFUNCTION("""COMPUTED_VALUE"""),"")</f>
        <v/>
      </c>
    </row>
    <row r="5096">
      <c r="A5096" s="2" t="s">
        <v>33</v>
      </c>
      <c r="B5096" s="12">
        <v>4932507.0</v>
      </c>
      <c r="C5096" s="12">
        <v>4934081.0</v>
      </c>
      <c r="D5096" s="2"/>
      <c r="E5096" s="2" t="s">
        <v>34</v>
      </c>
      <c r="F5096" s="2" t="s">
        <v>5082</v>
      </c>
      <c r="G5096" s="2"/>
      <c r="H5096" s="12">
        <v>0.0</v>
      </c>
      <c r="I5096" s="2" t="s">
        <v>40</v>
      </c>
      <c r="J5096" s="2"/>
      <c r="K5096" s="2" t="s">
        <v>13670</v>
      </c>
      <c r="L5096" s="12">
        <v>524.0</v>
      </c>
      <c r="M5096" s="2" t="s">
        <v>13671</v>
      </c>
      <c r="N5096" s="2" t="str">
        <f>IFERROR(__xludf.DUMMYFUNCTION("""COMPUTED_VALUE"""),"")</f>
        <v/>
      </c>
    </row>
    <row r="5097">
      <c r="A5097" s="2" t="s">
        <v>33</v>
      </c>
      <c r="B5097" s="12">
        <v>4934108.0</v>
      </c>
      <c r="C5097" s="12">
        <v>4935199.0</v>
      </c>
      <c r="D5097" s="2"/>
      <c r="E5097" s="2" t="s">
        <v>34</v>
      </c>
      <c r="F5097" s="2" t="s">
        <v>5082</v>
      </c>
      <c r="G5097" s="2"/>
      <c r="H5097" s="12">
        <v>0.0</v>
      </c>
      <c r="I5097" s="2" t="s">
        <v>40</v>
      </c>
      <c r="J5097" s="2"/>
      <c r="K5097" s="2" t="s">
        <v>13672</v>
      </c>
      <c r="L5097" s="12">
        <v>363.0</v>
      </c>
      <c r="M5097" s="2" t="s">
        <v>13673</v>
      </c>
      <c r="N5097" s="2" t="str">
        <f>IFERROR(__xludf.DUMMYFUNCTION("""COMPUTED_VALUE"""),"")</f>
        <v/>
      </c>
    </row>
    <row r="5098">
      <c r="A5098" s="2" t="s">
        <v>33</v>
      </c>
      <c r="B5098" s="12">
        <v>4935196.0</v>
      </c>
      <c r="C5098" s="12">
        <v>4936389.0</v>
      </c>
      <c r="D5098" s="2"/>
      <c r="E5098" s="2" t="s">
        <v>34</v>
      </c>
      <c r="F5098" s="2" t="s">
        <v>5085</v>
      </c>
      <c r="G5098" s="2"/>
      <c r="H5098" s="12">
        <v>0.0</v>
      </c>
      <c r="I5098" s="2" t="s">
        <v>40</v>
      </c>
      <c r="J5098" s="2"/>
      <c r="K5098" s="2" t="s">
        <v>13674</v>
      </c>
      <c r="L5098" s="12">
        <v>397.0</v>
      </c>
      <c r="M5098" s="2" t="s">
        <v>13675</v>
      </c>
      <c r="N5098" s="2" t="str">
        <f>IFERROR(__xludf.DUMMYFUNCTION("""COMPUTED_VALUE"""),"")</f>
        <v/>
      </c>
    </row>
    <row r="5099">
      <c r="A5099" s="2" t="s">
        <v>33</v>
      </c>
      <c r="B5099" s="12">
        <v>4936714.0</v>
      </c>
      <c r="C5099" s="12">
        <v>4937532.0</v>
      </c>
      <c r="D5099" s="2"/>
      <c r="E5099" s="2" t="s">
        <v>34</v>
      </c>
      <c r="F5099" s="2" t="s">
        <v>6542</v>
      </c>
      <c r="G5099" s="2" t="s">
        <v>6543</v>
      </c>
      <c r="H5099" s="12">
        <v>0.0</v>
      </c>
      <c r="I5099" s="2" t="s">
        <v>40</v>
      </c>
      <c r="J5099" s="2"/>
      <c r="K5099" s="2" t="s">
        <v>13676</v>
      </c>
      <c r="L5099" s="12">
        <v>272.0</v>
      </c>
      <c r="M5099" s="2" t="s">
        <v>13677</v>
      </c>
      <c r="N5099" s="2" t="str">
        <f>IFERROR(__xludf.DUMMYFUNCTION("""COMPUTED_VALUE"""),"")</f>
        <v/>
      </c>
    </row>
    <row r="5100">
      <c r="A5100" s="2" t="s">
        <v>33</v>
      </c>
      <c r="B5100" s="12">
        <v>4937666.0</v>
      </c>
      <c r="C5100" s="12">
        <v>4939081.0</v>
      </c>
      <c r="D5100" s="2"/>
      <c r="E5100" s="2" t="s">
        <v>34</v>
      </c>
      <c r="F5100" s="2" t="s">
        <v>4879</v>
      </c>
      <c r="G5100" s="2"/>
      <c r="H5100" s="12">
        <v>0.0</v>
      </c>
      <c r="I5100" s="2" t="s">
        <v>40</v>
      </c>
      <c r="J5100" s="2"/>
      <c r="K5100" s="2" t="s">
        <v>13678</v>
      </c>
      <c r="L5100" s="12">
        <v>471.0</v>
      </c>
      <c r="M5100" s="2" t="s">
        <v>13679</v>
      </c>
      <c r="N5100" s="2" t="str">
        <f>IFERROR(__xludf.DUMMYFUNCTION("""COMPUTED_VALUE"""),"")</f>
        <v/>
      </c>
    </row>
    <row r="5101">
      <c r="A5101" s="2" t="s">
        <v>33</v>
      </c>
      <c r="B5101" s="12">
        <v>4939247.0</v>
      </c>
      <c r="C5101" s="12">
        <v>4939888.0</v>
      </c>
      <c r="D5101" s="2"/>
      <c r="E5101" s="2" t="s">
        <v>34</v>
      </c>
      <c r="F5101" s="2" t="s">
        <v>9806</v>
      </c>
      <c r="G5101" s="2"/>
      <c r="H5101" s="12">
        <v>0.0</v>
      </c>
      <c r="I5101" s="2" t="s">
        <v>40</v>
      </c>
      <c r="J5101" s="2"/>
      <c r="K5101" s="2" t="s">
        <v>13680</v>
      </c>
      <c r="L5101" s="12">
        <v>213.0</v>
      </c>
      <c r="M5101" s="2" t="s">
        <v>13681</v>
      </c>
      <c r="N5101" s="2" t="str">
        <f>IFERROR(__xludf.DUMMYFUNCTION("""COMPUTED_VALUE"""),"")</f>
        <v/>
      </c>
    </row>
    <row r="5102">
      <c r="A5102" s="2" t="s">
        <v>33</v>
      </c>
      <c r="B5102" s="12">
        <v>4940055.0</v>
      </c>
      <c r="C5102" s="12">
        <v>4940285.0</v>
      </c>
      <c r="D5102" s="2"/>
      <c r="E5102" s="2" t="s">
        <v>34</v>
      </c>
      <c r="F5102" s="2" t="s">
        <v>1752</v>
      </c>
      <c r="G5102" s="2"/>
      <c r="H5102" s="12">
        <v>0.0</v>
      </c>
      <c r="I5102" s="2" t="s">
        <v>40</v>
      </c>
      <c r="J5102" s="2"/>
      <c r="K5102" s="2" t="s">
        <v>13682</v>
      </c>
      <c r="L5102" s="12">
        <v>76.0</v>
      </c>
      <c r="M5102" s="2" t="s">
        <v>13683</v>
      </c>
      <c r="N5102" s="2" t="str">
        <f>IFERROR(__xludf.DUMMYFUNCTION("""COMPUTED_VALUE"""),"")</f>
        <v/>
      </c>
    </row>
    <row r="5103">
      <c r="A5103" s="2" t="s">
        <v>33</v>
      </c>
      <c r="B5103" s="12">
        <v>4941030.0</v>
      </c>
      <c r="C5103" s="12">
        <v>4941158.0</v>
      </c>
      <c r="D5103" s="2"/>
      <c r="E5103" s="2" t="s">
        <v>38</v>
      </c>
      <c r="F5103" s="2" t="s">
        <v>39</v>
      </c>
      <c r="G5103" s="2"/>
      <c r="H5103" s="12">
        <v>0.0</v>
      </c>
      <c r="I5103" s="2" t="s">
        <v>40</v>
      </c>
      <c r="J5103" s="2"/>
      <c r="K5103" s="2" t="s">
        <v>13684</v>
      </c>
      <c r="L5103" s="12">
        <v>42.0</v>
      </c>
      <c r="M5103" s="2" t="s">
        <v>13685</v>
      </c>
      <c r="N5103" s="2" t="str">
        <f>IFERROR(__xludf.DUMMYFUNCTION("""COMPUTED_VALUE"""),"")</f>
        <v/>
      </c>
    </row>
    <row r="5104">
      <c r="A5104" s="2" t="s">
        <v>33</v>
      </c>
      <c r="B5104" s="12">
        <v>4941593.0</v>
      </c>
      <c r="C5104" s="12">
        <v>4942822.0</v>
      </c>
      <c r="D5104" s="2"/>
      <c r="E5104" s="2" t="s">
        <v>34</v>
      </c>
      <c r="F5104" s="2" t="s">
        <v>216</v>
      </c>
      <c r="G5104" s="2"/>
      <c r="H5104" s="12">
        <v>0.0</v>
      </c>
      <c r="I5104" s="2" t="s">
        <v>40</v>
      </c>
      <c r="J5104" s="2"/>
      <c r="K5104" s="2" t="s">
        <v>13686</v>
      </c>
      <c r="L5104" s="12">
        <v>409.0</v>
      </c>
      <c r="M5104" s="2" t="s">
        <v>13687</v>
      </c>
      <c r="N5104" s="2" t="str">
        <f>IFERROR(__xludf.DUMMYFUNCTION("""COMPUTED_VALUE"""),"")</f>
        <v/>
      </c>
    </row>
    <row r="5105">
      <c r="A5105" s="2" t="s">
        <v>33</v>
      </c>
      <c r="B5105" s="12">
        <v>4944002.0</v>
      </c>
      <c r="C5105" s="12">
        <v>4945321.0</v>
      </c>
      <c r="D5105" s="2"/>
      <c r="E5105" s="2" t="s">
        <v>34</v>
      </c>
      <c r="F5105" s="2" t="s">
        <v>13688</v>
      </c>
      <c r="G5105" s="2" t="s">
        <v>13689</v>
      </c>
      <c r="H5105" s="12">
        <v>0.0</v>
      </c>
      <c r="I5105" s="2" t="s">
        <v>40</v>
      </c>
      <c r="J5105" s="2"/>
      <c r="K5105" s="2" t="s">
        <v>13690</v>
      </c>
      <c r="L5105" s="12">
        <v>439.0</v>
      </c>
      <c r="M5105" s="2" t="s">
        <v>13691</v>
      </c>
      <c r="N5105" s="2" t="str">
        <f>IFERROR(__xludf.DUMMYFUNCTION("""COMPUTED_VALUE"""),"")</f>
        <v/>
      </c>
    </row>
    <row r="5106">
      <c r="A5106" s="2" t="s">
        <v>33</v>
      </c>
      <c r="B5106" s="12">
        <v>4945383.0</v>
      </c>
      <c r="C5106" s="12">
        <v>4946603.0</v>
      </c>
      <c r="D5106" s="2"/>
      <c r="E5106" s="2" t="s">
        <v>34</v>
      </c>
      <c r="F5106" s="2" t="s">
        <v>13692</v>
      </c>
      <c r="G5106" s="2" t="s">
        <v>13693</v>
      </c>
      <c r="H5106" s="12">
        <v>0.0</v>
      </c>
      <c r="I5106" s="2" t="s">
        <v>40</v>
      </c>
      <c r="J5106" s="2"/>
      <c r="K5106" s="2" t="s">
        <v>13694</v>
      </c>
      <c r="L5106" s="12">
        <v>406.0</v>
      </c>
      <c r="M5106" s="2" t="s">
        <v>13695</v>
      </c>
      <c r="N5106" s="2" t="str">
        <f>IFERROR(__xludf.DUMMYFUNCTION("""COMPUTED_VALUE"""),"")</f>
        <v/>
      </c>
    </row>
    <row r="5107">
      <c r="A5107" s="2" t="s">
        <v>33</v>
      </c>
      <c r="B5107" s="12">
        <v>4946640.0</v>
      </c>
      <c r="C5107" s="12">
        <v>4947767.0</v>
      </c>
      <c r="D5107" s="2"/>
      <c r="E5107" s="2" t="s">
        <v>34</v>
      </c>
      <c r="F5107" s="2" t="s">
        <v>13696</v>
      </c>
      <c r="G5107" s="2" t="s">
        <v>13697</v>
      </c>
      <c r="H5107" s="12">
        <v>0.0</v>
      </c>
      <c r="I5107" s="2" t="s">
        <v>40</v>
      </c>
      <c r="J5107" s="2"/>
      <c r="K5107" s="2" t="s">
        <v>13698</v>
      </c>
      <c r="L5107" s="12">
        <v>375.0</v>
      </c>
      <c r="M5107" s="2" t="s">
        <v>13699</v>
      </c>
      <c r="N5107" s="2" t="str">
        <f>IFERROR(__xludf.DUMMYFUNCTION("""COMPUTED_VALUE"""),"")</f>
        <v/>
      </c>
    </row>
    <row r="5108">
      <c r="A5108" s="2" t="s">
        <v>33</v>
      </c>
      <c r="B5108" s="12">
        <v>4948143.0</v>
      </c>
      <c r="C5108" s="12">
        <v>4949543.0</v>
      </c>
      <c r="D5108" s="2"/>
      <c r="E5108" s="2" t="s">
        <v>34</v>
      </c>
      <c r="F5108" s="2" t="s">
        <v>13700</v>
      </c>
      <c r="G5108" s="2" t="s">
        <v>13701</v>
      </c>
      <c r="H5108" s="12">
        <v>0.0</v>
      </c>
      <c r="I5108" s="2" t="s">
        <v>40</v>
      </c>
      <c r="J5108" s="2"/>
      <c r="K5108" s="2" t="s">
        <v>13702</v>
      </c>
      <c r="L5108" s="12">
        <v>466.0</v>
      </c>
      <c r="M5108" s="2" t="s">
        <v>13703</v>
      </c>
      <c r="N5108" s="2" t="str">
        <f>IFERROR(__xludf.DUMMYFUNCTION("""COMPUTED_VALUE"""),"")</f>
        <v/>
      </c>
    </row>
    <row r="5109">
      <c r="A5109" s="2" t="s">
        <v>33</v>
      </c>
      <c r="B5109" s="12">
        <v>4950222.0</v>
      </c>
      <c r="C5109" s="12">
        <v>4952627.0</v>
      </c>
      <c r="D5109" s="2"/>
      <c r="E5109" s="2" t="s">
        <v>34</v>
      </c>
      <c r="F5109" s="2" t="s">
        <v>13704</v>
      </c>
      <c r="G5109" s="2"/>
      <c r="H5109" s="12">
        <v>0.0</v>
      </c>
      <c r="I5109" s="2" t="s">
        <v>40</v>
      </c>
      <c r="J5109" s="2"/>
      <c r="K5109" s="2" t="s">
        <v>13705</v>
      </c>
      <c r="L5109" s="12">
        <v>801.0</v>
      </c>
      <c r="M5109" s="2" t="s">
        <v>13706</v>
      </c>
      <c r="N5109" s="2" t="str">
        <f>IFERROR(__xludf.DUMMYFUNCTION("""COMPUTED_VALUE"""),"")</f>
        <v/>
      </c>
    </row>
    <row r="5110">
      <c r="A5110" s="2" t="s">
        <v>33</v>
      </c>
      <c r="B5110" s="12">
        <v>4952988.0</v>
      </c>
      <c r="C5110" s="12">
        <v>4954487.0</v>
      </c>
      <c r="D5110" s="2"/>
      <c r="E5110" s="2" t="s">
        <v>34</v>
      </c>
      <c r="F5110" s="2" t="s">
        <v>5082</v>
      </c>
      <c r="G5110" s="2"/>
      <c r="H5110" s="12">
        <v>0.0</v>
      </c>
      <c r="I5110" s="2" t="s">
        <v>40</v>
      </c>
      <c r="J5110" s="2"/>
      <c r="K5110" s="2" t="s">
        <v>13707</v>
      </c>
      <c r="L5110" s="12">
        <v>499.0</v>
      </c>
      <c r="M5110" s="2" t="s">
        <v>13708</v>
      </c>
      <c r="N5110" s="2" t="str">
        <f>IFERROR(__xludf.DUMMYFUNCTION("""COMPUTED_VALUE"""),"")</f>
        <v/>
      </c>
    </row>
    <row r="5111">
      <c r="A5111" s="2" t="s">
        <v>33</v>
      </c>
      <c r="B5111" s="12">
        <v>4954508.0</v>
      </c>
      <c r="C5111" s="12">
        <v>4955590.0</v>
      </c>
      <c r="D5111" s="2"/>
      <c r="E5111" s="2" t="s">
        <v>34</v>
      </c>
      <c r="F5111" s="2" t="s">
        <v>1681</v>
      </c>
      <c r="G5111" s="2"/>
      <c r="H5111" s="12">
        <v>0.0</v>
      </c>
      <c r="I5111" s="2" t="s">
        <v>40</v>
      </c>
      <c r="J5111" s="2"/>
      <c r="K5111" s="2" t="s">
        <v>13709</v>
      </c>
      <c r="L5111" s="12">
        <v>360.0</v>
      </c>
      <c r="M5111" s="2" t="s">
        <v>13710</v>
      </c>
      <c r="N5111" s="2" t="str">
        <f>IFERROR(__xludf.DUMMYFUNCTION("""COMPUTED_VALUE"""),"")</f>
        <v/>
      </c>
    </row>
    <row r="5112">
      <c r="A5112" s="2" t="s">
        <v>33</v>
      </c>
      <c r="B5112" s="12">
        <v>4955593.0</v>
      </c>
      <c r="C5112" s="12">
        <v>4956672.0</v>
      </c>
      <c r="D5112" s="2"/>
      <c r="E5112" s="2" t="s">
        <v>34</v>
      </c>
      <c r="F5112" s="2" t="s">
        <v>5085</v>
      </c>
      <c r="G5112" s="2"/>
      <c r="H5112" s="12">
        <v>0.0</v>
      </c>
      <c r="I5112" s="2" t="s">
        <v>40</v>
      </c>
      <c r="J5112" s="2"/>
      <c r="K5112" s="2" t="s">
        <v>13711</v>
      </c>
      <c r="L5112" s="12">
        <v>359.0</v>
      </c>
      <c r="M5112" s="2" t="s">
        <v>13712</v>
      </c>
      <c r="N5112" s="2" t="str">
        <f>IFERROR(__xludf.DUMMYFUNCTION("""COMPUTED_VALUE"""),"")</f>
        <v/>
      </c>
    </row>
    <row r="5113">
      <c r="A5113" s="2" t="s">
        <v>33</v>
      </c>
      <c r="B5113" s="12">
        <v>4956820.0</v>
      </c>
      <c r="C5113" s="12">
        <v>4956951.0</v>
      </c>
      <c r="D5113" s="2"/>
      <c r="E5113" s="2" t="s">
        <v>34</v>
      </c>
      <c r="F5113" s="2" t="s">
        <v>35</v>
      </c>
      <c r="G5113" s="2"/>
      <c r="H5113" s="12">
        <v>0.0</v>
      </c>
      <c r="I5113" s="2" t="s">
        <v>36</v>
      </c>
      <c r="J5113" s="2"/>
      <c r="K5113" s="2"/>
      <c r="L5113" s="2"/>
      <c r="M5113" s="2" t="s">
        <v>13713</v>
      </c>
      <c r="N5113" s="2" t="str">
        <f>IFERROR(__xludf.DUMMYFUNCTION("""COMPUTED_VALUE"""),"")</f>
        <v/>
      </c>
    </row>
    <row r="5114">
      <c r="A5114" s="2" t="s">
        <v>33</v>
      </c>
      <c r="B5114" s="12">
        <v>4957077.0</v>
      </c>
      <c r="C5114" s="12">
        <v>4957163.0</v>
      </c>
      <c r="D5114" s="2"/>
      <c r="E5114" s="2" t="s">
        <v>38</v>
      </c>
      <c r="F5114" s="2" t="s">
        <v>35</v>
      </c>
      <c r="G5114" s="2"/>
      <c r="H5114" s="12">
        <v>0.0</v>
      </c>
      <c r="I5114" s="2" t="s">
        <v>36</v>
      </c>
      <c r="J5114" s="2"/>
      <c r="K5114" s="2"/>
      <c r="L5114" s="2"/>
      <c r="M5114" s="2" t="s">
        <v>13714</v>
      </c>
      <c r="N5114" s="2" t="str">
        <f>IFERROR(__xludf.DUMMYFUNCTION("""COMPUTED_VALUE"""),"")</f>
        <v/>
      </c>
    </row>
    <row r="5115">
      <c r="A5115" s="2" t="s">
        <v>33</v>
      </c>
      <c r="B5115" s="12">
        <v>4957267.0</v>
      </c>
      <c r="C5115" s="12">
        <v>4957481.0</v>
      </c>
      <c r="D5115" s="2"/>
      <c r="E5115" s="2" t="s">
        <v>38</v>
      </c>
      <c r="F5115" s="2" t="s">
        <v>35</v>
      </c>
      <c r="G5115" s="2"/>
      <c r="H5115" s="12">
        <v>0.0</v>
      </c>
      <c r="I5115" s="2" t="s">
        <v>36</v>
      </c>
      <c r="J5115" s="2"/>
      <c r="K5115" s="2"/>
      <c r="L5115" s="2"/>
      <c r="M5115" s="2" t="s">
        <v>13715</v>
      </c>
      <c r="N5115" s="2" t="str">
        <f>IFERROR(__xludf.DUMMYFUNCTION("""COMPUTED_VALUE"""),"")</f>
        <v/>
      </c>
    </row>
    <row r="5116">
      <c r="A5116" s="2" t="s">
        <v>33</v>
      </c>
      <c r="B5116" s="12">
        <v>4957539.0</v>
      </c>
      <c r="C5116" s="12">
        <v>4957916.0</v>
      </c>
      <c r="D5116" s="2"/>
      <c r="E5116" s="2" t="s">
        <v>38</v>
      </c>
      <c r="F5116" s="2" t="s">
        <v>13716</v>
      </c>
      <c r="G5116" s="2" t="s">
        <v>13717</v>
      </c>
      <c r="H5116" s="12">
        <v>0.0</v>
      </c>
      <c r="I5116" s="2" t="s">
        <v>40</v>
      </c>
      <c r="J5116" s="2"/>
      <c r="K5116" s="2" t="s">
        <v>13718</v>
      </c>
      <c r="L5116" s="12">
        <v>125.0</v>
      </c>
      <c r="M5116" s="2" t="s">
        <v>13719</v>
      </c>
      <c r="N5116" s="2" t="str">
        <f>IFERROR(__xludf.DUMMYFUNCTION("""COMPUTED_VALUE"""),"")</f>
        <v/>
      </c>
    </row>
    <row r="5117">
      <c r="A5117" s="2" t="s">
        <v>33</v>
      </c>
      <c r="B5117" s="12">
        <v>4958101.0</v>
      </c>
      <c r="C5117" s="12">
        <v>4959105.0</v>
      </c>
      <c r="D5117" s="2"/>
      <c r="E5117" s="2" t="s">
        <v>34</v>
      </c>
      <c r="F5117" s="2" t="s">
        <v>3140</v>
      </c>
      <c r="G5117" s="2" t="s">
        <v>3141</v>
      </c>
      <c r="H5117" s="12">
        <v>0.0</v>
      </c>
      <c r="I5117" s="2" t="s">
        <v>40</v>
      </c>
      <c r="J5117" s="2"/>
      <c r="K5117" s="2" t="s">
        <v>13720</v>
      </c>
      <c r="L5117" s="12">
        <v>334.0</v>
      </c>
      <c r="M5117" s="2" t="s">
        <v>13721</v>
      </c>
      <c r="N5117" s="2" t="str">
        <f>IFERROR(__xludf.DUMMYFUNCTION("""COMPUTED_VALUE"""),"")</f>
        <v/>
      </c>
    </row>
    <row r="5118">
      <c r="A5118" s="2" t="s">
        <v>33</v>
      </c>
      <c r="B5118" s="12">
        <v>4959159.0</v>
      </c>
      <c r="C5118" s="12">
        <v>4960589.0</v>
      </c>
      <c r="D5118" s="2"/>
      <c r="E5118" s="2" t="s">
        <v>34</v>
      </c>
      <c r="F5118" s="2" t="s">
        <v>2411</v>
      </c>
      <c r="G5118" s="2" t="s">
        <v>2412</v>
      </c>
      <c r="H5118" s="12">
        <v>0.0</v>
      </c>
      <c r="I5118" s="2" t="s">
        <v>40</v>
      </c>
      <c r="J5118" s="2"/>
      <c r="K5118" s="2" t="s">
        <v>13722</v>
      </c>
      <c r="L5118" s="12">
        <v>476.0</v>
      </c>
      <c r="M5118" s="2" t="s">
        <v>13723</v>
      </c>
      <c r="N5118" s="2" t="str">
        <f>IFERROR(__xludf.DUMMYFUNCTION("""COMPUTED_VALUE"""),"")</f>
        <v/>
      </c>
    </row>
    <row r="5119">
      <c r="A5119" s="2" t="s">
        <v>33</v>
      </c>
      <c r="B5119" s="12">
        <v>4960960.0</v>
      </c>
      <c r="C5119" s="12">
        <v>4962093.0</v>
      </c>
      <c r="D5119" s="2"/>
      <c r="E5119" s="2" t="s">
        <v>38</v>
      </c>
      <c r="F5119" s="2" t="s">
        <v>13724</v>
      </c>
      <c r="G5119" s="2"/>
      <c r="H5119" s="12">
        <v>0.0</v>
      </c>
      <c r="I5119" s="2" t="s">
        <v>40</v>
      </c>
      <c r="J5119" s="2"/>
      <c r="K5119" s="2" t="s">
        <v>13725</v>
      </c>
      <c r="L5119" s="12">
        <v>377.0</v>
      </c>
      <c r="M5119" s="2" t="s">
        <v>13726</v>
      </c>
      <c r="N5119" s="2" t="str">
        <f>IFERROR(__xludf.DUMMYFUNCTION("""COMPUTED_VALUE"""),"")</f>
        <v/>
      </c>
    </row>
    <row r="5120">
      <c r="A5120" s="2" t="s">
        <v>33</v>
      </c>
      <c r="B5120" s="12">
        <v>4962359.0</v>
      </c>
      <c r="C5120" s="12">
        <v>4962571.0</v>
      </c>
      <c r="D5120" s="2"/>
      <c r="E5120" s="2" t="s">
        <v>34</v>
      </c>
      <c r="F5120" s="2" t="s">
        <v>4851</v>
      </c>
      <c r="G5120" s="2" t="s">
        <v>4852</v>
      </c>
      <c r="H5120" s="12">
        <v>0.0</v>
      </c>
      <c r="I5120" s="2" t="s">
        <v>40</v>
      </c>
      <c r="J5120" s="2"/>
      <c r="K5120" s="2" t="s">
        <v>13727</v>
      </c>
      <c r="L5120" s="12">
        <v>70.0</v>
      </c>
      <c r="M5120" s="2" t="s">
        <v>13728</v>
      </c>
      <c r="N5120" s="2" t="str">
        <f>IFERROR(__xludf.DUMMYFUNCTION("""COMPUTED_VALUE"""),"")</f>
        <v/>
      </c>
    </row>
    <row r="5121">
      <c r="A5121" s="2" t="s">
        <v>33</v>
      </c>
      <c r="B5121" s="12">
        <v>4962866.0</v>
      </c>
      <c r="C5121" s="12">
        <v>4963381.0</v>
      </c>
      <c r="D5121" s="2"/>
      <c r="E5121" s="2" t="s">
        <v>34</v>
      </c>
      <c r="F5121" s="2" t="s">
        <v>13729</v>
      </c>
      <c r="G5121" s="2"/>
      <c r="H5121" s="12">
        <v>0.0</v>
      </c>
      <c r="I5121" s="2" t="s">
        <v>40</v>
      </c>
      <c r="J5121" s="2"/>
      <c r="K5121" s="2" t="s">
        <v>13730</v>
      </c>
      <c r="L5121" s="12">
        <v>171.0</v>
      </c>
      <c r="M5121" s="2" t="s">
        <v>13731</v>
      </c>
      <c r="N5121" s="2" t="str">
        <f>IFERROR(__xludf.DUMMYFUNCTION("""COMPUTED_VALUE"""),"")</f>
        <v/>
      </c>
    </row>
    <row r="5122">
      <c r="A5122" s="2" t="s">
        <v>33</v>
      </c>
      <c r="B5122" s="12">
        <v>4963417.0</v>
      </c>
      <c r="C5122" s="12">
        <v>4963893.0</v>
      </c>
      <c r="D5122" s="2"/>
      <c r="E5122" s="2" t="s">
        <v>38</v>
      </c>
      <c r="F5122" s="2" t="s">
        <v>13732</v>
      </c>
      <c r="G5122" s="2"/>
      <c r="H5122" s="12">
        <v>0.0</v>
      </c>
      <c r="I5122" s="2" t="s">
        <v>40</v>
      </c>
      <c r="J5122" s="2"/>
      <c r="K5122" s="2" t="s">
        <v>13733</v>
      </c>
      <c r="L5122" s="12">
        <v>158.0</v>
      </c>
      <c r="M5122" s="2" t="s">
        <v>13734</v>
      </c>
      <c r="N5122" s="2" t="str">
        <f>IFERROR(__xludf.DUMMYFUNCTION("""COMPUTED_VALUE"""),"")</f>
        <v/>
      </c>
    </row>
    <row r="5123">
      <c r="A5123" s="2" t="s">
        <v>33</v>
      </c>
      <c r="B5123" s="12">
        <v>4964204.0</v>
      </c>
      <c r="C5123" s="12">
        <v>4965061.0</v>
      </c>
      <c r="D5123" s="2"/>
      <c r="E5123" s="2" t="s">
        <v>38</v>
      </c>
      <c r="F5123" s="2" t="s">
        <v>599</v>
      </c>
      <c r="G5123" s="2"/>
      <c r="H5123" s="12">
        <v>0.0</v>
      </c>
      <c r="I5123" s="2" t="s">
        <v>40</v>
      </c>
      <c r="J5123" s="2"/>
      <c r="K5123" s="2" t="s">
        <v>13735</v>
      </c>
      <c r="L5123" s="12">
        <v>285.0</v>
      </c>
      <c r="M5123" s="2" t="s">
        <v>13736</v>
      </c>
      <c r="N5123" s="2" t="str">
        <f>IFERROR(__xludf.DUMMYFUNCTION("""COMPUTED_VALUE"""),"")</f>
        <v/>
      </c>
    </row>
    <row r="5124">
      <c r="A5124" s="2" t="s">
        <v>33</v>
      </c>
      <c r="B5124" s="12">
        <v>4965551.0</v>
      </c>
      <c r="C5124" s="12">
        <v>4968157.0</v>
      </c>
      <c r="D5124" s="2"/>
      <c r="E5124" s="2" t="s">
        <v>34</v>
      </c>
      <c r="F5124" s="2" t="s">
        <v>13737</v>
      </c>
      <c r="G5124" s="2" t="s">
        <v>13738</v>
      </c>
      <c r="H5124" s="12">
        <v>0.0</v>
      </c>
      <c r="I5124" s="2" t="s">
        <v>40</v>
      </c>
      <c r="J5124" s="2"/>
      <c r="K5124" s="2" t="s">
        <v>13739</v>
      </c>
      <c r="L5124" s="12">
        <v>868.0</v>
      </c>
      <c r="M5124" s="2" t="s">
        <v>13740</v>
      </c>
      <c r="N5124" s="2" t="str">
        <f>IFERROR(__xludf.DUMMYFUNCTION("""COMPUTED_VALUE"""),"")</f>
        <v/>
      </c>
    </row>
    <row r="5125">
      <c r="A5125" s="2" t="s">
        <v>33</v>
      </c>
      <c r="B5125" s="12">
        <v>4968400.0</v>
      </c>
      <c r="C5125" s="12">
        <v>4970787.0</v>
      </c>
      <c r="D5125" s="2"/>
      <c r="E5125" s="2" t="s">
        <v>34</v>
      </c>
      <c r="F5125" s="2" t="s">
        <v>13741</v>
      </c>
      <c r="G5125" s="2"/>
      <c r="H5125" s="12">
        <v>0.0</v>
      </c>
      <c r="I5125" s="2" t="s">
        <v>40</v>
      </c>
      <c r="J5125" s="2"/>
      <c r="K5125" s="2" t="s">
        <v>13742</v>
      </c>
      <c r="L5125" s="12">
        <v>795.0</v>
      </c>
      <c r="M5125" s="2" t="s">
        <v>13743</v>
      </c>
      <c r="N5125" s="2" t="str">
        <f>IFERROR(__xludf.DUMMYFUNCTION("""COMPUTED_VALUE"""),"")</f>
        <v/>
      </c>
    </row>
    <row r="5126">
      <c r="A5126" s="2" t="s">
        <v>33</v>
      </c>
      <c r="B5126" s="12">
        <v>4970891.0</v>
      </c>
      <c r="C5126" s="12">
        <v>4971508.0</v>
      </c>
      <c r="D5126" s="2"/>
      <c r="E5126" s="2" t="s">
        <v>38</v>
      </c>
      <c r="F5126" s="2" t="s">
        <v>427</v>
      </c>
      <c r="G5126" s="2"/>
      <c r="H5126" s="12">
        <v>0.0</v>
      </c>
      <c r="I5126" s="2" t="s">
        <v>40</v>
      </c>
      <c r="J5126" s="2"/>
      <c r="K5126" s="2" t="s">
        <v>13744</v>
      </c>
      <c r="L5126" s="12">
        <v>205.0</v>
      </c>
      <c r="M5126" s="2" t="s">
        <v>13745</v>
      </c>
      <c r="N5126" s="2" t="str">
        <f>IFERROR(__xludf.DUMMYFUNCTION("""COMPUTED_VALUE"""),"")</f>
        <v/>
      </c>
    </row>
    <row r="5127">
      <c r="A5127" s="2" t="s">
        <v>33</v>
      </c>
      <c r="B5127" s="12">
        <v>4971680.0</v>
      </c>
      <c r="C5127" s="12">
        <v>4972862.0</v>
      </c>
      <c r="D5127" s="2"/>
      <c r="E5127" s="2" t="s">
        <v>34</v>
      </c>
      <c r="F5127" s="2" t="s">
        <v>35</v>
      </c>
      <c r="G5127" s="2"/>
      <c r="H5127" s="12">
        <v>0.0</v>
      </c>
      <c r="I5127" s="2" t="s">
        <v>36</v>
      </c>
      <c r="J5127" s="2"/>
      <c r="K5127" s="2"/>
      <c r="L5127" s="2"/>
      <c r="M5127" s="2" t="s">
        <v>13746</v>
      </c>
      <c r="N5127" s="2" t="str">
        <f>IFERROR(__xludf.DUMMYFUNCTION("""COMPUTED_VALUE"""),"")</f>
        <v/>
      </c>
    </row>
    <row r="5128">
      <c r="A5128" s="2" t="s">
        <v>33</v>
      </c>
      <c r="B5128" s="12">
        <v>4972968.0</v>
      </c>
      <c r="C5128" s="12">
        <v>4973474.0</v>
      </c>
      <c r="D5128" s="2"/>
      <c r="E5128" s="2" t="s">
        <v>38</v>
      </c>
      <c r="F5128" s="2" t="s">
        <v>367</v>
      </c>
      <c r="G5128" s="2"/>
      <c r="H5128" s="12">
        <v>0.0</v>
      </c>
      <c r="I5128" s="2" t="s">
        <v>40</v>
      </c>
      <c r="J5128" s="2"/>
      <c r="K5128" s="2" t="s">
        <v>13747</v>
      </c>
      <c r="L5128" s="12">
        <v>168.0</v>
      </c>
      <c r="M5128" s="2" t="s">
        <v>13748</v>
      </c>
      <c r="N5128" s="2" t="str">
        <f>IFERROR(__xludf.DUMMYFUNCTION("""COMPUTED_VALUE"""),"")</f>
        <v/>
      </c>
    </row>
    <row r="5129">
      <c r="A5129" s="2" t="s">
        <v>33</v>
      </c>
      <c r="B5129" s="12">
        <v>4973784.0</v>
      </c>
      <c r="C5129" s="12">
        <v>4974218.0</v>
      </c>
      <c r="D5129" s="2"/>
      <c r="E5129" s="2" t="s">
        <v>34</v>
      </c>
      <c r="F5129" s="2" t="s">
        <v>4518</v>
      </c>
      <c r="G5129" s="2"/>
      <c r="H5129" s="12">
        <v>0.0</v>
      </c>
      <c r="I5129" s="2" t="s">
        <v>40</v>
      </c>
      <c r="J5129" s="2"/>
      <c r="K5129" s="2" t="s">
        <v>13749</v>
      </c>
      <c r="L5129" s="12">
        <v>144.0</v>
      </c>
      <c r="M5129" s="2" t="s">
        <v>13750</v>
      </c>
      <c r="N5129" s="2" t="str">
        <f>IFERROR(__xludf.DUMMYFUNCTION("""COMPUTED_VALUE"""),"")</f>
        <v/>
      </c>
    </row>
    <row r="5130">
      <c r="A5130" s="2" t="s">
        <v>33</v>
      </c>
      <c r="B5130" s="12">
        <v>4974435.0</v>
      </c>
      <c r="C5130" s="12">
        <v>4974899.0</v>
      </c>
      <c r="D5130" s="2"/>
      <c r="E5130" s="2" t="s">
        <v>34</v>
      </c>
      <c r="F5130" s="2" t="s">
        <v>13751</v>
      </c>
      <c r="G5130" s="2"/>
      <c r="H5130" s="12">
        <v>0.0</v>
      </c>
      <c r="I5130" s="2" t="s">
        <v>40</v>
      </c>
      <c r="J5130" s="2"/>
      <c r="K5130" s="2" t="s">
        <v>13752</v>
      </c>
      <c r="L5130" s="12">
        <v>154.0</v>
      </c>
      <c r="M5130" s="2" t="s">
        <v>13753</v>
      </c>
      <c r="N5130" s="2" t="str">
        <f>IFERROR(__xludf.DUMMYFUNCTION("""COMPUTED_VALUE"""),"")</f>
        <v/>
      </c>
    </row>
    <row r="5131">
      <c r="A5131" s="2" t="s">
        <v>33</v>
      </c>
      <c r="B5131" s="12">
        <v>4974923.0</v>
      </c>
      <c r="C5131" s="12">
        <v>4975438.0</v>
      </c>
      <c r="D5131" s="2"/>
      <c r="E5131" s="2" t="s">
        <v>34</v>
      </c>
      <c r="F5131" s="2" t="s">
        <v>367</v>
      </c>
      <c r="G5131" s="2"/>
      <c r="H5131" s="12">
        <v>0.0</v>
      </c>
      <c r="I5131" s="2" t="s">
        <v>40</v>
      </c>
      <c r="J5131" s="2"/>
      <c r="K5131" s="2" t="s">
        <v>13754</v>
      </c>
      <c r="L5131" s="12">
        <v>171.0</v>
      </c>
      <c r="M5131" s="2" t="s">
        <v>13755</v>
      </c>
      <c r="N5131" s="2" t="str">
        <f>IFERROR(__xludf.DUMMYFUNCTION("""COMPUTED_VALUE"""),"")</f>
        <v/>
      </c>
    </row>
    <row r="5132">
      <c r="A5132" s="2" t="s">
        <v>33</v>
      </c>
      <c r="B5132" s="12">
        <v>4975439.0</v>
      </c>
      <c r="C5132" s="12">
        <v>4976317.0</v>
      </c>
      <c r="D5132" s="2"/>
      <c r="E5132" s="2" t="s">
        <v>34</v>
      </c>
      <c r="F5132" s="2" t="s">
        <v>322</v>
      </c>
      <c r="G5132" s="2"/>
      <c r="H5132" s="12">
        <v>0.0</v>
      </c>
      <c r="I5132" s="2" t="s">
        <v>40</v>
      </c>
      <c r="J5132" s="2"/>
      <c r="K5132" s="2" t="s">
        <v>13756</v>
      </c>
      <c r="L5132" s="12">
        <v>292.0</v>
      </c>
      <c r="M5132" s="2" t="s">
        <v>13757</v>
      </c>
      <c r="N5132" s="2" t="str">
        <f>IFERROR(__xludf.DUMMYFUNCTION("""COMPUTED_VALUE"""),"")</f>
        <v/>
      </c>
    </row>
    <row r="5133">
      <c r="A5133" s="2" t="s">
        <v>33</v>
      </c>
      <c r="B5133" s="12">
        <v>4976429.0</v>
      </c>
      <c r="C5133" s="12">
        <v>4977757.0</v>
      </c>
      <c r="D5133" s="2"/>
      <c r="E5133" s="2" t="s">
        <v>34</v>
      </c>
      <c r="F5133" s="2" t="s">
        <v>13758</v>
      </c>
      <c r="G5133" s="2"/>
      <c r="H5133" s="12">
        <v>0.0</v>
      </c>
      <c r="I5133" s="2" t="s">
        <v>40</v>
      </c>
      <c r="J5133" s="2"/>
      <c r="K5133" s="2" t="s">
        <v>13759</v>
      </c>
      <c r="L5133" s="12">
        <v>442.0</v>
      </c>
      <c r="M5133" s="2" t="s">
        <v>13760</v>
      </c>
      <c r="N5133" s="2" t="str">
        <f>IFERROR(__xludf.DUMMYFUNCTION("""COMPUTED_VALUE"""),"")</f>
        <v/>
      </c>
    </row>
    <row r="5134">
      <c r="A5134" s="2" t="s">
        <v>33</v>
      </c>
      <c r="B5134" s="12">
        <v>4978149.0</v>
      </c>
      <c r="C5134" s="12">
        <v>4978736.0</v>
      </c>
      <c r="D5134" s="2"/>
      <c r="E5134" s="2" t="s">
        <v>34</v>
      </c>
      <c r="F5134" s="2" t="s">
        <v>367</v>
      </c>
      <c r="G5134" s="2"/>
      <c r="H5134" s="12">
        <v>0.0</v>
      </c>
      <c r="I5134" s="2" t="s">
        <v>40</v>
      </c>
      <c r="J5134" s="2"/>
      <c r="K5134" s="2" t="s">
        <v>13761</v>
      </c>
      <c r="L5134" s="12">
        <v>195.0</v>
      </c>
      <c r="M5134" s="2" t="s">
        <v>13762</v>
      </c>
      <c r="N5134" s="2" t="str">
        <f>IFERROR(__xludf.DUMMYFUNCTION("""COMPUTED_VALUE"""),"")</f>
        <v/>
      </c>
    </row>
    <row r="5135">
      <c r="A5135" s="2" t="s">
        <v>33</v>
      </c>
      <c r="B5135" s="12">
        <v>4979066.0</v>
      </c>
      <c r="C5135" s="12">
        <v>4979698.0</v>
      </c>
      <c r="D5135" s="2"/>
      <c r="E5135" s="2" t="s">
        <v>34</v>
      </c>
      <c r="F5135" s="2" t="s">
        <v>1046</v>
      </c>
      <c r="G5135" s="2"/>
      <c r="H5135" s="12">
        <v>0.0</v>
      </c>
      <c r="I5135" s="2" t="s">
        <v>40</v>
      </c>
      <c r="J5135" s="2"/>
      <c r="K5135" s="2" t="s">
        <v>13763</v>
      </c>
      <c r="L5135" s="12">
        <v>210.0</v>
      </c>
      <c r="M5135" s="2" t="s">
        <v>13764</v>
      </c>
      <c r="N5135" s="2" t="str">
        <f>IFERROR(__xludf.DUMMYFUNCTION("""COMPUTED_VALUE"""),"")</f>
        <v/>
      </c>
    </row>
    <row r="5136">
      <c r="A5136" s="2" t="s">
        <v>33</v>
      </c>
      <c r="B5136" s="12">
        <v>4979853.0</v>
      </c>
      <c r="C5136" s="12">
        <v>4981001.0</v>
      </c>
      <c r="D5136" s="2"/>
      <c r="E5136" s="2" t="s">
        <v>34</v>
      </c>
      <c r="F5136" s="2" t="s">
        <v>888</v>
      </c>
      <c r="G5136" s="2"/>
      <c r="H5136" s="12">
        <v>0.0</v>
      </c>
      <c r="I5136" s="2" t="s">
        <v>40</v>
      </c>
      <c r="J5136" s="2"/>
      <c r="K5136" s="2" t="s">
        <v>13765</v>
      </c>
      <c r="L5136" s="12">
        <v>382.0</v>
      </c>
      <c r="M5136" s="2" t="s">
        <v>13766</v>
      </c>
      <c r="N5136" s="2" t="str">
        <f>IFERROR(__xludf.DUMMYFUNCTION("""COMPUTED_VALUE"""),"")</f>
        <v/>
      </c>
    </row>
    <row r="5137">
      <c r="A5137" s="2" t="s">
        <v>33</v>
      </c>
      <c r="B5137" s="12">
        <v>4981217.0</v>
      </c>
      <c r="C5137" s="12">
        <v>4981687.0</v>
      </c>
      <c r="D5137" s="2"/>
      <c r="E5137" s="2" t="s">
        <v>38</v>
      </c>
      <c r="F5137" s="2" t="s">
        <v>817</v>
      </c>
      <c r="G5137" s="2"/>
      <c r="H5137" s="12">
        <v>0.0</v>
      </c>
      <c r="I5137" s="2" t="s">
        <v>40</v>
      </c>
      <c r="J5137" s="2"/>
      <c r="K5137" s="2" t="s">
        <v>13767</v>
      </c>
      <c r="L5137" s="12">
        <v>156.0</v>
      </c>
      <c r="M5137" s="2" t="s">
        <v>13768</v>
      </c>
      <c r="N5137" s="2" t="str">
        <f>IFERROR(__xludf.DUMMYFUNCTION("""COMPUTED_VALUE"""),"")</f>
        <v/>
      </c>
    </row>
    <row r="5138">
      <c r="A5138" s="2" t="s">
        <v>33</v>
      </c>
      <c r="B5138" s="12">
        <v>4981757.0</v>
      </c>
      <c r="C5138" s="12">
        <v>4982464.0</v>
      </c>
      <c r="D5138" s="2"/>
      <c r="E5138" s="2" t="s">
        <v>34</v>
      </c>
      <c r="F5138" s="2" t="s">
        <v>220</v>
      </c>
      <c r="G5138" s="2"/>
      <c r="H5138" s="12">
        <v>0.0</v>
      </c>
      <c r="I5138" s="2" t="s">
        <v>40</v>
      </c>
      <c r="J5138" s="2"/>
      <c r="K5138" s="2" t="s">
        <v>13769</v>
      </c>
      <c r="L5138" s="12">
        <v>235.0</v>
      </c>
      <c r="M5138" s="2" t="s">
        <v>13770</v>
      </c>
      <c r="N5138" s="2" t="str">
        <f>IFERROR(__xludf.DUMMYFUNCTION("""COMPUTED_VALUE"""),"")</f>
        <v/>
      </c>
    </row>
    <row r="5139">
      <c r="A5139" s="2" t="s">
        <v>33</v>
      </c>
      <c r="B5139" s="12">
        <v>4982663.0</v>
      </c>
      <c r="C5139" s="12">
        <v>4983340.0</v>
      </c>
      <c r="D5139" s="2"/>
      <c r="E5139" s="2" t="s">
        <v>34</v>
      </c>
      <c r="F5139" s="2" t="s">
        <v>13771</v>
      </c>
      <c r="G5139" s="2"/>
      <c r="H5139" s="12">
        <v>0.0</v>
      </c>
      <c r="I5139" s="2" t="s">
        <v>40</v>
      </c>
      <c r="J5139" s="2"/>
      <c r="K5139" s="2" t="s">
        <v>13772</v>
      </c>
      <c r="L5139" s="12">
        <v>225.0</v>
      </c>
      <c r="M5139" s="2" t="s">
        <v>13773</v>
      </c>
      <c r="N5139" s="2" t="str">
        <f>IFERROR(__xludf.DUMMYFUNCTION("""COMPUTED_VALUE"""),"")</f>
        <v/>
      </c>
    </row>
    <row r="5140">
      <c r="A5140" s="2" t="s">
        <v>33</v>
      </c>
      <c r="B5140" s="12">
        <v>4983364.0</v>
      </c>
      <c r="C5140" s="12">
        <v>4983915.0</v>
      </c>
      <c r="D5140" s="2"/>
      <c r="E5140" s="2" t="s">
        <v>34</v>
      </c>
      <c r="F5140" s="2" t="s">
        <v>4164</v>
      </c>
      <c r="G5140" s="2" t="s">
        <v>61</v>
      </c>
      <c r="H5140" s="12">
        <v>0.0</v>
      </c>
      <c r="I5140" s="2" t="s">
        <v>40</v>
      </c>
      <c r="J5140" s="2"/>
      <c r="K5140" s="2" t="s">
        <v>13774</v>
      </c>
      <c r="L5140" s="12">
        <v>183.0</v>
      </c>
      <c r="M5140" s="2" t="s">
        <v>13775</v>
      </c>
      <c r="N5140" s="2" t="str">
        <f>IFERROR(__xludf.DUMMYFUNCTION("""COMPUTED_VALUE"""),"")</f>
        <v/>
      </c>
    </row>
    <row r="5141">
      <c r="A5141" s="2" t="s">
        <v>33</v>
      </c>
      <c r="B5141" s="12">
        <v>4984071.0</v>
      </c>
      <c r="C5141" s="12">
        <v>4984823.0</v>
      </c>
      <c r="D5141" s="2"/>
      <c r="E5141" s="2" t="s">
        <v>34</v>
      </c>
      <c r="F5141" s="2" t="s">
        <v>13776</v>
      </c>
      <c r="G5141" s="2"/>
      <c r="H5141" s="12">
        <v>0.0</v>
      </c>
      <c r="I5141" s="2" t="s">
        <v>40</v>
      </c>
      <c r="J5141" s="2"/>
      <c r="K5141" s="2" t="s">
        <v>13777</v>
      </c>
      <c r="L5141" s="12">
        <v>250.0</v>
      </c>
      <c r="M5141" s="2" t="s">
        <v>13778</v>
      </c>
      <c r="N5141" s="2" t="str">
        <f>IFERROR(__xludf.DUMMYFUNCTION("""COMPUTED_VALUE"""),"")</f>
        <v/>
      </c>
    </row>
    <row r="5142">
      <c r="A5142" s="2" t="s">
        <v>33</v>
      </c>
      <c r="B5142" s="12">
        <v>4984838.0</v>
      </c>
      <c r="C5142" s="12">
        <v>4985551.0</v>
      </c>
      <c r="D5142" s="2"/>
      <c r="E5142" s="2" t="s">
        <v>34</v>
      </c>
      <c r="F5142" s="2" t="s">
        <v>13779</v>
      </c>
      <c r="G5142" s="2" t="s">
        <v>13780</v>
      </c>
      <c r="H5142" s="12">
        <v>0.0</v>
      </c>
      <c r="I5142" s="2" t="s">
        <v>40</v>
      </c>
      <c r="J5142" s="2"/>
      <c r="K5142" s="2" t="s">
        <v>13781</v>
      </c>
      <c r="L5142" s="12">
        <v>237.0</v>
      </c>
      <c r="M5142" s="2" t="s">
        <v>13782</v>
      </c>
      <c r="N5142" s="2" t="str">
        <f>IFERROR(__xludf.DUMMYFUNCTION("""COMPUTED_VALUE"""),"")</f>
        <v/>
      </c>
    </row>
    <row r="5143">
      <c r="A5143" s="2" t="s">
        <v>33</v>
      </c>
      <c r="B5143" s="12">
        <v>4985542.0</v>
      </c>
      <c r="C5143" s="12">
        <v>4986531.0</v>
      </c>
      <c r="D5143" s="2"/>
      <c r="E5143" s="2" t="s">
        <v>34</v>
      </c>
      <c r="F5143" s="2" t="s">
        <v>13783</v>
      </c>
      <c r="G5143" s="2"/>
      <c r="H5143" s="12">
        <v>0.0</v>
      </c>
      <c r="I5143" s="2" t="s">
        <v>40</v>
      </c>
      <c r="J5143" s="2"/>
      <c r="K5143" s="2" t="s">
        <v>13784</v>
      </c>
      <c r="L5143" s="12">
        <v>329.0</v>
      </c>
      <c r="M5143" s="2" t="s">
        <v>13785</v>
      </c>
      <c r="N5143" s="2" t="str">
        <f>IFERROR(__xludf.DUMMYFUNCTION("""COMPUTED_VALUE"""),"")</f>
        <v/>
      </c>
    </row>
    <row r="5144">
      <c r="A5144" s="2" t="s">
        <v>33</v>
      </c>
      <c r="B5144" s="12">
        <v>4986550.0</v>
      </c>
      <c r="C5144" s="12">
        <v>4987311.0</v>
      </c>
      <c r="D5144" s="2"/>
      <c r="E5144" s="2" t="s">
        <v>34</v>
      </c>
      <c r="F5144" s="2" t="s">
        <v>13786</v>
      </c>
      <c r="G5144" s="2" t="s">
        <v>13787</v>
      </c>
      <c r="H5144" s="12">
        <v>0.0</v>
      </c>
      <c r="I5144" s="2" t="s">
        <v>40</v>
      </c>
      <c r="J5144" s="2"/>
      <c r="K5144" s="2" t="s">
        <v>13788</v>
      </c>
      <c r="L5144" s="12">
        <v>253.0</v>
      </c>
      <c r="M5144" s="2" t="s">
        <v>13789</v>
      </c>
      <c r="N5144" s="2" t="str">
        <f>IFERROR(__xludf.DUMMYFUNCTION("""COMPUTED_VALUE"""),"")</f>
        <v/>
      </c>
    </row>
    <row r="5145">
      <c r="A5145" s="2" t="s">
        <v>33</v>
      </c>
      <c r="B5145" s="12">
        <v>4987334.0</v>
      </c>
      <c r="C5145" s="12">
        <v>4988029.0</v>
      </c>
      <c r="D5145" s="2"/>
      <c r="E5145" s="2" t="s">
        <v>34</v>
      </c>
      <c r="F5145" s="2" t="s">
        <v>13790</v>
      </c>
      <c r="G5145" s="2"/>
      <c r="H5145" s="12">
        <v>0.0</v>
      </c>
      <c r="I5145" s="2" t="s">
        <v>40</v>
      </c>
      <c r="J5145" s="2"/>
      <c r="K5145" s="2" t="s">
        <v>13791</v>
      </c>
      <c r="L5145" s="12">
        <v>231.0</v>
      </c>
      <c r="M5145" s="2" t="s">
        <v>13792</v>
      </c>
      <c r="N5145" s="2" t="str">
        <f>IFERROR(__xludf.DUMMYFUNCTION("""COMPUTED_VALUE"""),"")</f>
        <v/>
      </c>
    </row>
    <row r="5146">
      <c r="A5146" s="2" t="s">
        <v>33</v>
      </c>
      <c r="B5146" s="12">
        <v>4988031.0</v>
      </c>
      <c r="C5146" s="12">
        <v>4988993.0</v>
      </c>
      <c r="D5146" s="2"/>
      <c r="E5146" s="2" t="s">
        <v>34</v>
      </c>
      <c r="F5146" s="2" t="s">
        <v>13793</v>
      </c>
      <c r="G5146" s="2"/>
      <c r="H5146" s="12">
        <v>0.0</v>
      </c>
      <c r="I5146" s="2" t="s">
        <v>40</v>
      </c>
      <c r="J5146" s="2"/>
      <c r="K5146" s="2" t="s">
        <v>13794</v>
      </c>
      <c r="L5146" s="12">
        <v>320.0</v>
      </c>
      <c r="M5146" s="2" t="s">
        <v>13795</v>
      </c>
      <c r="N5146" s="2" t="str">
        <f>IFERROR(__xludf.DUMMYFUNCTION("""COMPUTED_VALUE"""),"")</f>
        <v/>
      </c>
    </row>
    <row r="5147">
      <c r="A5147" s="2" t="s">
        <v>33</v>
      </c>
      <c r="B5147" s="12">
        <v>4989010.0</v>
      </c>
      <c r="C5147" s="12">
        <v>4989657.0</v>
      </c>
      <c r="D5147" s="2"/>
      <c r="E5147" s="2" t="s">
        <v>34</v>
      </c>
      <c r="F5147" s="2" t="s">
        <v>13796</v>
      </c>
      <c r="G5147" s="2" t="s">
        <v>13797</v>
      </c>
      <c r="H5147" s="12">
        <v>0.0</v>
      </c>
      <c r="I5147" s="2" t="s">
        <v>40</v>
      </c>
      <c r="J5147" s="2"/>
      <c r="K5147" s="2" t="s">
        <v>13798</v>
      </c>
      <c r="L5147" s="12">
        <v>215.0</v>
      </c>
      <c r="M5147" s="2" t="s">
        <v>13799</v>
      </c>
      <c r="N5147" s="2" t="str">
        <f>IFERROR(__xludf.DUMMYFUNCTION("""COMPUTED_VALUE"""),"")</f>
        <v/>
      </c>
    </row>
    <row r="5148">
      <c r="A5148" s="2" t="s">
        <v>33</v>
      </c>
      <c r="B5148" s="12">
        <v>4989733.0</v>
      </c>
      <c r="C5148" s="12">
        <v>4990461.0</v>
      </c>
      <c r="D5148" s="2"/>
      <c r="E5148" s="2" t="s">
        <v>34</v>
      </c>
      <c r="F5148" s="2" t="s">
        <v>13800</v>
      </c>
      <c r="G5148" s="2"/>
      <c r="H5148" s="12">
        <v>0.0</v>
      </c>
      <c r="I5148" s="2" t="s">
        <v>40</v>
      </c>
      <c r="J5148" s="2"/>
      <c r="K5148" s="2" t="s">
        <v>13801</v>
      </c>
      <c r="L5148" s="12">
        <v>242.0</v>
      </c>
      <c r="M5148" s="2" t="s">
        <v>13802</v>
      </c>
      <c r="N5148" s="2" t="str">
        <f>IFERROR(__xludf.DUMMYFUNCTION("""COMPUTED_VALUE"""),"")</f>
        <v/>
      </c>
    </row>
    <row r="5149">
      <c r="A5149" s="2" t="s">
        <v>33</v>
      </c>
      <c r="B5149" s="12">
        <v>4990786.0</v>
      </c>
      <c r="C5149" s="12">
        <v>4992939.0</v>
      </c>
      <c r="D5149" s="2"/>
      <c r="E5149" s="2" t="s">
        <v>34</v>
      </c>
      <c r="F5149" s="2" t="s">
        <v>63</v>
      </c>
      <c r="G5149" s="2"/>
      <c r="H5149" s="12">
        <v>0.0</v>
      </c>
      <c r="I5149" s="2" t="s">
        <v>40</v>
      </c>
      <c r="J5149" s="2"/>
      <c r="K5149" s="2" t="s">
        <v>13803</v>
      </c>
      <c r="L5149" s="12">
        <v>717.0</v>
      </c>
      <c r="M5149" s="2" t="s">
        <v>13804</v>
      </c>
      <c r="N5149" s="2" t="str">
        <f>IFERROR(__xludf.DUMMYFUNCTION("""COMPUTED_VALUE"""),"")</f>
        <v/>
      </c>
    </row>
    <row r="5150">
      <c r="A5150" s="2" t="s">
        <v>33</v>
      </c>
      <c r="B5150" s="12">
        <v>4993021.0</v>
      </c>
      <c r="C5150" s="12">
        <v>4993542.0</v>
      </c>
      <c r="D5150" s="2"/>
      <c r="E5150" s="2" t="s">
        <v>34</v>
      </c>
      <c r="F5150" s="2" t="s">
        <v>4164</v>
      </c>
      <c r="G5150" s="2" t="s">
        <v>61</v>
      </c>
      <c r="H5150" s="12">
        <v>0.0</v>
      </c>
      <c r="I5150" s="2" t="s">
        <v>40</v>
      </c>
      <c r="J5150" s="2"/>
      <c r="K5150" s="2" t="s">
        <v>13805</v>
      </c>
      <c r="L5150" s="12">
        <v>173.0</v>
      </c>
      <c r="M5150" s="2" t="s">
        <v>13806</v>
      </c>
      <c r="N5150" s="2" t="str">
        <f>IFERROR(__xludf.DUMMYFUNCTION("""COMPUTED_VALUE"""),"")</f>
        <v/>
      </c>
    </row>
    <row r="5151">
      <c r="A5151" s="2" t="s">
        <v>33</v>
      </c>
      <c r="B5151" s="12">
        <v>4993577.0</v>
      </c>
      <c r="C5151" s="12">
        <v>4994200.0</v>
      </c>
      <c r="D5151" s="2"/>
      <c r="E5151" s="2" t="s">
        <v>38</v>
      </c>
      <c r="F5151" s="2" t="s">
        <v>13807</v>
      </c>
      <c r="G5151" s="2"/>
      <c r="H5151" s="12">
        <v>0.0</v>
      </c>
      <c r="I5151" s="2" t="s">
        <v>40</v>
      </c>
      <c r="J5151" s="2"/>
      <c r="K5151" s="2" t="s">
        <v>13808</v>
      </c>
      <c r="L5151" s="12">
        <v>207.0</v>
      </c>
      <c r="M5151" s="2" t="s">
        <v>13809</v>
      </c>
      <c r="N5151" s="2" t="str">
        <f>IFERROR(__xludf.DUMMYFUNCTION("""COMPUTED_VALUE"""),"")</f>
        <v/>
      </c>
    </row>
    <row r="5152">
      <c r="A5152" s="2" t="s">
        <v>33</v>
      </c>
      <c r="B5152" s="12">
        <v>4994359.0</v>
      </c>
      <c r="C5152" s="12">
        <v>4994883.0</v>
      </c>
      <c r="D5152" s="2"/>
      <c r="E5152" s="2" t="s">
        <v>34</v>
      </c>
      <c r="F5152" s="2" t="s">
        <v>2375</v>
      </c>
      <c r="G5152" s="2"/>
      <c r="H5152" s="12">
        <v>0.0</v>
      </c>
      <c r="I5152" s="2" t="s">
        <v>40</v>
      </c>
      <c r="J5152" s="2"/>
      <c r="K5152" s="2" t="s">
        <v>13810</v>
      </c>
      <c r="L5152" s="12">
        <v>174.0</v>
      </c>
      <c r="M5152" s="2" t="s">
        <v>13811</v>
      </c>
      <c r="N5152" s="2" t="str">
        <f>IFERROR(__xludf.DUMMYFUNCTION("""COMPUTED_VALUE"""),"")</f>
        <v/>
      </c>
    </row>
    <row r="5153">
      <c r="A5153" s="2" t="s">
        <v>33</v>
      </c>
      <c r="B5153" s="12">
        <v>4995064.0</v>
      </c>
      <c r="C5153" s="12">
        <v>4995825.0</v>
      </c>
      <c r="D5153" s="2"/>
      <c r="E5153" s="2" t="s">
        <v>38</v>
      </c>
      <c r="F5153" s="2" t="s">
        <v>289</v>
      </c>
      <c r="G5153" s="2"/>
      <c r="H5153" s="12">
        <v>0.0</v>
      </c>
      <c r="I5153" s="2" t="s">
        <v>40</v>
      </c>
      <c r="J5153" s="2"/>
      <c r="K5153" s="2" t="s">
        <v>13812</v>
      </c>
      <c r="L5153" s="12">
        <v>253.0</v>
      </c>
      <c r="M5153" s="2" t="s">
        <v>13813</v>
      </c>
      <c r="N5153" s="2" t="str">
        <f>IFERROR(__xludf.DUMMYFUNCTION("""COMPUTED_VALUE"""),"")</f>
        <v/>
      </c>
    </row>
    <row r="5154">
      <c r="A5154" s="2" t="s">
        <v>33</v>
      </c>
      <c r="B5154" s="12">
        <v>4996137.0</v>
      </c>
      <c r="C5154" s="12">
        <v>4996418.0</v>
      </c>
      <c r="D5154" s="2"/>
      <c r="E5154" s="2" t="s">
        <v>34</v>
      </c>
      <c r="F5154" s="2" t="s">
        <v>39</v>
      </c>
      <c r="G5154" s="2"/>
      <c r="H5154" s="12">
        <v>0.0</v>
      </c>
      <c r="I5154" s="2" t="s">
        <v>40</v>
      </c>
      <c r="J5154" s="2"/>
      <c r="K5154" s="2" t="s">
        <v>13814</v>
      </c>
      <c r="L5154" s="12">
        <v>93.0</v>
      </c>
      <c r="M5154" s="2" t="s">
        <v>13815</v>
      </c>
      <c r="N5154" s="2" t="str">
        <f>IFERROR(__xludf.DUMMYFUNCTION("""COMPUTED_VALUE"""),"")</f>
        <v/>
      </c>
    </row>
    <row r="5155">
      <c r="A5155" s="2" t="s">
        <v>33</v>
      </c>
      <c r="B5155" s="12">
        <v>4996633.0</v>
      </c>
      <c r="C5155" s="12">
        <v>4997613.0</v>
      </c>
      <c r="D5155" s="2"/>
      <c r="E5155" s="2" t="s">
        <v>34</v>
      </c>
      <c r="F5155" s="2" t="s">
        <v>39</v>
      </c>
      <c r="G5155" s="2"/>
      <c r="H5155" s="12">
        <v>0.0</v>
      </c>
      <c r="I5155" s="2" t="s">
        <v>40</v>
      </c>
      <c r="J5155" s="2"/>
      <c r="K5155" s="2" t="s">
        <v>13816</v>
      </c>
      <c r="L5155" s="12">
        <v>326.0</v>
      </c>
      <c r="M5155" s="2" t="s">
        <v>13817</v>
      </c>
      <c r="N5155" s="2" t="str">
        <f>IFERROR(__xludf.DUMMYFUNCTION("""COMPUTED_VALUE"""),"")</f>
        <v/>
      </c>
    </row>
    <row r="5156">
      <c r="A5156" s="2" t="s">
        <v>33</v>
      </c>
      <c r="B5156" s="12">
        <v>4997723.0</v>
      </c>
      <c r="C5156" s="12">
        <v>4998493.0</v>
      </c>
      <c r="D5156" s="2"/>
      <c r="E5156" s="2" t="s">
        <v>38</v>
      </c>
      <c r="F5156" s="2" t="s">
        <v>8766</v>
      </c>
      <c r="G5156" s="2"/>
      <c r="H5156" s="12">
        <v>0.0</v>
      </c>
      <c r="I5156" s="2" t="s">
        <v>40</v>
      </c>
      <c r="J5156" s="2"/>
      <c r="K5156" s="2" t="s">
        <v>13818</v>
      </c>
      <c r="L5156" s="12">
        <v>256.0</v>
      </c>
      <c r="M5156" s="2" t="s">
        <v>13819</v>
      </c>
      <c r="N5156" s="2" t="str">
        <f>IFERROR(__xludf.DUMMYFUNCTION("""COMPUTED_VALUE"""),"")</f>
        <v/>
      </c>
    </row>
    <row r="5157">
      <c r="A5157" s="2" t="s">
        <v>33</v>
      </c>
      <c r="B5157" s="12">
        <v>4998527.0</v>
      </c>
      <c r="C5157" s="12">
        <v>4998832.0</v>
      </c>
      <c r="D5157" s="2"/>
      <c r="E5157" s="2" t="s">
        <v>38</v>
      </c>
      <c r="F5157" s="2" t="s">
        <v>9112</v>
      </c>
      <c r="G5157" s="2"/>
      <c r="H5157" s="12">
        <v>0.0</v>
      </c>
      <c r="I5157" s="2" t="s">
        <v>40</v>
      </c>
      <c r="J5157" s="2"/>
      <c r="K5157" s="2" t="s">
        <v>13820</v>
      </c>
      <c r="L5157" s="12">
        <v>101.0</v>
      </c>
      <c r="M5157" s="2" t="s">
        <v>13821</v>
      </c>
      <c r="N5157" s="2" t="str">
        <f>IFERROR(__xludf.DUMMYFUNCTION("""COMPUTED_VALUE"""),"")</f>
        <v/>
      </c>
    </row>
    <row r="5158">
      <c r="A5158" s="2" t="s">
        <v>33</v>
      </c>
      <c r="B5158" s="12">
        <v>4998946.0</v>
      </c>
      <c r="C5158" s="12">
        <v>5000412.0</v>
      </c>
      <c r="D5158" s="2"/>
      <c r="E5158" s="2" t="s">
        <v>38</v>
      </c>
      <c r="F5158" s="2" t="s">
        <v>4879</v>
      </c>
      <c r="G5158" s="2"/>
      <c r="H5158" s="12">
        <v>0.0</v>
      </c>
      <c r="I5158" s="2" t="s">
        <v>40</v>
      </c>
      <c r="J5158" s="2"/>
      <c r="K5158" s="2" t="s">
        <v>13822</v>
      </c>
      <c r="L5158" s="12">
        <v>488.0</v>
      </c>
      <c r="M5158" s="2" t="s">
        <v>13823</v>
      </c>
      <c r="N5158" s="2" t="str">
        <f>IFERROR(__xludf.DUMMYFUNCTION("""COMPUTED_VALUE"""),"")</f>
        <v/>
      </c>
    </row>
    <row r="5159">
      <c r="A5159" s="2" t="s">
        <v>33</v>
      </c>
      <c r="B5159" s="12">
        <v>5001038.0</v>
      </c>
      <c r="C5159" s="12">
        <v>5001487.0</v>
      </c>
      <c r="D5159" s="2"/>
      <c r="E5159" s="2" t="s">
        <v>34</v>
      </c>
      <c r="F5159" s="2" t="s">
        <v>367</v>
      </c>
      <c r="G5159" s="2"/>
      <c r="H5159" s="12">
        <v>0.0</v>
      </c>
      <c r="I5159" s="2" t="s">
        <v>40</v>
      </c>
      <c r="J5159" s="2"/>
      <c r="K5159" s="2" t="s">
        <v>13824</v>
      </c>
      <c r="L5159" s="12">
        <v>149.0</v>
      </c>
      <c r="M5159" s="2" t="s">
        <v>13825</v>
      </c>
      <c r="N5159" s="2" t="str">
        <f>IFERROR(__xludf.DUMMYFUNCTION("""COMPUTED_VALUE"""),"")</f>
        <v/>
      </c>
    </row>
    <row r="5160">
      <c r="A5160" s="2" t="s">
        <v>33</v>
      </c>
      <c r="B5160" s="12">
        <v>5001524.0</v>
      </c>
      <c r="C5160" s="12">
        <v>5002534.0</v>
      </c>
      <c r="D5160" s="2"/>
      <c r="E5160" s="2" t="s">
        <v>38</v>
      </c>
      <c r="F5160" s="2" t="s">
        <v>2751</v>
      </c>
      <c r="G5160" s="2"/>
      <c r="H5160" s="12">
        <v>0.0</v>
      </c>
      <c r="I5160" s="2" t="s">
        <v>40</v>
      </c>
      <c r="J5160" s="2"/>
      <c r="K5160" s="2" t="s">
        <v>13826</v>
      </c>
      <c r="L5160" s="12">
        <v>336.0</v>
      </c>
      <c r="M5160" s="2" t="s">
        <v>13827</v>
      </c>
      <c r="N5160" s="2" t="str">
        <f>IFERROR(__xludf.DUMMYFUNCTION("""COMPUTED_VALUE"""),"")</f>
        <v/>
      </c>
    </row>
    <row r="5161">
      <c r="A5161" s="2" t="s">
        <v>33</v>
      </c>
      <c r="B5161" s="12">
        <v>5002632.0</v>
      </c>
      <c r="C5161" s="12">
        <v>5003429.0</v>
      </c>
      <c r="D5161" s="2"/>
      <c r="E5161" s="2" t="s">
        <v>34</v>
      </c>
      <c r="F5161" s="2" t="s">
        <v>541</v>
      </c>
      <c r="G5161" s="2"/>
      <c r="H5161" s="12">
        <v>0.0</v>
      </c>
      <c r="I5161" s="2" t="s">
        <v>40</v>
      </c>
      <c r="J5161" s="2"/>
      <c r="K5161" s="2" t="s">
        <v>13828</v>
      </c>
      <c r="L5161" s="12">
        <v>265.0</v>
      </c>
      <c r="M5161" s="2" t="s">
        <v>13829</v>
      </c>
      <c r="N5161" s="2" t="str">
        <f>IFERROR(__xludf.DUMMYFUNCTION("""COMPUTED_VALUE"""),"")</f>
        <v/>
      </c>
    </row>
    <row r="5162">
      <c r="A5162" s="2" t="s">
        <v>33</v>
      </c>
      <c r="B5162" s="12">
        <v>5003444.0</v>
      </c>
      <c r="C5162" s="12">
        <v>5004373.0</v>
      </c>
      <c r="D5162" s="2"/>
      <c r="E5162" s="2" t="s">
        <v>34</v>
      </c>
      <c r="F5162" s="2" t="s">
        <v>322</v>
      </c>
      <c r="G5162" s="2"/>
      <c r="H5162" s="12">
        <v>0.0</v>
      </c>
      <c r="I5162" s="2" t="s">
        <v>40</v>
      </c>
      <c r="J5162" s="2"/>
      <c r="K5162" s="2" t="s">
        <v>13830</v>
      </c>
      <c r="L5162" s="12">
        <v>309.0</v>
      </c>
      <c r="M5162" s="2" t="s">
        <v>13831</v>
      </c>
      <c r="N5162" s="2" t="str">
        <f>IFERROR(__xludf.DUMMYFUNCTION("""COMPUTED_VALUE"""),"")</f>
        <v/>
      </c>
    </row>
    <row r="5163">
      <c r="A5163" s="2" t="s">
        <v>33</v>
      </c>
      <c r="B5163" s="12">
        <v>5004387.0</v>
      </c>
      <c r="C5163" s="12">
        <v>5005130.0</v>
      </c>
      <c r="D5163" s="2"/>
      <c r="E5163" s="2" t="s">
        <v>34</v>
      </c>
      <c r="F5163" s="2" t="s">
        <v>437</v>
      </c>
      <c r="G5163" s="2"/>
      <c r="H5163" s="12">
        <v>0.0</v>
      </c>
      <c r="I5163" s="2" t="s">
        <v>40</v>
      </c>
      <c r="J5163" s="2"/>
      <c r="K5163" s="2" t="s">
        <v>13832</v>
      </c>
      <c r="L5163" s="12">
        <v>247.0</v>
      </c>
      <c r="M5163" s="2" t="s">
        <v>13833</v>
      </c>
      <c r="N5163" s="2" t="str">
        <f>IFERROR(__xludf.DUMMYFUNCTION("""COMPUTED_VALUE"""),"")</f>
        <v/>
      </c>
    </row>
    <row r="5164">
      <c r="A5164" s="2" t="s">
        <v>33</v>
      </c>
      <c r="B5164" s="12">
        <v>5005240.0</v>
      </c>
      <c r="C5164" s="12">
        <v>5005911.0</v>
      </c>
      <c r="D5164" s="2"/>
      <c r="E5164" s="2" t="s">
        <v>34</v>
      </c>
      <c r="F5164" s="2" t="s">
        <v>10229</v>
      </c>
      <c r="G5164" s="2"/>
      <c r="H5164" s="12">
        <v>0.0</v>
      </c>
      <c r="I5164" s="2" t="s">
        <v>40</v>
      </c>
      <c r="J5164" s="2"/>
      <c r="K5164" s="2" t="s">
        <v>13834</v>
      </c>
      <c r="L5164" s="12">
        <v>223.0</v>
      </c>
      <c r="M5164" s="2" t="s">
        <v>13835</v>
      </c>
      <c r="N5164" s="2" t="str">
        <f>IFERROR(__xludf.DUMMYFUNCTION("""COMPUTED_VALUE"""),"")</f>
        <v/>
      </c>
    </row>
    <row r="5165">
      <c r="A5165" s="2" t="s">
        <v>33</v>
      </c>
      <c r="B5165" s="12">
        <v>5006029.0</v>
      </c>
      <c r="C5165" s="12">
        <v>5006853.0</v>
      </c>
      <c r="D5165" s="2"/>
      <c r="E5165" s="2" t="s">
        <v>34</v>
      </c>
      <c r="F5165" s="2" t="s">
        <v>9508</v>
      </c>
      <c r="G5165" s="2"/>
      <c r="H5165" s="12">
        <v>0.0</v>
      </c>
      <c r="I5165" s="2" t="s">
        <v>40</v>
      </c>
      <c r="J5165" s="2"/>
      <c r="K5165" s="2" t="s">
        <v>13836</v>
      </c>
      <c r="L5165" s="12">
        <v>274.0</v>
      </c>
      <c r="M5165" s="2" t="s">
        <v>13837</v>
      </c>
      <c r="N5165" s="2" t="str">
        <f>IFERROR(__xludf.DUMMYFUNCTION("""COMPUTED_VALUE"""),"")</f>
        <v/>
      </c>
    </row>
    <row r="5166">
      <c r="A5166" s="2" t="s">
        <v>33</v>
      </c>
      <c r="B5166" s="12">
        <v>5006959.0</v>
      </c>
      <c r="C5166" s="12">
        <v>5007945.0</v>
      </c>
      <c r="D5166" s="2"/>
      <c r="E5166" s="2" t="s">
        <v>34</v>
      </c>
      <c r="F5166" s="2" t="s">
        <v>326</v>
      </c>
      <c r="G5166" s="2"/>
      <c r="H5166" s="12">
        <v>0.0</v>
      </c>
      <c r="I5166" s="2" t="s">
        <v>40</v>
      </c>
      <c r="J5166" s="2"/>
      <c r="K5166" s="2" t="s">
        <v>13838</v>
      </c>
      <c r="L5166" s="12">
        <v>328.0</v>
      </c>
      <c r="M5166" s="2" t="s">
        <v>13839</v>
      </c>
      <c r="N5166" s="2" t="str">
        <f>IFERROR(__xludf.DUMMYFUNCTION("""COMPUTED_VALUE"""),"")</f>
        <v/>
      </c>
    </row>
    <row r="5167">
      <c r="A5167" s="2" t="s">
        <v>33</v>
      </c>
      <c r="B5167" s="12">
        <v>5007980.0</v>
      </c>
      <c r="C5167" s="12">
        <v>5008651.0</v>
      </c>
      <c r="D5167" s="2"/>
      <c r="E5167" s="2" t="s">
        <v>34</v>
      </c>
      <c r="F5167" s="2" t="s">
        <v>379</v>
      </c>
      <c r="G5167" s="2"/>
      <c r="H5167" s="12">
        <v>0.0</v>
      </c>
      <c r="I5167" s="2" t="s">
        <v>40</v>
      </c>
      <c r="J5167" s="2"/>
      <c r="K5167" s="2" t="s">
        <v>13840</v>
      </c>
      <c r="L5167" s="12">
        <v>223.0</v>
      </c>
      <c r="M5167" s="2" t="s">
        <v>13841</v>
      </c>
      <c r="N5167" s="2" t="str">
        <f>IFERROR(__xludf.DUMMYFUNCTION("""COMPUTED_VALUE"""),"")</f>
        <v/>
      </c>
    </row>
    <row r="5168">
      <c r="A5168" s="2" t="s">
        <v>33</v>
      </c>
      <c r="B5168" s="12">
        <v>5008648.0</v>
      </c>
      <c r="C5168" s="12">
        <v>5009643.0</v>
      </c>
      <c r="D5168" s="2"/>
      <c r="E5168" s="2" t="s">
        <v>34</v>
      </c>
      <c r="F5168" s="2" t="s">
        <v>5460</v>
      </c>
      <c r="G5168" s="2"/>
      <c r="H5168" s="12">
        <v>0.0</v>
      </c>
      <c r="I5168" s="2" t="s">
        <v>40</v>
      </c>
      <c r="J5168" s="2"/>
      <c r="K5168" s="2" t="s">
        <v>13842</v>
      </c>
      <c r="L5168" s="12">
        <v>331.0</v>
      </c>
      <c r="M5168" s="2" t="s">
        <v>13843</v>
      </c>
      <c r="N5168" s="2" t="str">
        <f>IFERROR(__xludf.DUMMYFUNCTION("""COMPUTED_VALUE"""),"")</f>
        <v/>
      </c>
    </row>
    <row r="5169">
      <c r="A5169" s="2" t="s">
        <v>33</v>
      </c>
      <c r="B5169" s="12">
        <v>5009707.0</v>
      </c>
      <c r="C5169" s="12">
        <v>5010021.0</v>
      </c>
      <c r="D5169" s="2"/>
      <c r="E5169" s="2" t="s">
        <v>34</v>
      </c>
      <c r="F5169" s="2" t="s">
        <v>13844</v>
      </c>
      <c r="G5169" s="2"/>
      <c r="H5169" s="12">
        <v>0.0</v>
      </c>
      <c r="I5169" s="2" t="s">
        <v>40</v>
      </c>
      <c r="J5169" s="2"/>
      <c r="K5169" s="2" t="s">
        <v>13845</v>
      </c>
      <c r="L5169" s="12">
        <v>104.0</v>
      </c>
      <c r="M5169" s="2" t="s">
        <v>13846</v>
      </c>
      <c r="N5169" s="2" t="str">
        <f>IFERROR(__xludf.DUMMYFUNCTION("""COMPUTED_VALUE"""),"")</f>
        <v/>
      </c>
    </row>
    <row r="5170">
      <c r="A5170" s="2" t="s">
        <v>33</v>
      </c>
      <c r="B5170" s="12">
        <v>5010108.0</v>
      </c>
      <c r="C5170" s="12">
        <v>5010548.0</v>
      </c>
      <c r="D5170" s="2"/>
      <c r="E5170" s="2" t="s">
        <v>38</v>
      </c>
      <c r="F5170" s="2" t="s">
        <v>13847</v>
      </c>
      <c r="G5170" s="2"/>
      <c r="H5170" s="12">
        <v>0.0</v>
      </c>
      <c r="I5170" s="2" t="s">
        <v>40</v>
      </c>
      <c r="J5170" s="2"/>
      <c r="K5170" s="2" t="s">
        <v>13848</v>
      </c>
      <c r="L5170" s="12">
        <v>146.0</v>
      </c>
      <c r="M5170" s="2" t="s">
        <v>13849</v>
      </c>
      <c r="N5170" s="2" t="str">
        <f>IFERROR(__xludf.DUMMYFUNCTION("""COMPUTED_VALUE"""),"")</f>
        <v/>
      </c>
    </row>
    <row r="5171">
      <c r="A5171" s="2" t="s">
        <v>33</v>
      </c>
      <c r="B5171" s="12">
        <v>5010630.0</v>
      </c>
      <c r="C5171" s="12">
        <v>5012072.0</v>
      </c>
      <c r="D5171" s="2"/>
      <c r="E5171" s="2" t="s">
        <v>38</v>
      </c>
      <c r="F5171" s="2" t="s">
        <v>250</v>
      </c>
      <c r="G5171" s="2"/>
      <c r="H5171" s="12">
        <v>0.0</v>
      </c>
      <c r="I5171" s="2" t="s">
        <v>40</v>
      </c>
      <c r="J5171" s="2"/>
      <c r="K5171" s="2" t="s">
        <v>13850</v>
      </c>
      <c r="L5171" s="12">
        <v>480.0</v>
      </c>
      <c r="M5171" s="2" t="s">
        <v>13851</v>
      </c>
      <c r="N5171" s="2" t="str">
        <f>IFERROR(__xludf.DUMMYFUNCTION("""COMPUTED_VALUE"""),"")</f>
        <v/>
      </c>
    </row>
    <row r="5172">
      <c r="A5172" s="2" t="s">
        <v>33</v>
      </c>
      <c r="B5172" s="12">
        <v>5012198.0</v>
      </c>
      <c r="C5172" s="12">
        <v>5013109.0</v>
      </c>
      <c r="D5172" s="2"/>
      <c r="E5172" s="2" t="s">
        <v>34</v>
      </c>
      <c r="F5172" s="2" t="s">
        <v>738</v>
      </c>
      <c r="G5172" s="2"/>
      <c r="H5172" s="12">
        <v>0.0</v>
      </c>
      <c r="I5172" s="2" t="s">
        <v>40</v>
      </c>
      <c r="J5172" s="2"/>
      <c r="K5172" s="2" t="s">
        <v>13852</v>
      </c>
      <c r="L5172" s="12">
        <v>303.0</v>
      </c>
      <c r="M5172" s="2" t="s">
        <v>13853</v>
      </c>
      <c r="N5172" s="2" t="str">
        <f>IFERROR(__xludf.DUMMYFUNCTION("""COMPUTED_VALUE"""),"")</f>
        <v/>
      </c>
    </row>
    <row r="5173">
      <c r="A5173" s="2" t="s">
        <v>33</v>
      </c>
      <c r="B5173" s="12">
        <v>5013128.0</v>
      </c>
      <c r="C5173" s="12">
        <v>5013595.0</v>
      </c>
      <c r="D5173" s="2"/>
      <c r="E5173" s="2" t="s">
        <v>38</v>
      </c>
      <c r="F5173" s="2" t="s">
        <v>1611</v>
      </c>
      <c r="G5173" s="2"/>
      <c r="H5173" s="12">
        <v>0.0</v>
      </c>
      <c r="I5173" s="2" t="s">
        <v>40</v>
      </c>
      <c r="J5173" s="2"/>
      <c r="K5173" s="2" t="s">
        <v>13854</v>
      </c>
      <c r="L5173" s="12">
        <v>155.0</v>
      </c>
      <c r="M5173" s="2" t="s">
        <v>13855</v>
      </c>
      <c r="N5173" s="2" t="str">
        <f>IFERROR(__xludf.DUMMYFUNCTION("""COMPUTED_VALUE"""),"")</f>
        <v/>
      </c>
    </row>
    <row r="5174">
      <c r="A5174" s="2" t="s">
        <v>33</v>
      </c>
      <c r="B5174" s="12">
        <v>5013692.0</v>
      </c>
      <c r="C5174" s="12">
        <v>5014099.0</v>
      </c>
      <c r="D5174" s="2"/>
      <c r="E5174" s="2" t="s">
        <v>34</v>
      </c>
      <c r="F5174" s="2" t="s">
        <v>13856</v>
      </c>
      <c r="G5174" s="2"/>
      <c r="H5174" s="12">
        <v>0.0</v>
      </c>
      <c r="I5174" s="2" t="s">
        <v>40</v>
      </c>
      <c r="J5174" s="2"/>
      <c r="K5174" s="2" t="s">
        <v>13857</v>
      </c>
      <c r="L5174" s="12">
        <v>135.0</v>
      </c>
      <c r="M5174" s="2" t="s">
        <v>13858</v>
      </c>
      <c r="N5174" s="2" t="str">
        <f>IFERROR(__xludf.DUMMYFUNCTION("""COMPUTED_VALUE"""),"")</f>
        <v/>
      </c>
    </row>
    <row r="5175">
      <c r="A5175" s="2" t="s">
        <v>33</v>
      </c>
      <c r="B5175" s="12">
        <v>5014117.0</v>
      </c>
      <c r="C5175" s="12">
        <v>5014587.0</v>
      </c>
      <c r="D5175" s="2"/>
      <c r="E5175" s="2" t="s">
        <v>34</v>
      </c>
      <c r="F5175" s="2" t="s">
        <v>367</v>
      </c>
      <c r="G5175" s="2"/>
      <c r="H5175" s="12">
        <v>0.0</v>
      </c>
      <c r="I5175" s="2" t="s">
        <v>40</v>
      </c>
      <c r="J5175" s="2"/>
      <c r="K5175" s="2" t="s">
        <v>13859</v>
      </c>
      <c r="L5175" s="12">
        <v>156.0</v>
      </c>
      <c r="M5175" s="2" t="s">
        <v>13860</v>
      </c>
      <c r="N5175" s="2" t="str">
        <f>IFERROR(__xludf.DUMMYFUNCTION("""COMPUTED_VALUE"""),"")</f>
        <v/>
      </c>
    </row>
    <row r="5176">
      <c r="A5176" s="2" t="s">
        <v>33</v>
      </c>
      <c r="B5176" s="12">
        <v>5014743.0</v>
      </c>
      <c r="C5176" s="12">
        <v>5015252.0</v>
      </c>
      <c r="D5176" s="2"/>
      <c r="E5176" s="2" t="s">
        <v>34</v>
      </c>
      <c r="F5176" s="2" t="s">
        <v>13861</v>
      </c>
      <c r="G5176" s="2"/>
      <c r="H5176" s="12">
        <v>0.0</v>
      </c>
      <c r="I5176" s="2" t="s">
        <v>40</v>
      </c>
      <c r="J5176" s="2"/>
      <c r="K5176" s="2" t="s">
        <v>13862</v>
      </c>
      <c r="L5176" s="12">
        <v>169.0</v>
      </c>
      <c r="M5176" s="2" t="s">
        <v>13863</v>
      </c>
      <c r="N5176" s="2" t="str">
        <f>IFERROR(__xludf.DUMMYFUNCTION("""COMPUTED_VALUE"""),"")</f>
        <v/>
      </c>
    </row>
    <row r="5177">
      <c r="A5177" s="2" t="s">
        <v>33</v>
      </c>
      <c r="B5177" s="12">
        <v>5015418.0</v>
      </c>
      <c r="C5177" s="12">
        <v>5016308.0</v>
      </c>
      <c r="D5177" s="2"/>
      <c r="E5177" s="2" t="s">
        <v>34</v>
      </c>
      <c r="F5177" s="2" t="s">
        <v>8722</v>
      </c>
      <c r="G5177" s="2"/>
      <c r="H5177" s="12">
        <v>0.0</v>
      </c>
      <c r="I5177" s="2" t="s">
        <v>40</v>
      </c>
      <c r="J5177" s="2"/>
      <c r="K5177" s="2" t="s">
        <v>13864</v>
      </c>
      <c r="L5177" s="12">
        <v>296.0</v>
      </c>
      <c r="M5177" s="2" t="s">
        <v>13865</v>
      </c>
      <c r="N5177" s="2" t="str">
        <f>IFERROR(__xludf.DUMMYFUNCTION("""COMPUTED_VALUE"""),"")</f>
        <v/>
      </c>
    </row>
    <row r="5178">
      <c r="A5178" s="2" t="s">
        <v>33</v>
      </c>
      <c r="B5178" s="12">
        <v>5016333.0</v>
      </c>
      <c r="C5178" s="12">
        <v>5017268.0</v>
      </c>
      <c r="D5178" s="2"/>
      <c r="E5178" s="2" t="s">
        <v>34</v>
      </c>
      <c r="F5178" s="2" t="s">
        <v>455</v>
      </c>
      <c r="G5178" s="2"/>
      <c r="H5178" s="12">
        <v>0.0</v>
      </c>
      <c r="I5178" s="2" t="s">
        <v>40</v>
      </c>
      <c r="J5178" s="2"/>
      <c r="K5178" s="2" t="s">
        <v>13866</v>
      </c>
      <c r="L5178" s="12">
        <v>311.0</v>
      </c>
      <c r="M5178" s="2" t="s">
        <v>13867</v>
      </c>
      <c r="N5178" s="2" t="str">
        <f>IFERROR(__xludf.DUMMYFUNCTION("""COMPUTED_VALUE"""),"")</f>
        <v/>
      </c>
    </row>
    <row r="5179">
      <c r="A5179" s="2" t="s">
        <v>33</v>
      </c>
      <c r="B5179" s="12">
        <v>5017369.0</v>
      </c>
      <c r="C5179" s="12">
        <v>5018394.0</v>
      </c>
      <c r="D5179" s="2"/>
      <c r="E5179" s="2" t="s">
        <v>34</v>
      </c>
      <c r="F5179" s="2" t="s">
        <v>333</v>
      </c>
      <c r="G5179" s="2"/>
      <c r="H5179" s="12">
        <v>0.0</v>
      </c>
      <c r="I5179" s="2" t="s">
        <v>40</v>
      </c>
      <c r="J5179" s="2"/>
      <c r="K5179" s="2" t="s">
        <v>13868</v>
      </c>
      <c r="L5179" s="12">
        <v>341.0</v>
      </c>
      <c r="M5179" s="2" t="s">
        <v>13869</v>
      </c>
      <c r="N5179" s="2" t="str">
        <f>IFERROR(__xludf.DUMMYFUNCTION("""COMPUTED_VALUE"""),"")</f>
        <v/>
      </c>
    </row>
    <row r="5180">
      <c r="A5180" s="2" t="s">
        <v>33</v>
      </c>
      <c r="B5180" s="12">
        <v>5018447.0</v>
      </c>
      <c r="C5180" s="12">
        <v>5018878.0</v>
      </c>
      <c r="D5180" s="2"/>
      <c r="E5180" s="2" t="s">
        <v>34</v>
      </c>
      <c r="F5180" s="2" t="s">
        <v>4722</v>
      </c>
      <c r="G5180" s="2"/>
      <c r="H5180" s="12">
        <v>0.0</v>
      </c>
      <c r="I5180" s="2" t="s">
        <v>40</v>
      </c>
      <c r="J5180" s="2"/>
      <c r="K5180" s="2" t="s">
        <v>13870</v>
      </c>
      <c r="L5180" s="12">
        <v>143.0</v>
      </c>
      <c r="M5180" s="2" t="s">
        <v>13871</v>
      </c>
      <c r="N5180" s="2" t="str">
        <f>IFERROR(__xludf.DUMMYFUNCTION("""COMPUTED_VALUE"""),"")</f>
        <v/>
      </c>
    </row>
    <row r="5181">
      <c r="A5181" s="2" t="s">
        <v>33</v>
      </c>
      <c r="B5181" s="12">
        <v>5018943.0</v>
      </c>
      <c r="C5181" s="12">
        <v>5019734.0</v>
      </c>
      <c r="D5181" s="2"/>
      <c r="E5181" s="2" t="s">
        <v>38</v>
      </c>
      <c r="F5181" s="2" t="s">
        <v>13872</v>
      </c>
      <c r="G5181" s="2"/>
      <c r="H5181" s="12">
        <v>0.0</v>
      </c>
      <c r="I5181" s="2" t="s">
        <v>40</v>
      </c>
      <c r="J5181" s="2"/>
      <c r="K5181" s="2" t="s">
        <v>13873</v>
      </c>
      <c r="L5181" s="12">
        <v>263.0</v>
      </c>
      <c r="M5181" s="2" t="s">
        <v>13874</v>
      </c>
      <c r="N5181" s="2" t="str">
        <f>IFERROR(__xludf.DUMMYFUNCTION("""COMPUTED_VALUE"""),"")</f>
        <v/>
      </c>
    </row>
    <row r="5182">
      <c r="A5182" s="2" t="s">
        <v>33</v>
      </c>
      <c r="B5182" s="12">
        <v>5019928.0</v>
      </c>
      <c r="C5182" s="12">
        <v>5020395.0</v>
      </c>
      <c r="D5182" s="2"/>
      <c r="E5182" s="2" t="s">
        <v>34</v>
      </c>
      <c r="F5182" s="2" t="s">
        <v>1611</v>
      </c>
      <c r="G5182" s="2"/>
      <c r="H5182" s="12">
        <v>0.0</v>
      </c>
      <c r="I5182" s="2" t="s">
        <v>40</v>
      </c>
      <c r="J5182" s="2"/>
      <c r="K5182" s="2" t="s">
        <v>13875</v>
      </c>
      <c r="L5182" s="12">
        <v>155.0</v>
      </c>
      <c r="M5182" s="2" t="s">
        <v>13876</v>
      </c>
      <c r="N5182" s="2" t="str">
        <f>IFERROR(__xludf.DUMMYFUNCTION("""COMPUTED_VALUE"""),"")</f>
        <v/>
      </c>
    </row>
    <row r="5183">
      <c r="A5183" s="2" t="s">
        <v>33</v>
      </c>
      <c r="B5183" s="12">
        <v>5020417.0</v>
      </c>
      <c r="C5183" s="12">
        <v>5021061.0</v>
      </c>
      <c r="D5183" s="2"/>
      <c r="E5183" s="2" t="s">
        <v>34</v>
      </c>
      <c r="F5183" s="2" t="s">
        <v>39</v>
      </c>
      <c r="G5183" s="2"/>
      <c r="H5183" s="12">
        <v>0.0</v>
      </c>
      <c r="I5183" s="2" t="s">
        <v>40</v>
      </c>
      <c r="J5183" s="2"/>
      <c r="K5183" s="2" t="s">
        <v>13877</v>
      </c>
      <c r="L5183" s="12">
        <v>214.0</v>
      </c>
      <c r="M5183" s="2" t="s">
        <v>13878</v>
      </c>
      <c r="N5183" s="2" t="str">
        <f>IFERROR(__xludf.DUMMYFUNCTION("""COMPUTED_VALUE"""),"")</f>
        <v/>
      </c>
    </row>
    <row r="5184">
      <c r="A5184" s="2" t="s">
        <v>33</v>
      </c>
      <c r="B5184" s="12">
        <v>5021107.0</v>
      </c>
      <c r="C5184" s="12">
        <v>5023051.0</v>
      </c>
      <c r="D5184" s="2"/>
      <c r="E5184" s="2" t="s">
        <v>38</v>
      </c>
      <c r="F5184" s="2" t="s">
        <v>35</v>
      </c>
      <c r="G5184" s="2"/>
      <c r="H5184" s="12">
        <v>0.0</v>
      </c>
      <c r="I5184" s="2" t="s">
        <v>36</v>
      </c>
      <c r="J5184" s="2"/>
      <c r="K5184" s="2"/>
      <c r="L5184" s="2"/>
      <c r="M5184" s="2" t="s">
        <v>13879</v>
      </c>
      <c r="N5184" s="2" t="str">
        <f>IFERROR(__xludf.DUMMYFUNCTION("""COMPUTED_VALUE"""),"")</f>
        <v/>
      </c>
    </row>
    <row r="5185">
      <c r="A5185" s="2" t="s">
        <v>33</v>
      </c>
      <c r="B5185" s="12">
        <v>5023317.0</v>
      </c>
      <c r="C5185" s="12">
        <v>5023745.0</v>
      </c>
      <c r="D5185" s="2"/>
      <c r="E5185" s="2" t="s">
        <v>34</v>
      </c>
      <c r="F5185" s="2" t="s">
        <v>534</v>
      </c>
      <c r="G5185" s="2"/>
      <c r="H5185" s="12">
        <v>0.0</v>
      </c>
      <c r="I5185" s="2" t="s">
        <v>40</v>
      </c>
      <c r="J5185" s="2"/>
      <c r="K5185" s="2" t="s">
        <v>13880</v>
      </c>
      <c r="L5185" s="12">
        <v>142.0</v>
      </c>
      <c r="M5185" s="2" t="s">
        <v>13881</v>
      </c>
      <c r="N5185" s="2" t="str">
        <f>IFERROR(__xludf.DUMMYFUNCTION("""COMPUTED_VALUE"""),"")</f>
        <v/>
      </c>
    </row>
    <row r="5186">
      <c r="A5186" s="2" t="s">
        <v>33</v>
      </c>
      <c r="B5186" s="12">
        <v>5023764.0</v>
      </c>
      <c r="C5186" s="12">
        <v>5024402.0</v>
      </c>
      <c r="D5186" s="2"/>
      <c r="E5186" s="2" t="s">
        <v>34</v>
      </c>
      <c r="F5186" s="2" t="s">
        <v>1106</v>
      </c>
      <c r="G5186" s="2"/>
      <c r="H5186" s="12">
        <v>0.0</v>
      </c>
      <c r="I5186" s="2" t="s">
        <v>40</v>
      </c>
      <c r="J5186" s="2"/>
      <c r="K5186" s="2" t="s">
        <v>13882</v>
      </c>
      <c r="L5186" s="12">
        <v>212.0</v>
      </c>
      <c r="M5186" s="2" t="s">
        <v>13883</v>
      </c>
      <c r="N5186" s="2" t="str">
        <f>IFERROR(__xludf.DUMMYFUNCTION("""COMPUTED_VALUE"""),"")</f>
        <v/>
      </c>
    </row>
    <row r="5187">
      <c r="A5187" s="2" t="s">
        <v>33</v>
      </c>
      <c r="B5187" s="12">
        <v>5024449.0</v>
      </c>
      <c r="C5187" s="12">
        <v>5024742.0</v>
      </c>
      <c r="D5187" s="2"/>
      <c r="E5187" s="2" t="s">
        <v>34</v>
      </c>
      <c r="F5187" s="2" t="s">
        <v>13884</v>
      </c>
      <c r="G5187" s="2"/>
      <c r="H5187" s="12">
        <v>0.0</v>
      </c>
      <c r="I5187" s="2" t="s">
        <v>40</v>
      </c>
      <c r="J5187" s="2"/>
      <c r="K5187" s="2" t="s">
        <v>13885</v>
      </c>
      <c r="L5187" s="12">
        <v>97.0</v>
      </c>
      <c r="M5187" s="2" t="s">
        <v>13886</v>
      </c>
      <c r="N5187" s="2" t="str">
        <f>IFERROR(__xludf.DUMMYFUNCTION("""COMPUTED_VALUE"""),"")</f>
        <v/>
      </c>
    </row>
    <row r="5188">
      <c r="A5188" s="2" t="s">
        <v>33</v>
      </c>
      <c r="B5188" s="12">
        <v>5024955.0</v>
      </c>
      <c r="C5188" s="12">
        <v>5025230.0</v>
      </c>
      <c r="D5188" s="2"/>
      <c r="E5188" s="2" t="s">
        <v>34</v>
      </c>
      <c r="F5188" s="2" t="s">
        <v>4741</v>
      </c>
      <c r="G5188" s="2"/>
      <c r="H5188" s="12">
        <v>0.0</v>
      </c>
      <c r="I5188" s="2" t="s">
        <v>40</v>
      </c>
      <c r="J5188" s="2"/>
      <c r="K5188" s="2" t="s">
        <v>13887</v>
      </c>
      <c r="L5188" s="12">
        <v>91.0</v>
      </c>
      <c r="M5188" s="2" t="s">
        <v>13888</v>
      </c>
      <c r="N5188" s="2" t="str">
        <f>IFERROR(__xludf.DUMMYFUNCTION("""COMPUTED_VALUE"""),"")</f>
        <v/>
      </c>
    </row>
    <row r="5189">
      <c r="A5189" s="2" t="s">
        <v>33</v>
      </c>
      <c r="B5189" s="12">
        <v>5025271.0</v>
      </c>
      <c r="C5189" s="12">
        <v>5025633.0</v>
      </c>
      <c r="D5189" s="2"/>
      <c r="E5189" s="2" t="s">
        <v>34</v>
      </c>
      <c r="F5189" s="2" t="s">
        <v>4738</v>
      </c>
      <c r="G5189" s="2"/>
      <c r="H5189" s="12">
        <v>0.0</v>
      </c>
      <c r="I5189" s="2" t="s">
        <v>40</v>
      </c>
      <c r="J5189" s="2"/>
      <c r="K5189" s="2" t="s">
        <v>13889</v>
      </c>
      <c r="L5189" s="12">
        <v>120.0</v>
      </c>
      <c r="M5189" s="2" t="s">
        <v>13890</v>
      </c>
      <c r="N5189" s="2" t="str">
        <f>IFERROR(__xludf.DUMMYFUNCTION("""COMPUTED_VALUE"""),"")</f>
        <v/>
      </c>
    </row>
    <row r="5190">
      <c r="A5190" s="2" t="s">
        <v>33</v>
      </c>
      <c r="B5190" s="12">
        <v>5025630.0</v>
      </c>
      <c r="C5190" s="12">
        <v>5027396.0</v>
      </c>
      <c r="D5190" s="2"/>
      <c r="E5190" s="2" t="s">
        <v>34</v>
      </c>
      <c r="F5190" s="2" t="s">
        <v>13891</v>
      </c>
      <c r="G5190" s="2"/>
      <c r="H5190" s="12">
        <v>0.0</v>
      </c>
      <c r="I5190" s="2" t="s">
        <v>40</v>
      </c>
      <c r="J5190" s="2"/>
      <c r="K5190" s="2" t="s">
        <v>13892</v>
      </c>
      <c r="L5190" s="12">
        <v>588.0</v>
      </c>
      <c r="M5190" s="2" t="s">
        <v>13893</v>
      </c>
      <c r="N5190" s="2" t="str">
        <f>IFERROR(__xludf.DUMMYFUNCTION("""COMPUTED_VALUE"""),"")</f>
        <v/>
      </c>
    </row>
    <row r="5191">
      <c r="A5191" s="2" t="s">
        <v>33</v>
      </c>
      <c r="B5191" s="12">
        <v>5027425.0</v>
      </c>
      <c r="C5191" s="12">
        <v>5028672.0</v>
      </c>
      <c r="D5191" s="2"/>
      <c r="E5191" s="2" t="s">
        <v>34</v>
      </c>
      <c r="F5191" s="2" t="s">
        <v>13894</v>
      </c>
      <c r="G5191" s="2"/>
      <c r="H5191" s="12">
        <v>0.0</v>
      </c>
      <c r="I5191" s="2" t="s">
        <v>40</v>
      </c>
      <c r="J5191" s="2"/>
      <c r="K5191" s="2" t="s">
        <v>13895</v>
      </c>
      <c r="L5191" s="12">
        <v>415.0</v>
      </c>
      <c r="M5191" s="2" t="s">
        <v>13896</v>
      </c>
      <c r="N5191" s="2" t="str">
        <f>IFERROR(__xludf.DUMMYFUNCTION("""COMPUTED_VALUE"""),"")</f>
        <v/>
      </c>
    </row>
    <row r="5192">
      <c r="A5192" s="2" t="s">
        <v>33</v>
      </c>
      <c r="B5192" s="12">
        <v>5028973.0</v>
      </c>
      <c r="C5192" s="12">
        <v>5029905.0</v>
      </c>
      <c r="D5192" s="2"/>
      <c r="E5192" s="2" t="s">
        <v>34</v>
      </c>
      <c r="F5192" s="2" t="s">
        <v>1371</v>
      </c>
      <c r="G5192" s="2"/>
      <c r="H5192" s="12">
        <v>0.0</v>
      </c>
      <c r="I5192" s="2" t="s">
        <v>40</v>
      </c>
      <c r="J5192" s="2"/>
      <c r="K5192" s="2" t="s">
        <v>13897</v>
      </c>
      <c r="L5192" s="12">
        <v>310.0</v>
      </c>
      <c r="M5192" s="2" t="s">
        <v>13898</v>
      </c>
      <c r="N5192" s="2" t="str">
        <f>IFERROR(__xludf.DUMMYFUNCTION("""COMPUTED_VALUE"""),"")</f>
        <v/>
      </c>
    </row>
    <row r="5193">
      <c r="A5193" s="2" t="s">
        <v>33</v>
      </c>
      <c r="B5193" s="12">
        <v>5029902.0</v>
      </c>
      <c r="C5193" s="12">
        <v>5031011.0</v>
      </c>
      <c r="D5193" s="2"/>
      <c r="E5193" s="2" t="s">
        <v>34</v>
      </c>
      <c r="F5193" s="2" t="s">
        <v>1374</v>
      </c>
      <c r="G5193" s="2"/>
      <c r="H5193" s="12">
        <v>0.0</v>
      </c>
      <c r="I5193" s="2" t="s">
        <v>40</v>
      </c>
      <c r="J5193" s="2"/>
      <c r="K5193" s="2" t="s">
        <v>13899</v>
      </c>
      <c r="L5193" s="12">
        <v>369.0</v>
      </c>
      <c r="M5193" s="2" t="s">
        <v>13900</v>
      </c>
      <c r="N5193" s="2" t="str">
        <f>IFERROR(__xludf.DUMMYFUNCTION("""COMPUTED_VALUE"""),"")</f>
        <v/>
      </c>
    </row>
    <row r="5194">
      <c r="A5194" s="2" t="s">
        <v>33</v>
      </c>
      <c r="B5194" s="12">
        <v>5031027.0</v>
      </c>
      <c r="C5194" s="12">
        <v>5031767.0</v>
      </c>
      <c r="D5194" s="2"/>
      <c r="E5194" s="2" t="s">
        <v>34</v>
      </c>
      <c r="F5194" s="2" t="s">
        <v>39</v>
      </c>
      <c r="G5194" s="2"/>
      <c r="H5194" s="12">
        <v>0.0</v>
      </c>
      <c r="I5194" s="2" t="s">
        <v>40</v>
      </c>
      <c r="J5194" s="2"/>
      <c r="K5194" s="2" t="s">
        <v>13901</v>
      </c>
      <c r="L5194" s="12">
        <v>246.0</v>
      </c>
      <c r="M5194" s="2" t="s">
        <v>13902</v>
      </c>
      <c r="N5194" s="2" t="str">
        <f>IFERROR(__xludf.DUMMYFUNCTION("""COMPUTED_VALUE"""),"")</f>
        <v/>
      </c>
    </row>
    <row r="5195">
      <c r="A5195" s="2" t="s">
        <v>33</v>
      </c>
      <c r="B5195" s="12">
        <v>5031952.0</v>
      </c>
      <c r="C5195" s="12">
        <v>5032458.0</v>
      </c>
      <c r="D5195" s="2"/>
      <c r="E5195" s="2" t="s">
        <v>34</v>
      </c>
      <c r="F5195" s="2" t="s">
        <v>13903</v>
      </c>
      <c r="G5195" s="2"/>
      <c r="H5195" s="12">
        <v>0.0</v>
      </c>
      <c r="I5195" s="2" t="s">
        <v>40</v>
      </c>
      <c r="J5195" s="2"/>
      <c r="K5195" s="2" t="s">
        <v>13904</v>
      </c>
      <c r="L5195" s="12">
        <v>168.0</v>
      </c>
      <c r="M5195" s="2" t="s">
        <v>13905</v>
      </c>
      <c r="N5195" s="2" t="str">
        <f>IFERROR(__xludf.DUMMYFUNCTION("""COMPUTED_VALUE"""),"")</f>
        <v/>
      </c>
    </row>
    <row r="5196">
      <c r="A5196" s="2" t="s">
        <v>33</v>
      </c>
      <c r="B5196" s="12">
        <v>5032717.0</v>
      </c>
      <c r="C5196" s="12">
        <v>5033883.0</v>
      </c>
      <c r="D5196" s="2"/>
      <c r="E5196" s="2" t="s">
        <v>34</v>
      </c>
      <c r="F5196" s="2" t="s">
        <v>455</v>
      </c>
      <c r="G5196" s="2"/>
      <c r="H5196" s="12">
        <v>0.0</v>
      </c>
      <c r="I5196" s="2" t="s">
        <v>40</v>
      </c>
      <c r="J5196" s="2"/>
      <c r="K5196" s="2" t="s">
        <v>13906</v>
      </c>
      <c r="L5196" s="12">
        <v>388.0</v>
      </c>
      <c r="M5196" s="2" t="s">
        <v>13907</v>
      </c>
      <c r="N5196" s="2" t="str">
        <f>IFERROR(__xludf.DUMMYFUNCTION("""COMPUTED_VALUE"""),"")</f>
        <v/>
      </c>
    </row>
    <row r="5197">
      <c r="A5197" s="2" t="s">
        <v>33</v>
      </c>
      <c r="B5197" s="12">
        <v>5034240.0</v>
      </c>
      <c r="C5197" s="12">
        <v>5035994.0</v>
      </c>
      <c r="D5197" s="2"/>
      <c r="E5197" s="2" t="s">
        <v>34</v>
      </c>
      <c r="F5197" s="2" t="s">
        <v>13908</v>
      </c>
      <c r="G5197" s="2"/>
      <c r="H5197" s="12">
        <v>0.0</v>
      </c>
      <c r="I5197" s="2" t="s">
        <v>40</v>
      </c>
      <c r="J5197" s="2"/>
      <c r="K5197" s="2" t="s">
        <v>13909</v>
      </c>
      <c r="L5197" s="12">
        <v>584.0</v>
      </c>
      <c r="M5197" s="2" t="s">
        <v>13910</v>
      </c>
      <c r="N5197" s="2" t="str">
        <f>IFERROR(__xludf.DUMMYFUNCTION("""COMPUTED_VALUE"""),"")</f>
        <v/>
      </c>
    </row>
    <row r="5198">
      <c r="A5198" s="2" t="s">
        <v>33</v>
      </c>
      <c r="B5198" s="12">
        <v>5036108.0</v>
      </c>
      <c r="C5198" s="12">
        <v>5036620.0</v>
      </c>
      <c r="D5198" s="2"/>
      <c r="E5198" s="2" t="s">
        <v>34</v>
      </c>
      <c r="F5198" s="2" t="s">
        <v>39</v>
      </c>
      <c r="G5198" s="2"/>
      <c r="H5198" s="12">
        <v>0.0</v>
      </c>
      <c r="I5198" s="2" t="s">
        <v>40</v>
      </c>
      <c r="J5198" s="2"/>
      <c r="K5198" s="2" t="s">
        <v>13911</v>
      </c>
      <c r="L5198" s="12">
        <v>170.0</v>
      </c>
      <c r="M5198" s="2" t="s">
        <v>13912</v>
      </c>
      <c r="N5198" s="2" t="str">
        <f>IFERROR(__xludf.DUMMYFUNCTION("""COMPUTED_VALUE"""),"")</f>
        <v/>
      </c>
    </row>
    <row r="5199">
      <c r="A5199" s="2" t="s">
        <v>33</v>
      </c>
      <c r="B5199" s="12">
        <v>5037110.0</v>
      </c>
      <c r="C5199" s="12">
        <v>5039746.0</v>
      </c>
      <c r="D5199" s="2"/>
      <c r="E5199" s="2" t="s">
        <v>34</v>
      </c>
      <c r="F5199" s="2" t="s">
        <v>5694</v>
      </c>
      <c r="G5199" s="2" t="s">
        <v>458</v>
      </c>
      <c r="H5199" s="12">
        <v>0.0</v>
      </c>
      <c r="I5199" s="2" t="s">
        <v>40</v>
      </c>
      <c r="J5199" s="2"/>
      <c r="K5199" s="2" t="s">
        <v>13913</v>
      </c>
      <c r="L5199" s="12">
        <v>878.0</v>
      </c>
      <c r="M5199" s="2" t="s">
        <v>13914</v>
      </c>
      <c r="N5199" s="2" t="str">
        <f>IFERROR(__xludf.DUMMYFUNCTION("""COMPUTED_VALUE"""),"")</f>
        <v/>
      </c>
    </row>
    <row r="5200">
      <c r="A5200" s="2" t="s">
        <v>33</v>
      </c>
      <c r="B5200" s="12">
        <v>5039963.0</v>
      </c>
      <c r="C5200" s="12">
        <v>5041342.0</v>
      </c>
      <c r="D5200" s="2"/>
      <c r="E5200" s="2" t="s">
        <v>38</v>
      </c>
      <c r="F5200" s="2" t="s">
        <v>4884</v>
      </c>
      <c r="G5200" s="2"/>
      <c r="H5200" s="12">
        <v>0.0</v>
      </c>
      <c r="I5200" s="2" t="s">
        <v>40</v>
      </c>
      <c r="J5200" s="2"/>
      <c r="K5200" s="2" t="s">
        <v>13915</v>
      </c>
      <c r="L5200" s="12">
        <v>459.0</v>
      </c>
      <c r="M5200" s="2" t="s">
        <v>13916</v>
      </c>
      <c r="N5200" s="2" t="str">
        <f>IFERROR(__xludf.DUMMYFUNCTION("""COMPUTED_VALUE"""),"")</f>
        <v/>
      </c>
    </row>
    <row r="5201">
      <c r="A5201" s="2" t="s">
        <v>33</v>
      </c>
      <c r="B5201" s="12">
        <v>5041644.0</v>
      </c>
      <c r="C5201" s="12">
        <v>5042861.0</v>
      </c>
      <c r="D5201" s="2"/>
      <c r="E5201" s="2" t="s">
        <v>34</v>
      </c>
      <c r="F5201" s="2" t="s">
        <v>1010</v>
      </c>
      <c r="G5201" s="2"/>
      <c r="H5201" s="12">
        <v>0.0</v>
      </c>
      <c r="I5201" s="2" t="s">
        <v>40</v>
      </c>
      <c r="J5201" s="2"/>
      <c r="K5201" s="2" t="s">
        <v>13917</v>
      </c>
      <c r="L5201" s="12">
        <v>405.0</v>
      </c>
      <c r="M5201" s="2" t="s">
        <v>13918</v>
      </c>
      <c r="N5201" s="2" t="str">
        <f>IFERROR(__xludf.DUMMYFUNCTION("""COMPUTED_VALUE"""),"")</f>
        <v/>
      </c>
    </row>
    <row r="5202">
      <c r="A5202" s="2" t="s">
        <v>33</v>
      </c>
      <c r="B5202" s="12">
        <v>5043133.0</v>
      </c>
      <c r="C5202" s="12">
        <v>5044155.0</v>
      </c>
      <c r="D5202" s="2"/>
      <c r="E5202" s="2" t="s">
        <v>34</v>
      </c>
      <c r="F5202" s="2" t="s">
        <v>39</v>
      </c>
      <c r="G5202" s="2"/>
      <c r="H5202" s="12">
        <v>0.0</v>
      </c>
      <c r="I5202" s="2" t="s">
        <v>40</v>
      </c>
      <c r="J5202" s="2"/>
      <c r="K5202" s="2" t="s">
        <v>13919</v>
      </c>
      <c r="L5202" s="12">
        <v>340.0</v>
      </c>
      <c r="M5202" s="2" t="s">
        <v>13920</v>
      </c>
      <c r="N5202" s="2" t="str">
        <f>IFERROR(__xludf.DUMMYFUNCTION("""COMPUTED_VALUE"""),"")</f>
        <v/>
      </c>
    </row>
    <row r="5203">
      <c r="A5203" s="2" t="s">
        <v>33</v>
      </c>
      <c r="B5203" s="12">
        <v>5044377.0</v>
      </c>
      <c r="C5203" s="12">
        <v>5045894.0</v>
      </c>
      <c r="D5203" s="2"/>
      <c r="E5203" s="2" t="s">
        <v>34</v>
      </c>
      <c r="F5203" s="2" t="s">
        <v>1056</v>
      </c>
      <c r="G5203" s="2"/>
      <c r="H5203" s="12">
        <v>0.0</v>
      </c>
      <c r="I5203" s="2" t="s">
        <v>40</v>
      </c>
      <c r="J5203" s="2"/>
      <c r="K5203" s="2" t="s">
        <v>13921</v>
      </c>
      <c r="L5203" s="12">
        <v>505.0</v>
      </c>
      <c r="M5203" s="2" t="s">
        <v>13922</v>
      </c>
      <c r="N5203" s="2" t="str">
        <f>IFERROR(__xludf.DUMMYFUNCTION("""COMPUTED_VALUE"""),"")</f>
        <v/>
      </c>
    </row>
    <row r="5204">
      <c r="A5204" s="2" t="s">
        <v>33</v>
      </c>
      <c r="B5204" s="12">
        <v>5045947.0</v>
      </c>
      <c r="C5204" s="12">
        <v>5048268.0</v>
      </c>
      <c r="D5204" s="2"/>
      <c r="E5204" s="2" t="s">
        <v>34</v>
      </c>
      <c r="F5204" s="2" t="s">
        <v>1056</v>
      </c>
      <c r="G5204" s="2"/>
      <c r="H5204" s="12">
        <v>0.0</v>
      </c>
      <c r="I5204" s="2" t="s">
        <v>40</v>
      </c>
      <c r="J5204" s="2"/>
      <c r="K5204" s="2" t="s">
        <v>13923</v>
      </c>
      <c r="L5204" s="12">
        <v>773.0</v>
      </c>
      <c r="M5204" s="2" t="s">
        <v>13924</v>
      </c>
      <c r="N5204" s="2" t="str">
        <f>IFERROR(__xludf.DUMMYFUNCTION("""COMPUTED_VALUE"""),"")</f>
        <v/>
      </c>
    </row>
    <row r="5205">
      <c r="A5205" s="2" t="s">
        <v>33</v>
      </c>
      <c r="B5205" s="12">
        <v>5048574.0</v>
      </c>
      <c r="C5205" s="12">
        <v>5048774.0</v>
      </c>
      <c r="D5205" s="2"/>
      <c r="E5205" s="2" t="s">
        <v>34</v>
      </c>
      <c r="F5205" s="2" t="s">
        <v>39</v>
      </c>
      <c r="G5205" s="2"/>
      <c r="H5205" s="12">
        <v>0.0</v>
      </c>
      <c r="I5205" s="2" t="s">
        <v>40</v>
      </c>
      <c r="J5205" s="2"/>
      <c r="K5205" s="2" t="s">
        <v>13925</v>
      </c>
      <c r="L5205" s="12">
        <v>66.0</v>
      </c>
      <c r="M5205" s="2" t="s">
        <v>13926</v>
      </c>
      <c r="N5205" s="2" t="str">
        <f>IFERROR(__xludf.DUMMYFUNCTION("""COMPUTED_VALUE"""),"")</f>
        <v/>
      </c>
    </row>
    <row r="5206">
      <c r="A5206" s="2" t="s">
        <v>33</v>
      </c>
      <c r="B5206" s="12">
        <v>5048885.0</v>
      </c>
      <c r="C5206" s="12">
        <v>5049127.0</v>
      </c>
      <c r="D5206" s="2"/>
      <c r="E5206" s="2" t="s">
        <v>34</v>
      </c>
      <c r="F5206" s="2" t="s">
        <v>39</v>
      </c>
      <c r="G5206" s="2"/>
      <c r="H5206" s="12">
        <v>0.0</v>
      </c>
      <c r="I5206" s="2" t="s">
        <v>40</v>
      </c>
      <c r="J5206" s="2"/>
      <c r="K5206" s="2" t="s">
        <v>13927</v>
      </c>
      <c r="L5206" s="12">
        <v>80.0</v>
      </c>
      <c r="M5206" s="2" t="s">
        <v>13928</v>
      </c>
      <c r="N5206" s="2" t="str">
        <f>IFERROR(__xludf.DUMMYFUNCTION("""COMPUTED_VALUE"""),"")</f>
        <v/>
      </c>
    </row>
    <row r="5207">
      <c r="A5207" s="2" t="s">
        <v>33</v>
      </c>
      <c r="B5207" s="12">
        <v>5049271.0</v>
      </c>
      <c r="C5207" s="12">
        <v>5050767.0</v>
      </c>
      <c r="D5207" s="2"/>
      <c r="E5207" s="2" t="s">
        <v>38</v>
      </c>
      <c r="F5207" s="2" t="s">
        <v>1056</v>
      </c>
      <c r="G5207" s="2"/>
      <c r="H5207" s="12">
        <v>0.0</v>
      </c>
      <c r="I5207" s="2" t="s">
        <v>40</v>
      </c>
      <c r="J5207" s="2"/>
      <c r="K5207" s="2" t="s">
        <v>13929</v>
      </c>
      <c r="L5207" s="12">
        <v>498.0</v>
      </c>
      <c r="M5207" s="2" t="s">
        <v>13930</v>
      </c>
      <c r="N5207" s="2" t="str">
        <f>IFERROR(__xludf.DUMMYFUNCTION("""COMPUTED_VALUE"""),"")</f>
        <v/>
      </c>
    </row>
    <row r="5208">
      <c r="A5208" s="2" t="s">
        <v>33</v>
      </c>
      <c r="B5208" s="12">
        <v>5050851.0</v>
      </c>
      <c r="C5208" s="12">
        <v>5051111.0</v>
      </c>
      <c r="D5208" s="2"/>
      <c r="E5208" s="2" t="s">
        <v>38</v>
      </c>
      <c r="F5208" s="2" t="s">
        <v>39</v>
      </c>
      <c r="G5208" s="2"/>
      <c r="H5208" s="12">
        <v>0.0</v>
      </c>
      <c r="I5208" s="2" t="s">
        <v>40</v>
      </c>
      <c r="J5208" s="2"/>
      <c r="K5208" s="2" t="s">
        <v>13931</v>
      </c>
      <c r="L5208" s="12">
        <v>86.0</v>
      </c>
      <c r="M5208" s="2" t="s">
        <v>13932</v>
      </c>
      <c r="N5208" s="2" t="str">
        <f>IFERROR(__xludf.DUMMYFUNCTION("""COMPUTED_VALUE"""),"")</f>
        <v/>
      </c>
    </row>
    <row r="5209">
      <c r="A5209" s="2" t="s">
        <v>33</v>
      </c>
      <c r="B5209" s="12">
        <v>5051514.0</v>
      </c>
      <c r="C5209" s="12">
        <v>5052971.0</v>
      </c>
      <c r="D5209" s="2"/>
      <c r="E5209" s="2" t="s">
        <v>34</v>
      </c>
      <c r="F5209" s="2" t="s">
        <v>88</v>
      </c>
      <c r="G5209" s="2"/>
      <c r="H5209" s="12">
        <v>0.0</v>
      </c>
      <c r="I5209" s="2" t="s">
        <v>40</v>
      </c>
      <c r="J5209" s="2"/>
      <c r="K5209" s="2" t="s">
        <v>13933</v>
      </c>
      <c r="L5209" s="12">
        <v>485.0</v>
      </c>
      <c r="M5209" s="2" t="s">
        <v>13934</v>
      </c>
      <c r="N5209" s="2" t="str">
        <f>IFERROR(__xludf.DUMMYFUNCTION("""COMPUTED_VALUE"""),"")</f>
        <v/>
      </c>
    </row>
    <row r="5210">
      <c r="A5210" s="2" t="s">
        <v>33</v>
      </c>
      <c r="B5210" s="12">
        <v>5053028.0</v>
      </c>
      <c r="C5210" s="12">
        <v>5054137.0</v>
      </c>
      <c r="D5210" s="2"/>
      <c r="E5210" s="2" t="s">
        <v>38</v>
      </c>
      <c r="F5210" s="2" t="s">
        <v>13935</v>
      </c>
      <c r="G5210" s="2"/>
      <c r="H5210" s="12">
        <v>0.0</v>
      </c>
      <c r="I5210" s="2" t="s">
        <v>40</v>
      </c>
      <c r="J5210" s="2"/>
      <c r="K5210" s="2" t="s">
        <v>13936</v>
      </c>
      <c r="L5210" s="12">
        <v>369.0</v>
      </c>
      <c r="M5210" s="2" t="s">
        <v>13937</v>
      </c>
      <c r="N5210" s="2" t="str">
        <f>IFERROR(__xludf.DUMMYFUNCTION("""COMPUTED_VALUE"""),"")</f>
        <v/>
      </c>
    </row>
    <row r="5211">
      <c r="A5211" s="2" t="s">
        <v>33</v>
      </c>
      <c r="B5211" s="12">
        <v>5054109.0</v>
      </c>
      <c r="C5211" s="12">
        <v>5055275.0</v>
      </c>
      <c r="D5211" s="2"/>
      <c r="E5211" s="2" t="s">
        <v>38</v>
      </c>
      <c r="F5211" s="2" t="s">
        <v>1374</v>
      </c>
      <c r="G5211" s="2"/>
      <c r="H5211" s="12">
        <v>0.0</v>
      </c>
      <c r="I5211" s="2" t="s">
        <v>40</v>
      </c>
      <c r="J5211" s="2"/>
      <c r="K5211" s="2" t="s">
        <v>13938</v>
      </c>
      <c r="L5211" s="12">
        <v>388.0</v>
      </c>
      <c r="M5211" s="2" t="s">
        <v>13939</v>
      </c>
      <c r="N5211" s="2" t="str">
        <f>IFERROR(__xludf.DUMMYFUNCTION("""COMPUTED_VALUE"""),"")</f>
        <v/>
      </c>
    </row>
    <row r="5212">
      <c r="A5212" s="2" t="s">
        <v>33</v>
      </c>
      <c r="B5212" s="12">
        <v>5055272.0</v>
      </c>
      <c r="C5212" s="12">
        <v>5056201.0</v>
      </c>
      <c r="D5212" s="2"/>
      <c r="E5212" s="2" t="s">
        <v>38</v>
      </c>
      <c r="F5212" s="2" t="s">
        <v>1371</v>
      </c>
      <c r="G5212" s="2"/>
      <c r="H5212" s="12">
        <v>0.0</v>
      </c>
      <c r="I5212" s="2" t="s">
        <v>40</v>
      </c>
      <c r="J5212" s="2"/>
      <c r="K5212" s="2" t="s">
        <v>13940</v>
      </c>
      <c r="L5212" s="12">
        <v>309.0</v>
      </c>
      <c r="M5212" s="2" t="s">
        <v>13941</v>
      </c>
      <c r="N5212" s="2" t="str">
        <f>IFERROR(__xludf.DUMMYFUNCTION("""COMPUTED_VALUE"""),"")</f>
        <v/>
      </c>
    </row>
    <row r="5213">
      <c r="A5213" s="2" t="s">
        <v>33</v>
      </c>
      <c r="B5213" s="12">
        <v>5056408.0</v>
      </c>
      <c r="C5213" s="12">
        <v>5056725.0</v>
      </c>
      <c r="D5213" s="2"/>
      <c r="E5213" s="2" t="s">
        <v>34</v>
      </c>
      <c r="F5213" s="2" t="s">
        <v>2365</v>
      </c>
      <c r="G5213" s="2"/>
      <c r="H5213" s="12">
        <v>0.0</v>
      </c>
      <c r="I5213" s="2" t="s">
        <v>40</v>
      </c>
      <c r="J5213" s="2"/>
      <c r="K5213" s="2" t="s">
        <v>13942</v>
      </c>
      <c r="L5213" s="12">
        <v>105.0</v>
      </c>
      <c r="M5213" s="2" t="s">
        <v>13943</v>
      </c>
      <c r="N5213" s="2" t="str">
        <f>IFERROR(__xludf.DUMMYFUNCTION("""COMPUTED_VALUE"""),"")</f>
        <v/>
      </c>
    </row>
    <row r="5214">
      <c r="A5214" s="2" t="s">
        <v>33</v>
      </c>
      <c r="B5214" s="12">
        <v>5056733.0</v>
      </c>
      <c r="C5214" s="12">
        <v>5057269.0</v>
      </c>
      <c r="D5214" s="2"/>
      <c r="E5214" s="2" t="s">
        <v>34</v>
      </c>
      <c r="F5214" s="2" t="s">
        <v>4550</v>
      </c>
      <c r="G5214" s="2"/>
      <c r="H5214" s="12">
        <v>0.0</v>
      </c>
      <c r="I5214" s="2" t="s">
        <v>40</v>
      </c>
      <c r="J5214" s="2"/>
      <c r="K5214" s="2" t="s">
        <v>13944</v>
      </c>
      <c r="L5214" s="12">
        <v>178.0</v>
      </c>
      <c r="M5214" s="2" t="s">
        <v>13945</v>
      </c>
      <c r="N5214" s="2" t="str">
        <f>IFERROR(__xludf.DUMMYFUNCTION("""COMPUTED_VALUE"""),"")</f>
        <v/>
      </c>
    </row>
    <row r="5215">
      <c r="A5215" s="2" t="s">
        <v>33</v>
      </c>
      <c r="B5215" s="12">
        <v>5057384.0</v>
      </c>
      <c r="C5215" s="12">
        <v>5057677.0</v>
      </c>
      <c r="D5215" s="2"/>
      <c r="E5215" s="2" t="s">
        <v>38</v>
      </c>
      <c r="F5215" s="2" t="s">
        <v>39</v>
      </c>
      <c r="G5215" s="2"/>
      <c r="H5215" s="12">
        <v>0.0</v>
      </c>
      <c r="I5215" s="2" t="s">
        <v>40</v>
      </c>
      <c r="J5215" s="2"/>
      <c r="K5215" s="2" t="s">
        <v>13946</v>
      </c>
      <c r="L5215" s="12">
        <v>97.0</v>
      </c>
      <c r="M5215" s="2" t="s">
        <v>13947</v>
      </c>
      <c r="N5215" s="2" t="str">
        <f>IFERROR(__xludf.DUMMYFUNCTION("""COMPUTED_VALUE"""),"")</f>
        <v/>
      </c>
    </row>
    <row r="5216">
      <c r="A5216" s="2" t="s">
        <v>33</v>
      </c>
      <c r="B5216" s="12">
        <v>5057823.0</v>
      </c>
      <c r="C5216" s="12">
        <v>5058068.0</v>
      </c>
      <c r="D5216" s="2"/>
      <c r="E5216" s="2" t="s">
        <v>38</v>
      </c>
      <c r="F5216" s="2" t="s">
        <v>39</v>
      </c>
      <c r="G5216" s="2"/>
      <c r="H5216" s="12">
        <v>0.0</v>
      </c>
      <c r="I5216" s="2" t="s">
        <v>40</v>
      </c>
      <c r="J5216" s="2"/>
      <c r="K5216" s="2" t="s">
        <v>13948</v>
      </c>
      <c r="L5216" s="12">
        <v>81.0</v>
      </c>
      <c r="M5216" s="2" t="s">
        <v>13949</v>
      </c>
      <c r="N5216" s="2" t="str">
        <f>IFERROR(__xludf.DUMMYFUNCTION("""COMPUTED_VALUE"""),"")</f>
        <v/>
      </c>
    </row>
    <row r="5217">
      <c r="A5217" s="2" t="s">
        <v>33</v>
      </c>
      <c r="B5217" s="12">
        <v>5058350.0</v>
      </c>
      <c r="C5217" s="12">
        <v>5058733.0</v>
      </c>
      <c r="D5217" s="2"/>
      <c r="E5217" s="2" t="s">
        <v>34</v>
      </c>
      <c r="F5217" s="2" t="s">
        <v>541</v>
      </c>
      <c r="G5217" s="2"/>
      <c r="H5217" s="12">
        <v>0.0</v>
      </c>
      <c r="I5217" s="2" t="s">
        <v>40</v>
      </c>
      <c r="J5217" s="2"/>
      <c r="K5217" s="2" t="s">
        <v>13950</v>
      </c>
      <c r="L5217" s="12">
        <v>127.0</v>
      </c>
      <c r="M5217" s="2" t="s">
        <v>13951</v>
      </c>
      <c r="N5217" s="2" t="str">
        <f>IFERROR(__xludf.DUMMYFUNCTION("""COMPUTED_VALUE"""),"")</f>
        <v/>
      </c>
    </row>
    <row r="5218">
      <c r="A5218" s="2" t="s">
        <v>33</v>
      </c>
      <c r="B5218" s="12">
        <v>5058748.0</v>
      </c>
      <c r="C5218" s="12">
        <v>5059290.0</v>
      </c>
      <c r="D5218" s="2"/>
      <c r="E5218" s="2" t="s">
        <v>34</v>
      </c>
      <c r="F5218" s="2" t="s">
        <v>367</v>
      </c>
      <c r="G5218" s="2"/>
      <c r="H5218" s="12">
        <v>0.0</v>
      </c>
      <c r="I5218" s="2" t="s">
        <v>40</v>
      </c>
      <c r="J5218" s="2"/>
      <c r="K5218" s="2" t="s">
        <v>13952</v>
      </c>
      <c r="L5218" s="12">
        <v>180.0</v>
      </c>
      <c r="M5218" s="2" t="s">
        <v>13953</v>
      </c>
      <c r="N5218" s="2" t="str">
        <f>IFERROR(__xludf.DUMMYFUNCTION("""COMPUTED_VALUE"""),"")</f>
        <v/>
      </c>
    </row>
    <row r="5219">
      <c r="A5219" s="2" t="s">
        <v>33</v>
      </c>
      <c r="B5219" s="12">
        <v>5059290.0</v>
      </c>
      <c r="C5219" s="12">
        <v>5059871.0</v>
      </c>
      <c r="D5219" s="2"/>
      <c r="E5219" s="2" t="s">
        <v>34</v>
      </c>
      <c r="F5219" s="2" t="s">
        <v>13954</v>
      </c>
      <c r="G5219" s="2"/>
      <c r="H5219" s="12">
        <v>0.0</v>
      </c>
      <c r="I5219" s="2" t="s">
        <v>40</v>
      </c>
      <c r="J5219" s="2"/>
      <c r="K5219" s="2" t="s">
        <v>13955</v>
      </c>
      <c r="L5219" s="12">
        <v>193.0</v>
      </c>
      <c r="M5219" s="2" t="s">
        <v>13956</v>
      </c>
      <c r="N5219" s="2" t="str">
        <f>IFERROR(__xludf.DUMMYFUNCTION("""COMPUTED_VALUE"""),"")</f>
        <v/>
      </c>
    </row>
    <row r="5220">
      <c r="A5220" s="2" t="s">
        <v>33</v>
      </c>
      <c r="B5220" s="12">
        <v>5059895.0</v>
      </c>
      <c r="C5220" s="12">
        <v>5060473.0</v>
      </c>
      <c r="D5220" s="2"/>
      <c r="E5220" s="2" t="s">
        <v>34</v>
      </c>
      <c r="F5220" s="2" t="s">
        <v>13957</v>
      </c>
      <c r="G5220" s="2"/>
      <c r="H5220" s="12">
        <v>0.0</v>
      </c>
      <c r="I5220" s="2" t="s">
        <v>40</v>
      </c>
      <c r="J5220" s="2"/>
      <c r="K5220" s="2" t="s">
        <v>13958</v>
      </c>
      <c r="L5220" s="12">
        <v>192.0</v>
      </c>
      <c r="M5220" s="2" t="s">
        <v>13959</v>
      </c>
      <c r="N5220" s="2" t="str">
        <f>IFERROR(__xludf.DUMMYFUNCTION("""COMPUTED_VALUE"""),"")</f>
        <v/>
      </c>
    </row>
    <row r="5221">
      <c r="A5221" s="2" t="s">
        <v>33</v>
      </c>
      <c r="B5221" s="12">
        <v>5060825.0</v>
      </c>
      <c r="C5221" s="12">
        <v>5061136.0</v>
      </c>
      <c r="D5221" s="2"/>
      <c r="E5221" s="2" t="s">
        <v>34</v>
      </c>
      <c r="F5221" s="2" t="s">
        <v>39</v>
      </c>
      <c r="G5221" s="2"/>
      <c r="H5221" s="12">
        <v>0.0</v>
      </c>
      <c r="I5221" s="2" t="s">
        <v>40</v>
      </c>
      <c r="J5221" s="2"/>
      <c r="K5221" s="2" t="s">
        <v>13960</v>
      </c>
      <c r="L5221" s="12">
        <v>103.0</v>
      </c>
      <c r="M5221" s="2" t="s">
        <v>13961</v>
      </c>
      <c r="N5221" s="2" t="str">
        <f>IFERROR(__xludf.DUMMYFUNCTION("""COMPUTED_VALUE"""),"")</f>
        <v/>
      </c>
    </row>
    <row r="5222">
      <c r="A5222" s="2" t="s">
        <v>33</v>
      </c>
      <c r="B5222" s="12">
        <v>5061177.0</v>
      </c>
      <c r="C5222" s="12">
        <v>5061392.0</v>
      </c>
      <c r="D5222" s="2"/>
      <c r="E5222" s="2" t="s">
        <v>38</v>
      </c>
      <c r="F5222" s="2" t="s">
        <v>220</v>
      </c>
      <c r="G5222" s="2"/>
      <c r="H5222" s="12">
        <v>0.0</v>
      </c>
      <c r="I5222" s="2" t="s">
        <v>40</v>
      </c>
      <c r="J5222" s="2"/>
      <c r="K5222" s="2" t="s">
        <v>13962</v>
      </c>
      <c r="L5222" s="12">
        <v>71.0</v>
      </c>
      <c r="M5222" s="2" t="s">
        <v>13963</v>
      </c>
      <c r="N5222" s="2" t="str">
        <f>IFERROR(__xludf.DUMMYFUNCTION("""COMPUTED_VALUE"""),"")</f>
        <v/>
      </c>
    </row>
    <row r="5223">
      <c r="A5223" s="2" t="s">
        <v>33</v>
      </c>
      <c r="B5223" s="12">
        <v>5061403.0</v>
      </c>
      <c r="C5223" s="12">
        <v>5061885.0</v>
      </c>
      <c r="D5223" s="2"/>
      <c r="E5223" s="2" t="s">
        <v>38</v>
      </c>
      <c r="F5223" s="2" t="s">
        <v>1189</v>
      </c>
      <c r="G5223" s="2"/>
      <c r="H5223" s="12">
        <v>0.0</v>
      </c>
      <c r="I5223" s="2" t="s">
        <v>40</v>
      </c>
      <c r="J5223" s="2"/>
      <c r="K5223" s="2" t="s">
        <v>13964</v>
      </c>
      <c r="L5223" s="12">
        <v>160.0</v>
      </c>
      <c r="M5223" s="2" t="s">
        <v>13965</v>
      </c>
      <c r="N5223" s="2" t="str">
        <f>IFERROR(__xludf.DUMMYFUNCTION("""COMPUTED_VALUE"""),"")</f>
        <v/>
      </c>
    </row>
    <row r="5224">
      <c r="A5224" s="2" t="s">
        <v>33</v>
      </c>
      <c r="B5224" s="12">
        <v>5062183.0</v>
      </c>
      <c r="C5224" s="12">
        <v>5063856.0</v>
      </c>
      <c r="D5224" s="2"/>
      <c r="E5224" s="2" t="s">
        <v>34</v>
      </c>
      <c r="F5224" s="2" t="s">
        <v>10310</v>
      </c>
      <c r="G5224" s="2"/>
      <c r="H5224" s="12">
        <v>0.0</v>
      </c>
      <c r="I5224" s="2" t="s">
        <v>40</v>
      </c>
      <c r="J5224" s="2"/>
      <c r="K5224" s="2" t="s">
        <v>13966</v>
      </c>
      <c r="L5224" s="12">
        <v>557.0</v>
      </c>
      <c r="M5224" s="2" t="s">
        <v>13967</v>
      </c>
      <c r="N5224" s="2" t="str">
        <f>IFERROR(__xludf.DUMMYFUNCTION("""COMPUTED_VALUE"""),"")</f>
        <v/>
      </c>
    </row>
    <row r="5225">
      <c r="A5225" s="2" t="s">
        <v>33</v>
      </c>
      <c r="B5225" s="12">
        <v>5064329.0</v>
      </c>
      <c r="C5225" s="12">
        <v>5065159.0</v>
      </c>
      <c r="D5225" s="2"/>
      <c r="E5225" s="2" t="s">
        <v>34</v>
      </c>
      <c r="F5225" s="2" t="s">
        <v>5570</v>
      </c>
      <c r="G5225" s="2"/>
      <c r="H5225" s="12">
        <v>0.0</v>
      </c>
      <c r="I5225" s="2" t="s">
        <v>40</v>
      </c>
      <c r="J5225" s="2"/>
      <c r="K5225" s="2" t="s">
        <v>13968</v>
      </c>
      <c r="L5225" s="12">
        <v>276.0</v>
      </c>
      <c r="M5225" s="2" t="s">
        <v>13969</v>
      </c>
      <c r="N5225" s="2" t="str">
        <f>IFERROR(__xludf.DUMMYFUNCTION("""COMPUTED_VALUE"""),"")</f>
        <v/>
      </c>
    </row>
    <row r="5226">
      <c r="A5226" s="2" t="s">
        <v>33</v>
      </c>
      <c r="B5226" s="12">
        <v>5065393.0</v>
      </c>
      <c r="C5226" s="12">
        <v>5067780.0</v>
      </c>
      <c r="D5226" s="2"/>
      <c r="E5226" s="2" t="s">
        <v>34</v>
      </c>
      <c r="F5226" s="2" t="s">
        <v>13741</v>
      </c>
      <c r="G5226" s="2"/>
      <c r="H5226" s="12">
        <v>0.0</v>
      </c>
      <c r="I5226" s="2" t="s">
        <v>40</v>
      </c>
      <c r="J5226" s="2"/>
      <c r="K5226" s="2" t="s">
        <v>13970</v>
      </c>
      <c r="L5226" s="12">
        <v>795.0</v>
      </c>
      <c r="M5226" s="2" t="s">
        <v>13971</v>
      </c>
      <c r="N5226" s="2" t="str">
        <f>IFERROR(__xludf.DUMMYFUNCTION("""COMPUTED_VALUE"""),"")</f>
        <v/>
      </c>
    </row>
    <row r="5227">
      <c r="A5227" s="2" t="s">
        <v>33</v>
      </c>
      <c r="B5227" s="12">
        <v>5068088.0</v>
      </c>
      <c r="C5227" s="12">
        <v>5069119.0</v>
      </c>
      <c r="D5227" s="2"/>
      <c r="E5227" s="2" t="s">
        <v>34</v>
      </c>
      <c r="F5227" s="2" t="s">
        <v>13972</v>
      </c>
      <c r="G5227" s="2"/>
      <c r="H5227" s="12">
        <v>0.0</v>
      </c>
      <c r="I5227" s="2" t="s">
        <v>40</v>
      </c>
      <c r="J5227" s="2"/>
      <c r="K5227" s="2" t="s">
        <v>13973</v>
      </c>
      <c r="L5227" s="12">
        <v>343.0</v>
      </c>
      <c r="M5227" s="2" t="s">
        <v>13974</v>
      </c>
      <c r="N5227" s="2" t="str">
        <f>IFERROR(__xludf.DUMMYFUNCTION("""COMPUTED_VALUE"""),"")</f>
        <v/>
      </c>
    </row>
    <row r="5228">
      <c r="A5228" s="2" t="s">
        <v>33</v>
      </c>
      <c r="B5228" s="12">
        <v>5069373.0</v>
      </c>
      <c r="C5228" s="12">
        <v>5069831.0</v>
      </c>
      <c r="D5228" s="2"/>
      <c r="E5228" s="2" t="s">
        <v>38</v>
      </c>
      <c r="F5228" s="2" t="s">
        <v>541</v>
      </c>
      <c r="G5228" s="2"/>
      <c r="H5228" s="12">
        <v>0.0</v>
      </c>
      <c r="I5228" s="2" t="s">
        <v>40</v>
      </c>
      <c r="J5228" s="2"/>
      <c r="K5228" s="2" t="s">
        <v>13975</v>
      </c>
      <c r="L5228" s="12">
        <v>152.0</v>
      </c>
      <c r="M5228" s="2" t="s">
        <v>13976</v>
      </c>
      <c r="N5228" s="2" t="str">
        <f>IFERROR(__xludf.DUMMYFUNCTION("""COMPUTED_VALUE"""),"")</f>
        <v/>
      </c>
    </row>
    <row r="5229">
      <c r="A5229" s="2" t="s">
        <v>33</v>
      </c>
      <c r="B5229" s="12">
        <v>5070141.0</v>
      </c>
      <c r="C5229" s="12">
        <v>5071565.0</v>
      </c>
      <c r="D5229" s="2"/>
      <c r="E5229" s="2" t="s">
        <v>38</v>
      </c>
      <c r="F5229" s="2" t="s">
        <v>4879</v>
      </c>
      <c r="G5229" s="2"/>
      <c r="H5229" s="12">
        <v>0.0</v>
      </c>
      <c r="I5229" s="2" t="s">
        <v>40</v>
      </c>
      <c r="J5229" s="2"/>
      <c r="K5229" s="2" t="s">
        <v>13977</v>
      </c>
      <c r="L5229" s="12">
        <v>474.0</v>
      </c>
      <c r="M5229" s="2" t="s">
        <v>13978</v>
      </c>
      <c r="N5229" s="2" t="str">
        <f>IFERROR(__xludf.DUMMYFUNCTION("""COMPUTED_VALUE"""),"")</f>
        <v/>
      </c>
    </row>
    <row r="5230">
      <c r="A5230" s="2" t="s">
        <v>33</v>
      </c>
      <c r="B5230" s="12">
        <v>5071833.0</v>
      </c>
      <c r="C5230" s="12">
        <v>5072582.0</v>
      </c>
      <c r="D5230" s="2"/>
      <c r="E5230" s="2" t="s">
        <v>34</v>
      </c>
      <c r="F5230" s="2" t="s">
        <v>13776</v>
      </c>
      <c r="G5230" s="2"/>
      <c r="H5230" s="12">
        <v>0.0</v>
      </c>
      <c r="I5230" s="2" t="s">
        <v>40</v>
      </c>
      <c r="J5230" s="2"/>
      <c r="K5230" s="2" t="s">
        <v>13979</v>
      </c>
      <c r="L5230" s="12">
        <v>249.0</v>
      </c>
      <c r="M5230" s="2" t="s">
        <v>13980</v>
      </c>
      <c r="N5230" s="2" t="str">
        <f>IFERROR(__xludf.DUMMYFUNCTION("""COMPUTED_VALUE"""),"")</f>
        <v/>
      </c>
    </row>
    <row r="5231">
      <c r="A5231" s="2" t="s">
        <v>33</v>
      </c>
      <c r="B5231" s="12">
        <v>5072657.0</v>
      </c>
      <c r="C5231" s="12">
        <v>5074297.0</v>
      </c>
      <c r="D5231" s="2"/>
      <c r="E5231" s="2" t="s">
        <v>34</v>
      </c>
      <c r="F5231" s="2" t="s">
        <v>13981</v>
      </c>
      <c r="G5231" s="2"/>
      <c r="H5231" s="12">
        <v>0.0</v>
      </c>
      <c r="I5231" s="2" t="s">
        <v>40</v>
      </c>
      <c r="J5231" s="2"/>
      <c r="K5231" s="2" t="s">
        <v>13982</v>
      </c>
      <c r="L5231" s="12">
        <v>546.0</v>
      </c>
      <c r="M5231" s="2" t="s">
        <v>13983</v>
      </c>
      <c r="N5231" s="2" t="str">
        <f>IFERROR(__xludf.DUMMYFUNCTION("""COMPUTED_VALUE"""),"")</f>
        <v/>
      </c>
    </row>
    <row r="5232">
      <c r="A5232" s="2" t="s">
        <v>33</v>
      </c>
      <c r="B5232" s="12">
        <v>5074476.0</v>
      </c>
      <c r="C5232" s="12">
        <v>5075294.0</v>
      </c>
      <c r="D5232" s="2"/>
      <c r="E5232" s="2" t="s">
        <v>38</v>
      </c>
      <c r="F5232" s="2" t="s">
        <v>6542</v>
      </c>
      <c r="G5232" s="2" t="s">
        <v>6543</v>
      </c>
      <c r="H5232" s="12">
        <v>0.0</v>
      </c>
      <c r="I5232" s="2" t="s">
        <v>40</v>
      </c>
      <c r="J5232" s="2"/>
      <c r="K5232" s="2" t="s">
        <v>13984</v>
      </c>
      <c r="L5232" s="12">
        <v>272.0</v>
      </c>
      <c r="M5232" s="2" t="s">
        <v>13985</v>
      </c>
      <c r="N5232" s="2" t="str">
        <f>IFERROR(__xludf.DUMMYFUNCTION("""COMPUTED_VALUE"""),"")</f>
        <v/>
      </c>
    </row>
    <row r="5233">
      <c r="A5233" s="2" t="s">
        <v>33</v>
      </c>
      <c r="B5233" s="12">
        <v>5075985.0</v>
      </c>
      <c r="C5233" s="12">
        <v>5077088.0</v>
      </c>
      <c r="D5233" s="2"/>
      <c r="E5233" s="2" t="s">
        <v>34</v>
      </c>
      <c r="F5233" s="2" t="s">
        <v>13986</v>
      </c>
      <c r="G5233" s="2" t="s">
        <v>13987</v>
      </c>
      <c r="H5233" s="12">
        <v>0.0</v>
      </c>
      <c r="I5233" s="2" t="s">
        <v>40</v>
      </c>
      <c r="J5233" s="2"/>
      <c r="K5233" s="2" t="s">
        <v>13988</v>
      </c>
      <c r="L5233" s="12">
        <v>367.0</v>
      </c>
      <c r="M5233" s="2" t="s">
        <v>13989</v>
      </c>
      <c r="N5233" s="2" t="str">
        <f>IFERROR(__xludf.DUMMYFUNCTION("""COMPUTED_VALUE"""),"")</f>
        <v/>
      </c>
    </row>
    <row r="5234">
      <c r="A5234" s="2" t="s">
        <v>33</v>
      </c>
      <c r="B5234" s="12">
        <v>5077105.0</v>
      </c>
      <c r="C5234" s="12">
        <v>5078352.0</v>
      </c>
      <c r="D5234" s="2"/>
      <c r="E5234" s="2" t="s">
        <v>34</v>
      </c>
      <c r="F5234" s="2" t="s">
        <v>13990</v>
      </c>
      <c r="G5234" s="2"/>
      <c r="H5234" s="12">
        <v>0.0</v>
      </c>
      <c r="I5234" s="2" t="s">
        <v>40</v>
      </c>
      <c r="J5234" s="2"/>
      <c r="K5234" s="2" t="s">
        <v>13991</v>
      </c>
      <c r="L5234" s="12">
        <v>415.0</v>
      </c>
      <c r="M5234" s="2" t="s">
        <v>13992</v>
      </c>
      <c r="N5234" s="2" t="str">
        <f>IFERROR(__xludf.DUMMYFUNCTION("""COMPUTED_VALUE"""),"")</f>
        <v/>
      </c>
    </row>
    <row r="5235">
      <c r="A5235" s="2" t="s">
        <v>33</v>
      </c>
      <c r="B5235" s="12">
        <v>5078402.0</v>
      </c>
      <c r="C5235" s="12">
        <v>5079595.0</v>
      </c>
      <c r="D5235" s="2"/>
      <c r="E5235" s="2" t="s">
        <v>38</v>
      </c>
      <c r="F5235" s="2" t="s">
        <v>2184</v>
      </c>
      <c r="G5235" s="2"/>
      <c r="H5235" s="12">
        <v>0.0</v>
      </c>
      <c r="I5235" s="2" t="s">
        <v>40</v>
      </c>
      <c r="J5235" s="2"/>
      <c r="K5235" s="2" t="s">
        <v>13993</v>
      </c>
      <c r="L5235" s="12">
        <v>397.0</v>
      </c>
      <c r="M5235" s="2" t="s">
        <v>13994</v>
      </c>
      <c r="N5235" s="2" t="str">
        <f>IFERROR(__xludf.DUMMYFUNCTION("""COMPUTED_VALUE"""),"")</f>
        <v/>
      </c>
    </row>
    <row r="5236">
      <c r="A5236" s="2" t="s">
        <v>33</v>
      </c>
      <c r="B5236" s="12">
        <v>5079928.0</v>
      </c>
      <c r="C5236" s="12">
        <v>5080419.0</v>
      </c>
      <c r="D5236" s="2"/>
      <c r="E5236" s="2" t="s">
        <v>38</v>
      </c>
      <c r="F5236" s="2" t="s">
        <v>817</v>
      </c>
      <c r="G5236" s="2"/>
      <c r="H5236" s="12">
        <v>0.0</v>
      </c>
      <c r="I5236" s="2" t="s">
        <v>40</v>
      </c>
      <c r="J5236" s="2"/>
      <c r="K5236" s="2" t="s">
        <v>13995</v>
      </c>
      <c r="L5236" s="12">
        <v>163.0</v>
      </c>
      <c r="M5236" s="2" t="s">
        <v>13996</v>
      </c>
      <c r="N5236" s="2" t="str">
        <f>IFERROR(__xludf.DUMMYFUNCTION("""COMPUTED_VALUE"""),"")</f>
        <v/>
      </c>
    </row>
    <row r="5237">
      <c r="A5237" s="2" t="s">
        <v>33</v>
      </c>
      <c r="B5237" s="12">
        <v>5080723.0</v>
      </c>
      <c r="C5237" s="12">
        <v>5081766.0</v>
      </c>
      <c r="D5237" s="2"/>
      <c r="E5237" s="2" t="s">
        <v>34</v>
      </c>
      <c r="F5237" s="2" t="s">
        <v>220</v>
      </c>
      <c r="G5237" s="2"/>
      <c r="H5237" s="12">
        <v>0.0</v>
      </c>
      <c r="I5237" s="2" t="s">
        <v>40</v>
      </c>
      <c r="J5237" s="2"/>
      <c r="K5237" s="2" t="s">
        <v>13997</v>
      </c>
      <c r="L5237" s="12">
        <v>347.0</v>
      </c>
      <c r="M5237" s="2" t="s">
        <v>13998</v>
      </c>
      <c r="N5237" s="2" t="str">
        <f>IFERROR(__xludf.DUMMYFUNCTION("""COMPUTED_VALUE"""),"")</f>
        <v/>
      </c>
    </row>
    <row r="5238">
      <c r="A5238" s="2" t="s">
        <v>33</v>
      </c>
      <c r="B5238" s="12">
        <v>5081818.0</v>
      </c>
      <c r="C5238" s="12">
        <v>5083038.0</v>
      </c>
      <c r="D5238" s="2"/>
      <c r="E5238" s="2" t="s">
        <v>34</v>
      </c>
      <c r="F5238" s="2" t="s">
        <v>88</v>
      </c>
      <c r="G5238" s="2"/>
      <c r="H5238" s="12">
        <v>0.0</v>
      </c>
      <c r="I5238" s="2" t="s">
        <v>40</v>
      </c>
      <c r="J5238" s="2"/>
      <c r="K5238" s="2" t="s">
        <v>13999</v>
      </c>
      <c r="L5238" s="12">
        <v>406.0</v>
      </c>
      <c r="M5238" s="2" t="s">
        <v>14000</v>
      </c>
      <c r="N5238" s="2" t="str">
        <f>IFERROR(__xludf.DUMMYFUNCTION("""COMPUTED_VALUE"""),"")</f>
        <v/>
      </c>
    </row>
    <row r="5239">
      <c r="A5239" s="2" t="s">
        <v>33</v>
      </c>
      <c r="B5239" s="12">
        <v>5083135.0</v>
      </c>
      <c r="C5239" s="12">
        <v>5083461.0</v>
      </c>
      <c r="D5239" s="2"/>
      <c r="E5239" s="2" t="s">
        <v>34</v>
      </c>
      <c r="F5239" s="2" t="s">
        <v>14001</v>
      </c>
      <c r="G5239" s="2" t="s">
        <v>14002</v>
      </c>
      <c r="H5239" s="12">
        <v>0.0</v>
      </c>
      <c r="I5239" s="2" t="s">
        <v>40</v>
      </c>
      <c r="J5239" s="2"/>
      <c r="K5239" s="2" t="s">
        <v>14003</v>
      </c>
      <c r="L5239" s="12">
        <v>108.0</v>
      </c>
      <c r="M5239" s="2" t="s">
        <v>14004</v>
      </c>
      <c r="N5239" s="2" t="str">
        <f>IFERROR(__xludf.DUMMYFUNCTION("""COMPUTED_VALUE"""),"")</f>
        <v/>
      </c>
    </row>
    <row r="5240">
      <c r="A5240" s="2" t="s">
        <v>33</v>
      </c>
      <c r="B5240" s="12">
        <v>5083696.0</v>
      </c>
      <c r="C5240" s="12">
        <v>5084115.0</v>
      </c>
      <c r="D5240" s="2"/>
      <c r="E5240" s="2" t="s">
        <v>34</v>
      </c>
      <c r="F5240" s="2" t="s">
        <v>541</v>
      </c>
      <c r="G5240" s="2"/>
      <c r="H5240" s="12">
        <v>0.0</v>
      </c>
      <c r="I5240" s="2" t="s">
        <v>40</v>
      </c>
      <c r="J5240" s="2"/>
      <c r="K5240" s="2" t="s">
        <v>14005</v>
      </c>
      <c r="L5240" s="12">
        <v>139.0</v>
      </c>
      <c r="M5240" s="2" t="s">
        <v>14006</v>
      </c>
      <c r="N5240" s="2" t="str">
        <f>IFERROR(__xludf.DUMMYFUNCTION("""COMPUTED_VALUE"""),"")</f>
        <v/>
      </c>
    </row>
    <row r="5241">
      <c r="A5241" s="2" t="s">
        <v>33</v>
      </c>
      <c r="B5241" s="12">
        <v>5084225.0</v>
      </c>
      <c r="C5241" s="12">
        <v>5085007.0</v>
      </c>
      <c r="D5241" s="2"/>
      <c r="E5241" s="2" t="s">
        <v>38</v>
      </c>
      <c r="F5241" s="2" t="s">
        <v>14007</v>
      </c>
      <c r="G5241" s="2" t="s">
        <v>14008</v>
      </c>
      <c r="H5241" s="12">
        <v>0.0</v>
      </c>
      <c r="I5241" s="2" t="s">
        <v>40</v>
      </c>
      <c r="J5241" s="2"/>
      <c r="K5241" s="2" t="s">
        <v>14009</v>
      </c>
      <c r="L5241" s="12">
        <v>260.0</v>
      </c>
      <c r="M5241" s="2" t="s">
        <v>14010</v>
      </c>
      <c r="N5241" s="2" t="str">
        <f>IFERROR(__xludf.DUMMYFUNCTION("""COMPUTED_VALUE"""),"")</f>
        <v/>
      </c>
    </row>
    <row r="5242">
      <c r="A5242" s="2" t="s">
        <v>33</v>
      </c>
      <c r="B5242" s="12">
        <v>5085014.0</v>
      </c>
      <c r="C5242" s="12">
        <v>5085376.0</v>
      </c>
      <c r="D5242" s="2"/>
      <c r="E5242" s="2" t="s">
        <v>38</v>
      </c>
      <c r="F5242" s="2" t="s">
        <v>9497</v>
      </c>
      <c r="G5242" s="2"/>
      <c r="H5242" s="12">
        <v>0.0</v>
      </c>
      <c r="I5242" s="2" t="s">
        <v>40</v>
      </c>
      <c r="J5242" s="2"/>
      <c r="K5242" s="2" t="s">
        <v>14011</v>
      </c>
      <c r="L5242" s="12">
        <v>120.0</v>
      </c>
      <c r="M5242" s="2" t="s">
        <v>14012</v>
      </c>
      <c r="N5242" s="2" t="str">
        <f>IFERROR(__xludf.DUMMYFUNCTION("""COMPUTED_VALUE"""),"")</f>
        <v/>
      </c>
    </row>
    <row r="5243">
      <c r="A5243" s="2" t="s">
        <v>33</v>
      </c>
      <c r="B5243" s="12">
        <v>5085402.0</v>
      </c>
      <c r="C5243" s="12">
        <v>5086964.0</v>
      </c>
      <c r="D5243" s="2"/>
      <c r="E5243" s="2" t="s">
        <v>38</v>
      </c>
      <c r="F5243" s="2" t="s">
        <v>14013</v>
      </c>
      <c r="G5243" s="2" t="s">
        <v>14014</v>
      </c>
      <c r="H5243" s="12">
        <v>0.0</v>
      </c>
      <c r="I5243" s="2" t="s">
        <v>40</v>
      </c>
      <c r="J5243" s="2"/>
      <c r="K5243" s="2" t="s">
        <v>14015</v>
      </c>
      <c r="L5243" s="12">
        <v>520.0</v>
      </c>
      <c r="M5243" s="2" t="s">
        <v>14016</v>
      </c>
      <c r="N5243" s="2" t="str">
        <f>IFERROR(__xludf.DUMMYFUNCTION("""COMPUTED_VALUE"""),"")</f>
        <v/>
      </c>
    </row>
    <row r="5244">
      <c r="A5244" s="2" t="s">
        <v>33</v>
      </c>
      <c r="B5244" s="12">
        <v>5086964.0</v>
      </c>
      <c r="C5244" s="12">
        <v>5087896.0</v>
      </c>
      <c r="D5244" s="2"/>
      <c r="E5244" s="2" t="s">
        <v>38</v>
      </c>
      <c r="F5244" s="2" t="s">
        <v>2191</v>
      </c>
      <c r="G5244" s="2"/>
      <c r="H5244" s="12">
        <v>0.0</v>
      </c>
      <c r="I5244" s="2" t="s">
        <v>40</v>
      </c>
      <c r="J5244" s="2"/>
      <c r="K5244" s="2" t="s">
        <v>14017</v>
      </c>
      <c r="L5244" s="12">
        <v>310.0</v>
      </c>
      <c r="M5244" s="2" t="s">
        <v>14018</v>
      </c>
      <c r="N5244" s="2" t="str">
        <f>IFERROR(__xludf.DUMMYFUNCTION("""COMPUTED_VALUE"""),"")</f>
        <v/>
      </c>
    </row>
    <row r="5245">
      <c r="A5245" s="2" t="s">
        <v>33</v>
      </c>
      <c r="B5245" s="12">
        <v>5088095.0</v>
      </c>
      <c r="C5245" s="12">
        <v>5089576.0</v>
      </c>
      <c r="D5245" s="2"/>
      <c r="E5245" s="2" t="s">
        <v>34</v>
      </c>
      <c r="F5245" s="2" t="s">
        <v>5128</v>
      </c>
      <c r="G5245" s="2"/>
      <c r="H5245" s="12">
        <v>0.0</v>
      </c>
      <c r="I5245" s="2" t="s">
        <v>40</v>
      </c>
      <c r="J5245" s="2"/>
      <c r="K5245" s="2" t="s">
        <v>14019</v>
      </c>
      <c r="L5245" s="12">
        <v>493.0</v>
      </c>
      <c r="M5245" s="2" t="s">
        <v>14020</v>
      </c>
      <c r="N5245" s="2" t="str">
        <f>IFERROR(__xludf.DUMMYFUNCTION("""COMPUTED_VALUE"""),"")</f>
        <v/>
      </c>
    </row>
    <row r="5246">
      <c r="A5246" s="2" t="s">
        <v>33</v>
      </c>
      <c r="B5246" s="12">
        <v>5089573.0</v>
      </c>
      <c r="C5246" s="12">
        <v>5090526.0</v>
      </c>
      <c r="D5246" s="2"/>
      <c r="E5246" s="2" t="s">
        <v>34</v>
      </c>
      <c r="F5246" s="2" t="s">
        <v>787</v>
      </c>
      <c r="G5246" s="2"/>
      <c r="H5246" s="12">
        <v>0.0</v>
      </c>
      <c r="I5246" s="2" t="s">
        <v>40</v>
      </c>
      <c r="J5246" s="2"/>
      <c r="K5246" s="2" t="s">
        <v>14021</v>
      </c>
      <c r="L5246" s="12">
        <v>317.0</v>
      </c>
      <c r="M5246" s="2" t="s">
        <v>14022</v>
      </c>
      <c r="N5246" s="2" t="str">
        <f>IFERROR(__xludf.DUMMYFUNCTION("""COMPUTED_VALUE"""),"")</f>
        <v/>
      </c>
    </row>
    <row r="5247">
      <c r="A5247" s="2" t="s">
        <v>33</v>
      </c>
      <c r="B5247" s="12">
        <v>5090523.0</v>
      </c>
      <c r="C5247" s="12">
        <v>5091512.0</v>
      </c>
      <c r="D5247" s="2"/>
      <c r="E5247" s="2" t="s">
        <v>34</v>
      </c>
      <c r="F5247" s="2" t="s">
        <v>265</v>
      </c>
      <c r="G5247" s="2"/>
      <c r="H5247" s="12">
        <v>0.0</v>
      </c>
      <c r="I5247" s="2" t="s">
        <v>40</v>
      </c>
      <c r="J5247" s="2"/>
      <c r="K5247" s="2" t="s">
        <v>14023</v>
      </c>
      <c r="L5247" s="12">
        <v>329.0</v>
      </c>
      <c r="M5247" s="2" t="s">
        <v>14024</v>
      </c>
      <c r="N5247" s="2" t="str">
        <f>IFERROR(__xludf.DUMMYFUNCTION("""COMPUTED_VALUE"""),"")</f>
        <v/>
      </c>
    </row>
    <row r="5248">
      <c r="A5248" s="2" t="s">
        <v>33</v>
      </c>
      <c r="B5248" s="12">
        <v>5091509.0</v>
      </c>
      <c r="C5248" s="12">
        <v>5092552.0</v>
      </c>
      <c r="D5248" s="2"/>
      <c r="E5248" s="2" t="s">
        <v>34</v>
      </c>
      <c r="F5248" s="2" t="s">
        <v>14025</v>
      </c>
      <c r="G5248" s="2" t="s">
        <v>14026</v>
      </c>
      <c r="H5248" s="12">
        <v>0.0</v>
      </c>
      <c r="I5248" s="2" t="s">
        <v>40</v>
      </c>
      <c r="J5248" s="2"/>
      <c r="K5248" s="2" t="s">
        <v>14027</v>
      </c>
      <c r="L5248" s="12">
        <v>347.0</v>
      </c>
      <c r="M5248" s="2" t="s">
        <v>14028</v>
      </c>
      <c r="N5248" s="2" t="str">
        <f>IFERROR(__xludf.DUMMYFUNCTION("""COMPUTED_VALUE"""),"")</f>
        <v/>
      </c>
    </row>
    <row r="5249">
      <c r="A5249" s="2" t="s">
        <v>33</v>
      </c>
      <c r="B5249" s="12">
        <v>5092600.0</v>
      </c>
      <c r="C5249" s="12">
        <v>5094102.0</v>
      </c>
      <c r="D5249" s="2"/>
      <c r="E5249" s="2" t="s">
        <v>38</v>
      </c>
      <c r="F5249" s="2" t="s">
        <v>14029</v>
      </c>
      <c r="G5249" s="2"/>
      <c r="H5249" s="12">
        <v>0.0</v>
      </c>
      <c r="I5249" s="2" t="s">
        <v>40</v>
      </c>
      <c r="J5249" s="2"/>
      <c r="K5249" s="2" t="s">
        <v>14030</v>
      </c>
      <c r="L5249" s="12">
        <v>500.0</v>
      </c>
      <c r="M5249" s="2" t="s">
        <v>14031</v>
      </c>
      <c r="N5249" s="2" t="str">
        <f>IFERROR(__xludf.DUMMYFUNCTION("""COMPUTED_VALUE"""),"")</f>
        <v/>
      </c>
    </row>
    <row r="5250">
      <c r="A5250" s="2" t="s">
        <v>33</v>
      </c>
      <c r="B5250" s="12">
        <v>5094483.0</v>
      </c>
      <c r="C5250" s="12">
        <v>5095529.0</v>
      </c>
      <c r="D5250" s="2"/>
      <c r="E5250" s="2" t="s">
        <v>34</v>
      </c>
      <c r="F5250" s="2" t="s">
        <v>14032</v>
      </c>
      <c r="G5250" s="2"/>
      <c r="H5250" s="12">
        <v>0.0</v>
      </c>
      <c r="I5250" s="2" t="s">
        <v>40</v>
      </c>
      <c r="J5250" s="2"/>
      <c r="K5250" s="2" t="s">
        <v>14033</v>
      </c>
      <c r="L5250" s="12">
        <v>348.0</v>
      </c>
      <c r="M5250" s="2" t="s">
        <v>14034</v>
      </c>
      <c r="N5250" s="2" t="str">
        <f>IFERROR(__xludf.DUMMYFUNCTION("""COMPUTED_VALUE"""),"")</f>
        <v/>
      </c>
    </row>
    <row r="5251">
      <c r="A5251" s="2" t="s">
        <v>33</v>
      </c>
      <c r="B5251" s="12">
        <v>5095663.0</v>
      </c>
      <c r="C5251" s="12">
        <v>5096013.0</v>
      </c>
      <c r="D5251" s="2"/>
      <c r="E5251" s="2" t="s">
        <v>38</v>
      </c>
      <c r="F5251" s="2" t="s">
        <v>39</v>
      </c>
      <c r="G5251" s="2"/>
      <c r="H5251" s="12">
        <v>0.0</v>
      </c>
      <c r="I5251" s="2" t="s">
        <v>40</v>
      </c>
      <c r="J5251" s="2"/>
      <c r="K5251" s="2" t="s">
        <v>14035</v>
      </c>
      <c r="L5251" s="12">
        <v>116.0</v>
      </c>
      <c r="M5251" s="2" t="s">
        <v>14036</v>
      </c>
      <c r="N5251" s="2" t="str">
        <f>IFERROR(__xludf.DUMMYFUNCTION("""COMPUTED_VALUE"""),"")</f>
        <v/>
      </c>
    </row>
    <row r="5252">
      <c r="A5252" s="2" t="s">
        <v>33</v>
      </c>
      <c r="B5252" s="12">
        <v>5096152.0</v>
      </c>
      <c r="C5252" s="12">
        <v>5096624.0</v>
      </c>
      <c r="D5252" s="2"/>
      <c r="E5252" s="2" t="s">
        <v>38</v>
      </c>
      <c r="F5252" s="2" t="s">
        <v>35</v>
      </c>
      <c r="G5252" s="2"/>
      <c r="H5252" s="12">
        <v>0.0</v>
      </c>
      <c r="I5252" s="2" t="s">
        <v>36</v>
      </c>
      <c r="J5252" s="2"/>
      <c r="K5252" s="2"/>
      <c r="L5252" s="2"/>
      <c r="M5252" s="2" t="s">
        <v>14037</v>
      </c>
      <c r="N5252" s="2" t="str">
        <f>IFERROR(__xludf.DUMMYFUNCTION("""COMPUTED_VALUE"""),"")</f>
        <v/>
      </c>
    </row>
    <row r="5253">
      <c r="A5253" s="2" t="s">
        <v>33</v>
      </c>
      <c r="B5253" s="12">
        <v>5096960.0</v>
      </c>
      <c r="C5253" s="12">
        <v>5097304.0</v>
      </c>
      <c r="D5253" s="2"/>
      <c r="E5253" s="2" t="s">
        <v>38</v>
      </c>
      <c r="F5253" s="2" t="s">
        <v>35</v>
      </c>
      <c r="G5253" s="2"/>
      <c r="H5253" s="12">
        <v>0.0</v>
      </c>
      <c r="I5253" s="2" t="s">
        <v>36</v>
      </c>
      <c r="J5253" s="2"/>
      <c r="K5253" s="2"/>
      <c r="L5253" s="2"/>
      <c r="M5253" s="2" t="s">
        <v>14038</v>
      </c>
      <c r="N5253" s="2" t="str">
        <f>IFERROR(__xludf.DUMMYFUNCTION("""COMPUTED_VALUE"""),"")</f>
        <v/>
      </c>
    </row>
    <row r="5254">
      <c r="A5254" s="2" t="s">
        <v>33</v>
      </c>
      <c r="B5254" s="12">
        <v>5097309.0</v>
      </c>
      <c r="C5254" s="12">
        <v>5097689.0</v>
      </c>
      <c r="D5254" s="2"/>
      <c r="E5254" s="2" t="s">
        <v>38</v>
      </c>
      <c r="F5254" s="2" t="s">
        <v>541</v>
      </c>
      <c r="G5254" s="2"/>
      <c r="H5254" s="12">
        <v>0.0</v>
      </c>
      <c r="I5254" s="2" t="s">
        <v>40</v>
      </c>
      <c r="J5254" s="2"/>
      <c r="K5254" s="2" t="s">
        <v>14039</v>
      </c>
      <c r="L5254" s="12">
        <v>126.0</v>
      </c>
      <c r="M5254" s="2" t="s">
        <v>14040</v>
      </c>
      <c r="N5254" s="2" t="str">
        <f>IFERROR(__xludf.DUMMYFUNCTION("""COMPUTED_VALUE"""),"")</f>
        <v/>
      </c>
    </row>
    <row r="5255">
      <c r="A5255" s="2" t="s">
        <v>33</v>
      </c>
      <c r="B5255" s="12">
        <v>5097870.0</v>
      </c>
      <c r="C5255" s="12">
        <v>5098361.0</v>
      </c>
      <c r="D5255" s="2"/>
      <c r="E5255" s="2" t="s">
        <v>34</v>
      </c>
      <c r="F5255" s="2" t="s">
        <v>39</v>
      </c>
      <c r="G5255" s="2"/>
      <c r="H5255" s="12">
        <v>0.0</v>
      </c>
      <c r="I5255" s="2" t="s">
        <v>40</v>
      </c>
      <c r="J5255" s="2"/>
      <c r="K5255" s="2" t="s">
        <v>14041</v>
      </c>
      <c r="L5255" s="12">
        <v>163.0</v>
      </c>
      <c r="M5255" s="2" t="s">
        <v>14042</v>
      </c>
      <c r="N5255" s="2" t="str">
        <f>IFERROR(__xludf.DUMMYFUNCTION("""COMPUTED_VALUE"""),"")</f>
        <v/>
      </c>
    </row>
    <row r="5256">
      <c r="A5256" s="2" t="s">
        <v>33</v>
      </c>
      <c r="B5256" s="12">
        <v>5098575.0</v>
      </c>
      <c r="C5256" s="12">
        <v>5100248.0</v>
      </c>
      <c r="D5256" s="2"/>
      <c r="E5256" s="2" t="s">
        <v>34</v>
      </c>
      <c r="F5256" s="2" t="s">
        <v>14043</v>
      </c>
      <c r="G5256" s="2" t="s">
        <v>14044</v>
      </c>
      <c r="H5256" s="12">
        <v>0.0</v>
      </c>
      <c r="I5256" s="2" t="s">
        <v>40</v>
      </c>
      <c r="J5256" s="2"/>
      <c r="K5256" s="2" t="s">
        <v>14045</v>
      </c>
      <c r="L5256" s="12">
        <v>557.0</v>
      </c>
      <c r="M5256" s="2" t="s">
        <v>14046</v>
      </c>
      <c r="N5256" s="2" t="str">
        <f>IFERROR(__xludf.DUMMYFUNCTION("""COMPUTED_VALUE"""),"")</f>
        <v/>
      </c>
    </row>
    <row r="5257">
      <c r="A5257" s="2" t="s">
        <v>33</v>
      </c>
      <c r="B5257" s="12">
        <v>5100359.0</v>
      </c>
      <c r="C5257" s="12">
        <v>5100694.0</v>
      </c>
      <c r="D5257" s="2"/>
      <c r="E5257" s="2" t="s">
        <v>34</v>
      </c>
      <c r="F5257" s="2" t="s">
        <v>35</v>
      </c>
      <c r="G5257" s="2"/>
      <c r="H5257" s="12">
        <v>0.0</v>
      </c>
      <c r="I5257" s="2" t="s">
        <v>36</v>
      </c>
      <c r="J5257" s="2"/>
      <c r="K5257" s="2"/>
      <c r="L5257" s="2"/>
      <c r="M5257" s="2" t="s">
        <v>14047</v>
      </c>
      <c r="N5257" s="2" t="str">
        <f>IFERROR(__xludf.DUMMYFUNCTION("""COMPUTED_VALUE"""),"")</f>
        <v/>
      </c>
    </row>
    <row r="5258">
      <c r="A5258" s="2" t="s">
        <v>33</v>
      </c>
      <c r="B5258" s="12">
        <v>5100713.0</v>
      </c>
      <c r="C5258" s="12">
        <v>5101237.0</v>
      </c>
      <c r="D5258" s="2"/>
      <c r="E5258" s="2" t="s">
        <v>38</v>
      </c>
      <c r="F5258" s="2" t="s">
        <v>13954</v>
      </c>
      <c r="G5258" s="2"/>
      <c r="H5258" s="12">
        <v>0.0</v>
      </c>
      <c r="I5258" s="2" t="s">
        <v>40</v>
      </c>
      <c r="J5258" s="2"/>
      <c r="K5258" s="2" t="s">
        <v>14048</v>
      </c>
      <c r="L5258" s="12">
        <v>174.0</v>
      </c>
      <c r="M5258" s="2" t="s">
        <v>14049</v>
      </c>
      <c r="N5258" s="2" t="str">
        <f>IFERROR(__xludf.DUMMYFUNCTION("""COMPUTED_VALUE"""),"")</f>
        <v/>
      </c>
    </row>
    <row r="5259">
      <c r="A5259" s="2" t="s">
        <v>33</v>
      </c>
      <c r="B5259" s="12">
        <v>5101338.0</v>
      </c>
      <c r="C5259" s="12">
        <v>5101439.0</v>
      </c>
      <c r="D5259" s="2"/>
      <c r="E5259" s="2" t="s">
        <v>34</v>
      </c>
      <c r="F5259" s="2" t="s">
        <v>14050</v>
      </c>
      <c r="G5259" s="2"/>
      <c r="H5259" s="12">
        <v>0.0</v>
      </c>
      <c r="I5259" s="2" t="s">
        <v>40</v>
      </c>
      <c r="J5259" s="2"/>
      <c r="K5259" s="2" t="s">
        <v>14051</v>
      </c>
      <c r="L5259" s="12">
        <v>33.0</v>
      </c>
      <c r="M5259" s="2" t="s">
        <v>14052</v>
      </c>
      <c r="N5259" s="2" t="str">
        <f>IFERROR(__xludf.DUMMYFUNCTION("""COMPUTED_VALUE"""),"")</f>
        <v/>
      </c>
    </row>
    <row r="5260">
      <c r="A5260" s="2" t="s">
        <v>33</v>
      </c>
      <c r="B5260" s="12">
        <v>5101578.0</v>
      </c>
      <c r="C5260" s="12">
        <v>5101796.0</v>
      </c>
      <c r="D5260" s="2"/>
      <c r="E5260" s="2" t="s">
        <v>34</v>
      </c>
      <c r="F5260" s="2" t="s">
        <v>35</v>
      </c>
      <c r="G5260" s="2"/>
      <c r="H5260" s="12">
        <v>0.0</v>
      </c>
      <c r="I5260" s="2" t="s">
        <v>36</v>
      </c>
      <c r="J5260" s="2"/>
      <c r="K5260" s="2"/>
      <c r="L5260" s="2"/>
      <c r="M5260" s="2" t="s">
        <v>14053</v>
      </c>
      <c r="N5260" s="2" t="str">
        <f>IFERROR(__xludf.DUMMYFUNCTION("""COMPUTED_VALUE"""),"")</f>
        <v/>
      </c>
    </row>
    <row r="5261">
      <c r="A5261" s="2" t="s">
        <v>33</v>
      </c>
      <c r="B5261" s="12">
        <v>5101809.0</v>
      </c>
      <c r="C5261" s="12">
        <v>5102345.0</v>
      </c>
      <c r="D5261" s="2"/>
      <c r="E5261" s="2" t="s">
        <v>34</v>
      </c>
      <c r="F5261" s="2" t="s">
        <v>367</v>
      </c>
      <c r="G5261" s="2"/>
      <c r="H5261" s="12">
        <v>0.0</v>
      </c>
      <c r="I5261" s="2" t="s">
        <v>40</v>
      </c>
      <c r="J5261" s="2"/>
      <c r="K5261" s="2" t="s">
        <v>14054</v>
      </c>
      <c r="L5261" s="12">
        <v>178.0</v>
      </c>
      <c r="M5261" s="2" t="s">
        <v>14055</v>
      </c>
      <c r="N5261" s="2" t="str">
        <f>IFERROR(__xludf.DUMMYFUNCTION("""COMPUTED_VALUE"""),"")</f>
        <v/>
      </c>
    </row>
    <row r="5262">
      <c r="A5262" s="2" t="s">
        <v>33</v>
      </c>
      <c r="B5262" s="12">
        <v>5102380.0</v>
      </c>
      <c r="C5262" s="12">
        <v>5102910.0</v>
      </c>
      <c r="D5262" s="2"/>
      <c r="E5262" s="2" t="s">
        <v>34</v>
      </c>
      <c r="F5262" s="2" t="s">
        <v>1099</v>
      </c>
      <c r="G5262" s="2"/>
      <c r="H5262" s="12">
        <v>0.0</v>
      </c>
      <c r="I5262" s="2" t="s">
        <v>40</v>
      </c>
      <c r="J5262" s="2"/>
      <c r="K5262" s="2" t="s">
        <v>14056</v>
      </c>
      <c r="L5262" s="12">
        <v>176.0</v>
      </c>
      <c r="M5262" s="2" t="s">
        <v>14057</v>
      </c>
      <c r="N5262" s="2" t="str">
        <f>IFERROR(__xludf.DUMMYFUNCTION("""COMPUTED_VALUE"""),"")</f>
        <v/>
      </c>
    </row>
    <row r="5263">
      <c r="A5263" s="2" t="s">
        <v>33</v>
      </c>
      <c r="B5263" s="12">
        <v>5103061.0</v>
      </c>
      <c r="C5263" s="12">
        <v>5103498.0</v>
      </c>
      <c r="D5263" s="2"/>
      <c r="E5263" s="2" t="s">
        <v>38</v>
      </c>
      <c r="F5263" s="2" t="s">
        <v>13732</v>
      </c>
      <c r="G5263" s="2"/>
      <c r="H5263" s="12">
        <v>0.0</v>
      </c>
      <c r="I5263" s="2" t="s">
        <v>40</v>
      </c>
      <c r="J5263" s="2"/>
      <c r="K5263" s="2" t="s">
        <v>14058</v>
      </c>
      <c r="L5263" s="12">
        <v>145.0</v>
      </c>
      <c r="M5263" s="2" t="s">
        <v>14059</v>
      </c>
      <c r="N5263" s="2" t="str">
        <f>IFERROR(__xludf.DUMMYFUNCTION("""COMPUTED_VALUE"""),"")</f>
        <v/>
      </c>
    </row>
    <row r="5264">
      <c r="A5264" s="2" t="s">
        <v>33</v>
      </c>
      <c r="B5264" s="12">
        <v>5103680.0</v>
      </c>
      <c r="C5264" s="12">
        <v>5107162.0</v>
      </c>
      <c r="D5264" s="2"/>
      <c r="E5264" s="2" t="s">
        <v>34</v>
      </c>
      <c r="F5264" s="2" t="s">
        <v>14060</v>
      </c>
      <c r="G5264" s="2"/>
      <c r="H5264" s="12">
        <v>0.0</v>
      </c>
      <c r="I5264" s="2" t="s">
        <v>40</v>
      </c>
      <c r="J5264" s="2"/>
      <c r="K5264" s="2" t="s">
        <v>14061</v>
      </c>
      <c r="L5264" s="12">
        <v>1160.0</v>
      </c>
      <c r="M5264" s="2" t="s">
        <v>14062</v>
      </c>
      <c r="N5264" s="2" t="str">
        <f>IFERROR(__xludf.DUMMYFUNCTION("""COMPUTED_VALUE"""),"")</f>
        <v/>
      </c>
    </row>
    <row r="5265">
      <c r="A5265" s="2" t="s">
        <v>33</v>
      </c>
      <c r="B5265" s="12">
        <v>5107989.0</v>
      </c>
      <c r="C5265" s="12">
        <v>5109065.0</v>
      </c>
      <c r="D5265" s="2"/>
      <c r="E5265" s="2" t="s">
        <v>34</v>
      </c>
      <c r="F5265" s="2" t="s">
        <v>9350</v>
      </c>
      <c r="G5265" s="2"/>
      <c r="H5265" s="12">
        <v>0.0</v>
      </c>
      <c r="I5265" s="2" t="s">
        <v>40</v>
      </c>
      <c r="J5265" s="2"/>
      <c r="K5265" s="2" t="s">
        <v>14063</v>
      </c>
      <c r="L5265" s="12">
        <v>358.0</v>
      </c>
      <c r="M5265" s="2" t="s">
        <v>14064</v>
      </c>
      <c r="N5265" s="2" t="str">
        <f>IFERROR(__xludf.DUMMYFUNCTION("""COMPUTED_VALUE"""),"")</f>
        <v/>
      </c>
    </row>
    <row r="5266">
      <c r="A5266" s="2" t="s">
        <v>33</v>
      </c>
      <c r="B5266" s="12">
        <v>5109348.0</v>
      </c>
      <c r="C5266" s="12">
        <v>5110520.0</v>
      </c>
      <c r="D5266" s="2"/>
      <c r="E5266" s="2" t="s">
        <v>34</v>
      </c>
      <c r="F5266" s="2" t="s">
        <v>3071</v>
      </c>
      <c r="G5266" s="2" t="s">
        <v>3072</v>
      </c>
      <c r="H5266" s="12">
        <v>0.0</v>
      </c>
      <c r="I5266" s="2" t="s">
        <v>40</v>
      </c>
      <c r="J5266" s="2"/>
      <c r="K5266" s="2" t="s">
        <v>14065</v>
      </c>
      <c r="L5266" s="12">
        <v>390.0</v>
      </c>
      <c r="M5266" s="2" t="s">
        <v>14066</v>
      </c>
      <c r="N5266" s="2" t="str">
        <f>IFERROR(__xludf.DUMMYFUNCTION("""COMPUTED_VALUE"""),"")</f>
        <v/>
      </c>
    </row>
    <row r="5267">
      <c r="A5267" s="2" t="s">
        <v>33</v>
      </c>
      <c r="B5267" s="12">
        <v>5110539.0</v>
      </c>
      <c r="C5267" s="12">
        <v>5111639.0</v>
      </c>
      <c r="D5267" s="2"/>
      <c r="E5267" s="2" t="s">
        <v>34</v>
      </c>
      <c r="F5267" s="2" t="s">
        <v>3063</v>
      </c>
      <c r="G5267" s="2" t="s">
        <v>3064</v>
      </c>
      <c r="H5267" s="12">
        <v>0.0</v>
      </c>
      <c r="I5267" s="2" t="s">
        <v>40</v>
      </c>
      <c r="J5267" s="2"/>
      <c r="K5267" s="2" t="s">
        <v>14067</v>
      </c>
      <c r="L5267" s="12">
        <v>366.0</v>
      </c>
      <c r="M5267" s="2" t="s">
        <v>14068</v>
      </c>
      <c r="N5267" s="2" t="str">
        <f>IFERROR(__xludf.DUMMYFUNCTION("""COMPUTED_VALUE"""),"")</f>
        <v/>
      </c>
    </row>
    <row r="5268">
      <c r="A5268" s="2" t="s">
        <v>33</v>
      </c>
      <c r="B5268" s="12">
        <v>5111632.0</v>
      </c>
      <c r="C5268" s="12">
        <v>5112732.0</v>
      </c>
      <c r="D5268" s="2"/>
      <c r="E5268" s="2" t="s">
        <v>34</v>
      </c>
      <c r="F5268" s="2" t="s">
        <v>14069</v>
      </c>
      <c r="G5268" s="2" t="s">
        <v>14070</v>
      </c>
      <c r="H5268" s="12">
        <v>0.0</v>
      </c>
      <c r="I5268" s="2" t="s">
        <v>40</v>
      </c>
      <c r="J5268" s="2"/>
      <c r="K5268" s="2" t="s">
        <v>14071</v>
      </c>
      <c r="L5268" s="12">
        <v>366.0</v>
      </c>
      <c r="M5268" s="2" t="s">
        <v>14072</v>
      </c>
      <c r="N5268" s="2" t="str">
        <f>IFERROR(__xludf.DUMMYFUNCTION("""COMPUTED_VALUE"""),"")</f>
        <v/>
      </c>
    </row>
    <row r="5269">
      <c r="A5269" s="2" t="s">
        <v>33</v>
      </c>
      <c r="B5269" s="12">
        <v>5112750.0</v>
      </c>
      <c r="C5269" s="12">
        <v>5114039.0</v>
      </c>
      <c r="D5269" s="2"/>
      <c r="E5269" s="2" t="s">
        <v>34</v>
      </c>
      <c r="F5269" s="2" t="s">
        <v>14073</v>
      </c>
      <c r="G5269" s="2" t="s">
        <v>14074</v>
      </c>
      <c r="H5269" s="12">
        <v>0.0</v>
      </c>
      <c r="I5269" s="2" t="s">
        <v>40</v>
      </c>
      <c r="J5269" s="2"/>
      <c r="K5269" s="2" t="s">
        <v>14075</v>
      </c>
      <c r="L5269" s="12">
        <v>429.0</v>
      </c>
      <c r="M5269" s="2" t="s">
        <v>14076</v>
      </c>
      <c r="N5269" s="2" t="str">
        <f>IFERROR(__xludf.DUMMYFUNCTION("""COMPUTED_VALUE"""),"")</f>
        <v/>
      </c>
    </row>
    <row r="5270">
      <c r="A5270" s="2" t="s">
        <v>33</v>
      </c>
      <c r="B5270" s="12">
        <v>5114164.0</v>
      </c>
      <c r="C5270" s="12">
        <v>5115321.0</v>
      </c>
      <c r="D5270" s="2"/>
      <c r="E5270" s="2" t="s">
        <v>34</v>
      </c>
      <c r="F5270" s="2" t="s">
        <v>14077</v>
      </c>
      <c r="G5270" s="2" t="s">
        <v>14078</v>
      </c>
      <c r="H5270" s="12">
        <v>0.0</v>
      </c>
      <c r="I5270" s="2" t="s">
        <v>40</v>
      </c>
      <c r="J5270" s="2"/>
      <c r="K5270" s="2" t="s">
        <v>14079</v>
      </c>
      <c r="L5270" s="12">
        <v>385.0</v>
      </c>
      <c r="M5270" s="2" t="s">
        <v>14080</v>
      </c>
      <c r="N5270" s="2" t="str">
        <f>IFERROR(__xludf.DUMMYFUNCTION("""COMPUTED_VALUE"""),"")</f>
        <v/>
      </c>
    </row>
    <row r="5271">
      <c r="A5271" s="2" t="s">
        <v>33</v>
      </c>
      <c r="B5271" s="12">
        <v>5115551.0</v>
      </c>
      <c r="C5271" s="12">
        <v>5116117.0</v>
      </c>
      <c r="D5271" s="2"/>
      <c r="E5271" s="2" t="s">
        <v>34</v>
      </c>
      <c r="F5271" s="2" t="s">
        <v>427</v>
      </c>
      <c r="G5271" s="2"/>
      <c r="H5271" s="12">
        <v>0.0</v>
      </c>
      <c r="I5271" s="2" t="s">
        <v>40</v>
      </c>
      <c r="J5271" s="2"/>
      <c r="K5271" s="2" t="s">
        <v>14081</v>
      </c>
      <c r="L5271" s="12">
        <v>188.0</v>
      </c>
      <c r="M5271" s="2" t="s">
        <v>14082</v>
      </c>
      <c r="N5271" s="2" t="str">
        <f>IFERROR(__xludf.DUMMYFUNCTION("""COMPUTED_VALUE"""),"")</f>
        <v/>
      </c>
    </row>
    <row r="5272">
      <c r="A5272" s="2" t="s">
        <v>33</v>
      </c>
      <c r="B5272" s="12">
        <v>5116328.0</v>
      </c>
      <c r="C5272" s="12">
        <v>5119444.0</v>
      </c>
      <c r="D5272" s="2"/>
      <c r="E5272" s="2" t="s">
        <v>34</v>
      </c>
      <c r="F5272" s="2" t="s">
        <v>757</v>
      </c>
      <c r="G5272" s="2"/>
      <c r="H5272" s="12">
        <v>0.0</v>
      </c>
      <c r="I5272" s="2" t="s">
        <v>40</v>
      </c>
      <c r="J5272" s="2"/>
      <c r="K5272" s="2" t="s">
        <v>14083</v>
      </c>
      <c r="L5272" s="12">
        <v>1038.0</v>
      </c>
      <c r="M5272" s="2" t="s">
        <v>14084</v>
      </c>
      <c r="N5272" s="2" t="str">
        <f>IFERROR(__xludf.DUMMYFUNCTION("""COMPUTED_VALUE"""),"")</f>
        <v/>
      </c>
    </row>
    <row r="5273">
      <c r="A5273" s="2" t="s">
        <v>33</v>
      </c>
      <c r="B5273" s="12">
        <v>5119916.0</v>
      </c>
      <c r="C5273" s="12">
        <v>5120764.0</v>
      </c>
      <c r="D5273" s="2"/>
      <c r="E5273" s="2" t="s">
        <v>34</v>
      </c>
      <c r="F5273" s="2" t="s">
        <v>39</v>
      </c>
      <c r="G5273" s="2"/>
      <c r="H5273" s="12">
        <v>0.0</v>
      </c>
      <c r="I5273" s="2" t="s">
        <v>40</v>
      </c>
      <c r="J5273" s="2"/>
      <c r="K5273" s="2" t="s">
        <v>14085</v>
      </c>
      <c r="L5273" s="12">
        <v>282.0</v>
      </c>
      <c r="M5273" s="2" t="s">
        <v>14086</v>
      </c>
      <c r="N5273" s="2" t="str">
        <f>IFERROR(__xludf.DUMMYFUNCTION("""COMPUTED_VALUE"""),"")</f>
        <v/>
      </c>
    </row>
    <row r="5274">
      <c r="A5274" s="2" t="s">
        <v>33</v>
      </c>
      <c r="B5274" s="12">
        <v>5121142.0</v>
      </c>
      <c r="C5274" s="12">
        <v>5122767.0</v>
      </c>
      <c r="D5274" s="2"/>
      <c r="E5274" s="2" t="s">
        <v>34</v>
      </c>
      <c r="F5274" s="2" t="s">
        <v>1262</v>
      </c>
      <c r="G5274" s="2"/>
      <c r="H5274" s="12">
        <v>0.0</v>
      </c>
      <c r="I5274" s="2" t="s">
        <v>40</v>
      </c>
      <c r="J5274" s="2"/>
      <c r="K5274" s="2" t="s">
        <v>14087</v>
      </c>
      <c r="L5274" s="12">
        <v>541.0</v>
      </c>
      <c r="M5274" s="2" t="s">
        <v>14088</v>
      </c>
      <c r="N5274" s="2" t="str">
        <f>IFERROR(__xludf.DUMMYFUNCTION("""COMPUTED_VALUE"""),"")</f>
        <v/>
      </c>
    </row>
    <row r="5275">
      <c r="A5275" s="2" t="s">
        <v>33</v>
      </c>
      <c r="B5275" s="12">
        <v>5123295.0</v>
      </c>
      <c r="C5275" s="12">
        <v>5125268.0</v>
      </c>
      <c r="D5275" s="2"/>
      <c r="E5275" s="2" t="s">
        <v>34</v>
      </c>
      <c r="F5275" s="2" t="s">
        <v>3365</v>
      </c>
      <c r="G5275" s="2"/>
      <c r="H5275" s="12">
        <v>0.0</v>
      </c>
      <c r="I5275" s="2" t="s">
        <v>40</v>
      </c>
      <c r="J5275" s="2"/>
      <c r="K5275" s="2" t="s">
        <v>14089</v>
      </c>
      <c r="L5275" s="12">
        <v>657.0</v>
      </c>
      <c r="M5275" s="2" t="s">
        <v>14090</v>
      </c>
      <c r="N5275" s="2" t="str">
        <f>IFERROR(__xludf.DUMMYFUNCTION("""COMPUTED_VALUE"""),"")</f>
        <v/>
      </c>
    </row>
    <row r="5276">
      <c r="A5276" s="2" t="s">
        <v>33</v>
      </c>
      <c r="B5276" s="12">
        <v>5125325.0</v>
      </c>
      <c r="C5276" s="12">
        <v>5125999.0</v>
      </c>
      <c r="D5276" s="2"/>
      <c r="E5276" s="2" t="s">
        <v>38</v>
      </c>
      <c r="F5276" s="2" t="s">
        <v>3676</v>
      </c>
      <c r="G5276" s="2"/>
      <c r="H5276" s="12">
        <v>0.0</v>
      </c>
      <c r="I5276" s="2" t="s">
        <v>40</v>
      </c>
      <c r="J5276" s="2"/>
      <c r="K5276" s="2" t="s">
        <v>14091</v>
      </c>
      <c r="L5276" s="12">
        <v>224.0</v>
      </c>
      <c r="M5276" s="2" t="s">
        <v>14092</v>
      </c>
      <c r="N5276" s="2" t="str">
        <f>IFERROR(__xludf.DUMMYFUNCTION("""COMPUTED_VALUE"""),"")</f>
        <v/>
      </c>
    </row>
    <row r="5277">
      <c r="A5277" s="2" t="s">
        <v>33</v>
      </c>
      <c r="B5277" s="12">
        <v>5126110.0</v>
      </c>
      <c r="C5277" s="12">
        <v>5126772.0</v>
      </c>
      <c r="D5277" s="2"/>
      <c r="E5277" s="2" t="s">
        <v>38</v>
      </c>
      <c r="F5277" s="2" t="s">
        <v>13609</v>
      </c>
      <c r="G5277" s="2"/>
      <c r="H5277" s="12">
        <v>0.0</v>
      </c>
      <c r="I5277" s="2" t="s">
        <v>40</v>
      </c>
      <c r="J5277" s="2"/>
      <c r="K5277" s="2" t="s">
        <v>14093</v>
      </c>
      <c r="L5277" s="12">
        <v>220.0</v>
      </c>
      <c r="M5277" s="2" t="s">
        <v>14094</v>
      </c>
      <c r="N5277" s="2" t="str">
        <f>IFERROR(__xludf.DUMMYFUNCTION("""COMPUTED_VALUE"""),"")</f>
        <v/>
      </c>
    </row>
    <row r="5278">
      <c r="A5278" s="2" t="s">
        <v>33</v>
      </c>
      <c r="B5278" s="12">
        <v>5126930.0</v>
      </c>
      <c r="C5278" s="12">
        <v>5127757.0</v>
      </c>
      <c r="D5278" s="2"/>
      <c r="E5278" s="2" t="s">
        <v>38</v>
      </c>
      <c r="F5278" s="2" t="s">
        <v>1780</v>
      </c>
      <c r="G5278" s="2"/>
      <c r="H5278" s="12">
        <v>0.0</v>
      </c>
      <c r="I5278" s="2" t="s">
        <v>40</v>
      </c>
      <c r="J5278" s="2"/>
      <c r="K5278" s="2" t="s">
        <v>14095</v>
      </c>
      <c r="L5278" s="12">
        <v>275.0</v>
      </c>
      <c r="M5278" s="2" t="s">
        <v>14096</v>
      </c>
      <c r="N5278" s="2" t="str">
        <f>IFERROR(__xludf.DUMMYFUNCTION("""COMPUTED_VALUE"""),"")</f>
        <v/>
      </c>
    </row>
    <row r="5279">
      <c r="A5279" s="2" t="s">
        <v>33</v>
      </c>
      <c r="B5279" s="12">
        <v>5128050.0</v>
      </c>
      <c r="C5279" s="12">
        <v>5128871.0</v>
      </c>
      <c r="D5279" s="2"/>
      <c r="E5279" s="2" t="s">
        <v>34</v>
      </c>
      <c r="F5279" s="2" t="s">
        <v>599</v>
      </c>
      <c r="G5279" s="2"/>
      <c r="H5279" s="12">
        <v>0.0</v>
      </c>
      <c r="I5279" s="2" t="s">
        <v>40</v>
      </c>
      <c r="J5279" s="2"/>
      <c r="K5279" s="2" t="s">
        <v>14097</v>
      </c>
      <c r="L5279" s="12">
        <v>273.0</v>
      </c>
      <c r="M5279" s="2" t="s">
        <v>14098</v>
      </c>
      <c r="N5279" s="2" t="str">
        <f>IFERROR(__xludf.DUMMYFUNCTION("""COMPUTED_VALUE"""),"")</f>
        <v/>
      </c>
    </row>
    <row r="5280">
      <c r="A5280" s="2" t="s">
        <v>33</v>
      </c>
      <c r="B5280" s="12">
        <v>5129060.0</v>
      </c>
      <c r="C5280" s="12">
        <v>5129449.0</v>
      </c>
      <c r="D5280" s="2"/>
      <c r="E5280" s="2" t="s">
        <v>34</v>
      </c>
      <c r="F5280" s="2" t="s">
        <v>541</v>
      </c>
      <c r="G5280" s="2"/>
      <c r="H5280" s="12">
        <v>0.0</v>
      </c>
      <c r="I5280" s="2" t="s">
        <v>40</v>
      </c>
      <c r="J5280" s="2"/>
      <c r="K5280" s="2" t="s">
        <v>14099</v>
      </c>
      <c r="L5280" s="12">
        <v>129.0</v>
      </c>
      <c r="M5280" s="2" t="s">
        <v>14100</v>
      </c>
      <c r="N5280" s="2" t="str">
        <f>IFERROR(__xludf.DUMMYFUNCTION("""COMPUTED_VALUE"""),"")</f>
        <v/>
      </c>
    </row>
    <row r="5281">
      <c r="A5281" s="2" t="s">
        <v>33</v>
      </c>
      <c r="B5281" s="12">
        <v>5129883.0</v>
      </c>
      <c r="C5281" s="12">
        <v>5130566.0</v>
      </c>
      <c r="D5281" s="2"/>
      <c r="E5281" s="2" t="s">
        <v>34</v>
      </c>
      <c r="F5281" s="2" t="s">
        <v>8766</v>
      </c>
      <c r="G5281" s="2"/>
      <c r="H5281" s="12">
        <v>0.0</v>
      </c>
      <c r="I5281" s="2" t="s">
        <v>40</v>
      </c>
      <c r="J5281" s="2"/>
      <c r="K5281" s="2" t="s">
        <v>14101</v>
      </c>
      <c r="L5281" s="12">
        <v>227.0</v>
      </c>
      <c r="M5281" s="2" t="s">
        <v>14102</v>
      </c>
      <c r="N5281" s="2" t="str">
        <f>IFERROR(__xludf.DUMMYFUNCTION("""COMPUTED_VALUE"""),"")</f>
        <v/>
      </c>
    </row>
    <row r="5282">
      <c r="A5282" s="2" t="s">
        <v>33</v>
      </c>
      <c r="B5282" s="12">
        <v>5130583.0</v>
      </c>
      <c r="C5282" s="12">
        <v>5131343.0</v>
      </c>
      <c r="D5282" s="2"/>
      <c r="E5282" s="2" t="s">
        <v>34</v>
      </c>
      <c r="F5282" s="2" t="s">
        <v>35</v>
      </c>
      <c r="G5282" s="2"/>
      <c r="H5282" s="12">
        <v>0.0</v>
      </c>
      <c r="I5282" s="2" t="s">
        <v>36</v>
      </c>
      <c r="J5282" s="2"/>
      <c r="K5282" s="2"/>
      <c r="L5282" s="2"/>
      <c r="M5282" s="2" t="s">
        <v>14103</v>
      </c>
      <c r="N5282" s="2" t="str">
        <f>IFERROR(__xludf.DUMMYFUNCTION("""COMPUTED_VALUE"""),"")</f>
        <v/>
      </c>
    </row>
    <row r="5283">
      <c r="A5283" s="2" t="s">
        <v>33</v>
      </c>
      <c r="B5283" s="12">
        <v>5131300.0</v>
      </c>
      <c r="C5283" s="12">
        <v>5131845.0</v>
      </c>
      <c r="D5283" s="2"/>
      <c r="E5283" s="2" t="s">
        <v>34</v>
      </c>
      <c r="F5283" s="2" t="s">
        <v>367</v>
      </c>
      <c r="G5283" s="2"/>
      <c r="H5283" s="12">
        <v>0.0</v>
      </c>
      <c r="I5283" s="2" t="s">
        <v>40</v>
      </c>
      <c r="J5283" s="2"/>
      <c r="K5283" s="2" t="s">
        <v>14104</v>
      </c>
      <c r="L5283" s="12">
        <v>181.0</v>
      </c>
      <c r="M5283" s="2" t="s">
        <v>14105</v>
      </c>
      <c r="N5283" s="2" t="str">
        <f>IFERROR(__xludf.DUMMYFUNCTION("""COMPUTED_VALUE"""),"")</f>
        <v/>
      </c>
    </row>
    <row r="5284">
      <c r="A5284" s="2" t="s">
        <v>33</v>
      </c>
      <c r="B5284" s="12">
        <v>5131879.0</v>
      </c>
      <c r="C5284" s="12">
        <v>5132379.0</v>
      </c>
      <c r="D5284" s="2"/>
      <c r="E5284" s="2" t="s">
        <v>34</v>
      </c>
      <c r="F5284" s="2" t="s">
        <v>367</v>
      </c>
      <c r="G5284" s="2"/>
      <c r="H5284" s="12">
        <v>0.0</v>
      </c>
      <c r="I5284" s="2" t="s">
        <v>40</v>
      </c>
      <c r="J5284" s="2"/>
      <c r="K5284" s="2" t="s">
        <v>14106</v>
      </c>
      <c r="L5284" s="12">
        <v>166.0</v>
      </c>
      <c r="M5284" s="2" t="s">
        <v>14107</v>
      </c>
      <c r="N5284" s="2" t="str">
        <f>IFERROR(__xludf.DUMMYFUNCTION("""COMPUTED_VALUE"""),"")</f>
        <v/>
      </c>
    </row>
    <row r="5285">
      <c r="A5285" s="2" t="s">
        <v>33</v>
      </c>
      <c r="B5285" s="12">
        <v>5132376.0</v>
      </c>
      <c r="C5285" s="12">
        <v>5132522.0</v>
      </c>
      <c r="D5285" s="2"/>
      <c r="E5285" s="2" t="s">
        <v>34</v>
      </c>
      <c r="F5285" s="2" t="s">
        <v>35</v>
      </c>
      <c r="G5285" s="2"/>
      <c r="H5285" s="12">
        <v>0.0</v>
      </c>
      <c r="I5285" s="2" t="s">
        <v>36</v>
      </c>
      <c r="J5285" s="2"/>
      <c r="K5285" s="2"/>
      <c r="L5285" s="2"/>
      <c r="M5285" s="2" t="s">
        <v>14108</v>
      </c>
      <c r="N5285" s="2" t="str">
        <f>IFERROR(__xludf.DUMMYFUNCTION("""COMPUTED_VALUE"""),"")</f>
        <v/>
      </c>
    </row>
    <row r="5286">
      <c r="A5286" s="2" t="s">
        <v>33</v>
      </c>
      <c r="B5286" s="12">
        <v>5132925.0</v>
      </c>
      <c r="C5286" s="12">
        <v>5133863.0</v>
      </c>
      <c r="D5286" s="2"/>
      <c r="E5286" s="2" t="s">
        <v>34</v>
      </c>
      <c r="F5286" s="2" t="s">
        <v>9850</v>
      </c>
      <c r="G5286" s="2"/>
      <c r="H5286" s="12">
        <v>0.0</v>
      </c>
      <c r="I5286" s="2" t="s">
        <v>40</v>
      </c>
      <c r="J5286" s="2"/>
      <c r="K5286" s="2" t="s">
        <v>14109</v>
      </c>
      <c r="L5286" s="12">
        <v>312.0</v>
      </c>
      <c r="M5286" s="2" t="s">
        <v>14110</v>
      </c>
      <c r="N5286" s="2" t="str">
        <f>IFERROR(__xludf.DUMMYFUNCTION("""COMPUTED_VALUE"""),"")</f>
        <v/>
      </c>
    </row>
    <row r="5287">
      <c r="A5287" s="2" t="s">
        <v>33</v>
      </c>
      <c r="B5287" s="12">
        <v>5133920.0</v>
      </c>
      <c r="C5287" s="12">
        <v>5134321.0</v>
      </c>
      <c r="D5287" s="2"/>
      <c r="E5287" s="2" t="s">
        <v>34</v>
      </c>
      <c r="F5287" s="2" t="s">
        <v>367</v>
      </c>
      <c r="G5287" s="2"/>
      <c r="H5287" s="12">
        <v>0.0</v>
      </c>
      <c r="I5287" s="2" t="s">
        <v>40</v>
      </c>
      <c r="J5287" s="2"/>
      <c r="K5287" s="2" t="s">
        <v>14111</v>
      </c>
      <c r="L5287" s="12">
        <v>133.0</v>
      </c>
      <c r="M5287" s="2" t="s">
        <v>14112</v>
      </c>
      <c r="N5287" s="2" t="str">
        <f>IFERROR(__xludf.DUMMYFUNCTION("""COMPUTED_VALUE"""),"")</f>
        <v/>
      </c>
    </row>
    <row r="5288">
      <c r="A5288" s="2" t="s">
        <v>33</v>
      </c>
      <c r="B5288" s="12">
        <v>5134553.0</v>
      </c>
      <c r="C5288" s="12">
        <v>5135356.0</v>
      </c>
      <c r="D5288" s="2"/>
      <c r="E5288" s="2" t="s">
        <v>34</v>
      </c>
      <c r="F5288" s="2" t="s">
        <v>14113</v>
      </c>
      <c r="G5288" s="2"/>
      <c r="H5288" s="12">
        <v>0.0</v>
      </c>
      <c r="I5288" s="2" t="s">
        <v>40</v>
      </c>
      <c r="J5288" s="2"/>
      <c r="K5288" s="2" t="s">
        <v>14114</v>
      </c>
      <c r="L5288" s="12">
        <v>267.0</v>
      </c>
      <c r="M5288" s="2" t="s">
        <v>14115</v>
      </c>
      <c r="N5288" s="2" t="str">
        <f>IFERROR(__xludf.DUMMYFUNCTION("""COMPUTED_VALUE"""),"")</f>
        <v/>
      </c>
    </row>
    <row r="5289">
      <c r="A5289" s="2" t="s">
        <v>33</v>
      </c>
      <c r="B5289" s="12">
        <v>5135372.0</v>
      </c>
      <c r="C5289" s="12">
        <v>5136061.0</v>
      </c>
      <c r="D5289" s="2"/>
      <c r="E5289" s="2" t="s">
        <v>34</v>
      </c>
      <c r="F5289" s="2" t="s">
        <v>14116</v>
      </c>
      <c r="G5289" s="2"/>
      <c r="H5289" s="12">
        <v>0.0</v>
      </c>
      <c r="I5289" s="2" t="s">
        <v>40</v>
      </c>
      <c r="J5289" s="2"/>
      <c r="K5289" s="2" t="s">
        <v>14117</v>
      </c>
      <c r="L5289" s="12">
        <v>229.0</v>
      </c>
      <c r="M5289" s="2" t="s">
        <v>14118</v>
      </c>
      <c r="N5289" s="2" t="str">
        <f>IFERROR(__xludf.DUMMYFUNCTION("""COMPUTED_VALUE"""),"")</f>
        <v/>
      </c>
    </row>
    <row r="5290">
      <c r="A5290" s="2" t="s">
        <v>33</v>
      </c>
      <c r="B5290" s="12">
        <v>5136203.0</v>
      </c>
      <c r="C5290" s="12">
        <v>5136676.0</v>
      </c>
      <c r="D5290" s="2"/>
      <c r="E5290" s="2" t="s">
        <v>34</v>
      </c>
      <c r="F5290" s="2" t="s">
        <v>1273</v>
      </c>
      <c r="G5290" s="2"/>
      <c r="H5290" s="12">
        <v>0.0</v>
      </c>
      <c r="I5290" s="2" t="s">
        <v>40</v>
      </c>
      <c r="J5290" s="2"/>
      <c r="K5290" s="2" t="s">
        <v>14119</v>
      </c>
      <c r="L5290" s="12">
        <v>157.0</v>
      </c>
      <c r="M5290" s="2" t="s">
        <v>14120</v>
      </c>
      <c r="N5290" s="2" t="str">
        <f>IFERROR(__xludf.DUMMYFUNCTION("""COMPUTED_VALUE"""),"")</f>
        <v/>
      </c>
    </row>
    <row r="5291">
      <c r="A5291" s="2" t="s">
        <v>33</v>
      </c>
      <c r="B5291" s="12">
        <v>5136689.0</v>
      </c>
      <c r="C5291" s="12">
        <v>5137744.0</v>
      </c>
      <c r="D5291" s="2"/>
      <c r="E5291" s="2" t="s">
        <v>34</v>
      </c>
      <c r="F5291" s="2" t="s">
        <v>39</v>
      </c>
      <c r="G5291" s="2"/>
      <c r="H5291" s="12">
        <v>0.0</v>
      </c>
      <c r="I5291" s="2" t="s">
        <v>40</v>
      </c>
      <c r="J5291" s="2"/>
      <c r="K5291" s="2" t="s">
        <v>14121</v>
      </c>
      <c r="L5291" s="12">
        <v>351.0</v>
      </c>
      <c r="M5291" s="2" t="s">
        <v>14122</v>
      </c>
      <c r="N5291" s="2" t="str">
        <f>IFERROR(__xludf.DUMMYFUNCTION("""COMPUTED_VALUE"""),"")</f>
        <v/>
      </c>
    </row>
    <row r="5292">
      <c r="A5292" s="2" t="s">
        <v>33</v>
      </c>
      <c r="B5292" s="12">
        <v>5137950.0</v>
      </c>
      <c r="C5292" s="12">
        <v>5138459.0</v>
      </c>
      <c r="D5292" s="2"/>
      <c r="E5292" s="2" t="s">
        <v>34</v>
      </c>
      <c r="F5292" s="2" t="s">
        <v>3315</v>
      </c>
      <c r="G5292" s="2"/>
      <c r="H5292" s="12">
        <v>0.0</v>
      </c>
      <c r="I5292" s="2" t="s">
        <v>40</v>
      </c>
      <c r="J5292" s="2"/>
      <c r="K5292" s="2" t="s">
        <v>14123</v>
      </c>
      <c r="L5292" s="12">
        <v>169.0</v>
      </c>
      <c r="M5292" s="2" t="s">
        <v>14124</v>
      </c>
      <c r="N5292" s="2" t="str">
        <f>IFERROR(__xludf.DUMMYFUNCTION("""COMPUTED_VALUE"""),"")</f>
        <v/>
      </c>
    </row>
    <row r="5293">
      <c r="A5293" s="2" t="s">
        <v>33</v>
      </c>
      <c r="B5293" s="12">
        <v>5138699.0</v>
      </c>
      <c r="C5293" s="12">
        <v>5139289.0</v>
      </c>
      <c r="D5293" s="2"/>
      <c r="E5293" s="2" t="s">
        <v>34</v>
      </c>
      <c r="F5293" s="2" t="s">
        <v>427</v>
      </c>
      <c r="G5293" s="2"/>
      <c r="H5293" s="12">
        <v>0.0</v>
      </c>
      <c r="I5293" s="2" t="s">
        <v>40</v>
      </c>
      <c r="J5293" s="2"/>
      <c r="K5293" s="2" t="s">
        <v>14125</v>
      </c>
      <c r="L5293" s="12">
        <v>196.0</v>
      </c>
      <c r="M5293" s="2" t="s">
        <v>14126</v>
      </c>
      <c r="N5293" s="2" t="str">
        <f>IFERROR(__xludf.DUMMYFUNCTION("""COMPUTED_VALUE"""),"")</f>
        <v/>
      </c>
    </row>
    <row r="5294">
      <c r="A5294" s="2" t="s">
        <v>33</v>
      </c>
      <c r="B5294" s="12">
        <v>5139286.0</v>
      </c>
      <c r="C5294" s="12">
        <v>5140014.0</v>
      </c>
      <c r="D5294" s="2"/>
      <c r="E5294" s="2" t="s">
        <v>34</v>
      </c>
      <c r="F5294" s="2" t="s">
        <v>39</v>
      </c>
      <c r="G5294" s="2"/>
      <c r="H5294" s="12">
        <v>0.0</v>
      </c>
      <c r="I5294" s="2" t="s">
        <v>40</v>
      </c>
      <c r="J5294" s="2"/>
      <c r="K5294" s="2" t="s">
        <v>14127</v>
      </c>
      <c r="L5294" s="12">
        <v>242.0</v>
      </c>
      <c r="M5294" s="2" t="s">
        <v>14128</v>
      </c>
      <c r="N5294" s="2" t="str">
        <f>IFERROR(__xludf.DUMMYFUNCTION("""COMPUTED_VALUE"""),"")</f>
        <v/>
      </c>
    </row>
    <row r="5295">
      <c r="A5295" s="2" t="s">
        <v>33</v>
      </c>
      <c r="B5295" s="12">
        <v>5140255.0</v>
      </c>
      <c r="C5295" s="12">
        <v>5141010.0</v>
      </c>
      <c r="D5295" s="2"/>
      <c r="E5295" s="2" t="s">
        <v>34</v>
      </c>
      <c r="F5295" s="2" t="s">
        <v>432</v>
      </c>
      <c r="G5295" s="2"/>
      <c r="H5295" s="12">
        <v>0.0</v>
      </c>
      <c r="I5295" s="2" t="s">
        <v>40</v>
      </c>
      <c r="J5295" s="2"/>
      <c r="K5295" s="2" t="s">
        <v>14129</v>
      </c>
      <c r="L5295" s="12">
        <v>251.0</v>
      </c>
      <c r="M5295" s="2" t="s">
        <v>14130</v>
      </c>
      <c r="N5295" s="2" t="str">
        <f>IFERROR(__xludf.DUMMYFUNCTION("""COMPUTED_VALUE"""),"")</f>
        <v/>
      </c>
    </row>
    <row r="5296">
      <c r="A5296" s="2" t="s">
        <v>33</v>
      </c>
      <c r="B5296" s="12">
        <v>5141028.0</v>
      </c>
      <c r="C5296" s="12">
        <v>5142014.0</v>
      </c>
      <c r="D5296" s="2"/>
      <c r="E5296" s="2" t="s">
        <v>34</v>
      </c>
      <c r="F5296" s="2" t="s">
        <v>14131</v>
      </c>
      <c r="G5296" s="2"/>
      <c r="H5296" s="12">
        <v>0.0</v>
      </c>
      <c r="I5296" s="2" t="s">
        <v>40</v>
      </c>
      <c r="J5296" s="2"/>
      <c r="K5296" s="2" t="s">
        <v>14132</v>
      </c>
      <c r="L5296" s="12">
        <v>328.0</v>
      </c>
      <c r="M5296" s="2" t="s">
        <v>14133</v>
      </c>
      <c r="N5296" s="2" t="str">
        <f>IFERROR(__xludf.DUMMYFUNCTION("""COMPUTED_VALUE"""),"")</f>
        <v/>
      </c>
    </row>
    <row r="5297">
      <c r="A5297" s="2" t="s">
        <v>33</v>
      </c>
      <c r="B5297" s="12">
        <v>5142031.0</v>
      </c>
      <c r="C5297" s="12">
        <v>5142879.0</v>
      </c>
      <c r="D5297" s="2"/>
      <c r="E5297" s="2" t="s">
        <v>34</v>
      </c>
      <c r="F5297" s="2" t="s">
        <v>265</v>
      </c>
      <c r="G5297" s="2"/>
      <c r="H5297" s="12">
        <v>0.0</v>
      </c>
      <c r="I5297" s="2" t="s">
        <v>40</v>
      </c>
      <c r="J5297" s="2"/>
      <c r="K5297" s="2" t="s">
        <v>14134</v>
      </c>
      <c r="L5297" s="12">
        <v>282.0</v>
      </c>
      <c r="M5297" s="2" t="s">
        <v>14135</v>
      </c>
      <c r="N5297" s="2" t="str">
        <f>IFERROR(__xludf.DUMMYFUNCTION("""COMPUTED_VALUE"""),"")</f>
        <v/>
      </c>
    </row>
    <row r="5298">
      <c r="A5298" s="2" t="s">
        <v>33</v>
      </c>
      <c r="B5298" s="12">
        <v>5142956.0</v>
      </c>
      <c r="C5298" s="12">
        <v>5144068.0</v>
      </c>
      <c r="D5298" s="2"/>
      <c r="E5298" s="2" t="s">
        <v>34</v>
      </c>
      <c r="F5298" s="2" t="s">
        <v>14136</v>
      </c>
      <c r="G5298" s="2" t="s">
        <v>14137</v>
      </c>
      <c r="H5298" s="12">
        <v>0.0</v>
      </c>
      <c r="I5298" s="2" t="s">
        <v>40</v>
      </c>
      <c r="J5298" s="2"/>
      <c r="K5298" s="2" t="s">
        <v>14138</v>
      </c>
      <c r="L5298" s="12">
        <v>370.0</v>
      </c>
      <c r="M5298" s="2" t="s">
        <v>14139</v>
      </c>
      <c r="N5298" s="2" t="str">
        <f>IFERROR(__xludf.DUMMYFUNCTION("""COMPUTED_VALUE"""),"")</f>
        <v/>
      </c>
    </row>
    <row r="5299">
      <c r="A5299" s="2" t="s">
        <v>33</v>
      </c>
      <c r="B5299" s="12">
        <v>5144264.0</v>
      </c>
      <c r="C5299" s="12">
        <v>5144356.0</v>
      </c>
      <c r="D5299" s="2"/>
      <c r="E5299" s="2" t="s">
        <v>34</v>
      </c>
      <c r="F5299" s="2" t="s">
        <v>14140</v>
      </c>
      <c r="G5299" s="2"/>
      <c r="H5299" s="12">
        <v>0.0</v>
      </c>
      <c r="I5299" s="2" t="s">
        <v>40</v>
      </c>
      <c r="J5299" s="2"/>
      <c r="K5299" s="2" t="s">
        <v>14141</v>
      </c>
      <c r="L5299" s="12">
        <v>30.0</v>
      </c>
      <c r="M5299" s="2" t="s">
        <v>14142</v>
      </c>
      <c r="N5299" s="2" t="str">
        <f>IFERROR(__xludf.DUMMYFUNCTION("""COMPUTED_VALUE"""),"")</f>
        <v/>
      </c>
    </row>
    <row r="5300">
      <c r="A5300" s="2" t="s">
        <v>33</v>
      </c>
      <c r="B5300" s="12">
        <v>5144585.0</v>
      </c>
      <c r="C5300" s="12">
        <v>5145406.0</v>
      </c>
      <c r="D5300" s="2"/>
      <c r="E5300" s="2" t="s">
        <v>38</v>
      </c>
      <c r="F5300" s="2" t="s">
        <v>159</v>
      </c>
      <c r="G5300" s="2"/>
      <c r="H5300" s="12">
        <v>0.0</v>
      </c>
      <c r="I5300" s="2" t="s">
        <v>40</v>
      </c>
      <c r="J5300" s="2"/>
      <c r="K5300" s="2" t="s">
        <v>14143</v>
      </c>
      <c r="L5300" s="12">
        <v>273.0</v>
      </c>
      <c r="M5300" s="2" t="s">
        <v>14144</v>
      </c>
      <c r="N5300" s="2" t="str">
        <f>IFERROR(__xludf.DUMMYFUNCTION("""COMPUTED_VALUE"""),"")</f>
        <v/>
      </c>
    </row>
    <row r="5301">
      <c r="A5301" s="2" t="s">
        <v>33</v>
      </c>
      <c r="B5301" s="12">
        <v>5145556.0</v>
      </c>
      <c r="C5301" s="12">
        <v>5146641.0</v>
      </c>
      <c r="D5301" s="2"/>
      <c r="E5301" s="2" t="s">
        <v>34</v>
      </c>
      <c r="F5301" s="2" t="s">
        <v>1918</v>
      </c>
      <c r="G5301" s="2"/>
      <c r="H5301" s="12">
        <v>0.0</v>
      </c>
      <c r="I5301" s="2" t="s">
        <v>40</v>
      </c>
      <c r="J5301" s="2"/>
      <c r="K5301" s="2" t="s">
        <v>14145</v>
      </c>
      <c r="L5301" s="12">
        <v>361.0</v>
      </c>
      <c r="M5301" s="2" t="s">
        <v>14146</v>
      </c>
      <c r="N5301" s="2" t="str">
        <f>IFERROR(__xludf.DUMMYFUNCTION("""COMPUTED_VALUE"""),"")</f>
        <v/>
      </c>
    </row>
    <row r="5302">
      <c r="A5302" s="2" t="s">
        <v>33</v>
      </c>
      <c r="B5302" s="12">
        <v>5146882.0</v>
      </c>
      <c r="C5302" s="12">
        <v>5147022.0</v>
      </c>
      <c r="D5302" s="2"/>
      <c r="E5302" s="2" t="s">
        <v>38</v>
      </c>
      <c r="F5302" s="2" t="s">
        <v>14147</v>
      </c>
      <c r="G5302" s="2"/>
      <c r="H5302" s="12">
        <v>0.0</v>
      </c>
      <c r="I5302" s="2" t="s">
        <v>40</v>
      </c>
      <c r="J5302" s="2"/>
      <c r="K5302" s="2" t="s">
        <v>14148</v>
      </c>
      <c r="L5302" s="12">
        <v>46.0</v>
      </c>
      <c r="M5302" s="2" t="s">
        <v>14149</v>
      </c>
      <c r="N5302" s="2" t="str">
        <f>IFERROR(__xludf.DUMMYFUNCTION("""COMPUTED_VALUE"""),"")</f>
        <v/>
      </c>
    </row>
    <row r="5303">
      <c r="A5303" s="2" t="s">
        <v>33</v>
      </c>
      <c r="B5303" s="12">
        <v>5147050.0</v>
      </c>
      <c r="C5303" s="12">
        <v>5147190.0</v>
      </c>
      <c r="D5303" s="2"/>
      <c r="E5303" s="2" t="s">
        <v>38</v>
      </c>
      <c r="F5303" s="2" t="s">
        <v>14147</v>
      </c>
      <c r="G5303" s="2"/>
      <c r="H5303" s="12">
        <v>0.0</v>
      </c>
      <c r="I5303" s="2" t="s">
        <v>40</v>
      </c>
      <c r="J5303" s="2"/>
      <c r="K5303" s="2" t="s">
        <v>14150</v>
      </c>
      <c r="L5303" s="12">
        <v>46.0</v>
      </c>
      <c r="M5303" s="2" t="s">
        <v>14151</v>
      </c>
      <c r="N5303" s="2" t="str">
        <f>IFERROR(__xludf.DUMMYFUNCTION("""COMPUTED_VALUE"""),"")</f>
        <v/>
      </c>
    </row>
    <row r="5304">
      <c r="A5304" s="2" t="s">
        <v>33</v>
      </c>
      <c r="B5304" s="12">
        <v>5147243.0</v>
      </c>
      <c r="C5304" s="12">
        <v>5147383.0</v>
      </c>
      <c r="D5304" s="2"/>
      <c r="E5304" s="2" t="s">
        <v>38</v>
      </c>
      <c r="F5304" s="2" t="s">
        <v>14147</v>
      </c>
      <c r="G5304" s="2"/>
      <c r="H5304" s="12">
        <v>0.0</v>
      </c>
      <c r="I5304" s="2" t="s">
        <v>40</v>
      </c>
      <c r="J5304" s="2"/>
      <c r="K5304" s="2" t="s">
        <v>14152</v>
      </c>
      <c r="L5304" s="12">
        <v>46.0</v>
      </c>
      <c r="M5304" s="2" t="s">
        <v>14153</v>
      </c>
      <c r="N5304" s="2" t="str">
        <f>IFERROR(__xludf.DUMMYFUNCTION("""COMPUTED_VALUE"""),"")</f>
        <v/>
      </c>
    </row>
    <row r="5305">
      <c r="A5305" s="2" t="s">
        <v>33</v>
      </c>
      <c r="B5305" s="12">
        <v>5147410.0</v>
      </c>
      <c r="C5305" s="12">
        <v>5147553.0</v>
      </c>
      <c r="D5305" s="2"/>
      <c r="E5305" s="2" t="s">
        <v>38</v>
      </c>
      <c r="F5305" s="2" t="s">
        <v>14147</v>
      </c>
      <c r="G5305" s="2"/>
      <c r="H5305" s="12">
        <v>0.0</v>
      </c>
      <c r="I5305" s="2" t="s">
        <v>40</v>
      </c>
      <c r="J5305" s="2"/>
      <c r="K5305" s="2" t="s">
        <v>14154</v>
      </c>
      <c r="L5305" s="12">
        <v>47.0</v>
      </c>
      <c r="M5305" s="2" t="s">
        <v>14155</v>
      </c>
      <c r="N5305" s="2" t="str">
        <f>IFERROR(__xludf.DUMMYFUNCTION("""COMPUTED_VALUE"""),"")</f>
        <v/>
      </c>
    </row>
    <row r="5306">
      <c r="A5306" s="2" t="s">
        <v>33</v>
      </c>
      <c r="B5306" s="12">
        <v>5147582.0</v>
      </c>
      <c r="C5306" s="12">
        <v>5147725.0</v>
      </c>
      <c r="D5306" s="2"/>
      <c r="E5306" s="2" t="s">
        <v>38</v>
      </c>
      <c r="F5306" s="2" t="s">
        <v>14147</v>
      </c>
      <c r="G5306" s="2"/>
      <c r="H5306" s="12">
        <v>0.0</v>
      </c>
      <c r="I5306" s="2" t="s">
        <v>40</v>
      </c>
      <c r="J5306" s="2"/>
      <c r="K5306" s="2" t="s">
        <v>14156</v>
      </c>
      <c r="L5306" s="12">
        <v>47.0</v>
      </c>
      <c r="M5306" s="2" t="s">
        <v>14157</v>
      </c>
      <c r="N5306" s="2" t="str">
        <f>IFERROR(__xludf.DUMMYFUNCTION("""COMPUTED_VALUE"""),"")</f>
        <v/>
      </c>
    </row>
    <row r="5307">
      <c r="A5307" s="2" t="s">
        <v>33</v>
      </c>
      <c r="B5307" s="12">
        <v>5147753.0</v>
      </c>
      <c r="C5307" s="12">
        <v>5147893.0</v>
      </c>
      <c r="D5307" s="2"/>
      <c r="E5307" s="2" t="s">
        <v>38</v>
      </c>
      <c r="F5307" s="2" t="s">
        <v>14147</v>
      </c>
      <c r="G5307" s="2"/>
      <c r="H5307" s="12">
        <v>0.0</v>
      </c>
      <c r="I5307" s="2" t="s">
        <v>40</v>
      </c>
      <c r="J5307" s="2"/>
      <c r="K5307" s="2" t="s">
        <v>14158</v>
      </c>
      <c r="L5307" s="12">
        <v>46.0</v>
      </c>
      <c r="M5307" s="2" t="s">
        <v>14159</v>
      </c>
      <c r="N5307" s="2" t="str">
        <f>IFERROR(__xludf.DUMMYFUNCTION("""COMPUTED_VALUE"""),"")</f>
        <v/>
      </c>
    </row>
    <row r="5308">
      <c r="A5308" s="2" t="s">
        <v>33</v>
      </c>
      <c r="B5308" s="12">
        <v>5148335.0</v>
      </c>
      <c r="C5308" s="12">
        <v>5148928.0</v>
      </c>
      <c r="D5308" s="2"/>
      <c r="E5308" s="2" t="s">
        <v>34</v>
      </c>
      <c r="F5308" s="2" t="s">
        <v>14160</v>
      </c>
      <c r="G5308" s="2"/>
      <c r="H5308" s="12">
        <v>0.0</v>
      </c>
      <c r="I5308" s="2" t="s">
        <v>40</v>
      </c>
      <c r="J5308" s="2"/>
      <c r="K5308" s="2" t="s">
        <v>14161</v>
      </c>
      <c r="L5308" s="12">
        <v>197.0</v>
      </c>
      <c r="M5308" s="2" t="s">
        <v>14162</v>
      </c>
      <c r="N5308" s="2" t="str">
        <f>IFERROR(__xludf.DUMMYFUNCTION("""COMPUTED_VALUE"""),"")</f>
        <v/>
      </c>
    </row>
    <row r="5309">
      <c r="A5309" s="2" t="s">
        <v>33</v>
      </c>
      <c r="B5309" s="12">
        <v>5148942.0</v>
      </c>
      <c r="C5309" s="12">
        <v>5149430.0</v>
      </c>
      <c r="D5309" s="2"/>
      <c r="E5309" s="2" t="s">
        <v>34</v>
      </c>
      <c r="F5309" s="2" t="s">
        <v>817</v>
      </c>
      <c r="G5309" s="2"/>
      <c r="H5309" s="12">
        <v>0.0</v>
      </c>
      <c r="I5309" s="2" t="s">
        <v>40</v>
      </c>
      <c r="J5309" s="2"/>
      <c r="K5309" s="2" t="s">
        <v>14163</v>
      </c>
      <c r="L5309" s="12">
        <v>162.0</v>
      </c>
      <c r="M5309" s="2" t="s">
        <v>14164</v>
      </c>
      <c r="N5309" s="2" t="str">
        <f>IFERROR(__xludf.DUMMYFUNCTION("""COMPUTED_VALUE"""),"")</f>
        <v/>
      </c>
    </row>
    <row r="5310">
      <c r="A5310" s="2" t="s">
        <v>33</v>
      </c>
      <c r="B5310" s="12">
        <v>5149555.0</v>
      </c>
      <c r="C5310" s="12">
        <v>5149935.0</v>
      </c>
      <c r="D5310" s="2"/>
      <c r="E5310" s="2" t="s">
        <v>34</v>
      </c>
      <c r="F5310" s="2" t="s">
        <v>2509</v>
      </c>
      <c r="G5310" s="2"/>
      <c r="H5310" s="12">
        <v>0.0</v>
      </c>
      <c r="I5310" s="2" t="s">
        <v>40</v>
      </c>
      <c r="J5310" s="2"/>
      <c r="K5310" s="2" t="s">
        <v>14165</v>
      </c>
      <c r="L5310" s="12">
        <v>126.0</v>
      </c>
      <c r="M5310" s="2" t="s">
        <v>14166</v>
      </c>
      <c r="N5310" s="2" t="str">
        <f>IFERROR(__xludf.DUMMYFUNCTION("""COMPUTED_VALUE"""),"")</f>
        <v/>
      </c>
    </row>
    <row r="5311">
      <c r="A5311" s="2" t="s">
        <v>33</v>
      </c>
      <c r="B5311" s="12">
        <v>5149932.0</v>
      </c>
      <c r="C5311" s="12">
        <v>5150804.0</v>
      </c>
      <c r="D5311" s="2"/>
      <c r="E5311" s="2" t="s">
        <v>34</v>
      </c>
      <c r="F5311" s="2" t="s">
        <v>2429</v>
      </c>
      <c r="G5311" s="2"/>
      <c r="H5311" s="12">
        <v>0.0</v>
      </c>
      <c r="I5311" s="2" t="s">
        <v>40</v>
      </c>
      <c r="J5311" s="2"/>
      <c r="K5311" s="2" t="s">
        <v>14167</v>
      </c>
      <c r="L5311" s="12">
        <v>290.0</v>
      </c>
      <c r="M5311" s="2" t="s">
        <v>14168</v>
      </c>
      <c r="N5311" s="2" t="str">
        <f>IFERROR(__xludf.DUMMYFUNCTION("""COMPUTED_VALUE"""),"")</f>
        <v/>
      </c>
    </row>
    <row r="5312">
      <c r="A5312" s="2" t="s">
        <v>33</v>
      </c>
      <c r="B5312" s="12">
        <v>5150801.0</v>
      </c>
      <c r="C5312" s="12">
        <v>5151472.0</v>
      </c>
      <c r="D5312" s="2"/>
      <c r="E5312" s="2" t="s">
        <v>34</v>
      </c>
      <c r="F5312" s="2" t="s">
        <v>14169</v>
      </c>
      <c r="G5312" s="2"/>
      <c r="H5312" s="12">
        <v>0.0</v>
      </c>
      <c r="I5312" s="2" t="s">
        <v>40</v>
      </c>
      <c r="J5312" s="2"/>
      <c r="K5312" s="2" t="s">
        <v>14170</v>
      </c>
      <c r="L5312" s="12">
        <v>223.0</v>
      </c>
      <c r="M5312" s="2" t="s">
        <v>14171</v>
      </c>
      <c r="N5312" s="2" t="str">
        <f>IFERROR(__xludf.DUMMYFUNCTION("""COMPUTED_VALUE"""),"")</f>
        <v/>
      </c>
    </row>
    <row r="5313">
      <c r="A5313" s="2" t="s">
        <v>33</v>
      </c>
      <c r="B5313" s="12">
        <v>5151512.0</v>
      </c>
      <c r="C5313" s="12">
        <v>5151991.0</v>
      </c>
      <c r="D5313" s="2"/>
      <c r="E5313" s="2" t="s">
        <v>34</v>
      </c>
      <c r="F5313" s="2" t="s">
        <v>2173</v>
      </c>
      <c r="G5313" s="2"/>
      <c r="H5313" s="12">
        <v>0.0</v>
      </c>
      <c r="I5313" s="2" t="s">
        <v>40</v>
      </c>
      <c r="J5313" s="2"/>
      <c r="K5313" s="2" t="s">
        <v>14172</v>
      </c>
      <c r="L5313" s="12">
        <v>159.0</v>
      </c>
      <c r="M5313" s="2" t="s">
        <v>14173</v>
      </c>
      <c r="N5313" s="2" t="str">
        <f>IFERROR(__xludf.DUMMYFUNCTION("""COMPUTED_VALUE"""),"")</f>
        <v/>
      </c>
    </row>
    <row r="5314">
      <c r="A5314" s="2" t="s">
        <v>33</v>
      </c>
      <c r="B5314" s="12">
        <v>5152109.0</v>
      </c>
      <c r="C5314" s="12">
        <v>5152618.0</v>
      </c>
      <c r="D5314" s="2"/>
      <c r="E5314" s="2" t="s">
        <v>34</v>
      </c>
      <c r="F5314" s="2" t="s">
        <v>1492</v>
      </c>
      <c r="G5314" s="2"/>
      <c r="H5314" s="12">
        <v>0.0</v>
      </c>
      <c r="I5314" s="2" t="s">
        <v>40</v>
      </c>
      <c r="J5314" s="2"/>
      <c r="K5314" s="2" t="s">
        <v>14174</v>
      </c>
      <c r="L5314" s="12">
        <v>169.0</v>
      </c>
      <c r="M5314" s="2" t="s">
        <v>14175</v>
      </c>
      <c r="N5314" s="2" t="str">
        <f>IFERROR(__xludf.DUMMYFUNCTION("""COMPUTED_VALUE"""),"")</f>
        <v/>
      </c>
    </row>
    <row r="5315">
      <c r="A5315" s="2" t="s">
        <v>33</v>
      </c>
      <c r="B5315" s="12">
        <v>5152633.0</v>
      </c>
      <c r="C5315" s="12">
        <v>5153454.0</v>
      </c>
      <c r="D5315" s="2"/>
      <c r="E5315" s="2" t="s">
        <v>38</v>
      </c>
      <c r="F5315" s="2" t="s">
        <v>14176</v>
      </c>
      <c r="G5315" s="2" t="s">
        <v>14177</v>
      </c>
      <c r="H5315" s="12">
        <v>0.0</v>
      </c>
      <c r="I5315" s="2" t="s">
        <v>40</v>
      </c>
      <c r="J5315" s="2"/>
      <c r="K5315" s="2" t="s">
        <v>14178</v>
      </c>
      <c r="L5315" s="12">
        <v>273.0</v>
      </c>
      <c r="M5315" s="2" t="s">
        <v>14179</v>
      </c>
      <c r="N5315" s="2" t="str">
        <f>IFERROR(__xludf.DUMMYFUNCTION("""COMPUTED_VALUE"""),"")</f>
        <v/>
      </c>
    </row>
    <row r="5316">
      <c r="A5316" s="2" t="s">
        <v>33</v>
      </c>
      <c r="B5316" s="12">
        <v>5153539.0</v>
      </c>
      <c r="C5316" s="12">
        <v>5153937.0</v>
      </c>
      <c r="D5316" s="2"/>
      <c r="E5316" s="2" t="s">
        <v>38</v>
      </c>
      <c r="F5316" s="2" t="s">
        <v>14180</v>
      </c>
      <c r="G5316" s="2"/>
      <c r="H5316" s="12">
        <v>0.0</v>
      </c>
      <c r="I5316" s="2" t="s">
        <v>40</v>
      </c>
      <c r="J5316" s="2"/>
      <c r="K5316" s="2" t="s">
        <v>14181</v>
      </c>
      <c r="L5316" s="12">
        <v>132.0</v>
      </c>
      <c r="M5316" s="2" t="s">
        <v>14182</v>
      </c>
      <c r="N5316" s="2" t="str">
        <f>IFERROR(__xludf.DUMMYFUNCTION("""COMPUTED_VALUE"""),"")</f>
        <v/>
      </c>
    </row>
    <row r="5317">
      <c r="A5317" s="2" t="s">
        <v>33</v>
      </c>
      <c r="B5317" s="12">
        <v>5153994.0</v>
      </c>
      <c r="C5317" s="12">
        <v>5155193.0</v>
      </c>
      <c r="D5317" s="2"/>
      <c r="E5317" s="2" t="s">
        <v>38</v>
      </c>
      <c r="F5317" s="2" t="s">
        <v>14183</v>
      </c>
      <c r="G5317" s="2"/>
      <c r="H5317" s="12">
        <v>0.0</v>
      </c>
      <c r="I5317" s="2" t="s">
        <v>40</v>
      </c>
      <c r="J5317" s="2"/>
      <c r="K5317" s="2" t="s">
        <v>14184</v>
      </c>
      <c r="L5317" s="12">
        <v>399.0</v>
      </c>
      <c r="M5317" s="2" t="s">
        <v>14185</v>
      </c>
      <c r="N5317" s="2" t="str">
        <f>IFERROR(__xludf.DUMMYFUNCTION("""COMPUTED_VALUE"""),"")</f>
        <v/>
      </c>
    </row>
    <row r="5318">
      <c r="A5318" s="2" t="s">
        <v>33</v>
      </c>
      <c r="B5318" s="12">
        <v>5155535.0</v>
      </c>
      <c r="C5318" s="12">
        <v>5155897.0</v>
      </c>
      <c r="D5318" s="2"/>
      <c r="E5318" s="2" t="s">
        <v>38</v>
      </c>
      <c r="F5318" s="2" t="s">
        <v>39</v>
      </c>
      <c r="G5318" s="2"/>
      <c r="H5318" s="12">
        <v>0.0</v>
      </c>
      <c r="I5318" s="2" t="s">
        <v>40</v>
      </c>
      <c r="J5318" s="2"/>
      <c r="K5318" s="2" t="s">
        <v>14186</v>
      </c>
      <c r="L5318" s="12">
        <v>120.0</v>
      </c>
      <c r="M5318" s="2" t="s">
        <v>14187</v>
      </c>
      <c r="N5318" s="2" t="str">
        <f>IFERROR(__xludf.DUMMYFUNCTION("""COMPUTED_VALUE"""),"")</f>
        <v/>
      </c>
    </row>
    <row r="5319">
      <c r="A5319" s="2" t="s">
        <v>33</v>
      </c>
      <c r="B5319" s="12">
        <v>5156067.0</v>
      </c>
      <c r="C5319" s="12">
        <v>5156366.0</v>
      </c>
      <c r="D5319" s="2"/>
      <c r="E5319" s="2" t="s">
        <v>38</v>
      </c>
      <c r="F5319" s="2" t="s">
        <v>39</v>
      </c>
      <c r="G5319" s="2"/>
      <c r="H5319" s="12">
        <v>0.0</v>
      </c>
      <c r="I5319" s="2" t="s">
        <v>40</v>
      </c>
      <c r="J5319" s="2"/>
      <c r="K5319" s="2" t="s">
        <v>14188</v>
      </c>
      <c r="L5319" s="12">
        <v>99.0</v>
      </c>
      <c r="M5319" s="2" t="s">
        <v>14189</v>
      </c>
      <c r="N5319" s="2" t="str">
        <f>IFERROR(__xludf.DUMMYFUNCTION("""COMPUTED_VALUE"""),"")</f>
        <v/>
      </c>
    </row>
    <row r="5320">
      <c r="A5320" s="2" t="s">
        <v>33</v>
      </c>
      <c r="B5320" s="12">
        <v>5156520.0</v>
      </c>
      <c r="C5320" s="12">
        <v>5157723.0</v>
      </c>
      <c r="D5320" s="2"/>
      <c r="E5320" s="2" t="s">
        <v>38</v>
      </c>
      <c r="F5320" s="2" t="s">
        <v>35</v>
      </c>
      <c r="G5320" s="2"/>
      <c r="H5320" s="12">
        <v>0.0</v>
      </c>
      <c r="I5320" s="2" t="s">
        <v>36</v>
      </c>
      <c r="J5320" s="2"/>
      <c r="K5320" s="2"/>
      <c r="L5320" s="2"/>
      <c r="M5320" s="2" t="s">
        <v>14190</v>
      </c>
      <c r="N5320" s="2" t="str">
        <f>IFERROR(__xludf.DUMMYFUNCTION("""COMPUTED_VALUE"""),"")</f>
        <v/>
      </c>
    </row>
    <row r="5321">
      <c r="A5321" s="2" t="s">
        <v>33</v>
      </c>
      <c r="B5321" s="12">
        <v>5158017.0</v>
      </c>
      <c r="C5321" s="12">
        <v>5158451.0</v>
      </c>
      <c r="D5321" s="2"/>
      <c r="E5321" s="2" t="s">
        <v>38</v>
      </c>
      <c r="F5321" s="2" t="s">
        <v>14191</v>
      </c>
      <c r="G5321" s="2" t="s">
        <v>14192</v>
      </c>
      <c r="H5321" s="12">
        <v>0.0</v>
      </c>
      <c r="I5321" s="2" t="s">
        <v>40</v>
      </c>
      <c r="J5321" s="2"/>
      <c r="K5321" s="2" t="s">
        <v>14193</v>
      </c>
      <c r="L5321" s="12">
        <v>144.0</v>
      </c>
      <c r="M5321" s="2" t="s">
        <v>14194</v>
      </c>
      <c r="N5321" s="2" t="str">
        <f>IFERROR(__xludf.DUMMYFUNCTION("""COMPUTED_VALUE"""),"")</f>
        <v/>
      </c>
    </row>
    <row r="5322">
      <c r="A5322" s="2" t="s">
        <v>33</v>
      </c>
      <c r="B5322" s="12">
        <v>5158621.0</v>
      </c>
      <c r="C5322" s="12">
        <v>5158773.0</v>
      </c>
      <c r="D5322" s="2"/>
      <c r="E5322" s="2" t="s">
        <v>38</v>
      </c>
      <c r="F5322" s="2" t="s">
        <v>14195</v>
      </c>
      <c r="G5322" s="2"/>
      <c r="H5322" s="12">
        <v>0.0</v>
      </c>
      <c r="I5322" s="2" t="s">
        <v>40</v>
      </c>
      <c r="J5322" s="2"/>
      <c r="K5322" s="2" t="s">
        <v>14196</v>
      </c>
      <c r="L5322" s="12">
        <v>50.0</v>
      </c>
      <c r="M5322" s="2" t="s">
        <v>14197</v>
      </c>
      <c r="N5322" s="2" t="str">
        <f>IFERROR(__xludf.DUMMYFUNCTION("""COMPUTED_VALUE"""),"")</f>
        <v/>
      </c>
    </row>
    <row r="5323">
      <c r="A5323" s="2" t="s">
        <v>33</v>
      </c>
      <c r="B5323" s="12">
        <v>5159237.0</v>
      </c>
      <c r="C5323" s="12">
        <v>5159605.0</v>
      </c>
      <c r="D5323" s="2"/>
      <c r="E5323" s="2" t="s">
        <v>34</v>
      </c>
      <c r="F5323" s="2" t="s">
        <v>39</v>
      </c>
      <c r="G5323" s="2"/>
      <c r="H5323" s="12">
        <v>0.0</v>
      </c>
      <c r="I5323" s="2" t="s">
        <v>40</v>
      </c>
      <c r="J5323" s="2"/>
      <c r="K5323" s="2" t="s">
        <v>14198</v>
      </c>
      <c r="L5323" s="12">
        <v>122.0</v>
      </c>
      <c r="M5323" s="2" t="s">
        <v>14199</v>
      </c>
      <c r="N5323" s="2" t="str">
        <f>IFERROR(__xludf.DUMMYFUNCTION("""COMPUTED_VALUE"""),"")</f>
        <v/>
      </c>
    </row>
    <row r="5324">
      <c r="A5324" s="2" t="s">
        <v>33</v>
      </c>
      <c r="B5324" s="12">
        <v>5159801.0</v>
      </c>
      <c r="C5324" s="12">
        <v>5160586.0</v>
      </c>
      <c r="D5324" s="2"/>
      <c r="E5324" s="2" t="s">
        <v>34</v>
      </c>
      <c r="F5324" s="2" t="s">
        <v>289</v>
      </c>
      <c r="G5324" s="2"/>
      <c r="H5324" s="12">
        <v>0.0</v>
      </c>
      <c r="I5324" s="2" t="s">
        <v>40</v>
      </c>
      <c r="J5324" s="2"/>
      <c r="K5324" s="2" t="s">
        <v>14200</v>
      </c>
      <c r="L5324" s="12">
        <v>261.0</v>
      </c>
      <c r="M5324" s="2" t="s">
        <v>14201</v>
      </c>
      <c r="N5324" s="2" t="str">
        <f>IFERROR(__xludf.DUMMYFUNCTION("""COMPUTED_VALUE"""),"")</f>
        <v/>
      </c>
    </row>
    <row r="5325">
      <c r="A5325" s="2" t="s">
        <v>33</v>
      </c>
      <c r="B5325" s="12">
        <v>5160656.0</v>
      </c>
      <c r="C5325" s="12">
        <v>5160844.0</v>
      </c>
      <c r="D5325" s="2"/>
      <c r="E5325" s="2" t="s">
        <v>34</v>
      </c>
      <c r="F5325" s="2" t="s">
        <v>14202</v>
      </c>
      <c r="G5325" s="2"/>
      <c r="H5325" s="12">
        <v>0.0</v>
      </c>
      <c r="I5325" s="2" t="s">
        <v>40</v>
      </c>
      <c r="J5325" s="2"/>
      <c r="K5325" s="2" t="s">
        <v>14203</v>
      </c>
      <c r="L5325" s="12">
        <v>62.0</v>
      </c>
      <c r="M5325" s="2" t="s">
        <v>14204</v>
      </c>
      <c r="N5325" s="2" t="str">
        <f>IFERROR(__xludf.DUMMYFUNCTION("""COMPUTED_VALUE"""),"")</f>
        <v/>
      </c>
    </row>
    <row r="5326">
      <c r="A5326" s="2" t="s">
        <v>33</v>
      </c>
      <c r="B5326" s="12">
        <v>5160922.0</v>
      </c>
      <c r="C5326" s="12">
        <v>5161887.0</v>
      </c>
      <c r="D5326" s="2"/>
      <c r="E5326" s="2" t="s">
        <v>34</v>
      </c>
      <c r="F5326" s="2" t="s">
        <v>779</v>
      </c>
      <c r="G5326" s="2"/>
      <c r="H5326" s="12">
        <v>0.0</v>
      </c>
      <c r="I5326" s="2" t="s">
        <v>40</v>
      </c>
      <c r="J5326" s="2"/>
      <c r="K5326" s="2" t="s">
        <v>14205</v>
      </c>
      <c r="L5326" s="12">
        <v>321.0</v>
      </c>
      <c r="M5326" s="2" t="s">
        <v>14206</v>
      </c>
      <c r="N5326" s="2" t="str">
        <f>IFERROR(__xludf.DUMMYFUNCTION("""COMPUTED_VALUE"""),"")</f>
        <v/>
      </c>
    </row>
    <row r="5327">
      <c r="A5327" s="2" t="s">
        <v>33</v>
      </c>
      <c r="B5327" s="12">
        <v>5162068.0</v>
      </c>
      <c r="C5327" s="12">
        <v>5162310.0</v>
      </c>
      <c r="D5327" s="2"/>
      <c r="E5327" s="2" t="s">
        <v>34</v>
      </c>
      <c r="F5327" s="2" t="s">
        <v>4535</v>
      </c>
      <c r="G5327" s="2"/>
      <c r="H5327" s="12">
        <v>0.0</v>
      </c>
      <c r="I5327" s="2" t="s">
        <v>40</v>
      </c>
      <c r="J5327" s="2"/>
      <c r="K5327" s="2" t="s">
        <v>14207</v>
      </c>
      <c r="L5327" s="12">
        <v>80.0</v>
      </c>
      <c r="M5327" s="2" t="s">
        <v>14208</v>
      </c>
      <c r="N5327" s="2" t="str">
        <f>IFERROR(__xludf.DUMMYFUNCTION("""COMPUTED_VALUE"""),"")</f>
        <v/>
      </c>
    </row>
    <row r="5328">
      <c r="A5328" s="2" t="s">
        <v>33</v>
      </c>
      <c r="B5328" s="12">
        <v>5162388.0</v>
      </c>
      <c r="C5328" s="12">
        <v>5162783.0</v>
      </c>
      <c r="D5328" s="2"/>
      <c r="E5328" s="2" t="s">
        <v>34</v>
      </c>
      <c r="F5328" s="2" t="s">
        <v>39</v>
      </c>
      <c r="G5328" s="2"/>
      <c r="H5328" s="12">
        <v>0.0</v>
      </c>
      <c r="I5328" s="2" t="s">
        <v>40</v>
      </c>
      <c r="J5328" s="2"/>
      <c r="K5328" s="2" t="s">
        <v>14209</v>
      </c>
      <c r="L5328" s="12">
        <v>131.0</v>
      </c>
      <c r="M5328" s="2" t="s">
        <v>14210</v>
      </c>
      <c r="N5328" s="2" t="str">
        <f>IFERROR(__xludf.DUMMYFUNCTION("""COMPUTED_VALUE"""),"")</f>
        <v/>
      </c>
    </row>
    <row r="5329">
      <c r="A5329" s="2" t="s">
        <v>33</v>
      </c>
      <c r="B5329" s="12">
        <v>5163104.0</v>
      </c>
      <c r="C5329" s="12">
        <v>5163250.0</v>
      </c>
      <c r="D5329" s="2"/>
      <c r="E5329" s="2" t="s">
        <v>34</v>
      </c>
      <c r="F5329" s="2" t="s">
        <v>39</v>
      </c>
      <c r="G5329" s="2"/>
      <c r="H5329" s="12">
        <v>0.0</v>
      </c>
      <c r="I5329" s="2" t="s">
        <v>40</v>
      </c>
      <c r="J5329" s="2"/>
      <c r="K5329" s="2" t="s">
        <v>14211</v>
      </c>
      <c r="L5329" s="12">
        <v>48.0</v>
      </c>
      <c r="M5329" s="2" t="s">
        <v>14212</v>
      </c>
      <c r="N5329" s="2" t="str">
        <f>IFERROR(__xludf.DUMMYFUNCTION("""COMPUTED_VALUE"""),"")</f>
        <v/>
      </c>
    </row>
    <row r="5330">
      <c r="A5330" s="2" t="s">
        <v>33</v>
      </c>
      <c r="B5330" s="12">
        <v>5163526.0</v>
      </c>
      <c r="C5330" s="12">
        <v>5164197.0</v>
      </c>
      <c r="D5330" s="2"/>
      <c r="E5330" s="2" t="s">
        <v>34</v>
      </c>
      <c r="F5330" s="2" t="s">
        <v>14213</v>
      </c>
      <c r="G5330" s="2"/>
      <c r="H5330" s="12">
        <v>0.0</v>
      </c>
      <c r="I5330" s="2" t="s">
        <v>40</v>
      </c>
      <c r="J5330" s="2"/>
      <c r="K5330" s="2" t="s">
        <v>14214</v>
      </c>
      <c r="L5330" s="12">
        <v>223.0</v>
      </c>
      <c r="M5330" s="2" t="s">
        <v>14215</v>
      </c>
      <c r="N5330" s="2" t="str">
        <f>IFERROR(__xludf.DUMMYFUNCTION("""COMPUTED_VALUE"""),"")</f>
        <v/>
      </c>
    </row>
    <row r="5331">
      <c r="A5331" s="2" t="s">
        <v>33</v>
      </c>
      <c r="B5331" s="12">
        <v>5164368.0</v>
      </c>
      <c r="C5331" s="12">
        <v>5165582.0</v>
      </c>
      <c r="D5331" s="2"/>
      <c r="E5331" s="2" t="s">
        <v>38</v>
      </c>
      <c r="F5331" s="2" t="s">
        <v>88</v>
      </c>
      <c r="G5331" s="2"/>
      <c r="H5331" s="12">
        <v>0.0</v>
      </c>
      <c r="I5331" s="2" t="s">
        <v>40</v>
      </c>
      <c r="J5331" s="2"/>
      <c r="K5331" s="2" t="s">
        <v>14216</v>
      </c>
      <c r="L5331" s="12">
        <v>404.0</v>
      </c>
      <c r="M5331" s="2" t="s">
        <v>14217</v>
      </c>
      <c r="N5331" s="2" t="str">
        <f>IFERROR(__xludf.DUMMYFUNCTION("""COMPUTED_VALUE"""),"")</f>
        <v/>
      </c>
    </row>
    <row r="5332">
      <c r="A5332" s="2" t="s">
        <v>33</v>
      </c>
      <c r="B5332" s="12">
        <v>5165684.0</v>
      </c>
      <c r="C5332" s="12">
        <v>5167420.0</v>
      </c>
      <c r="D5332" s="2"/>
      <c r="E5332" s="2" t="s">
        <v>34</v>
      </c>
      <c r="F5332" s="2" t="s">
        <v>4896</v>
      </c>
      <c r="G5332" s="2"/>
      <c r="H5332" s="12">
        <v>0.0</v>
      </c>
      <c r="I5332" s="2" t="s">
        <v>40</v>
      </c>
      <c r="J5332" s="2"/>
      <c r="K5332" s="2" t="s">
        <v>14218</v>
      </c>
      <c r="L5332" s="12">
        <v>578.0</v>
      </c>
      <c r="M5332" s="2" t="s">
        <v>14219</v>
      </c>
      <c r="N5332" s="2" t="str">
        <f>IFERROR(__xludf.DUMMYFUNCTION("""COMPUTED_VALUE"""),"")</f>
        <v/>
      </c>
    </row>
    <row r="5333">
      <c r="A5333" s="2" t="s">
        <v>33</v>
      </c>
      <c r="B5333" s="12">
        <v>5167579.0</v>
      </c>
      <c r="C5333" s="12">
        <v>5168202.0</v>
      </c>
      <c r="D5333" s="2"/>
      <c r="E5333" s="2" t="s">
        <v>34</v>
      </c>
      <c r="F5333" s="2" t="s">
        <v>14220</v>
      </c>
      <c r="G5333" s="2"/>
      <c r="H5333" s="12">
        <v>0.0</v>
      </c>
      <c r="I5333" s="2" t="s">
        <v>40</v>
      </c>
      <c r="J5333" s="2"/>
      <c r="K5333" s="2" t="s">
        <v>14221</v>
      </c>
      <c r="L5333" s="12">
        <v>207.0</v>
      </c>
      <c r="M5333" s="2" t="s">
        <v>14222</v>
      </c>
      <c r="N5333" s="2" t="str">
        <f>IFERROR(__xludf.DUMMYFUNCTION("""COMPUTED_VALUE"""),"")</f>
        <v/>
      </c>
    </row>
    <row r="5334">
      <c r="A5334" s="2" t="s">
        <v>33</v>
      </c>
      <c r="B5334" s="12">
        <v>5168216.0</v>
      </c>
      <c r="C5334" s="12">
        <v>5168926.0</v>
      </c>
      <c r="D5334" s="2"/>
      <c r="E5334" s="2" t="s">
        <v>34</v>
      </c>
      <c r="F5334" s="2" t="s">
        <v>14223</v>
      </c>
      <c r="G5334" s="2"/>
      <c r="H5334" s="12">
        <v>0.0</v>
      </c>
      <c r="I5334" s="2" t="s">
        <v>40</v>
      </c>
      <c r="J5334" s="2"/>
      <c r="K5334" s="2" t="s">
        <v>14224</v>
      </c>
      <c r="L5334" s="12">
        <v>236.0</v>
      </c>
      <c r="M5334" s="2" t="s">
        <v>14225</v>
      </c>
      <c r="N5334" s="2" t="str">
        <f>IFERROR(__xludf.DUMMYFUNCTION("""COMPUTED_VALUE"""),"")</f>
        <v/>
      </c>
    </row>
    <row r="5335">
      <c r="A5335" s="2" t="s">
        <v>33</v>
      </c>
      <c r="B5335" s="12">
        <v>5168945.0</v>
      </c>
      <c r="C5335" s="12">
        <v>5169652.0</v>
      </c>
      <c r="D5335" s="2"/>
      <c r="E5335" s="2" t="s">
        <v>34</v>
      </c>
      <c r="F5335" s="2" t="s">
        <v>39</v>
      </c>
      <c r="G5335" s="2"/>
      <c r="H5335" s="12">
        <v>0.0</v>
      </c>
      <c r="I5335" s="2" t="s">
        <v>40</v>
      </c>
      <c r="J5335" s="2"/>
      <c r="K5335" s="2" t="s">
        <v>14226</v>
      </c>
      <c r="L5335" s="12">
        <v>235.0</v>
      </c>
      <c r="M5335" s="2" t="s">
        <v>14227</v>
      </c>
      <c r="N5335" s="2" t="str">
        <f>IFERROR(__xludf.DUMMYFUNCTION("""COMPUTED_VALUE"""),"")</f>
        <v/>
      </c>
    </row>
    <row r="5336">
      <c r="A5336" s="2" t="s">
        <v>33</v>
      </c>
      <c r="B5336" s="12">
        <v>5169677.0</v>
      </c>
      <c r="C5336" s="12">
        <v>5171212.0</v>
      </c>
      <c r="D5336" s="2"/>
      <c r="E5336" s="2" t="s">
        <v>34</v>
      </c>
      <c r="F5336" s="2" t="s">
        <v>832</v>
      </c>
      <c r="G5336" s="2"/>
      <c r="H5336" s="12">
        <v>0.0</v>
      </c>
      <c r="I5336" s="2" t="s">
        <v>40</v>
      </c>
      <c r="J5336" s="2"/>
      <c r="K5336" s="2" t="s">
        <v>14228</v>
      </c>
      <c r="L5336" s="12">
        <v>511.0</v>
      </c>
      <c r="M5336" s="2" t="s">
        <v>14229</v>
      </c>
      <c r="N5336" s="2" t="str">
        <f>IFERROR(__xludf.DUMMYFUNCTION("""COMPUTED_VALUE"""),"")</f>
        <v/>
      </c>
    </row>
    <row r="5337">
      <c r="A5337" s="2" t="s">
        <v>33</v>
      </c>
      <c r="B5337" s="12">
        <v>5171267.0</v>
      </c>
      <c r="C5337" s="12">
        <v>5171587.0</v>
      </c>
      <c r="D5337" s="2"/>
      <c r="E5337" s="2" t="s">
        <v>38</v>
      </c>
      <c r="F5337" s="2" t="s">
        <v>39</v>
      </c>
      <c r="G5337" s="2"/>
      <c r="H5337" s="12">
        <v>0.0</v>
      </c>
      <c r="I5337" s="2" t="s">
        <v>40</v>
      </c>
      <c r="J5337" s="2"/>
      <c r="K5337" s="2" t="s">
        <v>14230</v>
      </c>
      <c r="L5337" s="12">
        <v>106.0</v>
      </c>
      <c r="M5337" s="2" t="s">
        <v>14231</v>
      </c>
      <c r="N5337" s="2" t="str">
        <f>IFERROR(__xludf.DUMMYFUNCTION("""COMPUTED_VALUE"""),"")</f>
        <v/>
      </c>
    </row>
    <row r="5338">
      <c r="A5338" s="2" t="s">
        <v>33</v>
      </c>
      <c r="B5338" s="12">
        <v>5171840.0</v>
      </c>
      <c r="C5338" s="12">
        <v>5172619.0</v>
      </c>
      <c r="D5338" s="2"/>
      <c r="E5338" s="2" t="s">
        <v>34</v>
      </c>
      <c r="F5338" s="2" t="s">
        <v>14232</v>
      </c>
      <c r="G5338" s="2"/>
      <c r="H5338" s="12">
        <v>0.0</v>
      </c>
      <c r="I5338" s="2" t="s">
        <v>40</v>
      </c>
      <c r="J5338" s="2"/>
      <c r="K5338" s="2" t="s">
        <v>14233</v>
      </c>
      <c r="L5338" s="12">
        <v>259.0</v>
      </c>
      <c r="M5338" s="2" t="s">
        <v>14234</v>
      </c>
      <c r="N5338" s="2" t="str">
        <f>IFERROR(__xludf.DUMMYFUNCTION("""COMPUTED_VALUE"""),"")</f>
        <v/>
      </c>
    </row>
    <row r="5339">
      <c r="A5339" s="2" t="s">
        <v>33</v>
      </c>
      <c r="B5339" s="12">
        <v>5172930.0</v>
      </c>
      <c r="C5339" s="12">
        <v>5173700.0</v>
      </c>
      <c r="D5339" s="2"/>
      <c r="E5339" s="2" t="s">
        <v>34</v>
      </c>
      <c r="F5339" s="2" t="s">
        <v>367</v>
      </c>
      <c r="G5339" s="2"/>
      <c r="H5339" s="12">
        <v>0.0</v>
      </c>
      <c r="I5339" s="2" t="s">
        <v>40</v>
      </c>
      <c r="J5339" s="2"/>
      <c r="K5339" s="2" t="s">
        <v>14235</v>
      </c>
      <c r="L5339" s="12">
        <v>256.0</v>
      </c>
      <c r="M5339" s="2" t="s">
        <v>14236</v>
      </c>
      <c r="N5339" s="2" t="str">
        <f>IFERROR(__xludf.DUMMYFUNCTION("""COMPUTED_VALUE"""),"")</f>
        <v/>
      </c>
    </row>
    <row r="5340">
      <c r="A5340" s="2" t="s">
        <v>33</v>
      </c>
      <c r="B5340" s="12">
        <v>5174015.0</v>
      </c>
      <c r="C5340" s="12">
        <v>5174446.0</v>
      </c>
      <c r="D5340" s="2"/>
      <c r="E5340" s="2" t="s">
        <v>38</v>
      </c>
      <c r="F5340" s="2" t="s">
        <v>367</v>
      </c>
      <c r="G5340" s="2"/>
      <c r="H5340" s="12">
        <v>0.0</v>
      </c>
      <c r="I5340" s="2" t="s">
        <v>40</v>
      </c>
      <c r="J5340" s="2"/>
      <c r="K5340" s="2" t="s">
        <v>14237</v>
      </c>
      <c r="L5340" s="12">
        <v>143.0</v>
      </c>
      <c r="M5340" s="2" t="s">
        <v>14238</v>
      </c>
      <c r="N5340" s="2" t="str">
        <f>IFERROR(__xludf.DUMMYFUNCTION("""COMPUTED_VALUE"""),"")</f>
        <v/>
      </c>
    </row>
    <row r="5341">
      <c r="A5341" s="2" t="s">
        <v>33</v>
      </c>
      <c r="B5341" s="12">
        <v>5175297.0</v>
      </c>
      <c r="C5341" s="12">
        <v>5175866.0</v>
      </c>
      <c r="D5341" s="2"/>
      <c r="E5341" s="2" t="s">
        <v>34</v>
      </c>
      <c r="F5341" s="2" t="s">
        <v>1584</v>
      </c>
      <c r="G5341" s="2"/>
      <c r="H5341" s="12">
        <v>0.0</v>
      </c>
      <c r="I5341" s="2" t="s">
        <v>40</v>
      </c>
      <c r="J5341" s="2"/>
      <c r="K5341" s="2" t="s">
        <v>14239</v>
      </c>
      <c r="L5341" s="12">
        <v>189.0</v>
      </c>
      <c r="M5341" s="2" t="s">
        <v>14240</v>
      </c>
      <c r="N5341" s="2" t="str">
        <f>IFERROR(__xludf.DUMMYFUNCTION("""COMPUTED_VALUE"""),"")</f>
        <v/>
      </c>
    </row>
    <row r="5342">
      <c r="A5342" s="2" t="s">
        <v>33</v>
      </c>
      <c r="B5342" s="12">
        <v>5176230.0</v>
      </c>
      <c r="C5342" s="12">
        <v>5176430.0</v>
      </c>
      <c r="D5342" s="2"/>
      <c r="E5342" s="2" t="s">
        <v>34</v>
      </c>
      <c r="F5342" s="2" t="s">
        <v>14241</v>
      </c>
      <c r="G5342" s="2"/>
      <c r="H5342" s="12">
        <v>0.0</v>
      </c>
      <c r="I5342" s="2" t="s">
        <v>40</v>
      </c>
      <c r="J5342" s="2"/>
      <c r="K5342" s="2" t="s">
        <v>14242</v>
      </c>
      <c r="L5342" s="12">
        <v>66.0</v>
      </c>
      <c r="M5342" s="2" t="s">
        <v>14243</v>
      </c>
      <c r="N5342" s="2" t="str">
        <f>IFERROR(__xludf.DUMMYFUNCTION("""COMPUTED_VALUE"""),"")</f>
        <v/>
      </c>
    </row>
    <row r="5343">
      <c r="A5343" s="2" t="s">
        <v>33</v>
      </c>
      <c r="B5343" s="12">
        <v>5176445.0</v>
      </c>
      <c r="C5343" s="12">
        <v>5176897.0</v>
      </c>
      <c r="D5343" s="2"/>
      <c r="E5343" s="2" t="s">
        <v>34</v>
      </c>
      <c r="F5343" s="2" t="s">
        <v>1584</v>
      </c>
      <c r="G5343" s="2"/>
      <c r="H5343" s="12">
        <v>0.0</v>
      </c>
      <c r="I5343" s="2" t="s">
        <v>40</v>
      </c>
      <c r="J5343" s="2"/>
      <c r="K5343" s="2" t="s">
        <v>14244</v>
      </c>
      <c r="L5343" s="12">
        <v>150.0</v>
      </c>
      <c r="M5343" s="2" t="s">
        <v>14245</v>
      </c>
      <c r="N5343" s="2" t="str">
        <f>IFERROR(__xludf.DUMMYFUNCTION("""COMPUTED_VALUE"""),"")</f>
        <v/>
      </c>
    </row>
    <row r="5344">
      <c r="A5344" s="2" t="s">
        <v>33</v>
      </c>
      <c r="B5344" s="12">
        <v>5177375.0</v>
      </c>
      <c r="C5344" s="12">
        <v>5178235.0</v>
      </c>
      <c r="D5344" s="2"/>
      <c r="E5344" s="2" t="s">
        <v>34</v>
      </c>
      <c r="F5344" s="2" t="s">
        <v>1134</v>
      </c>
      <c r="G5344" s="2"/>
      <c r="H5344" s="12">
        <v>0.0</v>
      </c>
      <c r="I5344" s="2" t="s">
        <v>40</v>
      </c>
      <c r="J5344" s="2"/>
      <c r="K5344" s="2" t="s">
        <v>14246</v>
      </c>
      <c r="L5344" s="12">
        <v>286.0</v>
      </c>
      <c r="M5344" s="2" t="s">
        <v>14247</v>
      </c>
      <c r="N5344" s="2" t="str">
        <f>IFERROR(__xludf.DUMMYFUNCTION("""COMPUTED_VALUE"""),"")</f>
        <v/>
      </c>
    </row>
    <row r="5345">
      <c r="A5345" s="2" t="s">
        <v>33</v>
      </c>
      <c r="B5345" s="12">
        <v>5178526.0</v>
      </c>
      <c r="C5345" s="12">
        <v>5180109.0</v>
      </c>
      <c r="D5345" s="2"/>
      <c r="E5345" s="2" t="s">
        <v>34</v>
      </c>
      <c r="F5345" s="2" t="s">
        <v>14248</v>
      </c>
      <c r="G5345" s="2"/>
      <c r="H5345" s="12">
        <v>0.0</v>
      </c>
      <c r="I5345" s="2" t="s">
        <v>40</v>
      </c>
      <c r="J5345" s="2"/>
      <c r="K5345" s="2" t="s">
        <v>14249</v>
      </c>
      <c r="L5345" s="12">
        <v>527.0</v>
      </c>
      <c r="M5345" s="2" t="s">
        <v>14250</v>
      </c>
      <c r="N5345" s="2" t="str">
        <f>IFERROR(__xludf.DUMMYFUNCTION("""COMPUTED_VALUE"""),"")</f>
        <v/>
      </c>
    </row>
    <row r="5346">
      <c r="A5346" s="2" t="s">
        <v>33</v>
      </c>
      <c r="B5346" s="12">
        <v>5180122.0</v>
      </c>
      <c r="C5346" s="12">
        <v>5180871.0</v>
      </c>
      <c r="D5346" s="2"/>
      <c r="E5346" s="2" t="s">
        <v>34</v>
      </c>
      <c r="F5346" s="2" t="s">
        <v>7414</v>
      </c>
      <c r="G5346" s="2"/>
      <c r="H5346" s="12">
        <v>0.0</v>
      </c>
      <c r="I5346" s="2" t="s">
        <v>40</v>
      </c>
      <c r="J5346" s="2"/>
      <c r="K5346" s="2" t="s">
        <v>14251</v>
      </c>
      <c r="L5346" s="12">
        <v>249.0</v>
      </c>
      <c r="M5346" s="2" t="s">
        <v>14252</v>
      </c>
      <c r="N5346" s="2" t="str">
        <f>IFERROR(__xludf.DUMMYFUNCTION("""COMPUTED_VALUE"""),"")</f>
        <v/>
      </c>
    </row>
    <row r="5347">
      <c r="A5347" s="2" t="s">
        <v>33</v>
      </c>
      <c r="B5347" s="12">
        <v>5180889.0</v>
      </c>
      <c r="C5347" s="12">
        <v>5181602.0</v>
      </c>
      <c r="D5347" s="2"/>
      <c r="E5347" s="2" t="s">
        <v>34</v>
      </c>
      <c r="F5347" s="2" t="s">
        <v>14253</v>
      </c>
      <c r="G5347" s="2"/>
      <c r="H5347" s="12">
        <v>0.0</v>
      </c>
      <c r="I5347" s="2" t="s">
        <v>40</v>
      </c>
      <c r="J5347" s="2"/>
      <c r="K5347" s="2" t="s">
        <v>14254</v>
      </c>
      <c r="L5347" s="12">
        <v>237.0</v>
      </c>
      <c r="M5347" s="2" t="s">
        <v>14255</v>
      </c>
      <c r="N5347" s="2" t="str">
        <f>IFERROR(__xludf.DUMMYFUNCTION("""COMPUTED_VALUE"""),"")</f>
        <v/>
      </c>
    </row>
    <row r="5348">
      <c r="A5348" s="2" t="s">
        <v>33</v>
      </c>
      <c r="B5348" s="12">
        <v>5181605.0</v>
      </c>
      <c r="C5348" s="12">
        <v>5182264.0</v>
      </c>
      <c r="D5348" s="2"/>
      <c r="E5348" s="2" t="s">
        <v>34</v>
      </c>
      <c r="F5348" s="2" t="s">
        <v>14256</v>
      </c>
      <c r="G5348" s="2"/>
      <c r="H5348" s="12">
        <v>0.0</v>
      </c>
      <c r="I5348" s="2" t="s">
        <v>40</v>
      </c>
      <c r="J5348" s="2"/>
      <c r="K5348" s="2" t="s">
        <v>14257</v>
      </c>
      <c r="L5348" s="12">
        <v>219.0</v>
      </c>
      <c r="M5348" s="2" t="s">
        <v>14258</v>
      </c>
      <c r="N5348" s="2" t="str">
        <f>IFERROR(__xludf.DUMMYFUNCTION("""COMPUTED_VALUE"""),"")</f>
        <v/>
      </c>
    </row>
    <row r="5349">
      <c r="A5349" s="2" t="s">
        <v>33</v>
      </c>
      <c r="B5349" s="12">
        <v>5182320.0</v>
      </c>
      <c r="C5349" s="12">
        <v>5183024.0</v>
      </c>
      <c r="D5349" s="2"/>
      <c r="E5349" s="2" t="s">
        <v>34</v>
      </c>
      <c r="F5349" s="2" t="s">
        <v>8231</v>
      </c>
      <c r="G5349" s="2"/>
      <c r="H5349" s="12">
        <v>0.0</v>
      </c>
      <c r="I5349" s="2" t="s">
        <v>40</v>
      </c>
      <c r="J5349" s="2"/>
      <c r="K5349" s="2" t="s">
        <v>14259</v>
      </c>
      <c r="L5349" s="12">
        <v>234.0</v>
      </c>
      <c r="M5349" s="2" t="s">
        <v>14260</v>
      </c>
      <c r="N5349" s="2" t="str">
        <f>IFERROR(__xludf.DUMMYFUNCTION("""COMPUTED_VALUE"""),"")</f>
        <v/>
      </c>
    </row>
    <row r="5350">
      <c r="A5350" s="2" t="s">
        <v>33</v>
      </c>
      <c r="B5350" s="12">
        <v>5183312.0</v>
      </c>
      <c r="C5350" s="12">
        <v>5183806.0</v>
      </c>
      <c r="D5350" s="2"/>
      <c r="E5350" s="2" t="s">
        <v>34</v>
      </c>
      <c r="F5350" s="2" t="s">
        <v>367</v>
      </c>
      <c r="G5350" s="2"/>
      <c r="H5350" s="12">
        <v>0.0</v>
      </c>
      <c r="I5350" s="2" t="s">
        <v>40</v>
      </c>
      <c r="J5350" s="2"/>
      <c r="K5350" s="2" t="s">
        <v>14261</v>
      </c>
      <c r="L5350" s="12">
        <v>164.0</v>
      </c>
      <c r="M5350" s="2" t="s">
        <v>14262</v>
      </c>
      <c r="N5350" s="2" t="str">
        <f>IFERROR(__xludf.DUMMYFUNCTION("""COMPUTED_VALUE"""),"")</f>
        <v/>
      </c>
    </row>
    <row r="5351">
      <c r="A5351" s="2" t="s">
        <v>33</v>
      </c>
      <c r="B5351" s="12">
        <v>5184003.0</v>
      </c>
      <c r="C5351" s="12">
        <v>5184419.0</v>
      </c>
      <c r="D5351" s="2"/>
      <c r="E5351" s="2" t="s">
        <v>38</v>
      </c>
      <c r="F5351" s="2" t="s">
        <v>39</v>
      </c>
      <c r="G5351" s="2"/>
      <c r="H5351" s="12">
        <v>0.0</v>
      </c>
      <c r="I5351" s="2" t="s">
        <v>40</v>
      </c>
      <c r="J5351" s="2"/>
      <c r="K5351" s="2" t="s">
        <v>14263</v>
      </c>
      <c r="L5351" s="12">
        <v>138.0</v>
      </c>
      <c r="M5351" s="2" t="s">
        <v>14264</v>
      </c>
      <c r="N5351" s="2" t="str">
        <f>IFERROR(__xludf.DUMMYFUNCTION("""COMPUTED_VALUE"""),"")</f>
        <v/>
      </c>
    </row>
    <row r="5352">
      <c r="A5352" s="2" t="s">
        <v>33</v>
      </c>
      <c r="B5352" s="12">
        <v>5184541.0</v>
      </c>
      <c r="C5352" s="12">
        <v>5185188.0</v>
      </c>
      <c r="D5352" s="2"/>
      <c r="E5352" s="2" t="s">
        <v>34</v>
      </c>
      <c r="F5352" s="2" t="s">
        <v>379</v>
      </c>
      <c r="G5352" s="2"/>
      <c r="H5352" s="12">
        <v>0.0</v>
      </c>
      <c r="I5352" s="2" t="s">
        <v>40</v>
      </c>
      <c r="J5352" s="2"/>
      <c r="K5352" s="2" t="s">
        <v>14265</v>
      </c>
      <c r="L5352" s="12">
        <v>215.0</v>
      </c>
      <c r="M5352" s="2" t="s">
        <v>14266</v>
      </c>
      <c r="N5352" s="2" t="str">
        <f>IFERROR(__xludf.DUMMYFUNCTION("""COMPUTED_VALUE"""),"")</f>
        <v/>
      </c>
    </row>
    <row r="5353">
      <c r="A5353" s="2" t="s">
        <v>33</v>
      </c>
      <c r="B5353" s="12">
        <v>5185181.0</v>
      </c>
      <c r="C5353" s="12">
        <v>5186557.0</v>
      </c>
      <c r="D5353" s="2"/>
      <c r="E5353" s="2" t="s">
        <v>34</v>
      </c>
      <c r="F5353" s="2" t="s">
        <v>382</v>
      </c>
      <c r="G5353" s="2"/>
      <c r="H5353" s="12">
        <v>0.0</v>
      </c>
      <c r="I5353" s="2" t="s">
        <v>40</v>
      </c>
      <c r="J5353" s="2"/>
      <c r="K5353" s="2" t="s">
        <v>14267</v>
      </c>
      <c r="L5353" s="12">
        <v>458.0</v>
      </c>
      <c r="M5353" s="2" t="s">
        <v>14268</v>
      </c>
      <c r="N5353" s="2" t="str">
        <f>IFERROR(__xludf.DUMMYFUNCTION("""COMPUTED_VALUE"""),"")</f>
        <v/>
      </c>
    </row>
    <row r="5354">
      <c r="A5354" s="2" t="s">
        <v>33</v>
      </c>
      <c r="B5354" s="12">
        <v>5186747.0</v>
      </c>
      <c r="C5354" s="12">
        <v>5187589.0</v>
      </c>
      <c r="D5354" s="2"/>
      <c r="E5354" s="2" t="s">
        <v>34</v>
      </c>
      <c r="F5354" s="2" t="s">
        <v>934</v>
      </c>
      <c r="G5354" s="2"/>
      <c r="H5354" s="12">
        <v>0.0</v>
      </c>
      <c r="I5354" s="2" t="s">
        <v>40</v>
      </c>
      <c r="J5354" s="2"/>
      <c r="K5354" s="2" t="s">
        <v>14269</v>
      </c>
      <c r="L5354" s="12">
        <v>280.0</v>
      </c>
      <c r="M5354" s="2" t="s">
        <v>14270</v>
      </c>
      <c r="N5354" s="2" t="str">
        <f>IFERROR(__xludf.DUMMYFUNCTION("""COMPUTED_VALUE"""),"")</f>
        <v/>
      </c>
    </row>
    <row r="5355">
      <c r="A5355" s="2" t="s">
        <v>33</v>
      </c>
      <c r="B5355" s="12">
        <v>5187912.0</v>
      </c>
      <c r="C5355" s="12">
        <v>5189651.0</v>
      </c>
      <c r="D5355" s="2"/>
      <c r="E5355" s="2" t="s">
        <v>34</v>
      </c>
      <c r="F5355" s="2" t="s">
        <v>14271</v>
      </c>
      <c r="G5355" s="2"/>
      <c r="H5355" s="12">
        <v>0.0</v>
      </c>
      <c r="I5355" s="2" t="s">
        <v>40</v>
      </c>
      <c r="J5355" s="2"/>
      <c r="K5355" s="2" t="s">
        <v>14272</v>
      </c>
      <c r="L5355" s="12">
        <v>579.0</v>
      </c>
      <c r="M5355" s="2" t="s">
        <v>14273</v>
      </c>
      <c r="N5355" s="2" t="str">
        <f>IFERROR(__xludf.DUMMYFUNCTION("""COMPUTED_VALUE"""),"")</f>
        <v/>
      </c>
    </row>
    <row r="5356">
      <c r="A5356" s="2" t="s">
        <v>33</v>
      </c>
      <c r="B5356" s="12">
        <v>5189879.0</v>
      </c>
      <c r="C5356" s="12">
        <v>5190640.0</v>
      </c>
      <c r="D5356" s="2"/>
      <c r="E5356" s="2" t="s">
        <v>34</v>
      </c>
      <c r="F5356" s="2" t="s">
        <v>289</v>
      </c>
      <c r="G5356" s="2"/>
      <c r="H5356" s="12">
        <v>0.0</v>
      </c>
      <c r="I5356" s="2" t="s">
        <v>40</v>
      </c>
      <c r="J5356" s="2"/>
      <c r="K5356" s="2" t="s">
        <v>14274</v>
      </c>
      <c r="L5356" s="12">
        <v>253.0</v>
      </c>
      <c r="M5356" s="2" t="s">
        <v>14275</v>
      </c>
      <c r="N5356" s="2" t="str">
        <f>IFERROR(__xludf.DUMMYFUNCTION("""COMPUTED_VALUE"""),"")</f>
        <v/>
      </c>
    </row>
    <row r="5357">
      <c r="A5357" s="2" t="s">
        <v>33</v>
      </c>
      <c r="B5357" s="12">
        <v>5190742.0</v>
      </c>
      <c r="C5357" s="12">
        <v>5191302.0</v>
      </c>
      <c r="D5357" s="2"/>
      <c r="E5357" s="2" t="s">
        <v>34</v>
      </c>
      <c r="F5357" s="2" t="s">
        <v>712</v>
      </c>
      <c r="G5357" s="2"/>
      <c r="H5357" s="12">
        <v>0.0</v>
      </c>
      <c r="I5357" s="2" t="s">
        <v>40</v>
      </c>
      <c r="J5357" s="2"/>
      <c r="K5357" s="2" t="s">
        <v>14276</v>
      </c>
      <c r="L5357" s="12">
        <v>186.0</v>
      </c>
      <c r="M5357" s="2" t="s">
        <v>14277</v>
      </c>
      <c r="N5357" s="2" t="str">
        <f>IFERROR(__xludf.DUMMYFUNCTION("""COMPUTED_VALUE"""),"")</f>
        <v/>
      </c>
    </row>
    <row r="5358">
      <c r="A5358" s="2" t="s">
        <v>33</v>
      </c>
      <c r="B5358" s="12">
        <v>5191443.0</v>
      </c>
      <c r="C5358" s="12">
        <v>5191706.0</v>
      </c>
      <c r="D5358" s="2"/>
      <c r="E5358" s="2" t="s">
        <v>34</v>
      </c>
      <c r="F5358" s="2" t="s">
        <v>39</v>
      </c>
      <c r="G5358" s="2"/>
      <c r="H5358" s="12">
        <v>0.0</v>
      </c>
      <c r="I5358" s="2" t="s">
        <v>40</v>
      </c>
      <c r="J5358" s="2"/>
      <c r="K5358" s="2" t="s">
        <v>14278</v>
      </c>
      <c r="L5358" s="12">
        <v>87.0</v>
      </c>
      <c r="M5358" s="2" t="s">
        <v>14279</v>
      </c>
      <c r="N5358" s="2" t="str">
        <f>IFERROR(__xludf.DUMMYFUNCTION("""COMPUTED_VALUE"""),"")</f>
        <v/>
      </c>
    </row>
    <row r="5359">
      <c r="A5359" s="2" t="s">
        <v>33</v>
      </c>
      <c r="B5359" s="12">
        <v>5192076.0</v>
      </c>
      <c r="C5359" s="12">
        <v>5192306.0</v>
      </c>
      <c r="D5359" s="2"/>
      <c r="E5359" s="2" t="s">
        <v>34</v>
      </c>
      <c r="F5359" s="2" t="s">
        <v>39</v>
      </c>
      <c r="G5359" s="2"/>
      <c r="H5359" s="12">
        <v>0.0</v>
      </c>
      <c r="I5359" s="2" t="s">
        <v>40</v>
      </c>
      <c r="J5359" s="2"/>
      <c r="K5359" s="2" t="s">
        <v>14280</v>
      </c>
      <c r="L5359" s="12">
        <v>76.0</v>
      </c>
      <c r="M5359" s="2" t="s">
        <v>14281</v>
      </c>
      <c r="N5359" s="2" t="str">
        <f>IFERROR(__xludf.DUMMYFUNCTION("""COMPUTED_VALUE"""),"")</f>
        <v/>
      </c>
    </row>
    <row r="5360">
      <c r="A5360" s="2" t="s">
        <v>33</v>
      </c>
      <c r="B5360" s="12">
        <v>5192839.0</v>
      </c>
      <c r="C5360" s="12">
        <v>5193330.0</v>
      </c>
      <c r="D5360" s="2"/>
      <c r="E5360" s="2" t="s">
        <v>34</v>
      </c>
      <c r="F5360" s="2" t="s">
        <v>5671</v>
      </c>
      <c r="G5360" s="2"/>
      <c r="H5360" s="12">
        <v>0.0</v>
      </c>
      <c r="I5360" s="2" t="s">
        <v>40</v>
      </c>
      <c r="J5360" s="2"/>
      <c r="K5360" s="2" t="s">
        <v>14282</v>
      </c>
      <c r="L5360" s="12">
        <v>163.0</v>
      </c>
      <c r="M5360" s="2" t="s">
        <v>14283</v>
      </c>
      <c r="N5360" s="2" t="str">
        <f>IFERROR(__xludf.DUMMYFUNCTION("""COMPUTED_VALUE"""),"")</f>
        <v/>
      </c>
    </row>
    <row r="5361">
      <c r="A5361" s="2" t="s">
        <v>33</v>
      </c>
      <c r="B5361" s="12">
        <v>5193327.0</v>
      </c>
      <c r="C5361" s="12">
        <v>5193923.0</v>
      </c>
      <c r="D5361" s="2"/>
      <c r="E5361" s="2" t="s">
        <v>34</v>
      </c>
      <c r="F5361" s="2" t="s">
        <v>12399</v>
      </c>
      <c r="G5361" s="2"/>
      <c r="H5361" s="12">
        <v>0.0</v>
      </c>
      <c r="I5361" s="2" t="s">
        <v>40</v>
      </c>
      <c r="J5361" s="2"/>
      <c r="K5361" s="2" t="s">
        <v>14284</v>
      </c>
      <c r="L5361" s="12">
        <v>198.0</v>
      </c>
      <c r="M5361" s="2" t="s">
        <v>14285</v>
      </c>
      <c r="N5361" s="2" t="str">
        <f>IFERROR(__xludf.DUMMYFUNCTION("""COMPUTED_VALUE"""),"")</f>
        <v/>
      </c>
    </row>
    <row r="5362">
      <c r="A5362" s="2" t="s">
        <v>33</v>
      </c>
      <c r="B5362" s="12">
        <v>5193943.0</v>
      </c>
      <c r="C5362" s="12">
        <v>5194869.0</v>
      </c>
      <c r="D5362" s="2"/>
      <c r="E5362" s="2" t="s">
        <v>38</v>
      </c>
      <c r="F5362" s="2" t="s">
        <v>1711</v>
      </c>
      <c r="G5362" s="2"/>
      <c r="H5362" s="12">
        <v>0.0</v>
      </c>
      <c r="I5362" s="2" t="s">
        <v>40</v>
      </c>
      <c r="J5362" s="2"/>
      <c r="K5362" s="2" t="s">
        <v>14286</v>
      </c>
      <c r="L5362" s="12">
        <v>308.0</v>
      </c>
      <c r="M5362" s="2" t="s">
        <v>14287</v>
      </c>
      <c r="N5362" s="2" t="str">
        <f>IFERROR(__xludf.DUMMYFUNCTION("""COMPUTED_VALUE"""),"")</f>
        <v/>
      </c>
    </row>
    <row r="5363">
      <c r="A5363" s="2" t="s">
        <v>33</v>
      </c>
      <c r="B5363" s="12">
        <v>5195154.0</v>
      </c>
      <c r="C5363" s="12">
        <v>5195510.0</v>
      </c>
      <c r="D5363" s="2"/>
      <c r="E5363" s="2" t="s">
        <v>34</v>
      </c>
      <c r="F5363" s="2" t="s">
        <v>14288</v>
      </c>
      <c r="G5363" s="2"/>
      <c r="H5363" s="12">
        <v>0.0</v>
      </c>
      <c r="I5363" s="2" t="s">
        <v>40</v>
      </c>
      <c r="J5363" s="2"/>
      <c r="K5363" s="2" t="s">
        <v>14289</v>
      </c>
      <c r="L5363" s="12">
        <v>118.0</v>
      </c>
      <c r="M5363" s="2" t="s">
        <v>14290</v>
      </c>
      <c r="N5363" s="2" t="str">
        <f>IFERROR(__xludf.DUMMYFUNCTION("""COMPUTED_VALUE"""),"")</f>
        <v/>
      </c>
    </row>
    <row r="5364">
      <c r="A5364" s="2" t="s">
        <v>33</v>
      </c>
      <c r="B5364" s="12">
        <v>5195809.0</v>
      </c>
      <c r="C5364" s="12">
        <v>5196135.0</v>
      </c>
      <c r="D5364" s="2"/>
      <c r="E5364" s="2" t="s">
        <v>34</v>
      </c>
      <c r="F5364" s="2" t="s">
        <v>14291</v>
      </c>
      <c r="G5364" s="2"/>
      <c r="H5364" s="12">
        <v>0.0</v>
      </c>
      <c r="I5364" s="2" t="s">
        <v>40</v>
      </c>
      <c r="J5364" s="2"/>
      <c r="K5364" s="2" t="s">
        <v>14292</v>
      </c>
      <c r="L5364" s="12">
        <v>108.0</v>
      </c>
      <c r="M5364" s="2" t="s">
        <v>14293</v>
      </c>
      <c r="N5364" s="2" t="str">
        <f>IFERROR(__xludf.DUMMYFUNCTION("""COMPUTED_VALUE"""),"")</f>
        <v/>
      </c>
    </row>
    <row r="5365">
      <c r="A5365" s="2" t="s">
        <v>33</v>
      </c>
      <c r="B5365" s="12">
        <v>5196322.0</v>
      </c>
      <c r="C5365" s="12">
        <v>5197383.0</v>
      </c>
      <c r="D5365" s="2"/>
      <c r="E5365" s="2" t="s">
        <v>34</v>
      </c>
      <c r="F5365" s="2" t="s">
        <v>14294</v>
      </c>
      <c r="G5365" s="2"/>
      <c r="H5365" s="12">
        <v>0.0</v>
      </c>
      <c r="I5365" s="2" t="s">
        <v>40</v>
      </c>
      <c r="J5365" s="2"/>
      <c r="K5365" s="2" t="s">
        <v>14295</v>
      </c>
      <c r="L5365" s="12">
        <v>353.0</v>
      </c>
      <c r="M5365" s="2" t="s">
        <v>14296</v>
      </c>
      <c r="N5365" s="2" t="str">
        <f>IFERROR(__xludf.DUMMYFUNCTION("""COMPUTED_VALUE"""),"")</f>
        <v/>
      </c>
    </row>
    <row r="5366">
      <c r="A5366" s="2" t="s">
        <v>33</v>
      </c>
      <c r="B5366" s="12">
        <v>5197423.0</v>
      </c>
      <c r="C5366" s="12">
        <v>5198424.0</v>
      </c>
      <c r="D5366" s="2"/>
      <c r="E5366" s="2" t="s">
        <v>34</v>
      </c>
      <c r="F5366" s="2" t="s">
        <v>14297</v>
      </c>
      <c r="G5366" s="2"/>
      <c r="H5366" s="12">
        <v>0.0</v>
      </c>
      <c r="I5366" s="2" t="s">
        <v>40</v>
      </c>
      <c r="J5366" s="2"/>
      <c r="K5366" s="2" t="s">
        <v>14298</v>
      </c>
      <c r="L5366" s="12">
        <v>333.0</v>
      </c>
      <c r="M5366" s="2" t="s">
        <v>14299</v>
      </c>
      <c r="N5366" s="2" t="str">
        <f>IFERROR(__xludf.DUMMYFUNCTION("""COMPUTED_VALUE"""),"")</f>
        <v/>
      </c>
    </row>
    <row r="5367">
      <c r="A5367" s="2" t="s">
        <v>33</v>
      </c>
      <c r="B5367" s="12">
        <v>5198445.0</v>
      </c>
      <c r="C5367" s="12">
        <v>5200067.0</v>
      </c>
      <c r="D5367" s="2"/>
      <c r="E5367" s="2" t="s">
        <v>34</v>
      </c>
      <c r="F5367" s="2" t="s">
        <v>1632</v>
      </c>
      <c r="G5367" s="2"/>
      <c r="H5367" s="12">
        <v>0.0</v>
      </c>
      <c r="I5367" s="2" t="s">
        <v>40</v>
      </c>
      <c r="J5367" s="2"/>
      <c r="K5367" s="2" t="s">
        <v>14300</v>
      </c>
      <c r="L5367" s="12">
        <v>540.0</v>
      </c>
      <c r="M5367" s="2" t="s">
        <v>14301</v>
      </c>
      <c r="N5367" s="2" t="str">
        <f>IFERROR(__xludf.DUMMYFUNCTION("""COMPUTED_VALUE"""),"")</f>
        <v/>
      </c>
    </row>
    <row r="5368">
      <c r="A5368" s="2" t="s">
        <v>33</v>
      </c>
      <c r="B5368" s="12">
        <v>5200182.0</v>
      </c>
      <c r="C5368" s="12">
        <v>5200715.0</v>
      </c>
      <c r="D5368" s="2"/>
      <c r="E5368" s="2" t="s">
        <v>34</v>
      </c>
      <c r="F5368" s="2" t="s">
        <v>367</v>
      </c>
      <c r="G5368" s="2"/>
      <c r="H5368" s="12">
        <v>0.0</v>
      </c>
      <c r="I5368" s="2" t="s">
        <v>40</v>
      </c>
      <c r="J5368" s="2"/>
      <c r="K5368" s="2" t="s">
        <v>14302</v>
      </c>
      <c r="L5368" s="12">
        <v>177.0</v>
      </c>
      <c r="M5368" s="2" t="s">
        <v>14303</v>
      </c>
      <c r="N5368" s="2" t="str">
        <f>IFERROR(__xludf.DUMMYFUNCTION("""COMPUTED_VALUE"""),"")</f>
        <v/>
      </c>
    </row>
    <row r="5369">
      <c r="A5369" s="2" t="s">
        <v>33</v>
      </c>
      <c r="B5369" s="12">
        <v>5200983.0</v>
      </c>
      <c r="C5369" s="12">
        <v>5202164.0</v>
      </c>
      <c r="D5369" s="2"/>
      <c r="E5369" s="2" t="s">
        <v>34</v>
      </c>
      <c r="F5369" s="2" t="s">
        <v>3511</v>
      </c>
      <c r="G5369" s="2" t="s">
        <v>3512</v>
      </c>
      <c r="H5369" s="12">
        <v>0.0</v>
      </c>
      <c r="I5369" s="2" t="s">
        <v>40</v>
      </c>
      <c r="J5369" s="2"/>
      <c r="K5369" s="2" t="s">
        <v>14304</v>
      </c>
      <c r="L5369" s="12">
        <v>393.0</v>
      </c>
      <c r="M5369" s="2" t="s">
        <v>14305</v>
      </c>
      <c r="N5369" s="2" t="str">
        <f>IFERROR(__xludf.DUMMYFUNCTION("""COMPUTED_VALUE"""),"")</f>
        <v/>
      </c>
    </row>
    <row r="5370">
      <c r="A5370" s="2" t="s">
        <v>33</v>
      </c>
      <c r="B5370" s="12">
        <v>5202206.0</v>
      </c>
      <c r="C5370" s="12">
        <v>5202430.0</v>
      </c>
      <c r="D5370" s="2"/>
      <c r="E5370" s="2" t="s">
        <v>38</v>
      </c>
      <c r="F5370" s="2" t="s">
        <v>39</v>
      </c>
      <c r="G5370" s="2"/>
      <c r="H5370" s="12">
        <v>0.0</v>
      </c>
      <c r="I5370" s="2" t="s">
        <v>40</v>
      </c>
      <c r="J5370" s="2"/>
      <c r="K5370" s="2" t="s">
        <v>14306</v>
      </c>
      <c r="L5370" s="12">
        <v>74.0</v>
      </c>
      <c r="M5370" s="2" t="s">
        <v>14307</v>
      </c>
      <c r="N5370" s="2" t="str">
        <f>IFERROR(__xludf.DUMMYFUNCTION("""COMPUTED_VALUE"""),"")</f>
        <v/>
      </c>
    </row>
    <row r="5371">
      <c r="A5371" s="2" t="s">
        <v>33</v>
      </c>
      <c r="B5371" s="12">
        <v>5202599.0</v>
      </c>
      <c r="C5371" s="12">
        <v>5203204.0</v>
      </c>
      <c r="D5371" s="2"/>
      <c r="E5371" s="2" t="s">
        <v>38</v>
      </c>
      <c r="F5371" s="2" t="s">
        <v>1608</v>
      </c>
      <c r="G5371" s="2"/>
      <c r="H5371" s="12">
        <v>0.0</v>
      </c>
      <c r="I5371" s="2" t="s">
        <v>40</v>
      </c>
      <c r="J5371" s="2"/>
      <c r="K5371" s="2" t="s">
        <v>14308</v>
      </c>
      <c r="L5371" s="12">
        <v>201.0</v>
      </c>
      <c r="M5371" s="2" t="s">
        <v>14309</v>
      </c>
      <c r="N5371" s="2" t="str">
        <f>IFERROR(__xludf.DUMMYFUNCTION("""COMPUTED_VALUE"""),"")</f>
        <v/>
      </c>
    </row>
    <row r="5372">
      <c r="A5372" s="2" t="s">
        <v>33</v>
      </c>
      <c r="B5372" s="12">
        <v>5203439.0</v>
      </c>
      <c r="C5372" s="12">
        <v>5204203.0</v>
      </c>
      <c r="D5372" s="2"/>
      <c r="E5372" s="2" t="s">
        <v>38</v>
      </c>
      <c r="F5372" s="2" t="s">
        <v>7330</v>
      </c>
      <c r="G5372" s="2"/>
      <c r="H5372" s="12">
        <v>0.0</v>
      </c>
      <c r="I5372" s="2" t="s">
        <v>40</v>
      </c>
      <c r="J5372" s="2"/>
      <c r="K5372" s="2" t="s">
        <v>14310</v>
      </c>
      <c r="L5372" s="12">
        <v>254.0</v>
      </c>
      <c r="M5372" s="2" t="s">
        <v>14311</v>
      </c>
      <c r="N5372" s="2" t="str">
        <f>IFERROR(__xludf.DUMMYFUNCTION("""COMPUTED_VALUE"""),"")</f>
        <v/>
      </c>
    </row>
    <row r="5373">
      <c r="A5373" s="2" t="s">
        <v>33</v>
      </c>
      <c r="B5373" s="12">
        <v>5204462.0</v>
      </c>
      <c r="C5373" s="12">
        <v>5204911.0</v>
      </c>
      <c r="D5373" s="2"/>
      <c r="E5373" s="2" t="s">
        <v>34</v>
      </c>
      <c r="F5373" s="2" t="s">
        <v>39</v>
      </c>
      <c r="G5373" s="2"/>
      <c r="H5373" s="12">
        <v>0.0</v>
      </c>
      <c r="I5373" s="2" t="s">
        <v>40</v>
      </c>
      <c r="J5373" s="2"/>
      <c r="K5373" s="2" t="s">
        <v>14312</v>
      </c>
      <c r="L5373" s="12">
        <v>149.0</v>
      </c>
      <c r="M5373" s="2" t="s">
        <v>14313</v>
      </c>
      <c r="N5373" s="2" t="str">
        <f>IFERROR(__xludf.DUMMYFUNCTION("""COMPUTED_VALUE"""),"")</f>
        <v/>
      </c>
    </row>
    <row r="5374">
      <c r="A5374" s="2" t="s">
        <v>33</v>
      </c>
      <c r="B5374" s="12">
        <v>5204899.0</v>
      </c>
      <c r="C5374" s="12">
        <v>5205207.0</v>
      </c>
      <c r="D5374" s="2"/>
      <c r="E5374" s="2" t="s">
        <v>34</v>
      </c>
      <c r="F5374" s="2" t="s">
        <v>14314</v>
      </c>
      <c r="G5374" s="2"/>
      <c r="H5374" s="12">
        <v>0.0</v>
      </c>
      <c r="I5374" s="2" t="s">
        <v>40</v>
      </c>
      <c r="J5374" s="2"/>
      <c r="K5374" s="2" t="s">
        <v>14315</v>
      </c>
      <c r="L5374" s="12">
        <v>102.0</v>
      </c>
      <c r="M5374" s="2" t="s">
        <v>14316</v>
      </c>
      <c r="N5374" s="2" t="str">
        <f>IFERROR(__xludf.DUMMYFUNCTION("""COMPUTED_VALUE"""),"")</f>
        <v/>
      </c>
    </row>
    <row r="5375">
      <c r="A5375" s="2" t="s">
        <v>33</v>
      </c>
      <c r="B5375" s="12">
        <v>5205232.0</v>
      </c>
      <c r="C5375" s="12">
        <v>5206467.0</v>
      </c>
      <c r="D5375" s="2"/>
      <c r="E5375" s="2" t="s">
        <v>38</v>
      </c>
      <c r="F5375" s="2" t="s">
        <v>654</v>
      </c>
      <c r="G5375" s="2"/>
      <c r="H5375" s="12">
        <v>0.0</v>
      </c>
      <c r="I5375" s="2" t="s">
        <v>40</v>
      </c>
      <c r="J5375" s="2"/>
      <c r="K5375" s="2" t="s">
        <v>14317</v>
      </c>
      <c r="L5375" s="12">
        <v>411.0</v>
      </c>
      <c r="M5375" s="2" t="s">
        <v>14318</v>
      </c>
      <c r="N5375" s="2" t="str">
        <f>IFERROR(__xludf.DUMMYFUNCTION("""COMPUTED_VALUE"""),"")</f>
        <v/>
      </c>
    </row>
    <row r="5376">
      <c r="A5376" s="2" t="s">
        <v>33</v>
      </c>
      <c r="B5376" s="12">
        <v>5206464.0</v>
      </c>
      <c r="C5376" s="12">
        <v>5206796.0</v>
      </c>
      <c r="D5376" s="2"/>
      <c r="E5376" s="2" t="s">
        <v>38</v>
      </c>
      <c r="F5376" s="2" t="s">
        <v>13544</v>
      </c>
      <c r="G5376" s="2"/>
      <c r="H5376" s="12">
        <v>0.0</v>
      </c>
      <c r="I5376" s="2" t="s">
        <v>40</v>
      </c>
      <c r="J5376" s="2"/>
      <c r="K5376" s="2" t="s">
        <v>14319</v>
      </c>
      <c r="L5376" s="12">
        <v>110.0</v>
      </c>
      <c r="M5376" s="2" t="s">
        <v>14320</v>
      </c>
      <c r="N5376" s="2" t="str">
        <f>IFERROR(__xludf.DUMMYFUNCTION("""COMPUTED_VALUE"""),"")</f>
        <v/>
      </c>
    </row>
    <row r="5377">
      <c r="A5377" s="2" t="s">
        <v>33</v>
      </c>
      <c r="B5377" s="12">
        <v>5206793.0</v>
      </c>
      <c r="C5377" s="12">
        <v>5207065.0</v>
      </c>
      <c r="D5377" s="2"/>
      <c r="E5377" s="2" t="s">
        <v>38</v>
      </c>
      <c r="F5377" s="2" t="s">
        <v>13544</v>
      </c>
      <c r="G5377" s="2"/>
      <c r="H5377" s="12">
        <v>0.0</v>
      </c>
      <c r="I5377" s="2" t="s">
        <v>40</v>
      </c>
      <c r="J5377" s="2"/>
      <c r="K5377" s="2" t="s">
        <v>14321</v>
      </c>
      <c r="L5377" s="12">
        <v>90.0</v>
      </c>
      <c r="M5377" s="2" t="s">
        <v>14322</v>
      </c>
      <c r="N5377" s="2" t="str">
        <f>IFERROR(__xludf.DUMMYFUNCTION("""COMPUTED_VALUE"""),"")</f>
        <v/>
      </c>
    </row>
    <row r="5378">
      <c r="A5378" s="2" t="s">
        <v>33</v>
      </c>
      <c r="B5378" s="12">
        <v>5207174.0</v>
      </c>
      <c r="C5378" s="12">
        <v>5208835.0</v>
      </c>
      <c r="D5378" s="2"/>
      <c r="E5378" s="2" t="s">
        <v>38</v>
      </c>
      <c r="F5378" s="2" t="s">
        <v>5892</v>
      </c>
      <c r="G5378" s="2"/>
      <c r="H5378" s="12">
        <v>0.0</v>
      </c>
      <c r="I5378" s="2" t="s">
        <v>40</v>
      </c>
      <c r="J5378" s="2"/>
      <c r="K5378" s="2" t="s">
        <v>14323</v>
      </c>
      <c r="L5378" s="12">
        <v>553.0</v>
      </c>
      <c r="M5378" s="2" t="s">
        <v>14324</v>
      </c>
      <c r="N5378" s="2" t="str">
        <f>IFERROR(__xludf.DUMMYFUNCTION("""COMPUTED_VALUE"""),"")</f>
        <v/>
      </c>
    </row>
    <row r="5379">
      <c r="A5379" s="2" t="s">
        <v>33</v>
      </c>
      <c r="B5379" s="12">
        <v>5209016.0</v>
      </c>
      <c r="C5379" s="12">
        <v>5210191.0</v>
      </c>
      <c r="D5379" s="2"/>
      <c r="E5379" s="2" t="s">
        <v>34</v>
      </c>
      <c r="F5379" s="2" t="s">
        <v>3647</v>
      </c>
      <c r="G5379" s="2"/>
      <c r="H5379" s="12">
        <v>0.0</v>
      </c>
      <c r="I5379" s="2" t="s">
        <v>40</v>
      </c>
      <c r="J5379" s="2"/>
      <c r="K5379" s="2" t="s">
        <v>14325</v>
      </c>
      <c r="L5379" s="12">
        <v>391.0</v>
      </c>
      <c r="M5379" s="2" t="s">
        <v>14326</v>
      </c>
      <c r="N5379" s="2" t="str">
        <f>IFERROR(__xludf.DUMMYFUNCTION("""COMPUTED_VALUE"""),"")</f>
        <v/>
      </c>
    </row>
    <row r="5380">
      <c r="A5380" s="2" t="s">
        <v>33</v>
      </c>
      <c r="B5380" s="12">
        <v>5210188.0</v>
      </c>
      <c r="C5380" s="12">
        <v>5211225.0</v>
      </c>
      <c r="D5380" s="2"/>
      <c r="E5380" s="2" t="s">
        <v>34</v>
      </c>
      <c r="F5380" s="2" t="s">
        <v>4774</v>
      </c>
      <c r="G5380" s="2"/>
      <c r="H5380" s="12">
        <v>0.0</v>
      </c>
      <c r="I5380" s="2" t="s">
        <v>40</v>
      </c>
      <c r="J5380" s="2"/>
      <c r="K5380" s="2" t="s">
        <v>14327</v>
      </c>
      <c r="L5380" s="12">
        <v>345.0</v>
      </c>
      <c r="M5380" s="2" t="s">
        <v>14328</v>
      </c>
      <c r="N5380" s="2" t="str">
        <f>IFERROR(__xludf.DUMMYFUNCTION("""COMPUTED_VALUE"""),"")</f>
        <v/>
      </c>
    </row>
    <row r="5381">
      <c r="A5381" s="2" t="s">
        <v>33</v>
      </c>
      <c r="B5381" s="12">
        <v>5211222.0</v>
      </c>
      <c r="C5381" s="12">
        <v>5212163.0</v>
      </c>
      <c r="D5381" s="2"/>
      <c r="E5381" s="2" t="s">
        <v>34</v>
      </c>
      <c r="F5381" s="2" t="s">
        <v>4774</v>
      </c>
      <c r="G5381" s="2"/>
      <c r="H5381" s="12">
        <v>0.0</v>
      </c>
      <c r="I5381" s="2" t="s">
        <v>40</v>
      </c>
      <c r="J5381" s="2"/>
      <c r="K5381" s="2" t="s">
        <v>14329</v>
      </c>
      <c r="L5381" s="12">
        <v>313.0</v>
      </c>
      <c r="M5381" s="2" t="s">
        <v>14330</v>
      </c>
      <c r="N5381" s="2" t="str">
        <f>IFERROR(__xludf.DUMMYFUNCTION("""COMPUTED_VALUE"""),"")</f>
        <v/>
      </c>
    </row>
    <row r="5382">
      <c r="A5382" s="2" t="s">
        <v>33</v>
      </c>
      <c r="B5382" s="12">
        <v>5212186.0</v>
      </c>
      <c r="C5382" s="12">
        <v>5213082.0</v>
      </c>
      <c r="D5382" s="2"/>
      <c r="E5382" s="2" t="s">
        <v>34</v>
      </c>
      <c r="F5382" s="2" t="s">
        <v>12021</v>
      </c>
      <c r="G5382" s="2" t="s">
        <v>12022</v>
      </c>
      <c r="H5382" s="12">
        <v>0.0</v>
      </c>
      <c r="I5382" s="2" t="s">
        <v>40</v>
      </c>
      <c r="J5382" s="2"/>
      <c r="K5382" s="2" t="s">
        <v>14331</v>
      </c>
      <c r="L5382" s="12">
        <v>298.0</v>
      </c>
      <c r="M5382" s="2" t="s">
        <v>14332</v>
      </c>
      <c r="N5382" s="2" t="str">
        <f>IFERROR(__xludf.DUMMYFUNCTION("""COMPUTED_VALUE"""),"")</f>
        <v/>
      </c>
    </row>
    <row r="5383">
      <c r="A5383" s="2" t="s">
        <v>33</v>
      </c>
      <c r="B5383" s="12">
        <v>5213100.0</v>
      </c>
      <c r="C5383" s="12">
        <v>5214584.0</v>
      </c>
      <c r="D5383" s="2"/>
      <c r="E5383" s="2" t="s">
        <v>34</v>
      </c>
      <c r="F5383" s="2" t="s">
        <v>14333</v>
      </c>
      <c r="G5383" s="2"/>
      <c r="H5383" s="12">
        <v>0.0</v>
      </c>
      <c r="I5383" s="2" t="s">
        <v>40</v>
      </c>
      <c r="J5383" s="2"/>
      <c r="K5383" s="2" t="s">
        <v>14334</v>
      </c>
      <c r="L5383" s="12">
        <v>494.0</v>
      </c>
      <c r="M5383" s="2" t="s">
        <v>14335</v>
      </c>
      <c r="N5383" s="2" t="str">
        <f>IFERROR(__xludf.DUMMYFUNCTION("""COMPUTED_VALUE"""),"")</f>
        <v/>
      </c>
    </row>
    <row r="5384">
      <c r="A5384" s="2" t="s">
        <v>33</v>
      </c>
      <c r="B5384" s="12">
        <v>5214715.0</v>
      </c>
      <c r="C5384" s="12">
        <v>5216205.0</v>
      </c>
      <c r="D5384" s="2"/>
      <c r="E5384" s="2" t="s">
        <v>34</v>
      </c>
      <c r="F5384" s="2" t="s">
        <v>811</v>
      </c>
      <c r="G5384" s="2"/>
      <c r="H5384" s="12">
        <v>0.0</v>
      </c>
      <c r="I5384" s="2" t="s">
        <v>40</v>
      </c>
      <c r="J5384" s="2"/>
      <c r="K5384" s="2" t="s">
        <v>14336</v>
      </c>
      <c r="L5384" s="12">
        <v>496.0</v>
      </c>
      <c r="M5384" s="2" t="s">
        <v>14337</v>
      </c>
      <c r="N5384" s="2" t="str">
        <f>IFERROR(__xludf.DUMMYFUNCTION("""COMPUTED_VALUE"""),"")</f>
        <v/>
      </c>
    </row>
    <row r="5385">
      <c r="A5385" s="2" t="s">
        <v>33</v>
      </c>
      <c r="B5385" s="12">
        <v>5216278.0</v>
      </c>
      <c r="C5385" s="12">
        <v>5216670.0</v>
      </c>
      <c r="D5385" s="2"/>
      <c r="E5385" s="2" t="s">
        <v>34</v>
      </c>
      <c r="F5385" s="2" t="s">
        <v>3526</v>
      </c>
      <c r="G5385" s="2"/>
      <c r="H5385" s="12">
        <v>0.0</v>
      </c>
      <c r="I5385" s="2" t="s">
        <v>40</v>
      </c>
      <c r="J5385" s="2"/>
      <c r="K5385" s="2" t="s">
        <v>14338</v>
      </c>
      <c r="L5385" s="12">
        <v>130.0</v>
      </c>
      <c r="M5385" s="2" t="s">
        <v>14339</v>
      </c>
      <c r="N5385" s="2" t="str">
        <f>IFERROR(__xludf.DUMMYFUNCTION("""COMPUTED_VALUE"""),"")</f>
        <v/>
      </c>
    </row>
    <row r="5386">
      <c r="A5386" s="2" t="s">
        <v>33</v>
      </c>
      <c r="B5386" s="12">
        <v>5216735.0</v>
      </c>
      <c r="C5386" s="12">
        <v>5217376.0</v>
      </c>
      <c r="D5386" s="2"/>
      <c r="E5386" s="2" t="s">
        <v>38</v>
      </c>
      <c r="F5386" s="2" t="s">
        <v>1265</v>
      </c>
      <c r="G5386" s="2"/>
      <c r="H5386" s="12">
        <v>0.0</v>
      </c>
      <c r="I5386" s="2" t="s">
        <v>40</v>
      </c>
      <c r="J5386" s="2"/>
      <c r="K5386" s="2" t="s">
        <v>14340</v>
      </c>
      <c r="L5386" s="12">
        <v>213.0</v>
      </c>
      <c r="M5386" s="2" t="s">
        <v>14341</v>
      </c>
      <c r="N5386" s="2" t="str">
        <f>IFERROR(__xludf.DUMMYFUNCTION("""COMPUTED_VALUE"""),"")</f>
        <v/>
      </c>
    </row>
    <row r="5387">
      <c r="A5387" s="2" t="s">
        <v>33</v>
      </c>
      <c r="B5387" s="12">
        <v>5217482.0</v>
      </c>
      <c r="C5387" s="12">
        <v>5217985.0</v>
      </c>
      <c r="D5387" s="2"/>
      <c r="E5387" s="2" t="s">
        <v>34</v>
      </c>
      <c r="F5387" s="2" t="s">
        <v>367</v>
      </c>
      <c r="G5387" s="2"/>
      <c r="H5387" s="12">
        <v>0.0</v>
      </c>
      <c r="I5387" s="2" t="s">
        <v>40</v>
      </c>
      <c r="J5387" s="2"/>
      <c r="K5387" s="2" t="s">
        <v>14342</v>
      </c>
      <c r="L5387" s="12">
        <v>167.0</v>
      </c>
      <c r="M5387" s="2" t="s">
        <v>14343</v>
      </c>
      <c r="N5387" s="2" t="str">
        <f>IFERROR(__xludf.DUMMYFUNCTION("""COMPUTED_VALUE"""),"")</f>
        <v/>
      </c>
    </row>
    <row r="5388">
      <c r="A5388" s="2" t="s">
        <v>33</v>
      </c>
      <c r="B5388" s="12">
        <v>5218232.0</v>
      </c>
      <c r="C5388" s="12">
        <v>5218897.0</v>
      </c>
      <c r="D5388" s="2"/>
      <c r="E5388" s="2" t="s">
        <v>34</v>
      </c>
      <c r="F5388" s="2" t="s">
        <v>14344</v>
      </c>
      <c r="G5388" s="2"/>
      <c r="H5388" s="12">
        <v>0.0</v>
      </c>
      <c r="I5388" s="2" t="s">
        <v>40</v>
      </c>
      <c r="J5388" s="2"/>
      <c r="K5388" s="2" t="s">
        <v>14345</v>
      </c>
      <c r="L5388" s="12">
        <v>221.0</v>
      </c>
      <c r="M5388" s="2" t="s">
        <v>14346</v>
      </c>
      <c r="N5388" s="2" t="str">
        <f>IFERROR(__xludf.DUMMYFUNCTION("""COMPUTED_VALUE"""),"")</f>
        <v/>
      </c>
    </row>
    <row r="5389">
      <c r="A5389" s="2" t="s">
        <v>33</v>
      </c>
      <c r="B5389" s="12">
        <v>5219058.0</v>
      </c>
      <c r="C5389" s="12">
        <v>5219987.0</v>
      </c>
      <c r="D5389" s="2"/>
      <c r="E5389" s="2" t="s">
        <v>34</v>
      </c>
      <c r="F5389" s="2" t="s">
        <v>14347</v>
      </c>
      <c r="G5389" s="2" t="s">
        <v>14348</v>
      </c>
      <c r="H5389" s="12">
        <v>0.0</v>
      </c>
      <c r="I5389" s="2" t="s">
        <v>40</v>
      </c>
      <c r="J5389" s="2"/>
      <c r="K5389" s="2" t="s">
        <v>14349</v>
      </c>
      <c r="L5389" s="12">
        <v>309.0</v>
      </c>
      <c r="M5389" s="2" t="s">
        <v>14350</v>
      </c>
      <c r="N5389" s="2" t="str">
        <f>IFERROR(__xludf.DUMMYFUNCTION("""COMPUTED_VALUE"""),"")</f>
        <v/>
      </c>
    </row>
    <row r="5390">
      <c r="A5390" s="2" t="s">
        <v>33</v>
      </c>
      <c r="B5390" s="12">
        <v>5220089.0</v>
      </c>
      <c r="C5390" s="12">
        <v>5220223.0</v>
      </c>
      <c r="D5390" s="2"/>
      <c r="E5390" s="2" t="s">
        <v>34</v>
      </c>
      <c r="F5390" s="2" t="s">
        <v>39</v>
      </c>
      <c r="G5390" s="2"/>
      <c r="H5390" s="12">
        <v>0.0</v>
      </c>
      <c r="I5390" s="2" t="s">
        <v>40</v>
      </c>
      <c r="J5390" s="2"/>
      <c r="K5390" s="2" t="s">
        <v>14351</v>
      </c>
      <c r="L5390" s="12">
        <v>44.0</v>
      </c>
      <c r="M5390" s="2" t="s">
        <v>14352</v>
      </c>
      <c r="N5390" s="2" t="str">
        <f>IFERROR(__xludf.DUMMYFUNCTION("""COMPUTED_VALUE"""),"")</f>
        <v/>
      </c>
    </row>
    <row r="5391">
      <c r="A5391" s="2" t="s">
        <v>33</v>
      </c>
      <c r="B5391" s="12">
        <v>5220311.0</v>
      </c>
      <c r="C5391" s="12">
        <v>5220499.0</v>
      </c>
      <c r="D5391" s="2"/>
      <c r="E5391" s="2" t="s">
        <v>38</v>
      </c>
      <c r="F5391" s="2" t="s">
        <v>14353</v>
      </c>
      <c r="G5391" s="2"/>
      <c r="H5391" s="12">
        <v>0.0</v>
      </c>
      <c r="I5391" s="2" t="s">
        <v>40</v>
      </c>
      <c r="J5391" s="2"/>
      <c r="K5391" s="2" t="s">
        <v>14354</v>
      </c>
      <c r="L5391" s="12">
        <v>62.0</v>
      </c>
      <c r="M5391" s="2" t="s">
        <v>14355</v>
      </c>
      <c r="N5391" s="2" t="str">
        <f>IFERROR(__xludf.DUMMYFUNCTION("""COMPUTED_VALUE"""),"")</f>
        <v/>
      </c>
    </row>
    <row r="5392">
      <c r="A5392" s="2" t="s">
        <v>33</v>
      </c>
      <c r="B5392" s="12">
        <v>5220743.0</v>
      </c>
      <c r="C5392" s="12">
        <v>5221192.0</v>
      </c>
      <c r="D5392" s="2"/>
      <c r="E5392" s="2" t="s">
        <v>34</v>
      </c>
      <c r="F5392" s="2" t="s">
        <v>14356</v>
      </c>
      <c r="G5392" s="2"/>
      <c r="H5392" s="12">
        <v>0.0</v>
      </c>
      <c r="I5392" s="2" t="s">
        <v>40</v>
      </c>
      <c r="J5392" s="2"/>
      <c r="K5392" s="2" t="s">
        <v>14357</v>
      </c>
      <c r="L5392" s="12">
        <v>149.0</v>
      </c>
      <c r="M5392" s="2" t="s">
        <v>14358</v>
      </c>
      <c r="N5392" s="2" t="str">
        <f>IFERROR(__xludf.DUMMYFUNCTION("""COMPUTED_VALUE"""),"")</f>
        <v/>
      </c>
    </row>
    <row r="5393">
      <c r="A5393" s="2" t="s">
        <v>33</v>
      </c>
      <c r="B5393" s="12">
        <v>5221482.0</v>
      </c>
      <c r="C5393" s="12">
        <v>5222216.0</v>
      </c>
      <c r="D5393" s="2"/>
      <c r="E5393" s="2" t="s">
        <v>34</v>
      </c>
      <c r="F5393" s="2" t="s">
        <v>1116</v>
      </c>
      <c r="G5393" s="2"/>
      <c r="H5393" s="12">
        <v>0.0</v>
      </c>
      <c r="I5393" s="2" t="s">
        <v>40</v>
      </c>
      <c r="J5393" s="2"/>
      <c r="K5393" s="2" t="s">
        <v>14359</v>
      </c>
      <c r="L5393" s="12">
        <v>244.0</v>
      </c>
      <c r="M5393" s="2" t="s">
        <v>14360</v>
      </c>
      <c r="N5393" s="2" t="str">
        <f>IFERROR(__xludf.DUMMYFUNCTION("""COMPUTED_VALUE"""),"")</f>
        <v/>
      </c>
    </row>
    <row r="5394">
      <c r="A5394" s="2" t="s">
        <v>33</v>
      </c>
      <c r="B5394" s="12">
        <v>5222646.0</v>
      </c>
      <c r="C5394" s="12">
        <v>5223476.0</v>
      </c>
      <c r="D5394" s="2"/>
      <c r="E5394" s="2" t="s">
        <v>34</v>
      </c>
      <c r="F5394" s="2" t="s">
        <v>115</v>
      </c>
      <c r="G5394" s="2"/>
      <c r="H5394" s="12">
        <v>0.0</v>
      </c>
      <c r="I5394" s="2" t="s">
        <v>40</v>
      </c>
      <c r="J5394" s="2"/>
      <c r="K5394" s="2" t="s">
        <v>14361</v>
      </c>
      <c r="L5394" s="12">
        <v>276.0</v>
      </c>
      <c r="M5394" s="2" t="s">
        <v>14362</v>
      </c>
      <c r="N5394" s="2" t="str">
        <f>IFERROR(__xludf.DUMMYFUNCTION("""COMPUTED_VALUE"""),"")</f>
        <v/>
      </c>
    </row>
    <row r="5395">
      <c r="A5395" s="2" t="s">
        <v>33</v>
      </c>
      <c r="B5395" s="12">
        <v>5223694.0</v>
      </c>
      <c r="C5395" s="12">
        <v>5223870.0</v>
      </c>
      <c r="D5395" s="2"/>
      <c r="E5395" s="2" t="s">
        <v>34</v>
      </c>
      <c r="F5395" s="2" t="s">
        <v>39</v>
      </c>
      <c r="G5395" s="2"/>
      <c r="H5395" s="12">
        <v>0.0</v>
      </c>
      <c r="I5395" s="2" t="s">
        <v>40</v>
      </c>
      <c r="J5395" s="2"/>
      <c r="K5395" s="2" t="s">
        <v>14363</v>
      </c>
      <c r="L5395" s="12">
        <v>58.0</v>
      </c>
      <c r="M5395" s="2" t="s">
        <v>14364</v>
      </c>
      <c r="N5395" s="2" t="str">
        <f>IFERROR(__xludf.DUMMYFUNCTION("""COMPUTED_VALUE"""),"")</f>
        <v/>
      </c>
    </row>
    <row r="5396">
      <c r="A5396" s="2" t="s">
        <v>33</v>
      </c>
      <c r="B5396" s="12">
        <v>5223885.0</v>
      </c>
      <c r="C5396" s="12">
        <v>5225239.0</v>
      </c>
      <c r="D5396" s="2"/>
      <c r="E5396" s="2" t="s">
        <v>38</v>
      </c>
      <c r="F5396" s="2" t="s">
        <v>14365</v>
      </c>
      <c r="G5396" s="2"/>
      <c r="H5396" s="12">
        <v>0.0</v>
      </c>
      <c r="I5396" s="2" t="s">
        <v>40</v>
      </c>
      <c r="J5396" s="2"/>
      <c r="K5396" s="2" t="s">
        <v>14366</v>
      </c>
      <c r="L5396" s="12">
        <v>451.0</v>
      </c>
      <c r="M5396" s="2" t="s">
        <v>14367</v>
      </c>
      <c r="N5396" s="2" t="str">
        <f>IFERROR(__xludf.DUMMYFUNCTION("""COMPUTED_VALUE"""),"")</f>
        <v/>
      </c>
    </row>
    <row r="5397">
      <c r="A5397" s="2" t="s">
        <v>33</v>
      </c>
      <c r="B5397" s="12">
        <v>5225316.0</v>
      </c>
      <c r="C5397" s="12">
        <v>5225768.0</v>
      </c>
      <c r="D5397" s="2"/>
      <c r="E5397" s="2" t="s">
        <v>38</v>
      </c>
      <c r="F5397" s="2" t="s">
        <v>39</v>
      </c>
      <c r="G5397" s="2"/>
      <c r="H5397" s="12">
        <v>0.0</v>
      </c>
      <c r="I5397" s="2" t="s">
        <v>40</v>
      </c>
      <c r="J5397" s="2"/>
      <c r="K5397" s="2" t="s">
        <v>14368</v>
      </c>
      <c r="L5397" s="12">
        <v>150.0</v>
      </c>
      <c r="M5397" s="2" t="s">
        <v>14369</v>
      </c>
      <c r="N5397" s="2" t="str">
        <f>IFERROR(__xludf.DUMMYFUNCTION("""COMPUTED_VALUE"""),"")</f>
        <v/>
      </c>
    </row>
    <row r="5398">
      <c r="A5398" s="2" t="s">
        <v>33</v>
      </c>
      <c r="B5398" s="12">
        <v>5225903.0</v>
      </c>
      <c r="C5398" s="12">
        <v>5226259.0</v>
      </c>
      <c r="D5398" s="2"/>
      <c r="E5398" s="2" t="s">
        <v>38</v>
      </c>
      <c r="F5398" s="2" t="s">
        <v>39</v>
      </c>
      <c r="G5398" s="2"/>
      <c r="H5398" s="12">
        <v>0.0</v>
      </c>
      <c r="I5398" s="2" t="s">
        <v>40</v>
      </c>
      <c r="J5398" s="2"/>
      <c r="K5398" s="2" t="s">
        <v>14370</v>
      </c>
      <c r="L5398" s="12">
        <v>118.0</v>
      </c>
      <c r="M5398" s="2" t="s">
        <v>14371</v>
      </c>
      <c r="N5398" s="2" t="str">
        <f>IFERROR(__xludf.DUMMYFUNCTION("""COMPUTED_VALUE"""),"")</f>
        <v/>
      </c>
    </row>
    <row r="5399">
      <c r="A5399" s="2" t="s">
        <v>33</v>
      </c>
      <c r="B5399" s="12">
        <v>5226438.0</v>
      </c>
      <c r="C5399" s="12">
        <v>5227061.0</v>
      </c>
      <c r="D5399" s="2"/>
      <c r="E5399" s="2" t="s">
        <v>38</v>
      </c>
      <c r="F5399" s="2" t="s">
        <v>39</v>
      </c>
      <c r="G5399" s="2"/>
      <c r="H5399" s="12">
        <v>0.0</v>
      </c>
      <c r="I5399" s="2" t="s">
        <v>40</v>
      </c>
      <c r="J5399" s="2"/>
      <c r="K5399" s="2" t="s">
        <v>14372</v>
      </c>
      <c r="L5399" s="12">
        <v>207.0</v>
      </c>
      <c r="M5399" s="2" t="s">
        <v>14373</v>
      </c>
      <c r="N5399" s="2" t="str">
        <f>IFERROR(__xludf.DUMMYFUNCTION("""COMPUTED_VALUE"""),"")</f>
        <v/>
      </c>
    </row>
    <row r="5400">
      <c r="A5400" s="2" t="s">
        <v>33</v>
      </c>
      <c r="B5400" s="12">
        <v>5228140.0</v>
      </c>
      <c r="C5400" s="12">
        <v>5230257.0</v>
      </c>
      <c r="D5400" s="2"/>
      <c r="E5400" s="2" t="s">
        <v>34</v>
      </c>
      <c r="F5400" s="2" t="s">
        <v>14374</v>
      </c>
      <c r="G5400" s="2" t="s">
        <v>3171</v>
      </c>
      <c r="H5400" s="12">
        <v>0.0</v>
      </c>
      <c r="I5400" s="2" t="s">
        <v>40</v>
      </c>
      <c r="J5400" s="2"/>
      <c r="K5400" s="2" t="s">
        <v>14375</v>
      </c>
      <c r="L5400" s="12">
        <v>705.0</v>
      </c>
      <c r="M5400" s="2" t="s">
        <v>14376</v>
      </c>
      <c r="N5400" s="2" t="str">
        <f>IFERROR(__xludf.DUMMYFUNCTION("""COMPUTED_VALUE"""),"")</f>
        <v/>
      </c>
    </row>
    <row r="5401">
      <c r="A5401" s="2" t="s">
        <v>33</v>
      </c>
      <c r="B5401" s="12">
        <v>5230283.0</v>
      </c>
      <c r="C5401" s="12">
        <v>5230663.0</v>
      </c>
      <c r="D5401" s="2"/>
      <c r="E5401" s="2" t="s">
        <v>34</v>
      </c>
      <c r="F5401" s="2" t="s">
        <v>14377</v>
      </c>
      <c r="G5401" s="2"/>
      <c r="H5401" s="12">
        <v>0.0</v>
      </c>
      <c r="I5401" s="2" t="s">
        <v>40</v>
      </c>
      <c r="J5401" s="2"/>
      <c r="K5401" s="2" t="s">
        <v>14378</v>
      </c>
      <c r="L5401" s="12">
        <v>126.0</v>
      </c>
      <c r="M5401" s="2" t="s">
        <v>14379</v>
      </c>
      <c r="N5401" s="2" t="str">
        <f>IFERROR(__xludf.DUMMYFUNCTION("""COMPUTED_VALUE"""),"")</f>
        <v/>
      </c>
    </row>
    <row r="5402">
      <c r="A5402" s="2" t="s">
        <v>33</v>
      </c>
      <c r="B5402" s="12">
        <v>5230718.0</v>
      </c>
      <c r="C5402" s="12">
        <v>5231563.0</v>
      </c>
      <c r="D5402" s="2"/>
      <c r="E5402" s="2" t="s">
        <v>38</v>
      </c>
      <c r="F5402" s="2" t="s">
        <v>2196</v>
      </c>
      <c r="G5402" s="2"/>
      <c r="H5402" s="12">
        <v>0.0</v>
      </c>
      <c r="I5402" s="2" t="s">
        <v>40</v>
      </c>
      <c r="J5402" s="2"/>
      <c r="K5402" s="2" t="s">
        <v>14380</v>
      </c>
      <c r="L5402" s="12">
        <v>281.0</v>
      </c>
      <c r="M5402" s="2" t="s">
        <v>14381</v>
      </c>
      <c r="N5402" s="2" t="str">
        <f>IFERROR(__xludf.DUMMYFUNCTION("""COMPUTED_VALUE"""),"")</f>
        <v/>
      </c>
    </row>
    <row r="5403">
      <c r="A5403" s="2" t="s">
        <v>33</v>
      </c>
      <c r="B5403" s="12">
        <v>5231884.0</v>
      </c>
      <c r="C5403" s="12">
        <v>5233960.0</v>
      </c>
      <c r="D5403" s="2"/>
      <c r="E5403" s="2" t="s">
        <v>34</v>
      </c>
      <c r="F5403" s="2" t="s">
        <v>35</v>
      </c>
      <c r="G5403" s="2"/>
      <c r="H5403" s="12">
        <v>0.0</v>
      </c>
      <c r="I5403" s="2" t="s">
        <v>36</v>
      </c>
      <c r="J5403" s="2"/>
      <c r="K5403" s="2"/>
      <c r="L5403" s="2"/>
      <c r="M5403" s="2" t="s">
        <v>14382</v>
      </c>
      <c r="N5403" s="2" t="str">
        <f>IFERROR(__xludf.DUMMYFUNCTION("""COMPUTED_VALUE"""),"")</f>
        <v/>
      </c>
    </row>
    <row r="5404">
      <c r="A5404" s="2" t="s">
        <v>33</v>
      </c>
      <c r="B5404" s="12">
        <v>5234077.0</v>
      </c>
      <c r="C5404" s="12">
        <v>5234762.0</v>
      </c>
      <c r="D5404" s="2"/>
      <c r="E5404" s="2" t="s">
        <v>38</v>
      </c>
      <c r="F5404" s="2" t="s">
        <v>35</v>
      </c>
      <c r="G5404" s="2"/>
      <c r="H5404" s="12">
        <v>0.0</v>
      </c>
      <c r="I5404" s="2" t="s">
        <v>36</v>
      </c>
      <c r="J5404" s="2"/>
      <c r="K5404" s="2"/>
      <c r="L5404" s="2"/>
      <c r="M5404" s="2" t="s">
        <v>14383</v>
      </c>
      <c r="N5404" s="2" t="str">
        <f>IFERROR(__xludf.DUMMYFUNCTION("""COMPUTED_VALUE"""),"")</f>
        <v/>
      </c>
    </row>
    <row r="5405">
      <c r="A5405" s="2" t="s">
        <v>33</v>
      </c>
      <c r="B5405" s="12">
        <v>5235729.0</v>
      </c>
      <c r="C5405" s="12">
        <v>5236076.0</v>
      </c>
      <c r="D5405" s="2"/>
      <c r="E5405" s="2" t="s">
        <v>34</v>
      </c>
      <c r="F5405" s="2" t="s">
        <v>2365</v>
      </c>
      <c r="G5405" s="2"/>
      <c r="H5405" s="12">
        <v>0.0</v>
      </c>
      <c r="I5405" s="2" t="s">
        <v>40</v>
      </c>
      <c r="J5405" s="2"/>
      <c r="K5405" s="2" t="s">
        <v>14384</v>
      </c>
      <c r="L5405" s="12">
        <v>115.0</v>
      </c>
      <c r="M5405" s="2" t="s">
        <v>14385</v>
      </c>
      <c r="N5405" s="2" t="str">
        <f>IFERROR(__xludf.DUMMYFUNCTION("""COMPUTED_VALUE"""),"")</f>
        <v/>
      </c>
    </row>
    <row r="5406">
      <c r="A5406" s="2" t="s">
        <v>33</v>
      </c>
      <c r="B5406" s="12">
        <v>5236063.0</v>
      </c>
      <c r="C5406" s="12">
        <v>5237064.0</v>
      </c>
      <c r="D5406" s="2"/>
      <c r="E5406" s="2" t="s">
        <v>34</v>
      </c>
      <c r="F5406" s="2" t="s">
        <v>14386</v>
      </c>
      <c r="G5406" s="2"/>
      <c r="H5406" s="12">
        <v>0.0</v>
      </c>
      <c r="I5406" s="2" t="s">
        <v>40</v>
      </c>
      <c r="J5406" s="2"/>
      <c r="K5406" s="2" t="s">
        <v>14387</v>
      </c>
      <c r="L5406" s="12">
        <v>333.0</v>
      </c>
      <c r="M5406" s="2" t="s">
        <v>14388</v>
      </c>
      <c r="N5406" s="2" t="str">
        <f>IFERROR(__xludf.DUMMYFUNCTION("""COMPUTED_VALUE"""),"")</f>
        <v/>
      </c>
    </row>
    <row r="5407">
      <c r="A5407" s="2" t="s">
        <v>33</v>
      </c>
      <c r="B5407" s="12">
        <v>5237145.0</v>
      </c>
      <c r="C5407" s="12">
        <v>5237657.0</v>
      </c>
      <c r="D5407" s="2"/>
      <c r="E5407" s="2" t="s">
        <v>34</v>
      </c>
      <c r="F5407" s="2" t="s">
        <v>367</v>
      </c>
      <c r="G5407" s="2"/>
      <c r="H5407" s="12">
        <v>0.0</v>
      </c>
      <c r="I5407" s="2" t="s">
        <v>40</v>
      </c>
      <c r="J5407" s="2"/>
      <c r="K5407" s="2" t="s">
        <v>14389</v>
      </c>
      <c r="L5407" s="12">
        <v>170.0</v>
      </c>
      <c r="M5407" s="2" t="s">
        <v>14390</v>
      </c>
      <c r="N5407" s="2" t="str">
        <f>IFERROR(__xludf.DUMMYFUNCTION("""COMPUTED_VALUE"""),"")</f>
        <v/>
      </c>
    </row>
    <row r="5408">
      <c r="A5408" s="2" t="s">
        <v>33</v>
      </c>
      <c r="B5408" s="12">
        <v>5237785.0</v>
      </c>
      <c r="C5408" s="12">
        <v>5238561.0</v>
      </c>
      <c r="D5408" s="2"/>
      <c r="E5408" s="2" t="s">
        <v>34</v>
      </c>
      <c r="F5408" s="2" t="s">
        <v>455</v>
      </c>
      <c r="G5408" s="2"/>
      <c r="H5408" s="12">
        <v>0.0</v>
      </c>
      <c r="I5408" s="2" t="s">
        <v>40</v>
      </c>
      <c r="J5408" s="2"/>
      <c r="K5408" s="2" t="s">
        <v>14391</v>
      </c>
      <c r="L5408" s="12">
        <v>258.0</v>
      </c>
      <c r="M5408" s="2" t="s">
        <v>14392</v>
      </c>
      <c r="N5408" s="2" t="str">
        <f>IFERROR(__xludf.DUMMYFUNCTION("""COMPUTED_VALUE"""),"")</f>
        <v/>
      </c>
    </row>
    <row r="5409">
      <c r="A5409" s="2" t="s">
        <v>33</v>
      </c>
      <c r="B5409" s="12">
        <v>5238558.0</v>
      </c>
      <c r="C5409" s="12">
        <v>5238929.0</v>
      </c>
      <c r="D5409" s="2"/>
      <c r="E5409" s="2" t="s">
        <v>34</v>
      </c>
      <c r="F5409" s="2" t="s">
        <v>39</v>
      </c>
      <c r="G5409" s="2"/>
      <c r="H5409" s="12">
        <v>0.0</v>
      </c>
      <c r="I5409" s="2" t="s">
        <v>40</v>
      </c>
      <c r="J5409" s="2"/>
      <c r="K5409" s="2" t="s">
        <v>14393</v>
      </c>
      <c r="L5409" s="12">
        <v>123.0</v>
      </c>
      <c r="M5409" s="2" t="s">
        <v>14394</v>
      </c>
      <c r="N5409" s="2" t="str">
        <f>IFERROR(__xludf.DUMMYFUNCTION("""COMPUTED_VALUE"""),"")</f>
        <v/>
      </c>
    </row>
    <row r="5410">
      <c r="A5410" s="2" t="s">
        <v>33</v>
      </c>
      <c r="B5410" s="12">
        <v>5238958.0</v>
      </c>
      <c r="C5410" s="12">
        <v>5239374.0</v>
      </c>
      <c r="D5410" s="2"/>
      <c r="E5410" s="2" t="s">
        <v>34</v>
      </c>
      <c r="F5410" s="2" t="s">
        <v>367</v>
      </c>
      <c r="G5410" s="2"/>
      <c r="H5410" s="12">
        <v>0.0</v>
      </c>
      <c r="I5410" s="2" t="s">
        <v>40</v>
      </c>
      <c r="J5410" s="2"/>
      <c r="K5410" s="2" t="s">
        <v>14395</v>
      </c>
      <c r="L5410" s="12">
        <v>138.0</v>
      </c>
      <c r="M5410" s="2" t="s">
        <v>14396</v>
      </c>
      <c r="N5410" s="2" t="str">
        <f>IFERROR(__xludf.DUMMYFUNCTION("""COMPUTED_VALUE"""),"")</f>
        <v/>
      </c>
    </row>
    <row r="5411">
      <c r="A5411" s="2" t="s">
        <v>33</v>
      </c>
      <c r="B5411" s="12">
        <v>5239410.0</v>
      </c>
      <c r="C5411" s="12">
        <v>5239832.0</v>
      </c>
      <c r="D5411" s="2"/>
      <c r="E5411" s="2" t="s">
        <v>34</v>
      </c>
      <c r="F5411" s="2" t="s">
        <v>35</v>
      </c>
      <c r="G5411" s="2"/>
      <c r="H5411" s="12">
        <v>0.0</v>
      </c>
      <c r="I5411" s="2" t="s">
        <v>36</v>
      </c>
      <c r="J5411" s="2"/>
      <c r="K5411" s="2"/>
      <c r="L5411" s="2"/>
      <c r="M5411" s="2" t="s">
        <v>14397</v>
      </c>
      <c r="N5411" s="2" t="str">
        <f>IFERROR(__xludf.DUMMYFUNCTION("""COMPUTED_VALUE"""),"")</f>
        <v/>
      </c>
    </row>
    <row r="5412">
      <c r="A5412" s="2" t="s">
        <v>33</v>
      </c>
      <c r="B5412" s="12">
        <v>5239829.0</v>
      </c>
      <c r="C5412" s="12">
        <v>5240182.0</v>
      </c>
      <c r="D5412" s="2"/>
      <c r="E5412" s="2" t="s">
        <v>34</v>
      </c>
      <c r="F5412" s="2" t="s">
        <v>14398</v>
      </c>
      <c r="G5412" s="2"/>
      <c r="H5412" s="12">
        <v>0.0</v>
      </c>
      <c r="I5412" s="2" t="s">
        <v>40</v>
      </c>
      <c r="J5412" s="2"/>
      <c r="K5412" s="2" t="s">
        <v>14399</v>
      </c>
      <c r="L5412" s="12">
        <v>117.0</v>
      </c>
      <c r="M5412" s="2" t="s">
        <v>14400</v>
      </c>
      <c r="N5412" s="2" t="str">
        <f>IFERROR(__xludf.DUMMYFUNCTION("""COMPUTED_VALUE"""),"")</f>
        <v/>
      </c>
    </row>
    <row r="5413">
      <c r="A5413" s="2" t="s">
        <v>33</v>
      </c>
      <c r="B5413" s="12">
        <v>5240204.0</v>
      </c>
      <c r="C5413" s="12">
        <v>5240911.0</v>
      </c>
      <c r="D5413" s="2"/>
      <c r="E5413" s="2" t="s">
        <v>34</v>
      </c>
      <c r="F5413" s="2" t="s">
        <v>289</v>
      </c>
      <c r="G5413" s="2"/>
      <c r="H5413" s="12">
        <v>0.0</v>
      </c>
      <c r="I5413" s="2" t="s">
        <v>40</v>
      </c>
      <c r="J5413" s="2"/>
      <c r="K5413" s="2" t="s">
        <v>14401</v>
      </c>
      <c r="L5413" s="12">
        <v>235.0</v>
      </c>
      <c r="M5413" s="2" t="s">
        <v>14402</v>
      </c>
      <c r="N5413" s="2" t="str">
        <f>IFERROR(__xludf.DUMMYFUNCTION("""COMPUTED_VALUE"""),"")</f>
        <v/>
      </c>
    </row>
    <row r="5414">
      <c r="A5414" s="2" t="s">
        <v>33</v>
      </c>
      <c r="B5414" s="12">
        <v>5240977.0</v>
      </c>
      <c r="C5414" s="12">
        <v>5241363.0</v>
      </c>
      <c r="D5414" s="2"/>
      <c r="E5414" s="2" t="s">
        <v>34</v>
      </c>
      <c r="F5414" s="2" t="s">
        <v>14403</v>
      </c>
      <c r="G5414" s="2"/>
      <c r="H5414" s="12">
        <v>0.0</v>
      </c>
      <c r="I5414" s="2" t="s">
        <v>40</v>
      </c>
      <c r="J5414" s="2"/>
      <c r="K5414" s="2" t="s">
        <v>14404</v>
      </c>
      <c r="L5414" s="12">
        <v>128.0</v>
      </c>
      <c r="M5414" s="2" t="s">
        <v>14405</v>
      </c>
      <c r="N5414" s="2" t="str">
        <f>IFERROR(__xludf.DUMMYFUNCTION("""COMPUTED_VALUE"""),"")</f>
        <v/>
      </c>
    </row>
    <row r="5415">
      <c r="A5415" s="2" t="s">
        <v>33</v>
      </c>
      <c r="B5415" s="12">
        <v>5241387.0</v>
      </c>
      <c r="C5415" s="12">
        <v>5241890.0</v>
      </c>
      <c r="D5415" s="2"/>
      <c r="E5415" s="2" t="s">
        <v>34</v>
      </c>
      <c r="F5415" s="2" t="s">
        <v>14406</v>
      </c>
      <c r="G5415" s="2"/>
      <c r="H5415" s="12">
        <v>0.0</v>
      </c>
      <c r="I5415" s="2" t="s">
        <v>40</v>
      </c>
      <c r="J5415" s="2"/>
      <c r="K5415" s="2" t="s">
        <v>14407</v>
      </c>
      <c r="L5415" s="12">
        <v>167.0</v>
      </c>
      <c r="M5415" s="2" t="s">
        <v>14408</v>
      </c>
      <c r="N5415" s="2" t="str">
        <f>IFERROR(__xludf.DUMMYFUNCTION("""COMPUTED_VALUE"""),"")</f>
        <v/>
      </c>
    </row>
    <row r="5416">
      <c r="A5416" s="2" t="s">
        <v>33</v>
      </c>
      <c r="B5416" s="12">
        <v>5242052.0</v>
      </c>
      <c r="C5416" s="12">
        <v>5242732.0</v>
      </c>
      <c r="D5416" s="2"/>
      <c r="E5416" s="2" t="s">
        <v>34</v>
      </c>
      <c r="F5416" s="2" t="s">
        <v>14409</v>
      </c>
      <c r="G5416" s="2"/>
      <c r="H5416" s="12">
        <v>0.0</v>
      </c>
      <c r="I5416" s="2" t="s">
        <v>40</v>
      </c>
      <c r="J5416" s="2"/>
      <c r="K5416" s="2" t="s">
        <v>14410</v>
      </c>
      <c r="L5416" s="12">
        <v>226.0</v>
      </c>
      <c r="M5416" s="2" t="s">
        <v>14411</v>
      </c>
      <c r="N5416" s="2" t="str">
        <f>IFERROR(__xludf.DUMMYFUNCTION("""COMPUTED_VALUE"""),"")</f>
        <v/>
      </c>
    </row>
    <row r="5417">
      <c r="A5417" s="2" t="s">
        <v>33</v>
      </c>
      <c r="B5417" s="12">
        <v>5242825.0</v>
      </c>
      <c r="C5417" s="12">
        <v>5244018.0</v>
      </c>
      <c r="D5417" s="2"/>
      <c r="E5417" s="2" t="s">
        <v>34</v>
      </c>
      <c r="F5417" s="2" t="s">
        <v>1509</v>
      </c>
      <c r="G5417" s="2"/>
      <c r="H5417" s="12">
        <v>0.0</v>
      </c>
      <c r="I5417" s="2" t="s">
        <v>40</v>
      </c>
      <c r="J5417" s="2"/>
      <c r="K5417" s="2" t="s">
        <v>14412</v>
      </c>
      <c r="L5417" s="12">
        <v>397.0</v>
      </c>
      <c r="M5417" s="2" t="s">
        <v>14413</v>
      </c>
      <c r="N5417" s="2" t="str">
        <f>IFERROR(__xludf.DUMMYFUNCTION("""COMPUTED_VALUE"""),"")</f>
        <v/>
      </c>
    </row>
    <row r="5418">
      <c r="A5418" s="2" t="s">
        <v>33</v>
      </c>
      <c r="B5418" s="12">
        <v>5244460.0</v>
      </c>
      <c r="C5418" s="12">
        <v>5245827.0</v>
      </c>
      <c r="D5418" s="2"/>
      <c r="E5418" s="2" t="s">
        <v>34</v>
      </c>
      <c r="F5418" s="2" t="s">
        <v>14344</v>
      </c>
      <c r="G5418" s="2"/>
      <c r="H5418" s="12">
        <v>0.0</v>
      </c>
      <c r="I5418" s="2" t="s">
        <v>40</v>
      </c>
      <c r="J5418" s="2"/>
      <c r="K5418" s="2" t="s">
        <v>14414</v>
      </c>
      <c r="L5418" s="12">
        <v>455.0</v>
      </c>
      <c r="M5418" s="2" t="s">
        <v>14415</v>
      </c>
      <c r="N5418" s="2" t="str">
        <f>IFERROR(__xludf.DUMMYFUNCTION("""COMPUTED_VALUE"""),"")</f>
        <v/>
      </c>
    </row>
    <row r="5419">
      <c r="A5419" s="2" t="s">
        <v>33</v>
      </c>
      <c r="B5419" s="12">
        <v>5245955.0</v>
      </c>
      <c r="C5419" s="12">
        <v>5246389.0</v>
      </c>
      <c r="D5419" s="2"/>
      <c r="E5419" s="2" t="s">
        <v>38</v>
      </c>
      <c r="F5419" s="2" t="s">
        <v>367</v>
      </c>
      <c r="G5419" s="2"/>
      <c r="H5419" s="12">
        <v>0.0</v>
      </c>
      <c r="I5419" s="2" t="s">
        <v>40</v>
      </c>
      <c r="J5419" s="2"/>
      <c r="K5419" s="2" t="s">
        <v>14416</v>
      </c>
      <c r="L5419" s="12">
        <v>144.0</v>
      </c>
      <c r="M5419" s="2" t="s">
        <v>14417</v>
      </c>
      <c r="N5419" s="2" t="str">
        <f>IFERROR(__xludf.DUMMYFUNCTION("""COMPUTED_VALUE"""),"")</f>
        <v/>
      </c>
    </row>
    <row r="5420">
      <c r="A5420" s="2" t="s">
        <v>33</v>
      </c>
      <c r="B5420" s="12">
        <v>5246504.0</v>
      </c>
      <c r="C5420" s="12">
        <v>5247166.0</v>
      </c>
      <c r="D5420" s="2"/>
      <c r="E5420" s="2" t="s">
        <v>38</v>
      </c>
      <c r="F5420" s="2" t="s">
        <v>14418</v>
      </c>
      <c r="G5420" s="2" t="s">
        <v>14419</v>
      </c>
      <c r="H5420" s="12">
        <v>0.0</v>
      </c>
      <c r="I5420" s="2" t="s">
        <v>40</v>
      </c>
      <c r="J5420" s="2"/>
      <c r="K5420" s="2" t="s">
        <v>14420</v>
      </c>
      <c r="L5420" s="12">
        <v>220.0</v>
      </c>
      <c r="M5420" s="2" t="s">
        <v>14421</v>
      </c>
      <c r="N5420" s="2" t="str">
        <f>IFERROR(__xludf.DUMMYFUNCTION("""COMPUTED_VALUE"""),"")</f>
        <v/>
      </c>
    </row>
    <row r="5421">
      <c r="A5421" s="2" t="s">
        <v>33</v>
      </c>
      <c r="B5421" s="12">
        <v>5247171.0</v>
      </c>
      <c r="C5421" s="12">
        <v>5247491.0</v>
      </c>
      <c r="D5421" s="2"/>
      <c r="E5421" s="2" t="s">
        <v>38</v>
      </c>
      <c r="F5421" s="2" t="s">
        <v>14422</v>
      </c>
      <c r="G5421" s="2"/>
      <c r="H5421" s="12">
        <v>0.0</v>
      </c>
      <c r="I5421" s="2" t="s">
        <v>40</v>
      </c>
      <c r="J5421" s="2"/>
      <c r="K5421" s="2" t="s">
        <v>14423</v>
      </c>
      <c r="L5421" s="12">
        <v>106.0</v>
      </c>
      <c r="M5421" s="2" t="s">
        <v>14424</v>
      </c>
      <c r="N5421" s="2" t="str">
        <f>IFERROR(__xludf.DUMMYFUNCTION("""COMPUTED_VALUE"""),"")</f>
        <v/>
      </c>
    </row>
    <row r="5422">
      <c r="A5422" s="2" t="s">
        <v>33</v>
      </c>
      <c r="B5422" s="12">
        <v>5247634.0</v>
      </c>
      <c r="C5422" s="12">
        <v>5248320.0</v>
      </c>
      <c r="D5422" s="2"/>
      <c r="E5422" s="2" t="s">
        <v>34</v>
      </c>
      <c r="F5422" s="2" t="s">
        <v>14425</v>
      </c>
      <c r="G5422" s="2"/>
      <c r="H5422" s="12">
        <v>0.0</v>
      </c>
      <c r="I5422" s="2" t="s">
        <v>40</v>
      </c>
      <c r="J5422" s="2"/>
      <c r="K5422" s="2" t="s">
        <v>14426</v>
      </c>
      <c r="L5422" s="12">
        <v>228.0</v>
      </c>
      <c r="M5422" s="2" t="s">
        <v>14427</v>
      </c>
      <c r="N5422" s="2" t="str">
        <f>IFERROR(__xludf.DUMMYFUNCTION("""COMPUTED_VALUE"""),"")</f>
        <v/>
      </c>
    </row>
    <row r="5423">
      <c r="A5423" s="2" t="s">
        <v>33</v>
      </c>
      <c r="B5423" s="12">
        <v>5248342.0</v>
      </c>
      <c r="C5423" s="12">
        <v>5248923.0</v>
      </c>
      <c r="D5423" s="2"/>
      <c r="E5423" s="2" t="s">
        <v>34</v>
      </c>
      <c r="F5423" s="2" t="s">
        <v>8162</v>
      </c>
      <c r="G5423" s="2" t="s">
        <v>8163</v>
      </c>
      <c r="H5423" s="12">
        <v>0.0</v>
      </c>
      <c r="I5423" s="2" t="s">
        <v>40</v>
      </c>
      <c r="J5423" s="2"/>
      <c r="K5423" s="2" t="s">
        <v>14428</v>
      </c>
      <c r="L5423" s="12">
        <v>193.0</v>
      </c>
      <c r="M5423" s="2" t="s">
        <v>14429</v>
      </c>
      <c r="N5423" s="2" t="str">
        <f>IFERROR(__xludf.DUMMYFUNCTION("""COMPUTED_VALUE"""),"")</f>
        <v/>
      </c>
    </row>
    <row r="5424">
      <c r="A5424" s="2" t="s">
        <v>33</v>
      </c>
      <c r="B5424" s="12">
        <v>5248967.0</v>
      </c>
      <c r="C5424" s="12">
        <v>5249824.0</v>
      </c>
      <c r="D5424" s="2"/>
      <c r="E5424" s="2" t="s">
        <v>38</v>
      </c>
      <c r="F5424" s="2" t="s">
        <v>14430</v>
      </c>
      <c r="G5424" s="2"/>
      <c r="H5424" s="12">
        <v>0.0</v>
      </c>
      <c r="I5424" s="2" t="s">
        <v>40</v>
      </c>
      <c r="J5424" s="2"/>
      <c r="K5424" s="2" t="s">
        <v>14431</v>
      </c>
      <c r="L5424" s="12">
        <v>285.0</v>
      </c>
      <c r="M5424" s="2" t="s">
        <v>14432</v>
      </c>
      <c r="N5424" s="2" t="str">
        <f>IFERROR(__xludf.DUMMYFUNCTION("""COMPUTED_VALUE"""),"")</f>
        <v/>
      </c>
    </row>
    <row r="5425">
      <c r="A5425" s="2" t="s">
        <v>33</v>
      </c>
      <c r="B5425" s="12">
        <v>5249996.0</v>
      </c>
      <c r="C5425" s="12">
        <v>5251201.0</v>
      </c>
      <c r="D5425" s="2"/>
      <c r="E5425" s="2" t="s">
        <v>34</v>
      </c>
      <c r="F5425" s="2" t="s">
        <v>14433</v>
      </c>
      <c r="G5425" s="2"/>
      <c r="H5425" s="12">
        <v>0.0</v>
      </c>
      <c r="I5425" s="2" t="s">
        <v>40</v>
      </c>
      <c r="J5425" s="2"/>
      <c r="K5425" s="2" t="s">
        <v>14434</v>
      </c>
      <c r="L5425" s="12">
        <v>401.0</v>
      </c>
      <c r="M5425" s="2" t="s">
        <v>14435</v>
      </c>
      <c r="N5425" s="2" t="str">
        <f>IFERROR(__xludf.DUMMYFUNCTION("""COMPUTED_VALUE"""),"")</f>
        <v/>
      </c>
    </row>
    <row r="5426">
      <c r="A5426" s="2" t="s">
        <v>33</v>
      </c>
      <c r="B5426" s="12">
        <v>5251194.0</v>
      </c>
      <c r="C5426" s="12">
        <v>5252030.0</v>
      </c>
      <c r="D5426" s="2"/>
      <c r="E5426" s="2" t="s">
        <v>34</v>
      </c>
      <c r="F5426" s="2" t="s">
        <v>14436</v>
      </c>
      <c r="G5426" s="2"/>
      <c r="H5426" s="12">
        <v>0.0</v>
      </c>
      <c r="I5426" s="2" t="s">
        <v>40</v>
      </c>
      <c r="J5426" s="2"/>
      <c r="K5426" s="2" t="s">
        <v>14437</v>
      </c>
      <c r="L5426" s="12">
        <v>278.0</v>
      </c>
      <c r="M5426" s="2" t="s">
        <v>14438</v>
      </c>
      <c r="N5426" s="2" t="str">
        <f>IFERROR(__xludf.DUMMYFUNCTION("""COMPUTED_VALUE"""),"")</f>
        <v/>
      </c>
    </row>
    <row r="5427">
      <c r="A5427" s="2" t="s">
        <v>33</v>
      </c>
      <c r="B5427" s="12">
        <v>5252084.0</v>
      </c>
      <c r="C5427" s="12">
        <v>5252320.0</v>
      </c>
      <c r="D5427" s="2"/>
      <c r="E5427" s="2" t="s">
        <v>38</v>
      </c>
      <c r="F5427" s="2" t="s">
        <v>39</v>
      </c>
      <c r="G5427" s="2"/>
      <c r="H5427" s="12">
        <v>0.0</v>
      </c>
      <c r="I5427" s="2" t="s">
        <v>40</v>
      </c>
      <c r="J5427" s="2"/>
      <c r="K5427" s="2" t="s">
        <v>14439</v>
      </c>
      <c r="L5427" s="12">
        <v>78.0</v>
      </c>
      <c r="M5427" s="2" t="s">
        <v>14440</v>
      </c>
      <c r="N5427" s="2" t="str">
        <f>IFERROR(__xludf.DUMMYFUNCTION("""COMPUTED_VALUE"""),"")</f>
        <v/>
      </c>
    </row>
    <row r="5428">
      <c r="A5428" s="2" t="s">
        <v>33</v>
      </c>
      <c r="B5428" s="12">
        <v>5252538.0</v>
      </c>
      <c r="C5428" s="12">
        <v>5252705.0</v>
      </c>
      <c r="D5428" s="2"/>
      <c r="E5428" s="2" t="s">
        <v>34</v>
      </c>
      <c r="F5428" s="2" t="s">
        <v>39</v>
      </c>
      <c r="G5428" s="2"/>
      <c r="H5428" s="12">
        <v>0.0</v>
      </c>
      <c r="I5428" s="2" t="s">
        <v>40</v>
      </c>
      <c r="J5428" s="2"/>
      <c r="K5428" s="2" t="s">
        <v>14441</v>
      </c>
      <c r="L5428" s="12">
        <v>55.0</v>
      </c>
      <c r="M5428" s="2" t="s">
        <v>14442</v>
      </c>
      <c r="N5428" s="2" t="str">
        <f>IFERROR(__xludf.DUMMYFUNCTION("""COMPUTED_VALUE"""),"")</f>
        <v/>
      </c>
    </row>
    <row r="5429">
      <c r="A5429" s="2" t="s">
        <v>33</v>
      </c>
      <c r="B5429" s="12">
        <v>5252806.0</v>
      </c>
      <c r="C5429" s="12">
        <v>5253297.0</v>
      </c>
      <c r="D5429" s="2"/>
      <c r="E5429" s="2" t="s">
        <v>34</v>
      </c>
      <c r="F5429" s="2" t="s">
        <v>4392</v>
      </c>
      <c r="G5429" s="2"/>
      <c r="H5429" s="12">
        <v>0.0</v>
      </c>
      <c r="I5429" s="2" t="s">
        <v>40</v>
      </c>
      <c r="J5429" s="2"/>
      <c r="K5429" s="2" t="s">
        <v>14443</v>
      </c>
      <c r="L5429" s="12">
        <v>163.0</v>
      </c>
      <c r="M5429" s="2" t="s">
        <v>14444</v>
      </c>
      <c r="N5429" s="2" t="str">
        <f>IFERROR(__xludf.DUMMYFUNCTION("""COMPUTED_VALUE"""),"")</f>
        <v/>
      </c>
    </row>
    <row r="5430">
      <c r="A5430" s="2" t="s">
        <v>33</v>
      </c>
      <c r="B5430" s="12">
        <v>5253281.0</v>
      </c>
      <c r="C5430" s="12">
        <v>5254105.0</v>
      </c>
      <c r="D5430" s="2"/>
      <c r="E5430" s="2" t="s">
        <v>34</v>
      </c>
      <c r="F5430" s="2" t="s">
        <v>14445</v>
      </c>
      <c r="G5430" s="2"/>
      <c r="H5430" s="12">
        <v>0.0</v>
      </c>
      <c r="I5430" s="2" t="s">
        <v>40</v>
      </c>
      <c r="J5430" s="2"/>
      <c r="K5430" s="2" t="s">
        <v>14446</v>
      </c>
      <c r="L5430" s="12">
        <v>274.0</v>
      </c>
      <c r="M5430" s="2" t="s">
        <v>14447</v>
      </c>
      <c r="N5430" s="2" t="str">
        <f>IFERROR(__xludf.DUMMYFUNCTION("""COMPUTED_VALUE"""),"")</f>
        <v/>
      </c>
    </row>
    <row r="5431">
      <c r="A5431" s="2" t="s">
        <v>33</v>
      </c>
      <c r="B5431" s="12">
        <v>5254159.0</v>
      </c>
      <c r="C5431" s="12">
        <v>5254488.0</v>
      </c>
      <c r="D5431" s="2"/>
      <c r="E5431" s="2" t="s">
        <v>34</v>
      </c>
      <c r="F5431" s="2" t="s">
        <v>14448</v>
      </c>
      <c r="G5431" s="2"/>
      <c r="H5431" s="12">
        <v>0.0</v>
      </c>
      <c r="I5431" s="2" t="s">
        <v>40</v>
      </c>
      <c r="J5431" s="2"/>
      <c r="K5431" s="2" t="s">
        <v>14449</v>
      </c>
      <c r="L5431" s="12">
        <v>109.0</v>
      </c>
      <c r="M5431" s="2" t="s">
        <v>14450</v>
      </c>
      <c r="N5431" s="2" t="str">
        <f>IFERROR(__xludf.DUMMYFUNCTION("""COMPUTED_VALUE"""),"")</f>
        <v/>
      </c>
    </row>
    <row r="5432">
      <c r="A5432" s="2" t="s">
        <v>33</v>
      </c>
      <c r="B5432" s="12">
        <v>5254526.0</v>
      </c>
      <c r="C5432" s="12">
        <v>5254963.0</v>
      </c>
      <c r="D5432" s="2"/>
      <c r="E5432" s="2" t="s">
        <v>34</v>
      </c>
      <c r="F5432" s="2" t="s">
        <v>1546</v>
      </c>
      <c r="G5432" s="2"/>
      <c r="H5432" s="12">
        <v>0.0</v>
      </c>
      <c r="I5432" s="2" t="s">
        <v>40</v>
      </c>
      <c r="J5432" s="2"/>
      <c r="K5432" s="2" t="s">
        <v>14451</v>
      </c>
      <c r="L5432" s="12">
        <v>145.0</v>
      </c>
      <c r="M5432" s="2" t="s">
        <v>14452</v>
      </c>
      <c r="N5432" s="2" t="str">
        <f>IFERROR(__xludf.DUMMYFUNCTION("""COMPUTED_VALUE"""),"")</f>
        <v/>
      </c>
    </row>
    <row r="5433">
      <c r="A5433" s="2" t="s">
        <v>33</v>
      </c>
      <c r="B5433" s="12">
        <v>5254987.0</v>
      </c>
      <c r="C5433" s="12">
        <v>5255370.0</v>
      </c>
      <c r="D5433" s="2"/>
      <c r="E5433" s="2" t="s">
        <v>34</v>
      </c>
      <c r="F5433" s="2" t="s">
        <v>14448</v>
      </c>
      <c r="G5433" s="2"/>
      <c r="H5433" s="12">
        <v>0.0</v>
      </c>
      <c r="I5433" s="2" t="s">
        <v>40</v>
      </c>
      <c r="J5433" s="2"/>
      <c r="K5433" s="2" t="s">
        <v>14453</v>
      </c>
      <c r="L5433" s="12">
        <v>127.0</v>
      </c>
      <c r="M5433" s="2" t="s">
        <v>14454</v>
      </c>
      <c r="N5433" s="2" t="str">
        <f>IFERROR(__xludf.DUMMYFUNCTION("""COMPUTED_VALUE"""),"")</f>
        <v/>
      </c>
    </row>
    <row r="5434">
      <c r="A5434" s="2" t="s">
        <v>33</v>
      </c>
      <c r="B5434" s="12">
        <v>5255447.0</v>
      </c>
      <c r="C5434" s="12">
        <v>5255956.0</v>
      </c>
      <c r="D5434" s="2"/>
      <c r="E5434" s="2" t="s">
        <v>38</v>
      </c>
      <c r="F5434" s="2" t="s">
        <v>11061</v>
      </c>
      <c r="G5434" s="2"/>
      <c r="H5434" s="12">
        <v>0.0</v>
      </c>
      <c r="I5434" s="2" t="s">
        <v>40</v>
      </c>
      <c r="J5434" s="2"/>
      <c r="K5434" s="2" t="s">
        <v>14455</v>
      </c>
      <c r="L5434" s="12">
        <v>169.0</v>
      </c>
      <c r="M5434" s="2" t="s">
        <v>14456</v>
      </c>
      <c r="N5434" s="2" t="str">
        <f>IFERROR(__xludf.DUMMYFUNCTION("""COMPUTED_VALUE"""),"")</f>
        <v/>
      </c>
    </row>
    <row r="5435">
      <c r="A5435" s="2" t="s">
        <v>33</v>
      </c>
      <c r="B5435" s="12">
        <v>5255997.0</v>
      </c>
      <c r="C5435" s="12">
        <v>5256842.0</v>
      </c>
      <c r="D5435" s="2"/>
      <c r="E5435" s="2" t="s">
        <v>38</v>
      </c>
      <c r="F5435" s="2" t="s">
        <v>1645</v>
      </c>
      <c r="G5435" s="2"/>
      <c r="H5435" s="12">
        <v>0.0</v>
      </c>
      <c r="I5435" s="2" t="s">
        <v>40</v>
      </c>
      <c r="J5435" s="2"/>
      <c r="K5435" s="2" t="s">
        <v>14457</v>
      </c>
      <c r="L5435" s="12">
        <v>281.0</v>
      </c>
      <c r="M5435" s="2" t="s">
        <v>14458</v>
      </c>
      <c r="N5435" s="2" t="str">
        <f>IFERROR(__xludf.DUMMYFUNCTION("""COMPUTED_VALUE"""),"")</f>
        <v/>
      </c>
    </row>
    <row r="5436">
      <c r="A5436" s="2" t="s">
        <v>33</v>
      </c>
      <c r="B5436" s="12">
        <v>5257007.0</v>
      </c>
      <c r="C5436" s="12">
        <v>5257486.0</v>
      </c>
      <c r="D5436" s="2"/>
      <c r="E5436" s="2" t="s">
        <v>34</v>
      </c>
      <c r="F5436" s="2" t="s">
        <v>817</v>
      </c>
      <c r="G5436" s="2"/>
      <c r="H5436" s="12">
        <v>0.0</v>
      </c>
      <c r="I5436" s="2" t="s">
        <v>40</v>
      </c>
      <c r="J5436" s="2"/>
      <c r="K5436" s="2" t="s">
        <v>14459</v>
      </c>
      <c r="L5436" s="12">
        <v>159.0</v>
      </c>
      <c r="M5436" s="2" t="s">
        <v>14460</v>
      </c>
      <c r="N5436" s="2" t="str">
        <f>IFERROR(__xludf.DUMMYFUNCTION("""COMPUTED_VALUE"""),"")</f>
        <v/>
      </c>
    </row>
    <row r="5437">
      <c r="A5437" s="2" t="s">
        <v>33</v>
      </c>
      <c r="B5437" s="12">
        <v>5257655.0</v>
      </c>
      <c r="C5437" s="12">
        <v>5258653.0</v>
      </c>
      <c r="D5437" s="2"/>
      <c r="E5437" s="2" t="s">
        <v>34</v>
      </c>
      <c r="F5437" s="2" t="s">
        <v>14461</v>
      </c>
      <c r="G5437" s="2" t="s">
        <v>14462</v>
      </c>
      <c r="H5437" s="12">
        <v>0.0</v>
      </c>
      <c r="I5437" s="2" t="s">
        <v>40</v>
      </c>
      <c r="J5437" s="2"/>
      <c r="K5437" s="2" t="s">
        <v>14463</v>
      </c>
      <c r="L5437" s="12">
        <v>332.0</v>
      </c>
      <c r="M5437" s="2" t="s">
        <v>14464</v>
      </c>
      <c r="N5437" s="2" t="str">
        <f>IFERROR(__xludf.DUMMYFUNCTION("""COMPUTED_VALUE"""),"")</f>
        <v/>
      </c>
    </row>
    <row r="5438">
      <c r="A5438" s="2" t="s">
        <v>33</v>
      </c>
      <c r="B5438" s="12">
        <v>5258671.0</v>
      </c>
      <c r="C5438" s="12">
        <v>5259705.0</v>
      </c>
      <c r="D5438" s="2"/>
      <c r="E5438" s="2" t="s">
        <v>34</v>
      </c>
      <c r="F5438" s="2" t="s">
        <v>14465</v>
      </c>
      <c r="G5438" s="2" t="s">
        <v>14466</v>
      </c>
      <c r="H5438" s="12">
        <v>0.0</v>
      </c>
      <c r="I5438" s="2" t="s">
        <v>40</v>
      </c>
      <c r="J5438" s="2"/>
      <c r="K5438" s="2" t="s">
        <v>14467</v>
      </c>
      <c r="L5438" s="12">
        <v>344.0</v>
      </c>
      <c r="M5438" s="2" t="s">
        <v>14468</v>
      </c>
      <c r="N5438" s="2" t="str">
        <f>IFERROR(__xludf.DUMMYFUNCTION("""COMPUTED_VALUE"""),"")</f>
        <v/>
      </c>
    </row>
    <row r="5439">
      <c r="A5439" s="2" t="s">
        <v>33</v>
      </c>
      <c r="B5439" s="12">
        <v>5259733.0</v>
      </c>
      <c r="C5439" s="12">
        <v>5260932.0</v>
      </c>
      <c r="D5439" s="2"/>
      <c r="E5439" s="2" t="s">
        <v>34</v>
      </c>
      <c r="F5439" s="2" t="s">
        <v>10885</v>
      </c>
      <c r="G5439" s="2"/>
      <c r="H5439" s="12">
        <v>0.0</v>
      </c>
      <c r="I5439" s="2" t="s">
        <v>40</v>
      </c>
      <c r="J5439" s="2"/>
      <c r="K5439" s="2" t="s">
        <v>14469</v>
      </c>
      <c r="L5439" s="12">
        <v>399.0</v>
      </c>
      <c r="M5439" s="2" t="s">
        <v>14470</v>
      </c>
      <c r="N5439" s="2" t="str">
        <f>IFERROR(__xludf.DUMMYFUNCTION("""COMPUTED_VALUE"""),"")</f>
        <v/>
      </c>
    </row>
    <row r="5440">
      <c r="A5440" s="2" t="s">
        <v>33</v>
      </c>
      <c r="B5440" s="12">
        <v>5260948.0</v>
      </c>
      <c r="C5440" s="12">
        <v>5262327.0</v>
      </c>
      <c r="D5440" s="2"/>
      <c r="E5440" s="2" t="s">
        <v>34</v>
      </c>
      <c r="F5440" s="2" t="s">
        <v>10873</v>
      </c>
      <c r="G5440" s="2" t="s">
        <v>10874</v>
      </c>
      <c r="H5440" s="12">
        <v>0.0</v>
      </c>
      <c r="I5440" s="2" t="s">
        <v>40</v>
      </c>
      <c r="J5440" s="2"/>
      <c r="K5440" s="2" t="s">
        <v>14471</v>
      </c>
      <c r="L5440" s="12">
        <v>459.0</v>
      </c>
      <c r="M5440" s="2" t="s">
        <v>14472</v>
      </c>
      <c r="N5440" s="2" t="str">
        <f>IFERROR(__xludf.DUMMYFUNCTION("""COMPUTED_VALUE"""),"")</f>
        <v/>
      </c>
    </row>
    <row r="5441">
      <c r="A5441" s="2" t="s">
        <v>33</v>
      </c>
      <c r="B5441" s="12">
        <v>5262413.0</v>
      </c>
      <c r="C5441" s="12">
        <v>5263006.0</v>
      </c>
      <c r="D5441" s="2"/>
      <c r="E5441" s="2" t="s">
        <v>38</v>
      </c>
      <c r="F5441" s="2" t="s">
        <v>39</v>
      </c>
      <c r="G5441" s="2"/>
      <c r="H5441" s="12">
        <v>0.0</v>
      </c>
      <c r="I5441" s="2" t="s">
        <v>40</v>
      </c>
      <c r="J5441" s="2"/>
      <c r="K5441" s="2" t="s">
        <v>14473</v>
      </c>
      <c r="L5441" s="12">
        <v>197.0</v>
      </c>
      <c r="M5441" s="2" t="s">
        <v>14474</v>
      </c>
      <c r="N5441" s="2" t="str">
        <f>IFERROR(__xludf.DUMMYFUNCTION("""COMPUTED_VALUE"""),"")</f>
        <v/>
      </c>
    </row>
    <row r="5442">
      <c r="A5442" s="2" t="s">
        <v>33</v>
      </c>
      <c r="B5442" s="12">
        <v>5263227.0</v>
      </c>
      <c r="C5442" s="12">
        <v>5263850.0</v>
      </c>
      <c r="D5442" s="2"/>
      <c r="E5442" s="2" t="s">
        <v>34</v>
      </c>
      <c r="F5442" s="2" t="s">
        <v>14475</v>
      </c>
      <c r="G5442" s="2"/>
      <c r="H5442" s="12">
        <v>0.0</v>
      </c>
      <c r="I5442" s="2" t="s">
        <v>40</v>
      </c>
      <c r="J5442" s="2"/>
      <c r="K5442" s="2" t="s">
        <v>14476</v>
      </c>
      <c r="L5442" s="12">
        <v>207.0</v>
      </c>
      <c r="M5442" s="2" t="s">
        <v>14477</v>
      </c>
      <c r="N5442" s="2" t="str">
        <f>IFERROR(__xludf.DUMMYFUNCTION("""COMPUTED_VALUE"""),"")</f>
        <v/>
      </c>
    </row>
    <row r="5443">
      <c r="A5443" s="2" t="s">
        <v>33</v>
      </c>
      <c r="B5443" s="12">
        <v>5263936.0</v>
      </c>
      <c r="C5443" s="12">
        <v>5264337.0</v>
      </c>
      <c r="D5443" s="2"/>
      <c r="E5443" s="2" t="s">
        <v>34</v>
      </c>
      <c r="F5443" s="2" t="s">
        <v>2128</v>
      </c>
      <c r="G5443" s="2"/>
      <c r="H5443" s="12">
        <v>0.0</v>
      </c>
      <c r="I5443" s="2" t="s">
        <v>40</v>
      </c>
      <c r="J5443" s="2"/>
      <c r="K5443" s="2" t="s">
        <v>14478</v>
      </c>
      <c r="L5443" s="12">
        <v>133.0</v>
      </c>
      <c r="M5443" s="2" t="s">
        <v>14479</v>
      </c>
      <c r="N5443" s="2" t="str">
        <f>IFERROR(__xludf.DUMMYFUNCTION("""COMPUTED_VALUE"""),"")</f>
        <v/>
      </c>
    </row>
    <row r="5444">
      <c r="A5444" s="2" t="s">
        <v>33</v>
      </c>
      <c r="B5444" s="12">
        <v>5264427.0</v>
      </c>
      <c r="C5444" s="12">
        <v>5265026.0</v>
      </c>
      <c r="D5444" s="2"/>
      <c r="E5444" s="2" t="s">
        <v>34</v>
      </c>
      <c r="F5444" s="2" t="s">
        <v>3951</v>
      </c>
      <c r="G5444" s="2"/>
      <c r="H5444" s="12">
        <v>0.0</v>
      </c>
      <c r="I5444" s="2" t="s">
        <v>40</v>
      </c>
      <c r="J5444" s="2"/>
      <c r="K5444" s="2" t="s">
        <v>14480</v>
      </c>
      <c r="L5444" s="12">
        <v>199.0</v>
      </c>
      <c r="M5444" s="2" t="s">
        <v>14481</v>
      </c>
      <c r="N5444" s="2" t="str">
        <f>IFERROR(__xludf.DUMMYFUNCTION("""COMPUTED_VALUE"""),"")</f>
        <v/>
      </c>
    </row>
    <row r="5445">
      <c r="A5445" s="2" t="s">
        <v>33</v>
      </c>
      <c r="B5445" s="12">
        <v>5265091.0</v>
      </c>
      <c r="C5445" s="12">
        <v>5265582.0</v>
      </c>
      <c r="D5445" s="2"/>
      <c r="E5445" s="2" t="s">
        <v>38</v>
      </c>
      <c r="F5445" s="2" t="s">
        <v>39</v>
      </c>
      <c r="G5445" s="2"/>
      <c r="H5445" s="12">
        <v>0.0</v>
      </c>
      <c r="I5445" s="2" t="s">
        <v>40</v>
      </c>
      <c r="J5445" s="2"/>
      <c r="K5445" s="2" t="s">
        <v>14482</v>
      </c>
      <c r="L5445" s="12">
        <v>163.0</v>
      </c>
      <c r="M5445" s="2" t="s">
        <v>14483</v>
      </c>
      <c r="N5445" s="2" t="str">
        <f>IFERROR(__xludf.DUMMYFUNCTION("""COMPUTED_VALUE"""),"")</f>
        <v/>
      </c>
    </row>
    <row r="5446">
      <c r="A5446" s="2" t="s">
        <v>33</v>
      </c>
      <c r="B5446" s="12">
        <v>5265833.0</v>
      </c>
      <c r="C5446" s="12">
        <v>5266618.0</v>
      </c>
      <c r="D5446" s="2"/>
      <c r="E5446" s="2" t="s">
        <v>34</v>
      </c>
      <c r="F5446" s="2" t="s">
        <v>3617</v>
      </c>
      <c r="G5446" s="2"/>
      <c r="H5446" s="12">
        <v>0.0</v>
      </c>
      <c r="I5446" s="2" t="s">
        <v>40</v>
      </c>
      <c r="J5446" s="2"/>
      <c r="K5446" s="2" t="s">
        <v>14484</v>
      </c>
      <c r="L5446" s="12">
        <v>261.0</v>
      </c>
      <c r="M5446" s="2" t="s">
        <v>14485</v>
      </c>
      <c r="N5446" s="2" t="str">
        <f>IFERROR(__xludf.DUMMYFUNCTION("""COMPUTED_VALUE"""),"")</f>
        <v/>
      </c>
    </row>
    <row r="5447">
      <c r="A5447" s="2" t="s">
        <v>33</v>
      </c>
      <c r="B5447" s="12">
        <v>5266615.0</v>
      </c>
      <c r="C5447" s="12">
        <v>5267211.0</v>
      </c>
      <c r="D5447" s="2"/>
      <c r="E5447" s="2" t="s">
        <v>34</v>
      </c>
      <c r="F5447" s="2" t="s">
        <v>367</v>
      </c>
      <c r="G5447" s="2"/>
      <c r="H5447" s="12">
        <v>0.0</v>
      </c>
      <c r="I5447" s="2" t="s">
        <v>40</v>
      </c>
      <c r="J5447" s="2"/>
      <c r="K5447" s="2" t="s">
        <v>14486</v>
      </c>
      <c r="L5447" s="12">
        <v>198.0</v>
      </c>
      <c r="M5447" s="2" t="s">
        <v>14487</v>
      </c>
      <c r="N5447" s="2" t="str">
        <f>IFERROR(__xludf.DUMMYFUNCTION("""COMPUTED_VALUE"""),"")</f>
        <v/>
      </c>
    </row>
    <row r="5448">
      <c r="A5448" s="2" t="s">
        <v>33</v>
      </c>
      <c r="B5448" s="12">
        <v>5267184.0</v>
      </c>
      <c r="C5448" s="12">
        <v>5267522.0</v>
      </c>
      <c r="D5448" s="2"/>
      <c r="E5448" s="2" t="s">
        <v>34</v>
      </c>
      <c r="F5448" s="2" t="s">
        <v>14488</v>
      </c>
      <c r="G5448" s="2"/>
      <c r="H5448" s="12">
        <v>0.0</v>
      </c>
      <c r="I5448" s="2" t="s">
        <v>40</v>
      </c>
      <c r="J5448" s="2"/>
      <c r="K5448" s="2" t="s">
        <v>14489</v>
      </c>
      <c r="L5448" s="12">
        <v>112.0</v>
      </c>
      <c r="M5448" s="2" t="s">
        <v>14490</v>
      </c>
      <c r="N5448" s="2" t="str">
        <f>IFERROR(__xludf.DUMMYFUNCTION("""COMPUTED_VALUE"""),"")</f>
        <v/>
      </c>
    </row>
    <row r="5449">
      <c r="A5449" s="2" t="s">
        <v>33</v>
      </c>
      <c r="B5449" s="12">
        <v>5267836.0</v>
      </c>
      <c r="C5449" s="12">
        <v>5269687.0</v>
      </c>
      <c r="D5449" s="2"/>
      <c r="E5449" s="2" t="s">
        <v>34</v>
      </c>
      <c r="F5449" s="2" t="s">
        <v>35</v>
      </c>
      <c r="G5449" s="2"/>
      <c r="H5449" s="12">
        <v>0.0</v>
      </c>
      <c r="I5449" s="2" t="s">
        <v>36</v>
      </c>
      <c r="J5449" s="2"/>
      <c r="K5449" s="2"/>
      <c r="L5449" s="2"/>
      <c r="M5449" s="2" t="s">
        <v>14491</v>
      </c>
      <c r="N5449" s="2" t="str">
        <f>IFERROR(__xludf.DUMMYFUNCTION("""COMPUTED_VALUE"""),"")</f>
        <v/>
      </c>
    </row>
    <row r="5450">
      <c r="A5450" s="2" t="s">
        <v>33</v>
      </c>
      <c r="B5450" s="12">
        <v>5269800.0</v>
      </c>
      <c r="C5450" s="12">
        <v>5270057.0</v>
      </c>
      <c r="D5450" s="2"/>
      <c r="E5450" s="2" t="s">
        <v>34</v>
      </c>
      <c r="F5450" s="2" t="s">
        <v>14492</v>
      </c>
      <c r="G5450" s="2"/>
      <c r="H5450" s="12">
        <v>0.0</v>
      </c>
      <c r="I5450" s="2" t="s">
        <v>40</v>
      </c>
      <c r="J5450" s="2"/>
      <c r="K5450" s="2" t="s">
        <v>14493</v>
      </c>
      <c r="L5450" s="12">
        <v>85.0</v>
      </c>
      <c r="M5450" s="2" t="s">
        <v>14494</v>
      </c>
      <c r="N5450" s="2" t="str">
        <f>IFERROR(__xludf.DUMMYFUNCTION("""COMPUTED_VALUE"""),"")</f>
        <v/>
      </c>
    </row>
    <row r="5451">
      <c r="A5451" s="2" t="s">
        <v>33</v>
      </c>
      <c r="B5451" s="12">
        <v>5270194.0</v>
      </c>
      <c r="C5451" s="12">
        <v>5270433.0</v>
      </c>
      <c r="D5451" s="2"/>
      <c r="E5451" s="2" t="s">
        <v>34</v>
      </c>
      <c r="F5451" s="2" t="s">
        <v>9062</v>
      </c>
      <c r="G5451" s="2"/>
      <c r="H5451" s="12">
        <v>0.0</v>
      </c>
      <c r="I5451" s="2" t="s">
        <v>40</v>
      </c>
      <c r="J5451" s="2"/>
      <c r="K5451" s="2" t="s">
        <v>14495</v>
      </c>
      <c r="L5451" s="12">
        <v>79.0</v>
      </c>
      <c r="M5451" s="2" t="s">
        <v>14496</v>
      </c>
      <c r="N5451" s="2" t="str">
        <f>IFERROR(__xludf.DUMMYFUNCTION("""COMPUTED_VALUE"""),"")</f>
        <v/>
      </c>
    </row>
    <row r="5452">
      <c r="A5452" s="2" t="s">
        <v>33</v>
      </c>
      <c r="B5452" s="12">
        <v>5270582.0</v>
      </c>
      <c r="C5452" s="12">
        <v>5271040.0</v>
      </c>
      <c r="D5452" s="2"/>
      <c r="E5452" s="2" t="s">
        <v>34</v>
      </c>
      <c r="F5452" s="2" t="s">
        <v>9259</v>
      </c>
      <c r="G5452" s="2"/>
      <c r="H5452" s="12">
        <v>0.0</v>
      </c>
      <c r="I5452" s="2" t="s">
        <v>40</v>
      </c>
      <c r="J5452" s="2"/>
      <c r="K5452" s="2" t="s">
        <v>14497</v>
      </c>
      <c r="L5452" s="12">
        <v>152.0</v>
      </c>
      <c r="M5452" s="2" t="s">
        <v>14498</v>
      </c>
      <c r="N5452" s="2" t="str">
        <f>IFERROR(__xludf.DUMMYFUNCTION("""COMPUTED_VALUE"""),"")</f>
        <v/>
      </c>
    </row>
    <row r="5453">
      <c r="A5453" s="2" t="s">
        <v>33</v>
      </c>
      <c r="B5453" s="12">
        <v>5271068.0</v>
      </c>
      <c r="C5453" s="12">
        <v>5271871.0</v>
      </c>
      <c r="D5453" s="2"/>
      <c r="E5453" s="2" t="s">
        <v>38</v>
      </c>
      <c r="F5453" s="2" t="s">
        <v>1291</v>
      </c>
      <c r="G5453" s="2"/>
      <c r="H5453" s="12">
        <v>0.0</v>
      </c>
      <c r="I5453" s="2" t="s">
        <v>40</v>
      </c>
      <c r="J5453" s="2"/>
      <c r="K5453" s="2" t="s">
        <v>14499</v>
      </c>
      <c r="L5453" s="12">
        <v>267.0</v>
      </c>
      <c r="M5453" s="2" t="s">
        <v>14500</v>
      </c>
      <c r="N5453" s="2" t="str">
        <f>IFERROR(__xludf.DUMMYFUNCTION("""COMPUTED_VALUE"""),"")</f>
        <v/>
      </c>
    </row>
    <row r="5454">
      <c r="A5454" s="2" t="s">
        <v>33</v>
      </c>
      <c r="B5454" s="12">
        <v>5271968.0</v>
      </c>
      <c r="C5454" s="12">
        <v>5272406.0</v>
      </c>
      <c r="D5454" s="2"/>
      <c r="E5454" s="2" t="s">
        <v>34</v>
      </c>
      <c r="F5454" s="2" t="s">
        <v>35</v>
      </c>
      <c r="G5454" s="2"/>
      <c r="H5454" s="12">
        <v>0.0</v>
      </c>
      <c r="I5454" s="2" t="s">
        <v>36</v>
      </c>
      <c r="J5454" s="2"/>
      <c r="K5454" s="2"/>
      <c r="L5454" s="2"/>
      <c r="M5454" s="2" t="s">
        <v>14501</v>
      </c>
      <c r="N5454" s="2" t="str">
        <f>IFERROR(__xludf.DUMMYFUNCTION("""COMPUTED_VALUE"""),"")</f>
        <v/>
      </c>
    </row>
    <row r="5455">
      <c r="A5455" s="2" t="s">
        <v>33</v>
      </c>
      <c r="B5455" s="12">
        <v>5272442.0</v>
      </c>
      <c r="C5455" s="12">
        <v>5273053.0</v>
      </c>
      <c r="D5455" s="2"/>
      <c r="E5455" s="2" t="s">
        <v>38</v>
      </c>
      <c r="F5455" s="2" t="s">
        <v>427</v>
      </c>
      <c r="G5455" s="2"/>
      <c r="H5455" s="12">
        <v>0.0</v>
      </c>
      <c r="I5455" s="2" t="s">
        <v>40</v>
      </c>
      <c r="J5455" s="2"/>
      <c r="K5455" s="2" t="s">
        <v>14502</v>
      </c>
      <c r="L5455" s="12">
        <v>203.0</v>
      </c>
      <c r="M5455" s="2" t="s">
        <v>14503</v>
      </c>
      <c r="N5455" s="2" t="str">
        <f>IFERROR(__xludf.DUMMYFUNCTION("""COMPUTED_VALUE"""),"")</f>
        <v/>
      </c>
    </row>
    <row r="5456">
      <c r="A5456" s="2" t="s">
        <v>33</v>
      </c>
      <c r="B5456" s="12">
        <v>5273213.0</v>
      </c>
      <c r="C5456" s="12">
        <v>5274499.0</v>
      </c>
      <c r="D5456" s="2"/>
      <c r="E5456" s="2" t="s">
        <v>34</v>
      </c>
      <c r="F5456" s="2" t="s">
        <v>14504</v>
      </c>
      <c r="G5456" s="2" t="s">
        <v>14505</v>
      </c>
      <c r="H5456" s="12">
        <v>0.0</v>
      </c>
      <c r="I5456" s="2" t="s">
        <v>40</v>
      </c>
      <c r="J5456" s="2"/>
      <c r="K5456" s="2" t="s">
        <v>14506</v>
      </c>
      <c r="L5456" s="12">
        <v>428.0</v>
      </c>
      <c r="M5456" s="2" t="s">
        <v>14507</v>
      </c>
      <c r="N5456" s="2" t="str">
        <f>IFERROR(__xludf.DUMMYFUNCTION("""COMPUTED_VALUE"""),"")</f>
        <v/>
      </c>
    </row>
    <row r="5457">
      <c r="A5457" s="2" t="s">
        <v>33</v>
      </c>
      <c r="B5457" s="12">
        <v>5274502.0</v>
      </c>
      <c r="C5457" s="12">
        <v>5275131.0</v>
      </c>
      <c r="D5457" s="2"/>
      <c r="E5457" s="2" t="s">
        <v>34</v>
      </c>
      <c r="F5457" s="2" t="s">
        <v>14508</v>
      </c>
      <c r="G5457" s="2" t="s">
        <v>14509</v>
      </c>
      <c r="H5457" s="12">
        <v>0.0</v>
      </c>
      <c r="I5457" s="2" t="s">
        <v>40</v>
      </c>
      <c r="J5457" s="2"/>
      <c r="K5457" s="2" t="s">
        <v>14510</v>
      </c>
      <c r="L5457" s="12">
        <v>209.0</v>
      </c>
      <c r="M5457" s="2" t="s">
        <v>14511</v>
      </c>
      <c r="N5457" s="2" t="str">
        <f>IFERROR(__xludf.DUMMYFUNCTION("""COMPUTED_VALUE"""),"")</f>
        <v/>
      </c>
    </row>
    <row r="5458">
      <c r="A5458" s="2" t="s">
        <v>33</v>
      </c>
      <c r="B5458" s="12">
        <v>5275164.0</v>
      </c>
      <c r="C5458" s="12">
        <v>5276003.0</v>
      </c>
      <c r="D5458" s="2"/>
      <c r="E5458" s="2" t="s">
        <v>34</v>
      </c>
      <c r="F5458" s="2" t="s">
        <v>14512</v>
      </c>
      <c r="G5458" s="2" t="s">
        <v>14513</v>
      </c>
      <c r="H5458" s="12">
        <v>0.0</v>
      </c>
      <c r="I5458" s="2" t="s">
        <v>40</v>
      </c>
      <c r="J5458" s="2"/>
      <c r="K5458" s="2" t="s">
        <v>14514</v>
      </c>
      <c r="L5458" s="12">
        <v>279.0</v>
      </c>
      <c r="M5458" s="2" t="s">
        <v>14515</v>
      </c>
      <c r="N5458" s="2" t="str">
        <f>IFERROR(__xludf.DUMMYFUNCTION("""COMPUTED_VALUE"""),"")</f>
        <v/>
      </c>
    </row>
    <row r="5459">
      <c r="A5459" s="2" t="s">
        <v>33</v>
      </c>
      <c r="B5459" s="12">
        <v>5276123.0</v>
      </c>
      <c r="C5459" s="12">
        <v>5277040.0</v>
      </c>
      <c r="D5459" s="2"/>
      <c r="E5459" s="2" t="s">
        <v>34</v>
      </c>
      <c r="F5459" s="2" t="s">
        <v>455</v>
      </c>
      <c r="G5459" s="2"/>
      <c r="H5459" s="12">
        <v>0.0</v>
      </c>
      <c r="I5459" s="2" t="s">
        <v>40</v>
      </c>
      <c r="J5459" s="2"/>
      <c r="K5459" s="2" t="s">
        <v>14516</v>
      </c>
      <c r="L5459" s="12">
        <v>305.0</v>
      </c>
      <c r="M5459" s="2" t="s">
        <v>14517</v>
      </c>
      <c r="N5459" s="2" t="str">
        <f>IFERROR(__xludf.DUMMYFUNCTION("""COMPUTED_VALUE"""),"")</f>
        <v/>
      </c>
    </row>
    <row r="5460">
      <c r="A5460" s="2" t="s">
        <v>33</v>
      </c>
      <c r="B5460" s="12">
        <v>5277057.0</v>
      </c>
      <c r="C5460" s="12">
        <v>5277680.0</v>
      </c>
      <c r="D5460" s="2"/>
      <c r="E5460" s="2" t="s">
        <v>34</v>
      </c>
      <c r="F5460" s="2" t="s">
        <v>14518</v>
      </c>
      <c r="G5460" s="2"/>
      <c r="H5460" s="12">
        <v>0.0</v>
      </c>
      <c r="I5460" s="2" t="s">
        <v>40</v>
      </c>
      <c r="J5460" s="2"/>
      <c r="K5460" s="2" t="s">
        <v>14519</v>
      </c>
      <c r="L5460" s="12">
        <v>207.0</v>
      </c>
      <c r="M5460" s="2" t="s">
        <v>14520</v>
      </c>
      <c r="N5460" s="2" t="str">
        <f>IFERROR(__xludf.DUMMYFUNCTION("""COMPUTED_VALUE"""),"")</f>
        <v/>
      </c>
    </row>
    <row r="5461">
      <c r="A5461" s="2" t="s">
        <v>33</v>
      </c>
      <c r="B5461" s="12">
        <v>5277828.0</v>
      </c>
      <c r="C5461" s="12">
        <v>5278160.0</v>
      </c>
      <c r="D5461" s="2"/>
      <c r="E5461" s="2" t="s">
        <v>38</v>
      </c>
      <c r="F5461" s="2" t="s">
        <v>14521</v>
      </c>
      <c r="G5461" s="2"/>
      <c r="H5461" s="12">
        <v>0.0</v>
      </c>
      <c r="I5461" s="2" t="s">
        <v>40</v>
      </c>
      <c r="J5461" s="2"/>
      <c r="K5461" s="2" t="s">
        <v>14522</v>
      </c>
      <c r="L5461" s="12">
        <v>110.0</v>
      </c>
      <c r="M5461" s="2" t="s">
        <v>14523</v>
      </c>
      <c r="N5461" s="2" t="str">
        <f>IFERROR(__xludf.DUMMYFUNCTION("""COMPUTED_VALUE"""),"")</f>
        <v/>
      </c>
    </row>
    <row r="5462">
      <c r="A5462" s="2" t="s">
        <v>33</v>
      </c>
      <c r="B5462" s="12">
        <v>5278306.0</v>
      </c>
      <c r="C5462" s="12">
        <v>5279085.0</v>
      </c>
      <c r="D5462" s="2"/>
      <c r="E5462" s="2" t="s">
        <v>34</v>
      </c>
      <c r="F5462" s="2" t="s">
        <v>14524</v>
      </c>
      <c r="G5462" s="2" t="s">
        <v>14525</v>
      </c>
      <c r="H5462" s="12">
        <v>0.0</v>
      </c>
      <c r="I5462" s="2" t="s">
        <v>40</v>
      </c>
      <c r="J5462" s="2"/>
      <c r="K5462" s="2" t="s">
        <v>14526</v>
      </c>
      <c r="L5462" s="12">
        <v>259.0</v>
      </c>
      <c r="M5462" s="2" t="s">
        <v>14527</v>
      </c>
      <c r="N5462" s="2" t="str">
        <f>IFERROR(__xludf.DUMMYFUNCTION("""COMPUTED_VALUE"""),"")</f>
        <v/>
      </c>
    </row>
    <row r="5463">
      <c r="A5463" s="2" t="s">
        <v>33</v>
      </c>
      <c r="B5463" s="12">
        <v>5279101.0</v>
      </c>
      <c r="C5463" s="12">
        <v>5280441.0</v>
      </c>
      <c r="D5463" s="2"/>
      <c r="E5463" s="2" t="s">
        <v>34</v>
      </c>
      <c r="F5463" s="2" t="s">
        <v>14528</v>
      </c>
      <c r="G5463" s="2" t="s">
        <v>14529</v>
      </c>
      <c r="H5463" s="12">
        <v>0.0</v>
      </c>
      <c r="I5463" s="2" t="s">
        <v>40</v>
      </c>
      <c r="J5463" s="2"/>
      <c r="K5463" s="2" t="s">
        <v>14530</v>
      </c>
      <c r="L5463" s="12">
        <v>446.0</v>
      </c>
      <c r="M5463" s="2" t="s">
        <v>14531</v>
      </c>
      <c r="N5463" s="2" t="str">
        <f>IFERROR(__xludf.DUMMYFUNCTION("""COMPUTED_VALUE"""),"")</f>
        <v/>
      </c>
    </row>
    <row r="5464">
      <c r="A5464" s="2" t="s">
        <v>33</v>
      </c>
      <c r="B5464" s="12">
        <v>5280468.0</v>
      </c>
      <c r="C5464" s="12">
        <v>5281064.0</v>
      </c>
      <c r="D5464" s="2"/>
      <c r="E5464" s="2" t="s">
        <v>34</v>
      </c>
      <c r="F5464" s="2" t="s">
        <v>8183</v>
      </c>
      <c r="G5464" s="2"/>
      <c r="H5464" s="12">
        <v>0.0</v>
      </c>
      <c r="I5464" s="2" t="s">
        <v>40</v>
      </c>
      <c r="J5464" s="2"/>
      <c r="K5464" s="2" t="s">
        <v>14532</v>
      </c>
      <c r="L5464" s="12">
        <v>198.0</v>
      </c>
      <c r="M5464" s="2" t="s">
        <v>14533</v>
      </c>
      <c r="N5464" s="2" t="str">
        <f>IFERROR(__xludf.DUMMYFUNCTION("""COMPUTED_VALUE"""),"")</f>
        <v/>
      </c>
    </row>
    <row r="5465">
      <c r="A5465" s="2" t="s">
        <v>33</v>
      </c>
      <c r="B5465" s="12">
        <v>5281171.0</v>
      </c>
      <c r="C5465" s="12">
        <v>5281527.0</v>
      </c>
      <c r="D5465" s="2"/>
      <c r="E5465" s="2" t="s">
        <v>34</v>
      </c>
      <c r="F5465" s="2" t="s">
        <v>39</v>
      </c>
      <c r="G5465" s="2"/>
      <c r="H5465" s="12">
        <v>0.0</v>
      </c>
      <c r="I5465" s="2" t="s">
        <v>40</v>
      </c>
      <c r="J5465" s="2"/>
      <c r="K5465" s="2" t="s">
        <v>14534</v>
      </c>
      <c r="L5465" s="12">
        <v>118.0</v>
      </c>
      <c r="M5465" s="2" t="s">
        <v>14535</v>
      </c>
      <c r="N5465" s="2" t="str">
        <f>IFERROR(__xludf.DUMMYFUNCTION("""COMPUTED_VALUE"""),"")</f>
        <v/>
      </c>
    </row>
    <row r="5466">
      <c r="A5466" s="2" t="s">
        <v>33</v>
      </c>
      <c r="B5466" s="12">
        <v>5281539.0</v>
      </c>
      <c r="C5466" s="12">
        <v>5282051.0</v>
      </c>
      <c r="D5466" s="2"/>
      <c r="E5466" s="2" t="s">
        <v>34</v>
      </c>
      <c r="F5466" s="2" t="s">
        <v>367</v>
      </c>
      <c r="G5466" s="2"/>
      <c r="H5466" s="12">
        <v>0.0</v>
      </c>
      <c r="I5466" s="2" t="s">
        <v>40</v>
      </c>
      <c r="J5466" s="2"/>
      <c r="K5466" s="2" t="s">
        <v>14536</v>
      </c>
      <c r="L5466" s="12">
        <v>170.0</v>
      </c>
      <c r="M5466" s="2" t="s">
        <v>14537</v>
      </c>
      <c r="N5466" s="2" t="str">
        <f>IFERROR(__xludf.DUMMYFUNCTION("""COMPUTED_VALUE"""),"")</f>
        <v/>
      </c>
    </row>
    <row r="5467">
      <c r="A5467" s="2" t="s">
        <v>33</v>
      </c>
      <c r="B5467" s="12">
        <v>5282156.0</v>
      </c>
      <c r="C5467" s="12">
        <v>5283211.0</v>
      </c>
      <c r="D5467" s="2"/>
      <c r="E5467" s="2" t="s">
        <v>34</v>
      </c>
      <c r="F5467" s="2" t="s">
        <v>5789</v>
      </c>
      <c r="G5467" s="2"/>
      <c r="H5467" s="12">
        <v>0.0</v>
      </c>
      <c r="I5467" s="2" t="s">
        <v>40</v>
      </c>
      <c r="J5467" s="2"/>
      <c r="K5467" s="2" t="s">
        <v>14538</v>
      </c>
      <c r="L5467" s="12">
        <v>351.0</v>
      </c>
      <c r="M5467" s="2" t="s">
        <v>14539</v>
      </c>
      <c r="N5467" s="2" t="str">
        <f>IFERROR(__xludf.DUMMYFUNCTION("""COMPUTED_VALUE"""),"")</f>
        <v/>
      </c>
    </row>
    <row r="5468">
      <c r="A5468" s="2" t="s">
        <v>33</v>
      </c>
      <c r="B5468" s="12">
        <v>5283241.0</v>
      </c>
      <c r="C5468" s="12">
        <v>5283777.0</v>
      </c>
      <c r="D5468" s="2"/>
      <c r="E5468" s="2" t="s">
        <v>34</v>
      </c>
      <c r="F5468" s="2" t="s">
        <v>14540</v>
      </c>
      <c r="G5468" s="2"/>
      <c r="H5468" s="12">
        <v>0.0</v>
      </c>
      <c r="I5468" s="2" t="s">
        <v>40</v>
      </c>
      <c r="J5468" s="2"/>
      <c r="K5468" s="2" t="s">
        <v>14541</v>
      </c>
      <c r="L5468" s="12">
        <v>178.0</v>
      </c>
      <c r="M5468" s="2" t="s">
        <v>14542</v>
      </c>
      <c r="N5468" s="2" t="str">
        <f>IFERROR(__xludf.DUMMYFUNCTION("""COMPUTED_VALUE"""),"")</f>
        <v/>
      </c>
    </row>
    <row r="5469">
      <c r="A5469" s="2" t="s">
        <v>33</v>
      </c>
      <c r="B5469" s="12">
        <v>5283822.0</v>
      </c>
      <c r="C5469" s="12">
        <v>5284226.0</v>
      </c>
      <c r="D5469" s="2"/>
      <c r="E5469" s="2" t="s">
        <v>38</v>
      </c>
      <c r="F5469" s="2" t="s">
        <v>39</v>
      </c>
      <c r="G5469" s="2"/>
      <c r="H5469" s="12">
        <v>0.0</v>
      </c>
      <c r="I5469" s="2" t="s">
        <v>40</v>
      </c>
      <c r="J5469" s="2"/>
      <c r="K5469" s="2" t="s">
        <v>14543</v>
      </c>
      <c r="L5469" s="12">
        <v>134.0</v>
      </c>
      <c r="M5469" s="2" t="s">
        <v>14544</v>
      </c>
      <c r="N5469" s="2" t="str">
        <f>IFERROR(__xludf.DUMMYFUNCTION("""COMPUTED_VALUE"""),"")</f>
        <v/>
      </c>
    </row>
    <row r="5470">
      <c r="A5470" s="2" t="s">
        <v>33</v>
      </c>
      <c r="B5470" s="12">
        <v>5284434.0</v>
      </c>
      <c r="C5470" s="12">
        <v>5285603.0</v>
      </c>
      <c r="D5470" s="2"/>
      <c r="E5470" s="2" t="s">
        <v>34</v>
      </c>
      <c r="F5470" s="2" t="s">
        <v>13629</v>
      </c>
      <c r="G5470" s="2"/>
      <c r="H5470" s="12">
        <v>0.0</v>
      </c>
      <c r="I5470" s="2" t="s">
        <v>40</v>
      </c>
      <c r="J5470" s="2"/>
      <c r="K5470" s="2" t="s">
        <v>14545</v>
      </c>
      <c r="L5470" s="12">
        <v>389.0</v>
      </c>
      <c r="M5470" s="2" t="s">
        <v>14546</v>
      </c>
      <c r="N5470" s="2" t="str">
        <f>IFERROR(__xludf.DUMMYFUNCTION("""COMPUTED_VALUE"""),"")</f>
        <v/>
      </c>
    </row>
    <row r="5471">
      <c r="A5471" s="2" t="s">
        <v>33</v>
      </c>
      <c r="B5471" s="12">
        <v>5285615.0</v>
      </c>
      <c r="C5471" s="12">
        <v>5285950.0</v>
      </c>
      <c r="D5471" s="2"/>
      <c r="E5471" s="2" t="s">
        <v>34</v>
      </c>
      <c r="F5471" s="2" t="s">
        <v>39</v>
      </c>
      <c r="G5471" s="2"/>
      <c r="H5471" s="12">
        <v>0.0</v>
      </c>
      <c r="I5471" s="2" t="s">
        <v>40</v>
      </c>
      <c r="J5471" s="2"/>
      <c r="K5471" s="2" t="s">
        <v>14547</v>
      </c>
      <c r="L5471" s="12">
        <v>111.0</v>
      </c>
      <c r="M5471" s="2" t="s">
        <v>14548</v>
      </c>
      <c r="N5471" s="2" t="str">
        <f>IFERROR(__xludf.DUMMYFUNCTION("""COMPUTED_VALUE"""),"")</f>
        <v/>
      </c>
    </row>
    <row r="5472">
      <c r="A5472" s="2" t="s">
        <v>33</v>
      </c>
      <c r="B5472" s="12">
        <v>5286062.0</v>
      </c>
      <c r="C5472" s="12">
        <v>5286916.0</v>
      </c>
      <c r="D5472" s="2"/>
      <c r="E5472" s="2" t="s">
        <v>38</v>
      </c>
      <c r="F5472" s="2" t="s">
        <v>326</v>
      </c>
      <c r="G5472" s="2"/>
      <c r="H5472" s="12">
        <v>0.0</v>
      </c>
      <c r="I5472" s="2" t="s">
        <v>40</v>
      </c>
      <c r="J5472" s="2"/>
      <c r="K5472" s="2" t="s">
        <v>14549</v>
      </c>
      <c r="L5472" s="12">
        <v>284.0</v>
      </c>
      <c r="M5472" s="2" t="s">
        <v>14550</v>
      </c>
      <c r="N5472" s="2" t="str">
        <f>IFERROR(__xludf.DUMMYFUNCTION("""COMPUTED_VALUE"""),"")</f>
        <v/>
      </c>
    </row>
    <row r="5473">
      <c r="A5473" s="2" t="s">
        <v>33</v>
      </c>
      <c r="B5473" s="12">
        <v>5287342.0</v>
      </c>
      <c r="C5473" s="12">
        <v>5288775.0</v>
      </c>
      <c r="D5473" s="2"/>
      <c r="E5473" s="2" t="s">
        <v>38</v>
      </c>
      <c r="F5473" s="2" t="s">
        <v>250</v>
      </c>
      <c r="G5473" s="2"/>
      <c r="H5473" s="12">
        <v>0.0</v>
      </c>
      <c r="I5473" s="2" t="s">
        <v>40</v>
      </c>
      <c r="J5473" s="2"/>
      <c r="K5473" s="2" t="s">
        <v>14551</v>
      </c>
      <c r="L5473" s="12">
        <v>477.0</v>
      </c>
      <c r="M5473" s="2" t="s">
        <v>14552</v>
      </c>
      <c r="N5473" s="2" t="str">
        <f>IFERROR(__xludf.DUMMYFUNCTION("""COMPUTED_VALUE"""),"")</f>
        <v/>
      </c>
    </row>
    <row r="5474">
      <c r="A5474" s="2" t="s">
        <v>33</v>
      </c>
      <c r="B5474" s="12">
        <v>5288924.0</v>
      </c>
      <c r="C5474" s="12">
        <v>5289841.0</v>
      </c>
      <c r="D5474" s="2"/>
      <c r="E5474" s="2" t="s">
        <v>34</v>
      </c>
      <c r="F5474" s="2" t="s">
        <v>738</v>
      </c>
      <c r="G5474" s="2"/>
      <c r="H5474" s="12">
        <v>0.0</v>
      </c>
      <c r="I5474" s="2" t="s">
        <v>40</v>
      </c>
      <c r="J5474" s="2"/>
      <c r="K5474" s="2" t="s">
        <v>14553</v>
      </c>
      <c r="L5474" s="12">
        <v>305.0</v>
      </c>
      <c r="M5474" s="2" t="s">
        <v>14554</v>
      </c>
      <c r="N5474" s="2" t="str">
        <f>IFERROR(__xludf.DUMMYFUNCTION("""COMPUTED_VALUE"""),"")</f>
        <v/>
      </c>
    </row>
    <row r="5475">
      <c r="A5475" s="2" t="s">
        <v>33</v>
      </c>
      <c r="B5475" s="12">
        <v>5289927.0</v>
      </c>
      <c r="C5475" s="12">
        <v>5291231.0</v>
      </c>
      <c r="D5475" s="2"/>
      <c r="E5475" s="2" t="s">
        <v>38</v>
      </c>
      <c r="F5475" s="2" t="s">
        <v>6720</v>
      </c>
      <c r="G5475" s="2" t="s">
        <v>6721</v>
      </c>
      <c r="H5475" s="12">
        <v>0.0</v>
      </c>
      <c r="I5475" s="2" t="s">
        <v>40</v>
      </c>
      <c r="J5475" s="2"/>
      <c r="K5475" s="2" t="s">
        <v>14555</v>
      </c>
      <c r="L5475" s="12">
        <v>434.0</v>
      </c>
      <c r="M5475" s="2" t="s">
        <v>14556</v>
      </c>
      <c r="N5475" s="2" t="str">
        <f>IFERROR(__xludf.DUMMYFUNCTION("""COMPUTED_VALUE"""),"")</f>
        <v/>
      </c>
    </row>
    <row r="5476">
      <c r="A5476" s="2" t="s">
        <v>33</v>
      </c>
      <c r="B5476" s="12">
        <v>5291586.0</v>
      </c>
      <c r="C5476" s="12">
        <v>5292053.0</v>
      </c>
      <c r="D5476" s="2"/>
      <c r="E5476" s="2" t="s">
        <v>38</v>
      </c>
      <c r="F5476" s="2" t="s">
        <v>541</v>
      </c>
      <c r="G5476" s="2"/>
      <c r="H5476" s="12">
        <v>0.0</v>
      </c>
      <c r="I5476" s="2" t="s">
        <v>40</v>
      </c>
      <c r="J5476" s="2"/>
      <c r="K5476" s="2" t="s">
        <v>14557</v>
      </c>
      <c r="L5476" s="12">
        <v>155.0</v>
      </c>
      <c r="M5476" s="2" t="s">
        <v>14558</v>
      </c>
      <c r="N5476" s="2" t="str">
        <f>IFERROR(__xludf.DUMMYFUNCTION("""COMPUTED_VALUE"""),"")</f>
        <v/>
      </c>
    </row>
    <row r="5477">
      <c r="A5477" s="2" t="s">
        <v>33</v>
      </c>
      <c r="B5477" s="12">
        <v>5292305.0</v>
      </c>
      <c r="C5477" s="12">
        <v>5292781.0</v>
      </c>
      <c r="D5477" s="2"/>
      <c r="E5477" s="2" t="s">
        <v>34</v>
      </c>
      <c r="F5477" s="2" t="s">
        <v>8722</v>
      </c>
      <c r="G5477" s="2"/>
      <c r="H5477" s="12">
        <v>0.0</v>
      </c>
      <c r="I5477" s="2" t="s">
        <v>40</v>
      </c>
      <c r="J5477" s="2"/>
      <c r="K5477" s="2" t="s">
        <v>14559</v>
      </c>
      <c r="L5477" s="12">
        <v>158.0</v>
      </c>
      <c r="M5477" s="2" t="s">
        <v>14560</v>
      </c>
      <c r="N5477" s="2" t="str">
        <f>IFERROR(__xludf.DUMMYFUNCTION("""COMPUTED_VALUE"""),"")</f>
        <v/>
      </c>
    </row>
    <row r="5478">
      <c r="A5478" s="2" t="s">
        <v>33</v>
      </c>
      <c r="B5478" s="12">
        <v>5292911.0</v>
      </c>
      <c r="C5478" s="12">
        <v>5293426.0</v>
      </c>
      <c r="D5478" s="2"/>
      <c r="E5478" s="2" t="s">
        <v>34</v>
      </c>
      <c r="F5478" s="2" t="s">
        <v>817</v>
      </c>
      <c r="G5478" s="2"/>
      <c r="H5478" s="12">
        <v>0.0</v>
      </c>
      <c r="I5478" s="2" t="s">
        <v>40</v>
      </c>
      <c r="J5478" s="2"/>
      <c r="K5478" s="2" t="s">
        <v>14561</v>
      </c>
      <c r="L5478" s="12">
        <v>171.0</v>
      </c>
      <c r="M5478" s="2" t="s">
        <v>14562</v>
      </c>
      <c r="N5478" s="2" t="str">
        <f>IFERROR(__xludf.DUMMYFUNCTION("""COMPUTED_VALUE"""),"")</f>
        <v/>
      </c>
    </row>
    <row r="5479">
      <c r="A5479" s="2" t="s">
        <v>33</v>
      </c>
      <c r="B5479" s="12">
        <v>5293966.0</v>
      </c>
      <c r="C5479" s="12">
        <v>5295918.0</v>
      </c>
      <c r="D5479" s="2"/>
      <c r="E5479" s="2" t="s">
        <v>34</v>
      </c>
      <c r="F5479" s="2" t="s">
        <v>8602</v>
      </c>
      <c r="G5479" s="2"/>
      <c r="H5479" s="12">
        <v>0.0</v>
      </c>
      <c r="I5479" s="2" t="s">
        <v>40</v>
      </c>
      <c r="J5479" s="2"/>
      <c r="K5479" s="2" t="s">
        <v>14563</v>
      </c>
      <c r="L5479" s="12">
        <v>650.0</v>
      </c>
      <c r="M5479" s="2" t="s">
        <v>14564</v>
      </c>
      <c r="N5479" s="2" t="str">
        <f>IFERROR(__xludf.DUMMYFUNCTION("""COMPUTED_VALUE"""),"")</f>
        <v/>
      </c>
    </row>
    <row r="5480">
      <c r="A5480" s="2" t="s">
        <v>33</v>
      </c>
      <c r="B5480" s="12">
        <v>5296259.0</v>
      </c>
      <c r="C5480" s="12">
        <v>5297962.0</v>
      </c>
      <c r="D5480" s="2"/>
      <c r="E5480" s="2" t="s">
        <v>34</v>
      </c>
      <c r="F5480" s="2" t="s">
        <v>362</v>
      </c>
      <c r="G5480" s="2"/>
      <c r="H5480" s="12">
        <v>0.0</v>
      </c>
      <c r="I5480" s="2" t="s">
        <v>40</v>
      </c>
      <c r="J5480" s="2"/>
      <c r="K5480" s="2" t="s">
        <v>14565</v>
      </c>
      <c r="L5480" s="12">
        <v>567.0</v>
      </c>
      <c r="M5480" s="2" t="s">
        <v>14566</v>
      </c>
      <c r="N5480" s="2" t="str">
        <f>IFERROR(__xludf.DUMMYFUNCTION("""COMPUTED_VALUE"""),"")</f>
        <v/>
      </c>
    </row>
    <row r="5481">
      <c r="A5481" s="2" t="s">
        <v>33</v>
      </c>
      <c r="B5481" s="12">
        <v>5298446.0</v>
      </c>
      <c r="C5481" s="12">
        <v>5301004.0</v>
      </c>
      <c r="D5481" s="2"/>
      <c r="E5481" s="2" t="s">
        <v>34</v>
      </c>
      <c r="F5481" s="2" t="s">
        <v>9284</v>
      </c>
      <c r="G5481" s="2" t="s">
        <v>9285</v>
      </c>
      <c r="H5481" s="12">
        <v>0.0</v>
      </c>
      <c r="I5481" s="2" t="s">
        <v>40</v>
      </c>
      <c r="J5481" s="2"/>
      <c r="K5481" s="2" t="s">
        <v>14567</v>
      </c>
      <c r="L5481" s="12">
        <v>852.0</v>
      </c>
      <c r="M5481" s="2" t="s">
        <v>14568</v>
      </c>
      <c r="N5481" s="2" t="str">
        <f>IFERROR(__xludf.DUMMYFUNCTION("""COMPUTED_VALUE"""),"")</f>
        <v/>
      </c>
    </row>
    <row r="5482">
      <c r="A5482" s="2" t="s">
        <v>33</v>
      </c>
      <c r="B5482" s="12">
        <v>5301322.0</v>
      </c>
      <c r="C5482" s="12">
        <v>5302323.0</v>
      </c>
      <c r="D5482" s="2"/>
      <c r="E5482" s="2" t="s">
        <v>38</v>
      </c>
      <c r="F5482" s="2" t="s">
        <v>1672</v>
      </c>
      <c r="G5482" s="2"/>
      <c r="H5482" s="12">
        <v>0.0</v>
      </c>
      <c r="I5482" s="2" t="s">
        <v>40</v>
      </c>
      <c r="J5482" s="2"/>
      <c r="K5482" s="2" t="s">
        <v>14569</v>
      </c>
      <c r="L5482" s="12">
        <v>333.0</v>
      </c>
      <c r="M5482" s="2" t="s">
        <v>14570</v>
      </c>
      <c r="N5482" s="2" t="str">
        <f>IFERROR(__xludf.DUMMYFUNCTION("""COMPUTED_VALUE"""),"")</f>
        <v/>
      </c>
    </row>
    <row r="5483">
      <c r="A5483" s="2" t="s">
        <v>33</v>
      </c>
      <c r="B5483" s="12">
        <v>5303020.0</v>
      </c>
      <c r="C5483" s="12">
        <v>5303202.0</v>
      </c>
      <c r="D5483" s="2"/>
      <c r="E5483" s="2" t="s">
        <v>38</v>
      </c>
      <c r="F5483" s="2" t="s">
        <v>39</v>
      </c>
      <c r="G5483" s="2"/>
      <c r="H5483" s="12">
        <v>0.0</v>
      </c>
      <c r="I5483" s="2" t="s">
        <v>40</v>
      </c>
      <c r="J5483" s="2"/>
      <c r="K5483" s="2" t="s">
        <v>14571</v>
      </c>
      <c r="L5483" s="12">
        <v>60.0</v>
      </c>
      <c r="M5483" s="2" t="s">
        <v>14572</v>
      </c>
      <c r="N5483" s="2" t="str">
        <f>IFERROR(__xludf.DUMMYFUNCTION("""COMPUTED_VALUE"""),"")</f>
        <v/>
      </c>
    </row>
    <row r="5484">
      <c r="A5484" s="2" t="s">
        <v>33</v>
      </c>
      <c r="B5484" s="12">
        <v>5303404.0</v>
      </c>
      <c r="C5484" s="12">
        <v>5303940.0</v>
      </c>
      <c r="D5484" s="2"/>
      <c r="E5484" s="2" t="s">
        <v>38</v>
      </c>
      <c r="F5484" s="2" t="s">
        <v>817</v>
      </c>
      <c r="G5484" s="2"/>
      <c r="H5484" s="12">
        <v>0.0</v>
      </c>
      <c r="I5484" s="2" t="s">
        <v>40</v>
      </c>
      <c r="J5484" s="2"/>
      <c r="K5484" s="2" t="s">
        <v>14573</v>
      </c>
      <c r="L5484" s="12">
        <v>178.0</v>
      </c>
      <c r="M5484" s="2" t="s">
        <v>14574</v>
      </c>
      <c r="N5484" s="2" t="str">
        <f>IFERROR(__xludf.DUMMYFUNCTION("""COMPUTED_VALUE"""),"")</f>
        <v/>
      </c>
    </row>
    <row r="5485">
      <c r="A5485" s="2" t="s">
        <v>33</v>
      </c>
      <c r="B5485" s="12">
        <v>5304205.0</v>
      </c>
      <c r="C5485" s="12">
        <v>5304897.0</v>
      </c>
      <c r="D5485" s="2"/>
      <c r="E5485" s="2" t="s">
        <v>34</v>
      </c>
      <c r="F5485" s="2" t="s">
        <v>13957</v>
      </c>
      <c r="G5485" s="2"/>
      <c r="H5485" s="12">
        <v>0.0</v>
      </c>
      <c r="I5485" s="2" t="s">
        <v>40</v>
      </c>
      <c r="J5485" s="2"/>
      <c r="K5485" s="2" t="s">
        <v>14575</v>
      </c>
      <c r="L5485" s="12">
        <v>230.0</v>
      </c>
      <c r="M5485" s="2" t="s">
        <v>14576</v>
      </c>
      <c r="N5485" s="2" t="str">
        <f>IFERROR(__xludf.DUMMYFUNCTION("""COMPUTED_VALUE"""),"")</f>
        <v/>
      </c>
    </row>
    <row r="5486">
      <c r="A5486" s="2" t="s">
        <v>33</v>
      </c>
      <c r="B5486" s="12">
        <v>5305396.0</v>
      </c>
      <c r="C5486" s="12">
        <v>5306843.0</v>
      </c>
      <c r="D5486" s="2"/>
      <c r="E5486" s="2" t="s">
        <v>34</v>
      </c>
      <c r="F5486" s="2" t="s">
        <v>35</v>
      </c>
      <c r="G5486" s="2"/>
      <c r="H5486" s="12">
        <v>0.0</v>
      </c>
      <c r="I5486" s="2" t="s">
        <v>36</v>
      </c>
      <c r="J5486" s="2"/>
      <c r="K5486" s="2"/>
      <c r="L5486" s="2"/>
      <c r="M5486" s="2" t="s">
        <v>14577</v>
      </c>
      <c r="N5486" s="2" t="str">
        <f>IFERROR(__xludf.DUMMYFUNCTION("""COMPUTED_VALUE"""),"")</f>
        <v/>
      </c>
    </row>
    <row r="5487">
      <c r="A5487" s="2" t="s">
        <v>33</v>
      </c>
      <c r="B5487" s="12">
        <v>5307076.0</v>
      </c>
      <c r="C5487" s="12">
        <v>5307444.0</v>
      </c>
      <c r="D5487" s="2"/>
      <c r="E5487" s="2" t="s">
        <v>34</v>
      </c>
      <c r="F5487" s="2" t="s">
        <v>14578</v>
      </c>
      <c r="G5487" s="2"/>
      <c r="H5487" s="12">
        <v>0.0</v>
      </c>
      <c r="I5487" s="2" t="s">
        <v>40</v>
      </c>
      <c r="J5487" s="2"/>
      <c r="K5487" s="2" t="s">
        <v>14579</v>
      </c>
      <c r="L5487" s="12">
        <v>122.0</v>
      </c>
      <c r="M5487" s="2" t="s">
        <v>14580</v>
      </c>
      <c r="N5487" s="2" t="str">
        <f>IFERROR(__xludf.DUMMYFUNCTION("""COMPUTED_VALUE"""),"")</f>
        <v/>
      </c>
    </row>
    <row r="5488">
      <c r="A5488" s="2" t="s">
        <v>33</v>
      </c>
      <c r="B5488" s="12">
        <v>5307553.0</v>
      </c>
      <c r="C5488" s="12">
        <v>5308056.0</v>
      </c>
      <c r="D5488" s="2"/>
      <c r="E5488" s="2" t="s">
        <v>34</v>
      </c>
      <c r="F5488" s="2" t="s">
        <v>14581</v>
      </c>
      <c r="G5488" s="2"/>
      <c r="H5488" s="12">
        <v>0.0</v>
      </c>
      <c r="I5488" s="2" t="s">
        <v>40</v>
      </c>
      <c r="J5488" s="2"/>
      <c r="K5488" s="2" t="s">
        <v>14582</v>
      </c>
      <c r="L5488" s="12">
        <v>167.0</v>
      </c>
      <c r="M5488" s="2" t="s">
        <v>14583</v>
      </c>
      <c r="N5488" s="2" t="str">
        <f>IFERROR(__xludf.DUMMYFUNCTION("""COMPUTED_VALUE"""),"")</f>
        <v/>
      </c>
    </row>
    <row r="5489">
      <c r="A5489" s="2" t="s">
        <v>33</v>
      </c>
      <c r="B5489" s="12">
        <v>5308234.0</v>
      </c>
      <c r="C5489" s="12">
        <v>5309001.0</v>
      </c>
      <c r="D5489" s="2"/>
      <c r="E5489" s="2" t="s">
        <v>34</v>
      </c>
      <c r="F5489" s="2" t="s">
        <v>1291</v>
      </c>
      <c r="G5489" s="2"/>
      <c r="H5489" s="12">
        <v>0.0</v>
      </c>
      <c r="I5489" s="2" t="s">
        <v>40</v>
      </c>
      <c r="J5489" s="2"/>
      <c r="K5489" s="2" t="s">
        <v>14584</v>
      </c>
      <c r="L5489" s="12">
        <v>255.0</v>
      </c>
      <c r="M5489" s="2" t="s">
        <v>14585</v>
      </c>
      <c r="N5489" s="2" t="str">
        <f>IFERROR(__xludf.DUMMYFUNCTION("""COMPUTED_VALUE"""),"")</f>
        <v/>
      </c>
    </row>
    <row r="5490">
      <c r="A5490" s="2" t="s">
        <v>33</v>
      </c>
      <c r="B5490" s="12">
        <v>5309022.0</v>
      </c>
      <c r="C5490" s="12">
        <v>5309204.0</v>
      </c>
      <c r="D5490" s="2"/>
      <c r="E5490" s="2" t="s">
        <v>38</v>
      </c>
      <c r="F5490" s="2" t="s">
        <v>39</v>
      </c>
      <c r="G5490" s="2"/>
      <c r="H5490" s="12">
        <v>0.0</v>
      </c>
      <c r="I5490" s="2" t="s">
        <v>40</v>
      </c>
      <c r="J5490" s="2"/>
      <c r="K5490" s="2" t="s">
        <v>14586</v>
      </c>
      <c r="L5490" s="12">
        <v>60.0</v>
      </c>
      <c r="M5490" s="2" t="s">
        <v>14587</v>
      </c>
      <c r="N5490" s="2" t="str">
        <f>IFERROR(__xludf.DUMMYFUNCTION("""COMPUTED_VALUE"""),"")</f>
        <v/>
      </c>
    </row>
    <row r="5491">
      <c r="A5491" s="2" t="s">
        <v>33</v>
      </c>
      <c r="B5491" s="12">
        <v>5309348.0</v>
      </c>
      <c r="C5491" s="12">
        <v>5310001.0</v>
      </c>
      <c r="D5491" s="2"/>
      <c r="E5491" s="2" t="s">
        <v>34</v>
      </c>
      <c r="F5491" s="2" t="s">
        <v>14588</v>
      </c>
      <c r="G5491" s="2"/>
      <c r="H5491" s="12">
        <v>0.0</v>
      </c>
      <c r="I5491" s="2" t="s">
        <v>40</v>
      </c>
      <c r="J5491" s="2"/>
      <c r="K5491" s="2" t="s">
        <v>14589</v>
      </c>
      <c r="L5491" s="12">
        <v>217.0</v>
      </c>
      <c r="M5491" s="2" t="s">
        <v>14590</v>
      </c>
      <c r="N5491" s="2" t="str">
        <f>IFERROR(__xludf.DUMMYFUNCTION("""COMPUTED_VALUE"""),"")</f>
        <v/>
      </c>
    </row>
    <row r="5492">
      <c r="A5492" s="2" t="s">
        <v>33</v>
      </c>
      <c r="B5492" s="12">
        <v>5310128.0</v>
      </c>
      <c r="C5492" s="12">
        <v>5311243.0</v>
      </c>
      <c r="D5492" s="2"/>
      <c r="E5492" s="2" t="s">
        <v>34</v>
      </c>
      <c r="F5492" s="2" t="s">
        <v>3647</v>
      </c>
      <c r="G5492" s="2"/>
      <c r="H5492" s="12">
        <v>0.0</v>
      </c>
      <c r="I5492" s="2" t="s">
        <v>40</v>
      </c>
      <c r="J5492" s="2"/>
      <c r="K5492" s="2" t="s">
        <v>14591</v>
      </c>
      <c r="L5492" s="12">
        <v>371.0</v>
      </c>
      <c r="M5492" s="2" t="s">
        <v>14592</v>
      </c>
      <c r="N5492" s="2" t="str">
        <f>IFERROR(__xludf.DUMMYFUNCTION("""COMPUTED_VALUE"""),"")</f>
        <v/>
      </c>
    </row>
    <row r="5493">
      <c r="A5493" s="2" t="s">
        <v>33</v>
      </c>
      <c r="B5493" s="12">
        <v>5311460.0</v>
      </c>
      <c r="C5493" s="12">
        <v>5311900.0</v>
      </c>
      <c r="D5493" s="2"/>
      <c r="E5493" s="2" t="s">
        <v>34</v>
      </c>
      <c r="F5493" s="2" t="s">
        <v>14593</v>
      </c>
      <c r="G5493" s="2"/>
      <c r="H5493" s="12">
        <v>0.0</v>
      </c>
      <c r="I5493" s="2" t="s">
        <v>40</v>
      </c>
      <c r="J5493" s="2"/>
      <c r="K5493" s="2" t="s">
        <v>14594</v>
      </c>
      <c r="L5493" s="12">
        <v>146.0</v>
      </c>
      <c r="M5493" s="2" t="s">
        <v>14595</v>
      </c>
      <c r="N5493" s="2" t="str">
        <f>IFERROR(__xludf.DUMMYFUNCTION("""COMPUTED_VALUE"""),"")</f>
        <v/>
      </c>
    </row>
    <row r="5494">
      <c r="A5494" s="2" t="s">
        <v>33</v>
      </c>
      <c r="B5494" s="12">
        <v>5312259.0</v>
      </c>
      <c r="C5494" s="12">
        <v>5312918.0</v>
      </c>
      <c r="D5494" s="2"/>
      <c r="E5494" s="2" t="s">
        <v>34</v>
      </c>
      <c r="F5494" s="2" t="s">
        <v>14596</v>
      </c>
      <c r="G5494" s="2"/>
      <c r="H5494" s="12">
        <v>0.0</v>
      </c>
      <c r="I5494" s="2" t="s">
        <v>40</v>
      </c>
      <c r="J5494" s="2"/>
      <c r="K5494" s="2" t="s">
        <v>14597</v>
      </c>
      <c r="L5494" s="12">
        <v>219.0</v>
      </c>
      <c r="M5494" s="2" t="s">
        <v>14598</v>
      </c>
      <c r="N5494" s="2" t="str">
        <f>IFERROR(__xludf.DUMMYFUNCTION("""COMPUTED_VALUE"""),"")</f>
        <v/>
      </c>
    </row>
    <row r="5495">
      <c r="A5495" s="2" t="s">
        <v>33</v>
      </c>
      <c r="B5495" s="12">
        <v>5313294.0</v>
      </c>
      <c r="C5495" s="12">
        <v>5314034.0</v>
      </c>
      <c r="D5495" s="2"/>
      <c r="E5495" s="2" t="s">
        <v>38</v>
      </c>
      <c r="F5495" s="2" t="s">
        <v>265</v>
      </c>
      <c r="G5495" s="2"/>
      <c r="H5495" s="12">
        <v>0.0</v>
      </c>
      <c r="I5495" s="2" t="s">
        <v>40</v>
      </c>
      <c r="J5495" s="2"/>
      <c r="K5495" s="2" t="s">
        <v>14599</v>
      </c>
      <c r="L5495" s="12">
        <v>246.0</v>
      </c>
      <c r="M5495" s="2" t="s">
        <v>14600</v>
      </c>
      <c r="N5495" s="2" t="str">
        <f>IFERROR(__xludf.DUMMYFUNCTION("""COMPUTED_VALUE"""),"")</f>
        <v/>
      </c>
    </row>
    <row r="5496">
      <c r="A5496" s="2" t="s">
        <v>33</v>
      </c>
      <c r="B5496" s="12">
        <v>5314036.0</v>
      </c>
      <c r="C5496" s="12">
        <v>5314995.0</v>
      </c>
      <c r="D5496" s="2"/>
      <c r="E5496" s="2" t="s">
        <v>38</v>
      </c>
      <c r="F5496" s="2" t="s">
        <v>432</v>
      </c>
      <c r="G5496" s="2"/>
      <c r="H5496" s="12">
        <v>0.0</v>
      </c>
      <c r="I5496" s="2" t="s">
        <v>40</v>
      </c>
      <c r="J5496" s="2"/>
      <c r="K5496" s="2" t="s">
        <v>14601</v>
      </c>
      <c r="L5496" s="12">
        <v>319.0</v>
      </c>
      <c r="M5496" s="2" t="s">
        <v>14602</v>
      </c>
      <c r="N5496" s="2" t="str">
        <f>IFERROR(__xludf.DUMMYFUNCTION("""COMPUTED_VALUE"""),"")</f>
        <v/>
      </c>
    </row>
    <row r="5497">
      <c r="A5497" s="2" t="s">
        <v>33</v>
      </c>
      <c r="B5497" s="12">
        <v>5315484.0</v>
      </c>
      <c r="C5497" s="12">
        <v>5315663.0</v>
      </c>
      <c r="D5497" s="2"/>
      <c r="E5497" s="2" t="s">
        <v>38</v>
      </c>
      <c r="F5497" s="2" t="s">
        <v>39</v>
      </c>
      <c r="G5497" s="2"/>
      <c r="H5497" s="12">
        <v>0.0</v>
      </c>
      <c r="I5497" s="2" t="s">
        <v>40</v>
      </c>
      <c r="J5497" s="2"/>
      <c r="K5497" s="2" t="s">
        <v>14603</v>
      </c>
      <c r="L5497" s="12">
        <v>59.0</v>
      </c>
      <c r="M5497" s="2" t="s">
        <v>14604</v>
      </c>
      <c r="N5497" s="2" t="str">
        <f>IFERROR(__xludf.DUMMYFUNCTION("""COMPUTED_VALUE"""),"")</f>
        <v/>
      </c>
    </row>
    <row r="5498">
      <c r="A5498" s="2" t="s">
        <v>33</v>
      </c>
      <c r="B5498" s="12">
        <v>5315755.0</v>
      </c>
      <c r="C5498" s="12">
        <v>5316012.0</v>
      </c>
      <c r="D5498" s="2"/>
      <c r="E5498" s="2" t="s">
        <v>38</v>
      </c>
      <c r="F5498" s="2" t="s">
        <v>39</v>
      </c>
      <c r="G5498" s="2"/>
      <c r="H5498" s="12">
        <v>0.0</v>
      </c>
      <c r="I5498" s="2" t="s">
        <v>40</v>
      </c>
      <c r="J5498" s="2"/>
      <c r="K5498" s="2" t="s">
        <v>14605</v>
      </c>
      <c r="L5498" s="12">
        <v>85.0</v>
      </c>
      <c r="M5498" s="2" t="s">
        <v>14606</v>
      </c>
      <c r="N5498" s="2" t="str">
        <f>IFERROR(__xludf.DUMMYFUNCTION("""COMPUTED_VALUE"""),"")</f>
        <v/>
      </c>
    </row>
    <row r="5499">
      <c r="A5499" s="2" t="s">
        <v>33</v>
      </c>
      <c r="B5499" s="12">
        <v>5316148.0</v>
      </c>
      <c r="C5499" s="12">
        <v>5317578.0</v>
      </c>
      <c r="D5499" s="2"/>
      <c r="E5499" s="2" t="s">
        <v>34</v>
      </c>
      <c r="F5499" s="2" t="s">
        <v>14607</v>
      </c>
      <c r="G5499" s="2"/>
      <c r="H5499" s="12">
        <v>0.0</v>
      </c>
      <c r="I5499" s="2" t="s">
        <v>40</v>
      </c>
      <c r="J5499" s="2"/>
      <c r="K5499" s="2" t="s">
        <v>14608</v>
      </c>
      <c r="L5499" s="12">
        <v>476.0</v>
      </c>
      <c r="M5499" s="2" t="s">
        <v>14609</v>
      </c>
      <c r="N5499" s="2" t="str">
        <f>IFERROR(__xludf.DUMMYFUNCTION("""COMPUTED_VALUE"""),"")</f>
        <v/>
      </c>
    </row>
    <row r="5500">
      <c r="A5500" s="2" t="s">
        <v>33</v>
      </c>
      <c r="B5500" s="12">
        <v>5317761.0</v>
      </c>
      <c r="C5500" s="12">
        <v>5318333.0</v>
      </c>
      <c r="D5500" s="2"/>
      <c r="E5500" s="2" t="s">
        <v>34</v>
      </c>
      <c r="F5500" s="2" t="s">
        <v>39</v>
      </c>
      <c r="G5500" s="2"/>
      <c r="H5500" s="12">
        <v>0.0</v>
      </c>
      <c r="I5500" s="2" t="s">
        <v>40</v>
      </c>
      <c r="J5500" s="2"/>
      <c r="K5500" s="2" t="s">
        <v>14610</v>
      </c>
      <c r="L5500" s="12">
        <v>190.0</v>
      </c>
      <c r="M5500" s="2" t="s">
        <v>14611</v>
      </c>
      <c r="N5500" s="2" t="str">
        <f>IFERROR(__xludf.DUMMYFUNCTION("""COMPUTED_VALUE"""),"")</f>
        <v/>
      </c>
    </row>
    <row r="5501">
      <c r="A5501" s="2" t="s">
        <v>33</v>
      </c>
      <c r="B5501" s="12">
        <v>5318366.0</v>
      </c>
      <c r="C5501" s="12">
        <v>5318929.0</v>
      </c>
      <c r="D5501" s="2"/>
      <c r="E5501" s="2" t="s">
        <v>34</v>
      </c>
      <c r="F5501" s="2" t="s">
        <v>367</v>
      </c>
      <c r="G5501" s="2"/>
      <c r="H5501" s="12">
        <v>0.0</v>
      </c>
      <c r="I5501" s="2" t="s">
        <v>40</v>
      </c>
      <c r="J5501" s="2"/>
      <c r="K5501" s="2" t="s">
        <v>14612</v>
      </c>
      <c r="L5501" s="12">
        <v>187.0</v>
      </c>
      <c r="M5501" s="2" t="s">
        <v>14613</v>
      </c>
      <c r="N5501" s="2" t="str">
        <f>IFERROR(__xludf.DUMMYFUNCTION("""COMPUTED_VALUE"""),"")</f>
        <v/>
      </c>
    </row>
    <row r="5502">
      <c r="A5502" s="2" t="s">
        <v>33</v>
      </c>
      <c r="B5502" s="12">
        <v>5319007.0</v>
      </c>
      <c r="C5502" s="12">
        <v>5319387.0</v>
      </c>
      <c r="D5502" s="2"/>
      <c r="E5502" s="2" t="s">
        <v>34</v>
      </c>
      <c r="F5502" s="2" t="s">
        <v>14614</v>
      </c>
      <c r="G5502" s="2"/>
      <c r="H5502" s="12">
        <v>0.0</v>
      </c>
      <c r="I5502" s="2" t="s">
        <v>40</v>
      </c>
      <c r="J5502" s="2"/>
      <c r="K5502" s="2" t="s">
        <v>14615</v>
      </c>
      <c r="L5502" s="12">
        <v>126.0</v>
      </c>
      <c r="M5502" s="2" t="s">
        <v>14616</v>
      </c>
      <c r="N5502" s="2" t="str">
        <f>IFERROR(__xludf.DUMMYFUNCTION("""COMPUTED_VALUE"""),"")</f>
        <v/>
      </c>
    </row>
    <row r="5503">
      <c r="A5503" s="2" t="s">
        <v>33</v>
      </c>
      <c r="B5503" s="12">
        <v>5319445.0</v>
      </c>
      <c r="C5503" s="12">
        <v>5319651.0</v>
      </c>
      <c r="D5503" s="2"/>
      <c r="E5503" s="2" t="s">
        <v>38</v>
      </c>
      <c r="F5503" s="2" t="s">
        <v>39</v>
      </c>
      <c r="G5503" s="2"/>
      <c r="H5503" s="12">
        <v>0.0</v>
      </c>
      <c r="I5503" s="2" t="s">
        <v>40</v>
      </c>
      <c r="J5503" s="2"/>
      <c r="K5503" s="2" t="s">
        <v>14617</v>
      </c>
      <c r="L5503" s="12">
        <v>68.0</v>
      </c>
      <c r="M5503" s="2" t="s">
        <v>14618</v>
      </c>
      <c r="N5503" s="2" t="str">
        <f>IFERROR(__xludf.DUMMYFUNCTION("""COMPUTED_VALUE"""),"")</f>
        <v/>
      </c>
    </row>
    <row r="5504">
      <c r="A5504" s="2" t="s">
        <v>33</v>
      </c>
      <c r="B5504" s="12">
        <v>5319784.0</v>
      </c>
      <c r="C5504" s="12">
        <v>5320563.0</v>
      </c>
      <c r="D5504" s="2"/>
      <c r="E5504" s="2" t="s">
        <v>34</v>
      </c>
      <c r="F5504" s="2" t="s">
        <v>5377</v>
      </c>
      <c r="G5504" s="2"/>
      <c r="H5504" s="12">
        <v>0.0</v>
      </c>
      <c r="I5504" s="2" t="s">
        <v>40</v>
      </c>
      <c r="J5504" s="2"/>
      <c r="K5504" s="2" t="s">
        <v>14619</v>
      </c>
      <c r="L5504" s="12">
        <v>259.0</v>
      </c>
      <c r="M5504" s="2" t="s">
        <v>14620</v>
      </c>
      <c r="N5504" s="2" t="str">
        <f>IFERROR(__xludf.DUMMYFUNCTION("""COMPUTED_VALUE"""),"")</f>
        <v/>
      </c>
    </row>
    <row r="5505">
      <c r="A5505" s="2" t="s">
        <v>33</v>
      </c>
      <c r="B5505" s="12">
        <v>5320642.0</v>
      </c>
      <c r="C5505" s="12">
        <v>5321961.0</v>
      </c>
      <c r="D5505" s="2"/>
      <c r="E5505" s="2" t="s">
        <v>34</v>
      </c>
      <c r="F5505" s="2" t="s">
        <v>12798</v>
      </c>
      <c r="G5505" s="2"/>
      <c r="H5505" s="12">
        <v>0.0</v>
      </c>
      <c r="I5505" s="2" t="s">
        <v>40</v>
      </c>
      <c r="J5505" s="2"/>
      <c r="K5505" s="2" t="s">
        <v>14621</v>
      </c>
      <c r="L5505" s="12">
        <v>439.0</v>
      </c>
      <c r="M5505" s="2" t="s">
        <v>14622</v>
      </c>
      <c r="N5505" s="2" t="str">
        <f>IFERROR(__xludf.DUMMYFUNCTION("""COMPUTED_VALUE"""),"")</f>
        <v/>
      </c>
    </row>
    <row r="5506">
      <c r="A5506" s="2" t="s">
        <v>33</v>
      </c>
      <c r="B5506" s="12">
        <v>5322028.0</v>
      </c>
      <c r="C5506" s="12">
        <v>5322555.0</v>
      </c>
      <c r="D5506" s="2"/>
      <c r="E5506" s="2" t="s">
        <v>34</v>
      </c>
      <c r="F5506" s="2" t="s">
        <v>367</v>
      </c>
      <c r="G5506" s="2"/>
      <c r="H5506" s="12">
        <v>0.0</v>
      </c>
      <c r="I5506" s="2" t="s">
        <v>40</v>
      </c>
      <c r="J5506" s="2"/>
      <c r="K5506" s="2" t="s">
        <v>14623</v>
      </c>
      <c r="L5506" s="12">
        <v>175.0</v>
      </c>
      <c r="M5506" s="2" t="s">
        <v>14624</v>
      </c>
      <c r="N5506" s="2" t="str">
        <f>IFERROR(__xludf.DUMMYFUNCTION("""COMPUTED_VALUE"""),"")</f>
        <v/>
      </c>
    </row>
    <row r="5507">
      <c r="A5507" s="2" t="s">
        <v>33</v>
      </c>
      <c r="B5507" s="12">
        <v>5322572.0</v>
      </c>
      <c r="C5507" s="12">
        <v>5323093.0</v>
      </c>
      <c r="D5507" s="2"/>
      <c r="E5507" s="2" t="s">
        <v>34</v>
      </c>
      <c r="F5507" s="2" t="s">
        <v>14625</v>
      </c>
      <c r="G5507" s="2"/>
      <c r="H5507" s="12">
        <v>0.0</v>
      </c>
      <c r="I5507" s="2" t="s">
        <v>40</v>
      </c>
      <c r="J5507" s="2"/>
      <c r="K5507" s="2" t="s">
        <v>14626</v>
      </c>
      <c r="L5507" s="12">
        <v>173.0</v>
      </c>
      <c r="M5507" s="2" t="s">
        <v>14627</v>
      </c>
      <c r="N5507" s="2" t="str">
        <f>IFERROR(__xludf.DUMMYFUNCTION("""COMPUTED_VALUE"""),"")</f>
        <v/>
      </c>
    </row>
    <row r="5508">
      <c r="A5508" s="2" t="s">
        <v>33</v>
      </c>
      <c r="B5508" s="12">
        <v>5323095.0</v>
      </c>
      <c r="C5508" s="12">
        <v>5323563.0</v>
      </c>
      <c r="D5508" s="2"/>
      <c r="E5508" s="2" t="s">
        <v>34</v>
      </c>
      <c r="F5508" s="2" t="s">
        <v>35</v>
      </c>
      <c r="G5508" s="2"/>
      <c r="H5508" s="12">
        <v>0.0</v>
      </c>
      <c r="I5508" s="2" t="s">
        <v>36</v>
      </c>
      <c r="J5508" s="2"/>
      <c r="K5508" s="2"/>
      <c r="L5508" s="2"/>
      <c r="M5508" s="2" t="s">
        <v>14628</v>
      </c>
      <c r="N5508" s="2" t="str">
        <f>IFERROR(__xludf.DUMMYFUNCTION("""COMPUTED_VALUE"""),"")</f>
        <v/>
      </c>
    </row>
    <row r="5509">
      <c r="A5509" s="2" t="s">
        <v>33</v>
      </c>
      <c r="B5509" s="12">
        <v>5323684.0</v>
      </c>
      <c r="C5509" s="12">
        <v>5324061.0</v>
      </c>
      <c r="D5509" s="2"/>
      <c r="E5509" s="2" t="s">
        <v>38</v>
      </c>
      <c r="F5509" s="2" t="s">
        <v>2480</v>
      </c>
      <c r="G5509" s="2"/>
      <c r="H5509" s="12">
        <v>0.0</v>
      </c>
      <c r="I5509" s="2" t="s">
        <v>40</v>
      </c>
      <c r="J5509" s="2"/>
      <c r="K5509" s="2" t="s">
        <v>14629</v>
      </c>
      <c r="L5509" s="12">
        <v>125.0</v>
      </c>
      <c r="M5509" s="2" t="s">
        <v>14630</v>
      </c>
      <c r="N5509" s="2" t="str">
        <f>IFERROR(__xludf.DUMMYFUNCTION("""COMPUTED_VALUE"""),"")</f>
        <v/>
      </c>
    </row>
    <row r="5510">
      <c r="A5510" s="2" t="s">
        <v>33</v>
      </c>
      <c r="B5510" s="12">
        <v>5324241.0</v>
      </c>
      <c r="C5510" s="12">
        <v>5325092.0</v>
      </c>
      <c r="D5510" s="2"/>
      <c r="E5510" s="2" t="s">
        <v>34</v>
      </c>
      <c r="F5510" s="2" t="s">
        <v>5145</v>
      </c>
      <c r="G5510" s="2"/>
      <c r="H5510" s="12">
        <v>0.0</v>
      </c>
      <c r="I5510" s="2" t="s">
        <v>40</v>
      </c>
      <c r="J5510" s="2"/>
      <c r="K5510" s="2" t="s">
        <v>14631</v>
      </c>
      <c r="L5510" s="12">
        <v>283.0</v>
      </c>
      <c r="M5510" s="2" t="s">
        <v>14632</v>
      </c>
      <c r="N5510" s="2" t="str">
        <f>IFERROR(__xludf.DUMMYFUNCTION("""COMPUTED_VALUE"""),"")</f>
        <v/>
      </c>
    </row>
    <row r="5511">
      <c r="A5511" s="2" t="s">
        <v>33</v>
      </c>
      <c r="B5511" s="12">
        <v>5325105.0</v>
      </c>
      <c r="C5511" s="12">
        <v>5325476.0</v>
      </c>
      <c r="D5511" s="2"/>
      <c r="E5511" s="2" t="s">
        <v>34</v>
      </c>
      <c r="F5511" s="2" t="s">
        <v>14633</v>
      </c>
      <c r="G5511" s="2"/>
      <c r="H5511" s="12">
        <v>0.0</v>
      </c>
      <c r="I5511" s="2" t="s">
        <v>40</v>
      </c>
      <c r="J5511" s="2"/>
      <c r="K5511" s="2" t="s">
        <v>14634</v>
      </c>
      <c r="L5511" s="12">
        <v>123.0</v>
      </c>
      <c r="M5511" s="2" t="s">
        <v>14635</v>
      </c>
      <c r="N5511" s="2" t="str">
        <f>IFERROR(__xludf.DUMMYFUNCTION("""COMPUTED_VALUE"""),"")</f>
        <v/>
      </c>
    </row>
    <row r="5512">
      <c r="A5512" s="2" t="s">
        <v>33</v>
      </c>
      <c r="B5512" s="12">
        <v>5325758.0</v>
      </c>
      <c r="C5512" s="12">
        <v>5326123.0</v>
      </c>
      <c r="D5512" s="2"/>
      <c r="E5512" s="2" t="s">
        <v>34</v>
      </c>
      <c r="F5512" s="2" t="s">
        <v>39</v>
      </c>
      <c r="G5512" s="2"/>
      <c r="H5512" s="12">
        <v>0.0</v>
      </c>
      <c r="I5512" s="2" t="s">
        <v>40</v>
      </c>
      <c r="J5512" s="2"/>
      <c r="K5512" s="2" t="s">
        <v>14636</v>
      </c>
      <c r="L5512" s="12">
        <v>121.0</v>
      </c>
      <c r="M5512" s="2" t="s">
        <v>14637</v>
      </c>
      <c r="N5512" s="2" t="str">
        <f>IFERROR(__xludf.DUMMYFUNCTION("""COMPUTED_VALUE"""),"")</f>
        <v/>
      </c>
    </row>
    <row r="5513">
      <c r="A5513" s="2" t="s">
        <v>33</v>
      </c>
      <c r="B5513" s="12">
        <v>5326212.0</v>
      </c>
      <c r="C5513" s="12">
        <v>5327832.0</v>
      </c>
      <c r="D5513" s="2"/>
      <c r="E5513" s="2" t="s">
        <v>34</v>
      </c>
      <c r="F5513" s="2" t="s">
        <v>35</v>
      </c>
      <c r="G5513" s="2"/>
      <c r="H5513" s="12">
        <v>0.0</v>
      </c>
      <c r="I5513" s="2" t="s">
        <v>36</v>
      </c>
      <c r="J5513" s="2"/>
      <c r="K5513" s="2"/>
      <c r="L5513" s="2"/>
      <c r="M5513" s="2" t="s">
        <v>14638</v>
      </c>
      <c r="N5513" s="2" t="str">
        <f>IFERROR(__xludf.DUMMYFUNCTION("""COMPUTED_VALUE"""),"")</f>
        <v/>
      </c>
    </row>
    <row r="5514">
      <c r="A5514" s="2" t="s">
        <v>33</v>
      </c>
      <c r="B5514" s="12">
        <v>5327911.0</v>
      </c>
      <c r="C5514" s="12">
        <v>5328726.0</v>
      </c>
      <c r="D5514" s="2"/>
      <c r="E5514" s="2" t="s">
        <v>34</v>
      </c>
      <c r="F5514" s="2" t="s">
        <v>1734</v>
      </c>
      <c r="G5514" s="2"/>
      <c r="H5514" s="12">
        <v>0.0</v>
      </c>
      <c r="I5514" s="2" t="s">
        <v>40</v>
      </c>
      <c r="J5514" s="2"/>
      <c r="K5514" s="2" t="s">
        <v>14639</v>
      </c>
      <c r="L5514" s="12">
        <v>271.0</v>
      </c>
      <c r="M5514" s="2" t="s">
        <v>14640</v>
      </c>
      <c r="N5514" s="2" t="str">
        <f>IFERROR(__xludf.DUMMYFUNCTION("""COMPUTED_VALUE"""),"")</f>
        <v/>
      </c>
    </row>
    <row r="5515">
      <c r="A5515" s="2" t="s">
        <v>33</v>
      </c>
      <c r="B5515" s="12">
        <v>5329452.0</v>
      </c>
      <c r="C5515" s="12">
        <v>5329847.0</v>
      </c>
      <c r="D5515" s="2"/>
      <c r="E5515" s="2" t="s">
        <v>38</v>
      </c>
      <c r="F5515" s="2" t="s">
        <v>7045</v>
      </c>
      <c r="G5515" s="2"/>
      <c r="H5515" s="12">
        <v>0.0</v>
      </c>
      <c r="I5515" s="2" t="s">
        <v>40</v>
      </c>
      <c r="J5515" s="2"/>
      <c r="K5515" s="2" t="s">
        <v>14641</v>
      </c>
      <c r="L5515" s="12">
        <v>131.0</v>
      </c>
      <c r="M5515" s="2" t="s">
        <v>14642</v>
      </c>
      <c r="N5515" s="2" t="str">
        <f>IFERROR(__xludf.DUMMYFUNCTION("""COMPUTED_VALUE"""),"")</f>
        <v/>
      </c>
    </row>
    <row r="5516">
      <c r="A5516" s="2" t="s">
        <v>33</v>
      </c>
      <c r="B5516" s="12">
        <v>5330000.0</v>
      </c>
      <c r="C5516" s="12">
        <v>5330995.0</v>
      </c>
      <c r="D5516" s="2"/>
      <c r="E5516" s="2" t="s">
        <v>38</v>
      </c>
      <c r="F5516" s="2" t="s">
        <v>14643</v>
      </c>
      <c r="G5516" s="2"/>
      <c r="H5516" s="12">
        <v>0.0</v>
      </c>
      <c r="I5516" s="2" t="s">
        <v>40</v>
      </c>
      <c r="J5516" s="2"/>
      <c r="K5516" s="2" t="s">
        <v>14644</v>
      </c>
      <c r="L5516" s="12">
        <v>331.0</v>
      </c>
      <c r="M5516" s="2" t="s">
        <v>14645</v>
      </c>
      <c r="N5516" s="2" t="str">
        <f>IFERROR(__xludf.DUMMYFUNCTION("""COMPUTED_VALUE"""),"")</f>
        <v/>
      </c>
    </row>
    <row r="5517">
      <c r="A5517" s="2" t="s">
        <v>33</v>
      </c>
      <c r="B5517" s="12">
        <v>5331292.0</v>
      </c>
      <c r="C5517" s="12">
        <v>5332254.0</v>
      </c>
      <c r="D5517" s="2"/>
      <c r="E5517" s="2" t="s">
        <v>34</v>
      </c>
      <c r="F5517" s="2" t="s">
        <v>599</v>
      </c>
      <c r="G5517" s="2"/>
      <c r="H5517" s="12">
        <v>0.0</v>
      </c>
      <c r="I5517" s="2" t="s">
        <v>40</v>
      </c>
      <c r="J5517" s="2"/>
      <c r="K5517" s="2" t="s">
        <v>14646</v>
      </c>
      <c r="L5517" s="12">
        <v>320.0</v>
      </c>
      <c r="M5517" s="2" t="s">
        <v>14647</v>
      </c>
      <c r="N5517" s="2" t="str">
        <f>IFERROR(__xludf.DUMMYFUNCTION("""COMPUTED_VALUE"""),"")</f>
        <v/>
      </c>
    </row>
    <row r="5518">
      <c r="A5518" s="2" t="s">
        <v>33</v>
      </c>
      <c r="B5518" s="12">
        <v>5332318.0</v>
      </c>
      <c r="C5518" s="12">
        <v>5333241.0</v>
      </c>
      <c r="D5518" s="2"/>
      <c r="E5518" s="2" t="s">
        <v>38</v>
      </c>
      <c r="F5518" s="2" t="s">
        <v>39</v>
      </c>
      <c r="G5518" s="2"/>
      <c r="H5518" s="12">
        <v>0.0</v>
      </c>
      <c r="I5518" s="2" t="s">
        <v>40</v>
      </c>
      <c r="J5518" s="2"/>
      <c r="K5518" s="2" t="s">
        <v>14648</v>
      </c>
      <c r="L5518" s="12">
        <v>307.0</v>
      </c>
      <c r="M5518" s="2" t="s">
        <v>14649</v>
      </c>
      <c r="N5518" s="2" t="str">
        <f>IFERROR(__xludf.DUMMYFUNCTION("""COMPUTED_VALUE"""),"")</f>
        <v/>
      </c>
    </row>
    <row r="5519">
      <c r="A5519" s="2" t="s">
        <v>33</v>
      </c>
      <c r="B5519" s="12">
        <v>5333465.0</v>
      </c>
      <c r="C5519" s="12">
        <v>5334595.0</v>
      </c>
      <c r="D5519" s="2"/>
      <c r="E5519" s="2" t="s">
        <v>38</v>
      </c>
      <c r="F5519" s="2" t="s">
        <v>7201</v>
      </c>
      <c r="G5519" s="2" t="s">
        <v>7202</v>
      </c>
      <c r="H5519" s="12">
        <v>0.0</v>
      </c>
      <c r="I5519" s="2" t="s">
        <v>40</v>
      </c>
      <c r="J5519" s="2"/>
      <c r="K5519" s="2" t="s">
        <v>14650</v>
      </c>
      <c r="L5519" s="12">
        <v>376.0</v>
      </c>
      <c r="M5519" s="2" t="s">
        <v>14651</v>
      </c>
      <c r="N5519" s="2" t="str">
        <f>IFERROR(__xludf.DUMMYFUNCTION("""COMPUTED_VALUE"""),"")</f>
        <v/>
      </c>
    </row>
    <row r="5520">
      <c r="A5520" s="2" t="s">
        <v>33</v>
      </c>
      <c r="B5520" s="12">
        <v>5334626.0</v>
      </c>
      <c r="C5520" s="12">
        <v>5335069.0</v>
      </c>
      <c r="D5520" s="2"/>
      <c r="E5520" s="2" t="s">
        <v>38</v>
      </c>
      <c r="F5520" s="2" t="s">
        <v>1611</v>
      </c>
      <c r="G5520" s="2"/>
      <c r="H5520" s="12">
        <v>0.0</v>
      </c>
      <c r="I5520" s="2" t="s">
        <v>40</v>
      </c>
      <c r="J5520" s="2"/>
      <c r="K5520" s="2" t="s">
        <v>14652</v>
      </c>
      <c r="L5520" s="12">
        <v>147.0</v>
      </c>
      <c r="M5520" s="2" t="s">
        <v>14653</v>
      </c>
      <c r="N5520" s="2" t="str">
        <f>IFERROR(__xludf.DUMMYFUNCTION("""COMPUTED_VALUE"""),"")</f>
        <v/>
      </c>
    </row>
    <row r="5521">
      <c r="A5521" s="2" t="s">
        <v>33</v>
      </c>
      <c r="B5521" s="12">
        <v>5335349.0</v>
      </c>
      <c r="C5521" s="12">
        <v>5335774.0</v>
      </c>
      <c r="D5521" s="2"/>
      <c r="E5521" s="2" t="s">
        <v>38</v>
      </c>
      <c r="F5521" s="2" t="s">
        <v>367</v>
      </c>
      <c r="G5521" s="2"/>
      <c r="H5521" s="12">
        <v>0.0</v>
      </c>
      <c r="I5521" s="2" t="s">
        <v>40</v>
      </c>
      <c r="J5521" s="2"/>
      <c r="K5521" s="2" t="s">
        <v>14654</v>
      </c>
      <c r="L5521" s="12">
        <v>141.0</v>
      </c>
      <c r="M5521" s="2" t="s">
        <v>14655</v>
      </c>
      <c r="N5521" s="2" t="str">
        <f>IFERROR(__xludf.DUMMYFUNCTION("""COMPUTED_VALUE"""),"")</f>
        <v/>
      </c>
    </row>
    <row r="5522">
      <c r="A5522" s="2" t="s">
        <v>33</v>
      </c>
      <c r="B5522" s="12">
        <v>5336025.0</v>
      </c>
      <c r="C5522" s="12">
        <v>5336651.0</v>
      </c>
      <c r="D5522" s="2"/>
      <c r="E5522" s="2" t="s">
        <v>38</v>
      </c>
      <c r="F5522" s="2" t="s">
        <v>14656</v>
      </c>
      <c r="G5522" s="2"/>
      <c r="H5522" s="12">
        <v>0.0</v>
      </c>
      <c r="I5522" s="2" t="s">
        <v>40</v>
      </c>
      <c r="J5522" s="2"/>
      <c r="K5522" s="2" t="s">
        <v>14657</v>
      </c>
      <c r="L5522" s="12">
        <v>208.0</v>
      </c>
      <c r="M5522" s="2" t="s">
        <v>14658</v>
      </c>
      <c r="N5522" s="2" t="str">
        <f>IFERROR(__xludf.DUMMYFUNCTION("""COMPUTED_VALUE"""),"")</f>
        <v/>
      </c>
    </row>
    <row r="5523">
      <c r="A5523" s="2" t="s">
        <v>33</v>
      </c>
      <c r="B5523" s="12">
        <v>5336902.0</v>
      </c>
      <c r="C5523" s="12">
        <v>5338110.0</v>
      </c>
      <c r="D5523" s="2"/>
      <c r="E5523" s="2" t="s">
        <v>38</v>
      </c>
      <c r="F5523" s="2" t="s">
        <v>855</v>
      </c>
      <c r="G5523" s="2"/>
      <c r="H5523" s="12">
        <v>0.0</v>
      </c>
      <c r="I5523" s="2" t="s">
        <v>40</v>
      </c>
      <c r="J5523" s="2"/>
      <c r="K5523" s="2" t="s">
        <v>14659</v>
      </c>
      <c r="L5523" s="12">
        <v>402.0</v>
      </c>
      <c r="M5523" s="2" t="s">
        <v>14660</v>
      </c>
      <c r="N5523" s="2" t="str">
        <f>IFERROR(__xludf.DUMMYFUNCTION("""COMPUTED_VALUE"""),"")</f>
        <v/>
      </c>
    </row>
    <row r="5524">
      <c r="A5524" s="2" t="s">
        <v>33</v>
      </c>
      <c r="B5524" s="12">
        <v>5338390.0</v>
      </c>
      <c r="C5524" s="12">
        <v>5338533.0</v>
      </c>
      <c r="D5524" s="2"/>
      <c r="E5524" s="2" t="s">
        <v>38</v>
      </c>
      <c r="F5524" s="2" t="s">
        <v>39</v>
      </c>
      <c r="G5524" s="2"/>
      <c r="H5524" s="12">
        <v>0.0</v>
      </c>
      <c r="I5524" s="2" t="s">
        <v>40</v>
      </c>
      <c r="J5524" s="2"/>
      <c r="K5524" s="2" t="s">
        <v>14661</v>
      </c>
      <c r="L5524" s="12">
        <v>47.0</v>
      </c>
      <c r="M5524" s="2" t="s">
        <v>14662</v>
      </c>
      <c r="N5524" s="2" t="str">
        <f>IFERROR(__xludf.DUMMYFUNCTION("""COMPUTED_VALUE"""),"")</f>
        <v/>
      </c>
    </row>
    <row r="5525">
      <c r="A5525" s="2" t="s">
        <v>33</v>
      </c>
      <c r="B5525" s="12">
        <v>5338565.0</v>
      </c>
      <c r="C5525" s="12">
        <v>5339581.0</v>
      </c>
      <c r="D5525" s="2"/>
      <c r="E5525" s="2" t="s">
        <v>38</v>
      </c>
      <c r="F5525" s="2" t="s">
        <v>455</v>
      </c>
      <c r="G5525" s="2"/>
      <c r="H5525" s="12">
        <v>0.0</v>
      </c>
      <c r="I5525" s="2" t="s">
        <v>40</v>
      </c>
      <c r="J5525" s="2"/>
      <c r="K5525" s="2" t="s">
        <v>14663</v>
      </c>
      <c r="L5525" s="12">
        <v>338.0</v>
      </c>
      <c r="M5525" s="2" t="s">
        <v>14664</v>
      </c>
      <c r="N5525" s="2" t="str">
        <f>IFERROR(__xludf.DUMMYFUNCTION("""COMPUTED_VALUE"""),"")</f>
        <v/>
      </c>
    </row>
    <row r="5526">
      <c r="A5526" s="2" t="s">
        <v>33</v>
      </c>
      <c r="B5526" s="12">
        <v>5339683.0</v>
      </c>
      <c r="C5526" s="12">
        <v>5339949.0</v>
      </c>
      <c r="D5526" s="2"/>
      <c r="E5526" s="2" t="s">
        <v>38</v>
      </c>
      <c r="F5526" s="2" t="s">
        <v>237</v>
      </c>
      <c r="G5526" s="2"/>
      <c r="H5526" s="12">
        <v>0.0</v>
      </c>
      <c r="I5526" s="2" t="s">
        <v>40</v>
      </c>
      <c r="J5526" s="2"/>
      <c r="K5526" s="2" t="s">
        <v>14665</v>
      </c>
      <c r="L5526" s="12">
        <v>88.0</v>
      </c>
      <c r="M5526" s="2" t="s">
        <v>14666</v>
      </c>
      <c r="N5526" s="2" t="str">
        <f>IFERROR(__xludf.DUMMYFUNCTION("""COMPUTED_VALUE"""),"")</f>
        <v/>
      </c>
    </row>
    <row r="5527">
      <c r="A5527" s="2" t="s">
        <v>33</v>
      </c>
      <c r="B5527" s="12">
        <v>5340153.0</v>
      </c>
      <c r="C5527" s="12">
        <v>5340596.0</v>
      </c>
      <c r="D5527" s="2"/>
      <c r="E5527" s="2" t="s">
        <v>38</v>
      </c>
      <c r="F5527" s="2" t="s">
        <v>35</v>
      </c>
      <c r="G5527" s="2"/>
      <c r="H5527" s="12">
        <v>0.0</v>
      </c>
      <c r="I5527" s="2" t="s">
        <v>36</v>
      </c>
      <c r="J5527" s="2"/>
      <c r="K5527" s="2"/>
      <c r="L5527" s="2"/>
      <c r="M5527" s="2" t="s">
        <v>14667</v>
      </c>
      <c r="N5527" s="2" t="str">
        <f>IFERROR(__xludf.DUMMYFUNCTION("""COMPUTED_VALUE"""),"")</f>
        <v/>
      </c>
    </row>
    <row r="5528">
      <c r="A5528" s="2" t="s">
        <v>33</v>
      </c>
      <c r="B5528" s="12">
        <v>5340613.0</v>
      </c>
      <c r="C5528" s="12">
        <v>5340960.0</v>
      </c>
      <c r="D5528" s="2"/>
      <c r="E5528" s="2" t="s">
        <v>38</v>
      </c>
      <c r="F5528" s="2" t="s">
        <v>14668</v>
      </c>
      <c r="G5528" s="2" t="s">
        <v>14669</v>
      </c>
      <c r="H5528" s="12">
        <v>0.0</v>
      </c>
      <c r="I5528" s="2" t="s">
        <v>40</v>
      </c>
      <c r="J5528" s="2"/>
      <c r="K5528" s="2" t="s">
        <v>14670</v>
      </c>
      <c r="L5528" s="12">
        <v>115.0</v>
      </c>
      <c r="M5528" s="2" t="s">
        <v>14671</v>
      </c>
      <c r="N5528" s="2" t="str">
        <f>IFERROR(__xludf.DUMMYFUNCTION("""COMPUTED_VALUE"""),"")</f>
        <v/>
      </c>
    </row>
    <row r="5529">
      <c r="A5529" s="2" t="s">
        <v>33</v>
      </c>
      <c r="B5529" s="12">
        <v>5340991.0</v>
      </c>
      <c r="C5529" s="12">
        <v>5341449.0</v>
      </c>
      <c r="D5529" s="2"/>
      <c r="E5529" s="2" t="s">
        <v>38</v>
      </c>
      <c r="F5529" s="2" t="s">
        <v>367</v>
      </c>
      <c r="G5529" s="2"/>
      <c r="H5529" s="12">
        <v>0.0</v>
      </c>
      <c r="I5529" s="2" t="s">
        <v>40</v>
      </c>
      <c r="J5529" s="2"/>
      <c r="K5529" s="2" t="s">
        <v>14672</v>
      </c>
      <c r="L5529" s="12">
        <v>152.0</v>
      </c>
      <c r="M5529" s="2" t="s">
        <v>14673</v>
      </c>
      <c r="N5529" s="2" t="str">
        <f>IFERROR(__xludf.DUMMYFUNCTION("""COMPUTED_VALUE"""),"")</f>
        <v/>
      </c>
    </row>
    <row r="5530">
      <c r="A5530" s="2" t="s">
        <v>33</v>
      </c>
      <c r="B5530" s="12">
        <v>5341526.0</v>
      </c>
      <c r="C5530" s="12">
        <v>5342450.0</v>
      </c>
      <c r="D5530" s="2"/>
      <c r="E5530" s="2" t="s">
        <v>38</v>
      </c>
      <c r="F5530" s="2" t="s">
        <v>35</v>
      </c>
      <c r="G5530" s="2"/>
      <c r="H5530" s="12">
        <v>0.0</v>
      </c>
      <c r="I5530" s="2" t="s">
        <v>36</v>
      </c>
      <c r="J5530" s="2"/>
      <c r="K5530" s="2"/>
      <c r="L5530" s="2"/>
      <c r="M5530" s="2" t="s">
        <v>14674</v>
      </c>
      <c r="N5530" s="2" t="str">
        <f>IFERROR(__xludf.DUMMYFUNCTION("""COMPUTED_VALUE"""),"")</f>
        <v/>
      </c>
    </row>
    <row r="5531">
      <c r="A5531" s="2" t="s">
        <v>33</v>
      </c>
      <c r="B5531" s="12">
        <v>5342613.0</v>
      </c>
      <c r="C5531" s="12">
        <v>5343974.0</v>
      </c>
      <c r="D5531" s="2"/>
      <c r="E5531" s="2" t="s">
        <v>38</v>
      </c>
      <c r="F5531" s="2" t="s">
        <v>14675</v>
      </c>
      <c r="G5531" s="2"/>
      <c r="H5531" s="12">
        <v>0.0</v>
      </c>
      <c r="I5531" s="2" t="s">
        <v>40</v>
      </c>
      <c r="J5531" s="2"/>
      <c r="K5531" s="2" t="s">
        <v>14676</v>
      </c>
      <c r="L5531" s="12">
        <v>453.0</v>
      </c>
      <c r="M5531" s="2" t="s">
        <v>14677</v>
      </c>
      <c r="N5531" s="2" t="str">
        <f>IFERROR(__xludf.DUMMYFUNCTION("""COMPUTED_VALUE"""),"")</f>
        <v/>
      </c>
    </row>
    <row r="5532">
      <c r="A5532" s="2" t="s">
        <v>33</v>
      </c>
      <c r="B5532" s="12">
        <v>5344113.0</v>
      </c>
      <c r="C5532" s="12">
        <v>5345028.0</v>
      </c>
      <c r="D5532" s="2"/>
      <c r="E5532" s="2" t="s">
        <v>38</v>
      </c>
      <c r="F5532" s="2" t="s">
        <v>35</v>
      </c>
      <c r="G5532" s="2"/>
      <c r="H5532" s="12">
        <v>0.0</v>
      </c>
      <c r="I5532" s="2" t="s">
        <v>36</v>
      </c>
      <c r="J5532" s="2"/>
      <c r="K5532" s="2"/>
      <c r="L5532" s="2"/>
      <c r="M5532" s="2" t="s">
        <v>14678</v>
      </c>
      <c r="N5532" s="2" t="str">
        <f>IFERROR(__xludf.DUMMYFUNCTION("""COMPUTED_VALUE"""),"")</f>
        <v/>
      </c>
    </row>
    <row r="5533">
      <c r="A5533" s="2" t="s">
        <v>33</v>
      </c>
      <c r="B5533" s="12">
        <v>5345182.0</v>
      </c>
      <c r="C5533" s="12">
        <v>5346615.0</v>
      </c>
      <c r="D5533" s="2"/>
      <c r="E5533" s="2" t="s">
        <v>34</v>
      </c>
      <c r="F5533" s="2" t="s">
        <v>250</v>
      </c>
      <c r="G5533" s="2"/>
      <c r="H5533" s="12">
        <v>0.0</v>
      </c>
      <c r="I5533" s="2" t="s">
        <v>40</v>
      </c>
      <c r="J5533" s="2"/>
      <c r="K5533" s="2" t="s">
        <v>14679</v>
      </c>
      <c r="L5533" s="12">
        <v>477.0</v>
      </c>
      <c r="M5533" s="2" t="s">
        <v>14680</v>
      </c>
      <c r="N5533" s="2" t="str">
        <f>IFERROR(__xludf.DUMMYFUNCTION("""COMPUTED_VALUE"""),"")</f>
        <v/>
      </c>
    </row>
    <row r="5534">
      <c r="A5534" s="2" t="s">
        <v>33</v>
      </c>
      <c r="B5534" s="12">
        <v>5346660.0</v>
      </c>
      <c r="C5534" s="12">
        <v>5347190.0</v>
      </c>
      <c r="D5534" s="2"/>
      <c r="E5534" s="2" t="s">
        <v>38</v>
      </c>
      <c r="F5534" s="2" t="s">
        <v>14681</v>
      </c>
      <c r="G5534" s="2"/>
      <c r="H5534" s="12">
        <v>0.0</v>
      </c>
      <c r="I5534" s="2" t="s">
        <v>40</v>
      </c>
      <c r="J5534" s="2"/>
      <c r="K5534" s="2" t="s">
        <v>14682</v>
      </c>
      <c r="L5534" s="12">
        <v>176.0</v>
      </c>
      <c r="M5534" s="2" t="s">
        <v>14683</v>
      </c>
      <c r="N5534" s="2" t="str">
        <f>IFERROR(__xludf.DUMMYFUNCTION("""COMPUTED_VALUE"""),"")</f>
        <v/>
      </c>
    </row>
    <row r="5535">
      <c r="A5535" s="2" t="s">
        <v>33</v>
      </c>
      <c r="B5535" s="12">
        <v>5347357.0</v>
      </c>
      <c r="C5535" s="12">
        <v>5347818.0</v>
      </c>
      <c r="D5535" s="2"/>
      <c r="E5535" s="2" t="s">
        <v>34</v>
      </c>
      <c r="F5535" s="2" t="s">
        <v>14684</v>
      </c>
      <c r="G5535" s="2"/>
      <c r="H5535" s="12">
        <v>0.0</v>
      </c>
      <c r="I5535" s="2" t="s">
        <v>40</v>
      </c>
      <c r="J5535" s="2"/>
      <c r="K5535" s="2" t="s">
        <v>14685</v>
      </c>
      <c r="L5535" s="12">
        <v>153.0</v>
      </c>
      <c r="M5535" s="2" t="s">
        <v>14686</v>
      </c>
      <c r="N5535" s="2" t="str">
        <f>IFERROR(__xludf.DUMMYFUNCTION("""COMPUTED_VALUE"""),"")</f>
        <v/>
      </c>
    </row>
    <row r="5536">
      <c r="A5536" s="2" t="s">
        <v>33</v>
      </c>
      <c r="B5536" s="12">
        <v>5347952.0</v>
      </c>
      <c r="C5536" s="12">
        <v>5348797.0</v>
      </c>
      <c r="D5536" s="2"/>
      <c r="E5536" s="2" t="s">
        <v>38</v>
      </c>
      <c r="F5536" s="2" t="s">
        <v>450</v>
      </c>
      <c r="G5536" s="2"/>
      <c r="H5536" s="12">
        <v>0.0</v>
      </c>
      <c r="I5536" s="2" t="s">
        <v>40</v>
      </c>
      <c r="J5536" s="2"/>
      <c r="K5536" s="2" t="s">
        <v>14687</v>
      </c>
      <c r="L5536" s="12">
        <v>281.0</v>
      </c>
      <c r="M5536" s="2" t="s">
        <v>14688</v>
      </c>
      <c r="N5536" s="2" t="str">
        <f>IFERROR(__xludf.DUMMYFUNCTION("""COMPUTED_VALUE"""),"")</f>
        <v/>
      </c>
    </row>
    <row r="5537">
      <c r="A5537" s="2" t="s">
        <v>33</v>
      </c>
      <c r="B5537" s="12">
        <v>5349083.0</v>
      </c>
      <c r="C5537" s="12">
        <v>5349961.0</v>
      </c>
      <c r="D5537" s="2"/>
      <c r="E5537" s="2" t="s">
        <v>38</v>
      </c>
      <c r="F5537" s="2" t="s">
        <v>5605</v>
      </c>
      <c r="G5537" s="2"/>
      <c r="H5537" s="12">
        <v>0.0</v>
      </c>
      <c r="I5537" s="2" t="s">
        <v>40</v>
      </c>
      <c r="J5537" s="2"/>
      <c r="K5537" s="2" t="s">
        <v>14689</v>
      </c>
      <c r="L5537" s="12">
        <v>292.0</v>
      </c>
      <c r="M5537" s="2" t="s">
        <v>14690</v>
      </c>
      <c r="N5537" s="2" t="str">
        <f>IFERROR(__xludf.DUMMYFUNCTION("""COMPUTED_VALUE"""),"")</f>
        <v/>
      </c>
    </row>
    <row r="5538">
      <c r="A5538" s="2" t="s">
        <v>33</v>
      </c>
      <c r="B5538" s="12">
        <v>5350007.0</v>
      </c>
      <c r="C5538" s="12">
        <v>5350807.0</v>
      </c>
      <c r="D5538" s="2"/>
      <c r="E5538" s="2" t="s">
        <v>38</v>
      </c>
      <c r="F5538" s="2" t="s">
        <v>367</v>
      </c>
      <c r="G5538" s="2"/>
      <c r="H5538" s="12">
        <v>0.0</v>
      </c>
      <c r="I5538" s="2" t="s">
        <v>40</v>
      </c>
      <c r="J5538" s="2"/>
      <c r="K5538" s="2" t="s">
        <v>14691</v>
      </c>
      <c r="L5538" s="12">
        <v>266.0</v>
      </c>
      <c r="M5538" s="2" t="s">
        <v>14692</v>
      </c>
      <c r="N5538" s="2" t="str">
        <f>IFERROR(__xludf.DUMMYFUNCTION("""COMPUTED_VALUE"""),"")</f>
        <v/>
      </c>
    </row>
    <row r="5539">
      <c r="A5539" s="2" t="s">
        <v>33</v>
      </c>
      <c r="B5539" s="12">
        <v>5351319.0</v>
      </c>
      <c r="C5539" s="12">
        <v>5352023.0</v>
      </c>
      <c r="D5539" s="2"/>
      <c r="E5539" s="2" t="s">
        <v>34</v>
      </c>
      <c r="F5539" s="2" t="s">
        <v>39</v>
      </c>
      <c r="G5539" s="2"/>
      <c r="H5539" s="12">
        <v>0.0</v>
      </c>
      <c r="I5539" s="2" t="s">
        <v>40</v>
      </c>
      <c r="J5539" s="2"/>
      <c r="K5539" s="2" t="s">
        <v>14693</v>
      </c>
      <c r="L5539" s="12">
        <v>234.0</v>
      </c>
      <c r="M5539" s="2" t="s">
        <v>14694</v>
      </c>
      <c r="N5539" s="2" t="str">
        <f>IFERROR(__xludf.DUMMYFUNCTION("""COMPUTED_VALUE"""),"")</f>
        <v/>
      </c>
    </row>
    <row r="5540">
      <c r="A5540" s="2" t="s">
        <v>33</v>
      </c>
      <c r="B5540" s="12">
        <v>5352063.0</v>
      </c>
      <c r="C5540" s="12">
        <v>5353358.0</v>
      </c>
      <c r="D5540" s="2"/>
      <c r="E5540" s="2" t="s">
        <v>38</v>
      </c>
      <c r="F5540" s="2" t="s">
        <v>88</v>
      </c>
      <c r="G5540" s="2"/>
      <c r="H5540" s="12">
        <v>0.0</v>
      </c>
      <c r="I5540" s="2" t="s">
        <v>40</v>
      </c>
      <c r="J5540" s="2"/>
      <c r="K5540" s="2" t="s">
        <v>14695</v>
      </c>
      <c r="L5540" s="12">
        <v>431.0</v>
      </c>
      <c r="M5540" s="2" t="s">
        <v>14696</v>
      </c>
      <c r="N5540" s="2" t="str">
        <f>IFERROR(__xludf.DUMMYFUNCTION("""COMPUTED_VALUE"""),"")</f>
        <v/>
      </c>
    </row>
    <row r="5541">
      <c r="A5541" s="2" t="s">
        <v>33</v>
      </c>
      <c r="B5541" s="12">
        <v>5353471.0</v>
      </c>
      <c r="C5541" s="12">
        <v>5354694.0</v>
      </c>
      <c r="D5541" s="2"/>
      <c r="E5541" s="2" t="s">
        <v>38</v>
      </c>
      <c r="F5541" s="2" t="s">
        <v>14697</v>
      </c>
      <c r="G5541" s="2"/>
      <c r="H5541" s="12">
        <v>0.0</v>
      </c>
      <c r="I5541" s="2" t="s">
        <v>40</v>
      </c>
      <c r="J5541" s="2"/>
      <c r="K5541" s="2" t="s">
        <v>14698</v>
      </c>
      <c r="L5541" s="12">
        <v>407.0</v>
      </c>
      <c r="M5541" s="2" t="s">
        <v>14699</v>
      </c>
      <c r="N5541" s="2" t="str">
        <f>IFERROR(__xludf.DUMMYFUNCTION("""COMPUTED_VALUE"""),"")</f>
        <v/>
      </c>
    </row>
    <row r="5542">
      <c r="A5542" s="2" t="s">
        <v>33</v>
      </c>
      <c r="B5542" s="12">
        <v>5355096.0</v>
      </c>
      <c r="C5542" s="12">
        <v>5355728.0</v>
      </c>
      <c r="D5542" s="2"/>
      <c r="E5542" s="2" t="s">
        <v>38</v>
      </c>
      <c r="F5542" s="2" t="s">
        <v>14700</v>
      </c>
      <c r="G5542" s="2"/>
      <c r="H5542" s="12">
        <v>0.0</v>
      </c>
      <c r="I5542" s="2" t="s">
        <v>40</v>
      </c>
      <c r="J5542" s="2"/>
      <c r="K5542" s="2" t="s">
        <v>14701</v>
      </c>
      <c r="L5542" s="12">
        <v>210.0</v>
      </c>
      <c r="M5542" s="2" t="s">
        <v>14702</v>
      </c>
      <c r="N5542" s="2" t="str">
        <f>IFERROR(__xludf.DUMMYFUNCTION("""COMPUTED_VALUE"""),"")</f>
        <v/>
      </c>
    </row>
    <row r="5543">
      <c r="A5543" s="2" t="s">
        <v>33</v>
      </c>
      <c r="B5543" s="12">
        <v>5355803.0</v>
      </c>
      <c r="C5543" s="12">
        <v>5356765.0</v>
      </c>
      <c r="D5543" s="2"/>
      <c r="E5543" s="2" t="s">
        <v>38</v>
      </c>
      <c r="F5543" s="2" t="s">
        <v>5466</v>
      </c>
      <c r="G5543" s="2"/>
      <c r="H5543" s="12">
        <v>0.0</v>
      </c>
      <c r="I5543" s="2" t="s">
        <v>40</v>
      </c>
      <c r="J5543" s="2"/>
      <c r="K5543" s="2" t="s">
        <v>14703</v>
      </c>
      <c r="L5543" s="12">
        <v>320.0</v>
      </c>
      <c r="M5543" s="2" t="s">
        <v>14704</v>
      </c>
      <c r="N5543" s="2" t="str">
        <f>IFERROR(__xludf.DUMMYFUNCTION("""COMPUTED_VALUE"""),"")</f>
        <v/>
      </c>
    </row>
    <row r="5544">
      <c r="A5544" s="2" t="s">
        <v>33</v>
      </c>
      <c r="B5544" s="12">
        <v>5357489.0</v>
      </c>
      <c r="C5544" s="12">
        <v>5358062.0</v>
      </c>
      <c r="D5544" s="2"/>
      <c r="E5544" s="2" t="s">
        <v>34</v>
      </c>
      <c r="F5544" s="2" t="s">
        <v>35</v>
      </c>
      <c r="G5544" s="2"/>
      <c r="H5544" s="12">
        <v>0.0</v>
      </c>
      <c r="I5544" s="2" t="s">
        <v>36</v>
      </c>
      <c r="J5544" s="2"/>
      <c r="K5544" s="2"/>
      <c r="L5544" s="2"/>
      <c r="M5544" s="2" t="s">
        <v>14705</v>
      </c>
      <c r="N5544" s="2" t="str">
        <f>IFERROR(__xludf.DUMMYFUNCTION("""COMPUTED_VALUE"""),"")</f>
        <v/>
      </c>
    </row>
    <row r="5545">
      <c r="A5545" s="2" t="s">
        <v>33</v>
      </c>
      <c r="B5545" s="12">
        <v>5358235.0</v>
      </c>
      <c r="C5545" s="12">
        <v>5359041.0</v>
      </c>
      <c r="D5545" s="2"/>
      <c r="E5545" s="2" t="s">
        <v>38</v>
      </c>
      <c r="F5545" s="2" t="s">
        <v>1134</v>
      </c>
      <c r="G5545" s="2"/>
      <c r="H5545" s="12">
        <v>0.0</v>
      </c>
      <c r="I5545" s="2" t="s">
        <v>40</v>
      </c>
      <c r="J5545" s="2"/>
      <c r="K5545" s="2" t="s">
        <v>14706</v>
      </c>
      <c r="L5545" s="12">
        <v>268.0</v>
      </c>
      <c r="M5545" s="2" t="s">
        <v>14707</v>
      </c>
      <c r="N5545" s="2" t="str">
        <f>IFERROR(__xludf.DUMMYFUNCTION("""COMPUTED_VALUE"""),"")</f>
        <v/>
      </c>
    </row>
    <row r="5546">
      <c r="A5546" s="2" t="s">
        <v>33</v>
      </c>
      <c r="B5546" s="12">
        <v>5359241.0</v>
      </c>
      <c r="C5546" s="12">
        <v>5359747.0</v>
      </c>
      <c r="D5546" s="2"/>
      <c r="E5546" s="2" t="s">
        <v>38</v>
      </c>
      <c r="F5546" s="2" t="s">
        <v>14708</v>
      </c>
      <c r="G5546" s="2"/>
      <c r="H5546" s="12">
        <v>0.0</v>
      </c>
      <c r="I5546" s="2" t="s">
        <v>40</v>
      </c>
      <c r="J5546" s="2"/>
      <c r="K5546" s="2" t="s">
        <v>14709</v>
      </c>
      <c r="L5546" s="12">
        <v>168.0</v>
      </c>
      <c r="M5546" s="2" t="s">
        <v>14710</v>
      </c>
      <c r="N5546" s="2" t="str">
        <f>IFERROR(__xludf.DUMMYFUNCTION("""COMPUTED_VALUE"""),"")</f>
        <v/>
      </c>
    </row>
    <row r="5547">
      <c r="A5547" s="2" t="s">
        <v>33</v>
      </c>
      <c r="B5547" s="12">
        <v>5359806.0</v>
      </c>
      <c r="C5547" s="12">
        <v>5359958.0</v>
      </c>
      <c r="D5547" s="2"/>
      <c r="E5547" s="2" t="s">
        <v>38</v>
      </c>
      <c r="F5547" s="2" t="s">
        <v>39</v>
      </c>
      <c r="G5547" s="2"/>
      <c r="H5547" s="12">
        <v>0.0</v>
      </c>
      <c r="I5547" s="2" t="s">
        <v>40</v>
      </c>
      <c r="J5547" s="2"/>
      <c r="K5547" s="2" t="s">
        <v>14711</v>
      </c>
      <c r="L5547" s="12">
        <v>50.0</v>
      </c>
      <c r="M5547" s="2" t="s">
        <v>14712</v>
      </c>
      <c r="N5547" s="2" t="str">
        <f>IFERROR(__xludf.DUMMYFUNCTION("""COMPUTED_VALUE"""),"")</f>
        <v/>
      </c>
    </row>
    <row r="5548">
      <c r="A5548" s="2" t="s">
        <v>33</v>
      </c>
      <c r="B5548" s="12">
        <v>5360150.0</v>
      </c>
      <c r="C5548" s="12">
        <v>5360782.0</v>
      </c>
      <c r="D5548" s="2"/>
      <c r="E5548" s="2" t="s">
        <v>38</v>
      </c>
      <c r="F5548" s="2" t="s">
        <v>4418</v>
      </c>
      <c r="G5548" s="2"/>
      <c r="H5548" s="12">
        <v>0.0</v>
      </c>
      <c r="I5548" s="2" t="s">
        <v>40</v>
      </c>
      <c r="J5548" s="2"/>
      <c r="K5548" s="2" t="s">
        <v>14713</v>
      </c>
      <c r="L5548" s="12">
        <v>210.0</v>
      </c>
      <c r="M5548" s="2" t="s">
        <v>14714</v>
      </c>
      <c r="N5548" s="2" t="str">
        <f>IFERROR(__xludf.DUMMYFUNCTION("""COMPUTED_VALUE"""),"")</f>
        <v/>
      </c>
    </row>
    <row r="5549">
      <c r="A5549" s="2" t="s">
        <v>33</v>
      </c>
      <c r="B5549" s="12">
        <v>5361008.0</v>
      </c>
      <c r="C5549" s="12">
        <v>5362033.0</v>
      </c>
      <c r="D5549" s="2"/>
      <c r="E5549" s="2" t="s">
        <v>38</v>
      </c>
      <c r="F5549" s="2" t="s">
        <v>455</v>
      </c>
      <c r="G5549" s="2"/>
      <c r="H5549" s="12">
        <v>0.0</v>
      </c>
      <c r="I5549" s="2" t="s">
        <v>40</v>
      </c>
      <c r="J5549" s="2"/>
      <c r="K5549" s="2" t="s">
        <v>14715</v>
      </c>
      <c r="L5549" s="12">
        <v>341.0</v>
      </c>
      <c r="M5549" s="2" t="s">
        <v>14716</v>
      </c>
      <c r="N5549" s="2" t="str">
        <f>IFERROR(__xludf.DUMMYFUNCTION("""COMPUTED_VALUE"""),"")</f>
        <v/>
      </c>
    </row>
    <row r="5550">
      <c r="A5550" s="2" t="s">
        <v>33</v>
      </c>
      <c r="B5550" s="12">
        <v>5362201.0</v>
      </c>
      <c r="C5550" s="12">
        <v>5363433.0</v>
      </c>
      <c r="D5550" s="2"/>
      <c r="E5550" s="2" t="s">
        <v>38</v>
      </c>
      <c r="F5550" s="2" t="s">
        <v>88</v>
      </c>
      <c r="G5550" s="2"/>
      <c r="H5550" s="12">
        <v>0.0</v>
      </c>
      <c r="I5550" s="2" t="s">
        <v>40</v>
      </c>
      <c r="J5550" s="2"/>
      <c r="K5550" s="2" t="s">
        <v>14717</v>
      </c>
      <c r="L5550" s="12">
        <v>410.0</v>
      </c>
      <c r="M5550" s="2" t="s">
        <v>14718</v>
      </c>
      <c r="N5550" s="2" t="str">
        <f>IFERROR(__xludf.DUMMYFUNCTION("""COMPUTED_VALUE"""),"")</f>
        <v/>
      </c>
    </row>
    <row r="5551">
      <c r="A5551" s="2" t="s">
        <v>33</v>
      </c>
      <c r="B5551" s="12">
        <v>5363918.0</v>
      </c>
      <c r="C5551" s="12">
        <v>5366056.0</v>
      </c>
      <c r="D5551" s="2"/>
      <c r="E5551" s="2" t="s">
        <v>38</v>
      </c>
      <c r="F5551" s="2" t="s">
        <v>11601</v>
      </c>
      <c r="G5551" s="2"/>
      <c r="H5551" s="12">
        <v>0.0</v>
      </c>
      <c r="I5551" s="2" t="s">
        <v>40</v>
      </c>
      <c r="J5551" s="2"/>
      <c r="K5551" s="2" t="s">
        <v>14719</v>
      </c>
      <c r="L5551" s="12">
        <v>712.0</v>
      </c>
      <c r="M5551" s="2" t="s">
        <v>14720</v>
      </c>
      <c r="N5551" s="2" t="str">
        <f>IFERROR(__xludf.DUMMYFUNCTION("""COMPUTED_VALUE"""),"")</f>
        <v/>
      </c>
    </row>
    <row r="5552">
      <c r="A5552" s="2" t="s">
        <v>33</v>
      </c>
      <c r="B5552" s="12">
        <v>5366345.0</v>
      </c>
      <c r="C5552" s="12">
        <v>5366944.0</v>
      </c>
      <c r="D5552" s="2"/>
      <c r="E5552" s="2" t="s">
        <v>38</v>
      </c>
      <c r="F5552" s="2" t="s">
        <v>14721</v>
      </c>
      <c r="G5552" s="2"/>
      <c r="H5552" s="12">
        <v>0.0</v>
      </c>
      <c r="I5552" s="2" t="s">
        <v>40</v>
      </c>
      <c r="J5552" s="2"/>
      <c r="K5552" s="2" t="s">
        <v>14722</v>
      </c>
      <c r="L5552" s="12">
        <v>199.0</v>
      </c>
      <c r="M5552" s="2" t="s">
        <v>14723</v>
      </c>
      <c r="N5552" s="2" t="str">
        <f>IFERROR(__xludf.DUMMYFUNCTION("""COMPUTED_VALUE"""),"")</f>
        <v/>
      </c>
    </row>
    <row r="5553">
      <c r="A5553" s="2" t="s">
        <v>33</v>
      </c>
      <c r="B5553" s="12">
        <v>5367192.0</v>
      </c>
      <c r="C5553" s="12">
        <v>5368181.0</v>
      </c>
      <c r="D5553" s="2"/>
      <c r="E5553" s="2" t="s">
        <v>38</v>
      </c>
      <c r="F5553" s="2" t="s">
        <v>14724</v>
      </c>
      <c r="G5553" s="2"/>
      <c r="H5553" s="12">
        <v>0.0</v>
      </c>
      <c r="I5553" s="2" t="s">
        <v>40</v>
      </c>
      <c r="J5553" s="2"/>
      <c r="K5553" s="2" t="s">
        <v>14725</v>
      </c>
      <c r="L5553" s="12">
        <v>329.0</v>
      </c>
      <c r="M5553" s="2" t="s">
        <v>14726</v>
      </c>
      <c r="N5553" s="2" t="str">
        <f>IFERROR(__xludf.DUMMYFUNCTION("""COMPUTED_VALUE"""),"")</f>
        <v/>
      </c>
    </row>
    <row r="5554">
      <c r="A5554" s="2" t="s">
        <v>33</v>
      </c>
      <c r="B5554" s="12">
        <v>5368347.0</v>
      </c>
      <c r="C5554" s="12">
        <v>5368853.0</v>
      </c>
      <c r="D5554" s="2"/>
      <c r="E5554" s="2" t="s">
        <v>38</v>
      </c>
      <c r="F5554" s="2" t="s">
        <v>11061</v>
      </c>
      <c r="G5554" s="2"/>
      <c r="H5554" s="12">
        <v>0.0</v>
      </c>
      <c r="I5554" s="2" t="s">
        <v>40</v>
      </c>
      <c r="J5554" s="2"/>
      <c r="K5554" s="2" t="s">
        <v>14727</v>
      </c>
      <c r="L5554" s="12">
        <v>168.0</v>
      </c>
      <c r="M5554" s="2" t="s">
        <v>14728</v>
      </c>
      <c r="N5554" s="2" t="str">
        <f>IFERROR(__xludf.DUMMYFUNCTION("""COMPUTED_VALUE"""),"")</f>
        <v/>
      </c>
    </row>
    <row r="5555">
      <c r="A5555" s="2" t="s">
        <v>33</v>
      </c>
      <c r="B5555" s="12">
        <v>5368981.0</v>
      </c>
      <c r="C5555" s="12">
        <v>5369862.0</v>
      </c>
      <c r="D5555" s="2"/>
      <c r="E5555" s="2" t="s">
        <v>34</v>
      </c>
      <c r="F5555" s="2" t="s">
        <v>969</v>
      </c>
      <c r="G5555" s="2"/>
      <c r="H5555" s="12">
        <v>0.0</v>
      </c>
      <c r="I5555" s="2" t="s">
        <v>40</v>
      </c>
      <c r="J5555" s="2"/>
      <c r="K5555" s="2" t="s">
        <v>14729</v>
      </c>
      <c r="L5555" s="12">
        <v>293.0</v>
      </c>
      <c r="M5555" s="2" t="s">
        <v>14730</v>
      </c>
      <c r="N5555" s="2" t="str">
        <f>IFERROR(__xludf.DUMMYFUNCTION("""COMPUTED_VALUE"""),"")</f>
        <v/>
      </c>
    </row>
    <row r="5556">
      <c r="A5556" s="2" t="s">
        <v>33</v>
      </c>
      <c r="B5556" s="12">
        <v>5369952.0</v>
      </c>
      <c r="C5556" s="12">
        <v>5371220.0</v>
      </c>
      <c r="D5556" s="2"/>
      <c r="E5556" s="2" t="s">
        <v>34</v>
      </c>
      <c r="F5556" s="2" t="s">
        <v>14731</v>
      </c>
      <c r="G5556" s="2"/>
      <c r="H5556" s="12">
        <v>0.0</v>
      </c>
      <c r="I5556" s="2" t="s">
        <v>40</v>
      </c>
      <c r="J5556" s="2"/>
      <c r="K5556" s="2" t="s">
        <v>14732</v>
      </c>
      <c r="L5556" s="12">
        <v>422.0</v>
      </c>
      <c r="M5556" s="2" t="s">
        <v>14733</v>
      </c>
      <c r="N5556" s="2" t="str">
        <f>IFERROR(__xludf.DUMMYFUNCTION("""COMPUTED_VALUE"""),"")</f>
        <v/>
      </c>
    </row>
    <row r="5557">
      <c r="A5557" s="2" t="s">
        <v>33</v>
      </c>
      <c r="B5557" s="12">
        <v>5371313.0</v>
      </c>
      <c r="C5557" s="12">
        <v>5371420.0</v>
      </c>
      <c r="D5557" s="2"/>
      <c r="E5557" s="2" t="s">
        <v>38</v>
      </c>
      <c r="F5557" s="2" t="s">
        <v>560</v>
      </c>
      <c r="G5557" s="2"/>
      <c r="H5557" s="12">
        <v>0.0</v>
      </c>
      <c r="I5557" s="2" t="s">
        <v>40</v>
      </c>
      <c r="J5557" s="2"/>
      <c r="K5557" s="2" t="s">
        <v>14734</v>
      </c>
      <c r="L5557" s="12">
        <v>35.0</v>
      </c>
      <c r="M5557" s="2" t="s">
        <v>14735</v>
      </c>
      <c r="N5557" s="2" t="str">
        <f>IFERROR(__xludf.DUMMYFUNCTION("""COMPUTED_VALUE"""),"")</f>
        <v/>
      </c>
    </row>
    <row r="5558">
      <c r="A5558" s="2" t="s">
        <v>33</v>
      </c>
      <c r="B5558" s="12">
        <v>5371558.0</v>
      </c>
      <c r="C5558" s="12">
        <v>5372358.0</v>
      </c>
      <c r="D5558" s="2"/>
      <c r="E5558" s="2" t="s">
        <v>38</v>
      </c>
      <c r="F5558" s="2" t="s">
        <v>6683</v>
      </c>
      <c r="G5558" s="2"/>
      <c r="H5558" s="12">
        <v>0.0</v>
      </c>
      <c r="I5558" s="2" t="s">
        <v>40</v>
      </c>
      <c r="J5558" s="2"/>
      <c r="K5558" s="2" t="s">
        <v>14736</v>
      </c>
      <c r="L5558" s="12">
        <v>266.0</v>
      </c>
      <c r="M5558" s="2" t="s">
        <v>14737</v>
      </c>
      <c r="N5558" s="2" t="str">
        <f>IFERROR(__xludf.DUMMYFUNCTION("""COMPUTED_VALUE"""),"")</f>
        <v/>
      </c>
    </row>
    <row r="5559">
      <c r="A5559" s="2" t="s">
        <v>33</v>
      </c>
      <c r="B5559" s="12">
        <v>5372351.0</v>
      </c>
      <c r="C5559" s="12">
        <v>5374051.0</v>
      </c>
      <c r="D5559" s="2"/>
      <c r="E5559" s="2" t="s">
        <v>38</v>
      </c>
      <c r="F5559" s="2" t="s">
        <v>432</v>
      </c>
      <c r="G5559" s="2"/>
      <c r="H5559" s="12">
        <v>0.0</v>
      </c>
      <c r="I5559" s="2" t="s">
        <v>40</v>
      </c>
      <c r="J5559" s="2"/>
      <c r="K5559" s="2" t="s">
        <v>14738</v>
      </c>
      <c r="L5559" s="12">
        <v>566.0</v>
      </c>
      <c r="M5559" s="2" t="s">
        <v>14739</v>
      </c>
      <c r="N5559" s="2" t="str">
        <f>IFERROR(__xludf.DUMMYFUNCTION("""COMPUTED_VALUE"""),"")</f>
        <v/>
      </c>
    </row>
    <row r="5560">
      <c r="A5560" s="2" t="s">
        <v>33</v>
      </c>
      <c r="B5560" s="12">
        <v>5374062.0</v>
      </c>
      <c r="C5560" s="12">
        <v>5374379.0</v>
      </c>
      <c r="D5560" s="2"/>
      <c r="E5560" s="2" t="s">
        <v>38</v>
      </c>
      <c r="F5560" s="2" t="s">
        <v>35</v>
      </c>
      <c r="G5560" s="2"/>
      <c r="H5560" s="12">
        <v>0.0</v>
      </c>
      <c r="I5560" s="2" t="s">
        <v>36</v>
      </c>
      <c r="J5560" s="2"/>
      <c r="K5560" s="2"/>
      <c r="L5560" s="2"/>
      <c r="M5560" s="2" t="s">
        <v>14740</v>
      </c>
      <c r="N5560" s="2" t="str">
        <f>IFERROR(__xludf.DUMMYFUNCTION("""COMPUTED_VALUE"""),"")</f>
        <v/>
      </c>
    </row>
    <row r="5561">
      <c r="A5561" s="2" t="s">
        <v>33</v>
      </c>
      <c r="B5561" s="12">
        <v>5374974.0</v>
      </c>
      <c r="C5561" s="12">
        <v>5375465.0</v>
      </c>
      <c r="D5561" s="2"/>
      <c r="E5561" s="2" t="s">
        <v>38</v>
      </c>
      <c r="F5561" s="2" t="s">
        <v>39</v>
      </c>
      <c r="G5561" s="2"/>
      <c r="H5561" s="12">
        <v>0.0</v>
      </c>
      <c r="I5561" s="2" t="s">
        <v>40</v>
      </c>
      <c r="J5561" s="2"/>
      <c r="K5561" s="2" t="s">
        <v>14741</v>
      </c>
      <c r="L5561" s="12">
        <v>163.0</v>
      </c>
      <c r="M5561" s="2" t="s">
        <v>14742</v>
      </c>
      <c r="N5561" s="2" t="str">
        <f>IFERROR(__xludf.DUMMYFUNCTION("""COMPUTED_VALUE"""),"")</f>
        <v/>
      </c>
    </row>
    <row r="5562">
      <c r="A5562" s="2" t="s">
        <v>33</v>
      </c>
      <c r="B5562" s="12">
        <v>5375535.0</v>
      </c>
      <c r="C5562" s="12">
        <v>5376236.0</v>
      </c>
      <c r="D5562" s="2"/>
      <c r="E5562" s="2" t="s">
        <v>38</v>
      </c>
      <c r="F5562" s="2" t="s">
        <v>39</v>
      </c>
      <c r="G5562" s="2"/>
      <c r="H5562" s="12">
        <v>0.0</v>
      </c>
      <c r="I5562" s="2" t="s">
        <v>40</v>
      </c>
      <c r="J5562" s="2"/>
      <c r="K5562" s="2" t="s">
        <v>14743</v>
      </c>
      <c r="L5562" s="12">
        <v>233.0</v>
      </c>
      <c r="M5562" s="2" t="s">
        <v>14744</v>
      </c>
      <c r="N5562" s="2" t="str">
        <f>IFERROR(__xludf.DUMMYFUNCTION("""COMPUTED_VALUE"""),"")</f>
        <v/>
      </c>
    </row>
    <row r="5563">
      <c r="A5563" s="2" t="s">
        <v>33</v>
      </c>
      <c r="B5563" s="12">
        <v>5376547.0</v>
      </c>
      <c r="C5563" s="12">
        <v>5377140.0</v>
      </c>
      <c r="D5563" s="2"/>
      <c r="E5563" s="2" t="s">
        <v>34</v>
      </c>
      <c r="F5563" s="2" t="s">
        <v>39</v>
      </c>
      <c r="G5563" s="2"/>
      <c r="H5563" s="12">
        <v>0.0</v>
      </c>
      <c r="I5563" s="2" t="s">
        <v>40</v>
      </c>
      <c r="J5563" s="2"/>
      <c r="K5563" s="2" t="s">
        <v>14745</v>
      </c>
      <c r="L5563" s="12">
        <v>197.0</v>
      </c>
      <c r="M5563" s="2" t="s">
        <v>14746</v>
      </c>
      <c r="N5563" s="2" t="str">
        <f>IFERROR(__xludf.DUMMYFUNCTION("""COMPUTED_VALUE"""),"")</f>
        <v/>
      </c>
    </row>
    <row r="5564">
      <c r="A5564" s="2" t="s">
        <v>33</v>
      </c>
      <c r="B5564" s="12">
        <v>5377133.0</v>
      </c>
      <c r="C5564" s="12">
        <v>5377444.0</v>
      </c>
      <c r="D5564" s="2"/>
      <c r="E5564" s="2" t="s">
        <v>34</v>
      </c>
      <c r="F5564" s="2" t="s">
        <v>159</v>
      </c>
      <c r="G5564" s="2"/>
      <c r="H5564" s="12">
        <v>0.0</v>
      </c>
      <c r="I5564" s="2" t="s">
        <v>40</v>
      </c>
      <c r="J5564" s="2"/>
      <c r="K5564" s="2" t="s">
        <v>14747</v>
      </c>
      <c r="L5564" s="12">
        <v>103.0</v>
      </c>
      <c r="M5564" s="2" t="s">
        <v>14748</v>
      </c>
      <c r="N5564" s="2" t="str">
        <f>IFERROR(__xludf.DUMMYFUNCTION("""COMPUTED_VALUE"""),"")</f>
        <v/>
      </c>
    </row>
    <row r="5565">
      <c r="A5565" s="2" t="s">
        <v>33</v>
      </c>
      <c r="B5565" s="12">
        <v>5378033.0</v>
      </c>
      <c r="C5565" s="12">
        <v>5378392.0</v>
      </c>
      <c r="D5565" s="2"/>
      <c r="E5565" s="2" t="s">
        <v>34</v>
      </c>
      <c r="F5565" s="2" t="s">
        <v>216</v>
      </c>
      <c r="G5565" s="2"/>
      <c r="H5565" s="12">
        <v>0.0</v>
      </c>
      <c r="I5565" s="2" t="s">
        <v>40</v>
      </c>
      <c r="J5565" s="2"/>
      <c r="K5565" s="2" t="s">
        <v>14749</v>
      </c>
      <c r="L5565" s="12">
        <v>119.0</v>
      </c>
      <c r="M5565" s="2" t="s">
        <v>14750</v>
      </c>
      <c r="N5565" s="2" t="str">
        <f>IFERROR(__xludf.DUMMYFUNCTION("""COMPUTED_VALUE"""),"")</f>
        <v/>
      </c>
    </row>
    <row r="5566">
      <c r="A5566" s="2" t="s">
        <v>33</v>
      </c>
      <c r="B5566" s="12">
        <v>5378678.0</v>
      </c>
      <c r="C5566" s="12">
        <v>5379769.0</v>
      </c>
      <c r="D5566" s="2"/>
      <c r="E5566" s="2" t="s">
        <v>38</v>
      </c>
      <c r="F5566" s="2" t="s">
        <v>14751</v>
      </c>
      <c r="G5566" s="2"/>
      <c r="H5566" s="12">
        <v>0.0</v>
      </c>
      <c r="I5566" s="2" t="s">
        <v>40</v>
      </c>
      <c r="J5566" s="2"/>
      <c r="K5566" s="2" t="s">
        <v>14752</v>
      </c>
      <c r="L5566" s="12">
        <v>363.0</v>
      </c>
      <c r="M5566" s="2" t="s">
        <v>14753</v>
      </c>
      <c r="N5566" s="2" t="str">
        <f>IFERROR(__xludf.DUMMYFUNCTION("""COMPUTED_VALUE"""),"")</f>
        <v/>
      </c>
    </row>
    <row r="5567">
      <c r="A5567" s="2" t="s">
        <v>33</v>
      </c>
      <c r="B5567" s="12">
        <v>5380058.0</v>
      </c>
      <c r="C5567" s="12">
        <v>5380465.0</v>
      </c>
      <c r="D5567" s="2"/>
      <c r="E5567" s="2" t="s">
        <v>34</v>
      </c>
      <c r="F5567" s="2" t="s">
        <v>39</v>
      </c>
      <c r="G5567" s="2"/>
      <c r="H5567" s="12">
        <v>0.0</v>
      </c>
      <c r="I5567" s="2" t="s">
        <v>40</v>
      </c>
      <c r="J5567" s="2"/>
      <c r="K5567" s="2" t="s">
        <v>14754</v>
      </c>
      <c r="L5567" s="12">
        <v>135.0</v>
      </c>
      <c r="M5567" s="2" t="s">
        <v>14755</v>
      </c>
      <c r="N5567" s="2" t="str">
        <f>IFERROR(__xludf.DUMMYFUNCTION("""COMPUTED_VALUE"""),"")</f>
        <v/>
      </c>
    </row>
    <row r="5568">
      <c r="A5568" s="2" t="s">
        <v>33</v>
      </c>
      <c r="B5568" s="12">
        <v>5381150.0</v>
      </c>
      <c r="C5568" s="12">
        <v>5382796.0</v>
      </c>
      <c r="D5568" s="2"/>
      <c r="E5568" s="2" t="s">
        <v>34</v>
      </c>
      <c r="F5568" s="2" t="s">
        <v>14756</v>
      </c>
      <c r="G5568" s="2" t="s">
        <v>14757</v>
      </c>
      <c r="H5568" s="12">
        <v>0.0</v>
      </c>
      <c r="I5568" s="2" t="s">
        <v>40</v>
      </c>
      <c r="J5568" s="2"/>
      <c r="K5568" s="2" t="s">
        <v>14758</v>
      </c>
      <c r="L5568" s="12">
        <v>548.0</v>
      </c>
      <c r="M5568" s="2" t="s">
        <v>14759</v>
      </c>
      <c r="N5568" s="2" t="str">
        <f>IFERROR(__xludf.DUMMYFUNCTION("""COMPUTED_VALUE"""),"")</f>
        <v/>
      </c>
    </row>
    <row r="5569">
      <c r="A5569" s="2" t="s">
        <v>33</v>
      </c>
      <c r="B5569" s="12">
        <v>5383202.0</v>
      </c>
      <c r="C5569" s="12">
        <v>5383729.0</v>
      </c>
      <c r="D5569" s="2"/>
      <c r="E5569" s="2" t="s">
        <v>38</v>
      </c>
      <c r="F5569" s="2" t="s">
        <v>367</v>
      </c>
      <c r="G5569" s="2"/>
      <c r="H5569" s="12">
        <v>0.0</v>
      </c>
      <c r="I5569" s="2" t="s">
        <v>40</v>
      </c>
      <c r="J5569" s="2"/>
      <c r="K5569" s="2" t="s">
        <v>14760</v>
      </c>
      <c r="L5569" s="12">
        <v>175.0</v>
      </c>
      <c r="M5569" s="2" t="s">
        <v>14761</v>
      </c>
      <c r="N5569" s="2" t="str">
        <f>IFERROR(__xludf.DUMMYFUNCTION("""COMPUTED_VALUE"""),"")</f>
        <v/>
      </c>
    </row>
    <row r="5570">
      <c r="A5570" s="2" t="s">
        <v>33</v>
      </c>
      <c r="B5570" s="12">
        <v>5383918.0</v>
      </c>
      <c r="C5570" s="12">
        <v>5384429.0</v>
      </c>
      <c r="D5570" s="2"/>
      <c r="E5570" s="2" t="s">
        <v>38</v>
      </c>
      <c r="F5570" s="2" t="s">
        <v>35</v>
      </c>
      <c r="G5570" s="2"/>
      <c r="H5570" s="12">
        <v>0.0</v>
      </c>
      <c r="I5570" s="2" t="s">
        <v>36</v>
      </c>
      <c r="J5570" s="2"/>
      <c r="K5570" s="2"/>
      <c r="L5570" s="2"/>
      <c r="M5570" s="2" t="s">
        <v>14762</v>
      </c>
      <c r="N5570" s="2" t="str">
        <f>IFERROR(__xludf.DUMMYFUNCTION("""COMPUTED_VALUE"""),"")</f>
        <v/>
      </c>
    </row>
    <row r="5571">
      <c r="A5571" s="2" t="s">
        <v>33</v>
      </c>
      <c r="B5571" s="12">
        <v>5384380.0</v>
      </c>
      <c r="C5571" s="12">
        <v>5385147.0</v>
      </c>
      <c r="D5571" s="2"/>
      <c r="E5571" s="2" t="s">
        <v>38</v>
      </c>
      <c r="F5571" s="2" t="s">
        <v>1172</v>
      </c>
      <c r="G5571" s="2"/>
      <c r="H5571" s="12">
        <v>0.0</v>
      </c>
      <c r="I5571" s="2" t="s">
        <v>40</v>
      </c>
      <c r="J5571" s="2"/>
      <c r="K5571" s="2" t="s">
        <v>14763</v>
      </c>
      <c r="L5571" s="12">
        <v>255.0</v>
      </c>
      <c r="M5571" s="2" t="s">
        <v>14764</v>
      </c>
      <c r="N5571" s="2" t="str">
        <f>IFERROR(__xludf.DUMMYFUNCTION("""COMPUTED_VALUE"""),"")</f>
        <v/>
      </c>
    </row>
    <row r="5572">
      <c r="A5572" s="2" t="s">
        <v>33</v>
      </c>
      <c r="B5572" s="12">
        <v>5385389.0</v>
      </c>
      <c r="C5572" s="12">
        <v>5386822.0</v>
      </c>
      <c r="D5572" s="2"/>
      <c r="E5572" s="2" t="s">
        <v>34</v>
      </c>
      <c r="F5572" s="2" t="s">
        <v>14765</v>
      </c>
      <c r="G5572" s="2"/>
      <c r="H5572" s="12">
        <v>0.0</v>
      </c>
      <c r="I5572" s="2" t="s">
        <v>40</v>
      </c>
      <c r="J5572" s="2"/>
      <c r="K5572" s="2" t="s">
        <v>14766</v>
      </c>
      <c r="L5572" s="12">
        <v>477.0</v>
      </c>
      <c r="M5572" s="2" t="s">
        <v>14767</v>
      </c>
      <c r="N5572" s="2" t="str">
        <f>IFERROR(__xludf.DUMMYFUNCTION("""COMPUTED_VALUE"""),"")</f>
        <v/>
      </c>
    </row>
    <row r="5573">
      <c r="A5573" s="2" t="s">
        <v>33</v>
      </c>
      <c r="B5573" s="12">
        <v>5386903.0</v>
      </c>
      <c r="C5573" s="12">
        <v>5387076.0</v>
      </c>
      <c r="D5573" s="2"/>
      <c r="E5573" s="2" t="s">
        <v>38</v>
      </c>
      <c r="F5573" s="2" t="s">
        <v>39</v>
      </c>
      <c r="G5573" s="2"/>
      <c r="H5573" s="12">
        <v>0.0</v>
      </c>
      <c r="I5573" s="2" t="s">
        <v>40</v>
      </c>
      <c r="J5573" s="2"/>
      <c r="K5573" s="2" t="s">
        <v>14768</v>
      </c>
      <c r="L5573" s="12">
        <v>57.0</v>
      </c>
      <c r="M5573" s="2" t="s">
        <v>14769</v>
      </c>
      <c r="N5573" s="2" t="str">
        <f>IFERROR(__xludf.DUMMYFUNCTION("""COMPUTED_VALUE"""),"")</f>
        <v/>
      </c>
    </row>
    <row r="5574">
      <c r="A5574" s="2" t="s">
        <v>33</v>
      </c>
      <c r="B5574" s="12">
        <v>5387081.0</v>
      </c>
      <c r="C5574" s="12">
        <v>5387353.0</v>
      </c>
      <c r="D5574" s="2"/>
      <c r="E5574" s="2" t="s">
        <v>38</v>
      </c>
      <c r="F5574" s="2" t="s">
        <v>39</v>
      </c>
      <c r="G5574" s="2"/>
      <c r="H5574" s="12">
        <v>0.0</v>
      </c>
      <c r="I5574" s="2" t="s">
        <v>40</v>
      </c>
      <c r="J5574" s="2"/>
      <c r="K5574" s="2" t="s">
        <v>14770</v>
      </c>
      <c r="L5574" s="12">
        <v>90.0</v>
      </c>
      <c r="M5574" s="2" t="s">
        <v>14771</v>
      </c>
      <c r="N5574" s="2" t="str">
        <f>IFERROR(__xludf.DUMMYFUNCTION("""COMPUTED_VALUE"""),"")</f>
        <v/>
      </c>
    </row>
    <row r="5575">
      <c r="A5575" s="2" t="s">
        <v>33</v>
      </c>
      <c r="B5575" s="12">
        <v>5387591.0</v>
      </c>
      <c r="C5575" s="12">
        <v>5387758.0</v>
      </c>
      <c r="D5575" s="2"/>
      <c r="E5575" s="2" t="s">
        <v>38</v>
      </c>
      <c r="F5575" s="2" t="s">
        <v>35</v>
      </c>
      <c r="G5575" s="2"/>
      <c r="H5575" s="12">
        <v>0.0</v>
      </c>
      <c r="I5575" s="2" t="s">
        <v>36</v>
      </c>
      <c r="J5575" s="2"/>
      <c r="K5575" s="2"/>
      <c r="L5575" s="2"/>
      <c r="M5575" s="2" t="s">
        <v>14772</v>
      </c>
      <c r="N5575" s="2" t="str">
        <f>IFERROR(__xludf.DUMMYFUNCTION("""COMPUTED_VALUE"""),"")</f>
        <v/>
      </c>
    </row>
    <row r="5576">
      <c r="A5576" s="2" t="s">
        <v>33</v>
      </c>
      <c r="B5576" s="12">
        <v>5387923.0</v>
      </c>
      <c r="C5576" s="12">
        <v>5388057.0</v>
      </c>
      <c r="D5576" s="2"/>
      <c r="E5576" s="2" t="s">
        <v>34</v>
      </c>
      <c r="F5576" s="2" t="s">
        <v>14773</v>
      </c>
      <c r="G5576" s="2"/>
      <c r="H5576" s="12">
        <v>0.0</v>
      </c>
      <c r="I5576" s="2" t="s">
        <v>40</v>
      </c>
      <c r="J5576" s="2"/>
      <c r="K5576" s="2" t="s">
        <v>14774</v>
      </c>
      <c r="L5576" s="12">
        <v>44.0</v>
      </c>
      <c r="M5576" s="2" t="s">
        <v>14775</v>
      </c>
      <c r="N5576" s="2" t="str">
        <f>IFERROR(__xludf.DUMMYFUNCTION("""COMPUTED_VALUE"""),"")</f>
        <v/>
      </c>
    </row>
    <row r="5577">
      <c r="A5577" s="2" t="s">
        <v>33</v>
      </c>
      <c r="B5577" s="12">
        <v>5389475.0</v>
      </c>
      <c r="C5577" s="12">
        <v>5389942.0</v>
      </c>
      <c r="D5577" s="2"/>
      <c r="E5577" s="2" t="s">
        <v>34</v>
      </c>
      <c r="F5577" s="2" t="s">
        <v>841</v>
      </c>
      <c r="G5577" s="2"/>
      <c r="H5577" s="12">
        <v>0.0</v>
      </c>
      <c r="I5577" s="2" t="s">
        <v>40</v>
      </c>
      <c r="J5577" s="2"/>
      <c r="K5577" s="2" t="s">
        <v>14776</v>
      </c>
      <c r="L5577" s="12">
        <v>155.0</v>
      </c>
      <c r="M5577" s="2" t="s">
        <v>14777</v>
      </c>
      <c r="N5577" s="2" t="str">
        <f>IFERROR(__xludf.DUMMYFUNCTION("""COMPUTED_VALUE"""),"")</f>
        <v/>
      </c>
    </row>
    <row r="5578">
      <c r="A5578" s="2" t="s">
        <v>33</v>
      </c>
      <c r="B5578" s="12">
        <v>5390418.0</v>
      </c>
      <c r="C5578" s="12">
        <v>5405450.0</v>
      </c>
      <c r="D5578" s="2"/>
      <c r="E5578" s="2" t="s">
        <v>34</v>
      </c>
      <c r="F5578" s="2" t="s">
        <v>2827</v>
      </c>
      <c r="G5578" s="2"/>
      <c r="H5578" s="12">
        <v>0.0</v>
      </c>
      <c r="I5578" s="2" t="s">
        <v>40</v>
      </c>
      <c r="J5578" s="2"/>
      <c r="K5578" s="2" t="s">
        <v>14778</v>
      </c>
      <c r="L5578" s="12">
        <v>5010.0</v>
      </c>
      <c r="M5578" s="2" t="s">
        <v>14779</v>
      </c>
      <c r="N5578" s="2" t="str">
        <f>IFERROR(__xludf.DUMMYFUNCTION("""COMPUTED_VALUE"""),"")</f>
        <v/>
      </c>
    </row>
    <row r="5579">
      <c r="A5579" s="2" t="s">
        <v>33</v>
      </c>
      <c r="B5579" s="12">
        <v>5405779.0</v>
      </c>
      <c r="C5579" s="12">
        <v>5406939.0</v>
      </c>
      <c r="D5579" s="2"/>
      <c r="E5579" s="2" t="s">
        <v>38</v>
      </c>
      <c r="F5579" s="2" t="s">
        <v>5085</v>
      </c>
      <c r="G5579" s="2"/>
      <c r="H5579" s="12">
        <v>0.0</v>
      </c>
      <c r="I5579" s="2" t="s">
        <v>40</v>
      </c>
      <c r="J5579" s="2"/>
      <c r="K5579" s="2" t="s">
        <v>14780</v>
      </c>
      <c r="L5579" s="12">
        <v>386.0</v>
      </c>
      <c r="M5579" s="2" t="s">
        <v>14781</v>
      </c>
      <c r="N5579" s="2" t="str">
        <f>IFERROR(__xludf.DUMMYFUNCTION("""COMPUTED_VALUE"""),"")</f>
        <v/>
      </c>
    </row>
    <row r="5580">
      <c r="A5580" s="2" t="s">
        <v>33</v>
      </c>
      <c r="B5580" s="12">
        <v>5408150.0</v>
      </c>
      <c r="C5580" s="12">
        <v>5409037.0</v>
      </c>
      <c r="D5580" s="2"/>
      <c r="E5580" s="2" t="s">
        <v>34</v>
      </c>
      <c r="F5580" s="2" t="s">
        <v>582</v>
      </c>
      <c r="G5580" s="2"/>
      <c r="H5580" s="12">
        <v>0.0</v>
      </c>
      <c r="I5580" s="2" t="s">
        <v>40</v>
      </c>
      <c r="J5580" s="2"/>
      <c r="K5580" s="2" t="s">
        <v>14782</v>
      </c>
      <c r="L5580" s="12">
        <v>295.0</v>
      </c>
      <c r="M5580" s="2" t="s">
        <v>14783</v>
      </c>
      <c r="N5580" s="2" t="str">
        <f>IFERROR(__xludf.DUMMYFUNCTION("""COMPUTED_VALUE"""),"")</f>
        <v/>
      </c>
    </row>
    <row r="5581">
      <c r="A5581" s="2" t="s">
        <v>33</v>
      </c>
      <c r="B5581" s="12">
        <v>5409349.0</v>
      </c>
      <c r="C5581" s="12">
        <v>5410343.0</v>
      </c>
      <c r="D5581" s="2"/>
      <c r="E5581" s="2" t="s">
        <v>38</v>
      </c>
      <c r="F5581" s="2" t="s">
        <v>35</v>
      </c>
      <c r="G5581" s="2"/>
      <c r="H5581" s="12">
        <v>0.0</v>
      </c>
      <c r="I5581" s="2" t="s">
        <v>36</v>
      </c>
      <c r="J5581" s="2"/>
      <c r="K5581" s="2"/>
      <c r="L5581" s="2"/>
      <c r="M5581" s="2" t="s">
        <v>14784</v>
      </c>
      <c r="N5581" s="2" t="str">
        <f>IFERROR(__xludf.DUMMYFUNCTION("""COMPUTED_VALUE"""),"")</f>
        <v/>
      </c>
    </row>
    <row r="5582">
      <c r="A5582" s="2" t="s">
        <v>33</v>
      </c>
      <c r="B5582" s="12">
        <v>5410409.0</v>
      </c>
      <c r="C5582" s="12">
        <v>5410606.0</v>
      </c>
      <c r="D5582" s="2"/>
      <c r="E5582" s="2" t="s">
        <v>38</v>
      </c>
      <c r="F5582" s="2" t="s">
        <v>39</v>
      </c>
      <c r="G5582" s="2"/>
      <c r="H5582" s="12">
        <v>0.0</v>
      </c>
      <c r="I5582" s="2" t="s">
        <v>40</v>
      </c>
      <c r="J5582" s="2"/>
      <c r="K5582" s="2" t="s">
        <v>14785</v>
      </c>
      <c r="L5582" s="12">
        <v>65.0</v>
      </c>
      <c r="M5582" s="2" t="s">
        <v>14786</v>
      </c>
      <c r="N5582" s="2" t="str">
        <f>IFERROR(__xludf.DUMMYFUNCTION("""COMPUTED_VALUE"""),"")</f>
        <v/>
      </c>
    </row>
    <row r="5583">
      <c r="A5583" s="2" t="s">
        <v>33</v>
      </c>
      <c r="B5583" s="12">
        <v>5410743.0</v>
      </c>
      <c r="C5583" s="12">
        <v>5410937.0</v>
      </c>
      <c r="D5583" s="2"/>
      <c r="E5583" s="2" t="s">
        <v>38</v>
      </c>
      <c r="F5583" s="2" t="s">
        <v>39</v>
      </c>
      <c r="G5583" s="2"/>
      <c r="H5583" s="12">
        <v>0.0</v>
      </c>
      <c r="I5583" s="2" t="s">
        <v>40</v>
      </c>
      <c r="J5583" s="2"/>
      <c r="K5583" s="2" t="s">
        <v>14787</v>
      </c>
      <c r="L5583" s="12">
        <v>64.0</v>
      </c>
      <c r="M5583" s="2" t="s">
        <v>14788</v>
      </c>
      <c r="N5583" s="2" t="str">
        <f>IFERROR(__xludf.DUMMYFUNCTION("""COMPUTED_VALUE"""),"")</f>
        <v/>
      </c>
    </row>
    <row r="5584">
      <c r="A5584" s="2" t="s">
        <v>33</v>
      </c>
      <c r="B5584" s="12">
        <v>5411538.0</v>
      </c>
      <c r="C5584" s="12">
        <v>5412383.0</v>
      </c>
      <c r="D5584" s="2"/>
      <c r="E5584" s="2" t="s">
        <v>38</v>
      </c>
      <c r="F5584" s="2" t="s">
        <v>359</v>
      </c>
      <c r="G5584" s="2"/>
      <c r="H5584" s="12">
        <v>0.0</v>
      </c>
      <c r="I5584" s="2" t="s">
        <v>40</v>
      </c>
      <c r="J5584" s="2"/>
      <c r="K5584" s="2" t="s">
        <v>14789</v>
      </c>
      <c r="L5584" s="12">
        <v>281.0</v>
      </c>
      <c r="M5584" s="2" t="s">
        <v>14790</v>
      </c>
      <c r="N5584" s="2" t="str">
        <f>IFERROR(__xludf.DUMMYFUNCTION("""COMPUTED_VALUE"""),"")</f>
        <v/>
      </c>
    </row>
    <row r="5585">
      <c r="A5585" s="2" t="s">
        <v>33</v>
      </c>
      <c r="B5585" s="12">
        <v>5412859.0</v>
      </c>
      <c r="C5585" s="12">
        <v>5413836.0</v>
      </c>
      <c r="D5585" s="2"/>
      <c r="E5585" s="2" t="s">
        <v>38</v>
      </c>
      <c r="F5585" s="2" t="s">
        <v>220</v>
      </c>
      <c r="G5585" s="2"/>
      <c r="H5585" s="12">
        <v>0.0</v>
      </c>
      <c r="I5585" s="2" t="s">
        <v>40</v>
      </c>
      <c r="J5585" s="2"/>
      <c r="K5585" s="2" t="s">
        <v>14791</v>
      </c>
      <c r="L5585" s="12">
        <v>325.0</v>
      </c>
      <c r="M5585" s="2" t="s">
        <v>14792</v>
      </c>
      <c r="N5585" s="2" t="str">
        <f>IFERROR(__xludf.DUMMYFUNCTION("""COMPUTED_VALUE"""),"")</f>
        <v/>
      </c>
    </row>
    <row r="5586">
      <c r="A5586" s="2" t="s">
        <v>33</v>
      </c>
      <c r="B5586" s="12">
        <v>5413948.0</v>
      </c>
      <c r="C5586" s="12">
        <v>5414844.0</v>
      </c>
      <c r="D5586" s="2"/>
      <c r="E5586" s="2" t="s">
        <v>34</v>
      </c>
      <c r="F5586" s="2" t="s">
        <v>10169</v>
      </c>
      <c r="G5586" s="2"/>
      <c r="H5586" s="12">
        <v>0.0</v>
      </c>
      <c r="I5586" s="2" t="s">
        <v>40</v>
      </c>
      <c r="J5586" s="2"/>
      <c r="K5586" s="2" t="s">
        <v>14793</v>
      </c>
      <c r="L5586" s="12">
        <v>298.0</v>
      </c>
      <c r="M5586" s="2" t="s">
        <v>14794</v>
      </c>
      <c r="N5586" s="2" t="str">
        <f>IFERROR(__xludf.DUMMYFUNCTION("""COMPUTED_VALUE"""),"")</f>
        <v/>
      </c>
    </row>
    <row r="5587">
      <c r="A5587" s="2" t="s">
        <v>33</v>
      </c>
      <c r="B5587" s="12">
        <v>5414841.0</v>
      </c>
      <c r="C5587" s="12">
        <v>5415791.0</v>
      </c>
      <c r="D5587" s="2"/>
      <c r="E5587" s="2" t="s">
        <v>34</v>
      </c>
      <c r="F5587" s="2" t="s">
        <v>11775</v>
      </c>
      <c r="G5587" s="2"/>
      <c r="H5587" s="12">
        <v>0.0</v>
      </c>
      <c r="I5587" s="2" t="s">
        <v>40</v>
      </c>
      <c r="J5587" s="2"/>
      <c r="K5587" s="2" t="s">
        <v>14795</v>
      </c>
      <c r="L5587" s="12">
        <v>316.0</v>
      </c>
      <c r="M5587" s="2" t="s">
        <v>14796</v>
      </c>
      <c r="N5587" s="2" t="str">
        <f>IFERROR(__xludf.DUMMYFUNCTION("""COMPUTED_VALUE"""),"")</f>
        <v/>
      </c>
    </row>
    <row r="5588">
      <c r="A5588" s="2" t="s">
        <v>33</v>
      </c>
      <c r="B5588" s="12">
        <v>5415838.0</v>
      </c>
      <c r="C5588" s="12">
        <v>5416404.0</v>
      </c>
      <c r="D5588" s="2"/>
      <c r="E5588" s="2" t="s">
        <v>38</v>
      </c>
      <c r="F5588" s="2" t="s">
        <v>39</v>
      </c>
      <c r="G5588" s="2"/>
      <c r="H5588" s="12">
        <v>0.0</v>
      </c>
      <c r="I5588" s="2" t="s">
        <v>40</v>
      </c>
      <c r="J5588" s="2"/>
      <c r="K5588" s="2" t="s">
        <v>14797</v>
      </c>
      <c r="L5588" s="12">
        <v>188.0</v>
      </c>
      <c r="M5588" s="2" t="s">
        <v>14798</v>
      </c>
      <c r="N5588" s="2" t="str">
        <f>IFERROR(__xludf.DUMMYFUNCTION("""COMPUTED_VALUE"""),"")</f>
        <v/>
      </c>
    </row>
    <row r="5589">
      <c r="A5589" s="2" t="s">
        <v>33</v>
      </c>
      <c r="B5589" s="12">
        <v>5416383.0</v>
      </c>
      <c r="C5589" s="12">
        <v>5417639.0</v>
      </c>
      <c r="D5589" s="2"/>
      <c r="E5589" s="2" t="s">
        <v>38</v>
      </c>
      <c r="F5589" s="2" t="s">
        <v>55</v>
      </c>
      <c r="G5589" s="2"/>
      <c r="H5589" s="12">
        <v>0.0</v>
      </c>
      <c r="I5589" s="2" t="s">
        <v>40</v>
      </c>
      <c r="J5589" s="2"/>
      <c r="K5589" s="2" t="s">
        <v>14799</v>
      </c>
      <c r="L5589" s="12">
        <v>418.0</v>
      </c>
      <c r="M5589" s="2" t="s">
        <v>14800</v>
      </c>
      <c r="N5589" s="2" t="str">
        <f>IFERROR(__xludf.DUMMYFUNCTION("""COMPUTED_VALUE"""),"")</f>
        <v/>
      </c>
    </row>
    <row r="5590">
      <c r="A5590" s="2" t="s">
        <v>33</v>
      </c>
      <c r="B5590" s="12">
        <v>5417560.0</v>
      </c>
      <c r="C5590" s="12">
        <v>5418108.0</v>
      </c>
      <c r="D5590" s="2"/>
      <c r="E5590" s="2" t="s">
        <v>38</v>
      </c>
      <c r="F5590" s="2" t="s">
        <v>39</v>
      </c>
      <c r="G5590" s="2"/>
      <c r="H5590" s="12">
        <v>0.0</v>
      </c>
      <c r="I5590" s="2" t="s">
        <v>40</v>
      </c>
      <c r="J5590" s="2"/>
      <c r="K5590" s="2" t="s">
        <v>14801</v>
      </c>
      <c r="L5590" s="12">
        <v>182.0</v>
      </c>
      <c r="M5590" s="2" t="s">
        <v>14802</v>
      </c>
      <c r="N5590" s="2" t="str">
        <f>IFERROR(__xludf.DUMMYFUNCTION("""COMPUTED_VALUE"""),"")</f>
        <v/>
      </c>
    </row>
    <row r="5591">
      <c r="A5591" s="2" t="s">
        <v>33</v>
      </c>
      <c r="B5591" s="12">
        <v>5418233.0</v>
      </c>
      <c r="C5591" s="12">
        <v>5419057.0</v>
      </c>
      <c r="D5591" s="2"/>
      <c r="E5591" s="2" t="s">
        <v>38</v>
      </c>
      <c r="F5591" s="2" t="s">
        <v>39</v>
      </c>
      <c r="G5591" s="2"/>
      <c r="H5591" s="12">
        <v>0.0</v>
      </c>
      <c r="I5591" s="2" t="s">
        <v>40</v>
      </c>
      <c r="J5591" s="2"/>
      <c r="K5591" s="2" t="s">
        <v>14803</v>
      </c>
      <c r="L5591" s="12">
        <v>274.0</v>
      </c>
      <c r="M5591" s="2" t="s">
        <v>14804</v>
      </c>
      <c r="N5591" s="2" t="str">
        <f>IFERROR(__xludf.DUMMYFUNCTION("""COMPUTED_VALUE"""),"")</f>
        <v/>
      </c>
    </row>
    <row r="5592">
      <c r="A5592" s="2" t="s">
        <v>33</v>
      </c>
      <c r="B5592" s="12">
        <v>5419008.0</v>
      </c>
      <c r="C5592" s="12">
        <v>5420600.0</v>
      </c>
      <c r="D5592" s="2"/>
      <c r="E5592" s="2" t="s">
        <v>38</v>
      </c>
      <c r="F5592" s="2" t="s">
        <v>39</v>
      </c>
      <c r="G5592" s="2"/>
      <c r="H5592" s="12">
        <v>0.0</v>
      </c>
      <c r="I5592" s="2" t="s">
        <v>40</v>
      </c>
      <c r="J5592" s="2"/>
      <c r="K5592" s="2" t="s">
        <v>14805</v>
      </c>
      <c r="L5592" s="12">
        <v>530.0</v>
      </c>
      <c r="M5592" s="2" t="s">
        <v>14806</v>
      </c>
      <c r="N5592" s="2" t="str">
        <f>IFERROR(__xludf.DUMMYFUNCTION("""COMPUTED_VALUE"""),"")</f>
        <v/>
      </c>
    </row>
    <row r="5593">
      <c r="A5593" s="2" t="s">
        <v>33</v>
      </c>
      <c r="B5593" s="12">
        <v>5420597.0</v>
      </c>
      <c r="C5593" s="12">
        <v>5421937.0</v>
      </c>
      <c r="D5593" s="2"/>
      <c r="E5593" s="2" t="s">
        <v>38</v>
      </c>
      <c r="F5593" s="2" t="s">
        <v>176</v>
      </c>
      <c r="G5593" s="2"/>
      <c r="H5593" s="12">
        <v>0.0</v>
      </c>
      <c r="I5593" s="2" t="s">
        <v>40</v>
      </c>
      <c r="J5593" s="2"/>
      <c r="K5593" s="2" t="s">
        <v>14807</v>
      </c>
      <c r="L5593" s="12">
        <v>446.0</v>
      </c>
      <c r="M5593" s="2" t="s">
        <v>14808</v>
      </c>
      <c r="N5593" s="2" t="str">
        <f>IFERROR(__xludf.DUMMYFUNCTION("""COMPUTED_VALUE"""),"")</f>
        <v/>
      </c>
    </row>
    <row r="5594">
      <c r="A5594" s="2" t="s">
        <v>33</v>
      </c>
      <c r="B5594" s="12">
        <v>5422118.0</v>
      </c>
      <c r="C5594" s="12">
        <v>5422345.0</v>
      </c>
      <c r="D5594" s="2"/>
      <c r="E5594" s="2" t="s">
        <v>38</v>
      </c>
      <c r="F5594" s="2" t="s">
        <v>35</v>
      </c>
      <c r="G5594" s="2"/>
      <c r="H5594" s="12">
        <v>0.0</v>
      </c>
      <c r="I5594" s="2" t="s">
        <v>36</v>
      </c>
      <c r="J5594" s="2"/>
      <c r="K5594" s="2"/>
      <c r="L5594" s="2"/>
      <c r="M5594" s="2" t="s">
        <v>14809</v>
      </c>
      <c r="N5594" s="2" t="str">
        <f>IFERROR(__xludf.DUMMYFUNCTION("""COMPUTED_VALUE"""),"")</f>
        <v/>
      </c>
    </row>
    <row r="5595">
      <c r="A5595" s="2" t="s">
        <v>33</v>
      </c>
      <c r="B5595" s="12">
        <v>5422756.0</v>
      </c>
      <c r="C5595" s="12">
        <v>5423436.0</v>
      </c>
      <c r="D5595" s="2"/>
      <c r="E5595" s="2" t="s">
        <v>34</v>
      </c>
      <c r="F5595" s="2" t="s">
        <v>1196</v>
      </c>
      <c r="G5595" s="2"/>
      <c r="H5595" s="12">
        <v>0.0</v>
      </c>
      <c r="I5595" s="2" t="s">
        <v>40</v>
      </c>
      <c r="J5595" s="2"/>
      <c r="K5595" s="2" t="s">
        <v>14810</v>
      </c>
      <c r="L5595" s="12">
        <v>226.0</v>
      </c>
      <c r="M5595" s="2" t="s">
        <v>14811</v>
      </c>
      <c r="N5595" s="2" t="str">
        <f>IFERROR(__xludf.DUMMYFUNCTION("""COMPUTED_VALUE"""),"")</f>
        <v/>
      </c>
    </row>
    <row r="5596">
      <c r="A5596" s="2" t="s">
        <v>33</v>
      </c>
      <c r="B5596" s="12">
        <v>5423527.0</v>
      </c>
      <c r="C5596" s="12">
        <v>5424715.0</v>
      </c>
      <c r="D5596" s="2"/>
      <c r="E5596" s="2" t="s">
        <v>38</v>
      </c>
      <c r="F5596" s="2" t="s">
        <v>35</v>
      </c>
      <c r="G5596" s="2"/>
      <c r="H5596" s="12">
        <v>0.0</v>
      </c>
      <c r="I5596" s="2" t="s">
        <v>36</v>
      </c>
      <c r="J5596" s="2"/>
      <c r="K5596" s="2"/>
      <c r="L5596" s="2"/>
      <c r="M5596" s="2" t="s">
        <v>14812</v>
      </c>
      <c r="N5596" s="2" t="str">
        <f>IFERROR(__xludf.DUMMYFUNCTION("""COMPUTED_VALUE"""),"")</f>
        <v/>
      </c>
    </row>
    <row r="5597">
      <c r="A5597" s="2" t="s">
        <v>33</v>
      </c>
      <c r="B5597" s="12">
        <v>5424974.0</v>
      </c>
      <c r="C5597" s="12">
        <v>5425503.0</v>
      </c>
      <c r="D5597" s="2"/>
      <c r="E5597" s="2" t="s">
        <v>38</v>
      </c>
      <c r="F5597" s="2" t="s">
        <v>35</v>
      </c>
      <c r="G5597" s="2" t="s">
        <v>61</v>
      </c>
      <c r="H5597" s="12">
        <v>0.0</v>
      </c>
      <c r="I5597" s="2" t="s">
        <v>36</v>
      </c>
      <c r="J5597" s="2"/>
      <c r="K5597" s="2"/>
      <c r="L5597" s="2"/>
      <c r="M5597" s="2" t="s">
        <v>14813</v>
      </c>
      <c r="N5597" s="2" t="str">
        <f>IFERROR(__xludf.DUMMYFUNCTION("""COMPUTED_VALUE"""),"")</f>
        <v/>
      </c>
    </row>
    <row r="5598">
      <c r="A5598" s="2" t="s">
        <v>33</v>
      </c>
      <c r="B5598" s="12">
        <v>5425580.0</v>
      </c>
      <c r="C5598" s="12">
        <v>5427707.0</v>
      </c>
      <c r="D5598" s="2"/>
      <c r="E5598" s="2" t="s">
        <v>38</v>
      </c>
      <c r="F5598" s="2" t="s">
        <v>35</v>
      </c>
      <c r="G5598" s="2"/>
      <c r="H5598" s="12">
        <v>0.0</v>
      </c>
      <c r="I5598" s="2" t="s">
        <v>36</v>
      </c>
      <c r="J5598" s="2"/>
      <c r="K5598" s="2"/>
      <c r="L5598" s="2"/>
      <c r="M5598" s="2" t="s">
        <v>14814</v>
      </c>
      <c r="N5598" s="2" t="str">
        <f>IFERROR(__xludf.DUMMYFUNCTION("""COMPUTED_VALUE"""),"")</f>
        <v/>
      </c>
    </row>
    <row r="5599">
      <c r="A5599" s="2" t="s">
        <v>33</v>
      </c>
      <c r="B5599" s="12">
        <v>5427942.0</v>
      </c>
      <c r="C5599" s="12">
        <v>5429336.0</v>
      </c>
      <c r="D5599" s="2"/>
      <c r="E5599" s="2" t="s">
        <v>38</v>
      </c>
      <c r="F5599" s="2" t="s">
        <v>35</v>
      </c>
      <c r="G5599" s="2"/>
      <c r="H5599" s="12">
        <v>0.0</v>
      </c>
      <c r="I5599" s="2" t="s">
        <v>36</v>
      </c>
      <c r="J5599" s="2"/>
      <c r="K5599" s="2"/>
      <c r="L5599" s="2"/>
      <c r="M5599" s="2" t="s">
        <v>14815</v>
      </c>
      <c r="N5599" s="2" t="str">
        <f>IFERROR(__xludf.DUMMYFUNCTION("""COMPUTED_VALUE"""),"")</f>
        <v/>
      </c>
    </row>
    <row r="5600">
      <c r="A5600" s="2" t="s">
        <v>14816</v>
      </c>
      <c r="B5600" s="12">
        <v>328.0</v>
      </c>
      <c r="C5600" s="12">
        <v>519.0</v>
      </c>
      <c r="D5600" s="2" t="s">
        <v>14817</v>
      </c>
      <c r="E5600" s="2" t="s">
        <v>34</v>
      </c>
      <c r="F5600" s="2" t="s">
        <v>216</v>
      </c>
      <c r="G5600" s="2"/>
      <c r="H5600" s="12">
        <v>0.0</v>
      </c>
      <c r="I5600" s="2" t="s">
        <v>40</v>
      </c>
      <c r="J5600" s="2"/>
      <c r="K5600" s="2" t="s">
        <v>14818</v>
      </c>
      <c r="L5600" s="12">
        <v>63.0</v>
      </c>
      <c r="M5600" s="2" t="s">
        <v>14819</v>
      </c>
      <c r="N5600" s="2" t="str">
        <f>IFERROR(__xludf.DUMMYFUNCTION("""COMPUTED_VALUE"""),"")</f>
        <v/>
      </c>
    </row>
    <row r="5601">
      <c r="A5601" s="2" t="s">
        <v>14816</v>
      </c>
      <c r="B5601" s="12">
        <v>506.0</v>
      </c>
      <c r="C5601" s="12">
        <v>1003.0</v>
      </c>
      <c r="D5601" s="2" t="s">
        <v>14817</v>
      </c>
      <c r="E5601" s="2" t="s">
        <v>34</v>
      </c>
      <c r="F5601" s="2" t="s">
        <v>39</v>
      </c>
      <c r="G5601" s="2"/>
      <c r="H5601" s="12">
        <v>0.0</v>
      </c>
      <c r="I5601" s="2" t="s">
        <v>40</v>
      </c>
      <c r="J5601" s="2"/>
      <c r="K5601" s="2" t="s">
        <v>14820</v>
      </c>
      <c r="L5601" s="12">
        <v>165.0</v>
      </c>
      <c r="M5601" s="2" t="s">
        <v>14821</v>
      </c>
      <c r="N5601" s="2" t="str">
        <f>IFERROR(__xludf.DUMMYFUNCTION("""COMPUTED_VALUE"""),"")</f>
        <v/>
      </c>
    </row>
    <row r="5602">
      <c r="A5602" s="2" t="s">
        <v>14816</v>
      </c>
      <c r="B5602" s="12">
        <v>1078.0</v>
      </c>
      <c r="C5602" s="12">
        <v>1293.0</v>
      </c>
      <c r="D5602" s="2" t="s">
        <v>14817</v>
      </c>
      <c r="E5602" s="2" t="s">
        <v>34</v>
      </c>
      <c r="F5602" s="2" t="s">
        <v>14822</v>
      </c>
      <c r="G5602" s="2"/>
      <c r="H5602" s="12">
        <v>0.0</v>
      </c>
      <c r="I5602" s="2" t="s">
        <v>40</v>
      </c>
      <c r="J5602" s="2"/>
      <c r="K5602" s="2" t="s">
        <v>14823</v>
      </c>
      <c r="L5602" s="12">
        <v>71.0</v>
      </c>
      <c r="M5602" s="2" t="s">
        <v>14824</v>
      </c>
      <c r="N5602" s="2" t="str">
        <f>IFERROR(__xludf.DUMMYFUNCTION("""COMPUTED_VALUE"""),"")</f>
        <v/>
      </c>
    </row>
    <row r="5603">
      <c r="A5603" s="2" t="s">
        <v>14816</v>
      </c>
      <c r="B5603" s="12">
        <v>1358.0</v>
      </c>
      <c r="C5603" s="12">
        <v>2059.0</v>
      </c>
      <c r="D5603" s="2" t="s">
        <v>14817</v>
      </c>
      <c r="E5603" s="2" t="s">
        <v>34</v>
      </c>
      <c r="F5603" s="2" t="s">
        <v>39</v>
      </c>
      <c r="G5603" s="2"/>
      <c r="H5603" s="12">
        <v>0.0</v>
      </c>
      <c r="I5603" s="2" t="s">
        <v>40</v>
      </c>
      <c r="J5603" s="2"/>
      <c r="K5603" s="2" t="s">
        <v>14825</v>
      </c>
      <c r="L5603" s="12">
        <v>233.0</v>
      </c>
      <c r="M5603" s="2" t="s">
        <v>14826</v>
      </c>
      <c r="N5603" s="2" t="str">
        <f>IFERROR(__xludf.DUMMYFUNCTION("""COMPUTED_VALUE"""),"")</f>
        <v/>
      </c>
    </row>
    <row r="5604">
      <c r="A5604" s="2" t="s">
        <v>14816</v>
      </c>
      <c r="B5604" s="12">
        <v>2072.0</v>
      </c>
      <c r="C5604" s="12">
        <v>4261.0</v>
      </c>
      <c r="D5604" s="2" t="s">
        <v>14817</v>
      </c>
      <c r="E5604" s="2" t="s">
        <v>34</v>
      </c>
      <c r="F5604" s="2" t="s">
        <v>14827</v>
      </c>
      <c r="G5604" s="2"/>
      <c r="H5604" s="12">
        <v>0.0</v>
      </c>
      <c r="I5604" s="2" t="s">
        <v>40</v>
      </c>
      <c r="J5604" s="2"/>
      <c r="K5604" s="2" t="s">
        <v>14828</v>
      </c>
      <c r="L5604" s="12">
        <v>729.0</v>
      </c>
      <c r="M5604" s="2" t="s">
        <v>14829</v>
      </c>
      <c r="N5604" s="2" t="str">
        <f>IFERROR(__xludf.DUMMYFUNCTION("""COMPUTED_VALUE"""),"")</f>
        <v/>
      </c>
    </row>
    <row r="5605">
      <c r="A5605" s="2" t="s">
        <v>14816</v>
      </c>
      <c r="B5605" s="12">
        <v>4312.0</v>
      </c>
      <c r="C5605" s="12">
        <v>4464.0</v>
      </c>
      <c r="D5605" s="2" t="s">
        <v>14817</v>
      </c>
      <c r="E5605" s="2" t="s">
        <v>34</v>
      </c>
      <c r="F5605" s="2" t="s">
        <v>12278</v>
      </c>
      <c r="G5605" s="2"/>
      <c r="H5605" s="12">
        <v>0.0</v>
      </c>
      <c r="I5605" s="2" t="s">
        <v>40</v>
      </c>
      <c r="J5605" s="2"/>
      <c r="K5605" s="2" t="s">
        <v>14830</v>
      </c>
      <c r="L5605" s="12">
        <v>50.0</v>
      </c>
      <c r="M5605" s="2" t="s">
        <v>14831</v>
      </c>
      <c r="N5605" s="2" t="str">
        <f>IFERROR(__xludf.DUMMYFUNCTION("""COMPUTED_VALUE"""),"")</f>
        <v/>
      </c>
    </row>
    <row r="5606">
      <c r="A5606" s="2" t="s">
        <v>14816</v>
      </c>
      <c r="B5606" s="12">
        <v>4480.0</v>
      </c>
      <c r="C5606" s="12">
        <v>4629.0</v>
      </c>
      <c r="D5606" s="2" t="s">
        <v>14817</v>
      </c>
      <c r="E5606" s="2" t="s">
        <v>34</v>
      </c>
      <c r="F5606" s="2" t="s">
        <v>39</v>
      </c>
      <c r="G5606" s="2"/>
      <c r="H5606" s="12">
        <v>0.0</v>
      </c>
      <c r="I5606" s="2" t="s">
        <v>40</v>
      </c>
      <c r="J5606" s="2"/>
      <c r="K5606" s="2" t="s">
        <v>14832</v>
      </c>
      <c r="L5606" s="12">
        <v>49.0</v>
      </c>
      <c r="M5606" s="2" t="s">
        <v>14833</v>
      </c>
      <c r="N5606" s="2" t="str">
        <f>IFERROR(__xludf.DUMMYFUNCTION("""COMPUTED_VALUE"""),"")</f>
        <v/>
      </c>
    </row>
    <row r="5607">
      <c r="A5607" s="2" t="s">
        <v>14816</v>
      </c>
      <c r="B5607" s="12">
        <v>4748.0</v>
      </c>
      <c r="C5607" s="12">
        <v>5095.0</v>
      </c>
      <c r="D5607" s="2" t="s">
        <v>14817</v>
      </c>
      <c r="E5607" s="2" t="s">
        <v>34</v>
      </c>
      <c r="F5607" s="2" t="s">
        <v>39</v>
      </c>
      <c r="G5607" s="2"/>
      <c r="H5607" s="12">
        <v>0.0</v>
      </c>
      <c r="I5607" s="2" t="s">
        <v>40</v>
      </c>
      <c r="J5607" s="2"/>
      <c r="K5607" s="2" t="s">
        <v>14834</v>
      </c>
      <c r="L5607" s="12">
        <v>115.0</v>
      </c>
      <c r="M5607" s="2" t="s">
        <v>14835</v>
      </c>
      <c r="N5607" s="2" t="str">
        <f>IFERROR(__xludf.DUMMYFUNCTION("""COMPUTED_VALUE"""),"")</f>
        <v/>
      </c>
    </row>
    <row r="5608">
      <c r="A5608" s="2" t="s">
        <v>14816</v>
      </c>
      <c r="B5608" s="12">
        <v>5260.0</v>
      </c>
      <c r="C5608" s="12">
        <v>5637.0</v>
      </c>
      <c r="D5608" s="2" t="s">
        <v>14817</v>
      </c>
      <c r="E5608" s="2" t="s">
        <v>34</v>
      </c>
      <c r="F5608" s="2" t="s">
        <v>39</v>
      </c>
      <c r="G5608" s="2"/>
      <c r="H5608" s="12">
        <v>0.0</v>
      </c>
      <c r="I5608" s="2" t="s">
        <v>40</v>
      </c>
      <c r="J5608" s="2"/>
      <c r="K5608" s="2" t="s">
        <v>14836</v>
      </c>
      <c r="L5608" s="12">
        <v>125.0</v>
      </c>
      <c r="M5608" s="2" t="s">
        <v>14837</v>
      </c>
      <c r="N5608" s="2" t="str">
        <f>IFERROR(__xludf.DUMMYFUNCTION("""COMPUTED_VALUE"""),"")</f>
        <v/>
      </c>
    </row>
    <row r="5609">
      <c r="A5609" s="2" t="s">
        <v>14816</v>
      </c>
      <c r="B5609" s="12">
        <v>5989.0</v>
      </c>
      <c r="C5609" s="12">
        <v>6639.0</v>
      </c>
      <c r="D5609" s="2" t="s">
        <v>14817</v>
      </c>
      <c r="E5609" s="2" t="s">
        <v>34</v>
      </c>
      <c r="F5609" s="2" t="s">
        <v>39</v>
      </c>
      <c r="G5609" s="2"/>
      <c r="H5609" s="12">
        <v>0.0</v>
      </c>
      <c r="I5609" s="2" t="s">
        <v>40</v>
      </c>
      <c r="J5609" s="2"/>
      <c r="K5609" s="2" t="s">
        <v>14838</v>
      </c>
      <c r="L5609" s="12">
        <v>216.0</v>
      </c>
      <c r="M5609" s="2" t="s">
        <v>14839</v>
      </c>
      <c r="N5609" s="2" t="str">
        <f>IFERROR(__xludf.DUMMYFUNCTION("""COMPUTED_VALUE"""),"")</f>
        <v/>
      </c>
    </row>
    <row r="5610">
      <c r="A5610" s="2" t="s">
        <v>14816</v>
      </c>
      <c r="B5610" s="12">
        <v>6652.0</v>
      </c>
      <c r="C5610" s="12">
        <v>6792.0</v>
      </c>
      <c r="D5610" s="2" t="s">
        <v>14817</v>
      </c>
      <c r="E5610" s="2" t="s">
        <v>34</v>
      </c>
      <c r="F5610" s="2" t="s">
        <v>39</v>
      </c>
      <c r="G5610" s="2"/>
      <c r="H5610" s="12">
        <v>0.0</v>
      </c>
      <c r="I5610" s="2" t="s">
        <v>40</v>
      </c>
      <c r="J5610" s="2"/>
      <c r="K5610" s="2" t="s">
        <v>14840</v>
      </c>
      <c r="L5610" s="12">
        <v>46.0</v>
      </c>
      <c r="M5610" s="2" t="s">
        <v>14841</v>
      </c>
      <c r="N5610" s="2" t="str">
        <f>IFERROR(__xludf.DUMMYFUNCTION("""COMPUTED_VALUE"""),"")</f>
        <v/>
      </c>
    </row>
    <row r="5611">
      <c r="A5611" s="2" t="s">
        <v>14816</v>
      </c>
      <c r="B5611" s="12">
        <v>6807.0</v>
      </c>
      <c r="C5611" s="12">
        <v>6944.0</v>
      </c>
      <c r="D5611" s="2" t="s">
        <v>14817</v>
      </c>
      <c r="E5611" s="2" t="s">
        <v>34</v>
      </c>
      <c r="F5611" s="2" t="s">
        <v>39</v>
      </c>
      <c r="G5611" s="2"/>
      <c r="H5611" s="12">
        <v>0.0</v>
      </c>
      <c r="I5611" s="2" t="s">
        <v>40</v>
      </c>
      <c r="J5611" s="2"/>
      <c r="K5611" s="2" t="s">
        <v>14842</v>
      </c>
      <c r="L5611" s="12">
        <v>45.0</v>
      </c>
      <c r="M5611" s="2" t="s">
        <v>14843</v>
      </c>
      <c r="N5611" s="2" t="str">
        <f>IFERROR(__xludf.DUMMYFUNCTION("""COMPUTED_VALUE"""),"")</f>
        <v/>
      </c>
    </row>
    <row r="5612">
      <c r="A5612" s="2" t="s">
        <v>14816</v>
      </c>
      <c r="B5612" s="12">
        <v>6948.0</v>
      </c>
      <c r="C5612" s="12">
        <v>8015.0</v>
      </c>
      <c r="D5612" s="2" t="s">
        <v>14817</v>
      </c>
      <c r="E5612" s="2" t="s">
        <v>34</v>
      </c>
      <c r="F5612" s="2" t="s">
        <v>39</v>
      </c>
      <c r="G5612" s="2"/>
      <c r="H5612" s="12">
        <v>0.0</v>
      </c>
      <c r="I5612" s="2" t="s">
        <v>40</v>
      </c>
      <c r="J5612" s="2"/>
      <c r="K5612" s="2" t="s">
        <v>14844</v>
      </c>
      <c r="L5612" s="12">
        <v>355.0</v>
      </c>
      <c r="M5612" s="2" t="s">
        <v>14845</v>
      </c>
      <c r="N5612" s="2" t="str">
        <f>IFERROR(__xludf.DUMMYFUNCTION("""COMPUTED_VALUE"""),"")</f>
        <v/>
      </c>
    </row>
    <row r="5613">
      <c r="A5613" s="2" t="s">
        <v>14816</v>
      </c>
      <c r="B5613" s="12">
        <v>8056.0</v>
      </c>
      <c r="C5613" s="12">
        <v>8286.0</v>
      </c>
      <c r="D5613" s="2" t="s">
        <v>14817</v>
      </c>
      <c r="E5613" s="2" t="s">
        <v>34</v>
      </c>
      <c r="F5613" s="2" t="s">
        <v>39</v>
      </c>
      <c r="G5613" s="2"/>
      <c r="H5613" s="12">
        <v>0.0</v>
      </c>
      <c r="I5613" s="2" t="s">
        <v>40</v>
      </c>
      <c r="J5613" s="2"/>
      <c r="K5613" s="2" t="s">
        <v>14846</v>
      </c>
      <c r="L5613" s="12">
        <v>76.0</v>
      </c>
      <c r="M5613" s="2" t="s">
        <v>14847</v>
      </c>
      <c r="N5613" s="2" t="str">
        <f>IFERROR(__xludf.DUMMYFUNCTION("""COMPUTED_VALUE"""),"")</f>
        <v/>
      </c>
    </row>
    <row r="5614">
      <c r="A5614" s="2" t="s">
        <v>14816</v>
      </c>
      <c r="B5614" s="12">
        <v>8289.0</v>
      </c>
      <c r="C5614" s="12">
        <v>8462.0</v>
      </c>
      <c r="D5614" s="2" t="s">
        <v>14817</v>
      </c>
      <c r="E5614" s="2" t="s">
        <v>34</v>
      </c>
      <c r="F5614" s="2" t="s">
        <v>39</v>
      </c>
      <c r="G5614" s="2"/>
      <c r="H5614" s="12">
        <v>0.0</v>
      </c>
      <c r="I5614" s="2" t="s">
        <v>40</v>
      </c>
      <c r="J5614" s="2"/>
      <c r="K5614" s="2" t="s">
        <v>14848</v>
      </c>
      <c r="L5614" s="12">
        <v>57.0</v>
      </c>
      <c r="M5614" s="2" t="s">
        <v>14849</v>
      </c>
      <c r="N5614" s="2" t="str">
        <f>IFERROR(__xludf.DUMMYFUNCTION("""COMPUTED_VALUE"""),"")</f>
        <v/>
      </c>
    </row>
    <row r="5615">
      <c r="A5615" s="2" t="s">
        <v>14816</v>
      </c>
      <c r="B5615" s="12">
        <v>8536.0</v>
      </c>
      <c r="C5615" s="12">
        <v>8958.0</v>
      </c>
      <c r="D5615" s="2" t="s">
        <v>14817</v>
      </c>
      <c r="E5615" s="2" t="s">
        <v>34</v>
      </c>
      <c r="F5615" s="2" t="s">
        <v>39</v>
      </c>
      <c r="G5615" s="2"/>
      <c r="H5615" s="12">
        <v>0.0</v>
      </c>
      <c r="I5615" s="2" t="s">
        <v>40</v>
      </c>
      <c r="J5615" s="2"/>
      <c r="K5615" s="2" t="s">
        <v>14850</v>
      </c>
      <c r="L5615" s="12">
        <v>140.0</v>
      </c>
      <c r="M5615" s="2" t="s">
        <v>14851</v>
      </c>
      <c r="N5615" s="2" t="str">
        <f>IFERROR(__xludf.DUMMYFUNCTION("""COMPUTED_VALUE"""),"")</f>
        <v/>
      </c>
    </row>
    <row r="5616">
      <c r="A5616" s="2" t="s">
        <v>14816</v>
      </c>
      <c r="B5616" s="12">
        <v>9132.0</v>
      </c>
      <c r="C5616" s="12">
        <v>9278.0</v>
      </c>
      <c r="D5616" s="2" t="s">
        <v>14817</v>
      </c>
      <c r="E5616" s="2" t="s">
        <v>34</v>
      </c>
      <c r="F5616" s="2" t="s">
        <v>39</v>
      </c>
      <c r="G5616" s="2"/>
      <c r="H5616" s="12">
        <v>0.0</v>
      </c>
      <c r="I5616" s="2" t="s">
        <v>40</v>
      </c>
      <c r="J5616" s="2"/>
      <c r="K5616" s="2" t="s">
        <v>14852</v>
      </c>
      <c r="L5616" s="12">
        <v>48.0</v>
      </c>
      <c r="M5616" s="2" t="s">
        <v>14853</v>
      </c>
      <c r="N5616" s="2" t="str">
        <f>IFERROR(__xludf.DUMMYFUNCTION("""COMPUTED_VALUE"""),"")</f>
        <v/>
      </c>
    </row>
    <row r="5617">
      <c r="A5617" s="2" t="s">
        <v>14816</v>
      </c>
      <c r="B5617" s="12">
        <v>9290.0</v>
      </c>
      <c r="C5617" s="12">
        <v>9568.0</v>
      </c>
      <c r="D5617" s="2" t="s">
        <v>14817</v>
      </c>
      <c r="E5617" s="2" t="s">
        <v>34</v>
      </c>
      <c r="F5617" s="2" t="s">
        <v>39</v>
      </c>
      <c r="G5617" s="2"/>
      <c r="H5617" s="12">
        <v>0.0</v>
      </c>
      <c r="I5617" s="2" t="s">
        <v>40</v>
      </c>
      <c r="J5617" s="2"/>
      <c r="K5617" s="2" t="s">
        <v>14854</v>
      </c>
      <c r="L5617" s="12">
        <v>92.0</v>
      </c>
      <c r="M5617" s="2" t="s">
        <v>14855</v>
      </c>
      <c r="N5617" s="2" t="str">
        <f>IFERROR(__xludf.DUMMYFUNCTION("""COMPUTED_VALUE"""),"")</f>
        <v/>
      </c>
    </row>
    <row r="5618">
      <c r="A5618" s="2" t="s">
        <v>14816</v>
      </c>
      <c r="B5618" s="12">
        <v>9581.0</v>
      </c>
      <c r="C5618" s="12">
        <v>10174.0</v>
      </c>
      <c r="D5618" s="2" t="s">
        <v>14817</v>
      </c>
      <c r="E5618" s="2" t="s">
        <v>34</v>
      </c>
      <c r="F5618" s="2" t="s">
        <v>39</v>
      </c>
      <c r="G5618" s="2"/>
      <c r="H5618" s="12">
        <v>0.0</v>
      </c>
      <c r="I5618" s="2" t="s">
        <v>40</v>
      </c>
      <c r="J5618" s="2"/>
      <c r="K5618" s="2" t="s">
        <v>14856</v>
      </c>
      <c r="L5618" s="12">
        <v>197.0</v>
      </c>
      <c r="M5618" s="2" t="s">
        <v>14857</v>
      </c>
      <c r="N5618" s="2" t="str">
        <f>IFERROR(__xludf.DUMMYFUNCTION("""COMPUTED_VALUE"""),"")</f>
        <v/>
      </c>
    </row>
    <row r="5619">
      <c r="A5619" s="2" t="s">
        <v>14816</v>
      </c>
      <c r="B5619" s="12">
        <v>10178.0</v>
      </c>
      <c r="C5619" s="12">
        <v>10909.0</v>
      </c>
      <c r="D5619" s="2" t="s">
        <v>14817</v>
      </c>
      <c r="E5619" s="2" t="s">
        <v>34</v>
      </c>
      <c r="F5619" s="2" t="s">
        <v>14858</v>
      </c>
      <c r="G5619" s="2"/>
      <c r="H5619" s="12">
        <v>0.0</v>
      </c>
      <c r="I5619" s="2" t="s">
        <v>40</v>
      </c>
      <c r="J5619" s="2"/>
      <c r="K5619" s="2" t="s">
        <v>14859</v>
      </c>
      <c r="L5619" s="12">
        <v>243.0</v>
      </c>
      <c r="M5619" s="2" t="s">
        <v>14860</v>
      </c>
      <c r="N5619" s="2" t="str">
        <f>IFERROR(__xludf.DUMMYFUNCTION("""COMPUTED_VALUE"""),"")</f>
        <v/>
      </c>
    </row>
    <row r="5620">
      <c r="A5620" s="2" t="s">
        <v>14816</v>
      </c>
      <c r="B5620" s="12">
        <v>10857.0</v>
      </c>
      <c r="C5620" s="12">
        <v>11378.0</v>
      </c>
      <c r="D5620" s="2" t="s">
        <v>14817</v>
      </c>
      <c r="E5620" s="2" t="s">
        <v>34</v>
      </c>
      <c r="F5620" s="2" t="s">
        <v>14861</v>
      </c>
      <c r="G5620" s="2"/>
      <c r="H5620" s="12">
        <v>0.0</v>
      </c>
      <c r="I5620" s="2" t="s">
        <v>40</v>
      </c>
      <c r="J5620" s="2"/>
      <c r="K5620" s="2" t="s">
        <v>14862</v>
      </c>
      <c r="L5620" s="12">
        <v>173.0</v>
      </c>
      <c r="M5620" s="2" t="s">
        <v>14863</v>
      </c>
      <c r="N5620" s="2" t="str">
        <f>IFERROR(__xludf.DUMMYFUNCTION("""COMPUTED_VALUE"""),"")</f>
        <v/>
      </c>
    </row>
    <row r="5621">
      <c r="A5621" s="2" t="s">
        <v>14816</v>
      </c>
      <c r="B5621" s="12">
        <v>11391.0</v>
      </c>
      <c r="C5621" s="12">
        <v>12185.0</v>
      </c>
      <c r="D5621" s="2" t="s">
        <v>14817</v>
      </c>
      <c r="E5621" s="2" t="s">
        <v>34</v>
      </c>
      <c r="F5621" s="2" t="s">
        <v>39</v>
      </c>
      <c r="G5621" s="2"/>
      <c r="H5621" s="12">
        <v>0.0</v>
      </c>
      <c r="I5621" s="2" t="s">
        <v>40</v>
      </c>
      <c r="J5621" s="2"/>
      <c r="K5621" s="2" t="s">
        <v>14864</v>
      </c>
      <c r="L5621" s="12">
        <v>264.0</v>
      </c>
      <c r="M5621" s="2" t="s">
        <v>14865</v>
      </c>
      <c r="N5621" s="2" t="str">
        <f>IFERROR(__xludf.DUMMYFUNCTION("""COMPUTED_VALUE"""),"")</f>
        <v/>
      </c>
    </row>
    <row r="5622">
      <c r="A5622" s="2" t="s">
        <v>14816</v>
      </c>
      <c r="B5622" s="12">
        <v>12190.0</v>
      </c>
      <c r="C5622" s="12">
        <v>14151.0</v>
      </c>
      <c r="D5622" s="2" t="s">
        <v>14817</v>
      </c>
      <c r="E5622" s="2" t="s">
        <v>34</v>
      </c>
      <c r="F5622" s="2" t="s">
        <v>39</v>
      </c>
      <c r="G5622" s="2"/>
      <c r="H5622" s="12">
        <v>0.0</v>
      </c>
      <c r="I5622" s="2" t="s">
        <v>40</v>
      </c>
      <c r="J5622" s="2"/>
      <c r="K5622" s="2" t="s">
        <v>14866</v>
      </c>
      <c r="L5622" s="12">
        <v>653.0</v>
      </c>
      <c r="M5622" s="2" t="s">
        <v>14867</v>
      </c>
      <c r="N5622" s="2" t="str">
        <f>IFERROR(__xludf.DUMMYFUNCTION("""COMPUTED_VALUE"""),"")</f>
        <v/>
      </c>
    </row>
    <row r="5623">
      <c r="A5623" s="2" t="s">
        <v>14816</v>
      </c>
      <c r="B5623" s="12">
        <v>14164.0</v>
      </c>
      <c r="C5623" s="12">
        <v>14451.0</v>
      </c>
      <c r="D5623" s="2" t="s">
        <v>14817</v>
      </c>
      <c r="E5623" s="2" t="s">
        <v>34</v>
      </c>
      <c r="F5623" s="2" t="s">
        <v>39</v>
      </c>
      <c r="G5623" s="2"/>
      <c r="H5623" s="12">
        <v>0.0</v>
      </c>
      <c r="I5623" s="2" t="s">
        <v>40</v>
      </c>
      <c r="J5623" s="2"/>
      <c r="K5623" s="2" t="s">
        <v>14868</v>
      </c>
      <c r="L5623" s="12">
        <v>95.0</v>
      </c>
      <c r="M5623" s="2" t="s">
        <v>14869</v>
      </c>
      <c r="N5623" s="2" t="str">
        <f>IFERROR(__xludf.DUMMYFUNCTION("""COMPUTED_VALUE"""),"")</f>
        <v/>
      </c>
    </row>
    <row r="5624">
      <c r="A5624" s="2" t="s">
        <v>14816</v>
      </c>
      <c r="B5624" s="12">
        <v>14464.0</v>
      </c>
      <c r="C5624" s="12">
        <v>15147.0</v>
      </c>
      <c r="D5624" s="2" t="s">
        <v>14817</v>
      </c>
      <c r="E5624" s="2" t="s">
        <v>34</v>
      </c>
      <c r="F5624" s="2" t="s">
        <v>937</v>
      </c>
      <c r="G5624" s="2"/>
      <c r="H5624" s="12">
        <v>0.0</v>
      </c>
      <c r="I5624" s="2" t="s">
        <v>40</v>
      </c>
      <c r="J5624" s="2"/>
      <c r="K5624" s="2" t="s">
        <v>14870</v>
      </c>
      <c r="L5624" s="12">
        <v>227.0</v>
      </c>
      <c r="M5624" s="2" t="s">
        <v>14871</v>
      </c>
      <c r="N5624" s="2" t="str">
        <f>IFERROR(__xludf.DUMMYFUNCTION("""COMPUTED_VALUE"""),"")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14872</v>
      </c>
      <c r="B1" s="2" t="s">
        <v>14873</v>
      </c>
      <c r="C1" s="2" t="s">
        <v>14874</v>
      </c>
      <c r="D1" s="2" t="s">
        <v>14875</v>
      </c>
      <c r="E1" s="2" t="s">
        <v>14876</v>
      </c>
      <c r="F1" s="2" t="s">
        <v>14877</v>
      </c>
      <c r="G1" s="2" t="s">
        <v>14878</v>
      </c>
    </row>
    <row r="2">
      <c r="A2" s="2" t="s">
        <v>10249</v>
      </c>
      <c r="B2" s="2" t="s">
        <v>10250</v>
      </c>
      <c r="C2" s="2" t="s">
        <v>14879</v>
      </c>
      <c r="D2" s="2" t="s">
        <v>14880</v>
      </c>
      <c r="E2" s="2" t="s">
        <v>14881</v>
      </c>
      <c r="F2" s="2" t="s">
        <v>14882</v>
      </c>
      <c r="G2" s="2" t="s">
        <v>14883</v>
      </c>
    </row>
    <row r="3">
      <c r="A3" s="2" t="s">
        <v>10249</v>
      </c>
      <c r="B3" s="2" t="s">
        <v>10250</v>
      </c>
      <c r="C3" s="2" t="s">
        <v>14879</v>
      </c>
      <c r="D3" s="11" t="s">
        <v>14880</v>
      </c>
      <c r="E3" s="2" t="s">
        <v>14884</v>
      </c>
      <c r="F3" s="2" t="s">
        <v>14885</v>
      </c>
      <c r="G3" s="2" t="s">
        <v>14886</v>
      </c>
    </row>
    <row r="4">
      <c r="A4" s="2" t="s">
        <v>10249</v>
      </c>
      <c r="B4" s="2" t="s">
        <v>10250</v>
      </c>
      <c r="C4" s="2" t="s">
        <v>14879</v>
      </c>
      <c r="D4" s="2" t="s">
        <v>14880</v>
      </c>
      <c r="E4" s="2" t="s">
        <v>14887</v>
      </c>
      <c r="F4" s="2" t="s">
        <v>14888</v>
      </c>
      <c r="G4" s="2" t="s">
        <v>14889</v>
      </c>
    </row>
    <row r="5">
      <c r="A5" s="2" t="s">
        <v>10249</v>
      </c>
      <c r="B5" s="2" t="s">
        <v>10250</v>
      </c>
      <c r="C5" s="2" t="s">
        <v>14879</v>
      </c>
      <c r="D5" s="11" t="s">
        <v>14880</v>
      </c>
      <c r="E5" s="2" t="s">
        <v>14890</v>
      </c>
      <c r="F5" s="2" t="s">
        <v>14891</v>
      </c>
      <c r="G5" s="2" t="s">
        <v>14892</v>
      </c>
    </row>
    <row r="6">
      <c r="A6" s="2" t="s">
        <v>10249</v>
      </c>
      <c r="B6" s="2" t="s">
        <v>10250</v>
      </c>
      <c r="C6" s="2" t="s">
        <v>14879</v>
      </c>
      <c r="D6" s="11" t="s">
        <v>14880</v>
      </c>
      <c r="E6" s="2" t="s">
        <v>14893</v>
      </c>
      <c r="F6" s="2" t="s">
        <v>14894</v>
      </c>
      <c r="G6" s="2" t="s">
        <v>14895</v>
      </c>
    </row>
    <row r="7">
      <c r="A7" s="2" t="s">
        <v>10249</v>
      </c>
      <c r="B7" s="2" t="s">
        <v>10250</v>
      </c>
      <c r="C7" s="2" t="s">
        <v>14879</v>
      </c>
      <c r="D7" s="2" t="s">
        <v>14880</v>
      </c>
      <c r="E7" s="2" t="s">
        <v>14896</v>
      </c>
      <c r="F7" s="2" t="s">
        <v>14897</v>
      </c>
      <c r="G7" s="2" t="s">
        <v>14898</v>
      </c>
    </row>
    <row r="8">
      <c r="A8" s="2" t="s">
        <v>10249</v>
      </c>
      <c r="B8" s="2" t="s">
        <v>10250</v>
      </c>
      <c r="C8" s="2" t="s">
        <v>14879</v>
      </c>
      <c r="D8" s="11" t="s">
        <v>14880</v>
      </c>
      <c r="E8" s="2" t="s">
        <v>14899</v>
      </c>
      <c r="F8" s="2" t="s">
        <v>14900</v>
      </c>
      <c r="G8" s="2" t="s">
        <v>14901</v>
      </c>
    </row>
    <row r="9">
      <c r="A9" s="2" t="s">
        <v>10249</v>
      </c>
      <c r="B9" s="2" t="s">
        <v>10250</v>
      </c>
      <c r="C9" s="2" t="s">
        <v>14879</v>
      </c>
      <c r="D9" s="2" t="s">
        <v>14880</v>
      </c>
      <c r="E9" s="2" t="s">
        <v>14902</v>
      </c>
      <c r="F9" s="2" t="s">
        <v>14903</v>
      </c>
      <c r="G9" s="2" t="s">
        <v>14904</v>
      </c>
    </row>
    <row r="10">
      <c r="A10" s="2" t="s">
        <v>10249</v>
      </c>
      <c r="B10" s="2" t="s">
        <v>10250</v>
      </c>
      <c r="C10" s="2" t="s">
        <v>14879</v>
      </c>
      <c r="D10" s="2" t="s">
        <v>14880</v>
      </c>
      <c r="E10" s="2" t="s">
        <v>14905</v>
      </c>
      <c r="F10" s="2" t="s">
        <v>14906</v>
      </c>
      <c r="G10" s="2" t="s">
        <v>14907</v>
      </c>
    </row>
    <row r="11">
      <c r="A11" s="2" t="s">
        <v>10249</v>
      </c>
      <c r="B11" s="2" t="s">
        <v>10250</v>
      </c>
      <c r="C11" s="2" t="s">
        <v>14879</v>
      </c>
      <c r="D11" s="2" t="s">
        <v>14880</v>
      </c>
      <c r="E11" s="2" t="s">
        <v>14908</v>
      </c>
      <c r="F11" s="2" t="s">
        <v>14909</v>
      </c>
      <c r="G11" s="2" t="s">
        <v>14910</v>
      </c>
    </row>
    <row r="12">
      <c r="A12" s="2" t="s">
        <v>10249</v>
      </c>
      <c r="B12" s="2" t="s">
        <v>10250</v>
      </c>
      <c r="C12" s="2" t="s">
        <v>14879</v>
      </c>
      <c r="D12" s="11" t="s">
        <v>14880</v>
      </c>
      <c r="E12" s="2" t="s">
        <v>14911</v>
      </c>
      <c r="F12" s="2" t="s">
        <v>14912</v>
      </c>
      <c r="G12" s="2" t="s">
        <v>14913</v>
      </c>
    </row>
    <row r="13">
      <c r="A13" s="2" t="s">
        <v>10249</v>
      </c>
      <c r="B13" s="2" t="s">
        <v>10250</v>
      </c>
      <c r="C13" s="2" t="s">
        <v>14879</v>
      </c>
      <c r="D13" s="2" t="s">
        <v>14880</v>
      </c>
      <c r="E13" s="2" t="s">
        <v>14914</v>
      </c>
      <c r="F13" s="2" t="s">
        <v>14915</v>
      </c>
      <c r="G13" s="2" t="s">
        <v>14916</v>
      </c>
    </row>
    <row r="14">
      <c r="A14" s="2" t="s">
        <v>10249</v>
      </c>
      <c r="B14" s="2" t="s">
        <v>10250</v>
      </c>
      <c r="C14" s="2" t="s">
        <v>14879</v>
      </c>
      <c r="D14" s="2" t="s">
        <v>14880</v>
      </c>
      <c r="E14" s="2" t="s">
        <v>14917</v>
      </c>
      <c r="F14" s="2" t="s">
        <v>14918</v>
      </c>
      <c r="G14" s="2" t="s">
        <v>14919</v>
      </c>
    </row>
    <row r="15">
      <c r="A15" s="2" t="s">
        <v>10249</v>
      </c>
      <c r="B15" s="2" t="s">
        <v>10250</v>
      </c>
      <c r="C15" s="2" t="s">
        <v>14879</v>
      </c>
      <c r="D15" s="2" t="s">
        <v>14880</v>
      </c>
      <c r="E15" s="2" t="s">
        <v>14920</v>
      </c>
      <c r="F15" s="2" t="s">
        <v>14921</v>
      </c>
      <c r="G15" s="2" t="s">
        <v>14922</v>
      </c>
    </row>
    <row r="16">
      <c r="A16" s="2" t="s">
        <v>10249</v>
      </c>
      <c r="B16" s="2" t="s">
        <v>10250</v>
      </c>
      <c r="C16" s="2" t="s">
        <v>14879</v>
      </c>
      <c r="D16" s="2" t="s">
        <v>14880</v>
      </c>
      <c r="E16" s="2" t="s">
        <v>14923</v>
      </c>
      <c r="F16" s="2" t="s">
        <v>14924</v>
      </c>
      <c r="G16" s="2" t="s">
        <v>14925</v>
      </c>
    </row>
    <row r="17">
      <c r="A17" s="2" t="s">
        <v>10249</v>
      </c>
      <c r="B17" s="2" t="s">
        <v>10250</v>
      </c>
      <c r="C17" s="2" t="s">
        <v>14879</v>
      </c>
      <c r="D17" s="2" t="s">
        <v>14880</v>
      </c>
      <c r="E17" s="2" t="s">
        <v>14926</v>
      </c>
      <c r="F17" s="2" t="s">
        <v>14927</v>
      </c>
      <c r="G17" s="2" t="s">
        <v>14928</v>
      </c>
    </row>
    <row r="18">
      <c r="A18" s="2" t="s">
        <v>10249</v>
      </c>
      <c r="B18" s="2" t="s">
        <v>10250</v>
      </c>
      <c r="C18" s="2" t="s">
        <v>14879</v>
      </c>
      <c r="D18" s="2" t="s">
        <v>14880</v>
      </c>
      <c r="E18" s="2" t="s">
        <v>14929</v>
      </c>
      <c r="F18" s="2" t="s">
        <v>14930</v>
      </c>
      <c r="G18" s="2" t="s">
        <v>14931</v>
      </c>
    </row>
    <row r="19">
      <c r="A19" s="2" t="s">
        <v>10249</v>
      </c>
      <c r="B19" s="2" t="s">
        <v>10250</v>
      </c>
      <c r="C19" s="2" t="s">
        <v>14879</v>
      </c>
      <c r="D19" s="2" t="s">
        <v>14880</v>
      </c>
      <c r="E19" s="2" t="s">
        <v>14932</v>
      </c>
      <c r="F19" s="2" t="s">
        <v>14933</v>
      </c>
      <c r="G19" s="2" t="s">
        <v>14934</v>
      </c>
    </row>
    <row r="20">
      <c r="A20" s="2" t="s">
        <v>10249</v>
      </c>
      <c r="B20" s="2" t="s">
        <v>10250</v>
      </c>
      <c r="C20" s="2" t="s">
        <v>14879</v>
      </c>
      <c r="D20" s="2" t="s">
        <v>14880</v>
      </c>
      <c r="E20" s="2" t="s">
        <v>14935</v>
      </c>
      <c r="F20" s="2" t="s">
        <v>14936</v>
      </c>
      <c r="G20" s="2" t="s">
        <v>14937</v>
      </c>
    </row>
    <row r="21">
      <c r="A21" s="2" t="s">
        <v>11826</v>
      </c>
      <c r="B21" s="2" t="s">
        <v>11827</v>
      </c>
      <c r="C21" s="2" t="s">
        <v>14938</v>
      </c>
      <c r="D21" s="2" t="s">
        <v>14939</v>
      </c>
      <c r="E21" s="2" t="s">
        <v>14940</v>
      </c>
      <c r="F21" s="2" t="s">
        <v>14941</v>
      </c>
      <c r="G21" s="2" t="s">
        <v>14942</v>
      </c>
    </row>
    <row r="22">
      <c r="A22" s="2" t="s">
        <v>11826</v>
      </c>
      <c r="B22" s="2" t="s">
        <v>11827</v>
      </c>
      <c r="C22" s="2" t="s">
        <v>14938</v>
      </c>
      <c r="D22" s="2" t="s">
        <v>14939</v>
      </c>
      <c r="E22" s="2" t="s">
        <v>14943</v>
      </c>
      <c r="F22" s="2" t="s">
        <v>14944</v>
      </c>
      <c r="G22" s="2" t="s">
        <v>14945</v>
      </c>
    </row>
    <row r="23">
      <c r="A23" s="2" t="s">
        <v>11826</v>
      </c>
      <c r="B23" s="2" t="s">
        <v>11827</v>
      </c>
      <c r="C23" s="2" t="s">
        <v>14938</v>
      </c>
      <c r="D23" s="2" t="s">
        <v>14939</v>
      </c>
      <c r="E23" s="2" t="s">
        <v>14946</v>
      </c>
      <c r="F23" s="2" t="s">
        <v>14947</v>
      </c>
      <c r="G23" s="2" t="s">
        <v>14948</v>
      </c>
    </row>
    <row r="24">
      <c r="A24" s="2" t="s">
        <v>11826</v>
      </c>
      <c r="B24" s="2" t="s">
        <v>11827</v>
      </c>
      <c r="C24" s="2" t="s">
        <v>14938</v>
      </c>
      <c r="D24" s="2" t="s">
        <v>14939</v>
      </c>
      <c r="E24" s="2" t="s">
        <v>14949</v>
      </c>
      <c r="F24" s="2" t="s">
        <v>14950</v>
      </c>
      <c r="G24" s="2" t="s">
        <v>14951</v>
      </c>
    </row>
    <row r="25">
      <c r="A25" s="2" t="s">
        <v>11826</v>
      </c>
      <c r="B25" s="2" t="s">
        <v>11827</v>
      </c>
      <c r="C25" s="2" t="s">
        <v>14938</v>
      </c>
      <c r="D25" s="2" t="s">
        <v>14939</v>
      </c>
      <c r="E25" s="2" t="s">
        <v>14952</v>
      </c>
      <c r="F25" s="2" t="s">
        <v>14953</v>
      </c>
      <c r="G25" s="2" t="s">
        <v>14954</v>
      </c>
    </row>
    <row r="26">
      <c r="A26" s="2" t="s">
        <v>11826</v>
      </c>
      <c r="B26" s="2" t="s">
        <v>11827</v>
      </c>
      <c r="C26" s="2" t="s">
        <v>14938</v>
      </c>
      <c r="D26" s="2" t="s">
        <v>14939</v>
      </c>
      <c r="E26" s="2" t="s">
        <v>14955</v>
      </c>
      <c r="F26" s="2" t="s">
        <v>14956</v>
      </c>
      <c r="G26" s="2" t="s">
        <v>14957</v>
      </c>
    </row>
    <row r="27">
      <c r="A27" s="2" t="s">
        <v>11826</v>
      </c>
      <c r="B27" s="2" t="s">
        <v>11827</v>
      </c>
      <c r="C27" s="2" t="s">
        <v>14938</v>
      </c>
      <c r="D27" s="2" t="s">
        <v>14939</v>
      </c>
      <c r="E27" s="2" t="s">
        <v>14958</v>
      </c>
      <c r="F27" s="2" t="s">
        <v>14959</v>
      </c>
      <c r="G27" s="2" t="s">
        <v>14960</v>
      </c>
    </row>
    <row r="28">
      <c r="A28" s="2" t="s">
        <v>11826</v>
      </c>
      <c r="B28" s="2" t="s">
        <v>11827</v>
      </c>
      <c r="C28" s="2" t="s">
        <v>14938</v>
      </c>
      <c r="D28" s="2" t="s">
        <v>14939</v>
      </c>
      <c r="E28" s="2" t="s">
        <v>14961</v>
      </c>
      <c r="F28" s="2" t="s">
        <v>14962</v>
      </c>
      <c r="G28" s="2" t="s">
        <v>14963</v>
      </c>
    </row>
    <row r="29">
      <c r="A29" s="2" t="s">
        <v>11826</v>
      </c>
      <c r="B29" s="2" t="s">
        <v>11827</v>
      </c>
      <c r="C29" s="2" t="s">
        <v>14938</v>
      </c>
      <c r="D29" s="2" t="s">
        <v>14939</v>
      </c>
      <c r="E29" s="2" t="s">
        <v>14964</v>
      </c>
      <c r="F29" s="2" t="s">
        <v>14965</v>
      </c>
      <c r="G29" s="2" t="s">
        <v>14966</v>
      </c>
    </row>
    <row r="30">
      <c r="A30" s="2" t="s">
        <v>11826</v>
      </c>
      <c r="B30" s="2" t="s">
        <v>11827</v>
      </c>
      <c r="C30" s="2" t="s">
        <v>14938</v>
      </c>
      <c r="D30" s="2" t="s">
        <v>14939</v>
      </c>
      <c r="E30" s="2" t="s">
        <v>14967</v>
      </c>
      <c r="F30" s="2" t="s">
        <v>14968</v>
      </c>
      <c r="G30" s="2" t="s">
        <v>14969</v>
      </c>
    </row>
    <row r="31">
      <c r="A31" s="2" t="s">
        <v>11826</v>
      </c>
      <c r="B31" s="2" t="s">
        <v>11827</v>
      </c>
      <c r="C31" s="2" t="s">
        <v>14938</v>
      </c>
      <c r="D31" s="2" t="s">
        <v>14939</v>
      </c>
      <c r="E31" s="2" t="s">
        <v>14970</v>
      </c>
      <c r="F31" s="2" t="s">
        <v>14971</v>
      </c>
      <c r="G31" s="2" t="s">
        <v>14972</v>
      </c>
    </row>
    <row r="32">
      <c r="A32" s="2" t="s">
        <v>3937</v>
      </c>
      <c r="B32" s="2" t="s">
        <v>3938</v>
      </c>
      <c r="C32" s="2" t="s">
        <v>14973</v>
      </c>
      <c r="D32" s="2" t="s">
        <v>14974</v>
      </c>
      <c r="E32" s="2" t="s">
        <v>14975</v>
      </c>
      <c r="F32" s="2" t="s">
        <v>14976</v>
      </c>
      <c r="G32" s="2" t="s">
        <v>14977</v>
      </c>
    </row>
    <row r="33">
      <c r="A33" s="2" t="s">
        <v>7600</v>
      </c>
      <c r="B33" s="2" t="s">
        <v>7601</v>
      </c>
      <c r="C33" s="2" t="s">
        <v>14978</v>
      </c>
      <c r="D33" s="2" t="s">
        <v>14979</v>
      </c>
      <c r="E33" s="2" t="s">
        <v>14980</v>
      </c>
      <c r="F33" s="2" t="s">
        <v>14981</v>
      </c>
      <c r="G33" s="2" t="s">
        <v>14982</v>
      </c>
    </row>
    <row r="34">
      <c r="A34" s="2" t="s">
        <v>7600</v>
      </c>
      <c r="B34" s="2" t="s">
        <v>7601</v>
      </c>
      <c r="C34" s="2" t="s">
        <v>14978</v>
      </c>
      <c r="D34" s="2" t="s">
        <v>14979</v>
      </c>
      <c r="E34" s="2" t="s">
        <v>14983</v>
      </c>
      <c r="F34" s="2" t="s">
        <v>14984</v>
      </c>
      <c r="G34" s="2" t="s">
        <v>14982</v>
      </c>
    </row>
    <row r="35">
      <c r="A35" s="2" t="s">
        <v>7600</v>
      </c>
      <c r="B35" s="2" t="s">
        <v>7601</v>
      </c>
      <c r="C35" s="2" t="s">
        <v>14978</v>
      </c>
      <c r="D35" s="2" t="s">
        <v>14979</v>
      </c>
      <c r="E35" s="2" t="s">
        <v>14985</v>
      </c>
      <c r="F35" s="2" t="s">
        <v>14986</v>
      </c>
      <c r="G35" s="2" t="s">
        <v>14987</v>
      </c>
    </row>
    <row r="36">
      <c r="A36" s="2" t="s">
        <v>2236</v>
      </c>
      <c r="B36" s="2" t="s">
        <v>2237</v>
      </c>
      <c r="C36" s="2" t="s">
        <v>14988</v>
      </c>
      <c r="D36" s="2" t="s">
        <v>14989</v>
      </c>
      <c r="E36" s="2" t="s">
        <v>14990</v>
      </c>
      <c r="F36" s="2" t="s">
        <v>14991</v>
      </c>
      <c r="G36" s="2" t="s">
        <v>14992</v>
      </c>
    </row>
    <row r="37">
      <c r="A37" s="2" t="s">
        <v>11026</v>
      </c>
      <c r="B37" s="2" t="s">
        <v>11027</v>
      </c>
      <c r="C37" s="2" t="s">
        <v>14993</v>
      </c>
      <c r="D37" s="2" t="s">
        <v>14994</v>
      </c>
      <c r="E37" s="2" t="s">
        <v>14995</v>
      </c>
      <c r="F37" s="2" t="s">
        <v>14996</v>
      </c>
      <c r="G37" s="2" t="s">
        <v>14997</v>
      </c>
    </row>
    <row r="38">
      <c r="A38" s="2" t="s">
        <v>7171</v>
      </c>
      <c r="B38" s="2" t="s">
        <v>7172</v>
      </c>
      <c r="C38" s="2" t="s">
        <v>14998</v>
      </c>
      <c r="D38" s="2" t="s">
        <v>14999</v>
      </c>
      <c r="E38" s="2" t="s">
        <v>15000</v>
      </c>
      <c r="F38" s="2" t="s">
        <v>15001</v>
      </c>
      <c r="G38" s="2" t="s">
        <v>15002</v>
      </c>
    </row>
    <row r="39">
      <c r="A39" s="2" t="s">
        <v>7171</v>
      </c>
      <c r="B39" s="2" t="s">
        <v>7172</v>
      </c>
      <c r="C39" s="2" t="s">
        <v>14998</v>
      </c>
      <c r="D39" s="2" t="s">
        <v>14999</v>
      </c>
      <c r="E39" s="2" t="s">
        <v>15003</v>
      </c>
      <c r="F39" s="2" t="s">
        <v>15004</v>
      </c>
      <c r="G39" s="2" t="s">
        <v>15005</v>
      </c>
    </row>
    <row r="40">
      <c r="A40" s="2" t="s">
        <v>3410</v>
      </c>
      <c r="B40" s="2" t="s">
        <v>3411</v>
      </c>
      <c r="C40" s="2" t="s">
        <v>15006</v>
      </c>
      <c r="D40" s="2" t="s">
        <v>15007</v>
      </c>
      <c r="E40" s="2" t="s">
        <v>15008</v>
      </c>
      <c r="F40" s="2" t="s">
        <v>15009</v>
      </c>
      <c r="G40" s="2" t="s">
        <v>15010</v>
      </c>
    </row>
    <row r="41">
      <c r="A41" s="2" t="s">
        <v>3410</v>
      </c>
      <c r="B41" s="2" t="s">
        <v>3411</v>
      </c>
      <c r="C41" s="2" t="s">
        <v>15006</v>
      </c>
      <c r="D41" s="2" t="s">
        <v>15007</v>
      </c>
      <c r="E41" s="2" t="s">
        <v>15011</v>
      </c>
      <c r="F41" s="2" t="s">
        <v>15012</v>
      </c>
      <c r="G41" s="2" t="s">
        <v>15010</v>
      </c>
    </row>
    <row r="42">
      <c r="A42" s="2" t="s">
        <v>3410</v>
      </c>
      <c r="B42" s="2" t="s">
        <v>3411</v>
      </c>
      <c r="C42" s="2" t="s">
        <v>15006</v>
      </c>
      <c r="D42" s="2" t="s">
        <v>15007</v>
      </c>
      <c r="E42" s="2" t="s">
        <v>15013</v>
      </c>
      <c r="F42" s="2" t="s">
        <v>15014</v>
      </c>
      <c r="G42" s="2" t="s">
        <v>15015</v>
      </c>
    </row>
    <row r="43">
      <c r="A43" s="2" t="s">
        <v>10337</v>
      </c>
      <c r="B43" s="2" t="s">
        <v>10338</v>
      </c>
      <c r="C43" s="2" t="s">
        <v>15016</v>
      </c>
      <c r="D43" s="2" t="s">
        <v>15017</v>
      </c>
      <c r="E43" s="2" t="s">
        <v>15018</v>
      </c>
      <c r="F43" s="2" t="s">
        <v>15019</v>
      </c>
      <c r="G43" s="2" t="s">
        <v>15020</v>
      </c>
    </row>
    <row r="44">
      <c r="A44" s="2" t="s">
        <v>10337</v>
      </c>
      <c r="B44" s="2" t="s">
        <v>10338</v>
      </c>
      <c r="C44" s="2" t="s">
        <v>15016</v>
      </c>
      <c r="D44" s="2" t="s">
        <v>15017</v>
      </c>
      <c r="E44" s="2" t="s">
        <v>15021</v>
      </c>
      <c r="F44" s="2" t="s">
        <v>15022</v>
      </c>
      <c r="G44" s="2" t="s">
        <v>15023</v>
      </c>
    </row>
    <row r="45">
      <c r="A45" s="2" t="s">
        <v>11939</v>
      </c>
      <c r="B45" s="2" t="s">
        <v>11940</v>
      </c>
      <c r="C45" s="2" t="s">
        <v>15024</v>
      </c>
      <c r="D45" s="2" t="s">
        <v>15025</v>
      </c>
      <c r="E45" s="2" t="s">
        <v>15026</v>
      </c>
      <c r="F45" s="2" t="s">
        <v>15027</v>
      </c>
      <c r="G45" s="2" t="s">
        <v>15028</v>
      </c>
    </row>
    <row r="46">
      <c r="A46" s="2"/>
      <c r="B46" s="2"/>
      <c r="C46" s="2" t="s">
        <v>15029</v>
      </c>
      <c r="D46" s="2" t="s">
        <v>15030</v>
      </c>
      <c r="E46" s="2" t="s">
        <v>15031</v>
      </c>
      <c r="F46" s="2" t="s">
        <v>15032</v>
      </c>
      <c r="G46" s="2" t="s">
        <v>15033</v>
      </c>
    </row>
    <row r="47">
      <c r="A47" s="2"/>
      <c r="B47" s="2"/>
      <c r="C47" s="2" t="s">
        <v>15029</v>
      </c>
      <c r="D47" s="2" t="s">
        <v>15030</v>
      </c>
      <c r="E47" s="2" t="s">
        <v>15034</v>
      </c>
      <c r="F47" s="2" t="s">
        <v>15035</v>
      </c>
      <c r="G47" s="2" t="s">
        <v>15036</v>
      </c>
    </row>
    <row r="48">
      <c r="A48" s="2"/>
      <c r="B48" s="2"/>
      <c r="C48" s="2" t="s">
        <v>15029</v>
      </c>
      <c r="D48" s="2" t="s">
        <v>15030</v>
      </c>
      <c r="E48" s="2" t="s">
        <v>15037</v>
      </c>
      <c r="F48" s="2" t="s">
        <v>15038</v>
      </c>
      <c r="G48" s="2" t="s">
        <v>15039</v>
      </c>
    </row>
    <row r="49">
      <c r="A49" s="2" t="s">
        <v>254</v>
      </c>
      <c r="B49" s="2" t="s">
        <v>255</v>
      </c>
      <c r="C49" s="2" t="s">
        <v>15040</v>
      </c>
      <c r="D49" s="2" t="s">
        <v>15041</v>
      </c>
      <c r="E49" s="2" t="s">
        <v>15042</v>
      </c>
      <c r="F49" s="2" t="s">
        <v>15043</v>
      </c>
      <c r="G49" s="2" t="s">
        <v>15044</v>
      </c>
    </row>
    <row r="50">
      <c r="A50" s="2" t="s">
        <v>254</v>
      </c>
      <c r="B50" s="2" t="s">
        <v>255</v>
      </c>
      <c r="C50" s="2" t="s">
        <v>15040</v>
      </c>
      <c r="D50" s="2" t="s">
        <v>15041</v>
      </c>
      <c r="E50" s="2" t="s">
        <v>15045</v>
      </c>
      <c r="F50" s="2" t="s">
        <v>15046</v>
      </c>
      <c r="G50" s="2" t="s">
        <v>15047</v>
      </c>
    </row>
    <row r="51">
      <c r="A51" s="2" t="s">
        <v>12669</v>
      </c>
      <c r="B51" s="2" t="s">
        <v>12670</v>
      </c>
      <c r="C51" s="2" t="s">
        <v>15048</v>
      </c>
      <c r="D51" s="2" t="s">
        <v>15049</v>
      </c>
      <c r="E51" s="2" t="s">
        <v>15050</v>
      </c>
      <c r="F51" s="2" t="s">
        <v>15051</v>
      </c>
      <c r="G51" s="2" t="s">
        <v>15052</v>
      </c>
    </row>
    <row r="52">
      <c r="A52" s="2" t="s">
        <v>9574</v>
      </c>
      <c r="B52" s="2" t="s">
        <v>9575</v>
      </c>
      <c r="C52" s="2" t="s">
        <v>15053</v>
      </c>
      <c r="D52" s="2" t="s">
        <v>15054</v>
      </c>
      <c r="E52" s="2" t="s">
        <v>15055</v>
      </c>
      <c r="F52" s="2" t="s">
        <v>15056</v>
      </c>
      <c r="G52" s="2" t="s">
        <v>15057</v>
      </c>
    </row>
    <row r="53">
      <c r="A53" s="2" t="s">
        <v>9574</v>
      </c>
      <c r="B53" s="2" t="s">
        <v>9575</v>
      </c>
      <c r="C53" s="2" t="s">
        <v>15053</v>
      </c>
      <c r="D53" s="2" t="s">
        <v>15054</v>
      </c>
      <c r="E53" s="2" t="s">
        <v>15058</v>
      </c>
      <c r="F53" s="2" t="s">
        <v>15059</v>
      </c>
      <c r="G53" s="2" t="s">
        <v>15060</v>
      </c>
    </row>
    <row r="54">
      <c r="A54" s="2" t="s">
        <v>5407</v>
      </c>
      <c r="B54" s="2" t="s">
        <v>5408</v>
      </c>
      <c r="C54" s="2" t="s">
        <v>15061</v>
      </c>
      <c r="D54" s="2" t="s">
        <v>15062</v>
      </c>
      <c r="E54" s="2" t="s">
        <v>15063</v>
      </c>
      <c r="F54" s="2" t="s">
        <v>15064</v>
      </c>
      <c r="G54" s="2" t="s">
        <v>15065</v>
      </c>
    </row>
    <row r="55">
      <c r="A55" s="2" t="s">
        <v>3429</v>
      </c>
      <c r="B55" s="2" t="s">
        <v>3430</v>
      </c>
      <c r="C55" s="2" t="s">
        <v>15066</v>
      </c>
      <c r="D55" s="2" t="s">
        <v>15067</v>
      </c>
      <c r="E55" s="2" t="s">
        <v>15068</v>
      </c>
      <c r="F55" s="2" t="s">
        <v>15069</v>
      </c>
      <c r="G55" s="2" t="s">
        <v>15070</v>
      </c>
    </row>
    <row r="56">
      <c r="A56" s="2" t="s">
        <v>3429</v>
      </c>
      <c r="B56" s="2" t="s">
        <v>3430</v>
      </c>
      <c r="C56" s="2" t="s">
        <v>15066</v>
      </c>
      <c r="D56" s="2" t="s">
        <v>15067</v>
      </c>
      <c r="E56" s="2" t="s">
        <v>15071</v>
      </c>
      <c r="F56" s="2" t="s">
        <v>15072</v>
      </c>
      <c r="G56" s="2" t="s">
        <v>15073</v>
      </c>
    </row>
    <row r="57">
      <c r="A57" s="2" t="s">
        <v>3429</v>
      </c>
      <c r="B57" s="2" t="s">
        <v>3430</v>
      </c>
      <c r="C57" s="2" t="s">
        <v>15066</v>
      </c>
      <c r="D57" s="2" t="s">
        <v>15067</v>
      </c>
      <c r="E57" s="2" t="s">
        <v>15074</v>
      </c>
      <c r="F57" s="2" t="s">
        <v>15075</v>
      </c>
      <c r="G57" s="2" t="s">
        <v>15076</v>
      </c>
    </row>
    <row r="58">
      <c r="A58" s="2" t="s">
        <v>3429</v>
      </c>
      <c r="B58" s="2" t="s">
        <v>3430</v>
      </c>
      <c r="C58" s="2" t="s">
        <v>15066</v>
      </c>
      <c r="D58" s="2" t="s">
        <v>15067</v>
      </c>
      <c r="E58" s="2" t="s">
        <v>15077</v>
      </c>
      <c r="F58" s="2" t="s">
        <v>15075</v>
      </c>
      <c r="G58" s="2" t="s">
        <v>15078</v>
      </c>
    </row>
    <row r="59">
      <c r="A59" s="2" t="s">
        <v>2305</v>
      </c>
      <c r="B59" s="2" t="s">
        <v>2306</v>
      </c>
      <c r="C59" s="2" t="s">
        <v>15079</v>
      </c>
      <c r="D59" s="2" t="s">
        <v>15080</v>
      </c>
      <c r="E59" s="2" t="s">
        <v>15081</v>
      </c>
      <c r="F59" s="2" t="s">
        <v>15082</v>
      </c>
      <c r="G59" s="2" t="s">
        <v>15083</v>
      </c>
    </row>
    <row r="60">
      <c r="A60" s="2" t="s">
        <v>2305</v>
      </c>
      <c r="B60" s="2" t="s">
        <v>2306</v>
      </c>
      <c r="C60" s="2" t="s">
        <v>15079</v>
      </c>
      <c r="D60" s="2" t="s">
        <v>15080</v>
      </c>
      <c r="E60" s="2" t="s">
        <v>15084</v>
      </c>
      <c r="F60" s="2" t="s">
        <v>15085</v>
      </c>
      <c r="G60" s="2" t="s">
        <v>15086</v>
      </c>
    </row>
    <row r="61">
      <c r="A61" s="2" t="s">
        <v>2305</v>
      </c>
      <c r="B61" s="2" t="s">
        <v>2306</v>
      </c>
      <c r="C61" s="2" t="s">
        <v>15079</v>
      </c>
      <c r="D61" s="2" t="s">
        <v>15080</v>
      </c>
      <c r="E61" s="2" t="s">
        <v>15087</v>
      </c>
      <c r="F61" s="2" t="s">
        <v>15085</v>
      </c>
      <c r="G61" s="2" t="s">
        <v>15088</v>
      </c>
    </row>
    <row r="62">
      <c r="A62" s="2" t="s">
        <v>2305</v>
      </c>
      <c r="B62" s="2" t="s">
        <v>2306</v>
      </c>
      <c r="C62" s="2" t="s">
        <v>15079</v>
      </c>
      <c r="D62" s="2" t="s">
        <v>15080</v>
      </c>
      <c r="E62" s="2" t="s">
        <v>15089</v>
      </c>
      <c r="F62" s="2" t="s">
        <v>15090</v>
      </c>
      <c r="G62" s="2" t="s">
        <v>15091</v>
      </c>
    </row>
    <row r="63">
      <c r="A63" s="2" t="s">
        <v>2305</v>
      </c>
      <c r="B63" s="2" t="s">
        <v>2306</v>
      </c>
      <c r="C63" s="2" t="s">
        <v>15079</v>
      </c>
      <c r="D63" s="2" t="s">
        <v>15080</v>
      </c>
      <c r="E63" s="2" t="s">
        <v>15092</v>
      </c>
      <c r="F63" s="2" t="s">
        <v>15093</v>
      </c>
      <c r="G63" s="2" t="s">
        <v>15094</v>
      </c>
    </row>
    <row r="64">
      <c r="A64" s="2" t="s">
        <v>2305</v>
      </c>
      <c r="B64" s="2" t="s">
        <v>2306</v>
      </c>
      <c r="C64" s="2" t="s">
        <v>15079</v>
      </c>
      <c r="D64" s="2" t="s">
        <v>15080</v>
      </c>
      <c r="E64" s="2" t="s">
        <v>15095</v>
      </c>
      <c r="F64" s="2" t="s">
        <v>15096</v>
      </c>
      <c r="G64" s="2" t="s">
        <v>15097</v>
      </c>
    </row>
    <row r="65">
      <c r="A65" s="2" t="s">
        <v>3113</v>
      </c>
      <c r="B65" s="2" t="s">
        <v>3114</v>
      </c>
      <c r="C65" s="2" t="s">
        <v>15098</v>
      </c>
      <c r="D65" s="2" t="s">
        <v>15099</v>
      </c>
      <c r="E65" s="2" t="s">
        <v>15100</v>
      </c>
      <c r="F65" s="2" t="s">
        <v>15101</v>
      </c>
      <c r="G65" s="2" t="s">
        <v>15102</v>
      </c>
    </row>
    <row r="66">
      <c r="A66" s="2" t="s">
        <v>3113</v>
      </c>
      <c r="B66" s="2" t="s">
        <v>3114</v>
      </c>
      <c r="C66" s="2" t="s">
        <v>15098</v>
      </c>
      <c r="D66" s="2" t="s">
        <v>15099</v>
      </c>
      <c r="E66" s="2" t="s">
        <v>15103</v>
      </c>
      <c r="F66" s="2" t="s">
        <v>15104</v>
      </c>
      <c r="G66" s="2" t="s">
        <v>15105</v>
      </c>
    </row>
    <row r="67">
      <c r="A67" s="2" t="s">
        <v>4429</v>
      </c>
      <c r="B67" s="2" t="s">
        <v>4430</v>
      </c>
      <c r="C67" s="2" t="s">
        <v>15106</v>
      </c>
      <c r="D67" s="2" t="s">
        <v>15107</v>
      </c>
      <c r="E67" s="2" t="s">
        <v>15108</v>
      </c>
      <c r="F67" s="2" t="s">
        <v>15109</v>
      </c>
      <c r="G67" s="2" t="s">
        <v>15110</v>
      </c>
    </row>
    <row r="68">
      <c r="A68" s="2" t="s">
        <v>4429</v>
      </c>
      <c r="B68" s="2" t="s">
        <v>4430</v>
      </c>
      <c r="C68" s="2" t="s">
        <v>15106</v>
      </c>
      <c r="D68" s="2" t="s">
        <v>15107</v>
      </c>
      <c r="E68" s="2" t="s">
        <v>15111</v>
      </c>
      <c r="F68" s="2" t="s">
        <v>15112</v>
      </c>
      <c r="G68" s="2" t="s">
        <v>15113</v>
      </c>
    </row>
    <row r="69">
      <c r="A69" s="2" t="s">
        <v>4429</v>
      </c>
      <c r="B69" s="2" t="s">
        <v>4430</v>
      </c>
      <c r="C69" s="2" t="s">
        <v>15106</v>
      </c>
      <c r="D69" s="2" t="s">
        <v>15107</v>
      </c>
      <c r="E69" s="2" t="s">
        <v>15114</v>
      </c>
      <c r="F69" s="2" t="s">
        <v>15115</v>
      </c>
      <c r="G69" s="2" t="s">
        <v>15116</v>
      </c>
    </row>
    <row r="70">
      <c r="A70" s="2" t="s">
        <v>14027</v>
      </c>
      <c r="B70" s="2" t="s">
        <v>14028</v>
      </c>
      <c r="C70" s="2" t="s">
        <v>15117</v>
      </c>
      <c r="D70" s="2" t="s">
        <v>15118</v>
      </c>
      <c r="E70" s="2" t="s">
        <v>15119</v>
      </c>
      <c r="F70" s="2" t="s">
        <v>15120</v>
      </c>
      <c r="G70" s="2" t="s">
        <v>15121</v>
      </c>
    </row>
    <row r="71">
      <c r="A71" s="2" t="s">
        <v>14027</v>
      </c>
      <c r="B71" s="2" t="s">
        <v>14028</v>
      </c>
      <c r="C71" s="2" t="s">
        <v>15117</v>
      </c>
      <c r="D71" s="2" t="s">
        <v>15118</v>
      </c>
      <c r="E71" s="2" t="s">
        <v>15122</v>
      </c>
      <c r="F71" s="2" t="s">
        <v>15123</v>
      </c>
      <c r="G71" s="2" t="s">
        <v>15124</v>
      </c>
    </row>
    <row r="72">
      <c r="A72" s="2" t="s">
        <v>14027</v>
      </c>
      <c r="B72" s="2" t="s">
        <v>14028</v>
      </c>
      <c r="C72" s="2" t="s">
        <v>15117</v>
      </c>
      <c r="D72" s="2" t="s">
        <v>15118</v>
      </c>
      <c r="E72" s="2" t="s">
        <v>15125</v>
      </c>
      <c r="F72" s="2" t="s">
        <v>15126</v>
      </c>
      <c r="G72" s="2" t="s">
        <v>15127</v>
      </c>
    </row>
    <row r="73">
      <c r="A73" s="2" t="s">
        <v>3714</v>
      </c>
      <c r="B73" s="2" t="s">
        <v>3715</v>
      </c>
      <c r="C73" s="2" t="s">
        <v>15128</v>
      </c>
      <c r="D73" s="2" t="s">
        <v>15129</v>
      </c>
      <c r="E73" s="2" t="s">
        <v>15130</v>
      </c>
      <c r="F73" s="2" t="s">
        <v>15131</v>
      </c>
      <c r="G73" s="2" t="s">
        <v>15132</v>
      </c>
    </row>
    <row r="74">
      <c r="A74" s="2" t="s">
        <v>13647</v>
      </c>
      <c r="B74" s="2" t="s">
        <v>13648</v>
      </c>
      <c r="C74" s="2" t="s">
        <v>15133</v>
      </c>
      <c r="D74" s="2" t="s">
        <v>15134</v>
      </c>
      <c r="E74" s="2" t="s">
        <v>15135</v>
      </c>
      <c r="F74" s="2" t="s">
        <v>15136</v>
      </c>
      <c r="G74" s="2" t="s">
        <v>15137</v>
      </c>
    </row>
    <row r="75">
      <c r="A75" s="2" t="s">
        <v>5771</v>
      </c>
      <c r="B75" s="2" t="s">
        <v>5772</v>
      </c>
      <c r="C75" s="2" t="s">
        <v>15138</v>
      </c>
      <c r="D75" s="2" t="s">
        <v>15139</v>
      </c>
      <c r="E75" s="2" t="s">
        <v>15140</v>
      </c>
      <c r="F75" s="2" t="s">
        <v>15141</v>
      </c>
      <c r="G75" s="2" t="s">
        <v>15142</v>
      </c>
    </row>
    <row r="76">
      <c r="A76" s="2" t="s">
        <v>6142</v>
      </c>
      <c r="B76" s="2" t="s">
        <v>6143</v>
      </c>
      <c r="C76" s="2" t="s">
        <v>15143</v>
      </c>
      <c r="D76" s="2" t="s">
        <v>15144</v>
      </c>
      <c r="E76" s="2" t="s">
        <v>15145</v>
      </c>
      <c r="F76" s="2" t="s">
        <v>15146</v>
      </c>
      <c r="G76" s="2" t="s">
        <v>15147</v>
      </c>
    </row>
    <row r="77">
      <c r="A77" s="2" t="s">
        <v>4111</v>
      </c>
      <c r="B77" s="2" t="s">
        <v>4112</v>
      </c>
      <c r="C77" s="2" t="s">
        <v>15148</v>
      </c>
      <c r="D77" s="2" t="s">
        <v>15149</v>
      </c>
      <c r="E77" s="2" t="s">
        <v>15150</v>
      </c>
      <c r="F77" s="2" t="s">
        <v>15151</v>
      </c>
      <c r="G77" s="2" t="s">
        <v>15152</v>
      </c>
    </row>
    <row r="78">
      <c r="A78" s="2" t="s">
        <v>4111</v>
      </c>
      <c r="B78" s="2" t="s">
        <v>4112</v>
      </c>
      <c r="C78" s="2" t="s">
        <v>15148</v>
      </c>
      <c r="D78" s="2" t="s">
        <v>15149</v>
      </c>
      <c r="E78" s="2" t="s">
        <v>15153</v>
      </c>
      <c r="F78" s="2" t="s">
        <v>15154</v>
      </c>
      <c r="G78" s="2" t="s">
        <v>15155</v>
      </c>
    </row>
    <row r="79">
      <c r="A79" s="2" t="s">
        <v>4111</v>
      </c>
      <c r="B79" s="2" t="s">
        <v>4112</v>
      </c>
      <c r="C79" s="2" t="s">
        <v>15148</v>
      </c>
      <c r="D79" s="2" t="s">
        <v>15149</v>
      </c>
      <c r="E79" s="2" t="s">
        <v>15156</v>
      </c>
      <c r="F79" s="2" t="s">
        <v>15157</v>
      </c>
      <c r="G79" s="2" t="s">
        <v>15158</v>
      </c>
    </row>
    <row r="80">
      <c r="A80" s="2" t="s">
        <v>1392</v>
      </c>
      <c r="B80" s="2" t="s">
        <v>1393</v>
      </c>
      <c r="C80" s="2" t="s">
        <v>15159</v>
      </c>
      <c r="D80" s="2" t="s">
        <v>15160</v>
      </c>
      <c r="E80" s="2" t="s">
        <v>15161</v>
      </c>
      <c r="F80" s="2" t="s">
        <v>15162</v>
      </c>
      <c r="G80" s="2" t="s">
        <v>15163</v>
      </c>
    </row>
    <row r="81">
      <c r="A81" s="2" t="s">
        <v>14510</v>
      </c>
      <c r="B81" s="2" t="s">
        <v>14511</v>
      </c>
      <c r="C81" s="2" t="s">
        <v>15164</v>
      </c>
      <c r="D81" s="2" t="s">
        <v>15165</v>
      </c>
      <c r="E81" s="2" t="s">
        <v>15166</v>
      </c>
      <c r="F81" s="2" t="s">
        <v>15167</v>
      </c>
      <c r="G81" s="2" t="s">
        <v>15168</v>
      </c>
    </row>
    <row r="82">
      <c r="A82" s="2" t="s">
        <v>6456</v>
      </c>
      <c r="B82" s="2" t="s">
        <v>6457</v>
      </c>
      <c r="C82" s="2" t="s">
        <v>15169</v>
      </c>
      <c r="D82" s="2" t="s">
        <v>15170</v>
      </c>
      <c r="E82" s="2" t="s">
        <v>15171</v>
      </c>
      <c r="F82" s="2" t="s">
        <v>15172</v>
      </c>
      <c r="G82" s="2" t="s">
        <v>15173</v>
      </c>
    </row>
    <row r="83">
      <c r="A83" s="2" t="s">
        <v>6456</v>
      </c>
      <c r="B83" s="2" t="s">
        <v>6457</v>
      </c>
      <c r="C83" s="2" t="s">
        <v>15169</v>
      </c>
      <c r="D83" s="2" t="s">
        <v>15170</v>
      </c>
      <c r="E83" s="2" t="s">
        <v>15174</v>
      </c>
      <c r="F83" s="2" t="s">
        <v>15175</v>
      </c>
      <c r="G83" s="2" t="s">
        <v>15176</v>
      </c>
    </row>
    <row r="84">
      <c r="A84" s="2" t="s">
        <v>3279</v>
      </c>
      <c r="B84" s="2" t="s">
        <v>3280</v>
      </c>
      <c r="C84" s="2" t="s">
        <v>15177</v>
      </c>
      <c r="D84" s="2" t="s">
        <v>15178</v>
      </c>
      <c r="E84" s="2" t="s">
        <v>15179</v>
      </c>
      <c r="F84" s="2" t="s">
        <v>15180</v>
      </c>
      <c r="G84" s="2" t="s">
        <v>15181</v>
      </c>
    </row>
    <row r="85">
      <c r="A85" s="2" t="s">
        <v>3279</v>
      </c>
      <c r="B85" s="2" t="s">
        <v>3280</v>
      </c>
      <c r="C85" s="2" t="s">
        <v>15177</v>
      </c>
      <c r="D85" s="2" t="s">
        <v>15178</v>
      </c>
      <c r="E85" s="2" t="s">
        <v>15182</v>
      </c>
      <c r="F85" s="2" t="s">
        <v>15183</v>
      </c>
      <c r="G85" s="2" t="s">
        <v>15184</v>
      </c>
    </row>
    <row r="86">
      <c r="A86" s="2" t="s">
        <v>13444</v>
      </c>
      <c r="B86" s="2" t="s">
        <v>13445</v>
      </c>
      <c r="C86" s="2" t="s">
        <v>15185</v>
      </c>
      <c r="D86" s="2" t="s">
        <v>15186</v>
      </c>
      <c r="E86" s="2" t="s">
        <v>15187</v>
      </c>
      <c r="F86" s="2" t="s">
        <v>15188</v>
      </c>
      <c r="G86" s="2" t="s">
        <v>15189</v>
      </c>
    </row>
    <row r="87">
      <c r="A87" s="2" t="s">
        <v>13444</v>
      </c>
      <c r="B87" s="2" t="s">
        <v>13445</v>
      </c>
      <c r="C87" s="2" t="s">
        <v>15185</v>
      </c>
      <c r="D87" s="2" t="s">
        <v>15186</v>
      </c>
      <c r="E87" s="2" t="s">
        <v>15190</v>
      </c>
      <c r="F87" s="2" t="s">
        <v>15191</v>
      </c>
      <c r="G87" s="2" t="s">
        <v>15192</v>
      </c>
    </row>
    <row r="88">
      <c r="A88" s="2" t="s">
        <v>13444</v>
      </c>
      <c r="B88" s="2" t="s">
        <v>13445</v>
      </c>
      <c r="C88" s="2" t="s">
        <v>15185</v>
      </c>
      <c r="D88" s="2" t="s">
        <v>15186</v>
      </c>
      <c r="E88" s="2" t="s">
        <v>15193</v>
      </c>
      <c r="F88" s="2" t="s">
        <v>15194</v>
      </c>
      <c r="G88" s="2" t="s">
        <v>15195</v>
      </c>
    </row>
    <row r="89">
      <c r="A89" s="2" t="s">
        <v>13444</v>
      </c>
      <c r="B89" s="2" t="s">
        <v>13445</v>
      </c>
      <c r="C89" s="2" t="s">
        <v>15185</v>
      </c>
      <c r="D89" s="2" t="s">
        <v>15186</v>
      </c>
      <c r="E89" s="2" t="s">
        <v>15196</v>
      </c>
      <c r="F89" s="2" t="s">
        <v>15194</v>
      </c>
      <c r="G89" s="2" t="s">
        <v>15197</v>
      </c>
    </row>
    <row r="90">
      <c r="A90" s="2" t="s">
        <v>13444</v>
      </c>
      <c r="B90" s="2" t="s">
        <v>13445</v>
      </c>
      <c r="C90" s="2" t="s">
        <v>15185</v>
      </c>
      <c r="D90" s="2" t="s">
        <v>15186</v>
      </c>
      <c r="E90" s="2" t="s">
        <v>15198</v>
      </c>
      <c r="F90" s="2" t="s">
        <v>15199</v>
      </c>
      <c r="G90" s="2" t="s">
        <v>15200</v>
      </c>
    </row>
    <row r="91">
      <c r="A91" s="2" t="s">
        <v>13444</v>
      </c>
      <c r="B91" s="2" t="s">
        <v>13445</v>
      </c>
      <c r="C91" s="2" t="s">
        <v>15185</v>
      </c>
      <c r="D91" s="2" t="s">
        <v>15186</v>
      </c>
      <c r="E91" s="2" t="s">
        <v>15201</v>
      </c>
      <c r="F91" s="2" t="s">
        <v>15202</v>
      </c>
      <c r="G91" s="2" t="s">
        <v>15203</v>
      </c>
    </row>
    <row r="92">
      <c r="A92" s="2" t="s">
        <v>13444</v>
      </c>
      <c r="B92" s="2" t="s">
        <v>13445</v>
      </c>
      <c r="C92" s="2" t="s">
        <v>15185</v>
      </c>
      <c r="D92" s="2" t="s">
        <v>15186</v>
      </c>
      <c r="E92" s="2" t="s">
        <v>15204</v>
      </c>
      <c r="F92" s="2" t="s">
        <v>15205</v>
      </c>
      <c r="G92" s="2" t="s">
        <v>15206</v>
      </c>
    </row>
    <row r="93">
      <c r="A93" s="2" t="s">
        <v>13444</v>
      </c>
      <c r="B93" s="2" t="s">
        <v>13445</v>
      </c>
      <c r="C93" s="2" t="s">
        <v>15185</v>
      </c>
      <c r="D93" s="2" t="s">
        <v>15186</v>
      </c>
      <c r="E93" s="2" t="s">
        <v>15207</v>
      </c>
      <c r="F93" s="2" t="s">
        <v>15205</v>
      </c>
      <c r="G93" s="2" t="s">
        <v>15208</v>
      </c>
    </row>
    <row r="94">
      <c r="A94" s="2" t="s">
        <v>13444</v>
      </c>
      <c r="B94" s="2" t="s">
        <v>13445</v>
      </c>
      <c r="C94" s="2" t="s">
        <v>15185</v>
      </c>
      <c r="D94" s="2" t="s">
        <v>15186</v>
      </c>
      <c r="E94" s="2" t="s">
        <v>15209</v>
      </c>
      <c r="F94" s="2" t="s">
        <v>15210</v>
      </c>
      <c r="G94" s="2" t="s">
        <v>15211</v>
      </c>
    </row>
    <row r="95">
      <c r="A95" s="2" t="s">
        <v>13444</v>
      </c>
      <c r="B95" s="2" t="s">
        <v>13445</v>
      </c>
      <c r="C95" s="2" t="s">
        <v>15185</v>
      </c>
      <c r="D95" s="2" t="s">
        <v>15186</v>
      </c>
      <c r="E95" s="2" t="s">
        <v>15212</v>
      </c>
      <c r="F95" s="2" t="s">
        <v>15213</v>
      </c>
      <c r="G95" s="2" t="s">
        <v>15214</v>
      </c>
    </row>
    <row r="96">
      <c r="A96" s="2" t="s">
        <v>13444</v>
      </c>
      <c r="B96" s="2" t="s">
        <v>13445</v>
      </c>
      <c r="C96" s="2" t="s">
        <v>15185</v>
      </c>
      <c r="D96" s="2" t="s">
        <v>15186</v>
      </c>
      <c r="E96" s="2" t="s">
        <v>15215</v>
      </c>
      <c r="F96" s="2" t="s">
        <v>15216</v>
      </c>
      <c r="G96" s="2" t="s">
        <v>15217</v>
      </c>
    </row>
    <row r="97">
      <c r="A97" s="2" t="s">
        <v>13444</v>
      </c>
      <c r="B97" s="2" t="s">
        <v>13445</v>
      </c>
      <c r="C97" s="2" t="s">
        <v>15185</v>
      </c>
      <c r="D97" s="2" t="s">
        <v>15186</v>
      </c>
      <c r="E97" s="2" t="s">
        <v>15218</v>
      </c>
      <c r="F97" s="2" t="s">
        <v>15219</v>
      </c>
      <c r="G97" s="2" t="s">
        <v>15220</v>
      </c>
    </row>
    <row r="98">
      <c r="A98" s="2" t="s">
        <v>13444</v>
      </c>
      <c r="B98" s="2" t="s">
        <v>13445</v>
      </c>
      <c r="C98" s="2" t="s">
        <v>15185</v>
      </c>
      <c r="D98" s="2" t="s">
        <v>15186</v>
      </c>
      <c r="E98" s="2" t="s">
        <v>15221</v>
      </c>
      <c r="F98" s="2" t="s">
        <v>15222</v>
      </c>
      <c r="G98" s="2" t="s">
        <v>15223</v>
      </c>
    </row>
    <row r="99">
      <c r="A99" s="2" t="s">
        <v>13444</v>
      </c>
      <c r="B99" s="2" t="s">
        <v>13445</v>
      </c>
      <c r="C99" s="2" t="s">
        <v>15185</v>
      </c>
      <c r="D99" s="2" t="s">
        <v>15186</v>
      </c>
      <c r="E99" s="2" t="s">
        <v>15224</v>
      </c>
      <c r="F99" s="2" t="s">
        <v>15225</v>
      </c>
      <c r="G99" s="2" t="s">
        <v>15226</v>
      </c>
    </row>
    <row r="100">
      <c r="A100" s="2" t="s">
        <v>13444</v>
      </c>
      <c r="B100" s="2" t="s">
        <v>13445</v>
      </c>
      <c r="C100" s="2" t="s">
        <v>15185</v>
      </c>
      <c r="D100" s="2" t="s">
        <v>15186</v>
      </c>
      <c r="E100" s="2" t="s">
        <v>15227</v>
      </c>
      <c r="F100" s="2" t="s">
        <v>15228</v>
      </c>
      <c r="G100" s="2" t="s">
        <v>15229</v>
      </c>
    </row>
    <row r="101">
      <c r="A101" s="2" t="s">
        <v>13444</v>
      </c>
      <c r="B101" s="2" t="s">
        <v>13445</v>
      </c>
      <c r="C101" s="2" t="s">
        <v>15185</v>
      </c>
      <c r="D101" s="2" t="s">
        <v>15186</v>
      </c>
      <c r="E101" s="2" t="s">
        <v>15230</v>
      </c>
      <c r="F101" s="2" t="s">
        <v>15228</v>
      </c>
      <c r="G101" s="2" t="s">
        <v>15231</v>
      </c>
    </row>
    <row r="102">
      <c r="A102" s="2" t="s">
        <v>13444</v>
      </c>
      <c r="B102" s="2" t="s">
        <v>13445</v>
      </c>
      <c r="C102" s="2" t="s">
        <v>15185</v>
      </c>
      <c r="D102" s="2" t="s">
        <v>15186</v>
      </c>
      <c r="E102" s="2" t="s">
        <v>15232</v>
      </c>
      <c r="F102" s="2" t="s">
        <v>15233</v>
      </c>
      <c r="G102" s="2" t="s">
        <v>15234</v>
      </c>
    </row>
    <row r="103">
      <c r="A103" s="2" t="s">
        <v>13444</v>
      </c>
      <c r="B103" s="2" t="s">
        <v>13445</v>
      </c>
      <c r="C103" s="2" t="s">
        <v>15185</v>
      </c>
      <c r="D103" s="2" t="s">
        <v>15186</v>
      </c>
      <c r="E103" s="2" t="s">
        <v>15235</v>
      </c>
      <c r="F103" s="2" t="s">
        <v>15233</v>
      </c>
      <c r="G103" s="2" t="s">
        <v>15236</v>
      </c>
    </row>
    <row r="104">
      <c r="A104" s="2" t="s">
        <v>13444</v>
      </c>
      <c r="B104" s="2" t="s">
        <v>13445</v>
      </c>
      <c r="C104" s="2" t="s">
        <v>15185</v>
      </c>
      <c r="D104" s="2" t="s">
        <v>15186</v>
      </c>
      <c r="E104" s="2" t="s">
        <v>15237</v>
      </c>
      <c r="F104" s="2" t="s">
        <v>15238</v>
      </c>
      <c r="G104" s="2" t="s">
        <v>15239</v>
      </c>
    </row>
    <row r="105">
      <c r="A105" s="2" t="s">
        <v>13444</v>
      </c>
      <c r="B105" s="2" t="s">
        <v>13445</v>
      </c>
      <c r="C105" s="2" t="s">
        <v>15185</v>
      </c>
      <c r="D105" s="2" t="s">
        <v>15186</v>
      </c>
      <c r="E105" s="2" t="s">
        <v>15240</v>
      </c>
      <c r="F105" s="2" t="s">
        <v>15238</v>
      </c>
      <c r="G105" s="2" t="s">
        <v>15241</v>
      </c>
    </row>
    <row r="106">
      <c r="A106" s="2" t="s">
        <v>13444</v>
      </c>
      <c r="B106" s="2" t="s">
        <v>13445</v>
      </c>
      <c r="C106" s="2" t="s">
        <v>15185</v>
      </c>
      <c r="D106" s="2" t="s">
        <v>15186</v>
      </c>
      <c r="E106" s="2" t="s">
        <v>15242</v>
      </c>
      <c r="F106" s="2" t="s">
        <v>15243</v>
      </c>
      <c r="G106" s="2" t="s">
        <v>15244</v>
      </c>
    </row>
    <row r="107">
      <c r="A107" s="2" t="s">
        <v>13444</v>
      </c>
      <c r="B107" s="2" t="s">
        <v>13445</v>
      </c>
      <c r="C107" s="2" t="s">
        <v>15185</v>
      </c>
      <c r="D107" s="2" t="s">
        <v>15186</v>
      </c>
      <c r="E107" s="2" t="s">
        <v>15245</v>
      </c>
      <c r="F107" s="2" t="s">
        <v>15246</v>
      </c>
      <c r="G107" s="2" t="s">
        <v>15247</v>
      </c>
    </row>
    <row r="108">
      <c r="A108" s="2" t="s">
        <v>13444</v>
      </c>
      <c r="B108" s="2" t="s">
        <v>13445</v>
      </c>
      <c r="C108" s="2" t="s">
        <v>15185</v>
      </c>
      <c r="D108" s="2" t="s">
        <v>15186</v>
      </c>
      <c r="E108" s="2" t="s">
        <v>15248</v>
      </c>
      <c r="F108" s="2" t="s">
        <v>15249</v>
      </c>
      <c r="G108" s="2" t="s">
        <v>15250</v>
      </c>
    </row>
    <row r="109">
      <c r="A109" s="2" t="s">
        <v>13444</v>
      </c>
      <c r="B109" s="2" t="s">
        <v>13445</v>
      </c>
      <c r="C109" s="2" t="s">
        <v>15185</v>
      </c>
      <c r="D109" s="2" t="s">
        <v>15186</v>
      </c>
      <c r="E109" s="2" t="s">
        <v>15251</v>
      </c>
      <c r="F109" s="2" t="s">
        <v>15252</v>
      </c>
      <c r="G109" s="2" t="s">
        <v>15253</v>
      </c>
    </row>
    <row r="110">
      <c r="A110" s="2" t="s">
        <v>13444</v>
      </c>
      <c r="B110" s="2" t="s">
        <v>13445</v>
      </c>
      <c r="C110" s="2" t="s">
        <v>15185</v>
      </c>
      <c r="D110" s="2" t="s">
        <v>15186</v>
      </c>
      <c r="E110" s="2" t="s">
        <v>15254</v>
      </c>
      <c r="F110" s="2" t="s">
        <v>15252</v>
      </c>
      <c r="G110" s="2" t="s">
        <v>15255</v>
      </c>
    </row>
    <row r="111">
      <c r="A111" s="2" t="s">
        <v>13444</v>
      </c>
      <c r="B111" s="2" t="s">
        <v>13445</v>
      </c>
      <c r="C111" s="2" t="s">
        <v>15185</v>
      </c>
      <c r="D111" s="2" t="s">
        <v>15186</v>
      </c>
      <c r="E111" s="2" t="s">
        <v>15256</v>
      </c>
      <c r="F111" s="2" t="s">
        <v>15252</v>
      </c>
      <c r="G111" s="2" t="s">
        <v>15257</v>
      </c>
    </row>
    <row r="112">
      <c r="A112" s="2" t="s">
        <v>13444</v>
      </c>
      <c r="B112" s="2" t="s">
        <v>13445</v>
      </c>
      <c r="C112" s="2" t="s">
        <v>15185</v>
      </c>
      <c r="D112" s="2" t="s">
        <v>15186</v>
      </c>
      <c r="E112" s="2" t="s">
        <v>15258</v>
      </c>
      <c r="F112" s="2" t="s">
        <v>15252</v>
      </c>
      <c r="G112" s="2" t="s">
        <v>15259</v>
      </c>
    </row>
    <row r="113">
      <c r="A113" s="2" t="s">
        <v>13444</v>
      </c>
      <c r="B113" s="2" t="s">
        <v>13445</v>
      </c>
      <c r="C113" s="2" t="s">
        <v>15185</v>
      </c>
      <c r="D113" s="2" t="s">
        <v>15186</v>
      </c>
      <c r="E113" s="2" t="s">
        <v>15260</v>
      </c>
      <c r="F113" s="2" t="s">
        <v>15252</v>
      </c>
      <c r="G113" s="2" t="s">
        <v>15261</v>
      </c>
    </row>
    <row r="114">
      <c r="A114" s="2" t="s">
        <v>13444</v>
      </c>
      <c r="B114" s="2" t="s">
        <v>13445</v>
      </c>
      <c r="C114" s="2" t="s">
        <v>15185</v>
      </c>
      <c r="D114" s="2" t="s">
        <v>15186</v>
      </c>
      <c r="E114" s="2" t="s">
        <v>15262</v>
      </c>
      <c r="F114" s="2" t="s">
        <v>15263</v>
      </c>
      <c r="G114" s="2" t="s">
        <v>15264</v>
      </c>
    </row>
    <row r="115">
      <c r="A115" s="2" t="s">
        <v>13444</v>
      </c>
      <c r="B115" s="2" t="s">
        <v>13445</v>
      </c>
      <c r="C115" s="2" t="s">
        <v>15185</v>
      </c>
      <c r="D115" s="2" t="s">
        <v>15186</v>
      </c>
      <c r="E115" s="2" t="s">
        <v>15265</v>
      </c>
      <c r="F115" s="2" t="s">
        <v>15263</v>
      </c>
      <c r="G115" s="2" t="s">
        <v>15266</v>
      </c>
    </row>
    <row r="116">
      <c r="A116" s="2" t="s">
        <v>13444</v>
      </c>
      <c r="B116" s="2" t="s">
        <v>13445</v>
      </c>
      <c r="C116" s="2" t="s">
        <v>15185</v>
      </c>
      <c r="D116" s="2" t="s">
        <v>15186</v>
      </c>
      <c r="E116" s="2" t="s">
        <v>15267</v>
      </c>
      <c r="F116" s="2" t="s">
        <v>15268</v>
      </c>
      <c r="G116" s="2" t="s">
        <v>15269</v>
      </c>
    </row>
    <row r="117">
      <c r="A117" s="2" t="s">
        <v>13444</v>
      </c>
      <c r="B117" s="2" t="s">
        <v>13445</v>
      </c>
      <c r="C117" s="2" t="s">
        <v>15185</v>
      </c>
      <c r="D117" s="2" t="s">
        <v>15186</v>
      </c>
      <c r="E117" s="2" t="s">
        <v>15270</v>
      </c>
      <c r="F117" s="2" t="s">
        <v>15268</v>
      </c>
      <c r="G117" s="2" t="s">
        <v>15271</v>
      </c>
    </row>
    <row r="118">
      <c r="A118" s="2" t="s">
        <v>13444</v>
      </c>
      <c r="B118" s="2" t="s">
        <v>13445</v>
      </c>
      <c r="C118" s="2" t="s">
        <v>15185</v>
      </c>
      <c r="D118" s="2" t="s">
        <v>15186</v>
      </c>
      <c r="E118" s="2" t="s">
        <v>15272</v>
      </c>
      <c r="F118" s="2" t="s">
        <v>15268</v>
      </c>
      <c r="G118" s="2" t="s">
        <v>15273</v>
      </c>
    </row>
    <row r="119">
      <c r="A119" s="2" t="s">
        <v>13444</v>
      </c>
      <c r="B119" s="2" t="s">
        <v>13445</v>
      </c>
      <c r="C119" s="2" t="s">
        <v>15185</v>
      </c>
      <c r="D119" s="2" t="s">
        <v>15186</v>
      </c>
      <c r="E119" s="2" t="s">
        <v>15274</v>
      </c>
      <c r="F119" s="2" t="s">
        <v>15275</v>
      </c>
      <c r="G119" s="2" t="s">
        <v>15276</v>
      </c>
    </row>
    <row r="120">
      <c r="A120" s="2" t="s">
        <v>13444</v>
      </c>
      <c r="B120" s="2" t="s">
        <v>13445</v>
      </c>
      <c r="C120" s="2" t="s">
        <v>15185</v>
      </c>
      <c r="D120" s="2" t="s">
        <v>15186</v>
      </c>
      <c r="E120" s="2" t="s">
        <v>15277</v>
      </c>
      <c r="F120" s="2" t="s">
        <v>15278</v>
      </c>
      <c r="G120" s="2" t="s">
        <v>15279</v>
      </c>
    </row>
    <row r="121">
      <c r="A121" s="2" t="s">
        <v>13444</v>
      </c>
      <c r="B121" s="2" t="s">
        <v>13445</v>
      </c>
      <c r="C121" s="2" t="s">
        <v>15185</v>
      </c>
      <c r="D121" s="2" t="s">
        <v>15186</v>
      </c>
      <c r="E121" s="2" t="s">
        <v>15280</v>
      </c>
      <c r="F121" s="2" t="s">
        <v>15281</v>
      </c>
      <c r="G121" s="2" t="s">
        <v>15282</v>
      </c>
    </row>
    <row r="122">
      <c r="A122" s="2" t="s">
        <v>13444</v>
      </c>
      <c r="B122" s="2" t="s">
        <v>13445</v>
      </c>
      <c r="C122" s="2" t="s">
        <v>15185</v>
      </c>
      <c r="D122" s="2" t="s">
        <v>15186</v>
      </c>
      <c r="E122" s="2" t="s">
        <v>15283</v>
      </c>
      <c r="F122" s="2" t="s">
        <v>15281</v>
      </c>
      <c r="G122" s="2" t="s">
        <v>15284</v>
      </c>
    </row>
    <row r="123">
      <c r="A123" s="2" t="s">
        <v>13444</v>
      </c>
      <c r="B123" s="2" t="s">
        <v>13445</v>
      </c>
      <c r="C123" s="2" t="s">
        <v>15185</v>
      </c>
      <c r="D123" s="2" t="s">
        <v>15186</v>
      </c>
      <c r="E123" s="2" t="s">
        <v>15285</v>
      </c>
      <c r="F123" s="2" t="s">
        <v>15286</v>
      </c>
      <c r="G123" s="2" t="s">
        <v>15287</v>
      </c>
    </row>
    <row r="124">
      <c r="A124" s="2" t="s">
        <v>13444</v>
      </c>
      <c r="B124" s="2" t="s">
        <v>13445</v>
      </c>
      <c r="C124" s="2" t="s">
        <v>15185</v>
      </c>
      <c r="D124" s="2" t="s">
        <v>15186</v>
      </c>
      <c r="E124" s="2" t="s">
        <v>15288</v>
      </c>
      <c r="F124" s="2" t="s">
        <v>15289</v>
      </c>
      <c r="G124" s="2" t="s">
        <v>15290</v>
      </c>
    </row>
    <row r="125">
      <c r="A125" s="2" t="s">
        <v>13444</v>
      </c>
      <c r="B125" s="2" t="s">
        <v>13445</v>
      </c>
      <c r="C125" s="2" t="s">
        <v>15185</v>
      </c>
      <c r="D125" s="2" t="s">
        <v>15186</v>
      </c>
      <c r="E125" s="2" t="s">
        <v>15291</v>
      </c>
      <c r="F125" s="2" t="s">
        <v>15289</v>
      </c>
      <c r="G125" s="2" t="s">
        <v>15292</v>
      </c>
    </row>
    <row r="126">
      <c r="A126" s="2" t="s">
        <v>13444</v>
      </c>
      <c r="B126" s="2" t="s">
        <v>13445</v>
      </c>
      <c r="C126" s="2" t="s">
        <v>15185</v>
      </c>
      <c r="D126" s="2" t="s">
        <v>15186</v>
      </c>
      <c r="E126" s="2" t="s">
        <v>15293</v>
      </c>
      <c r="F126" s="2" t="s">
        <v>15294</v>
      </c>
      <c r="G126" s="2" t="s">
        <v>15295</v>
      </c>
    </row>
    <row r="127">
      <c r="A127" s="2" t="s">
        <v>13444</v>
      </c>
      <c r="B127" s="2" t="s">
        <v>13445</v>
      </c>
      <c r="C127" s="2" t="s">
        <v>15185</v>
      </c>
      <c r="D127" s="2" t="s">
        <v>15186</v>
      </c>
      <c r="E127" s="2" t="s">
        <v>15296</v>
      </c>
      <c r="F127" s="2" t="s">
        <v>15297</v>
      </c>
      <c r="G127" s="2" t="s">
        <v>15298</v>
      </c>
    </row>
    <row r="128">
      <c r="A128" s="2" t="s">
        <v>13444</v>
      </c>
      <c r="B128" s="2" t="s">
        <v>13445</v>
      </c>
      <c r="C128" s="2" t="s">
        <v>15185</v>
      </c>
      <c r="D128" s="2" t="s">
        <v>15186</v>
      </c>
      <c r="E128" s="2" t="s">
        <v>15299</v>
      </c>
      <c r="F128" s="2" t="s">
        <v>15300</v>
      </c>
      <c r="G128" s="2" t="s">
        <v>15301</v>
      </c>
    </row>
    <row r="129">
      <c r="A129" s="2" t="s">
        <v>13444</v>
      </c>
      <c r="B129" s="2" t="s">
        <v>13445</v>
      </c>
      <c r="C129" s="2" t="s">
        <v>15185</v>
      </c>
      <c r="D129" s="2" t="s">
        <v>15186</v>
      </c>
      <c r="E129" s="2" t="s">
        <v>15302</v>
      </c>
      <c r="F129" s="2" t="s">
        <v>15303</v>
      </c>
      <c r="G129" s="2" t="s">
        <v>15304</v>
      </c>
    </row>
    <row r="130">
      <c r="A130" s="2" t="s">
        <v>13444</v>
      </c>
      <c r="B130" s="2" t="s">
        <v>13445</v>
      </c>
      <c r="C130" s="2" t="s">
        <v>15185</v>
      </c>
      <c r="D130" s="2" t="s">
        <v>15186</v>
      </c>
      <c r="E130" s="2" t="s">
        <v>15305</v>
      </c>
      <c r="F130" s="2" t="s">
        <v>15303</v>
      </c>
      <c r="G130" s="2" t="s">
        <v>15306</v>
      </c>
    </row>
    <row r="131">
      <c r="A131" s="2" t="s">
        <v>13444</v>
      </c>
      <c r="B131" s="2" t="s">
        <v>13445</v>
      </c>
      <c r="C131" s="2" t="s">
        <v>15185</v>
      </c>
      <c r="D131" s="2" t="s">
        <v>15186</v>
      </c>
      <c r="E131" s="2" t="s">
        <v>15307</v>
      </c>
      <c r="F131" s="2" t="s">
        <v>15308</v>
      </c>
      <c r="G131" s="2" t="s">
        <v>15309</v>
      </c>
    </row>
    <row r="132">
      <c r="A132" s="2" t="s">
        <v>13444</v>
      </c>
      <c r="B132" s="2" t="s">
        <v>13445</v>
      </c>
      <c r="C132" s="2" t="s">
        <v>15185</v>
      </c>
      <c r="D132" s="2" t="s">
        <v>15186</v>
      </c>
      <c r="E132" s="2" t="s">
        <v>15310</v>
      </c>
      <c r="F132" s="2" t="s">
        <v>15311</v>
      </c>
      <c r="G132" s="2" t="s">
        <v>15312</v>
      </c>
    </row>
    <row r="133">
      <c r="A133" s="2" t="s">
        <v>13444</v>
      </c>
      <c r="B133" s="2" t="s">
        <v>13445</v>
      </c>
      <c r="C133" s="2" t="s">
        <v>15185</v>
      </c>
      <c r="D133" s="2" t="s">
        <v>15186</v>
      </c>
      <c r="E133" s="2" t="s">
        <v>15313</v>
      </c>
      <c r="F133" s="2" t="s">
        <v>15314</v>
      </c>
      <c r="G133" s="2" t="s">
        <v>15315</v>
      </c>
    </row>
    <row r="134">
      <c r="A134" s="2" t="s">
        <v>13444</v>
      </c>
      <c r="B134" s="2" t="s">
        <v>13445</v>
      </c>
      <c r="C134" s="2" t="s">
        <v>15185</v>
      </c>
      <c r="D134" s="2" t="s">
        <v>15186</v>
      </c>
      <c r="E134" s="2" t="s">
        <v>15316</v>
      </c>
      <c r="F134" s="2" t="s">
        <v>15317</v>
      </c>
      <c r="G134" s="2" t="s">
        <v>15318</v>
      </c>
    </row>
    <row r="135">
      <c r="A135" s="2" t="s">
        <v>13444</v>
      </c>
      <c r="B135" s="2" t="s">
        <v>13445</v>
      </c>
      <c r="C135" s="2" t="s">
        <v>15185</v>
      </c>
      <c r="D135" s="2" t="s">
        <v>15186</v>
      </c>
      <c r="E135" s="2" t="s">
        <v>15319</v>
      </c>
      <c r="F135" s="2" t="s">
        <v>15317</v>
      </c>
      <c r="G135" s="2" t="s">
        <v>15320</v>
      </c>
    </row>
    <row r="136">
      <c r="A136" s="2" t="s">
        <v>13444</v>
      </c>
      <c r="B136" s="2" t="s">
        <v>13445</v>
      </c>
      <c r="C136" s="2" t="s">
        <v>15185</v>
      </c>
      <c r="D136" s="2" t="s">
        <v>15186</v>
      </c>
      <c r="E136" s="2" t="s">
        <v>15321</v>
      </c>
      <c r="F136" s="2" t="s">
        <v>15318</v>
      </c>
      <c r="G136" s="2" t="s">
        <v>15322</v>
      </c>
    </row>
    <row r="137">
      <c r="A137" s="2" t="s">
        <v>13444</v>
      </c>
      <c r="B137" s="2" t="s">
        <v>13445</v>
      </c>
      <c r="C137" s="2" t="s">
        <v>15185</v>
      </c>
      <c r="D137" s="2" t="s">
        <v>15186</v>
      </c>
      <c r="E137" s="2" t="s">
        <v>15323</v>
      </c>
      <c r="F137" s="2" t="s">
        <v>15324</v>
      </c>
      <c r="G137" s="2" t="s">
        <v>15325</v>
      </c>
    </row>
    <row r="138">
      <c r="A138" s="2" t="s">
        <v>13444</v>
      </c>
      <c r="B138" s="2" t="s">
        <v>13445</v>
      </c>
      <c r="C138" s="2" t="s">
        <v>15185</v>
      </c>
      <c r="D138" s="2" t="s">
        <v>15186</v>
      </c>
      <c r="E138" s="2" t="s">
        <v>15326</v>
      </c>
      <c r="F138" s="2" t="s">
        <v>15327</v>
      </c>
      <c r="G138" s="2" t="s">
        <v>15328</v>
      </c>
    </row>
    <row r="139">
      <c r="A139" s="2" t="s">
        <v>13444</v>
      </c>
      <c r="B139" s="2" t="s">
        <v>13445</v>
      </c>
      <c r="C139" s="2" t="s">
        <v>15185</v>
      </c>
      <c r="D139" s="2" t="s">
        <v>15186</v>
      </c>
      <c r="E139" s="2" t="s">
        <v>15329</v>
      </c>
      <c r="F139" s="2" t="s">
        <v>15324</v>
      </c>
      <c r="G139" s="2" t="s">
        <v>15330</v>
      </c>
    </row>
    <row r="140">
      <c r="A140" s="2" t="s">
        <v>13444</v>
      </c>
      <c r="B140" s="2" t="s">
        <v>13445</v>
      </c>
      <c r="C140" s="2" t="s">
        <v>15185</v>
      </c>
      <c r="D140" s="2" t="s">
        <v>15186</v>
      </c>
      <c r="E140" s="2" t="s">
        <v>15331</v>
      </c>
      <c r="F140" s="2" t="s">
        <v>15332</v>
      </c>
      <c r="G140" s="2" t="s">
        <v>15333</v>
      </c>
    </row>
    <row r="141">
      <c r="A141" s="2" t="s">
        <v>13444</v>
      </c>
      <c r="B141" s="2" t="s">
        <v>13445</v>
      </c>
      <c r="C141" s="2" t="s">
        <v>15185</v>
      </c>
      <c r="D141" s="2" t="s">
        <v>15186</v>
      </c>
      <c r="E141" s="2" t="s">
        <v>15334</v>
      </c>
      <c r="F141" s="2" t="s">
        <v>15332</v>
      </c>
      <c r="G141" s="2" t="s">
        <v>15335</v>
      </c>
    </row>
    <row r="142">
      <c r="A142" s="2" t="s">
        <v>13444</v>
      </c>
      <c r="B142" s="2" t="s">
        <v>13445</v>
      </c>
      <c r="C142" s="2" t="s">
        <v>15185</v>
      </c>
      <c r="D142" s="2" t="s">
        <v>15186</v>
      </c>
      <c r="E142" s="2" t="s">
        <v>15336</v>
      </c>
      <c r="F142" s="2" t="s">
        <v>15337</v>
      </c>
      <c r="G142" s="2" t="s">
        <v>15338</v>
      </c>
    </row>
    <row r="143">
      <c r="A143" s="2" t="s">
        <v>13444</v>
      </c>
      <c r="B143" s="2" t="s">
        <v>13445</v>
      </c>
      <c r="C143" s="2" t="s">
        <v>15185</v>
      </c>
      <c r="D143" s="2" t="s">
        <v>15186</v>
      </c>
      <c r="E143" s="2" t="s">
        <v>15339</v>
      </c>
      <c r="F143" s="2" t="s">
        <v>15332</v>
      </c>
      <c r="G143" s="2" t="s">
        <v>15340</v>
      </c>
    </row>
    <row r="144">
      <c r="A144" s="2" t="s">
        <v>13444</v>
      </c>
      <c r="B144" s="2" t="s">
        <v>13445</v>
      </c>
      <c r="C144" s="2" t="s">
        <v>15185</v>
      </c>
      <c r="D144" s="2" t="s">
        <v>15186</v>
      </c>
      <c r="E144" s="2" t="s">
        <v>15341</v>
      </c>
      <c r="F144" s="2" t="s">
        <v>15332</v>
      </c>
      <c r="G144" s="2" t="s">
        <v>15342</v>
      </c>
    </row>
    <row r="145">
      <c r="A145" s="2" t="s">
        <v>13444</v>
      </c>
      <c r="B145" s="2" t="s">
        <v>13445</v>
      </c>
      <c r="C145" s="2" t="s">
        <v>15185</v>
      </c>
      <c r="D145" s="2" t="s">
        <v>15186</v>
      </c>
      <c r="E145" s="2" t="s">
        <v>15343</v>
      </c>
      <c r="F145" s="2" t="s">
        <v>15344</v>
      </c>
      <c r="G145" s="2" t="s">
        <v>15345</v>
      </c>
    </row>
    <row r="146">
      <c r="A146" s="2" t="s">
        <v>13444</v>
      </c>
      <c r="B146" s="2" t="s">
        <v>13445</v>
      </c>
      <c r="C146" s="2" t="s">
        <v>15185</v>
      </c>
      <c r="D146" s="2" t="s">
        <v>15186</v>
      </c>
      <c r="E146" s="2" t="s">
        <v>15346</v>
      </c>
      <c r="F146" s="2" t="s">
        <v>15347</v>
      </c>
      <c r="G146" s="2" t="s">
        <v>15348</v>
      </c>
    </row>
    <row r="147">
      <c r="A147" s="2" t="s">
        <v>13444</v>
      </c>
      <c r="B147" s="2" t="s">
        <v>13445</v>
      </c>
      <c r="C147" s="2" t="s">
        <v>15185</v>
      </c>
      <c r="D147" s="2" t="s">
        <v>15186</v>
      </c>
      <c r="E147" s="2" t="s">
        <v>15349</v>
      </c>
      <c r="F147" s="2" t="s">
        <v>15350</v>
      </c>
      <c r="G147" s="2" t="s">
        <v>15351</v>
      </c>
    </row>
    <row r="148">
      <c r="A148" s="2" t="s">
        <v>13444</v>
      </c>
      <c r="B148" s="2" t="s">
        <v>13445</v>
      </c>
      <c r="C148" s="2" t="s">
        <v>15185</v>
      </c>
      <c r="D148" s="2" t="s">
        <v>15186</v>
      </c>
      <c r="E148" s="2" t="s">
        <v>15352</v>
      </c>
      <c r="F148" s="2" t="s">
        <v>15350</v>
      </c>
      <c r="G148" s="2" t="s">
        <v>15353</v>
      </c>
    </row>
    <row r="149">
      <c r="A149" s="2" t="s">
        <v>13444</v>
      </c>
      <c r="B149" s="2" t="s">
        <v>13445</v>
      </c>
      <c r="C149" s="2" t="s">
        <v>15185</v>
      </c>
      <c r="D149" s="2" t="s">
        <v>15186</v>
      </c>
      <c r="E149" s="2" t="s">
        <v>15354</v>
      </c>
      <c r="F149" s="2" t="s">
        <v>15355</v>
      </c>
      <c r="G149" s="2" t="s">
        <v>15356</v>
      </c>
    </row>
    <row r="150">
      <c r="A150" s="2" t="s">
        <v>13444</v>
      </c>
      <c r="B150" s="2" t="s">
        <v>13445</v>
      </c>
      <c r="C150" s="2" t="s">
        <v>15185</v>
      </c>
      <c r="D150" s="2" t="s">
        <v>15186</v>
      </c>
      <c r="E150" s="2" t="s">
        <v>15357</v>
      </c>
      <c r="F150" s="2" t="s">
        <v>15355</v>
      </c>
      <c r="G150" s="2" t="s">
        <v>15358</v>
      </c>
    </row>
    <row r="151">
      <c r="A151" s="2" t="s">
        <v>13444</v>
      </c>
      <c r="B151" s="2" t="s">
        <v>13445</v>
      </c>
      <c r="C151" s="2" t="s">
        <v>15185</v>
      </c>
      <c r="D151" s="2" t="s">
        <v>15186</v>
      </c>
      <c r="E151" s="2" t="s">
        <v>15359</v>
      </c>
      <c r="F151" s="2" t="s">
        <v>15344</v>
      </c>
      <c r="G151" s="2" t="s">
        <v>15360</v>
      </c>
    </row>
    <row r="152">
      <c r="A152" s="2" t="s">
        <v>9737</v>
      </c>
      <c r="B152" s="2" t="s">
        <v>9738</v>
      </c>
      <c r="C152" s="2" t="s">
        <v>15361</v>
      </c>
      <c r="D152" s="2" t="s">
        <v>15362</v>
      </c>
      <c r="E152" s="2" t="s">
        <v>15363</v>
      </c>
      <c r="F152" s="2" t="s">
        <v>15364</v>
      </c>
      <c r="G152" s="2" t="s">
        <v>15365</v>
      </c>
    </row>
    <row r="153">
      <c r="A153" s="2" t="s">
        <v>3230</v>
      </c>
      <c r="B153" s="2" t="s">
        <v>3231</v>
      </c>
      <c r="C153" s="2" t="s">
        <v>15366</v>
      </c>
      <c r="D153" s="2" t="s">
        <v>15367</v>
      </c>
      <c r="E153" s="2" t="s">
        <v>15368</v>
      </c>
      <c r="F153" s="2" t="s">
        <v>15369</v>
      </c>
      <c r="G153" s="2" t="s">
        <v>15370</v>
      </c>
    </row>
    <row r="154">
      <c r="A154" s="2" t="s">
        <v>3023</v>
      </c>
      <c r="B154" s="2" t="s">
        <v>3024</v>
      </c>
      <c r="C154" s="2" t="s">
        <v>15371</v>
      </c>
      <c r="D154" s="2" t="s">
        <v>15372</v>
      </c>
      <c r="E154" s="2" t="s">
        <v>15373</v>
      </c>
      <c r="F154" s="2" t="s">
        <v>15374</v>
      </c>
      <c r="G154" s="2" t="s">
        <v>15375</v>
      </c>
    </row>
    <row r="155">
      <c r="A155" s="2" t="s">
        <v>3023</v>
      </c>
      <c r="B155" s="2" t="s">
        <v>3024</v>
      </c>
      <c r="C155" s="2" t="s">
        <v>15371</v>
      </c>
      <c r="D155" s="2" t="s">
        <v>15372</v>
      </c>
      <c r="E155" s="2" t="s">
        <v>15376</v>
      </c>
      <c r="F155" s="2" t="s">
        <v>15377</v>
      </c>
      <c r="G155" s="2" t="s">
        <v>15378</v>
      </c>
    </row>
    <row r="156">
      <c r="A156" s="2" t="s">
        <v>5617</v>
      </c>
      <c r="B156" s="2" t="s">
        <v>5618</v>
      </c>
      <c r="C156" s="2" t="s">
        <v>15379</v>
      </c>
      <c r="D156" s="2" t="s">
        <v>15380</v>
      </c>
      <c r="E156" s="2" t="s">
        <v>15381</v>
      </c>
      <c r="F156" s="2" t="s">
        <v>15382</v>
      </c>
      <c r="G156" s="2" t="s">
        <v>15383</v>
      </c>
    </row>
    <row r="157">
      <c r="A157" s="2" t="s">
        <v>3553</v>
      </c>
      <c r="B157" s="2" t="s">
        <v>3554</v>
      </c>
      <c r="C157" s="2" t="s">
        <v>15384</v>
      </c>
      <c r="D157" s="2" t="s">
        <v>15385</v>
      </c>
      <c r="E157" s="2" t="s">
        <v>15386</v>
      </c>
      <c r="F157" s="2" t="s">
        <v>15387</v>
      </c>
      <c r="G157" s="2" t="s">
        <v>15388</v>
      </c>
    </row>
    <row r="158">
      <c r="A158" s="2" t="s">
        <v>3553</v>
      </c>
      <c r="B158" s="2" t="s">
        <v>3554</v>
      </c>
      <c r="C158" s="2" t="s">
        <v>15384</v>
      </c>
      <c r="D158" s="2" t="s">
        <v>15385</v>
      </c>
      <c r="E158" s="2" t="s">
        <v>15389</v>
      </c>
      <c r="F158" s="2" t="s">
        <v>15390</v>
      </c>
      <c r="G158" s="2" t="s">
        <v>15391</v>
      </c>
    </row>
    <row r="159">
      <c r="A159" s="2" t="s">
        <v>3553</v>
      </c>
      <c r="B159" s="2" t="s">
        <v>3554</v>
      </c>
      <c r="C159" s="2" t="s">
        <v>15384</v>
      </c>
      <c r="D159" s="2" t="s">
        <v>15385</v>
      </c>
      <c r="E159" s="2" t="s">
        <v>15392</v>
      </c>
      <c r="F159" s="2" t="s">
        <v>15393</v>
      </c>
      <c r="G159" s="2" t="s">
        <v>15394</v>
      </c>
    </row>
    <row r="160">
      <c r="A160" s="2" t="s">
        <v>3553</v>
      </c>
      <c r="B160" s="2" t="s">
        <v>3554</v>
      </c>
      <c r="C160" s="2" t="s">
        <v>15384</v>
      </c>
      <c r="D160" s="2" t="s">
        <v>15385</v>
      </c>
      <c r="E160" s="2" t="s">
        <v>15395</v>
      </c>
      <c r="F160" s="2" t="s">
        <v>15396</v>
      </c>
      <c r="G160" s="2" t="s">
        <v>15397</v>
      </c>
    </row>
    <row r="161">
      <c r="A161" s="2" t="s">
        <v>3553</v>
      </c>
      <c r="B161" s="2" t="s">
        <v>3554</v>
      </c>
      <c r="C161" s="2" t="s">
        <v>15384</v>
      </c>
      <c r="D161" s="2" t="s">
        <v>15385</v>
      </c>
      <c r="E161" s="2" t="s">
        <v>15398</v>
      </c>
      <c r="F161" s="2" t="s">
        <v>15399</v>
      </c>
      <c r="G161" s="2" t="s">
        <v>15400</v>
      </c>
    </row>
    <row r="162">
      <c r="A162" s="2" t="s">
        <v>3553</v>
      </c>
      <c r="B162" s="2" t="s">
        <v>3554</v>
      </c>
      <c r="C162" s="2" t="s">
        <v>15384</v>
      </c>
      <c r="D162" s="2" t="s">
        <v>15385</v>
      </c>
      <c r="E162" s="2" t="s">
        <v>15401</v>
      </c>
      <c r="F162" s="2" t="s">
        <v>15402</v>
      </c>
      <c r="G162" s="2" t="s">
        <v>15403</v>
      </c>
    </row>
    <row r="163">
      <c r="A163" s="2" t="s">
        <v>3553</v>
      </c>
      <c r="B163" s="2" t="s">
        <v>3554</v>
      </c>
      <c r="C163" s="2" t="s">
        <v>15384</v>
      </c>
      <c r="D163" s="2" t="s">
        <v>15385</v>
      </c>
      <c r="E163" s="2" t="s">
        <v>15404</v>
      </c>
      <c r="F163" s="2" t="s">
        <v>15405</v>
      </c>
      <c r="G163" s="2" t="s">
        <v>15406</v>
      </c>
    </row>
    <row r="164">
      <c r="A164" s="2" t="s">
        <v>3553</v>
      </c>
      <c r="B164" s="2" t="s">
        <v>3554</v>
      </c>
      <c r="C164" s="2" t="s">
        <v>15384</v>
      </c>
      <c r="D164" s="2" t="s">
        <v>15385</v>
      </c>
      <c r="E164" s="2" t="s">
        <v>15407</v>
      </c>
      <c r="F164" s="2" t="s">
        <v>15408</v>
      </c>
      <c r="G164" s="2" t="s">
        <v>15409</v>
      </c>
    </row>
    <row r="165">
      <c r="A165" s="2" t="s">
        <v>10519</v>
      </c>
      <c r="B165" s="2" t="s">
        <v>10520</v>
      </c>
      <c r="C165" s="2" t="s">
        <v>15410</v>
      </c>
      <c r="D165" s="2" t="s">
        <v>15411</v>
      </c>
      <c r="E165" s="2" t="s">
        <v>15412</v>
      </c>
      <c r="F165" s="2" t="s">
        <v>15413</v>
      </c>
      <c r="G165" s="2" t="s">
        <v>15414</v>
      </c>
    </row>
    <row r="166">
      <c r="A166" s="2" t="s">
        <v>10494</v>
      </c>
      <c r="B166" s="2" t="s">
        <v>10495</v>
      </c>
      <c r="C166" s="2" t="s">
        <v>15415</v>
      </c>
      <c r="D166" s="2" t="s">
        <v>15416</v>
      </c>
      <c r="E166" s="2" t="s">
        <v>15417</v>
      </c>
      <c r="F166" s="2" t="s">
        <v>15418</v>
      </c>
      <c r="G166" s="2" t="s">
        <v>15419</v>
      </c>
    </row>
    <row r="167">
      <c r="A167" s="2" t="s">
        <v>10494</v>
      </c>
      <c r="B167" s="2" t="s">
        <v>10495</v>
      </c>
      <c r="C167" s="2" t="s">
        <v>15415</v>
      </c>
      <c r="D167" s="2" t="s">
        <v>15416</v>
      </c>
      <c r="E167" s="2" t="s">
        <v>15420</v>
      </c>
      <c r="F167" s="2" t="s">
        <v>15421</v>
      </c>
      <c r="G167" s="2" t="s">
        <v>15418</v>
      </c>
    </row>
    <row r="168">
      <c r="A168" s="2" t="s">
        <v>5724</v>
      </c>
      <c r="B168" s="2" t="s">
        <v>5725</v>
      </c>
      <c r="C168" s="2" t="s">
        <v>15422</v>
      </c>
      <c r="D168" s="2" t="s">
        <v>15423</v>
      </c>
      <c r="E168" s="2" t="s">
        <v>15424</v>
      </c>
      <c r="F168" s="2" t="s">
        <v>15425</v>
      </c>
      <c r="G168" s="2" t="s">
        <v>15426</v>
      </c>
    </row>
    <row r="169">
      <c r="A169" s="2"/>
      <c r="B169" s="2"/>
      <c r="C169" s="2" t="s">
        <v>15427</v>
      </c>
      <c r="D169" s="2" t="s">
        <v>15428</v>
      </c>
      <c r="E169" s="2" t="s">
        <v>15429</v>
      </c>
      <c r="F169" s="2" t="s">
        <v>15430</v>
      </c>
      <c r="G169" s="2" t="s">
        <v>15431</v>
      </c>
    </row>
    <row r="170">
      <c r="A170" s="2"/>
      <c r="B170" s="2"/>
      <c r="C170" s="2" t="s">
        <v>15427</v>
      </c>
      <c r="D170" s="2" t="s">
        <v>15428</v>
      </c>
      <c r="E170" s="2" t="s">
        <v>15432</v>
      </c>
      <c r="F170" s="2" t="s">
        <v>15433</v>
      </c>
      <c r="G170" s="2" t="s">
        <v>15434</v>
      </c>
    </row>
    <row r="171">
      <c r="A171" s="2" t="s">
        <v>713</v>
      </c>
      <c r="B171" s="2" t="s">
        <v>714</v>
      </c>
      <c r="C171" s="2" t="s">
        <v>15435</v>
      </c>
      <c r="D171" s="2" t="s">
        <v>15436</v>
      </c>
      <c r="E171" s="2" t="s">
        <v>15437</v>
      </c>
      <c r="F171" s="2" t="s">
        <v>15438</v>
      </c>
      <c r="G171" s="2" t="s">
        <v>15439</v>
      </c>
    </row>
    <row r="172">
      <c r="A172" s="2" t="s">
        <v>12651</v>
      </c>
      <c r="B172" s="2" t="s">
        <v>12652</v>
      </c>
      <c r="C172" s="2" t="s">
        <v>15440</v>
      </c>
      <c r="D172" s="2" t="s">
        <v>15441</v>
      </c>
      <c r="E172" s="2" t="s">
        <v>15442</v>
      </c>
      <c r="F172" s="2" t="s">
        <v>15443</v>
      </c>
      <c r="G172" s="2" t="s">
        <v>15444</v>
      </c>
    </row>
    <row r="173">
      <c r="A173" s="2" t="s">
        <v>12651</v>
      </c>
      <c r="B173" s="2" t="s">
        <v>12652</v>
      </c>
      <c r="C173" s="2" t="s">
        <v>15440</v>
      </c>
      <c r="D173" s="2" t="s">
        <v>15441</v>
      </c>
      <c r="E173" s="2" t="s">
        <v>15445</v>
      </c>
      <c r="F173" s="2" t="s">
        <v>15446</v>
      </c>
      <c r="G173" s="2" t="s">
        <v>15447</v>
      </c>
    </row>
    <row r="174">
      <c r="A174" s="2" t="s">
        <v>12651</v>
      </c>
      <c r="B174" s="2" t="s">
        <v>12652</v>
      </c>
      <c r="C174" s="2" t="s">
        <v>15440</v>
      </c>
      <c r="D174" s="2" t="s">
        <v>15441</v>
      </c>
      <c r="E174" s="2" t="s">
        <v>15448</v>
      </c>
      <c r="F174" s="2" t="s">
        <v>15446</v>
      </c>
      <c r="G174" s="2" t="s">
        <v>15449</v>
      </c>
    </row>
    <row r="175">
      <c r="A175" s="2" t="s">
        <v>12651</v>
      </c>
      <c r="B175" s="2" t="s">
        <v>12652</v>
      </c>
      <c r="C175" s="2" t="s">
        <v>15440</v>
      </c>
      <c r="D175" s="2" t="s">
        <v>15441</v>
      </c>
      <c r="E175" s="2" t="s">
        <v>15450</v>
      </c>
      <c r="F175" s="2" t="s">
        <v>15451</v>
      </c>
      <c r="G175" s="2" t="s">
        <v>15452</v>
      </c>
    </row>
    <row r="176">
      <c r="A176" s="2" t="s">
        <v>12651</v>
      </c>
      <c r="B176" s="2" t="s">
        <v>12652</v>
      </c>
      <c r="C176" s="2" t="s">
        <v>15440</v>
      </c>
      <c r="D176" s="2" t="s">
        <v>15441</v>
      </c>
      <c r="E176" s="2" t="s">
        <v>15453</v>
      </c>
      <c r="F176" s="2" t="s">
        <v>15454</v>
      </c>
      <c r="G176" s="2" t="s">
        <v>15455</v>
      </c>
    </row>
    <row r="177">
      <c r="A177" s="2" t="s">
        <v>12651</v>
      </c>
      <c r="B177" s="2" t="s">
        <v>12652</v>
      </c>
      <c r="C177" s="2" t="s">
        <v>15440</v>
      </c>
      <c r="D177" s="2" t="s">
        <v>15441</v>
      </c>
      <c r="E177" s="2" t="s">
        <v>15456</v>
      </c>
      <c r="F177" s="2" t="s">
        <v>15457</v>
      </c>
      <c r="G177" s="2" t="s">
        <v>15458</v>
      </c>
    </row>
    <row r="178">
      <c r="A178" s="2" t="s">
        <v>12651</v>
      </c>
      <c r="B178" s="2" t="s">
        <v>12652</v>
      </c>
      <c r="C178" s="2" t="s">
        <v>15440</v>
      </c>
      <c r="D178" s="2" t="s">
        <v>15441</v>
      </c>
      <c r="E178" s="2" t="s">
        <v>15459</v>
      </c>
      <c r="F178" s="2" t="s">
        <v>15460</v>
      </c>
      <c r="G178" s="2" t="s">
        <v>15461</v>
      </c>
    </row>
    <row r="179">
      <c r="A179" s="2" t="s">
        <v>12651</v>
      </c>
      <c r="B179" s="2" t="s">
        <v>12652</v>
      </c>
      <c r="C179" s="2" t="s">
        <v>15440</v>
      </c>
      <c r="D179" s="2" t="s">
        <v>15441</v>
      </c>
      <c r="E179" s="2" t="s">
        <v>15462</v>
      </c>
      <c r="F179" s="2" t="s">
        <v>15463</v>
      </c>
      <c r="G179" s="2" t="s">
        <v>15464</v>
      </c>
    </row>
    <row r="180">
      <c r="A180" s="2" t="s">
        <v>12651</v>
      </c>
      <c r="B180" s="2" t="s">
        <v>12652</v>
      </c>
      <c r="C180" s="2" t="s">
        <v>15440</v>
      </c>
      <c r="D180" s="2" t="s">
        <v>15441</v>
      </c>
      <c r="E180" s="2" t="s">
        <v>15465</v>
      </c>
      <c r="F180" s="2" t="s">
        <v>15466</v>
      </c>
      <c r="G180" s="2" t="s">
        <v>15467</v>
      </c>
    </row>
    <row r="181">
      <c r="A181" s="2" t="s">
        <v>12651</v>
      </c>
      <c r="B181" s="2" t="s">
        <v>12652</v>
      </c>
      <c r="C181" s="2" t="s">
        <v>15440</v>
      </c>
      <c r="D181" s="2" t="s">
        <v>15441</v>
      </c>
      <c r="E181" s="2" t="s">
        <v>15468</v>
      </c>
      <c r="F181" s="2" t="s">
        <v>15469</v>
      </c>
      <c r="G181" s="2" t="s">
        <v>15470</v>
      </c>
    </row>
    <row r="182">
      <c r="A182" s="2" t="s">
        <v>12651</v>
      </c>
      <c r="B182" s="2" t="s">
        <v>12652</v>
      </c>
      <c r="C182" s="2" t="s">
        <v>15440</v>
      </c>
      <c r="D182" s="2" t="s">
        <v>15441</v>
      </c>
      <c r="E182" s="2" t="s">
        <v>15471</v>
      </c>
      <c r="F182" s="2" t="s">
        <v>15472</v>
      </c>
      <c r="G182" s="2" t="s">
        <v>15473</v>
      </c>
    </row>
    <row r="183">
      <c r="A183" s="2" t="s">
        <v>12651</v>
      </c>
      <c r="B183" s="2" t="s">
        <v>12652</v>
      </c>
      <c r="C183" s="2" t="s">
        <v>15440</v>
      </c>
      <c r="D183" s="2" t="s">
        <v>15441</v>
      </c>
      <c r="E183" s="2" t="s">
        <v>15474</v>
      </c>
      <c r="F183" s="2" t="s">
        <v>15475</v>
      </c>
      <c r="G183" s="2" t="s">
        <v>15476</v>
      </c>
    </row>
    <row r="184">
      <c r="A184" s="2" t="s">
        <v>12651</v>
      </c>
      <c r="B184" s="2" t="s">
        <v>12652</v>
      </c>
      <c r="C184" s="2" t="s">
        <v>15440</v>
      </c>
      <c r="D184" s="2" t="s">
        <v>15441</v>
      </c>
      <c r="E184" s="2" t="s">
        <v>15477</v>
      </c>
      <c r="F184" s="2" t="s">
        <v>15478</v>
      </c>
      <c r="G184" s="2" t="s">
        <v>15479</v>
      </c>
    </row>
    <row r="185">
      <c r="A185" s="2" t="s">
        <v>12651</v>
      </c>
      <c r="B185" s="2" t="s">
        <v>12652</v>
      </c>
      <c r="C185" s="2" t="s">
        <v>15440</v>
      </c>
      <c r="D185" s="2" t="s">
        <v>15441</v>
      </c>
      <c r="E185" s="2" t="s">
        <v>15480</v>
      </c>
      <c r="F185" s="2" t="s">
        <v>15481</v>
      </c>
      <c r="G185" s="2" t="s">
        <v>15482</v>
      </c>
    </row>
    <row r="186">
      <c r="A186" s="2" t="s">
        <v>12651</v>
      </c>
      <c r="B186" s="2" t="s">
        <v>12652</v>
      </c>
      <c r="C186" s="2" t="s">
        <v>15440</v>
      </c>
      <c r="D186" s="2" t="s">
        <v>15441</v>
      </c>
      <c r="E186" s="2" t="s">
        <v>15483</v>
      </c>
      <c r="F186" s="2" t="s">
        <v>15484</v>
      </c>
      <c r="G186" s="2" t="s">
        <v>15485</v>
      </c>
    </row>
    <row r="187">
      <c r="A187" s="2" t="s">
        <v>12651</v>
      </c>
      <c r="B187" s="2" t="s">
        <v>12652</v>
      </c>
      <c r="C187" s="2" t="s">
        <v>15440</v>
      </c>
      <c r="D187" s="2" t="s">
        <v>15441</v>
      </c>
      <c r="E187" s="2" t="s">
        <v>15486</v>
      </c>
      <c r="F187" s="2" t="s">
        <v>15487</v>
      </c>
      <c r="G187" s="2" t="s">
        <v>15488</v>
      </c>
    </row>
    <row r="188">
      <c r="A188" s="2" t="s">
        <v>12651</v>
      </c>
      <c r="B188" s="2" t="s">
        <v>12652</v>
      </c>
      <c r="C188" s="2" t="s">
        <v>15440</v>
      </c>
      <c r="D188" s="2" t="s">
        <v>15441</v>
      </c>
      <c r="E188" s="2" t="s">
        <v>15489</v>
      </c>
      <c r="F188" s="2" t="s">
        <v>15490</v>
      </c>
      <c r="G188" s="2" t="s">
        <v>15491</v>
      </c>
    </row>
    <row r="189">
      <c r="A189" s="2" t="s">
        <v>12651</v>
      </c>
      <c r="B189" s="2" t="s">
        <v>12652</v>
      </c>
      <c r="C189" s="2" t="s">
        <v>15440</v>
      </c>
      <c r="D189" s="2" t="s">
        <v>15441</v>
      </c>
      <c r="E189" s="2" t="s">
        <v>15492</v>
      </c>
      <c r="F189" s="2" t="s">
        <v>15493</v>
      </c>
      <c r="G189" s="2" t="s">
        <v>15494</v>
      </c>
    </row>
    <row r="190">
      <c r="A190" s="2" t="s">
        <v>12651</v>
      </c>
      <c r="B190" s="2" t="s">
        <v>12652</v>
      </c>
      <c r="C190" s="2" t="s">
        <v>15440</v>
      </c>
      <c r="D190" s="2" t="s">
        <v>15441</v>
      </c>
      <c r="E190" s="2" t="s">
        <v>15495</v>
      </c>
      <c r="F190" s="2" t="s">
        <v>15496</v>
      </c>
      <c r="G190" s="2" t="s">
        <v>15497</v>
      </c>
    </row>
    <row r="191">
      <c r="A191" s="2" t="s">
        <v>12651</v>
      </c>
      <c r="B191" s="2" t="s">
        <v>12652</v>
      </c>
      <c r="C191" s="2" t="s">
        <v>15440</v>
      </c>
      <c r="D191" s="2" t="s">
        <v>15441</v>
      </c>
      <c r="E191" s="2" t="s">
        <v>15498</v>
      </c>
      <c r="F191" s="2" t="s">
        <v>15499</v>
      </c>
      <c r="G191" s="2" t="s">
        <v>15500</v>
      </c>
    </row>
    <row r="192">
      <c r="A192" s="2" t="s">
        <v>12651</v>
      </c>
      <c r="B192" s="2" t="s">
        <v>12652</v>
      </c>
      <c r="C192" s="2" t="s">
        <v>15440</v>
      </c>
      <c r="D192" s="2" t="s">
        <v>15441</v>
      </c>
      <c r="E192" s="2" t="s">
        <v>15501</v>
      </c>
      <c r="F192" s="2" t="s">
        <v>15502</v>
      </c>
      <c r="G192" s="2" t="s">
        <v>15503</v>
      </c>
    </row>
    <row r="193">
      <c r="A193" s="2" t="s">
        <v>12651</v>
      </c>
      <c r="B193" s="2" t="s">
        <v>12652</v>
      </c>
      <c r="C193" s="2" t="s">
        <v>15440</v>
      </c>
      <c r="D193" s="2" t="s">
        <v>15441</v>
      </c>
      <c r="E193" s="2" t="s">
        <v>15504</v>
      </c>
      <c r="F193" s="2" t="s">
        <v>15505</v>
      </c>
      <c r="G193" s="2" t="s">
        <v>15506</v>
      </c>
    </row>
    <row r="194">
      <c r="A194" s="2" t="s">
        <v>10956</v>
      </c>
      <c r="B194" s="2" t="s">
        <v>10957</v>
      </c>
      <c r="C194" s="2" t="s">
        <v>15507</v>
      </c>
      <c r="D194" s="2" t="s">
        <v>15508</v>
      </c>
      <c r="E194" s="2" t="s">
        <v>15509</v>
      </c>
      <c r="F194" s="2" t="s">
        <v>15510</v>
      </c>
      <c r="G194" s="2" t="s">
        <v>15511</v>
      </c>
    </row>
    <row r="195">
      <c r="A195" s="2" t="s">
        <v>13988</v>
      </c>
      <c r="B195" s="2" t="s">
        <v>13989</v>
      </c>
      <c r="C195" s="2" t="s">
        <v>15512</v>
      </c>
      <c r="D195" s="2" t="s">
        <v>15513</v>
      </c>
      <c r="E195" s="2" t="s">
        <v>15514</v>
      </c>
      <c r="F195" s="2" t="s">
        <v>15515</v>
      </c>
      <c r="G195" s="2" t="s">
        <v>15516</v>
      </c>
    </row>
    <row r="196">
      <c r="A196" s="2" t="s">
        <v>9930</v>
      </c>
      <c r="B196" s="2" t="s">
        <v>9931</v>
      </c>
      <c r="C196" s="2" t="s">
        <v>15517</v>
      </c>
      <c r="D196" s="2" t="s">
        <v>15518</v>
      </c>
      <c r="E196" s="2" t="s">
        <v>15519</v>
      </c>
      <c r="F196" s="2" t="s">
        <v>15520</v>
      </c>
      <c r="G196" s="2" t="s">
        <v>15521</v>
      </c>
    </row>
    <row r="197">
      <c r="A197" s="2" t="s">
        <v>6193</v>
      </c>
      <c r="B197" s="2" t="s">
        <v>6194</v>
      </c>
      <c r="C197" s="2" t="s">
        <v>15522</v>
      </c>
      <c r="D197" s="2" t="s">
        <v>15523</v>
      </c>
      <c r="E197" s="2" t="s">
        <v>15524</v>
      </c>
      <c r="F197" s="2" t="s">
        <v>15525</v>
      </c>
      <c r="G197" s="2" t="s">
        <v>15526</v>
      </c>
    </row>
    <row r="198">
      <c r="A198" s="2"/>
      <c r="B198" s="2"/>
      <c r="C198" s="2" t="s">
        <v>15527</v>
      </c>
      <c r="D198" s="2" t="s">
        <v>15528</v>
      </c>
      <c r="E198" s="2" t="s">
        <v>15529</v>
      </c>
      <c r="F198" s="2" t="s">
        <v>15530</v>
      </c>
      <c r="G198" s="2" t="s">
        <v>15531</v>
      </c>
    </row>
    <row r="199">
      <c r="A199" s="2"/>
      <c r="B199" s="2"/>
      <c r="C199" s="2" t="s">
        <v>15527</v>
      </c>
      <c r="D199" s="2" t="s">
        <v>15528</v>
      </c>
      <c r="E199" s="2" t="s">
        <v>15532</v>
      </c>
      <c r="F199" s="2" t="s">
        <v>15533</v>
      </c>
      <c r="G199" s="2" t="s">
        <v>15531</v>
      </c>
    </row>
    <row r="200">
      <c r="A200" s="2"/>
      <c r="B200" s="2"/>
      <c r="C200" s="2" t="s">
        <v>15527</v>
      </c>
      <c r="D200" s="2" t="s">
        <v>15528</v>
      </c>
      <c r="E200" s="2" t="s">
        <v>15534</v>
      </c>
      <c r="F200" s="2" t="s">
        <v>15535</v>
      </c>
      <c r="G200" s="2" t="s">
        <v>15536</v>
      </c>
    </row>
    <row r="201">
      <c r="A201" s="2"/>
      <c r="B201" s="2"/>
      <c r="C201" s="2" t="s">
        <v>15527</v>
      </c>
      <c r="D201" s="2" t="s">
        <v>15528</v>
      </c>
      <c r="E201" s="2" t="s">
        <v>15537</v>
      </c>
      <c r="F201" s="2" t="s">
        <v>15538</v>
      </c>
      <c r="G201" s="2" t="s">
        <v>15539</v>
      </c>
    </row>
    <row r="202">
      <c r="A202" s="2"/>
      <c r="B202" s="2"/>
      <c r="C202" s="2" t="s">
        <v>15527</v>
      </c>
      <c r="D202" s="2" t="s">
        <v>15528</v>
      </c>
      <c r="E202" s="2" t="s">
        <v>15540</v>
      </c>
      <c r="F202" s="2" t="s">
        <v>15541</v>
      </c>
      <c r="G202" s="2" t="s">
        <v>15542</v>
      </c>
    </row>
    <row r="203">
      <c r="A203" s="2"/>
      <c r="B203" s="2"/>
      <c r="C203" s="2" t="s">
        <v>15527</v>
      </c>
      <c r="D203" s="2" t="s">
        <v>15528</v>
      </c>
      <c r="E203" s="2" t="s">
        <v>15543</v>
      </c>
      <c r="F203" s="2" t="s">
        <v>15539</v>
      </c>
      <c r="G203" s="2" t="s">
        <v>15544</v>
      </c>
    </row>
    <row r="204">
      <c r="A204" s="2"/>
      <c r="B204" s="2"/>
      <c r="C204" s="2" t="s">
        <v>15527</v>
      </c>
      <c r="D204" s="2" t="s">
        <v>15528</v>
      </c>
      <c r="E204" s="2" t="s">
        <v>15545</v>
      </c>
      <c r="F204" s="2" t="s">
        <v>15546</v>
      </c>
      <c r="G204" s="2" t="s">
        <v>15536</v>
      </c>
    </row>
    <row r="205">
      <c r="A205" s="2" t="s">
        <v>4870</v>
      </c>
      <c r="B205" s="2" t="s">
        <v>4871</v>
      </c>
      <c r="C205" s="2" t="s">
        <v>15547</v>
      </c>
      <c r="D205" s="2" t="s">
        <v>15548</v>
      </c>
      <c r="E205" s="2" t="s">
        <v>15549</v>
      </c>
      <c r="F205" s="2" t="s">
        <v>15550</v>
      </c>
      <c r="G205" s="2" t="s">
        <v>15551</v>
      </c>
    </row>
    <row r="206">
      <c r="A206" s="2" t="s">
        <v>11425</v>
      </c>
      <c r="B206" s="2" t="s">
        <v>11426</v>
      </c>
      <c r="C206" s="2" t="s">
        <v>15552</v>
      </c>
      <c r="D206" s="2" t="s">
        <v>15553</v>
      </c>
      <c r="E206" s="2" t="s">
        <v>15554</v>
      </c>
      <c r="F206" s="2" t="s">
        <v>15555</v>
      </c>
      <c r="G206" s="2" t="s">
        <v>15556</v>
      </c>
    </row>
    <row r="207">
      <c r="A207" s="2" t="s">
        <v>11425</v>
      </c>
      <c r="B207" s="2" t="s">
        <v>11426</v>
      </c>
      <c r="C207" s="2" t="s">
        <v>15552</v>
      </c>
      <c r="D207" s="2" t="s">
        <v>15553</v>
      </c>
      <c r="E207" s="2" t="s">
        <v>15557</v>
      </c>
      <c r="F207" s="2" t="s">
        <v>15558</v>
      </c>
      <c r="G207" s="2" t="s">
        <v>15559</v>
      </c>
    </row>
    <row r="208">
      <c r="A208" s="2" t="s">
        <v>11425</v>
      </c>
      <c r="B208" s="2" t="s">
        <v>11426</v>
      </c>
      <c r="C208" s="2" t="s">
        <v>15552</v>
      </c>
      <c r="D208" s="2" t="s">
        <v>15553</v>
      </c>
      <c r="E208" s="2" t="s">
        <v>15560</v>
      </c>
      <c r="F208" s="2" t="s">
        <v>15561</v>
      </c>
      <c r="G208" s="2" t="s">
        <v>15562</v>
      </c>
    </row>
    <row r="209">
      <c r="A209" s="2" t="s">
        <v>3827</v>
      </c>
      <c r="B209" s="2" t="s">
        <v>3828</v>
      </c>
      <c r="C209" s="2" t="s">
        <v>15563</v>
      </c>
      <c r="D209" s="2" t="s">
        <v>15564</v>
      </c>
      <c r="E209" s="2" t="s">
        <v>15565</v>
      </c>
      <c r="F209" s="2" t="s">
        <v>15566</v>
      </c>
      <c r="G209" s="2" t="s">
        <v>15567</v>
      </c>
    </row>
    <row r="210">
      <c r="A210" s="2" t="s">
        <v>3827</v>
      </c>
      <c r="B210" s="2" t="s">
        <v>3828</v>
      </c>
      <c r="C210" s="2" t="s">
        <v>15563</v>
      </c>
      <c r="D210" s="2" t="s">
        <v>15564</v>
      </c>
      <c r="E210" s="2" t="s">
        <v>15568</v>
      </c>
      <c r="F210" s="2" t="s">
        <v>15569</v>
      </c>
      <c r="G210" s="2" t="s">
        <v>15570</v>
      </c>
    </row>
    <row r="211">
      <c r="A211" s="2" t="s">
        <v>3827</v>
      </c>
      <c r="B211" s="2" t="s">
        <v>3828</v>
      </c>
      <c r="C211" s="2" t="s">
        <v>15563</v>
      </c>
      <c r="D211" s="2" t="s">
        <v>15564</v>
      </c>
      <c r="E211" s="2" t="s">
        <v>15571</v>
      </c>
      <c r="F211" s="2" t="s">
        <v>15572</v>
      </c>
      <c r="G211" s="2" t="s">
        <v>15573</v>
      </c>
    </row>
    <row r="212">
      <c r="A212" s="2" t="s">
        <v>10871</v>
      </c>
      <c r="B212" s="2" t="s">
        <v>10872</v>
      </c>
      <c r="C212" s="2" t="s">
        <v>15574</v>
      </c>
      <c r="D212" s="2" t="s">
        <v>15575</v>
      </c>
      <c r="E212" s="2" t="s">
        <v>15576</v>
      </c>
      <c r="F212" s="2" t="s">
        <v>15577</v>
      </c>
      <c r="G212" s="2" t="s">
        <v>15578</v>
      </c>
    </row>
    <row r="213">
      <c r="A213" s="2" t="s">
        <v>10871</v>
      </c>
      <c r="B213" s="2" t="s">
        <v>10872</v>
      </c>
      <c r="C213" s="2" t="s">
        <v>15574</v>
      </c>
      <c r="D213" s="2" t="s">
        <v>15575</v>
      </c>
      <c r="E213" s="2" t="s">
        <v>15579</v>
      </c>
      <c r="F213" s="2" t="s">
        <v>15580</v>
      </c>
      <c r="G213" s="2" t="s">
        <v>15581</v>
      </c>
    </row>
    <row r="214">
      <c r="A214" s="2" t="s">
        <v>10871</v>
      </c>
      <c r="B214" s="2" t="s">
        <v>10872</v>
      </c>
      <c r="C214" s="2" t="s">
        <v>15574</v>
      </c>
      <c r="D214" s="2" t="s">
        <v>15575</v>
      </c>
      <c r="E214" s="2" t="s">
        <v>15582</v>
      </c>
      <c r="F214" s="2" t="s">
        <v>15583</v>
      </c>
      <c r="G214" s="2" t="s">
        <v>15584</v>
      </c>
    </row>
    <row r="215">
      <c r="A215" s="2" t="s">
        <v>10871</v>
      </c>
      <c r="B215" s="2" t="s">
        <v>10872</v>
      </c>
      <c r="C215" s="2" t="s">
        <v>15574</v>
      </c>
      <c r="D215" s="2" t="s">
        <v>15575</v>
      </c>
      <c r="E215" s="2" t="s">
        <v>15585</v>
      </c>
      <c r="F215" s="2" t="s">
        <v>15586</v>
      </c>
      <c r="G215" s="2" t="s">
        <v>15587</v>
      </c>
    </row>
    <row r="216">
      <c r="A216" s="2" t="s">
        <v>10871</v>
      </c>
      <c r="B216" s="2" t="s">
        <v>10872</v>
      </c>
      <c r="C216" s="2" t="s">
        <v>15574</v>
      </c>
      <c r="D216" s="2" t="s">
        <v>15575</v>
      </c>
      <c r="E216" s="2" t="s">
        <v>15588</v>
      </c>
      <c r="F216" s="2" t="s">
        <v>15589</v>
      </c>
      <c r="G216" s="2" t="s">
        <v>15590</v>
      </c>
    </row>
    <row r="217">
      <c r="A217" s="2" t="s">
        <v>10871</v>
      </c>
      <c r="B217" s="2" t="s">
        <v>10872</v>
      </c>
      <c r="C217" s="2" t="s">
        <v>15574</v>
      </c>
      <c r="D217" s="2" t="s">
        <v>15575</v>
      </c>
      <c r="E217" s="2" t="s">
        <v>15591</v>
      </c>
      <c r="F217" s="2" t="s">
        <v>15592</v>
      </c>
      <c r="G217" s="2" t="s">
        <v>15593</v>
      </c>
    </row>
    <row r="218">
      <c r="A218" s="2" t="s">
        <v>10871</v>
      </c>
      <c r="B218" s="2" t="s">
        <v>10872</v>
      </c>
      <c r="C218" s="2" t="s">
        <v>15574</v>
      </c>
      <c r="D218" s="2" t="s">
        <v>15575</v>
      </c>
      <c r="E218" s="2" t="s">
        <v>15594</v>
      </c>
      <c r="F218" s="2" t="s">
        <v>15595</v>
      </c>
      <c r="G218" s="2" t="s">
        <v>15596</v>
      </c>
    </row>
    <row r="219">
      <c r="A219" s="2" t="s">
        <v>10871</v>
      </c>
      <c r="B219" s="2" t="s">
        <v>10872</v>
      </c>
      <c r="C219" s="2" t="s">
        <v>15574</v>
      </c>
      <c r="D219" s="2" t="s">
        <v>15575</v>
      </c>
      <c r="E219" s="2" t="s">
        <v>15597</v>
      </c>
      <c r="F219" s="2" t="s">
        <v>15598</v>
      </c>
      <c r="G219" s="2" t="s">
        <v>15599</v>
      </c>
    </row>
    <row r="220">
      <c r="A220" s="2" t="s">
        <v>10871</v>
      </c>
      <c r="B220" s="2" t="s">
        <v>10872</v>
      </c>
      <c r="C220" s="2" t="s">
        <v>15574</v>
      </c>
      <c r="D220" s="2" t="s">
        <v>15575</v>
      </c>
      <c r="E220" s="2" t="s">
        <v>15600</v>
      </c>
      <c r="F220" s="2" t="s">
        <v>15601</v>
      </c>
      <c r="G220" s="2" t="s">
        <v>15602</v>
      </c>
    </row>
    <row r="221">
      <c r="A221" s="2" t="s">
        <v>10871</v>
      </c>
      <c r="B221" s="2" t="s">
        <v>10872</v>
      </c>
      <c r="C221" s="2" t="s">
        <v>15574</v>
      </c>
      <c r="D221" s="2" t="s">
        <v>15575</v>
      </c>
      <c r="E221" s="2" t="s">
        <v>15603</v>
      </c>
      <c r="F221" s="2" t="s">
        <v>15604</v>
      </c>
      <c r="G221" s="2" t="s">
        <v>15605</v>
      </c>
    </row>
    <row r="222">
      <c r="A222" s="2" t="s">
        <v>10871</v>
      </c>
      <c r="B222" s="2" t="s">
        <v>10872</v>
      </c>
      <c r="C222" s="2" t="s">
        <v>15574</v>
      </c>
      <c r="D222" s="2" t="s">
        <v>15575</v>
      </c>
      <c r="E222" s="2" t="s">
        <v>15606</v>
      </c>
      <c r="F222" s="2" t="s">
        <v>15607</v>
      </c>
      <c r="G222" s="2" t="s">
        <v>15608</v>
      </c>
    </row>
    <row r="223">
      <c r="A223" s="2" t="s">
        <v>13578</v>
      </c>
      <c r="B223" s="2" t="s">
        <v>13579</v>
      </c>
      <c r="C223" s="2" t="s">
        <v>15609</v>
      </c>
      <c r="D223" s="2" t="s">
        <v>15610</v>
      </c>
      <c r="E223" s="2" t="s">
        <v>15611</v>
      </c>
      <c r="F223" s="2" t="s">
        <v>15612</v>
      </c>
      <c r="G223" s="2" t="s">
        <v>15613</v>
      </c>
    </row>
    <row r="224">
      <c r="A224" s="2" t="s">
        <v>14067</v>
      </c>
      <c r="B224" s="2" t="s">
        <v>14068</v>
      </c>
      <c r="C224" s="2" t="s">
        <v>15614</v>
      </c>
      <c r="D224" s="2" t="s">
        <v>15615</v>
      </c>
      <c r="E224" s="2" t="s">
        <v>15616</v>
      </c>
      <c r="F224" s="2" t="s">
        <v>15617</v>
      </c>
      <c r="G224" s="2" t="s">
        <v>15618</v>
      </c>
    </row>
    <row r="225">
      <c r="A225" s="2" t="s">
        <v>11708</v>
      </c>
      <c r="B225" s="2" t="s">
        <v>11709</v>
      </c>
      <c r="C225" s="2" t="s">
        <v>15619</v>
      </c>
      <c r="D225" s="2" t="s">
        <v>15620</v>
      </c>
      <c r="E225" s="2" t="s">
        <v>15621</v>
      </c>
      <c r="F225" s="2" t="s">
        <v>15622</v>
      </c>
      <c r="G225" s="2" t="s">
        <v>15623</v>
      </c>
    </row>
    <row r="226">
      <c r="A226" s="2" t="s">
        <v>861</v>
      </c>
      <c r="B226" s="2" t="s">
        <v>862</v>
      </c>
      <c r="C226" s="2" t="s">
        <v>15624</v>
      </c>
      <c r="D226" s="2" t="s">
        <v>15625</v>
      </c>
      <c r="E226" s="2" t="s">
        <v>15626</v>
      </c>
      <c r="F226" s="2" t="s">
        <v>15627</v>
      </c>
      <c r="G226" s="2" t="s">
        <v>15628</v>
      </c>
    </row>
    <row r="227">
      <c r="A227" s="2" t="s">
        <v>11368</v>
      </c>
      <c r="B227" s="2" t="s">
        <v>11369</v>
      </c>
      <c r="C227" s="2" t="s">
        <v>15629</v>
      </c>
      <c r="D227" s="2" t="s">
        <v>15630</v>
      </c>
      <c r="E227" s="2" t="s">
        <v>15631</v>
      </c>
      <c r="F227" s="2" t="s">
        <v>15632</v>
      </c>
      <c r="G227" s="2" t="s">
        <v>15633</v>
      </c>
    </row>
    <row r="228">
      <c r="A228" s="2" t="s">
        <v>11368</v>
      </c>
      <c r="B228" s="2" t="s">
        <v>11369</v>
      </c>
      <c r="C228" s="2" t="s">
        <v>15629</v>
      </c>
      <c r="D228" s="2" t="s">
        <v>15630</v>
      </c>
      <c r="E228" s="2" t="s">
        <v>15634</v>
      </c>
      <c r="F228" s="2" t="s">
        <v>15632</v>
      </c>
      <c r="G228" s="2" t="s">
        <v>15635</v>
      </c>
    </row>
    <row r="229">
      <c r="A229" s="2" t="s">
        <v>3933</v>
      </c>
      <c r="B229" s="2" t="s">
        <v>3934</v>
      </c>
      <c r="C229" s="2" t="s">
        <v>15636</v>
      </c>
      <c r="D229" s="2" t="s">
        <v>15637</v>
      </c>
      <c r="E229" s="2" t="s">
        <v>15638</v>
      </c>
      <c r="F229" s="2" t="s">
        <v>15639</v>
      </c>
      <c r="G229" s="2" t="s">
        <v>15640</v>
      </c>
    </row>
    <row r="230">
      <c r="A230" s="2" t="s">
        <v>3933</v>
      </c>
      <c r="B230" s="2" t="s">
        <v>3934</v>
      </c>
      <c r="C230" s="2" t="s">
        <v>15636</v>
      </c>
      <c r="D230" s="2" t="s">
        <v>15637</v>
      </c>
      <c r="E230" s="2" t="s">
        <v>15641</v>
      </c>
      <c r="F230" s="2" t="s">
        <v>15642</v>
      </c>
      <c r="G230" s="2" t="s">
        <v>15643</v>
      </c>
    </row>
    <row r="231">
      <c r="A231" s="2" t="s">
        <v>3933</v>
      </c>
      <c r="B231" s="2" t="s">
        <v>3934</v>
      </c>
      <c r="C231" s="2" t="s">
        <v>15636</v>
      </c>
      <c r="D231" s="2" t="s">
        <v>15637</v>
      </c>
      <c r="E231" s="2" t="s">
        <v>15644</v>
      </c>
      <c r="F231" s="2" t="s">
        <v>15645</v>
      </c>
      <c r="G231" s="2" t="s">
        <v>15646</v>
      </c>
    </row>
    <row r="232">
      <c r="A232" s="2" t="s">
        <v>3933</v>
      </c>
      <c r="B232" s="2" t="s">
        <v>3934</v>
      </c>
      <c r="C232" s="2" t="s">
        <v>15636</v>
      </c>
      <c r="D232" s="2" t="s">
        <v>15637</v>
      </c>
      <c r="E232" s="2" t="s">
        <v>15647</v>
      </c>
      <c r="F232" s="2" t="s">
        <v>15648</v>
      </c>
      <c r="G232" s="2" t="s">
        <v>15649</v>
      </c>
    </row>
    <row r="233">
      <c r="A233" s="2" t="s">
        <v>3933</v>
      </c>
      <c r="B233" s="2" t="s">
        <v>3934</v>
      </c>
      <c r="C233" s="2" t="s">
        <v>15636</v>
      </c>
      <c r="D233" s="2" t="s">
        <v>15637</v>
      </c>
      <c r="E233" s="2" t="s">
        <v>15650</v>
      </c>
      <c r="F233" s="2" t="s">
        <v>15651</v>
      </c>
      <c r="G233" s="2" t="s">
        <v>15652</v>
      </c>
    </row>
    <row r="234">
      <c r="A234" s="2" t="s">
        <v>3933</v>
      </c>
      <c r="B234" s="2" t="s">
        <v>3934</v>
      </c>
      <c r="C234" s="2" t="s">
        <v>15636</v>
      </c>
      <c r="D234" s="2" t="s">
        <v>15637</v>
      </c>
      <c r="E234" s="2" t="s">
        <v>15653</v>
      </c>
      <c r="F234" s="2" t="s">
        <v>15654</v>
      </c>
      <c r="G234" s="2" t="s">
        <v>15655</v>
      </c>
    </row>
    <row r="235">
      <c r="A235" s="2" t="s">
        <v>3933</v>
      </c>
      <c r="B235" s="2" t="s">
        <v>3934</v>
      </c>
      <c r="C235" s="2" t="s">
        <v>15636</v>
      </c>
      <c r="D235" s="2" t="s">
        <v>15637</v>
      </c>
      <c r="E235" s="2" t="s">
        <v>15656</v>
      </c>
      <c r="F235" s="2" t="s">
        <v>15657</v>
      </c>
      <c r="G235" s="2" t="s">
        <v>15658</v>
      </c>
    </row>
    <row r="236">
      <c r="A236" s="2" t="s">
        <v>3933</v>
      </c>
      <c r="B236" s="2" t="s">
        <v>3934</v>
      </c>
      <c r="C236" s="2" t="s">
        <v>15636</v>
      </c>
      <c r="D236" s="2" t="s">
        <v>15637</v>
      </c>
      <c r="E236" s="2" t="s">
        <v>15659</v>
      </c>
      <c r="F236" s="2" t="s">
        <v>15660</v>
      </c>
      <c r="G236" s="2" t="s">
        <v>15661</v>
      </c>
    </row>
    <row r="237">
      <c r="A237" s="2" t="s">
        <v>3933</v>
      </c>
      <c r="B237" s="2" t="s">
        <v>3934</v>
      </c>
      <c r="C237" s="2" t="s">
        <v>15636</v>
      </c>
      <c r="D237" s="2" t="s">
        <v>15637</v>
      </c>
      <c r="E237" s="2" t="s">
        <v>15662</v>
      </c>
      <c r="F237" s="2" t="s">
        <v>15663</v>
      </c>
      <c r="G237" s="2" t="s">
        <v>15664</v>
      </c>
    </row>
    <row r="238">
      <c r="A238" s="2" t="s">
        <v>8380</v>
      </c>
      <c r="B238" s="2" t="s">
        <v>8381</v>
      </c>
      <c r="C238" s="2" t="s">
        <v>15665</v>
      </c>
      <c r="D238" s="2" t="s">
        <v>15666</v>
      </c>
      <c r="E238" s="2" t="s">
        <v>15667</v>
      </c>
      <c r="F238" s="2" t="s">
        <v>15668</v>
      </c>
      <c r="G238" s="2" t="s">
        <v>15669</v>
      </c>
    </row>
    <row r="239">
      <c r="A239" s="2" t="s">
        <v>8380</v>
      </c>
      <c r="B239" s="2" t="s">
        <v>8381</v>
      </c>
      <c r="C239" s="2" t="s">
        <v>15665</v>
      </c>
      <c r="D239" s="2" t="s">
        <v>15666</v>
      </c>
      <c r="E239" s="2" t="s">
        <v>15670</v>
      </c>
      <c r="F239" s="2" t="s">
        <v>15671</v>
      </c>
      <c r="G239" s="2" t="s">
        <v>15672</v>
      </c>
    </row>
    <row r="240">
      <c r="A240" s="2" t="s">
        <v>736</v>
      </c>
      <c r="B240" s="2" t="s">
        <v>737</v>
      </c>
      <c r="C240" s="2" t="s">
        <v>15673</v>
      </c>
      <c r="D240" s="2" t="s">
        <v>15674</v>
      </c>
      <c r="E240" s="2" t="s">
        <v>15675</v>
      </c>
      <c r="F240" s="2" t="s">
        <v>15676</v>
      </c>
      <c r="G240" s="2" t="s">
        <v>15677</v>
      </c>
    </row>
    <row r="241">
      <c r="A241" s="2" t="s">
        <v>7495</v>
      </c>
      <c r="B241" s="2" t="s">
        <v>7496</v>
      </c>
      <c r="C241" s="2" t="s">
        <v>15678</v>
      </c>
      <c r="D241" s="2" t="s">
        <v>15679</v>
      </c>
      <c r="E241" s="2" t="s">
        <v>15680</v>
      </c>
      <c r="F241" s="2" t="s">
        <v>15681</v>
      </c>
      <c r="G241" s="2" t="s">
        <v>15682</v>
      </c>
    </row>
    <row r="242">
      <c r="A242" s="2" t="s">
        <v>7495</v>
      </c>
      <c r="B242" s="2" t="s">
        <v>7496</v>
      </c>
      <c r="C242" s="2" t="s">
        <v>15678</v>
      </c>
      <c r="D242" s="2" t="s">
        <v>15679</v>
      </c>
      <c r="E242" s="2" t="s">
        <v>15683</v>
      </c>
      <c r="F242" s="2" t="s">
        <v>15681</v>
      </c>
      <c r="G242" s="2" t="s">
        <v>15684</v>
      </c>
    </row>
    <row r="243">
      <c r="A243" s="2" t="s">
        <v>7495</v>
      </c>
      <c r="B243" s="2" t="s">
        <v>7496</v>
      </c>
      <c r="C243" s="2" t="s">
        <v>15678</v>
      </c>
      <c r="D243" s="2" t="s">
        <v>15679</v>
      </c>
      <c r="E243" s="2" t="s">
        <v>15685</v>
      </c>
      <c r="F243" s="2" t="s">
        <v>15686</v>
      </c>
      <c r="G243" s="2" t="s">
        <v>15682</v>
      </c>
    </row>
    <row r="244">
      <c r="A244" s="2" t="s">
        <v>5606</v>
      </c>
      <c r="B244" s="2" t="s">
        <v>5607</v>
      </c>
      <c r="C244" s="2" t="s">
        <v>15687</v>
      </c>
      <c r="D244" s="2" t="s">
        <v>15688</v>
      </c>
      <c r="E244" s="2" t="s">
        <v>15689</v>
      </c>
      <c r="F244" s="2" t="s">
        <v>15690</v>
      </c>
      <c r="G244" s="2" t="s">
        <v>15691</v>
      </c>
    </row>
    <row r="245">
      <c r="A245" s="2" t="s">
        <v>5606</v>
      </c>
      <c r="B245" s="2" t="s">
        <v>5607</v>
      </c>
      <c r="C245" s="2" t="s">
        <v>15687</v>
      </c>
      <c r="D245" s="2" t="s">
        <v>15688</v>
      </c>
      <c r="E245" s="2" t="s">
        <v>15692</v>
      </c>
      <c r="F245" s="2" t="s">
        <v>15693</v>
      </c>
      <c r="G245" s="2" t="s">
        <v>15694</v>
      </c>
    </row>
    <row r="246">
      <c r="A246" s="2" t="s">
        <v>5606</v>
      </c>
      <c r="B246" s="2" t="s">
        <v>5607</v>
      </c>
      <c r="C246" s="2" t="s">
        <v>15687</v>
      </c>
      <c r="D246" s="2" t="s">
        <v>15688</v>
      </c>
      <c r="E246" s="2" t="s">
        <v>15695</v>
      </c>
      <c r="F246" s="2" t="s">
        <v>15696</v>
      </c>
      <c r="G246" s="2" t="s">
        <v>15697</v>
      </c>
    </row>
    <row r="247">
      <c r="A247" s="2" t="s">
        <v>5606</v>
      </c>
      <c r="B247" s="2" t="s">
        <v>5607</v>
      </c>
      <c r="C247" s="2" t="s">
        <v>15687</v>
      </c>
      <c r="D247" s="2" t="s">
        <v>15688</v>
      </c>
      <c r="E247" s="2" t="s">
        <v>15698</v>
      </c>
      <c r="F247" s="2" t="s">
        <v>15699</v>
      </c>
      <c r="G247" s="2" t="s">
        <v>15700</v>
      </c>
    </row>
    <row r="248">
      <c r="A248" s="2" t="s">
        <v>3159</v>
      </c>
      <c r="B248" s="2" t="s">
        <v>3160</v>
      </c>
      <c r="C248" s="2" t="s">
        <v>15701</v>
      </c>
      <c r="D248" s="2" t="s">
        <v>15702</v>
      </c>
      <c r="E248" s="2" t="s">
        <v>15689</v>
      </c>
      <c r="F248" s="2" t="s">
        <v>15690</v>
      </c>
      <c r="G248" s="2" t="s">
        <v>15691</v>
      </c>
    </row>
    <row r="249">
      <c r="A249" s="2" t="s">
        <v>3159</v>
      </c>
      <c r="B249" s="2" t="s">
        <v>3160</v>
      </c>
      <c r="C249" s="2" t="s">
        <v>15701</v>
      </c>
      <c r="D249" s="2" t="s">
        <v>15702</v>
      </c>
      <c r="E249" s="2" t="s">
        <v>15692</v>
      </c>
      <c r="F249" s="2" t="s">
        <v>15693</v>
      </c>
      <c r="G249" s="2" t="s">
        <v>15694</v>
      </c>
    </row>
    <row r="250">
      <c r="A250" s="2" t="s">
        <v>3159</v>
      </c>
      <c r="B250" s="2" t="s">
        <v>3160</v>
      </c>
      <c r="C250" s="2" t="s">
        <v>15701</v>
      </c>
      <c r="D250" s="2" t="s">
        <v>15702</v>
      </c>
      <c r="E250" s="2" t="s">
        <v>15703</v>
      </c>
      <c r="F250" s="2" t="s">
        <v>15704</v>
      </c>
      <c r="G250" s="2" t="s">
        <v>15705</v>
      </c>
    </row>
    <row r="251">
      <c r="A251" s="2" t="s">
        <v>10860</v>
      </c>
      <c r="B251" s="2" t="s">
        <v>10861</v>
      </c>
      <c r="C251" s="2" t="s">
        <v>15706</v>
      </c>
      <c r="D251" s="2" t="s">
        <v>15707</v>
      </c>
      <c r="E251" s="2" t="s">
        <v>15689</v>
      </c>
      <c r="F251" s="2" t="s">
        <v>15690</v>
      </c>
      <c r="G251" s="2" t="s">
        <v>15691</v>
      </c>
    </row>
    <row r="252">
      <c r="A252" s="2" t="s">
        <v>10860</v>
      </c>
      <c r="B252" s="2" t="s">
        <v>10861</v>
      </c>
      <c r="C252" s="2" t="s">
        <v>15706</v>
      </c>
      <c r="D252" s="2" t="s">
        <v>15707</v>
      </c>
      <c r="E252" s="2" t="s">
        <v>15692</v>
      </c>
      <c r="F252" s="2" t="s">
        <v>15693</v>
      </c>
      <c r="G252" s="2" t="s">
        <v>15694</v>
      </c>
    </row>
    <row r="253">
      <c r="A253" s="2" t="s">
        <v>10860</v>
      </c>
      <c r="B253" s="2" t="s">
        <v>10861</v>
      </c>
      <c r="C253" s="2" t="s">
        <v>15706</v>
      </c>
      <c r="D253" s="2" t="s">
        <v>15707</v>
      </c>
      <c r="E253" s="2" t="s">
        <v>15708</v>
      </c>
      <c r="F253" s="2" t="s">
        <v>15709</v>
      </c>
      <c r="G253" s="2" t="s">
        <v>15710</v>
      </c>
    </row>
    <row r="254">
      <c r="A254" s="2" t="s">
        <v>10860</v>
      </c>
      <c r="B254" s="2" t="s">
        <v>10861</v>
      </c>
      <c r="C254" s="2" t="s">
        <v>15706</v>
      </c>
      <c r="D254" s="2" t="s">
        <v>15707</v>
      </c>
      <c r="E254" s="2" t="s">
        <v>15711</v>
      </c>
      <c r="F254" s="2" t="s">
        <v>15712</v>
      </c>
      <c r="G254" s="2" t="s">
        <v>15713</v>
      </c>
    </row>
    <row r="255">
      <c r="A255" s="2" t="s">
        <v>10860</v>
      </c>
      <c r="B255" s="2" t="s">
        <v>10861</v>
      </c>
      <c r="C255" s="2" t="s">
        <v>15706</v>
      </c>
      <c r="D255" s="2" t="s">
        <v>15707</v>
      </c>
      <c r="E255" s="2" t="s">
        <v>15714</v>
      </c>
      <c r="F255" s="2" t="s">
        <v>15715</v>
      </c>
      <c r="G255" s="2" t="s">
        <v>15716</v>
      </c>
    </row>
    <row r="256">
      <c r="A256" s="2" t="s">
        <v>10074</v>
      </c>
      <c r="B256" s="2" t="s">
        <v>10075</v>
      </c>
      <c r="C256" s="2" t="s">
        <v>15717</v>
      </c>
      <c r="D256" s="2" t="s">
        <v>15718</v>
      </c>
      <c r="E256" s="2" t="s">
        <v>15719</v>
      </c>
      <c r="F256" s="2" t="s">
        <v>15720</v>
      </c>
      <c r="G256" s="2" t="s">
        <v>15721</v>
      </c>
    </row>
    <row r="257">
      <c r="A257" s="2" t="s">
        <v>10074</v>
      </c>
      <c r="B257" s="2" t="s">
        <v>10075</v>
      </c>
      <c r="C257" s="2" t="s">
        <v>15717</v>
      </c>
      <c r="D257" s="2" t="s">
        <v>15718</v>
      </c>
      <c r="E257" s="2" t="s">
        <v>15722</v>
      </c>
      <c r="F257" s="2" t="s">
        <v>15723</v>
      </c>
      <c r="G257" s="2" t="s">
        <v>15724</v>
      </c>
    </row>
    <row r="258">
      <c r="A258" s="2" t="s">
        <v>5201</v>
      </c>
      <c r="B258" s="2" t="s">
        <v>5202</v>
      </c>
      <c r="C258" s="2" t="s">
        <v>15725</v>
      </c>
      <c r="D258" s="2" t="s">
        <v>15726</v>
      </c>
      <c r="E258" s="2" t="s">
        <v>15727</v>
      </c>
      <c r="F258" s="2" t="s">
        <v>15728</v>
      </c>
      <c r="G258" s="2" t="s">
        <v>15729</v>
      </c>
    </row>
    <row r="259">
      <c r="A259" s="2" t="s">
        <v>5201</v>
      </c>
      <c r="B259" s="2" t="s">
        <v>5202</v>
      </c>
      <c r="C259" s="2" t="s">
        <v>15725</v>
      </c>
      <c r="D259" s="2" t="s">
        <v>15726</v>
      </c>
      <c r="E259" s="2" t="s">
        <v>15730</v>
      </c>
      <c r="F259" s="2" t="s">
        <v>15731</v>
      </c>
      <c r="G259" s="2" t="s">
        <v>15732</v>
      </c>
    </row>
    <row r="260">
      <c r="A260" s="2" t="s">
        <v>5201</v>
      </c>
      <c r="B260" s="2" t="s">
        <v>5202</v>
      </c>
      <c r="C260" s="2" t="s">
        <v>15725</v>
      </c>
      <c r="D260" s="2" t="s">
        <v>15726</v>
      </c>
      <c r="E260" s="2" t="s">
        <v>15733</v>
      </c>
      <c r="F260" s="2" t="s">
        <v>15734</v>
      </c>
      <c r="G260" s="2" t="s">
        <v>15735</v>
      </c>
    </row>
    <row r="261">
      <c r="A261" s="2" t="s">
        <v>5201</v>
      </c>
      <c r="B261" s="2" t="s">
        <v>5202</v>
      </c>
      <c r="C261" s="2" t="s">
        <v>15725</v>
      </c>
      <c r="D261" s="2" t="s">
        <v>15726</v>
      </c>
      <c r="E261" s="2" t="s">
        <v>15736</v>
      </c>
      <c r="F261" s="2" t="s">
        <v>15737</v>
      </c>
      <c r="G261" s="2" t="s">
        <v>15738</v>
      </c>
    </row>
    <row r="262">
      <c r="A262" s="2" t="s">
        <v>5201</v>
      </c>
      <c r="B262" s="2" t="s">
        <v>5202</v>
      </c>
      <c r="C262" s="2" t="s">
        <v>15725</v>
      </c>
      <c r="D262" s="2" t="s">
        <v>15726</v>
      </c>
      <c r="E262" s="2" t="s">
        <v>15739</v>
      </c>
      <c r="F262" s="2" t="s">
        <v>15740</v>
      </c>
      <c r="G262" s="2" t="s">
        <v>15741</v>
      </c>
    </row>
    <row r="263">
      <c r="A263" s="2" t="s">
        <v>5201</v>
      </c>
      <c r="B263" s="2" t="s">
        <v>5202</v>
      </c>
      <c r="C263" s="2" t="s">
        <v>15725</v>
      </c>
      <c r="D263" s="2" t="s">
        <v>15726</v>
      </c>
      <c r="E263" s="2" t="s">
        <v>15742</v>
      </c>
      <c r="F263" s="2" t="s">
        <v>15743</v>
      </c>
      <c r="G263" s="2" t="s">
        <v>15744</v>
      </c>
    </row>
    <row r="264">
      <c r="A264" s="2" t="s">
        <v>10672</v>
      </c>
      <c r="B264" s="2" t="s">
        <v>10673</v>
      </c>
      <c r="C264" s="2" t="s">
        <v>15745</v>
      </c>
      <c r="D264" s="2" t="s">
        <v>15746</v>
      </c>
      <c r="E264" s="2" t="s">
        <v>15747</v>
      </c>
      <c r="F264" s="2" t="s">
        <v>15748</v>
      </c>
      <c r="G264" s="2" t="s">
        <v>15749</v>
      </c>
    </row>
    <row r="265">
      <c r="A265" s="2" t="s">
        <v>6540</v>
      </c>
      <c r="B265" s="2" t="s">
        <v>6541</v>
      </c>
      <c r="C265" s="2" t="s">
        <v>15750</v>
      </c>
      <c r="D265" s="2" t="s">
        <v>15751</v>
      </c>
      <c r="E265" s="2" t="s">
        <v>15752</v>
      </c>
      <c r="F265" s="2" t="s">
        <v>15753</v>
      </c>
      <c r="G265" s="2" t="s">
        <v>15754</v>
      </c>
    </row>
    <row r="266">
      <c r="A266" s="2" t="s">
        <v>6540</v>
      </c>
      <c r="B266" s="2" t="s">
        <v>6541</v>
      </c>
      <c r="C266" s="2" t="s">
        <v>15750</v>
      </c>
      <c r="D266" s="2" t="s">
        <v>15751</v>
      </c>
      <c r="E266" s="2" t="s">
        <v>15755</v>
      </c>
      <c r="F266" s="2" t="s">
        <v>15756</v>
      </c>
      <c r="G266" s="2" t="s">
        <v>15757</v>
      </c>
    </row>
    <row r="267">
      <c r="A267" s="2" t="s">
        <v>6540</v>
      </c>
      <c r="B267" s="2" t="s">
        <v>6541</v>
      </c>
      <c r="C267" s="2" t="s">
        <v>15750</v>
      </c>
      <c r="D267" s="2" t="s">
        <v>15751</v>
      </c>
      <c r="E267" s="2" t="s">
        <v>15758</v>
      </c>
      <c r="F267" s="2" t="s">
        <v>15759</v>
      </c>
      <c r="G267" s="2" t="s">
        <v>15760</v>
      </c>
    </row>
    <row r="268">
      <c r="A268" s="2" t="s">
        <v>6540</v>
      </c>
      <c r="B268" s="2" t="s">
        <v>6541</v>
      </c>
      <c r="C268" s="2" t="s">
        <v>15750</v>
      </c>
      <c r="D268" s="2" t="s">
        <v>15751</v>
      </c>
      <c r="E268" s="2" t="s">
        <v>15761</v>
      </c>
      <c r="F268" s="2" t="s">
        <v>15762</v>
      </c>
      <c r="G268" s="2" t="s">
        <v>15763</v>
      </c>
    </row>
    <row r="269">
      <c r="A269" s="2" t="s">
        <v>10585</v>
      </c>
      <c r="B269" s="2" t="s">
        <v>10586</v>
      </c>
      <c r="C269" s="2" t="s">
        <v>15764</v>
      </c>
      <c r="D269" s="2" t="s">
        <v>15765</v>
      </c>
      <c r="E269" s="2" t="s">
        <v>15766</v>
      </c>
      <c r="F269" s="2" t="s">
        <v>15767</v>
      </c>
      <c r="G269" s="2" t="s">
        <v>15768</v>
      </c>
    </row>
    <row r="270">
      <c r="A270" s="2" t="s">
        <v>10585</v>
      </c>
      <c r="B270" s="2" t="s">
        <v>10586</v>
      </c>
      <c r="C270" s="2" t="s">
        <v>15764</v>
      </c>
      <c r="D270" s="2" t="s">
        <v>15765</v>
      </c>
      <c r="E270" s="2" t="s">
        <v>15769</v>
      </c>
      <c r="F270" s="2" t="s">
        <v>15770</v>
      </c>
      <c r="G270" s="2" t="s">
        <v>15771</v>
      </c>
    </row>
    <row r="271">
      <c r="A271" s="2" t="s">
        <v>1168</v>
      </c>
      <c r="B271" s="2" t="s">
        <v>1169</v>
      </c>
      <c r="C271" s="2" t="s">
        <v>15772</v>
      </c>
      <c r="D271" s="2" t="s">
        <v>15773</v>
      </c>
      <c r="E271" s="2" t="s">
        <v>15774</v>
      </c>
      <c r="F271" s="2" t="s">
        <v>15775</v>
      </c>
      <c r="G271" s="2" t="s">
        <v>15776</v>
      </c>
    </row>
    <row r="272">
      <c r="A272" s="2" t="s">
        <v>1168</v>
      </c>
      <c r="B272" s="2" t="s">
        <v>1169</v>
      </c>
      <c r="C272" s="2" t="s">
        <v>15772</v>
      </c>
      <c r="D272" s="2" t="s">
        <v>15773</v>
      </c>
      <c r="E272" s="2" t="s">
        <v>15777</v>
      </c>
      <c r="F272" s="2" t="s">
        <v>15775</v>
      </c>
      <c r="G272" s="2" t="s">
        <v>15778</v>
      </c>
    </row>
    <row r="273">
      <c r="A273" s="2" t="s">
        <v>1168</v>
      </c>
      <c r="B273" s="2" t="s">
        <v>1169</v>
      </c>
      <c r="C273" s="2" t="s">
        <v>15772</v>
      </c>
      <c r="D273" s="2" t="s">
        <v>15773</v>
      </c>
      <c r="E273" s="2" t="s">
        <v>15779</v>
      </c>
      <c r="F273" s="2" t="s">
        <v>15780</v>
      </c>
      <c r="G273" s="2" t="s">
        <v>15781</v>
      </c>
    </row>
    <row r="274">
      <c r="A274" s="2" t="s">
        <v>1168</v>
      </c>
      <c r="B274" s="2" t="s">
        <v>1169</v>
      </c>
      <c r="C274" s="2" t="s">
        <v>15772</v>
      </c>
      <c r="D274" s="2" t="s">
        <v>15773</v>
      </c>
      <c r="E274" s="2" t="s">
        <v>15782</v>
      </c>
      <c r="F274" s="2" t="s">
        <v>15780</v>
      </c>
      <c r="G274" s="2" t="s">
        <v>15783</v>
      </c>
    </row>
    <row r="275">
      <c r="A275" s="2" t="s">
        <v>1168</v>
      </c>
      <c r="B275" s="2" t="s">
        <v>1169</v>
      </c>
      <c r="C275" s="2" t="s">
        <v>15772</v>
      </c>
      <c r="D275" s="2" t="s">
        <v>15773</v>
      </c>
      <c r="E275" s="2" t="s">
        <v>15784</v>
      </c>
      <c r="F275" s="2" t="s">
        <v>15785</v>
      </c>
      <c r="G275" s="2" t="s">
        <v>15778</v>
      </c>
    </row>
    <row r="276">
      <c r="A276" s="2" t="s">
        <v>1168</v>
      </c>
      <c r="B276" s="2" t="s">
        <v>1169</v>
      </c>
      <c r="C276" s="2" t="s">
        <v>15772</v>
      </c>
      <c r="D276" s="2" t="s">
        <v>15773</v>
      </c>
      <c r="E276" s="2" t="s">
        <v>15786</v>
      </c>
      <c r="F276" s="2" t="s">
        <v>15787</v>
      </c>
      <c r="G276" s="2" t="s">
        <v>15783</v>
      </c>
    </row>
    <row r="277">
      <c r="A277" s="2" t="s">
        <v>1168</v>
      </c>
      <c r="B277" s="2" t="s">
        <v>1169</v>
      </c>
      <c r="C277" s="2" t="s">
        <v>15772</v>
      </c>
      <c r="D277" s="2" t="s">
        <v>15773</v>
      </c>
      <c r="E277" s="2" t="s">
        <v>15788</v>
      </c>
      <c r="F277" s="2" t="s">
        <v>15789</v>
      </c>
      <c r="G277" s="2" t="s">
        <v>15790</v>
      </c>
    </row>
    <row r="278">
      <c r="A278" s="2" t="s">
        <v>10806</v>
      </c>
      <c r="B278" s="2" t="s">
        <v>10807</v>
      </c>
      <c r="C278" s="2" t="s">
        <v>15791</v>
      </c>
      <c r="D278" s="2" t="s">
        <v>15792</v>
      </c>
      <c r="E278" s="2" t="s">
        <v>15793</v>
      </c>
      <c r="F278" s="2" t="s">
        <v>15794</v>
      </c>
      <c r="G278" s="2" t="s">
        <v>15795</v>
      </c>
    </row>
    <row r="279">
      <c r="A279" s="2"/>
      <c r="B279" s="2"/>
      <c r="C279" s="2" t="s">
        <v>15796</v>
      </c>
      <c r="D279" s="2" t="s">
        <v>15797</v>
      </c>
      <c r="E279" s="2" t="s">
        <v>15798</v>
      </c>
      <c r="F279" s="2" t="s">
        <v>15799</v>
      </c>
      <c r="G279" s="2" t="s">
        <v>15800</v>
      </c>
    </row>
    <row r="280">
      <c r="A280" s="2"/>
      <c r="B280" s="2"/>
      <c r="C280" s="2" t="s">
        <v>15796</v>
      </c>
      <c r="D280" s="2" t="s">
        <v>15797</v>
      </c>
      <c r="E280" s="2" t="s">
        <v>15801</v>
      </c>
      <c r="F280" s="2" t="s">
        <v>15802</v>
      </c>
      <c r="G280" s="2" t="s">
        <v>15803</v>
      </c>
    </row>
    <row r="281">
      <c r="A281" s="2"/>
      <c r="B281" s="2"/>
      <c r="C281" s="2" t="s">
        <v>15796</v>
      </c>
      <c r="D281" s="2" t="s">
        <v>15797</v>
      </c>
      <c r="E281" s="2" t="s">
        <v>15804</v>
      </c>
      <c r="F281" s="2" t="s">
        <v>15805</v>
      </c>
      <c r="G281" s="2" t="s">
        <v>15806</v>
      </c>
    </row>
    <row r="282">
      <c r="A282" s="2"/>
      <c r="B282" s="2"/>
      <c r="C282" s="2" t="s">
        <v>15796</v>
      </c>
      <c r="D282" s="2" t="s">
        <v>15797</v>
      </c>
      <c r="E282" s="2" t="s">
        <v>15807</v>
      </c>
      <c r="F282" s="2" t="s">
        <v>15808</v>
      </c>
      <c r="G282" s="2" t="s">
        <v>15809</v>
      </c>
    </row>
    <row r="283">
      <c r="A283" s="2" t="s">
        <v>7753</v>
      </c>
      <c r="B283" s="2" t="s">
        <v>7754</v>
      </c>
      <c r="C283" s="2" t="s">
        <v>15810</v>
      </c>
      <c r="D283" s="2" t="s">
        <v>15811</v>
      </c>
      <c r="E283" s="2" t="s">
        <v>15812</v>
      </c>
      <c r="F283" s="2" t="s">
        <v>15813</v>
      </c>
      <c r="G283" s="2" t="s">
        <v>15814</v>
      </c>
    </row>
    <row r="284">
      <c r="A284" s="2" t="s">
        <v>7753</v>
      </c>
      <c r="B284" s="2" t="s">
        <v>7754</v>
      </c>
      <c r="C284" s="2" t="s">
        <v>15810</v>
      </c>
      <c r="D284" s="2" t="s">
        <v>15811</v>
      </c>
      <c r="E284" s="2" t="s">
        <v>15815</v>
      </c>
      <c r="F284" s="2" t="s">
        <v>15816</v>
      </c>
      <c r="G284" s="2" t="s">
        <v>15817</v>
      </c>
    </row>
    <row r="285">
      <c r="A285" s="2" t="s">
        <v>1651</v>
      </c>
      <c r="B285" s="2" t="s">
        <v>1652</v>
      </c>
      <c r="C285" s="2" t="s">
        <v>15818</v>
      </c>
      <c r="D285" s="2" t="s">
        <v>15819</v>
      </c>
      <c r="E285" s="2" t="s">
        <v>15820</v>
      </c>
      <c r="F285" s="2" t="s">
        <v>15821</v>
      </c>
      <c r="G285" s="2" t="s">
        <v>15822</v>
      </c>
    </row>
    <row r="286">
      <c r="A286" s="2" t="s">
        <v>3580</v>
      </c>
      <c r="B286" s="2" t="s">
        <v>3581</v>
      </c>
      <c r="C286" s="2" t="s">
        <v>15823</v>
      </c>
      <c r="D286" s="2" t="s">
        <v>15824</v>
      </c>
      <c r="E286" s="2" t="s">
        <v>15825</v>
      </c>
      <c r="F286" s="2" t="s">
        <v>15826</v>
      </c>
      <c r="G286" s="2" t="s">
        <v>15827</v>
      </c>
    </row>
    <row r="287">
      <c r="A287" s="2"/>
      <c r="B287" s="2"/>
      <c r="C287" s="2" t="s">
        <v>15828</v>
      </c>
      <c r="D287" s="2" t="s">
        <v>15829</v>
      </c>
      <c r="E287" s="2" t="s">
        <v>15830</v>
      </c>
      <c r="F287" s="2" t="s">
        <v>15831</v>
      </c>
      <c r="G287" s="2" t="s">
        <v>15832</v>
      </c>
    </row>
    <row r="288">
      <c r="A288" s="2" t="s">
        <v>1322</v>
      </c>
      <c r="B288" s="2" t="s">
        <v>1323</v>
      </c>
      <c r="C288" s="2" t="s">
        <v>15833</v>
      </c>
      <c r="D288" s="2" t="s">
        <v>15834</v>
      </c>
      <c r="E288" s="2" t="s">
        <v>15835</v>
      </c>
      <c r="F288" s="2" t="s">
        <v>15836</v>
      </c>
      <c r="G288" s="2" t="s">
        <v>15837</v>
      </c>
    </row>
    <row r="289">
      <c r="A289" s="2" t="s">
        <v>1322</v>
      </c>
      <c r="B289" s="2" t="s">
        <v>1323</v>
      </c>
      <c r="C289" s="2" t="s">
        <v>15833</v>
      </c>
      <c r="D289" s="2" t="s">
        <v>15834</v>
      </c>
      <c r="E289" s="2" t="s">
        <v>15838</v>
      </c>
      <c r="F289" s="2" t="s">
        <v>15839</v>
      </c>
      <c r="G289" s="2" t="s">
        <v>15840</v>
      </c>
    </row>
    <row r="290">
      <c r="A290" s="2" t="s">
        <v>7322</v>
      </c>
      <c r="B290" s="2" t="s">
        <v>7323</v>
      </c>
      <c r="C290" s="2" t="s">
        <v>15841</v>
      </c>
      <c r="D290" s="2" t="s">
        <v>15842</v>
      </c>
      <c r="E290" s="2" t="s">
        <v>15843</v>
      </c>
      <c r="F290" s="2" t="s">
        <v>15844</v>
      </c>
      <c r="G290" s="2" t="s">
        <v>15845</v>
      </c>
    </row>
    <row r="291">
      <c r="A291" s="2" t="s">
        <v>12930</v>
      </c>
      <c r="B291" s="2" t="s">
        <v>12931</v>
      </c>
      <c r="C291" s="2" t="s">
        <v>15846</v>
      </c>
      <c r="D291" s="2" t="s">
        <v>15847</v>
      </c>
      <c r="E291" s="2" t="s">
        <v>15848</v>
      </c>
      <c r="F291" s="2" t="s">
        <v>15836</v>
      </c>
      <c r="G291" s="2" t="s">
        <v>15849</v>
      </c>
    </row>
    <row r="292">
      <c r="A292" s="2" t="s">
        <v>12930</v>
      </c>
      <c r="B292" s="2" t="s">
        <v>12931</v>
      </c>
      <c r="C292" s="2" t="s">
        <v>15846</v>
      </c>
      <c r="D292" s="2" t="s">
        <v>15847</v>
      </c>
      <c r="E292" s="2" t="s">
        <v>15850</v>
      </c>
      <c r="F292" s="2" t="s">
        <v>15851</v>
      </c>
      <c r="G292" s="2" t="s">
        <v>15852</v>
      </c>
    </row>
    <row r="293">
      <c r="A293" s="2" t="s">
        <v>5065</v>
      </c>
      <c r="B293" s="2" t="s">
        <v>5066</v>
      </c>
      <c r="C293" s="2" t="s">
        <v>15853</v>
      </c>
      <c r="D293" s="2" t="s">
        <v>15854</v>
      </c>
      <c r="E293" s="2" t="s">
        <v>15855</v>
      </c>
      <c r="F293" s="2" t="s">
        <v>15856</v>
      </c>
      <c r="G293" s="2" t="s">
        <v>15857</v>
      </c>
    </row>
    <row r="294">
      <c r="A294" s="2" t="s">
        <v>10867</v>
      </c>
      <c r="B294" s="2" t="s">
        <v>10868</v>
      </c>
      <c r="C294" s="2" t="s">
        <v>15858</v>
      </c>
      <c r="D294" s="2" t="s">
        <v>15859</v>
      </c>
      <c r="E294" s="2" t="s">
        <v>15860</v>
      </c>
      <c r="F294" s="2" t="s">
        <v>15861</v>
      </c>
      <c r="G294" s="2" t="s">
        <v>15862</v>
      </c>
    </row>
    <row r="295">
      <c r="A295" s="2" t="s">
        <v>10867</v>
      </c>
      <c r="B295" s="2" t="s">
        <v>10868</v>
      </c>
      <c r="C295" s="2" t="s">
        <v>15858</v>
      </c>
      <c r="D295" s="2" t="s">
        <v>15859</v>
      </c>
      <c r="E295" s="2" t="s">
        <v>15863</v>
      </c>
      <c r="F295" s="2" t="s">
        <v>15864</v>
      </c>
      <c r="G295" s="2" t="s">
        <v>15865</v>
      </c>
    </row>
    <row r="296">
      <c r="A296" s="2" t="s">
        <v>10867</v>
      </c>
      <c r="B296" s="2" t="s">
        <v>10868</v>
      </c>
      <c r="C296" s="2" t="s">
        <v>15858</v>
      </c>
      <c r="D296" s="2" t="s">
        <v>15859</v>
      </c>
      <c r="E296" s="2" t="s">
        <v>15866</v>
      </c>
      <c r="F296" s="2" t="s">
        <v>15867</v>
      </c>
      <c r="G296" s="2" t="s">
        <v>15868</v>
      </c>
    </row>
    <row r="297">
      <c r="A297" s="2" t="s">
        <v>10867</v>
      </c>
      <c r="B297" s="2" t="s">
        <v>10868</v>
      </c>
      <c r="C297" s="2" t="s">
        <v>15858</v>
      </c>
      <c r="D297" s="2" t="s">
        <v>15859</v>
      </c>
      <c r="E297" s="2" t="s">
        <v>15869</v>
      </c>
      <c r="F297" s="2" t="s">
        <v>15870</v>
      </c>
      <c r="G297" s="2" t="s">
        <v>15871</v>
      </c>
    </row>
    <row r="298">
      <c r="A298" s="2" t="s">
        <v>8134</v>
      </c>
      <c r="B298" s="2" t="s">
        <v>8135</v>
      </c>
      <c r="C298" s="2" t="s">
        <v>15872</v>
      </c>
      <c r="D298" s="2" t="s">
        <v>15873</v>
      </c>
      <c r="E298" s="2" t="s">
        <v>15874</v>
      </c>
      <c r="F298" s="2" t="s">
        <v>15875</v>
      </c>
      <c r="G298" s="2" t="s">
        <v>15876</v>
      </c>
    </row>
    <row r="299">
      <c r="A299" s="2" t="s">
        <v>8134</v>
      </c>
      <c r="B299" s="2" t="s">
        <v>8135</v>
      </c>
      <c r="C299" s="2" t="s">
        <v>15872</v>
      </c>
      <c r="D299" s="2" t="s">
        <v>15873</v>
      </c>
      <c r="E299" s="2" t="s">
        <v>15877</v>
      </c>
      <c r="F299" s="2" t="s">
        <v>15878</v>
      </c>
      <c r="G299" s="2" t="s">
        <v>15879</v>
      </c>
    </row>
    <row r="300">
      <c r="A300" s="2" t="s">
        <v>8134</v>
      </c>
      <c r="B300" s="2" t="s">
        <v>8135</v>
      </c>
      <c r="C300" s="2" t="s">
        <v>15872</v>
      </c>
      <c r="D300" s="2" t="s">
        <v>15873</v>
      </c>
      <c r="E300" s="2" t="s">
        <v>15880</v>
      </c>
      <c r="F300" s="2" t="s">
        <v>15881</v>
      </c>
      <c r="G300" s="2" t="s">
        <v>15882</v>
      </c>
    </row>
    <row r="301">
      <c r="A301" s="2" t="s">
        <v>8134</v>
      </c>
      <c r="B301" s="2" t="s">
        <v>8135</v>
      </c>
      <c r="C301" s="2" t="s">
        <v>15872</v>
      </c>
      <c r="D301" s="2" t="s">
        <v>15873</v>
      </c>
      <c r="E301" s="2" t="s">
        <v>15883</v>
      </c>
      <c r="F301" s="2" t="s">
        <v>15884</v>
      </c>
      <c r="G301" s="2" t="s">
        <v>15885</v>
      </c>
    </row>
    <row r="302">
      <c r="A302" s="2" t="s">
        <v>2321</v>
      </c>
      <c r="B302" s="2" t="s">
        <v>2322</v>
      </c>
      <c r="C302" s="2" t="s">
        <v>15886</v>
      </c>
      <c r="D302" s="2" t="s">
        <v>15887</v>
      </c>
      <c r="E302" s="2" t="s">
        <v>15888</v>
      </c>
      <c r="F302" s="2" t="s">
        <v>15889</v>
      </c>
      <c r="G302" s="2" t="s">
        <v>15890</v>
      </c>
    </row>
    <row r="303">
      <c r="A303" s="2" t="s">
        <v>2321</v>
      </c>
      <c r="B303" s="2" t="s">
        <v>2322</v>
      </c>
      <c r="C303" s="2" t="s">
        <v>15886</v>
      </c>
      <c r="D303" s="2" t="s">
        <v>15887</v>
      </c>
      <c r="E303" s="2" t="s">
        <v>15891</v>
      </c>
      <c r="F303" s="2" t="s">
        <v>15892</v>
      </c>
      <c r="G303" s="2" t="s">
        <v>15893</v>
      </c>
    </row>
    <row r="304">
      <c r="A304" s="2"/>
      <c r="B304" s="2"/>
      <c r="C304" s="2" t="s">
        <v>15894</v>
      </c>
      <c r="D304" s="2" t="s">
        <v>15895</v>
      </c>
      <c r="E304" s="2" t="s">
        <v>15896</v>
      </c>
      <c r="F304" s="2" t="s">
        <v>15889</v>
      </c>
      <c r="G304" s="2" t="s">
        <v>15897</v>
      </c>
    </row>
    <row r="305">
      <c r="A305" s="2" t="s">
        <v>3356</v>
      </c>
      <c r="B305" s="2" t="s">
        <v>3357</v>
      </c>
      <c r="C305" s="2" t="s">
        <v>15898</v>
      </c>
      <c r="D305" s="2" t="s">
        <v>15899</v>
      </c>
      <c r="E305" s="2" t="s">
        <v>15900</v>
      </c>
      <c r="F305" s="2" t="s">
        <v>15901</v>
      </c>
      <c r="G305" s="2" t="s">
        <v>15902</v>
      </c>
    </row>
    <row r="306">
      <c r="A306" s="2" t="s">
        <v>5842</v>
      </c>
      <c r="B306" s="2" t="s">
        <v>5843</v>
      </c>
      <c r="C306" s="2" t="s">
        <v>15903</v>
      </c>
      <c r="D306" s="2" t="s">
        <v>15904</v>
      </c>
      <c r="E306" s="2" t="s">
        <v>15905</v>
      </c>
      <c r="F306" s="2" t="s">
        <v>15906</v>
      </c>
      <c r="G306" s="2" t="s">
        <v>15907</v>
      </c>
    </row>
    <row r="307">
      <c r="A307" s="2"/>
      <c r="B307" s="2"/>
      <c r="C307" s="2" t="s">
        <v>15908</v>
      </c>
      <c r="D307" s="2" t="s">
        <v>15909</v>
      </c>
      <c r="E307" s="2" t="s">
        <v>15910</v>
      </c>
      <c r="F307" s="2" t="s">
        <v>15911</v>
      </c>
      <c r="G307" s="2" t="s">
        <v>15912</v>
      </c>
    </row>
    <row r="308">
      <c r="A308" s="2"/>
      <c r="B308" s="2"/>
      <c r="C308" s="2" t="s">
        <v>15908</v>
      </c>
      <c r="D308" s="2" t="s">
        <v>15909</v>
      </c>
      <c r="E308" s="2" t="s">
        <v>15913</v>
      </c>
      <c r="F308" s="2" t="s">
        <v>15914</v>
      </c>
      <c r="G308" s="2" t="s">
        <v>15915</v>
      </c>
    </row>
    <row r="309">
      <c r="A309" s="2" t="s">
        <v>1328</v>
      </c>
      <c r="B309" s="2" t="s">
        <v>1329</v>
      </c>
      <c r="C309" s="2" t="s">
        <v>15916</v>
      </c>
      <c r="D309" s="2" t="s">
        <v>15917</v>
      </c>
      <c r="E309" s="2" t="s">
        <v>15918</v>
      </c>
      <c r="F309" s="2" t="s">
        <v>15919</v>
      </c>
      <c r="G309" s="2" t="s">
        <v>15920</v>
      </c>
    </row>
    <row r="310">
      <c r="A310" s="2" t="s">
        <v>1328</v>
      </c>
      <c r="B310" s="2" t="s">
        <v>1329</v>
      </c>
      <c r="C310" s="2" t="s">
        <v>15916</v>
      </c>
      <c r="D310" s="2" t="s">
        <v>15917</v>
      </c>
      <c r="E310" s="2" t="s">
        <v>15921</v>
      </c>
      <c r="F310" s="2" t="s">
        <v>15922</v>
      </c>
      <c r="G310" s="2" t="s">
        <v>15923</v>
      </c>
    </row>
    <row r="311">
      <c r="A311" s="2" t="s">
        <v>1328</v>
      </c>
      <c r="B311" s="2" t="s">
        <v>1329</v>
      </c>
      <c r="C311" s="2" t="s">
        <v>15916</v>
      </c>
      <c r="D311" s="2" t="s">
        <v>15917</v>
      </c>
      <c r="E311" s="2" t="s">
        <v>15924</v>
      </c>
      <c r="F311" s="2" t="s">
        <v>15919</v>
      </c>
      <c r="G311" s="2" t="s">
        <v>15925</v>
      </c>
    </row>
    <row r="312">
      <c r="A312" s="2" t="s">
        <v>1328</v>
      </c>
      <c r="B312" s="2" t="s">
        <v>1329</v>
      </c>
      <c r="C312" s="2" t="s">
        <v>15916</v>
      </c>
      <c r="D312" s="2" t="s">
        <v>15917</v>
      </c>
      <c r="E312" s="2" t="s">
        <v>15926</v>
      </c>
      <c r="F312" s="2" t="s">
        <v>15927</v>
      </c>
      <c r="G312" s="2" t="s">
        <v>15920</v>
      </c>
    </row>
    <row r="313">
      <c r="A313" s="2" t="s">
        <v>10589</v>
      </c>
      <c r="B313" s="2" t="s">
        <v>10590</v>
      </c>
      <c r="C313" s="2" t="s">
        <v>15928</v>
      </c>
      <c r="D313" s="2" t="s">
        <v>15929</v>
      </c>
      <c r="E313" s="2" t="s">
        <v>15930</v>
      </c>
      <c r="F313" s="2" t="s">
        <v>15931</v>
      </c>
      <c r="G313" s="2" t="s">
        <v>15932</v>
      </c>
    </row>
    <row r="314">
      <c r="A314" s="2" t="s">
        <v>10589</v>
      </c>
      <c r="B314" s="2" t="s">
        <v>10590</v>
      </c>
      <c r="C314" s="2" t="s">
        <v>15928</v>
      </c>
      <c r="D314" s="2" t="s">
        <v>15929</v>
      </c>
      <c r="E314" s="2" t="s">
        <v>15933</v>
      </c>
      <c r="F314" s="2" t="s">
        <v>15934</v>
      </c>
      <c r="G314" s="2" t="s">
        <v>15935</v>
      </c>
    </row>
    <row r="315">
      <c r="A315" s="2" t="s">
        <v>11336</v>
      </c>
      <c r="B315" s="2" t="s">
        <v>11337</v>
      </c>
      <c r="C315" s="2" t="s">
        <v>15936</v>
      </c>
      <c r="D315" s="2" t="s">
        <v>15937</v>
      </c>
      <c r="E315" s="2" t="s">
        <v>15938</v>
      </c>
      <c r="F315" s="2" t="s">
        <v>15939</v>
      </c>
      <c r="G315" s="2" t="s">
        <v>15940</v>
      </c>
    </row>
    <row r="316">
      <c r="A316" s="2" t="s">
        <v>11336</v>
      </c>
      <c r="B316" s="2" t="s">
        <v>11337</v>
      </c>
      <c r="C316" s="2" t="s">
        <v>15936</v>
      </c>
      <c r="D316" s="2" t="s">
        <v>15937</v>
      </c>
      <c r="E316" s="2" t="s">
        <v>15933</v>
      </c>
      <c r="F316" s="2" t="s">
        <v>15934</v>
      </c>
      <c r="G316" s="2" t="s">
        <v>15935</v>
      </c>
    </row>
    <row r="317">
      <c r="A317" s="2" t="s">
        <v>7231</v>
      </c>
      <c r="B317" s="2" t="s">
        <v>7232</v>
      </c>
      <c r="C317" s="2" t="s">
        <v>15941</v>
      </c>
      <c r="D317" s="2" t="s">
        <v>15942</v>
      </c>
      <c r="E317" s="2" t="s">
        <v>15943</v>
      </c>
      <c r="F317" s="2" t="s">
        <v>15944</v>
      </c>
      <c r="G317" s="2" t="s">
        <v>15944</v>
      </c>
    </row>
    <row r="318">
      <c r="A318" s="2" t="s">
        <v>11552</v>
      </c>
      <c r="B318" s="2" t="s">
        <v>11553</v>
      </c>
      <c r="C318" s="2" t="s">
        <v>15945</v>
      </c>
      <c r="D318" s="2" t="s">
        <v>15946</v>
      </c>
      <c r="E318" s="2" t="s">
        <v>15947</v>
      </c>
      <c r="F318" s="2" t="s">
        <v>15948</v>
      </c>
      <c r="G318" s="2" t="s">
        <v>15949</v>
      </c>
    </row>
    <row r="319">
      <c r="A319" s="2" t="s">
        <v>6833</v>
      </c>
      <c r="B319" s="2" t="s">
        <v>6834</v>
      </c>
      <c r="C319" s="2" t="s">
        <v>15950</v>
      </c>
      <c r="D319" s="2" t="s">
        <v>15951</v>
      </c>
      <c r="E319" s="2" t="s">
        <v>15947</v>
      </c>
      <c r="F319" s="2" t="s">
        <v>15948</v>
      </c>
      <c r="G319" s="2" t="s">
        <v>15949</v>
      </c>
    </row>
    <row r="320">
      <c r="A320" s="2"/>
      <c r="B320" s="2"/>
      <c r="C320" s="2" t="s">
        <v>15952</v>
      </c>
      <c r="D320" s="2" t="s">
        <v>15953</v>
      </c>
      <c r="E320" s="2" t="s">
        <v>15947</v>
      </c>
      <c r="F320" s="2" t="s">
        <v>15948</v>
      </c>
      <c r="G320" s="2" t="s">
        <v>15949</v>
      </c>
    </row>
    <row r="321">
      <c r="A321" s="2" t="s">
        <v>11773</v>
      </c>
      <c r="B321" s="2" t="s">
        <v>11774</v>
      </c>
      <c r="C321" s="2" t="s">
        <v>15954</v>
      </c>
      <c r="D321" s="2" t="s">
        <v>15955</v>
      </c>
      <c r="E321" s="2" t="s">
        <v>15943</v>
      </c>
      <c r="F321" s="2" t="s">
        <v>15944</v>
      </c>
      <c r="G321" s="2" t="s">
        <v>15944</v>
      </c>
    </row>
    <row r="322">
      <c r="A322" s="2" t="s">
        <v>7311</v>
      </c>
      <c r="B322" s="2" t="s">
        <v>7312</v>
      </c>
      <c r="C322" s="2" t="s">
        <v>15956</v>
      </c>
      <c r="D322" s="2" t="s">
        <v>15957</v>
      </c>
      <c r="E322" s="2" t="s">
        <v>15943</v>
      </c>
      <c r="F322" s="2" t="s">
        <v>15944</v>
      </c>
      <c r="G322" s="2" t="s">
        <v>15944</v>
      </c>
    </row>
    <row r="323">
      <c r="A323" s="2" t="s">
        <v>7066</v>
      </c>
      <c r="B323" s="2" t="s">
        <v>7067</v>
      </c>
      <c r="C323" s="2" t="s">
        <v>15958</v>
      </c>
      <c r="D323" s="2" t="s">
        <v>15959</v>
      </c>
      <c r="E323" s="2" t="s">
        <v>15960</v>
      </c>
      <c r="F323" s="2" t="s">
        <v>15961</v>
      </c>
      <c r="G323" s="2" t="s">
        <v>15962</v>
      </c>
    </row>
    <row r="324">
      <c r="A324" s="2" t="s">
        <v>5906</v>
      </c>
      <c r="B324" s="2" t="s">
        <v>5907</v>
      </c>
      <c r="C324" s="2" t="s">
        <v>15963</v>
      </c>
      <c r="D324" s="2" t="s">
        <v>15964</v>
      </c>
      <c r="E324" s="2" t="s">
        <v>15943</v>
      </c>
      <c r="F324" s="2" t="s">
        <v>15944</v>
      </c>
      <c r="G324" s="2" t="s">
        <v>15944</v>
      </c>
    </row>
    <row r="325">
      <c r="A325" s="2" t="s">
        <v>11777</v>
      </c>
      <c r="B325" s="2" t="s">
        <v>11778</v>
      </c>
      <c r="C325" s="2" t="s">
        <v>15965</v>
      </c>
      <c r="D325" s="2" t="s">
        <v>15966</v>
      </c>
      <c r="E325" s="2" t="s">
        <v>15943</v>
      </c>
      <c r="F325" s="2" t="s">
        <v>15944</v>
      </c>
      <c r="G325" s="2" t="s">
        <v>15944</v>
      </c>
    </row>
    <row r="326">
      <c r="A326" s="2" t="s">
        <v>10418</v>
      </c>
      <c r="B326" s="2" t="s">
        <v>10419</v>
      </c>
      <c r="C326" s="2" t="s">
        <v>15967</v>
      </c>
      <c r="D326" s="2" t="s">
        <v>15968</v>
      </c>
      <c r="E326" s="2" t="s">
        <v>15943</v>
      </c>
      <c r="F326" s="2" t="s">
        <v>15944</v>
      </c>
      <c r="G326" s="2" t="s">
        <v>15944</v>
      </c>
    </row>
    <row r="327">
      <c r="A327" s="2" t="s">
        <v>11006</v>
      </c>
      <c r="B327" s="2" t="s">
        <v>11007</v>
      </c>
      <c r="C327" s="2" t="s">
        <v>15969</v>
      </c>
      <c r="D327" s="2" t="s">
        <v>15970</v>
      </c>
      <c r="E327" s="2" t="s">
        <v>15971</v>
      </c>
      <c r="F327" s="2" t="s">
        <v>15972</v>
      </c>
      <c r="G327" s="2" t="s">
        <v>15973</v>
      </c>
    </row>
    <row r="328">
      <c r="A328" s="2" t="s">
        <v>7082</v>
      </c>
      <c r="B328" s="2" t="s">
        <v>7083</v>
      </c>
      <c r="C328" s="2" t="s">
        <v>15974</v>
      </c>
      <c r="D328" s="2" t="s">
        <v>15975</v>
      </c>
      <c r="E328" s="2" t="s">
        <v>15943</v>
      </c>
      <c r="F328" s="2" t="s">
        <v>15944</v>
      </c>
      <c r="G328" s="2" t="s">
        <v>15944</v>
      </c>
    </row>
    <row r="329">
      <c r="A329" s="2" t="s">
        <v>11587</v>
      </c>
      <c r="B329" s="2" t="s">
        <v>11588</v>
      </c>
      <c r="C329" s="2" t="s">
        <v>15976</v>
      </c>
      <c r="D329" s="2" t="s">
        <v>15977</v>
      </c>
      <c r="E329" s="2" t="s">
        <v>15943</v>
      </c>
      <c r="F329" s="2" t="s">
        <v>15944</v>
      </c>
      <c r="G329" s="2" t="s">
        <v>15944</v>
      </c>
    </row>
    <row r="330">
      <c r="A330" s="2" t="s">
        <v>5717</v>
      </c>
      <c r="B330" s="2" t="s">
        <v>5718</v>
      </c>
      <c r="C330" s="2" t="s">
        <v>15978</v>
      </c>
      <c r="D330" s="2" t="s">
        <v>15979</v>
      </c>
      <c r="E330" s="2" t="s">
        <v>15943</v>
      </c>
      <c r="F330" s="2" t="s">
        <v>15944</v>
      </c>
      <c r="G330" s="2" t="s">
        <v>15944</v>
      </c>
    </row>
    <row r="331">
      <c r="A331" s="2" t="s">
        <v>7089</v>
      </c>
      <c r="B331" s="2" t="s">
        <v>7090</v>
      </c>
      <c r="C331" s="2" t="s">
        <v>15980</v>
      </c>
      <c r="D331" s="2" t="s">
        <v>15981</v>
      </c>
      <c r="E331" s="2" t="s">
        <v>15943</v>
      </c>
      <c r="F331" s="2" t="s">
        <v>15944</v>
      </c>
      <c r="G331" s="2" t="s">
        <v>15944</v>
      </c>
    </row>
    <row r="332">
      <c r="A332" s="2" t="s">
        <v>11864</v>
      </c>
      <c r="B332" s="2" t="s">
        <v>11865</v>
      </c>
      <c r="C332" s="2" t="s">
        <v>15982</v>
      </c>
      <c r="D332" s="2" t="s">
        <v>15983</v>
      </c>
      <c r="E332" s="2" t="s">
        <v>15984</v>
      </c>
      <c r="F332" s="2" t="s">
        <v>15985</v>
      </c>
      <c r="G332" s="2" t="s">
        <v>15986</v>
      </c>
    </row>
    <row r="333">
      <c r="A333" s="2" t="s">
        <v>7650</v>
      </c>
      <c r="B333" s="2" t="s">
        <v>7651</v>
      </c>
      <c r="C333" s="2" t="s">
        <v>15987</v>
      </c>
      <c r="D333" s="2" t="s">
        <v>15988</v>
      </c>
      <c r="E333" s="2" t="s">
        <v>15989</v>
      </c>
      <c r="F333" s="2" t="s">
        <v>15990</v>
      </c>
      <c r="G333" s="2" t="s">
        <v>15991</v>
      </c>
    </row>
    <row r="334">
      <c r="A334" s="2" t="s">
        <v>9286</v>
      </c>
      <c r="B334" s="2" t="s">
        <v>9287</v>
      </c>
      <c r="C334" s="2" t="s">
        <v>15992</v>
      </c>
      <c r="D334" s="2" t="s">
        <v>15993</v>
      </c>
      <c r="E334" s="2" t="s">
        <v>15994</v>
      </c>
      <c r="F334" s="2" t="s">
        <v>15985</v>
      </c>
      <c r="G334" s="2" t="s">
        <v>15995</v>
      </c>
    </row>
    <row r="335">
      <c r="A335" s="2" t="s">
        <v>1170</v>
      </c>
      <c r="B335" s="2" t="s">
        <v>1171</v>
      </c>
      <c r="C335" s="2" t="s">
        <v>15996</v>
      </c>
      <c r="D335" s="2" t="s">
        <v>15997</v>
      </c>
      <c r="E335" s="2" t="s">
        <v>15998</v>
      </c>
      <c r="F335" s="2" t="s">
        <v>15999</v>
      </c>
      <c r="G335" s="2" t="s">
        <v>16000</v>
      </c>
    </row>
    <row r="336">
      <c r="A336" s="2" t="s">
        <v>1648</v>
      </c>
      <c r="B336" s="2" t="s">
        <v>1649</v>
      </c>
      <c r="C336" s="2" t="s">
        <v>16001</v>
      </c>
      <c r="D336" s="2" t="s">
        <v>16002</v>
      </c>
      <c r="E336" s="2" t="s">
        <v>16003</v>
      </c>
      <c r="F336" s="2" t="s">
        <v>16004</v>
      </c>
      <c r="G336" s="2" t="s">
        <v>16005</v>
      </c>
    </row>
    <row r="337">
      <c r="A337" s="2" t="s">
        <v>9978</v>
      </c>
      <c r="B337" s="2" t="s">
        <v>9979</v>
      </c>
      <c r="C337" s="2" t="s">
        <v>16006</v>
      </c>
      <c r="D337" s="2" t="s">
        <v>16007</v>
      </c>
      <c r="E337" s="2" t="s">
        <v>16008</v>
      </c>
      <c r="F337" s="2" t="s">
        <v>16009</v>
      </c>
      <c r="G337" s="2" t="s">
        <v>16010</v>
      </c>
    </row>
    <row r="338">
      <c r="A338" s="2" t="s">
        <v>11897</v>
      </c>
      <c r="B338" s="2" t="s">
        <v>11898</v>
      </c>
      <c r="C338" s="2" t="s">
        <v>16011</v>
      </c>
      <c r="D338" s="2" t="s">
        <v>16012</v>
      </c>
      <c r="E338" s="2" t="s">
        <v>16013</v>
      </c>
      <c r="F338" s="2" t="s">
        <v>16014</v>
      </c>
      <c r="G338" s="2" t="s">
        <v>16015</v>
      </c>
    </row>
    <row r="339">
      <c r="A339" s="2" t="s">
        <v>11897</v>
      </c>
      <c r="B339" s="2" t="s">
        <v>11898</v>
      </c>
      <c r="C339" s="2" t="s">
        <v>16011</v>
      </c>
      <c r="D339" s="2" t="s">
        <v>16012</v>
      </c>
      <c r="E339" s="2" t="s">
        <v>16016</v>
      </c>
      <c r="F339" s="2" t="s">
        <v>16017</v>
      </c>
      <c r="G339" s="2" t="s">
        <v>16018</v>
      </c>
    </row>
    <row r="340">
      <c r="A340" s="2" t="s">
        <v>13002</v>
      </c>
      <c r="B340" s="2" t="s">
        <v>13003</v>
      </c>
      <c r="C340" s="2" t="s">
        <v>16019</v>
      </c>
      <c r="D340" s="2" t="s">
        <v>16020</v>
      </c>
      <c r="E340" s="2" t="s">
        <v>16021</v>
      </c>
      <c r="F340" s="2" t="s">
        <v>16022</v>
      </c>
      <c r="G340" s="2" t="s">
        <v>16023</v>
      </c>
    </row>
    <row r="341">
      <c r="A341" s="2" t="s">
        <v>2721</v>
      </c>
      <c r="B341" s="2" t="s">
        <v>2722</v>
      </c>
      <c r="C341" s="2" t="s">
        <v>16024</v>
      </c>
      <c r="D341" s="2" t="s">
        <v>16025</v>
      </c>
      <c r="E341" s="2" t="s">
        <v>16026</v>
      </c>
      <c r="F341" s="2" t="s">
        <v>16027</v>
      </c>
      <c r="G341" s="2" t="s">
        <v>16028</v>
      </c>
    </row>
    <row r="342">
      <c r="A342" s="2" t="s">
        <v>7691</v>
      </c>
      <c r="B342" s="2" t="s">
        <v>7692</v>
      </c>
      <c r="C342" s="2" t="s">
        <v>16029</v>
      </c>
      <c r="D342" s="2" t="s">
        <v>16030</v>
      </c>
      <c r="E342" s="2" t="s">
        <v>16031</v>
      </c>
      <c r="F342" s="2" t="s">
        <v>16032</v>
      </c>
      <c r="G342" s="2" t="s">
        <v>16033</v>
      </c>
    </row>
    <row r="343">
      <c r="A343" s="2" t="s">
        <v>7691</v>
      </c>
      <c r="B343" s="2" t="s">
        <v>7692</v>
      </c>
      <c r="C343" s="2" t="s">
        <v>16029</v>
      </c>
      <c r="D343" s="2" t="s">
        <v>16030</v>
      </c>
      <c r="E343" s="2" t="s">
        <v>16034</v>
      </c>
      <c r="F343" s="2" t="s">
        <v>16035</v>
      </c>
      <c r="G343" s="2" t="s">
        <v>16036</v>
      </c>
    </row>
    <row r="344">
      <c r="A344" s="2" t="s">
        <v>10670</v>
      </c>
      <c r="B344" s="2" t="s">
        <v>10671</v>
      </c>
      <c r="C344" s="2" t="s">
        <v>16037</v>
      </c>
      <c r="D344" s="2" t="s">
        <v>16038</v>
      </c>
      <c r="E344" s="2" t="s">
        <v>16039</v>
      </c>
      <c r="F344" s="2" t="s">
        <v>16040</v>
      </c>
      <c r="G344" s="2" t="s">
        <v>16041</v>
      </c>
    </row>
    <row r="345">
      <c r="A345" s="2" t="s">
        <v>10670</v>
      </c>
      <c r="B345" s="2" t="s">
        <v>10671</v>
      </c>
      <c r="C345" s="2" t="s">
        <v>16037</v>
      </c>
      <c r="D345" s="2" t="s">
        <v>16038</v>
      </c>
      <c r="E345" s="2" t="s">
        <v>16042</v>
      </c>
      <c r="F345" s="2" t="s">
        <v>16043</v>
      </c>
      <c r="G345" s="2" t="s">
        <v>16044</v>
      </c>
    </row>
    <row r="346">
      <c r="A346" s="2" t="s">
        <v>2998</v>
      </c>
      <c r="B346" s="2" t="s">
        <v>2999</v>
      </c>
      <c r="C346" s="2" t="s">
        <v>16045</v>
      </c>
      <c r="D346" s="2" t="s">
        <v>16046</v>
      </c>
      <c r="E346" s="2" t="s">
        <v>16047</v>
      </c>
      <c r="F346" s="2" t="s">
        <v>16048</v>
      </c>
      <c r="G346" s="2" t="s">
        <v>16049</v>
      </c>
    </row>
    <row r="347">
      <c r="A347" s="2" t="s">
        <v>2998</v>
      </c>
      <c r="B347" s="2" t="s">
        <v>2999</v>
      </c>
      <c r="C347" s="2" t="s">
        <v>16045</v>
      </c>
      <c r="D347" s="2" t="s">
        <v>16046</v>
      </c>
      <c r="E347" s="2" t="s">
        <v>16050</v>
      </c>
      <c r="F347" s="2" t="s">
        <v>16051</v>
      </c>
      <c r="G347" s="2" t="s">
        <v>16052</v>
      </c>
    </row>
    <row r="348">
      <c r="A348" s="2" t="s">
        <v>6269</v>
      </c>
      <c r="B348" s="2" t="s">
        <v>6270</v>
      </c>
      <c r="C348" s="2" t="s">
        <v>16053</v>
      </c>
      <c r="D348" s="2" t="s">
        <v>16054</v>
      </c>
      <c r="E348" s="2" t="s">
        <v>16055</v>
      </c>
      <c r="F348" s="2" t="s">
        <v>16056</v>
      </c>
      <c r="G348" s="2" t="s">
        <v>16057</v>
      </c>
    </row>
    <row r="349">
      <c r="A349" s="2" t="s">
        <v>6269</v>
      </c>
      <c r="B349" s="2" t="s">
        <v>6270</v>
      </c>
      <c r="C349" s="2" t="s">
        <v>16053</v>
      </c>
      <c r="D349" s="2" t="s">
        <v>16054</v>
      </c>
      <c r="E349" s="2" t="s">
        <v>16058</v>
      </c>
      <c r="F349" s="2" t="s">
        <v>16059</v>
      </c>
      <c r="G349" s="2" t="s">
        <v>16060</v>
      </c>
    </row>
    <row r="350">
      <c r="A350" s="2" t="s">
        <v>6265</v>
      </c>
      <c r="B350" s="2" t="s">
        <v>6266</v>
      </c>
      <c r="C350" s="2" t="s">
        <v>16061</v>
      </c>
      <c r="D350" s="2" t="s">
        <v>16062</v>
      </c>
      <c r="E350" s="2" t="s">
        <v>16063</v>
      </c>
      <c r="F350" s="2" t="s">
        <v>16064</v>
      </c>
      <c r="G350" s="2" t="s">
        <v>16065</v>
      </c>
    </row>
    <row r="351">
      <c r="A351" s="2" t="s">
        <v>11771</v>
      </c>
      <c r="B351" s="2" t="s">
        <v>11772</v>
      </c>
      <c r="C351" s="2" t="s">
        <v>16066</v>
      </c>
      <c r="D351" s="2" t="s">
        <v>16067</v>
      </c>
      <c r="E351" s="2" t="s">
        <v>16068</v>
      </c>
      <c r="F351" s="2" t="s">
        <v>16069</v>
      </c>
      <c r="G351" s="2" t="s">
        <v>16070</v>
      </c>
    </row>
    <row r="352">
      <c r="A352" s="2" t="s">
        <v>11689</v>
      </c>
      <c r="B352" s="2" t="s">
        <v>11690</v>
      </c>
      <c r="C352" s="2" t="s">
        <v>16071</v>
      </c>
      <c r="D352" s="2" t="s">
        <v>16072</v>
      </c>
      <c r="E352" s="2" t="s">
        <v>16073</v>
      </c>
      <c r="F352" s="2" t="s">
        <v>16074</v>
      </c>
      <c r="G352" s="2" t="s">
        <v>16075</v>
      </c>
    </row>
    <row r="353">
      <c r="A353" s="2" t="s">
        <v>6072</v>
      </c>
      <c r="B353" s="2" t="s">
        <v>6073</v>
      </c>
      <c r="C353" s="2" t="s">
        <v>16076</v>
      </c>
      <c r="D353" s="2" t="s">
        <v>16077</v>
      </c>
      <c r="E353" s="2" t="s">
        <v>16078</v>
      </c>
      <c r="F353" s="2" t="s">
        <v>16079</v>
      </c>
      <c r="G353" s="2" t="s">
        <v>16080</v>
      </c>
    </row>
    <row r="354">
      <c r="A354" s="2" t="s">
        <v>9218</v>
      </c>
      <c r="B354" s="2" t="s">
        <v>9219</v>
      </c>
      <c r="C354" s="2" t="s">
        <v>16081</v>
      </c>
      <c r="D354" s="2" t="s">
        <v>16082</v>
      </c>
      <c r="E354" s="2" t="s">
        <v>16083</v>
      </c>
      <c r="F354" s="2" t="s">
        <v>16084</v>
      </c>
      <c r="G354" s="2" t="s">
        <v>16085</v>
      </c>
    </row>
    <row r="355">
      <c r="A355" s="2" t="s">
        <v>12334</v>
      </c>
      <c r="B355" s="2" t="s">
        <v>12335</v>
      </c>
      <c r="C355" s="2" t="s">
        <v>16086</v>
      </c>
      <c r="D355" s="2" t="s">
        <v>16087</v>
      </c>
      <c r="E355" s="2" t="s">
        <v>16088</v>
      </c>
      <c r="F355" s="2" t="s">
        <v>16089</v>
      </c>
      <c r="G355" s="2" t="s">
        <v>16090</v>
      </c>
    </row>
    <row r="356">
      <c r="A356" s="2" t="s">
        <v>12334</v>
      </c>
      <c r="B356" s="2" t="s">
        <v>12335</v>
      </c>
      <c r="C356" s="2" t="s">
        <v>16086</v>
      </c>
      <c r="D356" s="2" t="s">
        <v>16087</v>
      </c>
      <c r="E356" s="2" t="s">
        <v>16091</v>
      </c>
      <c r="F356" s="2" t="s">
        <v>16092</v>
      </c>
      <c r="G356" s="2" t="s">
        <v>16093</v>
      </c>
    </row>
    <row r="357">
      <c r="A357" s="2" t="s">
        <v>12334</v>
      </c>
      <c r="B357" s="2" t="s">
        <v>12335</v>
      </c>
      <c r="C357" s="2" t="s">
        <v>16086</v>
      </c>
      <c r="D357" s="2" t="s">
        <v>16087</v>
      </c>
      <c r="E357" s="2" t="s">
        <v>16094</v>
      </c>
      <c r="F357" s="2" t="s">
        <v>16095</v>
      </c>
      <c r="G357" s="2" t="s">
        <v>16090</v>
      </c>
    </row>
    <row r="358">
      <c r="A358" s="2" t="s">
        <v>12334</v>
      </c>
      <c r="B358" s="2" t="s">
        <v>12335</v>
      </c>
      <c r="C358" s="2" t="s">
        <v>16086</v>
      </c>
      <c r="D358" s="2" t="s">
        <v>16087</v>
      </c>
      <c r="E358" s="2" t="s">
        <v>16096</v>
      </c>
      <c r="F358" s="2" t="s">
        <v>16097</v>
      </c>
      <c r="G358" s="2" t="s">
        <v>16098</v>
      </c>
    </row>
    <row r="359">
      <c r="A359" s="2" t="s">
        <v>12334</v>
      </c>
      <c r="B359" s="2" t="s">
        <v>12335</v>
      </c>
      <c r="C359" s="2" t="s">
        <v>16086</v>
      </c>
      <c r="D359" s="2" t="s">
        <v>16087</v>
      </c>
      <c r="E359" s="2" t="s">
        <v>16099</v>
      </c>
      <c r="F359" s="2" t="s">
        <v>16100</v>
      </c>
      <c r="G359" s="2" t="s">
        <v>16101</v>
      </c>
    </row>
    <row r="360">
      <c r="A360" s="2" t="s">
        <v>12334</v>
      </c>
      <c r="B360" s="2" t="s">
        <v>12335</v>
      </c>
      <c r="C360" s="2" t="s">
        <v>16086</v>
      </c>
      <c r="D360" s="2" t="s">
        <v>16087</v>
      </c>
      <c r="E360" s="2" t="s">
        <v>16102</v>
      </c>
      <c r="F360" s="2" t="s">
        <v>16103</v>
      </c>
      <c r="G360" s="2" t="s">
        <v>16104</v>
      </c>
    </row>
    <row r="361">
      <c r="A361" s="2" t="s">
        <v>3437</v>
      </c>
      <c r="B361" s="2" t="s">
        <v>3438</v>
      </c>
      <c r="C361" s="2" t="s">
        <v>16105</v>
      </c>
      <c r="D361" s="2" t="s">
        <v>16106</v>
      </c>
      <c r="E361" s="2" t="s">
        <v>16107</v>
      </c>
      <c r="F361" s="2" t="s">
        <v>16108</v>
      </c>
      <c r="G361" s="2" t="s">
        <v>16109</v>
      </c>
    </row>
    <row r="362">
      <c r="A362" s="2" t="s">
        <v>3437</v>
      </c>
      <c r="B362" s="2" t="s">
        <v>3438</v>
      </c>
      <c r="C362" s="2" t="s">
        <v>16105</v>
      </c>
      <c r="D362" s="2" t="s">
        <v>16106</v>
      </c>
      <c r="E362" s="2" t="s">
        <v>15554</v>
      </c>
      <c r="F362" s="2" t="s">
        <v>15555</v>
      </c>
      <c r="G362" s="2" t="s">
        <v>15556</v>
      </c>
    </row>
    <row r="363">
      <c r="A363" s="2" t="s">
        <v>3437</v>
      </c>
      <c r="B363" s="2" t="s">
        <v>3438</v>
      </c>
      <c r="C363" s="2" t="s">
        <v>16105</v>
      </c>
      <c r="D363" s="2" t="s">
        <v>16106</v>
      </c>
      <c r="E363" s="2" t="s">
        <v>16110</v>
      </c>
      <c r="F363" s="2" t="s">
        <v>16111</v>
      </c>
      <c r="G363" s="2" t="s">
        <v>16109</v>
      </c>
    </row>
    <row r="364">
      <c r="A364" s="2" t="s">
        <v>3437</v>
      </c>
      <c r="B364" s="2" t="s">
        <v>3438</v>
      </c>
      <c r="C364" s="2" t="s">
        <v>16105</v>
      </c>
      <c r="D364" s="2" t="s">
        <v>16106</v>
      </c>
      <c r="E364" s="2" t="s">
        <v>16112</v>
      </c>
      <c r="F364" s="2" t="s">
        <v>16113</v>
      </c>
      <c r="G364" s="2" t="s">
        <v>16114</v>
      </c>
    </row>
    <row r="365">
      <c r="A365" s="2" t="s">
        <v>3437</v>
      </c>
      <c r="B365" s="2" t="s">
        <v>3438</v>
      </c>
      <c r="C365" s="2" t="s">
        <v>16105</v>
      </c>
      <c r="D365" s="2" t="s">
        <v>16106</v>
      </c>
      <c r="E365" s="2" t="s">
        <v>16115</v>
      </c>
      <c r="F365" s="2" t="s">
        <v>16116</v>
      </c>
      <c r="G365" s="2" t="s">
        <v>16114</v>
      </c>
    </row>
    <row r="366">
      <c r="A366" s="2" t="s">
        <v>3437</v>
      </c>
      <c r="B366" s="2" t="s">
        <v>3438</v>
      </c>
      <c r="C366" s="2" t="s">
        <v>16105</v>
      </c>
      <c r="D366" s="2" t="s">
        <v>16106</v>
      </c>
      <c r="E366" s="2" t="s">
        <v>16117</v>
      </c>
      <c r="F366" s="2" t="s">
        <v>16118</v>
      </c>
      <c r="G366" s="2" t="s">
        <v>16119</v>
      </c>
    </row>
    <row r="367">
      <c r="A367" s="2" t="s">
        <v>3437</v>
      </c>
      <c r="B367" s="2" t="s">
        <v>3438</v>
      </c>
      <c r="C367" s="2" t="s">
        <v>16105</v>
      </c>
      <c r="D367" s="2" t="s">
        <v>16106</v>
      </c>
      <c r="E367" s="2" t="s">
        <v>16120</v>
      </c>
      <c r="F367" s="2" t="s">
        <v>16121</v>
      </c>
      <c r="G367" s="2" t="s">
        <v>16122</v>
      </c>
    </row>
    <row r="368">
      <c r="A368" s="2" t="s">
        <v>10822</v>
      </c>
      <c r="B368" s="2" t="s">
        <v>10823</v>
      </c>
      <c r="C368" s="2" t="s">
        <v>16123</v>
      </c>
      <c r="D368" s="2" t="s">
        <v>16124</v>
      </c>
      <c r="E368" s="2" t="s">
        <v>16125</v>
      </c>
      <c r="F368" s="2" t="s">
        <v>16126</v>
      </c>
      <c r="G368" s="2" t="s">
        <v>16127</v>
      </c>
    </row>
    <row r="369">
      <c r="A369" s="2" t="s">
        <v>8887</v>
      </c>
      <c r="B369" s="2" t="s">
        <v>8888</v>
      </c>
      <c r="C369" s="2" t="s">
        <v>16128</v>
      </c>
      <c r="D369" s="2" t="s">
        <v>16129</v>
      </c>
      <c r="E369" s="2" t="s">
        <v>16130</v>
      </c>
      <c r="F369" s="2" t="s">
        <v>16131</v>
      </c>
      <c r="G369" s="2" t="s">
        <v>16132</v>
      </c>
    </row>
    <row r="370">
      <c r="A370" s="2" t="s">
        <v>10959</v>
      </c>
      <c r="B370" s="2" t="s">
        <v>10960</v>
      </c>
      <c r="C370" s="2" t="s">
        <v>16133</v>
      </c>
      <c r="D370" s="2" t="s">
        <v>16134</v>
      </c>
      <c r="E370" s="2" t="s">
        <v>16135</v>
      </c>
      <c r="F370" s="2" t="s">
        <v>16136</v>
      </c>
      <c r="G370" s="2" t="s">
        <v>16137</v>
      </c>
    </row>
    <row r="371">
      <c r="A371" s="2" t="s">
        <v>11431</v>
      </c>
      <c r="B371" s="2" t="s">
        <v>11432</v>
      </c>
      <c r="C371" s="2" t="s">
        <v>16138</v>
      </c>
      <c r="D371" s="2" t="s">
        <v>16139</v>
      </c>
      <c r="E371" s="2" t="s">
        <v>16140</v>
      </c>
      <c r="F371" s="2" t="s">
        <v>16141</v>
      </c>
      <c r="G371" s="2" t="s">
        <v>16142</v>
      </c>
    </row>
    <row r="372">
      <c r="A372" s="2"/>
      <c r="B372" s="2"/>
      <c r="C372" s="2" t="s">
        <v>16143</v>
      </c>
      <c r="D372" s="2" t="s">
        <v>16144</v>
      </c>
      <c r="E372" s="2" t="s">
        <v>16145</v>
      </c>
      <c r="F372" s="2" t="s">
        <v>16146</v>
      </c>
      <c r="G372" s="2" t="s">
        <v>16147</v>
      </c>
    </row>
    <row r="373">
      <c r="A373" s="2"/>
      <c r="B373" s="2"/>
      <c r="C373" s="2" t="s">
        <v>16143</v>
      </c>
      <c r="D373" s="2" t="s">
        <v>16144</v>
      </c>
      <c r="E373" s="2" t="s">
        <v>16148</v>
      </c>
      <c r="F373" s="2" t="s">
        <v>16149</v>
      </c>
      <c r="G373" s="2" t="s">
        <v>16150</v>
      </c>
    </row>
    <row r="374">
      <c r="A374" s="2"/>
      <c r="B374" s="2"/>
      <c r="C374" s="2" t="s">
        <v>16143</v>
      </c>
      <c r="D374" s="2" t="s">
        <v>16144</v>
      </c>
      <c r="E374" s="2" t="s">
        <v>16151</v>
      </c>
      <c r="F374" s="2" t="s">
        <v>16152</v>
      </c>
      <c r="G374" s="2" t="s">
        <v>16153</v>
      </c>
    </row>
    <row r="375">
      <c r="A375" s="2" t="s">
        <v>7035</v>
      </c>
      <c r="B375" s="2" t="s">
        <v>7036</v>
      </c>
      <c r="C375" s="2" t="s">
        <v>16154</v>
      </c>
      <c r="D375" s="2" t="s">
        <v>16155</v>
      </c>
      <c r="E375" s="2" t="s">
        <v>16156</v>
      </c>
      <c r="F375" s="2" t="s">
        <v>16157</v>
      </c>
      <c r="G375" s="2" t="s">
        <v>16158</v>
      </c>
    </row>
    <row r="376">
      <c r="A376" s="2" t="s">
        <v>4056</v>
      </c>
      <c r="B376" s="2" t="s">
        <v>4057</v>
      </c>
      <c r="C376" s="2" t="s">
        <v>16159</v>
      </c>
      <c r="D376" s="2" t="s">
        <v>16160</v>
      </c>
      <c r="E376" s="2" t="s">
        <v>16161</v>
      </c>
      <c r="F376" s="2" t="s">
        <v>16162</v>
      </c>
      <c r="G376" s="2" t="s">
        <v>16163</v>
      </c>
    </row>
    <row r="377">
      <c r="A377" s="2" t="s">
        <v>4056</v>
      </c>
      <c r="B377" s="2" t="s">
        <v>4057</v>
      </c>
      <c r="C377" s="2" t="s">
        <v>16159</v>
      </c>
      <c r="D377" s="2" t="s">
        <v>16160</v>
      </c>
      <c r="E377" s="2" t="s">
        <v>16164</v>
      </c>
      <c r="F377" s="2" t="s">
        <v>16165</v>
      </c>
      <c r="G377" s="2" t="s">
        <v>16166</v>
      </c>
    </row>
    <row r="378">
      <c r="A378" s="2" t="s">
        <v>4056</v>
      </c>
      <c r="B378" s="2" t="s">
        <v>4057</v>
      </c>
      <c r="C378" s="2" t="s">
        <v>16159</v>
      </c>
      <c r="D378" s="2" t="s">
        <v>16160</v>
      </c>
      <c r="E378" s="2" t="s">
        <v>16167</v>
      </c>
      <c r="F378" s="2" t="s">
        <v>16168</v>
      </c>
      <c r="G378" s="2" t="s">
        <v>16169</v>
      </c>
    </row>
    <row r="379">
      <c r="A379" s="2" t="s">
        <v>4056</v>
      </c>
      <c r="B379" s="2" t="s">
        <v>4057</v>
      </c>
      <c r="C379" s="2" t="s">
        <v>16159</v>
      </c>
      <c r="D379" s="2" t="s">
        <v>16160</v>
      </c>
      <c r="E379" s="2" t="s">
        <v>16170</v>
      </c>
      <c r="F379" s="2" t="s">
        <v>16171</v>
      </c>
      <c r="G379" s="2" t="s">
        <v>16172</v>
      </c>
    </row>
    <row r="380">
      <c r="A380" s="2" t="s">
        <v>4056</v>
      </c>
      <c r="B380" s="2" t="s">
        <v>4057</v>
      </c>
      <c r="C380" s="2" t="s">
        <v>16159</v>
      </c>
      <c r="D380" s="2" t="s">
        <v>16160</v>
      </c>
      <c r="E380" s="2" t="s">
        <v>16173</v>
      </c>
      <c r="F380" s="2" t="s">
        <v>16174</v>
      </c>
      <c r="G380" s="2" t="s">
        <v>16175</v>
      </c>
    </row>
    <row r="381">
      <c r="A381" s="2" t="s">
        <v>4056</v>
      </c>
      <c r="B381" s="2" t="s">
        <v>4057</v>
      </c>
      <c r="C381" s="2" t="s">
        <v>16159</v>
      </c>
      <c r="D381" s="2" t="s">
        <v>16160</v>
      </c>
      <c r="E381" s="2" t="s">
        <v>16176</v>
      </c>
      <c r="F381" s="2" t="s">
        <v>16177</v>
      </c>
      <c r="G381" s="2" t="s">
        <v>16178</v>
      </c>
    </row>
    <row r="382">
      <c r="A382" s="2" t="s">
        <v>4056</v>
      </c>
      <c r="B382" s="2" t="s">
        <v>4057</v>
      </c>
      <c r="C382" s="2" t="s">
        <v>16159</v>
      </c>
      <c r="D382" s="2" t="s">
        <v>16160</v>
      </c>
      <c r="E382" s="2" t="s">
        <v>16179</v>
      </c>
      <c r="F382" s="2" t="s">
        <v>16180</v>
      </c>
      <c r="G382" s="2" t="s">
        <v>16181</v>
      </c>
    </row>
    <row r="383">
      <c r="A383" s="2" t="s">
        <v>4056</v>
      </c>
      <c r="B383" s="2" t="s">
        <v>4057</v>
      </c>
      <c r="C383" s="2" t="s">
        <v>16159</v>
      </c>
      <c r="D383" s="2" t="s">
        <v>16160</v>
      </c>
      <c r="E383" s="2" t="s">
        <v>16182</v>
      </c>
      <c r="F383" s="2" t="s">
        <v>16183</v>
      </c>
      <c r="G383" s="2" t="s">
        <v>16184</v>
      </c>
    </row>
    <row r="384">
      <c r="A384" s="2" t="s">
        <v>4056</v>
      </c>
      <c r="B384" s="2" t="s">
        <v>4057</v>
      </c>
      <c r="C384" s="2" t="s">
        <v>16159</v>
      </c>
      <c r="D384" s="2" t="s">
        <v>16160</v>
      </c>
      <c r="E384" s="2" t="s">
        <v>16185</v>
      </c>
      <c r="F384" s="2" t="s">
        <v>16186</v>
      </c>
      <c r="G384" s="2" t="s">
        <v>16187</v>
      </c>
    </row>
    <row r="385">
      <c r="A385" s="2" t="s">
        <v>4056</v>
      </c>
      <c r="B385" s="2" t="s">
        <v>4057</v>
      </c>
      <c r="C385" s="2" t="s">
        <v>16159</v>
      </c>
      <c r="D385" s="2" t="s">
        <v>16160</v>
      </c>
      <c r="E385" s="2" t="s">
        <v>16188</v>
      </c>
      <c r="F385" s="2" t="s">
        <v>16189</v>
      </c>
      <c r="G385" s="2" t="s">
        <v>16190</v>
      </c>
    </row>
    <row r="386">
      <c r="A386" s="2" t="s">
        <v>4056</v>
      </c>
      <c r="B386" s="2" t="s">
        <v>4057</v>
      </c>
      <c r="C386" s="2" t="s">
        <v>16159</v>
      </c>
      <c r="D386" s="2" t="s">
        <v>16160</v>
      </c>
      <c r="E386" s="2" t="s">
        <v>16191</v>
      </c>
      <c r="F386" s="2" t="s">
        <v>16192</v>
      </c>
      <c r="G386" s="2" t="s">
        <v>16193</v>
      </c>
    </row>
    <row r="387">
      <c r="A387" s="2" t="s">
        <v>4059</v>
      </c>
      <c r="B387" s="2" t="s">
        <v>4060</v>
      </c>
      <c r="C387" s="2" t="s">
        <v>16194</v>
      </c>
      <c r="D387" s="2" t="s">
        <v>16195</v>
      </c>
      <c r="E387" s="2" t="s">
        <v>16196</v>
      </c>
      <c r="F387" s="2" t="s">
        <v>16197</v>
      </c>
      <c r="G387" s="2" t="s">
        <v>16198</v>
      </c>
    </row>
    <row r="388">
      <c r="A388" s="2" t="s">
        <v>10858</v>
      </c>
      <c r="B388" s="2" t="s">
        <v>10859</v>
      </c>
      <c r="C388" s="2" t="s">
        <v>16199</v>
      </c>
      <c r="D388" s="2" t="s">
        <v>16200</v>
      </c>
      <c r="E388" s="2" t="s">
        <v>16201</v>
      </c>
      <c r="F388" s="2" t="s">
        <v>16202</v>
      </c>
      <c r="G388" s="2" t="s">
        <v>16203</v>
      </c>
    </row>
    <row r="389">
      <c r="A389" s="2" t="s">
        <v>6373</v>
      </c>
      <c r="B389" s="2" t="s">
        <v>6374</v>
      </c>
      <c r="C389" s="2" t="s">
        <v>16204</v>
      </c>
      <c r="D389" s="2" t="s">
        <v>16205</v>
      </c>
      <c r="E389" s="2" t="s">
        <v>16206</v>
      </c>
      <c r="F389" s="2" t="s">
        <v>16207</v>
      </c>
      <c r="G389" s="2" t="s">
        <v>16208</v>
      </c>
    </row>
    <row r="390">
      <c r="A390" s="2" t="s">
        <v>14005</v>
      </c>
      <c r="B390" s="2" t="s">
        <v>14006</v>
      </c>
      <c r="C390" s="2" t="s">
        <v>16209</v>
      </c>
      <c r="D390" s="2" t="s">
        <v>16210</v>
      </c>
      <c r="E390" s="2" t="s">
        <v>16211</v>
      </c>
      <c r="F390" s="2" t="s">
        <v>16212</v>
      </c>
      <c r="G390" s="2" t="s">
        <v>16213</v>
      </c>
    </row>
    <row r="391">
      <c r="A391" s="2" t="s">
        <v>6377</v>
      </c>
      <c r="B391" s="2" t="s">
        <v>6378</v>
      </c>
      <c r="C391" s="2" t="s">
        <v>16214</v>
      </c>
      <c r="D391" s="2" t="s">
        <v>16215</v>
      </c>
      <c r="E391" s="2" t="s">
        <v>16216</v>
      </c>
      <c r="F391" s="2" t="s">
        <v>16217</v>
      </c>
      <c r="G391" s="2" t="s">
        <v>16218</v>
      </c>
    </row>
    <row r="392">
      <c r="A392" s="2" t="s">
        <v>11818</v>
      </c>
      <c r="B392" s="2" t="s">
        <v>11819</v>
      </c>
      <c r="C392" s="2" t="s">
        <v>16219</v>
      </c>
      <c r="D392" s="2" t="s">
        <v>16220</v>
      </c>
      <c r="E392" s="2" t="s">
        <v>16221</v>
      </c>
      <c r="F392" s="2" t="s">
        <v>16222</v>
      </c>
      <c r="G392" s="2" t="s">
        <v>16223</v>
      </c>
    </row>
    <row r="393">
      <c r="A393" s="2" t="s">
        <v>13798</v>
      </c>
      <c r="B393" s="2" t="s">
        <v>13799</v>
      </c>
      <c r="C393" s="2" t="s">
        <v>16224</v>
      </c>
      <c r="D393" s="2" t="s">
        <v>16225</v>
      </c>
      <c r="E393" s="2" t="s">
        <v>16226</v>
      </c>
      <c r="F393" s="2" t="s">
        <v>16227</v>
      </c>
      <c r="G393" s="2" t="s">
        <v>16228</v>
      </c>
    </row>
    <row r="394">
      <c r="A394" s="2" t="s">
        <v>13798</v>
      </c>
      <c r="B394" s="2" t="s">
        <v>13799</v>
      </c>
      <c r="C394" s="2" t="s">
        <v>16224</v>
      </c>
      <c r="D394" s="2" t="s">
        <v>16225</v>
      </c>
      <c r="E394" s="2" t="s">
        <v>16229</v>
      </c>
      <c r="F394" s="2" t="s">
        <v>16230</v>
      </c>
      <c r="G394" s="2" t="s">
        <v>16231</v>
      </c>
    </row>
    <row r="395">
      <c r="A395" s="2" t="s">
        <v>5541</v>
      </c>
      <c r="B395" s="2" t="s">
        <v>5542</v>
      </c>
      <c r="C395" s="2" t="s">
        <v>16232</v>
      </c>
      <c r="D395" s="2" t="s">
        <v>16233</v>
      </c>
      <c r="E395" s="2" t="s">
        <v>16234</v>
      </c>
      <c r="F395" s="2" t="s">
        <v>16235</v>
      </c>
      <c r="G395" s="2" t="s">
        <v>16236</v>
      </c>
    </row>
    <row r="396">
      <c r="A396" s="2" t="s">
        <v>6880</v>
      </c>
      <c r="B396" s="2" t="s">
        <v>6881</v>
      </c>
      <c r="C396" s="2" t="s">
        <v>16237</v>
      </c>
      <c r="D396" s="2" t="s">
        <v>16238</v>
      </c>
      <c r="E396" s="2" t="s">
        <v>16239</v>
      </c>
      <c r="F396" s="2" t="s">
        <v>16240</v>
      </c>
      <c r="G396" s="2" t="s">
        <v>16241</v>
      </c>
    </row>
    <row r="397">
      <c r="A397" s="2" t="s">
        <v>9198</v>
      </c>
      <c r="B397" s="2" t="s">
        <v>9199</v>
      </c>
      <c r="C397" s="2" t="s">
        <v>16242</v>
      </c>
      <c r="D397" s="2" t="s">
        <v>16243</v>
      </c>
      <c r="E397" s="2" t="s">
        <v>16244</v>
      </c>
      <c r="F397" s="2" t="s">
        <v>16245</v>
      </c>
      <c r="G397" s="2" t="s">
        <v>16246</v>
      </c>
    </row>
    <row r="398">
      <c r="A398" s="2"/>
      <c r="B398" s="2"/>
      <c r="C398" s="2" t="s">
        <v>16247</v>
      </c>
      <c r="D398" s="2" t="s">
        <v>16248</v>
      </c>
      <c r="E398" s="2" t="s">
        <v>16249</v>
      </c>
      <c r="F398" s="2" t="s">
        <v>16250</v>
      </c>
      <c r="G398" s="2" t="s">
        <v>16251</v>
      </c>
    </row>
    <row r="399">
      <c r="A399" s="2" t="s">
        <v>11822</v>
      </c>
      <c r="B399" s="2" t="s">
        <v>11823</v>
      </c>
      <c r="C399" s="2" t="s">
        <v>16252</v>
      </c>
      <c r="D399" s="2" t="s">
        <v>16253</v>
      </c>
      <c r="E399" s="2" t="s">
        <v>16254</v>
      </c>
      <c r="F399" s="2" t="s">
        <v>16255</v>
      </c>
      <c r="G399" s="2" t="s">
        <v>16256</v>
      </c>
    </row>
    <row r="400">
      <c r="A400" s="2" t="s">
        <v>7449</v>
      </c>
      <c r="B400" s="2" t="s">
        <v>7450</v>
      </c>
      <c r="C400" s="2" t="s">
        <v>16257</v>
      </c>
      <c r="D400" s="2" t="s">
        <v>16258</v>
      </c>
      <c r="E400" s="2" t="s">
        <v>16259</v>
      </c>
      <c r="F400" s="2" t="s">
        <v>16260</v>
      </c>
      <c r="G400" s="2" t="s">
        <v>16261</v>
      </c>
    </row>
    <row r="401">
      <c r="A401" s="2" t="s">
        <v>10998</v>
      </c>
      <c r="B401" s="2" t="s">
        <v>10999</v>
      </c>
      <c r="C401" s="2" t="s">
        <v>16262</v>
      </c>
      <c r="D401" s="2" t="s">
        <v>16263</v>
      </c>
      <c r="E401" s="2" t="s">
        <v>16264</v>
      </c>
      <c r="F401" s="2" t="s">
        <v>16265</v>
      </c>
      <c r="G401" s="2" t="s">
        <v>16266</v>
      </c>
    </row>
    <row r="402">
      <c r="A402" s="2" t="s">
        <v>10998</v>
      </c>
      <c r="B402" s="2" t="s">
        <v>10999</v>
      </c>
      <c r="C402" s="2" t="s">
        <v>16262</v>
      </c>
      <c r="D402" s="2" t="s">
        <v>16263</v>
      </c>
      <c r="E402" s="2" t="s">
        <v>16267</v>
      </c>
      <c r="F402" s="2" t="s">
        <v>16268</v>
      </c>
      <c r="G402" s="2" t="s">
        <v>16269</v>
      </c>
    </row>
    <row r="403">
      <c r="A403" s="2" t="s">
        <v>5846</v>
      </c>
      <c r="B403" s="2" t="s">
        <v>5847</v>
      </c>
      <c r="C403" s="2" t="s">
        <v>16270</v>
      </c>
      <c r="D403" s="2" t="s">
        <v>16271</v>
      </c>
      <c r="E403" s="2" t="s">
        <v>16272</v>
      </c>
      <c r="F403" s="2" t="s">
        <v>16273</v>
      </c>
      <c r="G403" s="2" t="s">
        <v>16274</v>
      </c>
    </row>
    <row r="404">
      <c r="A404" s="2" t="s">
        <v>5846</v>
      </c>
      <c r="B404" s="2" t="s">
        <v>5847</v>
      </c>
      <c r="C404" s="2" t="s">
        <v>16270</v>
      </c>
      <c r="D404" s="2" t="s">
        <v>16271</v>
      </c>
      <c r="E404" s="2" t="s">
        <v>16275</v>
      </c>
      <c r="F404" s="2" t="s">
        <v>16276</v>
      </c>
      <c r="G404" s="2" t="s">
        <v>16277</v>
      </c>
    </row>
    <row r="405">
      <c r="A405" s="2" t="s">
        <v>8353</v>
      </c>
      <c r="B405" s="2" t="s">
        <v>8354</v>
      </c>
      <c r="C405" s="2" t="s">
        <v>16278</v>
      </c>
      <c r="D405" s="2" t="s">
        <v>16279</v>
      </c>
      <c r="E405" s="2" t="s">
        <v>16280</v>
      </c>
      <c r="F405" s="2" t="s">
        <v>16281</v>
      </c>
      <c r="G405" s="2" t="s">
        <v>16282</v>
      </c>
    </row>
    <row r="406">
      <c r="A406" s="2" t="s">
        <v>8353</v>
      </c>
      <c r="B406" s="2" t="s">
        <v>8354</v>
      </c>
      <c r="C406" s="2" t="s">
        <v>16278</v>
      </c>
      <c r="D406" s="2" t="s">
        <v>16279</v>
      </c>
      <c r="E406" s="2" t="s">
        <v>16283</v>
      </c>
      <c r="F406" s="2" t="s">
        <v>16284</v>
      </c>
      <c r="G406" s="2" t="s">
        <v>16285</v>
      </c>
    </row>
    <row r="407">
      <c r="A407" s="2" t="s">
        <v>3830</v>
      </c>
      <c r="B407" s="2" t="s">
        <v>3831</v>
      </c>
      <c r="C407" s="2" t="s">
        <v>16286</v>
      </c>
      <c r="D407" s="2" t="s">
        <v>16287</v>
      </c>
      <c r="E407" s="2" t="s">
        <v>16288</v>
      </c>
      <c r="F407" s="2" t="s">
        <v>16289</v>
      </c>
      <c r="G407" s="2" t="s">
        <v>16290</v>
      </c>
    </row>
    <row r="408">
      <c r="A408" s="2" t="s">
        <v>3830</v>
      </c>
      <c r="B408" s="2" t="s">
        <v>3831</v>
      </c>
      <c r="C408" s="2" t="s">
        <v>16286</v>
      </c>
      <c r="D408" s="2" t="s">
        <v>16287</v>
      </c>
      <c r="E408" s="2" t="s">
        <v>16291</v>
      </c>
      <c r="F408" s="2" t="s">
        <v>16292</v>
      </c>
      <c r="G408" s="2" t="s">
        <v>16293</v>
      </c>
    </row>
    <row r="409">
      <c r="A409" s="2" t="s">
        <v>7497</v>
      </c>
      <c r="B409" s="2" t="s">
        <v>7498</v>
      </c>
      <c r="C409" s="2" t="s">
        <v>16294</v>
      </c>
      <c r="D409" s="2" t="s">
        <v>16295</v>
      </c>
      <c r="E409" s="2" t="s">
        <v>16296</v>
      </c>
      <c r="F409" s="2" t="s">
        <v>16297</v>
      </c>
      <c r="G409" s="2" t="s">
        <v>16298</v>
      </c>
    </row>
    <row r="410">
      <c r="A410" s="2" t="s">
        <v>7497</v>
      </c>
      <c r="B410" s="2" t="s">
        <v>7498</v>
      </c>
      <c r="C410" s="2" t="s">
        <v>16294</v>
      </c>
      <c r="D410" s="2" t="s">
        <v>16295</v>
      </c>
      <c r="E410" s="2" t="s">
        <v>16299</v>
      </c>
      <c r="F410" s="2" t="s">
        <v>16300</v>
      </c>
      <c r="G410" s="2" t="s">
        <v>16301</v>
      </c>
    </row>
    <row r="411">
      <c r="A411" s="2" t="s">
        <v>7598</v>
      </c>
      <c r="B411" s="2" t="s">
        <v>7599</v>
      </c>
      <c r="C411" s="2" t="s">
        <v>16302</v>
      </c>
      <c r="D411" s="2" t="s">
        <v>16303</v>
      </c>
      <c r="E411" s="2" t="s">
        <v>16304</v>
      </c>
      <c r="F411" s="2" t="s">
        <v>16305</v>
      </c>
      <c r="G411" s="2" t="s">
        <v>16306</v>
      </c>
    </row>
    <row r="412">
      <c r="A412" s="2" t="s">
        <v>7598</v>
      </c>
      <c r="B412" s="2" t="s">
        <v>7599</v>
      </c>
      <c r="C412" s="2" t="s">
        <v>16302</v>
      </c>
      <c r="D412" s="2" t="s">
        <v>16303</v>
      </c>
      <c r="E412" s="2" t="s">
        <v>16307</v>
      </c>
      <c r="F412" s="2" t="s">
        <v>16308</v>
      </c>
      <c r="G412" s="2" t="s">
        <v>16309</v>
      </c>
    </row>
    <row r="413">
      <c r="A413" s="2" t="s">
        <v>7598</v>
      </c>
      <c r="B413" s="2" t="s">
        <v>7599</v>
      </c>
      <c r="C413" s="2" t="s">
        <v>16302</v>
      </c>
      <c r="D413" s="2" t="s">
        <v>16303</v>
      </c>
      <c r="E413" s="2" t="s">
        <v>16310</v>
      </c>
      <c r="F413" s="2" t="s">
        <v>16311</v>
      </c>
      <c r="G413" s="2" t="s">
        <v>16312</v>
      </c>
    </row>
    <row r="414">
      <c r="A414" s="2" t="s">
        <v>11453</v>
      </c>
      <c r="B414" s="2" t="s">
        <v>11454</v>
      </c>
      <c r="C414" s="2" t="s">
        <v>16313</v>
      </c>
      <c r="D414" s="2" t="s">
        <v>16314</v>
      </c>
      <c r="E414" s="2" t="s">
        <v>16315</v>
      </c>
      <c r="F414" s="2" t="s">
        <v>16316</v>
      </c>
      <c r="G414" s="2" t="s">
        <v>16317</v>
      </c>
    </row>
    <row r="415">
      <c r="A415" s="2" t="s">
        <v>9567</v>
      </c>
      <c r="B415" s="2" t="s">
        <v>9568</v>
      </c>
      <c r="C415" s="2" t="s">
        <v>16318</v>
      </c>
      <c r="D415" s="2" t="s">
        <v>16319</v>
      </c>
      <c r="E415" s="2" t="s">
        <v>16320</v>
      </c>
      <c r="F415" s="2" t="s">
        <v>16321</v>
      </c>
      <c r="G415" s="2" t="s">
        <v>16322</v>
      </c>
    </row>
    <row r="416">
      <c r="A416" s="2" t="s">
        <v>3431</v>
      </c>
      <c r="B416" s="2" t="s">
        <v>3432</v>
      </c>
      <c r="C416" s="2" t="s">
        <v>16323</v>
      </c>
      <c r="D416" s="2" t="s">
        <v>16324</v>
      </c>
      <c r="E416" s="2" t="s">
        <v>16325</v>
      </c>
      <c r="F416" s="2" t="s">
        <v>16326</v>
      </c>
      <c r="G416" s="2" t="s">
        <v>16327</v>
      </c>
    </row>
    <row r="417">
      <c r="A417" s="2" t="s">
        <v>4196</v>
      </c>
      <c r="B417" s="2" t="s">
        <v>4197</v>
      </c>
      <c r="C417" s="2" t="s">
        <v>16328</v>
      </c>
      <c r="D417" s="2" t="s">
        <v>16329</v>
      </c>
      <c r="E417" s="2" t="s">
        <v>16330</v>
      </c>
      <c r="F417" s="2" t="s">
        <v>16331</v>
      </c>
      <c r="G417" s="2" t="s">
        <v>16332</v>
      </c>
    </row>
    <row r="418">
      <c r="A418" s="2" t="s">
        <v>8862</v>
      </c>
      <c r="B418" s="2" t="s">
        <v>8863</v>
      </c>
      <c r="C418" s="2" t="s">
        <v>16333</v>
      </c>
      <c r="D418" s="2" t="s">
        <v>16334</v>
      </c>
      <c r="E418" s="2" t="s">
        <v>16335</v>
      </c>
      <c r="F418" s="2" t="s">
        <v>16336</v>
      </c>
      <c r="G418" s="2" t="s">
        <v>16337</v>
      </c>
    </row>
    <row r="419">
      <c r="A419" s="2" t="s">
        <v>8862</v>
      </c>
      <c r="B419" s="2" t="s">
        <v>8863</v>
      </c>
      <c r="C419" s="2" t="s">
        <v>16333</v>
      </c>
      <c r="D419" s="2" t="s">
        <v>16334</v>
      </c>
      <c r="E419" s="2" t="s">
        <v>16338</v>
      </c>
      <c r="F419" s="2" t="s">
        <v>16339</v>
      </c>
      <c r="G419" s="2" t="s">
        <v>16337</v>
      </c>
    </row>
    <row r="420">
      <c r="A420" s="2" t="s">
        <v>8862</v>
      </c>
      <c r="B420" s="2" t="s">
        <v>8863</v>
      </c>
      <c r="C420" s="2" t="s">
        <v>16333</v>
      </c>
      <c r="D420" s="2" t="s">
        <v>16334</v>
      </c>
      <c r="E420" s="2" t="s">
        <v>16340</v>
      </c>
      <c r="F420" s="2" t="s">
        <v>16341</v>
      </c>
      <c r="G420" s="2" t="s">
        <v>16342</v>
      </c>
    </row>
    <row r="421">
      <c r="A421" s="2" t="s">
        <v>8862</v>
      </c>
      <c r="B421" s="2" t="s">
        <v>8863</v>
      </c>
      <c r="C421" s="2" t="s">
        <v>16333</v>
      </c>
      <c r="D421" s="2" t="s">
        <v>16334</v>
      </c>
      <c r="E421" s="2" t="s">
        <v>16343</v>
      </c>
      <c r="F421" s="2" t="s">
        <v>16344</v>
      </c>
      <c r="G421" s="2" t="s">
        <v>16342</v>
      </c>
    </row>
    <row r="422">
      <c r="A422" s="2" t="s">
        <v>3972</v>
      </c>
      <c r="B422" s="2" t="s">
        <v>3973</v>
      </c>
      <c r="C422" s="2" t="s">
        <v>16345</v>
      </c>
      <c r="D422" s="2" t="s">
        <v>16346</v>
      </c>
      <c r="E422" s="2" t="s">
        <v>15943</v>
      </c>
      <c r="F422" s="2" t="s">
        <v>15944</v>
      </c>
      <c r="G422" s="2" t="s">
        <v>15944</v>
      </c>
    </row>
    <row r="423">
      <c r="A423" s="2" t="s">
        <v>8848</v>
      </c>
      <c r="B423" s="2" t="s">
        <v>8849</v>
      </c>
      <c r="C423" s="2" t="s">
        <v>16347</v>
      </c>
      <c r="D423" s="2" t="s">
        <v>16348</v>
      </c>
      <c r="E423" s="2" t="s">
        <v>16349</v>
      </c>
      <c r="F423" s="2" t="s">
        <v>16350</v>
      </c>
      <c r="G423" s="2" t="s">
        <v>16351</v>
      </c>
    </row>
    <row r="424">
      <c r="A424" s="2" t="s">
        <v>8848</v>
      </c>
      <c r="B424" s="2" t="s">
        <v>8849</v>
      </c>
      <c r="C424" s="2" t="s">
        <v>16347</v>
      </c>
      <c r="D424" s="2" t="s">
        <v>16348</v>
      </c>
      <c r="E424" s="2" t="s">
        <v>16352</v>
      </c>
      <c r="F424" s="2" t="s">
        <v>16353</v>
      </c>
      <c r="G424" s="2" t="s">
        <v>16354</v>
      </c>
    </row>
    <row r="425">
      <c r="A425" s="2" t="s">
        <v>10592</v>
      </c>
      <c r="B425" s="2" t="s">
        <v>10593</v>
      </c>
      <c r="C425" s="2" t="s">
        <v>16355</v>
      </c>
      <c r="D425" s="2" t="s">
        <v>16356</v>
      </c>
      <c r="E425" s="2" t="s">
        <v>16357</v>
      </c>
      <c r="F425" s="2" t="s">
        <v>16358</v>
      </c>
      <c r="G425" s="2" t="s">
        <v>16359</v>
      </c>
    </row>
    <row r="426">
      <c r="A426" s="2" t="s">
        <v>10592</v>
      </c>
      <c r="B426" s="2" t="s">
        <v>10593</v>
      </c>
      <c r="C426" s="2" t="s">
        <v>16355</v>
      </c>
      <c r="D426" s="2" t="s">
        <v>16356</v>
      </c>
      <c r="E426" s="2" t="s">
        <v>16360</v>
      </c>
      <c r="F426" s="2" t="s">
        <v>16361</v>
      </c>
      <c r="G426" s="2" t="s">
        <v>16362</v>
      </c>
    </row>
    <row r="427">
      <c r="A427" s="2" t="s">
        <v>10592</v>
      </c>
      <c r="B427" s="2" t="s">
        <v>10593</v>
      </c>
      <c r="C427" s="2" t="s">
        <v>16355</v>
      </c>
      <c r="D427" s="2" t="s">
        <v>16356</v>
      </c>
      <c r="E427" s="2" t="s">
        <v>16363</v>
      </c>
      <c r="F427" s="2" t="s">
        <v>16364</v>
      </c>
      <c r="G427" s="2" t="s">
        <v>16365</v>
      </c>
    </row>
    <row r="428">
      <c r="A428" s="2" t="s">
        <v>10592</v>
      </c>
      <c r="B428" s="2" t="s">
        <v>10593</v>
      </c>
      <c r="C428" s="2" t="s">
        <v>16355</v>
      </c>
      <c r="D428" s="2" t="s">
        <v>16356</v>
      </c>
      <c r="E428" s="2" t="s">
        <v>16366</v>
      </c>
      <c r="F428" s="2" t="s">
        <v>16367</v>
      </c>
      <c r="G428" s="2" t="s">
        <v>16368</v>
      </c>
    </row>
    <row r="429">
      <c r="A429" s="2" t="s">
        <v>10592</v>
      </c>
      <c r="B429" s="2" t="s">
        <v>10593</v>
      </c>
      <c r="C429" s="2" t="s">
        <v>16355</v>
      </c>
      <c r="D429" s="2" t="s">
        <v>16356</v>
      </c>
      <c r="E429" s="2" t="s">
        <v>16369</v>
      </c>
      <c r="F429" s="2" t="s">
        <v>16370</v>
      </c>
      <c r="G429" s="2" t="s">
        <v>16371</v>
      </c>
    </row>
    <row r="430">
      <c r="A430" s="2" t="s">
        <v>3244</v>
      </c>
      <c r="B430" s="2" t="s">
        <v>3245</v>
      </c>
      <c r="C430" s="2" t="s">
        <v>16372</v>
      </c>
      <c r="D430" s="2" t="s">
        <v>16373</v>
      </c>
      <c r="E430" s="2" t="s">
        <v>16374</v>
      </c>
      <c r="F430" s="2" t="s">
        <v>16375</v>
      </c>
      <c r="G430" s="2" t="s">
        <v>16376</v>
      </c>
    </row>
    <row r="431">
      <c r="A431" s="2" t="s">
        <v>3244</v>
      </c>
      <c r="B431" s="2" t="s">
        <v>3245</v>
      </c>
      <c r="C431" s="2" t="s">
        <v>16372</v>
      </c>
      <c r="D431" s="2" t="s">
        <v>16373</v>
      </c>
      <c r="E431" s="2" t="s">
        <v>16377</v>
      </c>
      <c r="F431" s="2" t="s">
        <v>16378</v>
      </c>
      <c r="G431" s="2" t="s">
        <v>16379</v>
      </c>
    </row>
    <row r="432">
      <c r="A432" s="2" t="s">
        <v>3244</v>
      </c>
      <c r="B432" s="2" t="s">
        <v>3245</v>
      </c>
      <c r="C432" s="2" t="s">
        <v>16372</v>
      </c>
      <c r="D432" s="2" t="s">
        <v>16373</v>
      </c>
      <c r="E432" s="2" t="s">
        <v>16380</v>
      </c>
      <c r="F432" s="2" t="s">
        <v>16381</v>
      </c>
      <c r="G432" s="2" t="s">
        <v>16382</v>
      </c>
    </row>
    <row r="433">
      <c r="A433" s="2" t="s">
        <v>3244</v>
      </c>
      <c r="B433" s="2" t="s">
        <v>3245</v>
      </c>
      <c r="C433" s="2" t="s">
        <v>16372</v>
      </c>
      <c r="D433" s="2" t="s">
        <v>16373</v>
      </c>
      <c r="E433" s="2" t="s">
        <v>16383</v>
      </c>
      <c r="F433" s="2" t="s">
        <v>16384</v>
      </c>
      <c r="G433" s="2" t="s">
        <v>16385</v>
      </c>
    </row>
    <row r="434">
      <c r="A434" s="2" t="s">
        <v>3244</v>
      </c>
      <c r="B434" s="2" t="s">
        <v>3245</v>
      </c>
      <c r="C434" s="2" t="s">
        <v>16372</v>
      </c>
      <c r="D434" s="2" t="s">
        <v>16373</v>
      </c>
      <c r="E434" s="2" t="s">
        <v>16386</v>
      </c>
      <c r="F434" s="2" t="s">
        <v>16387</v>
      </c>
      <c r="G434" s="2" t="s">
        <v>16388</v>
      </c>
    </row>
    <row r="435">
      <c r="A435" s="2" t="s">
        <v>3244</v>
      </c>
      <c r="B435" s="2" t="s">
        <v>3245</v>
      </c>
      <c r="C435" s="2" t="s">
        <v>16372</v>
      </c>
      <c r="D435" s="2" t="s">
        <v>16373</v>
      </c>
      <c r="E435" s="2" t="s">
        <v>16389</v>
      </c>
      <c r="F435" s="2" t="s">
        <v>16390</v>
      </c>
      <c r="G435" s="2" t="s">
        <v>16391</v>
      </c>
    </row>
    <row r="436">
      <c r="A436" s="2" t="s">
        <v>3244</v>
      </c>
      <c r="B436" s="2" t="s">
        <v>3245</v>
      </c>
      <c r="C436" s="2" t="s">
        <v>16372</v>
      </c>
      <c r="D436" s="2" t="s">
        <v>16373</v>
      </c>
      <c r="E436" s="2" t="s">
        <v>16392</v>
      </c>
      <c r="F436" s="2" t="s">
        <v>16393</v>
      </c>
      <c r="G436" s="2" t="s">
        <v>16394</v>
      </c>
    </row>
    <row r="437">
      <c r="A437" s="2" t="s">
        <v>3244</v>
      </c>
      <c r="B437" s="2" t="s">
        <v>3245</v>
      </c>
      <c r="C437" s="2" t="s">
        <v>16372</v>
      </c>
      <c r="D437" s="2" t="s">
        <v>16373</v>
      </c>
      <c r="E437" s="2" t="s">
        <v>16395</v>
      </c>
      <c r="F437" s="2" t="s">
        <v>16396</v>
      </c>
      <c r="G437" s="2" t="s">
        <v>16397</v>
      </c>
    </row>
    <row r="438">
      <c r="A438" s="2" t="s">
        <v>3244</v>
      </c>
      <c r="B438" s="2" t="s">
        <v>3245</v>
      </c>
      <c r="C438" s="2" t="s">
        <v>16372</v>
      </c>
      <c r="D438" s="2" t="s">
        <v>16373</v>
      </c>
      <c r="E438" s="2" t="s">
        <v>16398</v>
      </c>
      <c r="F438" s="2" t="s">
        <v>16399</v>
      </c>
      <c r="G438" s="2" t="s">
        <v>16400</v>
      </c>
    </row>
    <row r="439">
      <c r="A439" s="2" t="s">
        <v>3244</v>
      </c>
      <c r="B439" s="2" t="s">
        <v>3245</v>
      </c>
      <c r="C439" s="2" t="s">
        <v>16372</v>
      </c>
      <c r="D439" s="2" t="s">
        <v>16373</v>
      </c>
      <c r="E439" s="2" t="s">
        <v>16401</v>
      </c>
      <c r="F439" s="2" t="s">
        <v>16402</v>
      </c>
      <c r="G439" s="2" t="s">
        <v>16403</v>
      </c>
    </row>
    <row r="440">
      <c r="A440" s="2" t="s">
        <v>3244</v>
      </c>
      <c r="B440" s="2" t="s">
        <v>3245</v>
      </c>
      <c r="C440" s="2" t="s">
        <v>16372</v>
      </c>
      <c r="D440" s="2" t="s">
        <v>16373</v>
      </c>
      <c r="E440" s="2" t="s">
        <v>16404</v>
      </c>
      <c r="F440" s="2" t="s">
        <v>16405</v>
      </c>
      <c r="G440" s="2" t="s">
        <v>16406</v>
      </c>
    </row>
    <row r="441">
      <c r="A441" s="2" t="s">
        <v>11716</v>
      </c>
      <c r="B441" s="2" t="s">
        <v>11717</v>
      </c>
      <c r="C441" s="2" t="s">
        <v>16407</v>
      </c>
      <c r="D441" s="2" t="s">
        <v>16408</v>
      </c>
      <c r="E441" s="2" t="s">
        <v>16409</v>
      </c>
      <c r="F441" s="2" t="s">
        <v>16410</v>
      </c>
      <c r="G441" s="2" t="s">
        <v>16411</v>
      </c>
    </row>
    <row r="442">
      <c r="A442" s="2" t="s">
        <v>11716</v>
      </c>
      <c r="B442" s="2" t="s">
        <v>11717</v>
      </c>
      <c r="C442" s="2" t="s">
        <v>16407</v>
      </c>
      <c r="D442" s="2" t="s">
        <v>16408</v>
      </c>
      <c r="E442" s="2" t="s">
        <v>16412</v>
      </c>
      <c r="F442" s="2" t="s">
        <v>16413</v>
      </c>
      <c r="G442" s="2" t="s">
        <v>16414</v>
      </c>
    </row>
    <row r="443">
      <c r="A443" s="2" t="s">
        <v>6277</v>
      </c>
      <c r="B443" s="2" t="s">
        <v>6278</v>
      </c>
      <c r="C443" s="2" t="s">
        <v>16415</v>
      </c>
      <c r="D443" s="2" t="s">
        <v>16416</v>
      </c>
      <c r="E443" s="2" t="s">
        <v>16417</v>
      </c>
      <c r="F443" s="2" t="s">
        <v>16418</v>
      </c>
      <c r="G443" s="2" t="s">
        <v>16419</v>
      </c>
    </row>
    <row r="444">
      <c r="A444" s="2" t="s">
        <v>3413</v>
      </c>
      <c r="B444" s="2" t="s">
        <v>3414</v>
      </c>
      <c r="C444" s="2" t="s">
        <v>16420</v>
      </c>
      <c r="D444" s="2" t="s">
        <v>16421</v>
      </c>
      <c r="E444" s="2" t="s">
        <v>16422</v>
      </c>
      <c r="F444" s="2" t="s">
        <v>16423</v>
      </c>
      <c r="G444" s="2" t="s">
        <v>16424</v>
      </c>
    </row>
    <row r="445">
      <c r="A445" s="2" t="s">
        <v>3882</v>
      </c>
      <c r="B445" s="2" t="s">
        <v>3883</v>
      </c>
      <c r="C445" s="2" t="s">
        <v>16425</v>
      </c>
      <c r="D445" s="2" t="s">
        <v>16426</v>
      </c>
      <c r="E445" s="2" t="s">
        <v>16427</v>
      </c>
      <c r="F445" s="2" t="s">
        <v>16428</v>
      </c>
      <c r="G445" s="2" t="s">
        <v>16429</v>
      </c>
    </row>
    <row r="446">
      <c r="A446" s="2" t="s">
        <v>10077</v>
      </c>
      <c r="B446" s="2" t="s">
        <v>10078</v>
      </c>
      <c r="C446" s="2" t="s">
        <v>16430</v>
      </c>
      <c r="D446" s="2" t="s">
        <v>16431</v>
      </c>
      <c r="E446" s="2" t="s">
        <v>16432</v>
      </c>
      <c r="F446" s="2" t="s">
        <v>16433</v>
      </c>
      <c r="G446" s="2" t="s">
        <v>16434</v>
      </c>
    </row>
    <row r="447">
      <c r="A447" s="2" t="s">
        <v>2185</v>
      </c>
      <c r="B447" s="2" t="s">
        <v>2186</v>
      </c>
      <c r="C447" s="2" t="s">
        <v>16435</v>
      </c>
      <c r="D447" s="2" t="s">
        <v>16436</v>
      </c>
      <c r="E447" s="2" t="s">
        <v>16437</v>
      </c>
      <c r="F447" s="2" t="s">
        <v>16438</v>
      </c>
      <c r="G447" s="2" t="s">
        <v>16439</v>
      </c>
    </row>
    <row r="448">
      <c r="A448" s="2" t="s">
        <v>2185</v>
      </c>
      <c r="B448" s="2" t="s">
        <v>2186</v>
      </c>
      <c r="C448" s="2" t="s">
        <v>16435</v>
      </c>
      <c r="D448" s="2" t="s">
        <v>16436</v>
      </c>
      <c r="E448" s="2" t="s">
        <v>16440</v>
      </c>
      <c r="F448" s="2" t="s">
        <v>16441</v>
      </c>
      <c r="G448" s="2" t="s">
        <v>16442</v>
      </c>
    </row>
    <row r="449">
      <c r="A449" s="2" t="s">
        <v>2185</v>
      </c>
      <c r="B449" s="2" t="s">
        <v>2186</v>
      </c>
      <c r="C449" s="2" t="s">
        <v>16435</v>
      </c>
      <c r="D449" s="2" t="s">
        <v>16436</v>
      </c>
      <c r="E449" s="2" t="s">
        <v>16443</v>
      </c>
      <c r="F449" s="2" t="s">
        <v>16444</v>
      </c>
      <c r="G449" s="2" t="s">
        <v>16445</v>
      </c>
    </row>
    <row r="450">
      <c r="A450" s="2" t="s">
        <v>2185</v>
      </c>
      <c r="B450" s="2" t="s">
        <v>2186</v>
      </c>
      <c r="C450" s="2" t="s">
        <v>16435</v>
      </c>
      <c r="D450" s="2" t="s">
        <v>16436</v>
      </c>
      <c r="E450" s="2" t="s">
        <v>16446</v>
      </c>
      <c r="F450" s="2" t="s">
        <v>16447</v>
      </c>
      <c r="G450" s="2" t="s">
        <v>16448</v>
      </c>
    </row>
    <row r="451">
      <c r="A451" s="2" t="s">
        <v>2185</v>
      </c>
      <c r="B451" s="2" t="s">
        <v>2186</v>
      </c>
      <c r="C451" s="2" t="s">
        <v>16435</v>
      </c>
      <c r="D451" s="2" t="s">
        <v>16436</v>
      </c>
      <c r="E451" s="2" t="s">
        <v>16449</v>
      </c>
      <c r="F451" s="2" t="s">
        <v>16450</v>
      </c>
      <c r="G451" s="2" t="s">
        <v>16451</v>
      </c>
    </row>
    <row r="452">
      <c r="A452" s="2" t="s">
        <v>2905</v>
      </c>
      <c r="B452" s="2" t="s">
        <v>2906</v>
      </c>
      <c r="C452" s="2" t="s">
        <v>16452</v>
      </c>
      <c r="D452" s="2" t="s">
        <v>16453</v>
      </c>
      <c r="E452" s="2" t="s">
        <v>16454</v>
      </c>
      <c r="F452" s="2" t="s">
        <v>16455</v>
      </c>
      <c r="G452" s="2" t="s">
        <v>16456</v>
      </c>
    </row>
    <row r="453">
      <c r="A453" s="2" t="s">
        <v>2905</v>
      </c>
      <c r="B453" s="2" t="s">
        <v>2906</v>
      </c>
      <c r="C453" s="2" t="s">
        <v>16452</v>
      </c>
      <c r="D453" s="2" t="s">
        <v>16453</v>
      </c>
      <c r="E453" s="2" t="s">
        <v>16457</v>
      </c>
      <c r="F453" s="2" t="s">
        <v>16458</v>
      </c>
      <c r="G453" s="2" t="s">
        <v>16459</v>
      </c>
    </row>
    <row r="454">
      <c r="A454" s="2" t="s">
        <v>10111</v>
      </c>
      <c r="B454" s="2" t="s">
        <v>10112</v>
      </c>
      <c r="C454" s="2" t="s">
        <v>16460</v>
      </c>
      <c r="D454" s="2" t="s">
        <v>16461</v>
      </c>
      <c r="E454" s="2" t="s">
        <v>16462</v>
      </c>
      <c r="F454" s="2" t="s">
        <v>16463</v>
      </c>
      <c r="G454" s="2" t="s">
        <v>16464</v>
      </c>
    </row>
    <row r="455">
      <c r="A455" s="2" t="s">
        <v>10142</v>
      </c>
      <c r="B455" s="2" t="s">
        <v>10143</v>
      </c>
      <c r="C455" s="2" t="s">
        <v>16465</v>
      </c>
      <c r="D455" s="2" t="s">
        <v>16466</v>
      </c>
      <c r="E455" s="2" t="s">
        <v>16467</v>
      </c>
      <c r="F455" s="2" t="s">
        <v>16468</v>
      </c>
      <c r="G455" s="2" t="s">
        <v>16469</v>
      </c>
    </row>
    <row r="456">
      <c r="A456" s="2" t="s">
        <v>10142</v>
      </c>
      <c r="B456" s="2" t="s">
        <v>10143</v>
      </c>
      <c r="C456" s="2" t="s">
        <v>16465</v>
      </c>
      <c r="D456" s="2" t="s">
        <v>16466</v>
      </c>
      <c r="E456" s="2" t="s">
        <v>16470</v>
      </c>
      <c r="F456" s="2" t="s">
        <v>16471</v>
      </c>
      <c r="G456" s="2" t="s">
        <v>16472</v>
      </c>
    </row>
    <row r="457">
      <c r="A457" s="2" t="s">
        <v>6980</v>
      </c>
      <c r="B457" s="2" t="s">
        <v>6981</v>
      </c>
      <c r="C457" s="2" t="s">
        <v>16473</v>
      </c>
      <c r="D457" s="2" t="s">
        <v>16474</v>
      </c>
      <c r="E457" s="2" t="s">
        <v>16475</v>
      </c>
      <c r="F457" s="2" t="s">
        <v>16476</v>
      </c>
      <c r="G457" s="2" t="s">
        <v>16477</v>
      </c>
    </row>
    <row r="458">
      <c r="A458" s="2" t="s">
        <v>6980</v>
      </c>
      <c r="B458" s="2" t="s">
        <v>6981</v>
      </c>
      <c r="C458" s="2" t="s">
        <v>16473</v>
      </c>
      <c r="D458" s="2" t="s">
        <v>16474</v>
      </c>
      <c r="E458" s="2" t="s">
        <v>16454</v>
      </c>
      <c r="F458" s="2" t="s">
        <v>16455</v>
      </c>
      <c r="G458" s="2" t="s">
        <v>16456</v>
      </c>
    </row>
    <row r="459">
      <c r="A459" s="2" t="s">
        <v>6980</v>
      </c>
      <c r="B459" s="2" t="s">
        <v>6981</v>
      </c>
      <c r="C459" s="2" t="s">
        <v>16473</v>
      </c>
      <c r="D459" s="2" t="s">
        <v>16474</v>
      </c>
      <c r="E459" s="2" t="s">
        <v>16457</v>
      </c>
      <c r="F459" s="2" t="s">
        <v>16458</v>
      </c>
      <c r="G459" s="2" t="s">
        <v>16459</v>
      </c>
    </row>
    <row r="460">
      <c r="A460" s="2" t="s">
        <v>6980</v>
      </c>
      <c r="B460" s="2" t="s">
        <v>6981</v>
      </c>
      <c r="C460" s="2" t="s">
        <v>16473</v>
      </c>
      <c r="D460" s="2" t="s">
        <v>16474</v>
      </c>
      <c r="E460" s="2" t="s">
        <v>16478</v>
      </c>
      <c r="F460" s="2" t="s">
        <v>16479</v>
      </c>
      <c r="G460" s="2" t="s">
        <v>16480</v>
      </c>
    </row>
    <row r="461">
      <c r="A461" s="2" t="s">
        <v>6980</v>
      </c>
      <c r="B461" s="2" t="s">
        <v>6981</v>
      </c>
      <c r="C461" s="2" t="s">
        <v>16473</v>
      </c>
      <c r="D461" s="2" t="s">
        <v>16474</v>
      </c>
      <c r="E461" s="2" t="s">
        <v>16481</v>
      </c>
      <c r="F461" s="2" t="s">
        <v>16482</v>
      </c>
      <c r="G461" s="2" t="s">
        <v>16483</v>
      </c>
    </row>
    <row r="462">
      <c r="A462" s="2" t="s">
        <v>6980</v>
      </c>
      <c r="B462" s="2" t="s">
        <v>6981</v>
      </c>
      <c r="C462" s="2" t="s">
        <v>16473</v>
      </c>
      <c r="D462" s="2" t="s">
        <v>16474</v>
      </c>
      <c r="E462" s="2" t="s">
        <v>16484</v>
      </c>
      <c r="F462" s="2" t="s">
        <v>16485</v>
      </c>
      <c r="G462" s="2" t="s">
        <v>16486</v>
      </c>
    </row>
    <row r="463">
      <c r="A463" s="2" t="s">
        <v>7694</v>
      </c>
      <c r="B463" s="2" t="s">
        <v>7695</v>
      </c>
      <c r="C463" s="2" t="s">
        <v>16487</v>
      </c>
      <c r="D463" s="2" t="s">
        <v>16488</v>
      </c>
      <c r="E463" s="2" t="s">
        <v>16489</v>
      </c>
      <c r="F463" s="2" t="s">
        <v>16490</v>
      </c>
      <c r="G463" s="2" t="s">
        <v>16491</v>
      </c>
    </row>
    <row r="464">
      <c r="A464" s="2" t="s">
        <v>10107</v>
      </c>
      <c r="B464" s="2" t="s">
        <v>10108</v>
      </c>
      <c r="C464" s="2" t="s">
        <v>16492</v>
      </c>
      <c r="D464" s="2" t="s">
        <v>16493</v>
      </c>
      <c r="E464" s="2" t="s">
        <v>16494</v>
      </c>
      <c r="F464" s="2" t="s">
        <v>16495</v>
      </c>
      <c r="G464" s="2" t="s">
        <v>16496</v>
      </c>
    </row>
    <row r="465">
      <c r="A465" s="2" t="s">
        <v>10818</v>
      </c>
      <c r="B465" s="2" t="s">
        <v>10819</v>
      </c>
      <c r="C465" s="2" t="s">
        <v>16497</v>
      </c>
      <c r="D465" s="2" t="s">
        <v>16498</v>
      </c>
      <c r="E465" s="2" t="s">
        <v>16499</v>
      </c>
      <c r="F465" s="2" t="s">
        <v>16500</v>
      </c>
      <c r="G465" s="2" t="s">
        <v>16501</v>
      </c>
    </row>
    <row r="466">
      <c r="A466" s="2" t="s">
        <v>10245</v>
      </c>
      <c r="B466" s="2" t="s">
        <v>10246</v>
      </c>
      <c r="C466" s="2" t="s">
        <v>16502</v>
      </c>
      <c r="D466" s="2" t="s">
        <v>16503</v>
      </c>
      <c r="E466" s="2" t="s">
        <v>16504</v>
      </c>
      <c r="F466" s="2" t="s">
        <v>16505</v>
      </c>
      <c r="G466" s="2" t="s">
        <v>16506</v>
      </c>
    </row>
    <row r="467">
      <c r="A467" s="2" t="s">
        <v>8119</v>
      </c>
      <c r="B467" s="2" t="s">
        <v>8120</v>
      </c>
      <c r="C467" s="2" t="s">
        <v>16507</v>
      </c>
      <c r="D467" s="2" t="s">
        <v>16508</v>
      </c>
      <c r="E467" s="2" t="s">
        <v>15943</v>
      </c>
      <c r="F467" s="2" t="s">
        <v>15944</v>
      </c>
      <c r="G467" s="2" t="s">
        <v>15944</v>
      </c>
    </row>
    <row r="468">
      <c r="A468" s="2" t="s">
        <v>6952</v>
      </c>
      <c r="B468" s="2" t="s">
        <v>6953</v>
      </c>
      <c r="C468" s="2" t="s">
        <v>16509</v>
      </c>
      <c r="D468" s="2" t="s">
        <v>16510</v>
      </c>
      <c r="E468" s="2" t="s">
        <v>16511</v>
      </c>
      <c r="F468" s="2" t="s">
        <v>16512</v>
      </c>
      <c r="G468" s="2" t="s">
        <v>16513</v>
      </c>
    </row>
    <row r="469">
      <c r="A469" s="2" t="s">
        <v>6952</v>
      </c>
      <c r="B469" s="2" t="s">
        <v>6953</v>
      </c>
      <c r="C469" s="2" t="s">
        <v>16509</v>
      </c>
      <c r="D469" s="2" t="s">
        <v>16510</v>
      </c>
      <c r="E469" s="2" t="s">
        <v>16514</v>
      </c>
      <c r="F469" s="2" t="s">
        <v>16515</v>
      </c>
      <c r="G469" s="2" t="s">
        <v>16516</v>
      </c>
    </row>
    <row r="470">
      <c r="A470" s="2" t="s">
        <v>7982</v>
      </c>
      <c r="B470" s="2" t="s">
        <v>7983</v>
      </c>
      <c r="C470" s="2" t="s">
        <v>16517</v>
      </c>
      <c r="D470" s="2" t="s">
        <v>16518</v>
      </c>
      <c r="E470" s="2" t="s">
        <v>16519</v>
      </c>
      <c r="F470" s="2" t="s">
        <v>16520</v>
      </c>
      <c r="G470" s="2" t="s">
        <v>16521</v>
      </c>
    </row>
    <row r="471">
      <c r="A471" s="2" t="s">
        <v>7982</v>
      </c>
      <c r="B471" s="2" t="s">
        <v>7983</v>
      </c>
      <c r="C471" s="2" t="s">
        <v>16517</v>
      </c>
      <c r="D471" s="2" t="s">
        <v>16518</v>
      </c>
      <c r="E471" s="2" t="s">
        <v>16522</v>
      </c>
      <c r="F471" s="2" t="s">
        <v>16523</v>
      </c>
      <c r="G471" s="2" t="s">
        <v>16524</v>
      </c>
    </row>
    <row r="472">
      <c r="A472" s="2" t="s">
        <v>3192</v>
      </c>
      <c r="B472" s="2" t="s">
        <v>3193</v>
      </c>
      <c r="C472" s="2" t="s">
        <v>16525</v>
      </c>
      <c r="D472" s="2" t="s">
        <v>16526</v>
      </c>
      <c r="E472" s="2" t="s">
        <v>16527</v>
      </c>
      <c r="F472" s="2" t="s">
        <v>16528</v>
      </c>
      <c r="G472" s="2" t="s">
        <v>16529</v>
      </c>
    </row>
    <row r="473">
      <c r="A473" s="2" t="s">
        <v>3192</v>
      </c>
      <c r="B473" s="2" t="s">
        <v>3193</v>
      </c>
      <c r="C473" s="2" t="s">
        <v>16525</v>
      </c>
      <c r="D473" s="2" t="s">
        <v>16526</v>
      </c>
      <c r="E473" s="2" t="s">
        <v>16530</v>
      </c>
      <c r="F473" s="2" t="s">
        <v>16531</v>
      </c>
      <c r="G473" s="2" t="s">
        <v>16532</v>
      </c>
    </row>
    <row r="474">
      <c r="A474" s="2" t="s">
        <v>3192</v>
      </c>
      <c r="B474" s="2" t="s">
        <v>3193</v>
      </c>
      <c r="C474" s="2" t="s">
        <v>16525</v>
      </c>
      <c r="D474" s="2" t="s">
        <v>16526</v>
      </c>
      <c r="E474" s="2" t="s">
        <v>16533</v>
      </c>
      <c r="F474" s="2" t="s">
        <v>16534</v>
      </c>
      <c r="G474" s="2" t="s">
        <v>16535</v>
      </c>
    </row>
    <row r="475">
      <c r="A475" s="2" t="s">
        <v>3192</v>
      </c>
      <c r="B475" s="2" t="s">
        <v>3193</v>
      </c>
      <c r="C475" s="2" t="s">
        <v>16525</v>
      </c>
      <c r="D475" s="2" t="s">
        <v>16526</v>
      </c>
      <c r="E475" s="2" t="s">
        <v>16536</v>
      </c>
      <c r="F475" s="2" t="s">
        <v>16537</v>
      </c>
      <c r="G475" s="2" t="s">
        <v>16538</v>
      </c>
    </row>
    <row r="476">
      <c r="A476" s="2" t="s">
        <v>3192</v>
      </c>
      <c r="B476" s="2" t="s">
        <v>3193</v>
      </c>
      <c r="C476" s="2" t="s">
        <v>16525</v>
      </c>
      <c r="D476" s="2" t="s">
        <v>16526</v>
      </c>
      <c r="E476" s="2" t="s">
        <v>16539</v>
      </c>
      <c r="F476" s="2" t="s">
        <v>16540</v>
      </c>
      <c r="G476" s="2" t="s">
        <v>16541</v>
      </c>
    </row>
    <row r="477">
      <c r="A477" s="2" t="s">
        <v>14071</v>
      </c>
      <c r="B477" s="2" t="s">
        <v>14072</v>
      </c>
      <c r="C477" s="2" t="s">
        <v>16542</v>
      </c>
      <c r="D477" s="2" t="s">
        <v>16543</v>
      </c>
      <c r="E477" s="2" t="s">
        <v>16544</v>
      </c>
      <c r="F477" s="2" t="s">
        <v>16545</v>
      </c>
      <c r="G477" s="2" t="s">
        <v>16546</v>
      </c>
    </row>
    <row r="478">
      <c r="A478" s="2" t="s">
        <v>6036</v>
      </c>
      <c r="B478" s="2" t="s">
        <v>6037</v>
      </c>
      <c r="C478" s="2" t="s">
        <v>16547</v>
      </c>
      <c r="D478" s="2" t="s">
        <v>16548</v>
      </c>
      <c r="E478" s="2" t="s">
        <v>16549</v>
      </c>
      <c r="F478" s="2" t="s">
        <v>16550</v>
      </c>
      <c r="G478" s="2" t="s">
        <v>16551</v>
      </c>
    </row>
    <row r="479">
      <c r="A479" s="2" t="s">
        <v>6036</v>
      </c>
      <c r="B479" s="2" t="s">
        <v>6037</v>
      </c>
      <c r="C479" s="2" t="s">
        <v>16547</v>
      </c>
      <c r="D479" s="2" t="s">
        <v>16548</v>
      </c>
      <c r="E479" s="2" t="s">
        <v>16552</v>
      </c>
      <c r="F479" s="2" t="s">
        <v>16553</v>
      </c>
      <c r="G479" s="2" t="s">
        <v>16554</v>
      </c>
    </row>
    <row r="480">
      <c r="A480" s="2" t="s">
        <v>6036</v>
      </c>
      <c r="B480" s="2" t="s">
        <v>6037</v>
      </c>
      <c r="C480" s="2" t="s">
        <v>16547</v>
      </c>
      <c r="D480" s="2" t="s">
        <v>16548</v>
      </c>
      <c r="E480" s="2" t="s">
        <v>16555</v>
      </c>
      <c r="F480" s="2" t="s">
        <v>16556</v>
      </c>
      <c r="G480" s="2" t="s">
        <v>16557</v>
      </c>
    </row>
    <row r="481">
      <c r="A481" s="2" t="s">
        <v>2350</v>
      </c>
      <c r="B481" s="2" t="s">
        <v>2351</v>
      </c>
      <c r="C481" s="2" t="s">
        <v>16558</v>
      </c>
      <c r="D481" s="2" t="s">
        <v>16559</v>
      </c>
      <c r="E481" s="2" t="s">
        <v>16560</v>
      </c>
      <c r="F481" s="2" t="s">
        <v>16561</v>
      </c>
      <c r="G481" s="2" t="s">
        <v>16562</v>
      </c>
    </row>
    <row r="482">
      <c r="A482" s="2" t="s">
        <v>2350</v>
      </c>
      <c r="B482" s="2" t="s">
        <v>2351</v>
      </c>
      <c r="C482" s="2" t="s">
        <v>16558</v>
      </c>
      <c r="D482" s="2" t="s">
        <v>16559</v>
      </c>
      <c r="E482" s="2" t="s">
        <v>16563</v>
      </c>
      <c r="F482" s="2" t="s">
        <v>16564</v>
      </c>
      <c r="G482" s="2" t="s">
        <v>16565</v>
      </c>
    </row>
    <row r="483">
      <c r="A483" s="2" t="s">
        <v>2350</v>
      </c>
      <c r="B483" s="2" t="s">
        <v>2351</v>
      </c>
      <c r="C483" s="2" t="s">
        <v>16558</v>
      </c>
      <c r="D483" s="2" t="s">
        <v>16559</v>
      </c>
      <c r="E483" s="2" t="s">
        <v>16566</v>
      </c>
      <c r="F483" s="2" t="s">
        <v>16567</v>
      </c>
      <c r="G483" s="2" t="s">
        <v>16568</v>
      </c>
    </row>
    <row r="484">
      <c r="A484" s="2" t="s">
        <v>2350</v>
      </c>
      <c r="B484" s="2" t="s">
        <v>2351</v>
      </c>
      <c r="C484" s="2" t="s">
        <v>16558</v>
      </c>
      <c r="D484" s="2" t="s">
        <v>16559</v>
      </c>
      <c r="E484" s="2" t="s">
        <v>16569</v>
      </c>
      <c r="F484" s="2" t="s">
        <v>16570</v>
      </c>
      <c r="G484" s="2" t="s">
        <v>16571</v>
      </c>
    </row>
    <row r="485">
      <c r="A485" s="2" t="s">
        <v>9117</v>
      </c>
      <c r="B485" s="2" t="s">
        <v>9118</v>
      </c>
      <c r="C485" s="2" t="s">
        <v>16572</v>
      </c>
      <c r="D485" s="2" t="s">
        <v>16573</v>
      </c>
      <c r="E485" s="2" t="s">
        <v>16574</v>
      </c>
      <c r="F485" s="2" t="s">
        <v>16575</v>
      </c>
      <c r="G485" s="2" t="s">
        <v>16576</v>
      </c>
    </row>
    <row r="486">
      <c r="A486" s="2" t="s">
        <v>9117</v>
      </c>
      <c r="B486" s="2" t="s">
        <v>9118</v>
      </c>
      <c r="C486" s="2" t="s">
        <v>16572</v>
      </c>
      <c r="D486" s="2" t="s">
        <v>16573</v>
      </c>
      <c r="E486" s="2" t="s">
        <v>16577</v>
      </c>
      <c r="F486" s="2" t="s">
        <v>16578</v>
      </c>
      <c r="G486" s="2" t="s">
        <v>16579</v>
      </c>
    </row>
    <row r="487">
      <c r="A487" s="2" t="s">
        <v>9935</v>
      </c>
      <c r="B487" s="2" t="s">
        <v>9936</v>
      </c>
      <c r="C487" s="2" t="s">
        <v>16580</v>
      </c>
      <c r="D487" s="2" t="s">
        <v>16581</v>
      </c>
      <c r="E487" s="2" t="s">
        <v>16582</v>
      </c>
      <c r="F487" s="2" t="s">
        <v>16583</v>
      </c>
      <c r="G487" s="2" t="s">
        <v>16584</v>
      </c>
    </row>
    <row r="488">
      <c r="A488" s="2" t="s">
        <v>7629</v>
      </c>
      <c r="B488" s="2" t="s">
        <v>7630</v>
      </c>
      <c r="C488" s="2" t="s">
        <v>16585</v>
      </c>
      <c r="D488" s="2" t="s">
        <v>16586</v>
      </c>
      <c r="E488" s="2" t="s">
        <v>16587</v>
      </c>
      <c r="F488" s="2" t="s">
        <v>16588</v>
      </c>
      <c r="G488" s="2" t="s">
        <v>16589</v>
      </c>
    </row>
    <row r="489">
      <c r="A489" s="2" t="s">
        <v>10080</v>
      </c>
      <c r="B489" s="2" t="s">
        <v>10081</v>
      </c>
      <c r="C489" s="2" t="s">
        <v>16590</v>
      </c>
      <c r="D489" s="2" t="s">
        <v>16591</v>
      </c>
      <c r="E489" s="2" t="s">
        <v>16592</v>
      </c>
      <c r="F489" s="2" t="s">
        <v>16593</v>
      </c>
      <c r="G489" s="2" t="s">
        <v>16594</v>
      </c>
    </row>
    <row r="490">
      <c r="A490" s="2" t="s">
        <v>8881</v>
      </c>
      <c r="B490" s="2" t="s">
        <v>8882</v>
      </c>
      <c r="C490" s="2" t="s">
        <v>16595</v>
      </c>
      <c r="D490" s="2" t="s">
        <v>16596</v>
      </c>
      <c r="E490" s="2" t="s">
        <v>16597</v>
      </c>
      <c r="F490" s="2" t="s">
        <v>16598</v>
      </c>
      <c r="G490" s="2" t="s">
        <v>16599</v>
      </c>
    </row>
    <row r="491">
      <c r="A491" s="2" t="s">
        <v>12242</v>
      </c>
      <c r="B491" s="2" t="s">
        <v>12243</v>
      </c>
      <c r="C491" s="2" t="s">
        <v>16600</v>
      </c>
      <c r="D491" s="2" t="s">
        <v>16601</v>
      </c>
      <c r="E491" s="2" t="s">
        <v>16602</v>
      </c>
      <c r="F491" s="2" t="s">
        <v>16603</v>
      </c>
      <c r="G491" s="2" t="s">
        <v>16604</v>
      </c>
    </row>
    <row r="492">
      <c r="A492" s="2" t="s">
        <v>11016</v>
      </c>
      <c r="B492" s="2" t="s">
        <v>11017</v>
      </c>
      <c r="C492" s="2" t="s">
        <v>16605</v>
      </c>
      <c r="D492" s="2" t="s">
        <v>16606</v>
      </c>
      <c r="E492" s="2" t="s">
        <v>16607</v>
      </c>
      <c r="F492" s="2" t="s">
        <v>16608</v>
      </c>
      <c r="G492" s="2" t="s">
        <v>16609</v>
      </c>
    </row>
    <row r="493">
      <c r="A493" s="2" t="s">
        <v>11022</v>
      </c>
      <c r="B493" s="2" t="s">
        <v>11023</v>
      </c>
      <c r="C493" s="2" t="s">
        <v>16610</v>
      </c>
      <c r="D493" s="2" t="s">
        <v>16611</v>
      </c>
      <c r="E493" s="2" t="s">
        <v>16612</v>
      </c>
      <c r="F493" s="2" t="s">
        <v>16613</v>
      </c>
      <c r="G493" s="2" t="s">
        <v>16614</v>
      </c>
    </row>
    <row r="494">
      <c r="A494" s="2" t="s">
        <v>2976</v>
      </c>
      <c r="B494" s="2" t="s">
        <v>2977</v>
      </c>
      <c r="C494" s="2" t="s">
        <v>16615</v>
      </c>
      <c r="D494" s="2" t="s">
        <v>16616</v>
      </c>
      <c r="E494" s="2" t="s">
        <v>16617</v>
      </c>
      <c r="F494" s="2" t="s">
        <v>16618</v>
      </c>
      <c r="G494" s="2" t="s">
        <v>16619</v>
      </c>
    </row>
    <row r="495">
      <c r="A495" s="2" t="s">
        <v>2976</v>
      </c>
      <c r="B495" s="2" t="s">
        <v>2977</v>
      </c>
      <c r="C495" s="2" t="s">
        <v>16615</v>
      </c>
      <c r="D495" s="2" t="s">
        <v>16616</v>
      </c>
      <c r="E495" s="2" t="s">
        <v>16620</v>
      </c>
      <c r="F495" s="2" t="s">
        <v>16621</v>
      </c>
      <c r="G495" s="2" t="s">
        <v>16622</v>
      </c>
    </row>
    <row r="496">
      <c r="A496" s="2" t="s">
        <v>2976</v>
      </c>
      <c r="B496" s="2" t="s">
        <v>2977</v>
      </c>
      <c r="C496" s="2" t="s">
        <v>16615</v>
      </c>
      <c r="D496" s="2" t="s">
        <v>16616</v>
      </c>
      <c r="E496" s="2" t="s">
        <v>16623</v>
      </c>
      <c r="F496" s="2" t="s">
        <v>16624</v>
      </c>
      <c r="G496" s="2" t="s">
        <v>16625</v>
      </c>
    </row>
    <row r="497">
      <c r="A497" s="2" t="s">
        <v>2976</v>
      </c>
      <c r="B497" s="2" t="s">
        <v>2977</v>
      </c>
      <c r="C497" s="2" t="s">
        <v>16615</v>
      </c>
      <c r="D497" s="2" t="s">
        <v>16616</v>
      </c>
      <c r="E497" s="2" t="s">
        <v>16626</v>
      </c>
      <c r="F497" s="2" t="s">
        <v>16627</v>
      </c>
      <c r="G497" s="2" t="s">
        <v>16628</v>
      </c>
    </row>
    <row r="498">
      <c r="A498" s="2" t="s">
        <v>2976</v>
      </c>
      <c r="B498" s="2" t="s">
        <v>2977</v>
      </c>
      <c r="C498" s="2" t="s">
        <v>16615</v>
      </c>
      <c r="D498" s="2" t="s">
        <v>16616</v>
      </c>
      <c r="E498" s="2" t="s">
        <v>16629</v>
      </c>
      <c r="F498" s="2" t="s">
        <v>16627</v>
      </c>
      <c r="G498" s="2" t="s">
        <v>16630</v>
      </c>
    </row>
    <row r="499">
      <c r="A499" s="2" t="s">
        <v>2976</v>
      </c>
      <c r="B499" s="2" t="s">
        <v>2977</v>
      </c>
      <c r="C499" s="2" t="s">
        <v>16615</v>
      </c>
      <c r="D499" s="2" t="s">
        <v>16616</v>
      </c>
      <c r="E499" s="2" t="s">
        <v>16631</v>
      </c>
      <c r="F499" s="2" t="s">
        <v>16632</v>
      </c>
      <c r="G499" s="2" t="s">
        <v>16633</v>
      </c>
    </row>
    <row r="500">
      <c r="A500" s="2" t="s">
        <v>2976</v>
      </c>
      <c r="B500" s="2" t="s">
        <v>2977</v>
      </c>
      <c r="C500" s="2" t="s">
        <v>16615</v>
      </c>
      <c r="D500" s="2" t="s">
        <v>16616</v>
      </c>
      <c r="E500" s="2" t="s">
        <v>16634</v>
      </c>
      <c r="F500" s="2" t="s">
        <v>16635</v>
      </c>
      <c r="G500" s="2" t="s">
        <v>16636</v>
      </c>
    </row>
    <row r="501">
      <c r="A501" s="2" t="s">
        <v>2976</v>
      </c>
      <c r="B501" s="2" t="s">
        <v>2977</v>
      </c>
      <c r="C501" s="2" t="s">
        <v>16615</v>
      </c>
      <c r="D501" s="2" t="s">
        <v>16616</v>
      </c>
      <c r="E501" s="2" t="s">
        <v>16637</v>
      </c>
      <c r="F501" s="2" t="s">
        <v>16638</v>
      </c>
      <c r="G501" s="2" t="s">
        <v>16639</v>
      </c>
    </row>
    <row r="502">
      <c r="A502" s="2" t="s">
        <v>10967</v>
      </c>
      <c r="B502" s="2" t="s">
        <v>10968</v>
      </c>
      <c r="C502" s="2" t="s">
        <v>16640</v>
      </c>
      <c r="D502" s="2" t="s">
        <v>16641</v>
      </c>
      <c r="E502" s="2" t="s">
        <v>16642</v>
      </c>
      <c r="F502" s="2" t="s">
        <v>16643</v>
      </c>
      <c r="G502" s="2" t="s">
        <v>16644</v>
      </c>
    </row>
    <row r="503">
      <c r="A503" s="2" t="s">
        <v>4125</v>
      </c>
      <c r="B503" s="2" t="s">
        <v>4126</v>
      </c>
      <c r="C503" s="2" t="s">
        <v>16645</v>
      </c>
      <c r="D503" s="2" t="s">
        <v>16646</v>
      </c>
      <c r="E503" s="2" t="s">
        <v>16647</v>
      </c>
      <c r="F503" s="2" t="s">
        <v>16648</v>
      </c>
      <c r="G503" s="2" t="s">
        <v>16649</v>
      </c>
    </row>
    <row r="504">
      <c r="A504" s="2" t="s">
        <v>4125</v>
      </c>
      <c r="B504" s="2" t="s">
        <v>4126</v>
      </c>
      <c r="C504" s="2" t="s">
        <v>16645</v>
      </c>
      <c r="D504" s="2" t="s">
        <v>16646</v>
      </c>
      <c r="E504" s="2" t="s">
        <v>16650</v>
      </c>
      <c r="F504" s="2" t="s">
        <v>16648</v>
      </c>
      <c r="G504" s="2" t="s">
        <v>16651</v>
      </c>
    </row>
    <row r="505">
      <c r="A505" s="2" t="s">
        <v>4125</v>
      </c>
      <c r="B505" s="2" t="s">
        <v>4126</v>
      </c>
      <c r="C505" s="2" t="s">
        <v>16645</v>
      </c>
      <c r="D505" s="2" t="s">
        <v>16646</v>
      </c>
      <c r="E505" s="2" t="s">
        <v>16652</v>
      </c>
      <c r="F505" s="2" t="s">
        <v>16653</v>
      </c>
      <c r="G505" s="2" t="s">
        <v>16654</v>
      </c>
    </row>
    <row r="506">
      <c r="A506" s="2" t="s">
        <v>6611</v>
      </c>
      <c r="B506" s="2" t="s">
        <v>6612</v>
      </c>
      <c r="C506" s="2" t="s">
        <v>16655</v>
      </c>
      <c r="D506" s="2" t="s">
        <v>16656</v>
      </c>
      <c r="E506" s="2" t="s">
        <v>16657</v>
      </c>
      <c r="F506" s="2" t="s">
        <v>16658</v>
      </c>
      <c r="G506" s="2" t="s">
        <v>16659</v>
      </c>
    </row>
    <row r="507">
      <c r="A507" s="2" t="s">
        <v>6199</v>
      </c>
      <c r="B507" s="2" t="s">
        <v>6200</v>
      </c>
      <c r="C507" s="2" t="s">
        <v>16660</v>
      </c>
      <c r="D507" s="2" t="s">
        <v>16661</v>
      </c>
      <c r="E507" s="2" t="s">
        <v>16662</v>
      </c>
      <c r="F507" s="2" t="s">
        <v>16663</v>
      </c>
      <c r="G507" s="2" t="s">
        <v>16664</v>
      </c>
    </row>
    <row r="508">
      <c r="A508" s="2" t="s">
        <v>6199</v>
      </c>
      <c r="B508" s="2" t="s">
        <v>6200</v>
      </c>
      <c r="C508" s="2" t="s">
        <v>16660</v>
      </c>
      <c r="D508" s="2" t="s">
        <v>16661</v>
      </c>
      <c r="E508" s="2" t="s">
        <v>16665</v>
      </c>
      <c r="F508" s="2" t="s">
        <v>16666</v>
      </c>
      <c r="G508" s="2" t="s">
        <v>16667</v>
      </c>
    </row>
    <row r="509">
      <c r="A509" s="2" t="s">
        <v>1119</v>
      </c>
      <c r="B509" s="2" t="s">
        <v>1120</v>
      </c>
      <c r="C509" s="2" t="s">
        <v>16668</v>
      </c>
      <c r="D509" s="2" t="s">
        <v>16669</v>
      </c>
      <c r="E509" s="2" t="s">
        <v>16670</v>
      </c>
      <c r="F509" s="2" t="s">
        <v>16671</v>
      </c>
      <c r="G509" s="2" t="s">
        <v>16672</v>
      </c>
    </row>
    <row r="510">
      <c r="A510" s="2" t="s">
        <v>1119</v>
      </c>
      <c r="B510" s="2" t="s">
        <v>1120</v>
      </c>
      <c r="C510" s="2" t="s">
        <v>16668</v>
      </c>
      <c r="D510" s="2" t="s">
        <v>16669</v>
      </c>
      <c r="E510" s="2" t="s">
        <v>16673</v>
      </c>
      <c r="F510" s="2" t="s">
        <v>16674</v>
      </c>
      <c r="G510" s="2" t="s">
        <v>16675</v>
      </c>
    </row>
    <row r="511">
      <c r="A511" s="2" t="s">
        <v>1119</v>
      </c>
      <c r="B511" s="2" t="s">
        <v>1120</v>
      </c>
      <c r="C511" s="2" t="s">
        <v>16668</v>
      </c>
      <c r="D511" s="2" t="s">
        <v>16669</v>
      </c>
      <c r="E511" s="2" t="s">
        <v>16676</v>
      </c>
      <c r="F511" s="2" t="s">
        <v>16677</v>
      </c>
      <c r="G511" s="2" t="s">
        <v>16678</v>
      </c>
    </row>
    <row r="512">
      <c r="A512" s="2" t="s">
        <v>1119</v>
      </c>
      <c r="B512" s="2" t="s">
        <v>1120</v>
      </c>
      <c r="C512" s="2" t="s">
        <v>16668</v>
      </c>
      <c r="D512" s="2" t="s">
        <v>16669</v>
      </c>
      <c r="E512" s="2" t="s">
        <v>16679</v>
      </c>
      <c r="F512" s="2" t="s">
        <v>16680</v>
      </c>
      <c r="G512" s="2" t="s">
        <v>16681</v>
      </c>
    </row>
    <row r="513">
      <c r="A513" s="2" t="s">
        <v>1119</v>
      </c>
      <c r="B513" s="2" t="s">
        <v>1120</v>
      </c>
      <c r="C513" s="2" t="s">
        <v>16668</v>
      </c>
      <c r="D513" s="2" t="s">
        <v>16669</v>
      </c>
      <c r="E513" s="2" t="s">
        <v>16682</v>
      </c>
      <c r="F513" s="2" t="s">
        <v>16683</v>
      </c>
      <c r="G513" s="2" t="s">
        <v>16684</v>
      </c>
    </row>
    <row r="514">
      <c r="A514" s="2" t="s">
        <v>1119</v>
      </c>
      <c r="B514" s="2" t="s">
        <v>1120</v>
      </c>
      <c r="C514" s="2" t="s">
        <v>16668</v>
      </c>
      <c r="D514" s="2" t="s">
        <v>16669</v>
      </c>
      <c r="E514" s="2" t="s">
        <v>16685</v>
      </c>
      <c r="F514" s="2" t="s">
        <v>16686</v>
      </c>
      <c r="G514" s="2" t="s">
        <v>16687</v>
      </c>
    </row>
    <row r="515">
      <c r="A515" s="2" t="s">
        <v>1119</v>
      </c>
      <c r="B515" s="2" t="s">
        <v>1120</v>
      </c>
      <c r="C515" s="2" t="s">
        <v>16668</v>
      </c>
      <c r="D515" s="2" t="s">
        <v>16669</v>
      </c>
      <c r="E515" s="2" t="s">
        <v>16688</v>
      </c>
      <c r="F515" s="2" t="s">
        <v>16689</v>
      </c>
      <c r="G515" s="2" t="s">
        <v>16690</v>
      </c>
    </row>
    <row r="516">
      <c r="A516" s="2" t="s">
        <v>3629</v>
      </c>
      <c r="B516" s="2" t="s">
        <v>3630</v>
      </c>
      <c r="C516" s="2" t="s">
        <v>16691</v>
      </c>
      <c r="D516" s="2" t="s">
        <v>16692</v>
      </c>
      <c r="E516" s="2" t="s">
        <v>16693</v>
      </c>
      <c r="F516" s="2" t="s">
        <v>16694</v>
      </c>
      <c r="G516" s="2" t="s">
        <v>16695</v>
      </c>
    </row>
    <row r="517">
      <c r="A517" s="2" t="s">
        <v>2315</v>
      </c>
      <c r="B517" s="2" t="s">
        <v>2316</v>
      </c>
      <c r="C517" s="2" t="s">
        <v>16696</v>
      </c>
      <c r="D517" s="2" t="s">
        <v>16697</v>
      </c>
      <c r="E517" s="2" t="s">
        <v>16698</v>
      </c>
      <c r="F517" s="2" t="s">
        <v>16699</v>
      </c>
      <c r="G517" s="2" t="s">
        <v>16700</v>
      </c>
    </row>
    <row r="518">
      <c r="A518" s="2" t="s">
        <v>2315</v>
      </c>
      <c r="B518" s="2" t="s">
        <v>2316</v>
      </c>
      <c r="C518" s="2" t="s">
        <v>16696</v>
      </c>
      <c r="D518" s="2" t="s">
        <v>16697</v>
      </c>
      <c r="E518" s="2" t="s">
        <v>16701</v>
      </c>
      <c r="F518" s="2" t="s">
        <v>16702</v>
      </c>
      <c r="G518" s="2" t="s">
        <v>16703</v>
      </c>
    </row>
    <row r="519">
      <c r="A519" s="2" t="s">
        <v>2315</v>
      </c>
      <c r="B519" s="2" t="s">
        <v>2316</v>
      </c>
      <c r="C519" s="2" t="s">
        <v>16696</v>
      </c>
      <c r="D519" s="2" t="s">
        <v>16697</v>
      </c>
      <c r="E519" s="2" t="s">
        <v>16704</v>
      </c>
      <c r="F519" s="2" t="s">
        <v>16705</v>
      </c>
      <c r="G519" s="2" t="s">
        <v>16706</v>
      </c>
    </row>
    <row r="520">
      <c r="A520" s="2" t="s">
        <v>2315</v>
      </c>
      <c r="B520" s="2" t="s">
        <v>2316</v>
      </c>
      <c r="C520" s="2" t="s">
        <v>16696</v>
      </c>
      <c r="D520" s="2" t="s">
        <v>16697</v>
      </c>
      <c r="E520" s="2" t="s">
        <v>16707</v>
      </c>
      <c r="F520" s="2" t="s">
        <v>16708</v>
      </c>
      <c r="G520" s="2" t="s">
        <v>16709</v>
      </c>
    </row>
    <row r="521">
      <c r="A521" s="2" t="s">
        <v>13359</v>
      </c>
      <c r="B521" s="2" t="s">
        <v>13360</v>
      </c>
      <c r="C521" s="2" t="s">
        <v>16710</v>
      </c>
      <c r="D521" s="2" t="s">
        <v>16711</v>
      </c>
      <c r="E521" s="2" t="s">
        <v>16712</v>
      </c>
      <c r="F521" s="2" t="s">
        <v>16713</v>
      </c>
      <c r="G521" s="2" t="s">
        <v>16714</v>
      </c>
    </row>
    <row r="522">
      <c r="A522" s="2" t="s">
        <v>13359</v>
      </c>
      <c r="B522" s="2" t="s">
        <v>13360</v>
      </c>
      <c r="C522" s="2" t="s">
        <v>16710</v>
      </c>
      <c r="D522" s="2" t="s">
        <v>16711</v>
      </c>
      <c r="E522" s="2" t="s">
        <v>16715</v>
      </c>
      <c r="F522" s="2" t="s">
        <v>16716</v>
      </c>
      <c r="G522" s="2" t="s">
        <v>16717</v>
      </c>
    </row>
    <row r="523">
      <c r="A523" s="2" t="s">
        <v>10992</v>
      </c>
      <c r="B523" s="2" t="s">
        <v>10993</v>
      </c>
      <c r="C523" s="2" t="s">
        <v>16718</v>
      </c>
      <c r="D523" s="2" t="s">
        <v>16719</v>
      </c>
      <c r="E523" s="2" t="s">
        <v>16720</v>
      </c>
      <c r="F523" s="2" t="s">
        <v>16721</v>
      </c>
      <c r="G523" s="2" t="s">
        <v>16722</v>
      </c>
    </row>
    <row r="524">
      <c r="A524" s="2" t="s">
        <v>14181</v>
      </c>
      <c r="B524" s="2" t="s">
        <v>14182</v>
      </c>
      <c r="C524" s="2" t="s">
        <v>16723</v>
      </c>
      <c r="D524" s="2" t="s">
        <v>16724</v>
      </c>
      <c r="E524" s="2" t="s">
        <v>16725</v>
      </c>
      <c r="F524" s="2" t="s">
        <v>16726</v>
      </c>
      <c r="G524" s="2" t="s">
        <v>16727</v>
      </c>
    </row>
    <row r="525">
      <c r="A525" s="2" t="s">
        <v>6963</v>
      </c>
      <c r="B525" s="2" t="s">
        <v>6964</v>
      </c>
      <c r="C525" s="2" t="s">
        <v>16728</v>
      </c>
      <c r="D525" s="2" t="s">
        <v>16729</v>
      </c>
      <c r="E525" s="2" t="s">
        <v>16730</v>
      </c>
      <c r="F525" s="2" t="s">
        <v>16731</v>
      </c>
      <c r="G525" s="2" t="s">
        <v>16732</v>
      </c>
    </row>
    <row r="526">
      <c r="A526" s="2" t="s">
        <v>6963</v>
      </c>
      <c r="B526" s="2" t="s">
        <v>6964</v>
      </c>
      <c r="C526" s="2" t="s">
        <v>16728</v>
      </c>
      <c r="D526" s="2" t="s">
        <v>16729</v>
      </c>
      <c r="E526" s="2" t="s">
        <v>16733</v>
      </c>
      <c r="F526" s="2" t="s">
        <v>16734</v>
      </c>
      <c r="G526" s="2" t="s">
        <v>16735</v>
      </c>
    </row>
    <row r="527">
      <c r="A527" s="2" t="s">
        <v>6963</v>
      </c>
      <c r="B527" s="2" t="s">
        <v>6964</v>
      </c>
      <c r="C527" s="2" t="s">
        <v>16728</v>
      </c>
      <c r="D527" s="2" t="s">
        <v>16729</v>
      </c>
      <c r="E527" s="2" t="s">
        <v>16736</v>
      </c>
      <c r="F527" s="2" t="s">
        <v>16737</v>
      </c>
      <c r="G527" s="2" t="s">
        <v>16738</v>
      </c>
    </row>
    <row r="528">
      <c r="A528" s="2" t="s">
        <v>3069</v>
      </c>
      <c r="B528" s="2" t="s">
        <v>3070</v>
      </c>
      <c r="C528" s="2" t="s">
        <v>16739</v>
      </c>
      <c r="D528" s="2" t="s">
        <v>16740</v>
      </c>
      <c r="E528" s="2" t="s">
        <v>16620</v>
      </c>
      <c r="F528" s="2" t="s">
        <v>16621</v>
      </c>
      <c r="G528" s="2" t="s">
        <v>16622</v>
      </c>
    </row>
    <row r="529">
      <c r="A529" s="2" t="s">
        <v>3069</v>
      </c>
      <c r="B529" s="2" t="s">
        <v>3070</v>
      </c>
      <c r="C529" s="2" t="s">
        <v>16739</v>
      </c>
      <c r="D529" s="2" t="s">
        <v>16740</v>
      </c>
      <c r="E529" s="2" t="s">
        <v>16623</v>
      </c>
      <c r="F529" s="2" t="s">
        <v>16624</v>
      </c>
      <c r="G529" s="2" t="s">
        <v>16625</v>
      </c>
    </row>
    <row r="530">
      <c r="A530" s="2" t="s">
        <v>3069</v>
      </c>
      <c r="B530" s="2" t="s">
        <v>3070</v>
      </c>
      <c r="C530" s="2" t="s">
        <v>16739</v>
      </c>
      <c r="D530" s="2" t="s">
        <v>16740</v>
      </c>
      <c r="E530" s="2" t="s">
        <v>16741</v>
      </c>
      <c r="F530" s="2" t="s">
        <v>16742</v>
      </c>
      <c r="G530" s="2" t="s">
        <v>16743</v>
      </c>
    </row>
    <row r="531">
      <c r="A531" s="2" t="s">
        <v>6138</v>
      </c>
      <c r="B531" s="2" t="s">
        <v>6139</v>
      </c>
      <c r="C531" s="2" t="s">
        <v>16744</v>
      </c>
      <c r="D531" s="2" t="s">
        <v>16745</v>
      </c>
      <c r="E531" s="2" t="s">
        <v>16746</v>
      </c>
      <c r="F531" s="2" t="s">
        <v>16747</v>
      </c>
      <c r="G531" s="2" t="s">
        <v>16748</v>
      </c>
    </row>
    <row r="532">
      <c r="A532" s="2" t="s">
        <v>6205</v>
      </c>
      <c r="B532" s="2" t="s">
        <v>6206</v>
      </c>
      <c r="C532" s="2" t="s">
        <v>16749</v>
      </c>
      <c r="D532" s="2" t="s">
        <v>16750</v>
      </c>
      <c r="E532" s="2" t="s">
        <v>16751</v>
      </c>
      <c r="F532" s="2" t="s">
        <v>16752</v>
      </c>
      <c r="G532" s="2" t="s">
        <v>16753</v>
      </c>
    </row>
    <row r="533">
      <c r="A533" s="2" t="s">
        <v>9548</v>
      </c>
      <c r="B533" s="2" t="s">
        <v>9549</v>
      </c>
      <c r="C533" s="2" t="s">
        <v>16754</v>
      </c>
      <c r="D533" s="2" t="s">
        <v>16755</v>
      </c>
      <c r="E533" s="2" t="s">
        <v>16756</v>
      </c>
      <c r="F533" s="2" t="s">
        <v>16757</v>
      </c>
      <c r="G533" s="2" t="s">
        <v>16758</v>
      </c>
    </row>
    <row r="534">
      <c r="A534" s="2" t="s">
        <v>9548</v>
      </c>
      <c r="B534" s="2" t="s">
        <v>9549</v>
      </c>
      <c r="C534" s="2" t="s">
        <v>16754</v>
      </c>
      <c r="D534" s="2" t="s">
        <v>16755</v>
      </c>
      <c r="E534" s="2" t="s">
        <v>16759</v>
      </c>
      <c r="F534" s="2" t="s">
        <v>16760</v>
      </c>
      <c r="G534" s="2" t="s">
        <v>16761</v>
      </c>
    </row>
    <row r="535">
      <c r="A535" s="2" t="s">
        <v>9548</v>
      </c>
      <c r="B535" s="2" t="s">
        <v>9549</v>
      </c>
      <c r="C535" s="2" t="s">
        <v>16754</v>
      </c>
      <c r="D535" s="2" t="s">
        <v>16755</v>
      </c>
      <c r="E535" s="2" t="s">
        <v>16762</v>
      </c>
      <c r="F535" s="2" t="s">
        <v>16763</v>
      </c>
      <c r="G535" s="2" t="s">
        <v>16764</v>
      </c>
    </row>
    <row r="536">
      <c r="A536" s="2" t="s">
        <v>9548</v>
      </c>
      <c r="B536" s="2" t="s">
        <v>9549</v>
      </c>
      <c r="C536" s="2" t="s">
        <v>16754</v>
      </c>
      <c r="D536" s="2" t="s">
        <v>16755</v>
      </c>
      <c r="E536" s="2" t="s">
        <v>16765</v>
      </c>
      <c r="F536" s="2" t="s">
        <v>16766</v>
      </c>
      <c r="G536" s="2" t="s">
        <v>16767</v>
      </c>
    </row>
    <row r="537">
      <c r="A537" s="2" t="s">
        <v>9548</v>
      </c>
      <c r="B537" s="2" t="s">
        <v>9549</v>
      </c>
      <c r="C537" s="2" t="s">
        <v>16754</v>
      </c>
      <c r="D537" s="2" t="s">
        <v>16755</v>
      </c>
      <c r="E537" s="2" t="s">
        <v>16768</v>
      </c>
      <c r="F537" s="2" t="s">
        <v>16769</v>
      </c>
      <c r="G537" s="2" t="s">
        <v>16770</v>
      </c>
    </row>
    <row r="538">
      <c r="A538" s="2" t="s">
        <v>9548</v>
      </c>
      <c r="B538" s="2" t="s">
        <v>9549</v>
      </c>
      <c r="C538" s="2" t="s">
        <v>16754</v>
      </c>
      <c r="D538" s="2" t="s">
        <v>16755</v>
      </c>
      <c r="E538" s="2" t="s">
        <v>16771</v>
      </c>
      <c r="F538" s="2" t="s">
        <v>16772</v>
      </c>
      <c r="G538" s="2" t="s">
        <v>16773</v>
      </c>
    </row>
    <row r="539">
      <c r="A539" s="2" t="s">
        <v>9548</v>
      </c>
      <c r="B539" s="2" t="s">
        <v>9549</v>
      </c>
      <c r="C539" s="2" t="s">
        <v>16754</v>
      </c>
      <c r="D539" s="2" t="s">
        <v>16755</v>
      </c>
      <c r="E539" s="2" t="s">
        <v>16774</v>
      </c>
      <c r="F539" s="2" t="s">
        <v>16775</v>
      </c>
      <c r="G539" s="2" t="s">
        <v>16776</v>
      </c>
    </row>
    <row r="540">
      <c r="A540" s="2" t="s">
        <v>9548</v>
      </c>
      <c r="B540" s="2" t="s">
        <v>9549</v>
      </c>
      <c r="C540" s="2" t="s">
        <v>16754</v>
      </c>
      <c r="D540" s="2" t="s">
        <v>16755</v>
      </c>
      <c r="E540" s="2" t="s">
        <v>16777</v>
      </c>
      <c r="F540" s="2" t="s">
        <v>16778</v>
      </c>
      <c r="G540" s="2" t="s">
        <v>16779</v>
      </c>
    </row>
    <row r="541">
      <c r="A541" s="2" t="s">
        <v>9548</v>
      </c>
      <c r="B541" s="2" t="s">
        <v>9549</v>
      </c>
      <c r="C541" s="2" t="s">
        <v>16754</v>
      </c>
      <c r="D541" s="2" t="s">
        <v>16755</v>
      </c>
      <c r="E541" s="2" t="s">
        <v>16780</v>
      </c>
      <c r="F541" s="2" t="s">
        <v>16781</v>
      </c>
      <c r="G541" s="2" t="s">
        <v>16782</v>
      </c>
    </row>
    <row r="542">
      <c r="A542" s="2" t="s">
        <v>9548</v>
      </c>
      <c r="B542" s="2" t="s">
        <v>9549</v>
      </c>
      <c r="C542" s="2" t="s">
        <v>16754</v>
      </c>
      <c r="D542" s="2" t="s">
        <v>16755</v>
      </c>
      <c r="E542" s="2" t="s">
        <v>16783</v>
      </c>
      <c r="F542" s="2" t="s">
        <v>16784</v>
      </c>
      <c r="G542" s="2" t="s">
        <v>16785</v>
      </c>
    </row>
    <row r="543">
      <c r="A543" s="2"/>
      <c r="B543" s="2"/>
      <c r="C543" s="2" t="s">
        <v>16786</v>
      </c>
      <c r="D543" s="2" t="s">
        <v>16787</v>
      </c>
      <c r="E543" s="2" t="s">
        <v>16788</v>
      </c>
      <c r="F543" s="2" t="s">
        <v>16789</v>
      </c>
      <c r="G543" s="2" t="s">
        <v>16790</v>
      </c>
    </row>
    <row r="544">
      <c r="A544" s="2" t="s">
        <v>4578</v>
      </c>
      <c r="B544" s="2" t="s">
        <v>4579</v>
      </c>
      <c r="C544" s="2" t="s">
        <v>16791</v>
      </c>
      <c r="D544" s="2" t="s">
        <v>16792</v>
      </c>
      <c r="E544" s="2" t="s">
        <v>16793</v>
      </c>
      <c r="F544" s="2" t="s">
        <v>16794</v>
      </c>
      <c r="G544" s="2" t="s">
        <v>16795</v>
      </c>
    </row>
    <row r="545">
      <c r="A545" s="2" t="s">
        <v>7050</v>
      </c>
      <c r="B545" s="2" t="s">
        <v>7051</v>
      </c>
      <c r="C545" s="2" t="s">
        <v>16796</v>
      </c>
      <c r="D545" s="2" t="s">
        <v>16797</v>
      </c>
      <c r="E545" s="2" t="s">
        <v>16798</v>
      </c>
      <c r="F545" s="2" t="s">
        <v>16799</v>
      </c>
      <c r="G545" s="2" t="s">
        <v>16800</v>
      </c>
    </row>
    <row r="546">
      <c r="A546" s="2" t="s">
        <v>5438</v>
      </c>
      <c r="B546" s="2" t="s">
        <v>5439</v>
      </c>
      <c r="C546" s="2" t="s">
        <v>16801</v>
      </c>
      <c r="D546" s="2" t="s">
        <v>16802</v>
      </c>
      <c r="E546" s="2" t="s">
        <v>16803</v>
      </c>
      <c r="F546" s="2" t="s">
        <v>16804</v>
      </c>
      <c r="G546" s="2" t="s">
        <v>16805</v>
      </c>
    </row>
    <row r="547">
      <c r="A547" s="2" t="s">
        <v>5438</v>
      </c>
      <c r="B547" s="2" t="s">
        <v>5439</v>
      </c>
      <c r="C547" s="2" t="s">
        <v>16801</v>
      </c>
      <c r="D547" s="2" t="s">
        <v>16802</v>
      </c>
      <c r="E547" s="2" t="s">
        <v>16806</v>
      </c>
      <c r="F547" s="2" t="s">
        <v>16807</v>
      </c>
      <c r="G547" s="2" t="s">
        <v>16808</v>
      </c>
    </row>
    <row r="548">
      <c r="A548" s="2" t="s">
        <v>634</v>
      </c>
      <c r="B548" s="2" t="s">
        <v>635</v>
      </c>
      <c r="C548" s="2" t="s">
        <v>16809</v>
      </c>
      <c r="D548" s="2" t="s">
        <v>16810</v>
      </c>
      <c r="E548" s="2" t="s">
        <v>16811</v>
      </c>
      <c r="F548" s="2" t="s">
        <v>16812</v>
      </c>
      <c r="G548" s="2" t="s">
        <v>16813</v>
      </c>
    </row>
    <row r="549">
      <c r="A549" s="2" t="s">
        <v>634</v>
      </c>
      <c r="B549" s="2" t="s">
        <v>635</v>
      </c>
      <c r="C549" s="2" t="s">
        <v>16809</v>
      </c>
      <c r="D549" s="2" t="s">
        <v>16810</v>
      </c>
      <c r="E549" s="2" t="s">
        <v>16814</v>
      </c>
      <c r="F549" s="2" t="s">
        <v>16812</v>
      </c>
      <c r="G549" s="2" t="s">
        <v>16815</v>
      </c>
    </row>
    <row r="550">
      <c r="A550" s="2" t="s">
        <v>14011</v>
      </c>
      <c r="B550" s="2" t="s">
        <v>14012</v>
      </c>
      <c r="C550" s="2" t="s">
        <v>16816</v>
      </c>
      <c r="D550" s="2" t="s">
        <v>16817</v>
      </c>
      <c r="E550" s="2" t="s">
        <v>16818</v>
      </c>
      <c r="F550" s="2" t="s">
        <v>16819</v>
      </c>
      <c r="G550" s="2" t="s">
        <v>16820</v>
      </c>
    </row>
    <row r="551">
      <c r="A551" s="2" t="s">
        <v>5867</v>
      </c>
      <c r="B551" s="2" t="s">
        <v>5868</v>
      </c>
      <c r="C551" s="2" t="s">
        <v>16821</v>
      </c>
      <c r="D551" s="2" t="s">
        <v>16822</v>
      </c>
      <c r="E551" s="2" t="s">
        <v>16823</v>
      </c>
      <c r="F551" s="2" t="s">
        <v>16824</v>
      </c>
      <c r="G551" s="2" t="s">
        <v>16825</v>
      </c>
    </row>
    <row r="552">
      <c r="A552" s="2" t="s">
        <v>11199</v>
      </c>
      <c r="B552" s="2" t="s">
        <v>11200</v>
      </c>
      <c r="C552" s="2" t="s">
        <v>16826</v>
      </c>
      <c r="D552" s="2" t="s">
        <v>16827</v>
      </c>
      <c r="E552" s="2" t="s">
        <v>16828</v>
      </c>
      <c r="F552" s="2" t="s">
        <v>16829</v>
      </c>
      <c r="G552" s="2" t="s">
        <v>16830</v>
      </c>
    </row>
    <row r="553">
      <c r="A553" s="2" t="s">
        <v>10563</v>
      </c>
      <c r="B553" s="2" t="s">
        <v>10564</v>
      </c>
      <c r="C553" s="2" t="s">
        <v>16831</v>
      </c>
      <c r="D553" s="2" t="s">
        <v>16832</v>
      </c>
      <c r="E553" s="2" t="s">
        <v>16833</v>
      </c>
      <c r="F553" s="2" t="s">
        <v>16834</v>
      </c>
      <c r="G553" s="2" t="s">
        <v>16835</v>
      </c>
    </row>
    <row r="554">
      <c r="A554" s="2" t="s">
        <v>10563</v>
      </c>
      <c r="B554" s="2" t="s">
        <v>10564</v>
      </c>
      <c r="C554" s="2" t="s">
        <v>16831</v>
      </c>
      <c r="D554" s="2" t="s">
        <v>16832</v>
      </c>
      <c r="E554" s="2" t="s">
        <v>16836</v>
      </c>
      <c r="F554" s="2" t="s">
        <v>16837</v>
      </c>
      <c r="G554" s="2" t="s">
        <v>16838</v>
      </c>
    </row>
    <row r="555">
      <c r="A555" s="2" t="s">
        <v>10563</v>
      </c>
      <c r="B555" s="2" t="s">
        <v>10564</v>
      </c>
      <c r="C555" s="2" t="s">
        <v>16831</v>
      </c>
      <c r="D555" s="2" t="s">
        <v>16832</v>
      </c>
      <c r="E555" s="2" t="s">
        <v>16839</v>
      </c>
      <c r="F555" s="2" t="s">
        <v>16840</v>
      </c>
      <c r="G555" s="2" t="s">
        <v>16841</v>
      </c>
    </row>
    <row r="556">
      <c r="A556" s="2" t="s">
        <v>5517</v>
      </c>
      <c r="B556" s="2" t="s">
        <v>5518</v>
      </c>
      <c r="C556" s="2" t="s">
        <v>16842</v>
      </c>
      <c r="D556" s="2" t="s">
        <v>16843</v>
      </c>
      <c r="E556" s="2" t="s">
        <v>16844</v>
      </c>
      <c r="F556" s="2" t="s">
        <v>16845</v>
      </c>
      <c r="G556" s="2" t="s">
        <v>16846</v>
      </c>
    </row>
    <row r="557">
      <c r="A557" s="2" t="s">
        <v>5517</v>
      </c>
      <c r="B557" s="2" t="s">
        <v>5518</v>
      </c>
      <c r="C557" s="2" t="s">
        <v>16842</v>
      </c>
      <c r="D557" s="2" t="s">
        <v>16843</v>
      </c>
      <c r="E557" s="2" t="s">
        <v>16847</v>
      </c>
      <c r="F557" s="2" t="s">
        <v>16848</v>
      </c>
      <c r="G557" s="2" t="s">
        <v>16849</v>
      </c>
    </row>
    <row r="558">
      <c r="A558" s="2" t="s">
        <v>7974</v>
      </c>
      <c r="B558" s="2" t="s">
        <v>7975</v>
      </c>
      <c r="C558" s="2" t="s">
        <v>16850</v>
      </c>
      <c r="D558" s="2" t="s">
        <v>16851</v>
      </c>
      <c r="E558" s="2" t="s">
        <v>16852</v>
      </c>
      <c r="F558" s="2" t="s">
        <v>16853</v>
      </c>
      <c r="G558" s="2" t="s">
        <v>16854</v>
      </c>
    </row>
    <row r="559">
      <c r="A559" s="2" t="s">
        <v>7644</v>
      </c>
      <c r="B559" s="2" t="s">
        <v>7645</v>
      </c>
      <c r="C559" s="2" t="s">
        <v>16855</v>
      </c>
      <c r="D559" s="2" t="s">
        <v>16856</v>
      </c>
      <c r="E559" s="2" t="s">
        <v>16857</v>
      </c>
      <c r="F559" s="2" t="s">
        <v>16858</v>
      </c>
      <c r="G559" s="2" t="s">
        <v>16859</v>
      </c>
    </row>
    <row r="560">
      <c r="A560" s="2" t="s">
        <v>7644</v>
      </c>
      <c r="B560" s="2" t="s">
        <v>7645</v>
      </c>
      <c r="C560" s="2" t="s">
        <v>16855</v>
      </c>
      <c r="D560" s="2" t="s">
        <v>16856</v>
      </c>
      <c r="E560" s="2" t="s">
        <v>16860</v>
      </c>
      <c r="F560" s="2" t="s">
        <v>16861</v>
      </c>
      <c r="G560" s="2" t="s">
        <v>16862</v>
      </c>
    </row>
    <row r="561">
      <c r="A561" s="2" t="s">
        <v>7644</v>
      </c>
      <c r="B561" s="2" t="s">
        <v>7645</v>
      </c>
      <c r="C561" s="2" t="s">
        <v>16855</v>
      </c>
      <c r="D561" s="2" t="s">
        <v>16856</v>
      </c>
      <c r="E561" s="2" t="s">
        <v>16863</v>
      </c>
      <c r="F561" s="2" t="s">
        <v>16864</v>
      </c>
      <c r="G561" s="2" t="s">
        <v>16865</v>
      </c>
    </row>
    <row r="562">
      <c r="A562" s="2" t="s">
        <v>5110</v>
      </c>
      <c r="B562" s="2" t="s">
        <v>5111</v>
      </c>
      <c r="C562" s="2" t="s">
        <v>16866</v>
      </c>
      <c r="D562" s="2" t="s">
        <v>16867</v>
      </c>
      <c r="E562" s="2" t="s">
        <v>16868</v>
      </c>
      <c r="F562" s="2" t="s">
        <v>16869</v>
      </c>
      <c r="G562" s="2" t="s">
        <v>16870</v>
      </c>
    </row>
    <row r="563">
      <c r="A563" s="2" t="s">
        <v>3983</v>
      </c>
      <c r="B563" s="2" t="s">
        <v>3984</v>
      </c>
      <c r="C563" s="2" t="s">
        <v>16871</v>
      </c>
      <c r="D563" s="2" t="s">
        <v>16872</v>
      </c>
      <c r="E563" s="2" t="s">
        <v>16873</v>
      </c>
      <c r="F563" s="2" t="s">
        <v>16874</v>
      </c>
      <c r="G563" s="2" t="s">
        <v>16875</v>
      </c>
    </row>
    <row r="564">
      <c r="A564" s="2" t="s">
        <v>9605</v>
      </c>
      <c r="B564" s="2" t="s">
        <v>9606</v>
      </c>
      <c r="C564" s="2" t="s">
        <v>16876</v>
      </c>
      <c r="D564" s="2" t="s">
        <v>16877</v>
      </c>
      <c r="E564" s="2" t="s">
        <v>16878</v>
      </c>
      <c r="F564" s="2" t="s">
        <v>16879</v>
      </c>
      <c r="G564" s="2" t="s">
        <v>16880</v>
      </c>
    </row>
    <row r="565">
      <c r="A565" s="2" t="s">
        <v>3350</v>
      </c>
      <c r="B565" s="2" t="s">
        <v>3351</v>
      </c>
      <c r="C565" s="2" t="s">
        <v>16881</v>
      </c>
      <c r="D565" s="2" t="s">
        <v>16882</v>
      </c>
      <c r="E565" s="2" t="s">
        <v>16883</v>
      </c>
      <c r="F565" s="2" t="s">
        <v>16884</v>
      </c>
      <c r="G565" s="2" t="s">
        <v>16885</v>
      </c>
    </row>
    <row r="566">
      <c r="A566" s="2" t="s">
        <v>3350</v>
      </c>
      <c r="B566" s="2" t="s">
        <v>3351</v>
      </c>
      <c r="C566" s="2" t="s">
        <v>16881</v>
      </c>
      <c r="D566" s="2" t="s">
        <v>16882</v>
      </c>
      <c r="E566" s="2" t="s">
        <v>16886</v>
      </c>
      <c r="F566" s="2" t="s">
        <v>16887</v>
      </c>
      <c r="G566" s="2" t="s">
        <v>16888</v>
      </c>
    </row>
    <row r="567">
      <c r="A567" s="2" t="s">
        <v>11982</v>
      </c>
      <c r="B567" s="2" t="s">
        <v>11983</v>
      </c>
      <c r="C567" s="2" t="s">
        <v>16889</v>
      </c>
      <c r="D567" s="2" t="s">
        <v>16890</v>
      </c>
      <c r="E567" s="2" t="s">
        <v>16891</v>
      </c>
      <c r="F567" s="2" t="s">
        <v>16892</v>
      </c>
      <c r="G567" s="2" t="s">
        <v>16893</v>
      </c>
    </row>
    <row r="568">
      <c r="A568" s="2" t="s">
        <v>4433</v>
      </c>
      <c r="B568" s="2" t="s">
        <v>4434</v>
      </c>
      <c r="C568" s="2" t="s">
        <v>16894</v>
      </c>
      <c r="D568" s="2" t="s">
        <v>16895</v>
      </c>
      <c r="E568" s="2" t="s">
        <v>16896</v>
      </c>
      <c r="F568" s="2" t="s">
        <v>16897</v>
      </c>
      <c r="G568" s="2" t="s">
        <v>16898</v>
      </c>
    </row>
    <row r="569">
      <c r="A569" s="2" t="s">
        <v>6632</v>
      </c>
      <c r="B569" s="2" t="s">
        <v>6633</v>
      </c>
      <c r="C569" s="2" t="s">
        <v>16899</v>
      </c>
      <c r="D569" s="2" t="s">
        <v>16900</v>
      </c>
      <c r="E569" s="2" t="s">
        <v>16901</v>
      </c>
      <c r="F569" s="2" t="s">
        <v>16902</v>
      </c>
      <c r="G569" s="2" t="s">
        <v>16903</v>
      </c>
    </row>
    <row r="570">
      <c r="A570" s="2" t="s">
        <v>6973</v>
      </c>
      <c r="B570" s="2" t="s">
        <v>6974</v>
      </c>
      <c r="C570" s="2" t="s">
        <v>16904</v>
      </c>
      <c r="D570" s="2" t="s">
        <v>16905</v>
      </c>
      <c r="E570" s="2" t="s">
        <v>16906</v>
      </c>
      <c r="F570" s="2" t="s">
        <v>16907</v>
      </c>
      <c r="G570" s="2" t="s">
        <v>16908</v>
      </c>
    </row>
    <row r="571">
      <c r="A571" s="2" t="s">
        <v>6973</v>
      </c>
      <c r="B571" s="2" t="s">
        <v>6974</v>
      </c>
      <c r="C571" s="2" t="s">
        <v>16904</v>
      </c>
      <c r="D571" s="2" t="s">
        <v>16905</v>
      </c>
      <c r="E571" s="2" t="s">
        <v>16909</v>
      </c>
      <c r="F571" s="2" t="s">
        <v>16910</v>
      </c>
      <c r="G571" s="2" t="s">
        <v>16911</v>
      </c>
    </row>
    <row r="572">
      <c r="A572" s="2" t="s">
        <v>6973</v>
      </c>
      <c r="B572" s="2" t="s">
        <v>6974</v>
      </c>
      <c r="C572" s="2" t="s">
        <v>16904</v>
      </c>
      <c r="D572" s="2" t="s">
        <v>16905</v>
      </c>
      <c r="E572" s="2" t="s">
        <v>16912</v>
      </c>
      <c r="F572" s="2" t="s">
        <v>16913</v>
      </c>
      <c r="G572" s="2" t="s">
        <v>16914</v>
      </c>
    </row>
    <row r="573">
      <c r="A573" s="2" t="s">
        <v>1806</v>
      </c>
      <c r="B573" s="2" t="s">
        <v>1807</v>
      </c>
      <c r="C573" s="2" t="s">
        <v>16915</v>
      </c>
      <c r="D573" s="2" t="s">
        <v>16916</v>
      </c>
      <c r="E573" s="2" t="s">
        <v>16917</v>
      </c>
      <c r="F573" s="2" t="s">
        <v>16918</v>
      </c>
      <c r="G573" s="2" t="s">
        <v>16919</v>
      </c>
    </row>
    <row r="574">
      <c r="A574" s="2" t="s">
        <v>9552</v>
      </c>
      <c r="B574" s="2" t="s">
        <v>9553</v>
      </c>
      <c r="C574" s="2" t="s">
        <v>16920</v>
      </c>
      <c r="D574" s="2" t="s">
        <v>16921</v>
      </c>
      <c r="E574" s="2" t="s">
        <v>16922</v>
      </c>
      <c r="F574" s="2" t="s">
        <v>16923</v>
      </c>
      <c r="G574" s="2" t="s">
        <v>16924</v>
      </c>
    </row>
    <row r="575">
      <c r="A575" s="2" t="s">
        <v>9552</v>
      </c>
      <c r="B575" s="2" t="s">
        <v>9553</v>
      </c>
      <c r="C575" s="2" t="s">
        <v>16920</v>
      </c>
      <c r="D575" s="2" t="s">
        <v>16921</v>
      </c>
      <c r="E575" s="2" t="s">
        <v>16925</v>
      </c>
      <c r="F575" s="2" t="s">
        <v>16926</v>
      </c>
      <c r="G575" s="2" t="s">
        <v>16927</v>
      </c>
    </row>
    <row r="576">
      <c r="A576" s="2" t="s">
        <v>9552</v>
      </c>
      <c r="B576" s="2" t="s">
        <v>9553</v>
      </c>
      <c r="C576" s="2" t="s">
        <v>16920</v>
      </c>
      <c r="D576" s="2" t="s">
        <v>16921</v>
      </c>
      <c r="E576" s="2" t="s">
        <v>16928</v>
      </c>
      <c r="F576" s="2" t="s">
        <v>16929</v>
      </c>
      <c r="G576" s="2" t="s">
        <v>16930</v>
      </c>
    </row>
    <row r="577">
      <c r="A577" s="2" t="s">
        <v>9552</v>
      </c>
      <c r="B577" s="2" t="s">
        <v>9553</v>
      </c>
      <c r="C577" s="2" t="s">
        <v>16920</v>
      </c>
      <c r="D577" s="2" t="s">
        <v>16921</v>
      </c>
      <c r="E577" s="2" t="s">
        <v>16931</v>
      </c>
      <c r="F577" s="2" t="s">
        <v>16932</v>
      </c>
      <c r="G577" s="2" t="s">
        <v>16933</v>
      </c>
    </row>
    <row r="578">
      <c r="A578" s="2" t="s">
        <v>9552</v>
      </c>
      <c r="B578" s="2" t="s">
        <v>9553</v>
      </c>
      <c r="C578" s="2" t="s">
        <v>16920</v>
      </c>
      <c r="D578" s="2" t="s">
        <v>16921</v>
      </c>
      <c r="E578" s="2" t="s">
        <v>16934</v>
      </c>
      <c r="F578" s="2" t="s">
        <v>16935</v>
      </c>
      <c r="G578" s="2" t="s">
        <v>16936</v>
      </c>
    </row>
    <row r="579">
      <c r="A579" s="2" t="s">
        <v>9552</v>
      </c>
      <c r="B579" s="2" t="s">
        <v>9553</v>
      </c>
      <c r="C579" s="2" t="s">
        <v>16920</v>
      </c>
      <c r="D579" s="2" t="s">
        <v>16921</v>
      </c>
      <c r="E579" s="2" t="s">
        <v>16937</v>
      </c>
      <c r="F579" s="2" t="s">
        <v>16938</v>
      </c>
      <c r="G579" s="2" t="s">
        <v>16939</v>
      </c>
    </row>
    <row r="580">
      <c r="A580" s="2" t="s">
        <v>9552</v>
      </c>
      <c r="B580" s="2" t="s">
        <v>9553</v>
      </c>
      <c r="C580" s="2" t="s">
        <v>16920</v>
      </c>
      <c r="D580" s="2" t="s">
        <v>16921</v>
      </c>
      <c r="E580" s="2" t="s">
        <v>16940</v>
      </c>
      <c r="F580" s="2" t="s">
        <v>16941</v>
      </c>
      <c r="G580" s="2" t="s">
        <v>16942</v>
      </c>
    </row>
    <row r="581">
      <c r="A581" s="2" t="s">
        <v>9552</v>
      </c>
      <c r="B581" s="2" t="s">
        <v>9553</v>
      </c>
      <c r="C581" s="2" t="s">
        <v>16920</v>
      </c>
      <c r="D581" s="2" t="s">
        <v>16921</v>
      </c>
      <c r="E581" s="2" t="s">
        <v>16943</v>
      </c>
      <c r="F581" s="2" t="s">
        <v>16944</v>
      </c>
      <c r="G581" s="2" t="s">
        <v>16945</v>
      </c>
    </row>
    <row r="582">
      <c r="A582" s="2" t="s">
        <v>10221</v>
      </c>
      <c r="B582" s="2" t="s">
        <v>10222</v>
      </c>
      <c r="C582" s="2" t="s">
        <v>16946</v>
      </c>
      <c r="D582" s="2" t="s">
        <v>16947</v>
      </c>
      <c r="E582" s="2" t="s">
        <v>16948</v>
      </c>
      <c r="F582" s="2" t="s">
        <v>16949</v>
      </c>
      <c r="G582" s="2" t="s">
        <v>16950</v>
      </c>
    </row>
    <row r="583">
      <c r="A583" s="2" t="s">
        <v>10221</v>
      </c>
      <c r="B583" s="2" t="s">
        <v>10222</v>
      </c>
      <c r="C583" s="2" t="s">
        <v>16946</v>
      </c>
      <c r="D583" s="2" t="s">
        <v>16947</v>
      </c>
      <c r="E583" s="2" t="s">
        <v>16951</v>
      </c>
      <c r="F583" s="2" t="s">
        <v>16952</v>
      </c>
      <c r="G583" s="2" t="s">
        <v>16953</v>
      </c>
    </row>
    <row r="584">
      <c r="A584" s="2" t="s">
        <v>10221</v>
      </c>
      <c r="B584" s="2" t="s">
        <v>10222</v>
      </c>
      <c r="C584" s="2" t="s">
        <v>16946</v>
      </c>
      <c r="D584" s="2" t="s">
        <v>16947</v>
      </c>
      <c r="E584" s="2" t="s">
        <v>16954</v>
      </c>
      <c r="F584" s="2" t="s">
        <v>16955</v>
      </c>
      <c r="G584" s="2" t="s">
        <v>16956</v>
      </c>
    </row>
    <row r="585">
      <c r="A585" s="2" t="s">
        <v>10221</v>
      </c>
      <c r="B585" s="2" t="s">
        <v>10222</v>
      </c>
      <c r="C585" s="2" t="s">
        <v>16946</v>
      </c>
      <c r="D585" s="2" t="s">
        <v>16947</v>
      </c>
      <c r="E585" s="2" t="s">
        <v>16957</v>
      </c>
      <c r="F585" s="2" t="s">
        <v>16958</v>
      </c>
      <c r="G585" s="2" t="s">
        <v>16959</v>
      </c>
    </row>
    <row r="586">
      <c r="A586" s="2" t="s">
        <v>10221</v>
      </c>
      <c r="B586" s="2" t="s">
        <v>10222</v>
      </c>
      <c r="C586" s="2" t="s">
        <v>16946</v>
      </c>
      <c r="D586" s="2" t="s">
        <v>16947</v>
      </c>
      <c r="E586" s="2" t="s">
        <v>16960</v>
      </c>
      <c r="F586" s="2" t="s">
        <v>16961</v>
      </c>
      <c r="G586" s="2" t="s">
        <v>16962</v>
      </c>
    </row>
    <row r="587">
      <c r="A587" s="2" t="s">
        <v>5185</v>
      </c>
      <c r="B587" s="2" t="s">
        <v>5186</v>
      </c>
      <c r="C587" s="2" t="s">
        <v>16963</v>
      </c>
      <c r="D587" s="2" t="s">
        <v>16964</v>
      </c>
      <c r="E587" s="2" t="s">
        <v>16965</v>
      </c>
      <c r="F587" s="2" t="s">
        <v>16966</v>
      </c>
      <c r="G587" s="2" t="s">
        <v>16967</v>
      </c>
    </row>
    <row r="588">
      <c r="A588" s="2" t="s">
        <v>6040</v>
      </c>
      <c r="B588" s="2" t="s">
        <v>6041</v>
      </c>
      <c r="C588" s="2" t="s">
        <v>16968</v>
      </c>
      <c r="D588" s="2" t="s">
        <v>16969</v>
      </c>
      <c r="E588" s="2" t="s">
        <v>16970</v>
      </c>
      <c r="F588" s="2" t="s">
        <v>16971</v>
      </c>
      <c r="G588" s="2" t="s">
        <v>16972</v>
      </c>
    </row>
    <row r="589">
      <c r="A589" s="2" t="s">
        <v>12229</v>
      </c>
      <c r="B589" s="2" t="s">
        <v>12230</v>
      </c>
      <c r="C589" s="2" t="s">
        <v>16973</v>
      </c>
      <c r="D589" s="2" t="s">
        <v>16974</v>
      </c>
      <c r="E589" s="2" t="s">
        <v>16975</v>
      </c>
      <c r="F589" s="2" t="s">
        <v>16976</v>
      </c>
      <c r="G589" s="2" t="s">
        <v>16785</v>
      </c>
    </row>
    <row r="590">
      <c r="A590" s="2" t="s">
        <v>12229</v>
      </c>
      <c r="B590" s="2" t="s">
        <v>12230</v>
      </c>
      <c r="C590" s="2" t="s">
        <v>16973</v>
      </c>
      <c r="D590" s="2" t="s">
        <v>16974</v>
      </c>
      <c r="E590" s="2" t="s">
        <v>16771</v>
      </c>
      <c r="F590" s="2" t="s">
        <v>16772</v>
      </c>
      <c r="G590" s="2" t="s">
        <v>16773</v>
      </c>
    </row>
    <row r="591">
      <c r="A591" s="2" t="s">
        <v>12229</v>
      </c>
      <c r="B591" s="2" t="s">
        <v>12230</v>
      </c>
      <c r="C591" s="2" t="s">
        <v>16973</v>
      </c>
      <c r="D591" s="2" t="s">
        <v>16974</v>
      </c>
      <c r="E591" s="2" t="s">
        <v>16977</v>
      </c>
      <c r="F591" s="2" t="s">
        <v>16976</v>
      </c>
      <c r="G591" s="2" t="s">
        <v>16758</v>
      </c>
    </row>
    <row r="592">
      <c r="A592" s="2" t="s">
        <v>3473</v>
      </c>
      <c r="B592" s="2" t="s">
        <v>3474</v>
      </c>
      <c r="C592" s="2" t="s">
        <v>16978</v>
      </c>
      <c r="D592" s="2" t="s">
        <v>16979</v>
      </c>
      <c r="E592" s="2" t="s">
        <v>16980</v>
      </c>
      <c r="F592" s="2" t="s">
        <v>16981</v>
      </c>
      <c r="G592" s="2" t="s">
        <v>16982</v>
      </c>
    </row>
    <row r="593">
      <c r="A593" s="2" t="s">
        <v>10649</v>
      </c>
      <c r="B593" s="2" t="s">
        <v>10650</v>
      </c>
      <c r="C593" s="2" t="s">
        <v>16983</v>
      </c>
      <c r="D593" s="2" t="s">
        <v>16984</v>
      </c>
      <c r="E593" s="2" t="s">
        <v>16985</v>
      </c>
      <c r="F593" s="2" t="s">
        <v>16986</v>
      </c>
      <c r="G593" s="2" t="s">
        <v>16987</v>
      </c>
    </row>
    <row r="594">
      <c r="A594" s="2" t="s">
        <v>2850</v>
      </c>
      <c r="B594" s="2" t="s">
        <v>2851</v>
      </c>
      <c r="C594" s="2" t="s">
        <v>16988</v>
      </c>
      <c r="D594" s="2" t="s">
        <v>16989</v>
      </c>
      <c r="E594" s="2" t="s">
        <v>16990</v>
      </c>
      <c r="F594" s="2" t="s">
        <v>16991</v>
      </c>
      <c r="G594" s="2" t="s">
        <v>16992</v>
      </c>
    </row>
    <row r="595">
      <c r="A595" s="2" t="s">
        <v>11123</v>
      </c>
      <c r="B595" s="2" t="s">
        <v>11124</v>
      </c>
      <c r="C595" s="2" t="s">
        <v>16993</v>
      </c>
      <c r="D595" s="2" t="s">
        <v>16994</v>
      </c>
      <c r="E595" s="2" t="s">
        <v>16995</v>
      </c>
      <c r="F595" s="2" t="s">
        <v>16996</v>
      </c>
      <c r="G595" s="2" t="s">
        <v>16997</v>
      </c>
    </row>
    <row r="596">
      <c r="A596" s="2" t="s">
        <v>11123</v>
      </c>
      <c r="B596" s="2" t="s">
        <v>11124</v>
      </c>
      <c r="C596" s="2" t="s">
        <v>16993</v>
      </c>
      <c r="D596" s="2" t="s">
        <v>16994</v>
      </c>
      <c r="E596" s="2" t="s">
        <v>16998</v>
      </c>
      <c r="F596" s="2" t="s">
        <v>16999</v>
      </c>
      <c r="G596" s="2" t="s">
        <v>17000</v>
      </c>
    </row>
    <row r="597">
      <c r="A597" s="2" t="s">
        <v>10472</v>
      </c>
      <c r="B597" s="2" t="s">
        <v>10473</v>
      </c>
      <c r="C597" s="2" t="s">
        <v>17001</v>
      </c>
      <c r="D597" s="2" t="s">
        <v>17002</v>
      </c>
      <c r="E597" s="2" t="s">
        <v>15943</v>
      </c>
      <c r="F597" s="2" t="s">
        <v>15944</v>
      </c>
      <c r="G597" s="2" t="s">
        <v>15944</v>
      </c>
    </row>
    <row r="598">
      <c r="A598" s="2" t="s">
        <v>2731</v>
      </c>
      <c r="B598" s="2" t="s">
        <v>2732</v>
      </c>
      <c r="C598" s="2" t="s">
        <v>17003</v>
      </c>
      <c r="D598" s="2" t="s">
        <v>17004</v>
      </c>
      <c r="E598" s="2" t="s">
        <v>15943</v>
      </c>
      <c r="F598" s="2" t="s">
        <v>15944</v>
      </c>
      <c r="G598" s="2" t="s">
        <v>15944</v>
      </c>
    </row>
    <row r="599">
      <c r="A599" s="2" t="s">
        <v>6911</v>
      </c>
      <c r="B599" s="2" t="s">
        <v>6912</v>
      </c>
      <c r="C599" s="2" t="s">
        <v>17005</v>
      </c>
      <c r="D599" s="2" t="s">
        <v>17006</v>
      </c>
      <c r="E599" s="2" t="s">
        <v>17007</v>
      </c>
      <c r="F599" s="2" t="s">
        <v>17008</v>
      </c>
      <c r="G599" s="2" t="s">
        <v>17009</v>
      </c>
    </row>
    <row r="600">
      <c r="A600" s="2" t="s">
        <v>13984</v>
      </c>
      <c r="B600" s="2" t="s">
        <v>13985</v>
      </c>
      <c r="C600" s="2" t="s">
        <v>17010</v>
      </c>
      <c r="D600" s="2" t="s">
        <v>17011</v>
      </c>
      <c r="E600" s="2" t="s">
        <v>17012</v>
      </c>
      <c r="F600" s="2" t="s">
        <v>17013</v>
      </c>
      <c r="G600" s="2" t="s">
        <v>17014</v>
      </c>
    </row>
    <row r="601">
      <c r="A601" s="2" t="s">
        <v>6064</v>
      </c>
      <c r="B601" s="2" t="s">
        <v>6065</v>
      </c>
      <c r="C601" s="2" t="s">
        <v>17015</v>
      </c>
      <c r="D601" s="2" t="s">
        <v>17016</v>
      </c>
      <c r="E601" s="2" t="s">
        <v>17017</v>
      </c>
      <c r="F601" s="2" t="s">
        <v>17018</v>
      </c>
      <c r="G601" s="2" t="s">
        <v>17019</v>
      </c>
    </row>
    <row r="602">
      <c r="A602" s="2" t="s">
        <v>6064</v>
      </c>
      <c r="B602" s="2" t="s">
        <v>6065</v>
      </c>
      <c r="C602" s="2" t="s">
        <v>17015</v>
      </c>
      <c r="D602" s="2" t="s">
        <v>17016</v>
      </c>
      <c r="E602" s="2" t="s">
        <v>17020</v>
      </c>
      <c r="F602" s="2" t="s">
        <v>17021</v>
      </c>
      <c r="G602" s="2" t="s">
        <v>17022</v>
      </c>
    </row>
    <row r="603">
      <c r="A603" s="2" t="s">
        <v>6064</v>
      </c>
      <c r="B603" s="2" t="s">
        <v>6065</v>
      </c>
      <c r="C603" s="2" t="s">
        <v>17015</v>
      </c>
      <c r="D603" s="2" t="s">
        <v>17016</v>
      </c>
      <c r="E603" s="2" t="s">
        <v>17023</v>
      </c>
      <c r="F603" s="2" t="s">
        <v>17024</v>
      </c>
      <c r="G603" s="2" t="s">
        <v>17025</v>
      </c>
    </row>
    <row r="604">
      <c r="A604" s="2" t="s">
        <v>8198</v>
      </c>
      <c r="B604" s="2" t="s">
        <v>8199</v>
      </c>
      <c r="C604" s="2" t="s">
        <v>17026</v>
      </c>
      <c r="D604" s="2" t="s">
        <v>17027</v>
      </c>
      <c r="E604" s="2" t="s">
        <v>17028</v>
      </c>
      <c r="F604" s="2" t="s">
        <v>17029</v>
      </c>
      <c r="G604" s="2" t="s">
        <v>17030</v>
      </c>
    </row>
    <row r="605">
      <c r="A605" s="2" t="s">
        <v>2390</v>
      </c>
      <c r="B605" s="2" t="s">
        <v>2391</v>
      </c>
      <c r="C605" s="2" t="s">
        <v>17031</v>
      </c>
      <c r="D605" s="2" t="s">
        <v>17032</v>
      </c>
      <c r="E605" s="2" t="s">
        <v>17033</v>
      </c>
      <c r="F605" s="2" t="s">
        <v>17034</v>
      </c>
      <c r="G605" s="2" t="s">
        <v>17035</v>
      </c>
    </row>
    <row r="606">
      <c r="A606" s="2" t="s">
        <v>10864</v>
      </c>
      <c r="B606" s="2" t="s">
        <v>10865</v>
      </c>
      <c r="C606" s="2" t="s">
        <v>17036</v>
      </c>
      <c r="D606" s="2" t="s">
        <v>17037</v>
      </c>
      <c r="E606" s="2" t="s">
        <v>17038</v>
      </c>
      <c r="F606" s="2" t="s">
        <v>17039</v>
      </c>
      <c r="G606" s="2" t="s">
        <v>17040</v>
      </c>
    </row>
    <row r="607">
      <c r="A607" s="2" t="s">
        <v>10963</v>
      </c>
      <c r="B607" s="2" t="s">
        <v>10964</v>
      </c>
      <c r="C607" s="2" t="s">
        <v>17041</v>
      </c>
      <c r="D607" s="2" t="s">
        <v>17042</v>
      </c>
      <c r="E607" s="2" t="s">
        <v>17043</v>
      </c>
      <c r="F607" s="2" t="s">
        <v>17044</v>
      </c>
      <c r="G607" s="2" t="s">
        <v>17045</v>
      </c>
    </row>
    <row r="608">
      <c r="A608" s="2" t="s">
        <v>11207</v>
      </c>
      <c r="B608" s="2" t="s">
        <v>11208</v>
      </c>
      <c r="C608" s="2" t="s">
        <v>17046</v>
      </c>
      <c r="D608" s="2" t="s">
        <v>17047</v>
      </c>
      <c r="E608" s="2" t="s">
        <v>17048</v>
      </c>
      <c r="F608" s="2" t="s">
        <v>17049</v>
      </c>
      <c r="G608" s="2" t="s">
        <v>17050</v>
      </c>
    </row>
    <row r="609">
      <c r="A609" s="2" t="s">
        <v>11360</v>
      </c>
      <c r="B609" s="2" t="s">
        <v>11361</v>
      </c>
      <c r="C609" s="2" t="s">
        <v>17051</v>
      </c>
      <c r="D609" s="2" t="s">
        <v>17052</v>
      </c>
      <c r="E609" s="2" t="s">
        <v>17053</v>
      </c>
      <c r="F609" s="2" t="s">
        <v>17054</v>
      </c>
      <c r="G609" s="2" t="s">
        <v>17055</v>
      </c>
    </row>
    <row r="610">
      <c r="A610" s="2" t="s">
        <v>2423</v>
      </c>
      <c r="B610" s="2" t="s">
        <v>2424</v>
      </c>
      <c r="C610" s="2" t="s">
        <v>17056</v>
      </c>
      <c r="D610" s="2" t="s">
        <v>17057</v>
      </c>
      <c r="E610" s="2" t="s">
        <v>17058</v>
      </c>
      <c r="F610" s="2" t="s">
        <v>17059</v>
      </c>
      <c r="G610" s="2" t="s">
        <v>17060</v>
      </c>
    </row>
    <row r="611">
      <c r="A611" s="2" t="s">
        <v>3138</v>
      </c>
      <c r="B611" s="2" t="s">
        <v>3139</v>
      </c>
      <c r="C611" s="2" t="s">
        <v>17061</v>
      </c>
      <c r="D611" s="2" t="s">
        <v>17062</v>
      </c>
      <c r="E611" s="2" t="s">
        <v>17063</v>
      </c>
      <c r="F611" s="2" t="s">
        <v>17064</v>
      </c>
      <c r="G611" s="2" t="s">
        <v>17065</v>
      </c>
    </row>
    <row r="612">
      <c r="A612" s="2" t="s">
        <v>3138</v>
      </c>
      <c r="B612" s="2" t="s">
        <v>3139</v>
      </c>
      <c r="C612" s="2" t="s">
        <v>17061</v>
      </c>
      <c r="D612" s="2" t="s">
        <v>17062</v>
      </c>
      <c r="E612" s="2" t="s">
        <v>17066</v>
      </c>
      <c r="F612" s="2" t="s">
        <v>17067</v>
      </c>
      <c r="G612" s="2" t="s">
        <v>17068</v>
      </c>
    </row>
    <row r="613">
      <c r="A613" s="2"/>
      <c r="B613" s="2"/>
      <c r="C613" s="2" t="s">
        <v>17069</v>
      </c>
      <c r="D613" s="2" t="s">
        <v>17070</v>
      </c>
      <c r="E613" s="2" t="s">
        <v>15943</v>
      </c>
      <c r="F613" s="2" t="s">
        <v>15944</v>
      </c>
      <c r="G613" s="2" t="s">
        <v>15944</v>
      </c>
    </row>
    <row r="614">
      <c r="A614" s="2" t="s">
        <v>6715</v>
      </c>
      <c r="B614" s="2" t="s">
        <v>6716</v>
      </c>
      <c r="C614" s="2" t="s">
        <v>17071</v>
      </c>
      <c r="D614" s="2" t="s">
        <v>17072</v>
      </c>
      <c r="E614" s="2" t="s">
        <v>17073</v>
      </c>
      <c r="F614" s="2" t="s">
        <v>17074</v>
      </c>
      <c r="G614" s="2" t="s">
        <v>17075</v>
      </c>
    </row>
    <row r="615">
      <c r="A615" s="2" t="s">
        <v>6715</v>
      </c>
      <c r="B615" s="2" t="s">
        <v>6716</v>
      </c>
      <c r="C615" s="2" t="s">
        <v>17071</v>
      </c>
      <c r="D615" s="2" t="s">
        <v>17072</v>
      </c>
      <c r="E615" s="2" t="s">
        <v>17076</v>
      </c>
      <c r="F615" s="2" t="s">
        <v>17077</v>
      </c>
      <c r="G615" s="2" t="s">
        <v>17078</v>
      </c>
    </row>
    <row r="616">
      <c r="A616" s="2" t="s">
        <v>6715</v>
      </c>
      <c r="B616" s="2" t="s">
        <v>6716</v>
      </c>
      <c r="C616" s="2" t="s">
        <v>17071</v>
      </c>
      <c r="D616" s="2" t="s">
        <v>17072</v>
      </c>
      <c r="E616" s="2" t="s">
        <v>17079</v>
      </c>
      <c r="F616" s="2" t="s">
        <v>17080</v>
      </c>
      <c r="G616" s="2" t="s">
        <v>17081</v>
      </c>
    </row>
    <row r="617">
      <c r="A617" s="2" t="s">
        <v>3081</v>
      </c>
      <c r="B617" s="2" t="s">
        <v>3082</v>
      </c>
      <c r="C617" s="2" t="s">
        <v>17082</v>
      </c>
      <c r="D617" s="2" t="s">
        <v>17083</v>
      </c>
      <c r="E617" s="2" t="s">
        <v>17084</v>
      </c>
      <c r="F617" s="2" t="s">
        <v>17085</v>
      </c>
      <c r="G617" s="2" t="s">
        <v>17086</v>
      </c>
    </row>
    <row r="618">
      <c r="A618" s="2" t="s">
        <v>3081</v>
      </c>
      <c r="B618" s="2" t="s">
        <v>3082</v>
      </c>
      <c r="C618" s="2" t="s">
        <v>17082</v>
      </c>
      <c r="D618" s="2" t="s">
        <v>17083</v>
      </c>
      <c r="E618" s="2" t="s">
        <v>17087</v>
      </c>
      <c r="F618" s="2" t="s">
        <v>17088</v>
      </c>
      <c r="G618" s="2" t="s">
        <v>17089</v>
      </c>
    </row>
    <row r="619">
      <c r="A619" s="2" t="s">
        <v>3081</v>
      </c>
      <c r="B619" s="2" t="s">
        <v>3082</v>
      </c>
      <c r="C619" s="2" t="s">
        <v>17082</v>
      </c>
      <c r="D619" s="2" t="s">
        <v>17083</v>
      </c>
      <c r="E619" s="2" t="s">
        <v>17090</v>
      </c>
      <c r="F619" s="2" t="s">
        <v>17091</v>
      </c>
      <c r="G619" s="2" t="s">
        <v>17092</v>
      </c>
    </row>
    <row r="620">
      <c r="A620" s="2" t="s">
        <v>3081</v>
      </c>
      <c r="B620" s="2" t="s">
        <v>3082</v>
      </c>
      <c r="C620" s="2" t="s">
        <v>17082</v>
      </c>
      <c r="D620" s="2" t="s">
        <v>17083</v>
      </c>
      <c r="E620" s="2" t="s">
        <v>17093</v>
      </c>
      <c r="F620" s="2" t="s">
        <v>17094</v>
      </c>
      <c r="G620" s="2" t="s">
        <v>17095</v>
      </c>
    </row>
    <row r="621">
      <c r="A621" s="2" t="s">
        <v>3081</v>
      </c>
      <c r="B621" s="2" t="s">
        <v>3082</v>
      </c>
      <c r="C621" s="2" t="s">
        <v>17082</v>
      </c>
      <c r="D621" s="2" t="s">
        <v>17083</v>
      </c>
      <c r="E621" s="2" t="s">
        <v>17096</v>
      </c>
      <c r="F621" s="2" t="s">
        <v>17097</v>
      </c>
      <c r="G621" s="2" t="s">
        <v>17098</v>
      </c>
    </row>
    <row r="622">
      <c r="A622" s="2" t="s">
        <v>3081</v>
      </c>
      <c r="B622" s="2" t="s">
        <v>3082</v>
      </c>
      <c r="C622" s="2" t="s">
        <v>17082</v>
      </c>
      <c r="D622" s="2" t="s">
        <v>17083</v>
      </c>
      <c r="E622" s="2" t="s">
        <v>17099</v>
      </c>
      <c r="F622" s="2" t="s">
        <v>17100</v>
      </c>
      <c r="G622" s="2" t="s">
        <v>17101</v>
      </c>
    </row>
    <row r="623">
      <c r="A623" s="2" t="s">
        <v>3081</v>
      </c>
      <c r="B623" s="2" t="s">
        <v>3082</v>
      </c>
      <c r="C623" s="2" t="s">
        <v>17082</v>
      </c>
      <c r="D623" s="2" t="s">
        <v>17083</v>
      </c>
      <c r="E623" s="2" t="s">
        <v>17102</v>
      </c>
      <c r="F623" s="2" t="s">
        <v>17103</v>
      </c>
      <c r="G623" s="2" t="s">
        <v>17104</v>
      </c>
    </row>
    <row r="624">
      <c r="A624" s="2" t="s">
        <v>3081</v>
      </c>
      <c r="B624" s="2" t="s">
        <v>3082</v>
      </c>
      <c r="C624" s="2" t="s">
        <v>17082</v>
      </c>
      <c r="D624" s="2" t="s">
        <v>17083</v>
      </c>
      <c r="E624" s="2" t="s">
        <v>17105</v>
      </c>
      <c r="F624" s="2" t="s">
        <v>17106</v>
      </c>
      <c r="G624" s="2" t="s">
        <v>17107</v>
      </c>
    </row>
    <row r="625">
      <c r="A625" s="2" t="s">
        <v>3081</v>
      </c>
      <c r="B625" s="2" t="s">
        <v>3082</v>
      </c>
      <c r="C625" s="2" t="s">
        <v>17082</v>
      </c>
      <c r="D625" s="2" t="s">
        <v>17083</v>
      </c>
      <c r="E625" s="2" t="s">
        <v>17108</v>
      </c>
      <c r="F625" s="2" t="s">
        <v>17109</v>
      </c>
      <c r="G625" s="2" t="s">
        <v>17110</v>
      </c>
    </row>
    <row r="626">
      <c r="A626" s="2" t="s">
        <v>3081</v>
      </c>
      <c r="B626" s="2" t="s">
        <v>3082</v>
      </c>
      <c r="C626" s="2" t="s">
        <v>17082</v>
      </c>
      <c r="D626" s="2" t="s">
        <v>17083</v>
      </c>
      <c r="E626" s="2" t="s">
        <v>17111</v>
      </c>
      <c r="F626" s="2" t="s">
        <v>17112</v>
      </c>
      <c r="G626" s="2" t="s">
        <v>17113</v>
      </c>
    </row>
    <row r="627">
      <c r="A627" s="2" t="s">
        <v>3081</v>
      </c>
      <c r="B627" s="2" t="s">
        <v>3082</v>
      </c>
      <c r="C627" s="2" t="s">
        <v>17082</v>
      </c>
      <c r="D627" s="2" t="s">
        <v>17083</v>
      </c>
      <c r="E627" s="2" t="s">
        <v>17114</v>
      </c>
      <c r="F627" s="2" t="s">
        <v>17115</v>
      </c>
      <c r="G627" s="2" t="s">
        <v>17116</v>
      </c>
    </row>
    <row r="628">
      <c r="A628" s="2" t="s">
        <v>3081</v>
      </c>
      <c r="B628" s="2" t="s">
        <v>3082</v>
      </c>
      <c r="C628" s="2" t="s">
        <v>17082</v>
      </c>
      <c r="D628" s="2" t="s">
        <v>17083</v>
      </c>
      <c r="E628" s="2" t="s">
        <v>17117</v>
      </c>
      <c r="F628" s="2" t="s">
        <v>17118</v>
      </c>
      <c r="G628" s="2" t="s">
        <v>17119</v>
      </c>
    </row>
    <row r="629">
      <c r="A629" s="2" t="s">
        <v>3081</v>
      </c>
      <c r="B629" s="2" t="s">
        <v>3082</v>
      </c>
      <c r="C629" s="2" t="s">
        <v>17082</v>
      </c>
      <c r="D629" s="2" t="s">
        <v>17083</v>
      </c>
      <c r="E629" s="2" t="s">
        <v>17120</v>
      </c>
      <c r="F629" s="2" t="s">
        <v>17121</v>
      </c>
      <c r="G629" s="2" t="s">
        <v>17122</v>
      </c>
    </row>
    <row r="630">
      <c r="A630" s="2" t="s">
        <v>3081</v>
      </c>
      <c r="B630" s="2" t="s">
        <v>3082</v>
      </c>
      <c r="C630" s="2" t="s">
        <v>17082</v>
      </c>
      <c r="D630" s="2" t="s">
        <v>17083</v>
      </c>
      <c r="E630" s="2" t="s">
        <v>17123</v>
      </c>
      <c r="F630" s="2" t="s">
        <v>17124</v>
      </c>
      <c r="G630" s="2" t="s">
        <v>17125</v>
      </c>
    </row>
    <row r="631">
      <c r="A631" s="2" t="s">
        <v>3081</v>
      </c>
      <c r="B631" s="2" t="s">
        <v>3082</v>
      </c>
      <c r="C631" s="2" t="s">
        <v>17082</v>
      </c>
      <c r="D631" s="2" t="s">
        <v>17083</v>
      </c>
      <c r="E631" s="2" t="s">
        <v>17126</v>
      </c>
      <c r="F631" s="2" t="s">
        <v>17127</v>
      </c>
      <c r="G631" s="2" t="s">
        <v>17128</v>
      </c>
    </row>
    <row r="632">
      <c r="A632" s="2" t="s">
        <v>3081</v>
      </c>
      <c r="B632" s="2" t="s">
        <v>3082</v>
      </c>
      <c r="C632" s="2" t="s">
        <v>17082</v>
      </c>
      <c r="D632" s="2" t="s">
        <v>17083</v>
      </c>
      <c r="E632" s="2" t="s">
        <v>17129</v>
      </c>
      <c r="F632" s="2" t="s">
        <v>17130</v>
      </c>
      <c r="G632" s="2" t="s">
        <v>17131</v>
      </c>
    </row>
    <row r="633">
      <c r="A633" s="2"/>
      <c r="B633" s="2"/>
      <c r="C633" s="2" t="s">
        <v>17132</v>
      </c>
      <c r="D633" s="2" t="s">
        <v>17133</v>
      </c>
      <c r="E633" s="2" t="s">
        <v>17134</v>
      </c>
      <c r="F633" s="2" t="s">
        <v>17135</v>
      </c>
      <c r="G633" s="2" t="s">
        <v>17136</v>
      </c>
    </row>
    <row r="634">
      <c r="A634" s="2" t="s">
        <v>11751</v>
      </c>
      <c r="B634" s="2" t="s">
        <v>11752</v>
      </c>
      <c r="C634" s="2" t="s">
        <v>17137</v>
      </c>
      <c r="D634" s="2" t="s">
        <v>17138</v>
      </c>
      <c r="E634" s="2" t="s">
        <v>17139</v>
      </c>
      <c r="F634" s="2" t="s">
        <v>17140</v>
      </c>
      <c r="G634" s="2" t="s">
        <v>17141</v>
      </c>
    </row>
    <row r="635">
      <c r="A635" s="2" t="s">
        <v>11751</v>
      </c>
      <c r="B635" s="2" t="s">
        <v>11752</v>
      </c>
      <c r="C635" s="2" t="s">
        <v>17137</v>
      </c>
      <c r="D635" s="2" t="s">
        <v>17138</v>
      </c>
      <c r="E635" s="2" t="s">
        <v>17142</v>
      </c>
      <c r="F635" s="2" t="s">
        <v>17143</v>
      </c>
      <c r="G635" s="2" t="s">
        <v>17144</v>
      </c>
    </row>
    <row r="636">
      <c r="A636" s="2" t="s">
        <v>11751</v>
      </c>
      <c r="B636" s="2" t="s">
        <v>11752</v>
      </c>
      <c r="C636" s="2" t="s">
        <v>17137</v>
      </c>
      <c r="D636" s="2" t="s">
        <v>17138</v>
      </c>
      <c r="E636" s="2" t="s">
        <v>17145</v>
      </c>
      <c r="F636" s="2" t="s">
        <v>17146</v>
      </c>
      <c r="G636" s="2" t="s">
        <v>17147</v>
      </c>
    </row>
    <row r="637">
      <c r="A637" s="2" t="s">
        <v>7103</v>
      </c>
      <c r="B637" s="2" t="s">
        <v>7104</v>
      </c>
      <c r="C637" s="2" t="s">
        <v>17148</v>
      </c>
      <c r="D637" s="2" t="s">
        <v>17149</v>
      </c>
      <c r="E637" s="2" t="s">
        <v>17150</v>
      </c>
      <c r="F637" s="2" t="s">
        <v>17151</v>
      </c>
      <c r="G637" s="2" t="s">
        <v>17152</v>
      </c>
    </row>
    <row r="638">
      <c r="A638" s="2" t="s">
        <v>7103</v>
      </c>
      <c r="B638" s="2" t="s">
        <v>7104</v>
      </c>
      <c r="C638" s="2" t="s">
        <v>17148</v>
      </c>
      <c r="D638" s="2" t="s">
        <v>17149</v>
      </c>
      <c r="E638" s="2" t="s">
        <v>17153</v>
      </c>
      <c r="F638" s="2" t="s">
        <v>17154</v>
      </c>
      <c r="G638" s="2" t="s">
        <v>17155</v>
      </c>
    </row>
    <row r="639">
      <c r="A639" s="2" t="s">
        <v>7032</v>
      </c>
      <c r="B639" s="2" t="s">
        <v>7033</v>
      </c>
      <c r="C639" s="2" t="s">
        <v>17156</v>
      </c>
      <c r="D639" s="2" t="s">
        <v>17157</v>
      </c>
      <c r="E639" s="2" t="s">
        <v>17158</v>
      </c>
      <c r="F639" s="2" t="s">
        <v>17159</v>
      </c>
      <c r="G639" s="2" t="s">
        <v>17160</v>
      </c>
    </row>
    <row r="640">
      <c r="A640" s="2" t="s">
        <v>11794</v>
      </c>
      <c r="B640" s="2" t="s">
        <v>11795</v>
      </c>
      <c r="C640" s="2" t="s">
        <v>17161</v>
      </c>
      <c r="D640" s="2" t="s">
        <v>17162</v>
      </c>
      <c r="E640" s="2" t="s">
        <v>17163</v>
      </c>
      <c r="F640" s="2" t="s">
        <v>17164</v>
      </c>
      <c r="G640" s="2" t="s">
        <v>17165</v>
      </c>
    </row>
    <row r="641">
      <c r="A641" s="2" t="s">
        <v>6944</v>
      </c>
      <c r="B641" s="2" t="s">
        <v>6945</v>
      </c>
      <c r="C641" s="2" t="s">
        <v>17166</v>
      </c>
      <c r="D641" s="2" t="s">
        <v>17167</v>
      </c>
      <c r="E641" s="2" t="s">
        <v>17168</v>
      </c>
      <c r="F641" s="2" t="s">
        <v>17169</v>
      </c>
      <c r="G641" s="2" t="s">
        <v>17170</v>
      </c>
    </row>
    <row r="642">
      <c r="A642" s="2" t="s">
        <v>10144</v>
      </c>
      <c r="B642" s="2" t="s">
        <v>10145</v>
      </c>
      <c r="C642" s="2" t="s">
        <v>17171</v>
      </c>
      <c r="D642" s="2" t="s">
        <v>17172</v>
      </c>
      <c r="E642" s="2" t="s">
        <v>17173</v>
      </c>
      <c r="F642" s="2" t="s">
        <v>17174</v>
      </c>
      <c r="G642" s="2" t="s">
        <v>17175</v>
      </c>
    </row>
    <row r="643">
      <c r="A643" s="2"/>
      <c r="B643" s="2"/>
      <c r="C643" s="2" t="s">
        <v>17176</v>
      </c>
      <c r="D643" s="2" t="s">
        <v>17177</v>
      </c>
      <c r="E643" s="2" t="s">
        <v>17178</v>
      </c>
      <c r="F643" s="2" t="s">
        <v>17179</v>
      </c>
      <c r="G643" s="2" t="s">
        <v>17180</v>
      </c>
    </row>
    <row r="644">
      <c r="A644" s="2"/>
      <c r="B644" s="2"/>
      <c r="C644" s="2" t="s">
        <v>17181</v>
      </c>
      <c r="D644" s="2" t="s">
        <v>17182</v>
      </c>
      <c r="E644" s="2" t="s">
        <v>17183</v>
      </c>
      <c r="F644" s="2" t="s">
        <v>17184</v>
      </c>
      <c r="G644" s="2" t="s">
        <v>17185</v>
      </c>
    </row>
    <row r="645">
      <c r="A645" s="2" t="s">
        <v>8850</v>
      </c>
      <c r="B645" s="2" t="s">
        <v>8851</v>
      </c>
      <c r="C645" s="2" t="s">
        <v>17186</v>
      </c>
      <c r="D645" s="2" t="s">
        <v>17187</v>
      </c>
      <c r="E645" s="2" t="s">
        <v>17188</v>
      </c>
      <c r="F645" s="2" t="s">
        <v>17189</v>
      </c>
      <c r="G645" s="2" t="s">
        <v>17190</v>
      </c>
    </row>
    <row r="646">
      <c r="A646" s="2" t="s">
        <v>11554</v>
      </c>
      <c r="B646" s="2" t="s">
        <v>11555</v>
      </c>
      <c r="C646" s="2" t="s">
        <v>17191</v>
      </c>
      <c r="D646" s="2" t="s">
        <v>17192</v>
      </c>
      <c r="E646" s="2" t="s">
        <v>17193</v>
      </c>
      <c r="F646" s="2" t="s">
        <v>17194</v>
      </c>
      <c r="G646" s="2" t="s">
        <v>17195</v>
      </c>
    </row>
    <row r="647">
      <c r="A647" s="2" t="s">
        <v>13111</v>
      </c>
      <c r="B647" s="2" t="s">
        <v>13112</v>
      </c>
      <c r="C647" s="2" t="s">
        <v>17196</v>
      </c>
      <c r="D647" s="2" t="s">
        <v>17197</v>
      </c>
      <c r="E647" s="2" t="s">
        <v>17198</v>
      </c>
      <c r="F647" s="2" t="s">
        <v>17199</v>
      </c>
      <c r="G647" s="2" t="s">
        <v>17200</v>
      </c>
    </row>
    <row r="648">
      <c r="A648" s="2" t="s">
        <v>3353</v>
      </c>
      <c r="B648" s="2" t="s">
        <v>3354</v>
      </c>
      <c r="C648" s="2" t="s">
        <v>17201</v>
      </c>
      <c r="D648" s="2" t="s">
        <v>17202</v>
      </c>
      <c r="E648" s="2" t="s">
        <v>17203</v>
      </c>
      <c r="F648" s="2" t="s">
        <v>17204</v>
      </c>
      <c r="G648" s="2" t="s">
        <v>17205</v>
      </c>
    </row>
    <row r="649">
      <c r="A649" s="2" t="s">
        <v>3353</v>
      </c>
      <c r="B649" s="2" t="s">
        <v>3354</v>
      </c>
      <c r="C649" s="2" t="s">
        <v>17201</v>
      </c>
      <c r="D649" s="2" t="s">
        <v>17202</v>
      </c>
      <c r="E649" s="2" t="s">
        <v>17206</v>
      </c>
      <c r="F649" s="2" t="s">
        <v>17207</v>
      </c>
      <c r="G649" s="2" t="s">
        <v>17208</v>
      </c>
    </row>
    <row r="650">
      <c r="A650" s="2" t="s">
        <v>11935</v>
      </c>
      <c r="B650" s="2" t="s">
        <v>11936</v>
      </c>
      <c r="C650" s="2" t="s">
        <v>17209</v>
      </c>
      <c r="D650" s="2" t="s">
        <v>17210</v>
      </c>
      <c r="E650" s="2" t="s">
        <v>17211</v>
      </c>
      <c r="F650" s="2" t="s">
        <v>17212</v>
      </c>
      <c r="G650" s="2" t="s">
        <v>17213</v>
      </c>
    </row>
    <row r="651">
      <c r="A651" s="2" t="s">
        <v>14754</v>
      </c>
      <c r="B651" s="2" t="s">
        <v>14755</v>
      </c>
      <c r="C651" s="2" t="s">
        <v>17214</v>
      </c>
      <c r="D651" s="2" t="s">
        <v>17215</v>
      </c>
      <c r="E651" s="2" t="s">
        <v>17216</v>
      </c>
      <c r="F651" s="2" t="s">
        <v>17217</v>
      </c>
      <c r="G651" s="2" t="s">
        <v>17218</v>
      </c>
    </row>
    <row r="652">
      <c r="A652" s="2" t="s">
        <v>9873</v>
      </c>
      <c r="B652" s="2" t="s">
        <v>9874</v>
      </c>
      <c r="C652" s="2" t="s">
        <v>17219</v>
      </c>
      <c r="D652" s="2" t="s">
        <v>17220</v>
      </c>
      <c r="E652" s="2" t="s">
        <v>17221</v>
      </c>
      <c r="F652" s="2" t="s">
        <v>17222</v>
      </c>
      <c r="G652" s="2" t="s">
        <v>17223</v>
      </c>
    </row>
    <row r="653">
      <c r="A653" s="2" t="s">
        <v>6825</v>
      </c>
      <c r="B653" s="2" t="s">
        <v>6826</v>
      </c>
      <c r="C653" s="2" t="s">
        <v>17224</v>
      </c>
      <c r="D653" s="2" t="s">
        <v>17225</v>
      </c>
      <c r="E653" s="2" t="s">
        <v>17226</v>
      </c>
      <c r="F653" s="2" t="s">
        <v>17227</v>
      </c>
      <c r="G653" s="2" t="s">
        <v>17228</v>
      </c>
    </row>
    <row r="654">
      <c r="A654" s="2" t="s">
        <v>6825</v>
      </c>
      <c r="B654" s="2" t="s">
        <v>6826</v>
      </c>
      <c r="C654" s="2" t="s">
        <v>17224</v>
      </c>
      <c r="D654" s="2" t="s">
        <v>17225</v>
      </c>
      <c r="E654" s="2" t="s">
        <v>17229</v>
      </c>
      <c r="F654" s="2" t="s">
        <v>17230</v>
      </c>
      <c r="G654" s="2" t="s">
        <v>17228</v>
      </c>
    </row>
    <row r="655">
      <c r="A655" s="2" t="s">
        <v>6825</v>
      </c>
      <c r="B655" s="2" t="s">
        <v>6826</v>
      </c>
      <c r="C655" s="2" t="s">
        <v>17224</v>
      </c>
      <c r="D655" s="2" t="s">
        <v>17225</v>
      </c>
      <c r="E655" s="2" t="s">
        <v>17231</v>
      </c>
      <c r="F655" s="2" t="s">
        <v>17232</v>
      </c>
      <c r="G655" s="2" t="s">
        <v>17228</v>
      </c>
    </row>
    <row r="656">
      <c r="A656" s="2" t="s">
        <v>6825</v>
      </c>
      <c r="B656" s="2" t="s">
        <v>6826</v>
      </c>
      <c r="C656" s="2" t="s">
        <v>17224</v>
      </c>
      <c r="D656" s="2" t="s">
        <v>17225</v>
      </c>
      <c r="E656" s="2" t="s">
        <v>17233</v>
      </c>
      <c r="F656" s="2" t="s">
        <v>17234</v>
      </c>
      <c r="G656" s="2" t="s">
        <v>17228</v>
      </c>
    </row>
    <row r="657">
      <c r="A657" s="2" t="s">
        <v>6825</v>
      </c>
      <c r="B657" s="2" t="s">
        <v>6826</v>
      </c>
      <c r="C657" s="2" t="s">
        <v>17224</v>
      </c>
      <c r="D657" s="2" t="s">
        <v>17225</v>
      </c>
      <c r="E657" s="2" t="s">
        <v>17235</v>
      </c>
      <c r="F657" s="2" t="s">
        <v>17236</v>
      </c>
      <c r="G657" s="2" t="s">
        <v>17228</v>
      </c>
    </row>
    <row r="658">
      <c r="A658" s="2" t="s">
        <v>6825</v>
      </c>
      <c r="B658" s="2" t="s">
        <v>6826</v>
      </c>
      <c r="C658" s="2" t="s">
        <v>17224</v>
      </c>
      <c r="D658" s="2" t="s">
        <v>17225</v>
      </c>
      <c r="E658" s="2" t="s">
        <v>17237</v>
      </c>
      <c r="F658" s="2" t="s">
        <v>17238</v>
      </c>
      <c r="G658" s="2" t="s">
        <v>17239</v>
      </c>
    </row>
    <row r="659">
      <c r="A659" s="2" t="s">
        <v>6892</v>
      </c>
      <c r="B659" s="2" t="s">
        <v>6893</v>
      </c>
      <c r="C659" s="2" t="s">
        <v>17240</v>
      </c>
      <c r="D659" s="2" t="s">
        <v>17241</v>
      </c>
      <c r="E659" s="2" t="s">
        <v>17242</v>
      </c>
      <c r="F659" s="2" t="s">
        <v>17243</v>
      </c>
      <c r="G659" s="2" t="s">
        <v>17244</v>
      </c>
    </row>
    <row r="660">
      <c r="A660" s="2" t="s">
        <v>7423</v>
      </c>
      <c r="B660" s="2" t="s">
        <v>7424</v>
      </c>
      <c r="C660" s="2" t="s">
        <v>17245</v>
      </c>
      <c r="D660" s="2" t="s">
        <v>17246</v>
      </c>
      <c r="E660" s="2" t="s">
        <v>17247</v>
      </c>
      <c r="F660" s="2" t="s">
        <v>17248</v>
      </c>
      <c r="G660" s="2" t="s">
        <v>17249</v>
      </c>
    </row>
    <row r="661">
      <c r="A661" s="2" t="s">
        <v>7099</v>
      </c>
      <c r="B661" s="2" t="s">
        <v>7100</v>
      </c>
      <c r="C661" s="2" t="s">
        <v>17250</v>
      </c>
      <c r="D661" s="2" t="s">
        <v>17251</v>
      </c>
      <c r="E661" s="2" t="s">
        <v>17252</v>
      </c>
      <c r="F661" s="2" t="s">
        <v>17253</v>
      </c>
      <c r="G661" s="2" t="s">
        <v>17218</v>
      </c>
    </row>
    <row r="662">
      <c r="A662" s="2" t="s">
        <v>7099</v>
      </c>
      <c r="B662" s="2" t="s">
        <v>7100</v>
      </c>
      <c r="C662" s="2" t="s">
        <v>17250</v>
      </c>
      <c r="D662" s="2" t="s">
        <v>17251</v>
      </c>
      <c r="E662" s="2" t="s">
        <v>17254</v>
      </c>
      <c r="F662" s="2" t="s">
        <v>17255</v>
      </c>
      <c r="G662" s="2" t="s">
        <v>17218</v>
      </c>
    </row>
    <row r="663">
      <c r="A663" s="2" t="s">
        <v>7099</v>
      </c>
      <c r="B663" s="2" t="s">
        <v>7100</v>
      </c>
      <c r="C663" s="2" t="s">
        <v>17250</v>
      </c>
      <c r="D663" s="2" t="s">
        <v>17251</v>
      </c>
      <c r="E663" s="2" t="s">
        <v>17256</v>
      </c>
      <c r="F663" s="2" t="s">
        <v>17257</v>
      </c>
      <c r="G663" s="2" t="s">
        <v>17218</v>
      </c>
    </row>
    <row r="664">
      <c r="A664" s="2" t="s">
        <v>7099</v>
      </c>
      <c r="B664" s="2" t="s">
        <v>7100</v>
      </c>
      <c r="C664" s="2" t="s">
        <v>17250</v>
      </c>
      <c r="D664" s="2" t="s">
        <v>17251</v>
      </c>
      <c r="E664" s="2" t="s">
        <v>17258</v>
      </c>
      <c r="F664" s="2" t="s">
        <v>17259</v>
      </c>
      <c r="G664" s="2" t="s">
        <v>17218</v>
      </c>
    </row>
    <row r="665">
      <c r="A665" s="2" t="s">
        <v>7099</v>
      </c>
      <c r="B665" s="2" t="s">
        <v>7100</v>
      </c>
      <c r="C665" s="2" t="s">
        <v>17250</v>
      </c>
      <c r="D665" s="2" t="s">
        <v>17251</v>
      </c>
      <c r="E665" s="2" t="s">
        <v>17216</v>
      </c>
      <c r="F665" s="2" t="s">
        <v>17217</v>
      </c>
      <c r="G665" s="2" t="s">
        <v>17218</v>
      </c>
    </row>
    <row r="666">
      <c r="A666" s="2" t="s">
        <v>7099</v>
      </c>
      <c r="B666" s="2" t="s">
        <v>7100</v>
      </c>
      <c r="C666" s="2" t="s">
        <v>17250</v>
      </c>
      <c r="D666" s="2" t="s">
        <v>17251</v>
      </c>
      <c r="E666" s="2" t="s">
        <v>17260</v>
      </c>
      <c r="F666" s="2" t="s">
        <v>17261</v>
      </c>
      <c r="G666" s="2" t="s">
        <v>17262</v>
      </c>
    </row>
    <row r="667">
      <c r="A667" s="2" t="s">
        <v>3008</v>
      </c>
      <c r="B667" s="2" t="s">
        <v>3009</v>
      </c>
      <c r="C667" s="2" t="s">
        <v>17263</v>
      </c>
      <c r="D667" s="2" t="s">
        <v>17264</v>
      </c>
      <c r="E667" s="2" t="s">
        <v>17265</v>
      </c>
      <c r="F667" s="2" t="s">
        <v>17266</v>
      </c>
      <c r="G667" s="2" t="s">
        <v>17267</v>
      </c>
    </row>
    <row r="668">
      <c r="A668" s="2" t="s">
        <v>3008</v>
      </c>
      <c r="B668" s="2" t="s">
        <v>3009</v>
      </c>
      <c r="C668" s="2" t="s">
        <v>17263</v>
      </c>
      <c r="D668" s="2" t="s">
        <v>17264</v>
      </c>
      <c r="E668" s="2" t="s">
        <v>17268</v>
      </c>
      <c r="F668" s="2" t="s">
        <v>17269</v>
      </c>
      <c r="G668" s="2" t="s">
        <v>17270</v>
      </c>
    </row>
    <row r="669">
      <c r="A669" s="2" t="s">
        <v>3008</v>
      </c>
      <c r="B669" s="2" t="s">
        <v>3009</v>
      </c>
      <c r="C669" s="2" t="s">
        <v>17263</v>
      </c>
      <c r="D669" s="2" t="s">
        <v>17264</v>
      </c>
      <c r="E669" s="2" t="s">
        <v>17271</v>
      </c>
      <c r="F669" s="2" t="s">
        <v>17272</v>
      </c>
      <c r="G669" s="2" t="s">
        <v>17273</v>
      </c>
    </row>
    <row r="670">
      <c r="A670" s="2" t="s">
        <v>3008</v>
      </c>
      <c r="B670" s="2" t="s">
        <v>3009</v>
      </c>
      <c r="C670" s="2" t="s">
        <v>17263</v>
      </c>
      <c r="D670" s="2" t="s">
        <v>17264</v>
      </c>
      <c r="E670" s="2" t="s">
        <v>17274</v>
      </c>
      <c r="F670" s="2" t="s">
        <v>17275</v>
      </c>
      <c r="G670" s="2" t="s">
        <v>17267</v>
      </c>
    </row>
    <row r="671">
      <c r="A671" s="2" t="s">
        <v>9129</v>
      </c>
      <c r="B671" s="2" t="s">
        <v>9130</v>
      </c>
      <c r="C671" s="2" t="s">
        <v>17276</v>
      </c>
      <c r="D671" s="2" t="s">
        <v>17277</v>
      </c>
      <c r="E671" s="2" t="s">
        <v>17278</v>
      </c>
      <c r="F671" s="2" t="s">
        <v>17279</v>
      </c>
      <c r="G671" s="2" t="s">
        <v>17280</v>
      </c>
    </row>
    <row r="672">
      <c r="A672" s="2" t="s">
        <v>11990</v>
      </c>
      <c r="B672" s="2" t="s">
        <v>11991</v>
      </c>
      <c r="C672" s="2" t="s">
        <v>17281</v>
      </c>
      <c r="D672" s="2" t="s">
        <v>17282</v>
      </c>
      <c r="E672" s="2" t="s">
        <v>17283</v>
      </c>
      <c r="F672" s="2" t="s">
        <v>17284</v>
      </c>
      <c r="G672" s="2" t="s">
        <v>17285</v>
      </c>
    </row>
    <row r="673">
      <c r="A673" s="2" t="s">
        <v>11990</v>
      </c>
      <c r="B673" s="2" t="s">
        <v>11991</v>
      </c>
      <c r="C673" s="2" t="s">
        <v>17281</v>
      </c>
      <c r="D673" s="2" t="s">
        <v>17282</v>
      </c>
      <c r="E673" s="2" t="s">
        <v>17286</v>
      </c>
      <c r="F673" s="2" t="s">
        <v>17284</v>
      </c>
      <c r="G673" s="2" t="s">
        <v>17287</v>
      </c>
    </row>
    <row r="674">
      <c r="A674" s="2" t="s">
        <v>11990</v>
      </c>
      <c r="B674" s="2" t="s">
        <v>11991</v>
      </c>
      <c r="C674" s="2" t="s">
        <v>17281</v>
      </c>
      <c r="D674" s="2" t="s">
        <v>17282</v>
      </c>
      <c r="E674" s="2" t="s">
        <v>17288</v>
      </c>
      <c r="F674" s="2" t="s">
        <v>17284</v>
      </c>
      <c r="G674" s="2" t="s">
        <v>17289</v>
      </c>
    </row>
    <row r="675">
      <c r="A675" s="2" t="s">
        <v>11990</v>
      </c>
      <c r="B675" s="2" t="s">
        <v>11991</v>
      </c>
      <c r="C675" s="2" t="s">
        <v>17281</v>
      </c>
      <c r="D675" s="2" t="s">
        <v>17282</v>
      </c>
      <c r="E675" s="2" t="s">
        <v>17290</v>
      </c>
      <c r="F675" s="2" t="s">
        <v>17284</v>
      </c>
      <c r="G675" s="2" t="s">
        <v>17291</v>
      </c>
    </row>
    <row r="676">
      <c r="A676" s="2" t="s">
        <v>11990</v>
      </c>
      <c r="B676" s="2" t="s">
        <v>11991</v>
      </c>
      <c r="C676" s="2" t="s">
        <v>17281</v>
      </c>
      <c r="D676" s="2" t="s">
        <v>17282</v>
      </c>
      <c r="E676" s="2" t="s">
        <v>17292</v>
      </c>
      <c r="F676" s="2" t="s">
        <v>17284</v>
      </c>
      <c r="G676" s="2" t="s">
        <v>17293</v>
      </c>
    </row>
    <row r="677">
      <c r="A677" s="2" t="s">
        <v>6624</v>
      </c>
      <c r="B677" s="2" t="s">
        <v>6625</v>
      </c>
      <c r="C677" s="2" t="s">
        <v>17294</v>
      </c>
      <c r="D677" s="2" t="s">
        <v>17295</v>
      </c>
      <c r="E677" s="2" t="s">
        <v>17296</v>
      </c>
      <c r="F677" s="2" t="s">
        <v>17297</v>
      </c>
      <c r="G677" s="2" t="s">
        <v>17298</v>
      </c>
    </row>
    <row r="678">
      <c r="A678" s="2" t="s">
        <v>7662</v>
      </c>
      <c r="B678" s="2" t="s">
        <v>7663</v>
      </c>
      <c r="C678" s="2" t="s">
        <v>17299</v>
      </c>
      <c r="D678" s="2" t="s">
        <v>17300</v>
      </c>
      <c r="E678" s="2" t="s">
        <v>17301</v>
      </c>
      <c r="F678" s="2" t="s">
        <v>17302</v>
      </c>
      <c r="G678" s="2" t="s">
        <v>17303</v>
      </c>
    </row>
    <row r="679">
      <c r="A679" s="2" t="s">
        <v>8745</v>
      </c>
      <c r="B679" s="2" t="s">
        <v>8746</v>
      </c>
      <c r="C679" s="2" t="s">
        <v>17304</v>
      </c>
      <c r="D679" s="2" t="s">
        <v>17305</v>
      </c>
      <c r="E679" s="2" t="s">
        <v>17306</v>
      </c>
      <c r="F679" s="2" t="s">
        <v>17307</v>
      </c>
      <c r="G679" s="2" t="s">
        <v>17308</v>
      </c>
    </row>
    <row r="680">
      <c r="A680" s="2" t="s">
        <v>11605</v>
      </c>
      <c r="B680" s="2" t="s">
        <v>11606</v>
      </c>
      <c r="C680" s="2" t="s">
        <v>17309</v>
      </c>
      <c r="D680" s="2" t="s">
        <v>17310</v>
      </c>
      <c r="E680" s="2" t="s">
        <v>17311</v>
      </c>
      <c r="F680" s="2" t="s">
        <v>17312</v>
      </c>
      <c r="G680" s="2" t="s">
        <v>17313</v>
      </c>
    </row>
    <row r="681">
      <c r="A681" s="2" t="s">
        <v>11605</v>
      </c>
      <c r="B681" s="2" t="s">
        <v>11606</v>
      </c>
      <c r="C681" s="2" t="s">
        <v>17309</v>
      </c>
      <c r="D681" s="2" t="s">
        <v>17310</v>
      </c>
      <c r="E681" s="2" t="s">
        <v>17314</v>
      </c>
      <c r="F681" s="2" t="s">
        <v>17315</v>
      </c>
      <c r="G681" s="2" t="s">
        <v>17316</v>
      </c>
    </row>
    <row r="682">
      <c r="A682" s="2" t="s">
        <v>12063</v>
      </c>
      <c r="B682" s="2" t="s">
        <v>12064</v>
      </c>
      <c r="C682" s="2" t="s">
        <v>17317</v>
      </c>
      <c r="D682" s="2" t="s">
        <v>17318</v>
      </c>
      <c r="E682" s="2" t="s">
        <v>17319</v>
      </c>
      <c r="F682" s="2" t="s">
        <v>17320</v>
      </c>
      <c r="G682" s="2" t="s">
        <v>17321</v>
      </c>
    </row>
    <row r="683">
      <c r="A683" s="2" t="s">
        <v>6428</v>
      </c>
      <c r="B683" s="2" t="s">
        <v>6429</v>
      </c>
      <c r="C683" s="2" t="s">
        <v>17322</v>
      </c>
      <c r="D683" s="2" t="s">
        <v>17323</v>
      </c>
      <c r="E683" s="2" t="s">
        <v>17324</v>
      </c>
      <c r="F683" s="2" t="s">
        <v>17325</v>
      </c>
      <c r="G683" s="2" t="s">
        <v>17326</v>
      </c>
    </row>
    <row r="684">
      <c r="A684" s="2" t="s">
        <v>3372</v>
      </c>
      <c r="B684" s="2" t="s">
        <v>3373</v>
      </c>
      <c r="C684" s="2" t="s">
        <v>17327</v>
      </c>
      <c r="D684" s="2" t="s">
        <v>17328</v>
      </c>
      <c r="E684" s="2" t="s">
        <v>17329</v>
      </c>
      <c r="F684" s="2" t="s">
        <v>17330</v>
      </c>
      <c r="G684" s="2" t="s">
        <v>17331</v>
      </c>
    </row>
    <row r="685">
      <c r="A685" s="2" t="s">
        <v>13735</v>
      </c>
      <c r="B685" s="2" t="s">
        <v>13736</v>
      </c>
      <c r="C685" s="2" t="s">
        <v>17332</v>
      </c>
      <c r="D685" s="2" t="s">
        <v>17333</v>
      </c>
      <c r="E685" s="2" t="s">
        <v>17334</v>
      </c>
      <c r="F685" s="2" t="s">
        <v>17335</v>
      </c>
      <c r="G685" s="2" t="s">
        <v>17336</v>
      </c>
    </row>
    <row r="686">
      <c r="A686" s="2" t="s">
        <v>5193</v>
      </c>
      <c r="B686" s="2" t="s">
        <v>5194</v>
      </c>
      <c r="C686" s="2" t="s">
        <v>17337</v>
      </c>
      <c r="D686" s="2" t="s">
        <v>17338</v>
      </c>
      <c r="E686" s="2" t="s">
        <v>17339</v>
      </c>
      <c r="F686" s="2" t="s">
        <v>17340</v>
      </c>
      <c r="G686" s="2" t="s">
        <v>17341</v>
      </c>
    </row>
    <row r="687">
      <c r="A687" s="2" t="s">
        <v>10175</v>
      </c>
      <c r="B687" s="2" t="s">
        <v>10176</v>
      </c>
      <c r="C687" s="2" t="s">
        <v>17342</v>
      </c>
      <c r="D687" s="2" t="s">
        <v>17343</v>
      </c>
      <c r="E687" s="2" t="s">
        <v>17344</v>
      </c>
      <c r="F687" s="2" t="s">
        <v>17345</v>
      </c>
      <c r="G687" s="2" t="s">
        <v>17346</v>
      </c>
    </row>
    <row r="688">
      <c r="A688" s="2" t="s">
        <v>9421</v>
      </c>
      <c r="B688" s="2" t="s">
        <v>9422</v>
      </c>
      <c r="C688" s="2" t="s">
        <v>17347</v>
      </c>
      <c r="D688" s="2" t="s">
        <v>17348</v>
      </c>
      <c r="E688" s="2" t="s">
        <v>17349</v>
      </c>
      <c r="F688" s="2" t="s">
        <v>17350</v>
      </c>
      <c r="G688" s="2" t="s">
        <v>17351</v>
      </c>
    </row>
    <row r="689">
      <c r="A689" s="2" t="s">
        <v>9421</v>
      </c>
      <c r="B689" s="2" t="s">
        <v>9422</v>
      </c>
      <c r="C689" s="2" t="s">
        <v>17347</v>
      </c>
      <c r="D689" s="2" t="s">
        <v>17348</v>
      </c>
      <c r="E689" s="2" t="s">
        <v>17352</v>
      </c>
      <c r="F689" s="2" t="s">
        <v>17353</v>
      </c>
      <c r="G689" s="2" t="s">
        <v>17354</v>
      </c>
    </row>
    <row r="690">
      <c r="A690" s="2" t="s">
        <v>11008</v>
      </c>
      <c r="B690" s="2" t="s">
        <v>11009</v>
      </c>
      <c r="C690" s="2" t="s">
        <v>17355</v>
      </c>
      <c r="D690" s="2" t="s">
        <v>17356</v>
      </c>
      <c r="E690" s="2" t="s">
        <v>17357</v>
      </c>
      <c r="F690" s="2" t="s">
        <v>17358</v>
      </c>
      <c r="G690" s="2" t="s">
        <v>17359</v>
      </c>
    </row>
    <row r="691">
      <c r="A691" s="2" t="s">
        <v>8584</v>
      </c>
      <c r="B691" s="2" t="s">
        <v>8585</v>
      </c>
      <c r="C691" s="2" t="s">
        <v>17360</v>
      </c>
      <c r="D691" s="2" t="s">
        <v>17361</v>
      </c>
      <c r="E691" s="2" t="s">
        <v>17362</v>
      </c>
      <c r="F691" s="2" t="s">
        <v>17363</v>
      </c>
      <c r="G691" s="2" t="s">
        <v>17364</v>
      </c>
    </row>
    <row r="692">
      <c r="A692" s="2" t="s">
        <v>8584</v>
      </c>
      <c r="B692" s="2" t="s">
        <v>8585</v>
      </c>
      <c r="C692" s="2" t="s">
        <v>17360</v>
      </c>
      <c r="D692" s="2" t="s">
        <v>17361</v>
      </c>
      <c r="E692" s="2" t="s">
        <v>17365</v>
      </c>
      <c r="F692" s="2" t="s">
        <v>17366</v>
      </c>
      <c r="G692" s="2" t="s">
        <v>17367</v>
      </c>
    </row>
    <row r="693">
      <c r="A693" s="2" t="s">
        <v>8584</v>
      </c>
      <c r="B693" s="2" t="s">
        <v>8585</v>
      </c>
      <c r="C693" s="2" t="s">
        <v>17360</v>
      </c>
      <c r="D693" s="2" t="s">
        <v>17361</v>
      </c>
      <c r="E693" s="2" t="s">
        <v>17368</v>
      </c>
      <c r="F693" s="2" t="s">
        <v>17369</v>
      </c>
      <c r="G693" s="2" t="s">
        <v>17370</v>
      </c>
    </row>
    <row r="694">
      <c r="A694" s="2" t="s">
        <v>8610</v>
      </c>
      <c r="B694" s="2" t="s">
        <v>8611</v>
      </c>
      <c r="C694" s="2" t="s">
        <v>17371</v>
      </c>
      <c r="D694" s="2" t="s">
        <v>17372</v>
      </c>
      <c r="E694" s="2" t="s">
        <v>17373</v>
      </c>
      <c r="F694" s="2" t="s">
        <v>17374</v>
      </c>
      <c r="G694" s="2" t="s">
        <v>17375</v>
      </c>
    </row>
    <row r="695">
      <c r="A695" s="2" t="s">
        <v>8610</v>
      </c>
      <c r="B695" s="2" t="s">
        <v>8611</v>
      </c>
      <c r="C695" s="2" t="s">
        <v>17371</v>
      </c>
      <c r="D695" s="2" t="s">
        <v>17372</v>
      </c>
      <c r="E695" s="2" t="s">
        <v>17376</v>
      </c>
      <c r="F695" s="2" t="s">
        <v>17377</v>
      </c>
      <c r="G695" s="2" t="s">
        <v>17378</v>
      </c>
    </row>
    <row r="696">
      <c r="A696" s="2" t="s">
        <v>8610</v>
      </c>
      <c r="B696" s="2" t="s">
        <v>8611</v>
      </c>
      <c r="C696" s="2" t="s">
        <v>17371</v>
      </c>
      <c r="D696" s="2" t="s">
        <v>17372</v>
      </c>
      <c r="E696" s="2" t="s">
        <v>17379</v>
      </c>
      <c r="F696" s="2" t="s">
        <v>17380</v>
      </c>
      <c r="G696" s="2" t="s">
        <v>17381</v>
      </c>
    </row>
    <row r="697">
      <c r="A697" s="2" t="s">
        <v>1017</v>
      </c>
      <c r="B697" s="2" t="s">
        <v>1018</v>
      </c>
      <c r="C697" s="2" t="s">
        <v>17382</v>
      </c>
      <c r="D697" s="2" t="s">
        <v>17383</v>
      </c>
      <c r="E697" s="2" t="s">
        <v>17384</v>
      </c>
      <c r="F697" s="2" t="s">
        <v>17385</v>
      </c>
      <c r="G697" s="2" t="s">
        <v>17386</v>
      </c>
    </row>
    <row r="698">
      <c r="A698" s="2" t="s">
        <v>1017</v>
      </c>
      <c r="B698" s="2" t="s">
        <v>1018</v>
      </c>
      <c r="C698" s="2" t="s">
        <v>17382</v>
      </c>
      <c r="D698" s="2" t="s">
        <v>17383</v>
      </c>
      <c r="E698" s="2" t="s">
        <v>17387</v>
      </c>
      <c r="F698" s="2" t="s">
        <v>17388</v>
      </c>
      <c r="G698" s="2" t="s">
        <v>17389</v>
      </c>
    </row>
    <row r="699">
      <c r="A699" s="2" t="s">
        <v>1017</v>
      </c>
      <c r="B699" s="2" t="s">
        <v>1018</v>
      </c>
      <c r="C699" s="2" t="s">
        <v>17382</v>
      </c>
      <c r="D699" s="2" t="s">
        <v>17383</v>
      </c>
      <c r="E699" s="2" t="s">
        <v>17390</v>
      </c>
      <c r="F699" s="2" t="s">
        <v>17391</v>
      </c>
      <c r="G699" s="2" t="s">
        <v>17392</v>
      </c>
    </row>
    <row r="700">
      <c r="A700" s="2" t="s">
        <v>1017</v>
      </c>
      <c r="B700" s="2" t="s">
        <v>1018</v>
      </c>
      <c r="C700" s="2" t="s">
        <v>17382</v>
      </c>
      <c r="D700" s="2" t="s">
        <v>17383</v>
      </c>
      <c r="E700" s="2" t="s">
        <v>17393</v>
      </c>
      <c r="F700" s="2" t="s">
        <v>17394</v>
      </c>
      <c r="G700" s="2" t="s">
        <v>17395</v>
      </c>
    </row>
    <row r="701">
      <c r="A701" s="2" t="s">
        <v>12095</v>
      </c>
      <c r="B701" s="2" t="s">
        <v>12096</v>
      </c>
      <c r="C701" s="2" t="s">
        <v>17396</v>
      </c>
      <c r="D701" s="2" t="s">
        <v>17397</v>
      </c>
      <c r="E701" s="2" t="s">
        <v>17398</v>
      </c>
      <c r="F701" s="2" t="s">
        <v>17399</v>
      </c>
      <c r="G701" s="2" t="s">
        <v>17400</v>
      </c>
    </row>
    <row r="702">
      <c r="A702" s="2" t="s">
        <v>12095</v>
      </c>
      <c r="B702" s="2" t="s">
        <v>12096</v>
      </c>
      <c r="C702" s="2" t="s">
        <v>17396</v>
      </c>
      <c r="D702" s="2" t="s">
        <v>17397</v>
      </c>
      <c r="E702" s="2" t="s">
        <v>17401</v>
      </c>
      <c r="F702" s="2" t="s">
        <v>17399</v>
      </c>
      <c r="G702" s="2" t="s">
        <v>17402</v>
      </c>
    </row>
    <row r="703">
      <c r="A703" s="2" t="s">
        <v>12095</v>
      </c>
      <c r="B703" s="2" t="s">
        <v>12096</v>
      </c>
      <c r="C703" s="2" t="s">
        <v>17396</v>
      </c>
      <c r="D703" s="2" t="s">
        <v>17397</v>
      </c>
      <c r="E703" s="2" t="s">
        <v>17403</v>
      </c>
      <c r="F703" s="2" t="s">
        <v>17404</v>
      </c>
      <c r="G703" s="2" t="s">
        <v>17405</v>
      </c>
    </row>
    <row r="704">
      <c r="A704" s="2" t="s">
        <v>8225</v>
      </c>
      <c r="B704" s="2" t="s">
        <v>8226</v>
      </c>
      <c r="C704" s="2" t="s">
        <v>17406</v>
      </c>
      <c r="D704" s="2" t="s">
        <v>17407</v>
      </c>
      <c r="E704" s="2" t="s">
        <v>17408</v>
      </c>
      <c r="F704" s="2" t="s">
        <v>17409</v>
      </c>
      <c r="G704" s="2" t="s">
        <v>17410</v>
      </c>
    </row>
    <row r="705">
      <c r="A705" s="2" t="s">
        <v>8225</v>
      </c>
      <c r="B705" s="2" t="s">
        <v>8226</v>
      </c>
      <c r="C705" s="2" t="s">
        <v>17406</v>
      </c>
      <c r="D705" s="2" t="s">
        <v>17407</v>
      </c>
      <c r="E705" s="2" t="s">
        <v>17411</v>
      </c>
      <c r="F705" s="2" t="s">
        <v>17412</v>
      </c>
      <c r="G705" s="2" t="s">
        <v>17413</v>
      </c>
    </row>
    <row r="706">
      <c r="A706" s="2" t="s">
        <v>8225</v>
      </c>
      <c r="B706" s="2" t="s">
        <v>8226</v>
      </c>
      <c r="C706" s="2" t="s">
        <v>17406</v>
      </c>
      <c r="D706" s="2" t="s">
        <v>17407</v>
      </c>
      <c r="E706" s="2" t="s">
        <v>17414</v>
      </c>
      <c r="F706" s="2" t="s">
        <v>17415</v>
      </c>
      <c r="G706" s="2" t="s">
        <v>17416</v>
      </c>
    </row>
    <row r="707">
      <c r="A707" s="2" t="s">
        <v>8225</v>
      </c>
      <c r="B707" s="2" t="s">
        <v>8226</v>
      </c>
      <c r="C707" s="2" t="s">
        <v>17406</v>
      </c>
      <c r="D707" s="2" t="s">
        <v>17407</v>
      </c>
      <c r="E707" s="2" t="s">
        <v>17417</v>
      </c>
      <c r="F707" s="2" t="s">
        <v>17418</v>
      </c>
      <c r="G707" s="2" t="s">
        <v>17419</v>
      </c>
    </row>
    <row r="708">
      <c r="A708" s="2" t="s">
        <v>8225</v>
      </c>
      <c r="B708" s="2" t="s">
        <v>8226</v>
      </c>
      <c r="C708" s="2" t="s">
        <v>17406</v>
      </c>
      <c r="D708" s="2" t="s">
        <v>17407</v>
      </c>
      <c r="E708" s="2" t="s">
        <v>17420</v>
      </c>
      <c r="F708" s="2" t="s">
        <v>17421</v>
      </c>
      <c r="G708" s="2" t="s">
        <v>17422</v>
      </c>
    </row>
    <row r="709">
      <c r="A709" s="2" t="s">
        <v>8225</v>
      </c>
      <c r="B709" s="2" t="s">
        <v>8226</v>
      </c>
      <c r="C709" s="2" t="s">
        <v>17406</v>
      </c>
      <c r="D709" s="2" t="s">
        <v>17407</v>
      </c>
      <c r="E709" s="2" t="s">
        <v>17423</v>
      </c>
      <c r="F709" s="2" t="s">
        <v>17424</v>
      </c>
      <c r="G709" s="2" t="s">
        <v>17425</v>
      </c>
    </row>
    <row r="710">
      <c r="A710" s="2" t="s">
        <v>8225</v>
      </c>
      <c r="B710" s="2" t="s">
        <v>8226</v>
      </c>
      <c r="C710" s="2" t="s">
        <v>17406</v>
      </c>
      <c r="D710" s="2" t="s">
        <v>17407</v>
      </c>
      <c r="E710" s="2" t="s">
        <v>17426</v>
      </c>
      <c r="F710" s="2" t="s">
        <v>17427</v>
      </c>
      <c r="G710" s="2" t="s">
        <v>17428</v>
      </c>
    </row>
    <row r="711">
      <c r="A711" s="2" t="s">
        <v>8225</v>
      </c>
      <c r="B711" s="2" t="s">
        <v>8226</v>
      </c>
      <c r="C711" s="2" t="s">
        <v>17406</v>
      </c>
      <c r="D711" s="2" t="s">
        <v>17407</v>
      </c>
      <c r="E711" s="2" t="s">
        <v>17429</v>
      </c>
      <c r="F711" s="2" t="s">
        <v>17430</v>
      </c>
      <c r="G711" s="2" t="s">
        <v>17431</v>
      </c>
    </row>
    <row r="712">
      <c r="A712" s="2" t="s">
        <v>8225</v>
      </c>
      <c r="B712" s="2" t="s">
        <v>8226</v>
      </c>
      <c r="C712" s="2" t="s">
        <v>17406</v>
      </c>
      <c r="D712" s="2" t="s">
        <v>17407</v>
      </c>
      <c r="E712" s="2" t="s">
        <v>17432</v>
      </c>
      <c r="F712" s="2" t="s">
        <v>17433</v>
      </c>
      <c r="G712" s="2" t="s">
        <v>17434</v>
      </c>
    </row>
    <row r="713">
      <c r="A713" s="2"/>
      <c r="B713" s="2"/>
      <c r="C713" s="2" t="s">
        <v>17435</v>
      </c>
      <c r="D713" s="2" t="s">
        <v>17436</v>
      </c>
      <c r="E713" s="2" t="s">
        <v>17437</v>
      </c>
      <c r="F713" s="2" t="s">
        <v>17438</v>
      </c>
      <c r="G713" s="2" t="s">
        <v>17439</v>
      </c>
    </row>
    <row r="714">
      <c r="A714" s="2" t="s">
        <v>7028</v>
      </c>
      <c r="B714" s="2" t="s">
        <v>7029</v>
      </c>
      <c r="C714" s="2" t="s">
        <v>17440</v>
      </c>
      <c r="D714" s="2" t="s">
        <v>17441</v>
      </c>
      <c r="E714" s="2" t="s">
        <v>17442</v>
      </c>
      <c r="F714" s="2" t="s">
        <v>17443</v>
      </c>
      <c r="G714" s="2" t="s">
        <v>17444</v>
      </c>
    </row>
    <row r="715">
      <c r="A715" s="2" t="s">
        <v>10148</v>
      </c>
      <c r="B715" s="2" t="s">
        <v>10149</v>
      </c>
      <c r="C715" s="2" t="s">
        <v>17445</v>
      </c>
      <c r="D715" s="2" t="s">
        <v>17446</v>
      </c>
      <c r="E715" s="2" t="s">
        <v>15943</v>
      </c>
      <c r="F715" s="2" t="s">
        <v>15944</v>
      </c>
      <c r="G715" s="2" t="s">
        <v>15944</v>
      </c>
    </row>
    <row r="716">
      <c r="A716" s="2" t="s">
        <v>287</v>
      </c>
      <c r="B716" s="2" t="s">
        <v>288</v>
      </c>
      <c r="C716" s="2" t="s">
        <v>17447</v>
      </c>
      <c r="D716" s="2" t="s">
        <v>17448</v>
      </c>
      <c r="E716" s="2" t="s">
        <v>17449</v>
      </c>
      <c r="F716" s="2" t="s">
        <v>17450</v>
      </c>
      <c r="G716" s="2" t="s">
        <v>17451</v>
      </c>
    </row>
    <row r="717">
      <c r="A717" s="2" t="s">
        <v>10810</v>
      </c>
      <c r="B717" s="2" t="s">
        <v>10811</v>
      </c>
      <c r="C717" s="2" t="s">
        <v>17452</v>
      </c>
      <c r="D717" s="2" t="s">
        <v>17453</v>
      </c>
      <c r="E717" s="2" t="s">
        <v>15943</v>
      </c>
      <c r="F717" s="2" t="s">
        <v>15944</v>
      </c>
      <c r="G717" s="2" t="s">
        <v>15944</v>
      </c>
    </row>
    <row r="718">
      <c r="A718" s="2" t="s">
        <v>1603</v>
      </c>
      <c r="B718" s="2" t="s">
        <v>1604</v>
      </c>
      <c r="C718" s="2" t="s">
        <v>17454</v>
      </c>
      <c r="D718" s="2" t="s">
        <v>17455</v>
      </c>
      <c r="E718" s="2" t="s">
        <v>17456</v>
      </c>
      <c r="F718" s="2" t="s">
        <v>17457</v>
      </c>
      <c r="G718" s="2" t="s">
        <v>17458</v>
      </c>
    </row>
    <row r="719">
      <c r="A719" s="2" t="s">
        <v>10503</v>
      </c>
      <c r="B719" s="2" t="s">
        <v>10504</v>
      </c>
      <c r="C719" s="2" t="s">
        <v>17459</v>
      </c>
      <c r="D719" s="2" t="s">
        <v>17460</v>
      </c>
      <c r="E719" s="2" t="s">
        <v>15943</v>
      </c>
      <c r="F719" s="2" t="s">
        <v>15944</v>
      </c>
      <c r="G719" s="2" t="s">
        <v>15944</v>
      </c>
    </row>
    <row r="720">
      <c r="A720" s="2" t="s">
        <v>9985</v>
      </c>
      <c r="B720" s="2" t="s">
        <v>9986</v>
      </c>
      <c r="C720" s="2" t="s">
        <v>17461</v>
      </c>
      <c r="D720" s="2" t="s">
        <v>17462</v>
      </c>
      <c r="E720" s="2" t="s">
        <v>15943</v>
      </c>
      <c r="F720" s="2" t="s">
        <v>15944</v>
      </c>
      <c r="G720" s="2" t="s">
        <v>15944</v>
      </c>
    </row>
    <row r="721">
      <c r="A721" s="2" t="s">
        <v>10931</v>
      </c>
      <c r="B721" s="2" t="s">
        <v>10932</v>
      </c>
      <c r="C721" s="2" t="s">
        <v>17463</v>
      </c>
      <c r="D721" s="2" t="s">
        <v>17464</v>
      </c>
      <c r="E721" s="2" t="s">
        <v>15943</v>
      </c>
      <c r="F721" s="2" t="s">
        <v>15944</v>
      </c>
      <c r="G721" s="2" t="s">
        <v>15944</v>
      </c>
    </row>
    <row r="722">
      <c r="A722" s="2" t="s">
        <v>11878</v>
      </c>
      <c r="B722" s="2" t="s">
        <v>11879</v>
      </c>
      <c r="C722" s="2" t="s">
        <v>17465</v>
      </c>
      <c r="D722" s="2" t="s">
        <v>17466</v>
      </c>
      <c r="E722" s="2" t="s">
        <v>15943</v>
      </c>
      <c r="F722" s="2" t="s">
        <v>15944</v>
      </c>
      <c r="G722" s="2" t="s">
        <v>15944</v>
      </c>
    </row>
    <row r="723">
      <c r="A723" s="2" t="s">
        <v>7211</v>
      </c>
      <c r="B723" s="2" t="s">
        <v>7212</v>
      </c>
      <c r="C723" s="2" t="s">
        <v>17467</v>
      </c>
      <c r="D723" s="2" t="s">
        <v>17468</v>
      </c>
      <c r="E723" s="2" t="s">
        <v>15943</v>
      </c>
      <c r="F723" s="2" t="s">
        <v>15944</v>
      </c>
      <c r="G723" s="2" t="s">
        <v>15944</v>
      </c>
    </row>
    <row r="724">
      <c r="A724" s="2" t="s">
        <v>7070</v>
      </c>
      <c r="B724" s="2" t="s">
        <v>7071</v>
      </c>
      <c r="C724" s="2" t="s">
        <v>17469</v>
      </c>
      <c r="D724" s="2" t="s">
        <v>17470</v>
      </c>
      <c r="E724" s="2" t="s">
        <v>15943</v>
      </c>
      <c r="F724" s="2" t="s">
        <v>15944</v>
      </c>
      <c r="G724" s="2" t="s">
        <v>15944</v>
      </c>
    </row>
    <row r="725">
      <c r="A725" s="2" t="s">
        <v>10306</v>
      </c>
      <c r="B725" s="2" t="s">
        <v>10307</v>
      </c>
      <c r="C725" s="2" t="s">
        <v>17471</v>
      </c>
      <c r="D725" s="2" t="s">
        <v>17472</v>
      </c>
      <c r="E725" s="2" t="s">
        <v>17473</v>
      </c>
      <c r="F725" s="2" t="s">
        <v>17474</v>
      </c>
      <c r="G725" s="2" t="s">
        <v>17475</v>
      </c>
    </row>
    <row r="726">
      <c r="A726" s="2" t="s">
        <v>10306</v>
      </c>
      <c r="B726" s="2" t="s">
        <v>10307</v>
      </c>
      <c r="C726" s="2" t="s">
        <v>17471</v>
      </c>
      <c r="D726" s="2" t="s">
        <v>17472</v>
      </c>
      <c r="E726" s="2" t="s">
        <v>17476</v>
      </c>
      <c r="F726" s="2" t="s">
        <v>17477</v>
      </c>
      <c r="G726" s="2" t="s">
        <v>17478</v>
      </c>
    </row>
    <row r="727">
      <c r="A727" s="2" t="s">
        <v>10306</v>
      </c>
      <c r="B727" s="2" t="s">
        <v>10307</v>
      </c>
      <c r="C727" s="2" t="s">
        <v>17471</v>
      </c>
      <c r="D727" s="2" t="s">
        <v>17472</v>
      </c>
      <c r="E727" s="2" t="s">
        <v>17479</v>
      </c>
      <c r="F727" s="2" t="s">
        <v>17480</v>
      </c>
      <c r="G727" s="2" t="s">
        <v>17481</v>
      </c>
    </row>
    <row r="728">
      <c r="A728" s="2" t="s">
        <v>10306</v>
      </c>
      <c r="B728" s="2" t="s">
        <v>10307</v>
      </c>
      <c r="C728" s="2" t="s">
        <v>17471</v>
      </c>
      <c r="D728" s="2" t="s">
        <v>17472</v>
      </c>
      <c r="E728" s="2" t="s">
        <v>17482</v>
      </c>
      <c r="F728" s="2" t="s">
        <v>17483</v>
      </c>
      <c r="G728" s="2" t="s">
        <v>17484</v>
      </c>
    </row>
    <row r="729">
      <c r="A729" s="2" t="s">
        <v>10306</v>
      </c>
      <c r="B729" s="2" t="s">
        <v>10307</v>
      </c>
      <c r="C729" s="2" t="s">
        <v>17471</v>
      </c>
      <c r="D729" s="2" t="s">
        <v>17472</v>
      </c>
      <c r="E729" s="2" t="s">
        <v>17485</v>
      </c>
      <c r="F729" s="2" t="s">
        <v>17486</v>
      </c>
      <c r="G729" s="2" t="s">
        <v>17487</v>
      </c>
    </row>
    <row r="730">
      <c r="A730" s="2" t="s">
        <v>7632</v>
      </c>
      <c r="B730" s="2" t="s">
        <v>7633</v>
      </c>
      <c r="C730" s="2" t="s">
        <v>17488</v>
      </c>
      <c r="D730" s="2" t="s">
        <v>17489</v>
      </c>
      <c r="E730" s="2" t="s">
        <v>17490</v>
      </c>
      <c r="F730" s="2" t="s">
        <v>17491</v>
      </c>
      <c r="G730" s="2" t="s">
        <v>17492</v>
      </c>
    </row>
    <row r="731">
      <c r="A731" s="2" t="s">
        <v>7632</v>
      </c>
      <c r="B731" s="2" t="s">
        <v>7633</v>
      </c>
      <c r="C731" s="2" t="s">
        <v>17488</v>
      </c>
      <c r="D731" s="2" t="s">
        <v>17489</v>
      </c>
      <c r="E731" s="2" t="s">
        <v>17493</v>
      </c>
      <c r="F731" s="2" t="s">
        <v>17494</v>
      </c>
      <c r="G731" s="2" t="s">
        <v>17495</v>
      </c>
    </row>
    <row r="732">
      <c r="A732" s="2" t="s">
        <v>7632</v>
      </c>
      <c r="B732" s="2" t="s">
        <v>7633</v>
      </c>
      <c r="C732" s="2" t="s">
        <v>17488</v>
      </c>
      <c r="D732" s="2" t="s">
        <v>17489</v>
      </c>
      <c r="E732" s="2" t="s">
        <v>17496</v>
      </c>
      <c r="F732" s="2" t="s">
        <v>17497</v>
      </c>
      <c r="G732" s="2" t="s">
        <v>17498</v>
      </c>
    </row>
    <row r="733">
      <c r="A733" s="2" t="s">
        <v>6988</v>
      </c>
      <c r="B733" s="2" t="s">
        <v>6989</v>
      </c>
      <c r="C733" s="2" t="s">
        <v>17499</v>
      </c>
      <c r="D733" s="2" t="s">
        <v>17500</v>
      </c>
      <c r="E733" s="2" t="s">
        <v>17501</v>
      </c>
      <c r="F733" s="2" t="s">
        <v>17502</v>
      </c>
      <c r="G733" s="2" t="s">
        <v>17503</v>
      </c>
    </row>
    <row r="734">
      <c r="A734" s="2" t="s">
        <v>1633</v>
      </c>
      <c r="B734" s="2" t="s">
        <v>1634</v>
      </c>
      <c r="C734" s="2" t="s">
        <v>17504</v>
      </c>
      <c r="D734" s="2" t="s">
        <v>17505</v>
      </c>
      <c r="E734" s="2" t="s">
        <v>17506</v>
      </c>
      <c r="F734" s="2" t="s">
        <v>17507</v>
      </c>
      <c r="G734" s="2" t="s">
        <v>17508</v>
      </c>
    </row>
    <row r="735">
      <c r="A735" s="2" t="s">
        <v>1633</v>
      </c>
      <c r="B735" s="2" t="s">
        <v>1634</v>
      </c>
      <c r="C735" s="2" t="s">
        <v>17504</v>
      </c>
      <c r="D735" s="2" t="s">
        <v>17505</v>
      </c>
      <c r="E735" s="2" t="s">
        <v>17509</v>
      </c>
      <c r="F735" s="2" t="s">
        <v>17510</v>
      </c>
      <c r="G735" s="2" t="s">
        <v>17511</v>
      </c>
    </row>
    <row r="736">
      <c r="A736" s="2" t="s">
        <v>5960</v>
      </c>
      <c r="B736" s="2" t="s">
        <v>5961</v>
      </c>
      <c r="C736" s="2" t="s">
        <v>17512</v>
      </c>
      <c r="D736" s="2" t="s">
        <v>17513</v>
      </c>
      <c r="E736" s="2" t="s">
        <v>17514</v>
      </c>
      <c r="F736" s="2" t="s">
        <v>17515</v>
      </c>
      <c r="G736" s="2" t="s">
        <v>17516</v>
      </c>
    </row>
    <row r="737">
      <c r="A737" s="2" t="s">
        <v>12319</v>
      </c>
      <c r="B737" s="2" t="s">
        <v>12320</v>
      </c>
      <c r="C737" s="2" t="s">
        <v>17517</v>
      </c>
      <c r="D737" s="2" t="s">
        <v>17518</v>
      </c>
      <c r="E737" s="2" t="s">
        <v>17519</v>
      </c>
      <c r="F737" s="2" t="s">
        <v>17520</v>
      </c>
      <c r="G737" s="2" t="s">
        <v>16375</v>
      </c>
    </row>
    <row r="738">
      <c r="A738" s="2" t="s">
        <v>12319</v>
      </c>
      <c r="B738" s="2" t="s">
        <v>12320</v>
      </c>
      <c r="C738" s="2" t="s">
        <v>17517</v>
      </c>
      <c r="D738" s="2" t="s">
        <v>17518</v>
      </c>
      <c r="E738" s="2" t="s">
        <v>17521</v>
      </c>
      <c r="F738" s="2" t="s">
        <v>17522</v>
      </c>
      <c r="G738" s="2" t="s">
        <v>16444</v>
      </c>
    </row>
    <row r="739">
      <c r="A739" s="2" t="s">
        <v>12319</v>
      </c>
      <c r="B739" s="2" t="s">
        <v>12320</v>
      </c>
      <c r="C739" s="2" t="s">
        <v>17517</v>
      </c>
      <c r="D739" s="2" t="s">
        <v>17518</v>
      </c>
      <c r="E739" s="2" t="s">
        <v>17523</v>
      </c>
      <c r="F739" s="2" t="s">
        <v>17524</v>
      </c>
      <c r="G739" s="2" t="s">
        <v>16441</v>
      </c>
    </row>
    <row r="740">
      <c r="A740" s="2" t="s">
        <v>12319</v>
      </c>
      <c r="B740" s="2" t="s">
        <v>12320</v>
      </c>
      <c r="C740" s="2" t="s">
        <v>17517</v>
      </c>
      <c r="D740" s="2" t="s">
        <v>17518</v>
      </c>
      <c r="E740" s="2" t="s">
        <v>17525</v>
      </c>
      <c r="F740" s="2" t="s">
        <v>17526</v>
      </c>
      <c r="G740" s="2" t="s">
        <v>16378</v>
      </c>
    </row>
    <row r="741">
      <c r="A741" s="2" t="s">
        <v>12319</v>
      </c>
      <c r="B741" s="2" t="s">
        <v>12320</v>
      </c>
      <c r="C741" s="2" t="s">
        <v>17517</v>
      </c>
      <c r="D741" s="2" t="s">
        <v>17518</v>
      </c>
      <c r="E741" s="2" t="s">
        <v>17527</v>
      </c>
      <c r="F741" s="2" t="s">
        <v>17528</v>
      </c>
      <c r="G741" s="2" t="s">
        <v>16384</v>
      </c>
    </row>
    <row r="742">
      <c r="A742" s="2" t="s">
        <v>12319</v>
      </c>
      <c r="B742" s="2" t="s">
        <v>12320</v>
      </c>
      <c r="C742" s="2" t="s">
        <v>17517</v>
      </c>
      <c r="D742" s="2" t="s">
        <v>17518</v>
      </c>
      <c r="E742" s="2" t="s">
        <v>17529</v>
      </c>
      <c r="F742" s="2" t="s">
        <v>17530</v>
      </c>
      <c r="G742" s="2" t="s">
        <v>16438</v>
      </c>
    </row>
    <row r="743">
      <c r="A743" s="2" t="s">
        <v>12319</v>
      </c>
      <c r="B743" s="2" t="s">
        <v>12320</v>
      </c>
      <c r="C743" s="2" t="s">
        <v>17517</v>
      </c>
      <c r="D743" s="2" t="s">
        <v>17518</v>
      </c>
      <c r="E743" s="2" t="s">
        <v>17531</v>
      </c>
      <c r="F743" s="2" t="s">
        <v>17532</v>
      </c>
      <c r="G743" s="2" t="s">
        <v>17533</v>
      </c>
    </row>
    <row r="744">
      <c r="A744" s="2" t="s">
        <v>12319</v>
      </c>
      <c r="B744" s="2" t="s">
        <v>12320</v>
      </c>
      <c r="C744" s="2" t="s">
        <v>17517</v>
      </c>
      <c r="D744" s="2" t="s">
        <v>17518</v>
      </c>
      <c r="E744" s="2" t="s">
        <v>17534</v>
      </c>
      <c r="F744" s="2" t="s">
        <v>17535</v>
      </c>
      <c r="G744" s="2" t="s">
        <v>16381</v>
      </c>
    </row>
    <row r="745">
      <c r="A745" s="2" t="s">
        <v>12319</v>
      </c>
      <c r="B745" s="2" t="s">
        <v>12320</v>
      </c>
      <c r="C745" s="2" t="s">
        <v>17517</v>
      </c>
      <c r="D745" s="2" t="s">
        <v>17518</v>
      </c>
      <c r="E745" s="2" t="s">
        <v>17536</v>
      </c>
      <c r="F745" s="2" t="s">
        <v>17537</v>
      </c>
      <c r="G745" s="2" t="s">
        <v>16396</v>
      </c>
    </row>
    <row r="746">
      <c r="A746" s="2" t="s">
        <v>12319</v>
      </c>
      <c r="B746" s="2" t="s">
        <v>12320</v>
      </c>
      <c r="C746" s="2" t="s">
        <v>17517</v>
      </c>
      <c r="D746" s="2" t="s">
        <v>17518</v>
      </c>
      <c r="E746" s="2" t="s">
        <v>17538</v>
      </c>
      <c r="F746" s="2" t="s">
        <v>17539</v>
      </c>
      <c r="G746" s="2" t="s">
        <v>16450</v>
      </c>
    </row>
    <row r="747">
      <c r="A747" s="2" t="s">
        <v>12319</v>
      </c>
      <c r="B747" s="2" t="s">
        <v>12320</v>
      </c>
      <c r="C747" s="2" t="s">
        <v>17517</v>
      </c>
      <c r="D747" s="2" t="s">
        <v>17518</v>
      </c>
      <c r="E747" s="2" t="s">
        <v>17540</v>
      </c>
      <c r="F747" s="2" t="s">
        <v>17541</v>
      </c>
      <c r="G747" s="2" t="s">
        <v>16387</v>
      </c>
    </row>
    <row r="748">
      <c r="A748" s="2" t="s">
        <v>12319</v>
      </c>
      <c r="B748" s="2" t="s">
        <v>12320</v>
      </c>
      <c r="C748" s="2" t="s">
        <v>17517</v>
      </c>
      <c r="D748" s="2" t="s">
        <v>17518</v>
      </c>
      <c r="E748" s="2" t="s">
        <v>17542</v>
      </c>
      <c r="F748" s="2" t="s">
        <v>17543</v>
      </c>
      <c r="G748" s="2" t="s">
        <v>16393</v>
      </c>
    </row>
    <row r="749">
      <c r="A749" s="2" t="s">
        <v>12319</v>
      </c>
      <c r="B749" s="2" t="s">
        <v>12320</v>
      </c>
      <c r="C749" s="2" t="s">
        <v>17517</v>
      </c>
      <c r="D749" s="2" t="s">
        <v>17518</v>
      </c>
      <c r="E749" s="2" t="s">
        <v>17544</v>
      </c>
      <c r="F749" s="2" t="s">
        <v>17545</v>
      </c>
      <c r="G749" s="2" t="s">
        <v>16390</v>
      </c>
    </row>
    <row r="750">
      <c r="A750" s="2" t="s">
        <v>12319</v>
      </c>
      <c r="B750" s="2" t="s">
        <v>12320</v>
      </c>
      <c r="C750" s="2" t="s">
        <v>17517</v>
      </c>
      <c r="D750" s="2" t="s">
        <v>17518</v>
      </c>
      <c r="E750" s="2" t="s">
        <v>17546</v>
      </c>
      <c r="F750" s="2" t="s">
        <v>17547</v>
      </c>
      <c r="G750" s="2" t="s">
        <v>17548</v>
      </c>
    </row>
    <row r="751">
      <c r="A751" s="2" t="s">
        <v>12319</v>
      </c>
      <c r="B751" s="2" t="s">
        <v>12320</v>
      </c>
      <c r="C751" s="2" t="s">
        <v>17517</v>
      </c>
      <c r="D751" s="2" t="s">
        <v>17518</v>
      </c>
      <c r="E751" s="2" t="s">
        <v>17549</v>
      </c>
      <c r="F751" s="2" t="s">
        <v>17550</v>
      </c>
      <c r="G751" s="2" t="s">
        <v>16399</v>
      </c>
    </row>
    <row r="752">
      <c r="A752" s="2" t="s">
        <v>9524</v>
      </c>
      <c r="B752" s="2" t="s">
        <v>9525</v>
      </c>
      <c r="C752" s="2" t="s">
        <v>17551</v>
      </c>
      <c r="D752" s="2" t="s">
        <v>17552</v>
      </c>
      <c r="E752" s="2" t="s">
        <v>17553</v>
      </c>
      <c r="F752" s="2" t="s">
        <v>17554</v>
      </c>
      <c r="G752" s="2" t="s">
        <v>17555</v>
      </c>
    </row>
    <row r="753">
      <c r="A753" s="2" t="s">
        <v>9524</v>
      </c>
      <c r="B753" s="2" t="s">
        <v>9525</v>
      </c>
      <c r="C753" s="2" t="s">
        <v>17551</v>
      </c>
      <c r="D753" s="2" t="s">
        <v>17552</v>
      </c>
      <c r="E753" s="2" t="s">
        <v>17556</v>
      </c>
      <c r="F753" s="2" t="s">
        <v>17557</v>
      </c>
      <c r="G753" s="2" t="s">
        <v>17558</v>
      </c>
    </row>
    <row r="754">
      <c r="A754" s="2" t="s">
        <v>11237</v>
      </c>
      <c r="B754" s="2" t="s">
        <v>11238</v>
      </c>
      <c r="C754" s="2" t="s">
        <v>17559</v>
      </c>
      <c r="D754" s="2" t="s">
        <v>17560</v>
      </c>
      <c r="E754" s="2" t="s">
        <v>17561</v>
      </c>
      <c r="F754" s="2" t="s">
        <v>17562</v>
      </c>
      <c r="G754" s="2" t="s">
        <v>17563</v>
      </c>
    </row>
    <row r="755">
      <c r="A755" s="2" t="s">
        <v>3632</v>
      </c>
      <c r="B755" s="2" t="s">
        <v>3633</v>
      </c>
      <c r="C755" s="2" t="s">
        <v>17564</v>
      </c>
      <c r="D755" s="2" t="s">
        <v>17565</v>
      </c>
      <c r="E755" s="2" t="s">
        <v>17566</v>
      </c>
      <c r="F755" s="2" t="s">
        <v>17567</v>
      </c>
      <c r="G755" s="2" t="s">
        <v>17568</v>
      </c>
    </row>
    <row r="756">
      <c r="A756" s="2" t="s">
        <v>12830</v>
      </c>
      <c r="B756" s="2" t="s">
        <v>12831</v>
      </c>
      <c r="C756" s="2" t="s">
        <v>17569</v>
      </c>
      <c r="D756" s="2" t="s">
        <v>17570</v>
      </c>
      <c r="E756" s="2" t="s">
        <v>17571</v>
      </c>
      <c r="F756" s="2" t="s">
        <v>17572</v>
      </c>
      <c r="G756" s="2" t="s">
        <v>17573</v>
      </c>
    </row>
    <row r="757">
      <c r="A757" s="2" t="s">
        <v>12830</v>
      </c>
      <c r="B757" s="2" t="s">
        <v>12831</v>
      </c>
      <c r="C757" s="2" t="s">
        <v>17569</v>
      </c>
      <c r="D757" s="2" t="s">
        <v>17570</v>
      </c>
      <c r="E757" s="2" t="s">
        <v>17574</v>
      </c>
      <c r="F757" s="2" t="s">
        <v>16351</v>
      </c>
      <c r="G757" s="2" t="s">
        <v>17575</v>
      </c>
    </row>
    <row r="758">
      <c r="A758" s="2" t="s">
        <v>12830</v>
      </c>
      <c r="B758" s="2" t="s">
        <v>12831</v>
      </c>
      <c r="C758" s="2" t="s">
        <v>17569</v>
      </c>
      <c r="D758" s="2" t="s">
        <v>17570</v>
      </c>
      <c r="E758" s="2" t="s">
        <v>17576</v>
      </c>
      <c r="F758" s="2" t="s">
        <v>17577</v>
      </c>
      <c r="G758" s="2" t="s">
        <v>17578</v>
      </c>
    </row>
    <row r="759">
      <c r="A759" s="2" t="s">
        <v>12830</v>
      </c>
      <c r="B759" s="2" t="s">
        <v>12831</v>
      </c>
      <c r="C759" s="2" t="s">
        <v>17569</v>
      </c>
      <c r="D759" s="2" t="s">
        <v>17570</v>
      </c>
      <c r="E759" s="2" t="s">
        <v>17579</v>
      </c>
      <c r="F759" s="2" t="s">
        <v>17580</v>
      </c>
      <c r="G759" s="2" t="s">
        <v>17581</v>
      </c>
    </row>
    <row r="760">
      <c r="A760" s="2" t="s">
        <v>11298</v>
      </c>
      <c r="B760" s="2" t="s">
        <v>11299</v>
      </c>
      <c r="C760" s="2" t="s">
        <v>17582</v>
      </c>
      <c r="D760" s="2" t="s">
        <v>17583</v>
      </c>
      <c r="E760" s="2" t="s">
        <v>17584</v>
      </c>
      <c r="F760" s="2" t="s">
        <v>17585</v>
      </c>
      <c r="G760" s="2" t="s">
        <v>17586</v>
      </c>
    </row>
    <row r="761">
      <c r="A761" s="2" t="s">
        <v>11298</v>
      </c>
      <c r="B761" s="2" t="s">
        <v>11299</v>
      </c>
      <c r="C761" s="2" t="s">
        <v>17582</v>
      </c>
      <c r="D761" s="2" t="s">
        <v>17583</v>
      </c>
      <c r="E761" s="2" t="s">
        <v>17587</v>
      </c>
      <c r="F761" s="2" t="s">
        <v>17588</v>
      </c>
      <c r="G761" s="2" t="s">
        <v>17589</v>
      </c>
    </row>
    <row r="762">
      <c r="A762" s="2" t="s">
        <v>11298</v>
      </c>
      <c r="B762" s="2" t="s">
        <v>11299</v>
      </c>
      <c r="C762" s="2" t="s">
        <v>17582</v>
      </c>
      <c r="D762" s="2" t="s">
        <v>17583</v>
      </c>
      <c r="E762" s="2" t="s">
        <v>17590</v>
      </c>
      <c r="F762" s="2" t="s">
        <v>17591</v>
      </c>
      <c r="G762" s="2" t="s">
        <v>17592</v>
      </c>
    </row>
    <row r="763">
      <c r="A763" s="2" t="s">
        <v>11298</v>
      </c>
      <c r="B763" s="2" t="s">
        <v>11299</v>
      </c>
      <c r="C763" s="2" t="s">
        <v>17582</v>
      </c>
      <c r="D763" s="2" t="s">
        <v>17583</v>
      </c>
      <c r="E763" s="2" t="s">
        <v>17593</v>
      </c>
      <c r="F763" s="2" t="s">
        <v>17594</v>
      </c>
      <c r="G763" s="2" t="s">
        <v>17589</v>
      </c>
    </row>
    <row r="764">
      <c r="A764" s="2" t="s">
        <v>11298</v>
      </c>
      <c r="B764" s="2" t="s">
        <v>11299</v>
      </c>
      <c r="C764" s="2" t="s">
        <v>17582</v>
      </c>
      <c r="D764" s="2" t="s">
        <v>17583</v>
      </c>
      <c r="E764" s="2" t="s">
        <v>17595</v>
      </c>
      <c r="F764" s="2" t="s">
        <v>17596</v>
      </c>
      <c r="G764" s="2" t="s">
        <v>17586</v>
      </c>
    </row>
    <row r="765">
      <c r="A765" s="2" t="s">
        <v>11298</v>
      </c>
      <c r="B765" s="2" t="s">
        <v>11299</v>
      </c>
      <c r="C765" s="2" t="s">
        <v>17582</v>
      </c>
      <c r="D765" s="2" t="s">
        <v>17583</v>
      </c>
      <c r="E765" s="2" t="s">
        <v>17597</v>
      </c>
      <c r="F765" s="2" t="s">
        <v>17577</v>
      </c>
      <c r="G765" s="2" t="s">
        <v>17598</v>
      </c>
    </row>
    <row r="766">
      <c r="A766" s="2" t="s">
        <v>5113</v>
      </c>
      <c r="B766" s="2" t="s">
        <v>5114</v>
      </c>
      <c r="C766" s="2" t="s">
        <v>17599</v>
      </c>
      <c r="D766" s="2" t="s">
        <v>17600</v>
      </c>
      <c r="E766" s="2" t="s">
        <v>17584</v>
      </c>
      <c r="F766" s="2" t="s">
        <v>17585</v>
      </c>
      <c r="G766" s="2" t="s">
        <v>17586</v>
      </c>
    </row>
    <row r="767">
      <c r="A767" s="2" t="s">
        <v>5113</v>
      </c>
      <c r="B767" s="2" t="s">
        <v>5114</v>
      </c>
      <c r="C767" s="2" t="s">
        <v>17599</v>
      </c>
      <c r="D767" s="2" t="s">
        <v>17600</v>
      </c>
      <c r="E767" s="2" t="s">
        <v>17601</v>
      </c>
      <c r="F767" s="2" t="s">
        <v>17585</v>
      </c>
      <c r="G767" s="2" t="s">
        <v>17602</v>
      </c>
    </row>
    <row r="768">
      <c r="A768" s="2" t="s">
        <v>5113</v>
      </c>
      <c r="B768" s="2" t="s">
        <v>5114</v>
      </c>
      <c r="C768" s="2" t="s">
        <v>17599</v>
      </c>
      <c r="D768" s="2" t="s">
        <v>17600</v>
      </c>
      <c r="E768" s="2" t="s">
        <v>17603</v>
      </c>
      <c r="F768" s="2" t="s">
        <v>17604</v>
      </c>
      <c r="G768" s="2" t="s">
        <v>17605</v>
      </c>
    </row>
    <row r="769">
      <c r="A769" s="2" t="s">
        <v>5113</v>
      </c>
      <c r="B769" s="2" t="s">
        <v>5114</v>
      </c>
      <c r="C769" s="2" t="s">
        <v>17599</v>
      </c>
      <c r="D769" s="2" t="s">
        <v>17600</v>
      </c>
      <c r="E769" s="2" t="s">
        <v>17606</v>
      </c>
      <c r="F769" s="2" t="s">
        <v>17607</v>
      </c>
      <c r="G769" s="2" t="s">
        <v>17608</v>
      </c>
    </row>
    <row r="770">
      <c r="A770" s="2" t="s">
        <v>5113</v>
      </c>
      <c r="B770" s="2" t="s">
        <v>5114</v>
      </c>
      <c r="C770" s="2" t="s">
        <v>17599</v>
      </c>
      <c r="D770" s="2" t="s">
        <v>17600</v>
      </c>
      <c r="E770" s="2" t="s">
        <v>17609</v>
      </c>
      <c r="F770" s="2" t="s">
        <v>17610</v>
      </c>
      <c r="G770" s="2" t="s">
        <v>17611</v>
      </c>
    </row>
    <row r="771">
      <c r="A771" s="2" t="s">
        <v>5113</v>
      </c>
      <c r="B771" s="2" t="s">
        <v>5114</v>
      </c>
      <c r="C771" s="2" t="s">
        <v>17599</v>
      </c>
      <c r="D771" s="2" t="s">
        <v>17600</v>
      </c>
      <c r="E771" s="2" t="s">
        <v>17595</v>
      </c>
      <c r="F771" s="2" t="s">
        <v>17596</v>
      </c>
      <c r="G771" s="2" t="s">
        <v>17586</v>
      </c>
    </row>
    <row r="772">
      <c r="A772" s="2" t="s">
        <v>5113</v>
      </c>
      <c r="B772" s="2" t="s">
        <v>5114</v>
      </c>
      <c r="C772" s="2" t="s">
        <v>17599</v>
      </c>
      <c r="D772" s="2" t="s">
        <v>17600</v>
      </c>
      <c r="E772" s="2" t="s">
        <v>17612</v>
      </c>
      <c r="F772" s="2" t="s">
        <v>17596</v>
      </c>
      <c r="G772" s="2" t="s">
        <v>17602</v>
      </c>
    </row>
    <row r="773">
      <c r="A773" s="2" t="s">
        <v>5113</v>
      </c>
      <c r="B773" s="2" t="s">
        <v>5114</v>
      </c>
      <c r="C773" s="2" t="s">
        <v>17599</v>
      </c>
      <c r="D773" s="2" t="s">
        <v>17600</v>
      </c>
      <c r="E773" s="2" t="s">
        <v>17613</v>
      </c>
      <c r="F773" s="2" t="s">
        <v>17614</v>
      </c>
      <c r="G773" s="2" t="s">
        <v>17615</v>
      </c>
    </row>
    <row r="774">
      <c r="A774" s="2" t="s">
        <v>5113</v>
      </c>
      <c r="B774" s="2" t="s">
        <v>5114</v>
      </c>
      <c r="C774" s="2" t="s">
        <v>17599</v>
      </c>
      <c r="D774" s="2" t="s">
        <v>17600</v>
      </c>
      <c r="E774" s="2" t="s">
        <v>17616</v>
      </c>
      <c r="F774" s="2" t="s">
        <v>17617</v>
      </c>
      <c r="G774" s="2" t="s">
        <v>17618</v>
      </c>
    </row>
    <row r="775">
      <c r="A775" s="2" t="s">
        <v>5113</v>
      </c>
      <c r="B775" s="2" t="s">
        <v>5114</v>
      </c>
      <c r="C775" s="2" t="s">
        <v>17599</v>
      </c>
      <c r="D775" s="2" t="s">
        <v>17600</v>
      </c>
      <c r="E775" s="2" t="s">
        <v>17619</v>
      </c>
      <c r="F775" s="2" t="s">
        <v>17620</v>
      </c>
      <c r="G775" s="2" t="s">
        <v>17621</v>
      </c>
    </row>
    <row r="776">
      <c r="A776" s="2" t="s">
        <v>9274</v>
      </c>
      <c r="B776" s="2" t="s">
        <v>9275</v>
      </c>
      <c r="C776" s="2" t="s">
        <v>17622</v>
      </c>
      <c r="D776" s="2" t="s">
        <v>17623</v>
      </c>
      <c r="E776" s="2" t="s">
        <v>15943</v>
      </c>
      <c r="F776" s="2" t="s">
        <v>15944</v>
      </c>
      <c r="G776" s="2" t="s">
        <v>15944</v>
      </c>
    </row>
    <row r="777">
      <c r="A777" s="2" t="s">
        <v>7992</v>
      </c>
      <c r="B777" s="2" t="s">
        <v>7993</v>
      </c>
      <c r="C777" s="2" t="s">
        <v>17624</v>
      </c>
      <c r="D777" s="2" t="s">
        <v>17625</v>
      </c>
      <c r="E777" s="2" t="s">
        <v>17626</v>
      </c>
      <c r="F777" s="2" t="s">
        <v>17627</v>
      </c>
      <c r="G777" s="2" t="s">
        <v>17628</v>
      </c>
    </row>
    <row r="778">
      <c r="A778" s="2" t="s">
        <v>7992</v>
      </c>
      <c r="B778" s="2" t="s">
        <v>7993</v>
      </c>
      <c r="C778" s="2" t="s">
        <v>17624</v>
      </c>
      <c r="D778" s="2" t="s">
        <v>17625</v>
      </c>
      <c r="E778" s="2" t="s">
        <v>17629</v>
      </c>
      <c r="F778" s="2" t="s">
        <v>17630</v>
      </c>
      <c r="G778" s="2" t="s">
        <v>17631</v>
      </c>
    </row>
    <row r="779">
      <c r="A779" s="2" t="s">
        <v>7992</v>
      </c>
      <c r="B779" s="2" t="s">
        <v>7993</v>
      </c>
      <c r="C779" s="2" t="s">
        <v>17624</v>
      </c>
      <c r="D779" s="2" t="s">
        <v>17625</v>
      </c>
      <c r="E779" s="2" t="s">
        <v>17632</v>
      </c>
      <c r="F779" s="2" t="s">
        <v>17633</v>
      </c>
      <c r="G779" s="2" t="s">
        <v>17634</v>
      </c>
    </row>
    <row r="780">
      <c r="A780" s="2" t="s">
        <v>7992</v>
      </c>
      <c r="B780" s="2" t="s">
        <v>7993</v>
      </c>
      <c r="C780" s="2" t="s">
        <v>17624</v>
      </c>
      <c r="D780" s="2" t="s">
        <v>17625</v>
      </c>
      <c r="E780" s="2" t="s">
        <v>17635</v>
      </c>
      <c r="F780" s="2" t="s">
        <v>17636</v>
      </c>
      <c r="G780" s="2" t="s">
        <v>17628</v>
      </c>
    </row>
    <row r="781">
      <c r="A781" s="2" t="s">
        <v>5513</v>
      </c>
      <c r="B781" s="2" t="s">
        <v>5514</v>
      </c>
      <c r="C781" s="2" t="s">
        <v>17637</v>
      </c>
      <c r="D781" s="2" t="s">
        <v>17638</v>
      </c>
      <c r="E781" s="2" t="s">
        <v>17639</v>
      </c>
      <c r="F781" s="2" t="s">
        <v>17640</v>
      </c>
      <c r="G781" s="2" t="s">
        <v>17628</v>
      </c>
    </row>
    <row r="782">
      <c r="A782" s="2" t="s">
        <v>5513</v>
      </c>
      <c r="B782" s="2" t="s">
        <v>5514</v>
      </c>
      <c r="C782" s="2" t="s">
        <v>17637</v>
      </c>
      <c r="D782" s="2" t="s">
        <v>17638</v>
      </c>
      <c r="E782" s="2" t="s">
        <v>17641</v>
      </c>
      <c r="F782" s="2" t="s">
        <v>17642</v>
      </c>
      <c r="G782" s="2" t="s">
        <v>17628</v>
      </c>
    </row>
    <row r="783">
      <c r="A783" s="2"/>
      <c r="B783" s="2"/>
      <c r="C783" s="2" t="s">
        <v>17643</v>
      </c>
      <c r="D783" s="2" t="s">
        <v>17644</v>
      </c>
      <c r="E783" s="2" t="s">
        <v>17645</v>
      </c>
      <c r="F783" s="2" t="s">
        <v>17646</v>
      </c>
      <c r="G783" s="2" t="s">
        <v>17647</v>
      </c>
    </row>
    <row r="784">
      <c r="A784" s="2" t="s">
        <v>9597</v>
      </c>
      <c r="B784" s="2" t="s">
        <v>9598</v>
      </c>
      <c r="C784" s="2" t="s">
        <v>17648</v>
      </c>
      <c r="D784" s="2" t="s">
        <v>17649</v>
      </c>
      <c r="E784" s="2" t="s">
        <v>15943</v>
      </c>
      <c r="F784" s="2" t="s">
        <v>15944</v>
      </c>
      <c r="G784" s="2" t="s">
        <v>15944</v>
      </c>
    </row>
    <row r="785">
      <c r="A785" s="2" t="s">
        <v>3031</v>
      </c>
      <c r="B785" s="2" t="s">
        <v>3032</v>
      </c>
      <c r="C785" s="2" t="s">
        <v>17650</v>
      </c>
      <c r="D785" s="2" t="s">
        <v>17651</v>
      </c>
      <c r="E785" s="2" t="s">
        <v>15943</v>
      </c>
      <c r="F785" s="2" t="s">
        <v>15944</v>
      </c>
      <c r="G785" s="2" t="s">
        <v>15944</v>
      </c>
    </row>
    <row r="786">
      <c r="A786" s="2"/>
      <c r="B786" s="2"/>
      <c r="C786" s="2" t="s">
        <v>17652</v>
      </c>
      <c r="D786" s="2" t="s">
        <v>17653</v>
      </c>
      <c r="E786" s="2" t="s">
        <v>17654</v>
      </c>
      <c r="F786" s="2" t="s">
        <v>17655</v>
      </c>
      <c r="G786" s="2" t="s">
        <v>17656</v>
      </c>
    </row>
    <row r="787">
      <c r="A787" s="2"/>
      <c r="B787" s="2"/>
      <c r="C787" s="2" t="s">
        <v>17652</v>
      </c>
      <c r="D787" s="2" t="s">
        <v>17653</v>
      </c>
      <c r="E787" s="2" t="s">
        <v>17645</v>
      </c>
      <c r="F787" s="2" t="s">
        <v>17646</v>
      </c>
      <c r="G787" s="2" t="s">
        <v>17647</v>
      </c>
    </row>
    <row r="788">
      <c r="A788" s="2"/>
      <c r="B788" s="2"/>
      <c r="C788" s="2" t="s">
        <v>17652</v>
      </c>
      <c r="D788" s="2" t="s">
        <v>17653</v>
      </c>
      <c r="E788" s="2" t="s">
        <v>17657</v>
      </c>
      <c r="F788" s="2" t="s">
        <v>17658</v>
      </c>
      <c r="G788" s="2" t="s">
        <v>17659</v>
      </c>
    </row>
    <row r="789">
      <c r="A789" s="2" t="s">
        <v>6712</v>
      </c>
      <c r="B789" s="2" t="s">
        <v>6713</v>
      </c>
      <c r="C789" s="2" t="s">
        <v>17660</v>
      </c>
      <c r="D789" s="2" t="s">
        <v>17661</v>
      </c>
      <c r="E789" s="2" t="s">
        <v>15943</v>
      </c>
      <c r="F789" s="2" t="s">
        <v>15944</v>
      </c>
      <c r="G789" s="2" t="s">
        <v>15944</v>
      </c>
    </row>
    <row r="790">
      <c r="A790" s="2" t="s">
        <v>12169</v>
      </c>
      <c r="B790" s="2" t="s">
        <v>12170</v>
      </c>
      <c r="C790" s="2" t="s">
        <v>17662</v>
      </c>
      <c r="D790" s="2" t="s">
        <v>17663</v>
      </c>
      <c r="E790" s="2" t="s">
        <v>15943</v>
      </c>
      <c r="F790" s="2" t="s">
        <v>15944</v>
      </c>
      <c r="G790" s="2" t="s">
        <v>15944</v>
      </c>
    </row>
    <row r="791">
      <c r="A791" s="2" t="s">
        <v>12085</v>
      </c>
      <c r="B791" s="2" t="s">
        <v>12086</v>
      </c>
      <c r="C791" s="2" t="s">
        <v>17664</v>
      </c>
      <c r="D791" s="2" t="s">
        <v>17665</v>
      </c>
      <c r="E791" s="2" t="s">
        <v>15943</v>
      </c>
      <c r="F791" s="2" t="s">
        <v>15944</v>
      </c>
      <c r="G791" s="2" t="s">
        <v>15944</v>
      </c>
    </row>
    <row r="792">
      <c r="A792" s="2" t="s">
        <v>2475</v>
      </c>
      <c r="B792" s="2" t="s">
        <v>2476</v>
      </c>
      <c r="C792" s="2" t="s">
        <v>17666</v>
      </c>
      <c r="D792" s="2" t="s">
        <v>17667</v>
      </c>
      <c r="E792" s="2" t="s">
        <v>15943</v>
      </c>
      <c r="F792" s="2" t="s">
        <v>15944</v>
      </c>
      <c r="G792" s="2" t="s">
        <v>15944</v>
      </c>
    </row>
    <row r="793">
      <c r="A793" s="2" t="s">
        <v>9509</v>
      </c>
      <c r="B793" s="2" t="s">
        <v>9510</v>
      </c>
      <c r="C793" s="2" t="s">
        <v>17668</v>
      </c>
      <c r="D793" s="2" t="s">
        <v>17669</v>
      </c>
      <c r="E793" s="2" t="s">
        <v>15943</v>
      </c>
      <c r="F793" s="2" t="s">
        <v>15944</v>
      </c>
      <c r="G793" s="2" t="s">
        <v>15944</v>
      </c>
    </row>
    <row r="794">
      <c r="A794" s="2" t="s">
        <v>3227</v>
      </c>
      <c r="B794" s="2" t="s">
        <v>3228</v>
      </c>
      <c r="C794" s="2" t="s">
        <v>17670</v>
      </c>
      <c r="D794" s="2" t="s">
        <v>17671</v>
      </c>
      <c r="E794" s="2" t="s">
        <v>15943</v>
      </c>
      <c r="F794" s="2" t="s">
        <v>15944</v>
      </c>
      <c r="G794" s="2" t="s">
        <v>15944</v>
      </c>
    </row>
    <row r="795">
      <c r="A795" s="2" t="s">
        <v>2914</v>
      </c>
      <c r="B795" s="2" t="s">
        <v>2915</v>
      </c>
      <c r="C795" s="2" t="s">
        <v>17672</v>
      </c>
      <c r="D795" s="2" t="s">
        <v>17673</v>
      </c>
      <c r="E795" s="2" t="s">
        <v>15943</v>
      </c>
      <c r="F795" s="2" t="s">
        <v>15944</v>
      </c>
      <c r="G795" s="2" t="s">
        <v>15944</v>
      </c>
    </row>
    <row r="796">
      <c r="A796" s="2" t="s">
        <v>13794</v>
      </c>
      <c r="B796" s="2" t="s">
        <v>13795</v>
      </c>
      <c r="C796" s="2" t="s">
        <v>17674</v>
      </c>
      <c r="D796" s="2" t="s">
        <v>17675</v>
      </c>
      <c r="E796" s="2" t="s">
        <v>15943</v>
      </c>
      <c r="F796" s="2" t="s">
        <v>15944</v>
      </c>
      <c r="G796" s="2" t="s">
        <v>15944</v>
      </c>
    </row>
    <row r="797">
      <c r="A797" s="2" t="s">
        <v>10836</v>
      </c>
      <c r="B797" s="2" t="s">
        <v>10837</v>
      </c>
      <c r="C797" s="2" t="s">
        <v>17676</v>
      </c>
      <c r="D797" s="2" t="s">
        <v>17677</v>
      </c>
      <c r="E797" s="2" t="s">
        <v>15943</v>
      </c>
      <c r="F797" s="2" t="s">
        <v>15944</v>
      </c>
      <c r="G797" s="2" t="s">
        <v>15944</v>
      </c>
    </row>
    <row r="798">
      <c r="A798" s="2" t="s">
        <v>9914</v>
      </c>
      <c r="B798" s="2" t="s">
        <v>9915</v>
      </c>
      <c r="C798" s="2" t="s">
        <v>17678</v>
      </c>
      <c r="D798" s="2" t="s">
        <v>17679</v>
      </c>
      <c r="E798" s="2" t="s">
        <v>15943</v>
      </c>
      <c r="F798" s="2" t="s">
        <v>15944</v>
      </c>
      <c r="G798" s="2" t="s">
        <v>15944</v>
      </c>
    </row>
    <row r="799">
      <c r="A799" s="2" t="s">
        <v>12311</v>
      </c>
      <c r="B799" s="2" t="s">
        <v>12312</v>
      </c>
      <c r="C799" s="2" t="s">
        <v>17680</v>
      </c>
      <c r="D799" s="2" t="s">
        <v>17681</v>
      </c>
      <c r="E799" s="2" t="s">
        <v>15943</v>
      </c>
      <c r="F799" s="2" t="s">
        <v>15944</v>
      </c>
      <c r="G799" s="2" t="s">
        <v>15944</v>
      </c>
    </row>
    <row r="800">
      <c r="A800" s="2" t="s">
        <v>3772</v>
      </c>
      <c r="B800" s="2" t="s">
        <v>3773</v>
      </c>
      <c r="C800" s="2" t="s">
        <v>17682</v>
      </c>
      <c r="D800" s="2" t="s">
        <v>17683</v>
      </c>
      <c r="E800" s="2" t="s">
        <v>15943</v>
      </c>
      <c r="F800" s="2" t="s">
        <v>15944</v>
      </c>
      <c r="G800" s="2" t="s">
        <v>15944</v>
      </c>
    </row>
    <row r="801">
      <c r="A801" s="2" t="s">
        <v>8157</v>
      </c>
      <c r="B801" s="2" t="s">
        <v>8158</v>
      </c>
      <c r="C801" s="2" t="s">
        <v>17684</v>
      </c>
      <c r="D801" s="2" t="s">
        <v>17685</v>
      </c>
      <c r="E801" s="2" t="s">
        <v>15943</v>
      </c>
      <c r="F801" s="2" t="s">
        <v>15944</v>
      </c>
      <c r="G801" s="2" t="s">
        <v>15944</v>
      </c>
    </row>
    <row r="802">
      <c r="A802" s="2" t="s">
        <v>9735</v>
      </c>
      <c r="B802" s="2" t="s">
        <v>9736</v>
      </c>
      <c r="C802" s="2" t="s">
        <v>17686</v>
      </c>
      <c r="D802" s="2" t="s">
        <v>17687</v>
      </c>
      <c r="E802" s="2" t="s">
        <v>15943</v>
      </c>
      <c r="F802" s="2" t="s">
        <v>15944</v>
      </c>
      <c r="G802" s="2" t="s">
        <v>15944</v>
      </c>
    </row>
    <row r="803">
      <c r="A803" s="2" t="s">
        <v>11676</v>
      </c>
      <c r="B803" s="2" t="s">
        <v>11677</v>
      </c>
      <c r="C803" s="2" t="s">
        <v>17688</v>
      </c>
      <c r="D803" s="2" t="s">
        <v>17689</v>
      </c>
      <c r="E803" s="2" t="s">
        <v>15943</v>
      </c>
      <c r="F803" s="2" t="s">
        <v>15944</v>
      </c>
      <c r="G803" s="2" t="s">
        <v>15944</v>
      </c>
    </row>
    <row r="804">
      <c r="A804" s="2" t="s">
        <v>10381</v>
      </c>
      <c r="B804" s="2" t="s">
        <v>10382</v>
      </c>
      <c r="C804" s="2" t="s">
        <v>17690</v>
      </c>
      <c r="D804" s="2" t="s">
        <v>17691</v>
      </c>
      <c r="E804" s="2" t="s">
        <v>15943</v>
      </c>
      <c r="F804" s="2" t="s">
        <v>15944</v>
      </c>
      <c r="G804" s="2" t="s">
        <v>15944</v>
      </c>
    </row>
    <row r="805">
      <c r="A805" s="2" t="s">
        <v>11905</v>
      </c>
      <c r="B805" s="2" t="s">
        <v>11906</v>
      </c>
      <c r="C805" s="2" t="s">
        <v>17692</v>
      </c>
      <c r="D805" s="2" t="s">
        <v>17693</v>
      </c>
      <c r="E805" s="2" t="s">
        <v>15943</v>
      </c>
      <c r="F805" s="2" t="s">
        <v>15944</v>
      </c>
      <c r="G805" s="2" t="s">
        <v>15944</v>
      </c>
    </row>
    <row r="806">
      <c r="A806" s="2" t="s">
        <v>3145</v>
      </c>
      <c r="B806" s="2" t="s">
        <v>3146</v>
      </c>
      <c r="C806" s="2" t="s">
        <v>17694</v>
      </c>
      <c r="D806" s="2" t="s">
        <v>17695</v>
      </c>
      <c r="E806" s="2" t="s">
        <v>17696</v>
      </c>
      <c r="F806" s="2" t="s">
        <v>17697</v>
      </c>
      <c r="G806" s="2" t="s">
        <v>17698</v>
      </c>
    </row>
    <row r="807">
      <c r="A807" s="2" t="s">
        <v>3145</v>
      </c>
      <c r="B807" s="2" t="s">
        <v>3146</v>
      </c>
      <c r="C807" s="2" t="s">
        <v>17694</v>
      </c>
      <c r="D807" s="2" t="s">
        <v>17695</v>
      </c>
      <c r="E807" s="2" t="s">
        <v>17699</v>
      </c>
      <c r="F807" s="2" t="s">
        <v>17700</v>
      </c>
      <c r="G807" s="2" t="s">
        <v>17701</v>
      </c>
    </row>
    <row r="808">
      <c r="A808" s="2" t="s">
        <v>7994</v>
      </c>
      <c r="B808" s="2" t="s">
        <v>7995</v>
      </c>
      <c r="C808" s="2" t="s">
        <v>17702</v>
      </c>
      <c r="D808" s="2" t="s">
        <v>17703</v>
      </c>
      <c r="E808" s="2" t="s">
        <v>17704</v>
      </c>
      <c r="F808" s="2" t="s">
        <v>17705</v>
      </c>
      <c r="G808" s="2" t="s">
        <v>17706</v>
      </c>
    </row>
    <row r="809">
      <c r="A809" s="2" t="s">
        <v>3497</v>
      </c>
      <c r="B809" s="2" t="s">
        <v>3498</v>
      </c>
      <c r="C809" s="2" t="s">
        <v>17707</v>
      </c>
      <c r="D809" s="2" t="s">
        <v>17708</v>
      </c>
      <c r="E809" s="2" t="s">
        <v>17709</v>
      </c>
      <c r="F809" s="2" t="s">
        <v>17710</v>
      </c>
      <c r="G809" s="2" t="s">
        <v>17711</v>
      </c>
    </row>
    <row r="810">
      <c r="A810" s="2" t="s">
        <v>3497</v>
      </c>
      <c r="B810" s="2" t="s">
        <v>3498</v>
      </c>
      <c r="C810" s="2" t="s">
        <v>17707</v>
      </c>
      <c r="D810" s="2" t="s">
        <v>17708</v>
      </c>
      <c r="E810" s="2" t="s">
        <v>17712</v>
      </c>
      <c r="F810" s="2" t="s">
        <v>17713</v>
      </c>
      <c r="G810" s="2" t="s">
        <v>17714</v>
      </c>
    </row>
    <row r="811">
      <c r="A811" s="2" t="s">
        <v>3497</v>
      </c>
      <c r="B811" s="2" t="s">
        <v>3498</v>
      </c>
      <c r="C811" s="2" t="s">
        <v>17707</v>
      </c>
      <c r="D811" s="2" t="s">
        <v>17708</v>
      </c>
      <c r="E811" s="2" t="s">
        <v>17715</v>
      </c>
      <c r="F811" s="2" t="s">
        <v>17716</v>
      </c>
      <c r="G811" s="2" t="s">
        <v>17717</v>
      </c>
    </row>
    <row r="812">
      <c r="A812" s="2" t="s">
        <v>5885</v>
      </c>
      <c r="B812" s="2" t="s">
        <v>5886</v>
      </c>
      <c r="C812" s="2" t="s">
        <v>17718</v>
      </c>
      <c r="D812" s="2" t="s">
        <v>17719</v>
      </c>
      <c r="E812" s="2" t="s">
        <v>17709</v>
      </c>
      <c r="F812" s="2" t="s">
        <v>17710</v>
      </c>
      <c r="G812" s="2" t="s">
        <v>17711</v>
      </c>
    </row>
    <row r="813">
      <c r="A813" s="2" t="s">
        <v>5885</v>
      </c>
      <c r="B813" s="2" t="s">
        <v>5886</v>
      </c>
      <c r="C813" s="2" t="s">
        <v>17718</v>
      </c>
      <c r="D813" s="2" t="s">
        <v>17719</v>
      </c>
      <c r="E813" s="2" t="s">
        <v>17720</v>
      </c>
      <c r="F813" s="2" t="s">
        <v>17721</v>
      </c>
      <c r="G813" s="2" t="s">
        <v>17722</v>
      </c>
    </row>
    <row r="814">
      <c r="A814" s="2" t="s">
        <v>5872</v>
      </c>
      <c r="B814" s="2" t="s">
        <v>5873</v>
      </c>
      <c r="C814" s="2" t="s">
        <v>17723</v>
      </c>
      <c r="D814" s="2" t="s">
        <v>17724</v>
      </c>
      <c r="E814" s="2" t="s">
        <v>16730</v>
      </c>
      <c r="F814" s="2" t="s">
        <v>16731</v>
      </c>
      <c r="G814" s="2" t="s">
        <v>16732</v>
      </c>
    </row>
    <row r="815">
      <c r="A815" s="2" t="s">
        <v>5872</v>
      </c>
      <c r="B815" s="2" t="s">
        <v>5873</v>
      </c>
      <c r="C815" s="2" t="s">
        <v>17723</v>
      </c>
      <c r="D815" s="2" t="s">
        <v>17724</v>
      </c>
      <c r="E815" s="2" t="s">
        <v>17725</v>
      </c>
      <c r="F815" s="2" t="s">
        <v>17726</v>
      </c>
      <c r="G815" s="2" t="s">
        <v>17727</v>
      </c>
    </row>
    <row r="816">
      <c r="A816" s="2" t="s">
        <v>5872</v>
      </c>
      <c r="B816" s="2" t="s">
        <v>5873</v>
      </c>
      <c r="C816" s="2" t="s">
        <v>17723</v>
      </c>
      <c r="D816" s="2" t="s">
        <v>17724</v>
      </c>
      <c r="E816" s="2" t="s">
        <v>17699</v>
      </c>
      <c r="F816" s="2" t="s">
        <v>17700</v>
      </c>
      <c r="G816" s="2" t="s">
        <v>17701</v>
      </c>
    </row>
    <row r="817">
      <c r="A817" s="2" t="s">
        <v>4493</v>
      </c>
      <c r="B817" s="2" t="s">
        <v>4494</v>
      </c>
      <c r="C817" s="2" t="s">
        <v>17728</v>
      </c>
      <c r="D817" s="2" t="s">
        <v>17729</v>
      </c>
      <c r="E817" s="2" t="s">
        <v>17730</v>
      </c>
      <c r="F817" s="2" t="s">
        <v>17731</v>
      </c>
      <c r="G817" s="2" t="s">
        <v>17732</v>
      </c>
    </row>
    <row r="818">
      <c r="A818" s="2" t="s">
        <v>4493</v>
      </c>
      <c r="B818" s="2" t="s">
        <v>4494</v>
      </c>
      <c r="C818" s="2" t="s">
        <v>17728</v>
      </c>
      <c r="D818" s="2" t="s">
        <v>17729</v>
      </c>
      <c r="E818" s="2" t="s">
        <v>17733</v>
      </c>
      <c r="F818" s="2" t="s">
        <v>17734</v>
      </c>
      <c r="G818" s="2" t="s">
        <v>17735</v>
      </c>
    </row>
    <row r="819">
      <c r="A819" s="2" t="s">
        <v>4493</v>
      </c>
      <c r="B819" s="2" t="s">
        <v>4494</v>
      </c>
      <c r="C819" s="2" t="s">
        <v>17728</v>
      </c>
      <c r="D819" s="2" t="s">
        <v>17729</v>
      </c>
      <c r="E819" s="2" t="s">
        <v>17736</v>
      </c>
      <c r="F819" s="2" t="s">
        <v>17737</v>
      </c>
      <c r="G819" s="2" t="s">
        <v>17738</v>
      </c>
    </row>
    <row r="820">
      <c r="A820" s="2" t="s">
        <v>4493</v>
      </c>
      <c r="B820" s="2" t="s">
        <v>4494</v>
      </c>
      <c r="C820" s="2" t="s">
        <v>17728</v>
      </c>
      <c r="D820" s="2" t="s">
        <v>17729</v>
      </c>
      <c r="E820" s="2" t="s">
        <v>17739</v>
      </c>
      <c r="F820" s="2" t="s">
        <v>17740</v>
      </c>
      <c r="G820" s="2" t="s">
        <v>17741</v>
      </c>
    </row>
    <row r="821">
      <c r="A821" s="2" t="s">
        <v>4493</v>
      </c>
      <c r="B821" s="2" t="s">
        <v>4494</v>
      </c>
      <c r="C821" s="2" t="s">
        <v>17728</v>
      </c>
      <c r="D821" s="2" t="s">
        <v>17729</v>
      </c>
      <c r="E821" s="2" t="s">
        <v>17742</v>
      </c>
      <c r="F821" s="2" t="s">
        <v>17743</v>
      </c>
      <c r="G821" s="2" t="s">
        <v>17744</v>
      </c>
    </row>
    <row r="822">
      <c r="A822" s="2" t="s">
        <v>4493</v>
      </c>
      <c r="B822" s="2" t="s">
        <v>4494</v>
      </c>
      <c r="C822" s="2" t="s">
        <v>17728</v>
      </c>
      <c r="D822" s="2" t="s">
        <v>17729</v>
      </c>
      <c r="E822" s="2" t="s">
        <v>17745</v>
      </c>
      <c r="F822" s="2" t="s">
        <v>17746</v>
      </c>
      <c r="G822" s="2" t="s">
        <v>17747</v>
      </c>
    </row>
    <row r="823">
      <c r="A823" s="2" t="s">
        <v>11184</v>
      </c>
      <c r="B823" s="2" t="s">
        <v>11185</v>
      </c>
      <c r="C823" s="2" t="s">
        <v>17748</v>
      </c>
      <c r="D823" s="2" t="s">
        <v>17749</v>
      </c>
      <c r="E823" s="2" t="s">
        <v>17750</v>
      </c>
      <c r="F823" s="2" t="s">
        <v>17751</v>
      </c>
      <c r="G823" s="2" t="s">
        <v>17752</v>
      </c>
    </row>
    <row r="824">
      <c r="A824" s="2" t="s">
        <v>1125</v>
      </c>
      <c r="B824" s="2" t="s">
        <v>1126</v>
      </c>
      <c r="C824" s="2" t="s">
        <v>17753</v>
      </c>
      <c r="D824" s="2" t="s">
        <v>17754</v>
      </c>
      <c r="E824" s="2" t="s">
        <v>17755</v>
      </c>
      <c r="F824" s="2" t="s">
        <v>17756</v>
      </c>
      <c r="G824" s="2" t="s">
        <v>17757</v>
      </c>
    </row>
    <row r="825">
      <c r="A825" s="2" t="s">
        <v>11526</v>
      </c>
      <c r="B825" s="2" t="s">
        <v>11527</v>
      </c>
      <c r="C825" s="2" t="s">
        <v>17758</v>
      </c>
      <c r="D825" s="2" t="s">
        <v>17759</v>
      </c>
      <c r="E825" s="2" t="s">
        <v>17760</v>
      </c>
      <c r="F825" s="2" t="s">
        <v>17761</v>
      </c>
      <c r="G825" s="2" t="s">
        <v>17762</v>
      </c>
    </row>
    <row r="826">
      <c r="A826" s="2" t="s">
        <v>11419</v>
      </c>
      <c r="B826" s="2" t="s">
        <v>11420</v>
      </c>
      <c r="C826" s="2" t="s">
        <v>17763</v>
      </c>
      <c r="D826" s="2" t="s">
        <v>17764</v>
      </c>
      <c r="E826" s="2" t="s">
        <v>17765</v>
      </c>
      <c r="F826" s="2" t="s">
        <v>17766</v>
      </c>
      <c r="G826" s="2" t="s">
        <v>17767</v>
      </c>
    </row>
    <row r="827">
      <c r="A827" s="2" t="s">
        <v>11419</v>
      </c>
      <c r="B827" s="2" t="s">
        <v>11420</v>
      </c>
      <c r="C827" s="2" t="s">
        <v>17763</v>
      </c>
      <c r="D827" s="2" t="s">
        <v>17764</v>
      </c>
      <c r="E827" s="2" t="s">
        <v>17768</v>
      </c>
      <c r="F827" s="2" t="s">
        <v>17769</v>
      </c>
      <c r="G827" s="2" t="s">
        <v>17770</v>
      </c>
    </row>
    <row r="828">
      <c r="A828" s="2" t="s">
        <v>14506</v>
      </c>
      <c r="B828" s="2" t="s">
        <v>14507</v>
      </c>
      <c r="C828" s="2" t="s">
        <v>17771</v>
      </c>
      <c r="D828" s="2" t="s">
        <v>17772</v>
      </c>
      <c r="E828" s="2" t="s">
        <v>17773</v>
      </c>
      <c r="F828" s="2" t="s">
        <v>17774</v>
      </c>
      <c r="G828" s="2" t="s">
        <v>17775</v>
      </c>
    </row>
    <row r="829">
      <c r="A829" s="2" t="s">
        <v>14506</v>
      </c>
      <c r="B829" s="2" t="s">
        <v>14507</v>
      </c>
      <c r="C829" s="2" t="s">
        <v>17771</v>
      </c>
      <c r="D829" s="2" t="s">
        <v>17772</v>
      </c>
      <c r="E829" s="2" t="s">
        <v>17776</v>
      </c>
      <c r="F829" s="2" t="s">
        <v>17777</v>
      </c>
      <c r="G829" s="2" t="s">
        <v>17778</v>
      </c>
    </row>
    <row r="830">
      <c r="A830" s="2" t="s">
        <v>14506</v>
      </c>
      <c r="B830" s="2" t="s">
        <v>14507</v>
      </c>
      <c r="C830" s="2" t="s">
        <v>17771</v>
      </c>
      <c r="D830" s="2" t="s">
        <v>17772</v>
      </c>
      <c r="E830" s="2" t="s">
        <v>17779</v>
      </c>
      <c r="F830" s="2" t="s">
        <v>17780</v>
      </c>
      <c r="G830" s="2" t="s">
        <v>17781</v>
      </c>
    </row>
    <row r="831">
      <c r="A831" s="2" t="s">
        <v>8913</v>
      </c>
      <c r="B831" s="2" t="s">
        <v>8914</v>
      </c>
      <c r="C831" s="2" t="s">
        <v>17782</v>
      </c>
      <c r="D831" s="2" t="s">
        <v>17783</v>
      </c>
      <c r="E831" s="2" t="s">
        <v>17784</v>
      </c>
      <c r="F831" s="2" t="s">
        <v>17785</v>
      </c>
      <c r="G831" s="2" t="s">
        <v>17786</v>
      </c>
    </row>
    <row r="832">
      <c r="A832" s="2" t="s">
        <v>447</v>
      </c>
      <c r="B832" s="2" t="s">
        <v>448</v>
      </c>
      <c r="C832" s="2" t="s">
        <v>17787</v>
      </c>
      <c r="D832" s="2" t="s">
        <v>17788</v>
      </c>
      <c r="E832" s="2" t="s">
        <v>17789</v>
      </c>
      <c r="F832" s="2" t="s">
        <v>17790</v>
      </c>
      <c r="G832" s="2" t="s">
        <v>17791</v>
      </c>
    </row>
    <row r="833">
      <c r="A833" s="2" t="s">
        <v>447</v>
      </c>
      <c r="B833" s="2" t="s">
        <v>448</v>
      </c>
      <c r="C833" s="2" t="s">
        <v>17787</v>
      </c>
      <c r="D833" s="2" t="s">
        <v>17788</v>
      </c>
      <c r="E833" s="2" t="s">
        <v>17792</v>
      </c>
      <c r="F833" s="2" t="s">
        <v>17793</v>
      </c>
      <c r="G833" s="2" t="s">
        <v>17794</v>
      </c>
    </row>
    <row r="834">
      <c r="A834" s="2" t="s">
        <v>447</v>
      </c>
      <c r="B834" s="2" t="s">
        <v>448</v>
      </c>
      <c r="C834" s="2" t="s">
        <v>17787</v>
      </c>
      <c r="D834" s="2" t="s">
        <v>17788</v>
      </c>
      <c r="E834" s="2" t="s">
        <v>17795</v>
      </c>
      <c r="F834" s="2" t="s">
        <v>17796</v>
      </c>
      <c r="G834" s="2" t="s">
        <v>17797</v>
      </c>
    </row>
    <row r="835">
      <c r="A835" s="2" t="s">
        <v>12414</v>
      </c>
      <c r="B835" s="2" t="s">
        <v>12415</v>
      </c>
      <c r="C835" s="2" t="s">
        <v>17798</v>
      </c>
      <c r="D835" s="2" t="s">
        <v>17799</v>
      </c>
      <c r="E835" s="2" t="s">
        <v>17800</v>
      </c>
      <c r="F835" s="2" t="s">
        <v>17801</v>
      </c>
      <c r="G835" s="2" t="s">
        <v>17802</v>
      </c>
    </row>
    <row r="836">
      <c r="A836" s="2" t="s">
        <v>13777</v>
      </c>
      <c r="B836" s="2" t="s">
        <v>13778</v>
      </c>
      <c r="C836" s="2" t="s">
        <v>17803</v>
      </c>
      <c r="D836" s="2" t="s">
        <v>17804</v>
      </c>
      <c r="E836" s="2" t="s">
        <v>17805</v>
      </c>
      <c r="F836" s="2" t="s">
        <v>17806</v>
      </c>
      <c r="G836" s="2" t="s">
        <v>17807</v>
      </c>
    </row>
    <row r="837">
      <c r="A837" s="2" t="s">
        <v>6628</v>
      </c>
      <c r="B837" s="2" t="s">
        <v>6629</v>
      </c>
      <c r="C837" s="2" t="s">
        <v>17808</v>
      </c>
      <c r="D837" s="2" t="s">
        <v>17809</v>
      </c>
      <c r="E837" s="2" t="s">
        <v>17810</v>
      </c>
      <c r="F837" s="2" t="s">
        <v>17811</v>
      </c>
      <c r="G837" s="2" t="s">
        <v>17812</v>
      </c>
    </row>
    <row r="838">
      <c r="A838" s="2" t="s">
        <v>7540</v>
      </c>
      <c r="B838" s="2" t="s">
        <v>7541</v>
      </c>
      <c r="C838" s="2" t="s">
        <v>17813</v>
      </c>
      <c r="D838" s="2" t="s">
        <v>17814</v>
      </c>
      <c r="E838" s="2" t="s">
        <v>17815</v>
      </c>
      <c r="F838" s="2" t="s">
        <v>17816</v>
      </c>
      <c r="G838" s="2" t="s">
        <v>17817</v>
      </c>
    </row>
    <row r="839">
      <c r="A839" s="2" t="s">
        <v>6076</v>
      </c>
      <c r="B839" s="2" t="s">
        <v>6077</v>
      </c>
      <c r="C839" s="2" t="s">
        <v>17818</v>
      </c>
      <c r="D839" s="2" t="s">
        <v>17819</v>
      </c>
      <c r="E839" s="2" t="s">
        <v>17820</v>
      </c>
      <c r="F839" s="2" t="s">
        <v>17811</v>
      </c>
      <c r="G839" s="2" t="s">
        <v>17821</v>
      </c>
    </row>
    <row r="840">
      <c r="A840" s="2" t="s">
        <v>6076</v>
      </c>
      <c r="B840" s="2" t="s">
        <v>6077</v>
      </c>
      <c r="C840" s="2" t="s">
        <v>17818</v>
      </c>
      <c r="D840" s="2" t="s">
        <v>17819</v>
      </c>
      <c r="E840" s="2" t="s">
        <v>17822</v>
      </c>
      <c r="F840" s="2" t="s">
        <v>17823</v>
      </c>
      <c r="G840" s="2" t="s">
        <v>17824</v>
      </c>
    </row>
    <row r="841">
      <c r="A841" s="2" t="s">
        <v>12418</v>
      </c>
      <c r="B841" s="2" t="s">
        <v>12419</v>
      </c>
      <c r="C841" s="2" t="s">
        <v>17825</v>
      </c>
      <c r="D841" s="2" t="s">
        <v>17826</v>
      </c>
      <c r="E841" s="2" t="s">
        <v>17827</v>
      </c>
      <c r="F841" s="2" t="s">
        <v>17828</v>
      </c>
      <c r="G841" s="2" t="s">
        <v>17829</v>
      </c>
    </row>
    <row r="842">
      <c r="A842" s="2"/>
      <c r="B842" s="2"/>
      <c r="C842" s="2" t="s">
        <v>17830</v>
      </c>
      <c r="D842" s="2" t="s">
        <v>17831</v>
      </c>
      <c r="E842" s="2" t="s">
        <v>17832</v>
      </c>
      <c r="F842" s="2" t="s">
        <v>17526</v>
      </c>
      <c r="G842" s="2" t="s">
        <v>17833</v>
      </c>
    </row>
    <row r="843">
      <c r="A843" s="2" t="s">
        <v>3094</v>
      </c>
      <c r="B843" s="2" t="s">
        <v>3095</v>
      </c>
      <c r="C843" s="2" t="s">
        <v>17834</v>
      </c>
      <c r="D843" s="2" t="s">
        <v>17835</v>
      </c>
      <c r="E843" s="2" t="s">
        <v>17836</v>
      </c>
      <c r="F843" s="2" t="s">
        <v>17837</v>
      </c>
      <c r="G843" s="2" t="s">
        <v>17838</v>
      </c>
    </row>
    <row r="844">
      <c r="A844" s="2" t="s">
        <v>3094</v>
      </c>
      <c r="B844" s="2" t="s">
        <v>3095</v>
      </c>
      <c r="C844" s="2" t="s">
        <v>17834</v>
      </c>
      <c r="D844" s="2" t="s">
        <v>17835</v>
      </c>
      <c r="E844" s="2" t="s">
        <v>17839</v>
      </c>
      <c r="F844" s="2" t="s">
        <v>17837</v>
      </c>
      <c r="G844" s="2" t="s">
        <v>17840</v>
      </c>
    </row>
    <row r="845">
      <c r="A845" s="2" t="s">
        <v>3094</v>
      </c>
      <c r="B845" s="2" t="s">
        <v>3095</v>
      </c>
      <c r="C845" s="2" t="s">
        <v>17834</v>
      </c>
      <c r="D845" s="2" t="s">
        <v>17835</v>
      </c>
      <c r="E845" s="2" t="s">
        <v>17841</v>
      </c>
      <c r="F845" s="2" t="s">
        <v>17486</v>
      </c>
      <c r="G845" s="2" t="s">
        <v>17842</v>
      </c>
    </row>
    <row r="846">
      <c r="A846" s="2" t="s">
        <v>3094</v>
      </c>
      <c r="B846" s="2" t="s">
        <v>3095</v>
      </c>
      <c r="C846" s="2" t="s">
        <v>17834</v>
      </c>
      <c r="D846" s="2" t="s">
        <v>17835</v>
      </c>
      <c r="E846" s="2" t="s">
        <v>17843</v>
      </c>
      <c r="F846" s="2" t="s">
        <v>17844</v>
      </c>
      <c r="G846" s="2" t="s">
        <v>17845</v>
      </c>
    </row>
    <row r="847">
      <c r="A847" s="2" t="s">
        <v>3094</v>
      </c>
      <c r="B847" s="2" t="s">
        <v>3095</v>
      </c>
      <c r="C847" s="2" t="s">
        <v>17834</v>
      </c>
      <c r="D847" s="2" t="s">
        <v>17835</v>
      </c>
      <c r="E847" s="2" t="s">
        <v>17846</v>
      </c>
      <c r="F847" s="2" t="s">
        <v>17847</v>
      </c>
      <c r="G847" s="2" t="s">
        <v>17842</v>
      </c>
    </row>
    <row r="848">
      <c r="A848" s="2" t="s">
        <v>3390</v>
      </c>
      <c r="B848" s="2" t="s">
        <v>3391</v>
      </c>
      <c r="C848" s="2" t="s">
        <v>17848</v>
      </c>
      <c r="D848" s="2" t="s">
        <v>17849</v>
      </c>
      <c r="E848" s="2" t="s">
        <v>17850</v>
      </c>
      <c r="F848" s="2" t="s">
        <v>17851</v>
      </c>
      <c r="G848" s="2" t="s">
        <v>17852</v>
      </c>
    </row>
    <row r="849">
      <c r="A849" s="2" t="s">
        <v>11018</v>
      </c>
      <c r="B849" s="2" t="s">
        <v>11019</v>
      </c>
      <c r="C849" s="2" t="s">
        <v>17853</v>
      </c>
      <c r="D849" s="2" t="s">
        <v>17854</v>
      </c>
      <c r="E849" s="2" t="s">
        <v>17855</v>
      </c>
      <c r="F849" s="2" t="s">
        <v>17837</v>
      </c>
      <c r="G849" s="2" t="s">
        <v>17856</v>
      </c>
    </row>
    <row r="850">
      <c r="A850" s="2"/>
      <c r="B850" s="2"/>
      <c r="C850" s="2" t="s">
        <v>17857</v>
      </c>
      <c r="D850" s="2" t="s">
        <v>17858</v>
      </c>
      <c r="E850" s="2" t="s">
        <v>17859</v>
      </c>
      <c r="F850" s="2" t="s">
        <v>17860</v>
      </c>
      <c r="G850" s="2" t="s">
        <v>17861</v>
      </c>
    </row>
    <row r="851">
      <c r="A851" s="2"/>
      <c r="B851" s="2"/>
      <c r="C851" s="2" t="s">
        <v>17862</v>
      </c>
      <c r="D851" s="2" t="s">
        <v>17863</v>
      </c>
      <c r="E851" s="2" t="s">
        <v>17864</v>
      </c>
      <c r="F851" s="2" t="s">
        <v>17865</v>
      </c>
      <c r="G851" s="2" t="s">
        <v>17866</v>
      </c>
    </row>
    <row r="852">
      <c r="A852" s="2" t="s">
        <v>2182</v>
      </c>
      <c r="B852" s="2" t="s">
        <v>2183</v>
      </c>
      <c r="C852" s="2" t="s">
        <v>17867</v>
      </c>
      <c r="D852" s="2" t="s">
        <v>17868</v>
      </c>
      <c r="E852" s="2" t="s">
        <v>17869</v>
      </c>
      <c r="F852" s="2" t="s">
        <v>17870</v>
      </c>
      <c r="G852" s="2" t="s">
        <v>17871</v>
      </c>
    </row>
    <row r="853">
      <c r="A853" s="2" t="s">
        <v>2182</v>
      </c>
      <c r="B853" s="2" t="s">
        <v>2183</v>
      </c>
      <c r="C853" s="2" t="s">
        <v>17867</v>
      </c>
      <c r="D853" s="2" t="s">
        <v>17868</v>
      </c>
      <c r="E853" s="2" t="s">
        <v>17872</v>
      </c>
      <c r="F853" s="2" t="s">
        <v>17873</v>
      </c>
      <c r="G853" s="2" t="s">
        <v>17874</v>
      </c>
    </row>
    <row r="854">
      <c r="A854" s="2" t="s">
        <v>2182</v>
      </c>
      <c r="B854" s="2" t="s">
        <v>2183</v>
      </c>
      <c r="C854" s="2" t="s">
        <v>17867</v>
      </c>
      <c r="D854" s="2" t="s">
        <v>17868</v>
      </c>
      <c r="E854" s="2" t="s">
        <v>17875</v>
      </c>
      <c r="F854" s="2" t="s">
        <v>17876</v>
      </c>
      <c r="G854" s="2" t="s">
        <v>17877</v>
      </c>
    </row>
    <row r="855">
      <c r="A855" s="2"/>
      <c r="B855" s="2"/>
      <c r="C855" s="2" t="s">
        <v>17878</v>
      </c>
      <c r="D855" s="2" t="s">
        <v>17879</v>
      </c>
      <c r="E855" s="2" t="s">
        <v>17880</v>
      </c>
      <c r="F855" s="2" t="s">
        <v>16041</v>
      </c>
      <c r="G855" s="2" t="s">
        <v>17881</v>
      </c>
    </row>
    <row r="856">
      <c r="A856" s="2" t="s">
        <v>11187</v>
      </c>
      <c r="B856" s="2" t="s">
        <v>11188</v>
      </c>
      <c r="C856" s="2" t="s">
        <v>17882</v>
      </c>
      <c r="D856" s="2" t="s">
        <v>17883</v>
      </c>
      <c r="E856" s="2" t="s">
        <v>17884</v>
      </c>
      <c r="F856" s="2" t="s">
        <v>17885</v>
      </c>
      <c r="G856" s="2" t="s">
        <v>17886</v>
      </c>
    </row>
    <row r="857">
      <c r="A857" s="2" t="s">
        <v>8123</v>
      </c>
      <c r="B857" s="2" t="s">
        <v>8124</v>
      </c>
      <c r="C857" s="2" t="s">
        <v>17887</v>
      </c>
      <c r="D857" s="2" t="s">
        <v>17888</v>
      </c>
      <c r="E857" s="2" t="s">
        <v>17889</v>
      </c>
      <c r="F857" s="2" t="s">
        <v>17890</v>
      </c>
      <c r="G857" s="2" t="s">
        <v>17891</v>
      </c>
    </row>
    <row r="858">
      <c r="A858" s="2" t="s">
        <v>14617</v>
      </c>
      <c r="B858" s="2" t="s">
        <v>14618</v>
      </c>
      <c r="C858" s="2" t="s">
        <v>17892</v>
      </c>
      <c r="D858" s="2" t="s">
        <v>17893</v>
      </c>
      <c r="E858" s="2" t="s">
        <v>17894</v>
      </c>
      <c r="F858" s="2" t="s">
        <v>17895</v>
      </c>
      <c r="G858" s="2" t="s">
        <v>17896</v>
      </c>
    </row>
    <row r="859">
      <c r="A859" s="2" t="s">
        <v>3386</v>
      </c>
      <c r="B859" s="2" t="s">
        <v>3387</v>
      </c>
      <c r="C859" s="2" t="s">
        <v>17897</v>
      </c>
      <c r="D859" s="2" t="s">
        <v>17898</v>
      </c>
      <c r="E859" s="2" t="s">
        <v>17899</v>
      </c>
      <c r="F859" s="2" t="s">
        <v>17900</v>
      </c>
      <c r="G859" s="2" t="s">
        <v>17901</v>
      </c>
    </row>
    <row r="860">
      <c r="A860" s="2" t="s">
        <v>380</v>
      </c>
      <c r="B860" s="2" t="s">
        <v>381</v>
      </c>
      <c r="C860" s="2" t="s">
        <v>17902</v>
      </c>
      <c r="D860" s="2" t="s">
        <v>17903</v>
      </c>
      <c r="E860" s="2" t="s">
        <v>17904</v>
      </c>
      <c r="F860" s="2" t="s">
        <v>17905</v>
      </c>
      <c r="G860" s="2" t="s">
        <v>17075</v>
      </c>
    </row>
    <row r="861">
      <c r="A861" s="2" t="s">
        <v>9875</v>
      </c>
      <c r="B861" s="2" t="s">
        <v>9876</v>
      </c>
      <c r="C861" s="2" t="s">
        <v>17906</v>
      </c>
      <c r="D861" s="2" t="s">
        <v>17907</v>
      </c>
      <c r="E861" s="2" t="s">
        <v>17908</v>
      </c>
      <c r="F861" s="2" t="s">
        <v>17909</v>
      </c>
      <c r="G861" s="2" t="s">
        <v>16476</v>
      </c>
    </row>
    <row r="862">
      <c r="A862" s="2" t="s">
        <v>9875</v>
      </c>
      <c r="B862" s="2" t="s">
        <v>9876</v>
      </c>
      <c r="C862" s="2" t="s">
        <v>17906</v>
      </c>
      <c r="D862" s="2" t="s">
        <v>17907</v>
      </c>
      <c r="E862" s="2" t="s">
        <v>17910</v>
      </c>
      <c r="F862" s="2" t="s">
        <v>17911</v>
      </c>
      <c r="G862" s="2" t="s">
        <v>16458</v>
      </c>
    </row>
    <row r="863">
      <c r="A863" s="2" t="s">
        <v>9875</v>
      </c>
      <c r="B863" s="2" t="s">
        <v>9876</v>
      </c>
      <c r="C863" s="2" t="s">
        <v>17906</v>
      </c>
      <c r="D863" s="2" t="s">
        <v>17907</v>
      </c>
      <c r="E863" s="2" t="s">
        <v>17912</v>
      </c>
      <c r="F863" s="2" t="s">
        <v>17913</v>
      </c>
      <c r="G863" s="2" t="s">
        <v>17914</v>
      </c>
    </row>
    <row r="864">
      <c r="A864" s="2" t="s">
        <v>9875</v>
      </c>
      <c r="B864" s="2" t="s">
        <v>9876</v>
      </c>
      <c r="C864" s="2" t="s">
        <v>17906</v>
      </c>
      <c r="D864" s="2" t="s">
        <v>17907</v>
      </c>
      <c r="E864" s="2" t="s">
        <v>17915</v>
      </c>
      <c r="F864" s="2" t="s">
        <v>17916</v>
      </c>
      <c r="G864" s="2" t="s">
        <v>16480</v>
      </c>
    </row>
    <row r="865">
      <c r="A865" s="2" t="s">
        <v>7012</v>
      </c>
      <c r="B865" s="2" t="s">
        <v>7013</v>
      </c>
      <c r="C865" s="2" t="s">
        <v>17917</v>
      </c>
      <c r="D865" s="2" t="s">
        <v>17918</v>
      </c>
      <c r="E865" s="2" t="s">
        <v>17919</v>
      </c>
      <c r="F865" s="2" t="s">
        <v>17920</v>
      </c>
      <c r="G865" s="2" t="s">
        <v>16468</v>
      </c>
    </row>
    <row r="866">
      <c r="A866" s="2" t="s">
        <v>7012</v>
      </c>
      <c r="B866" s="2" t="s">
        <v>7013</v>
      </c>
      <c r="C866" s="2" t="s">
        <v>17917</v>
      </c>
      <c r="D866" s="2" t="s">
        <v>17918</v>
      </c>
      <c r="E866" s="2" t="s">
        <v>17921</v>
      </c>
      <c r="F866" s="2" t="s">
        <v>17922</v>
      </c>
      <c r="G866" s="2" t="s">
        <v>17923</v>
      </c>
    </row>
    <row r="867">
      <c r="A867" s="2" t="s">
        <v>7012</v>
      </c>
      <c r="B867" s="2" t="s">
        <v>7013</v>
      </c>
      <c r="C867" s="2" t="s">
        <v>17917</v>
      </c>
      <c r="D867" s="2" t="s">
        <v>17918</v>
      </c>
      <c r="E867" s="2" t="s">
        <v>17924</v>
      </c>
      <c r="F867" s="2" t="s">
        <v>17925</v>
      </c>
      <c r="G867" s="2" t="s">
        <v>17926</v>
      </c>
    </row>
    <row r="868">
      <c r="A868" s="2" t="s">
        <v>7012</v>
      </c>
      <c r="B868" s="2" t="s">
        <v>7013</v>
      </c>
      <c r="C868" s="2" t="s">
        <v>17917</v>
      </c>
      <c r="D868" s="2" t="s">
        <v>17918</v>
      </c>
      <c r="E868" s="2" t="s">
        <v>17927</v>
      </c>
      <c r="F868" s="2" t="s">
        <v>17928</v>
      </c>
      <c r="G868" s="2" t="s">
        <v>17929</v>
      </c>
    </row>
    <row r="869">
      <c r="A869" s="2" t="s">
        <v>7012</v>
      </c>
      <c r="B869" s="2" t="s">
        <v>7013</v>
      </c>
      <c r="C869" s="2" t="s">
        <v>17917</v>
      </c>
      <c r="D869" s="2" t="s">
        <v>17918</v>
      </c>
      <c r="E869" s="2" t="s">
        <v>17930</v>
      </c>
      <c r="F869" s="2" t="s">
        <v>17837</v>
      </c>
      <c r="G869" s="2" t="s">
        <v>16455</v>
      </c>
    </row>
    <row r="870">
      <c r="A870" s="2" t="s">
        <v>7012</v>
      </c>
      <c r="B870" s="2" t="s">
        <v>7013</v>
      </c>
      <c r="C870" s="2" t="s">
        <v>17917</v>
      </c>
      <c r="D870" s="2" t="s">
        <v>17918</v>
      </c>
      <c r="E870" s="2" t="s">
        <v>17931</v>
      </c>
      <c r="F870" s="2" t="s">
        <v>17932</v>
      </c>
      <c r="G870" s="2" t="s">
        <v>17933</v>
      </c>
    </row>
    <row r="871">
      <c r="A871" s="2" t="s">
        <v>7012</v>
      </c>
      <c r="B871" s="2" t="s">
        <v>7013</v>
      </c>
      <c r="C871" s="2" t="s">
        <v>17917</v>
      </c>
      <c r="D871" s="2" t="s">
        <v>17918</v>
      </c>
      <c r="E871" s="2" t="s">
        <v>17934</v>
      </c>
      <c r="F871" s="2" t="s">
        <v>17935</v>
      </c>
      <c r="G871" s="2" t="s">
        <v>16490</v>
      </c>
    </row>
    <row r="872">
      <c r="A872" s="2" t="s">
        <v>7012</v>
      </c>
      <c r="B872" s="2" t="s">
        <v>7013</v>
      </c>
      <c r="C872" s="2" t="s">
        <v>17917</v>
      </c>
      <c r="D872" s="2" t="s">
        <v>17918</v>
      </c>
      <c r="E872" s="2" t="s">
        <v>17936</v>
      </c>
      <c r="F872" s="2" t="s">
        <v>17937</v>
      </c>
      <c r="G872" s="2" t="s">
        <v>17938</v>
      </c>
    </row>
    <row r="873">
      <c r="A873" s="2" t="s">
        <v>7012</v>
      </c>
      <c r="B873" s="2" t="s">
        <v>7013</v>
      </c>
      <c r="C873" s="2" t="s">
        <v>17917</v>
      </c>
      <c r="D873" s="2" t="s">
        <v>17918</v>
      </c>
      <c r="E873" s="2" t="s">
        <v>17939</v>
      </c>
      <c r="F873" s="2" t="s">
        <v>17940</v>
      </c>
      <c r="G873" s="2" t="s">
        <v>17941</v>
      </c>
    </row>
    <row r="874">
      <c r="A874" s="2" t="s">
        <v>7012</v>
      </c>
      <c r="B874" s="2" t="s">
        <v>7013</v>
      </c>
      <c r="C874" s="2" t="s">
        <v>17917</v>
      </c>
      <c r="D874" s="2" t="s">
        <v>17918</v>
      </c>
      <c r="E874" s="2" t="s">
        <v>17942</v>
      </c>
      <c r="F874" s="2" t="s">
        <v>17943</v>
      </c>
      <c r="G874" s="2" t="s">
        <v>17944</v>
      </c>
    </row>
    <row r="875">
      <c r="A875" s="2" t="s">
        <v>7012</v>
      </c>
      <c r="B875" s="2" t="s">
        <v>7013</v>
      </c>
      <c r="C875" s="2" t="s">
        <v>17917</v>
      </c>
      <c r="D875" s="2" t="s">
        <v>17918</v>
      </c>
      <c r="E875" s="2" t="s">
        <v>17945</v>
      </c>
      <c r="F875" s="2" t="s">
        <v>17946</v>
      </c>
      <c r="G875" s="2" t="s">
        <v>17947</v>
      </c>
    </row>
    <row r="876">
      <c r="A876" s="2" t="s">
        <v>2917</v>
      </c>
      <c r="B876" s="2" t="s">
        <v>2918</v>
      </c>
      <c r="C876" s="2" t="s">
        <v>17948</v>
      </c>
      <c r="D876" s="2" t="s">
        <v>17949</v>
      </c>
      <c r="E876" s="2" t="s">
        <v>15943</v>
      </c>
      <c r="F876" s="2" t="s">
        <v>15944</v>
      </c>
      <c r="G876" s="2" t="s">
        <v>15944</v>
      </c>
    </row>
    <row r="877">
      <c r="A877" s="2" t="s">
        <v>14502</v>
      </c>
      <c r="B877" s="2" t="s">
        <v>14503</v>
      </c>
      <c r="C877" s="2" t="s">
        <v>17950</v>
      </c>
      <c r="D877" s="2" t="s">
        <v>17951</v>
      </c>
      <c r="E877" s="2" t="s">
        <v>17952</v>
      </c>
      <c r="F877" s="2" t="s">
        <v>17953</v>
      </c>
      <c r="G877" s="2" t="s">
        <v>17954</v>
      </c>
    </row>
    <row r="878">
      <c r="A878" s="2" t="s">
        <v>14502</v>
      </c>
      <c r="B878" s="2" t="s">
        <v>14503</v>
      </c>
      <c r="C878" s="2" t="s">
        <v>17950</v>
      </c>
      <c r="D878" s="2" t="s">
        <v>17951</v>
      </c>
      <c r="E878" s="2" t="s">
        <v>17955</v>
      </c>
      <c r="F878" s="2" t="s">
        <v>17956</v>
      </c>
      <c r="G878" s="2" t="s">
        <v>17957</v>
      </c>
    </row>
    <row r="879">
      <c r="A879" s="2" t="s">
        <v>14502</v>
      </c>
      <c r="B879" s="2" t="s">
        <v>14503</v>
      </c>
      <c r="C879" s="2" t="s">
        <v>17950</v>
      </c>
      <c r="D879" s="2" t="s">
        <v>17951</v>
      </c>
      <c r="E879" s="2" t="s">
        <v>17958</v>
      </c>
      <c r="F879" s="2" t="s">
        <v>17777</v>
      </c>
      <c r="G879" s="2" t="s">
        <v>17959</v>
      </c>
    </row>
    <row r="880">
      <c r="A880" s="2" t="s">
        <v>2991</v>
      </c>
      <c r="B880" s="2" t="s">
        <v>2992</v>
      </c>
      <c r="C880" s="2" t="s">
        <v>17960</v>
      </c>
      <c r="D880" s="2" t="s">
        <v>17961</v>
      </c>
      <c r="E880" s="2" t="s">
        <v>17962</v>
      </c>
      <c r="F880" s="2" t="s">
        <v>17963</v>
      </c>
      <c r="G880" s="2" t="s">
        <v>17964</v>
      </c>
    </row>
    <row r="881">
      <c r="A881" s="2" t="s">
        <v>11455</v>
      </c>
      <c r="B881" s="2" t="s">
        <v>11456</v>
      </c>
      <c r="C881" s="2" t="s">
        <v>17965</v>
      </c>
      <c r="D881" s="2" t="s">
        <v>17966</v>
      </c>
      <c r="E881" s="2" t="s">
        <v>17967</v>
      </c>
      <c r="F881" s="2" t="s">
        <v>17968</v>
      </c>
      <c r="G881" s="2" t="s">
        <v>17969</v>
      </c>
    </row>
    <row r="882">
      <c r="A882" s="2" t="s">
        <v>3363</v>
      </c>
      <c r="B882" s="2" t="s">
        <v>3364</v>
      </c>
      <c r="C882" s="2" t="s">
        <v>17970</v>
      </c>
      <c r="D882" s="2" t="s">
        <v>17971</v>
      </c>
      <c r="E882" s="2" t="s">
        <v>17972</v>
      </c>
      <c r="F882" s="2" t="s">
        <v>17973</v>
      </c>
      <c r="G882" s="2" t="s">
        <v>17974</v>
      </c>
    </row>
    <row r="883">
      <c r="A883" s="2" t="s">
        <v>6305</v>
      </c>
      <c r="B883" s="2" t="s">
        <v>6306</v>
      </c>
      <c r="C883" s="2" t="s">
        <v>17975</v>
      </c>
      <c r="D883" s="2" t="s">
        <v>17976</v>
      </c>
      <c r="E883" s="2" t="s">
        <v>17977</v>
      </c>
      <c r="F883" s="2" t="s">
        <v>17978</v>
      </c>
      <c r="G883" s="2" t="s">
        <v>17979</v>
      </c>
    </row>
    <row r="884">
      <c r="A884" s="2" t="s">
        <v>11712</v>
      </c>
      <c r="B884" s="2" t="s">
        <v>11713</v>
      </c>
      <c r="C884" s="2" t="s">
        <v>17980</v>
      </c>
      <c r="D884" s="2" t="s">
        <v>17981</v>
      </c>
      <c r="E884" s="2" t="s">
        <v>17982</v>
      </c>
      <c r="F884" s="2" t="s">
        <v>17983</v>
      </c>
      <c r="G884" s="2" t="s">
        <v>17984</v>
      </c>
    </row>
    <row r="885">
      <c r="A885" s="2" t="s">
        <v>11759</v>
      </c>
      <c r="B885" s="2" t="s">
        <v>11760</v>
      </c>
      <c r="C885" s="2" t="s">
        <v>17985</v>
      </c>
      <c r="D885" s="2" t="s">
        <v>17986</v>
      </c>
      <c r="E885" s="2" t="s">
        <v>17987</v>
      </c>
      <c r="F885" s="2" t="s">
        <v>17988</v>
      </c>
      <c r="G885" s="2" t="s">
        <v>17989</v>
      </c>
    </row>
    <row r="886">
      <c r="A886" s="2" t="s">
        <v>4342</v>
      </c>
      <c r="B886" s="2" t="s">
        <v>4343</v>
      </c>
      <c r="C886" s="2" t="s">
        <v>17990</v>
      </c>
      <c r="D886" s="2" t="s">
        <v>17991</v>
      </c>
      <c r="E886" s="2" t="s">
        <v>17992</v>
      </c>
      <c r="F886" s="2" t="s">
        <v>17993</v>
      </c>
      <c r="G886" s="2" t="s">
        <v>17994</v>
      </c>
    </row>
    <row r="887">
      <c r="A887" s="2" t="s">
        <v>4342</v>
      </c>
      <c r="B887" s="2" t="s">
        <v>4343</v>
      </c>
      <c r="C887" s="2" t="s">
        <v>17990</v>
      </c>
      <c r="D887" s="2" t="s">
        <v>17991</v>
      </c>
      <c r="E887" s="2" t="s">
        <v>17995</v>
      </c>
      <c r="F887" s="2" t="s">
        <v>17996</v>
      </c>
      <c r="G887" s="2" t="s">
        <v>17997</v>
      </c>
    </row>
    <row r="888">
      <c r="A888" s="2" t="s">
        <v>3879</v>
      </c>
      <c r="B888" s="2" t="s">
        <v>3880</v>
      </c>
      <c r="C888" s="2" t="s">
        <v>17998</v>
      </c>
      <c r="D888" s="2" t="s">
        <v>17999</v>
      </c>
      <c r="E888" s="2" t="s">
        <v>18000</v>
      </c>
      <c r="F888" s="2" t="s">
        <v>18001</v>
      </c>
      <c r="G888" s="2" t="s">
        <v>18002</v>
      </c>
    </row>
    <row r="889">
      <c r="A889" s="2" t="s">
        <v>9115</v>
      </c>
      <c r="B889" s="2" t="s">
        <v>9116</v>
      </c>
      <c r="C889" s="2" t="s">
        <v>18003</v>
      </c>
      <c r="D889" s="2" t="s">
        <v>18004</v>
      </c>
      <c r="E889" s="2" t="s">
        <v>18005</v>
      </c>
      <c r="F889" s="2" t="s">
        <v>18006</v>
      </c>
      <c r="G889" s="2" t="s">
        <v>18007</v>
      </c>
    </row>
    <row r="890">
      <c r="A890" s="2" t="s">
        <v>4829</v>
      </c>
      <c r="B890" s="2" t="s">
        <v>4830</v>
      </c>
      <c r="C890" s="2" t="s">
        <v>18008</v>
      </c>
      <c r="D890" s="2" t="s">
        <v>18009</v>
      </c>
      <c r="E890" s="2" t="s">
        <v>18010</v>
      </c>
      <c r="F890" s="2" t="s">
        <v>15096</v>
      </c>
      <c r="G890" s="2" t="s">
        <v>18011</v>
      </c>
    </row>
    <row r="891">
      <c r="A891" s="2" t="s">
        <v>7980</v>
      </c>
      <c r="B891" s="2" t="s">
        <v>7981</v>
      </c>
      <c r="C891" s="2" t="s">
        <v>18012</v>
      </c>
      <c r="D891" s="2" t="s">
        <v>18013</v>
      </c>
      <c r="E891" s="2" t="s">
        <v>18014</v>
      </c>
      <c r="F891" s="2" t="s">
        <v>18015</v>
      </c>
      <c r="G891" s="2" t="s">
        <v>18016</v>
      </c>
    </row>
    <row r="892">
      <c r="A892" s="2" t="s">
        <v>10324</v>
      </c>
      <c r="B892" s="2" t="s">
        <v>10325</v>
      </c>
      <c r="C892" s="2" t="s">
        <v>18017</v>
      </c>
      <c r="D892" s="2" t="s">
        <v>18018</v>
      </c>
      <c r="E892" s="2" t="s">
        <v>18019</v>
      </c>
      <c r="F892" s="2" t="s">
        <v>18020</v>
      </c>
      <c r="G892" s="2" t="s">
        <v>18021</v>
      </c>
    </row>
    <row r="893">
      <c r="A893" s="2" t="s">
        <v>7625</v>
      </c>
      <c r="B893" s="2" t="s">
        <v>7626</v>
      </c>
      <c r="C893" s="2" t="s">
        <v>18022</v>
      </c>
      <c r="D893" s="2" t="s">
        <v>18023</v>
      </c>
      <c r="E893" s="2" t="s">
        <v>18024</v>
      </c>
      <c r="F893" s="2" t="s">
        <v>18025</v>
      </c>
      <c r="G893" s="2" t="s">
        <v>18026</v>
      </c>
    </row>
    <row r="894">
      <c r="A894" s="2" t="s">
        <v>7625</v>
      </c>
      <c r="B894" s="2" t="s">
        <v>7626</v>
      </c>
      <c r="C894" s="2" t="s">
        <v>18022</v>
      </c>
      <c r="D894" s="2" t="s">
        <v>18023</v>
      </c>
      <c r="E894" s="2" t="s">
        <v>18027</v>
      </c>
      <c r="F894" s="2" t="s">
        <v>18028</v>
      </c>
      <c r="G894" s="2" t="s">
        <v>18026</v>
      </c>
    </row>
    <row r="895">
      <c r="A895" s="2" t="s">
        <v>7625</v>
      </c>
      <c r="B895" s="2" t="s">
        <v>7626</v>
      </c>
      <c r="C895" s="2" t="s">
        <v>18022</v>
      </c>
      <c r="D895" s="2" t="s">
        <v>18023</v>
      </c>
      <c r="E895" s="2" t="s">
        <v>18029</v>
      </c>
      <c r="F895" s="2" t="s">
        <v>18030</v>
      </c>
      <c r="G895" s="2" t="s">
        <v>18031</v>
      </c>
    </row>
    <row r="896">
      <c r="A896" s="2" t="s">
        <v>7625</v>
      </c>
      <c r="B896" s="2" t="s">
        <v>7626</v>
      </c>
      <c r="C896" s="2" t="s">
        <v>18022</v>
      </c>
      <c r="D896" s="2" t="s">
        <v>18023</v>
      </c>
      <c r="E896" s="2" t="s">
        <v>18032</v>
      </c>
      <c r="F896" s="2" t="s">
        <v>18033</v>
      </c>
      <c r="G896" s="2" t="s">
        <v>18034</v>
      </c>
    </row>
    <row r="897">
      <c r="A897" s="2" t="s">
        <v>6131</v>
      </c>
      <c r="B897" s="2" t="s">
        <v>6132</v>
      </c>
      <c r="C897" s="2" t="s">
        <v>18035</v>
      </c>
      <c r="D897" s="2" t="s">
        <v>18036</v>
      </c>
      <c r="E897" s="2" t="s">
        <v>18037</v>
      </c>
      <c r="F897" s="2" t="s">
        <v>18038</v>
      </c>
      <c r="G897" s="2" t="s">
        <v>18039</v>
      </c>
    </row>
    <row r="898">
      <c r="A898" s="2" t="s">
        <v>6131</v>
      </c>
      <c r="B898" s="2" t="s">
        <v>6132</v>
      </c>
      <c r="C898" s="2" t="s">
        <v>18035</v>
      </c>
      <c r="D898" s="2" t="s">
        <v>18036</v>
      </c>
      <c r="E898" s="2" t="s">
        <v>18040</v>
      </c>
      <c r="F898" s="2" t="s">
        <v>18041</v>
      </c>
      <c r="G898" s="2" t="s">
        <v>18042</v>
      </c>
    </row>
    <row r="899">
      <c r="A899" s="2" t="s">
        <v>6948</v>
      </c>
      <c r="B899" s="2" t="s">
        <v>6949</v>
      </c>
      <c r="C899" s="2" t="s">
        <v>18043</v>
      </c>
      <c r="D899" s="2" t="s">
        <v>18044</v>
      </c>
      <c r="E899" s="2" t="s">
        <v>18045</v>
      </c>
      <c r="F899" s="2" t="s">
        <v>18046</v>
      </c>
      <c r="G899" s="2" t="s">
        <v>18047</v>
      </c>
    </row>
    <row r="900">
      <c r="A900" s="2" t="s">
        <v>2192</v>
      </c>
      <c r="B900" s="2" t="s">
        <v>2193</v>
      </c>
      <c r="C900" s="2" t="s">
        <v>18048</v>
      </c>
      <c r="D900" s="2" t="s">
        <v>18049</v>
      </c>
      <c r="E900" s="2" t="s">
        <v>18050</v>
      </c>
      <c r="F900" s="2" t="s">
        <v>18051</v>
      </c>
      <c r="G900" s="2" t="s">
        <v>18052</v>
      </c>
    </row>
    <row r="901">
      <c r="A901" s="2" t="s">
        <v>3588</v>
      </c>
      <c r="B901" s="2" t="s">
        <v>3589</v>
      </c>
      <c r="C901" s="2" t="s">
        <v>18053</v>
      </c>
      <c r="D901" s="2" t="s">
        <v>18054</v>
      </c>
      <c r="E901" s="2" t="s">
        <v>18055</v>
      </c>
      <c r="F901" s="2" t="s">
        <v>17486</v>
      </c>
      <c r="G901" s="2" t="s">
        <v>18056</v>
      </c>
    </row>
    <row r="902">
      <c r="A902" s="2" t="s">
        <v>4193</v>
      </c>
      <c r="B902" s="2" t="s">
        <v>4194</v>
      </c>
      <c r="C902" s="2" t="s">
        <v>18057</v>
      </c>
      <c r="D902" s="2" t="s">
        <v>18058</v>
      </c>
      <c r="E902" s="2" t="s">
        <v>18059</v>
      </c>
      <c r="F902" s="2" t="s">
        <v>18060</v>
      </c>
      <c r="G902" s="2" t="s">
        <v>18061</v>
      </c>
    </row>
    <row r="903">
      <c r="A903" s="2" t="s">
        <v>3886</v>
      </c>
      <c r="B903" s="2" t="s">
        <v>3887</v>
      </c>
      <c r="C903" s="2" t="s">
        <v>18062</v>
      </c>
      <c r="D903" s="2" t="s">
        <v>18063</v>
      </c>
      <c r="E903" s="2" t="s">
        <v>18064</v>
      </c>
      <c r="F903" s="2" t="s">
        <v>16737</v>
      </c>
      <c r="G903" s="2" t="s">
        <v>18065</v>
      </c>
    </row>
    <row r="904">
      <c r="A904" s="2" t="s">
        <v>3886</v>
      </c>
      <c r="B904" s="2" t="s">
        <v>3887</v>
      </c>
      <c r="C904" s="2" t="s">
        <v>18062</v>
      </c>
      <c r="D904" s="2" t="s">
        <v>18063</v>
      </c>
      <c r="E904" s="2" t="s">
        <v>18066</v>
      </c>
      <c r="F904" s="2" t="s">
        <v>16734</v>
      </c>
      <c r="G904" s="2" t="s">
        <v>18067</v>
      </c>
    </row>
    <row r="905">
      <c r="A905" s="2" t="s">
        <v>902</v>
      </c>
      <c r="B905" s="2" t="s">
        <v>903</v>
      </c>
      <c r="C905" s="2" t="s">
        <v>18068</v>
      </c>
      <c r="D905" s="2" t="s">
        <v>18069</v>
      </c>
      <c r="E905" s="2" t="s">
        <v>18070</v>
      </c>
      <c r="F905" s="2" t="s">
        <v>18071</v>
      </c>
      <c r="G905" s="2" t="s">
        <v>18072</v>
      </c>
    </row>
    <row r="906">
      <c r="A906" s="2" t="s">
        <v>8894</v>
      </c>
      <c r="B906" s="2" t="s">
        <v>8895</v>
      </c>
      <c r="C906" s="2" t="s">
        <v>18073</v>
      </c>
      <c r="D906" s="2" t="s">
        <v>18074</v>
      </c>
      <c r="E906" s="2" t="s">
        <v>18075</v>
      </c>
      <c r="F906" s="2" t="s">
        <v>18076</v>
      </c>
      <c r="G906" s="2" t="s">
        <v>18077</v>
      </c>
    </row>
    <row r="907">
      <c r="A907" s="2" t="s">
        <v>8894</v>
      </c>
      <c r="B907" s="2" t="s">
        <v>8895</v>
      </c>
      <c r="C907" s="2" t="s">
        <v>18073</v>
      </c>
      <c r="D907" s="2" t="s">
        <v>18074</v>
      </c>
      <c r="E907" s="2" t="s">
        <v>18078</v>
      </c>
      <c r="F907" s="2" t="s">
        <v>18076</v>
      </c>
      <c r="G907" s="2" t="s">
        <v>18079</v>
      </c>
    </row>
    <row r="908">
      <c r="A908" s="2" t="s">
        <v>6956</v>
      </c>
      <c r="B908" s="2" t="s">
        <v>6957</v>
      </c>
      <c r="C908" s="2" t="s">
        <v>18080</v>
      </c>
      <c r="D908" s="2" t="s">
        <v>18081</v>
      </c>
      <c r="E908" s="2" t="s">
        <v>18082</v>
      </c>
      <c r="F908" s="2" t="s">
        <v>18083</v>
      </c>
      <c r="G908" s="2" t="s">
        <v>18084</v>
      </c>
    </row>
    <row r="909">
      <c r="A909" s="2" t="s">
        <v>413</v>
      </c>
      <c r="B909" s="2" t="s">
        <v>414</v>
      </c>
      <c r="C909" s="2" t="s">
        <v>18085</v>
      </c>
      <c r="D909" s="2" t="s">
        <v>18086</v>
      </c>
      <c r="E909" s="2" t="s">
        <v>18087</v>
      </c>
      <c r="F909" s="2" t="s">
        <v>18088</v>
      </c>
      <c r="G909" s="2" t="s">
        <v>18089</v>
      </c>
    </row>
    <row r="910">
      <c r="A910" s="2" t="s">
        <v>413</v>
      </c>
      <c r="B910" s="2" t="s">
        <v>414</v>
      </c>
      <c r="C910" s="2" t="s">
        <v>18085</v>
      </c>
      <c r="D910" s="2" t="s">
        <v>18086</v>
      </c>
      <c r="E910" s="2" t="s">
        <v>18090</v>
      </c>
      <c r="F910" s="2" t="s">
        <v>18091</v>
      </c>
      <c r="G910" s="2" t="s">
        <v>18092</v>
      </c>
    </row>
    <row r="911">
      <c r="A911" s="2"/>
      <c r="B911" s="2"/>
      <c r="C911" s="2" t="s">
        <v>18093</v>
      </c>
      <c r="D911" s="2" t="s">
        <v>18094</v>
      </c>
      <c r="E911" s="2" t="s">
        <v>18095</v>
      </c>
      <c r="F911" s="2" t="s">
        <v>18096</v>
      </c>
      <c r="G911" s="2" t="s">
        <v>18097</v>
      </c>
    </row>
    <row r="912">
      <c r="A912" s="2" t="s">
        <v>10725</v>
      </c>
      <c r="B912" s="2" t="s">
        <v>10726</v>
      </c>
      <c r="C912" s="2" t="s">
        <v>18098</v>
      </c>
      <c r="D912" s="2" t="s">
        <v>18099</v>
      </c>
      <c r="E912" s="2" t="s">
        <v>15943</v>
      </c>
      <c r="F912" s="2" t="s">
        <v>15944</v>
      </c>
      <c r="G912" s="2" t="s">
        <v>15944</v>
      </c>
    </row>
    <row r="913">
      <c r="A913" s="2" t="s">
        <v>7946</v>
      </c>
      <c r="B913" s="2" t="s">
        <v>7947</v>
      </c>
      <c r="C913" s="2" t="s">
        <v>18100</v>
      </c>
      <c r="D913" s="2" t="s">
        <v>18101</v>
      </c>
      <c r="E913" s="2" t="s">
        <v>18102</v>
      </c>
      <c r="F913" s="2" t="s">
        <v>18103</v>
      </c>
      <c r="G913" s="2" t="s">
        <v>18104</v>
      </c>
    </row>
    <row r="914">
      <c r="A914" s="2" t="s">
        <v>1366</v>
      </c>
      <c r="B914" s="2" t="s">
        <v>1367</v>
      </c>
      <c r="C914" s="2" t="s">
        <v>18105</v>
      </c>
      <c r="D914" s="2" t="s">
        <v>18106</v>
      </c>
      <c r="E914" s="2" t="s">
        <v>18107</v>
      </c>
      <c r="F914" s="2" t="s">
        <v>18108</v>
      </c>
      <c r="G914" s="2" t="s">
        <v>18109</v>
      </c>
    </row>
    <row r="915">
      <c r="A915" s="2" t="s">
        <v>13610</v>
      </c>
      <c r="B915" s="2" t="s">
        <v>13611</v>
      </c>
      <c r="C915" s="2" t="s">
        <v>18110</v>
      </c>
      <c r="D915" s="2" t="s">
        <v>18111</v>
      </c>
      <c r="E915" s="2" t="s">
        <v>18112</v>
      </c>
      <c r="F915" s="2" t="s">
        <v>18113</v>
      </c>
      <c r="G915" s="2" t="s">
        <v>18114</v>
      </c>
    </row>
    <row r="916">
      <c r="A916" s="2" t="s">
        <v>13610</v>
      </c>
      <c r="B916" s="2" t="s">
        <v>13611</v>
      </c>
      <c r="C916" s="2" t="s">
        <v>18110</v>
      </c>
      <c r="D916" s="2" t="s">
        <v>18111</v>
      </c>
      <c r="E916" s="2" t="s">
        <v>18115</v>
      </c>
      <c r="F916" s="2" t="s">
        <v>18116</v>
      </c>
      <c r="G916" s="2" t="s">
        <v>18117</v>
      </c>
    </row>
    <row r="917">
      <c r="A917" s="2" t="s">
        <v>10743</v>
      </c>
      <c r="B917" s="2" t="s">
        <v>10744</v>
      </c>
      <c r="C917" s="2" t="s">
        <v>18118</v>
      </c>
      <c r="D917" s="2" t="s">
        <v>18119</v>
      </c>
      <c r="E917" s="2" t="s">
        <v>18120</v>
      </c>
      <c r="F917" s="2" t="s">
        <v>18121</v>
      </c>
      <c r="G917" s="2" t="s">
        <v>18122</v>
      </c>
    </row>
    <row r="918">
      <c r="A918" s="2" t="s">
        <v>11234</v>
      </c>
      <c r="B918" s="2" t="s">
        <v>11235</v>
      </c>
      <c r="C918" s="2" t="s">
        <v>18123</v>
      </c>
      <c r="D918" s="2" t="s">
        <v>18124</v>
      </c>
      <c r="E918" s="2" t="s">
        <v>18125</v>
      </c>
      <c r="F918" s="2" t="s">
        <v>18126</v>
      </c>
      <c r="G918" s="2" t="s">
        <v>18127</v>
      </c>
    </row>
    <row r="919">
      <c r="A919" s="2" t="s">
        <v>8209</v>
      </c>
      <c r="B919" s="2" t="s">
        <v>8210</v>
      </c>
      <c r="C919" s="2" t="s">
        <v>18128</v>
      </c>
      <c r="D919" s="2" t="s">
        <v>18129</v>
      </c>
      <c r="E919" s="2" t="s">
        <v>18130</v>
      </c>
      <c r="F919" s="2" t="s">
        <v>18131</v>
      </c>
      <c r="G919" s="2" t="s">
        <v>18132</v>
      </c>
    </row>
    <row r="920">
      <c r="A920" s="2" t="s">
        <v>8209</v>
      </c>
      <c r="B920" s="2" t="s">
        <v>8210</v>
      </c>
      <c r="C920" s="2" t="s">
        <v>18128</v>
      </c>
      <c r="D920" s="2" t="s">
        <v>18129</v>
      </c>
      <c r="E920" s="2" t="s">
        <v>18133</v>
      </c>
      <c r="F920" s="2" t="s">
        <v>18134</v>
      </c>
      <c r="G920" s="2" t="s">
        <v>18135</v>
      </c>
    </row>
    <row r="921">
      <c r="A921" s="2" t="s">
        <v>8902</v>
      </c>
      <c r="B921" s="2" t="s">
        <v>8903</v>
      </c>
      <c r="C921" s="2" t="s">
        <v>18136</v>
      </c>
      <c r="D921" s="2" t="s">
        <v>18137</v>
      </c>
      <c r="E921" s="2" t="s">
        <v>18138</v>
      </c>
      <c r="F921" s="2" t="s">
        <v>18139</v>
      </c>
      <c r="G921" s="2" t="s">
        <v>18140</v>
      </c>
    </row>
    <row r="922">
      <c r="A922" s="2" t="s">
        <v>4941</v>
      </c>
      <c r="B922" s="2" t="s">
        <v>4942</v>
      </c>
      <c r="C922" s="2" t="s">
        <v>18141</v>
      </c>
      <c r="D922" s="2" t="s">
        <v>18142</v>
      </c>
      <c r="E922" s="2" t="s">
        <v>18143</v>
      </c>
      <c r="F922" s="2" t="s">
        <v>18144</v>
      </c>
      <c r="G922" s="2" t="s">
        <v>18145</v>
      </c>
    </row>
    <row r="923">
      <c r="A923" s="2" t="s">
        <v>410</v>
      </c>
      <c r="B923" s="2" t="s">
        <v>411</v>
      </c>
      <c r="C923" s="2" t="s">
        <v>18146</v>
      </c>
      <c r="D923" s="2" t="s">
        <v>18147</v>
      </c>
      <c r="E923" s="2" t="s">
        <v>18148</v>
      </c>
      <c r="F923" s="2" t="s">
        <v>18149</v>
      </c>
      <c r="G923" s="2" t="s">
        <v>18150</v>
      </c>
    </row>
    <row r="924">
      <c r="A924" s="2" t="s">
        <v>410</v>
      </c>
      <c r="B924" s="2" t="s">
        <v>411</v>
      </c>
      <c r="C924" s="2" t="s">
        <v>18146</v>
      </c>
      <c r="D924" s="2" t="s">
        <v>18147</v>
      </c>
      <c r="E924" s="2" t="s">
        <v>18151</v>
      </c>
      <c r="F924" s="2" t="s">
        <v>18152</v>
      </c>
      <c r="G924" s="2" t="s">
        <v>18153</v>
      </c>
    </row>
    <row r="925">
      <c r="A925" s="2" t="s">
        <v>410</v>
      </c>
      <c r="B925" s="2" t="s">
        <v>411</v>
      </c>
      <c r="C925" s="2" t="s">
        <v>18146</v>
      </c>
      <c r="D925" s="2" t="s">
        <v>18147</v>
      </c>
      <c r="E925" s="2" t="s">
        <v>18154</v>
      </c>
      <c r="F925" s="2" t="s">
        <v>18155</v>
      </c>
      <c r="G925" s="2" t="s">
        <v>18156</v>
      </c>
    </row>
    <row r="926">
      <c r="A926" s="2" t="s">
        <v>410</v>
      </c>
      <c r="B926" s="2" t="s">
        <v>411</v>
      </c>
      <c r="C926" s="2" t="s">
        <v>18146</v>
      </c>
      <c r="D926" s="2" t="s">
        <v>18147</v>
      </c>
      <c r="E926" s="2" t="s">
        <v>18157</v>
      </c>
      <c r="F926" s="2" t="s">
        <v>18158</v>
      </c>
      <c r="G926" s="2" t="s">
        <v>18159</v>
      </c>
    </row>
    <row r="927">
      <c r="A927" s="2" t="s">
        <v>410</v>
      </c>
      <c r="B927" s="2" t="s">
        <v>411</v>
      </c>
      <c r="C927" s="2" t="s">
        <v>18146</v>
      </c>
      <c r="D927" s="2" t="s">
        <v>18147</v>
      </c>
      <c r="E927" s="2" t="s">
        <v>18160</v>
      </c>
      <c r="F927" s="2" t="s">
        <v>18161</v>
      </c>
      <c r="G927" s="2" t="s">
        <v>18162</v>
      </c>
    </row>
    <row r="928">
      <c r="A928" s="2" t="s">
        <v>410</v>
      </c>
      <c r="B928" s="2" t="s">
        <v>411</v>
      </c>
      <c r="C928" s="2" t="s">
        <v>18146</v>
      </c>
      <c r="D928" s="2" t="s">
        <v>18147</v>
      </c>
      <c r="E928" s="2" t="s">
        <v>18163</v>
      </c>
      <c r="F928" s="2" t="s">
        <v>18164</v>
      </c>
      <c r="G928" s="2" t="s">
        <v>18165</v>
      </c>
    </row>
    <row r="929">
      <c r="A929" s="2" t="s">
        <v>410</v>
      </c>
      <c r="B929" s="2" t="s">
        <v>411</v>
      </c>
      <c r="C929" s="2" t="s">
        <v>18146</v>
      </c>
      <c r="D929" s="2" t="s">
        <v>18147</v>
      </c>
      <c r="E929" s="2" t="s">
        <v>18166</v>
      </c>
      <c r="F929" s="2" t="s">
        <v>18167</v>
      </c>
      <c r="G929" s="2" t="s">
        <v>18168</v>
      </c>
    </row>
    <row r="930">
      <c r="A930" s="2" t="s">
        <v>410</v>
      </c>
      <c r="B930" s="2" t="s">
        <v>411</v>
      </c>
      <c r="C930" s="2" t="s">
        <v>18146</v>
      </c>
      <c r="D930" s="2" t="s">
        <v>18147</v>
      </c>
      <c r="E930" s="2" t="s">
        <v>18169</v>
      </c>
      <c r="F930" s="2" t="s">
        <v>18170</v>
      </c>
      <c r="G930" s="2" t="s">
        <v>18171</v>
      </c>
    </row>
    <row r="931">
      <c r="A931" s="2" t="s">
        <v>410</v>
      </c>
      <c r="B931" s="2" t="s">
        <v>411</v>
      </c>
      <c r="C931" s="2" t="s">
        <v>18146</v>
      </c>
      <c r="D931" s="2" t="s">
        <v>18147</v>
      </c>
      <c r="E931" s="2" t="s">
        <v>18172</v>
      </c>
      <c r="F931" s="2" t="s">
        <v>18173</v>
      </c>
      <c r="G931" s="2" t="s">
        <v>18174</v>
      </c>
    </row>
    <row r="932">
      <c r="A932" s="2" t="s">
        <v>410</v>
      </c>
      <c r="B932" s="2" t="s">
        <v>411</v>
      </c>
      <c r="C932" s="2" t="s">
        <v>18146</v>
      </c>
      <c r="D932" s="2" t="s">
        <v>18147</v>
      </c>
      <c r="E932" s="2" t="s">
        <v>18175</v>
      </c>
      <c r="F932" s="2" t="s">
        <v>18176</v>
      </c>
      <c r="G932" s="2" t="s">
        <v>18177</v>
      </c>
    </row>
    <row r="933">
      <c r="A933" s="2" t="s">
        <v>410</v>
      </c>
      <c r="B933" s="2" t="s">
        <v>411</v>
      </c>
      <c r="C933" s="2" t="s">
        <v>18146</v>
      </c>
      <c r="D933" s="2" t="s">
        <v>18147</v>
      </c>
      <c r="E933" s="2" t="s">
        <v>18178</v>
      </c>
      <c r="F933" s="2" t="s">
        <v>18179</v>
      </c>
      <c r="G933" s="2" t="s">
        <v>18180</v>
      </c>
    </row>
    <row r="934">
      <c r="A934" s="2" t="s">
        <v>410</v>
      </c>
      <c r="B934" s="2" t="s">
        <v>411</v>
      </c>
      <c r="C934" s="2" t="s">
        <v>18146</v>
      </c>
      <c r="D934" s="2" t="s">
        <v>18147</v>
      </c>
      <c r="E934" s="2" t="s">
        <v>18181</v>
      </c>
      <c r="F934" s="2" t="s">
        <v>18182</v>
      </c>
      <c r="G934" s="2" t="s">
        <v>18183</v>
      </c>
    </row>
    <row r="935">
      <c r="A935" s="2" t="s">
        <v>410</v>
      </c>
      <c r="B935" s="2" t="s">
        <v>411</v>
      </c>
      <c r="C935" s="2" t="s">
        <v>18146</v>
      </c>
      <c r="D935" s="2" t="s">
        <v>18147</v>
      </c>
      <c r="E935" s="2" t="s">
        <v>18184</v>
      </c>
      <c r="F935" s="2" t="s">
        <v>18185</v>
      </c>
      <c r="G935" s="2" t="s">
        <v>18186</v>
      </c>
    </row>
    <row r="936">
      <c r="A936" s="2" t="s">
        <v>410</v>
      </c>
      <c r="B936" s="2" t="s">
        <v>411</v>
      </c>
      <c r="C936" s="2" t="s">
        <v>18146</v>
      </c>
      <c r="D936" s="2" t="s">
        <v>18147</v>
      </c>
      <c r="E936" s="2" t="s">
        <v>18187</v>
      </c>
      <c r="F936" s="2" t="s">
        <v>18153</v>
      </c>
      <c r="G936" s="2" t="s">
        <v>18188</v>
      </c>
    </row>
    <row r="937">
      <c r="A937" s="2" t="s">
        <v>410</v>
      </c>
      <c r="B937" s="2" t="s">
        <v>411</v>
      </c>
      <c r="C937" s="2" t="s">
        <v>18146</v>
      </c>
      <c r="D937" s="2" t="s">
        <v>18147</v>
      </c>
      <c r="E937" s="2" t="s">
        <v>18189</v>
      </c>
      <c r="F937" s="2" t="s">
        <v>18190</v>
      </c>
      <c r="G937" s="2" t="s">
        <v>18191</v>
      </c>
    </row>
    <row r="938">
      <c r="A938" s="2" t="s">
        <v>410</v>
      </c>
      <c r="B938" s="2" t="s">
        <v>411</v>
      </c>
      <c r="C938" s="2" t="s">
        <v>18146</v>
      </c>
      <c r="D938" s="2" t="s">
        <v>18147</v>
      </c>
      <c r="E938" s="2" t="s">
        <v>18192</v>
      </c>
      <c r="F938" s="2" t="s">
        <v>18193</v>
      </c>
      <c r="G938" s="2" t="s">
        <v>18191</v>
      </c>
    </row>
    <row r="939">
      <c r="A939" s="2" t="s">
        <v>410</v>
      </c>
      <c r="B939" s="2" t="s">
        <v>411</v>
      </c>
      <c r="C939" s="2" t="s">
        <v>18146</v>
      </c>
      <c r="D939" s="2" t="s">
        <v>18147</v>
      </c>
      <c r="E939" s="2" t="s">
        <v>18194</v>
      </c>
      <c r="F939" s="2" t="s">
        <v>18195</v>
      </c>
      <c r="G939" s="2" t="s">
        <v>18196</v>
      </c>
    </row>
    <row r="940">
      <c r="A940" s="2" t="s">
        <v>410</v>
      </c>
      <c r="B940" s="2" t="s">
        <v>411</v>
      </c>
      <c r="C940" s="2" t="s">
        <v>18146</v>
      </c>
      <c r="D940" s="2" t="s">
        <v>18147</v>
      </c>
      <c r="E940" s="2" t="s">
        <v>18197</v>
      </c>
      <c r="F940" s="2" t="s">
        <v>18149</v>
      </c>
      <c r="G940" s="2" t="s">
        <v>18198</v>
      </c>
    </row>
    <row r="941">
      <c r="A941" s="2" t="s">
        <v>410</v>
      </c>
      <c r="B941" s="2" t="s">
        <v>411</v>
      </c>
      <c r="C941" s="2" t="s">
        <v>18146</v>
      </c>
      <c r="D941" s="2" t="s">
        <v>18147</v>
      </c>
      <c r="E941" s="2" t="s">
        <v>18199</v>
      </c>
      <c r="F941" s="2" t="s">
        <v>18200</v>
      </c>
      <c r="G941" s="2" t="s">
        <v>18201</v>
      </c>
    </row>
    <row r="942">
      <c r="A942" s="2" t="s">
        <v>410</v>
      </c>
      <c r="B942" s="2" t="s">
        <v>411</v>
      </c>
      <c r="C942" s="2" t="s">
        <v>18146</v>
      </c>
      <c r="D942" s="2" t="s">
        <v>18147</v>
      </c>
      <c r="E942" s="2" t="s">
        <v>18202</v>
      </c>
      <c r="F942" s="2" t="s">
        <v>18203</v>
      </c>
      <c r="G942" s="2" t="s">
        <v>18204</v>
      </c>
    </row>
    <row r="943">
      <c r="A943" s="2" t="s">
        <v>410</v>
      </c>
      <c r="B943" s="2" t="s">
        <v>411</v>
      </c>
      <c r="C943" s="2" t="s">
        <v>18146</v>
      </c>
      <c r="D943" s="2" t="s">
        <v>18147</v>
      </c>
      <c r="E943" s="2" t="s">
        <v>18205</v>
      </c>
      <c r="F943" s="2" t="s">
        <v>18206</v>
      </c>
      <c r="G943" s="2" t="s">
        <v>18207</v>
      </c>
    </row>
    <row r="944">
      <c r="A944" s="2" t="s">
        <v>410</v>
      </c>
      <c r="B944" s="2" t="s">
        <v>411</v>
      </c>
      <c r="C944" s="2" t="s">
        <v>18146</v>
      </c>
      <c r="D944" s="2" t="s">
        <v>18147</v>
      </c>
      <c r="E944" s="2" t="s">
        <v>18208</v>
      </c>
      <c r="F944" s="2" t="s">
        <v>18209</v>
      </c>
      <c r="G944" s="2" t="s">
        <v>18210</v>
      </c>
    </row>
    <row r="945">
      <c r="A945" s="2" t="s">
        <v>3406</v>
      </c>
      <c r="B945" s="2" t="s">
        <v>3407</v>
      </c>
      <c r="C945" s="2" t="s">
        <v>18211</v>
      </c>
      <c r="D945" s="2" t="s">
        <v>18212</v>
      </c>
      <c r="E945" s="2" t="s">
        <v>18213</v>
      </c>
      <c r="F945" s="2" t="s">
        <v>18214</v>
      </c>
      <c r="G945" s="2" t="s">
        <v>18215</v>
      </c>
    </row>
    <row r="946">
      <c r="A946" s="2" t="s">
        <v>2488</v>
      </c>
      <c r="B946" s="2" t="s">
        <v>2489</v>
      </c>
      <c r="C946" s="2" t="s">
        <v>18216</v>
      </c>
      <c r="D946" s="2" t="s">
        <v>18217</v>
      </c>
      <c r="E946" s="2" t="s">
        <v>18218</v>
      </c>
      <c r="F946" s="2" t="s">
        <v>18219</v>
      </c>
      <c r="G946" s="2" t="s">
        <v>18220</v>
      </c>
    </row>
    <row r="947">
      <c r="A947" s="2" t="s">
        <v>3868</v>
      </c>
      <c r="B947" s="2" t="s">
        <v>3869</v>
      </c>
      <c r="C947" s="2" t="s">
        <v>18221</v>
      </c>
      <c r="D947" s="2" t="s">
        <v>18222</v>
      </c>
      <c r="E947" s="2" t="s">
        <v>18223</v>
      </c>
      <c r="F947" s="2" t="s">
        <v>18224</v>
      </c>
      <c r="G947" s="2" t="s">
        <v>18225</v>
      </c>
    </row>
    <row r="948">
      <c r="A948" s="2" t="s">
        <v>3868</v>
      </c>
      <c r="B948" s="2" t="s">
        <v>3869</v>
      </c>
      <c r="C948" s="2" t="s">
        <v>18221</v>
      </c>
      <c r="D948" s="2" t="s">
        <v>18222</v>
      </c>
      <c r="E948" s="2" t="s">
        <v>18226</v>
      </c>
      <c r="F948" s="2" t="s">
        <v>18227</v>
      </c>
      <c r="G948" s="2" t="s">
        <v>18228</v>
      </c>
    </row>
    <row r="949">
      <c r="A949" s="2" t="s">
        <v>3868</v>
      </c>
      <c r="B949" s="2" t="s">
        <v>3869</v>
      </c>
      <c r="C949" s="2" t="s">
        <v>18221</v>
      </c>
      <c r="D949" s="2" t="s">
        <v>18222</v>
      </c>
      <c r="E949" s="2" t="s">
        <v>18229</v>
      </c>
      <c r="F949" s="2" t="s">
        <v>18230</v>
      </c>
      <c r="G949" s="2" t="s">
        <v>18231</v>
      </c>
    </row>
    <row r="950">
      <c r="A950" s="2" t="s">
        <v>9942</v>
      </c>
      <c r="B950" s="2" t="s">
        <v>9943</v>
      </c>
      <c r="C950" s="2" t="s">
        <v>18232</v>
      </c>
      <c r="D950" s="2" t="s">
        <v>18233</v>
      </c>
      <c r="E950" s="2" t="s">
        <v>18234</v>
      </c>
      <c r="F950" s="2" t="s">
        <v>18235</v>
      </c>
      <c r="G950" s="2" t="s">
        <v>16583</v>
      </c>
    </row>
    <row r="951">
      <c r="A951" s="2" t="s">
        <v>12500</v>
      </c>
      <c r="B951" s="2" t="s">
        <v>12501</v>
      </c>
      <c r="C951" s="2" t="s">
        <v>18236</v>
      </c>
      <c r="D951" s="2" t="s">
        <v>18237</v>
      </c>
      <c r="E951" s="2" t="s">
        <v>18238</v>
      </c>
      <c r="F951" s="2" t="s">
        <v>18239</v>
      </c>
      <c r="G951" s="2" t="s">
        <v>18060</v>
      </c>
    </row>
    <row r="952">
      <c r="A952" s="2" t="s">
        <v>12500</v>
      </c>
      <c r="B952" s="2" t="s">
        <v>12501</v>
      </c>
      <c r="C952" s="2" t="s">
        <v>18236</v>
      </c>
      <c r="D952" s="2" t="s">
        <v>18237</v>
      </c>
      <c r="E952" s="2" t="s">
        <v>18240</v>
      </c>
      <c r="F952" s="2" t="s">
        <v>18239</v>
      </c>
      <c r="G952" s="2" t="s">
        <v>18241</v>
      </c>
    </row>
    <row r="953">
      <c r="A953" s="2" t="s">
        <v>12500</v>
      </c>
      <c r="B953" s="2" t="s">
        <v>12501</v>
      </c>
      <c r="C953" s="2" t="s">
        <v>18236</v>
      </c>
      <c r="D953" s="2" t="s">
        <v>18237</v>
      </c>
      <c r="E953" s="2" t="s">
        <v>18242</v>
      </c>
      <c r="F953" s="2" t="s">
        <v>18060</v>
      </c>
      <c r="G953" s="2" t="s">
        <v>18241</v>
      </c>
    </row>
    <row r="954">
      <c r="A954" s="2" t="s">
        <v>3421</v>
      </c>
      <c r="B954" s="2" t="s">
        <v>3422</v>
      </c>
      <c r="C954" s="2" t="s">
        <v>18243</v>
      </c>
      <c r="D954" s="2" t="s">
        <v>18244</v>
      </c>
      <c r="E954" s="2" t="s">
        <v>18245</v>
      </c>
      <c r="F954" s="2" t="s">
        <v>18246</v>
      </c>
      <c r="G954" s="2" t="s">
        <v>18247</v>
      </c>
    </row>
    <row r="955">
      <c r="A955" s="2" t="s">
        <v>3421</v>
      </c>
      <c r="B955" s="2" t="s">
        <v>3422</v>
      </c>
      <c r="C955" s="2" t="s">
        <v>18243</v>
      </c>
      <c r="D955" s="2" t="s">
        <v>18244</v>
      </c>
      <c r="E955" s="2" t="s">
        <v>18248</v>
      </c>
      <c r="F955" s="2" t="s">
        <v>18249</v>
      </c>
      <c r="G955" s="2" t="s">
        <v>18247</v>
      </c>
    </row>
    <row r="956">
      <c r="A956" s="2" t="s">
        <v>3421</v>
      </c>
      <c r="B956" s="2" t="s">
        <v>3422</v>
      </c>
      <c r="C956" s="2" t="s">
        <v>18243</v>
      </c>
      <c r="D956" s="2" t="s">
        <v>18244</v>
      </c>
      <c r="E956" s="2" t="s">
        <v>18250</v>
      </c>
      <c r="F956" s="2" t="s">
        <v>18249</v>
      </c>
      <c r="G956" s="2" t="s">
        <v>18246</v>
      </c>
    </row>
    <row r="957">
      <c r="A957" s="2" t="s">
        <v>12743</v>
      </c>
      <c r="B957" s="2" t="s">
        <v>12744</v>
      </c>
      <c r="C957" s="2" t="s">
        <v>18251</v>
      </c>
      <c r="D957" s="2" t="s">
        <v>18252</v>
      </c>
      <c r="E957" s="2" t="s">
        <v>18253</v>
      </c>
      <c r="F957" s="2" t="s">
        <v>18254</v>
      </c>
      <c r="G957" s="2" t="s">
        <v>18255</v>
      </c>
    </row>
    <row r="958">
      <c r="A958" s="2" t="s">
        <v>3941</v>
      </c>
      <c r="B958" s="2" t="s">
        <v>3942</v>
      </c>
      <c r="C958" s="2" t="s">
        <v>18256</v>
      </c>
      <c r="D958" s="2" t="s">
        <v>18257</v>
      </c>
      <c r="E958" s="2" t="s">
        <v>18258</v>
      </c>
      <c r="F958" s="2" t="s">
        <v>18259</v>
      </c>
      <c r="G958" s="2" t="s">
        <v>18260</v>
      </c>
    </row>
    <row r="959">
      <c r="A959" s="2" t="s">
        <v>12410</v>
      </c>
      <c r="B959" s="2" t="s">
        <v>12411</v>
      </c>
      <c r="C959" s="2" t="s">
        <v>18261</v>
      </c>
      <c r="D959" s="2" t="s">
        <v>18262</v>
      </c>
      <c r="E959" s="2" t="s">
        <v>18263</v>
      </c>
      <c r="F959" s="2" t="s">
        <v>18264</v>
      </c>
      <c r="G959" s="2" t="s">
        <v>18265</v>
      </c>
    </row>
    <row r="960">
      <c r="A960" s="2" t="s">
        <v>10064</v>
      </c>
      <c r="B960" s="2" t="s">
        <v>10065</v>
      </c>
      <c r="C960" s="2" t="s">
        <v>18266</v>
      </c>
      <c r="D960" s="2" t="s">
        <v>18267</v>
      </c>
      <c r="E960" s="2" t="s">
        <v>18268</v>
      </c>
      <c r="F960" s="2" t="s">
        <v>18269</v>
      </c>
      <c r="G960" s="2" t="s">
        <v>18270</v>
      </c>
    </row>
    <row r="961">
      <c r="A961" s="2" t="s">
        <v>10064</v>
      </c>
      <c r="B961" s="2" t="s">
        <v>10065</v>
      </c>
      <c r="C961" s="2" t="s">
        <v>18266</v>
      </c>
      <c r="D961" s="2" t="s">
        <v>18267</v>
      </c>
      <c r="E961" s="2" t="s">
        <v>18271</v>
      </c>
      <c r="F961" s="2" t="s">
        <v>18272</v>
      </c>
      <c r="G961" s="2" t="s">
        <v>18273</v>
      </c>
    </row>
    <row r="962">
      <c r="A962" s="2" t="s">
        <v>7817</v>
      </c>
      <c r="B962" s="2" t="s">
        <v>7818</v>
      </c>
      <c r="C962" s="2" t="s">
        <v>18274</v>
      </c>
      <c r="D962" s="2" t="s">
        <v>18275</v>
      </c>
      <c r="E962" s="2" t="s">
        <v>18276</v>
      </c>
      <c r="F962" s="2" t="s">
        <v>18277</v>
      </c>
      <c r="G962" s="2" t="s">
        <v>18278</v>
      </c>
    </row>
    <row r="963">
      <c r="A963" s="2" t="s">
        <v>7817</v>
      </c>
      <c r="B963" s="2" t="s">
        <v>7818</v>
      </c>
      <c r="C963" s="2" t="s">
        <v>18274</v>
      </c>
      <c r="D963" s="2" t="s">
        <v>18275</v>
      </c>
      <c r="E963" s="2" t="s">
        <v>18279</v>
      </c>
      <c r="F963" s="2" t="s">
        <v>18280</v>
      </c>
      <c r="G963" s="2" t="s">
        <v>18281</v>
      </c>
    </row>
    <row r="964">
      <c r="A964" s="2" t="s">
        <v>7817</v>
      </c>
      <c r="B964" s="2" t="s">
        <v>7818</v>
      </c>
      <c r="C964" s="2" t="s">
        <v>18274</v>
      </c>
      <c r="D964" s="2" t="s">
        <v>18275</v>
      </c>
      <c r="E964" s="2" t="s">
        <v>18282</v>
      </c>
      <c r="F964" s="2" t="s">
        <v>18283</v>
      </c>
      <c r="G964" s="2" t="s">
        <v>18284</v>
      </c>
    </row>
    <row r="965">
      <c r="A965" s="2" t="s">
        <v>7817</v>
      </c>
      <c r="B965" s="2" t="s">
        <v>7818</v>
      </c>
      <c r="C965" s="2" t="s">
        <v>18274</v>
      </c>
      <c r="D965" s="2" t="s">
        <v>18275</v>
      </c>
      <c r="E965" s="2" t="s">
        <v>18285</v>
      </c>
      <c r="F965" s="2" t="s">
        <v>18286</v>
      </c>
      <c r="G965" s="2" t="s">
        <v>18287</v>
      </c>
    </row>
    <row r="966">
      <c r="A966" s="2" t="s">
        <v>7817</v>
      </c>
      <c r="B966" s="2" t="s">
        <v>7818</v>
      </c>
      <c r="C966" s="2" t="s">
        <v>18274</v>
      </c>
      <c r="D966" s="2" t="s">
        <v>18275</v>
      </c>
      <c r="E966" s="2" t="s">
        <v>18288</v>
      </c>
      <c r="F966" s="2" t="s">
        <v>18289</v>
      </c>
      <c r="G966" s="2" t="s">
        <v>18290</v>
      </c>
    </row>
    <row r="967">
      <c r="A967" s="2" t="s">
        <v>7817</v>
      </c>
      <c r="B967" s="2" t="s">
        <v>7818</v>
      </c>
      <c r="C967" s="2" t="s">
        <v>18274</v>
      </c>
      <c r="D967" s="2" t="s">
        <v>18275</v>
      </c>
      <c r="E967" s="2" t="s">
        <v>18291</v>
      </c>
      <c r="F967" s="2" t="s">
        <v>18292</v>
      </c>
      <c r="G967" s="2" t="s">
        <v>18293</v>
      </c>
    </row>
    <row r="968">
      <c r="A968" s="2" t="s">
        <v>7817</v>
      </c>
      <c r="B968" s="2" t="s">
        <v>7818</v>
      </c>
      <c r="C968" s="2" t="s">
        <v>18274</v>
      </c>
      <c r="D968" s="2" t="s">
        <v>18275</v>
      </c>
      <c r="E968" s="2" t="s">
        <v>18294</v>
      </c>
      <c r="F968" s="2" t="s">
        <v>18295</v>
      </c>
      <c r="G968" s="2" t="s">
        <v>18296</v>
      </c>
    </row>
    <row r="969">
      <c r="A969" s="2" t="s">
        <v>7817</v>
      </c>
      <c r="B969" s="2" t="s">
        <v>7818</v>
      </c>
      <c r="C969" s="2" t="s">
        <v>18274</v>
      </c>
      <c r="D969" s="2" t="s">
        <v>18275</v>
      </c>
      <c r="E969" s="2" t="s">
        <v>18297</v>
      </c>
      <c r="F969" s="2" t="s">
        <v>18298</v>
      </c>
      <c r="G969" s="2" t="s">
        <v>18299</v>
      </c>
    </row>
    <row r="970">
      <c r="A970" s="2" t="s">
        <v>7817</v>
      </c>
      <c r="B970" s="2" t="s">
        <v>7818</v>
      </c>
      <c r="C970" s="2" t="s">
        <v>18274</v>
      </c>
      <c r="D970" s="2" t="s">
        <v>18275</v>
      </c>
      <c r="E970" s="2" t="s">
        <v>18300</v>
      </c>
      <c r="F970" s="2" t="s">
        <v>18301</v>
      </c>
      <c r="G970" s="2" t="s">
        <v>18302</v>
      </c>
    </row>
    <row r="971">
      <c r="A971" s="2" t="s">
        <v>7817</v>
      </c>
      <c r="B971" s="2" t="s">
        <v>7818</v>
      </c>
      <c r="C971" s="2" t="s">
        <v>18274</v>
      </c>
      <c r="D971" s="2" t="s">
        <v>18275</v>
      </c>
      <c r="E971" s="2" t="s">
        <v>18303</v>
      </c>
      <c r="F971" s="2" t="s">
        <v>18304</v>
      </c>
      <c r="G971" s="2" t="s">
        <v>18305</v>
      </c>
    </row>
    <row r="972">
      <c r="A972" s="2" t="s">
        <v>9939</v>
      </c>
      <c r="B972" s="2" t="s">
        <v>9940</v>
      </c>
      <c r="C972" s="2" t="s">
        <v>18306</v>
      </c>
      <c r="D972" s="2" t="s">
        <v>18307</v>
      </c>
      <c r="E972" s="2" t="s">
        <v>18308</v>
      </c>
      <c r="F972" s="2" t="s">
        <v>18309</v>
      </c>
      <c r="G972" s="2" t="s">
        <v>18310</v>
      </c>
    </row>
    <row r="973">
      <c r="A973" s="2" t="s">
        <v>904</v>
      </c>
      <c r="B973" s="2" t="s">
        <v>905</v>
      </c>
      <c r="C973" s="2" t="s">
        <v>18311</v>
      </c>
      <c r="D973" s="2" t="s">
        <v>18312</v>
      </c>
      <c r="E973" s="2" t="s">
        <v>18313</v>
      </c>
      <c r="F973" s="2" t="s">
        <v>18314</v>
      </c>
      <c r="G973" s="2" t="s">
        <v>18315</v>
      </c>
    </row>
    <row r="974">
      <c r="A974" s="2" t="s">
        <v>2302</v>
      </c>
      <c r="B974" s="2" t="s">
        <v>2303</v>
      </c>
      <c r="C974" s="2" t="s">
        <v>18316</v>
      </c>
      <c r="D974" s="2" t="s">
        <v>18317</v>
      </c>
      <c r="E974" s="2" t="s">
        <v>18318</v>
      </c>
      <c r="F974" s="2" t="s">
        <v>18319</v>
      </c>
      <c r="G974" s="2" t="s">
        <v>18320</v>
      </c>
    </row>
    <row r="975">
      <c r="A975" s="2" t="s">
        <v>2302</v>
      </c>
      <c r="B975" s="2" t="s">
        <v>2303</v>
      </c>
      <c r="C975" s="2" t="s">
        <v>18316</v>
      </c>
      <c r="D975" s="2" t="s">
        <v>18317</v>
      </c>
      <c r="E975" s="2" t="s">
        <v>18321</v>
      </c>
      <c r="F975" s="2" t="s">
        <v>18322</v>
      </c>
      <c r="G975" s="2" t="s">
        <v>18320</v>
      </c>
    </row>
    <row r="976">
      <c r="A976" s="2" t="s">
        <v>2302</v>
      </c>
      <c r="B976" s="2" t="s">
        <v>2303</v>
      </c>
      <c r="C976" s="2" t="s">
        <v>18316</v>
      </c>
      <c r="D976" s="2" t="s">
        <v>18317</v>
      </c>
      <c r="E976" s="2" t="s">
        <v>18323</v>
      </c>
      <c r="F976" s="2" t="s">
        <v>18324</v>
      </c>
      <c r="G976" s="2" t="s">
        <v>18325</v>
      </c>
    </row>
    <row r="977">
      <c r="A977" s="2" t="s">
        <v>10278</v>
      </c>
      <c r="B977" s="2" t="s">
        <v>10279</v>
      </c>
      <c r="C977" s="2" t="s">
        <v>18326</v>
      </c>
      <c r="D977" s="2" t="s">
        <v>18327</v>
      </c>
      <c r="E977" s="2" t="s">
        <v>18328</v>
      </c>
      <c r="F977" s="2" t="s">
        <v>18329</v>
      </c>
      <c r="G977" s="2" t="s">
        <v>18330</v>
      </c>
    </row>
    <row r="978">
      <c r="A978" s="2" t="s">
        <v>1809</v>
      </c>
      <c r="B978" s="2" t="s">
        <v>1810</v>
      </c>
      <c r="C978" s="2" t="s">
        <v>18331</v>
      </c>
      <c r="D978" s="2" t="s">
        <v>18332</v>
      </c>
      <c r="E978" s="2" t="s">
        <v>18333</v>
      </c>
      <c r="F978" s="2" t="s">
        <v>18334</v>
      </c>
      <c r="G978" s="2" t="s">
        <v>18335</v>
      </c>
    </row>
    <row r="979">
      <c r="A979" s="2" t="s">
        <v>1809</v>
      </c>
      <c r="B979" s="2" t="s">
        <v>1810</v>
      </c>
      <c r="C979" s="2" t="s">
        <v>18331</v>
      </c>
      <c r="D979" s="2" t="s">
        <v>18332</v>
      </c>
      <c r="E979" s="2" t="s">
        <v>18336</v>
      </c>
      <c r="F979" s="2" t="s">
        <v>18337</v>
      </c>
      <c r="G979" s="2" t="s">
        <v>18338</v>
      </c>
    </row>
    <row r="980">
      <c r="A980" s="2" t="s">
        <v>3020</v>
      </c>
      <c r="B980" s="2" t="s">
        <v>3021</v>
      </c>
      <c r="C980" s="2" t="s">
        <v>18339</v>
      </c>
      <c r="D980" s="2" t="s">
        <v>18340</v>
      </c>
      <c r="E980" s="2" t="s">
        <v>18341</v>
      </c>
      <c r="F980" s="2" t="s">
        <v>18342</v>
      </c>
      <c r="G980" s="2" t="s">
        <v>18343</v>
      </c>
    </row>
    <row r="981">
      <c r="A981" s="2" t="s">
        <v>3073</v>
      </c>
      <c r="B981" s="2" t="s">
        <v>3074</v>
      </c>
      <c r="C981" s="2" t="s">
        <v>18344</v>
      </c>
      <c r="D981" s="2" t="s">
        <v>18345</v>
      </c>
      <c r="E981" s="2" t="s">
        <v>18346</v>
      </c>
      <c r="F981" s="2" t="s">
        <v>18347</v>
      </c>
      <c r="G981" s="2" t="s">
        <v>18348</v>
      </c>
    </row>
    <row r="982">
      <c r="A982" s="2" t="s">
        <v>3077</v>
      </c>
      <c r="B982" s="2" t="s">
        <v>3078</v>
      </c>
      <c r="C982" s="2" t="s">
        <v>18349</v>
      </c>
      <c r="D982" s="2" t="s">
        <v>18350</v>
      </c>
      <c r="E982" s="2" t="s">
        <v>18351</v>
      </c>
      <c r="F982" s="2" t="s">
        <v>18352</v>
      </c>
      <c r="G982" s="2" t="s">
        <v>18353</v>
      </c>
    </row>
    <row r="983">
      <c r="A983" s="2" t="s">
        <v>8890</v>
      </c>
      <c r="B983" s="2" t="s">
        <v>8891</v>
      </c>
      <c r="C983" s="2" t="s">
        <v>18354</v>
      </c>
      <c r="D983" s="2" t="s">
        <v>18355</v>
      </c>
      <c r="E983" s="2" t="s">
        <v>18356</v>
      </c>
      <c r="F983" s="2" t="s">
        <v>18357</v>
      </c>
      <c r="G983" s="2" t="s">
        <v>18358</v>
      </c>
    </row>
    <row r="984">
      <c r="A984" s="2" t="s">
        <v>2416</v>
      </c>
      <c r="B984" s="2" t="s">
        <v>2417</v>
      </c>
      <c r="C984" s="2" t="s">
        <v>18359</v>
      </c>
      <c r="D984" s="2" t="s">
        <v>18360</v>
      </c>
      <c r="E984" s="2" t="s">
        <v>18361</v>
      </c>
      <c r="F984" s="2" t="s">
        <v>17963</v>
      </c>
      <c r="G984" s="2" t="s">
        <v>18362</v>
      </c>
    </row>
    <row r="985">
      <c r="A985" s="2" t="s">
        <v>10938</v>
      </c>
      <c r="B985" s="2" t="s">
        <v>10939</v>
      </c>
      <c r="C985" s="2" t="s">
        <v>18363</v>
      </c>
      <c r="D985" s="2" t="s">
        <v>18364</v>
      </c>
      <c r="E985" s="2" t="s">
        <v>18365</v>
      </c>
      <c r="F985" s="2" t="s">
        <v>18366</v>
      </c>
      <c r="G985" s="2" t="s">
        <v>18367</v>
      </c>
    </row>
    <row r="986">
      <c r="A986" s="2" t="s">
        <v>10938</v>
      </c>
      <c r="B986" s="2" t="s">
        <v>10939</v>
      </c>
      <c r="C986" s="2" t="s">
        <v>18363</v>
      </c>
      <c r="D986" s="2" t="s">
        <v>18364</v>
      </c>
      <c r="E986" s="2" t="s">
        <v>18368</v>
      </c>
      <c r="F986" s="2" t="s">
        <v>18366</v>
      </c>
      <c r="G986" s="2" t="s">
        <v>18369</v>
      </c>
    </row>
    <row r="987">
      <c r="A987" s="2" t="s">
        <v>10938</v>
      </c>
      <c r="B987" s="2" t="s">
        <v>10939</v>
      </c>
      <c r="C987" s="2" t="s">
        <v>18363</v>
      </c>
      <c r="D987" s="2" t="s">
        <v>18364</v>
      </c>
      <c r="E987" s="2" t="s">
        <v>18370</v>
      </c>
      <c r="F987" s="2" t="s">
        <v>18371</v>
      </c>
      <c r="G987" s="2" t="s">
        <v>18372</v>
      </c>
    </row>
    <row r="988">
      <c r="A988" s="2" t="s">
        <v>10938</v>
      </c>
      <c r="B988" s="2" t="s">
        <v>10939</v>
      </c>
      <c r="C988" s="2" t="s">
        <v>18363</v>
      </c>
      <c r="D988" s="2" t="s">
        <v>18364</v>
      </c>
      <c r="E988" s="2" t="s">
        <v>18373</v>
      </c>
      <c r="F988" s="2" t="s">
        <v>18374</v>
      </c>
      <c r="G988" s="2" t="s">
        <v>18367</v>
      </c>
    </row>
    <row r="989">
      <c r="A989" s="2" t="s">
        <v>10938</v>
      </c>
      <c r="B989" s="2" t="s">
        <v>10939</v>
      </c>
      <c r="C989" s="2" t="s">
        <v>18363</v>
      </c>
      <c r="D989" s="2" t="s">
        <v>18364</v>
      </c>
      <c r="E989" s="2" t="s">
        <v>18375</v>
      </c>
      <c r="F989" s="2" t="s">
        <v>18376</v>
      </c>
      <c r="G989" s="2" t="s">
        <v>18377</v>
      </c>
    </row>
    <row r="990">
      <c r="A990" s="2" t="s">
        <v>2298</v>
      </c>
      <c r="B990" s="2" t="s">
        <v>2299</v>
      </c>
      <c r="C990" s="2" t="s">
        <v>18378</v>
      </c>
      <c r="D990" s="2" t="s">
        <v>18379</v>
      </c>
      <c r="E990" s="2" t="s">
        <v>18365</v>
      </c>
      <c r="F990" s="2" t="s">
        <v>18366</v>
      </c>
      <c r="G990" s="2" t="s">
        <v>18367</v>
      </c>
    </row>
    <row r="991">
      <c r="A991" s="2" t="s">
        <v>2298</v>
      </c>
      <c r="B991" s="2" t="s">
        <v>2299</v>
      </c>
      <c r="C991" s="2" t="s">
        <v>18378</v>
      </c>
      <c r="D991" s="2" t="s">
        <v>18379</v>
      </c>
      <c r="E991" s="2" t="s">
        <v>18380</v>
      </c>
      <c r="F991" s="2" t="s">
        <v>18381</v>
      </c>
      <c r="G991" s="2" t="s">
        <v>18382</v>
      </c>
    </row>
    <row r="992">
      <c r="A992" s="2" t="s">
        <v>2298</v>
      </c>
      <c r="B992" s="2" t="s">
        <v>2299</v>
      </c>
      <c r="C992" s="2" t="s">
        <v>18378</v>
      </c>
      <c r="D992" s="2" t="s">
        <v>18379</v>
      </c>
      <c r="E992" s="2" t="s">
        <v>18370</v>
      </c>
      <c r="F992" s="2" t="s">
        <v>18371</v>
      </c>
      <c r="G992" s="2" t="s">
        <v>18372</v>
      </c>
    </row>
    <row r="993">
      <c r="A993" s="2" t="s">
        <v>2298</v>
      </c>
      <c r="B993" s="2" t="s">
        <v>2299</v>
      </c>
      <c r="C993" s="2" t="s">
        <v>18378</v>
      </c>
      <c r="D993" s="2" t="s">
        <v>18379</v>
      </c>
      <c r="E993" s="2" t="s">
        <v>18383</v>
      </c>
      <c r="F993" s="2" t="s">
        <v>18384</v>
      </c>
      <c r="G993" s="2" t="s">
        <v>18382</v>
      </c>
    </row>
    <row r="994">
      <c r="A994" s="2" t="s">
        <v>2298</v>
      </c>
      <c r="B994" s="2" t="s">
        <v>2299</v>
      </c>
      <c r="C994" s="2" t="s">
        <v>18378</v>
      </c>
      <c r="D994" s="2" t="s">
        <v>18379</v>
      </c>
      <c r="E994" s="2" t="s">
        <v>18385</v>
      </c>
      <c r="F994" s="2" t="s">
        <v>18386</v>
      </c>
      <c r="G994" s="2" t="s">
        <v>18387</v>
      </c>
    </row>
    <row r="995">
      <c r="A995" s="2" t="s">
        <v>12406</v>
      </c>
      <c r="B995" s="2" t="s">
        <v>12407</v>
      </c>
      <c r="C995" s="2" t="s">
        <v>18388</v>
      </c>
      <c r="D995" s="2" t="s">
        <v>18389</v>
      </c>
      <c r="E995" s="2" t="s">
        <v>18390</v>
      </c>
      <c r="F995" s="2" t="s">
        <v>18391</v>
      </c>
      <c r="G995" s="2" t="s">
        <v>18392</v>
      </c>
    </row>
    <row r="996">
      <c r="A996" s="2" t="s">
        <v>12406</v>
      </c>
      <c r="B996" s="2" t="s">
        <v>12407</v>
      </c>
      <c r="C996" s="2" t="s">
        <v>18388</v>
      </c>
      <c r="D996" s="2" t="s">
        <v>18389</v>
      </c>
      <c r="E996" s="2" t="s">
        <v>18393</v>
      </c>
      <c r="F996" s="2" t="s">
        <v>18371</v>
      </c>
      <c r="G996" s="2" t="s">
        <v>18394</v>
      </c>
    </row>
    <row r="997">
      <c r="A997" s="2" t="s">
        <v>9471</v>
      </c>
      <c r="B997" s="2" t="s">
        <v>9472</v>
      </c>
      <c r="C997" s="2" t="s">
        <v>18395</v>
      </c>
      <c r="D997" s="2" t="s">
        <v>18396</v>
      </c>
      <c r="E997" s="2" t="s">
        <v>18397</v>
      </c>
      <c r="F997" s="2" t="s">
        <v>18398</v>
      </c>
      <c r="G997" s="2" t="s">
        <v>18399</v>
      </c>
    </row>
    <row r="998">
      <c r="A998" s="2" t="s">
        <v>3402</v>
      </c>
      <c r="B998" s="2" t="s">
        <v>3403</v>
      </c>
      <c r="C998" s="2" t="s">
        <v>18400</v>
      </c>
      <c r="D998" s="2" t="s">
        <v>18401</v>
      </c>
      <c r="E998" s="2" t="s">
        <v>16730</v>
      </c>
      <c r="F998" s="2" t="s">
        <v>16731</v>
      </c>
      <c r="G998" s="2" t="s">
        <v>16732</v>
      </c>
    </row>
    <row r="999">
      <c r="A999" s="2" t="s">
        <v>3402</v>
      </c>
      <c r="B999" s="2" t="s">
        <v>3403</v>
      </c>
      <c r="C999" s="2" t="s">
        <v>18400</v>
      </c>
      <c r="D999" s="2" t="s">
        <v>18401</v>
      </c>
      <c r="E999" s="2" t="s">
        <v>18402</v>
      </c>
      <c r="F999" s="2" t="s">
        <v>18403</v>
      </c>
      <c r="G999" s="2" t="s">
        <v>18404</v>
      </c>
    </row>
    <row r="1000">
      <c r="A1000" s="2" t="s">
        <v>3402</v>
      </c>
      <c r="B1000" s="2" t="s">
        <v>3403</v>
      </c>
      <c r="C1000" s="2" t="s">
        <v>18400</v>
      </c>
      <c r="D1000" s="2" t="s">
        <v>18401</v>
      </c>
      <c r="E1000" s="2" t="s">
        <v>18405</v>
      </c>
      <c r="F1000" s="2" t="s">
        <v>18406</v>
      </c>
      <c r="G1000" s="2" t="s">
        <v>18407</v>
      </c>
    </row>
    <row r="1001">
      <c r="A1001" s="2" t="s">
        <v>6297</v>
      </c>
      <c r="B1001" s="2" t="s">
        <v>6298</v>
      </c>
      <c r="C1001" s="2" t="s">
        <v>18408</v>
      </c>
      <c r="D1001" s="2" t="s">
        <v>18409</v>
      </c>
      <c r="E1001" s="2" t="s">
        <v>18410</v>
      </c>
      <c r="F1001" s="2" t="s">
        <v>18411</v>
      </c>
      <c r="G1001" s="2" t="s">
        <v>18412</v>
      </c>
    </row>
    <row r="1002">
      <c r="A1002" s="2" t="s">
        <v>6297</v>
      </c>
      <c r="B1002" s="2" t="s">
        <v>6298</v>
      </c>
      <c r="C1002" s="2" t="s">
        <v>18408</v>
      </c>
      <c r="D1002" s="2" t="s">
        <v>18409</v>
      </c>
      <c r="E1002" s="2" t="s">
        <v>18413</v>
      </c>
      <c r="F1002" s="2" t="s">
        <v>18414</v>
      </c>
      <c r="G1002" s="2" t="s">
        <v>18415</v>
      </c>
    </row>
    <row r="1003">
      <c r="A1003" s="2" t="s">
        <v>6297</v>
      </c>
      <c r="B1003" s="2" t="s">
        <v>6298</v>
      </c>
      <c r="C1003" s="2" t="s">
        <v>18408</v>
      </c>
      <c r="D1003" s="2" t="s">
        <v>18409</v>
      </c>
      <c r="E1003" s="2" t="s">
        <v>18416</v>
      </c>
      <c r="F1003" s="2" t="s">
        <v>18417</v>
      </c>
      <c r="G1003" s="2" t="s">
        <v>18418</v>
      </c>
    </row>
    <row r="1004">
      <c r="A1004" s="2" t="s">
        <v>7159</v>
      </c>
      <c r="B1004" s="2" t="s">
        <v>7160</v>
      </c>
      <c r="C1004" s="2" t="s">
        <v>18419</v>
      </c>
      <c r="D1004" s="2" t="s">
        <v>18420</v>
      </c>
      <c r="E1004" s="2" t="s">
        <v>16730</v>
      </c>
      <c r="F1004" s="2" t="s">
        <v>16731</v>
      </c>
      <c r="G1004" s="2" t="s">
        <v>16732</v>
      </c>
    </row>
    <row r="1005">
      <c r="A1005" s="2" t="s">
        <v>7159</v>
      </c>
      <c r="B1005" s="2" t="s">
        <v>7160</v>
      </c>
      <c r="C1005" s="2" t="s">
        <v>18419</v>
      </c>
      <c r="D1005" s="2" t="s">
        <v>18420</v>
      </c>
      <c r="E1005" s="2" t="s">
        <v>18421</v>
      </c>
      <c r="F1005" s="2" t="s">
        <v>18422</v>
      </c>
      <c r="G1005" s="2" t="s">
        <v>18423</v>
      </c>
    </row>
    <row r="1006">
      <c r="A1006" s="2" t="s">
        <v>7159</v>
      </c>
      <c r="B1006" s="2" t="s">
        <v>7160</v>
      </c>
      <c r="C1006" s="2" t="s">
        <v>18419</v>
      </c>
      <c r="D1006" s="2" t="s">
        <v>18420</v>
      </c>
      <c r="E1006" s="2" t="s">
        <v>18424</v>
      </c>
      <c r="F1006" s="2" t="s">
        <v>18425</v>
      </c>
      <c r="G1006" s="2" t="s">
        <v>18426</v>
      </c>
    </row>
    <row r="1007">
      <c r="A1007" s="2" t="s">
        <v>7159</v>
      </c>
      <c r="B1007" s="2" t="s">
        <v>7160</v>
      </c>
      <c r="C1007" s="2" t="s">
        <v>18419</v>
      </c>
      <c r="D1007" s="2" t="s">
        <v>18420</v>
      </c>
      <c r="E1007" s="2" t="s">
        <v>18427</v>
      </c>
      <c r="F1007" s="2" t="s">
        <v>18428</v>
      </c>
      <c r="G1007" s="2" t="s">
        <v>18429</v>
      </c>
    </row>
    <row r="1008">
      <c r="A1008" s="2" t="s">
        <v>12016</v>
      </c>
      <c r="B1008" s="2" t="s">
        <v>12017</v>
      </c>
      <c r="C1008" s="2" t="s">
        <v>18430</v>
      </c>
      <c r="D1008" s="2" t="s">
        <v>18431</v>
      </c>
      <c r="E1008" s="2" t="s">
        <v>18432</v>
      </c>
      <c r="F1008" s="2" t="s">
        <v>18433</v>
      </c>
      <c r="G1008" s="2" t="s">
        <v>18434</v>
      </c>
    </row>
    <row r="1009">
      <c r="A1009" s="2" t="s">
        <v>3584</v>
      </c>
      <c r="B1009" s="2" t="s">
        <v>3585</v>
      </c>
      <c r="C1009" s="2" t="s">
        <v>18435</v>
      </c>
      <c r="D1009" s="2" t="s">
        <v>18436</v>
      </c>
      <c r="E1009" s="2" t="s">
        <v>18437</v>
      </c>
      <c r="F1009" s="2" t="s">
        <v>18438</v>
      </c>
      <c r="G1009" s="2" t="s">
        <v>18439</v>
      </c>
    </row>
    <row r="1010">
      <c r="A1010" s="2" t="s">
        <v>9400</v>
      </c>
      <c r="B1010" s="2" t="s">
        <v>9401</v>
      </c>
      <c r="C1010" s="2" t="s">
        <v>18440</v>
      </c>
      <c r="D1010" s="2" t="s">
        <v>18441</v>
      </c>
      <c r="E1010" s="2" t="s">
        <v>18442</v>
      </c>
      <c r="F1010" s="2" t="s">
        <v>18443</v>
      </c>
      <c r="G1010" s="2" t="s">
        <v>18444</v>
      </c>
    </row>
    <row r="1011">
      <c r="A1011" s="2" t="s">
        <v>9400</v>
      </c>
      <c r="B1011" s="2" t="s">
        <v>9401</v>
      </c>
      <c r="C1011" s="2" t="s">
        <v>18440</v>
      </c>
      <c r="D1011" s="2" t="s">
        <v>18441</v>
      </c>
      <c r="E1011" s="2" t="s">
        <v>18445</v>
      </c>
      <c r="F1011" s="2" t="s">
        <v>18446</v>
      </c>
      <c r="G1011" s="2" t="s">
        <v>18447</v>
      </c>
    </row>
    <row r="1012">
      <c r="A1012" s="2" t="s">
        <v>9400</v>
      </c>
      <c r="B1012" s="2" t="s">
        <v>9401</v>
      </c>
      <c r="C1012" s="2" t="s">
        <v>18440</v>
      </c>
      <c r="D1012" s="2" t="s">
        <v>18441</v>
      </c>
      <c r="E1012" s="2" t="s">
        <v>18448</v>
      </c>
      <c r="F1012" s="2" t="s">
        <v>15915</v>
      </c>
      <c r="G1012" s="2" t="s">
        <v>18449</v>
      </c>
    </row>
    <row r="1013">
      <c r="A1013" s="2" t="s">
        <v>8781</v>
      </c>
      <c r="B1013" s="2" t="s">
        <v>8782</v>
      </c>
      <c r="C1013" s="2" t="s">
        <v>18450</v>
      </c>
      <c r="D1013" s="2" t="s">
        <v>18451</v>
      </c>
      <c r="E1013" s="2" t="s">
        <v>18452</v>
      </c>
      <c r="F1013" s="2" t="s">
        <v>18453</v>
      </c>
      <c r="G1013" s="2" t="s">
        <v>18454</v>
      </c>
    </row>
    <row r="1014">
      <c r="A1014" s="2" t="s">
        <v>8781</v>
      </c>
      <c r="B1014" s="2" t="s">
        <v>8782</v>
      </c>
      <c r="C1014" s="2" t="s">
        <v>18450</v>
      </c>
      <c r="D1014" s="2" t="s">
        <v>18451</v>
      </c>
      <c r="E1014" s="2" t="s">
        <v>18455</v>
      </c>
      <c r="F1014" s="2" t="s">
        <v>18456</v>
      </c>
      <c r="G1014" s="2" t="s">
        <v>18457</v>
      </c>
    </row>
    <row r="1015">
      <c r="A1015" s="2" t="s">
        <v>8781</v>
      </c>
      <c r="B1015" s="2" t="s">
        <v>8782</v>
      </c>
      <c r="C1015" s="2" t="s">
        <v>18450</v>
      </c>
      <c r="D1015" s="2" t="s">
        <v>18451</v>
      </c>
      <c r="E1015" s="2" t="s">
        <v>18458</v>
      </c>
      <c r="F1015" s="2" t="s">
        <v>18459</v>
      </c>
      <c r="G1015" s="2" t="s">
        <v>18460</v>
      </c>
    </row>
    <row r="1016">
      <c r="A1016" s="2" t="s">
        <v>8781</v>
      </c>
      <c r="B1016" s="2" t="s">
        <v>8782</v>
      </c>
      <c r="C1016" s="2" t="s">
        <v>18450</v>
      </c>
      <c r="D1016" s="2" t="s">
        <v>18451</v>
      </c>
      <c r="E1016" s="2" t="s">
        <v>18461</v>
      </c>
      <c r="F1016" s="2" t="s">
        <v>18462</v>
      </c>
      <c r="G1016" s="2" t="s">
        <v>18463</v>
      </c>
    </row>
    <row r="1017">
      <c r="A1017" s="2" t="s">
        <v>8781</v>
      </c>
      <c r="B1017" s="2" t="s">
        <v>8782</v>
      </c>
      <c r="C1017" s="2" t="s">
        <v>18450</v>
      </c>
      <c r="D1017" s="2" t="s">
        <v>18451</v>
      </c>
      <c r="E1017" s="2" t="s">
        <v>18464</v>
      </c>
      <c r="F1017" s="2" t="s">
        <v>18465</v>
      </c>
      <c r="G1017" s="2" t="s">
        <v>18466</v>
      </c>
    </row>
    <row r="1018">
      <c r="A1018" s="2" t="s">
        <v>8781</v>
      </c>
      <c r="B1018" s="2" t="s">
        <v>8782</v>
      </c>
      <c r="C1018" s="2" t="s">
        <v>18450</v>
      </c>
      <c r="D1018" s="2" t="s">
        <v>18451</v>
      </c>
      <c r="E1018" s="2" t="s">
        <v>18467</v>
      </c>
      <c r="F1018" s="2" t="s">
        <v>18468</v>
      </c>
      <c r="G1018" s="2" t="s">
        <v>18469</v>
      </c>
    </row>
    <row r="1019">
      <c r="A1019" s="2" t="s">
        <v>8781</v>
      </c>
      <c r="B1019" s="2" t="s">
        <v>8782</v>
      </c>
      <c r="C1019" s="2" t="s">
        <v>18450</v>
      </c>
      <c r="D1019" s="2" t="s">
        <v>18451</v>
      </c>
      <c r="E1019" s="2" t="s">
        <v>18470</v>
      </c>
      <c r="F1019" s="2" t="s">
        <v>18471</v>
      </c>
      <c r="G1019" s="2" t="s">
        <v>18472</v>
      </c>
    </row>
    <row r="1020">
      <c r="A1020" s="2" t="s">
        <v>8781</v>
      </c>
      <c r="B1020" s="2" t="s">
        <v>8782</v>
      </c>
      <c r="C1020" s="2" t="s">
        <v>18450</v>
      </c>
      <c r="D1020" s="2" t="s">
        <v>18451</v>
      </c>
      <c r="E1020" s="2" t="s">
        <v>18473</v>
      </c>
      <c r="F1020" s="2" t="s">
        <v>18465</v>
      </c>
      <c r="G1020" s="2" t="s">
        <v>18474</v>
      </c>
    </row>
    <row r="1021">
      <c r="A1021" s="2" t="s">
        <v>13433</v>
      </c>
      <c r="B1021" s="2" t="s">
        <v>13434</v>
      </c>
      <c r="C1021" s="2" t="s">
        <v>18475</v>
      </c>
      <c r="D1021" s="2" t="s">
        <v>18476</v>
      </c>
      <c r="E1021" s="2" t="s">
        <v>18477</v>
      </c>
      <c r="F1021" s="2" t="s">
        <v>18478</v>
      </c>
      <c r="G1021" s="2" t="s">
        <v>18479</v>
      </c>
    </row>
    <row r="1022">
      <c r="A1022" s="2" t="s">
        <v>9046</v>
      </c>
      <c r="B1022" s="2" t="s">
        <v>9047</v>
      </c>
      <c r="C1022" s="2" t="s">
        <v>18480</v>
      </c>
      <c r="D1022" s="2" t="s">
        <v>18481</v>
      </c>
      <c r="E1022" s="2" t="s">
        <v>18482</v>
      </c>
      <c r="F1022" s="2" t="s">
        <v>18483</v>
      </c>
      <c r="G1022" s="2" t="s">
        <v>18484</v>
      </c>
    </row>
    <row r="1023">
      <c r="A1023" s="2" t="s">
        <v>6888</v>
      </c>
      <c r="B1023" s="2" t="s">
        <v>6889</v>
      </c>
      <c r="C1023" s="2" t="s">
        <v>18485</v>
      </c>
      <c r="D1023" s="2" t="s">
        <v>18486</v>
      </c>
      <c r="E1023" s="2" t="s">
        <v>18487</v>
      </c>
      <c r="F1023" s="2" t="s">
        <v>18488</v>
      </c>
      <c r="G1023" s="2" t="s">
        <v>18489</v>
      </c>
    </row>
    <row r="1024">
      <c r="A1024" s="2" t="s">
        <v>12127</v>
      </c>
      <c r="B1024" s="2" t="s">
        <v>12128</v>
      </c>
      <c r="C1024" s="2" t="s">
        <v>18490</v>
      </c>
      <c r="D1024" s="2" t="s">
        <v>18491</v>
      </c>
      <c r="E1024" s="2" t="s">
        <v>18492</v>
      </c>
      <c r="F1024" s="2" t="s">
        <v>18493</v>
      </c>
      <c r="G1024" s="2" t="s">
        <v>18494</v>
      </c>
    </row>
    <row r="1025">
      <c r="A1025" s="2" t="s">
        <v>12127</v>
      </c>
      <c r="B1025" s="2" t="s">
        <v>12128</v>
      </c>
      <c r="C1025" s="2" t="s">
        <v>18490</v>
      </c>
      <c r="D1025" s="2" t="s">
        <v>18491</v>
      </c>
      <c r="E1025" s="2" t="s">
        <v>18495</v>
      </c>
      <c r="F1025" s="2" t="s">
        <v>18496</v>
      </c>
      <c r="G1025" s="2" t="s">
        <v>18497</v>
      </c>
    </row>
    <row r="1026">
      <c r="A1026" s="2" t="s">
        <v>9216</v>
      </c>
      <c r="B1026" s="2" t="s">
        <v>9217</v>
      </c>
      <c r="C1026" s="2" t="s">
        <v>18498</v>
      </c>
      <c r="D1026" s="2" t="s">
        <v>18499</v>
      </c>
      <c r="E1026" s="2" t="s">
        <v>18500</v>
      </c>
      <c r="F1026" s="2" t="s">
        <v>18501</v>
      </c>
      <c r="G1026" s="2" t="s">
        <v>18502</v>
      </c>
    </row>
    <row r="1027">
      <c r="A1027" s="2" t="s">
        <v>1526</v>
      </c>
      <c r="B1027" s="2" t="s">
        <v>1527</v>
      </c>
      <c r="C1027" s="2" t="s">
        <v>18503</v>
      </c>
      <c r="D1027" s="2" t="s">
        <v>18504</v>
      </c>
      <c r="E1027" s="2" t="s">
        <v>18505</v>
      </c>
      <c r="F1027" s="2" t="s">
        <v>18506</v>
      </c>
      <c r="G1027" s="2" t="s">
        <v>18507</v>
      </c>
    </row>
    <row r="1028">
      <c r="A1028" s="2" t="s">
        <v>4877</v>
      </c>
      <c r="B1028" s="2" t="s">
        <v>4878</v>
      </c>
      <c r="C1028" s="2" t="s">
        <v>18508</v>
      </c>
      <c r="D1028" s="2" t="s">
        <v>18509</v>
      </c>
      <c r="E1028" s="2" t="s">
        <v>18510</v>
      </c>
      <c r="F1028" s="2" t="s">
        <v>18511</v>
      </c>
      <c r="G1028" s="2" t="s">
        <v>18512</v>
      </c>
    </row>
    <row r="1029">
      <c r="A1029" s="2" t="s">
        <v>8697</v>
      </c>
      <c r="B1029" s="2" t="s">
        <v>8698</v>
      </c>
      <c r="C1029" s="2" t="s">
        <v>18513</v>
      </c>
      <c r="D1029" s="2" t="s">
        <v>18514</v>
      </c>
      <c r="E1029" s="2" t="s">
        <v>18515</v>
      </c>
      <c r="F1029" s="2" t="s">
        <v>18516</v>
      </c>
      <c r="G1029" s="2" t="s">
        <v>17973</v>
      </c>
    </row>
    <row r="1030">
      <c r="A1030" s="2" t="s">
        <v>11792</v>
      </c>
      <c r="B1030" s="2" t="s">
        <v>11793</v>
      </c>
      <c r="C1030" s="2" t="s">
        <v>18517</v>
      </c>
      <c r="D1030" s="2" t="s">
        <v>18518</v>
      </c>
      <c r="E1030" s="2" t="s">
        <v>18519</v>
      </c>
      <c r="F1030" s="2" t="s">
        <v>18096</v>
      </c>
      <c r="G1030" s="2" t="s">
        <v>18520</v>
      </c>
    </row>
    <row r="1031">
      <c r="A1031" s="2" t="s">
        <v>3944</v>
      </c>
      <c r="B1031" s="2" t="s">
        <v>3945</v>
      </c>
      <c r="C1031" s="2" t="s">
        <v>18521</v>
      </c>
      <c r="D1031" s="2" t="s">
        <v>18522</v>
      </c>
      <c r="E1031" s="2" t="s">
        <v>18523</v>
      </c>
      <c r="F1031" s="2" t="s">
        <v>18524</v>
      </c>
      <c r="G1031" s="2" t="s">
        <v>18525</v>
      </c>
    </row>
    <row r="1032">
      <c r="A1032" s="2" t="s">
        <v>8016</v>
      </c>
      <c r="B1032" s="2" t="s">
        <v>8017</v>
      </c>
      <c r="C1032" s="2" t="s">
        <v>18526</v>
      </c>
      <c r="D1032" s="2" t="s">
        <v>18527</v>
      </c>
      <c r="E1032" s="2" t="s">
        <v>18528</v>
      </c>
      <c r="F1032" s="2" t="s">
        <v>18529</v>
      </c>
      <c r="G1032" s="2" t="s">
        <v>18530</v>
      </c>
    </row>
    <row r="1033">
      <c r="A1033" s="2" t="s">
        <v>8016</v>
      </c>
      <c r="B1033" s="2" t="s">
        <v>8017</v>
      </c>
      <c r="C1033" s="2" t="s">
        <v>18526</v>
      </c>
      <c r="D1033" s="2" t="s">
        <v>18527</v>
      </c>
      <c r="E1033" s="2" t="s">
        <v>18531</v>
      </c>
      <c r="F1033" s="2" t="s">
        <v>18532</v>
      </c>
      <c r="G1033" s="2" t="s">
        <v>18533</v>
      </c>
    </row>
    <row r="1034">
      <c r="A1034" s="2" t="s">
        <v>8016</v>
      </c>
      <c r="B1034" s="2" t="s">
        <v>8017</v>
      </c>
      <c r="C1034" s="2" t="s">
        <v>18526</v>
      </c>
      <c r="D1034" s="2" t="s">
        <v>18527</v>
      </c>
      <c r="E1034" s="2" t="s">
        <v>18534</v>
      </c>
      <c r="F1034" s="2" t="s">
        <v>18530</v>
      </c>
      <c r="G1034" s="2" t="s">
        <v>18535</v>
      </c>
    </row>
    <row r="1035">
      <c r="A1035" s="2" t="s">
        <v>7333</v>
      </c>
      <c r="B1035" s="2" t="s">
        <v>7334</v>
      </c>
      <c r="C1035" s="2" t="s">
        <v>18536</v>
      </c>
      <c r="D1035" s="2" t="s">
        <v>18537</v>
      </c>
      <c r="E1035" s="2" t="s">
        <v>18538</v>
      </c>
      <c r="F1035" s="2" t="s">
        <v>18539</v>
      </c>
      <c r="G1035" s="2" t="s">
        <v>18540</v>
      </c>
    </row>
    <row r="1036">
      <c r="A1036" s="2" t="s">
        <v>7333</v>
      </c>
      <c r="B1036" s="2" t="s">
        <v>7334</v>
      </c>
      <c r="C1036" s="2" t="s">
        <v>18536</v>
      </c>
      <c r="D1036" s="2" t="s">
        <v>18537</v>
      </c>
      <c r="E1036" s="2" t="s">
        <v>18541</v>
      </c>
      <c r="F1036" s="2" t="s">
        <v>18532</v>
      </c>
      <c r="G1036" s="2" t="s">
        <v>18542</v>
      </c>
    </row>
    <row r="1037">
      <c r="A1037" s="2" t="s">
        <v>7333</v>
      </c>
      <c r="B1037" s="2" t="s">
        <v>7334</v>
      </c>
      <c r="C1037" s="2" t="s">
        <v>18536</v>
      </c>
      <c r="D1037" s="2" t="s">
        <v>18537</v>
      </c>
      <c r="E1037" s="2" t="s">
        <v>18543</v>
      </c>
      <c r="F1037" s="2" t="s">
        <v>18259</v>
      </c>
      <c r="G1037" s="2" t="s">
        <v>18544</v>
      </c>
    </row>
    <row r="1038">
      <c r="A1038" s="2" t="s">
        <v>9906</v>
      </c>
      <c r="B1038" s="2" t="s">
        <v>9907</v>
      </c>
      <c r="C1038" s="2" t="s">
        <v>18545</v>
      </c>
      <c r="D1038" s="2" t="s">
        <v>18546</v>
      </c>
      <c r="E1038" s="2" t="s">
        <v>18547</v>
      </c>
      <c r="F1038" s="2" t="s">
        <v>18548</v>
      </c>
      <c r="G1038" s="2" t="s">
        <v>18549</v>
      </c>
    </row>
    <row r="1039">
      <c r="A1039" s="2" t="s">
        <v>8202</v>
      </c>
      <c r="B1039" s="2" t="s">
        <v>8203</v>
      </c>
      <c r="C1039" s="2" t="s">
        <v>18550</v>
      </c>
      <c r="D1039" s="2" t="s">
        <v>18551</v>
      </c>
      <c r="E1039" s="2" t="s">
        <v>18552</v>
      </c>
      <c r="F1039" s="2" t="s">
        <v>18553</v>
      </c>
      <c r="G1039" s="2" t="s">
        <v>18342</v>
      </c>
    </row>
    <row r="1040">
      <c r="A1040" s="2" t="s">
        <v>3398</v>
      </c>
      <c r="B1040" s="2" t="s">
        <v>3399</v>
      </c>
      <c r="C1040" s="2" t="s">
        <v>18554</v>
      </c>
      <c r="D1040" s="2" t="s">
        <v>18555</v>
      </c>
      <c r="E1040" s="2" t="s">
        <v>18556</v>
      </c>
      <c r="F1040" s="2" t="s">
        <v>17852</v>
      </c>
      <c r="G1040" s="2" t="s">
        <v>18557</v>
      </c>
    </row>
    <row r="1041">
      <c r="A1041" s="2" t="s">
        <v>6134</v>
      </c>
      <c r="B1041" s="2" t="s">
        <v>6135</v>
      </c>
      <c r="C1041" s="2" t="s">
        <v>18558</v>
      </c>
      <c r="D1041" s="2" t="s">
        <v>18559</v>
      </c>
      <c r="E1041" s="2" t="s">
        <v>18560</v>
      </c>
      <c r="F1041" s="2" t="s">
        <v>18561</v>
      </c>
      <c r="G1041" s="2" t="s">
        <v>18126</v>
      </c>
    </row>
    <row r="1042">
      <c r="A1042" s="2" t="s">
        <v>3875</v>
      </c>
      <c r="B1042" s="2" t="s">
        <v>3876</v>
      </c>
      <c r="C1042" s="2" t="s">
        <v>18562</v>
      </c>
      <c r="D1042" s="2" t="s">
        <v>18563</v>
      </c>
      <c r="E1042" s="2" t="s">
        <v>18564</v>
      </c>
      <c r="F1042" s="2" t="s">
        <v>18565</v>
      </c>
      <c r="G1042" s="2" t="s">
        <v>18001</v>
      </c>
    </row>
    <row r="1043">
      <c r="A1043" s="2" t="s">
        <v>7684</v>
      </c>
      <c r="B1043" s="2" t="s">
        <v>7685</v>
      </c>
      <c r="C1043" s="2" t="s">
        <v>18566</v>
      </c>
      <c r="D1043" s="2" t="s">
        <v>18567</v>
      </c>
      <c r="E1043" s="2" t="s">
        <v>18568</v>
      </c>
      <c r="F1043" s="2" t="s">
        <v>18569</v>
      </c>
      <c r="G1043" s="2" t="s">
        <v>18096</v>
      </c>
    </row>
    <row r="1044">
      <c r="A1044" s="2" t="s">
        <v>7684</v>
      </c>
      <c r="B1044" s="2" t="s">
        <v>7685</v>
      </c>
      <c r="C1044" s="2" t="s">
        <v>18566</v>
      </c>
      <c r="D1044" s="2" t="s">
        <v>18567</v>
      </c>
      <c r="E1044" s="2" t="s">
        <v>18570</v>
      </c>
      <c r="F1044" s="2" t="s">
        <v>18571</v>
      </c>
      <c r="G1044" s="2" t="s">
        <v>18572</v>
      </c>
    </row>
    <row r="1045">
      <c r="A1045" s="2" t="s">
        <v>8805</v>
      </c>
      <c r="B1045" s="2" t="s">
        <v>8806</v>
      </c>
      <c r="C1045" s="2" t="s">
        <v>18573</v>
      </c>
      <c r="D1045" s="2" t="s">
        <v>18574</v>
      </c>
      <c r="E1045" s="2" t="s">
        <v>18575</v>
      </c>
      <c r="F1045" s="2" t="s">
        <v>18576</v>
      </c>
      <c r="G1045" s="2" t="s">
        <v>18577</v>
      </c>
    </row>
    <row r="1046">
      <c r="A1046" s="2" t="s">
        <v>8805</v>
      </c>
      <c r="B1046" s="2" t="s">
        <v>8806</v>
      </c>
      <c r="C1046" s="2" t="s">
        <v>18573</v>
      </c>
      <c r="D1046" s="2" t="s">
        <v>18574</v>
      </c>
      <c r="E1046" s="2" t="s">
        <v>18578</v>
      </c>
      <c r="F1046" s="2" t="s">
        <v>18579</v>
      </c>
      <c r="G1046" s="2" t="s">
        <v>18580</v>
      </c>
    </row>
    <row r="1047">
      <c r="A1047" s="2" t="s">
        <v>8805</v>
      </c>
      <c r="B1047" s="2" t="s">
        <v>8806</v>
      </c>
      <c r="C1047" s="2" t="s">
        <v>18573</v>
      </c>
      <c r="D1047" s="2" t="s">
        <v>18574</v>
      </c>
      <c r="E1047" s="2" t="s">
        <v>18581</v>
      </c>
      <c r="F1047" s="2" t="s">
        <v>18579</v>
      </c>
      <c r="G1047" s="2" t="s">
        <v>18582</v>
      </c>
    </row>
    <row r="1048">
      <c r="A1048" s="2" t="s">
        <v>8805</v>
      </c>
      <c r="B1048" s="2" t="s">
        <v>8806</v>
      </c>
      <c r="C1048" s="2" t="s">
        <v>18573</v>
      </c>
      <c r="D1048" s="2" t="s">
        <v>18574</v>
      </c>
      <c r="E1048" s="2" t="s">
        <v>18583</v>
      </c>
      <c r="F1048" s="2" t="s">
        <v>18580</v>
      </c>
      <c r="G1048" s="2" t="s">
        <v>18582</v>
      </c>
    </row>
    <row r="1049">
      <c r="A1049" s="2" t="s">
        <v>8805</v>
      </c>
      <c r="B1049" s="2" t="s">
        <v>8806</v>
      </c>
      <c r="C1049" s="2" t="s">
        <v>18573</v>
      </c>
      <c r="D1049" s="2" t="s">
        <v>18574</v>
      </c>
      <c r="E1049" s="2" t="s">
        <v>18584</v>
      </c>
      <c r="F1049" s="2" t="s">
        <v>18579</v>
      </c>
      <c r="G1049" s="2" t="s">
        <v>18577</v>
      </c>
    </row>
    <row r="1050">
      <c r="A1050" s="2" t="s">
        <v>11240</v>
      </c>
      <c r="B1050" s="2" t="s">
        <v>11241</v>
      </c>
      <c r="C1050" s="2" t="s">
        <v>18585</v>
      </c>
      <c r="D1050" s="2" t="s">
        <v>18586</v>
      </c>
      <c r="E1050" s="2" t="s">
        <v>18587</v>
      </c>
      <c r="F1050" s="2" t="s">
        <v>18588</v>
      </c>
      <c r="G1050" s="2" t="s">
        <v>18589</v>
      </c>
    </row>
    <row r="1051">
      <c r="A1051" s="2" t="s">
        <v>7522</v>
      </c>
      <c r="B1051" s="2" t="s">
        <v>7523</v>
      </c>
      <c r="C1051" s="2" t="s">
        <v>18590</v>
      </c>
      <c r="D1051" s="2" t="s">
        <v>18591</v>
      </c>
      <c r="E1051" s="2" t="s">
        <v>18592</v>
      </c>
      <c r="F1051" s="2" t="s">
        <v>18593</v>
      </c>
      <c r="G1051" s="2" t="s">
        <v>18594</v>
      </c>
    </row>
    <row r="1052">
      <c r="A1052" s="2" t="s">
        <v>7522</v>
      </c>
      <c r="B1052" s="2" t="s">
        <v>7523</v>
      </c>
      <c r="C1052" s="2" t="s">
        <v>18590</v>
      </c>
      <c r="D1052" s="2" t="s">
        <v>18591</v>
      </c>
      <c r="E1052" s="2" t="s">
        <v>18595</v>
      </c>
      <c r="F1052" s="2" t="s">
        <v>18596</v>
      </c>
      <c r="G1052" s="2" t="s">
        <v>18597</v>
      </c>
    </row>
    <row r="1053">
      <c r="A1053" s="2" t="s">
        <v>3131</v>
      </c>
      <c r="B1053" s="2" t="s">
        <v>3132</v>
      </c>
      <c r="C1053" s="2" t="s">
        <v>18598</v>
      </c>
      <c r="D1053" s="2" t="s">
        <v>18599</v>
      </c>
      <c r="E1053" s="2" t="s">
        <v>18600</v>
      </c>
      <c r="F1053" s="2" t="s">
        <v>18601</v>
      </c>
      <c r="G1053" s="2" t="s">
        <v>18602</v>
      </c>
    </row>
    <row r="1054">
      <c r="A1054" s="2" t="s">
        <v>6617</v>
      </c>
      <c r="B1054" s="2" t="s">
        <v>6618</v>
      </c>
      <c r="C1054" s="2" t="s">
        <v>18603</v>
      </c>
      <c r="D1054" s="2" t="s">
        <v>18604</v>
      </c>
      <c r="E1054" s="2" t="s">
        <v>18605</v>
      </c>
      <c r="F1054" s="2" t="s">
        <v>18606</v>
      </c>
      <c r="G1054" s="2" t="s">
        <v>18607</v>
      </c>
    </row>
    <row r="1055">
      <c r="A1055" s="2" t="s">
        <v>538</v>
      </c>
      <c r="B1055" s="2" t="s">
        <v>539</v>
      </c>
      <c r="C1055" s="2" t="s">
        <v>18608</v>
      </c>
      <c r="D1055" s="2" t="s">
        <v>18609</v>
      </c>
      <c r="E1055" s="2" t="s">
        <v>18610</v>
      </c>
      <c r="F1055" s="2" t="s">
        <v>18611</v>
      </c>
      <c r="G1055" s="2" t="s">
        <v>18612</v>
      </c>
    </row>
    <row r="1056">
      <c r="A1056" s="2" t="s">
        <v>538</v>
      </c>
      <c r="B1056" s="2" t="s">
        <v>539</v>
      </c>
      <c r="C1056" s="2" t="s">
        <v>18608</v>
      </c>
      <c r="D1056" s="2" t="s">
        <v>18609</v>
      </c>
      <c r="E1056" s="2" t="s">
        <v>18613</v>
      </c>
      <c r="F1056" s="2" t="s">
        <v>18131</v>
      </c>
      <c r="G1056" s="2" t="s">
        <v>18614</v>
      </c>
    </row>
    <row r="1057">
      <c r="A1057" s="2" t="s">
        <v>8205</v>
      </c>
      <c r="B1057" s="2" t="s">
        <v>8206</v>
      </c>
      <c r="C1057" s="2" t="s">
        <v>18615</v>
      </c>
      <c r="D1057" s="2" t="s">
        <v>18616</v>
      </c>
      <c r="E1057" s="2" t="s">
        <v>18613</v>
      </c>
      <c r="F1057" s="2" t="s">
        <v>18131</v>
      </c>
      <c r="G1057" s="2" t="s">
        <v>18614</v>
      </c>
    </row>
    <row r="1058">
      <c r="A1058" s="2" t="s">
        <v>11087</v>
      </c>
      <c r="B1058" s="2" t="s">
        <v>11088</v>
      </c>
      <c r="C1058" s="2" t="s">
        <v>18617</v>
      </c>
      <c r="D1058" s="2" t="s">
        <v>18618</v>
      </c>
      <c r="E1058" s="2" t="s">
        <v>18619</v>
      </c>
      <c r="F1058" s="2" t="s">
        <v>18620</v>
      </c>
      <c r="G1058" s="2" t="s">
        <v>18569</v>
      </c>
    </row>
    <row r="1059">
      <c r="A1059" s="2" t="s">
        <v>11087</v>
      </c>
      <c r="B1059" s="2" t="s">
        <v>11088</v>
      </c>
      <c r="C1059" s="2" t="s">
        <v>18617</v>
      </c>
      <c r="D1059" s="2" t="s">
        <v>18618</v>
      </c>
      <c r="E1059" s="2" t="s">
        <v>18621</v>
      </c>
      <c r="F1059" s="2" t="s">
        <v>18622</v>
      </c>
      <c r="G1059" s="2" t="s">
        <v>18051</v>
      </c>
    </row>
    <row r="1060">
      <c r="A1060" s="2" t="s">
        <v>1001</v>
      </c>
      <c r="B1060" s="2" t="s">
        <v>1002</v>
      </c>
      <c r="C1060" s="2" t="s">
        <v>18623</v>
      </c>
      <c r="D1060" s="2" t="s">
        <v>18624</v>
      </c>
      <c r="E1060" s="2" t="s">
        <v>18625</v>
      </c>
      <c r="F1060" s="2" t="s">
        <v>18626</v>
      </c>
      <c r="G1060" s="2" t="s">
        <v>18627</v>
      </c>
    </row>
    <row r="1061">
      <c r="A1061" s="2" t="s">
        <v>5784</v>
      </c>
      <c r="B1061" s="2" t="s">
        <v>5785</v>
      </c>
      <c r="C1061" s="2" t="s">
        <v>18628</v>
      </c>
      <c r="D1061" s="2" t="s">
        <v>18629</v>
      </c>
      <c r="E1061" s="2" t="s">
        <v>18630</v>
      </c>
      <c r="F1061" s="2" t="s">
        <v>18235</v>
      </c>
      <c r="G1061" s="2" t="s">
        <v>18631</v>
      </c>
    </row>
    <row r="1062">
      <c r="A1062" s="2" t="s">
        <v>8884</v>
      </c>
      <c r="B1062" s="2" t="s">
        <v>8885</v>
      </c>
      <c r="C1062" s="2" t="s">
        <v>18632</v>
      </c>
      <c r="D1062" s="2" t="s">
        <v>18633</v>
      </c>
      <c r="E1062" s="2" t="s">
        <v>18634</v>
      </c>
      <c r="F1062" s="2" t="s">
        <v>18635</v>
      </c>
      <c r="G1062" s="2" t="s">
        <v>18636</v>
      </c>
    </row>
    <row r="1063">
      <c r="A1063" s="2" t="s">
        <v>5899</v>
      </c>
      <c r="B1063" s="2" t="s">
        <v>5900</v>
      </c>
      <c r="C1063" s="2" t="s">
        <v>18637</v>
      </c>
      <c r="D1063" s="2" t="s">
        <v>18638</v>
      </c>
      <c r="E1063" s="2" t="s">
        <v>18639</v>
      </c>
      <c r="F1063" s="2" t="s">
        <v>18640</v>
      </c>
      <c r="G1063" s="2" t="s">
        <v>18641</v>
      </c>
    </row>
    <row r="1064">
      <c r="A1064" s="2"/>
      <c r="B1064" s="2"/>
      <c r="C1064" s="2" t="s">
        <v>18642</v>
      </c>
      <c r="D1064" s="2" t="s">
        <v>18643</v>
      </c>
      <c r="E1064" s="2" t="s">
        <v>18644</v>
      </c>
      <c r="F1064" s="2" t="s">
        <v>18645</v>
      </c>
      <c r="G1064" s="2" t="s">
        <v>17978</v>
      </c>
    </row>
    <row r="1065">
      <c r="A1065" s="2" t="s">
        <v>809</v>
      </c>
      <c r="B1065" s="2" t="s">
        <v>810</v>
      </c>
      <c r="C1065" s="2" t="s">
        <v>18646</v>
      </c>
      <c r="D1065" s="2" t="s">
        <v>18647</v>
      </c>
      <c r="E1065" s="2" t="s">
        <v>15943</v>
      </c>
      <c r="F1065" s="2" t="s">
        <v>15944</v>
      </c>
      <c r="G1065" s="2" t="s">
        <v>15944</v>
      </c>
    </row>
    <row r="1066">
      <c r="A1066" s="2" t="s">
        <v>3216</v>
      </c>
      <c r="B1066" s="2" t="s">
        <v>3217</v>
      </c>
      <c r="C1066" s="2" t="s">
        <v>18648</v>
      </c>
      <c r="D1066" s="2" t="s">
        <v>18649</v>
      </c>
      <c r="E1066" s="2" t="s">
        <v>15943</v>
      </c>
      <c r="F1066" s="2" t="s">
        <v>15944</v>
      </c>
      <c r="G1066" s="2" t="s">
        <v>15944</v>
      </c>
    </row>
    <row r="1067">
      <c r="A1067" s="2" t="s">
        <v>11978</v>
      </c>
      <c r="B1067" s="2" t="s">
        <v>11979</v>
      </c>
      <c r="C1067" s="2" t="s">
        <v>18650</v>
      </c>
      <c r="D1067" s="2" t="s">
        <v>18651</v>
      </c>
      <c r="E1067" s="2" t="s">
        <v>15943</v>
      </c>
      <c r="F1067" s="2" t="s">
        <v>15944</v>
      </c>
      <c r="G1067" s="2" t="s">
        <v>15944</v>
      </c>
    </row>
    <row r="1068">
      <c r="A1068" s="2" t="s">
        <v>5434</v>
      </c>
      <c r="B1068" s="2" t="s">
        <v>5435</v>
      </c>
      <c r="C1068" s="2" t="s">
        <v>18652</v>
      </c>
      <c r="D1068" s="2" t="s">
        <v>18653</v>
      </c>
      <c r="E1068" s="2" t="s">
        <v>18654</v>
      </c>
      <c r="F1068" s="2" t="s">
        <v>18655</v>
      </c>
      <c r="G1068" s="2" t="s">
        <v>18656</v>
      </c>
    </row>
    <row r="1069">
      <c r="A1069" s="2" t="s">
        <v>6042</v>
      </c>
      <c r="B1069" s="2" t="s">
        <v>6043</v>
      </c>
      <c r="C1069" s="2" t="s">
        <v>18657</v>
      </c>
      <c r="D1069" s="2" t="s">
        <v>18658</v>
      </c>
      <c r="E1069" s="2" t="s">
        <v>15943</v>
      </c>
      <c r="F1069" s="2" t="s">
        <v>15944</v>
      </c>
      <c r="G1069" s="2" t="s">
        <v>15944</v>
      </c>
    </row>
    <row r="1070">
      <c r="A1070" s="2"/>
      <c r="B1070" s="2"/>
      <c r="C1070" s="2" t="s">
        <v>18659</v>
      </c>
      <c r="D1070" s="2" t="s">
        <v>18660</v>
      </c>
      <c r="E1070" s="2" t="s">
        <v>15943</v>
      </c>
      <c r="F1070" s="2" t="s">
        <v>15944</v>
      </c>
      <c r="G1070" s="2" t="s">
        <v>15944</v>
      </c>
    </row>
    <row r="1071">
      <c r="A1071" s="2" t="s">
        <v>8384</v>
      </c>
      <c r="B1071" s="2" t="s">
        <v>8385</v>
      </c>
      <c r="C1071" s="2" t="s">
        <v>18661</v>
      </c>
      <c r="D1071" s="2" t="s">
        <v>18662</v>
      </c>
      <c r="E1071" s="2" t="s">
        <v>18663</v>
      </c>
      <c r="F1071" s="2" t="s">
        <v>18664</v>
      </c>
      <c r="G1071" s="2" t="s">
        <v>18665</v>
      </c>
    </row>
    <row r="1072">
      <c r="A1072" s="2" t="s">
        <v>7076</v>
      </c>
      <c r="B1072" s="2" t="s">
        <v>7077</v>
      </c>
      <c r="C1072" s="2" t="s">
        <v>18666</v>
      </c>
      <c r="D1072" s="2" t="s">
        <v>18667</v>
      </c>
      <c r="E1072" s="2" t="s">
        <v>18668</v>
      </c>
      <c r="F1072" s="2" t="s">
        <v>18669</v>
      </c>
      <c r="G1072" s="2" t="s">
        <v>18670</v>
      </c>
    </row>
    <row r="1073">
      <c r="A1073" s="2" t="s">
        <v>7076</v>
      </c>
      <c r="B1073" s="2" t="s">
        <v>7077</v>
      </c>
      <c r="C1073" s="2" t="s">
        <v>18666</v>
      </c>
      <c r="D1073" s="2" t="s">
        <v>18667</v>
      </c>
      <c r="E1073" s="2" t="s">
        <v>18671</v>
      </c>
      <c r="F1073" s="2" t="s">
        <v>18672</v>
      </c>
      <c r="G1073" s="2" t="s">
        <v>18673</v>
      </c>
    </row>
    <row r="1074">
      <c r="A1074" s="2" t="s">
        <v>10158</v>
      </c>
      <c r="B1074" s="2" t="s">
        <v>10159</v>
      </c>
      <c r="C1074" s="2" t="s">
        <v>18674</v>
      </c>
      <c r="D1074" s="2" t="s">
        <v>18675</v>
      </c>
      <c r="E1074" s="2" t="s">
        <v>18676</v>
      </c>
      <c r="F1074" s="2" t="s">
        <v>18677</v>
      </c>
      <c r="G1074" s="2" t="s">
        <v>18678</v>
      </c>
    </row>
    <row r="1075">
      <c r="A1075" s="2" t="s">
        <v>3505</v>
      </c>
      <c r="B1075" s="2" t="s">
        <v>3506</v>
      </c>
      <c r="C1075" s="2" t="s">
        <v>18679</v>
      </c>
      <c r="D1075" s="2" t="s">
        <v>18680</v>
      </c>
      <c r="E1075" s="2" t="s">
        <v>18681</v>
      </c>
      <c r="F1075" s="2" t="s">
        <v>18682</v>
      </c>
      <c r="G1075" s="2" t="s">
        <v>18683</v>
      </c>
    </row>
    <row r="1076">
      <c r="A1076" s="2" t="s">
        <v>3505</v>
      </c>
      <c r="B1076" s="2" t="s">
        <v>3506</v>
      </c>
      <c r="C1076" s="2" t="s">
        <v>18679</v>
      </c>
      <c r="D1076" s="2" t="s">
        <v>18680</v>
      </c>
      <c r="E1076" s="2" t="s">
        <v>18684</v>
      </c>
      <c r="F1076" s="2" t="s">
        <v>18685</v>
      </c>
      <c r="G1076" s="2" t="s">
        <v>18686</v>
      </c>
    </row>
    <row r="1077">
      <c r="A1077" s="2" t="s">
        <v>3505</v>
      </c>
      <c r="B1077" s="2" t="s">
        <v>3506</v>
      </c>
      <c r="C1077" s="2" t="s">
        <v>18679</v>
      </c>
      <c r="D1077" s="2" t="s">
        <v>18680</v>
      </c>
      <c r="E1077" s="2" t="s">
        <v>18687</v>
      </c>
      <c r="F1077" s="2" t="s">
        <v>18688</v>
      </c>
      <c r="G1077" s="2" t="s">
        <v>18689</v>
      </c>
    </row>
    <row r="1078">
      <c r="A1078" s="2" t="s">
        <v>3505</v>
      </c>
      <c r="B1078" s="2" t="s">
        <v>3506</v>
      </c>
      <c r="C1078" s="2" t="s">
        <v>18679</v>
      </c>
      <c r="D1078" s="2" t="s">
        <v>18680</v>
      </c>
      <c r="E1078" s="2" t="s">
        <v>18690</v>
      </c>
      <c r="F1078" s="2" t="s">
        <v>18691</v>
      </c>
      <c r="G1078" s="2" t="s">
        <v>18692</v>
      </c>
    </row>
    <row r="1079">
      <c r="A1079" s="2" t="s">
        <v>3505</v>
      </c>
      <c r="B1079" s="2" t="s">
        <v>3506</v>
      </c>
      <c r="C1079" s="2" t="s">
        <v>18679</v>
      </c>
      <c r="D1079" s="2" t="s">
        <v>18680</v>
      </c>
      <c r="E1079" s="2" t="s">
        <v>18693</v>
      </c>
      <c r="F1079" s="2" t="s">
        <v>18694</v>
      </c>
      <c r="G1079" s="2" t="s">
        <v>18695</v>
      </c>
    </row>
    <row r="1080">
      <c r="A1080" s="2" t="s">
        <v>3505</v>
      </c>
      <c r="B1080" s="2" t="s">
        <v>3506</v>
      </c>
      <c r="C1080" s="2" t="s">
        <v>18679</v>
      </c>
      <c r="D1080" s="2" t="s">
        <v>18680</v>
      </c>
      <c r="E1080" s="2" t="s">
        <v>18696</v>
      </c>
      <c r="F1080" s="2" t="s">
        <v>18697</v>
      </c>
      <c r="G1080" s="2" t="s">
        <v>18698</v>
      </c>
    </row>
    <row r="1081">
      <c r="A1081" s="2" t="s">
        <v>3505</v>
      </c>
      <c r="B1081" s="2" t="s">
        <v>3506</v>
      </c>
      <c r="C1081" s="2" t="s">
        <v>18679</v>
      </c>
      <c r="D1081" s="2" t="s">
        <v>18680</v>
      </c>
      <c r="E1081" s="2" t="s">
        <v>18699</v>
      </c>
      <c r="F1081" s="2" t="s">
        <v>18700</v>
      </c>
      <c r="G1081" s="2" t="s">
        <v>18701</v>
      </c>
    </row>
    <row r="1082">
      <c r="A1082" s="2" t="s">
        <v>3505</v>
      </c>
      <c r="B1082" s="2" t="s">
        <v>3506</v>
      </c>
      <c r="C1082" s="2" t="s">
        <v>18679</v>
      </c>
      <c r="D1082" s="2" t="s">
        <v>18680</v>
      </c>
      <c r="E1082" s="2" t="s">
        <v>18702</v>
      </c>
      <c r="F1082" s="2" t="s">
        <v>18703</v>
      </c>
      <c r="G1082" s="2" t="s">
        <v>18704</v>
      </c>
    </row>
    <row r="1083">
      <c r="A1083" s="2" t="s">
        <v>5989</v>
      </c>
      <c r="B1083" s="2" t="s">
        <v>5990</v>
      </c>
      <c r="C1083" s="2" t="s">
        <v>18705</v>
      </c>
      <c r="D1083" s="2" t="s">
        <v>18706</v>
      </c>
      <c r="E1083" s="2" t="s">
        <v>18707</v>
      </c>
      <c r="F1083" s="2" t="s">
        <v>18708</v>
      </c>
      <c r="G1083" s="2" t="s">
        <v>18709</v>
      </c>
    </row>
    <row r="1084">
      <c r="A1084" s="2" t="s">
        <v>6876</v>
      </c>
      <c r="B1084" s="2" t="s">
        <v>6877</v>
      </c>
      <c r="C1084" s="2" t="s">
        <v>18710</v>
      </c>
      <c r="D1084" s="2" t="s">
        <v>18711</v>
      </c>
      <c r="E1084" s="2" t="s">
        <v>18712</v>
      </c>
      <c r="F1084" s="2" t="s">
        <v>18713</v>
      </c>
      <c r="G1084" s="2" t="s">
        <v>18714</v>
      </c>
    </row>
    <row r="1085">
      <c r="A1085" s="2" t="s">
        <v>6884</v>
      </c>
      <c r="B1085" s="2" t="s">
        <v>6885</v>
      </c>
      <c r="C1085" s="2" t="s">
        <v>18715</v>
      </c>
      <c r="D1085" s="2" t="s">
        <v>18716</v>
      </c>
      <c r="E1085" s="2" t="s">
        <v>18717</v>
      </c>
      <c r="F1085" s="2" t="s">
        <v>18718</v>
      </c>
      <c r="G1085" s="2" t="s">
        <v>18719</v>
      </c>
    </row>
    <row r="1086">
      <c r="A1086" s="2" t="s">
        <v>1251</v>
      </c>
      <c r="B1086" s="2" t="s">
        <v>1252</v>
      </c>
      <c r="C1086" s="2" t="s">
        <v>18720</v>
      </c>
      <c r="D1086" s="2" t="s">
        <v>18721</v>
      </c>
      <c r="E1086" s="2" t="s">
        <v>18722</v>
      </c>
      <c r="F1086" s="2" t="s">
        <v>18723</v>
      </c>
      <c r="G1086" s="2" t="s">
        <v>18724</v>
      </c>
    </row>
    <row r="1087">
      <c r="A1087" s="2" t="s">
        <v>4042</v>
      </c>
      <c r="B1087" s="2" t="s">
        <v>4043</v>
      </c>
      <c r="C1087" s="2" t="s">
        <v>18725</v>
      </c>
      <c r="D1087" s="2" t="s">
        <v>18726</v>
      </c>
      <c r="E1087" s="2" t="s">
        <v>18727</v>
      </c>
      <c r="F1087" s="2" t="s">
        <v>18728</v>
      </c>
      <c r="G1087" s="2" t="s">
        <v>18729</v>
      </c>
    </row>
    <row r="1088">
      <c r="A1088" s="2" t="s">
        <v>9674</v>
      </c>
      <c r="B1088" s="2" t="s">
        <v>9675</v>
      </c>
      <c r="C1088" s="2" t="s">
        <v>18730</v>
      </c>
      <c r="D1088" s="2" t="s">
        <v>18731</v>
      </c>
      <c r="E1088" s="2" t="s">
        <v>18732</v>
      </c>
      <c r="F1088" s="2" t="s">
        <v>18733</v>
      </c>
      <c r="G1088" s="2" t="s">
        <v>18734</v>
      </c>
    </row>
    <row r="1089">
      <c r="A1089" s="2" t="s">
        <v>10155</v>
      </c>
      <c r="B1089" s="2" t="s">
        <v>10156</v>
      </c>
      <c r="C1089" s="2" t="s">
        <v>18735</v>
      </c>
      <c r="D1089" s="2" t="s">
        <v>18736</v>
      </c>
      <c r="E1089" s="2" t="s">
        <v>18737</v>
      </c>
      <c r="F1089" s="2" t="s">
        <v>18738</v>
      </c>
      <c r="G1089" s="2" t="s">
        <v>18739</v>
      </c>
    </row>
    <row r="1090">
      <c r="A1090" s="2" t="s">
        <v>9681</v>
      </c>
      <c r="B1090" s="2" t="s">
        <v>9682</v>
      </c>
      <c r="C1090" s="2" t="s">
        <v>18740</v>
      </c>
      <c r="D1090" s="2" t="s">
        <v>18741</v>
      </c>
      <c r="E1090" s="2" t="s">
        <v>18742</v>
      </c>
      <c r="F1090" s="2" t="s">
        <v>18743</v>
      </c>
      <c r="G1090" s="2" t="s">
        <v>18744</v>
      </c>
    </row>
    <row r="1091">
      <c r="A1091" s="2" t="s">
        <v>1226</v>
      </c>
      <c r="B1091" s="2" t="s">
        <v>1227</v>
      </c>
      <c r="C1091" s="2" t="s">
        <v>18745</v>
      </c>
      <c r="D1091" s="2" t="s">
        <v>18746</v>
      </c>
      <c r="E1091" s="2" t="s">
        <v>18747</v>
      </c>
      <c r="F1091" s="2" t="s">
        <v>18748</v>
      </c>
      <c r="G1091" s="2" t="s">
        <v>18749</v>
      </c>
    </row>
    <row r="1092">
      <c r="A1092" s="2" t="s">
        <v>1226</v>
      </c>
      <c r="B1092" s="2" t="s">
        <v>1227</v>
      </c>
      <c r="C1092" s="2" t="s">
        <v>18745</v>
      </c>
      <c r="D1092" s="2" t="s">
        <v>18746</v>
      </c>
      <c r="E1092" s="2" t="s">
        <v>18676</v>
      </c>
      <c r="F1092" s="2" t="s">
        <v>18677</v>
      </c>
      <c r="G1092" s="2" t="s">
        <v>18678</v>
      </c>
    </row>
    <row r="1093">
      <c r="A1093" s="2" t="s">
        <v>807</v>
      </c>
      <c r="B1093" s="2" t="s">
        <v>808</v>
      </c>
      <c r="C1093" s="2" t="s">
        <v>18750</v>
      </c>
      <c r="D1093" s="2" t="s">
        <v>18751</v>
      </c>
      <c r="E1093" s="2" t="s">
        <v>18752</v>
      </c>
      <c r="F1093" s="2" t="s">
        <v>18753</v>
      </c>
      <c r="G1093" s="2" t="s">
        <v>18754</v>
      </c>
    </row>
    <row r="1094">
      <c r="A1094" s="2" t="s">
        <v>9179</v>
      </c>
      <c r="B1094" s="2" t="s">
        <v>9180</v>
      </c>
      <c r="C1094" s="2" t="s">
        <v>18755</v>
      </c>
      <c r="D1094" s="2" t="s">
        <v>18756</v>
      </c>
      <c r="E1094" s="2" t="s">
        <v>18757</v>
      </c>
      <c r="F1094" s="2" t="s">
        <v>18758</v>
      </c>
      <c r="G1094" s="2" t="s">
        <v>18759</v>
      </c>
    </row>
    <row r="1095">
      <c r="A1095" s="2" t="s">
        <v>11668</v>
      </c>
      <c r="B1095" s="2" t="s">
        <v>11669</v>
      </c>
      <c r="C1095" s="2" t="s">
        <v>18760</v>
      </c>
      <c r="D1095" s="2" t="s">
        <v>18761</v>
      </c>
      <c r="E1095" s="2" t="s">
        <v>18762</v>
      </c>
      <c r="F1095" s="2" t="s">
        <v>18763</v>
      </c>
      <c r="G1095" s="2" t="s">
        <v>18764</v>
      </c>
    </row>
    <row r="1096">
      <c r="A1096" s="2" t="s">
        <v>281</v>
      </c>
      <c r="B1096" s="2" t="s">
        <v>282</v>
      </c>
      <c r="C1096" s="2" t="s">
        <v>18765</v>
      </c>
      <c r="D1096" s="2" t="s">
        <v>18766</v>
      </c>
      <c r="E1096" s="2" t="s">
        <v>18767</v>
      </c>
      <c r="F1096" s="2" t="s">
        <v>18768</v>
      </c>
      <c r="G1096" s="2" t="s">
        <v>18769</v>
      </c>
    </row>
    <row r="1097">
      <c r="A1097" s="2" t="s">
        <v>10197</v>
      </c>
      <c r="B1097" s="2" t="s">
        <v>10198</v>
      </c>
      <c r="C1097" s="2" t="s">
        <v>18770</v>
      </c>
      <c r="D1097" s="2" t="s">
        <v>18771</v>
      </c>
      <c r="E1097" s="2" t="s">
        <v>18772</v>
      </c>
      <c r="F1097" s="2" t="s">
        <v>18773</v>
      </c>
      <c r="G1097" s="2" t="s">
        <v>18774</v>
      </c>
    </row>
    <row r="1098">
      <c r="A1098" s="2" t="s">
        <v>9957</v>
      </c>
      <c r="B1098" s="2" t="s">
        <v>9958</v>
      </c>
      <c r="C1098" s="2" t="s">
        <v>18775</v>
      </c>
      <c r="D1098" s="2" t="s">
        <v>18776</v>
      </c>
      <c r="E1098" s="2" t="s">
        <v>18777</v>
      </c>
      <c r="F1098" s="2" t="s">
        <v>18778</v>
      </c>
      <c r="G1098" s="2" t="s">
        <v>18779</v>
      </c>
    </row>
    <row r="1099">
      <c r="A1099" s="2" t="s">
        <v>9381</v>
      </c>
      <c r="B1099" s="2" t="s">
        <v>9382</v>
      </c>
      <c r="C1099" s="2" t="s">
        <v>18780</v>
      </c>
      <c r="D1099" s="2" t="s">
        <v>18781</v>
      </c>
      <c r="E1099" s="2" t="s">
        <v>18782</v>
      </c>
      <c r="F1099" s="2" t="s">
        <v>18783</v>
      </c>
      <c r="G1099" s="2" t="s">
        <v>18784</v>
      </c>
    </row>
    <row r="1100">
      <c r="A1100" s="2" t="s">
        <v>9381</v>
      </c>
      <c r="B1100" s="2" t="s">
        <v>9382</v>
      </c>
      <c r="C1100" s="2" t="s">
        <v>18780</v>
      </c>
      <c r="D1100" s="2" t="s">
        <v>18781</v>
      </c>
      <c r="E1100" s="2" t="s">
        <v>18785</v>
      </c>
      <c r="F1100" s="2" t="s">
        <v>18786</v>
      </c>
      <c r="G1100" s="2" t="s">
        <v>18787</v>
      </c>
    </row>
    <row r="1101">
      <c r="A1101" s="2" t="s">
        <v>9381</v>
      </c>
      <c r="B1101" s="2" t="s">
        <v>9382</v>
      </c>
      <c r="C1101" s="2" t="s">
        <v>18780</v>
      </c>
      <c r="D1101" s="2" t="s">
        <v>18781</v>
      </c>
      <c r="E1101" s="2" t="s">
        <v>18788</v>
      </c>
      <c r="F1101" s="2" t="s">
        <v>18789</v>
      </c>
      <c r="G1101" s="2" t="s">
        <v>18790</v>
      </c>
    </row>
    <row r="1102">
      <c r="A1102" s="2" t="s">
        <v>9381</v>
      </c>
      <c r="B1102" s="2" t="s">
        <v>9382</v>
      </c>
      <c r="C1102" s="2" t="s">
        <v>18780</v>
      </c>
      <c r="D1102" s="2" t="s">
        <v>18781</v>
      </c>
      <c r="E1102" s="2" t="s">
        <v>18791</v>
      </c>
      <c r="F1102" s="2" t="s">
        <v>18792</v>
      </c>
      <c r="G1102" s="2" t="s">
        <v>18793</v>
      </c>
    </row>
    <row r="1103">
      <c r="A1103" s="2" t="s">
        <v>9381</v>
      </c>
      <c r="B1103" s="2" t="s">
        <v>9382</v>
      </c>
      <c r="C1103" s="2" t="s">
        <v>18780</v>
      </c>
      <c r="D1103" s="2" t="s">
        <v>18781</v>
      </c>
      <c r="E1103" s="2" t="s">
        <v>18794</v>
      </c>
      <c r="F1103" s="2" t="s">
        <v>18795</v>
      </c>
      <c r="G1103" s="2" t="s">
        <v>18796</v>
      </c>
    </row>
    <row r="1104">
      <c r="A1104" s="2" t="s">
        <v>9381</v>
      </c>
      <c r="B1104" s="2" t="s">
        <v>9382</v>
      </c>
      <c r="C1104" s="2" t="s">
        <v>18780</v>
      </c>
      <c r="D1104" s="2" t="s">
        <v>18781</v>
      </c>
      <c r="E1104" s="2" t="s">
        <v>18797</v>
      </c>
      <c r="F1104" s="2" t="s">
        <v>18798</v>
      </c>
      <c r="G1104" s="2" t="s">
        <v>18799</v>
      </c>
    </row>
    <row r="1105">
      <c r="A1105" s="2" t="s">
        <v>8898</v>
      </c>
      <c r="B1105" s="2" t="s">
        <v>8899</v>
      </c>
      <c r="C1105" s="2" t="s">
        <v>18800</v>
      </c>
      <c r="D1105" s="2" t="s">
        <v>18801</v>
      </c>
      <c r="E1105" s="2" t="s">
        <v>18802</v>
      </c>
      <c r="F1105" s="2" t="s">
        <v>18803</v>
      </c>
      <c r="G1105" s="2" t="s">
        <v>18804</v>
      </c>
    </row>
    <row r="1106">
      <c r="A1106" s="2" t="s">
        <v>9781</v>
      </c>
      <c r="B1106" s="2" t="s">
        <v>9782</v>
      </c>
      <c r="C1106" s="2" t="s">
        <v>18805</v>
      </c>
      <c r="D1106" s="2" t="s">
        <v>18806</v>
      </c>
      <c r="E1106" s="2" t="s">
        <v>18807</v>
      </c>
      <c r="F1106" s="2" t="s">
        <v>18808</v>
      </c>
      <c r="G1106" s="2" t="s">
        <v>18809</v>
      </c>
    </row>
    <row r="1107">
      <c r="A1107" s="2" t="s">
        <v>9781</v>
      </c>
      <c r="B1107" s="2" t="s">
        <v>9782</v>
      </c>
      <c r="C1107" s="2" t="s">
        <v>18805</v>
      </c>
      <c r="D1107" s="2" t="s">
        <v>18806</v>
      </c>
      <c r="E1107" s="2" t="s">
        <v>18810</v>
      </c>
      <c r="F1107" s="2" t="s">
        <v>18811</v>
      </c>
      <c r="G1107" s="2" t="s">
        <v>18812</v>
      </c>
    </row>
    <row r="1108">
      <c r="A1108" s="2" t="s">
        <v>11882</v>
      </c>
      <c r="B1108" s="2" t="s">
        <v>11883</v>
      </c>
      <c r="C1108" s="2" t="s">
        <v>18813</v>
      </c>
      <c r="D1108" s="2" t="s">
        <v>18814</v>
      </c>
      <c r="E1108" s="2" t="s">
        <v>18815</v>
      </c>
      <c r="F1108" s="2" t="s">
        <v>18816</v>
      </c>
      <c r="G1108" s="2" t="s">
        <v>18817</v>
      </c>
    </row>
    <row r="1109">
      <c r="A1109" s="2" t="s">
        <v>11882</v>
      </c>
      <c r="B1109" s="2" t="s">
        <v>11883</v>
      </c>
      <c r="C1109" s="2" t="s">
        <v>18813</v>
      </c>
      <c r="D1109" s="2" t="s">
        <v>18814</v>
      </c>
      <c r="E1109" s="2" t="s">
        <v>18818</v>
      </c>
      <c r="F1109" s="2" t="s">
        <v>18819</v>
      </c>
      <c r="G1109" s="2" t="s">
        <v>18820</v>
      </c>
    </row>
    <row r="1110">
      <c r="A1110" s="2" t="s">
        <v>2397</v>
      </c>
      <c r="B1110" s="2" t="s">
        <v>2398</v>
      </c>
      <c r="C1110" s="2" t="s">
        <v>18821</v>
      </c>
      <c r="D1110" s="2" t="s">
        <v>18822</v>
      </c>
      <c r="E1110" s="2" t="s">
        <v>18823</v>
      </c>
      <c r="F1110" s="2" t="s">
        <v>18824</v>
      </c>
      <c r="G1110" s="2" t="s">
        <v>18825</v>
      </c>
    </row>
    <row r="1111">
      <c r="A1111" s="2" t="s">
        <v>12268</v>
      </c>
      <c r="B1111" s="2" t="s">
        <v>12269</v>
      </c>
      <c r="C1111" s="2" t="s">
        <v>18826</v>
      </c>
      <c r="D1111" s="2" t="s">
        <v>18827</v>
      </c>
      <c r="E1111" s="2" t="s">
        <v>18828</v>
      </c>
      <c r="F1111" s="2" t="s">
        <v>18829</v>
      </c>
      <c r="G1111" s="2" t="s">
        <v>18830</v>
      </c>
    </row>
    <row r="1112">
      <c r="A1112" s="2" t="s">
        <v>4297</v>
      </c>
      <c r="B1112" s="2" t="s">
        <v>4298</v>
      </c>
      <c r="C1112" s="2" t="s">
        <v>18831</v>
      </c>
      <c r="D1112" s="2" t="s">
        <v>18832</v>
      </c>
      <c r="E1112" s="2" t="s">
        <v>18833</v>
      </c>
      <c r="F1112" s="2" t="s">
        <v>18834</v>
      </c>
      <c r="G1112" s="2" t="s">
        <v>18835</v>
      </c>
    </row>
    <row r="1113">
      <c r="A1113" s="2" t="s">
        <v>4297</v>
      </c>
      <c r="B1113" s="2" t="s">
        <v>4298</v>
      </c>
      <c r="C1113" s="2" t="s">
        <v>18831</v>
      </c>
      <c r="D1113" s="2" t="s">
        <v>18832</v>
      </c>
      <c r="E1113" s="2" t="s">
        <v>18836</v>
      </c>
      <c r="F1113" s="2" t="s">
        <v>18837</v>
      </c>
      <c r="G1113" s="2" t="s">
        <v>18838</v>
      </c>
    </row>
    <row r="1114">
      <c r="A1114" s="2" t="s">
        <v>4297</v>
      </c>
      <c r="B1114" s="2" t="s">
        <v>4298</v>
      </c>
      <c r="C1114" s="2" t="s">
        <v>18831</v>
      </c>
      <c r="D1114" s="2" t="s">
        <v>18832</v>
      </c>
      <c r="E1114" s="2" t="s">
        <v>18839</v>
      </c>
      <c r="F1114" s="2" t="s">
        <v>18840</v>
      </c>
      <c r="G1114" s="2" t="s">
        <v>18841</v>
      </c>
    </row>
    <row r="1115">
      <c r="A1115" s="2" t="s">
        <v>4297</v>
      </c>
      <c r="B1115" s="2" t="s">
        <v>4298</v>
      </c>
      <c r="C1115" s="2" t="s">
        <v>18831</v>
      </c>
      <c r="D1115" s="2" t="s">
        <v>18832</v>
      </c>
      <c r="E1115" s="2" t="s">
        <v>18842</v>
      </c>
      <c r="F1115" s="2" t="s">
        <v>18843</v>
      </c>
      <c r="G1115" s="2" t="s">
        <v>18844</v>
      </c>
    </row>
    <row r="1116">
      <c r="A1116" s="2" t="s">
        <v>4297</v>
      </c>
      <c r="B1116" s="2" t="s">
        <v>4298</v>
      </c>
      <c r="C1116" s="2" t="s">
        <v>18831</v>
      </c>
      <c r="D1116" s="2" t="s">
        <v>18832</v>
      </c>
      <c r="E1116" s="2" t="s">
        <v>18845</v>
      </c>
      <c r="F1116" s="2" t="s">
        <v>18846</v>
      </c>
      <c r="G1116" s="2" t="s">
        <v>18847</v>
      </c>
    </row>
    <row r="1117">
      <c r="A1117" s="2" t="s">
        <v>4297</v>
      </c>
      <c r="B1117" s="2" t="s">
        <v>4298</v>
      </c>
      <c r="C1117" s="2" t="s">
        <v>18831</v>
      </c>
      <c r="D1117" s="2" t="s">
        <v>18832</v>
      </c>
      <c r="E1117" s="2" t="s">
        <v>18848</v>
      </c>
      <c r="F1117" s="2" t="s">
        <v>18849</v>
      </c>
      <c r="G1117" s="2" t="s">
        <v>18850</v>
      </c>
    </row>
    <row r="1118">
      <c r="A1118" s="2" t="s">
        <v>1729</v>
      </c>
      <c r="B1118" s="2" t="s">
        <v>1730</v>
      </c>
      <c r="C1118" s="2" t="s">
        <v>18851</v>
      </c>
      <c r="D1118" s="2" t="s">
        <v>18852</v>
      </c>
      <c r="E1118" s="2" t="s">
        <v>18853</v>
      </c>
      <c r="F1118" s="2" t="s">
        <v>18854</v>
      </c>
      <c r="G1118" s="2" t="s">
        <v>18855</v>
      </c>
    </row>
    <row r="1119">
      <c r="A1119" s="2" t="s">
        <v>6441</v>
      </c>
      <c r="B1119" s="2" t="s">
        <v>6442</v>
      </c>
      <c r="C1119" s="2" t="s">
        <v>18856</v>
      </c>
      <c r="D1119" s="2" t="s">
        <v>18857</v>
      </c>
      <c r="E1119" s="2" t="s">
        <v>18858</v>
      </c>
      <c r="F1119" s="2" t="s">
        <v>18859</v>
      </c>
      <c r="G1119" s="2" t="s">
        <v>18860</v>
      </c>
    </row>
    <row r="1120">
      <c r="A1120" s="2" t="s">
        <v>6441</v>
      </c>
      <c r="B1120" s="2" t="s">
        <v>6442</v>
      </c>
      <c r="C1120" s="2" t="s">
        <v>18856</v>
      </c>
      <c r="D1120" s="2" t="s">
        <v>18857</v>
      </c>
      <c r="E1120" s="2" t="s">
        <v>18861</v>
      </c>
      <c r="F1120" s="2" t="s">
        <v>18862</v>
      </c>
      <c r="G1120" s="2" t="s">
        <v>18863</v>
      </c>
    </row>
    <row r="1121">
      <c r="A1121" s="2" t="s">
        <v>9961</v>
      </c>
      <c r="B1121" s="2" t="s">
        <v>9962</v>
      </c>
      <c r="C1121" s="2" t="s">
        <v>18864</v>
      </c>
      <c r="D1121" s="2" t="s">
        <v>18865</v>
      </c>
      <c r="E1121" s="2" t="s">
        <v>18866</v>
      </c>
      <c r="F1121" s="2" t="s">
        <v>18867</v>
      </c>
      <c r="G1121" s="2" t="s">
        <v>18868</v>
      </c>
    </row>
    <row r="1122">
      <c r="A1122" s="2" t="s">
        <v>9961</v>
      </c>
      <c r="B1122" s="2" t="s">
        <v>9962</v>
      </c>
      <c r="C1122" s="2" t="s">
        <v>18864</v>
      </c>
      <c r="D1122" s="2" t="s">
        <v>18865</v>
      </c>
      <c r="E1122" s="2" t="s">
        <v>18869</v>
      </c>
      <c r="F1122" s="2" t="s">
        <v>18870</v>
      </c>
      <c r="G1122" s="2" t="s">
        <v>18871</v>
      </c>
    </row>
    <row r="1123">
      <c r="A1123" s="2" t="s">
        <v>11602</v>
      </c>
      <c r="B1123" s="2" t="s">
        <v>11603</v>
      </c>
      <c r="C1123" s="2" t="s">
        <v>18872</v>
      </c>
      <c r="D1123" s="2" t="s">
        <v>18873</v>
      </c>
      <c r="E1123" s="2" t="s">
        <v>18874</v>
      </c>
      <c r="F1123" s="2" t="s">
        <v>18875</v>
      </c>
      <c r="G1123" s="2" t="s">
        <v>18876</v>
      </c>
    </row>
    <row r="1124">
      <c r="A1124" s="2"/>
      <c r="B1124" s="2"/>
      <c r="C1124" s="2" t="s">
        <v>18877</v>
      </c>
      <c r="D1124" s="2" t="s">
        <v>18878</v>
      </c>
      <c r="E1124" s="2" t="s">
        <v>18879</v>
      </c>
      <c r="F1124" s="2" t="s">
        <v>18880</v>
      </c>
      <c r="G1124" s="2" t="s">
        <v>18881</v>
      </c>
    </row>
    <row r="1125">
      <c r="A1125" s="2"/>
      <c r="B1125" s="2"/>
      <c r="C1125" s="2" t="s">
        <v>18877</v>
      </c>
      <c r="D1125" s="2" t="s">
        <v>18878</v>
      </c>
      <c r="E1125" s="2" t="s">
        <v>18866</v>
      </c>
      <c r="F1125" s="2" t="s">
        <v>18867</v>
      </c>
      <c r="G1125" s="2" t="s">
        <v>18868</v>
      </c>
    </row>
    <row r="1126">
      <c r="A1126" s="2"/>
      <c r="B1126" s="2"/>
      <c r="C1126" s="2" t="s">
        <v>18877</v>
      </c>
      <c r="D1126" s="2" t="s">
        <v>18878</v>
      </c>
      <c r="E1126" s="2" t="s">
        <v>18869</v>
      </c>
      <c r="F1126" s="2" t="s">
        <v>18870</v>
      </c>
      <c r="G1126" s="2" t="s">
        <v>18871</v>
      </c>
    </row>
    <row r="1127">
      <c r="A1127" s="2"/>
      <c r="B1127" s="2"/>
      <c r="C1127" s="2" t="s">
        <v>18877</v>
      </c>
      <c r="D1127" s="2" t="s">
        <v>18878</v>
      </c>
      <c r="E1127" s="2" t="s">
        <v>18882</v>
      </c>
      <c r="F1127" s="2" t="s">
        <v>18883</v>
      </c>
      <c r="G1127" s="2" t="s">
        <v>18884</v>
      </c>
    </row>
    <row r="1128">
      <c r="A1128" s="2"/>
      <c r="B1128" s="2"/>
      <c r="C1128" s="2" t="s">
        <v>18877</v>
      </c>
      <c r="D1128" s="2" t="s">
        <v>18878</v>
      </c>
      <c r="E1128" s="2" t="s">
        <v>18885</v>
      </c>
      <c r="F1128" s="2" t="s">
        <v>18886</v>
      </c>
      <c r="G1128" s="2" t="s">
        <v>18887</v>
      </c>
    </row>
    <row r="1129">
      <c r="A1129" s="2" t="s">
        <v>248</v>
      </c>
      <c r="B1129" s="2" t="s">
        <v>249</v>
      </c>
      <c r="C1129" s="2" t="s">
        <v>18888</v>
      </c>
      <c r="D1129" s="2" t="s">
        <v>18889</v>
      </c>
      <c r="E1129" s="2" t="s">
        <v>18890</v>
      </c>
      <c r="F1129" s="2" t="s">
        <v>18891</v>
      </c>
      <c r="G1129" s="2" t="s">
        <v>18892</v>
      </c>
    </row>
    <row r="1130">
      <c r="A1130" s="2"/>
      <c r="B1130" s="2"/>
      <c r="C1130" s="2" t="s">
        <v>18893</v>
      </c>
      <c r="D1130" s="2" t="s">
        <v>18894</v>
      </c>
      <c r="E1130" s="2" t="s">
        <v>18895</v>
      </c>
      <c r="F1130" s="2" t="s">
        <v>18896</v>
      </c>
      <c r="G1130" s="2" t="s">
        <v>18897</v>
      </c>
    </row>
    <row r="1131">
      <c r="A1131" s="2" t="s">
        <v>6293</v>
      </c>
      <c r="B1131" s="2" t="s">
        <v>6294</v>
      </c>
      <c r="C1131" s="2" t="s">
        <v>18898</v>
      </c>
      <c r="D1131" s="2" t="s">
        <v>18899</v>
      </c>
      <c r="E1131" s="2" t="s">
        <v>18900</v>
      </c>
      <c r="F1131" s="2" t="s">
        <v>18901</v>
      </c>
      <c r="G1131" s="2" t="s">
        <v>18902</v>
      </c>
    </row>
    <row r="1132">
      <c r="A1132" s="2" t="s">
        <v>9318</v>
      </c>
      <c r="B1132" s="2" t="s">
        <v>9319</v>
      </c>
      <c r="C1132" s="2" t="s">
        <v>18903</v>
      </c>
      <c r="D1132" s="2" t="s">
        <v>18904</v>
      </c>
      <c r="E1132" s="2" t="s">
        <v>18905</v>
      </c>
      <c r="F1132" s="2" t="s">
        <v>18906</v>
      </c>
      <c r="G1132" s="2" t="s">
        <v>18907</v>
      </c>
    </row>
    <row r="1133">
      <c r="A1133" s="2" t="s">
        <v>11609</v>
      </c>
      <c r="B1133" s="2" t="s">
        <v>11610</v>
      </c>
      <c r="C1133" s="2" t="s">
        <v>18908</v>
      </c>
      <c r="D1133" s="2" t="s">
        <v>18909</v>
      </c>
      <c r="E1133" s="2" t="s">
        <v>18910</v>
      </c>
      <c r="F1133" s="2" t="s">
        <v>18911</v>
      </c>
      <c r="G1133" s="2" t="s">
        <v>18912</v>
      </c>
    </row>
    <row r="1134">
      <c r="A1134" s="2" t="s">
        <v>6273</v>
      </c>
      <c r="B1134" s="2" t="s">
        <v>6274</v>
      </c>
      <c r="C1134" s="2" t="s">
        <v>18913</v>
      </c>
      <c r="D1134" s="2" t="s">
        <v>18914</v>
      </c>
      <c r="E1134" s="2" t="s">
        <v>18915</v>
      </c>
      <c r="F1134" s="2" t="s">
        <v>18916</v>
      </c>
      <c r="G1134" s="2" t="s">
        <v>18917</v>
      </c>
    </row>
    <row r="1135">
      <c r="A1135" s="2" t="s">
        <v>10558</v>
      </c>
      <c r="B1135" s="2" t="s">
        <v>10559</v>
      </c>
      <c r="C1135" s="2" t="s">
        <v>18918</v>
      </c>
      <c r="D1135" s="2" t="s">
        <v>18919</v>
      </c>
      <c r="E1135" s="2" t="s">
        <v>18920</v>
      </c>
      <c r="F1135" s="2" t="s">
        <v>18921</v>
      </c>
      <c r="G1135" s="2" t="s">
        <v>18922</v>
      </c>
    </row>
    <row r="1136">
      <c r="A1136" s="2" t="s">
        <v>10994</v>
      </c>
      <c r="B1136" s="2" t="s">
        <v>10995</v>
      </c>
      <c r="C1136" s="2" t="s">
        <v>18923</v>
      </c>
      <c r="D1136" s="2" t="s">
        <v>18924</v>
      </c>
      <c r="E1136" s="2" t="s">
        <v>18925</v>
      </c>
      <c r="F1136" s="2" t="s">
        <v>18926</v>
      </c>
      <c r="G1136" s="2" t="s">
        <v>18927</v>
      </c>
    </row>
    <row r="1137">
      <c r="A1137" s="2" t="s">
        <v>10994</v>
      </c>
      <c r="B1137" s="2" t="s">
        <v>10995</v>
      </c>
      <c r="C1137" s="2" t="s">
        <v>18923</v>
      </c>
      <c r="D1137" s="2" t="s">
        <v>18924</v>
      </c>
      <c r="E1137" s="2" t="s">
        <v>18928</v>
      </c>
      <c r="F1137" s="2" t="s">
        <v>18929</v>
      </c>
      <c r="G1137" s="2" t="s">
        <v>18930</v>
      </c>
    </row>
    <row r="1138">
      <c r="A1138" s="2" t="s">
        <v>10994</v>
      </c>
      <c r="B1138" s="2" t="s">
        <v>10995</v>
      </c>
      <c r="C1138" s="2" t="s">
        <v>18923</v>
      </c>
      <c r="D1138" s="2" t="s">
        <v>18924</v>
      </c>
      <c r="E1138" s="2" t="s">
        <v>18931</v>
      </c>
      <c r="F1138" s="2" t="s">
        <v>18932</v>
      </c>
      <c r="G1138" s="2" t="s">
        <v>18933</v>
      </c>
    </row>
    <row r="1139">
      <c r="A1139" s="2" t="s">
        <v>6261</v>
      </c>
      <c r="B1139" s="2" t="s">
        <v>6262</v>
      </c>
      <c r="C1139" s="2" t="s">
        <v>18934</v>
      </c>
      <c r="D1139" s="2" t="s">
        <v>18935</v>
      </c>
      <c r="E1139" s="2" t="s">
        <v>18936</v>
      </c>
      <c r="F1139" s="2" t="s">
        <v>18937</v>
      </c>
      <c r="G1139" s="2" t="s">
        <v>18938</v>
      </c>
    </row>
    <row r="1140">
      <c r="A1140" s="2" t="s">
        <v>10796</v>
      </c>
      <c r="B1140" s="2" t="s">
        <v>10797</v>
      </c>
      <c r="C1140" s="2" t="s">
        <v>18939</v>
      </c>
      <c r="D1140" s="2" t="s">
        <v>18940</v>
      </c>
      <c r="E1140" s="2" t="s">
        <v>18941</v>
      </c>
      <c r="F1140" s="2" t="s">
        <v>18942</v>
      </c>
      <c r="G1140" s="2" t="s">
        <v>18943</v>
      </c>
    </row>
    <row r="1141">
      <c r="A1141" s="2" t="s">
        <v>3004</v>
      </c>
      <c r="B1141" s="2" t="s">
        <v>3005</v>
      </c>
      <c r="C1141" s="2" t="s">
        <v>18944</v>
      </c>
      <c r="D1141" s="2" t="s">
        <v>18945</v>
      </c>
      <c r="E1141" s="2" t="s">
        <v>18946</v>
      </c>
      <c r="F1141" s="2" t="s">
        <v>18947</v>
      </c>
      <c r="G1141" s="2" t="s">
        <v>18948</v>
      </c>
    </row>
    <row r="1142">
      <c r="A1142" s="2" t="s">
        <v>3004</v>
      </c>
      <c r="B1142" s="2" t="s">
        <v>3005</v>
      </c>
      <c r="C1142" s="2" t="s">
        <v>18944</v>
      </c>
      <c r="D1142" s="2" t="s">
        <v>18945</v>
      </c>
      <c r="E1142" s="2" t="s">
        <v>18949</v>
      </c>
      <c r="F1142" s="2" t="s">
        <v>18950</v>
      </c>
      <c r="G1142" s="2" t="s">
        <v>18951</v>
      </c>
    </row>
    <row r="1143">
      <c r="A1143" s="2" t="s">
        <v>3004</v>
      </c>
      <c r="B1143" s="2" t="s">
        <v>3005</v>
      </c>
      <c r="C1143" s="2" t="s">
        <v>18944</v>
      </c>
      <c r="D1143" s="2" t="s">
        <v>18945</v>
      </c>
      <c r="E1143" s="2" t="s">
        <v>18952</v>
      </c>
      <c r="F1143" s="2" t="s">
        <v>18953</v>
      </c>
      <c r="G1143" s="2" t="s">
        <v>18954</v>
      </c>
    </row>
    <row r="1144">
      <c r="A1144" s="2" t="s">
        <v>6301</v>
      </c>
      <c r="B1144" s="2" t="s">
        <v>6302</v>
      </c>
      <c r="C1144" s="2" t="s">
        <v>18955</v>
      </c>
      <c r="D1144" s="2" t="s">
        <v>18956</v>
      </c>
      <c r="E1144" s="2" t="s">
        <v>18957</v>
      </c>
      <c r="F1144" s="2" t="s">
        <v>18958</v>
      </c>
      <c r="G1144" s="2" t="s">
        <v>18959</v>
      </c>
    </row>
    <row r="1145">
      <c r="A1145" s="2" t="s">
        <v>6984</v>
      </c>
      <c r="B1145" s="2" t="s">
        <v>6985</v>
      </c>
      <c r="C1145" s="2" t="s">
        <v>18960</v>
      </c>
      <c r="D1145" s="2" t="s">
        <v>18961</v>
      </c>
      <c r="E1145" s="2" t="s">
        <v>18962</v>
      </c>
      <c r="F1145" s="2" t="s">
        <v>18963</v>
      </c>
      <c r="G1145" s="2" t="s">
        <v>18964</v>
      </c>
    </row>
    <row r="1146">
      <c r="A1146" s="2" t="s">
        <v>7614</v>
      </c>
      <c r="B1146" s="2" t="s">
        <v>7615</v>
      </c>
      <c r="C1146" s="2" t="s">
        <v>18965</v>
      </c>
      <c r="D1146" s="2" t="s">
        <v>18966</v>
      </c>
      <c r="E1146" s="2" t="s">
        <v>16730</v>
      </c>
      <c r="F1146" s="2" t="s">
        <v>16731</v>
      </c>
      <c r="G1146" s="2" t="s">
        <v>16732</v>
      </c>
    </row>
    <row r="1147">
      <c r="A1147" s="2" t="s">
        <v>7614</v>
      </c>
      <c r="B1147" s="2" t="s">
        <v>7615</v>
      </c>
      <c r="C1147" s="2" t="s">
        <v>18965</v>
      </c>
      <c r="D1147" s="2" t="s">
        <v>18966</v>
      </c>
      <c r="E1147" s="2" t="s">
        <v>18967</v>
      </c>
      <c r="F1147" s="2" t="s">
        <v>18968</v>
      </c>
      <c r="G1147" s="2" t="s">
        <v>18969</v>
      </c>
    </row>
    <row r="1148">
      <c r="A1148" s="2" t="s">
        <v>7614</v>
      </c>
      <c r="B1148" s="2" t="s">
        <v>7615</v>
      </c>
      <c r="C1148" s="2" t="s">
        <v>18965</v>
      </c>
      <c r="D1148" s="2" t="s">
        <v>18966</v>
      </c>
      <c r="E1148" s="2" t="s">
        <v>18970</v>
      </c>
      <c r="F1148" s="2" t="s">
        <v>18971</v>
      </c>
      <c r="G1148" s="2" t="s">
        <v>18972</v>
      </c>
    </row>
    <row r="1149">
      <c r="A1149" s="2" t="s">
        <v>3592</v>
      </c>
      <c r="B1149" s="2" t="s">
        <v>3593</v>
      </c>
      <c r="C1149" s="2" t="s">
        <v>18973</v>
      </c>
      <c r="D1149" s="2" t="s">
        <v>18974</v>
      </c>
      <c r="E1149" s="2" t="s">
        <v>18975</v>
      </c>
      <c r="F1149" s="2" t="s">
        <v>18976</v>
      </c>
      <c r="G1149" s="2" t="s">
        <v>18977</v>
      </c>
    </row>
    <row r="1150">
      <c r="A1150" s="2" t="s">
        <v>5594</v>
      </c>
      <c r="B1150" s="2" t="s">
        <v>5595</v>
      </c>
      <c r="C1150" s="2" t="s">
        <v>18978</v>
      </c>
      <c r="D1150" s="2" t="s">
        <v>18979</v>
      </c>
      <c r="E1150" s="2" t="s">
        <v>18980</v>
      </c>
      <c r="F1150" s="2" t="s">
        <v>18981</v>
      </c>
      <c r="G1150" s="2" t="s">
        <v>18982</v>
      </c>
    </row>
    <row r="1151">
      <c r="A1151" s="2" t="s">
        <v>1423</v>
      </c>
      <c r="B1151" s="2" t="s">
        <v>1424</v>
      </c>
      <c r="C1151" s="2" t="s">
        <v>18983</v>
      </c>
      <c r="D1151" s="2" t="s">
        <v>18984</v>
      </c>
      <c r="E1151" s="2" t="s">
        <v>18985</v>
      </c>
      <c r="F1151" s="2" t="s">
        <v>18986</v>
      </c>
      <c r="G1151" s="2" t="s">
        <v>18987</v>
      </c>
    </row>
    <row r="1152">
      <c r="A1152" s="2" t="s">
        <v>7283</v>
      </c>
      <c r="B1152" s="2" t="s">
        <v>7284</v>
      </c>
      <c r="C1152" s="2" t="s">
        <v>18988</v>
      </c>
      <c r="D1152" s="2" t="s">
        <v>18989</v>
      </c>
      <c r="E1152" s="2" t="s">
        <v>18990</v>
      </c>
      <c r="F1152" s="2" t="s">
        <v>18991</v>
      </c>
      <c r="G1152" s="2" t="s">
        <v>18992</v>
      </c>
    </row>
    <row r="1153">
      <c r="A1153" s="2" t="s">
        <v>9469</v>
      </c>
      <c r="B1153" s="2" t="s">
        <v>9470</v>
      </c>
      <c r="C1153" s="2" t="s">
        <v>18993</v>
      </c>
      <c r="D1153" s="2" t="s">
        <v>18994</v>
      </c>
      <c r="E1153" s="2" t="s">
        <v>18995</v>
      </c>
      <c r="F1153" s="2" t="s">
        <v>18996</v>
      </c>
      <c r="G1153" s="2" t="s">
        <v>18997</v>
      </c>
    </row>
    <row r="1154">
      <c r="A1154" s="2"/>
      <c r="B1154" s="2"/>
      <c r="C1154" s="2" t="s">
        <v>18998</v>
      </c>
      <c r="D1154" s="2" t="s">
        <v>18999</v>
      </c>
      <c r="E1154" s="2" t="s">
        <v>16730</v>
      </c>
      <c r="F1154" s="2" t="s">
        <v>16731</v>
      </c>
      <c r="G1154" s="2" t="s">
        <v>16732</v>
      </c>
    </row>
    <row r="1155">
      <c r="A1155" s="2"/>
      <c r="B1155" s="2"/>
      <c r="C1155" s="2" t="s">
        <v>18998</v>
      </c>
      <c r="D1155" s="2" t="s">
        <v>18999</v>
      </c>
      <c r="E1155" s="2" t="s">
        <v>19000</v>
      </c>
      <c r="F1155" s="2" t="s">
        <v>19001</v>
      </c>
      <c r="G1155" s="2" t="s">
        <v>19002</v>
      </c>
    </row>
    <row r="1156">
      <c r="A1156" s="2"/>
      <c r="B1156" s="2"/>
      <c r="C1156" s="2" t="s">
        <v>18998</v>
      </c>
      <c r="D1156" s="2" t="s">
        <v>18999</v>
      </c>
      <c r="E1156" s="2" t="s">
        <v>19003</v>
      </c>
      <c r="F1156" s="2" t="s">
        <v>19004</v>
      </c>
      <c r="G1156" s="2" t="s">
        <v>19005</v>
      </c>
    </row>
    <row r="1157">
      <c r="A1157" s="2"/>
      <c r="B1157" s="2"/>
      <c r="C1157" s="2" t="s">
        <v>18998</v>
      </c>
      <c r="D1157" s="2" t="s">
        <v>18999</v>
      </c>
      <c r="E1157" s="2" t="s">
        <v>19006</v>
      </c>
      <c r="F1157" s="2" t="s">
        <v>19007</v>
      </c>
      <c r="G1157" s="2" t="s">
        <v>19008</v>
      </c>
    </row>
    <row r="1158">
      <c r="A1158" s="2" t="s">
        <v>6281</v>
      </c>
      <c r="B1158" s="2" t="s">
        <v>6282</v>
      </c>
      <c r="C1158" s="2" t="s">
        <v>19009</v>
      </c>
      <c r="D1158" s="2" t="s">
        <v>19010</v>
      </c>
      <c r="E1158" s="2" t="s">
        <v>19011</v>
      </c>
      <c r="F1158" s="2" t="s">
        <v>19012</v>
      </c>
      <c r="G1158" s="2" t="s">
        <v>19013</v>
      </c>
    </row>
    <row r="1159">
      <c r="A1159" s="2" t="s">
        <v>1132</v>
      </c>
      <c r="B1159" s="2" t="s">
        <v>1133</v>
      </c>
      <c r="C1159" s="2" t="s">
        <v>19014</v>
      </c>
      <c r="D1159" s="2" t="s">
        <v>19015</v>
      </c>
      <c r="E1159" s="2" t="s">
        <v>16730</v>
      </c>
      <c r="F1159" s="2" t="s">
        <v>16731</v>
      </c>
      <c r="G1159" s="2" t="s">
        <v>16732</v>
      </c>
    </row>
    <row r="1160">
      <c r="A1160" s="2" t="s">
        <v>1132</v>
      </c>
      <c r="B1160" s="2" t="s">
        <v>1133</v>
      </c>
      <c r="C1160" s="2" t="s">
        <v>19014</v>
      </c>
      <c r="D1160" s="2" t="s">
        <v>19015</v>
      </c>
      <c r="E1160" s="2" t="s">
        <v>18823</v>
      </c>
      <c r="F1160" s="2" t="s">
        <v>18824</v>
      </c>
      <c r="G1160" s="2" t="s">
        <v>18825</v>
      </c>
    </row>
    <row r="1161">
      <c r="A1161" s="2" t="s">
        <v>1132</v>
      </c>
      <c r="B1161" s="2" t="s">
        <v>1133</v>
      </c>
      <c r="C1161" s="2" t="s">
        <v>19014</v>
      </c>
      <c r="D1161" s="2" t="s">
        <v>19015</v>
      </c>
      <c r="E1161" s="2" t="s">
        <v>19016</v>
      </c>
      <c r="F1161" s="2" t="s">
        <v>19017</v>
      </c>
      <c r="G1161" s="2" t="s">
        <v>19018</v>
      </c>
    </row>
    <row r="1162">
      <c r="A1162" s="2" t="s">
        <v>11701</v>
      </c>
      <c r="B1162" s="2" t="s">
        <v>11702</v>
      </c>
      <c r="C1162" s="2" t="s">
        <v>19019</v>
      </c>
      <c r="D1162" s="2" t="s">
        <v>19020</v>
      </c>
      <c r="E1162" s="2" t="s">
        <v>16730</v>
      </c>
      <c r="F1162" s="2" t="s">
        <v>16731</v>
      </c>
      <c r="G1162" s="2" t="s">
        <v>16732</v>
      </c>
    </row>
    <row r="1163">
      <c r="A1163" s="2" t="s">
        <v>11701</v>
      </c>
      <c r="B1163" s="2" t="s">
        <v>11702</v>
      </c>
      <c r="C1163" s="2" t="s">
        <v>19019</v>
      </c>
      <c r="D1163" s="2" t="s">
        <v>19020</v>
      </c>
      <c r="E1163" s="2" t="s">
        <v>19021</v>
      </c>
      <c r="F1163" s="2" t="s">
        <v>19022</v>
      </c>
      <c r="G1163" s="2" t="s">
        <v>19023</v>
      </c>
    </row>
    <row r="1164">
      <c r="A1164" s="2" t="s">
        <v>11701</v>
      </c>
      <c r="B1164" s="2" t="s">
        <v>11702</v>
      </c>
      <c r="C1164" s="2" t="s">
        <v>19019</v>
      </c>
      <c r="D1164" s="2" t="s">
        <v>19020</v>
      </c>
      <c r="E1164" s="2" t="s">
        <v>17020</v>
      </c>
      <c r="F1164" s="2" t="s">
        <v>17021</v>
      </c>
      <c r="G1164" s="2" t="s">
        <v>17022</v>
      </c>
    </row>
    <row r="1165">
      <c r="A1165" s="2" t="s">
        <v>11701</v>
      </c>
      <c r="B1165" s="2" t="s">
        <v>11702</v>
      </c>
      <c r="C1165" s="2" t="s">
        <v>19019</v>
      </c>
      <c r="D1165" s="2" t="s">
        <v>19020</v>
      </c>
      <c r="E1165" s="2" t="s">
        <v>19024</v>
      </c>
      <c r="F1165" s="2" t="s">
        <v>19025</v>
      </c>
      <c r="G1165" s="2" t="s">
        <v>19026</v>
      </c>
    </row>
    <row r="1166">
      <c r="A1166" s="2" t="s">
        <v>11701</v>
      </c>
      <c r="B1166" s="2" t="s">
        <v>11702</v>
      </c>
      <c r="C1166" s="2" t="s">
        <v>19019</v>
      </c>
      <c r="D1166" s="2" t="s">
        <v>19020</v>
      </c>
      <c r="E1166" s="2" t="s">
        <v>19027</v>
      </c>
      <c r="F1166" s="2" t="s">
        <v>19028</v>
      </c>
      <c r="G1166" s="2" t="s">
        <v>19029</v>
      </c>
    </row>
    <row r="1167">
      <c r="A1167" s="2" t="s">
        <v>11701</v>
      </c>
      <c r="B1167" s="2" t="s">
        <v>11702</v>
      </c>
      <c r="C1167" s="2" t="s">
        <v>19019</v>
      </c>
      <c r="D1167" s="2" t="s">
        <v>19020</v>
      </c>
      <c r="E1167" s="2" t="s">
        <v>19030</v>
      </c>
      <c r="F1167" s="2" t="s">
        <v>19031</v>
      </c>
      <c r="G1167" s="2" t="s">
        <v>19032</v>
      </c>
    </row>
    <row r="1168">
      <c r="A1168" s="2" t="s">
        <v>11497</v>
      </c>
      <c r="B1168" s="2" t="s">
        <v>11498</v>
      </c>
      <c r="C1168" s="2" t="s">
        <v>19033</v>
      </c>
      <c r="D1168" s="2" t="s">
        <v>19034</v>
      </c>
      <c r="E1168" s="2" t="s">
        <v>19035</v>
      </c>
      <c r="F1168" s="2" t="s">
        <v>19036</v>
      </c>
      <c r="G1168" s="2" t="s">
        <v>19037</v>
      </c>
    </row>
    <row r="1169">
      <c r="A1169" s="2" t="s">
        <v>9544</v>
      </c>
      <c r="B1169" s="2" t="s">
        <v>9545</v>
      </c>
      <c r="C1169" s="2" t="s">
        <v>19038</v>
      </c>
      <c r="D1169" s="2" t="s">
        <v>19039</v>
      </c>
      <c r="E1169" s="2" t="s">
        <v>19040</v>
      </c>
      <c r="F1169" s="2" t="s">
        <v>19041</v>
      </c>
      <c r="G1169" s="2" t="s">
        <v>19042</v>
      </c>
    </row>
    <row r="1170">
      <c r="A1170" s="2" t="s">
        <v>6242</v>
      </c>
      <c r="B1170" s="2" t="s">
        <v>6243</v>
      </c>
      <c r="C1170" s="2" t="s">
        <v>19043</v>
      </c>
      <c r="D1170" s="2" t="s">
        <v>19044</v>
      </c>
      <c r="E1170" s="2" t="s">
        <v>19045</v>
      </c>
      <c r="F1170" s="2" t="s">
        <v>19046</v>
      </c>
      <c r="G1170" s="2" t="s">
        <v>19047</v>
      </c>
    </row>
    <row r="1171">
      <c r="A1171" s="2" t="s">
        <v>7747</v>
      </c>
      <c r="B1171" s="2" t="s">
        <v>7748</v>
      </c>
      <c r="C1171" s="2" t="s">
        <v>19048</v>
      </c>
      <c r="D1171" s="2" t="s">
        <v>19049</v>
      </c>
      <c r="E1171" s="2" t="s">
        <v>19050</v>
      </c>
      <c r="F1171" s="2" t="s">
        <v>19051</v>
      </c>
      <c r="G1171" s="2" t="s">
        <v>19052</v>
      </c>
    </row>
    <row r="1172">
      <c r="A1172" s="2" t="s">
        <v>11507</v>
      </c>
      <c r="B1172" s="2" t="s">
        <v>11508</v>
      </c>
      <c r="C1172" s="2" t="s">
        <v>19053</v>
      </c>
      <c r="D1172" s="2" t="s">
        <v>19054</v>
      </c>
      <c r="E1172" s="2" t="s">
        <v>19055</v>
      </c>
      <c r="F1172" s="2" t="s">
        <v>19056</v>
      </c>
      <c r="G1172" s="2" t="s">
        <v>19057</v>
      </c>
    </row>
    <row r="1173">
      <c r="A1173" s="2" t="s">
        <v>11507</v>
      </c>
      <c r="B1173" s="2" t="s">
        <v>11508</v>
      </c>
      <c r="C1173" s="2" t="s">
        <v>19053</v>
      </c>
      <c r="D1173" s="2" t="s">
        <v>19054</v>
      </c>
      <c r="E1173" s="2" t="s">
        <v>19058</v>
      </c>
      <c r="F1173" s="2" t="s">
        <v>19059</v>
      </c>
      <c r="G1173" s="2" t="s">
        <v>19060</v>
      </c>
    </row>
    <row r="1174">
      <c r="A1174" s="2" t="s">
        <v>7708</v>
      </c>
      <c r="B1174" s="2" t="s">
        <v>7709</v>
      </c>
      <c r="C1174" s="2" t="s">
        <v>19061</v>
      </c>
      <c r="D1174" s="2" t="s">
        <v>19062</v>
      </c>
      <c r="E1174" s="2" t="s">
        <v>19063</v>
      </c>
      <c r="F1174" s="2" t="s">
        <v>17920</v>
      </c>
      <c r="G1174" s="2" t="s">
        <v>19064</v>
      </c>
    </row>
    <row r="1175">
      <c r="A1175" s="2" t="s">
        <v>5966</v>
      </c>
      <c r="B1175" s="2" t="s">
        <v>5967</v>
      </c>
      <c r="C1175" s="2" t="s">
        <v>19065</v>
      </c>
      <c r="D1175" s="2" t="s">
        <v>19066</v>
      </c>
      <c r="E1175" s="2" t="s">
        <v>15943</v>
      </c>
      <c r="F1175" s="2" t="s">
        <v>15944</v>
      </c>
      <c r="G1175" s="2" t="s">
        <v>15944</v>
      </c>
    </row>
    <row r="1176">
      <c r="A1176" s="2" t="s">
        <v>10923</v>
      </c>
      <c r="B1176" s="2" t="s">
        <v>10924</v>
      </c>
      <c r="C1176" s="2" t="s">
        <v>19067</v>
      </c>
      <c r="D1176" s="2" t="s">
        <v>19068</v>
      </c>
      <c r="E1176" s="2" t="s">
        <v>15943</v>
      </c>
      <c r="F1176" s="2" t="s">
        <v>15944</v>
      </c>
      <c r="G1176" s="2" t="s">
        <v>15944</v>
      </c>
    </row>
    <row r="1177">
      <c r="A1177" s="2" t="s">
        <v>5166</v>
      </c>
      <c r="B1177" s="2" t="s">
        <v>5167</v>
      </c>
      <c r="C1177" s="2" t="s">
        <v>19069</v>
      </c>
      <c r="D1177" s="2" t="s">
        <v>19070</v>
      </c>
      <c r="E1177" s="2" t="s">
        <v>15943</v>
      </c>
      <c r="F1177" s="2" t="s">
        <v>15944</v>
      </c>
      <c r="G1177" s="2" t="s">
        <v>15944</v>
      </c>
    </row>
    <row r="1178">
      <c r="A1178" s="2" t="s">
        <v>10546</v>
      </c>
      <c r="B1178" s="2" t="s">
        <v>10547</v>
      </c>
      <c r="C1178" s="2" t="s">
        <v>19071</v>
      </c>
      <c r="D1178" s="2" t="s">
        <v>19072</v>
      </c>
      <c r="E1178" s="2" t="s">
        <v>15943</v>
      </c>
      <c r="F1178" s="2" t="s">
        <v>15944</v>
      </c>
      <c r="G1178" s="2" t="s">
        <v>15944</v>
      </c>
    </row>
    <row r="1179">
      <c r="A1179" s="2" t="s">
        <v>12324</v>
      </c>
      <c r="B1179" s="2" t="s">
        <v>12325</v>
      </c>
      <c r="C1179" s="2" t="s">
        <v>19073</v>
      </c>
      <c r="D1179" s="2" t="s">
        <v>19074</v>
      </c>
      <c r="E1179" s="2" t="s">
        <v>15943</v>
      </c>
      <c r="F1179" s="2" t="s">
        <v>15944</v>
      </c>
      <c r="G1179" s="2" t="s">
        <v>15944</v>
      </c>
    </row>
    <row r="1180">
      <c r="A1180" s="2" t="s">
        <v>6226</v>
      </c>
      <c r="B1180" s="2" t="s">
        <v>6227</v>
      </c>
      <c r="C1180" s="2" t="s">
        <v>19075</v>
      </c>
      <c r="D1180" s="2" t="s">
        <v>19076</v>
      </c>
      <c r="E1180" s="2" t="s">
        <v>15943</v>
      </c>
      <c r="F1180" s="2" t="s">
        <v>15944</v>
      </c>
      <c r="G1180" s="2" t="s">
        <v>15944</v>
      </c>
    </row>
    <row r="1181">
      <c r="A1181" s="2" t="s">
        <v>5430</v>
      </c>
      <c r="B1181" s="2" t="s">
        <v>5431</v>
      </c>
      <c r="C1181" s="2" t="s">
        <v>19077</v>
      </c>
      <c r="D1181" s="2" t="s">
        <v>19078</v>
      </c>
      <c r="E1181" s="2" t="s">
        <v>15943</v>
      </c>
      <c r="F1181" s="2" t="s">
        <v>15944</v>
      </c>
      <c r="G1181" s="2" t="s">
        <v>15944</v>
      </c>
    </row>
    <row r="1182">
      <c r="A1182" s="2" t="s">
        <v>14127</v>
      </c>
      <c r="B1182" s="2" t="s">
        <v>14128</v>
      </c>
      <c r="C1182" s="2" t="s">
        <v>19079</v>
      </c>
      <c r="D1182" s="2" t="s">
        <v>19080</v>
      </c>
      <c r="E1182" s="2" t="s">
        <v>15943</v>
      </c>
      <c r="F1182" s="2" t="s">
        <v>15944</v>
      </c>
      <c r="G1182" s="2" t="s">
        <v>15944</v>
      </c>
    </row>
    <row r="1183">
      <c r="A1183" s="2" t="s">
        <v>5209</v>
      </c>
      <c r="B1183" s="2" t="s">
        <v>5210</v>
      </c>
      <c r="C1183" s="2" t="s">
        <v>19081</v>
      </c>
      <c r="D1183" s="2" t="s">
        <v>19082</v>
      </c>
      <c r="E1183" s="2" t="s">
        <v>15943</v>
      </c>
      <c r="F1183" s="2" t="s">
        <v>15944</v>
      </c>
      <c r="G1183" s="2" t="s">
        <v>15944</v>
      </c>
    </row>
  </sheetData>
  <hyperlinks>
    <hyperlink r:id="rId1" ref="D3"/>
    <hyperlink r:id="rId2" ref="D5"/>
    <hyperlink r:id="rId3" ref="D6"/>
    <hyperlink r:id="rId4" ref="D8"/>
    <hyperlink r:id="rId5" ref="D1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19083</v>
      </c>
      <c r="B1" s="2" t="s">
        <v>19084</v>
      </c>
      <c r="C1" s="2" t="s">
        <v>19085</v>
      </c>
      <c r="D1" s="2" t="s">
        <v>19086</v>
      </c>
      <c r="E1" s="2" t="s">
        <v>19087</v>
      </c>
    </row>
    <row r="2">
      <c r="A2" s="2" t="s">
        <v>19088</v>
      </c>
      <c r="B2" s="2" t="s">
        <v>19089</v>
      </c>
      <c r="C2" s="11" t="s">
        <v>19090</v>
      </c>
      <c r="D2" s="2" t="s">
        <v>19091</v>
      </c>
      <c r="E2" s="2" t="s">
        <v>19092</v>
      </c>
    </row>
    <row r="3">
      <c r="A3" s="2" t="s">
        <v>17297</v>
      </c>
      <c r="B3" s="2" t="s">
        <v>19093</v>
      </c>
      <c r="C3" s="11" t="s">
        <v>19094</v>
      </c>
      <c r="D3" s="2" t="s">
        <v>19095</v>
      </c>
      <c r="E3" s="2" t="s">
        <v>19096</v>
      </c>
    </row>
    <row r="4">
      <c r="A4" s="2" t="s">
        <v>19097</v>
      </c>
      <c r="B4" s="2" t="s">
        <v>19098</v>
      </c>
      <c r="C4" s="11" t="s">
        <v>19099</v>
      </c>
      <c r="D4" s="2" t="s">
        <v>19100</v>
      </c>
      <c r="E4" s="2" t="s">
        <v>19101</v>
      </c>
    </row>
    <row r="5">
      <c r="A5" s="2" t="s">
        <v>19102</v>
      </c>
      <c r="B5" s="2" t="s">
        <v>19103</v>
      </c>
      <c r="C5" s="11" t="s">
        <v>19104</v>
      </c>
      <c r="D5" s="2" t="s">
        <v>19105</v>
      </c>
      <c r="E5" s="2" t="s">
        <v>19106</v>
      </c>
    </row>
    <row r="6">
      <c r="A6" s="2" t="s">
        <v>19107</v>
      </c>
      <c r="B6" s="2" t="s">
        <v>19108</v>
      </c>
      <c r="C6" s="11" t="s">
        <v>19109</v>
      </c>
      <c r="D6" s="2" t="s">
        <v>19110</v>
      </c>
      <c r="E6" s="2" t="s">
        <v>19111</v>
      </c>
    </row>
    <row r="7">
      <c r="A7" s="2" t="s">
        <v>19112</v>
      </c>
      <c r="B7" s="2" t="s">
        <v>19113</v>
      </c>
      <c r="C7" s="11" t="s">
        <v>19114</v>
      </c>
      <c r="D7" s="2" t="s">
        <v>19115</v>
      </c>
      <c r="E7" s="2" t="s">
        <v>19116</v>
      </c>
    </row>
    <row r="8">
      <c r="A8" s="2" t="s">
        <v>19117</v>
      </c>
      <c r="B8" s="2" t="s">
        <v>19118</v>
      </c>
      <c r="C8" s="11" t="s">
        <v>19119</v>
      </c>
      <c r="D8" s="2" t="s">
        <v>19120</v>
      </c>
      <c r="E8" s="2" t="s">
        <v>19121</v>
      </c>
    </row>
    <row r="9">
      <c r="A9" s="2" t="s">
        <v>17075</v>
      </c>
      <c r="B9" s="2" t="s">
        <v>19122</v>
      </c>
      <c r="C9" s="11" t="s">
        <v>19123</v>
      </c>
      <c r="D9" s="2" t="s">
        <v>19124</v>
      </c>
      <c r="E9" s="2" t="s">
        <v>19125</v>
      </c>
    </row>
    <row r="10">
      <c r="A10" s="2" t="s">
        <v>17891</v>
      </c>
      <c r="B10" s="2" t="s">
        <v>19126</v>
      </c>
      <c r="C10" s="11" t="s">
        <v>19127</v>
      </c>
      <c r="D10" s="2" t="s">
        <v>19128</v>
      </c>
      <c r="E10" s="2" t="s">
        <v>19129</v>
      </c>
    </row>
    <row r="11">
      <c r="A11" s="2" t="s">
        <v>19130</v>
      </c>
      <c r="B11" s="2" t="s">
        <v>19131</v>
      </c>
      <c r="C11" s="11" t="s">
        <v>19132</v>
      </c>
      <c r="D11" s="2" t="s">
        <v>19133</v>
      </c>
      <c r="E11" s="2" t="s">
        <v>19134</v>
      </c>
    </row>
    <row r="12">
      <c r="A12" s="2" t="s">
        <v>19135</v>
      </c>
      <c r="B12" s="2" t="s">
        <v>19136</v>
      </c>
      <c r="C12" s="11" t="s">
        <v>19137</v>
      </c>
      <c r="D12" s="2" t="s">
        <v>19138</v>
      </c>
      <c r="E12" s="2" t="s">
        <v>19139</v>
      </c>
    </row>
    <row r="13">
      <c r="A13" s="2" t="s">
        <v>19140</v>
      </c>
      <c r="B13" s="2" t="s">
        <v>19141</v>
      </c>
      <c r="C13" s="11" t="s">
        <v>19142</v>
      </c>
      <c r="D13" s="2" t="s">
        <v>19143</v>
      </c>
      <c r="E13" s="2" t="s">
        <v>19144</v>
      </c>
    </row>
    <row r="14">
      <c r="A14" s="2" t="s">
        <v>19145</v>
      </c>
      <c r="B14" s="2" t="s">
        <v>19146</v>
      </c>
      <c r="C14" s="11" t="s">
        <v>19147</v>
      </c>
      <c r="D14" s="2" t="s">
        <v>19148</v>
      </c>
      <c r="E14" s="2" t="s">
        <v>19149</v>
      </c>
    </row>
    <row r="15">
      <c r="A15" s="2" t="s">
        <v>19150</v>
      </c>
      <c r="B15" s="2" t="s">
        <v>19151</v>
      </c>
      <c r="C15" s="11" t="s">
        <v>19152</v>
      </c>
      <c r="D15" s="2" t="s">
        <v>19153</v>
      </c>
      <c r="E15" s="2" t="s">
        <v>19154</v>
      </c>
    </row>
    <row r="16">
      <c r="A16" s="2" t="s">
        <v>19155</v>
      </c>
      <c r="B16" s="2" t="s">
        <v>19156</v>
      </c>
      <c r="C16" s="11" t="s">
        <v>19157</v>
      </c>
      <c r="D16" s="2" t="s">
        <v>19158</v>
      </c>
      <c r="E16" s="2" t="s">
        <v>19159</v>
      </c>
    </row>
    <row r="17">
      <c r="A17" s="2" t="s">
        <v>19160</v>
      </c>
      <c r="B17" s="13" t="s">
        <v>19161</v>
      </c>
      <c r="C17" s="11" t="s">
        <v>19162</v>
      </c>
      <c r="D17" s="2" t="s">
        <v>19163</v>
      </c>
      <c r="E17" s="2" t="s">
        <v>19164</v>
      </c>
    </row>
    <row r="18">
      <c r="A18" s="2" t="s">
        <v>19165</v>
      </c>
      <c r="B18" s="2" t="s">
        <v>19166</v>
      </c>
      <c r="C18" s="11" t="s">
        <v>19167</v>
      </c>
      <c r="D18" s="2" t="s">
        <v>19168</v>
      </c>
      <c r="E18" s="2" t="s">
        <v>19169</v>
      </c>
    </row>
    <row r="19">
      <c r="A19" s="2" t="s">
        <v>19170</v>
      </c>
      <c r="B19" s="2" t="s">
        <v>19171</v>
      </c>
      <c r="C19" s="11" t="s">
        <v>19172</v>
      </c>
      <c r="D19" s="2" t="s">
        <v>19173</v>
      </c>
      <c r="E19" s="2" t="s">
        <v>19174</v>
      </c>
    </row>
    <row r="20">
      <c r="A20" s="2" t="s">
        <v>19175</v>
      </c>
      <c r="B20" s="2" t="s">
        <v>19176</v>
      </c>
      <c r="C20" s="11" t="s">
        <v>19177</v>
      </c>
      <c r="D20" s="2" t="s">
        <v>19178</v>
      </c>
      <c r="E20" s="2" t="s">
        <v>19179</v>
      </c>
    </row>
    <row r="21">
      <c r="A21" s="2" t="s">
        <v>19180</v>
      </c>
      <c r="B21" s="2" t="s">
        <v>19181</v>
      </c>
      <c r="C21" s="11" t="s">
        <v>19182</v>
      </c>
      <c r="D21" s="2" t="s">
        <v>19183</v>
      </c>
      <c r="E21" s="2" t="s">
        <v>19184</v>
      </c>
    </row>
    <row r="22">
      <c r="A22" s="2" t="s">
        <v>16109</v>
      </c>
      <c r="B22" s="2" t="s">
        <v>19185</v>
      </c>
      <c r="C22" s="11" t="s">
        <v>19186</v>
      </c>
      <c r="D22" s="2" t="s">
        <v>19187</v>
      </c>
      <c r="E22" s="2" t="s">
        <v>19188</v>
      </c>
    </row>
    <row r="23">
      <c r="A23" s="2" t="s">
        <v>16305</v>
      </c>
      <c r="B23" s="2" t="s">
        <v>19189</v>
      </c>
      <c r="C23" s="11" t="s">
        <v>19190</v>
      </c>
      <c r="D23" s="2" t="s">
        <v>19191</v>
      </c>
      <c r="E23" s="2" t="s">
        <v>19192</v>
      </c>
    </row>
    <row r="24">
      <c r="A24" s="2" t="s">
        <v>18511</v>
      </c>
      <c r="B24" s="2" t="s">
        <v>19193</v>
      </c>
      <c r="C24" s="11" t="s">
        <v>19194</v>
      </c>
      <c r="D24" s="2" t="s">
        <v>19195</v>
      </c>
      <c r="E24" s="2" t="s">
        <v>19196</v>
      </c>
    </row>
    <row r="25">
      <c r="A25" s="2" t="s">
        <v>19197</v>
      </c>
      <c r="B25" s="2" t="s">
        <v>19198</v>
      </c>
      <c r="C25" s="11" t="s">
        <v>19199</v>
      </c>
      <c r="D25" s="2" t="s">
        <v>19200</v>
      </c>
      <c r="E25" s="2" t="s">
        <v>19201</v>
      </c>
    </row>
    <row r="26">
      <c r="A26" s="2" t="s">
        <v>15151</v>
      </c>
      <c r="B26" s="2" t="s">
        <v>19202</v>
      </c>
      <c r="C26" s="11" t="s">
        <v>19203</v>
      </c>
      <c r="D26" s="2" t="s">
        <v>19204</v>
      </c>
      <c r="E26" s="2" t="s">
        <v>19205</v>
      </c>
    </row>
    <row r="27">
      <c r="A27" s="2" t="s">
        <v>19206</v>
      </c>
      <c r="B27" s="2" t="s">
        <v>19207</v>
      </c>
      <c r="C27" s="11" t="s">
        <v>19208</v>
      </c>
      <c r="D27" s="2" t="s">
        <v>19209</v>
      </c>
      <c r="E27" s="2" t="s">
        <v>19210</v>
      </c>
    </row>
    <row r="28">
      <c r="A28" s="2" t="s">
        <v>18539</v>
      </c>
      <c r="B28" s="2" t="s">
        <v>19211</v>
      </c>
      <c r="C28" s="11" t="s">
        <v>19212</v>
      </c>
      <c r="D28" s="2" t="s">
        <v>19213</v>
      </c>
      <c r="E28" s="2" t="s">
        <v>19214</v>
      </c>
    </row>
    <row r="29">
      <c r="A29" s="2" t="s">
        <v>19215</v>
      </c>
      <c r="B29" s="2" t="s">
        <v>19216</v>
      </c>
      <c r="C29" s="11" t="s">
        <v>19217</v>
      </c>
      <c r="D29" s="2" t="s">
        <v>19218</v>
      </c>
      <c r="E29" s="2" t="s">
        <v>19219</v>
      </c>
    </row>
    <row r="30">
      <c r="A30" s="2" t="s">
        <v>19220</v>
      </c>
      <c r="B30" s="2" t="s">
        <v>19221</v>
      </c>
      <c r="C30" s="11" t="s">
        <v>19222</v>
      </c>
      <c r="D30" s="2" t="s">
        <v>19223</v>
      </c>
      <c r="E30" s="2" t="s">
        <v>19224</v>
      </c>
    </row>
    <row r="31">
      <c r="A31" s="2" t="s">
        <v>19225</v>
      </c>
      <c r="B31" s="13" t="s">
        <v>19226</v>
      </c>
      <c r="C31" s="11" t="s">
        <v>19227</v>
      </c>
      <c r="D31" s="2" t="s">
        <v>19228</v>
      </c>
      <c r="E31" s="2" t="s">
        <v>19229</v>
      </c>
    </row>
    <row r="32">
      <c r="A32" s="2" t="s">
        <v>19230</v>
      </c>
      <c r="B32" s="2" t="s">
        <v>19231</v>
      </c>
      <c r="C32" s="11" t="s">
        <v>19232</v>
      </c>
      <c r="D32" s="2" t="s">
        <v>19233</v>
      </c>
      <c r="E32" s="2" t="s">
        <v>19234</v>
      </c>
    </row>
    <row r="33">
      <c r="A33" s="2" t="s">
        <v>19235</v>
      </c>
      <c r="B33" s="2" t="s">
        <v>19236</v>
      </c>
      <c r="C33" s="11" t="s">
        <v>19237</v>
      </c>
      <c r="D33" s="2" t="s">
        <v>19238</v>
      </c>
      <c r="E33" s="2" t="s">
        <v>19239</v>
      </c>
    </row>
    <row r="34">
      <c r="A34" s="2" t="s">
        <v>19240</v>
      </c>
      <c r="B34" s="2" t="s">
        <v>19241</v>
      </c>
      <c r="C34" s="11" t="s">
        <v>19242</v>
      </c>
      <c r="D34" s="2" t="s">
        <v>19243</v>
      </c>
      <c r="E34" s="2" t="s">
        <v>19244</v>
      </c>
    </row>
    <row r="35">
      <c r="A35" s="2" t="s">
        <v>19245</v>
      </c>
      <c r="B35" s="2" t="s">
        <v>19246</v>
      </c>
      <c r="C35" s="11" t="s">
        <v>19247</v>
      </c>
      <c r="D35" s="2" t="s">
        <v>19248</v>
      </c>
      <c r="E35" s="2" t="s">
        <v>19249</v>
      </c>
    </row>
    <row r="36">
      <c r="A36" s="2" t="s">
        <v>19250</v>
      </c>
      <c r="B36" s="2" t="s">
        <v>19251</v>
      </c>
      <c r="C36" s="11" t="s">
        <v>19252</v>
      </c>
      <c r="D36" s="2" t="s">
        <v>19253</v>
      </c>
      <c r="E36" s="2" t="s">
        <v>19254</v>
      </c>
    </row>
    <row r="37">
      <c r="A37" s="2" t="s">
        <v>19255</v>
      </c>
      <c r="B37" s="2" t="s">
        <v>19256</v>
      </c>
      <c r="C37" s="11" t="s">
        <v>19257</v>
      </c>
      <c r="D37" s="2" t="s">
        <v>19258</v>
      </c>
      <c r="E37" s="2" t="s">
        <v>19259</v>
      </c>
    </row>
    <row r="38">
      <c r="A38" s="2" t="s">
        <v>18506</v>
      </c>
      <c r="B38" s="2" t="s">
        <v>19260</v>
      </c>
      <c r="C38" s="11" t="s">
        <v>19261</v>
      </c>
      <c r="D38" s="2" t="s">
        <v>19262</v>
      </c>
      <c r="E38" s="2" t="s">
        <v>19263</v>
      </c>
    </row>
    <row r="39">
      <c r="A39" s="2" t="s">
        <v>19264</v>
      </c>
      <c r="B39" s="2" t="s">
        <v>19265</v>
      </c>
      <c r="C39" s="11" t="s">
        <v>19266</v>
      </c>
      <c r="D39" s="2" t="s">
        <v>19267</v>
      </c>
      <c r="E39" s="2" t="s">
        <v>19268</v>
      </c>
    </row>
    <row r="40">
      <c r="A40" s="2" t="s">
        <v>18532</v>
      </c>
      <c r="B40" s="2" t="s">
        <v>19269</v>
      </c>
      <c r="C40" s="11" t="s">
        <v>19270</v>
      </c>
      <c r="D40" s="2" t="s">
        <v>19271</v>
      </c>
      <c r="E40" s="2" t="s">
        <v>19272</v>
      </c>
    </row>
    <row r="41">
      <c r="A41" s="2" t="s">
        <v>17248</v>
      </c>
      <c r="B41" s="2" t="s">
        <v>19273</v>
      </c>
      <c r="C41" s="11" t="s">
        <v>19274</v>
      </c>
      <c r="D41" s="2" t="s">
        <v>19275</v>
      </c>
      <c r="E41" s="2" t="s">
        <v>19276</v>
      </c>
    </row>
    <row r="42">
      <c r="A42" s="2" t="s">
        <v>19277</v>
      </c>
      <c r="B42" s="2" t="s">
        <v>19278</v>
      </c>
      <c r="C42" s="11" t="s">
        <v>19279</v>
      </c>
      <c r="D42" s="2" t="s">
        <v>19280</v>
      </c>
      <c r="E42" s="2" t="s">
        <v>19281</v>
      </c>
    </row>
    <row r="43">
      <c r="A43" s="2" t="s">
        <v>18626</v>
      </c>
      <c r="B43" s="2" t="s">
        <v>19282</v>
      </c>
      <c r="C43" s="11" t="s">
        <v>19283</v>
      </c>
      <c r="D43" s="2" t="s">
        <v>19284</v>
      </c>
      <c r="E43" s="2" t="s">
        <v>19285</v>
      </c>
    </row>
    <row r="44">
      <c r="A44" s="2" t="s">
        <v>19286</v>
      </c>
      <c r="B44" s="2" t="s">
        <v>19287</v>
      </c>
      <c r="C44" s="11" t="s">
        <v>19288</v>
      </c>
      <c r="D44" s="2" t="s">
        <v>19289</v>
      </c>
      <c r="E44" s="2" t="s">
        <v>19290</v>
      </c>
    </row>
    <row r="45">
      <c r="A45" s="2" t="s">
        <v>17963</v>
      </c>
      <c r="B45" s="2" t="s">
        <v>19291</v>
      </c>
      <c r="C45" s="11" t="s">
        <v>19292</v>
      </c>
      <c r="D45" s="2" t="s">
        <v>19293</v>
      </c>
      <c r="E45" s="2" t="s">
        <v>19294</v>
      </c>
    </row>
    <row r="46">
      <c r="A46" s="2" t="s">
        <v>19295</v>
      </c>
      <c r="B46" s="2" t="s">
        <v>19296</v>
      </c>
      <c r="C46" s="11" t="s">
        <v>19297</v>
      </c>
      <c r="D46" s="2" t="s">
        <v>19298</v>
      </c>
      <c r="E46" s="2" t="s">
        <v>19299</v>
      </c>
    </row>
    <row r="47">
      <c r="A47" s="2" t="s">
        <v>18540</v>
      </c>
      <c r="B47" s="2" t="s">
        <v>19300</v>
      </c>
      <c r="C47" s="11" t="s">
        <v>19301</v>
      </c>
      <c r="D47" s="2" t="s">
        <v>19302</v>
      </c>
      <c r="E47" s="2" t="s">
        <v>19303</v>
      </c>
    </row>
    <row r="48">
      <c r="A48" s="2" t="s">
        <v>19304</v>
      </c>
      <c r="B48" s="2" t="s">
        <v>19305</v>
      </c>
      <c r="C48" s="11" t="s">
        <v>19306</v>
      </c>
      <c r="D48" s="2" t="s">
        <v>19307</v>
      </c>
      <c r="E48" s="2" t="s">
        <v>19308</v>
      </c>
    </row>
    <row r="49">
      <c r="A49" s="2" t="s">
        <v>19309</v>
      </c>
      <c r="B49" s="2" t="s">
        <v>19310</v>
      </c>
      <c r="C49" s="11" t="s">
        <v>19311</v>
      </c>
      <c r="D49" s="2" t="s">
        <v>19312</v>
      </c>
      <c r="E49" s="2" t="s">
        <v>19313</v>
      </c>
    </row>
    <row r="50">
      <c r="A50" s="2" t="s">
        <v>19314</v>
      </c>
      <c r="B50" s="2" t="s">
        <v>19315</v>
      </c>
      <c r="C50" s="11" t="s">
        <v>19316</v>
      </c>
      <c r="D50" s="2" t="s">
        <v>19317</v>
      </c>
      <c r="E50" s="2" t="s">
        <v>19318</v>
      </c>
    </row>
    <row r="51">
      <c r="A51" s="2" t="s">
        <v>19319</v>
      </c>
      <c r="B51" s="2" t="s">
        <v>19320</v>
      </c>
      <c r="C51" s="11" t="s">
        <v>19321</v>
      </c>
      <c r="D51" s="2" t="s">
        <v>19322</v>
      </c>
      <c r="E51" s="2" t="s">
        <v>19323</v>
      </c>
    </row>
    <row r="52">
      <c r="A52" s="2" t="s">
        <v>19324</v>
      </c>
      <c r="B52" s="2" t="s">
        <v>19325</v>
      </c>
      <c r="C52" s="11" t="s">
        <v>19326</v>
      </c>
      <c r="D52" s="2" t="s">
        <v>19327</v>
      </c>
      <c r="E52" s="2" t="s">
        <v>19328</v>
      </c>
    </row>
    <row r="53">
      <c r="A53" s="2" t="s">
        <v>19329</v>
      </c>
      <c r="B53" s="2" t="s">
        <v>19330</v>
      </c>
      <c r="C53" s="11" t="s">
        <v>19331</v>
      </c>
      <c r="D53" s="2" t="s">
        <v>19332</v>
      </c>
      <c r="E53" s="2" t="s">
        <v>19333</v>
      </c>
    </row>
    <row r="54">
      <c r="A54" s="2" t="s">
        <v>19334</v>
      </c>
      <c r="B54" s="2" t="s">
        <v>19335</v>
      </c>
      <c r="C54" s="11" t="s">
        <v>19336</v>
      </c>
      <c r="D54" s="2" t="s">
        <v>19337</v>
      </c>
      <c r="E54" s="2" t="s">
        <v>19338</v>
      </c>
    </row>
    <row r="55">
      <c r="A55" s="2" t="s">
        <v>17968</v>
      </c>
      <c r="B55" s="2" t="s">
        <v>19339</v>
      </c>
      <c r="C55" s="11" t="s">
        <v>19340</v>
      </c>
      <c r="D55" s="2" t="s">
        <v>19341</v>
      </c>
      <c r="E55" s="2" t="s">
        <v>19342</v>
      </c>
    </row>
    <row r="56">
      <c r="A56" s="2" t="s">
        <v>19343</v>
      </c>
      <c r="B56" s="2" t="s">
        <v>19344</v>
      </c>
      <c r="C56" s="11" t="s">
        <v>19345</v>
      </c>
      <c r="D56" s="2" t="s">
        <v>19346</v>
      </c>
      <c r="E56" s="2" t="s">
        <v>19347</v>
      </c>
    </row>
    <row r="57">
      <c r="A57" s="2" t="s">
        <v>19348</v>
      </c>
      <c r="B57" s="2" t="s">
        <v>19349</v>
      </c>
      <c r="C57" s="11" t="s">
        <v>19350</v>
      </c>
      <c r="D57" s="2" t="s">
        <v>19351</v>
      </c>
      <c r="E57" s="2" t="s">
        <v>19352</v>
      </c>
    </row>
    <row r="58">
      <c r="A58" s="2" t="s">
        <v>18366</v>
      </c>
      <c r="B58" s="2" t="s">
        <v>19353</v>
      </c>
      <c r="C58" s="11" t="s">
        <v>19354</v>
      </c>
      <c r="D58" s="2" t="s">
        <v>19355</v>
      </c>
      <c r="E58" s="2" t="s">
        <v>19356</v>
      </c>
    </row>
    <row r="59">
      <c r="A59" s="2" t="s">
        <v>19357</v>
      </c>
      <c r="B59" s="2" t="s">
        <v>3783</v>
      </c>
      <c r="C59" s="11" t="s">
        <v>19358</v>
      </c>
      <c r="D59" s="2" t="s">
        <v>19359</v>
      </c>
      <c r="E59" s="2" t="s">
        <v>19360</v>
      </c>
    </row>
    <row r="60">
      <c r="A60" s="2" t="s">
        <v>19361</v>
      </c>
      <c r="B60" s="2" t="s">
        <v>19362</v>
      </c>
      <c r="C60" s="11" t="s">
        <v>19363</v>
      </c>
      <c r="D60" s="2" t="s">
        <v>19364</v>
      </c>
      <c r="E60" s="2" t="s">
        <v>19365</v>
      </c>
    </row>
    <row r="61">
      <c r="A61" s="2" t="s">
        <v>19366</v>
      </c>
      <c r="B61" s="2" t="s">
        <v>19367</v>
      </c>
      <c r="C61" s="11" t="s">
        <v>19368</v>
      </c>
      <c r="D61" s="2" t="s">
        <v>19369</v>
      </c>
      <c r="E61" s="2" t="s">
        <v>19370</v>
      </c>
    </row>
    <row r="62">
      <c r="A62" s="2" t="s">
        <v>19371</v>
      </c>
      <c r="B62" s="2" t="s">
        <v>19372</v>
      </c>
      <c r="C62" s="11" t="s">
        <v>19373</v>
      </c>
      <c r="D62" s="2" t="s">
        <v>19374</v>
      </c>
      <c r="E62" s="2" t="s">
        <v>19375</v>
      </c>
    </row>
    <row r="63">
      <c r="A63" s="2" t="s">
        <v>19376</v>
      </c>
      <c r="B63" s="2" t="s">
        <v>19377</v>
      </c>
      <c r="C63" s="11" t="s">
        <v>19378</v>
      </c>
      <c r="D63" s="2" t="s">
        <v>19379</v>
      </c>
      <c r="E63" s="2" t="s">
        <v>19380</v>
      </c>
    </row>
    <row r="64">
      <c r="A64" s="2" t="s">
        <v>15915</v>
      </c>
      <c r="B64" s="2" t="s">
        <v>19381</v>
      </c>
      <c r="C64" s="11" t="s">
        <v>19382</v>
      </c>
      <c r="D64" s="2" t="s">
        <v>19383</v>
      </c>
      <c r="E64" s="2" t="s">
        <v>19384</v>
      </c>
    </row>
    <row r="65">
      <c r="A65" s="2" t="s">
        <v>19385</v>
      </c>
      <c r="B65" s="2" t="s">
        <v>19386</v>
      </c>
      <c r="C65" s="11" t="s">
        <v>19387</v>
      </c>
      <c r="D65" s="2" t="s">
        <v>19388</v>
      </c>
      <c r="E65" s="2" t="s">
        <v>19389</v>
      </c>
    </row>
    <row r="66">
      <c r="A66" s="2" t="s">
        <v>19390</v>
      </c>
      <c r="B66" s="2" t="s">
        <v>19391</v>
      </c>
      <c r="C66" s="11" t="s">
        <v>19392</v>
      </c>
      <c r="D66" s="2" t="s">
        <v>19393</v>
      </c>
      <c r="E66" s="2" t="s">
        <v>19394</v>
      </c>
    </row>
    <row r="67">
      <c r="A67" s="2" t="s">
        <v>19395</v>
      </c>
      <c r="B67" s="2" t="s">
        <v>19396</v>
      </c>
      <c r="C67" s="11" t="s">
        <v>19397</v>
      </c>
      <c r="D67" s="2" t="s">
        <v>19398</v>
      </c>
      <c r="E67" s="2" t="s">
        <v>19399</v>
      </c>
    </row>
    <row r="68">
      <c r="A68" s="2" t="s">
        <v>19400</v>
      </c>
      <c r="B68" s="2" t="s">
        <v>19401</v>
      </c>
      <c r="C68" s="11" t="s">
        <v>19402</v>
      </c>
      <c r="D68" s="2" t="s">
        <v>19403</v>
      </c>
      <c r="E68" s="2" t="s">
        <v>19404</v>
      </c>
    </row>
    <row r="69">
      <c r="A69" s="2" t="s">
        <v>19405</v>
      </c>
      <c r="B69" s="2" t="s">
        <v>19406</v>
      </c>
      <c r="C69" s="11" t="s">
        <v>19407</v>
      </c>
      <c r="D69" s="2" t="s">
        <v>19408</v>
      </c>
      <c r="E69" s="2" t="s">
        <v>19409</v>
      </c>
    </row>
    <row r="70">
      <c r="A70" s="2" t="s">
        <v>19410</v>
      </c>
      <c r="B70" s="2" t="s">
        <v>19411</v>
      </c>
      <c r="C70" s="11" t="s">
        <v>19412</v>
      </c>
      <c r="D70" s="2" t="s">
        <v>19413</v>
      </c>
      <c r="E70" s="2" t="s">
        <v>19414</v>
      </c>
    </row>
    <row r="71">
      <c r="A71" s="2" t="s">
        <v>19415</v>
      </c>
      <c r="B71" s="2" t="s">
        <v>19416</v>
      </c>
      <c r="C71" s="11" t="s">
        <v>19417</v>
      </c>
      <c r="D71" s="2" t="s">
        <v>19418</v>
      </c>
      <c r="E71" s="2" t="s">
        <v>19419</v>
      </c>
    </row>
    <row r="72">
      <c r="A72" s="2" t="s">
        <v>19420</v>
      </c>
      <c r="B72" s="2" t="s">
        <v>19421</v>
      </c>
      <c r="C72" s="11" t="s">
        <v>19422</v>
      </c>
      <c r="D72" s="2" t="s">
        <v>19423</v>
      </c>
      <c r="E72" s="2" t="s">
        <v>19424</v>
      </c>
    </row>
    <row r="73">
      <c r="A73" s="2" t="s">
        <v>19425</v>
      </c>
      <c r="B73" s="2" t="s">
        <v>19426</v>
      </c>
      <c r="C73" s="11" t="s">
        <v>19427</v>
      </c>
      <c r="D73" s="2" t="s">
        <v>19428</v>
      </c>
      <c r="E73" s="2" t="s">
        <v>19429</v>
      </c>
    </row>
    <row r="74">
      <c r="A74" s="2" t="s">
        <v>19430</v>
      </c>
      <c r="B74" s="2" t="s">
        <v>19431</v>
      </c>
      <c r="C74" s="11" t="s">
        <v>19432</v>
      </c>
      <c r="D74" s="2" t="s">
        <v>19433</v>
      </c>
      <c r="E74" s="2" t="s">
        <v>19434</v>
      </c>
    </row>
    <row r="75">
      <c r="A75" s="2" t="s">
        <v>18577</v>
      </c>
      <c r="B75" s="2" t="s">
        <v>19435</v>
      </c>
      <c r="C75" s="11" t="s">
        <v>19436</v>
      </c>
      <c r="D75" s="2" t="s">
        <v>19437</v>
      </c>
      <c r="E75" s="2" t="s">
        <v>19438</v>
      </c>
    </row>
    <row r="76">
      <c r="A76" s="2" t="s">
        <v>19439</v>
      </c>
      <c r="B76" s="2" t="s">
        <v>19440</v>
      </c>
      <c r="C76" s="11" t="s">
        <v>19441</v>
      </c>
      <c r="D76" s="2" t="s">
        <v>19442</v>
      </c>
      <c r="E76" s="2" t="s">
        <v>19443</v>
      </c>
    </row>
    <row r="77">
      <c r="A77" s="2" t="s">
        <v>19444</v>
      </c>
      <c r="B77" s="2" t="s">
        <v>19445</v>
      </c>
      <c r="C77" s="11" t="s">
        <v>19446</v>
      </c>
      <c r="D77" s="2" t="s">
        <v>19447</v>
      </c>
      <c r="E77" s="2" t="s">
        <v>19448</v>
      </c>
    </row>
    <row r="78">
      <c r="A78" s="2" t="s">
        <v>19449</v>
      </c>
      <c r="B78" s="2" t="s">
        <v>19450</v>
      </c>
      <c r="C78" s="11" t="s">
        <v>19451</v>
      </c>
      <c r="D78" s="2" t="s">
        <v>19452</v>
      </c>
      <c r="E78" s="2" t="s">
        <v>19453</v>
      </c>
    </row>
    <row r="79">
      <c r="A79" s="2" t="s">
        <v>19454</v>
      </c>
      <c r="B79" s="2" t="s">
        <v>19455</v>
      </c>
      <c r="C79" s="11" t="s">
        <v>19456</v>
      </c>
      <c r="D79" s="2" t="s">
        <v>19457</v>
      </c>
      <c r="E79" s="2" t="s">
        <v>19458</v>
      </c>
    </row>
    <row r="80">
      <c r="A80" s="2" t="s">
        <v>19459</v>
      </c>
      <c r="B80" s="2" t="s">
        <v>19460</v>
      </c>
      <c r="C80" s="11" t="s">
        <v>19461</v>
      </c>
      <c r="D80" s="2" t="s">
        <v>19462</v>
      </c>
      <c r="E80" s="2" t="s">
        <v>19463</v>
      </c>
    </row>
    <row r="81">
      <c r="A81" s="2" t="s">
        <v>18576</v>
      </c>
      <c r="B81" s="2" t="s">
        <v>19464</v>
      </c>
      <c r="C81" s="11" t="s">
        <v>19465</v>
      </c>
      <c r="D81" s="2" t="s">
        <v>19466</v>
      </c>
      <c r="E81" s="2" t="s">
        <v>19467</v>
      </c>
    </row>
    <row r="82">
      <c r="A82" s="2" t="s">
        <v>19468</v>
      </c>
      <c r="B82" s="2" t="s">
        <v>19469</v>
      </c>
      <c r="C82" s="11" t="s">
        <v>19470</v>
      </c>
      <c r="D82" s="2" t="s">
        <v>19471</v>
      </c>
      <c r="E82" s="2" t="s">
        <v>19472</v>
      </c>
    </row>
    <row r="83">
      <c r="A83" s="2" t="s">
        <v>19473</v>
      </c>
      <c r="B83" s="2" t="s">
        <v>19474</v>
      </c>
      <c r="C83" s="11" t="s">
        <v>19475</v>
      </c>
      <c r="D83" s="2" t="s">
        <v>19476</v>
      </c>
      <c r="E83" s="2" t="s">
        <v>19477</v>
      </c>
    </row>
    <row r="84">
      <c r="A84" s="2" t="s">
        <v>19478</v>
      </c>
      <c r="B84" s="2" t="s">
        <v>19479</v>
      </c>
      <c r="C84" s="11" t="s">
        <v>19480</v>
      </c>
      <c r="D84" s="2" t="s">
        <v>19481</v>
      </c>
      <c r="E84" s="2" t="s">
        <v>19482</v>
      </c>
    </row>
    <row r="85">
      <c r="A85" s="2" t="s">
        <v>19483</v>
      </c>
      <c r="B85" s="2" t="s">
        <v>19484</v>
      </c>
      <c r="C85" s="11" t="s">
        <v>19485</v>
      </c>
      <c r="D85" s="2" t="s">
        <v>19486</v>
      </c>
      <c r="E85" s="2" t="s">
        <v>19487</v>
      </c>
    </row>
    <row r="86">
      <c r="A86" s="2" t="s">
        <v>19488</v>
      </c>
      <c r="B86" s="2" t="s">
        <v>19489</v>
      </c>
      <c r="C86" s="11" t="s">
        <v>19490</v>
      </c>
      <c r="D86" s="2" t="s">
        <v>19491</v>
      </c>
      <c r="E86" s="2" t="s">
        <v>19492</v>
      </c>
    </row>
    <row r="87">
      <c r="A87" s="2" t="s">
        <v>19493</v>
      </c>
      <c r="B87" s="2" t="s">
        <v>19494</v>
      </c>
      <c r="C87" s="11" t="s">
        <v>19495</v>
      </c>
      <c r="D87" s="2" t="s">
        <v>19496</v>
      </c>
      <c r="E87" s="2" t="s">
        <v>19497</v>
      </c>
    </row>
    <row r="88">
      <c r="A88" s="2" t="s">
        <v>19498</v>
      </c>
      <c r="B88" s="2" t="s">
        <v>19499</v>
      </c>
      <c r="C88" s="11" t="s">
        <v>19500</v>
      </c>
      <c r="D88" s="2" t="s">
        <v>19501</v>
      </c>
      <c r="E88" s="2" t="s">
        <v>19502</v>
      </c>
    </row>
    <row r="89">
      <c r="A89" s="2" t="s">
        <v>19503</v>
      </c>
      <c r="B89" s="2" t="s">
        <v>19504</v>
      </c>
      <c r="C89" s="11" t="s">
        <v>19505</v>
      </c>
      <c r="D89" s="2" t="s">
        <v>19506</v>
      </c>
      <c r="E89" s="2" t="s">
        <v>19507</v>
      </c>
    </row>
    <row r="90">
      <c r="A90" s="2" t="s">
        <v>19508</v>
      </c>
      <c r="B90" s="2" t="s">
        <v>19509</v>
      </c>
      <c r="C90" s="11" t="s">
        <v>19510</v>
      </c>
      <c r="D90" s="2" t="s">
        <v>19511</v>
      </c>
      <c r="E90" s="2" t="s">
        <v>19512</v>
      </c>
    </row>
    <row r="91">
      <c r="A91" s="2" t="s">
        <v>19513</v>
      </c>
      <c r="B91" s="2" t="s">
        <v>19514</v>
      </c>
      <c r="C91" s="11" t="s">
        <v>19515</v>
      </c>
      <c r="D91" s="2" t="s">
        <v>19516</v>
      </c>
      <c r="E91" s="2" t="s">
        <v>19517</v>
      </c>
    </row>
    <row r="92">
      <c r="A92" s="2" t="s">
        <v>19518</v>
      </c>
      <c r="B92" s="2" t="s">
        <v>19519</v>
      </c>
      <c r="C92" s="11" t="s">
        <v>19520</v>
      </c>
      <c r="D92" s="2" t="s">
        <v>19521</v>
      </c>
      <c r="E92" s="2" t="s">
        <v>19522</v>
      </c>
    </row>
    <row r="93">
      <c r="A93" s="2" t="s">
        <v>19523</v>
      </c>
      <c r="B93" s="2" t="s">
        <v>19524</v>
      </c>
      <c r="C93" s="11" t="s">
        <v>19525</v>
      </c>
      <c r="D93" s="2" t="s">
        <v>19526</v>
      </c>
      <c r="E93" s="2" t="s">
        <v>19527</v>
      </c>
    </row>
    <row r="94">
      <c r="A94" s="2" t="s">
        <v>19528</v>
      </c>
      <c r="B94" s="2" t="s">
        <v>19529</v>
      </c>
      <c r="C94" s="11" t="s">
        <v>19530</v>
      </c>
      <c r="D94" s="2" t="s">
        <v>19531</v>
      </c>
      <c r="E94" s="2" t="s">
        <v>19532</v>
      </c>
    </row>
    <row r="95">
      <c r="A95" s="2" t="s">
        <v>18342</v>
      </c>
      <c r="B95" s="2" t="s">
        <v>19533</v>
      </c>
      <c r="C95" s="11" t="s">
        <v>19534</v>
      </c>
      <c r="D95" s="2" t="s">
        <v>19535</v>
      </c>
      <c r="E95" s="2" t="s">
        <v>19536</v>
      </c>
    </row>
    <row r="96">
      <c r="A96" s="2" t="s">
        <v>19537</v>
      </c>
      <c r="B96" s="2" t="s">
        <v>19538</v>
      </c>
      <c r="C96" s="11" t="s">
        <v>19539</v>
      </c>
      <c r="D96" s="2" t="s">
        <v>19540</v>
      </c>
      <c r="E96" s="2" t="s">
        <v>19541</v>
      </c>
    </row>
    <row r="97">
      <c r="A97" s="2" t="s">
        <v>19542</v>
      </c>
      <c r="B97" s="2" t="s">
        <v>19543</v>
      </c>
      <c r="C97" s="11" t="s">
        <v>19544</v>
      </c>
      <c r="D97" s="2" t="s">
        <v>19545</v>
      </c>
      <c r="E97" s="2" t="s">
        <v>19546</v>
      </c>
    </row>
    <row r="98">
      <c r="A98" s="2" t="s">
        <v>19547</v>
      </c>
      <c r="B98" s="2" t="s">
        <v>19548</v>
      </c>
      <c r="C98" s="11" t="s">
        <v>19549</v>
      </c>
      <c r="D98" s="2" t="s">
        <v>19550</v>
      </c>
      <c r="E98" s="2" t="s">
        <v>19551</v>
      </c>
    </row>
    <row r="99">
      <c r="A99" s="2" t="s">
        <v>18569</v>
      </c>
      <c r="B99" s="2" t="s">
        <v>19552</v>
      </c>
      <c r="C99" s="11" t="s">
        <v>19553</v>
      </c>
      <c r="D99" s="2" t="s">
        <v>19554</v>
      </c>
      <c r="E99" s="2" t="s">
        <v>19555</v>
      </c>
    </row>
    <row r="100">
      <c r="A100" s="2" t="s">
        <v>18553</v>
      </c>
      <c r="B100" s="2" t="s">
        <v>19556</v>
      </c>
      <c r="C100" s="11" t="s">
        <v>19557</v>
      </c>
      <c r="D100" s="2" t="s">
        <v>19558</v>
      </c>
      <c r="E100" s="2" t="s">
        <v>19559</v>
      </c>
    </row>
    <row r="101">
      <c r="A101" s="2" t="s">
        <v>19560</v>
      </c>
      <c r="B101" s="2" t="s">
        <v>19561</v>
      </c>
      <c r="C101" s="11" t="s">
        <v>19562</v>
      </c>
      <c r="D101" s="2" t="s">
        <v>19563</v>
      </c>
      <c r="E101" s="2" t="s">
        <v>19564</v>
      </c>
    </row>
    <row r="102">
      <c r="A102" s="2" t="s">
        <v>19565</v>
      </c>
      <c r="B102" s="2" t="s">
        <v>19566</v>
      </c>
      <c r="C102" s="11" t="s">
        <v>19567</v>
      </c>
      <c r="D102" s="2" t="s">
        <v>19568</v>
      </c>
      <c r="E102" s="2" t="s">
        <v>19569</v>
      </c>
    </row>
    <row r="103">
      <c r="A103" s="2" t="s">
        <v>19570</v>
      </c>
      <c r="B103" s="2" t="s">
        <v>19571</v>
      </c>
      <c r="C103" s="11" t="s">
        <v>19572</v>
      </c>
      <c r="D103" s="2" t="s">
        <v>19573</v>
      </c>
      <c r="E103" s="2" t="s">
        <v>19574</v>
      </c>
    </row>
    <row r="104">
      <c r="A104" s="2" t="s">
        <v>19575</v>
      </c>
      <c r="B104" s="2" t="s">
        <v>19576</v>
      </c>
      <c r="C104" s="11" t="s">
        <v>19577</v>
      </c>
      <c r="D104" s="2" t="s">
        <v>19578</v>
      </c>
      <c r="E104" s="2" t="s">
        <v>19579</v>
      </c>
    </row>
    <row r="105">
      <c r="A105" s="2" t="s">
        <v>19580</v>
      </c>
      <c r="B105" s="2" t="s">
        <v>19581</v>
      </c>
      <c r="C105" s="11" t="s">
        <v>19582</v>
      </c>
      <c r="D105" s="2" t="s">
        <v>19583</v>
      </c>
      <c r="E105" s="2" t="s">
        <v>19584</v>
      </c>
    </row>
    <row r="106">
      <c r="A106" s="2" t="s">
        <v>19585</v>
      </c>
      <c r="B106" s="2" t="s">
        <v>19586</v>
      </c>
      <c r="C106" s="11" t="s">
        <v>19587</v>
      </c>
      <c r="D106" s="2" t="s">
        <v>19588</v>
      </c>
      <c r="E106" s="2" t="s">
        <v>19589</v>
      </c>
    </row>
    <row r="107">
      <c r="A107" s="2" t="s">
        <v>19590</v>
      </c>
      <c r="B107" s="2" t="s">
        <v>19591</v>
      </c>
      <c r="C107" s="11" t="s">
        <v>19592</v>
      </c>
      <c r="D107" s="2" t="s">
        <v>19593</v>
      </c>
      <c r="E107" s="2" t="s">
        <v>19594</v>
      </c>
    </row>
    <row r="108">
      <c r="A108" s="2" t="s">
        <v>19595</v>
      </c>
      <c r="B108" s="2" t="s">
        <v>19596</v>
      </c>
      <c r="C108" s="11" t="s">
        <v>19597</v>
      </c>
      <c r="D108" s="2" t="s">
        <v>19598</v>
      </c>
      <c r="E108" s="2" t="s">
        <v>19599</v>
      </c>
    </row>
    <row r="109">
      <c r="A109" s="2" t="s">
        <v>18601</v>
      </c>
      <c r="B109" s="2" t="s">
        <v>19600</v>
      </c>
      <c r="C109" s="11" t="s">
        <v>19601</v>
      </c>
      <c r="D109" s="2" t="s">
        <v>19602</v>
      </c>
      <c r="E109" s="2" t="s">
        <v>19603</v>
      </c>
    </row>
    <row r="110">
      <c r="A110" s="2" t="s">
        <v>19604</v>
      </c>
      <c r="B110" s="2" t="s">
        <v>19605</v>
      </c>
      <c r="C110" s="11" t="s">
        <v>19606</v>
      </c>
      <c r="D110" s="2" t="s">
        <v>19607</v>
      </c>
      <c r="E110" s="2" t="s">
        <v>19608</v>
      </c>
    </row>
    <row r="111">
      <c r="A111" s="2" t="s">
        <v>19609</v>
      </c>
      <c r="B111" s="2" t="s">
        <v>19610</v>
      </c>
      <c r="C111" s="11" t="s">
        <v>19611</v>
      </c>
      <c r="D111" s="2" t="s">
        <v>19612</v>
      </c>
      <c r="E111" s="2" t="s">
        <v>19613</v>
      </c>
    </row>
    <row r="112">
      <c r="A112" s="2" t="s">
        <v>19614</v>
      </c>
      <c r="B112" s="2" t="s">
        <v>19615</v>
      </c>
      <c r="C112" s="11" t="s">
        <v>19616</v>
      </c>
      <c r="D112" s="2" t="s">
        <v>19617</v>
      </c>
      <c r="E112" s="2" t="s">
        <v>19618</v>
      </c>
    </row>
    <row r="113">
      <c r="A113" s="2" t="s">
        <v>18507</v>
      </c>
      <c r="B113" s="2" t="s">
        <v>19619</v>
      </c>
      <c r="C113" s="11" t="s">
        <v>19620</v>
      </c>
      <c r="D113" s="2" t="s">
        <v>19621</v>
      </c>
      <c r="E113" s="2" t="s">
        <v>19622</v>
      </c>
    </row>
    <row r="114">
      <c r="A114" s="2" t="s">
        <v>19623</v>
      </c>
      <c r="B114" s="2" t="s">
        <v>19624</v>
      </c>
      <c r="C114" s="11" t="s">
        <v>19625</v>
      </c>
      <c r="D114" s="2" t="s">
        <v>19626</v>
      </c>
      <c r="E114" s="2" t="s">
        <v>19627</v>
      </c>
    </row>
    <row r="115">
      <c r="A115" s="2" t="s">
        <v>18391</v>
      </c>
      <c r="B115" s="2" t="s">
        <v>19628</v>
      </c>
      <c r="C115" s="11" t="s">
        <v>19629</v>
      </c>
      <c r="D115" s="2" t="s">
        <v>19630</v>
      </c>
      <c r="E115" s="2" t="s">
        <v>19631</v>
      </c>
    </row>
    <row r="116">
      <c r="A116" s="2" t="s">
        <v>19632</v>
      </c>
      <c r="B116" s="2" t="s">
        <v>19633</v>
      </c>
      <c r="C116" s="11" t="s">
        <v>19634</v>
      </c>
      <c r="D116" s="2" t="s">
        <v>19635</v>
      </c>
      <c r="E116" s="2" t="s">
        <v>19636</v>
      </c>
    </row>
    <row r="117">
      <c r="A117" s="2" t="s">
        <v>19637</v>
      </c>
      <c r="B117" s="2" t="s">
        <v>19638</v>
      </c>
      <c r="C117" s="11" t="s">
        <v>19639</v>
      </c>
      <c r="D117" s="2" t="s">
        <v>19640</v>
      </c>
      <c r="E117" s="2" t="s">
        <v>19641</v>
      </c>
    </row>
    <row r="118">
      <c r="A118" s="2" t="s">
        <v>19642</v>
      </c>
      <c r="B118" s="2" t="s">
        <v>19643</v>
      </c>
      <c r="C118" s="11" t="s">
        <v>19644</v>
      </c>
      <c r="D118" s="2" t="s">
        <v>19645</v>
      </c>
      <c r="E118" s="2" t="s">
        <v>19646</v>
      </c>
    </row>
    <row r="119">
      <c r="A119" s="2" t="s">
        <v>19647</v>
      </c>
      <c r="B119" s="2" t="s">
        <v>19648</v>
      </c>
      <c r="C119" s="11" t="s">
        <v>19649</v>
      </c>
      <c r="D119" s="2" t="s">
        <v>19650</v>
      </c>
      <c r="E119" s="2" t="s">
        <v>19651</v>
      </c>
    </row>
    <row r="120">
      <c r="A120" s="2" t="s">
        <v>19652</v>
      </c>
      <c r="B120" s="2" t="s">
        <v>19653</v>
      </c>
      <c r="C120" s="11" t="s">
        <v>19654</v>
      </c>
      <c r="D120" s="2" t="s">
        <v>19655</v>
      </c>
      <c r="E120" s="2" t="s">
        <v>19656</v>
      </c>
    </row>
    <row r="121">
      <c r="A121" s="2" t="s">
        <v>19657</v>
      </c>
      <c r="B121" s="2" t="s">
        <v>19658</v>
      </c>
      <c r="C121" s="11" t="s">
        <v>19659</v>
      </c>
      <c r="D121" s="2" t="s">
        <v>19660</v>
      </c>
      <c r="E121" s="2" t="s">
        <v>19661</v>
      </c>
    </row>
    <row r="122">
      <c r="A122" s="2" t="s">
        <v>19662</v>
      </c>
      <c r="B122" s="2" t="s">
        <v>19663</v>
      </c>
      <c r="C122" s="11" t="s">
        <v>19664</v>
      </c>
      <c r="D122" s="2" t="s">
        <v>19665</v>
      </c>
      <c r="E122" s="2" t="s">
        <v>19666</v>
      </c>
    </row>
    <row r="123">
      <c r="A123" s="2" t="s">
        <v>19667</v>
      </c>
      <c r="B123" s="2" t="s">
        <v>19668</v>
      </c>
      <c r="C123" s="11" t="s">
        <v>19669</v>
      </c>
      <c r="D123" s="2" t="s">
        <v>19670</v>
      </c>
      <c r="E123" s="2" t="s">
        <v>19671</v>
      </c>
    </row>
    <row r="124">
      <c r="A124" s="2" t="s">
        <v>19672</v>
      </c>
      <c r="B124" s="2" t="s">
        <v>19673</v>
      </c>
      <c r="C124" s="11" t="s">
        <v>19674</v>
      </c>
      <c r="D124" s="2" t="s">
        <v>19675</v>
      </c>
      <c r="E124" s="2" t="s">
        <v>19676</v>
      </c>
    </row>
    <row r="125">
      <c r="A125" s="2" t="s">
        <v>19677</v>
      </c>
      <c r="B125" s="2" t="s">
        <v>19678</v>
      </c>
      <c r="C125" s="11" t="s">
        <v>19679</v>
      </c>
      <c r="D125" s="2" t="s">
        <v>19680</v>
      </c>
      <c r="E125" s="2" t="s">
        <v>19681</v>
      </c>
    </row>
    <row r="126">
      <c r="A126" s="2" t="s">
        <v>18219</v>
      </c>
      <c r="B126" s="2" t="s">
        <v>19682</v>
      </c>
      <c r="C126" s="11" t="s">
        <v>19683</v>
      </c>
      <c r="D126" s="2" t="s">
        <v>19684</v>
      </c>
      <c r="E126" s="2" t="s">
        <v>19685</v>
      </c>
    </row>
    <row r="127">
      <c r="A127" s="2" t="s">
        <v>19686</v>
      </c>
      <c r="B127" s="2" t="s">
        <v>19687</v>
      </c>
      <c r="C127" s="11" t="s">
        <v>19688</v>
      </c>
      <c r="D127" s="2" t="s">
        <v>19689</v>
      </c>
      <c r="E127" s="2" t="s">
        <v>19690</v>
      </c>
    </row>
    <row r="128">
      <c r="A128" s="2" t="s">
        <v>19691</v>
      </c>
      <c r="B128" s="2" t="s">
        <v>19692</v>
      </c>
      <c r="C128" s="11" t="s">
        <v>19693</v>
      </c>
      <c r="D128" s="2" t="s">
        <v>19694</v>
      </c>
      <c r="E128" s="2" t="s">
        <v>19695</v>
      </c>
    </row>
    <row r="129">
      <c r="A129" s="2" t="s">
        <v>19696</v>
      </c>
      <c r="B129" s="2" t="s">
        <v>19697</v>
      </c>
      <c r="C129" s="11" t="s">
        <v>19698</v>
      </c>
      <c r="D129" s="2" t="s">
        <v>19699</v>
      </c>
      <c r="E129" s="2" t="s">
        <v>19700</v>
      </c>
    </row>
    <row r="130">
      <c r="A130" s="2" t="s">
        <v>19701</v>
      </c>
      <c r="B130" s="2" t="s">
        <v>19702</v>
      </c>
      <c r="C130" s="11" t="s">
        <v>19703</v>
      </c>
      <c r="D130" s="2" t="s">
        <v>19704</v>
      </c>
      <c r="E130" s="2" t="s">
        <v>19705</v>
      </c>
    </row>
    <row r="131">
      <c r="A131" s="2" t="s">
        <v>19706</v>
      </c>
      <c r="B131" s="2" t="s">
        <v>19707</v>
      </c>
      <c r="C131" s="11" t="s">
        <v>19708</v>
      </c>
      <c r="D131" s="2" t="s">
        <v>19709</v>
      </c>
      <c r="E131" s="2" t="s">
        <v>19710</v>
      </c>
    </row>
    <row r="132">
      <c r="A132" s="2" t="s">
        <v>18239</v>
      </c>
      <c r="B132" s="2" t="s">
        <v>19711</v>
      </c>
      <c r="C132" s="11" t="s">
        <v>19712</v>
      </c>
      <c r="D132" s="2" t="s">
        <v>19713</v>
      </c>
      <c r="E132" s="2" t="s">
        <v>19714</v>
      </c>
    </row>
    <row r="133">
      <c r="A133" s="2" t="s">
        <v>19715</v>
      </c>
      <c r="B133" s="2" t="s">
        <v>19716</v>
      </c>
      <c r="C133" s="11" t="s">
        <v>19717</v>
      </c>
      <c r="D133" s="2" t="s">
        <v>19718</v>
      </c>
      <c r="E133" s="2" t="s">
        <v>19719</v>
      </c>
    </row>
    <row r="134">
      <c r="A134" s="2" t="s">
        <v>19720</v>
      </c>
      <c r="B134" s="2" t="s">
        <v>19721</v>
      </c>
      <c r="C134" s="11" t="s">
        <v>19722</v>
      </c>
      <c r="D134" s="2" t="s">
        <v>19723</v>
      </c>
      <c r="E134" s="2" t="s">
        <v>19724</v>
      </c>
    </row>
    <row r="135">
      <c r="A135" s="2" t="s">
        <v>19725</v>
      </c>
      <c r="B135" s="2" t="s">
        <v>19726</v>
      </c>
      <c r="C135" s="11" t="s">
        <v>19727</v>
      </c>
      <c r="D135" s="2" t="s">
        <v>19728</v>
      </c>
      <c r="E135" s="2" t="s">
        <v>19729</v>
      </c>
    </row>
    <row r="136">
      <c r="A136" s="2" t="s">
        <v>19730</v>
      </c>
      <c r="B136" s="2" t="s">
        <v>19731</v>
      </c>
      <c r="C136" s="11" t="s">
        <v>19732</v>
      </c>
      <c r="D136" s="2" t="s">
        <v>19733</v>
      </c>
      <c r="E136" s="2" t="s">
        <v>19734</v>
      </c>
    </row>
    <row r="137">
      <c r="A137" s="2" t="s">
        <v>19735</v>
      </c>
      <c r="B137" s="2" t="s">
        <v>19736</v>
      </c>
      <c r="C137" s="11" t="s">
        <v>19737</v>
      </c>
      <c r="D137" s="2" t="s">
        <v>19738</v>
      </c>
      <c r="E137" s="2" t="s">
        <v>19739</v>
      </c>
    </row>
    <row r="138">
      <c r="A138" s="2" t="s">
        <v>19740</v>
      </c>
      <c r="B138" s="2" t="s">
        <v>19741</v>
      </c>
      <c r="C138" s="11" t="s">
        <v>19742</v>
      </c>
      <c r="D138" s="2" t="s">
        <v>19743</v>
      </c>
      <c r="E138" s="2" t="s">
        <v>19744</v>
      </c>
    </row>
    <row r="139">
      <c r="A139" s="2" t="s">
        <v>19745</v>
      </c>
      <c r="B139" s="2" t="s">
        <v>19746</v>
      </c>
      <c r="C139" s="11" t="s">
        <v>19747</v>
      </c>
      <c r="D139" s="2" t="s">
        <v>19748</v>
      </c>
      <c r="E139" s="2" t="s">
        <v>19749</v>
      </c>
    </row>
    <row r="140">
      <c r="A140" s="2" t="s">
        <v>19750</v>
      </c>
      <c r="B140" s="2" t="s">
        <v>19751</v>
      </c>
      <c r="C140" s="11" t="s">
        <v>19752</v>
      </c>
      <c r="D140" s="2" t="s">
        <v>19753</v>
      </c>
      <c r="E140" s="2" t="s">
        <v>19754</v>
      </c>
    </row>
    <row r="141">
      <c r="A141" s="2" t="s">
        <v>19755</v>
      </c>
      <c r="B141" s="2" t="s">
        <v>19756</v>
      </c>
      <c r="C141" s="11" t="s">
        <v>19757</v>
      </c>
      <c r="D141" s="2" t="s">
        <v>19758</v>
      </c>
      <c r="E141" s="2" t="s">
        <v>19759</v>
      </c>
    </row>
    <row r="142">
      <c r="A142" s="2" t="s">
        <v>19760</v>
      </c>
      <c r="B142" s="2" t="s">
        <v>19761</v>
      </c>
      <c r="C142" s="11" t="s">
        <v>19762</v>
      </c>
      <c r="D142" s="2" t="s">
        <v>19763</v>
      </c>
      <c r="E142" s="2" t="s">
        <v>19764</v>
      </c>
    </row>
    <row r="143">
      <c r="A143" s="2" t="s">
        <v>19765</v>
      </c>
      <c r="B143" s="2" t="s">
        <v>19766</v>
      </c>
      <c r="C143" s="11" t="s">
        <v>19767</v>
      </c>
      <c r="D143" s="2" t="s">
        <v>19768</v>
      </c>
      <c r="E143" s="2" t="s">
        <v>19769</v>
      </c>
    </row>
    <row r="144">
      <c r="A144" s="2" t="s">
        <v>19770</v>
      </c>
      <c r="B144" s="2" t="s">
        <v>19771</v>
      </c>
      <c r="C144" s="11" t="s">
        <v>19772</v>
      </c>
      <c r="D144" s="2" t="s">
        <v>19773</v>
      </c>
      <c r="E144" s="2" t="s">
        <v>19774</v>
      </c>
    </row>
    <row r="145">
      <c r="A145" s="2" t="s">
        <v>19775</v>
      </c>
      <c r="B145" s="2" t="s">
        <v>19776</v>
      </c>
      <c r="C145" s="11" t="s">
        <v>19777</v>
      </c>
      <c r="D145" s="2" t="s">
        <v>19778</v>
      </c>
      <c r="E145" s="2" t="s">
        <v>19779</v>
      </c>
    </row>
    <row r="146">
      <c r="A146" s="2" t="s">
        <v>19780</v>
      </c>
      <c r="B146" s="2" t="s">
        <v>19781</v>
      </c>
      <c r="C146" s="11" t="s">
        <v>19782</v>
      </c>
      <c r="D146" s="2" t="s">
        <v>19783</v>
      </c>
      <c r="E146" s="2" t="s">
        <v>19784</v>
      </c>
    </row>
    <row r="147">
      <c r="A147" s="2" t="s">
        <v>19785</v>
      </c>
      <c r="B147" s="2" t="s">
        <v>19786</v>
      </c>
      <c r="C147" s="11" t="s">
        <v>19787</v>
      </c>
      <c r="D147" s="2" t="s">
        <v>19788</v>
      </c>
      <c r="E147" s="2" t="s">
        <v>19789</v>
      </c>
    </row>
    <row r="148">
      <c r="A148" s="2" t="s">
        <v>19790</v>
      </c>
      <c r="B148" s="2" t="s">
        <v>19791</v>
      </c>
      <c r="C148" s="11" t="s">
        <v>19792</v>
      </c>
      <c r="D148" s="2" t="s">
        <v>19793</v>
      </c>
      <c r="E148" s="2" t="s">
        <v>19794</v>
      </c>
    </row>
    <row r="149">
      <c r="A149" s="2" t="s">
        <v>18381</v>
      </c>
      <c r="B149" s="2" t="s">
        <v>19795</v>
      </c>
      <c r="C149" s="11" t="s">
        <v>19796</v>
      </c>
      <c r="D149" s="2" t="s">
        <v>19797</v>
      </c>
      <c r="E149" s="2" t="s">
        <v>19798</v>
      </c>
    </row>
    <row r="150">
      <c r="A150" s="2" t="s">
        <v>19799</v>
      </c>
      <c r="B150" s="2" t="s">
        <v>19800</v>
      </c>
      <c r="C150" s="11" t="s">
        <v>19801</v>
      </c>
      <c r="D150" s="2" t="s">
        <v>19802</v>
      </c>
      <c r="E150" s="2" t="s">
        <v>19803</v>
      </c>
    </row>
    <row r="151">
      <c r="A151" s="2" t="s">
        <v>19804</v>
      </c>
      <c r="B151" s="2" t="s">
        <v>19805</v>
      </c>
      <c r="C151" s="11" t="s">
        <v>19806</v>
      </c>
      <c r="D151" s="2" t="s">
        <v>19807</v>
      </c>
      <c r="E151" s="2" t="s">
        <v>19808</v>
      </c>
    </row>
    <row r="152">
      <c r="A152" s="2" t="s">
        <v>19809</v>
      </c>
      <c r="B152" s="2" t="s">
        <v>19810</v>
      </c>
      <c r="C152" s="11" t="s">
        <v>19811</v>
      </c>
      <c r="D152" s="2" t="s">
        <v>19812</v>
      </c>
      <c r="E152" s="2" t="s">
        <v>19813</v>
      </c>
    </row>
    <row r="153">
      <c r="A153" s="2" t="s">
        <v>18614</v>
      </c>
      <c r="B153" s="2" t="s">
        <v>19814</v>
      </c>
      <c r="C153" s="11" t="s">
        <v>19815</v>
      </c>
      <c r="D153" s="2" t="s">
        <v>19816</v>
      </c>
      <c r="E153" s="2" t="s">
        <v>19817</v>
      </c>
    </row>
    <row r="154">
      <c r="A154" s="2" t="s">
        <v>18096</v>
      </c>
      <c r="B154" s="2" t="s">
        <v>19818</v>
      </c>
      <c r="C154" s="11" t="s">
        <v>19819</v>
      </c>
      <c r="D154" s="2" t="s">
        <v>19820</v>
      </c>
      <c r="E154" s="2" t="s">
        <v>19821</v>
      </c>
    </row>
    <row r="155">
      <c r="A155" s="2" t="s">
        <v>17238</v>
      </c>
      <c r="B155" s="2" t="s">
        <v>19822</v>
      </c>
      <c r="C155" s="11" t="s">
        <v>19823</v>
      </c>
      <c r="D155" s="2" t="s">
        <v>19824</v>
      </c>
      <c r="E155" s="2" t="s">
        <v>19825</v>
      </c>
    </row>
    <row r="156">
      <c r="A156" s="2" t="s">
        <v>18542</v>
      </c>
      <c r="B156" s="2" t="s">
        <v>19826</v>
      </c>
      <c r="C156" s="11" t="s">
        <v>19827</v>
      </c>
      <c r="D156" s="2" t="s">
        <v>19828</v>
      </c>
      <c r="E156" s="2" t="s">
        <v>19829</v>
      </c>
    </row>
    <row r="157">
      <c r="A157" s="2" t="s">
        <v>19830</v>
      </c>
      <c r="B157" s="2" t="s">
        <v>19831</v>
      </c>
      <c r="C157" s="11" t="s">
        <v>19832</v>
      </c>
      <c r="D157" s="2" t="s">
        <v>19833</v>
      </c>
      <c r="E157" s="2" t="s">
        <v>19834</v>
      </c>
    </row>
    <row r="158">
      <c r="A158" s="2" t="s">
        <v>17581</v>
      </c>
      <c r="B158" s="2" t="s">
        <v>19835</v>
      </c>
      <c r="C158" s="11" t="s">
        <v>19836</v>
      </c>
      <c r="D158" s="2" t="s">
        <v>19837</v>
      </c>
      <c r="E158" s="2" t="s">
        <v>19838</v>
      </c>
    </row>
    <row r="159">
      <c r="A159" s="2" t="s">
        <v>19839</v>
      </c>
      <c r="B159" s="2" t="s">
        <v>19840</v>
      </c>
      <c r="C159" s="11" t="s">
        <v>19841</v>
      </c>
      <c r="D159" s="2" t="s">
        <v>19842</v>
      </c>
      <c r="E159" s="2" t="s">
        <v>19843</v>
      </c>
    </row>
    <row r="160">
      <c r="A160" s="2" t="s">
        <v>19844</v>
      </c>
      <c r="B160" s="2" t="s">
        <v>19845</v>
      </c>
      <c r="C160" s="11" t="s">
        <v>19846</v>
      </c>
      <c r="D160" s="2" t="s">
        <v>19847</v>
      </c>
      <c r="E160" s="2" t="s">
        <v>19848</v>
      </c>
    </row>
    <row r="161">
      <c r="A161" s="2" t="s">
        <v>19849</v>
      </c>
      <c r="B161" s="2" t="s">
        <v>19850</v>
      </c>
      <c r="C161" s="11" t="s">
        <v>19851</v>
      </c>
      <c r="D161" s="2" t="s">
        <v>19852</v>
      </c>
      <c r="E161" s="2" t="s">
        <v>19853</v>
      </c>
    </row>
    <row r="162">
      <c r="A162" s="2" t="s">
        <v>19854</v>
      </c>
      <c r="B162" s="2" t="s">
        <v>19855</v>
      </c>
      <c r="C162" s="11" t="s">
        <v>19856</v>
      </c>
      <c r="D162" s="2" t="s">
        <v>19857</v>
      </c>
      <c r="E162" s="2" t="s">
        <v>19858</v>
      </c>
    </row>
    <row r="163">
      <c r="A163" s="2" t="s">
        <v>18512</v>
      </c>
      <c r="B163" s="2" t="s">
        <v>19859</v>
      </c>
      <c r="C163" s="11" t="s">
        <v>19860</v>
      </c>
      <c r="D163" s="2" t="s">
        <v>19861</v>
      </c>
      <c r="E163" s="2" t="s">
        <v>19862</v>
      </c>
    </row>
    <row r="164">
      <c r="A164" s="2" t="s">
        <v>19863</v>
      </c>
      <c r="B164" s="2" t="s">
        <v>19864</v>
      </c>
      <c r="C164" s="11" t="s">
        <v>19865</v>
      </c>
      <c r="D164" s="2" t="s">
        <v>19866</v>
      </c>
      <c r="E164" s="2" t="s">
        <v>19867</v>
      </c>
    </row>
    <row r="165">
      <c r="A165" s="2" t="s">
        <v>19868</v>
      </c>
      <c r="B165" s="2" t="s">
        <v>19869</v>
      </c>
      <c r="C165" s="11" t="s">
        <v>19870</v>
      </c>
      <c r="D165" s="2" t="s">
        <v>19871</v>
      </c>
      <c r="E165" s="2" t="s">
        <v>19872</v>
      </c>
    </row>
    <row r="166">
      <c r="A166" s="2" t="s">
        <v>19873</v>
      </c>
      <c r="B166" s="2" t="s">
        <v>19874</v>
      </c>
      <c r="C166" s="11" t="s">
        <v>19875</v>
      </c>
      <c r="D166" s="2" t="s">
        <v>19876</v>
      </c>
      <c r="E166" s="2" t="s">
        <v>19877</v>
      </c>
    </row>
    <row r="167">
      <c r="A167" s="2" t="s">
        <v>19878</v>
      </c>
      <c r="B167" s="2" t="s">
        <v>19879</v>
      </c>
      <c r="C167" s="11" t="s">
        <v>19880</v>
      </c>
      <c r="D167" s="2" t="s">
        <v>19881</v>
      </c>
      <c r="E167" s="2" t="s">
        <v>19882</v>
      </c>
    </row>
    <row r="168">
      <c r="A168" s="2" t="s">
        <v>19883</v>
      </c>
      <c r="B168" s="2" t="s">
        <v>19884</v>
      </c>
      <c r="C168" s="11" t="s">
        <v>19885</v>
      </c>
      <c r="D168" s="2" t="s">
        <v>19886</v>
      </c>
      <c r="E168" s="2" t="s">
        <v>19887</v>
      </c>
    </row>
    <row r="169">
      <c r="A169" s="2" t="s">
        <v>19888</v>
      </c>
      <c r="B169" s="2" t="s">
        <v>19889</v>
      </c>
      <c r="C169" s="11" t="s">
        <v>19890</v>
      </c>
      <c r="D169" s="2" t="s">
        <v>19891</v>
      </c>
      <c r="E169" s="2" t="s">
        <v>19892</v>
      </c>
    </row>
    <row r="170">
      <c r="A170" s="2" t="s">
        <v>19893</v>
      </c>
      <c r="B170" s="2" t="s">
        <v>19894</v>
      </c>
      <c r="C170" s="11" t="s">
        <v>19895</v>
      </c>
      <c r="D170" s="2" t="s">
        <v>19896</v>
      </c>
      <c r="E170" s="2" t="s">
        <v>19897</v>
      </c>
    </row>
    <row r="171">
      <c r="A171" s="2" t="s">
        <v>19898</v>
      </c>
      <c r="B171" s="2" t="s">
        <v>19899</v>
      </c>
      <c r="C171" s="11" t="s">
        <v>19900</v>
      </c>
      <c r="D171" s="2" t="s">
        <v>19901</v>
      </c>
      <c r="E171" s="2" t="s">
        <v>19902</v>
      </c>
    </row>
    <row r="172">
      <c r="A172" s="2" t="s">
        <v>18520</v>
      </c>
      <c r="B172" s="2" t="s">
        <v>19903</v>
      </c>
      <c r="C172" s="11" t="s">
        <v>19904</v>
      </c>
      <c r="D172" s="2" t="s">
        <v>19905</v>
      </c>
      <c r="E172" s="2" t="s">
        <v>19906</v>
      </c>
    </row>
    <row r="173">
      <c r="A173" s="2" t="s">
        <v>19907</v>
      </c>
      <c r="B173" s="2" t="s">
        <v>19908</v>
      </c>
      <c r="C173" s="11" t="s">
        <v>19909</v>
      </c>
      <c r="D173" s="2" t="s">
        <v>19910</v>
      </c>
      <c r="E173" s="2" t="s">
        <v>19911</v>
      </c>
    </row>
    <row r="174">
      <c r="A174" s="2" t="s">
        <v>19912</v>
      </c>
      <c r="B174" s="2" t="s">
        <v>19913</v>
      </c>
      <c r="C174" s="11" t="s">
        <v>19914</v>
      </c>
      <c r="D174" s="2" t="s">
        <v>19915</v>
      </c>
      <c r="E174" s="2" t="s">
        <v>19916</v>
      </c>
    </row>
    <row r="175">
      <c r="A175" s="2" t="s">
        <v>19917</v>
      </c>
      <c r="B175" s="2" t="s">
        <v>19918</v>
      </c>
      <c r="C175" s="11" t="s">
        <v>19919</v>
      </c>
      <c r="D175" s="2" t="s">
        <v>19920</v>
      </c>
      <c r="E175" s="2" t="s">
        <v>19921</v>
      </c>
    </row>
    <row r="176">
      <c r="A176" s="2" t="s">
        <v>18602</v>
      </c>
      <c r="B176" s="2" t="s">
        <v>19922</v>
      </c>
      <c r="C176" s="11" t="s">
        <v>19923</v>
      </c>
      <c r="D176" s="2" t="s">
        <v>19924</v>
      </c>
      <c r="E176" s="2" t="s">
        <v>19925</v>
      </c>
    </row>
    <row r="177">
      <c r="A177" s="2" t="s">
        <v>19926</v>
      </c>
      <c r="B177" s="2" t="s">
        <v>19927</v>
      </c>
      <c r="C177" s="11" t="s">
        <v>19928</v>
      </c>
      <c r="D177" s="2" t="s">
        <v>19929</v>
      </c>
      <c r="E177" s="2" t="s">
        <v>19930</v>
      </c>
    </row>
    <row r="178">
      <c r="A178" s="2" t="s">
        <v>19931</v>
      </c>
      <c r="B178" s="2" t="s">
        <v>19932</v>
      </c>
      <c r="C178" s="11" t="s">
        <v>19933</v>
      </c>
      <c r="D178" s="2" t="s">
        <v>19934</v>
      </c>
      <c r="E178" s="2" t="s">
        <v>19935</v>
      </c>
    </row>
    <row r="179">
      <c r="A179" s="2" t="s">
        <v>19936</v>
      </c>
      <c r="B179" s="2" t="s">
        <v>19937</v>
      </c>
      <c r="C179" s="11" t="s">
        <v>19938</v>
      </c>
      <c r="D179" s="2" t="s">
        <v>19939</v>
      </c>
      <c r="E179" s="2" t="s">
        <v>19940</v>
      </c>
    </row>
    <row r="180">
      <c r="A180" s="2" t="s">
        <v>19941</v>
      </c>
      <c r="B180" s="2" t="s">
        <v>5260</v>
      </c>
      <c r="C180" s="11" t="s">
        <v>19942</v>
      </c>
      <c r="D180" s="2" t="s">
        <v>19943</v>
      </c>
      <c r="E180" s="2" t="s">
        <v>19944</v>
      </c>
    </row>
    <row r="181">
      <c r="A181" s="2" t="s">
        <v>19945</v>
      </c>
      <c r="B181" s="2" t="s">
        <v>19946</v>
      </c>
      <c r="C181" s="11" t="s">
        <v>19947</v>
      </c>
      <c r="D181" s="2" t="s">
        <v>19948</v>
      </c>
      <c r="E181" s="2" t="s">
        <v>19949</v>
      </c>
    </row>
    <row r="182">
      <c r="A182" s="2" t="s">
        <v>19950</v>
      </c>
      <c r="B182" s="2" t="s">
        <v>19951</v>
      </c>
      <c r="C182" s="11" t="s">
        <v>19952</v>
      </c>
      <c r="D182" s="2" t="s">
        <v>19953</v>
      </c>
      <c r="E182" s="2" t="s">
        <v>19954</v>
      </c>
    </row>
    <row r="183">
      <c r="A183" s="2" t="s">
        <v>19955</v>
      </c>
      <c r="B183" s="2" t="s">
        <v>19956</v>
      </c>
      <c r="C183" s="11" t="s">
        <v>19957</v>
      </c>
      <c r="D183" s="2" t="s">
        <v>19958</v>
      </c>
      <c r="E183" s="2" t="s">
        <v>19959</v>
      </c>
    </row>
    <row r="184">
      <c r="A184" s="2" t="s">
        <v>19960</v>
      </c>
      <c r="B184" s="2" t="s">
        <v>19961</v>
      </c>
      <c r="C184" s="11" t="s">
        <v>19962</v>
      </c>
      <c r="D184" s="2" t="s">
        <v>19963</v>
      </c>
      <c r="E184" s="2" t="s">
        <v>19964</v>
      </c>
    </row>
    <row r="185">
      <c r="A185" s="2" t="s">
        <v>19965</v>
      </c>
      <c r="B185" s="2" t="s">
        <v>19966</v>
      </c>
      <c r="C185" s="11" t="s">
        <v>19967</v>
      </c>
      <c r="D185" s="2" t="s">
        <v>19968</v>
      </c>
      <c r="E185" s="2" t="s">
        <v>19969</v>
      </c>
    </row>
    <row r="186">
      <c r="A186" s="2" t="s">
        <v>19970</v>
      </c>
      <c r="B186" s="2" t="s">
        <v>19971</v>
      </c>
      <c r="C186" s="11" t="s">
        <v>19972</v>
      </c>
      <c r="D186" s="2" t="s">
        <v>19973</v>
      </c>
      <c r="E186" s="2" t="s">
        <v>19974</v>
      </c>
    </row>
    <row r="187">
      <c r="A187" s="2" t="s">
        <v>19975</v>
      </c>
      <c r="B187" s="2" t="s">
        <v>19976</v>
      </c>
      <c r="C187" s="11" t="s">
        <v>19977</v>
      </c>
      <c r="D187" s="2" t="s">
        <v>19978</v>
      </c>
      <c r="E187" s="2" t="s">
        <v>19979</v>
      </c>
    </row>
    <row r="188">
      <c r="A188" s="2" t="s">
        <v>18635</v>
      </c>
      <c r="B188" s="2" t="s">
        <v>19980</v>
      </c>
      <c r="C188" s="11" t="s">
        <v>19981</v>
      </c>
      <c r="D188" s="2" t="s">
        <v>19982</v>
      </c>
      <c r="E188" s="2" t="s">
        <v>19983</v>
      </c>
    </row>
    <row r="189">
      <c r="A189" s="2" t="s">
        <v>19984</v>
      </c>
      <c r="B189" s="2" t="s">
        <v>19985</v>
      </c>
      <c r="C189" s="11" t="s">
        <v>19986</v>
      </c>
      <c r="D189" s="2" t="s">
        <v>19987</v>
      </c>
      <c r="E189" s="2" t="s">
        <v>19988</v>
      </c>
    </row>
    <row r="190">
      <c r="A190" s="2" t="s">
        <v>19989</v>
      </c>
      <c r="B190" s="2" t="s">
        <v>19990</v>
      </c>
      <c r="C190" s="11" t="s">
        <v>19991</v>
      </c>
      <c r="D190" s="2" t="s">
        <v>19992</v>
      </c>
      <c r="E190" s="2" t="s">
        <v>19993</v>
      </c>
    </row>
    <row r="191">
      <c r="A191" s="2" t="s">
        <v>18272</v>
      </c>
      <c r="B191" s="2" t="s">
        <v>19994</v>
      </c>
      <c r="C191" s="11" t="s">
        <v>19995</v>
      </c>
      <c r="D191" s="2" t="s">
        <v>19996</v>
      </c>
      <c r="E191" s="2" t="s">
        <v>19997</v>
      </c>
    </row>
    <row r="192">
      <c r="A192" s="2" t="s">
        <v>19998</v>
      </c>
      <c r="B192" s="2" t="s">
        <v>19999</v>
      </c>
      <c r="C192" s="11" t="s">
        <v>20000</v>
      </c>
      <c r="D192" s="2" t="s">
        <v>20001</v>
      </c>
      <c r="E192" s="2" t="s">
        <v>20002</v>
      </c>
    </row>
    <row r="193">
      <c r="A193" s="2" t="s">
        <v>20003</v>
      </c>
      <c r="B193" s="2" t="s">
        <v>20004</v>
      </c>
      <c r="C193" s="11" t="s">
        <v>20005</v>
      </c>
      <c r="D193" s="2" t="s">
        <v>20006</v>
      </c>
      <c r="E193" s="2" t="s">
        <v>20007</v>
      </c>
    </row>
    <row r="194">
      <c r="A194" s="2" t="s">
        <v>20008</v>
      </c>
      <c r="B194" s="2" t="s">
        <v>20009</v>
      </c>
      <c r="C194" s="11" t="s">
        <v>20010</v>
      </c>
      <c r="D194" s="2" t="s">
        <v>20011</v>
      </c>
      <c r="E194" s="2" t="s">
        <v>20012</v>
      </c>
    </row>
    <row r="195">
      <c r="A195" s="2" t="s">
        <v>20013</v>
      </c>
      <c r="B195" s="2" t="s">
        <v>20014</v>
      </c>
      <c r="C195" s="11" t="s">
        <v>20015</v>
      </c>
      <c r="D195" s="2" t="s">
        <v>20016</v>
      </c>
      <c r="E195" s="2" t="s">
        <v>20017</v>
      </c>
    </row>
    <row r="196">
      <c r="A196" s="2" t="s">
        <v>20018</v>
      </c>
      <c r="B196" s="2" t="s">
        <v>20019</v>
      </c>
      <c r="C196" s="11" t="s">
        <v>20020</v>
      </c>
      <c r="D196" s="2" t="s">
        <v>20021</v>
      </c>
      <c r="E196" s="2" t="s">
        <v>20022</v>
      </c>
    </row>
    <row r="197">
      <c r="A197" s="2" t="s">
        <v>20023</v>
      </c>
      <c r="B197" s="2" t="s">
        <v>20024</v>
      </c>
      <c r="C197" s="11" t="s">
        <v>20025</v>
      </c>
      <c r="D197" s="2" t="s">
        <v>20026</v>
      </c>
      <c r="E197" s="2" t="s">
        <v>20027</v>
      </c>
    </row>
    <row r="198">
      <c r="A198" s="2" t="s">
        <v>20028</v>
      </c>
      <c r="B198" s="2" t="s">
        <v>20029</v>
      </c>
      <c r="C198" s="11" t="s">
        <v>20030</v>
      </c>
      <c r="D198" s="2" t="s">
        <v>20031</v>
      </c>
      <c r="E198" s="2" t="s">
        <v>20032</v>
      </c>
    </row>
    <row r="199">
      <c r="A199" s="2" t="s">
        <v>20033</v>
      </c>
      <c r="B199" s="2" t="s">
        <v>20034</v>
      </c>
      <c r="C199" s="11" t="s">
        <v>20035</v>
      </c>
      <c r="D199" s="2" t="s">
        <v>20036</v>
      </c>
      <c r="E199" s="2" t="s">
        <v>20037</v>
      </c>
    </row>
    <row r="200">
      <c r="A200" s="2" t="s">
        <v>20038</v>
      </c>
      <c r="B200" s="2" t="s">
        <v>20039</v>
      </c>
      <c r="C200" s="11" t="s">
        <v>20040</v>
      </c>
      <c r="D200" s="2" t="s">
        <v>20041</v>
      </c>
      <c r="E200" s="2" t="s">
        <v>20042</v>
      </c>
    </row>
    <row r="201">
      <c r="A201" s="2" t="s">
        <v>20043</v>
      </c>
      <c r="B201" s="2" t="s">
        <v>20044</v>
      </c>
      <c r="C201" s="11" t="s">
        <v>20045</v>
      </c>
      <c r="D201" s="2" t="s">
        <v>20046</v>
      </c>
      <c r="E201" s="2" t="s">
        <v>20047</v>
      </c>
    </row>
    <row r="202">
      <c r="A202" s="2" t="s">
        <v>20048</v>
      </c>
      <c r="B202" s="2" t="s">
        <v>20049</v>
      </c>
      <c r="C202" s="11" t="s">
        <v>20050</v>
      </c>
      <c r="D202" s="2" t="s">
        <v>20051</v>
      </c>
      <c r="E202" s="2" t="s">
        <v>20052</v>
      </c>
    </row>
    <row r="203">
      <c r="A203" s="2" t="s">
        <v>20053</v>
      </c>
      <c r="B203" s="2" t="s">
        <v>20054</v>
      </c>
      <c r="C203" s="11" t="s">
        <v>20055</v>
      </c>
      <c r="D203" s="2" t="s">
        <v>20056</v>
      </c>
      <c r="E203" s="2" t="s">
        <v>20057</v>
      </c>
    </row>
    <row r="204">
      <c r="A204" s="2" t="s">
        <v>20058</v>
      </c>
      <c r="B204" s="2" t="s">
        <v>20059</v>
      </c>
      <c r="C204" s="11" t="s">
        <v>20060</v>
      </c>
      <c r="D204" s="2" t="s">
        <v>20061</v>
      </c>
      <c r="E204" s="2" t="s">
        <v>20062</v>
      </c>
    </row>
    <row r="205">
      <c r="A205" s="2" t="s">
        <v>20063</v>
      </c>
      <c r="B205" s="2" t="s">
        <v>20064</v>
      </c>
      <c r="C205" s="11" t="s">
        <v>20065</v>
      </c>
      <c r="D205" s="2" t="s">
        <v>20066</v>
      </c>
      <c r="E205" s="2" t="s">
        <v>20067</v>
      </c>
    </row>
    <row r="206">
      <c r="A206" s="2" t="s">
        <v>20068</v>
      </c>
      <c r="B206" s="2" t="s">
        <v>20069</v>
      </c>
      <c r="C206" s="11" t="s">
        <v>20070</v>
      </c>
      <c r="D206" s="2" t="s">
        <v>20071</v>
      </c>
      <c r="E206" s="2" t="s">
        <v>20072</v>
      </c>
    </row>
    <row r="207">
      <c r="A207" s="2" t="s">
        <v>20073</v>
      </c>
      <c r="B207" s="2" t="s">
        <v>20074</v>
      </c>
      <c r="C207" s="11" t="s">
        <v>20075</v>
      </c>
      <c r="D207" s="2" t="s">
        <v>20076</v>
      </c>
      <c r="E207" s="2" t="s">
        <v>20077</v>
      </c>
    </row>
    <row r="208">
      <c r="A208" s="2" t="s">
        <v>20078</v>
      </c>
      <c r="B208" s="2" t="s">
        <v>20079</v>
      </c>
      <c r="C208" s="11" t="s">
        <v>20080</v>
      </c>
      <c r="D208" s="2" t="s">
        <v>20081</v>
      </c>
      <c r="E208" s="2" t="s">
        <v>20082</v>
      </c>
    </row>
    <row r="209">
      <c r="A209" s="2" t="s">
        <v>20083</v>
      </c>
      <c r="B209" s="2" t="s">
        <v>20084</v>
      </c>
      <c r="C209" s="11" t="s">
        <v>20085</v>
      </c>
      <c r="D209" s="2" t="s">
        <v>20086</v>
      </c>
      <c r="E209" s="2" t="s">
        <v>20087</v>
      </c>
    </row>
    <row r="210">
      <c r="A210" s="2" t="s">
        <v>20088</v>
      </c>
      <c r="B210" s="2" t="s">
        <v>20089</v>
      </c>
      <c r="C210" s="11" t="s">
        <v>20090</v>
      </c>
      <c r="D210" s="2" t="s">
        <v>20091</v>
      </c>
      <c r="E210" s="2" t="s">
        <v>20092</v>
      </c>
    </row>
    <row r="211">
      <c r="A211" s="2" t="s">
        <v>20093</v>
      </c>
      <c r="B211" s="2" t="s">
        <v>20094</v>
      </c>
      <c r="C211" s="11" t="s">
        <v>20095</v>
      </c>
      <c r="D211" s="2" t="s">
        <v>20096</v>
      </c>
      <c r="E211" s="2" t="s">
        <v>20097</v>
      </c>
    </row>
    <row r="212">
      <c r="A212" s="2" t="s">
        <v>18060</v>
      </c>
      <c r="B212" s="2" t="s">
        <v>20098</v>
      </c>
      <c r="C212" s="11" t="s">
        <v>20099</v>
      </c>
      <c r="D212" s="2" t="s">
        <v>20100</v>
      </c>
      <c r="E212" s="2" t="s">
        <v>20101</v>
      </c>
    </row>
    <row r="213">
      <c r="A213" s="2" t="s">
        <v>20102</v>
      </c>
      <c r="B213" s="2" t="s">
        <v>20103</v>
      </c>
      <c r="C213" s="11" t="s">
        <v>20104</v>
      </c>
      <c r="D213" s="2" t="s">
        <v>20105</v>
      </c>
      <c r="E213" s="2" t="s">
        <v>20106</v>
      </c>
    </row>
    <row r="214">
      <c r="A214" s="2" t="s">
        <v>20107</v>
      </c>
      <c r="B214" s="2" t="s">
        <v>20108</v>
      </c>
      <c r="C214" s="11" t="s">
        <v>20109</v>
      </c>
      <c r="D214" s="2" t="s">
        <v>20110</v>
      </c>
      <c r="E214" s="2" t="s">
        <v>20111</v>
      </c>
    </row>
    <row r="215">
      <c r="A215" s="2" t="s">
        <v>20112</v>
      </c>
      <c r="B215" s="2" t="s">
        <v>20113</v>
      </c>
      <c r="C215" s="11" t="s">
        <v>20114</v>
      </c>
      <c r="D215" s="2" t="s">
        <v>20115</v>
      </c>
      <c r="E215" s="2" t="s">
        <v>20116</v>
      </c>
    </row>
    <row r="216">
      <c r="A216" s="2" t="s">
        <v>20117</v>
      </c>
      <c r="B216" s="2" t="s">
        <v>20118</v>
      </c>
      <c r="C216" s="11" t="s">
        <v>20119</v>
      </c>
      <c r="D216" s="2" t="s">
        <v>20120</v>
      </c>
      <c r="E216" s="2" t="s">
        <v>20121</v>
      </c>
    </row>
    <row r="217">
      <c r="A217" s="2" t="s">
        <v>20122</v>
      </c>
      <c r="B217" s="2" t="s">
        <v>20123</v>
      </c>
      <c r="C217" s="11" t="s">
        <v>20124</v>
      </c>
      <c r="D217" s="2" t="s">
        <v>20125</v>
      </c>
      <c r="E217" s="2" t="s">
        <v>20126</v>
      </c>
    </row>
    <row r="218">
      <c r="A218" s="2" t="s">
        <v>20127</v>
      </c>
      <c r="B218" s="2" t="s">
        <v>20128</v>
      </c>
      <c r="C218" s="11" t="s">
        <v>20129</v>
      </c>
      <c r="D218" s="2" t="s">
        <v>20130</v>
      </c>
      <c r="E218" s="2" t="s">
        <v>20131</v>
      </c>
    </row>
    <row r="219">
      <c r="A219" s="2" t="s">
        <v>20132</v>
      </c>
      <c r="B219" s="2" t="s">
        <v>20133</v>
      </c>
      <c r="C219" s="11" t="s">
        <v>20134</v>
      </c>
      <c r="D219" s="2" t="s">
        <v>20135</v>
      </c>
      <c r="E219" s="2" t="s">
        <v>20136</v>
      </c>
    </row>
    <row r="220">
      <c r="A220" s="2" t="s">
        <v>20137</v>
      </c>
      <c r="B220" s="2" t="s">
        <v>20138</v>
      </c>
      <c r="C220" s="11" t="s">
        <v>20139</v>
      </c>
      <c r="D220" s="2" t="s">
        <v>20140</v>
      </c>
      <c r="E220" s="2" t="s">
        <v>20141</v>
      </c>
    </row>
    <row r="221">
      <c r="A221" s="2" t="s">
        <v>20142</v>
      </c>
      <c r="B221" s="2" t="s">
        <v>20143</v>
      </c>
      <c r="C221" s="11" t="s">
        <v>20144</v>
      </c>
      <c r="D221" s="2" t="s">
        <v>20145</v>
      </c>
      <c r="E221" s="2" t="s">
        <v>20146</v>
      </c>
    </row>
    <row r="222">
      <c r="A222" s="2" t="s">
        <v>20147</v>
      </c>
      <c r="B222" s="2" t="s">
        <v>20148</v>
      </c>
      <c r="C222" s="11" t="s">
        <v>20149</v>
      </c>
      <c r="D222" s="2" t="s">
        <v>20150</v>
      </c>
      <c r="E222" s="2" t="s">
        <v>20151</v>
      </c>
    </row>
    <row r="223">
      <c r="A223" s="2" t="s">
        <v>20152</v>
      </c>
      <c r="B223" s="2" t="s">
        <v>20153</v>
      </c>
      <c r="C223" s="11" t="s">
        <v>20154</v>
      </c>
      <c r="D223" s="2" t="s">
        <v>20155</v>
      </c>
      <c r="E223" s="2" t="s">
        <v>20156</v>
      </c>
    </row>
    <row r="224">
      <c r="A224" s="2" t="s">
        <v>20157</v>
      </c>
      <c r="B224" s="2" t="s">
        <v>20158</v>
      </c>
      <c r="C224" s="11" t="s">
        <v>20159</v>
      </c>
      <c r="D224" s="2" t="s">
        <v>20160</v>
      </c>
      <c r="E224" s="2" t="s">
        <v>20161</v>
      </c>
    </row>
    <row r="225">
      <c r="A225" s="2" t="s">
        <v>20162</v>
      </c>
      <c r="B225" s="2" t="s">
        <v>20163</v>
      </c>
      <c r="C225" s="11" t="s">
        <v>20164</v>
      </c>
      <c r="D225" s="2" t="s">
        <v>20165</v>
      </c>
      <c r="E225" s="2" t="s">
        <v>20166</v>
      </c>
    </row>
    <row r="226">
      <c r="A226" s="2" t="s">
        <v>18607</v>
      </c>
      <c r="B226" s="2" t="s">
        <v>20167</v>
      </c>
      <c r="C226" s="11" t="s">
        <v>20168</v>
      </c>
      <c r="D226" s="2" t="s">
        <v>20169</v>
      </c>
      <c r="E226" s="2" t="s">
        <v>20170</v>
      </c>
    </row>
    <row r="227">
      <c r="A227" s="2" t="s">
        <v>18025</v>
      </c>
      <c r="B227" s="2" t="s">
        <v>20171</v>
      </c>
      <c r="C227" s="11" t="s">
        <v>20172</v>
      </c>
      <c r="D227" s="2" t="s">
        <v>20173</v>
      </c>
      <c r="E227" s="2" t="s">
        <v>20174</v>
      </c>
    </row>
    <row r="228">
      <c r="A228" s="2" t="s">
        <v>18088</v>
      </c>
      <c r="B228" s="2" t="s">
        <v>20175</v>
      </c>
      <c r="C228" s="11" t="s">
        <v>20176</v>
      </c>
      <c r="D228" s="2" t="s">
        <v>20177</v>
      </c>
      <c r="E228" s="2" t="s">
        <v>20178</v>
      </c>
    </row>
    <row r="229">
      <c r="A229" s="2" t="s">
        <v>20179</v>
      </c>
      <c r="B229" s="2" t="s">
        <v>20180</v>
      </c>
      <c r="C229" s="11" t="s">
        <v>20181</v>
      </c>
      <c r="D229" s="2" t="s">
        <v>20182</v>
      </c>
      <c r="E229" s="2" t="s">
        <v>20183</v>
      </c>
    </row>
    <row r="230">
      <c r="A230" s="2" t="s">
        <v>20184</v>
      </c>
      <c r="B230" s="2" t="s">
        <v>20185</v>
      </c>
      <c r="C230" s="11" t="s">
        <v>20186</v>
      </c>
      <c r="D230" s="2" t="s">
        <v>20187</v>
      </c>
      <c r="E230" s="2" t="s">
        <v>20188</v>
      </c>
    </row>
    <row r="231">
      <c r="A231" s="2" t="s">
        <v>20189</v>
      </c>
      <c r="B231" s="2" t="s">
        <v>20190</v>
      </c>
      <c r="C231" s="11" t="s">
        <v>20191</v>
      </c>
      <c r="D231" s="2" t="s">
        <v>20192</v>
      </c>
      <c r="E231" s="2" t="s">
        <v>20193</v>
      </c>
    </row>
    <row r="232">
      <c r="A232" s="2" t="s">
        <v>20194</v>
      </c>
      <c r="B232" s="2" t="s">
        <v>20195</v>
      </c>
      <c r="C232" s="11" t="s">
        <v>20196</v>
      </c>
      <c r="D232" s="2" t="s">
        <v>20197</v>
      </c>
      <c r="E232" s="2" t="s">
        <v>20198</v>
      </c>
    </row>
    <row r="233">
      <c r="A233" s="2" t="s">
        <v>20199</v>
      </c>
      <c r="B233" s="2" t="s">
        <v>20200</v>
      </c>
      <c r="C233" s="11" t="s">
        <v>20201</v>
      </c>
      <c r="D233" s="2" t="s">
        <v>20202</v>
      </c>
      <c r="E233" s="2" t="s">
        <v>20203</v>
      </c>
    </row>
    <row r="234">
      <c r="A234" s="2" t="s">
        <v>20204</v>
      </c>
      <c r="B234" s="2" t="s">
        <v>20205</v>
      </c>
      <c r="C234" s="11" t="s">
        <v>20206</v>
      </c>
      <c r="D234" s="2" t="s">
        <v>20207</v>
      </c>
      <c r="E234" s="2" t="s">
        <v>20208</v>
      </c>
    </row>
    <row r="235">
      <c r="A235" s="2" t="s">
        <v>20209</v>
      </c>
      <c r="B235" s="2" t="s">
        <v>20210</v>
      </c>
      <c r="C235" s="11" t="s">
        <v>20211</v>
      </c>
      <c r="D235" s="2" t="s">
        <v>20212</v>
      </c>
      <c r="E235" s="2" t="s">
        <v>20213</v>
      </c>
    </row>
    <row r="236">
      <c r="A236" s="2" t="s">
        <v>16351</v>
      </c>
      <c r="B236" s="2" t="s">
        <v>20214</v>
      </c>
      <c r="C236" s="11" t="s">
        <v>20215</v>
      </c>
      <c r="D236" s="2" t="s">
        <v>20216</v>
      </c>
      <c r="E236" s="2" t="s">
        <v>20217</v>
      </c>
    </row>
    <row r="237">
      <c r="A237" s="2" t="s">
        <v>20218</v>
      </c>
      <c r="B237" s="2" t="s">
        <v>20219</v>
      </c>
      <c r="C237" s="11" t="s">
        <v>20220</v>
      </c>
      <c r="D237" s="2" t="s">
        <v>20221</v>
      </c>
      <c r="E237" s="2" t="s">
        <v>20222</v>
      </c>
    </row>
    <row r="238">
      <c r="A238" s="2" t="s">
        <v>20223</v>
      </c>
      <c r="B238" s="2" t="s">
        <v>20224</v>
      </c>
      <c r="C238" s="11" t="s">
        <v>20225</v>
      </c>
      <c r="D238" s="2" t="s">
        <v>20226</v>
      </c>
      <c r="E238" s="2" t="s">
        <v>20227</v>
      </c>
    </row>
    <row r="239">
      <c r="A239" s="2" t="s">
        <v>20228</v>
      </c>
      <c r="B239" s="2" t="s">
        <v>20229</v>
      </c>
      <c r="C239" s="11" t="s">
        <v>20230</v>
      </c>
      <c r="D239" s="2" t="s">
        <v>20231</v>
      </c>
      <c r="E239" s="2" t="s">
        <v>20232</v>
      </c>
    </row>
    <row r="240">
      <c r="A240" s="2" t="s">
        <v>20233</v>
      </c>
      <c r="B240" s="2" t="s">
        <v>20234</v>
      </c>
      <c r="C240" s="11" t="s">
        <v>20235</v>
      </c>
      <c r="D240" s="2" t="s">
        <v>20236</v>
      </c>
      <c r="E240" s="2" t="s">
        <v>20237</v>
      </c>
    </row>
    <row r="241">
      <c r="A241" s="2" t="s">
        <v>20238</v>
      </c>
      <c r="B241" s="2" t="s">
        <v>20239</v>
      </c>
      <c r="C241" s="11" t="s">
        <v>20240</v>
      </c>
      <c r="D241" s="2" t="s">
        <v>20241</v>
      </c>
      <c r="E241" s="2" t="s">
        <v>20242</v>
      </c>
    </row>
    <row r="242">
      <c r="A242" s="2" t="s">
        <v>20243</v>
      </c>
      <c r="B242" s="2" t="s">
        <v>20244</v>
      </c>
      <c r="C242" s="11" t="s">
        <v>20245</v>
      </c>
      <c r="D242" s="2" t="s">
        <v>20246</v>
      </c>
      <c r="E242" s="2" t="s">
        <v>20247</v>
      </c>
    </row>
    <row r="243">
      <c r="A243" s="2" t="s">
        <v>20248</v>
      </c>
      <c r="B243" s="2" t="s">
        <v>20249</v>
      </c>
      <c r="C243" s="11" t="s">
        <v>20250</v>
      </c>
      <c r="D243" s="2" t="s">
        <v>20251</v>
      </c>
      <c r="E243" s="2" t="s">
        <v>20252</v>
      </c>
    </row>
    <row r="244">
      <c r="A244" s="2" t="s">
        <v>20253</v>
      </c>
      <c r="B244" s="2" t="s">
        <v>20254</v>
      </c>
      <c r="C244" s="11" t="s">
        <v>20255</v>
      </c>
      <c r="D244" s="2" t="s">
        <v>20256</v>
      </c>
      <c r="E244" s="2" t="s">
        <v>20257</v>
      </c>
    </row>
    <row r="245">
      <c r="A245" s="2" t="s">
        <v>20258</v>
      </c>
      <c r="B245" s="2" t="s">
        <v>20259</v>
      </c>
      <c r="C245" s="11" t="s">
        <v>20260</v>
      </c>
      <c r="D245" s="2" t="s">
        <v>20261</v>
      </c>
      <c r="E245" s="2" t="s">
        <v>20262</v>
      </c>
    </row>
    <row r="246">
      <c r="A246" s="2" t="s">
        <v>20263</v>
      </c>
      <c r="B246" s="2" t="s">
        <v>20264</v>
      </c>
      <c r="C246" s="11" t="s">
        <v>20265</v>
      </c>
      <c r="D246" s="2" t="s">
        <v>20266</v>
      </c>
      <c r="E246" s="2" t="s">
        <v>20267</v>
      </c>
    </row>
    <row r="247">
      <c r="A247" s="2" t="s">
        <v>20268</v>
      </c>
      <c r="B247" s="2" t="s">
        <v>20269</v>
      </c>
      <c r="C247" s="11" t="s">
        <v>20270</v>
      </c>
      <c r="D247" s="2" t="s">
        <v>20271</v>
      </c>
      <c r="E247" s="2" t="s">
        <v>20272</v>
      </c>
    </row>
    <row r="248">
      <c r="A248" s="2" t="s">
        <v>20273</v>
      </c>
      <c r="B248" s="2" t="s">
        <v>20274</v>
      </c>
      <c r="C248" s="11" t="s">
        <v>20275</v>
      </c>
      <c r="D248" s="2" t="s">
        <v>20276</v>
      </c>
      <c r="E248" s="2" t="s">
        <v>20277</v>
      </c>
    </row>
    <row r="249">
      <c r="A249" s="2" t="s">
        <v>20278</v>
      </c>
      <c r="B249" s="2" t="s">
        <v>20279</v>
      </c>
      <c r="C249" s="11" t="s">
        <v>20280</v>
      </c>
      <c r="D249" s="2" t="s">
        <v>20281</v>
      </c>
      <c r="E249" s="2" t="s">
        <v>20282</v>
      </c>
    </row>
    <row r="250">
      <c r="A250" s="2" t="s">
        <v>20283</v>
      </c>
      <c r="B250" s="2" t="s">
        <v>20284</v>
      </c>
      <c r="C250" s="11" t="s">
        <v>20285</v>
      </c>
      <c r="D250" s="2" t="s">
        <v>20286</v>
      </c>
      <c r="E250" s="2" t="s">
        <v>20287</v>
      </c>
    </row>
    <row r="251">
      <c r="A251" s="2" t="s">
        <v>20288</v>
      </c>
      <c r="B251" s="2" t="s">
        <v>20289</v>
      </c>
      <c r="C251" s="11" t="s">
        <v>20290</v>
      </c>
      <c r="D251" s="2" t="s">
        <v>20291</v>
      </c>
      <c r="E251" s="2" t="s">
        <v>20292</v>
      </c>
    </row>
    <row r="252">
      <c r="A252" s="2" t="s">
        <v>20293</v>
      </c>
      <c r="B252" s="2" t="s">
        <v>20294</v>
      </c>
      <c r="C252" s="11" t="s">
        <v>20295</v>
      </c>
      <c r="D252" s="2" t="s">
        <v>20296</v>
      </c>
      <c r="E252" s="2" t="s">
        <v>20297</v>
      </c>
    </row>
    <row r="253">
      <c r="A253" s="2" t="s">
        <v>20298</v>
      </c>
      <c r="B253" s="2" t="s">
        <v>20299</v>
      </c>
      <c r="C253" s="11" t="s">
        <v>20300</v>
      </c>
      <c r="D253" s="2" t="s">
        <v>20301</v>
      </c>
      <c r="E253" s="2" t="s">
        <v>20302</v>
      </c>
    </row>
    <row r="254">
      <c r="A254" s="2" t="s">
        <v>20303</v>
      </c>
      <c r="B254" s="2" t="s">
        <v>20304</v>
      </c>
      <c r="C254" s="11" t="s">
        <v>20305</v>
      </c>
      <c r="D254" s="2" t="s">
        <v>20306</v>
      </c>
      <c r="E254" s="2" t="s">
        <v>20307</v>
      </c>
    </row>
    <row r="255">
      <c r="A255" s="2" t="s">
        <v>20308</v>
      </c>
      <c r="B255" s="2" t="s">
        <v>20309</v>
      </c>
      <c r="C255" s="11" t="s">
        <v>20310</v>
      </c>
      <c r="D255" s="2" t="s">
        <v>20311</v>
      </c>
      <c r="E255" s="2" t="s">
        <v>20312</v>
      </c>
    </row>
    <row r="256">
      <c r="A256" s="2" t="s">
        <v>18235</v>
      </c>
      <c r="B256" s="2" t="s">
        <v>20313</v>
      </c>
      <c r="C256" s="11" t="s">
        <v>20314</v>
      </c>
      <c r="D256" s="2" t="s">
        <v>20315</v>
      </c>
      <c r="E256" s="2" t="s">
        <v>20316</v>
      </c>
    </row>
    <row r="257">
      <c r="A257" s="2" t="s">
        <v>20317</v>
      </c>
      <c r="B257" s="2" t="s">
        <v>20318</v>
      </c>
      <c r="C257" s="11" t="s">
        <v>20319</v>
      </c>
      <c r="D257" s="2" t="s">
        <v>20320</v>
      </c>
      <c r="E257" s="2" t="s">
        <v>20321</v>
      </c>
    </row>
    <row r="258">
      <c r="A258" s="2" t="s">
        <v>20322</v>
      </c>
      <c r="B258" s="2" t="s">
        <v>20323</v>
      </c>
      <c r="C258" s="11" t="s">
        <v>20324</v>
      </c>
      <c r="D258" s="2" t="s">
        <v>20325</v>
      </c>
      <c r="E258" s="2" t="s">
        <v>20326</v>
      </c>
    </row>
    <row r="259">
      <c r="A259" s="2" t="s">
        <v>17786</v>
      </c>
      <c r="B259" s="2" t="s">
        <v>20327</v>
      </c>
      <c r="C259" s="11" t="s">
        <v>20328</v>
      </c>
      <c r="D259" s="2" t="s">
        <v>20329</v>
      </c>
      <c r="E259" s="2" t="s">
        <v>20330</v>
      </c>
    </row>
    <row r="260">
      <c r="A260" s="2" t="s">
        <v>17802</v>
      </c>
      <c r="B260" s="2" t="s">
        <v>20331</v>
      </c>
      <c r="C260" s="11" t="s">
        <v>20332</v>
      </c>
      <c r="D260" s="2" t="s">
        <v>20333</v>
      </c>
      <c r="E260" s="2" t="s">
        <v>20334</v>
      </c>
    </row>
    <row r="261">
      <c r="A261" s="2" t="s">
        <v>20335</v>
      </c>
      <c r="B261" s="2" t="s">
        <v>20336</v>
      </c>
      <c r="C261" s="11" t="s">
        <v>20337</v>
      </c>
      <c r="D261" s="2" t="s">
        <v>20338</v>
      </c>
      <c r="E261" s="2" t="s">
        <v>20339</v>
      </c>
    </row>
    <row r="262">
      <c r="A262" s="2" t="s">
        <v>20340</v>
      </c>
      <c r="B262" s="2" t="s">
        <v>20341</v>
      </c>
      <c r="C262" s="11" t="s">
        <v>20342</v>
      </c>
      <c r="D262" s="2" t="s">
        <v>20343</v>
      </c>
      <c r="E262" s="2" t="s">
        <v>20344</v>
      </c>
    </row>
    <row r="263">
      <c r="A263" s="2" t="s">
        <v>20345</v>
      </c>
      <c r="B263" s="2" t="s">
        <v>20346</v>
      </c>
      <c r="C263" s="11" t="s">
        <v>20347</v>
      </c>
      <c r="D263" s="2" t="s">
        <v>20348</v>
      </c>
      <c r="E263" s="2" t="s">
        <v>20349</v>
      </c>
    </row>
    <row r="264">
      <c r="A264" s="2" t="s">
        <v>18030</v>
      </c>
      <c r="B264" s="2" t="s">
        <v>20350</v>
      </c>
      <c r="C264" s="11" t="s">
        <v>20351</v>
      </c>
      <c r="D264" s="2" t="s">
        <v>20352</v>
      </c>
      <c r="E264" s="2" t="s">
        <v>20353</v>
      </c>
    </row>
    <row r="265">
      <c r="A265" s="2" t="s">
        <v>20354</v>
      </c>
      <c r="B265" s="2" t="s">
        <v>20355</v>
      </c>
      <c r="C265" s="11" t="s">
        <v>20356</v>
      </c>
      <c r="D265" s="2" t="s">
        <v>20357</v>
      </c>
      <c r="E265" s="2" t="s">
        <v>20358</v>
      </c>
    </row>
    <row r="266">
      <c r="A266" s="2" t="s">
        <v>20359</v>
      </c>
      <c r="B266" s="2" t="s">
        <v>20360</v>
      </c>
      <c r="C266" s="11" t="s">
        <v>20361</v>
      </c>
      <c r="D266" s="2" t="s">
        <v>20362</v>
      </c>
      <c r="E266" s="2" t="s">
        <v>20363</v>
      </c>
    </row>
    <row r="267">
      <c r="A267" s="2" t="s">
        <v>20364</v>
      </c>
      <c r="B267" s="2" t="s">
        <v>20365</v>
      </c>
      <c r="C267" s="11" t="s">
        <v>20366</v>
      </c>
      <c r="D267" s="2" t="s">
        <v>20367</v>
      </c>
      <c r="E267" s="2" t="s">
        <v>20368</v>
      </c>
    </row>
    <row r="268">
      <c r="A268" s="2" t="s">
        <v>20369</v>
      </c>
      <c r="B268" s="2" t="s">
        <v>20370</v>
      </c>
      <c r="C268" s="11" t="s">
        <v>20371</v>
      </c>
      <c r="D268" s="2" t="s">
        <v>20372</v>
      </c>
      <c r="E268" s="2" t="s">
        <v>20373</v>
      </c>
    </row>
    <row r="269">
      <c r="A269" s="2" t="s">
        <v>20374</v>
      </c>
      <c r="B269" s="2" t="s">
        <v>20375</v>
      </c>
      <c r="C269" s="11" t="s">
        <v>20376</v>
      </c>
      <c r="D269" s="2" t="s">
        <v>20377</v>
      </c>
      <c r="E269" s="2" t="s">
        <v>20378</v>
      </c>
    </row>
    <row r="270">
      <c r="A270" s="2" t="s">
        <v>20379</v>
      </c>
      <c r="B270" s="2" t="s">
        <v>20380</v>
      </c>
      <c r="C270" s="11" t="s">
        <v>20381</v>
      </c>
      <c r="D270" s="2" t="s">
        <v>20382</v>
      </c>
      <c r="E270" s="2" t="s">
        <v>20383</v>
      </c>
    </row>
    <row r="271">
      <c r="A271" s="2" t="s">
        <v>20384</v>
      </c>
      <c r="B271" s="2" t="s">
        <v>20385</v>
      </c>
      <c r="C271" s="11" t="s">
        <v>20386</v>
      </c>
      <c r="D271" s="2" t="s">
        <v>20387</v>
      </c>
      <c r="E271" s="2" t="s">
        <v>20388</v>
      </c>
    </row>
    <row r="272">
      <c r="A272" s="2" t="s">
        <v>20389</v>
      </c>
      <c r="B272" s="2" t="s">
        <v>20390</v>
      </c>
      <c r="C272" s="11" t="s">
        <v>20391</v>
      </c>
      <c r="D272" s="2" t="s">
        <v>20392</v>
      </c>
      <c r="E272" s="2" t="s">
        <v>20393</v>
      </c>
    </row>
    <row r="273">
      <c r="A273" s="2" t="s">
        <v>20394</v>
      </c>
      <c r="B273" s="2" t="s">
        <v>20395</v>
      </c>
      <c r="C273" s="11" t="s">
        <v>20396</v>
      </c>
      <c r="D273" s="2" t="s">
        <v>20397</v>
      </c>
      <c r="E273" s="2" t="s">
        <v>20398</v>
      </c>
    </row>
    <row r="274">
      <c r="A274" s="2" t="s">
        <v>20399</v>
      </c>
      <c r="B274" s="2" t="s">
        <v>20400</v>
      </c>
      <c r="C274" s="11" t="s">
        <v>20401</v>
      </c>
      <c r="D274" s="2" t="s">
        <v>20402</v>
      </c>
      <c r="E274" s="2" t="s">
        <v>20403</v>
      </c>
    </row>
    <row r="275">
      <c r="A275" s="2" t="s">
        <v>20404</v>
      </c>
      <c r="B275" s="2" t="s">
        <v>20405</v>
      </c>
      <c r="C275" s="11" t="s">
        <v>20406</v>
      </c>
      <c r="D275" s="2" t="s">
        <v>20407</v>
      </c>
      <c r="E275" s="2" t="s">
        <v>20408</v>
      </c>
    </row>
    <row r="276">
      <c r="A276" s="2" t="s">
        <v>20409</v>
      </c>
      <c r="B276" s="2" t="s">
        <v>20410</v>
      </c>
      <c r="C276" s="11" t="s">
        <v>20411</v>
      </c>
      <c r="D276" s="2" t="s">
        <v>20412</v>
      </c>
      <c r="E276" s="2" t="s">
        <v>20413</v>
      </c>
    </row>
    <row r="277">
      <c r="A277" s="2" t="s">
        <v>20414</v>
      </c>
      <c r="B277" s="2" t="s">
        <v>20415</v>
      </c>
      <c r="C277" s="11" t="s">
        <v>20416</v>
      </c>
      <c r="D277" s="2" t="s">
        <v>20417</v>
      </c>
      <c r="E277" s="2" t="s">
        <v>20418</v>
      </c>
    </row>
    <row r="278">
      <c r="A278" s="2" t="s">
        <v>20419</v>
      </c>
      <c r="B278" s="2" t="s">
        <v>20420</v>
      </c>
      <c r="C278" s="11" t="s">
        <v>20421</v>
      </c>
      <c r="D278" s="2" t="s">
        <v>20422</v>
      </c>
      <c r="E278" s="2" t="s">
        <v>20423</v>
      </c>
    </row>
    <row r="279">
      <c r="A279" s="2" t="s">
        <v>20424</v>
      </c>
      <c r="B279" s="2" t="s">
        <v>20425</v>
      </c>
      <c r="C279" s="11" t="s">
        <v>20426</v>
      </c>
      <c r="D279" s="2" t="s">
        <v>20427</v>
      </c>
      <c r="E279" s="2" t="s">
        <v>20428</v>
      </c>
    </row>
    <row r="280">
      <c r="A280" s="2" t="s">
        <v>20429</v>
      </c>
      <c r="B280" s="2" t="s">
        <v>20430</v>
      </c>
      <c r="C280" s="11" t="s">
        <v>20431</v>
      </c>
      <c r="D280" s="2" t="s">
        <v>20432</v>
      </c>
      <c r="E280" s="2" t="s">
        <v>20433</v>
      </c>
    </row>
    <row r="281">
      <c r="A281" s="2" t="s">
        <v>20434</v>
      </c>
      <c r="B281" s="2" t="s">
        <v>20435</v>
      </c>
      <c r="C281" s="11" t="s">
        <v>20436</v>
      </c>
      <c r="D281" s="2" t="s">
        <v>20437</v>
      </c>
      <c r="E281" s="2" t="s">
        <v>20438</v>
      </c>
    </row>
    <row r="282">
      <c r="A282" s="2" t="s">
        <v>20439</v>
      </c>
      <c r="B282" s="2" t="s">
        <v>20440</v>
      </c>
      <c r="C282" s="11" t="s">
        <v>20441</v>
      </c>
      <c r="D282" s="2" t="s">
        <v>20442</v>
      </c>
      <c r="E282" s="2" t="s">
        <v>20443</v>
      </c>
    </row>
    <row r="283">
      <c r="A283" s="2" t="s">
        <v>18254</v>
      </c>
      <c r="B283" s="2" t="s">
        <v>20444</v>
      </c>
      <c r="C283" s="11" t="s">
        <v>20445</v>
      </c>
      <c r="D283" s="2" t="s">
        <v>20446</v>
      </c>
      <c r="E283" s="2" t="s">
        <v>20447</v>
      </c>
    </row>
    <row r="284">
      <c r="A284" s="2" t="s">
        <v>20448</v>
      </c>
      <c r="B284" s="2" t="s">
        <v>20449</v>
      </c>
      <c r="C284" s="11" t="s">
        <v>20450</v>
      </c>
      <c r="D284" s="2" t="s">
        <v>20451</v>
      </c>
      <c r="E284" s="2" t="s">
        <v>20452</v>
      </c>
    </row>
    <row r="285">
      <c r="A285" s="2" t="s">
        <v>20453</v>
      </c>
      <c r="B285" s="2" t="s">
        <v>20454</v>
      </c>
      <c r="C285" s="11" t="s">
        <v>20455</v>
      </c>
      <c r="D285" s="2" t="s">
        <v>20456</v>
      </c>
      <c r="E285" s="2" t="s">
        <v>20457</v>
      </c>
    </row>
    <row r="286">
      <c r="A286" s="2" t="s">
        <v>20458</v>
      </c>
      <c r="B286" s="2" t="s">
        <v>20459</v>
      </c>
      <c r="C286" s="11" t="s">
        <v>20460</v>
      </c>
      <c r="D286" s="2" t="s">
        <v>20461</v>
      </c>
      <c r="E286" s="2" t="s">
        <v>20462</v>
      </c>
    </row>
    <row r="287">
      <c r="A287" s="2" t="s">
        <v>20463</v>
      </c>
      <c r="B287" s="2" t="s">
        <v>20464</v>
      </c>
      <c r="C287" s="11" t="s">
        <v>20465</v>
      </c>
      <c r="D287" s="2" t="s">
        <v>20466</v>
      </c>
      <c r="E287" s="2" t="s">
        <v>20467</v>
      </c>
    </row>
    <row r="288">
      <c r="A288" s="2" t="s">
        <v>20468</v>
      </c>
      <c r="B288" s="2" t="s">
        <v>20469</v>
      </c>
      <c r="C288" s="11" t="s">
        <v>20470</v>
      </c>
      <c r="D288" s="2" t="s">
        <v>20471</v>
      </c>
      <c r="E288" s="2" t="s">
        <v>20472</v>
      </c>
    </row>
    <row r="289">
      <c r="A289" s="2" t="s">
        <v>20473</v>
      </c>
      <c r="B289" s="2" t="s">
        <v>20474</v>
      </c>
      <c r="C289" s="11" t="s">
        <v>20475</v>
      </c>
      <c r="D289" s="2" t="s">
        <v>20476</v>
      </c>
      <c r="E289" s="2" t="s">
        <v>20477</v>
      </c>
    </row>
    <row r="290">
      <c r="A290" s="2" t="s">
        <v>20478</v>
      </c>
      <c r="B290" s="2" t="s">
        <v>20479</v>
      </c>
      <c r="C290" s="11" t="s">
        <v>20480</v>
      </c>
      <c r="D290" s="2" t="s">
        <v>20481</v>
      </c>
      <c r="E290" s="2" t="s">
        <v>20482</v>
      </c>
    </row>
    <row r="291">
      <c r="A291" s="2" t="s">
        <v>20483</v>
      </c>
      <c r="B291" s="2" t="s">
        <v>20484</v>
      </c>
      <c r="C291" s="11" t="s">
        <v>20485</v>
      </c>
      <c r="D291" s="2" t="s">
        <v>20486</v>
      </c>
      <c r="E291" s="2" t="s">
        <v>20487</v>
      </c>
    </row>
    <row r="292">
      <c r="A292" s="2" t="s">
        <v>20488</v>
      </c>
      <c r="B292" s="2" t="s">
        <v>20489</v>
      </c>
      <c r="C292" s="11" t="s">
        <v>20490</v>
      </c>
      <c r="D292" s="2" t="s">
        <v>20491</v>
      </c>
      <c r="E292" s="2" t="s">
        <v>20492</v>
      </c>
    </row>
    <row r="293">
      <c r="A293" s="2" t="s">
        <v>20493</v>
      </c>
      <c r="B293" s="2" t="s">
        <v>20494</v>
      </c>
      <c r="C293" s="11" t="s">
        <v>20495</v>
      </c>
      <c r="D293" s="2" t="s">
        <v>20496</v>
      </c>
      <c r="E293" s="2" t="s">
        <v>20497</v>
      </c>
    </row>
    <row r="294">
      <c r="A294" s="2" t="s">
        <v>20498</v>
      </c>
      <c r="B294" s="2" t="s">
        <v>20499</v>
      </c>
      <c r="C294" s="11" t="s">
        <v>20500</v>
      </c>
      <c r="D294" s="2" t="s">
        <v>20501</v>
      </c>
      <c r="E294" s="2" t="s">
        <v>20502</v>
      </c>
    </row>
    <row r="295">
      <c r="A295" s="2" t="s">
        <v>20503</v>
      </c>
      <c r="B295" s="2" t="s">
        <v>20504</v>
      </c>
      <c r="C295" s="11" t="s">
        <v>20505</v>
      </c>
      <c r="D295" s="2" t="s">
        <v>20506</v>
      </c>
      <c r="E295" s="2" t="s">
        <v>20507</v>
      </c>
    </row>
    <row r="296">
      <c r="A296" s="2" t="s">
        <v>20508</v>
      </c>
      <c r="B296" s="2" t="s">
        <v>20509</v>
      </c>
      <c r="C296" s="11" t="s">
        <v>20510</v>
      </c>
      <c r="D296" s="2" t="s">
        <v>20511</v>
      </c>
      <c r="E296" s="2" t="s">
        <v>20512</v>
      </c>
    </row>
    <row r="297">
      <c r="A297" s="2" t="s">
        <v>20513</v>
      </c>
      <c r="B297" s="2" t="s">
        <v>20514</v>
      </c>
      <c r="C297" s="11" t="s">
        <v>20515</v>
      </c>
      <c r="D297" s="2" t="s">
        <v>20516</v>
      </c>
      <c r="E297" s="2" t="s">
        <v>20517</v>
      </c>
    </row>
    <row r="298">
      <c r="A298" s="2" t="s">
        <v>20518</v>
      </c>
      <c r="B298" s="2" t="s">
        <v>20519</v>
      </c>
      <c r="C298" s="11" t="s">
        <v>20520</v>
      </c>
      <c r="D298" s="2" t="s">
        <v>20521</v>
      </c>
      <c r="E298" s="2" t="s">
        <v>20522</v>
      </c>
    </row>
    <row r="299">
      <c r="A299" s="2" t="s">
        <v>20523</v>
      </c>
      <c r="B299" s="2" t="s">
        <v>20524</v>
      </c>
      <c r="C299" s="11" t="s">
        <v>20525</v>
      </c>
      <c r="D299" s="2" t="s">
        <v>20526</v>
      </c>
      <c r="E299" s="2" t="s">
        <v>20527</v>
      </c>
    </row>
    <row r="300">
      <c r="A300" s="2" t="s">
        <v>20528</v>
      </c>
      <c r="B300" s="2" t="s">
        <v>20529</v>
      </c>
      <c r="C300" s="11" t="s">
        <v>20530</v>
      </c>
      <c r="D300" s="2" t="s">
        <v>20531</v>
      </c>
      <c r="E300" s="2" t="s">
        <v>20532</v>
      </c>
    </row>
    <row r="301">
      <c r="A301" s="2" t="s">
        <v>20533</v>
      </c>
      <c r="B301" s="2" t="s">
        <v>20534</v>
      </c>
      <c r="C301" s="11" t="s">
        <v>20535</v>
      </c>
      <c r="D301" s="2" t="s">
        <v>20536</v>
      </c>
      <c r="E301" s="2" t="s">
        <v>20537</v>
      </c>
    </row>
    <row r="302">
      <c r="A302" s="2" t="s">
        <v>20538</v>
      </c>
      <c r="B302" s="2" t="s">
        <v>20539</v>
      </c>
      <c r="C302" s="11" t="s">
        <v>20540</v>
      </c>
      <c r="D302" s="2" t="s">
        <v>20541</v>
      </c>
      <c r="E302" s="2" t="s">
        <v>20542</v>
      </c>
    </row>
    <row r="303">
      <c r="A303" s="2" t="s">
        <v>20543</v>
      </c>
      <c r="B303" s="2" t="s">
        <v>20544</v>
      </c>
      <c r="C303" s="11" t="s">
        <v>20545</v>
      </c>
      <c r="D303" s="2" t="s">
        <v>20546</v>
      </c>
      <c r="E303" s="2" t="s">
        <v>20547</v>
      </c>
    </row>
    <row r="304">
      <c r="A304" s="2" t="s">
        <v>20548</v>
      </c>
      <c r="B304" s="2" t="s">
        <v>20549</v>
      </c>
      <c r="C304" s="11" t="s">
        <v>20550</v>
      </c>
      <c r="D304" s="2" t="s">
        <v>20551</v>
      </c>
      <c r="E304" s="2" t="s">
        <v>20552</v>
      </c>
    </row>
    <row r="305">
      <c r="A305" s="2" t="s">
        <v>20553</v>
      </c>
      <c r="B305" s="2" t="s">
        <v>20554</v>
      </c>
      <c r="C305" s="11" t="s">
        <v>20555</v>
      </c>
      <c r="D305" s="2" t="s">
        <v>20556</v>
      </c>
      <c r="E305" s="2" t="s">
        <v>20557</v>
      </c>
    </row>
    <row r="306">
      <c r="A306" s="2" t="s">
        <v>20558</v>
      </c>
      <c r="B306" s="2" t="s">
        <v>20559</v>
      </c>
      <c r="C306" s="11" t="s">
        <v>20560</v>
      </c>
      <c r="D306" s="2" t="s">
        <v>20561</v>
      </c>
      <c r="E306" s="2" t="s">
        <v>20562</v>
      </c>
    </row>
    <row r="307">
      <c r="A307" s="2" t="s">
        <v>20563</v>
      </c>
      <c r="B307" s="2" t="s">
        <v>20564</v>
      </c>
      <c r="C307" s="11" t="s">
        <v>20565</v>
      </c>
      <c r="D307" s="2" t="s">
        <v>20566</v>
      </c>
      <c r="E307" s="2" t="s">
        <v>20567</v>
      </c>
    </row>
    <row r="308">
      <c r="A308" s="2" t="s">
        <v>20568</v>
      </c>
      <c r="B308" s="2" t="s">
        <v>20569</v>
      </c>
      <c r="C308" s="11" t="s">
        <v>20570</v>
      </c>
      <c r="D308" s="2" t="s">
        <v>20571</v>
      </c>
      <c r="E308" s="2" t="s">
        <v>20572</v>
      </c>
    </row>
    <row r="309">
      <c r="A309" s="2" t="s">
        <v>20573</v>
      </c>
      <c r="B309" s="2" t="s">
        <v>20574</v>
      </c>
      <c r="C309" s="11" t="s">
        <v>20575</v>
      </c>
      <c r="D309" s="2" t="s">
        <v>20576</v>
      </c>
      <c r="E309" s="2" t="s">
        <v>20577</v>
      </c>
    </row>
    <row r="310">
      <c r="A310" s="2" t="s">
        <v>20578</v>
      </c>
      <c r="B310" s="2" t="s">
        <v>20579</v>
      </c>
      <c r="C310" s="11" t="s">
        <v>20580</v>
      </c>
      <c r="D310" s="2" t="s">
        <v>20581</v>
      </c>
      <c r="E310" s="2" t="s">
        <v>20582</v>
      </c>
    </row>
    <row r="311">
      <c r="A311" s="2" t="s">
        <v>18620</v>
      </c>
      <c r="B311" s="2" t="s">
        <v>20583</v>
      </c>
      <c r="C311" s="11" t="s">
        <v>20584</v>
      </c>
      <c r="D311" s="2" t="s">
        <v>20585</v>
      </c>
      <c r="E311" s="2" t="s">
        <v>20586</v>
      </c>
    </row>
    <row r="312">
      <c r="A312" s="2" t="s">
        <v>20587</v>
      </c>
      <c r="B312" s="2" t="s">
        <v>20588</v>
      </c>
      <c r="C312" s="11" t="s">
        <v>20589</v>
      </c>
      <c r="D312" s="2" t="s">
        <v>20590</v>
      </c>
      <c r="E312" s="2" t="s">
        <v>20591</v>
      </c>
    </row>
    <row r="313">
      <c r="A313" s="2" t="s">
        <v>18131</v>
      </c>
      <c r="B313" s="2" t="s">
        <v>20592</v>
      </c>
      <c r="C313" s="11" t="s">
        <v>20593</v>
      </c>
      <c r="D313" s="2" t="s">
        <v>20594</v>
      </c>
      <c r="E313" s="2" t="s">
        <v>20595</v>
      </c>
    </row>
    <row r="314">
      <c r="A314" s="2" t="s">
        <v>20596</v>
      </c>
      <c r="B314" s="2" t="s">
        <v>20597</v>
      </c>
      <c r="C314" s="11" t="s">
        <v>20598</v>
      </c>
      <c r="D314" s="2" t="s">
        <v>20599</v>
      </c>
      <c r="E314" s="2" t="s">
        <v>20600</v>
      </c>
    </row>
    <row r="315">
      <c r="A315" s="2" t="s">
        <v>20601</v>
      </c>
      <c r="B315" s="2" t="s">
        <v>20602</v>
      </c>
      <c r="C315" s="11" t="s">
        <v>20603</v>
      </c>
      <c r="D315" s="2" t="s">
        <v>20604</v>
      </c>
      <c r="E315" s="2" t="s">
        <v>20605</v>
      </c>
    </row>
    <row r="316">
      <c r="A316" s="2" t="s">
        <v>20606</v>
      </c>
      <c r="B316" s="2" t="s">
        <v>20607</v>
      </c>
      <c r="C316" s="11" t="s">
        <v>20608</v>
      </c>
      <c r="D316" s="2" t="s">
        <v>20609</v>
      </c>
      <c r="E316" s="2" t="s">
        <v>20610</v>
      </c>
    </row>
    <row r="317">
      <c r="A317" s="2" t="s">
        <v>18149</v>
      </c>
      <c r="B317" s="2" t="s">
        <v>20611</v>
      </c>
      <c r="C317" s="11" t="s">
        <v>20612</v>
      </c>
      <c r="D317" s="2" t="s">
        <v>20613</v>
      </c>
      <c r="E317" s="2" t="s">
        <v>20614</v>
      </c>
    </row>
    <row r="318">
      <c r="A318" s="2" t="s">
        <v>20615</v>
      </c>
      <c r="B318" s="2" t="s">
        <v>20616</v>
      </c>
      <c r="C318" s="11" t="s">
        <v>20617</v>
      </c>
      <c r="D318" s="2" t="s">
        <v>20618</v>
      </c>
      <c r="E318" s="2" t="s">
        <v>20619</v>
      </c>
    </row>
    <row r="319">
      <c r="A319" s="2" t="s">
        <v>20620</v>
      </c>
      <c r="B319" s="2" t="s">
        <v>20621</v>
      </c>
      <c r="C319" s="11" t="s">
        <v>20622</v>
      </c>
      <c r="D319" s="2" t="s">
        <v>20623</v>
      </c>
      <c r="E319" s="2" t="s">
        <v>20624</v>
      </c>
    </row>
    <row r="320">
      <c r="A320" s="2" t="s">
        <v>20625</v>
      </c>
      <c r="B320" s="2" t="s">
        <v>20626</v>
      </c>
      <c r="C320" s="11" t="s">
        <v>20627</v>
      </c>
      <c r="D320" s="2" t="s">
        <v>20628</v>
      </c>
      <c r="E320" s="2" t="s">
        <v>20629</v>
      </c>
    </row>
    <row r="321">
      <c r="A321" s="2" t="s">
        <v>20630</v>
      </c>
      <c r="B321" s="2" t="s">
        <v>20631</v>
      </c>
      <c r="C321" s="11" t="s">
        <v>20632</v>
      </c>
      <c r="D321" s="2" t="s">
        <v>20633</v>
      </c>
      <c r="E321" s="2" t="s">
        <v>20634</v>
      </c>
    </row>
    <row r="322">
      <c r="A322" s="2" t="s">
        <v>20635</v>
      </c>
      <c r="B322" s="2" t="s">
        <v>20636</v>
      </c>
      <c r="C322" s="11" t="s">
        <v>20637</v>
      </c>
      <c r="D322" s="2" t="s">
        <v>20638</v>
      </c>
      <c r="E322" s="2" t="s">
        <v>20639</v>
      </c>
    </row>
    <row r="323">
      <c r="A323" s="2" t="s">
        <v>18516</v>
      </c>
      <c r="B323" s="2" t="s">
        <v>20640</v>
      </c>
      <c r="C323" s="11" t="s">
        <v>20641</v>
      </c>
      <c r="D323" s="2" t="s">
        <v>20642</v>
      </c>
      <c r="E323" s="2" t="s">
        <v>20643</v>
      </c>
    </row>
    <row r="324">
      <c r="A324" s="2" t="s">
        <v>18579</v>
      </c>
      <c r="B324" s="2" t="s">
        <v>20644</v>
      </c>
      <c r="C324" s="11" t="s">
        <v>20645</v>
      </c>
      <c r="D324" s="2" t="s">
        <v>20646</v>
      </c>
      <c r="E324" s="2" t="s">
        <v>20647</v>
      </c>
    </row>
    <row r="325">
      <c r="A325" s="2" t="s">
        <v>20648</v>
      </c>
      <c r="B325" s="2" t="s">
        <v>20649</v>
      </c>
      <c r="C325" s="11" t="s">
        <v>20650</v>
      </c>
      <c r="D325" s="2" t="s">
        <v>20651</v>
      </c>
      <c r="E325" s="2" t="s">
        <v>20652</v>
      </c>
    </row>
    <row r="326">
      <c r="A326" s="2" t="s">
        <v>18622</v>
      </c>
      <c r="B326" s="2" t="s">
        <v>20653</v>
      </c>
      <c r="C326" s="11" t="s">
        <v>20654</v>
      </c>
      <c r="D326" s="2" t="s">
        <v>20655</v>
      </c>
      <c r="E326" s="2" t="s">
        <v>20656</v>
      </c>
    </row>
    <row r="327">
      <c r="A327" s="2" t="s">
        <v>18051</v>
      </c>
      <c r="B327" s="2" t="s">
        <v>20657</v>
      </c>
      <c r="C327" s="11" t="s">
        <v>20658</v>
      </c>
      <c r="D327" s="2" t="s">
        <v>20659</v>
      </c>
      <c r="E327" s="2" t="s">
        <v>20660</v>
      </c>
    </row>
    <row r="328">
      <c r="A328" s="2" t="s">
        <v>20661</v>
      </c>
      <c r="B328" s="2" t="s">
        <v>20662</v>
      </c>
      <c r="C328" s="11" t="s">
        <v>20663</v>
      </c>
      <c r="D328" s="2" t="s">
        <v>20664</v>
      </c>
      <c r="E328" s="2" t="s">
        <v>20665</v>
      </c>
    </row>
    <row r="329">
      <c r="A329" s="2" t="s">
        <v>17973</v>
      </c>
      <c r="B329" s="2" t="s">
        <v>20666</v>
      </c>
      <c r="C329" s="11" t="s">
        <v>20667</v>
      </c>
      <c r="D329" s="2" t="s">
        <v>20668</v>
      </c>
      <c r="E329" s="2" t="s">
        <v>20669</v>
      </c>
    </row>
    <row r="330">
      <c r="A330" s="2" t="s">
        <v>20670</v>
      </c>
      <c r="B330" s="2" t="s">
        <v>20671</v>
      </c>
      <c r="C330" s="11" t="s">
        <v>20672</v>
      </c>
      <c r="D330" s="2" t="s">
        <v>20673</v>
      </c>
      <c r="E330" s="2" t="s">
        <v>20674</v>
      </c>
    </row>
    <row r="331">
      <c r="A331" s="2" t="s">
        <v>20675</v>
      </c>
      <c r="B331" s="2" t="s">
        <v>20676</v>
      </c>
      <c r="C331" s="11" t="s">
        <v>20677</v>
      </c>
      <c r="D331" s="2" t="s">
        <v>20678</v>
      </c>
      <c r="E331" s="2" t="s">
        <v>20679</v>
      </c>
    </row>
    <row r="332">
      <c r="A332" s="2" t="s">
        <v>18525</v>
      </c>
      <c r="B332" s="2" t="s">
        <v>20680</v>
      </c>
      <c r="C332" s="11" t="s">
        <v>20681</v>
      </c>
      <c r="D332" s="2" t="s">
        <v>20682</v>
      </c>
      <c r="E332" s="2" t="s">
        <v>20683</v>
      </c>
    </row>
    <row r="333">
      <c r="A333" s="2" t="s">
        <v>20684</v>
      </c>
      <c r="B333" s="2" t="s">
        <v>20685</v>
      </c>
      <c r="C333" s="11" t="s">
        <v>20686</v>
      </c>
      <c r="D333" s="2" t="s">
        <v>20687</v>
      </c>
      <c r="E333" s="2" t="s">
        <v>20688</v>
      </c>
    </row>
    <row r="334">
      <c r="A334" s="2" t="s">
        <v>20689</v>
      </c>
      <c r="B334" s="2" t="s">
        <v>20690</v>
      </c>
      <c r="C334" s="11" t="s">
        <v>20691</v>
      </c>
      <c r="D334" s="2" t="s">
        <v>20692</v>
      </c>
      <c r="E334" s="2" t="s">
        <v>20693</v>
      </c>
    </row>
    <row r="335">
      <c r="A335" s="2" t="s">
        <v>20694</v>
      </c>
      <c r="B335" s="2" t="s">
        <v>20695</v>
      </c>
      <c r="C335" s="11" t="s">
        <v>20696</v>
      </c>
      <c r="D335" s="2" t="s">
        <v>20697</v>
      </c>
      <c r="E335" s="2" t="s">
        <v>20698</v>
      </c>
    </row>
    <row r="336">
      <c r="A336" s="2" t="s">
        <v>20699</v>
      </c>
      <c r="B336" s="2" t="s">
        <v>20700</v>
      </c>
      <c r="C336" s="11" t="s">
        <v>20701</v>
      </c>
      <c r="D336" s="2" t="s">
        <v>20702</v>
      </c>
      <c r="E336" s="2" t="s">
        <v>20703</v>
      </c>
    </row>
    <row r="337">
      <c r="A337" s="2" t="s">
        <v>20704</v>
      </c>
      <c r="B337" s="2" t="s">
        <v>20705</v>
      </c>
      <c r="C337" s="11" t="s">
        <v>20706</v>
      </c>
      <c r="D337" s="2" t="s">
        <v>20707</v>
      </c>
      <c r="E337" s="2" t="s">
        <v>20708</v>
      </c>
    </row>
    <row r="338">
      <c r="A338" s="2" t="s">
        <v>20709</v>
      </c>
      <c r="B338" s="2" t="s">
        <v>20710</v>
      </c>
      <c r="C338" s="11" t="s">
        <v>20711</v>
      </c>
      <c r="D338" s="2" t="s">
        <v>20712</v>
      </c>
      <c r="E338" s="2" t="s">
        <v>20713</v>
      </c>
    </row>
    <row r="339">
      <c r="A339" s="2" t="s">
        <v>20714</v>
      </c>
      <c r="B339" s="2" t="s">
        <v>20715</v>
      </c>
      <c r="C339" s="11" t="s">
        <v>20716</v>
      </c>
      <c r="D339" s="2" t="s">
        <v>20717</v>
      </c>
      <c r="E339" s="2" t="s">
        <v>20718</v>
      </c>
    </row>
    <row r="340">
      <c r="A340" s="2" t="s">
        <v>16350</v>
      </c>
      <c r="B340" s="2" t="s">
        <v>20719</v>
      </c>
      <c r="C340" s="11" t="s">
        <v>20720</v>
      </c>
      <c r="D340" s="2" t="s">
        <v>20721</v>
      </c>
      <c r="E340" s="2" t="s">
        <v>20722</v>
      </c>
    </row>
    <row r="341">
      <c r="A341" s="2" t="s">
        <v>20723</v>
      </c>
      <c r="B341" s="2" t="s">
        <v>20724</v>
      </c>
      <c r="C341" s="11" t="s">
        <v>20725</v>
      </c>
      <c r="D341" s="2" t="s">
        <v>20726</v>
      </c>
      <c r="E341" s="2" t="s">
        <v>20727</v>
      </c>
    </row>
    <row r="342">
      <c r="A342" s="2" t="s">
        <v>20728</v>
      </c>
      <c r="B342" s="2" t="s">
        <v>20729</v>
      </c>
      <c r="C342" s="11" t="s">
        <v>20730</v>
      </c>
      <c r="D342" s="2" t="s">
        <v>20731</v>
      </c>
      <c r="E342" s="2" t="s">
        <v>20732</v>
      </c>
    </row>
    <row r="343">
      <c r="A343" s="2" t="s">
        <v>20733</v>
      </c>
      <c r="B343" s="2" t="s">
        <v>20734</v>
      </c>
      <c r="C343" s="11" t="s">
        <v>20735</v>
      </c>
      <c r="D343" s="2" t="s">
        <v>20736</v>
      </c>
      <c r="E343" s="2" t="s">
        <v>20737</v>
      </c>
    </row>
    <row r="344">
      <c r="A344" s="2" t="s">
        <v>20738</v>
      </c>
      <c r="B344" s="2" t="s">
        <v>20739</v>
      </c>
      <c r="C344" s="11" t="s">
        <v>20740</v>
      </c>
      <c r="D344" s="2" t="s">
        <v>20741</v>
      </c>
      <c r="E344" s="2" t="s">
        <v>20742</v>
      </c>
    </row>
    <row r="345">
      <c r="A345" s="2" t="s">
        <v>20743</v>
      </c>
      <c r="B345" s="2" t="s">
        <v>20744</v>
      </c>
      <c r="C345" s="11" t="s">
        <v>20745</v>
      </c>
      <c r="D345" s="2" t="s">
        <v>20746</v>
      </c>
      <c r="E345" s="2" t="s">
        <v>20747</v>
      </c>
    </row>
    <row r="346">
      <c r="A346" s="2" t="s">
        <v>20748</v>
      </c>
      <c r="B346" s="2" t="s">
        <v>20749</v>
      </c>
      <c r="C346" s="11" t="s">
        <v>20750</v>
      </c>
      <c r="D346" s="2" t="s">
        <v>20751</v>
      </c>
      <c r="E346" s="2" t="s">
        <v>20752</v>
      </c>
    </row>
    <row r="347">
      <c r="A347" s="2" t="s">
        <v>20753</v>
      </c>
      <c r="B347" s="2" t="s">
        <v>20754</v>
      </c>
      <c r="C347" s="11" t="s">
        <v>20755</v>
      </c>
      <c r="D347" s="2" t="s">
        <v>20756</v>
      </c>
      <c r="E347" s="2" t="s">
        <v>20757</v>
      </c>
    </row>
    <row r="348">
      <c r="A348" s="2" t="s">
        <v>20758</v>
      </c>
      <c r="B348" s="2" t="s">
        <v>20759</v>
      </c>
      <c r="C348" s="11" t="s">
        <v>20760</v>
      </c>
      <c r="D348" s="2" t="s">
        <v>20761</v>
      </c>
      <c r="E348" s="2" t="s">
        <v>20762</v>
      </c>
    </row>
    <row r="349">
      <c r="A349" s="2" t="s">
        <v>20763</v>
      </c>
      <c r="B349" s="2" t="s">
        <v>20764</v>
      </c>
      <c r="C349" s="11" t="s">
        <v>20765</v>
      </c>
      <c r="D349" s="2" t="s">
        <v>20766</v>
      </c>
      <c r="E349" s="2" t="s">
        <v>20767</v>
      </c>
    </row>
    <row r="350">
      <c r="A350" s="2" t="s">
        <v>20768</v>
      </c>
      <c r="B350" s="2" t="s">
        <v>20769</v>
      </c>
      <c r="C350" s="11" t="s">
        <v>20770</v>
      </c>
      <c r="D350" s="2" t="s">
        <v>20771</v>
      </c>
      <c r="E350" s="2" t="s">
        <v>20772</v>
      </c>
    </row>
    <row r="351">
      <c r="A351" s="2" t="s">
        <v>20773</v>
      </c>
      <c r="B351" s="2" t="s">
        <v>20774</v>
      </c>
      <c r="C351" s="11" t="s">
        <v>20775</v>
      </c>
      <c r="D351" s="2" t="s">
        <v>20776</v>
      </c>
      <c r="E351" s="2" t="s">
        <v>20777</v>
      </c>
    </row>
    <row r="352">
      <c r="A352" s="2" t="s">
        <v>20778</v>
      </c>
      <c r="B352" s="2" t="s">
        <v>20779</v>
      </c>
      <c r="C352" s="11" t="s">
        <v>20780</v>
      </c>
      <c r="D352" s="2" t="s">
        <v>20781</v>
      </c>
      <c r="E352" s="2" t="s">
        <v>20782</v>
      </c>
    </row>
    <row r="353">
      <c r="A353" s="2" t="s">
        <v>20783</v>
      </c>
      <c r="B353" s="2" t="s">
        <v>20784</v>
      </c>
      <c r="C353" s="11" t="s">
        <v>20785</v>
      </c>
      <c r="D353" s="2" t="s">
        <v>20786</v>
      </c>
      <c r="E353" s="2" t="s">
        <v>20787</v>
      </c>
    </row>
    <row r="354">
      <c r="A354" s="2" t="s">
        <v>20788</v>
      </c>
      <c r="B354" s="2" t="s">
        <v>20789</v>
      </c>
      <c r="C354" s="11" t="s">
        <v>20790</v>
      </c>
      <c r="D354" s="2" t="s">
        <v>20791</v>
      </c>
      <c r="E354" s="2" t="s">
        <v>20792</v>
      </c>
    </row>
    <row r="355">
      <c r="A355" s="2" t="s">
        <v>20793</v>
      </c>
      <c r="B355" s="2" t="s">
        <v>20794</v>
      </c>
      <c r="C355" s="11" t="s">
        <v>20795</v>
      </c>
      <c r="D355" s="2" t="s">
        <v>20796</v>
      </c>
      <c r="E355" s="2" t="s">
        <v>20797</v>
      </c>
    </row>
    <row r="356">
      <c r="A356" s="2" t="s">
        <v>20798</v>
      </c>
      <c r="B356" s="2" t="s">
        <v>20799</v>
      </c>
      <c r="C356" s="11" t="s">
        <v>20800</v>
      </c>
      <c r="D356" s="2" t="s">
        <v>20801</v>
      </c>
      <c r="E356" s="2" t="s">
        <v>20802</v>
      </c>
    </row>
    <row r="357">
      <c r="A357" s="2" t="s">
        <v>20803</v>
      </c>
      <c r="B357" s="2" t="s">
        <v>20804</v>
      </c>
      <c r="C357" s="11" t="s">
        <v>20805</v>
      </c>
      <c r="D357" s="2" t="s">
        <v>20806</v>
      </c>
      <c r="E357" s="2" t="s">
        <v>20807</v>
      </c>
    </row>
    <row r="358">
      <c r="A358" s="2" t="s">
        <v>18269</v>
      </c>
      <c r="B358" s="2" t="s">
        <v>20808</v>
      </c>
      <c r="C358" s="11" t="s">
        <v>20809</v>
      </c>
      <c r="D358" s="2" t="s">
        <v>20810</v>
      </c>
      <c r="E358" s="2" t="s">
        <v>20811</v>
      </c>
    </row>
    <row r="359">
      <c r="A359" s="2" t="s">
        <v>20812</v>
      </c>
      <c r="B359" s="2" t="s">
        <v>20813</v>
      </c>
      <c r="C359" s="11" t="s">
        <v>20814</v>
      </c>
      <c r="D359" s="2" t="s">
        <v>20815</v>
      </c>
      <c r="E359" s="2" t="s">
        <v>20816</v>
      </c>
    </row>
    <row r="360">
      <c r="A360" s="2" t="s">
        <v>20817</v>
      </c>
      <c r="B360" s="2" t="s">
        <v>20818</v>
      </c>
      <c r="C360" s="11" t="s">
        <v>20819</v>
      </c>
      <c r="D360" s="2" t="s">
        <v>20820</v>
      </c>
      <c r="E360" s="2" t="s">
        <v>20821</v>
      </c>
    </row>
    <row r="361">
      <c r="A361" s="2" t="s">
        <v>18259</v>
      </c>
      <c r="B361" s="2" t="s">
        <v>20822</v>
      </c>
      <c r="C361" s="11" t="s">
        <v>20823</v>
      </c>
      <c r="D361" s="2" t="s">
        <v>20824</v>
      </c>
      <c r="E361" s="2" t="s">
        <v>20825</v>
      </c>
    </row>
    <row r="362">
      <c r="A362" s="2" t="s">
        <v>20826</v>
      </c>
      <c r="B362" s="2" t="s">
        <v>20827</v>
      </c>
      <c r="C362" s="11" t="s">
        <v>20828</v>
      </c>
      <c r="D362" s="2" t="s">
        <v>20829</v>
      </c>
      <c r="E362" s="2" t="s">
        <v>20830</v>
      </c>
    </row>
    <row r="363">
      <c r="A363" s="2" t="s">
        <v>20831</v>
      </c>
      <c r="B363" s="2" t="s">
        <v>20832</v>
      </c>
      <c r="C363" s="11" t="s">
        <v>20833</v>
      </c>
      <c r="D363" s="2" t="s">
        <v>20834</v>
      </c>
      <c r="E363" s="2" t="s">
        <v>20835</v>
      </c>
    </row>
    <row r="364">
      <c r="A364" s="2" t="s">
        <v>20836</v>
      </c>
      <c r="B364" s="2" t="s">
        <v>20837</v>
      </c>
      <c r="C364" s="11" t="s">
        <v>20838</v>
      </c>
      <c r="D364" s="2" t="s">
        <v>20839</v>
      </c>
      <c r="E364" s="2" t="s">
        <v>20840</v>
      </c>
    </row>
    <row r="365">
      <c r="A365" s="2" t="s">
        <v>20841</v>
      </c>
      <c r="B365" s="2" t="s">
        <v>20842</v>
      </c>
      <c r="C365" s="11" t="s">
        <v>20843</v>
      </c>
      <c r="D365" s="2" t="s">
        <v>20844</v>
      </c>
      <c r="E365" s="2" t="s">
        <v>20845</v>
      </c>
    </row>
    <row r="366">
      <c r="A366" s="2" t="s">
        <v>18640</v>
      </c>
      <c r="B366" s="2" t="s">
        <v>20846</v>
      </c>
      <c r="C366" s="11" t="s">
        <v>20847</v>
      </c>
      <c r="D366" s="2" t="s">
        <v>20848</v>
      </c>
      <c r="E366" s="2" t="s">
        <v>20849</v>
      </c>
    </row>
    <row r="367">
      <c r="A367" s="2" t="s">
        <v>20850</v>
      </c>
      <c r="B367" s="2" t="s">
        <v>20851</v>
      </c>
      <c r="C367" s="11" t="s">
        <v>20852</v>
      </c>
      <c r="D367" s="2" t="s">
        <v>20853</v>
      </c>
      <c r="E367" s="2" t="s">
        <v>20854</v>
      </c>
    </row>
    <row r="368">
      <c r="A368" s="2" t="s">
        <v>20855</v>
      </c>
      <c r="B368" s="2" t="s">
        <v>20856</v>
      </c>
      <c r="C368" s="11" t="s">
        <v>20857</v>
      </c>
      <c r="D368" s="2" t="s">
        <v>20858</v>
      </c>
      <c r="E368" s="2" t="s">
        <v>20859</v>
      </c>
    </row>
    <row r="369">
      <c r="A369" s="2" t="s">
        <v>20860</v>
      </c>
      <c r="B369" s="2" t="s">
        <v>20861</v>
      </c>
      <c r="C369" s="11" t="s">
        <v>20862</v>
      </c>
      <c r="D369" s="2" t="s">
        <v>20863</v>
      </c>
      <c r="E369" s="2" t="s">
        <v>20864</v>
      </c>
    </row>
    <row r="370">
      <c r="A370" s="2" t="s">
        <v>20865</v>
      </c>
      <c r="B370" s="2" t="s">
        <v>20866</v>
      </c>
      <c r="C370" s="11" t="s">
        <v>20867</v>
      </c>
      <c r="D370" s="2" t="s">
        <v>20868</v>
      </c>
      <c r="E370" s="2" t="s">
        <v>20869</v>
      </c>
    </row>
    <row r="371">
      <c r="A371" s="2" t="s">
        <v>18636</v>
      </c>
      <c r="B371" s="2" t="s">
        <v>20870</v>
      </c>
      <c r="C371" s="11" t="s">
        <v>20871</v>
      </c>
      <c r="D371" s="2" t="s">
        <v>20872</v>
      </c>
      <c r="E371" s="2" t="s">
        <v>20873</v>
      </c>
    </row>
    <row r="372">
      <c r="A372" s="2" t="s">
        <v>20874</v>
      </c>
      <c r="B372" s="2" t="s">
        <v>20875</v>
      </c>
      <c r="C372" s="11" t="s">
        <v>20876</v>
      </c>
      <c r="D372" s="2" t="s">
        <v>20877</v>
      </c>
      <c r="E372" s="2" t="s">
        <v>20878</v>
      </c>
    </row>
    <row r="373">
      <c r="A373" s="2" t="s">
        <v>20879</v>
      </c>
      <c r="B373" s="2" t="s">
        <v>20880</v>
      </c>
      <c r="C373" s="11" t="s">
        <v>20881</v>
      </c>
      <c r="D373" s="2" t="s">
        <v>20882</v>
      </c>
      <c r="E373" s="2" t="s">
        <v>20883</v>
      </c>
    </row>
    <row r="374">
      <c r="A374" s="2" t="s">
        <v>20884</v>
      </c>
      <c r="B374" s="2" t="s">
        <v>20885</v>
      </c>
      <c r="C374" s="11" t="s">
        <v>20886</v>
      </c>
      <c r="D374" s="2" t="s">
        <v>20887</v>
      </c>
      <c r="E374" s="2" t="s">
        <v>20888</v>
      </c>
    </row>
    <row r="375">
      <c r="A375" s="2" t="s">
        <v>20889</v>
      </c>
      <c r="B375" s="2" t="s">
        <v>20890</v>
      </c>
      <c r="C375" s="11" t="s">
        <v>20891</v>
      </c>
      <c r="D375" s="2" t="s">
        <v>20892</v>
      </c>
      <c r="E375" s="2" t="s">
        <v>20893</v>
      </c>
    </row>
    <row r="376">
      <c r="A376" s="2" t="s">
        <v>20894</v>
      </c>
      <c r="B376" s="2" t="s">
        <v>20895</v>
      </c>
      <c r="C376" s="11" t="s">
        <v>20896</v>
      </c>
      <c r="D376" s="2" t="s">
        <v>20897</v>
      </c>
      <c r="E376" s="2" t="s">
        <v>20898</v>
      </c>
    </row>
    <row r="377">
      <c r="A377" s="2" t="s">
        <v>20899</v>
      </c>
      <c r="B377" s="2" t="s">
        <v>20900</v>
      </c>
      <c r="C377" s="11" t="s">
        <v>20901</v>
      </c>
      <c r="D377" s="2" t="s">
        <v>20902</v>
      </c>
      <c r="E377" s="2" t="s">
        <v>20903</v>
      </c>
    </row>
    <row r="378">
      <c r="A378" s="2" t="s">
        <v>20904</v>
      </c>
      <c r="B378" s="2" t="s">
        <v>20905</v>
      </c>
      <c r="C378" s="11" t="s">
        <v>20906</v>
      </c>
      <c r="D378" s="2" t="s">
        <v>20907</v>
      </c>
      <c r="E378" s="2" t="s">
        <v>20908</v>
      </c>
    </row>
    <row r="379">
      <c r="A379" s="2" t="s">
        <v>20909</v>
      </c>
      <c r="B379" s="2" t="s">
        <v>20910</v>
      </c>
      <c r="C379" s="11" t="s">
        <v>20911</v>
      </c>
      <c r="D379" s="2" t="s">
        <v>20912</v>
      </c>
      <c r="E379" s="2" t="s">
        <v>20913</v>
      </c>
    </row>
    <row r="380">
      <c r="A380" s="2" t="s">
        <v>18121</v>
      </c>
      <c r="B380" s="2" t="s">
        <v>20914</v>
      </c>
      <c r="C380" s="11" t="s">
        <v>20915</v>
      </c>
      <c r="D380" s="2" t="s">
        <v>20916</v>
      </c>
      <c r="E380" s="2" t="s">
        <v>20917</v>
      </c>
    </row>
    <row r="381">
      <c r="A381" s="2" t="s">
        <v>20918</v>
      </c>
      <c r="B381" s="2" t="s">
        <v>20919</v>
      </c>
      <c r="C381" s="11" t="s">
        <v>20920</v>
      </c>
      <c r="D381" s="2" t="s">
        <v>20921</v>
      </c>
      <c r="E381" s="2" t="s">
        <v>20922</v>
      </c>
    </row>
    <row r="382">
      <c r="A382" s="2" t="s">
        <v>20923</v>
      </c>
      <c r="B382" s="2" t="s">
        <v>20924</v>
      </c>
      <c r="C382" s="11" t="s">
        <v>20925</v>
      </c>
      <c r="D382" s="2" t="s">
        <v>20926</v>
      </c>
      <c r="E382" s="2" t="s">
        <v>20927</v>
      </c>
    </row>
    <row r="383">
      <c r="A383" s="2" t="s">
        <v>20928</v>
      </c>
      <c r="B383" s="2" t="s">
        <v>20929</v>
      </c>
      <c r="C383" s="11" t="s">
        <v>20930</v>
      </c>
      <c r="D383" s="2" t="s">
        <v>20931</v>
      </c>
      <c r="E383" s="2" t="s">
        <v>20932</v>
      </c>
    </row>
    <row r="384">
      <c r="A384" s="2" t="s">
        <v>16048</v>
      </c>
      <c r="B384" s="2" t="s">
        <v>20933</v>
      </c>
      <c r="C384" s="11" t="s">
        <v>20934</v>
      </c>
      <c r="D384" s="2" t="s">
        <v>20935</v>
      </c>
      <c r="E384" s="2" t="s">
        <v>20936</v>
      </c>
    </row>
    <row r="385">
      <c r="A385" s="2" t="s">
        <v>20937</v>
      </c>
      <c r="B385" s="2" t="s">
        <v>20938</v>
      </c>
      <c r="C385" s="11" t="s">
        <v>20939</v>
      </c>
      <c r="D385" s="2" t="s">
        <v>20940</v>
      </c>
      <c r="E385" s="2" t="s">
        <v>20941</v>
      </c>
    </row>
    <row r="386">
      <c r="A386" s="2" t="s">
        <v>20942</v>
      </c>
      <c r="B386" s="2" t="s">
        <v>20943</v>
      </c>
      <c r="C386" s="11" t="s">
        <v>20944</v>
      </c>
      <c r="D386" s="2" t="s">
        <v>20945</v>
      </c>
      <c r="E386" s="2" t="s">
        <v>20946</v>
      </c>
    </row>
    <row r="387">
      <c r="A387" s="2" t="s">
        <v>20947</v>
      </c>
      <c r="B387" s="2" t="s">
        <v>20948</v>
      </c>
      <c r="C387" s="11" t="s">
        <v>20949</v>
      </c>
      <c r="D387" s="2" t="s">
        <v>20950</v>
      </c>
      <c r="E387" s="2" t="s">
        <v>20951</v>
      </c>
    </row>
    <row r="388">
      <c r="A388" s="2" t="s">
        <v>20952</v>
      </c>
      <c r="B388" s="2" t="s">
        <v>20953</v>
      </c>
      <c r="C388" s="11" t="s">
        <v>20954</v>
      </c>
      <c r="D388" s="2" t="s">
        <v>20955</v>
      </c>
      <c r="E388" s="2" t="s">
        <v>20956</v>
      </c>
    </row>
    <row r="389">
      <c r="A389" s="2" t="s">
        <v>20957</v>
      </c>
      <c r="B389" s="2" t="s">
        <v>20958</v>
      </c>
      <c r="C389" s="11" t="s">
        <v>20959</v>
      </c>
      <c r="D389" s="2" t="s">
        <v>20960</v>
      </c>
      <c r="E389" s="2" t="s">
        <v>20961</v>
      </c>
    </row>
    <row r="390">
      <c r="A390" s="2" t="s">
        <v>20962</v>
      </c>
      <c r="B390" s="2" t="s">
        <v>20963</v>
      </c>
      <c r="C390" s="11" t="s">
        <v>20964</v>
      </c>
      <c r="D390" s="2" t="s">
        <v>20965</v>
      </c>
      <c r="E390" s="2" t="s">
        <v>20966</v>
      </c>
    </row>
    <row r="391">
      <c r="A391" s="2" t="s">
        <v>20967</v>
      </c>
      <c r="B391" s="2" t="s">
        <v>20968</v>
      </c>
      <c r="C391" s="11" t="s">
        <v>20969</v>
      </c>
      <c r="D391" s="2" t="s">
        <v>20970</v>
      </c>
      <c r="E391" s="2" t="s">
        <v>20971</v>
      </c>
    </row>
    <row r="392">
      <c r="A392" s="2" t="s">
        <v>18309</v>
      </c>
      <c r="B392" s="2" t="s">
        <v>20972</v>
      </c>
      <c r="C392" s="11" t="s">
        <v>20973</v>
      </c>
      <c r="D392" s="2" t="s">
        <v>20974</v>
      </c>
      <c r="E392" s="2" t="s">
        <v>20975</v>
      </c>
    </row>
    <row r="393">
      <c r="A393" s="2" t="s">
        <v>20976</v>
      </c>
      <c r="B393" s="2" t="s">
        <v>20977</v>
      </c>
      <c r="C393" s="11" t="s">
        <v>20978</v>
      </c>
      <c r="D393" s="2" t="s">
        <v>20979</v>
      </c>
      <c r="E393" s="2" t="s">
        <v>20980</v>
      </c>
    </row>
    <row r="394">
      <c r="A394" s="2" t="s">
        <v>20981</v>
      </c>
      <c r="B394" s="2" t="s">
        <v>20982</v>
      </c>
      <c r="C394" s="11" t="s">
        <v>20983</v>
      </c>
      <c r="D394" s="2" t="s">
        <v>20984</v>
      </c>
      <c r="E394" s="2" t="s">
        <v>20985</v>
      </c>
    </row>
    <row r="395">
      <c r="A395" s="2" t="s">
        <v>17993</v>
      </c>
      <c r="B395" s="2" t="s">
        <v>20986</v>
      </c>
      <c r="C395" s="11" t="s">
        <v>20987</v>
      </c>
      <c r="D395" s="2" t="s">
        <v>20988</v>
      </c>
      <c r="E395" s="2" t="s">
        <v>20989</v>
      </c>
    </row>
    <row r="396">
      <c r="A396" s="2" t="s">
        <v>20990</v>
      </c>
      <c r="B396" s="2" t="s">
        <v>20991</v>
      </c>
      <c r="C396" s="11" t="s">
        <v>20992</v>
      </c>
      <c r="D396" s="2" t="s">
        <v>20993</v>
      </c>
      <c r="E396" s="2" t="s">
        <v>20994</v>
      </c>
    </row>
    <row r="397">
      <c r="A397" s="2" t="s">
        <v>20995</v>
      </c>
      <c r="B397" s="2" t="s">
        <v>20996</v>
      </c>
      <c r="C397" s="11" t="s">
        <v>20997</v>
      </c>
      <c r="D397" s="2" t="s">
        <v>20998</v>
      </c>
      <c r="E397" s="2" t="s">
        <v>20999</v>
      </c>
    </row>
    <row r="398">
      <c r="A398" s="2" t="s">
        <v>21000</v>
      </c>
      <c r="B398" s="2" t="s">
        <v>21001</v>
      </c>
      <c r="C398" s="11" t="s">
        <v>21002</v>
      </c>
      <c r="D398" s="2" t="s">
        <v>21003</v>
      </c>
      <c r="E398" s="2" t="s">
        <v>21004</v>
      </c>
    </row>
    <row r="399">
      <c r="A399" s="2" t="s">
        <v>21005</v>
      </c>
      <c r="B399" s="2" t="s">
        <v>21006</v>
      </c>
      <c r="C399" s="11" t="s">
        <v>21007</v>
      </c>
      <c r="D399" s="2" t="s">
        <v>21008</v>
      </c>
      <c r="E399" s="2" t="s">
        <v>21009</v>
      </c>
    </row>
    <row r="400">
      <c r="A400" s="2" t="s">
        <v>21010</v>
      </c>
      <c r="B400" s="2" t="s">
        <v>21011</v>
      </c>
      <c r="C400" s="11" t="s">
        <v>21012</v>
      </c>
      <c r="D400" s="2" t="s">
        <v>21013</v>
      </c>
      <c r="E400" s="2" t="s">
        <v>21014</v>
      </c>
    </row>
    <row r="401">
      <c r="A401" s="2" t="s">
        <v>18158</v>
      </c>
      <c r="B401" s="2" t="s">
        <v>21015</v>
      </c>
      <c r="C401" s="11" t="s">
        <v>21016</v>
      </c>
      <c r="D401" s="2" t="s">
        <v>21017</v>
      </c>
      <c r="E401" s="2" t="s">
        <v>21018</v>
      </c>
    </row>
    <row r="402">
      <c r="A402" s="2" t="s">
        <v>21019</v>
      </c>
      <c r="B402" s="2" t="s">
        <v>21020</v>
      </c>
      <c r="C402" s="11" t="s">
        <v>21021</v>
      </c>
      <c r="D402" s="2" t="s">
        <v>21022</v>
      </c>
      <c r="E402" s="2" t="s">
        <v>21023</v>
      </c>
    </row>
    <row r="403">
      <c r="A403" s="2" t="s">
        <v>18033</v>
      </c>
      <c r="B403" s="2" t="s">
        <v>21024</v>
      </c>
      <c r="C403" s="11" t="s">
        <v>21025</v>
      </c>
      <c r="D403" s="2" t="s">
        <v>21026</v>
      </c>
      <c r="E403" s="2" t="s">
        <v>21027</v>
      </c>
    </row>
    <row r="404">
      <c r="A404" s="2" t="s">
        <v>21028</v>
      </c>
      <c r="B404" s="2" t="s">
        <v>21029</v>
      </c>
      <c r="C404" s="11" t="s">
        <v>21030</v>
      </c>
      <c r="D404" s="2" t="s">
        <v>21031</v>
      </c>
      <c r="E404" s="2" t="s">
        <v>21032</v>
      </c>
    </row>
    <row r="405">
      <c r="A405" s="2" t="s">
        <v>18038</v>
      </c>
      <c r="B405" s="2" t="s">
        <v>21033</v>
      </c>
      <c r="C405" s="11" t="s">
        <v>21034</v>
      </c>
      <c r="D405" s="2" t="s">
        <v>21035</v>
      </c>
      <c r="E405" s="2" t="s">
        <v>21036</v>
      </c>
    </row>
    <row r="406">
      <c r="A406" s="2" t="s">
        <v>21037</v>
      </c>
      <c r="B406" s="2" t="s">
        <v>21038</v>
      </c>
      <c r="C406" s="11" t="s">
        <v>21039</v>
      </c>
      <c r="D406" s="2" t="s">
        <v>21040</v>
      </c>
      <c r="E406" s="2" t="s">
        <v>21041</v>
      </c>
    </row>
    <row r="407">
      <c r="A407" s="2" t="s">
        <v>21042</v>
      </c>
      <c r="B407" s="2" t="s">
        <v>21043</v>
      </c>
      <c r="C407" s="11" t="s">
        <v>21044</v>
      </c>
      <c r="D407" s="2" t="s">
        <v>21045</v>
      </c>
      <c r="E407" s="2" t="s">
        <v>21046</v>
      </c>
    </row>
    <row r="408">
      <c r="A408" s="2" t="s">
        <v>17983</v>
      </c>
      <c r="B408" s="2" t="s">
        <v>21047</v>
      </c>
      <c r="C408" s="11" t="s">
        <v>21048</v>
      </c>
      <c r="D408" s="2" t="s">
        <v>21049</v>
      </c>
      <c r="E408" s="2" t="s">
        <v>21050</v>
      </c>
    </row>
    <row r="409">
      <c r="A409" s="2" t="s">
        <v>21051</v>
      </c>
      <c r="B409" s="2" t="s">
        <v>21052</v>
      </c>
      <c r="C409" s="11" t="s">
        <v>21053</v>
      </c>
      <c r="D409" s="2" t="s">
        <v>21054</v>
      </c>
      <c r="E409" s="2" t="s">
        <v>21055</v>
      </c>
    </row>
    <row r="410">
      <c r="A410" s="2" t="s">
        <v>21056</v>
      </c>
      <c r="B410" s="2" t="s">
        <v>21057</v>
      </c>
      <c r="C410" s="11" t="s">
        <v>21058</v>
      </c>
      <c r="D410" s="2" t="s">
        <v>21059</v>
      </c>
      <c r="E410" s="2" t="s">
        <v>21060</v>
      </c>
    </row>
    <row r="411">
      <c r="A411" s="2" t="s">
        <v>21061</v>
      </c>
      <c r="B411" s="2" t="s">
        <v>21062</v>
      </c>
      <c r="C411" s="11" t="s">
        <v>21063</v>
      </c>
      <c r="D411" s="2" t="s">
        <v>21064</v>
      </c>
      <c r="E411" s="2" t="s">
        <v>21065</v>
      </c>
    </row>
    <row r="412">
      <c r="A412" s="2" t="s">
        <v>21066</v>
      </c>
      <c r="B412" s="2" t="s">
        <v>21067</v>
      </c>
      <c r="C412" s="11" t="s">
        <v>21068</v>
      </c>
      <c r="D412" s="2" t="s">
        <v>21069</v>
      </c>
      <c r="E412" s="2" t="s">
        <v>21070</v>
      </c>
    </row>
    <row r="413">
      <c r="A413" s="2" t="s">
        <v>21071</v>
      </c>
      <c r="B413" s="2" t="s">
        <v>21072</v>
      </c>
      <c r="C413" s="11" t="s">
        <v>21073</v>
      </c>
      <c r="D413" s="2" t="s">
        <v>21074</v>
      </c>
      <c r="E413" s="2" t="s">
        <v>21075</v>
      </c>
    </row>
    <row r="414">
      <c r="A414" s="2" t="s">
        <v>18627</v>
      </c>
      <c r="B414" s="2" t="s">
        <v>21076</v>
      </c>
      <c r="C414" s="11" t="s">
        <v>21077</v>
      </c>
      <c r="D414" s="2" t="s">
        <v>21078</v>
      </c>
      <c r="E414" s="2" t="s">
        <v>21079</v>
      </c>
    </row>
    <row r="415">
      <c r="A415" s="2" t="s">
        <v>18152</v>
      </c>
      <c r="B415" s="2" t="s">
        <v>21080</v>
      </c>
      <c r="C415" s="11" t="s">
        <v>21081</v>
      </c>
      <c r="D415" s="2" t="s">
        <v>21082</v>
      </c>
      <c r="E415" s="2" t="s">
        <v>21083</v>
      </c>
    </row>
    <row r="416">
      <c r="A416" s="2" t="s">
        <v>21084</v>
      </c>
      <c r="B416" s="2" t="s">
        <v>21085</v>
      </c>
      <c r="C416" s="11" t="s">
        <v>21086</v>
      </c>
      <c r="D416" s="2" t="s">
        <v>21087</v>
      </c>
      <c r="E416" s="2" t="s">
        <v>21088</v>
      </c>
    </row>
    <row r="417">
      <c r="A417" s="2" t="s">
        <v>21089</v>
      </c>
      <c r="B417" s="2" t="s">
        <v>21090</v>
      </c>
      <c r="C417" s="11" t="s">
        <v>21091</v>
      </c>
      <c r="D417" s="2" t="s">
        <v>21092</v>
      </c>
      <c r="E417" s="2" t="s">
        <v>21093</v>
      </c>
    </row>
    <row r="418">
      <c r="A418" s="2" t="s">
        <v>21094</v>
      </c>
      <c r="B418" s="2" t="s">
        <v>21095</v>
      </c>
      <c r="C418" s="11" t="s">
        <v>21096</v>
      </c>
      <c r="D418" s="2" t="s">
        <v>21097</v>
      </c>
      <c r="E418" s="2" t="s">
        <v>21098</v>
      </c>
    </row>
    <row r="419">
      <c r="A419" s="2" t="s">
        <v>21099</v>
      </c>
      <c r="B419" s="2" t="s">
        <v>21100</v>
      </c>
      <c r="C419" s="11" t="s">
        <v>21101</v>
      </c>
      <c r="D419" s="2" t="s">
        <v>21102</v>
      </c>
      <c r="E419" s="2" t="s">
        <v>21103</v>
      </c>
    </row>
    <row r="420">
      <c r="A420" s="2" t="s">
        <v>21104</v>
      </c>
      <c r="B420" s="2" t="s">
        <v>21105</v>
      </c>
      <c r="C420" s="11" t="s">
        <v>21106</v>
      </c>
      <c r="D420" s="2" t="s">
        <v>21107</v>
      </c>
      <c r="E420" s="2" t="s">
        <v>21108</v>
      </c>
    </row>
    <row r="421">
      <c r="A421" s="2" t="s">
        <v>21109</v>
      </c>
      <c r="B421" s="2" t="s">
        <v>21110</v>
      </c>
      <c r="C421" s="11" t="s">
        <v>21111</v>
      </c>
      <c r="D421" s="2" t="s">
        <v>21112</v>
      </c>
      <c r="E421" s="2" t="s">
        <v>21113</v>
      </c>
    </row>
    <row r="422">
      <c r="A422" s="2" t="s">
        <v>18533</v>
      </c>
      <c r="B422" s="2" t="s">
        <v>21114</v>
      </c>
      <c r="C422" s="11" t="s">
        <v>21115</v>
      </c>
      <c r="D422" s="2" t="s">
        <v>21116</v>
      </c>
      <c r="E422" s="2" t="s">
        <v>21117</v>
      </c>
    </row>
    <row r="423">
      <c r="A423" s="2" t="s">
        <v>18580</v>
      </c>
      <c r="B423" s="2" t="s">
        <v>21118</v>
      </c>
      <c r="C423" s="11" t="s">
        <v>21119</v>
      </c>
      <c r="D423" s="2" t="s">
        <v>21120</v>
      </c>
      <c r="E423" s="2" t="s">
        <v>21121</v>
      </c>
    </row>
    <row r="424">
      <c r="A424" s="2" t="s">
        <v>21122</v>
      </c>
      <c r="B424" s="2" t="s">
        <v>21123</v>
      </c>
      <c r="C424" s="11" t="s">
        <v>21124</v>
      </c>
      <c r="D424" s="2" t="s">
        <v>21125</v>
      </c>
      <c r="E424" s="2" t="s">
        <v>21126</v>
      </c>
    </row>
    <row r="425">
      <c r="A425" s="2" t="s">
        <v>21127</v>
      </c>
      <c r="B425" s="2" t="s">
        <v>21128</v>
      </c>
      <c r="C425" s="11" t="s">
        <v>21129</v>
      </c>
      <c r="D425" s="2" t="s">
        <v>21130</v>
      </c>
      <c r="E425" s="2" t="s">
        <v>21131</v>
      </c>
    </row>
    <row r="426">
      <c r="A426" s="2" t="s">
        <v>21132</v>
      </c>
      <c r="B426" s="2" t="s">
        <v>21133</v>
      </c>
      <c r="C426" s="11" t="s">
        <v>21134</v>
      </c>
      <c r="D426" s="2" t="s">
        <v>21135</v>
      </c>
      <c r="E426" s="2" t="s">
        <v>21136</v>
      </c>
    </row>
    <row r="427">
      <c r="A427" s="2" t="s">
        <v>21137</v>
      </c>
      <c r="B427" s="2" t="s">
        <v>21138</v>
      </c>
      <c r="C427" s="11" t="s">
        <v>21139</v>
      </c>
      <c r="D427" s="2" t="s">
        <v>21140</v>
      </c>
      <c r="E427" s="2" t="s">
        <v>21141</v>
      </c>
    </row>
    <row r="428">
      <c r="A428" s="2" t="s">
        <v>18496</v>
      </c>
      <c r="B428" s="2" t="s">
        <v>21142</v>
      </c>
      <c r="C428" s="11" t="s">
        <v>21143</v>
      </c>
      <c r="D428" s="2" t="s">
        <v>21144</v>
      </c>
      <c r="E428" s="2" t="s">
        <v>21145</v>
      </c>
    </row>
    <row r="429">
      <c r="A429" s="2" t="s">
        <v>21146</v>
      </c>
      <c r="B429" s="2" t="s">
        <v>21147</v>
      </c>
      <c r="C429" s="11" t="s">
        <v>21148</v>
      </c>
      <c r="D429" s="2" t="s">
        <v>21149</v>
      </c>
      <c r="E429" s="2" t="s">
        <v>21150</v>
      </c>
    </row>
    <row r="430">
      <c r="A430" s="2" t="s">
        <v>21151</v>
      </c>
      <c r="B430" s="2" t="s">
        <v>21152</v>
      </c>
      <c r="C430" s="11" t="s">
        <v>21153</v>
      </c>
      <c r="D430" s="2" t="s">
        <v>21154</v>
      </c>
      <c r="E430" s="2" t="s">
        <v>21155</v>
      </c>
    </row>
    <row r="431">
      <c r="A431" s="2" t="s">
        <v>21156</v>
      </c>
      <c r="B431" s="2" t="s">
        <v>21157</v>
      </c>
      <c r="C431" s="11" t="s">
        <v>21158</v>
      </c>
      <c r="D431" s="2" t="s">
        <v>21159</v>
      </c>
      <c r="E431" s="2" t="s">
        <v>21160</v>
      </c>
    </row>
    <row r="432">
      <c r="A432" s="2" t="s">
        <v>21161</v>
      </c>
      <c r="B432" s="2" t="s">
        <v>21162</v>
      </c>
      <c r="C432" s="11" t="s">
        <v>21163</v>
      </c>
      <c r="D432" s="2" t="s">
        <v>21164</v>
      </c>
      <c r="E432" s="2" t="s">
        <v>21165</v>
      </c>
    </row>
    <row r="433">
      <c r="A433" s="2" t="s">
        <v>21166</v>
      </c>
      <c r="B433" s="2" t="s">
        <v>21167</v>
      </c>
      <c r="C433" s="11" t="s">
        <v>21168</v>
      </c>
      <c r="D433" s="2" t="s">
        <v>21169</v>
      </c>
      <c r="E433" s="2" t="s">
        <v>21170</v>
      </c>
    </row>
    <row r="434">
      <c r="A434" s="2" t="s">
        <v>21171</v>
      </c>
      <c r="B434" s="2" t="s">
        <v>21172</v>
      </c>
      <c r="C434" s="11" t="s">
        <v>21173</v>
      </c>
      <c r="D434" s="2" t="s">
        <v>21174</v>
      </c>
      <c r="E434" s="2" t="s">
        <v>21175</v>
      </c>
    </row>
    <row r="435">
      <c r="A435" s="2" t="s">
        <v>21176</v>
      </c>
      <c r="B435" s="2" t="s">
        <v>21177</v>
      </c>
      <c r="C435" s="11" t="s">
        <v>21178</v>
      </c>
      <c r="D435" s="2" t="s">
        <v>21179</v>
      </c>
      <c r="E435" s="2" t="s">
        <v>21180</v>
      </c>
    </row>
    <row r="436">
      <c r="A436" s="2" t="s">
        <v>21181</v>
      </c>
      <c r="B436" s="2" t="s">
        <v>21182</v>
      </c>
      <c r="C436" s="11" t="s">
        <v>21183</v>
      </c>
      <c r="D436" s="2" t="s">
        <v>21184</v>
      </c>
      <c r="E436" s="2" t="s">
        <v>21185</v>
      </c>
    </row>
    <row r="437">
      <c r="A437" s="2" t="s">
        <v>21186</v>
      </c>
      <c r="B437" s="2" t="s">
        <v>21187</v>
      </c>
      <c r="C437" s="11" t="s">
        <v>21188</v>
      </c>
      <c r="D437" s="2" t="s">
        <v>21189</v>
      </c>
      <c r="E437" s="2" t="s">
        <v>21190</v>
      </c>
    </row>
    <row r="438">
      <c r="A438" s="2" t="s">
        <v>21191</v>
      </c>
      <c r="B438" s="2" t="s">
        <v>21192</v>
      </c>
      <c r="C438" s="11" t="s">
        <v>21193</v>
      </c>
      <c r="D438" s="2" t="s">
        <v>21194</v>
      </c>
      <c r="E438" s="2" t="s">
        <v>21195</v>
      </c>
    </row>
    <row r="439">
      <c r="A439" s="2" t="s">
        <v>21196</v>
      </c>
      <c r="B439" s="2" t="s">
        <v>21197</v>
      </c>
      <c r="C439" s="11" t="s">
        <v>21198</v>
      </c>
      <c r="D439" s="2" t="s">
        <v>21199</v>
      </c>
      <c r="E439" s="2" t="s">
        <v>21200</v>
      </c>
    </row>
    <row r="440">
      <c r="A440" s="2" t="s">
        <v>18352</v>
      </c>
      <c r="B440" s="2" t="s">
        <v>21201</v>
      </c>
      <c r="C440" s="11" t="s">
        <v>21202</v>
      </c>
      <c r="D440" s="2" t="s">
        <v>21203</v>
      </c>
      <c r="E440" s="2" t="s">
        <v>21204</v>
      </c>
    </row>
    <row r="441">
      <c r="A441" s="2" t="s">
        <v>18304</v>
      </c>
      <c r="B441" s="2" t="s">
        <v>21205</v>
      </c>
      <c r="C441" s="11" t="s">
        <v>21206</v>
      </c>
      <c r="D441" s="2" t="s">
        <v>21207</v>
      </c>
      <c r="E441" s="2" t="s">
        <v>21208</v>
      </c>
    </row>
    <row r="442">
      <c r="A442" s="2" t="s">
        <v>21209</v>
      </c>
      <c r="B442" s="2" t="s">
        <v>21210</v>
      </c>
      <c r="C442" s="11" t="s">
        <v>21211</v>
      </c>
      <c r="D442" s="2" t="s">
        <v>21212</v>
      </c>
      <c r="E442" s="2" t="s">
        <v>21213</v>
      </c>
    </row>
    <row r="443">
      <c r="A443" s="2" t="s">
        <v>21214</v>
      </c>
      <c r="B443" s="2" t="s">
        <v>21215</v>
      </c>
      <c r="C443" s="11" t="s">
        <v>21216</v>
      </c>
      <c r="D443" s="2" t="s">
        <v>21217</v>
      </c>
      <c r="E443" s="2" t="s">
        <v>21218</v>
      </c>
    </row>
    <row r="444">
      <c r="A444" s="2" t="s">
        <v>18001</v>
      </c>
      <c r="B444" s="2" t="s">
        <v>21219</v>
      </c>
      <c r="C444" s="11" t="s">
        <v>21220</v>
      </c>
      <c r="D444" s="2" t="s">
        <v>21221</v>
      </c>
      <c r="E444" s="2" t="s">
        <v>21222</v>
      </c>
    </row>
    <row r="445">
      <c r="A445" s="2" t="s">
        <v>21223</v>
      </c>
      <c r="B445" s="2" t="s">
        <v>21224</v>
      </c>
      <c r="C445" s="11" t="s">
        <v>21225</v>
      </c>
      <c r="D445" s="2" t="s">
        <v>21226</v>
      </c>
      <c r="E445" s="2" t="s">
        <v>21227</v>
      </c>
    </row>
    <row r="446">
      <c r="A446" s="2" t="s">
        <v>21228</v>
      </c>
      <c r="B446" s="2" t="s">
        <v>21229</v>
      </c>
      <c r="C446" s="11" t="s">
        <v>21230</v>
      </c>
      <c r="D446" s="2" t="s">
        <v>21231</v>
      </c>
      <c r="E446" s="2" t="s">
        <v>21232</v>
      </c>
    </row>
    <row r="447">
      <c r="A447" s="2" t="s">
        <v>21233</v>
      </c>
      <c r="B447" s="2" t="s">
        <v>21234</v>
      </c>
      <c r="C447" s="11" t="s">
        <v>21235</v>
      </c>
      <c r="D447" s="2" t="s">
        <v>21236</v>
      </c>
      <c r="E447" s="2" t="s">
        <v>21237</v>
      </c>
    </row>
    <row r="448">
      <c r="A448" s="2" t="s">
        <v>21238</v>
      </c>
      <c r="B448" s="2" t="s">
        <v>21239</v>
      </c>
      <c r="C448" s="11" t="s">
        <v>21240</v>
      </c>
      <c r="D448" s="2" t="s">
        <v>21241</v>
      </c>
      <c r="E448" s="2" t="s">
        <v>21242</v>
      </c>
    </row>
    <row r="449">
      <c r="A449" s="2" t="s">
        <v>21243</v>
      </c>
      <c r="B449" s="2" t="s">
        <v>21244</v>
      </c>
      <c r="C449" s="11" t="s">
        <v>21245</v>
      </c>
      <c r="D449" s="2" t="s">
        <v>21246</v>
      </c>
      <c r="E449" s="2" t="s">
        <v>21247</v>
      </c>
    </row>
    <row r="450">
      <c r="A450" s="2" t="s">
        <v>21248</v>
      </c>
      <c r="B450" s="2" t="s">
        <v>21249</v>
      </c>
      <c r="C450" s="11" t="s">
        <v>21250</v>
      </c>
      <c r="D450" s="2" t="s">
        <v>21251</v>
      </c>
      <c r="E450" s="2" t="s">
        <v>21252</v>
      </c>
    </row>
    <row r="451">
      <c r="A451" s="2" t="s">
        <v>21253</v>
      </c>
      <c r="B451" s="2" t="s">
        <v>21254</v>
      </c>
      <c r="C451" s="11" t="s">
        <v>21255</v>
      </c>
      <c r="D451" s="2" t="s">
        <v>21256</v>
      </c>
      <c r="E451" s="2" t="s">
        <v>21257</v>
      </c>
    </row>
    <row r="452">
      <c r="A452" s="2" t="s">
        <v>21258</v>
      </c>
      <c r="B452" s="2" t="s">
        <v>21259</v>
      </c>
      <c r="C452" s="11" t="s">
        <v>21260</v>
      </c>
      <c r="D452" s="2" t="s">
        <v>21261</v>
      </c>
      <c r="E452" s="2" t="s">
        <v>21262</v>
      </c>
    </row>
    <row r="453">
      <c r="A453" s="2" t="s">
        <v>21263</v>
      </c>
      <c r="B453" s="2" t="s">
        <v>21264</v>
      </c>
      <c r="C453" s="11" t="s">
        <v>21265</v>
      </c>
      <c r="D453" s="2" t="s">
        <v>21266</v>
      </c>
      <c r="E453" s="2" t="s">
        <v>21267</v>
      </c>
    </row>
    <row r="454">
      <c r="A454" s="2" t="s">
        <v>21268</v>
      </c>
      <c r="B454" s="2" t="s">
        <v>21269</v>
      </c>
      <c r="C454" s="11" t="s">
        <v>21270</v>
      </c>
      <c r="D454" s="2" t="s">
        <v>21271</v>
      </c>
      <c r="E454" s="2" t="s">
        <v>21272</v>
      </c>
    </row>
    <row r="455">
      <c r="A455" s="2" t="s">
        <v>21273</v>
      </c>
      <c r="B455" s="2" t="s">
        <v>21274</v>
      </c>
      <c r="C455" s="11" t="s">
        <v>21275</v>
      </c>
      <c r="D455" s="2" t="s">
        <v>21276</v>
      </c>
      <c r="E455" s="2" t="s">
        <v>21277</v>
      </c>
    </row>
    <row r="456">
      <c r="A456" s="2" t="s">
        <v>21278</v>
      </c>
      <c r="B456" s="2" t="s">
        <v>21279</v>
      </c>
      <c r="C456" s="11" t="s">
        <v>21280</v>
      </c>
      <c r="D456" s="2" t="s">
        <v>21281</v>
      </c>
      <c r="E456" s="2" t="s">
        <v>21282</v>
      </c>
    </row>
    <row r="457">
      <c r="A457" s="2" t="s">
        <v>21283</v>
      </c>
      <c r="B457" s="2" t="s">
        <v>21284</v>
      </c>
      <c r="C457" s="11" t="s">
        <v>21285</v>
      </c>
      <c r="D457" s="2" t="s">
        <v>21286</v>
      </c>
      <c r="E457" s="2" t="s">
        <v>21287</v>
      </c>
    </row>
    <row r="458">
      <c r="A458" s="2" t="s">
        <v>21288</v>
      </c>
      <c r="B458" s="2" t="s">
        <v>21289</v>
      </c>
      <c r="C458" s="11" t="s">
        <v>21290</v>
      </c>
      <c r="D458" s="2" t="s">
        <v>21291</v>
      </c>
      <c r="E458" s="2" t="s">
        <v>21292</v>
      </c>
    </row>
    <row r="459">
      <c r="A459" s="2" t="s">
        <v>21293</v>
      </c>
      <c r="B459" s="2" t="s">
        <v>21294</v>
      </c>
      <c r="C459" s="11" t="s">
        <v>21295</v>
      </c>
      <c r="D459" s="2" t="s">
        <v>21296</v>
      </c>
      <c r="E459" s="2" t="s">
        <v>21297</v>
      </c>
    </row>
    <row r="460">
      <c r="A460" s="2" t="s">
        <v>21298</v>
      </c>
      <c r="B460" s="2" t="s">
        <v>21299</v>
      </c>
      <c r="C460" s="11" t="s">
        <v>21300</v>
      </c>
      <c r="D460" s="2" t="s">
        <v>21301</v>
      </c>
      <c r="E460" s="2" t="s">
        <v>21302</v>
      </c>
    </row>
    <row r="461">
      <c r="A461" s="2" t="s">
        <v>21303</v>
      </c>
      <c r="B461" s="2" t="s">
        <v>21304</v>
      </c>
      <c r="C461" s="11" t="s">
        <v>21305</v>
      </c>
      <c r="D461" s="2" t="s">
        <v>21306</v>
      </c>
      <c r="E461" s="2" t="s">
        <v>21307</v>
      </c>
    </row>
    <row r="462">
      <c r="A462" s="2" t="s">
        <v>21308</v>
      </c>
      <c r="B462" s="2" t="s">
        <v>21309</v>
      </c>
      <c r="C462" s="11" t="s">
        <v>21310</v>
      </c>
      <c r="D462" s="2" t="s">
        <v>21311</v>
      </c>
      <c r="E462" s="2" t="s">
        <v>21312</v>
      </c>
    </row>
    <row r="463">
      <c r="A463" s="2" t="s">
        <v>21313</v>
      </c>
      <c r="B463" s="2" t="s">
        <v>21314</v>
      </c>
      <c r="C463" s="11" t="s">
        <v>21315</v>
      </c>
      <c r="D463" s="2" t="s">
        <v>21316</v>
      </c>
      <c r="E463" s="2" t="s">
        <v>21317</v>
      </c>
    </row>
    <row r="464">
      <c r="A464" s="2" t="s">
        <v>21318</v>
      </c>
      <c r="B464" s="2" t="s">
        <v>21319</v>
      </c>
      <c r="C464" s="11" t="s">
        <v>21320</v>
      </c>
      <c r="D464" s="2" t="s">
        <v>21321</v>
      </c>
      <c r="E464" s="2" t="s">
        <v>21322</v>
      </c>
    </row>
    <row r="465">
      <c r="A465" s="2" t="s">
        <v>21323</v>
      </c>
      <c r="B465" s="2" t="s">
        <v>21324</v>
      </c>
      <c r="C465" s="11" t="s">
        <v>21325</v>
      </c>
      <c r="D465" s="2" t="s">
        <v>21326</v>
      </c>
      <c r="E465" s="2" t="s">
        <v>21327</v>
      </c>
    </row>
    <row r="466">
      <c r="A466" s="2" t="s">
        <v>21328</v>
      </c>
      <c r="B466" s="2" t="s">
        <v>21329</v>
      </c>
      <c r="C466" s="11" t="s">
        <v>21330</v>
      </c>
      <c r="D466" s="2" t="s">
        <v>21331</v>
      </c>
      <c r="E466" s="2" t="s">
        <v>21332</v>
      </c>
    </row>
    <row r="467">
      <c r="A467" s="2" t="s">
        <v>21333</v>
      </c>
      <c r="B467" s="2" t="s">
        <v>21334</v>
      </c>
      <c r="C467" s="11" t="s">
        <v>21335</v>
      </c>
      <c r="D467" s="2" t="s">
        <v>21336</v>
      </c>
      <c r="E467" s="2" t="s">
        <v>21337</v>
      </c>
    </row>
    <row r="468">
      <c r="A468" s="2" t="s">
        <v>21338</v>
      </c>
      <c r="B468" s="2" t="s">
        <v>21339</v>
      </c>
      <c r="C468" s="11" t="s">
        <v>21340</v>
      </c>
      <c r="D468" s="2" t="s">
        <v>21341</v>
      </c>
      <c r="E468" s="2" t="s">
        <v>21342</v>
      </c>
    </row>
    <row r="469">
      <c r="A469" s="2" t="s">
        <v>21343</v>
      </c>
      <c r="B469" s="2" t="s">
        <v>21344</v>
      </c>
      <c r="C469" s="11" t="s">
        <v>21345</v>
      </c>
      <c r="D469" s="2" t="s">
        <v>21346</v>
      </c>
      <c r="E469" s="2" t="s">
        <v>21347</v>
      </c>
    </row>
    <row r="470">
      <c r="A470" s="2" t="s">
        <v>21348</v>
      </c>
      <c r="B470" s="2" t="s">
        <v>21349</v>
      </c>
      <c r="C470" s="11" t="s">
        <v>21350</v>
      </c>
      <c r="D470" s="2" t="s">
        <v>21351</v>
      </c>
      <c r="E470" s="2" t="s">
        <v>21352</v>
      </c>
    </row>
    <row r="471">
      <c r="A471" s="2" t="s">
        <v>21353</v>
      </c>
      <c r="B471" s="2" t="s">
        <v>21354</v>
      </c>
      <c r="C471" s="11" t="s">
        <v>21355</v>
      </c>
      <c r="D471" s="2" t="s">
        <v>21356</v>
      </c>
      <c r="E471" s="2" t="s">
        <v>21357</v>
      </c>
    </row>
    <row r="472">
      <c r="A472" s="2" t="s">
        <v>21358</v>
      </c>
      <c r="B472" s="2" t="s">
        <v>21359</v>
      </c>
      <c r="C472" s="11" t="s">
        <v>21360</v>
      </c>
      <c r="D472" s="2" t="s">
        <v>21361</v>
      </c>
      <c r="E472" s="2" t="s">
        <v>21362</v>
      </c>
    </row>
    <row r="473">
      <c r="A473" s="2" t="s">
        <v>21363</v>
      </c>
      <c r="B473" s="2" t="s">
        <v>21364</v>
      </c>
      <c r="C473" s="11" t="s">
        <v>21365</v>
      </c>
      <c r="D473" s="2" t="s">
        <v>21366</v>
      </c>
      <c r="E473" s="2" t="s">
        <v>21367</v>
      </c>
    </row>
    <row r="474">
      <c r="A474" s="2" t="s">
        <v>21368</v>
      </c>
      <c r="B474" s="2" t="s">
        <v>21369</v>
      </c>
      <c r="C474" s="11" t="s">
        <v>21370</v>
      </c>
      <c r="D474" s="2" t="s">
        <v>21371</v>
      </c>
      <c r="E474" s="2" t="s">
        <v>21372</v>
      </c>
    </row>
    <row r="475">
      <c r="A475" s="2" t="s">
        <v>21373</v>
      </c>
      <c r="B475" s="2" t="s">
        <v>21374</v>
      </c>
      <c r="C475" s="11" t="s">
        <v>21375</v>
      </c>
      <c r="D475" s="2" t="s">
        <v>21376</v>
      </c>
      <c r="E475" s="2" t="s">
        <v>21377</v>
      </c>
    </row>
    <row r="476">
      <c r="A476" s="2" t="s">
        <v>21378</v>
      </c>
      <c r="B476" s="2" t="s">
        <v>21379</v>
      </c>
      <c r="C476" s="11" t="s">
        <v>21380</v>
      </c>
      <c r="D476" s="2" t="s">
        <v>21381</v>
      </c>
      <c r="E476" s="2" t="s">
        <v>21382</v>
      </c>
    </row>
    <row r="477">
      <c r="A477" s="2" t="s">
        <v>21383</v>
      </c>
      <c r="B477" s="2" t="s">
        <v>21384</v>
      </c>
      <c r="C477" s="11" t="s">
        <v>21385</v>
      </c>
      <c r="D477" s="2" t="s">
        <v>21386</v>
      </c>
      <c r="E477" s="2" t="s">
        <v>21387</v>
      </c>
    </row>
    <row r="478">
      <c r="A478" s="2" t="s">
        <v>21388</v>
      </c>
      <c r="B478" s="2" t="s">
        <v>21389</v>
      </c>
      <c r="C478" s="11" t="s">
        <v>21390</v>
      </c>
      <c r="D478" s="2" t="s">
        <v>21391</v>
      </c>
      <c r="E478" s="2" t="s">
        <v>21392</v>
      </c>
    </row>
    <row r="479">
      <c r="A479" s="2" t="s">
        <v>21393</v>
      </c>
      <c r="B479" s="2" t="s">
        <v>21394</v>
      </c>
      <c r="C479" s="11" t="s">
        <v>21395</v>
      </c>
      <c r="D479" s="2" t="s">
        <v>21396</v>
      </c>
      <c r="E479" s="2" t="s">
        <v>21397</v>
      </c>
    </row>
    <row r="480">
      <c r="A480" s="2" t="s">
        <v>21398</v>
      </c>
      <c r="B480" s="2" t="s">
        <v>21399</v>
      </c>
      <c r="C480" s="11" t="s">
        <v>21400</v>
      </c>
      <c r="D480" s="2" t="s">
        <v>21401</v>
      </c>
      <c r="E480" s="2" t="s">
        <v>21402</v>
      </c>
    </row>
    <row r="481">
      <c r="A481" s="2" t="s">
        <v>21403</v>
      </c>
      <c r="B481" s="2" t="s">
        <v>21404</v>
      </c>
      <c r="C481" s="11" t="s">
        <v>21405</v>
      </c>
      <c r="D481" s="2" t="s">
        <v>21406</v>
      </c>
      <c r="E481" s="2" t="s">
        <v>21407</v>
      </c>
    </row>
    <row r="482">
      <c r="A482" s="2" t="s">
        <v>21408</v>
      </c>
      <c r="B482" s="2" t="s">
        <v>21409</v>
      </c>
      <c r="C482" s="11" t="s">
        <v>21410</v>
      </c>
      <c r="D482" s="2" t="s">
        <v>21411</v>
      </c>
      <c r="E482" s="2" t="s">
        <v>21412</v>
      </c>
    </row>
    <row r="483">
      <c r="A483" s="2" t="s">
        <v>21413</v>
      </c>
      <c r="B483" s="2" t="s">
        <v>21414</v>
      </c>
      <c r="C483" s="11" t="s">
        <v>21415</v>
      </c>
      <c r="D483" s="2" t="s">
        <v>21416</v>
      </c>
      <c r="E483" s="2" t="s">
        <v>21417</v>
      </c>
    </row>
    <row r="484">
      <c r="A484" s="2" t="s">
        <v>21418</v>
      </c>
      <c r="B484" s="2" t="s">
        <v>21419</v>
      </c>
      <c r="C484" s="11" t="s">
        <v>21420</v>
      </c>
      <c r="D484" s="2" t="s">
        <v>21421</v>
      </c>
      <c r="E484" s="2" t="s">
        <v>21422</v>
      </c>
    </row>
    <row r="485">
      <c r="A485" s="2" t="s">
        <v>21423</v>
      </c>
      <c r="B485" s="2" t="s">
        <v>21424</v>
      </c>
      <c r="C485" s="11" t="s">
        <v>21425</v>
      </c>
      <c r="D485" s="2" t="s">
        <v>21426</v>
      </c>
      <c r="E485" s="2" t="s">
        <v>21427</v>
      </c>
    </row>
    <row r="486">
      <c r="A486" s="2" t="s">
        <v>21428</v>
      </c>
      <c r="B486" s="2" t="s">
        <v>21429</v>
      </c>
      <c r="C486" s="11" t="s">
        <v>21430</v>
      </c>
      <c r="D486" s="2" t="s">
        <v>21431</v>
      </c>
      <c r="E486" s="2" t="s">
        <v>21432</v>
      </c>
    </row>
    <row r="487">
      <c r="A487" s="2" t="s">
        <v>21433</v>
      </c>
      <c r="B487" s="2" t="s">
        <v>21434</v>
      </c>
      <c r="C487" s="11" t="s">
        <v>21435</v>
      </c>
      <c r="D487" s="2" t="s">
        <v>21436</v>
      </c>
      <c r="E487" s="2" t="s">
        <v>21437</v>
      </c>
    </row>
    <row r="488">
      <c r="A488" s="2" t="s">
        <v>21438</v>
      </c>
      <c r="B488" s="2" t="s">
        <v>21439</v>
      </c>
      <c r="C488" s="11" t="s">
        <v>21440</v>
      </c>
      <c r="D488" s="2" t="s">
        <v>21441</v>
      </c>
      <c r="E488" s="2" t="s">
        <v>21442</v>
      </c>
    </row>
    <row r="489">
      <c r="A489" s="2" t="s">
        <v>21443</v>
      </c>
      <c r="B489" s="2" t="s">
        <v>21444</v>
      </c>
      <c r="C489" s="11" t="s">
        <v>21445</v>
      </c>
      <c r="D489" s="2" t="s">
        <v>21446</v>
      </c>
      <c r="E489" s="2" t="s">
        <v>21447</v>
      </c>
    </row>
    <row r="490">
      <c r="A490" s="2" t="s">
        <v>21448</v>
      </c>
      <c r="B490" s="2" t="s">
        <v>21449</v>
      </c>
      <c r="C490" s="11" t="s">
        <v>21450</v>
      </c>
      <c r="D490" s="2" t="s">
        <v>21451</v>
      </c>
      <c r="E490" s="2" t="s">
        <v>21452</v>
      </c>
    </row>
    <row r="491">
      <c r="A491" s="2" t="s">
        <v>21453</v>
      </c>
      <c r="B491" s="2" t="s">
        <v>21454</v>
      </c>
      <c r="C491" s="11" t="s">
        <v>21455</v>
      </c>
      <c r="D491" s="2" t="s">
        <v>21456</v>
      </c>
      <c r="E491" s="2" t="s">
        <v>21457</v>
      </c>
    </row>
    <row r="492">
      <c r="A492" s="2" t="s">
        <v>21458</v>
      </c>
      <c r="B492" s="2" t="s">
        <v>21459</v>
      </c>
      <c r="C492" s="11" t="s">
        <v>21460</v>
      </c>
      <c r="D492" s="2" t="s">
        <v>21461</v>
      </c>
      <c r="E492" s="2" t="s">
        <v>21462</v>
      </c>
    </row>
    <row r="493">
      <c r="A493" s="2" t="s">
        <v>21463</v>
      </c>
      <c r="B493" s="2" t="s">
        <v>21464</v>
      </c>
      <c r="C493" s="11" t="s">
        <v>21465</v>
      </c>
      <c r="D493" s="2" t="s">
        <v>21466</v>
      </c>
      <c r="E493" s="2" t="s">
        <v>21467</v>
      </c>
    </row>
    <row r="494">
      <c r="A494" s="2" t="s">
        <v>21468</v>
      </c>
      <c r="B494" s="2" t="s">
        <v>21469</v>
      </c>
      <c r="C494" s="11" t="s">
        <v>21470</v>
      </c>
      <c r="D494" s="2" t="s">
        <v>21471</v>
      </c>
      <c r="E494" s="2" t="s">
        <v>21472</v>
      </c>
    </row>
    <row r="495">
      <c r="A495" s="2" t="s">
        <v>21473</v>
      </c>
      <c r="B495" s="2" t="s">
        <v>21474</v>
      </c>
      <c r="C495" s="11" t="s">
        <v>21475</v>
      </c>
      <c r="D495" s="2" t="s">
        <v>21476</v>
      </c>
      <c r="E495" s="2" t="s">
        <v>21477</v>
      </c>
    </row>
    <row r="496">
      <c r="A496" s="2" t="s">
        <v>21478</v>
      </c>
      <c r="B496" s="2" t="s">
        <v>21479</v>
      </c>
      <c r="C496" s="11" t="s">
        <v>21480</v>
      </c>
      <c r="D496" s="2" t="s">
        <v>21481</v>
      </c>
      <c r="E496" s="2" t="s">
        <v>21482</v>
      </c>
    </row>
    <row r="497">
      <c r="A497" s="2" t="s">
        <v>21483</v>
      </c>
      <c r="B497" s="2" t="s">
        <v>21484</v>
      </c>
      <c r="C497" s="11" t="s">
        <v>21485</v>
      </c>
      <c r="D497" s="2" t="s">
        <v>21486</v>
      </c>
      <c r="E497" s="2" t="s">
        <v>21487</v>
      </c>
    </row>
    <row r="498">
      <c r="A498" s="2" t="s">
        <v>21488</v>
      </c>
      <c r="B498" s="2" t="s">
        <v>21489</v>
      </c>
      <c r="C498" s="11" t="s">
        <v>21490</v>
      </c>
      <c r="D498" s="2" t="s">
        <v>21491</v>
      </c>
      <c r="E498" s="2" t="s">
        <v>21492</v>
      </c>
    </row>
    <row r="499">
      <c r="A499" s="2" t="s">
        <v>21493</v>
      </c>
      <c r="B499" s="2" t="s">
        <v>21494</v>
      </c>
      <c r="C499" s="11" t="s">
        <v>21495</v>
      </c>
      <c r="D499" s="2" t="s">
        <v>21496</v>
      </c>
      <c r="E499" s="2" t="s">
        <v>21497</v>
      </c>
    </row>
    <row r="500">
      <c r="A500" s="2" t="s">
        <v>21498</v>
      </c>
      <c r="B500" s="2" t="s">
        <v>21499</v>
      </c>
      <c r="C500" s="11" t="s">
        <v>21500</v>
      </c>
      <c r="D500" s="2" t="s">
        <v>21501</v>
      </c>
      <c r="E500" s="2" t="s">
        <v>21502</v>
      </c>
    </row>
    <row r="501">
      <c r="A501" s="2" t="s">
        <v>21503</v>
      </c>
      <c r="B501" s="2" t="s">
        <v>21504</v>
      </c>
      <c r="C501" s="11" t="s">
        <v>21505</v>
      </c>
      <c r="D501" s="2" t="s">
        <v>21506</v>
      </c>
      <c r="E501" s="2" t="s">
        <v>21507</v>
      </c>
    </row>
    <row r="502">
      <c r="A502" s="2" t="s">
        <v>21508</v>
      </c>
      <c r="B502" s="2" t="s">
        <v>21509</v>
      </c>
      <c r="C502" s="11" t="s">
        <v>21510</v>
      </c>
      <c r="D502" s="2" t="s">
        <v>21511</v>
      </c>
      <c r="E502" s="2" t="s">
        <v>21512</v>
      </c>
    </row>
    <row r="503">
      <c r="A503" s="2" t="s">
        <v>21513</v>
      </c>
      <c r="B503" s="2" t="s">
        <v>21514</v>
      </c>
      <c r="C503" s="11" t="s">
        <v>21515</v>
      </c>
      <c r="D503" s="2" t="s">
        <v>21516</v>
      </c>
      <c r="E503" s="2" t="s">
        <v>21517</v>
      </c>
    </row>
    <row r="504">
      <c r="A504" s="2" t="s">
        <v>18544</v>
      </c>
      <c r="B504" s="2" t="s">
        <v>21518</v>
      </c>
      <c r="C504" s="11" t="s">
        <v>21519</v>
      </c>
      <c r="D504" s="2" t="s">
        <v>21520</v>
      </c>
      <c r="E504" s="2" t="s">
        <v>21521</v>
      </c>
    </row>
    <row r="505">
      <c r="A505" s="2" t="s">
        <v>21522</v>
      </c>
      <c r="B505" s="2" t="s">
        <v>21523</v>
      </c>
      <c r="C505" s="11" t="s">
        <v>21524</v>
      </c>
      <c r="D505" s="2" t="s">
        <v>21525</v>
      </c>
      <c r="E505" s="2" t="s">
        <v>21526</v>
      </c>
    </row>
    <row r="506">
      <c r="A506" s="2" t="s">
        <v>21527</v>
      </c>
      <c r="B506" s="2" t="s">
        <v>21528</v>
      </c>
      <c r="C506" s="11" t="s">
        <v>21529</v>
      </c>
      <c r="D506" s="2" t="s">
        <v>21530</v>
      </c>
      <c r="E506" s="2" t="s">
        <v>21531</v>
      </c>
    </row>
    <row r="507">
      <c r="A507" s="2" t="s">
        <v>21532</v>
      </c>
      <c r="B507" s="2" t="s">
        <v>21533</v>
      </c>
      <c r="C507" s="11" t="s">
        <v>21534</v>
      </c>
      <c r="D507" s="2" t="s">
        <v>21535</v>
      </c>
      <c r="E507" s="2" t="s">
        <v>21536</v>
      </c>
    </row>
    <row r="508">
      <c r="A508" s="2" t="s">
        <v>21537</v>
      </c>
      <c r="B508" s="2" t="s">
        <v>21538</v>
      </c>
      <c r="C508" s="11" t="s">
        <v>21539</v>
      </c>
      <c r="D508" s="2" t="s">
        <v>21540</v>
      </c>
      <c r="E508" s="2" t="s">
        <v>21541</v>
      </c>
    </row>
    <row r="509">
      <c r="A509" s="2" t="s">
        <v>21542</v>
      </c>
      <c r="B509" s="2" t="s">
        <v>21543</v>
      </c>
      <c r="C509" s="11" t="s">
        <v>21544</v>
      </c>
      <c r="D509" s="2" t="s">
        <v>21545</v>
      </c>
      <c r="E509" s="2" t="s">
        <v>21546</v>
      </c>
    </row>
    <row r="510">
      <c r="A510" s="2" t="s">
        <v>21547</v>
      </c>
      <c r="B510" s="2" t="s">
        <v>21548</v>
      </c>
      <c r="C510" s="11" t="s">
        <v>21549</v>
      </c>
      <c r="D510" s="2" t="s">
        <v>21550</v>
      </c>
      <c r="E510" s="2" t="s">
        <v>21551</v>
      </c>
    </row>
    <row r="511">
      <c r="A511" s="2" t="s">
        <v>21552</v>
      </c>
      <c r="B511" s="2" t="s">
        <v>21553</v>
      </c>
      <c r="C511" s="11" t="s">
        <v>21554</v>
      </c>
      <c r="D511" s="2" t="s">
        <v>21555</v>
      </c>
      <c r="E511" s="2" t="s">
        <v>21556</v>
      </c>
    </row>
    <row r="512">
      <c r="A512" s="2" t="s">
        <v>18376</v>
      </c>
      <c r="B512" s="2" t="s">
        <v>21557</v>
      </c>
      <c r="C512" s="11" t="s">
        <v>21558</v>
      </c>
      <c r="D512" s="2" t="s">
        <v>21559</v>
      </c>
      <c r="E512" s="2" t="s">
        <v>21560</v>
      </c>
    </row>
    <row r="513">
      <c r="A513" s="2" t="s">
        <v>18314</v>
      </c>
      <c r="B513" s="2" t="s">
        <v>21561</v>
      </c>
      <c r="C513" s="11" t="s">
        <v>21562</v>
      </c>
      <c r="D513" s="2" t="s">
        <v>21563</v>
      </c>
      <c r="E513" s="2" t="s">
        <v>21564</v>
      </c>
    </row>
    <row r="514">
      <c r="A514" s="2" t="s">
        <v>21565</v>
      </c>
      <c r="B514" s="2" t="s">
        <v>21566</v>
      </c>
      <c r="C514" s="11" t="s">
        <v>21567</v>
      </c>
      <c r="D514" s="2" t="s">
        <v>21568</v>
      </c>
      <c r="E514" s="2" t="s">
        <v>21569</v>
      </c>
    </row>
    <row r="515">
      <c r="A515" s="2" t="s">
        <v>21570</v>
      </c>
      <c r="B515" s="2" t="s">
        <v>21571</v>
      </c>
      <c r="C515" s="11" t="s">
        <v>21572</v>
      </c>
      <c r="D515" s="2" t="s">
        <v>21573</v>
      </c>
      <c r="E515" s="2" t="s">
        <v>21574</v>
      </c>
    </row>
    <row r="516">
      <c r="A516" s="2" t="s">
        <v>21575</v>
      </c>
      <c r="B516" s="2" t="s">
        <v>21576</v>
      </c>
      <c r="C516" s="11" t="s">
        <v>21577</v>
      </c>
      <c r="D516" s="2" t="s">
        <v>21578</v>
      </c>
      <c r="E516" s="2" t="s">
        <v>21579</v>
      </c>
    </row>
    <row r="517">
      <c r="A517" s="2" t="s">
        <v>21580</v>
      </c>
      <c r="B517" s="2" t="s">
        <v>21581</v>
      </c>
      <c r="C517" s="11" t="s">
        <v>21582</v>
      </c>
      <c r="D517" s="2" t="s">
        <v>21583</v>
      </c>
      <c r="E517" s="2" t="s">
        <v>21584</v>
      </c>
    </row>
    <row r="518">
      <c r="A518" s="2" t="s">
        <v>21585</v>
      </c>
      <c r="B518" s="2" t="s">
        <v>21586</v>
      </c>
      <c r="C518" s="11" t="s">
        <v>21587</v>
      </c>
      <c r="D518" s="2" t="s">
        <v>21588</v>
      </c>
      <c r="E518" s="2" t="s">
        <v>21589</v>
      </c>
    </row>
    <row r="519">
      <c r="A519" s="2" t="s">
        <v>21590</v>
      </c>
      <c r="B519" s="2" t="s">
        <v>21591</v>
      </c>
      <c r="C519" s="11" t="s">
        <v>21592</v>
      </c>
      <c r="D519" s="2" t="s">
        <v>21593</v>
      </c>
      <c r="E519" s="2" t="s">
        <v>21594</v>
      </c>
    </row>
    <row r="520">
      <c r="A520" s="2" t="s">
        <v>21595</v>
      </c>
      <c r="B520" s="14" t="s">
        <v>21596</v>
      </c>
      <c r="C520" s="11" t="s">
        <v>21597</v>
      </c>
      <c r="D520" s="2" t="s">
        <v>21598</v>
      </c>
      <c r="E520" s="2" t="s">
        <v>21599</v>
      </c>
    </row>
    <row r="521">
      <c r="A521" s="2" t="s">
        <v>21600</v>
      </c>
      <c r="B521" s="2" t="s">
        <v>21601</v>
      </c>
      <c r="C521" s="11" t="s">
        <v>21602</v>
      </c>
      <c r="D521" s="2" t="s">
        <v>21603</v>
      </c>
      <c r="E521" s="2" t="s">
        <v>21604</v>
      </c>
    </row>
    <row r="522">
      <c r="A522" s="2" t="s">
        <v>21605</v>
      </c>
      <c r="B522" s="2" t="s">
        <v>21606</v>
      </c>
      <c r="C522" s="11" t="s">
        <v>21607</v>
      </c>
      <c r="D522" s="2" t="s">
        <v>21608</v>
      </c>
      <c r="E522" s="2" t="s">
        <v>21609</v>
      </c>
    </row>
    <row r="523">
      <c r="A523" s="2" t="s">
        <v>21610</v>
      </c>
      <c r="B523" s="2" t="s">
        <v>21611</v>
      </c>
      <c r="C523" s="11" t="s">
        <v>21612</v>
      </c>
      <c r="D523" s="2" t="s">
        <v>21613</v>
      </c>
      <c r="E523" s="2" t="s">
        <v>21614</v>
      </c>
    </row>
    <row r="524">
      <c r="A524" s="2" t="s">
        <v>21615</v>
      </c>
      <c r="B524" s="2" t="s">
        <v>21616</v>
      </c>
      <c r="C524" s="11" t="s">
        <v>21617</v>
      </c>
      <c r="D524" s="2" t="s">
        <v>21618</v>
      </c>
      <c r="E524" s="2" t="s">
        <v>21619</v>
      </c>
    </row>
    <row r="525">
      <c r="A525" s="2" t="s">
        <v>21620</v>
      </c>
      <c r="B525" s="2" t="s">
        <v>21621</v>
      </c>
      <c r="C525" s="11" t="s">
        <v>21622</v>
      </c>
      <c r="D525" s="2" t="s">
        <v>21623</v>
      </c>
      <c r="E525" s="2" t="s">
        <v>21624</v>
      </c>
    </row>
    <row r="526">
      <c r="A526" s="2" t="s">
        <v>21625</v>
      </c>
      <c r="B526" s="2" t="s">
        <v>21626</v>
      </c>
      <c r="C526" s="11" t="s">
        <v>21627</v>
      </c>
      <c r="D526" s="2" t="s">
        <v>21628</v>
      </c>
      <c r="E526" s="2" t="s">
        <v>21629</v>
      </c>
    </row>
    <row r="527">
      <c r="A527" s="2" t="s">
        <v>21630</v>
      </c>
      <c r="B527" s="2" t="s">
        <v>21631</v>
      </c>
      <c r="C527" s="11" t="s">
        <v>21632</v>
      </c>
      <c r="D527" s="2" t="s">
        <v>21633</v>
      </c>
      <c r="E527" s="2" t="s">
        <v>21634</v>
      </c>
    </row>
    <row r="528">
      <c r="A528" s="2" t="s">
        <v>21635</v>
      </c>
      <c r="B528" s="2" t="s">
        <v>21636</v>
      </c>
      <c r="C528" s="11" t="s">
        <v>21637</v>
      </c>
      <c r="D528" s="2" t="s">
        <v>21638</v>
      </c>
      <c r="E528" s="2" t="s">
        <v>21639</v>
      </c>
    </row>
    <row r="529">
      <c r="A529" s="2" t="s">
        <v>18593</v>
      </c>
      <c r="B529" s="2" t="s">
        <v>21640</v>
      </c>
      <c r="C529" s="11" t="s">
        <v>21641</v>
      </c>
      <c r="D529" s="2" t="s">
        <v>21642</v>
      </c>
      <c r="E529" s="2" t="s">
        <v>21643</v>
      </c>
    </row>
    <row r="530">
      <c r="A530" s="2" t="s">
        <v>18246</v>
      </c>
      <c r="B530" s="2" t="s">
        <v>21644</v>
      </c>
      <c r="C530" s="11" t="s">
        <v>21645</v>
      </c>
      <c r="D530" s="2" t="s">
        <v>21646</v>
      </c>
      <c r="E530" s="2" t="s">
        <v>21647</v>
      </c>
    </row>
    <row r="531">
      <c r="A531" s="2" t="s">
        <v>21648</v>
      </c>
      <c r="B531" s="2" t="s">
        <v>21649</v>
      </c>
      <c r="C531" s="11" t="s">
        <v>21650</v>
      </c>
      <c r="D531" s="2" t="s">
        <v>21651</v>
      </c>
      <c r="E531" s="2" t="s">
        <v>21652</v>
      </c>
    </row>
    <row r="532">
      <c r="A532" s="2" t="s">
        <v>21653</v>
      </c>
      <c r="B532" s="2" t="s">
        <v>21654</v>
      </c>
      <c r="C532" s="11" t="s">
        <v>21655</v>
      </c>
      <c r="D532" s="2" t="s">
        <v>21656</v>
      </c>
      <c r="E532" s="2" t="s">
        <v>21657</v>
      </c>
    </row>
    <row r="533">
      <c r="A533" s="2" t="s">
        <v>21658</v>
      </c>
      <c r="B533" s="2" t="s">
        <v>21659</v>
      </c>
      <c r="C533" s="11" t="s">
        <v>21660</v>
      </c>
      <c r="D533" s="2" t="s">
        <v>21661</v>
      </c>
      <c r="E533" s="2" t="s">
        <v>21662</v>
      </c>
    </row>
    <row r="534">
      <c r="A534" s="2" t="s">
        <v>21663</v>
      </c>
      <c r="B534" s="2" t="s">
        <v>21664</v>
      </c>
      <c r="C534" s="11" t="s">
        <v>21665</v>
      </c>
      <c r="D534" s="2" t="s">
        <v>21666</v>
      </c>
      <c r="E534" s="2" t="s">
        <v>21667</v>
      </c>
    </row>
    <row r="535">
      <c r="A535" s="2" t="s">
        <v>21668</v>
      </c>
      <c r="B535" s="2" t="s">
        <v>21669</v>
      </c>
      <c r="C535" s="11" t="s">
        <v>21670</v>
      </c>
      <c r="D535" s="2" t="s">
        <v>21671</v>
      </c>
      <c r="E535" s="2" t="s">
        <v>21672</v>
      </c>
    </row>
    <row r="536">
      <c r="A536" s="2" t="s">
        <v>21673</v>
      </c>
      <c r="B536" s="2" t="s">
        <v>21674</v>
      </c>
      <c r="C536" s="11" t="s">
        <v>21675</v>
      </c>
      <c r="D536" s="2" t="s">
        <v>21676</v>
      </c>
      <c r="E536" s="2" t="s">
        <v>21677</v>
      </c>
    </row>
    <row r="537">
      <c r="A537" s="2" t="s">
        <v>21678</v>
      </c>
      <c r="B537" s="2" t="s">
        <v>21679</v>
      </c>
      <c r="C537" s="11" t="s">
        <v>21680</v>
      </c>
      <c r="D537" s="2" t="s">
        <v>21681</v>
      </c>
      <c r="E537" s="2" t="s">
        <v>21682</v>
      </c>
    </row>
    <row r="538">
      <c r="A538" s="2" t="s">
        <v>21683</v>
      </c>
      <c r="B538" s="2" t="s">
        <v>21684</v>
      </c>
      <c r="C538" s="11" t="s">
        <v>21685</v>
      </c>
      <c r="D538" s="2" t="s">
        <v>21686</v>
      </c>
      <c r="E538" s="2" t="s">
        <v>21687</v>
      </c>
    </row>
    <row r="539">
      <c r="A539" s="2" t="s">
        <v>21688</v>
      </c>
      <c r="B539" s="2" t="s">
        <v>21689</v>
      </c>
      <c r="C539" s="11" t="s">
        <v>21690</v>
      </c>
      <c r="D539" s="2" t="s">
        <v>21691</v>
      </c>
      <c r="E539" s="2" t="s">
        <v>21692</v>
      </c>
    </row>
    <row r="540">
      <c r="A540" s="2" t="s">
        <v>21693</v>
      </c>
      <c r="B540" s="2" t="s">
        <v>21694</v>
      </c>
      <c r="C540" s="11" t="s">
        <v>21695</v>
      </c>
      <c r="D540" s="2" t="s">
        <v>21696</v>
      </c>
      <c r="E540" s="2" t="s">
        <v>21697</v>
      </c>
    </row>
    <row r="541">
      <c r="A541" s="2" t="s">
        <v>15168</v>
      </c>
      <c r="B541" s="2" t="s">
        <v>21698</v>
      </c>
      <c r="C541" s="11" t="s">
        <v>21699</v>
      </c>
      <c r="D541" s="2" t="s">
        <v>21700</v>
      </c>
      <c r="E541" s="2" t="s">
        <v>21701</v>
      </c>
    </row>
    <row r="542">
      <c r="A542" s="2" t="s">
        <v>21702</v>
      </c>
      <c r="B542" s="2" t="s">
        <v>21703</v>
      </c>
      <c r="C542" s="11" t="s">
        <v>21704</v>
      </c>
      <c r="D542" s="2" t="s">
        <v>21705</v>
      </c>
      <c r="E542" s="2" t="s">
        <v>21706</v>
      </c>
    </row>
    <row r="543">
      <c r="A543" s="2" t="s">
        <v>21707</v>
      </c>
      <c r="B543" s="2" t="s">
        <v>21708</v>
      </c>
      <c r="C543" s="11" t="s">
        <v>21709</v>
      </c>
      <c r="D543" s="2" t="s">
        <v>21710</v>
      </c>
      <c r="E543" s="2" t="s">
        <v>21711</v>
      </c>
    </row>
    <row r="544">
      <c r="A544" s="2" t="s">
        <v>21712</v>
      </c>
      <c r="B544" s="2" t="s">
        <v>21713</v>
      </c>
      <c r="C544" s="11" t="s">
        <v>21714</v>
      </c>
      <c r="D544" s="2" t="s">
        <v>21715</v>
      </c>
      <c r="E544" s="2" t="s">
        <v>21716</v>
      </c>
    </row>
    <row r="545">
      <c r="A545" s="2" t="s">
        <v>21717</v>
      </c>
      <c r="B545" s="2" t="s">
        <v>21718</v>
      </c>
      <c r="C545" s="11" t="s">
        <v>21719</v>
      </c>
      <c r="D545" s="2" t="s">
        <v>21720</v>
      </c>
      <c r="E545" s="2" t="s">
        <v>21721</v>
      </c>
    </row>
    <row r="546">
      <c r="A546" s="2" t="s">
        <v>21722</v>
      </c>
      <c r="B546" s="2" t="s">
        <v>21723</v>
      </c>
      <c r="C546" s="11" t="s">
        <v>21724</v>
      </c>
      <c r="D546" s="2" t="s">
        <v>21725</v>
      </c>
      <c r="E546" s="2" t="s">
        <v>21726</v>
      </c>
    </row>
    <row r="547">
      <c r="A547" s="2" t="s">
        <v>18020</v>
      </c>
      <c r="B547" s="2" t="s">
        <v>21727</v>
      </c>
      <c r="C547" s="11" t="s">
        <v>21728</v>
      </c>
      <c r="D547" s="2" t="s">
        <v>21729</v>
      </c>
      <c r="E547" s="2" t="s">
        <v>21730</v>
      </c>
    </row>
    <row r="548">
      <c r="A548" s="2" t="s">
        <v>21731</v>
      </c>
      <c r="B548" s="2" t="s">
        <v>21732</v>
      </c>
      <c r="C548" s="11" t="s">
        <v>21733</v>
      </c>
      <c r="D548" s="2" t="s">
        <v>21734</v>
      </c>
      <c r="E548" s="2" t="s">
        <v>21735</v>
      </c>
    </row>
    <row r="549">
      <c r="A549" s="2" t="s">
        <v>21736</v>
      </c>
      <c r="B549" s="2" t="s">
        <v>21737</v>
      </c>
      <c r="C549" s="11" t="s">
        <v>21738</v>
      </c>
      <c r="D549" s="2" t="s">
        <v>21739</v>
      </c>
      <c r="E549" s="2" t="s">
        <v>21740</v>
      </c>
    </row>
    <row r="550">
      <c r="A550" s="2" t="s">
        <v>21741</v>
      </c>
      <c r="B550" s="2" t="s">
        <v>21742</v>
      </c>
      <c r="C550" s="11" t="s">
        <v>21743</v>
      </c>
      <c r="D550" s="2" t="s">
        <v>21744</v>
      </c>
      <c r="E550" s="2" t="s">
        <v>21745</v>
      </c>
    </row>
    <row r="551">
      <c r="A551" s="2" t="s">
        <v>21746</v>
      </c>
      <c r="B551" s="2" t="s">
        <v>21747</v>
      </c>
      <c r="C551" s="11" t="s">
        <v>21748</v>
      </c>
      <c r="D551" s="2" t="s">
        <v>21749</v>
      </c>
      <c r="E551" s="2" t="s">
        <v>21750</v>
      </c>
    </row>
    <row r="552">
      <c r="A552" s="2" t="s">
        <v>21751</v>
      </c>
      <c r="B552" s="2" t="s">
        <v>21752</v>
      </c>
      <c r="C552" s="11" t="s">
        <v>21753</v>
      </c>
      <c r="D552" s="2" t="s">
        <v>21754</v>
      </c>
      <c r="E552" s="2" t="s">
        <v>21755</v>
      </c>
    </row>
    <row r="553">
      <c r="A553" s="2" t="s">
        <v>18641</v>
      </c>
      <c r="B553" s="2" t="s">
        <v>21756</v>
      </c>
      <c r="C553" s="11" t="s">
        <v>21757</v>
      </c>
      <c r="D553" s="2" t="s">
        <v>21758</v>
      </c>
      <c r="E553" s="2" t="s">
        <v>21759</v>
      </c>
    </row>
    <row r="554">
      <c r="A554" s="2" t="s">
        <v>21760</v>
      </c>
      <c r="B554" s="2" t="s">
        <v>21761</v>
      </c>
      <c r="C554" s="11" t="s">
        <v>21762</v>
      </c>
      <c r="D554" s="2" t="s">
        <v>21763</v>
      </c>
      <c r="E554" s="2" t="s">
        <v>21764</v>
      </c>
    </row>
    <row r="555">
      <c r="A555" s="2" t="s">
        <v>21765</v>
      </c>
      <c r="B555" s="2" t="s">
        <v>21766</v>
      </c>
      <c r="C555" s="11" t="s">
        <v>21767</v>
      </c>
      <c r="D555" s="2" t="s">
        <v>21768</v>
      </c>
      <c r="E555" s="2" t="s">
        <v>21769</v>
      </c>
    </row>
    <row r="556">
      <c r="A556" s="2" t="s">
        <v>21770</v>
      </c>
      <c r="B556" s="2" t="s">
        <v>21771</v>
      </c>
      <c r="C556" s="11" t="s">
        <v>21772</v>
      </c>
      <c r="D556" s="2" t="s">
        <v>21773</v>
      </c>
      <c r="E556" s="2" t="s">
        <v>21774</v>
      </c>
    </row>
    <row r="557">
      <c r="A557" s="2" t="s">
        <v>21775</v>
      </c>
      <c r="B557" s="2" t="s">
        <v>21776</v>
      </c>
      <c r="C557" s="11" t="s">
        <v>21777</v>
      </c>
      <c r="D557" s="2" t="s">
        <v>21778</v>
      </c>
      <c r="E557" s="2" t="s">
        <v>21779</v>
      </c>
    </row>
    <row r="558">
      <c r="A558" s="2" t="s">
        <v>21780</v>
      </c>
      <c r="B558" s="2" t="s">
        <v>21781</v>
      </c>
      <c r="C558" s="11" t="s">
        <v>21782</v>
      </c>
      <c r="D558" s="2" t="s">
        <v>21783</v>
      </c>
      <c r="E558" s="2" t="s">
        <v>21784</v>
      </c>
    </row>
    <row r="559">
      <c r="A559" s="2" t="s">
        <v>21785</v>
      </c>
      <c r="B559" s="2" t="s">
        <v>21786</v>
      </c>
      <c r="C559" s="11" t="s">
        <v>21787</v>
      </c>
      <c r="D559" s="2" t="s">
        <v>21788</v>
      </c>
      <c r="E559" s="2" t="s">
        <v>21789</v>
      </c>
    </row>
    <row r="560">
      <c r="A560" s="2" t="s">
        <v>21790</v>
      </c>
      <c r="B560" s="2" t="s">
        <v>21791</v>
      </c>
      <c r="C560" s="11" t="s">
        <v>21792</v>
      </c>
      <c r="D560" s="2" t="s">
        <v>21793</v>
      </c>
      <c r="E560" s="2" t="s">
        <v>21794</v>
      </c>
    </row>
    <row r="561">
      <c r="A561" s="2" t="s">
        <v>21795</v>
      </c>
      <c r="B561" s="2" t="s">
        <v>21796</v>
      </c>
      <c r="C561" s="11" t="s">
        <v>21797</v>
      </c>
      <c r="D561" s="2" t="s">
        <v>21798</v>
      </c>
      <c r="E561" s="2" t="s">
        <v>21799</v>
      </c>
    </row>
    <row r="562">
      <c r="A562" s="2" t="s">
        <v>21800</v>
      </c>
      <c r="B562" s="2" t="s">
        <v>21801</v>
      </c>
      <c r="C562" s="11" t="s">
        <v>21802</v>
      </c>
      <c r="D562" s="2" t="s">
        <v>21803</v>
      </c>
      <c r="E562" s="2" t="s">
        <v>21804</v>
      </c>
    </row>
    <row r="563">
      <c r="A563" s="2" t="s">
        <v>21805</v>
      </c>
      <c r="B563" s="2" t="s">
        <v>21806</v>
      </c>
      <c r="C563" s="11" t="s">
        <v>21807</v>
      </c>
      <c r="D563" s="2" t="s">
        <v>21808</v>
      </c>
      <c r="E563" s="2" t="s">
        <v>21809</v>
      </c>
    </row>
    <row r="564">
      <c r="A564" s="2" t="s">
        <v>18571</v>
      </c>
      <c r="B564" s="2" t="s">
        <v>21810</v>
      </c>
      <c r="C564" s="11" t="s">
        <v>21811</v>
      </c>
      <c r="D564" s="2" t="s">
        <v>21812</v>
      </c>
      <c r="E564" s="2" t="s">
        <v>21813</v>
      </c>
    </row>
    <row r="565">
      <c r="A565" s="2" t="s">
        <v>21814</v>
      </c>
      <c r="B565" s="2" t="s">
        <v>21815</v>
      </c>
      <c r="C565" s="11" t="s">
        <v>21816</v>
      </c>
      <c r="D565" s="2" t="s">
        <v>21817</v>
      </c>
      <c r="E565" s="2" t="s">
        <v>21818</v>
      </c>
    </row>
    <row r="566">
      <c r="A566" s="2" t="s">
        <v>21819</v>
      </c>
      <c r="B566" s="2" t="s">
        <v>21820</v>
      </c>
      <c r="C566" s="11" t="s">
        <v>21821</v>
      </c>
      <c r="D566" s="2" t="s">
        <v>21822</v>
      </c>
      <c r="E566" s="2" t="s">
        <v>21823</v>
      </c>
    </row>
    <row r="567">
      <c r="A567" s="2" t="s">
        <v>21824</v>
      </c>
      <c r="B567" s="2" t="s">
        <v>21825</v>
      </c>
      <c r="C567" s="11" t="s">
        <v>21826</v>
      </c>
      <c r="D567" s="2" t="s">
        <v>21827</v>
      </c>
      <c r="E567" s="2" t="s">
        <v>21828</v>
      </c>
    </row>
    <row r="568">
      <c r="A568" s="2" t="s">
        <v>21829</v>
      </c>
      <c r="B568" s="2" t="s">
        <v>21830</v>
      </c>
      <c r="C568" s="11" t="s">
        <v>21831</v>
      </c>
      <c r="D568" s="2" t="s">
        <v>21832</v>
      </c>
      <c r="E568" s="2" t="s">
        <v>21833</v>
      </c>
    </row>
    <row r="569">
      <c r="A569" s="2" t="s">
        <v>21834</v>
      </c>
      <c r="B569" s="2" t="s">
        <v>21835</v>
      </c>
      <c r="C569" s="11" t="s">
        <v>21836</v>
      </c>
      <c r="D569" s="2" t="s">
        <v>21837</v>
      </c>
      <c r="E569" s="2" t="s">
        <v>21838</v>
      </c>
    </row>
    <row r="570">
      <c r="A570" s="2" t="s">
        <v>21839</v>
      </c>
      <c r="B570" s="2" t="s">
        <v>21840</v>
      </c>
      <c r="C570" s="11" t="s">
        <v>21841</v>
      </c>
      <c r="D570" s="2" t="s">
        <v>21842</v>
      </c>
      <c r="E570" s="2" t="s">
        <v>21843</v>
      </c>
    </row>
    <row r="571">
      <c r="A571" s="2" t="s">
        <v>21844</v>
      </c>
      <c r="B571" s="2" t="s">
        <v>21845</v>
      </c>
      <c r="C571" s="11" t="s">
        <v>21846</v>
      </c>
      <c r="D571" s="2" t="s">
        <v>21847</v>
      </c>
      <c r="E571" s="2" t="s">
        <v>21848</v>
      </c>
    </row>
    <row r="572">
      <c r="A572" s="2" t="s">
        <v>21849</v>
      </c>
      <c r="B572" s="2" t="s">
        <v>21850</v>
      </c>
      <c r="C572" s="11" t="s">
        <v>21851</v>
      </c>
      <c r="D572" s="2" t="s">
        <v>21852</v>
      </c>
      <c r="E572" s="2" t="s">
        <v>21853</v>
      </c>
    </row>
    <row r="573">
      <c r="A573" s="2" t="s">
        <v>21854</v>
      </c>
      <c r="B573" s="2" t="s">
        <v>21855</v>
      </c>
      <c r="C573" s="11" t="s">
        <v>21856</v>
      </c>
      <c r="D573" s="2" t="s">
        <v>21857</v>
      </c>
      <c r="E573" s="2" t="s">
        <v>21858</v>
      </c>
    </row>
    <row r="574">
      <c r="A574" s="2" t="s">
        <v>21859</v>
      </c>
      <c r="B574" s="2" t="s">
        <v>21860</v>
      </c>
      <c r="C574" s="11" t="s">
        <v>21861</v>
      </c>
      <c r="D574" s="2" t="s">
        <v>21862</v>
      </c>
      <c r="E574" s="2" t="s">
        <v>21863</v>
      </c>
    </row>
    <row r="575">
      <c r="A575" s="2" t="s">
        <v>21864</v>
      </c>
      <c r="B575" s="2" t="s">
        <v>21865</v>
      </c>
      <c r="C575" s="11" t="s">
        <v>21866</v>
      </c>
      <c r="D575" s="2" t="s">
        <v>21867</v>
      </c>
      <c r="E575" s="2" t="s">
        <v>21868</v>
      </c>
    </row>
    <row r="576">
      <c r="A576" s="2" t="s">
        <v>21869</v>
      </c>
      <c r="B576" s="2" t="s">
        <v>21870</v>
      </c>
      <c r="C576" s="11" t="s">
        <v>21871</v>
      </c>
      <c r="D576" s="2" t="s">
        <v>21872</v>
      </c>
      <c r="E576" s="2" t="s">
        <v>21873</v>
      </c>
    </row>
    <row r="577">
      <c r="A577" s="2" t="s">
        <v>21874</v>
      </c>
      <c r="B577" s="2" t="s">
        <v>21875</v>
      </c>
      <c r="C577" s="11" t="s">
        <v>21876</v>
      </c>
      <c r="D577" s="2" t="s">
        <v>21877</v>
      </c>
      <c r="E577" s="2" t="s">
        <v>21878</v>
      </c>
    </row>
    <row r="578">
      <c r="A578" s="2" t="s">
        <v>21879</v>
      </c>
      <c r="B578" s="2" t="s">
        <v>21880</v>
      </c>
      <c r="C578" s="11" t="s">
        <v>21881</v>
      </c>
      <c r="D578" s="2" t="s">
        <v>21882</v>
      </c>
      <c r="E578" s="2" t="s">
        <v>21883</v>
      </c>
    </row>
    <row r="579">
      <c r="A579" s="2" t="s">
        <v>18113</v>
      </c>
      <c r="B579" s="2" t="s">
        <v>21884</v>
      </c>
      <c r="C579" s="11" t="s">
        <v>21885</v>
      </c>
      <c r="D579" s="2" t="s">
        <v>21886</v>
      </c>
      <c r="E579" s="2" t="s">
        <v>21887</v>
      </c>
    </row>
    <row r="580">
      <c r="A580" s="2" t="s">
        <v>21888</v>
      </c>
      <c r="B580" s="2" t="s">
        <v>21889</v>
      </c>
      <c r="C580" s="11" t="s">
        <v>21890</v>
      </c>
      <c r="D580" s="2" t="s">
        <v>21891</v>
      </c>
      <c r="E580" s="2" t="s">
        <v>21892</v>
      </c>
    </row>
    <row r="581">
      <c r="A581" s="2" t="s">
        <v>21893</v>
      </c>
      <c r="B581" s="2" t="s">
        <v>21894</v>
      </c>
      <c r="C581" s="11" t="s">
        <v>21895</v>
      </c>
      <c r="D581" s="2" t="s">
        <v>21896</v>
      </c>
      <c r="E581" s="2" t="s">
        <v>21897</v>
      </c>
    </row>
    <row r="582">
      <c r="A582" s="2" t="s">
        <v>21898</v>
      </c>
      <c r="B582" s="2" t="s">
        <v>21899</v>
      </c>
      <c r="C582" s="11" t="s">
        <v>21900</v>
      </c>
      <c r="D582" s="2" t="s">
        <v>21901</v>
      </c>
      <c r="E582" s="2" t="s">
        <v>21902</v>
      </c>
    </row>
    <row r="583">
      <c r="A583" s="2" t="s">
        <v>18076</v>
      </c>
      <c r="B583" s="2" t="s">
        <v>21903</v>
      </c>
      <c r="C583" s="11" t="s">
        <v>21904</v>
      </c>
      <c r="D583" s="2" t="s">
        <v>21905</v>
      </c>
      <c r="E583" s="2" t="s">
        <v>21906</v>
      </c>
    </row>
    <row r="584">
      <c r="A584" s="2" t="s">
        <v>21907</v>
      </c>
      <c r="B584" s="2" t="s">
        <v>21908</v>
      </c>
      <c r="C584" s="11" t="s">
        <v>21909</v>
      </c>
      <c r="D584" s="2" t="s">
        <v>21910</v>
      </c>
      <c r="E584" s="2" t="s">
        <v>21911</v>
      </c>
    </row>
    <row r="585">
      <c r="A585" s="2" t="s">
        <v>21912</v>
      </c>
      <c r="B585" s="2" t="s">
        <v>21913</v>
      </c>
      <c r="C585" s="11" t="s">
        <v>21914</v>
      </c>
      <c r="D585" s="2" t="s">
        <v>21915</v>
      </c>
      <c r="E585" s="2" t="s">
        <v>21916</v>
      </c>
    </row>
    <row r="586">
      <c r="A586" s="2" t="s">
        <v>21917</v>
      </c>
      <c r="B586" s="2" t="s">
        <v>21918</v>
      </c>
      <c r="C586" s="11" t="s">
        <v>21919</v>
      </c>
      <c r="D586" s="2" t="s">
        <v>21920</v>
      </c>
      <c r="E586" s="2" t="s">
        <v>21921</v>
      </c>
    </row>
    <row r="587">
      <c r="A587" s="2" t="s">
        <v>21922</v>
      </c>
      <c r="B587" s="2" t="s">
        <v>21923</v>
      </c>
      <c r="C587" s="11" t="s">
        <v>21924</v>
      </c>
      <c r="D587" s="2" t="s">
        <v>21925</v>
      </c>
      <c r="E587" s="2" t="s">
        <v>21926</v>
      </c>
    </row>
    <row r="588">
      <c r="A588" s="2" t="s">
        <v>21927</v>
      </c>
      <c r="B588" s="2" t="s">
        <v>21928</v>
      </c>
      <c r="C588" s="11" t="s">
        <v>21929</v>
      </c>
      <c r="D588" s="2" t="s">
        <v>21930</v>
      </c>
      <c r="E588" s="2" t="s">
        <v>21931</v>
      </c>
    </row>
    <row r="589">
      <c r="A589" s="2" t="s">
        <v>21932</v>
      </c>
      <c r="B589" s="2" t="s">
        <v>21933</v>
      </c>
      <c r="C589" s="11" t="s">
        <v>21934</v>
      </c>
      <c r="D589" s="2" t="s">
        <v>21935</v>
      </c>
      <c r="E589" s="2" t="s">
        <v>21936</v>
      </c>
    </row>
    <row r="590">
      <c r="A590" s="2" t="s">
        <v>21937</v>
      </c>
      <c r="B590" s="2" t="s">
        <v>21938</v>
      </c>
      <c r="C590" s="11" t="s">
        <v>21939</v>
      </c>
      <c r="D590" s="2" t="s">
        <v>21940</v>
      </c>
      <c r="E590" s="2" t="s">
        <v>21941</v>
      </c>
    </row>
    <row r="591">
      <c r="A591" s="2" t="s">
        <v>21942</v>
      </c>
      <c r="B591" s="2" t="s">
        <v>21943</v>
      </c>
      <c r="C591" s="11" t="s">
        <v>21944</v>
      </c>
      <c r="D591" s="2" t="s">
        <v>21945</v>
      </c>
      <c r="E591" s="2" t="s">
        <v>21946</v>
      </c>
    </row>
    <row r="592">
      <c r="A592" s="2" t="s">
        <v>21947</v>
      </c>
      <c r="B592" s="2" t="s">
        <v>21948</v>
      </c>
      <c r="C592" s="11" t="s">
        <v>21949</v>
      </c>
      <c r="D592" s="2" t="s">
        <v>21950</v>
      </c>
      <c r="E592" s="2" t="s">
        <v>21951</v>
      </c>
    </row>
    <row r="593">
      <c r="A593" s="2" t="s">
        <v>21952</v>
      </c>
      <c r="B593" s="2" t="s">
        <v>21953</v>
      </c>
      <c r="C593" s="11" t="s">
        <v>21954</v>
      </c>
      <c r="D593" s="2" t="s">
        <v>21955</v>
      </c>
      <c r="E593" s="2" t="s">
        <v>21956</v>
      </c>
    </row>
    <row r="594">
      <c r="A594" s="2" t="s">
        <v>21957</v>
      </c>
      <c r="B594" s="2" t="s">
        <v>21958</v>
      </c>
      <c r="C594" s="11" t="s">
        <v>21959</v>
      </c>
      <c r="D594" s="2" t="s">
        <v>21960</v>
      </c>
      <c r="E594" s="2" t="s">
        <v>21961</v>
      </c>
    </row>
    <row r="595">
      <c r="A595" s="2" t="s">
        <v>21962</v>
      </c>
      <c r="B595" s="2" t="s">
        <v>21963</v>
      </c>
      <c r="C595" s="11" t="s">
        <v>21964</v>
      </c>
      <c r="D595" s="2" t="s">
        <v>21965</v>
      </c>
      <c r="E595" s="2" t="s">
        <v>21966</v>
      </c>
    </row>
    <row r="596">
      <c r="A596" s="2" t="s">
        <v>21967</v>
      </c>
      <c r="B596" s="2" t="s">
        <v>21968</v>
      </c>
      <c r="C596" s="11" t="s">
        <v>21969</v>
      </c>
      <c r="D596" s="2" t="s">
        <v>21970</v>
      </c>
      <c r="E596" s="2" t="s">
        <v>21971</v>
      </c>
    </row>
    <row r="597">
      <c r="A597" s="2" t="s">
        <v>21972</v>
      </c>
      <c r="B597" s="2" t="s">
        <v>21973</v>
      </c>
      <c r="C597" s="11" t="s">
        <v>21974</v>
      </c>
      <c r="D597" s="2" t="s">
        <v>21975</v>
      </c>
      <c r="E597" s="2" t="s">
        <v>21976</v>
      </c>
    </row>
    <row r="598">
      <c r="A598" s="2" t="s">
        <v>21977</v>
      </c>
      <c r="B598" s="2" t="s">
        <v>21978</v>
      </c>
      <c r="C598" s="11" t="s">
        <v>21979</v>
      </c>
      <c r="D598" s="2" t="s">
        <v>21980</v>
      </c>
      <c r="E598" s="2" t="s">
        <v>21981</v>
      </c>
    </row>
    <row r="599">
      <c r="A599" s="2" t="s">
        <v>21982</v>
      </c>
      <c r="B599" s="2" t="s">
        <v>21983</v>
      </c>
      <c r="C599" s="11" t="s">
        <v>21984</v>
      </c>
      <c r="D599" s="2" t="s">
        <v>21985</v>
      </c>
      <c r="E599" s="2" t="s">
        <v>21986</v>
      </c>
    </row>
    <row r="600">
      <c r="A600" s="2" t="s">
        <v>18134</v>
      </c>
      <c r="B600" s="2" t="s">
        <v>21987</v>
      </c>
      <c r="C600" s="11" t="s">
        <v>21988</v>
      </c>
      <c r="D600" s="2" t="s">
        <v>21989</v>
      </c>
      <c r="E600" s="2" t="s">
        <v>21990</v>
      </c>
    </row>
    <row r="601">
      <c r="A601" s="2" t="s">
        <v>21991</v>
      </c>
      <c r="B601" s="2" t="s">
        <v>21992</v>
      </c>
      <c r="C601" s="11" t="s">
        <v>21993</v>
      </c>
      <c r="D601" s="2" t="s">
        <v>21994</v>
      </c>
      <c r="E601" s="2" t="s">
        <v>21995</v>
      </c>
    </row>
    <row r="602">
      <c r="A602" s="2" t="s">
        <v>21996</v>
      </c>
      <c r="B602" s="2" t="s">
        <v>21997</v>
      </c>
      <c r="C602" s="11" t="s">
        <v>21998</v>
      </c>
      <c r="D602" s="2" t="s">
        <v>21999</v>
      </c>
      <c r="E602" s="2" t="s">
        <v>22000</v>
      </c>
    </row>
    <row r="603">
      <c r="A603" s="2" t="s">
        <v>22001</v>
      </c>
      <c r="B603" s="2" t="s">
        <v>22002</v>
      </c>
      <c r="C603" s="11" t="s">
        <v>22003</v>
      </c>
      <c r="D603" s="2" t="s">
        <v>22004</v>
      </c>
      <c r="E603" s="2" t="s">
        <v>22005</v>
      </c>
    </row>
    <row r="604">
      <c r="A604" s="2" t="s">
        <v>22006</v>
      </c>
      <c r="B604" s="2" t="s">
        <v>22007</v>
      </c>
      <c r="C604" s="11" t="s">
        <v>22008</v>
      </c>
      <c r="D604" s="2" t="s">
        <v>22009</v>
      </c>
      <c r="E604" s="2" t="s">
        <v>22010</v>
      </c>
    </row>
    <row r="605">
      <c r="A605" s="2" t="s">
        <v>18398</v>
      </c>
      <c r="B605" s="2" t="s">
        <v>22011</v>
      </c>
      <c r="C605" s="11" t="s">
        <v>22012</v>
      </c>
      <c r="D605" s="2" t="s">
        <v>22013</v>
      </c>
      <c r="E605" s="2" t="s">
        <v>22014</v>
      </c>
    </row>
    <row r="606">
      <c r="A606" s="2" t="s">
        <v>22015</v>
      </c>
      <c r="B606" s="2" t="s">
        <v>22016</v>
      </c>
      <c r="C606" s="11" t="s">
        <v>22017</v>
      </c>
      <c r="D606" s="2" t="s">
        <v>22018</v>
      </c>
      <c r="E606" s="2" t="s">
        <v>22019</v>
      </c>
    </row>
    <row r="607">
      <c r="A607" s="2" t="s">
        <v>18594</v>
      </c>
      <c r="B607" s="2" t="s">
        <v>22020</v>
      </c>
      <c r="C607" s="11" t="s">
        <v>22021</v>
      </c>
      <c r="D607" s="2" t="s">
        <v>22022</v>
      </c>
      <c r="E607" s="2" t="s">
        <v>22023</v>
      </c>
    </row>
    <row r="608">
      <c r="A608" s="2" t="s">
        <v>22024</v>
      </c>
      <c r="B608" s="2" t="s">
        <v>22025</v>
      </c>
      <c r="C608" s="11" t="s">
        <v>22026</v>
      </c>
      <c r="D608" s="2" t="s">
        <v>22027</v>
      </c>
      <c r="E608" s="2" t="s">
        <v>22028</v>
      </c>
    </row>
    <row r="609">
      <c r="A609" s="2" t="s">
        <v>22029</v>
      </c>
      <c r="B609" s="2" t="s">
        <v>22030</v>
      </c>
      <c r="C609" s="11" t="s">
        <v>22031</v>
      </c>
      <c r="D609" s="2" t="s">
        <v>22032</v>
      </c>
      <c r="E609" s="2" t="s">
        <v>22033</v>
      </c>
    </row>
    <row r="610">
      <c r="A610" s="2" t="s">
        <v>16040</v>
      </c>
      <c r="B610" s="2" t="s">
        <v>22034</v>
      </c>
      <c r="C610" s="11" t="s">
        <v>22035</v>
      </c>
      <c r="D610" s="2" t="s">
        <v>22036</v>
      </c>
      <c r="E610" s="2" t="s">
        <v>22037</v>
      </c>
    </row>
    <row r="611">
      <c r="A611" s="2" t="s">
        <v>22038</v>
      </c>
      <c r="B611" s="2" t="s">
        <v>22039</v>
      </c>
      <c r="C611" s="11" t="s">
        <v>22040</v>
      </c>
      <c r="D611" s="2" t="s">
        <v>22041</v>
      </c>
      <c r="E611" s="2" t="s">
        <v>22042</v>
      </c>
    </row>
    <row r="612">
      <c r="A612" s="2" t="s">
        <v>18227</v>
      </c>
      <c r="B612" s="2" t="s">
        <v>22043</v>
      </c>
      <c r="C612" s="11" t="s">
        <v>22044</v>
      </c>
      <c r="D612" s="2" t="s">
        <v>22045</v>
      </c>
      <c r="E612" s="2" t="s">
        <v>22046</v>
      </c>
    </row>
    <row r="613">
      <c r="A613" s="2" t="s">
        <v>22047</v>
      </c>
      <c r="B613" s="2" t="s">
        <v>22048</v>
      </c>
      <c r="C613" s="11" t="s">
        <v>22049</v>
      </c>
      <c r="D613" s="2" t="s">
        <v>22050</v>
      </c>
      <c r="E613" s="2" t="s">
        <v>22051</v>
      </c>
    </row>
    <row r="614">
      <c r="A614" s="2" t="s">
        <v>22052</v>
      </c>
      <c r="B614" s="2" t="s">
        <v>22053</v>
      </c>
      <c r="C614" s="11" t="s">
        <v>22054</v>
      </c>
      <c r="D614" s="2" t="s">
        <v>22055</v>
      </c>
      <c r="E614" s="2" t="s">
        <v>22056</v>
      </c>
    </row>
    <row r="615">
      <c r="A615" s="2" t="s">
        <v>22057</v>
      </c>
      <c r="B615" s="2" t="s">
        <v>22058</v>
      </c>
      <c r="C615" s="11" t="s">
        <v>22059</v>
      </c>
      <c r="D615" s="2" t="s">
        <v>22060</v>
      </c>
      <c r="E615" s="2" t="s">
        <v>22061</v>
      </c>
    </row>
    <row r="616">
      <c r="A616" s="2" t="s">
        <v>22062</v>
      </c>
      <c r="B616" s="2" t="s">
        <v>22063</v>
      </c>
      <c r="C616" s="11" t="s">
        <v>22064</v>
      </c>
      <c r="D616" s="2" t="s">
        <v>22065</v>
      </c>
      <c r="E616" s="2" t="s">
        <v>22066</v>
      </c>
    </row>
    <row r="617">
      <c r="A617" s="2" t="s">
        <v>18483</v>
      </c>
      <c r="B617" s="2" t="s">
        <v>22067</v>
      </c>
      <c r="C617" s="11" t="s">
        <v>22068</v>
      </c>
      <c r="D617" s="2" t="s">
        <v>22069</v>
      </c>
      <c r="E617" s="2" t="s">
        <v>22070</v>
      </c>
    </row>
    <row r="618">
      <c r="A618" s="2" t="s">
        <v>22071</v>
      </c>
      <c r="B618" s="2" t="s">
        <v>22072</v>
      </c>
      <c r="C618" s="11" t="s">
        <v>22073</v>
      </c>
      <c r="D618" s="2" t="s">
        <v>22074</v>
      </c>
      <c r="E618" s="2" t="s">
        <v>22075</v>
      </c>
    </row>
    <row r="619">
      <c r="A619" s="2" t="s">
        <v>22076</v>
      </c>
      <c r="B619" s="2" t="s">
        <v>22077</v>
      </c>
      <c r="C619" s="11" t="s">
        <v>22078</v>
      </c>
      <c r="D619" s="2" t="s">
        <v>22079</v>
      </c>
      <c r="E619" s="2" t="s">
        <v>22080</v>
      </c>
    </row>
    <row r="620">
      <c r="A620" s="2" t="s">
        <v>22081</v>
      </c>
      <c r="B620" s="2" t="s">
        <v>22082</v>
      </c>
      <c r="C620" s="11" t="s">
        <v>22083</v>
      </c>
      <c r="D620" s="2" t="s">
        <v>22084</v>
      </c>
      <c r="E620" s="2" t="s">
        <v>22085</v>
      </c>
    </row>
    <row r="621">
      <c r="A621" s="2" t="s">
        <v>18549</v>
      </c>
      <c r="B621" s="2" t="s">
        <v>22086</v>
      </c>
      <c r="C621" s="11" t="s">
        <v>22087</v>
      </c>
      <c r="D621" s="2" t="s">
        <v>22088</v>
      </c>
      <c r="E621" s="2" t="s">
        <v>22089</v>
      </c>
    </row>
    <row r="622">
      <c r="A622" s="2" t="s">
        <v>22090</v>
      </c>
      <c r="B622" s="2" t="s">
        <v>22091</v>
      </c>
      <c r="C622" s="11" t="s">
        <v>22092</v>
      </c>
      <c r="D622" s="2" t="s">
        <v>22093</v>
      </c>
      <c r="E622" s="2" t="s">
        <v>22094</v>
      </c>
    </row>
    <row r="623">
      <c r="A623" s="2" t="s">
        <v>22095</v>
      </c>
      <c r="B623" s="2" t="s">
        <v>22096</v>
      </c>
      <c r="C623" s="11" t="s">
        <v>22097</v>
      </c>
      <c r="D623" s="2" t="s">
        <v>22098</v>
      </c>
      <c r="E623" s="2" t="s">
        <v>22099</v>
      </c>
    </row>
    <row r="624">
      <c r="A624" s="2" t="s">
        <v>18264</v>
      </c>
      <c r="B624" s="2" t="s">
        <v>22100</v>
      </c>
      <c r="C624" s="11" t="s">
        <v>22101</v>
      </c>
      <c r="D624" s="2" t="s">
        <v>22102</v>
      </c>
      <c r="E624" s="2" t="s">
        <v>22103</v>
      </c>
    </row>
    <row r="625">
      <c r="A625" s="2" t="s">
        <v>22104</v>
      </c>
      <c r="B625" s="2" t="s">
        <v>22105</v>
      </c>
      <c r="C625" s="11" t="s">
        <v>22106</v>
      </c>
      <c r="D625" s="2" t="s">
        <v>22107</v>
      </c>
      <c r="E625" s="2" t="s">
        <v>22108</v>
      </c>
    </row>
    <row r="626">
      <c r="A626" s="2" t="s">
        <v>22109</v>
      </c>
      <c r="B626" s="2" t="s">
        <v>22110</v>
      </c>
      <c r="C626" s="11" t="s">
        <v>22111</v>
      </c>
      <c r="D626" s="2" t="s">
        <v>22112</v>
      </c>
      <c r="E626" s="2" t="s">
        <v>22113</v>
      </c>
    </row>
    <row r="627">
      <c r="A627" s="2" t="s">
        <v>22114</v>
      </c>
      <c r="B627" s="2" t="s">
        <v>22115</v>
      </c>
      <c r="C627" s="11" t="s">
        <v>22116</v>
      </c>
      <c r="D627" s="2" t="s">
        <v>22117</v>
      </c>
      <c r="E627" s="2" t="s">
        <v>22118</v>
      </c>
    </row>
    <row r="628">
      <c r="A628" s="2" t="s">
        <v>22119</v>
      </c>
      <c r="B628" s="2" t="s">
        <v>22120</v>
      </c>
      <c r="C628" s="11" t="s">
        <v>22121</v>
      </c>
      <c r="D628" s="2" t="s">
        <v>22122</v>
      </c>
      <c r="E628" s="2" t="s">
        <v>22123</v>
      </c>
    </row>
    <row r="629">
      <c r="A629" s="2" t="s">
        <v>18631</v>
      </c>
      <c r="B629" s="2" t="s">
        <v>22124</v>
      </c>
      <c r="C629" s="11" t="s">
        <v>22125</v>
      </c>
      <c r="D629" s="2" t="s">
        <v>22126</v>
      </c>
      <c r="E629" s="2" t="s">
        <v>22127</v>
      </c>
    </row>
    <row r="630">
      <c r="A630" s="2" t="s">
        <v>22128</v>
      </c>
      <c r="B630" s="2" t="s">
        <v>22129</v>
      </c>
      <c r="C630" s="11" t="s">
        <v>22130</v>
      </c>
      <c r="D630" s="2" t="s">
        <v>22131</v>
      </c>
      <c r="E630" s="2" t="s">
        <v>22132</v>
      </c>
    </row>
    <row r="631">
      <c r="A631" s="2" t="s">
        <v>22133</v>
      </c>
      <c r="B631" s="2" t="s">
        <v>22134</v>
      </c>
      <c r="C631" s="11" t="s">
        <v>22135</v>
      </c>
      <c r="D631" s="2" t="s">
        <v>22136</v>
      </c>
      <c r="E631" s="2" t="s">
        <v>22137</v>
      </c>
    </row>
    <row r="632">
      <c r="A632" s="2" t="s">
        <v>18411</v>
      </c>
      <c r="B632" s="2" t="s">
        <v>22138</v>
      </c>
      <c r="C632" s="11" t="s">
        <v>22139</v>
      </c>
      <c r="D632" s="2" t="s">
        <v>22140</v>
      </c>
      <c r="E632" s="2" t="s">
        <v>22141</v>
      </c>
    </row>
    <row r="633">
      <c r="A633" s="2" t="s">
        <v>18548</v>
      </c>
      <c r="B633" s="2" t="s">
        <v>22142</v>
      </c>
      <c r="C633" s="11" t="s">
        <v>22143</v>
      </c>
      <c r="D633" s="2" t="s">
        <v>22144</v>
      </c>
      <c r="E633" s="2" t="s">
        <v>22145</v>
      </c>
    </row>
    <row r="634">
      <c r="A634" s="2" t="s">
        <v>22146</v>
      </c>
      <c r="B634" s="2" t="s">
        <v>22147</v>
      </c>
      <c r="C634" s="11" t="s">
        <v>22148</v>
      </c>
      <c r="D634" s="2" t="s">
        <v>22149</v>
      </c>
      <c r="E634" s="2" t="s">
        <v>22150</v>
      </c>
    </row>
    <row r="635">
      <c r="A635" s="2" t="s">
        <v>22151</v>
      </c>
      <c r="B635" s="2" t="s">
        <v>22152</v>
      </c>
      <c r="C635" s="11" t="s">
        <v>22153</v>
      </c>
      <c r="D635" s="2" t="s">
        <v>22154</v>
      </c>
      <c r="E635" s="2" t="s">
        <v>22155</v>
      </c>
    </row>
    <row r="636">
      <c r="A636" s="2" t="s">
        <v>17791</v>
      </c>
      <c r="B636" s="2" t="s">
        <v>22156</v>
      </c>
      <c r="C636" s="11" t="s">
        <v>22157</v>
      </c>
      <c r="D636" s="2" t="s">
        <v>22158</v>
      </c>
      <c r="E636" s="2" t="s">
        <v>22159</v>
      </c>
    </row>
    <row r="637">
      <c r="A637" s="2" t="s">
        <v>22160</v>
      </c>
      <c r="B637" s="2" t="s">
        <v>22161</v>
      </c>
      <c r="C637" s="11" t="s">
        <v>22162</v>
      </c>
      <c r="D637" s="2" t="s">
        <v>22163</v>
      </c>
      <c r="E637" s="2" t="s">
        <v>22164</v>
      </c>
    </row>
    <row r="638">
      <c r="A638" s="2" t="s">
        <v>22165</v>
      </c>
      <c r="B638" s="2" t="s">
        <v>22166</v>
      </c>
      <c r="C638" s="11" t="s">
        <v>22167</v>
      </c>
      <c r="D638" s="2" t="s">
        <v>22168</v>
      </c>
      <c r="E638" s="2" t="s">
        <v>22169</v>
      </c>
    </row>
    <row r="639">
      <c r="A639" s="2" t="s">
        <v>22170</v>
      </c>
      <c r="B639" s="2" t="s">
        <v>22171</v>
      </c>
      <c r="C639" s="11" t="s">
        <v>22172</v>
      </c>
      <c r="D639" s="2" t="s">
        <v>22173</v>
      </c>
      <c r="E639" s="2" t="s">
        <v>22174</v>
      </c>
    </row>
    <row r="640">
      <c r="A640" s="2" t="s">
        <v>22175</v>
      </c>
      <c r="B640" s="2" t="s">
        <v>22176</v>
      </c>
      <c r="C640" s="11" t="s">
        <v>22177</v>
      </c>
      <c r="D640" s="2" t="s">
        <v>22178</v>
      </c>
      <c r="E640" s="2" t="s">
        <v>22179</v>
      </c>
    </row>
    <row r="641">
      <c r="A641" s="2" t="s">
        <v>22180</v>
      </c>
      <c r="B641" s="2" t="s">
        <v>22181</v>
      </c>
      <c r="C641" s="11" t="s">
        <v>22182</v>
      </c>
      <c r="D641" s="2" t="s">
        <v>22183</v>
      </c>
      <c r="E641" s="2" t="s">
        <v>22184</v>
      </c>
    </row>
    <row r="642">
      <c r="A642" s="2" t="s">
        <v>22185</v>
      </c>
      <c r="B642" s="2" t="s">
        <v>22186</v>
      </c>
      <c r="C642" s="11" t="s">
        <v>22187</v>
      </c>
      <c r="D642" s="2" t="s">
        <v>22188</v>
      </c>
      <c r="E642" s="2" t="s">
        <v>22189</v>
      </c>
    </row>
    <row r="643">
      <c r="A643" s="2" t="s">
        <v>22190</v>
      </c>
      <c r="B643" s="2" t="s">
        <v>22191</v>
      </c>
      <c r="C643" s="11" t="s">
        <v>22192</v>
      </c>
      <c r="D643" s="2" t="s">
        <v>22193</v>
      </c>
      <c r="E643" s="2" t="s">
        <v>22194</v>
      </c>
    </row>
    <row r="644">
      <c r="A644" s="2" t="s">
        <v>18319</v>
      </c>
      <c r="B644" s="2" t="s">
        <v>22195</v>
      </c>
      <c r="C644" s="11" t="s">
        <v>22196</v>
      </c>
      <c r="D644" s="2" t="s">
        <v>22197</v>
      </c>
      <c r="E644" s="2" t="s">
        <v>22198</v>
      </c>
    </row>
    <row r="645">
      <c r="A645" s="2" t="s">
        <v>22199</v>
      </c>
      <c r="B645" s="2" t="s">
        <v>22200</v>
      </c>
      <c r="C645" s="11" t="s">
        <v>22201</v>
      </c>
      <c r="D645" s="2" t="s">
        <v>22202</v>
      </c>
      <c r="E645" s="2" t="s">
        <v>22203</v>
      </c>
    </row>
    <row r="646">
      <c r="A646" s="2" t="s">
        <v>22204</v>
      </c>
      <c r="B646" s="2" t="s">
        <v>22205</v>
      </c>
      <c r="C646" s="11" t="s">
        <v>22206</v>
      </c>
      <c r="D646" s="2" t="s">
        <v>22207</v>
      </c>
      <c r="E646" s="2" t="s">
        <v>22208</v>
      </c>
    </row>
    <row r="647">
      <c r="A647" s="2" t="s">
        <v>22209</v>
      </c>
      <c r="B647" s="2" t="s">
        <v>22210</v>
      </c>
      <c r="C647" s="11" t="s">
        <v>22211</v>
      </c>
      <c r="D647" s="2" t="s">
        <v>22212</v>
      </c>
      <c r="E647" s="2" t="s">
        <v>22213</v>
      </c>
    </row>
    <row r="648">
      <c r="A648" s="2" t="s">
        <v>22214</v>
      </c>
      <c r="B648" s="2" t="s">
        <v>22215</v>
      </c>
      <c r="C648" s="11" t="s">
        <v>22216</v>
      </c>
      <c r="D648" s="2" t="s">
        <v>22217</v>
      </c>
      <c r="E648" s="2" t="s">
        <v>22218</v>
      </c>
    </row>
    <row r="649">
      <c r="A649" s="2" t="s">
        <v>22219</v>
      </c>
      <c r="B649" s="2" t="s">
        <v>22220</v>
      </c>
      <c r="C649" s="11" t="s">
        <v>22221</v>
      </c>
      <c r="D649" s="2" t="s">
        <v>22222</v>
      </c>
      <c r="E649" s="2" t="s">
        <v>22223</v>
      </c>
    </row>
    <row r="650">
      <c r="A650" s="2" t="s">
        <v>22224</v>
      </c>
      <c r="B650" s="2" t="s">
        <v>22225</v>
      </c>
      <c r="C650" s="11" t="s">
        <v>22226</v>
      </c>
      <c r="D650" s="2" t="s">
        <v>22227</v>
      </c>
      <c r="E650" s="2" t="s">
        <v>22228</v>
      </c>
    </row>
    <row r="651">
      <c r="A651" s="2" t="s">
        <v>22229</v>
      </c>
      <c r="B651" s="2" t="s">
        <v>22230</v>
      </c>
      <c r="C651" s="11" t="s">
        <v>22231</v>
      </c>
      <c r="D651" s="2" t="s">
        <v>22232</v>
      </c>
      <c r="E651" s="2" t="s">
        <v>22233</v>
      </c>
    </row>
    <row r="652">
      <c r="A652" s="2" t="s">
        <v>22234</v>
      </c>
      <c r="B652" s="2" t="s">
        <v>22235</v>
      </c>
      <c r="C652" s="11" t="s">
        <v>22236</v>
      </c>
      <c r="D652" s="2" t="s">
        <v>22237</v>
      </c>
      <c r="E652" s="2" t="s">
        <v>22238</v>
      </c>
    </row>
    <row r="653">
      <c r="A653" s="2" t="s">
        <v>22239</v>
      </c>
      <c r="B653" s="2" t="s">
        <v>22240</v>
      </c>
      <c r="C653" s="11" t="s">
        <v>22241</v>
      </c>
      <c r="D653" s="2" t="s">
        <v>22242</v>
      </c>
      <c r="E653" s="2" t="s">
        <v>22243</v>
      </c>
    </row>
    <row r="654">
      <c r="A654" s="2" t="s">
        <v>22244</v>
      </c>
      <c r="B654" s="2" t="s">
        <v>22245</v>
      </c>
      <c r="C654" s="11" t="s">
        <v>22246</v>
      </c>
      <c r="D654" s="2" t="s">
        <v>22247</v>
      </c>
      <c r="E654" s="2" t="s">
        <v>22248</v>
      </c>
    </row>
    <row r="655">
      <c r="A655" s="2" t="s">
        <v>22249</v>
      </c>
      <c r="B655" s="2" t="s">
        <v>22250</v>
      </c>
      <c r="C655" s="11" t="s">
        <v>22251</v>
      </c>
      <c r="D655" s="2" t="s">
        <v>22252</v>
      </c>
      <c r="E655" s="2" t="s">
        <v>22253</v>
      </c>
    </row>
    <row r="656">
      <c r="A656" s="2" t="s">
        <v>15097</v>
      </c>
      <c r="B656" s="2" t="s">
        <v>22254</v>
      </c>
      <c r="C656" s="11" t="s">
        <v>22255</v>
      </c>
      <c r="D656" s="2" t="s">
        <v>22256</v>
      </c>
      <c r="E656" s="2" t="s">
        <v>22257</v>
      </c>
    </row>
    <row r="657">
      <c r="A657" s="2" t="s">
        <v>18561</v>
      </c>
      <c r="B657" s="2" t="s">
        <v>22258</v>
      </c>
      <c r="C657" s="11" t="s">
        <v>22259</v>
      </c>
      <c r="D657" s="2" t="s">
        <v>22260</v>
      </c>
      <c r="E657" s="2" t="s">
        <v>22261</v>
      </c>
    </row>
    <row r="658">
      <c r="A658" s="2" t="s">
        <v>22262</v>
      </c>
      <c r="B658" s="2" t="s">
        <v>22263</v>
      </c>
      <c r="C658" s="11" t="s">
        <v>22264</v>
      </c>
      <c r="D658" s="2" t="s">
        <v>22265</v>
      </c>
      <c r="E658" s="2" t="s">
        <v>22266</v>
      </c>
    </row>
    <row r="659">
      <c r="A659" s="2" t="s">
        <v>22267</v>
      </c>
      <c r="B659" s="2" t="s">
        <v>22268</v>
      </c>
      <c r="C659" s="11" t="s">
        <v>22269</v>
      </c>
      <c r="D659" s="2" t="s">
        <v>22270</v>
      </c>
      <c r="E659" s="2" t="s">
        <v>22271</v>
      </c>
    </row>
    <row r="660">
      <c r="A660" s="2" t="s">
        <v>22272</v>
      </c>
      <c r="B660" s="2" t="s">
        <v>22273</v>
      </c>
      <c r="C660" s="11" t="s">
        <v>22274</v>
      </c>
      <c r="D660" s="2" t="s">
        <v>22275</v>
      </c>
      <c r="E660" s="2" t="s">
        <v>22276</v>
      </c>
    </row>
    <row r="661">
      <c r="A661" s="2" t="s">
        <v>15073</v>
      </c>
      <c r="B661" s="2" t="s">
        <v>22277</v>
      </c>
      <c r="C661" s="11" t="s">
        <v>22278</v>
      </c>
      <c r="D661" s="2" t="s">
        <v>22279</v>
      </c>
      <c r="E661" s="2" t="s">
        <v>22280</v>
      </c>
    </row>
    <row r="662">
      <c r="A662" s="2" t="s">
        <v>22281</v>
      </c>
      <c r="B662" s="2" t="s">
        <v>22282</v>
      </c>
      <c r="C662" s="11" t="s">
        <v>22283</v>
      </c>
      <c r="D662" s="2" t="s">
        <v>22284</v>
      </c>
      <c r="E662" s="2" t="s">
        <v>22285</v>
      </c>
    </row>
    <row r="663">
      <c r="A663" s="2" t="s">
        <v>22286</v>
      </c>
      <c r="B663" s="2" t="s">
        <v>22287</v>
      </c>
      <c r="C663" s="11" t="s">
        <v>22288</v>
      </c>
      <c r="D663" s="2" t="s">
        <v>22289</v>
      </c>
      <c r="E663" s="2" t="s">
        <v>22290</v>
      </c>
    </row>
    <row r="664">
      <c r="A664" s="2" t="s">
        <v>22291</v>
      </c>
      <c r="B664" s="2" t="s">
        <v>22292</v>
      </c>
      <c r="C664" s="11" t="s">
        <v>22293</v>
      </c>
      <c r="D664" s="2" t="s">
        <v>22294</v>
      </c>
      <c r="E664" s="2" t="s">
        <v>22295</v>
      </c>
    </row>
    <row r="665">
      <c r="A665" s="2" t="s">
        <v>22296</v>
      </c>
      <c r="B665" s="2" t="s">
        <v>22297</v>
      </c>
      <c r="C665" s="11" t="s">
        <v>22298</v>
      </c>
      <c r="D665" s="2" t="s">
        <v>22299</v>
      </c>
      <c r="E665" s="2" t="s">
        <v>22300</v>
      </c>
    </row>
    <row r="666">
      <c r="A666" s="2" t="s">
        <v>22301</v>
      </c>
      <c r="B666" s="2" t="s">
        <v>22302</v>
      </c>
      <c r="C666" s="11" t="s">
        <v>22303</v>
      </c>
      <c r="D666" s="2" t="s">
        <v>22304</v>
      </c>
      <c r="E666" s="2" t="s">
        <v>22305</v>
      </c>
    </row>
    <row r="667">
      <c r="A667" s="2" t="s">
        <v>22306</v>
      </c>
      <c r="B667" s="2" t="s">
        <v>22307</v>
      </c>
      <c r="C667" s="11" t="s">
        <v>22308</v>
      </c>
      <c r="D667" s="2" t="s">
        <v>22309</v>
      </c>
      <c r="E667" s="2" t="s">
        <v>22310</v>
      </c>
    </row>
    <row r="668">
      <c r="A668" s="2" t="s">
        <v>22311</v>
      </c>
      <c r="B668" s="2" t="s">
        <v>22312</v>
      </c>
      <c r="C668" s="11" t="s">
        <v>22313</v>
      </c>
      <c r="D668" s="2" t="s">
        <v>22314</v>
      </c>
      <c r="E668" s="2" t="s">
        <v>22315</v>
      </c>
    </row>
    <row r="669">
      <c r="A669" s="2" t="s">
        <v>18322</v>
      </c>
      <c r="B669" s="2" t="s">
        <v>22316</v>
      </c>
      <c r="C669" s="11" t="s">
        <v>22317</v>
      </c>
      <c r="D669" s="2" t="s">
        <v>22318</v>
      </c>
      <c r="E669" s="2" t="s">
        <v>22319</v>
      </c>
    </row>
    <row r="670">
      <c r="A670" s="2" t="s">
        <v>22320</v>
      </c>
      <c r="B670" s="2" t="s">
        <v>22321</v>
      </c>
      <c r="C670" s="11" t="s">
        <v>22322</v>
      </c>
      <c r="D670" s="2" t="s">
        <v>22323</v>
      </c>
      <c r="E670" s="2" t="s">
        <v>22324</v>
      </c>
    </row>
    <row r="671">
      <c r="A671" s="2" t="s">
        <v>22325</v>
      </c>
      <c r="B671" s="2" t="s">
        <v>22326</v>
      </c>
      <c r="C671" s="11" t="s">
        <v>22327</v>
      </c>
      <c r="D671" s="2" t="s">
        <v>22328</v>
      </c>
      <c r="E671" s="2" t="s">
        <v>22329</v>
      </c>
    </row>
    <row r="672">
      <c r="A672" s="2" t="s">
        <v>22330</v>
      </c>
      <c r="B672" s="2" t="s">
        <v>22331</v>
      </c>
      <c r="C672" s="11" t="s">
        <v>22332</v>
      </c>
      <c r="D672" s="2" t="s">
        <v>22333</v>
      </c>
      <c r="E672" s="2" t="s">
        <v>22334</v>
      </c>
    </row>
    <row r="673">
      <c r="A673" s="2" t="s">
        <v>18565</v>
      </c>
      <c r="B673" s="2" t="s">
        <v>22335</v>
      </c>
      <c r="C673" s="11" t="s">
        <v>22336</v>
      </c>
      <c r="D673" s="2" t="s">
        <v>22337</v>
      </c>
      <c r="E673" s="2" t="s">
        <v>22338</v>
      </c>
    </row>
    <row r="674">
      <c r="A674" s="2" t="s">
        <v>22339</v>
      </c>
      <c r="B674" s="2" t="s">
        <v>22340</v>
      </c>
      <c r="C674" s="11" t="s">
        <v>22341</v>
      </c>
      <c r="D674" s="2" t="s">
        <v>22342</v>
      </c>
      <c r="E674" s="2" t="s">
        <v>22343</v>
      </c>
    </row>
    <row r="675">
      <c r="A675" s="2" t="s">
        <v>22344</v>
      </c>
      <c r="B675" s="2" t="s">
        <v>22345</v>
      </c>
      <c r="C675" s="11" t="s">
        <v>22346</v>
      </c>
      <c r="D675" s="2" t="s">
        <v>22347</v>
      </c>
      <c r="E675" s="2" t="s">
        <v>22348</v>
      </c>
    </row>
    <row r="676">
      <c r="A676" s="2" t="s">
        <v>22349</v>
      </c>
      <c r="B676" s="2" t="s">
        <v>22350</v>
      </c>
      <c r="C676" s="11" t="s">
        <v>22351</v>
      </c>
      <c r="D676" s="2" t="s">
        <v>22352</v>
      </c>
      <c r="E676" s="2" t="s">
        <v>22353</v>
      </c>
    </row>
    <row r="677">
      <c r="A677" s="2" t="s">
        <v>16613</v>
      </c>
      <c r="B677" s="2" t="s">
        <v>22354</v>
      </c>
      <c r="C677" s="11" t="s">
        <v>22355</v>
      </c>
      <c r="D677" s="2" t="s">
        <v>22356</v>
      </c>
      <c r="E677" s="2" t="s">
        <v>22357</v>
      </c>
    </row>
    <row r="678">
      <c r="A678" s="2" t="s">
        <v>22358</v>
      </c>
      <c r="B678" s="2" t="s">
        <v>22359</v>
      </c>
      <c r="C678" s="11" t="s">
        <v>22360</v>
      </c>
      <c r="D678" s="2" t="s">
        <v>22361</v>
      </c>
      <c r="E678" s="2" t="s">
        <v>22362</v>
      </c>
    </row>
    <row r="679">
      <c r="A679" s="2" t="s">
        <v>22363</v>
      </c>
      <c r="B679" s="2" t="s">
        <v>22364</v>
      </c>
      <c r="C679" s="11" t="s">
        <v>22365</v>
      </c>
      <c r="D679" s="2" t="s">
        <v>22366</v>
      </c>
      <c r="E679" s="2" t="s">
        <v>22367</v>
      </c>
    </row>
    <row r="680">
      <c r="A680" s="2" t="s">
        <v>17988</v>
      </c>
      <c r="B680" s="2" t="s">
        <v>22368</v>
      </c>
      <c r="C680" s="11" t="s">
        <v>22369</v>
      </c>
      <c r="D680" s="2" t="s">
        <v>22370</v>
      </c>
      <c r="E680" s="2" t="s">
        <v>22371</v>
      </c>
    </row>
    <row r="681">
      <c r="A681" s="2" t="s">
        <v>22372</v>
      </c>
      <c r="B681" s="2" t="s">
        <v>22373</v>
      </c>
      <c r="C681" s="11" t="s">
        <v>22374</v>
      </c>
      <c r="D681" s="2" t="s">
        <v>22375</v>
      </c>
      <c r="E681" s="2" t="s">
        <v>22376</v>
      </c>
    </row>
    <row r="682">
      <c r="A682" s="2" t="s">
        <v>22377</v>
      </c>
      <c r="B682" s="2" t="s">
        <v>22378</v>
      </c>
      <c r="C682" s="11" t="s">
        <v>22379</v>
      </c>
      <c r="D682" s="2" t="s">
        <v>22380</v>
      </c>
      <c r="E682" s="2" t="s">
        <v>22381</v>
      </c>
    </row>
    <row r="683">
      <c r="A683" s="2" t="s">
        <v>18167</v>
      </c>
      <c r="B683" s="2" t="s">
        <v>22382</v>
      </c>
      <c r="C683" s="11" t="s">
        <v>22383</v>
      </c>
      <c r="D683" s="2" t="s">
        <v>22384</v>
      </c>
      <c r="E683" s="2" t="s">
        <v>22385</v>
      </c>
    </row>
    <row r="684">
      <c r="A684" s="2" t="s">
        <v>18249</v>
      </c>
      <c r="B684" s="2" t="s">
        <v>22386</v>
      </c>
      <c r="C684" s="11" t="s">
        <v>22387</v>
      </c>
      <c r="D684" s="2" t="s">
        <v>22388</v>
      </c>
      <c r="E684" s="2" t="s">
        <v>22389</v>
      </c>
    </row>
    <row r="685">
      <c r="A685" s="2" t="s">
        <v>22390</v>
      </c>
      <c r="B685" s="2" t="s">
        <v>22391</v>
      </c>
      <c r="C685" s="11" t="s">
        <v>22392</v>
      </c>
      <c r="D685" s="2" t="s">
        <v>22393</v>
      </c>
      <c r="E685" s="2" t="s">
        <v>22394</v>
      </c>
    </row>
    <row r="686">
      <c r="A686" s="2" t="s">
        <v>22395</v>
      </c>
      <c r="B686" s="2" t="s">
        <v>22396</v>
      </c>
      <c r="C686" s="11" t="s">
        <v>22397</v>
      </c>
      <c r="D686" s="2" t="s">
        <v>22398</v>
      </c>
      <c r="E686" s="2" t="s">
        <v>22399</v>
      </c>
    </row>
    <row r="687">
      <c r="A687" s="2" t="s">
        <v>22400</v>
      </c>
      <c r="B687" s="2" t="s">
        <v>22401</v>
      </c>
      <c r="C687" s="11" t="s">
        <v>22402</v>
      </c>
      <c r="D687" s="2" t="s">
        <v>22403</v>
      </c>
      <c r="E687" s="2" t="s">
        <v>22404</v>
      </c>
    </row>
    <row r="688">
      <c r="A688" s="2" t="s">
        <v>22405</v>
      </c>
      <c r="B688" s="2" t="s">
        <v>22406</v>
      </c>
      <c r="C688" s="11" t="s">
        <v>22407</v>
      </c>
      <c r="D688" s="2" t="s">
        <v>22408</v>
      </c>
      <c r="E688" s="2" t="s">
        <v>22409</v>
      </c>
    </row>
    <row r="689">
      <c r="A689" s="2" t="s">
        <v>22410</v>
      </c>
      <c r="B689" s="2" t="s">
        <v>22411</v>
      </c>
      <c r="C689" s="11" t="s">
        <v>22412</v>
      </c>
      <c r="D689" s="2" t="s">
        <v>22413</v>
      </c>
      <c r="E689" s="2" t="s">
        <v>22414</v>
      </c>
    </row>
    <row r="690">
      <c r="A690" s="2" t="s">
        <v>22415</v>
      </c>
      <c r="B690" s="2" t="s">
        <v>22416</v>
      </c>
      <c r="C690" s="11" t="s">
        <v>22417</v>
      </c>
      <c r="D690" s="2" t="s">
        <v>22418</v>
      </c>
      <c r="E690" s="2" t="s">
        <v>22419</v>
      </c>
    </row>
    <row r="691">
      <c r="A691" s="2" t="s">
        <v>22420</v>
      </c>
      <c r="B691" s="2" t="s">
        <v>22421</v>
      </c>
      <c r="C691" s="11" t="s">
        <v>22422</v>
      </c>
      <c r="D691" s="2" t="s">
        <v>22423</v>
      </c>
      <c r="E691" s="2" t="s">
        <v>22424</v>
      </c>
    </row>
    <row r="692">
      <c r="A692" s="2" t="s">
        <v>22425</v>
      </c>
      <c r="B692" s="2" t="s">
        <v>22426</v>
      </c>
      <c r="C692" s="11" t="s">
        <v>22427</v>
      </c>
      <c r="D692" s="2" t="s">
        <v>22428</v>
      </c>
      <c r="E692" s="2" t="s">
        <v>22429</v>
      </c>
    </row>
    <row r="693">
      <c r="A693" s="2" t="s">
        <v>22430</v>
      </c>
      <c r="B693" s="2" t="s">
        <v>22431</v>
      </c>
      <c r="C693" s="11" t="s">
        <v>22432</v>
      </c>
      <c r="D693" s="2" t="s">
        <v>22433</v>
      </c>
      <c r="E693" s="2" t="s">
        <v>22434</v>
      </c>
    </row>
    <row r="694">
      <c r="A694" s="2" t="s">
        <v>22435</v>
      </c>
      <c r="B694" s="2" t="s">
        <v>22436</v>
      </c>
      <c r="C694" s="11" t="s">
        <v>22437</v>
      </c>
      <c r="D694" s="2" t="s">
        <v>22438</v>
      </c>
      <c r="E694" s="2" t="s">
        <v>22439</v>
      </c>
    </row>
    <row r="695">
      <c r="A695" s="2" t="s">
        <v>22440</v>
      </c>
      <c r="B695" s="2" t="s">
        <v>22441</v>
      </c>
      <c r="C695" s="11" t="s">
        <v>22442</v>
      </c>
      <c r="D695" s="2" t="s">
        <v>22443</v>
      </c>
      <c r="E695" s="2" t="s">
        <v>22444</v>
      </c>
    </row>
    <row r="696">
      <c r="A696" s="2" t="s">
        <v>22445</v>
      </c>
      <c r="B696" s="2" t="s">
        <v>22446</v>
      </c>
      <c r="C696" s="11" t="s">
        <v>22447</v>
      </c>
      <c r="D696" s="2" t="s">
        <v>22448</v>
      </c>
      <c r="E696" s="2" t="s">
        <v>22449</v>
      </c>
    </row>
    <row r="697">
      <c r="A697" s="2" t="s">
        <v>22450</v>
      </c>
      <c r="B697" s="2" t="s">
        <v>22451</v>
      </c>
      <c r="C697" s="11" t="s">
        <v>22452</v>
      </c>
      <c r="D697" s="2" t="s">
        <v>22453</v>
      </c>
      <c r="E697" s="2" t="s">
        <v>22454</v>
      </c>
    </row>
    <row r="698">
      <c r="A698" s="2" t="s">
        <v>18126</v>
      </c>
      <c r="B698" s="2" t="s">
        <v>22455</v>
      </c>
      <c r="C698" s="11" t="s">
        <v>22456</v>
      </c>
      <c r="D698" s="2" t="s">
        <v>22457</v>
      </c>
      <c r="E698" s="2" t="s">
        <v>22458</v>
      </c>
    </row>
    <row r="699">
      <c r="A699" s="2" t="s">
        <v>18071</v>
      </c>
      <c r="B699" s="2" t="s">
        <v>22459</v>
      </c>
      <c r="C699" s="11" t="s">
        <v>22460</v>
      </c>
      <c r="D699" s="2" t="s">
        <v>22461</v>
      </c>
      <c r="E699" s="2" t="s">
        <v>22462</v>
      </c>
    </row>
    <row r="700">
      <c r="A700" s="2" t="s">
        <v>18277</v>
      </c>
      <c r="B700" s="2" t="s">
        <v>22463</v>
      </c>
      <c r="C700" s="11" t="s">
        <v>22464</v>
      </c>
      <c r="D700" s="2" t="s">
        <v>22465</v>
      </c>
      <c r="E700" s="2" t="s">
        <v>22466</v>
      </c>
    </row>
    <row r="701">
      <c r="A701" s="2" t="s">
        <v>18280</v>
      </c>
      <c r="B701" s="2" t="s">
        <v>22467</v>
      </c>
      <c r="C701" s="11" t="s">
        <v>22468</v>
      </c>
      <c r="D701" s="2" t="s">
        <v>22469</v>
      </c>
      <c r="E701" s="2" t="s">
        <v>22470</v>
      </c>
    </row>
    <row r="702">
      <c r="A702" s="2" t="s">
        <v>18283</v>
      </c>
      <c r="B702" s="2" t="s">
        <v>22471</v>
      </c>
      <c r="C702" s="11" t="s">
        <v>22472</v>
      </c>
      <c r="D702" s="2" t="s">
        <v>22473</v>
      </c>
      <c r="E702" s="2" t="s">
        <v>22474</v>
      </c>
    </row>
    <row r="703">
      <c r="A703" s="2" t="s">
        <v>22475</v>
      </c>
      <c r="B703" s="2" t="s">
        <v>22476</v>
      </c>
      <c r="C703" s="11" t="s">
        <v>22477</v>
      </c>
      <c r="D703" s="2" t="s">
        <v>22478</v>
      </c>
      <c r="E703" s="2" t="s">
        <v>22479</v>
      </c>
    </row>
    <row r="704">
      <c r="A704" s="2" t="s">
        <v>18286</v>
      </c>
      <c r="B704" s="2" t="s">
        <v>22480</v>
      </c>
      <c r="C704" s="11" t="s">
        <v>22481</v>
      </c>
      <c r="D704" s="2" t="s">
        <v>22482</v>
      </c>
      <c r="E704" s="2" t="s">
        <v>22483</v>
      </c>
    </row>
    <row r="705">
      <c r="A705" s="2" t="s">
        <v>22484</v>
      </c>
      <c r="B705" s="2" t="s">
        <v>22485</v>
      </c>
      <c r="C705" s="11" t="s">
        <v>22486</v>
      </c>
      <c r="D705" s="2" t="s">
        <v>22487</v>
      </c>
      <c r="E705" s="2" t="s">
        <v>22488</v>
      </c>
    </row>
    <row r="706">
      <c r="A706" s="2" t="s">
        <v>22489</v>
      </c>
      <c r="B706" s="2" t="s">
        <v>22490</v>
      </c>
      <c r="C706" s="11" t="s">
        <v>22491</v>
      </c>
      <c r="D706" s="2" t="s">
        <v>22492</v>
      </c>
      <c r="E706" s="2" t="s">
        <v>22493</v>
      </c>
    </row>
    <row r="707">
      <c r="A707" s="2" t="s">
        <v>18214</v>
      </c>
      <c r="B707" s="2" t="s">
        <v>22494</v>
      </c>
      <c r="C707" s="11" t="s">
        <v>22495</v>
      </c>
      <c r="D707" s="2" t="s">
        <v>22496</v>
      </c>
      <c r="E707" s="2" t="s">
        <v>22497</v>
      </c>
    </row>
    <row r="708">
      <c r="A708" s="2" t="s">
        <v>18091</v>
      </c>
      <c r="B708" s="2" t="s">
        <v>22498</v>
      </c>
      <c r="C708" s="11" t="s">
        <v>22499</v>
      </c>
      <c r="D708" s="2" t="s">
        <v>22500</v>
      </c>
      <c r="E708" s="2" t="s">
        <v>22501</v>
      </c>
    </row>
    <row r="709">
      <c r="A709" s="2" t="s">
        <v>22502</v>
      </c>
      <c r="B709" s="2" t="s">
        <v>22503</v>
      </c>
      <c r="C709" s="11" t="s">
        <v>22504</v>
      </c>
      <c r="D709" s="2" t="s">
        <v>22505</v>
      </c>
      <c r="E709" s="2" t="s">
        <v>22506</v>
      </c>
    </row>
    <row r="710">
      <c r="A710" s="2" t="s">
        <v>22507</v>
      </c>
      <c r="B710" s="2" t="s">
        <v>22508</v>
      </c>
      <c r="C710" s="11" t="s">
        <v>22509</v>
      </c>
      <c r="D710" s="2" t="s">
        <v>22510</v>
      </c>
      <c r="E710" s="2" t="s">
        <v>22511</v>
      </c>
    </row>
    <row r="711">
      <c r="A711" s="2" t="s">
        <v>18289</v>
      </c>
      <c r="B711" s="2" t="s">
        <v>22512</v>
      </c>
      <c r="C711" s="11" t="s">
        <v>22513</v>
      </c>
      <c r="D711" s="2" t="s">
        <v>22514</v>
      </c>
      <c r="E711" s="2" t="s">
        <v>22515</v>
      </c>
    </row>
    <row r="712">
      <c r="A712" s="2" t="s">
        <v>18347</v>
      </c>
      <c r="B712" s="2" t="s">
        <v>22516</v>
      </c>
      <c r="C712" s="11" t="s">
        <v>22517</v>
      </c>
      <c r="D712" s="2" t="s">
        <v>22518</v>
      </c>
      <c r="E712" s="2" t="s">
        <v>22519</v>
      </c>
    </row>
    <row r="713">
      <c r="A713" s="2" t="s">
        <v>22520</v>
      </c>
      <c r="B713" s="2" t="s">
        <v>22521</v>
      </c>
      <c r="C713" s="11" t="s">
        <v>22522</v>
      </c>
      <c r="D713" s="2" t="s">
        <v>22523</v>
      </c>
      <c r="E713" s="2" t="s">
        <v>22524</v>
      </c>
    </row>
    <row r="714">
      <c r="A714" s="2" t="s">
        <v>22525</v>
      </c>
      <c r="B714" s="2" t="s">
        <v>22526</v>
      </c>
      <c r="C714" s="11" t="s">
        <v>22527</v>
      </c>
      <c r="D714" s="2" t="s">
        <v>22528</v>
      </c>
      <c r="E714" s="2" t="s">
        <v>22529</v>
      </c>
    </row>
    <row r="715">
      <c r="A715" s="2" t="s">
        <v>17833</v>
      </c>
      <c r="B715" s="2" t="s">
        <v>22530</v>
      </c>
      <c r="C715" s="11" t="s">
        <v>22531</v>
      </c>
      <c r="D715" s="2" t="s">
        <v>22532</v>
      </c>
      <c r="E715" s="2" t="s">
        <v>22533</v>
      </c>
    </row>
    <row r="716">
      <c r="A716" s="2" t="s">
        <v>22534</v>
      </c>
      <c r="B716" s="2" t="s">
        <v>22535</v>
      </c>
      <c r="C716" s="11" t="s">
        <v>22536</v>
      </c>
      <c r="D716" s="2" t="s">
        <v>22537</v>
      </c>
      <c r="E716" s="2" t="s">
        <v>22538</v>
      </c>
    </row>
    <row r="717">
      <c r="A717" s="2" t="s">
        <v>17978</v>
      </c>
      <c r="B717" s="2" t="s">
        <v>22539</v>
      </c>
      <c r="C717" s="11" t="s">
        <v>22540</v>
      </c>
      <c r="D717" s="2" t="s">
        <v>22541</v>
      </c>
      <c r="E717" s="2" t="s">
        <v>22542</v>
      </c>
    </row>
    <row r="718">
      <c r="A718" s="2" t="s">
        <v>22543</v>
      </c>
      <c r="B718" s="2" t="s">
        <v>22544</v>
      </c>
      <c r="C718" s="11" t="s">
        <v>22545</v>
      </c>
      <c r="D718" s="2" t="s">
        <v>22546</v>
      </c>
      <c r="E718" s="2" t="s">
        <v>22547</v>
      </c>
    </row>
    <row r="719">
      <c r="A719" s="2" t="s">
        <v>22548</v>
      </c>
      <c r="B719" s="2" t="s">
        <v>22549</v>
      </c>
      <c r="C719" s="11" t="s">
        <v>22550</v>
      </c>
      <c r="D719" s="2" t="s">
        <v>22551</v>
      </c>
      <c r="E719" s="2" t="s">
        <v>22552</v>
      </c>
    </row>
    <row r="720">
      <c r="A720" s="2" t="s">
        <v>18414</v>
      </c>
      <c r="B720" s="2" t="s">
        <v>22553</v>
      </c>
      <c r="C720" s="11" t="s">
        <v>22554</v>
      </c>
      <c r="D720" s="2" t="s">
        <v>22555</v>
      </c>
      <c r="E720" s="2" t="s">
        <v>22556</v>
      </c>
    </row>
    <row r="721">
      <c r="A721" s="2" t="s">
        <v>22557</v>
      </c>
      <c r="B721" s="2" t="s">
        <v>22558</v>
      </c>
      <c r="C721" s="11" t="s">
        <v>22559</v>
      </c>
      <c r="D721" s="2" t="s">
        <v>22560</v>
      </c>
      <c r="E721" s="2" t="s">
        <v>22561</v>
      </c>
    </row>
    <row r="722">
      <c r="A722" s="2" t="s">
        <v>18046</v>
      </c>
      <c r="B722" s="2" t="s">
        <v>22562</v>
      </c>
      <c r="C722" s="11" t="s">
        <v>22563</v>
      </c>
      <c r="D722" s="2" t="s">
        <v>22564</v>
      </c>
      <c r="E722" s="2" t="s">
        <v>22565</v>
      </c>
    </row>
    <row r="723">
      <c r="A723" s="2" t="s">
        <v>22566</v>
      </c>
      <c r="B723" s="2" t="s">
        <v>22567</v>
      </c>
      <c r="C723" s="11" t="s">
        <v>22568</v>
      </c>
      <c r="D723" s="2" t="s">
        <v>22569</v>
      </c>
      <c r="E723" s="2" t="s">
        <v>22570</v>
      </c>
    </row>
    <row r="724">
      <c r="A724" s="2" t="s">
        <v>22571</v>
      </c>
      <c r="B724" s="2" t="s">
        <v>22572</v>
      </c>
      <c r="C724" s="11" t="s">
        <v>22573</v>
      </c>
      <c r="D724" s="2" t="s">
        <v>22574</v>
      </c>
      <c r="E724" s="2" t="s">
        <v>22575</v>
      </c>
    </row>
    <row r="725">
      <c r="A725" s="2" t="s">
        <v>22576</v>
      </c>
      <c r="B725" s="2" t="s">
        <v>22577</v>
      </c>
      <c r="C725" s="11" t="s">
        <v>22578</v>
      </c>
      <c r="D725" s="2" t="s">
        <v>22579</v>
      </c>
      <c r="E725" s="2" t="s">
        <v>22580</v>
      </c>
    </row>
    <row r="726">
      <c r="A726" s="2" t="s">
        <v>17852</v>
      </c>
      <c r="B726" s="2" t="s">
        <v>22581</v>
      </c>
      <c r="C726" s="11" t="s">
        <v>22582</v>
      </c>
      <c r="D726" s="2" t="s">
        <v>22583</v>
      </c>
      <c r="E726" s="2" t="s">
        <v>22584</v>
      </c>
    </row>
    <row r="727">
      <c r="A727" s="2" t="s">
        <v>18557</v>
      </c>
      <c r="B727" s="2" t="s">
        <v>22585</v>
      </c>
      <c r="C727" s="11" t="s">
        <v>22586</v>
      </c>
      <c r="D727" s="2" t="s">
        <v>22587</v>
      </c>
      <c r="E727" s="2" t="s">
        <v>22588</v>
      </c>
    </row>
    <row r="728">
      <c r="A728" s="2" t="s">
        <v>22589</v>
      </c>
      <c r="B728" s="2" t="s">
        <v>22590</v>
      </c>
      <c r="C728" s="11" t="s">
        <v>22591</v>
      </c>
      <c r="D728" s="2" t="s">
        <v>22592</v>
      </c>
      <c r="E728" s="2" t="s">
        <v>22593</v>
      </c>
    </row>
    <row r="729">
      <c r="A729" s="2" t="s">
        <v>22594</v>
      </c>
      <c r="B729" s="2" t="s">
        <v>22595</v>
      </c>
      <c r="C729" s="11" t="s">
        <v>22596</v>
      </c>
      <c r="D729" s="2" t="s">
        <v>22597</v>
      </c>
      <c r="E729" s="2" t="s">
        <v>22598</v>
      </c>
    </row>
    <row r="730">
      <c r="A730" s="2" t="s">
        <v>22599</v>
      </c>
      <c r="B730" s="2" t="s">
        <v>22600</v>
      </c>
      <c r="C730" s="11" t="s">
        <v>22601</v>
      </c>
      <c r="D730" s="2" t="s">
        <v>22602</v>
      </c>
      <c r="E730" s="2" t="s">
        <v>22603</v>
      </c>
    </row>
    <row r="731">
      <c r="A731" s="2" t="s">
        <v>18188</v>
      </c>
      <c r="B731" s="2" t="s">
        <v>22604</v>
      </c>
      <c r="C731" s="11" t="s">
        <v>22605</v>
      </c>
      <c r="D731" s="2" t="s">
        <v>22606</v>
      </c>
      <c r="E731" s="2" t="s">
        <v>22607</v>
      </c>
    </row>
    <row r="732">
      <c r="A732" s="2" t="s">
        <v>22608</v>
      </c>
      <c r="B732" s="2" t="s">
        <v>22609</v>
      </c>
      <c r="C732" s="11" t="s">
        <v>22610</v>
      </c>
      <c r="D732" s="2" t="s">
        <v>22611</v>
      </c>
      <c r="E732" s="2" t="s">
        <v>22612</v>
      </c>
    </row>
    <row r="733">
      <c r="A733" s="2" t="s">
        <v>22613</v>
      </c>
      <c r="B733" s="2" t="s">
        <v>22614</v>
      </c>
      <c r="C733" s="11" t="s">
        <v>22615</v>
      </c>
      <c r="D733" s="2" t="s">
        <v>22616</v>
      </c>
      <c r="E733" s="2" t="s">
        <v>22617</v>
      </c>
    </row>
    <row r="734">
      <c r="A734" s="2" t="s">
        <v>22618</v>
      </c>
      <c r="B734" s="2" t="s">
        <v>22619</v>
      </c>
      <c r="C734" s="11" t="s">
        <v>22620</v>
      </c>
      <c r="D734" s="2" t="s">
        <v>22621</v>
      </c>
      <c r="E734" s="2" t="s">
        <v>22622</v>
      </c>
    </row>
    <row r="735">
      <c r="A735" s="2" t="s">
        <v>22623</v>
      </c>
      <c r="B735" s="2" t="s">
        <v>22624</v>
      </c>
      <c r="C735" s="11" t="s">
        <v>22625</v>
      </c>
      <c r="D735" s="2" t="s">
        <v>22626</v>
      </c>
      <c r="E735" s="2" t="s">
        <v>22627</v>
      </c>
    </row>
    <row r="736">
      <c r="A736" s="2" t="s">
        <v>22628</v>
      </c>
      <c r="B736" s="2" t="s">
        <v>22629</v>
      </c>
      <c r="C736" s="11" t="s">
        <v>22630</v>
      </c>
      <c r="D736" s="2" t="s">
        <v>22631</v>
      </c>
      <c r="E736" s="2" t="s">
        <v>22632</v>
      </c>
    </row>
    <row r="737">
      <c r="A737" s="2" t="s">
        <v>18371</v>
      </c>
      <c r="B737" s="2" t="s">
        <v>22633</v>
      </c>
      <c r="C737" s="11" t="s">
        <v>22634</v>
      </c>
      <c r="D737" s="2" t="s">
        <v>22635</v>
      </c>
      <c r="E737" s="2" t="s">
        <v>22636</v>
      </c>
    </row>
    <row r="738">
      <c r="A738" s="2" t="s">
        <v>22637</v>
      </c>
      <c r="B738" s="2" t="s">
        <v>22638</v>
      </c>
      <c r="C738" s="11" t="s">
        <v>22639</v>
      </c>
      <c r="D738" s="2" t="s">
        <v>22640</v>
      </c>
      <c r="E738" s="2" t="s">
        <v>22641</v>
      </c>
    </row>
    <row r="739">
      <c r="A739" s="2" t="s">
        <v>22642</v>
      </c>
      <c r="B739" s="2" t="s">
        <v>22643</v>
      </c>
      <c r="C739" s="11" t="s">
        <v>22644</v>
      </c>
      <c r="D739" s="2" t="s">
        <v>22645</v>
      </c>
      <c r="E739" s="2" t="s">
        <v>22646</v>
      </c>
    </row>
    <row r="740">
      <c r="A740" s="2" t="s">
        <v>22647</v>
      </c>
      <c r="B740" s="2" t="s">
        <v>22648</v>
      </c>
      <c r="C740" s="11" t="s">
        <v>22649</v>
      </c>
      <c r="D740" s="2" t="s">
        <v>22650</v>
      </c>
      <c r="E740" s="2" t="s">
        <v>22651</v>
      </c>
    </row>
    <row r="741">
      <c r="A741" s="2" t="s">
        <v>22652</v>
      </c>
      <c r="B741" s="2" t="s">
        <v>22653</v>
      </c>
      <c r="C741" s="11" t="s">
        <v>22654</v>
      </c>
      <c r="D741" s="2" t="s">
        <v>22655</v>
      </c>
      <c r="E741" s="2" t="s">
        <v>22656</v>
      </c>
    </row>
    <row r="742">
      <c r="A742" s="2" t="s">
        <v>22657</v>
      </c>
      <c r="B742" s="2" t="s">
        <v>22658</v>
      </c>
      <c r="C742" s="11" t="s">
        <v>22659</v>
      </c>
      <c r="D742" s="2" t="s">
        <v>22660</v>
      </c>
      <c r="E742" s="2" t="s">
        <v>22661</v>
      </c>
    </row>
    <row r="743">
      <c r="A743" s="2" t="s">
        <v>18173</v>
      </c>
      <c r="B743" s="2" t="s">
        <v>22662</v>
      </c>
      <c r="C743" s="11" t="s">
        <v>22663</v>
      </c>
      <c r="D743" s="2" t="s">
        <v>22664</v>
      </c>
      <c r="E743" s="2" t="s">
        <v>22665</v>
      </c>
    </row>
    <row r="744">
      <c r="A744" s="2" t="s">
        <v>18176</v>
      </c>
      <c r="B744" s="2" t="s">
        <v>22666</v>
      </c>
      <c r="C744" s="11" t="s">
        <v>22667</v>
      </c>
      <c r="D744" s="2" t="s">
        <v>22668</v>
      </c>
      <c r="E744" s="2" t="s">
        <v>22669</v>
      </c>
    </row>
    <row r="745">
      <c r="A745" s="2" t="s">
        <v>18164</v>
      </c>
      <c r="B745" s="2" t="s">
        <v>22670</v>
      </c>
      <c r="C745" s="11" t="s">
        <v>22671</v>
      </c>
      <c r="D745" s="2" t="s">
        <v>22672</v>
      </c>
      <c r="E745" s="2" t="s">
        <v>22673</v>
      </c>
    </row>
    <row r="746">
      <c r="A746" s="2" t="s">
        <v>18179</v>
      </c>
      <c r="B746" s="2" t="s">
        <v>22674</v>
      </c>
      <c r="C746" s="11" t="s">
        <v>22675</v>
      </c>
      <c r="D746" s="2" t="s">
        <v>22676</v>
      </c>
      <c r="E746" s="2" t="s">
        <v>22677</v>
      </c>
    </row>
    <row r="747">
      <c r="A747" s="2" t="s">
        <v>18182</v>
      </c>
      <c r="B747" s="2" t="s">
        <v>22678</v>
      </c>
      <c r="C747" s="11" t="s">
        <v>22679</v>
      </c>
      <c r="D747" s="2" t="s">
        <v>22680</v>
      </c>
      <c r="E747" s="2" t="s">
        <v>22681</v>
      </c>
    </row>
    <row r="748">
      <c r="A748" s="2" t="s">
        <v>18185</v>
      </c>
      <c r="B748" s="2" t="s">
        <v>22682</v>
      </c>
      <c r="C748" s="11" t="s">
        <v>22683</v>
      </c>
      <c r="D748" s="2" t="s">
        <v>22684</v>
      </c>
      <c r="E748" s="2" t="s">
        <v>22685</v>
      </c>
    </row>
    <row r="749">
      <c r="A749" s="2" t="s">
        <v>22686</v>
      </c>
      <c r="B749" s="2" t="s">
        <v>22687</v>
      </c>
      <c r="C749" s="11" t="s">
        <v>22688</v>
      </c>
      <c r="D749" s="2" t="s">
        <v>22689</v>
      </c>
      <c r="E749" s="2" t="s">
        <v>22690</v>
      </c>
    </row>
    <row r="750">
      <c r="A750" s="2" t="s">
        <v>22691</v>
      </c>
      <c r="B750" s="2" t="s">
        <v>22692</v>
      </c>
      <c r="C750" s="11" t="s">
        <v>22693</v>
      </c>
      <c r="D750" s="2" t="s">
        <v>22694</v>
      </c>
      <c r="E750" s="2" t="s">
        <v>22695</v>
      </c>
    </row>
    <row r="751">
      <c r="A751" s="2" t="s">
        <v>22696</v>
      </c>
      <c r="B751" s="2" t="s">
        <v>22697</v>
      </c>
      <c r="C751" s="11" t="s">
        <v>22698</v>
      </c>
      <c r="D751" s="2" t="s">
        <v>22699</v>
      </c>
      <c r="E751" s="2" t="s">
        <v>22700</v>
      </c>
    </row>
    <row r="752">
      <c r="A752" s="2" t="s">
        <v>22701</v>
      </c>
      <c r="B752" s="2" t="s">
        <v>22702</v>
      </c>
      <c r="C752" s="11" t="s">
        <v>22703</v>
      </c>
      <c r="D752" s="2" t="s">
        <v>22704</v>
      </c>
      <c r="E752" s="2" t="s">
        <v>22705</v>
      </c>
    </row>
    <row r="753">
      <c r="A753" s="2" t="s">
        <v>22706</v>
      </c>
      <c r="B753" s="2" t="s">
        <v>22707</v>
      </c>
      <c r="C753" s="11" t="s">
        <v>22708</v>
      </c>
      <c r="D753" s="2" t="s">
        <v>22709</v>
      </c>
      <c r="E753" s="2" t="s">
        <v>22710</v>
      </c>
    </row>
    <row r="754">
      <c r="A754" s="2" t="s">
        <v>22711</v>
      </c>
      <c r="B754" s="2" t="s">
        <v>22712</v>
      </c>
      <c r="C754" s="11" t="s">
        <v>22713</v>
      </c>
      <c r="D754" s="2" t="s">
        <v>22714</v>
      </c>
      <c r="E754" s="2" t="s">
        <v>22715</v>
      </c>
    </row>
    <row r="755">
      <c r="A755" s="2" t="s">
        <v>22716</v>
      </c>
      <c r="B755" s="2" t="s">
        <v>22717</v>
      </c>
      <c r="C755" s="11" t="s">
        <v>22718</v>
      </c>
      <c r="D755" s="2" t="s">
        <v>22719</v>
      </c>
      <c r="E755" s="2" t="s">
        <v>22720</v>
      </c>
    </row>
    <row r="756">
      <c r="A756" s="2" t="s">
        <v>22721</v>
      </c>
      <c r="B756" s="2" t="s">
        <v>22722</v>
      </c>
      <c r="C756" s="11" t="s">
        <v>22723</v>
      </c>
      <c r="D756" s="2" t="s">
        <v>22724</v>
      </c>
      <c r="E756" s="2" t="s">
        <v>22725</v>
      </c>
    </row>
    <row r="757">
      <c r="A757" s="2" t="s">
        <v>22726</v>
      </c>
      <c r="B757" s="2" t="s">
        <v>22727</v>
      </c>
      <c r="C757" s="11" t="s">
        <v>22728</v>
      </c>
      <c r="D757" s="2" t="s">
        <v>22729</v>
      </c>
      <c r="E757" s="2" t="s">
        <v>22730</v>
      </c>
    </row>
    <row r="758">
      <c r="A758" s="2" t="s">
        <v>22731</v>
      </c>
      <c r="B758" s="2" t="s">
        <v>22732</v>
      </c>
      <c r="C758" s="11" t="s">
        <v>22733</v>
      </c>
      <c r="D758" s="2" t="s">
        <v>22734</v>
      </c>
      <c r="E758" s="2" t="s">
        <v>22735</v>
      </c>
    </row>
    <row r="759">
      <c r="A759" s="2" t="s">
        <v>22736</v>
      </c>
      <c r="B759" s="2" t="s">
        <v>22737</v>
      </c>
      <c r="C759" s="11" t="s">
        <v>22738</v>
      </c>
      <c r="D759" s="2" t="s">
        <v>22739</v>
      </c>
      <c r="E759" s="2" t="s">
        <v>22740</v>
      </c>
    </row>
    <row r="760">
      <c r="A760" s="2" t="s">
        <v>22741</v>
      </c>
      <c r="B760" s="2" t="s">
        <v>22742</v>
      </c>
      <c r="C760" s="11" t="s">
        <v>22743</v>
      </c>
      <c r="D760" s="2" t="s">
        <v>22744</v>
      </c>
      <c r="E760" s="2" t="s">
        <v>22745</v>
      </c>
    </row>
    <row r="761">
      <c r="A761" s="2" t="s">
        <v>22746</v>
      </c>
      <c r="B761" s="2" t="s">
        <v>22747</v>
      </c>
      <c r="C761" s="11" t="s">
        <v>22748</v>
      </c>
      <c r="D761" s="2" t="s">
        <v>22749</v>
      </c>
      <c r="E761" s="2" t="s">
        <v>22750</v>
      </c>
    </row>
    <row r="762">
      <c r="A762" s="2" t="s">
        <v>22751</v>
      </c>
      <c r="B762" s="2" t="s">
        <v>22752</v>
      </c>
      <c r="C762" s="11" t="s">
        <v>22753</v>
      </c>
      <c r="D762" s="2" t="s">
        <v>22754</v>
      </c>
      <c r="E762" s="2" t="s">
        <v>22755</v>
      </c>
    </row>
    <row r="763">
      <c r="A763" s="2" t="s">
        <v>18582</v>
      </c>
      <c r="B763" s="2" t="s">
        <v>22756</v>
      </c>
      <c r="C763" s="11" t="s">
        <v>22757</v>
      </c>
      <c r="D763" s="2" t="s">
        <v>22758</v>
      </c>
      <c r="E763" s="2" t="s">
        <v>22759</v>
      </c>
    </row>
    <row r="764">
      <c r="A764" s="2" t="s">
        <v>22760</v>
      </c>
      <c r="B764" s="2" t="s">
        <v>22761</v>
      </c>
      <c r="C764" s="11" t="s">
        <v>22762</v>
      </c>
      <c r="D764" s="2" t="s">
        <v>22763</v>
      </c>
      <c r="E764" s="2" t="s">
        <v>22764</v>
      </c>
    </row>
    <row r="765">
      <c r="A765" s="2" t="s">
        <v>22765</v>
      </c>
      <c r="B765" s="2" t="s">
        <v>22766</v>
      </c>
      <c r="C765" s="11" t="s">
        <v>22767</v>
      </c>
      <c r="D765" s="2" t="s">
        <v>22768</v>
      </c>
      <c r="E765" s="2" t="s">
        <v>22769</v>
      </c>
    </row>
    <row r="766">
      <c r="A766" s="2" t="s">
        <v>18028</v>
      </c>
      <c r="B766" s="2" t="s">
        <v>22770</v>
      </c>
      <c r="C766" s="11" t="s">
        <v>22771</v>
      </c>
      <c r="D766" s="2" t="s">
        <v>22772</v>
      </c>
      <c r="E766" s="2" t="s">
        <v>22773</v>
      </c>
    </row>
    <row r="767">
      <c r="A767" s="2" t="s">
        <v>22774</v>
      </c>
      <c r="B767" s="2" t="s">
        <v>22775</v>
      </c>
      <c r="C767" s="11" t="s">
        <v>22776</v>
      </c>
      <c r="D767" s="2" t="s">
        <v>22777</v>
      </c>
      <c r="E767" s="2" t="s">
        <v>22778</v>
      </c>
    </row>
    <row r="768">
      <c r="A768" s="2" t="s">
        <v>22779</v>
      </c>
      <c r="B768" s="2" t="s">
        <v>22780</v>
      </c>
      <c r="C768" s="11" t="s">
        <v>22781</v>
      </c>
      <c r="D768" s="2" t="s">
        <v>22782</v>
      </c>
      <c r="E768" s="2" t="s">
        <v>22783</v>
      </c>
    </row>
    <row r="769">
      <c r="A769" s="2" t="s">
        <v>22784</v>
      </c>
      <c r="B769" s="2" t="s">
        <v>22785</v>
      </c>
      <c r="C769" s="11" t="s">
        <v>22786</v>
      </c>
      <c r="D769" s="2" t="s">
        <v>22787</v>
      </c>
      <c r="E769" s="2" t="s">
        <v>22788</v>
      </c>
    </row>
    <row r="770">
      <c r="A770" s="2" t="s">
        <v>22789</v>
      </c>
      <c r="B770" s="2" t="s">
        <v>22790</v>
      </c>
      <c r="C770" s="11" t="s">
        <v>22791</v>
      </c>
      <c r="D770" s="2" t="s">
        <v>22792</v>
      </c>
      <c r="E770" s="2" t="s">
        <v>22793</v>
      </c>
    </row>
    <row r="771">
      <c r="A771" s="2" t="s">
        <v>22794</v>
      </c>
      <c r="B771" s="2" t="s">
        <v>22795</v>
      </c>
      <c r="C771" s="11" t="s">
        <v>22796</v>
      </c>
      <c r="D771" s="2" t="s">
        <v>22797</v>
      </c>
      <c r="E771" s="2" t="s">
        <v>22798</v>
      </c>
    </row>
    <row r="772">
      <c r="A772" s="2" t="s">
        <v>22799</v>
      </c>
      <c r="B772" s="2" t="s">
        <v>22800</v>
      </c>
      <c r="C772" s="11" t="s">
        <v>22801</v>
      </c>
      <c r="D772" s="2" t="s">
        <v>22802</v>
      </c>
      <c r="E772" s="2" t="s">
        <v>22803</v>
      </c>
    </row>
    <row r="773">
      <c r="A773" s="2" t="s">
        <v>22804</v>
      </c>
      <c r="B773" s="2" t="s">
        <v>22805</v>
      </c>
      <c r="C773" s="11" t="s">
        <v>22806</v>
      </c>
      <c r="D773" s="2" t="s">
        <v>22807</v>
      </c>
      <c r="E773" s="2" t="s">
        <v>22808</v>
      </c>
    </row>
    <row r="774">
      <c r="A774" s="2" t="s">
        <v>22809</v>
      </c>
      <c r="B774" s="2" t="s">
        <v>22810</v>
      </c>
      <c r="C774" s="11" t="s">
        <v>22811</v>
      </c>
      <c r="D774" s="2" t="s">
        <v>22812</v>
      </c>
      <c r="E774" s="2" t="s">
        <v>22813</v>
      </c>
    </row>
    <row r="775">
      <c r="A775" s="2" t="s">
        <v>22814</v>
      </c>
      <c r="B775" s="2" t="s">
        <v>22815</v>
      </c>
      <c r="C775" s="11" t="s">
        <v>22816</v>
      </c>
      <c r="D775" s="2" t="s">
        <v>22817</v>
      </c>
      <c r="E775" s="2" t="s">
        <v>22818</v>
      </c>
    </row>
    <row r="776">
      <c r="A776" s="2" t="s">
        <v>22819</v>
      </c>
      <c r="B776" s="2" t="s">
        <v>22820</v>
      </c>
      <c r="C776" s="11" t="s">
        <v>22821</v>
      </c>
      <c r="D776" s="2" t="s">
        <v>22822</v>
      </c>
      <c r="E776" s="2" t="s">
        <v>22823</v>
      </c>
    </row>
    <row r="777">
      <c r="A777" s="2" t="s">
        <v>22824</v>
      </c>
      <c r="B777" s="2" t="s">
        <v>22825</v>
      </c>
      <c r="C777" s="11" t="s">
        <v>22826</v>
      </c>
      <c r="D777" s="2" t="s">
        <v>22827</v>
      </c>
      <c r="E777" s="2" t="s">
        <v>22828</v>
      </c>
    </row>
    <row r="778">
      <c r="A778" s="2" t="s">
        <v>22829</v>
      </c>
      <c r="B778" s="2" t="s">
        <v>22830</v>
      </c>
      <c r="C778" s="11" t="s">
        <v>22831</v>
      </c>
      <c r="D778" s="2" t="s">
        <v>22832</v>
      </c>
      <c r="E778" s="2" t="s">
        <v>22833</v>
      </c>
    </row>
    <row r="779">
      <c r="A779" s="2" t="s">
        <v>22834</v>
      </c>
      <c r="B779" s="2" t="s">
        <v>22835</v>
      </c>
      <c r="C779" s="11" t="s">
        <v>22836</v>
      </c>
      <c r="D779" s="2" t="s">
        <v>22837</v>
      </c>
      <c r="E779" s="2" t="s">
        <v>22838</v>
      </c>
    </row>
    <row r="780">
      <c r="A780" s="2" t="s">
        <v>22839</v>
      </c>
      <c r="B780" s="2" t="s">
        <v>22840</v>
      </c>
      <c r="C780" s="11" t="s">
        <v>22841</v>
      </c>
      <c r="D780" s="2" t="s">
        <v>22842</v>
      </c>
      <c r="E780" s="2" t="s">
        <v>22843</v>
      </c>
    </row>
    <row r="781">
      <c r="A781" s="2" t="s">
        <v>22844</v>
      </c>
      <c r="B781" s="2" t="s">
        <v>22845</v>
      </c>
      <c r="C781" s="11" t="s">
        <v>22846</v>
      </c>
      <c r="D781" s="2" t="s">
        <v>22847</v>
      </c>
      <c r="E781" s="2" t="s">
        <v>22848</v>
      </c>
    </row>
    <row r="782">
      <c r="A782" s="2" t="s">
        <v>22849</v>
      </c>
      <c r="B782" s="2" t="s">
        <v>22850</v>
      </c>
      <c r="C782" s="11" t="s">
        <v>22851</v>
      </c>
      <c r="D782" s="2" t="s">
        <v>22852</v>
      </c>
      <c r="E782" s="2" t="s">
        <v>22853</v>
      </c>
    </row>
    <row r="783">
      <c r="A783" s="2" t="s">
        <v>22854</v>
      </c>
      <c r="B783" s="2" t="s">
        <v>22855</v>
      </c>
      <c r="C783" s="11" t="s">
        <v>22856</v>
      </c>
      <c r="D783" s="2" t="s">
        <v>22857</v>
      </c>
      <c r="E783" s="2" t="s">
        <v>22858</v>
      </c>
    </row>
    <row r="784">
      <c r="A784" s="2" t="s">
        <v>22859</v>
      </c>
      <c r="B784" s="2" t="s">
        <v>22860</v>
      </c>
      <c r="C784" s="11" t="s">
        <v>22861</v>
      </c>
      <c r="D784" s="2" t="s">
        <v>22862</v>
      </c>
      <c r="E784" s="2" t="s">
        <v>22863</v>
      </c>
    </row>
    <row r="785">
      <c r="A785" s="2" t="s">
        <v>22864</v>
      </c>
      <c r="B785" s="2" t="s">
        <v>22865</v>
      </c>
      <c r="C785" s="11" t="s">
        <v>22866</v>
      </c>
      <c r="D785" s="2" t="s">
        <v>22867</v>
      </c>
      <c r="E785" s="2" t="s">
        <v>22868</v>
      </c>
    </row>
    <row r="786">
      <c r="A786" s="2" t="s">
        <v>22869</v>
      </c>
      <c r="B786" s="2" t="s">
        <v>22870</v>
      </c>
      <c r="C786" s="11" t="s">
        <v>22871</v>
      </c>
      <c r="D786" s="2" t="s">
        <v>22872</v>
      </c>
      <c r="E786" s="2" t="s">
        <v>22873</v>
      </c>
    </row>
    <row r="787">
      <c r="A787" s="2" t="s">
        <v>22874</v>
      </c>
      <c r="B787" s="2" t="s">
        <v>22875</v>
      </c>
      <c r="C787" s="11" t="s">
        <v>22876</v>
      </c>
      <c r="D787" s="2" t="s">
        <v>22877</v>
      </c>
      <c r="E787" s="2" t="s">
        <v>22878</v>
      </c>
    </row>
    <row r="788">
      <c r="A788" s="2" t="s">
        <v>22879</v>
      </c>
      <c r="B788" s="2" t="s">
        <v>22880</v>
      </c>
      <c r="C788" s="11" t="s">
        <v>22881</v>
      </c>
      <c r="D788" s="2" t="s">
        <v>22882</v>
      </c>
      <c r="E788" s="2" t="s">
        <v>22883</v>
      </c>
    </row>
    <row r="789">
      <c r="A789" s="2" t="s">
        <v>22884</v>
      </c>
      <c r="B789" s="2" t="s">
        <v>22885</v>
      </c>
      <c r="C789" s="11" t="s">
        <v>22886</v>
      </c>
      <c r="D789" s="2" t="s">
        <v>22887</v>
      </c>
      <c r="E789" s="2" t="s">
        <v>22888</v>
      </c>
    </row>
    <row r="790">
      <c r="A790" s="2" t="s">
        <v>22889</v>
      </c>
      <c r="B790" s="2" t="s">
        <v>22890</v>
      </c>
      <c r="C790" s="11" t="s">
        <v>22891</v>
      </c>
      <c r="D790" s="2" t="s">
        <v>22892</v>
      </c>
      <c r="E790" s="2" t="s">
        <v>22893</v>
      </c>
    </row>
    <row r="791">
      <c r="A791" s="2" t="s">
        <v>22894</v>
      </c>
      <c r="B791" s="2" t="s">
        <v>22895</v>
      </c>
      <c r="C791" s="11" t="s">
        <v>22896</v>
      </c>
      <c r="D791" s="2" t="s">
        <v>22897</v>
      </c>
      <c r="E791" s="2" t="s">
        <v>22898</v>
      </c>
    </row>
    <row r="792">
      <c r="A792" s="2" t="s">
        <v>18155</v>
      </c>
      <c r="B792" s="2" t="s">
        <v>22899</v>
      </c>
      <c r="C792" s="11" t="s">
        <v>22900</v>
      </c>
      <c r="D792" s="2" t="s">
        <v>22901</v>
      </c>
      <c r="E792" s="2" t="s">
        <v>22902</v>
      </c>
    </row>
    <row r="793">
      <c r="A793" s="2" t="s">
        <v>22903</v>
      </c>
      <c r="B793" s="2" t="s">
        <v>22904</v>
      </c>
      <c r="C793" s="11" t="s">
        <v>22905</v>
      </c>
      <c r="D793" s="2" t="s">
        <v>22906</v>
      </c>
      <c r="E793" s="2" t="s">
        <v>22907</v>
      </c>
    </row>
    <row r="794">
      <c r="A794" s="2" t="s">
        <v>22908</v>
      </c>
      <c r="B794" s="2" t="s">
        <v>22909</v>
      </c>
      <c r="C794" s="11" t="s">
        <v>22910</v>
      </c>
      <c r="D794" s="2" t="s">
        <v>22911</v>
      </c>
      <c r="E794" s="2" t="s">
        <v>22912</v>
      </c>
    </row>
    <row r="795">
      <c r="A795" s="2" t="s">
        <v>22913</v>
      </c>
      <c r="B795" s="2" t="s">
        <v>22914</v>
      </c>
      <c r="C795" s="11" t="s">
        <v>22915</v>
      </c>
      <c r="D795" s="2" t="s">
        <v>22916</v>
      </c>
      <c r="E795" s="2" t="s">
        <v>22917</v>
      </c>
    </row>
    <row r="796">
      <c r="A796" s="2" t="s">
        <v>22918</v>
      </c>
      <c r="B796" s="2" t="s">
        <v>22919</v>
      </c>
      <c r="C796" s="11" t="s">
        <v>22920</v>
      </c>
      <c r="D796" s="2" t="s">
        <v>22921</v>
      </c>
      <c r="E796" s="2" t="s">
        <v>22922</v>
      </c>
    </row>
    <row r="797">
      <c r="A797" s="2" t="s">
        <v>22923</v>
      </c>
      <c r="B797" s="2" t="s">
        <v>22924</v>
      </c>
      <c r="C797" s="11" t="s">
        <v>22925</v>
      </c>
      <c r="D797" s="2" t="s">
        <v>22926</v>
      </c>
      <c r="E797" s="2" t="s">
        <v>22927</v>
      </c>
    </row>
    <row r="798">
      <c r="A798" s="2" t="s">
        <v>22928</v>
      </c>
      <c r="B798" s="2" t="s">
        <v>22929</v>
      </c>
      <c r="C798" s="11" t="s">
        <v>22930</v>
      </c>
      <c r="D798" s="2" t="s">
        <v>22931</v>
      </c>
      <c r="E798" s="2" t="s">
        <v>22932</v>
      </c>
    </row>
    <row r="799">
      <c r="A799" s="2" t="s">
        <v>22933</v>
      </c>
      <c r="B799" s="2" t="s">
        <v>22934</v>
      </c>
      <c r="C799" s="11" t="s">
        <v>22935</v>
      </c>
      <c r="D799" s="2" t="s">
        <v>22936</v>
      </c>
      <c r="E799" s="2" t="s">
        <v>22937</v>
      </c>
    </row>
    <row r="800">
      <c r="A800" s="2" t="s">
        <v>22938</v>
      </c>
      <c r="B800" s="2" t="s">
        <v>22939</v>
      </c>
      <c r="C800" s="11" t="s">
        <v>22940</v>
      </c>
      <c r="D800" s="2" t="s">
        <v>22941</v>
      </c>
      <c r="E800" s="2" t="s">
        <v>22942</v>
      </c>
    </row>
    <row r="801">
      <c r="A801" s="2" t="s">
        <v>22943</v>
      </c>
      <c r="B801" s="2" t="s">
        <v>22944</v>
      </c>
      <c r="C801" s="11" t="s">
        <v>22945</v>
      </c>
      <c r="D801" s="2" t="s">
        <v>22946</v>
      </c>
      <c r="E801" s="2" t="s">
        <v>22947</v>
      </c>
    </row>
    <row r="802">
      <c r="A802" s="2" t="s">
        <v>22948</v>
      </c>
      <c r="B802" s="2" t="s">
        <v>22949</v>
      </c>
      <c r="C802" s="11" t="s">
        <v>22950</v>
      </c>
      <c r="D802" s="2" t="s">
        <v>22951</v>
      </c>
      <c r="E802" s="2" t="s">
        <v>22952</v>
      </c>
    </row>
    <row r="803">
      <c r="A803" s="2" t="s">
        <v>22953</v>
      </c>
      <c r="B803" s="2" t="s">
        <v>22954</v>
      </c>
      <c r="C803" s="11" t="s">
        <v>22955</v>
      </c>
      <c r="D803" s="2" t="s">
        <v>22956</v>
      </c>
      <c r="E803" s="2" t="s">
        <v>22957</v>
      </c>
    </row>
    <row r="804">
      <c r="A804" s="2" t="s">
        <v>22958</v>
      </c>
      <c r="B804" s="2" t="s">
        <v>22959</v>
      </c>
      <c r="C804" s="11" t="s">
        <v>22960</v>
      </c>
      <c r="D804" s="2" t="s">
        <v>22961</v>
      </c>
      <c r="E804" s="2" t="s">
        <v>22962</v>
      </c>
    </row>
    <row r="805">
      <c r="A805" s="2" t="s">
        <v>22963</v>
      </c>
      <c r="B805" s="2" t="s">
        <v>22964</v>
      </c>
      <c r="C805" s="11" t="s">
        <v>22965</v>
      </c>
      <c r="D805" s="2" t="s">
        <v>22966</v>
      </c>
      <c r="E805" s="2" t="s">
        <v>22967</v>
      </c>
    </row>
    <row r="806">
      <c r="A806" s="2" t="s">
        <v>22968</v>
      </c>
      <c r="B806" s="2" t="s">
        <v>22969</v>
      </c>
      <c r="C806" s="11" t="s">
        <v>22970</v>
      </c>
      <c r="D806" s="2" t="s">
        <v>22971</v>
      </c>
      <c r="E806" s="2" t="s">
        <v>22972</v>
      </c>
    </row>
    <row r="807">
      <c r="A807" s="2" t="s">
        <v>22973</v>
      </c>
      <c r="B807" s="2" t="s">
        <v>22974</v>
      </c>
      <c r="C807" s="11" t="s">
        <v>22975</v>
      </c>
      <c r="D807" s="2" t="s">
        <v>22976</v>
      </c>
      <c r="E807" s="2" t="s">
        <v>22977</v>
      </c>
    </row>
    <row r="808">
      <c r="A808" s="2" t="s">
        <v>18292</v>
      </c>
      <c r="B808" s="2" t="s">
        <v>22978</v>
      </c>
      <c r="C808" s="11" t="s">
        <v>22979</v>
      </c>
      <c r="D808" s="2" t="s">
        <v>22980</v>
      </c>
      <c r="E808" s="2" t="s">
        <v>22981</v>
      </c>
    </row>
    <row r="809">
      <c r="A809" s="2" t="s">
        <v>22982</v>
      </c>
      <c r="B809" s="2" t="s">
        <v>22983</v>
      </c>
      <c r="C809" s="11" t="s">
        <v>22984</v>
      </c>
      <c r="D809" s="2" t="s">
        <v>22985</v>
      </c>
      <c r="E809" s="2" t="s">
        <v>22986</v>
      </c>
    </row>
    <row r="810">
      <c r="A810" s="2" t="s">
        <v>22987</v>
      </c>
      <c r="B810" s="2" t="s">
        <v>22988</v>
      </c>
      <c r="C810" s="11" t="s">
        <v>22989</v>
      </c>
      <c r="D810" s="2" t="s">
        <v>22990</v>
      </c>
      <c r="E810" s="2" t="s">
        <v>22991</v>
      </c>
    </row>
    <row r="811">
      <c r="A811" s="2" t="s">
        <v>22992</v>
      </c>
      <c r="B811" s="2" t="s">
        <v>22993</v>
      </c>
      <c r="C811" s="11" t="s">
        <v>22994</v>
      </c>
      <c r="D811" s="2" t="s">
        <v>22995</v>
      </c>
      <c r="E811" s="2" t="s">
        <v>22996</v>
      </c>
    </row>
    <row r="812">
      <c r="A812" s="2" t="s">
        <v>22997</v>
      </c>
      <c r="B812" s="2" t="s">
        <v>22998</v>
      </c>
      <c r="C812" s="11" t="s">
        <v>22999</v>
      </c>
      <c r="D812" s="2" t="s">
        <v>23000</v>
      </c>
      <c r="E812" s="2" t="s">
        <v>23001</v>
      </c>
    </row>
    <row r="813">
      <c r="A813" s="2" t="s">
        <v>23002</v>
      </c>
      <c r="B813" s="2" t="s">
        <v>23003</v>
      </c>
      <c r="C813" s="11" t="s">
        <v>23004</v>
      </c>
      <c r="D813" s="2" t="s">
        <v>23005</v>
      </c>
      <c r="E813" s="2" t="s">
        <v>23006</v>
      </c>
    </row>
    <row r="814">
      <c r="A814" s="2" t="s">
        <v>23007</v>
      </c>
      <c r="B814" s="2" t="s">
        <v>23008</v>
      </c>
      <c r="C814" s="11" t="s">
        <v>23009</v>
      </c>
      <c r="D814" s="2" t="s">
        <v>23010</v>
      </c>
      <c r="E814" s="2" t="s">
        <v>23011</v>
      </c>
    </row>
    <row r="815">
      <c r="A815" s="2" t="s">
        <v>23012</v>
      </c>
      <c r="B815" s="2" t="s">
        <v>23013</v>
      </c>
      <c r="C815" s="11" t="s">
        <v>23014</v>
      </c>
      <c r="D815" s="2" t="s">
        <v>23015</v>
      </c>
      <c r="E815" s="2" t="s">
        <v>23016</v>
      </c>
    </row>
    <row r="816">
      <c r="A816" s="2" t="s">
        <v>23017</v>
      </c>
      <c r="B816" s="2" t="s">
        <v>23018</v>
      </c>
      <c r="C816" s="11" t="s">
        <v>23019</v>
      </c>
      <c r="D816" s="2" t="s">
        <v>23020</v>
      </c>
      <c r="E816" s="2" t="s">
        <v>23021</v>
      </c>
    </row>
    <row r="817">
      <c r="A817" s="2" t="s">
        <v>23022</v>
      </c>
      <c r="B817" s="2" t="s">
        <v>23023</v>
      </c>
      <c r="C817" s="11" t="s">
        <v>23024</v>
      </c>
      <c r="D817" s="2" t="s">
        <v>23025</v>
      </c>
      <c r="E817" s="2" t="s">
        <v>23026</v>
      </c>
    </row>
    <row r="818">
      <c r="A818" s="2" t="s">
        <v>18295</v>
      </c>
      <c r="B818" s="2" t="s">
        <v>23027</v>
      </c>
      <c r="C818" s="11" t="s">
        <v>23028</v>
      </c>
      <c r="D818" s="2" t="s">
        <v>23029</v>
      </c>
      <c r="E818" s="2" t="s">
        <v>23030</v>
      </c>
    </row>
    <row r="819">
      <c r="A819" s="2" t="s">
        <v>23031</v>
      </c>
      <c r="B819" s="2" t="s">
        <v>23032</v>
      </c>
      <c r="C819" s="11" t="s">
        <v>23033</v>
      </c>
      <c r="D819" s="2" t="s">
        <v>23034</v>
      </c>
      <c r="E819" s="2" t="s">
        <v>23035</v>
      </c>
    </row>
    <row r="820">
      <c r="A820" s="2" t="s">
        <v>23036</v>
      </c>
      <c r="B820" s="2" t="s">
        <v>23037</v>
      </c>
      <c r="C820" s="11" t="s">
        <v>23038</v>
      </c>
      <c r="D820" s="2" t="s">
        <v>23039</v>
      </c>
      <c r="E820" s="2" t="s">
        <v>23040</v>
      </c>
    </row>
    <row r="821">
      <c r="A821" s="2" t="s">
        <v>23041</v>
      </c>
      <c r="B821" s="2" t="s">
        <v>23042</v>
      </c>
      <c r="C821" s="11" t="s">
        <v>23043</v>
      </c>
      <c r="D821" s="2" t="s">
        <v>23044</v>
      </c>
      <c r="E821" s="2" t="s">
        <v>23045</v>
      </c>
    </row>
    <row r="822">
      <c r="A822" s="2" t="s">
        <v>23046</v>
      </c>
      <c r="B822" s="2" t="s">
        <v>23047</v>
      </c>
      <c r="C822" s="11" t="s">
        <v>23048</v>
      </c>
      <c r="D822" s="2" t="s">
        <v>23049</v>
      </c>
      <c r="E822" s="2" t="s">
        <v>23050</v>
      </c>
    </row>
    <row r="823">
      <c r="A823" s="2" t="s">
        <v>23051</v>
      </c>
      <c r="B823" s="2" t="s">
        <v>23052</v>
      </c>
      <c r="C823" s="11" t="s">
        <v>23053</v>
      </c>
      <c r="D823" s="2" t="s">
        <v>23054</v>
      </c>
      <c r="E823" s="2" t="s">
        <v>23055</v>
      </c>
    </row>
    <row r="824">
      <c r="A824" s="2" t="s">
        <v>23056</v>
      </c>
      <c r="B824" s="2" t="s">
        <v>23057</v>
      </c>
      <c r="C824" s="11" t="s">
        <v>23058</v>
      </c>
      <c r="D824" s="2" t="s">
        <v>23059</v>
      </c>
      <c r="E824" s="2" t="s">
        <v>23060</v>
      </c>
    </row>
    <row r="825">
      <c r="A825" s="2" t="s">
        <v>23061</v>
      </c>
      <c r="B825" s="2" t="s">
        <v>23062</v>
      </c>
      <c r="C825" s="11" t="s">
        <v>23063</v>
      </c>
      <c r="D825" s="2" t="s">
        <v>23064</v>
      </c>
      <c r="E825" s="2" t="s">
        <v>23065</v>
      </c>
    </row>
    <row r="826">
      <c r="A826" s="2" t="s">
        <v>17996</v>
      </c>
      <c r="B826" s="2" t="s">
        <v>23066</v>
      </c>
      <c r="C826" s="11" t="s">
        <v>23067</v>
      </c>
      <c r="D826" s="2" t="s">
        <v>23068</v>
      </c>
      <c r="E826" s="2" t="s">
        <v>23069</v>
      </c>
    </row>
    <row r="827">
      <c r="A827" s="2" t="s">
        <v>23070</v>
      </c>
      <c r="B827" s="2" t="s">
        <v>23071</v>
      </c>
      <c r="C827" s="11" t="s">
        <v>23072</v>
      </c>
      <c r="D827" s="2" t="s">
        <v>23073</v>
      </c>
      <c r="E827" s="2" t="s">
        <v>23074</v>
      </c>
    </row>
    <row r="828">
      <c r="A828" s="2" t="s">
        <v>23075</v>
      </c>
      <c r="B828" s="2" t="s">
        <v>23076</v>
      </c>
      <c r="C828" s="11" t="s">
        <v>23077</v>
      </c>
      <c r="D828" s="2" t="s">
        <v>23078</v>
      </c>
      <c r="E828" s="2" t="s">
        <v>23079</v>
      </c>
    </row>
    <row r="829">
      <c r="A829" s="2" t="s">
        <v>23080</v>
      </c>
      <c r="B829" s="2" t="s">
        <v>23081</v>
      </c>
      <c r="C829" s="11" t="s">
        <v>23082</v>
      </c>
      <c r="D829" s="2" t="s">
        <v>23083</v>
      </c>
      <c r="E829" s="2" t="s">
        <v>23084</v>
      </c>
    </row>
    <row r="830">
      <c r="A830" s="2" t="s">
        <v>18140</v>
      </c>
      <c r="B830" s="2" t="s">
        <v>23085</v>
      </c>
      <c r="C830" s="11" t="s">
        <v>23086</v>
      </c>
      <c r="D830" s="2" t="s">
        <v>23087</v>
      </c>
      <c r="E830" s="2" t="s">
        <v>23088</v>
      </c>
    </row>
    <row r="831">
      <c r="A831" s="2" t="s">
        <v>23089</v>
      </c>
      <c r="B831" s="2" t="s">
        <v>23090</v>
      </c>
      <c r="C831" s="11" t="s">
        <v>23091</v>
      </c>
      <c r="D831" s="2" t="s">
        <v>23092</v>
      </c>
      <c r="E831" s="2" t="s">
        <v>23093</v>
      </c>
    </row>
    <row r="832">
      <c r="A832" s="2" t="s">
        <v>23094</v>
      </c>
      <c r="B832" s="2" t="s">
        <v>23095</v>
      </c>
      <c r="C832" s="11" t="s">
        <v>23096</v>
      </c>
      <c r="D832" s="2" t="s">
        <v>23097</v>
      </c>
      <c r="E832" s="2" t="s">
        <v>23098</v>
      </c>
    </row>
    <row r="833">
      <c r="A833" s="2" t="s">
        <v>23099</v>
      </c>
      <c r="B833" s="2" t="s">
        <v>23100</v>
      </c>
      <c r="C833" s="11" t="s">
        <v>23101</v>
      </c>
      <c r="D833" s="2" t="s">
        <v>23102</v>
      </c>
      <c r="E833" s="2" t="s">
        <v>23103</v>
      </c>
    </row>
    <row r="834">
      <c r="A834" s="2" t="s">
        <v>23104</v>
      </c>
      <c r="B834" s="2" t="s">
        <v>23105</v>
      </c>
      <c r="C834" s="11" t="s">
        <v>23106</v>
      </c>
      <c r="D834" s="2" t="s">
        <v>23107</v>
      </c>
      <c r="E834" s="2" t="s">
        <v>23108</v>
      </c>
    </row>
    <row r="835">
      <c r="A835" s="2" t="s">
        <v>23109</v>
      </c>
      <c r="B835" s="2" t="s">
        <v>23110</v>
      </c>
      <c r="C835" s="11" t="s">
        <v>23111</v>
      </c>
      <c r="D835" s="2" t="s">
        <v>23112</v>
      </c>
      <c r="E835" s="2" t="s">
        <v>23113</v>
      </c>
    </row>
    <row r="836">
      <c r="A836" s="2" t="s">
        <v>23114</v>
      </c>
      <c r="B836" s="2" t="s">
        <v>23115</v>
      </c>
      <c r="C836" s="11" t="s">
        <v>23116</v>
      </c>
      <c r="D836" s="2" t="s">
        <v>23117</v>
      </c>
      <c r="E836" s="2" t="s">
        <v>23118</v>
      </c>
    </row>
    <row r="837">
      <c r="A837" s="2" t="s">
        <v>23119</v>
      </c>
      <c r="B837" s="2" t="s">
        <v>23120</v>
      </c>
      <c r="C837" s="11" t="s">
        <v>23121</v>
      </c>
      <c r="D837" s="2" t="s">
        <v>23122</v>
      </c>
      <c r="E837" s="2" t="s">
        <v>23123</v>
      </c>
    </row>
    <row r="838">
      <c r="A838" s="2" t="s">
        <v>23124</v>
      </c>
      <c r="B838" s="2" t="s">
        <v>23125</v>
      </c>
      <c r="C838" s="11" t="s">
        <v>23126</v>
      </c>
      <c r="D838" s="2" t="s">
        <v>23127</v>
      </c>
      <c r="E838" s="2" t="s">
        <v>23128</v>
      </c>
    </row>
    <row r="839">
      <c r="A839" s="2" t="s">
        <v>23129</v>
      </c>
      <c r="B839" s="2" t="s">
        <v>23130</v>
      </c>
      <c r="C839" s="11" t="s">
        <v>23131</v>
      </c>
      <c r="D839" s="2" t="s">
        <v>23132</v>
      </c>
      <c r="E839" s="2" t="s">
        <v>23133</v>
      </c>
    </row>
    <row r="840">
      <c r="A840" s="2" t="s">
        <v>23134</v>
      </c>
      <c r="B840" s="2" t="s">
        <v>23135</v>
      </c>
      <c r="C840" s="11" t="s">
        <v>23136</v>
      </c>
      <c r="D840" s="2" t="s">
        <v>23137</v>
      </c>
      <c r="E840" s="2" t="s">
        <v>23138</v>
      </c>
    </row>
    <row r="841">
      <c r="A841" s="2" t="s">
        <v>17840</v>
      </c>
      <c r="B841" s="2" t="s">
        <v>23139</v>
      </c>
      <c r="C841" s="11" t="s">
        <v>23140</v>
      </c>
      <c r="D841" s="2" t="s">
        <v>23141</v>
      </c>
      <c r="E841" s="2" t="s">
        <v>23142</v>
      </c>
    </row>
    <row r="842">
      <c r="A842" s="2" t="s">
        <v>17847</v>
      </c>
      <c r="B842" s="2" t="s">
        <v>23143</v>
      </c>
      <c r="C842" s="11" t="s">
        <v>23144</v>
      </c>
      <c r="D842" s="2" t="s">
        <v>23145</v>
      </c>
      <c r="E842" s="2" t="s">
        <v>23146</v>
      </c>
    </row>
    <row r="843">
      <c r="A843" s="2" t="s">
        <v>23147</v>
      </c>
      <c r="B843" s="2" t="s">
        <v>23148</v>
      </c>
      <c r="C843" s="11" t="s">
        <v>23149</v>
      </c>
      <c r="D843" s="2" t="s">
        <v>23150</v>
      </c>
      <c r="E843" s="2" t="s">
        <v>23151</v>
      </c>
    </row>
    <row r="844">
      <c r="A844" s="2" t="s">
        <v>23152</v>
      </c>
      <c r="B844" s="2" t="s">
        <v>23153</v>
      </c>
      <c r="C844" s="11" t="s">
        <v>23154</v>
      </c>
      <c r="D844" s="2" t="s">
        <v>23155</v>
      </c>
      <c r="E844" s="2" t="s">
        <v>23156</v>
      </c>
    </row>
    <row r="845">
      <c r="A845" s="2" t="s">
        <v>23157</v>
      </c>
      <c r="B845" s="2" t="s">
        <v>23158</v>
      </c>
      <c r="C845" s="11" t="s">
        <v>23159</v>
      </c>
      <c r="D845" s="2" t="s">
        <v>23160</v>
      </c>
      <c r="E845" s="2" t="s">
        <v>23161</v>
      </c>
    </row>
    <row r="846">
      <c r="A846" s="2" t="s">
        <v>23162</v>
      </c>
      <c r="B846" s="2" t="s">
        <v>23163</v>
      </c>
      <c r="C846" s="11" t="s">
        <v>23164</v>
      </c>
      <c r="D846" s="2" t="s">
        <v>23165</v>
      </c>
      <c r="E846" s="2" t="s">
        <v>23166</v>
      </c>
    </row>
    <row r="847">
      <c r="A847" s="2" t="s">
        <v>23167</v>
      </c>
      <c r="B847" s="2" t="s">
        <v>23168</v>
      </c>
      <c r="C847" s="11" t="s">
        <v>23169</v>
      </c>
      <c r="D847" s="2" t="s">
        <v>23170</v>
      </c>
      <c r="E847" s="2" t="s">
        <v>23171</v>
      </c>
    </row>
    <row r="848">
      <c r="A848" s="2" t="s">
        <v>23172</v>
      </c>
      <c r="B848" s="2" t="s">
        <v>23173</v>
      </c>
      <c r="C848" s="11" t="s">
        <v>23174</v>
      </c>
      <c r="D848" s="2" t="s">
        <v>23175</v>
      </c>
      <c r="E848" s="2" t="s">
        <v>23176</v>
      </c>
    </row>
    <row r="849">
      <c r="A849" s="2" t="s">
        <v>15238</v>
      </c>
      <c r="B849" s="2" t="s">
        <v>23177</v>
      </c>
      <c r="C849" s="11" t="s">
        <v>23178</v>
      </c>
      <c r="D849" s="2" t="s">
        <v>23179</v>
      </c>
      <c r="E849" s="2" t="s">
        <v>23180</v>
      </c>
    </row>
    <row r="850">
      <c r="A850" s="2" t="s">
        <v>23181</v>
      </c>
      <c r="B850" s="2" t="s">
        <v>23182</v>
      </c>
      <c r="C850" s="11" t="s">
        <v>23183</v>
      </c>
      <c r="D850" s="2" t="s">
        <v>23184</v>
      </c>
      <c r="E850" s="2" t="s">
        <v>23185</v>
      </c>
    </row>
    <row r="851">
      <c r="A851" s="2" t="s">
        <v>23186</v>
      </c>
      <c r="B851" s="2" t="s">
        <v>23187</v>
      </c>
      <c r="C851" s="11" t="s">
        <v>23188</v>
      </c>
      <c r="D851" s="2" t="s">
        <v>23189</v>
      </c>
      <c r="E851" s="2" t="s">
        <v>23190</v>
      </c>
    </row>
    <row r="852">
      <c r="A852" s="2" t="s">
        <v>23191</v>
      </c>
      <c r="B852" s="2" t="s">
        <v>23192</v>
      </c>
      <c r="C852" s="11" t="s">
        <v>23193</v>
      </c>
      <c r="D852" s="2" t="s">
        <v>23194</v>
      </c>
      <c r="E852" s="2" t="s">
        <v>23195</v>
      </c>
    </row>
    <row r="853">
      <c r="A853" s="2" t="s">
        <v>23196</v>
      </c>
      <c r="B853" s="2" t="s">
        <v>23197</v>
      </c>
      <c r="C853" s="11" t="s">
        <v>23198</v>
      </c>
      <c r="D853" s="2" t="s">
        <v>23199</v>
      </c>
      <c r="E853" s="2" t="s">
        <v>23200</v>
      </c>
    </row>
    <row r="854">
      <c r="A854" s="2" t="s">
        <v>18161</v>
      </c>
      <c r="B854" s="2" t="s">
        <v>23201</v>
      </c>
      <c r="C854" s="11" t="s">
        <v>23202</v>
      </c>
      <c r="D854" s="2" t="s">
        <v>23203</v>
      </c>
      <c r="E854" s="2" t="s">
        <v>23204</v>
      </c>
    </row>
    <row r="855">
      <c r="A855" s="2" t="s">
        <v>18171</v>
      </c>
      <c r="B855" s="2" t="s">
        <v>23205</v>
      </c>
      <c r="C855" s="11" t="s">
        <v>23206</v>
      </c>
      <c r="D855" s="2" t="s">
        <v>23207</v>
      </c>
      <c r="E855" s="2" t="s">
        <v>23208</v>
      </c>
    </row>
    <row r="856">
      <c r="A856" s="2" t="s">
        <v>23209</v>
      </c>
      <c r="B856" s="2" t="s">
        <v>23210</v>
      </c>
      <c r="C856" s="11" t="s">
        <v>23211</v>
      </c>
      <c r="D856" s="2" t="s">
        <v>23212</v>
      </c>
      <c r="E856" s="2" t="s">
        <v>23213</v>
      </c>
    </row>
    <row r="857">
      <c r="A857" s="2" t="s">
        <v>15093</v>
      </c>
      <c r="B857" s="2" t="s">
        <v>23214</v>
      </c>
      <c r="C857" s="11" t="s">
        <v>23215</v>
      </c>
      <c r="D857" s="2" t="s">
        <v>23216</v>
      </c>
      <c r="E857" s="2" t="s">
        <v>23217</v>
      </c>
    </row>
    <row r="858">
      <c r="A858" s="2" t="s">
        <v>18324</v>
      </c>
      <c r="B858" s="2" t="s">
        <v>23218</v>
      </c>
      <c r="C858" s="11" t="s">
        <v>23219</v>
      </c>
      <c r="D858" s="2" t="s">
        <v>23220</v>
      </c>
      <c r="E858" s="2" t="s">
        <v>23221</v>
      </c>
    </row>
    <row r="859">
      <c r="A859" s="2" t="s">
        <v>15096</v>
      </c>
      <c r="B859" s="2" t="s">
        <v>23222</v>
      </c>
      <c r="C859" s="11" t="s">
        <v>23223</v>
      </c>
      <c r="D859" s="2" t="s">
        <v>23224</v>
      </c>
      <c r="E859" s="2" t="s">
        <v>23225</v>
      </c>
    </row>
    <row r="860">
      <c r="A860" s="2" t="s">
        <v>23226</v>
      </c>
      <c r="B860" s="2" t="s">
        <v>23227</v>
      </c>
      <c r="C860" s="11" t="s">
        <v>23228</v>
      </c>
      <c r="D860" s="2" t="s">
        <v>23229</v>
      </c>
      <c r="E860" s="2" t="s">
        <v>23230</v>
      </c>
    </row>
    <row r="861">
      <c r="A861" s="2" t="s">
        <v>23231</v>
      </c>
      <c r="B861" s="2" t="s">
        <v>23232</v>
      </c>
      <c r="C861" s="11" t="s">
        <v>23233</v>
      </c>
      <c r="D861" s="2" t="s">
        <v>23234</v>
      </c>
      <c r="E861" s="2" t="s">
        <v>23235</v>
      </c>
    </row>
    <row r="862">
      <c r="A862" s="2" t="s">
        <v>23236</v>
      </c>
      <c r="B862" s="2" t="s">
        <v>23237</v>
      </c>
      <c r="C862" s="11" t="s">
        <v>23238</v>
      </c>
      <c r="D862" s="2" t="s">
        <v>23239</v>
      </c>
      <c r="E862" s="2" t="s">
        <v>23240</v>
      </c>
    </row>
    <row r="863">
      <c r="A863" s="2" t="s">
        <v>23241</v>
      </c>
      <c r="B863" s="2" t="s">
        <v>23242</v>
      </c>
      <c r="C863" s="11" t="s">
        <v>23243</v>
      </c>
      <c r="D863" s="2" t="s">
        <v>23244</v>
      </c>
      <c r="E863" s="2" t="s">
        <v>23245</v>
      </c>
    </row>
    <row r="864">
      <c r="A864" s="2" t="s">
        <v>23246</v>
      </c>
      <c r="B864" s="2" t="s">
        <v>23247</v>
      </c>
      <c r="C864" s="11" t="s">
        <v>23248</v>
      </c>
      <c r="D864" s="2" t="s">
        <v>23249</v>
      </c>
      <c r="E864" s="2" t="s">
        <v>23250</v>
      </c>
    </row>
    <row r="865">
      <c r="A865" s="2" t="s">
        <v>23251</v>
      </c>
      <c r="B865" s="2" t="s">
        <v>23252</v>
      </c>
      <c r="C865" s="11" t="s">
        <v>23253</v>
      </c>
      <c r="D865" s="2" t="s">
        <v>23254</v>
      </c>
      <c r="E865" s="2" t="s">
        <v>23255</v>
      </c>
    </row>
    <row r="866">
      <c r="A866" s="2" t="s">
        <v>23256</v>
      </c>
      <c r="B866" s="2" t="s">
        <v>23257</v>
      </c>
      <c r="C866" s="11" t="s">
        <v>23258</v>
      </c>
      <c r="D866" s="2" t="s">
        <v>23259</v>
      </c>
      <c r="E866" s="2" t="s">
        <v>23260</v>
      </c>
    </row>
    <row r="867">
      <c r="A867" s="2" t="s">
        <v>23261</v>
      </c>
      <c r="B867" s="2" t="s">
        <v>23262</v>
      </c>
      <c r="C867" s="11" t="s">
        <v>23263</v>
      </c>
      <c r="D867" s="2" t="s">
        <v>23264</v>
      </c>
      <c r="E867" s="2" t="s">
        <v>23265</v>
      </c>
    </row>
    <row r="868">
      <c r="A868" s="2" t="s">
        <v>17842</v>
      </c>
      <c r="B868" s="2" t="s">
        <v>23266</v>
      </c>
      <c r="C868" s="11" t="s">
        <v>23267</v>
      </c>
      <c r="D868" s="2" t="s">
        <v>23268</v>
      </c>
      <c r="E868" s="2" t="s">
        <v>23269</v>
      </c>
    </row>
    <row r="869">
      <c r="A869" s="2" t="s">
        <v>18606</v>
      </c>
      <c r="B869" s="2" t="s">
        <v>23270</v>
      </c>
      <c r="C869" s="11" t="s">
        <v>23271</v>
      </c>
      <c r="D869" s="2" t="s">
        <v>23272</v>
      </c>
      <c r="E869" s="2" t="s">
        <v>23273</v>
      </c>
    </row>
    <row r="870">
      <c r="A870" s="2" t="s">
        <v>23274</v>
      </c>
      <c r="B870" s="2" t="s">
        <v>23275</v>
      </c>
      <c r="C870" s="11" t="s">
        <v>23276</v>
      </c>
      <c r="D870" s="2" t="s">
        <v>23277</v>
      </c>
      <c r="E870" s="2" t="s">
        <v>23278</v>
      </c>
    </row>
    <row r="871">
      <c r="A871" s="2" t="s">
        <v>23279</v>
      </c>
      <c r="B871" s="2" t="s">
        <v>23280</v>
      </c>
      <c r="C871" s="11" t="s">
        <v>23281</v>
      </c>
      <c r="D871" s="2" t="s">
        <v>23282</v>
      </c>
      <c r="E871" s="2" t="s">
        <v>23283</v>
      </c>
    </row>
    <row r="872">
      <c r="A872" s="2" t="s">
        <v>23284</v>
      </c>
      <c r="B872" s="2" t="s">
        <v>23285</v>
      </c>
      <c r="C872" s="11" t="s">
        <v>23286</v>
      </c>
      <c r="D872" s="2" t="s">
        <v>23287</v>
      </c>
      <c r="E872" s="2" t="s">
        <v>23288</v>
      </c>
    </row>
    <row r="873">
      <c r="A873" s="2" t="s">
        <v>23289</v>
      </c>
      <c r="B873" s="2" t="s">
        <v>23290</v>
      </c>
      <c r="C873" s="11" t="s">
        <v>23291</v>
      </c>
      <c r="D873" s="2" t="s">
        <v>23292</v>
      </c>
      <c r="E873" s="2" t="s">
        <v>23293</v>
      </c>
    </row>
    <row r="874">
      <c r="A874" s="2" t="s">
        <v>23294</v>
      </c>
      <c r="B874" s="2" t="s">
        <v>23295</v>
      </c>
      <c r="C874" s="11" t="s">
        <v>23296</v>
      </c>
      <c r="D874" s="2" t="s">
        <v>23297</v>
      </c>
      <c r="E874" s="2" t="s">
        <v>23298</v>
      </c>
    </row>
    <row r="875">
      <c r="A875" s="2" t="s">
        <v>23299</v>
      </c>
      <c r="B875" s="2" t="s">
        <v>23300</v>
      </c>
      <c r="C875" s="11" t="s">
        <v>23301</v>
      </c>
      <c r="D875" s="2" t="s">
        <v>23302</v>
      </c>
      <c r="E875" s="2" t="s">
        <v>23303</v>
      </c>
    </row>
    <row r="876">
      <c r="A876" s="2" t="s">
        <v>23304</v>
      </c>
      <c r="B876" s="2" t="s">
        <v>23305</v>
      </c>
      <c r="C876" s="11" t="s">
        <v>23306</v>
      </c>
      <c r="D876" s="2" t="s">
        <v>23307</v>
      </c>
      <c r="E876" s="2" t="s">
        <v>23308</v>
      </c>
    </row>
    <row r="877">
      <c r="A877" s="2" t="s">
        <v>23309</v>
      </c>
      <c r="B877" s="2" t="s">
        <v>23310</v>
      </c>
      <c r="C877" s="11" t="s">
        <v>23311</v>
      </c>
      <c r="D877" s="2" t="s">
        <v>23312</v>
      </c>
      <c r="E877" s="2" t="s">
        <v>23313</v>
      </c>
    </row>
    <row r="878">
      <c r="A878" s="2" t="s">
        <v>23314</v>
      </c>
      <c r="B878" s="2" t="s">
        <v>23315</v>
      </c>
      <c r="C878" s="11" t="s">
        <v>23316</v>
      </c>
      <c r="D878" s="2" t="s">
        <v>23317</v>
      </c>
      <c r="E878" s="2" t="s">
        <v>23318</v>
      </c>
    </row>
    <row r="879">
      <c r="A879" s="2" t="s">
        <v>23319</v>
      </c>
      <c r="B879" s="2" t="s">
        <v>23320</v>
      </c>
      <c r="C879" s="11" t="s">
        <v>23321</v>
      </c>
      <c r="D879" s="2" t="s">
        <v>23322</v>
      </c>
      <c r="E879" s="2" t="s">
        <v>23323</v>
      </c>
    </row>
    <row r="880">
      <c r="A880" s="2" t="s">
        <v>23324</v>
      </c>
      <c r="B880" s="2" t="s">
        <v>23325</v>
      </c>
      <c r="C880" s="11" t="s">
        <v>23326</v>
      </c>
      <c r="D880" s="2" t="s">
        <v>23327</v>
      </c>
      <c r="E880" s="2" t="s">
        <v>23328</v>
      </c>
    </row>
    <row r="881">
      <c r="A881" s="2" t="s">
        <v>23329</v>
      </c>
      <c r="B881" s="2" t="s">
        <v>23330</v>
      </c>
      <c r="C881" s="11" t="s">
        <v>23331</v>
      </c>
      <c r="D881" s="2" t="s">
        <v>23332</v>
      </c>
      <c r="E881" s="2" t="s">
        <v>23333</v>
      </c>
    </row>
    <row r="882">
      <c r="A882" s="2" t="s">
        <v>23334</v>
      </c>
      <c r="B882" s="2" t="s">
        <v>23335</v>
      </c>
      <c r="C882" s="11" t="s">
        <v>23336</v>
      </c>
      <c r="D882" s="2" t="s">
        <v>23337</v>
      </c>
      <c r="E882" s="2" t="s">
        <v>23338</v>
      </c>
    </row>
    <row r="883">
      <c r="A883" s="2" t="s">
        <v>17797</v>
      </c>
      <c r="B883" s="2" t="s">
        <v>23339</v>
      </c>
      <c r="C883" s="11" t="s">
        <v>23340</v>
      </c>
      <c r="D883" s="2" t="s">
        <v>23341</v>
      </c>
      <c r="E883" s="2" t="s">
        <v>23342</v>
      </c>
    </row>
    <row r="884">
      <c r="A884" s="2" t="s">
        <v>23343</v>
      </c>
      <c r="B884" s="2" t="s">
        <v>23344</v>
      </c>
      <c r="C884" s="11" t="s">
        <v>23345</v>
      </c>
      <c r="D884" s="2" t="s">
        <v>23346</v>
      </c>
      <c r="E884" s="2" t="s">
        <v>23347</v>
      </c>
    </row>
    <row r="885">
      <c r="A885" s="2" t="s">
        <v>23348</v>
      </c>
      <c r="B885" s="2" t="s">
        <v>23349</v>
      </c>
      <c r="C885" s="11" t="s">
        <v>23350</v>
      </c>
      <c r="D885" s="2" t="s">
        <v>23351</v>
      </c>
      <c r="E885" s="2" t="s">
        <v>23352</v>
      </c>
    </row>
    <row r="886">
      <c r="A886" s="2" t="s">
        <v>23353</v>
      </c>
      <c r="B886" s="2" t="s">
        <v>23354</v>
      </c>
      <c r="C886" s="11" t="s">
        <v>23355</v>
      </c>
      <c r="D886" s="2" t="s">
        <v>23356</v>
      </c>
      <c r="E886" s="2" t="s">
        <v>23357</v>
      </c>
    </row>
    <row r="887">
      <c r="A887" s="2" t="s">
        <v>23358</v>
      </c>
      <c r="B887" s="2" t="s">
        <v>23359</v>
      </c>
      <c r="C887" s="11" t="s">
        <v>23360</v>
      </c>
      <c r="D887" s="2" t="s">
        <v>23361</v>
      </c>
      <c r="E887" s="2" t="s">
        <v>23362</v>
      </c>
    </row>
    <row r="888">
      <c r="A888" s="2" t="s">
        <v>23363</v>
      </c>
      <c r="B888" s="2" t="s">
        <v>23364</v>
      </c>
      <c r="C888" s="11" t="s">
        <v>23365</v>
      </c>
      <c r="D888" s="2" t="s">
        <v>23366</v>
      </c>
      <c r="E888" s="2" t="s">
        <v>23367</v>
      </c>
    </row>
    <row r="889">
      <c r="A889" s="2" t="s">
        <v>23368</v>
      </c>
      <c r="B889" s="2" t="s">
        <v>23369</v>
      </c>
      <c r="C889" s="11" t="s">
        <v>23370</v>
      </c>
      <c r="D889" s="2" t="s">
        <v>23371</v>
      </c>
      <c r="E889" s="2" t="s">
        <v>23372</v>
      </c>
    </row>
    <row r="890">
      <c r="A890" s="2" t="s">
        <v>23373</v>
      </c>
      <c r="B890" s="2" t="s">
        <v>23374</v>
      </c>
      <c r="C890" s="11" t="s">
        <v>23375</v>
      </c>
      <c r="D890" s="2" t="s">
        <v>23376</v>
      </c>
      <c r="E890" s="2" t="s">
        <v>23377</v>
      </c>
    </row>
    <row r="891">
      <c r="A891" s="2" t="s">
        <v>23378</v>
      </c>
      <c r="B891" s="2" t="s">
        <v>23379</v>
      </c>
      <c r="C891" s="11" t="s">
        <v>23380</v>
      </c>
      <c r="D891" s="2" t="s">
        <v>23381</v>
      </c>
      <c r="E891" s="2" t="s">
        <v>23382</v>
      </c>
    </row>
    <row r="892">
      <c r="A892" s="2" t="s">
        <v>23383</v>
      </c>
      <c r="B892" s="2" t="s">
        <v>23384</v>
      </c>
      <c r="C892" s="11" t="s">
        <v>23385</v>
      </c>
      <c r="D892" s="2" t="s">
        <v>23386</v>
      </c>
      <c r="E892" s="2" t="s">
        <v>23387</v>
      </c>
    </row>
    <row r="893">
      <c r="A893" s="2" t="s">
        <v>23388</v>
      </c>
      <c r="B893" s="2" t="s">
        <v>23389</v>
      </c>
      <c r="C893" s="11" t="s">
        <v>23390</v>
      </c>
      <c r="D893" s="2" t="s">
        <v>23391</v>
      </c>
      <c r="E893" s="2" t="s">
        <v>23392</v>
      </c>
    </row>
    <row r="894">
      <c r="A894" s="2" t="s">
        <v>23393</v>
      </c>
      <c r="B894" s="2" t="s">
        <v>23394</v>
      </c>
      <c r="C894" s="11" t="s">
        <v>23395</v>
      </c>
      <c r="D894" s="2" t="s">
        <v>23396</v>
      </c>
      <c r="E894" s="2" t="s">
        <v>23397</v>
      </c>
    </row>
    <row r="895">
      <c r="A895" s="2" t="s">
        <v>23398</v>
      </c>
      <c r="B895" s="2" t="s">
        <v>23399</v>
      </c>
      <c r="C895" s="11" t="s">
        <v>23400</v>
      </c>
      <c r="D895" s="2" t="s">
        <v>23401</v>
      </c>
      <c r="E895" s="2" t="s">
        <v>23402</v>
      </c>
    </row>
    <row r="896">
      <c r="A896" s="2" t="s">
        <v>23403</v>
      </c>
      <c r="B896" s="2" t="s">
        <v>23404</v>
      </c>
      <c r="C896" s="11" t="s">
        <v>23405</v>
      </c>
      <c r="D896" s="2" t="s">
        <v>23406</v>
      </c>
      <c r="E896" s="2" t="s">
        <v>23407</v>
      </c>
    </row>
    <row r="897">
      <c r="A897" s="2" t="s">
        <v>23408</v>
      </c>
      <c r="B897" s="2" t="s">
        <v>23409</v>
      </c>
      <c r="C897" s="11" t="s">
        <v>23410</v>
      </c>
      <c r="D897" s="2" t="s">
        <v>23411</v>
      </c>
      <c r="E897" s="2" t="s">
        <v>23412</v>
      </c>
    </row>
    <row r="898">
      <c r="A898" s="2" t="s">
        <v>15303</v>
      </c>
      <c r="B898" s="2" t="s">
        <v>23413</v>
      </c>
      <c r="C898" s="11" t="s">
        <v>23414</v>
      </c>
      <c r="D898" s="2" t="s">
        <v>23415</v>
      </c>
      <c r="E898" s="2" t="s">
        <v>23416</v>
      </c>
    </row>
    <row r="899">
      <c r="A899" s="2" t="s">
        <v>23417</v>
      </c>
      <c r="B899" s="2" t="s">
        <v>23418</v>
      </c>
      <c r="C899" s="11" t="s">
        <v>23419</v>
      </c>
      <c r="D899" s="2" t="s">
        <v>23420</v>
      </c>
      <c r="E899" s="2" t="s">
        <v>23421</v>
      </c>
    </row>
    <row r="900">
      <c r="A900" s="2" t="s">
        <v>15308</v>
      </c>
      <c r="B900" s="2" t="s">
        <v>23422</v>
      </c>
      <c r="C900" s="11" t="s">
        <v>23423</v>
      </c>
      <c r="D900" s="2" t="s">
        <v>23424</v>
      </c>
      <c r="E900" s="2" t="s">
        <v>23425</v>
      </c>
    </row>
    <row r="901">
      <c r="A901" s="2" t="s">
        <v>23426</v>
      </c>
      <c r="B901" s="2" t="s">
        <v>23427</v>
      </c>
      <c r="C901" s="11" t="s">
        <v>23428</v>
      </c>
      <c r="D901" s="2" t="s">
        <v>23429</v>
      </c>
      <c r="E901" s="2" t="s">
        <v>23430</v>
      </c>
    </row>
    <row r="902">
      <c r="A902" s="2" t="s">
        <v>23431</v>
      </c>
      <c r="B902" s="2" t="s">
        <v>23432</v>
      </c>
      <c r="C902" s="11" t="s">
        <v>23433</v>
      </c>
      <c r="D902" s="2" t="s">
        <v>23434</v>
      </c>
      <c r="E902" s="2" t="s">
        <v>23435</v>
      </c>
    </row>
    <row r="903">
      <c r="A903" s="2" t="s">
        <v>23436</v>
      </c>
      <c r="B903" s="2" t="s">
        <v>23437</v>
      </c>
      <c r="C903" s="11" t="s">
        <v>23438</v>
      </c>
      <c r="D903" s="2" t="s">
        <v>23439</v>
      </c>
      <c r="E903" s="2" t="s">
        <v>23440</v>
      </c>
    </row>
    <row r="904">
      <c r="A904" s="2" t="s">
        <v>18596</v>
      </c>
      <c r="B904" s="2" t="s">
        <v>23441</v>
      </c>
      <c r="C904" s="11" t="s">
        <v>23442</v>
      </c>
      <c r="D904" s="2" t="s">
        <v>23443</v>
      </c>
      <c r="E904" s="2" t="s">
        <v>23444</v>
      </c>
    </row>
    <row r="905">
      <c r="A905" s="2" t="s">
        <v>18597</v>
      </c>
      <c r="B905" s="2" t="s">
        <v>23445</v>
      </c>
      <c r="C905" s="11" t="s">
        <v>23446</v>
      </c>
      <c r="D905" s="2" t="s">
        <v>23447</v>
      </c>
      <c r="E905" s="2" t="s">
        <v>23448</v>
      </c>
    </row>
    <row r="906">
      <c r="A906" s="2" t="s">
        <v>23449</v>
      </c>
      <c r="B906" s="2" t="s">
        <v>23450</v>
      </c>
      <c r="C906" s="11" t="s">
        <v>23451</v>
      </c>
      <c r="D906" s="2" t="s">
        <v>23452</v>
      </c>
      <c r="E906" s="2" t="s">
        <v>23453</v>
      </c>
    </row>
    <row r="907">
      <c r="A907" s="2" t="s">
        <v>23454</v>
      </c>
      <c r="B907" s="2" t="s">
        <v>23455</v>
      </c>
      <c r="C907" s="11" t="s">
        <v>23456</v>
      </c>
      <c r="D907" s="2" t="s">
        <v>23457</v>
      </c>
      <c r="E907" s="2" t="s">
        <v>23458</v>
      </c>
    </row>
    <row r="908">
      <c r="A908" s="2" t="s">
        <v>23459</v>
      </c>
      <c r="B908" s="2" t="s">
        <v>23460</v>
      </c>
      <c r="C908" s="11" t="s">
        <v>23461</v>
      </c>
      <c r="D908" s="2" t="s">
        <v>23462</v>
      </c>
      <c r="E908" s="2" t="s">
        <v>23463</v>
      </c>
    </row>
    <row r="909">
      <c r="A909" s="2" t="s">
        <v>23464</v>
      </c>
      <c r="B909" s="2" t="s">
        <v>23465</v>
      </c>
      <c r="C909" s="11" t="s">
        <v>23466</v>
      </c>
      <c r="D909" s="2" t="s">
        <v>23467</v>
      </c>
      <c r="E909" s="2" t="s">
        <v>23468</v>
      </c>
    </row>
    <row r="910">
      <c r="A910" s="2" t="s">
        <v>15317</v>
      </c>
      <c r="B910" s="2" t="s">
        <v>23469</v>
      </c>
      <c r="C910" s="11" t="s">
        <v>23470</v>
      </c>
      <c r="D910" s="2" t="s">
        <v>23471</v>
      </c>
      <c r="E910" s="2" t="s">
        <v>23472</v>
      </c>
    </row>
    <row r="911">
      <c r="A911" s="2" t="s">
        <v>23473</v>
      </c>
      <c r="B911" s="2" t="s">
        <v>23474</v>
      </c>
      <c r="C911" s="11" t="s">
        <v>23475</v>
      </c>
      <c r="D911" s="2" t="s">
        <v>23476</v>
      </c>
      <c r="E911" s="2" t="s">
        <v>23477</v>
      </c>
    </row>
    <row r="912">
      <c r="A912" s="2" t="s">
        <v>23478</v>
      </c>
      <c r="B912" s="2" t="s">
        <v>23479</v>
      </c>
      <c r="C912" s="11" t="s">
        <v>23480</v>
      </c>
      <c r="D912" s="2" t="s">
        <v>23481</v>
      </c>
      <c r="E912" s="2" t="s">
        <v>23482</v>
      </c>
    </row>
    <row r="913">
      <c r="A913" s="2" t="s">
        <v>23483</v>
      </c>
      <c r="B913" s="2" t="s">
        <v>23484</v>
      </c>
      <c r="C913" s="11" t="s">
        <v>23485</v>
      </c>
      <c r="D913" s="2" t="s">
        <v>23486</v>
      </c>
      <c r="E913" s="2" t="s">
        <v>23487</v>
      </c>
    </row>
    <row r="914">
      <c r="A914" s="2" t="s">
        <v>23488</v>
      </c>
      <c r="B914" s="2" t="s">
        <v>23489</v>
      </c>
      <c r="C914" s="11" t="s">
        <v>23490</v>
      </c>
      <c r="D914" s="2" t="s">
        <v>23491</v>
      </c>
      <c r="E914" s="2" t="s">
        <v>23492</v>
      </c>
    </row>
    <row r="915">
      <c r="A915" s="2" t="s">
        <v>18114</v>
      </c>
      <c r="B915" s="2" t="s">
        <v>23493</v>
      </c>
      <c r="C915" s="11" t="s">
        <v>23494</v>
      </c>
      <c r="D915" s="2" t="s">
        <v>23495</v>
      </c>
      <c r="E915" s="2" t="s">
        <v>23496</v>
      </c>
    </row>
    <row r="916">
      <c r="A916" s="2" t="s">
        <v>18655</v>
      </c>
      <c r="B916" s="2" t="s">
        <v>23497</v>
      </c>
      <c r="C916" s="11" t="s">
        <v>23498</v>
      </c>
      <c r="D916" s="2" t="s">
        <v>23499</v>
      </c>
      <c r="E916" s="2" t="s">
        <v>23500</v>
      </c>
    </row>
    <row r="917">
      <c r="A917" s="2" t="s">
        <v>23501</v>
      </c>
      <c r="B917" s="2" t="s">
        <v>23502</v>
      </c>
      <c r="C917" s="11" t="s">
        <v>23503</v>
      </c>
      <c r="D917" s="2" t="s">
        <v>23504</v>
      </c>
      <c r="E917" s="2" t="s">
        <v>23505</v>
      </c>
    </row>
    <row r="918">
      <c r="A918" s="2" t="s">
        <v>23506</v>
      </c>
      <c r="B918" s="2" t="s">
        <v>23507</v>
      </c>
      <c r="C918" s="11" t="s">
        <v>23508</v>
      </c>
      <c r="D918" s="2" t="s">
        <v>23509</v>
      </c>
      <c r="E918" s="2" t="s">
        <v>23510</v>
      </c>
    </row>
    <row r="919">
      <c r="A919" s="2" t="s">
        <v>23511</v>
      </c>
      <c r="B919" s="2" t="s">
        <v>23512</v>
      </c>
      <c r="C919" s="11" t="s">
        <v>23513</v>
      </c>
      <c r="D919" s="2" t="s">
        <v>23514</v>
      </c>
      <c r="E919" s="2" t="s">
        <v>23515</v>
      </c>
    </row>
    <row r="920">
      <c r="A920" s="2" t="s">
        <v>23516</v>
      </c>
      <c r="B920" s="2" t="s">
        <v>23517</v>
      </c>
      <c r="C920" s="11" t="s">
        <v>23518</v>
      </c>
      <c r="D920" s="2" t="s">
        <v>23519</v>
      </c>
      <c r="E920" s="2" t="s">
        <v>23520</v>
      </c>
    </row>
    <row r="921">
      <c r="A921" s="2" t="s">
        <v>17261</v>
      </c>
      <c r="B921" s="2" t="s">
        <v>23521</v>
      </c>
      <c r="C921" s="11" t="s">
        <v>23522</v>
      </c>
      <c r="D921" s="2" t="s">
        <v>23523</v>
      </c>
      <c r="E921" s="2" t="s">
        <v>23524</v>
      </c>
    </row>
    <row r="922">
      <c r="A922" s="2" t="s">
        <v>23525</v>
      </c>
      <c r="B922" s="2" t="s">
        <v>23526</v>
      </c>
      <c r="C922" s="11" t="s">
        <v>23527</v>
      </c>
      <c r="D922" s="2" t="s">
        <v>23528</v>
      </c>
      <c r="E922" s="2" t="s">
        <v>23529</v>
      </c>
    </row>
    <row r="923">
      <c r="A923" s="2" t="s">
        <v>23530</v>
      </c>
      <c r="B923" s="2" t="s">
        <v>23531</v>
      </c>
      <c r="C923" s="11" t="s">
        <v>23532</v>
      </c>
      <c r="D923" s="2" t="s">
        <v>23533</v>
      </c>
      <c r="E923" s="2" t="s">
        <v>23534</v>
      </c>
    </row>
    <row r="924">
      <c r="A924" s="2" t="s">
        <v>23535</v>
      </c>
      <c r="B924" s="2" t="s">
        <v>23536</v>
      </c>
      <c r="C924" s="11" t="s">
        <v>23537</v>
      </c>
      <c r="D924" s="2" t="s">
        <v>23538</v>
      </c>
      <c r="E924" s="2" t="s">
        <v>23539</v>
      </c>
    </row>
    <row r="925">
      <c r="A925" s="2" t="s">
        <v>18083</v>
      </c>
      <c r="B925" s="2" t="s">
        <v>23540</v>
      </c>
      <c r="C925" s="11" t="s">
        <v>23541</v>
      </c>
      <c r="D925" s="2" t="s">
        <v>23542</v>
      </c>
      <c r="E925" s="2" t="s">
        <v>23543</v>
      </c>
    </row>
    <row r="926">
      <c r="A926" s="2" t="s">
        <v>23544</v>
      </c>
      <c r="B926" s="2" t="s">
        <v>23545</v>
      </c>
      <c r="C926" s="11" t="s">
        <v>23546</v>
      </c>
      <c r="D926" s="2" t="s">
        <v>23547</v>
      </c>
      <c r="E926" s="2" t="s">
        <v>23548</v>
      </c>
    </row>
    <row r="927">
      <c r="A927" s="2" t="s">
        <v>23549</v>
      </c>
      <c r="B927" s="2" t="s">
        <v>23550</v>
      </c>
      <c r="C927" s="11" t="s">
        <v>23551</v>
      </c>
      <c r="D927" s="2" t="s">
        <v>23552</v>
      </c>
      <c r="E927" s="2" t="s">
        <v>23553</v>
      </c>
    </row>
    <row r="928">
      <c r="A928" s="2" t="s">
        <v>18488</v>
      </c>
      <c r="B928" s="2" t="s">
        <v>23554</v>
      </c>
      <c r="C928" s="11" t="s">
        <v>23555</v>
      </c>
      <c r="D928" s="2" t="s">
        <v>23556</v>
      </c>
      <c r="E928" s="2" t="s">
        <v>23557</v>
      </c>
    </row>
    <row r="929">
      <c r="A929" s="2" t="s">
        <v>23558</v>
      </c>
      <c r="B929" s="2" t="s">
        <v>23559</v>
      </c>
      <c r="C929" s="11" t="s">
        <v>23560</v>
      </c>
      <c r="D929" s="2" t="s">
        <v>23561</v>
      </c>
      <c r="E929" s="2" t="s">
        <v>23562</v>
      </c>
    </row>
    <row r="930">
      <c r="A930" s="2" t="s">
        <v>23563</v>
      </c>
      <c r="B930" s="2" t="s">
        <v>23564</v>
      </c>
      <c r="C930" s="11" t="s">
        <v>23565</v>
      </c>
      <c r="D930" s="2" t="s">
        <v>23566</v>
      </c>
      <c r="E930" s="2" t="s">
        <v>23567</v>
      </c>
    </row>
    <row r="931">
      <c r="A931" s="2" t="s">
        <v>23568</v>
      </c>
      <c r="B931" s="2" t="s">
        <v>23569</v>
      </c>
      <c r="C931" s="11" t="s">
        <v>23570</v>
      </c>
      <c r="D931" s="2" t="s">
        <v>23571</v>
      </c>
      <c r="E931" s="2" t="s">
        <v>23572</v>
      </c>
    </row>
    <row r="932">
      <c r="A932" s="2" t="s">
        <v>23573</v>
      </c>
      <c r="B932" s="2" t="s">
        <v>23574</v>
      </c>
      <c r="C932" s="11" t="s">
        <v>23575</v>
      </c>
      <c r="D932" s="2" t="s">
        <v>23576</v>
      </c>
      <c r="E932" s="2" t="s">
        <v>23577</v>
      </c>
    </row>
    <row r="933">
      <c r="A933" s="2" t="s">
        <v>23578</v>
      </c>
      <c r="B933" s="2" t="s">
        <v>23579</v>
      </c>
      <c r="C933" s="11" t="s">
        <v>23580</v>
      </c>
      <c r="D933" s="2" t="s">
        <v>23581</v>
      </c>
      <c r="E933" s="2" t="s">
        <v>23582</v>
      </c>
    </row>
    <row r="934">
      <c r="A934" s="2" t="s">
        <v>23583</v>
      </c>
      <c r="B934" s="2" t="s">
        <v>23584</v>
      </c>
      <c r="C934" s="11" t="s">
        <v>23585</v>
      </c>
      <c r="D934" s="2" t="s">
        <v>23586</v>
      </c>
      <c r="E934" s="2" t="s">
        <v>23587</v>
      </c>
    </row>
    <row r="935">
      <c r="A935" s="2" t="s">
        <v>23588</v>
      </c>
      <c r="B935" s="2" t="s">
        <v>23589</v>
      </c>
      <c r="C935" s="11" t="s">
        <v>23590</v>
      </c>
      <c r="D935" s="2" t="s">
        <v>23591</v>
      </c>
      <c r="E935" s="2" t="s">
        <v>23592</v>
      </c>
    </row>
    <row r="936">
      <c r="A936" s="2" t="s">
        <v>23593</v>
      </c>
      <c r="B936" s="2" t="s">
        <v>23594</v>
      </c>
      <c r="C936" s="11" t="s">
        <v>23595</v>
      </c>
      <c r="D936" s="2" t="s">
        <v>23596</v>
      </c>
      <c r="E936" s="2" t="s">
        <v>23597</v>
      </c>
    </row>
    <row r="937">
      <c r="A937" s="2" t="s">
        <v>23598</v>
      </c>
      <c r="B937" s="2" t="s">
        <v>23599</v>
      </c>
      <c r="C937" s="11" t="s">
        <v>23600</v>
      </c>
      <c r="D937" s="2" t="s">
        <v>23601</v>
      </c>
      <c r="E937" s="2" t="s">
        <v>23602</v>
      </c>
    </row>
    <row r="938">
      <c r="A938" s="2" t="s">
        <v>23603</v>
      </c>
      <c r="B938" s="2" t="s">
        <v>23604</v>
      </c>
      <c r="C938" s="11" t="s">
        <v>23605</v>
      </c>
      <c r="D938" s="2" t="s">
        <v>23606</v>
      </c>
      <c r="E938" s="2" t="s">
        <v>23607</v>
      </c>
    </row>
    <row r="939">
      <c r="A939" s="2" t="s">
        <v>23608</v>
      </c>
      <c r="B939" s="2" t="s">
        <v>23609</v>
      </c>
      <c r="C939" s="11" t="s">
        <v>23610</v>
      </c>
      <c r="D939" s="2" t="s">
        <v>23611</v>
      </c>
      <c r="E939" s="2" t="s">
        <v>23612</v>
      </c>
    </row>
    <row r="940">
      <c r="A940" s="2" t="s">
        <v>23613</v>
      </c>
      <c r="B940" s="2" t="s">
        <v>23614</v>
      </c>
      <c r="C940" s="11" t="s">
        <v>23615</v>
      </c>
      <c r="D940" s="2" t="s">
        <v>23616</v>
      </c>
      <c r="E940" s="2" t="s">
        <v>23617</v>
      </c>
    </row>
    <row r="941">
      <c r="A941" s="2" t="s">
        <v>18524</v>
      </c>
      <c r="B941" s="2" t="s">
        <v>23618</v>
      </c>
      <c r="C941" s="11" t="s">
        <v>23619</v>
      </c>
      <c r="D941" s="2" t="s">
        <v>23620</v>
      </c>
      <c r="E941" s="2" t="s">
        <v>23621</v>
      </c>
    </row>
    <row r="942">
      <c r="A942" s="2" t="s">
        <v>23622</v>
      </c>
      <c r="B942" s="2" t="s">
        <v>23623</v>
      </c>
      <c r="C942" s="11" t="s">
        <v>23624</v>
      </c>
      <c r="D942" s="2" t="s">
        <v>23625</v>
      </c>
      <c r="E942" s="2" t="s">
        <v>23626</v>
      </c>
    </row>
    <row r="943">
      <c r="A943" s="2" t="s">
        <v>23627</v>
      </c>
      <c r="B943" s="2" t="s">
        <v>23628</v>
      </c>
      <c r="C943" s="11" t="s">
        <v>23629</v>
      </c>
      <c r="D943" s="2" t="s">
        <v>23630</v>
      </c>
      <c r="E943" s="2" t="s">
        <v>23631</v>
      </c>
    </row>
    <row r="944">
      <c r="A944" s="2" t="s">
        <v>23632</v>
      </c>
      <c r="B944" s="2" t="s">
        <v>23633</v>
      </c>
      <c r="C944" s="11" t="s">
        <v>23634</v>
      </c>
      <c r="D944" s="2" t="s">
        <v>23635</v>
      </c>
      <c r="E944" s="2" t="s">
        <v>23636</v>
      </c>
    </row>
    <row r="945">
      <c r="A945" s="2" t="s">
        <v>18191</v>
      </c>
      <c r="B945" s="2" t="s">
        <v>23637</v>
      </c>
      <c r="C945" s="11" t="s">
        <v>23638</v>
      </c>
      <c r="D945" s="2" t="s">
        <v>23639</v>
      </c>
      <c r="E945" s="2" t="s">
        <v>23640</v>
      </c>
    </row>
    <row r="946">
      <c r="A946" s="2" t="s">
        <v>23641</v>
      </c>
      <c r="B946" s="2" t="s">
        <v>23642</v>
      </c>
      <c r="C946" s="11" t="s">
        <v>23643</v>
      </c>
      <c r="D946" s="2" t="s">
        <v>23644</v>
      </c>
      <c r="E946" s="2" t="s">
        <v>23645</v>
      </c>
    </row>
    <row r="947">
      <c r="A947" s="2" t="s">
        <v>23646</v>
      </c>
      <c r="B947" s="2" t="s">
        <v>23647</v>
      </c>
      <c r="C947" s="11" t="s">
        <v>23648</v>
      </c>
      <c r="D947" s="2" t="s">
        <v>23649</v>
      </c>
      <c r="E947" s="2" t="s">
        <v>23650</v>
      </c>
    </row>
    <row r="948">
      <c r="A948" s="2" t="s">
        <v>23651</v>
      </c>
      <c r="B948" s="2" t="s">
        <v>23652</v>
      </c>
      <c r="C948" s="11" t="s">
        <v>23653</v>
      </c>
      <c r="D948" s="2" t="s">
        <v>23654</v>
      </c>
      <c r="E948" s="2" t="s">
        <v>23655</v>
      </c>
    </row>
    <row r="949">
      <c r="A949" s="2" t="s">
        <v>23656</v>
      </c>
      <c r="B949" s="2" t="s">
        <v>23657</v>
      </c>
      <c r="C949" s="11" t="s">
        <v>23658</v>
      </c>
      <c r="D949" s="2" t="s">
        <v>23659</v>
      </c>
      <c r="E949" s="2" t="s">
        <v>23660</v>
      </c>
    </row>
    <row r="950">
      <c r="A950" s="2" t="s">
        <v>23661</v>
      </c>
      <c r="B950" s="2" t="s">
        <v>23662</v>
      </c>
      <c r="C950" s="11" t="s">
        <v>23663</v>
      </c>
      <c r="D950" s="2" t="s">
        <v>23664</v>
      </c>
      <c r="E950" s="2" t="s">
        <v>23665</v>
      </c>
    </row>
    <row r="951">
      <c r="A951" s="2" t="s">
        <v>23666</v>
      </c>
      <c r="B951" s="2" t="s">
        <v>23667</v>
      </c>
      <c r="C951" s="11" t="s">
        <v>23668</v>
      </c>
      <c r="D951" s="2" t="s">
        <v>23669</v>
      </c>
      <c r="E951" s="2" t="s">
        <v>23670</v>
      </c>
    </row>
    <row r="952">
      <c r="A952" s="2" t="s">
        <v>15289</v>
      </c>
      <c r="B952" s="2" t="s">
        <v>23671</v>
      </c>
      <c r="C952" s="11" t="s">
        <v>23672</v>
      </c>
      <c r="D952" s="2" t="s">
        <v>23673</v>
      </c>
      <c r="E952" s="2" t="s">
        <v>23674</v>
      </c>
    </row>
    <row r="953">
      <c r="A953" s="2" t="s">
        <v>23675</v>
      </c>
      <c r="B953" s="2" t="s">
        <v>23676</v>
      </c>
      <c r="C953" s="11" t="s">
        <v>23677</v>
      </c>
      <c r="D953" s="2" t="s">
        <v>23678</v>
      </c>
      <c r="E953" s="2" t="s">
        <v>23679</v>
      </c>
    </row>
    <row r="954">
      <c r="A954" s="2" t="s">
        <v>23680</v>
      </c>
      <c r="B954" s="2" t="s">
        <v>23681</v>
      </c>
      <c r="C954" s="11" t="s">
        <v>23682</v>
      </c>
      <c r="D954" s="2" t="s">
        <v>23683</v>
      </c>
      <c r="E954" s="2" t="s">
        <v>23684</v>
      </c>
    </row>
    <row r="955">
      <c r="A955" s="2" t="s">
        <v>23685</v>
      </c>
      <c r="B955" s="2" t="s">
        <v>23686</v>
      </c>
      <c r="C955" s="11" t="s">
        <v>23687</v>
      </c>
      <c r="D955" s="2" t="s">
        <v>23688</v>
      </c>
      <c r="E955" s="2" t="s">
        <v>23689</v>
      </c>
    </row>
    <row r="956">
      <c r="A956" s="2" t="s">
        <v>23690</v>
      </c>
      <c r="B956" s="2" t="s">
        <v>23691</v>
      </c>
      <c r="C956" s="11" t="s">
        <v>23692</v>
      </c>
      <c r="D956" s="2" t="s">
        <v>23693</v>
      </c>
      <c r="E956" s="2" t="s">
        <v>23694</v>
      </c>
    </row>
    <row r="957">
      <c r="A957" s="2" t="s">
        <v>23695</v>
      </c>
      <c r="B957" s="2" t="s">
        <v>23696</v>
      </c>
      <c r="C957" s="11" t="s">
        <v>23697</v>
      </c>
      <c r="D957" s="2" t="s">
        <v>23698</v>
      </c>
      <c r="E957" s="2" t="s">
        <v>23699</v>
      </c>
    </row>
    <row r="958">
      <c r="A958" s="2" t="s">
        <v>18196</v>
      </c>
      <c r="B958" s="2" t="s">
        <v>23700</v>
      </c>
      <c r="C958" s="11" t="s">
        <v>23701</v>
      </c>
      <c r="D958" s="2" t="s">
        <v>23702</v>
      </c>
      <c r="E958" s="2" t="s">
        <v>23703</v>
      </c>
    </row>
    <row r="959">
      <c r="A959" s="2" t="s">
        <v>15094</v>
      </c>
      <c r="B959" s="2" t="s">
        <v>23704</v>
      </c>
      <c r="C959" s="11" t="s">
        <v>23705</v>
      </c>
      <c r="D959" s="2" t="s">
        <v>23706</v>
      </c>
      <c r="E959" s="2" t="s">
        <v>23707</v>
      </c>
    </row>
    <row r="960">
      <c r="A960" s="2" t="s">
        <v>23708</v>
      </c>
      <c r="B960" s="2" t="s">
        <v>23709</v>
      </c>
      <c r="C960" s="11" t="s">
        <v>23710</v>
      </c>
      <c r="D960" s="2" t="s">
        <v>23711</v>
      </c>
      <c r="E960" s="2" t="s">
        <v>23712</v>
      </c>
    </row>
    <row r="961">
      <c r="A961" s="2" t="s">
        <v>23713</v>
      </c>
      <c r="B961" s="2" t="s">
        <v>23714</v>
      </c>
      <c r="C961" s="11" t="s">
        <v>23715</v>
      </c>
      <c r="D961" s="2" t="s">
        <v>23716</v>
      </c>
      <c r="E961" s="2" t="s">
        <v>23717</v>
      </c>
    </row>
    <row r="962">
      <c r="A962" s="2" t="s">
        <v>23718</v>
      </c>
      <c r="B962" s="2" t="s">
        <v>23719</v>
      </c>
      <c r="C962" s="11" t="s">
        <v>23720</v>
      </c>
      <c r="D962" s="2" t="s">
        <v>23721</v>
      </c>
      <c r="E962" s="2" t="s">
        <v>23722</v>
      </c>
    </row>
    <row r="963">
      <c r="A963" s="2" t="s">
        <v>23723</v>
      </c>
      <c r="B963" s="2" t="s">
        <v>23724</v>
      </c>
      <c r="C963" s="11" t="s">
        <v>23725</v>
      </c>
      <c r="D963" s="2" t="s">
        <v>23726</v>
      </c>
      <c r="E963" s="2" t="s">
        <v>23727</v>
      </c>
    </row>
    <row r="964">
      <c r="A964" s="2" t="s">
        <v>23728</v>
      </c>
      <c r="B964" s="2" t="s">
        <v>23729</v>
      </c>
      <c r="C964" s="11" t="s">
        <v>23730</v>
      </c>
      <c r="D964" s="2" t="s">
        <v>23731</v>
      </c>
      <c r="E964" s="2" t="s">
        <v>23732</v>
      </c>
    </row>
    <row r="965">
      <c r="A965" s="2" t="s">
        <v>23733</v>
      </c>
      <c r="B965" s="2" t="s">
        <v>23734</v>
      </c>
      <c r="C965" s="11" t="s">
        <v>23735</v>
      </c>
      <c r="D965" s="2" t="s">
        <v>23736</v>
      </c>
      <c r="E965" s="2" t="s">
        <v>23737</v>
      </c>
    </row>
    <row r="966">
      <c r="A966" s="2" t="s">
        <v>23738</v>
      </c>
      <c r="B966" s="2" t="s">
        <v>23739</v>
      </c>
      <c r="C966" s="11" t="s">
        <v>23740</v>
      </c>
      <c r="D966" s="2" t="s">
        <v>23741</v>
      </c>
      <c r="E966" s="2" t="s">
        <v>23742</v>
      </c>
    </row>
    <row r="967">
      <c r="A967" s="2" t="s">
        <v>15239</v>
      </c>
      <c r="B967" s="2" t="s">
        <v>23743</v>
      </c>
      <c r="C967" s="11" t="s">
        <v>23744</v>
      </c>
      <c r="D967" s="2" t="s">
        <v>23745</v>
      </c>
      <c r="E967" s="2" t="s">
        <v>23746</v>
      </c>
    </row>
    <row r="968">
      <c r="A968" s="2" t="s">
        <v>15244</v>
      </c>
      <c r="B968" s="2" t="s">
        <v>23747</v>
      </c>
      <c r="C968" s="11" t="s">
        <v>23748</v>
      </c>
      <c r="D968" s="2" t="s">
        <v>23749</v>
      </c>
      <c r="E968" s="2" t="s">
        <v>23750</v>
      </c>
    </row>
    <row r="969">
      <c r="A969" s="2" t="s">
        <v>23751</v>
      </c>
      <c r="B969" s="2" t="s">
        <v>23752</v>
      </c>
      <c r="C969" s="11" t="s">
        <v>23753</v>
      </c>
      <c r="D969" s="2" t="s">
        <v>23754</v>
      </c>
      <c r="E969" s="2" t="s">
        <v>23755</v>
      </c>
    </row>
    <row r="970">
      <c r="A970" s="2" t="s">
        <v>23756</v>
      </c>
      <c r="B970" s="2" t="s">
        <v>23757</v>
      </c>
      <c r="C970" s="11" t="s">
        <v>23758</v>
      </c>
      <c r="D970" s="2" t="s">
        <v>23759</v>
      </c>
      <c r="E970" s="2" t="s">
        <v>23760</v>
      </c>
    </row>
    <row r="971">
      <c r="A971" s="2" t="s">
        <v>23761</v>
      </c>
      <c r="B971" s="2" t="s">
        <v>23762</v>
      </c>
      <c r="C971" s="11" t="s">
        <v>23763</v>
      </c>
      <c r="D971" s="2" t="s">
        <v>23764</v>
      </c>
      <c r="E971" s="2" t="s">
        <v>23765</v>
      </c>
    </row>
    <row r="972">
      <c r="A972" s="2" t="s">
        <v>23766</v>
      </c>
      <c r="B972" s="2" t="s">
        <v>23767</v>
      </c>
      <c r="C972" s="11" t="s">
        <v>23768</v>
      </c>
      <c r="D972" s="2" t="s">
        <v>23769</v>
      </c>
      <c r="E972" s="2" t="s">
        <v>23770</v>
      </c>
    </row>
    <row r="973">
      <c r="A973" s="2" t="s">
        <v>15241</v>
      </c>
      <c r="B973" s="2" t="s">
        <v>23771</v>
      </c>
      <c r="C973" s="11" t="s">
        <v>23772</v>
      </c>
      <c r="D973" s="2" t="s">
        <v>23773</v>
      </c>
      <c r="E973" s="2" t="s">
        <v>23774</v>
      </c>
    </row>
    <row r="974">
      <c r="A974" s="2" t="s">
        <v>15247</v>
      </c>
      <c r="B974" s="2" t="s">
        <v>23775</v>
      </c>
      <c r="C974" s="11" t="s">
        <v>23776</v>
      </c>
      <c r="D974" s="2" t="s">
        <v>23777</v>
      </c>
      <c r="E974" s="2" t="s">
        <v>23778</v>
      </c>
    </row>
    <row r="975">
      <c r="A975" s="2" t="s">
        <v>23779</v>
      </c>
      <c r="B975" s="2" t="s">
        <v>23780</v>
      </c>
      <c r="C975" s="11" t="s">
        <v>23781</v>
      </c>
      <c r="D975" s="2" t="s">
        <v>23782</v>
      </c>
      <c r="E975" s="2" t="s">
        <v>23783</v>
      </c>
    </row>
    <row r="976">
      <c r="A976" s="2" t="s">
        <v>23784</v>
      </c>
      <c r="B976" s="2" t="s">
        <v>23785</v>
      </c>
      <c r="C976" s="11" t="s">
        <v>23786</v>
      </c>
      <c r="D976" s="2" t="s">
        <v>23787</v>
      </c>
      <c r="E976" s="2" t="s">
        <v>23788</v>
      </c>
    </row>
    <row r="977">
      <c r="A977" s="2" t="s">
        <v>23789</v>
      </c>
      <c r="B977" s="2" t="s">
        <v>23790</v>
      </c>
      <c r="C977" s="11" t="s">
        <v>23791</v>
      </c>
      <c r="D977" s="2" t="s">
        <v>23792</v>
      </c>
      <c r="E977" s="2" t="s">
        <v>23793</v>
      </c>
    </row>
    <row r="978">
      <c r="A978" s="2" t="s">
        <v>23794</v>
      </c>
      <c r="B978" s="2" t="s">
        <v>23795</v>
      </c>
      <c r="C978" s="11" t="s">
        <v>23796</v>
      </c>
      <c r="D978" s="2" t="s">
        <v>23797</v>
      </c>
      <c r="E978" s="2" t="s">
        <v>23798</v>
      </c>
    </row>
    <row r="979">
      <c r="A979" s="2" t="s">
        <v>23799</v>
      </c>
      <c r="B979" s="2" t="s">
        <v>23800</v>
      </c>
      <c r="C979" s="11" t="s">
        <v>23801</v>
      </c>
      <c r="D979" s="2" t="s">
        <v>23802</v>
      </c>
      <c r="E979" s="2" t="s">
        <v>23803</v>
      </c>
    </row>
    <row r="980">
      <c r="A980" s="2" t="s">
        <v>23804</v>
      </c>
      <c r="B980" s="2" t="s">
        <v>23805</v>
      </c>
      <c r="C980" s="11" t="s">
        <v>23806</v>
      </c>
      <c r="D980" s="2" t="s">
        <v>23807</v>
      </c>
      <c r="E980" s="2" t="s">
        <v>23808</v>
      </c>
    </row>
    <row r="981">
      <c r="A981" s="2" t="s">
        <v>23809</v>
      </c>
      <c r="B981" s="2" t="s">
        <v>23810</v>
      </c>
      <c r="C981" s="11" t="s">
        <v>23811</v>
      </c>
      <c r="D981" s="2" t="s">
        <v>23812</v>
      </c>
      <c r="E981" s="2" t="s">
        <v>23813</v>
      </c>
    </row>
    <row r="982">
      <c r="A982" s="2" t="s">
        <v>23814</v>
      </c>
      <c r="B982" s="2" t="s">
        <v>23815</v>
      </c>
      <c r="C982" s="11" t="s">
        <v>23816</v>
      </c>
      <c r="D982" s="2" t="s">
        <v>23817</v>
      </c>
      <c r="E982" s="2" t="s">
        <v>23818</v>
      </c>
    </row>
    <row r="983">
      <c r="A983" s="2" t="s">
        <v>23819</v>
      </c>
      <c r="B983" s="2" t="s">
        <v>23820</v>
      </c>
      <c r="C983" s="11" t="s">
        <v>23821</v>
      </c>
      <c r="D983" s="2" t="s">
        <v>23822</v>
      </c>
      <c r="E983" s="2" t="s">
        <v>23823</v>
      </c>
    </row>
    <row r="984">
      <c r="A984" s="2" t="s">
        <v>23824</v>
      </c>
      <c r="B984" s="2" t="s">
        <v>23825</v>
      </c>
      <c r="C984" s="11" t="s">
        <v>23826</v>
      </c>
      <c r="D984" s="2" t="s">
        <v>23827</v>
      </c>
      <c r="E984" s="2" t="s">
        <v>23828</v>
      </c>
    </row>
    <row r="985">
      <c r="A985" s="2" t="s">
        <v>23829</v>
      </c>
      <c r="B985" s="2" t="s">
        <v>23830</v>
      </c>
      <c r="C985" s="11" t="s">
        <v>23831</v>
      </c>
      <c r="D985" s="2" t="s">
        <v>23832</v>
      </c>
      <c r="E985" s="2" t="s">
        <v>23833</v>
      </c>
    </row>
    <row r="986">
      <c r="A986" s="2" t="s">
        <v>18329</v>
      </c>
      <c r="B986" s="2" t="s">
        <v>23834</v>
      </c>
      <c r="C986" s="11" t="s">
        <v>23835</v>
      </c>
      <c r="D986" s="2" t="s">
        <v>23836</v>
      </c>
      <c r="E986" s="2" t="s">
        <v>23837</v>
      </c>
    </row>
    <row r="987">
      <c r="A987" s="2" t="s">
        <v>23838</v>
      </c>
      <c r="B987" s="2" t="s">
        <v>23839</v>
      </c>
      <c r="C987" s="11" t="s">
        <v>23840</v>
      </c>
      <c r="D987" s="2" t="s">
        <v>23841</v>
      </c>
      <c r="E987" s="2" t="s">
        <v>23842</v>
      </c>
    </row>
    <row r="988">
      <c r="A988" s="2" t="s">
        <v>23843</v>
      </c>
      <c r="B988" s="2" t="s">
        <v>23844</v>
      </c>
      <c r="C988" s="11" t="s">
        <v>23845</v>
      </c>
      <c r="D988" s="2" t="s">
        <v>23846</v>
      </c>
      <c r="E988" s="2" t="s">
        <v>23847</v>
      </c>
    </row>
    <row r="989">
      <c r="A989" s="2" t="s">
        <v>23848</v>
      </c>
      <c r="B989" s="2" t="s">
        <v>23849</v>
      </c>
      <c r="C989" s="11" t="s">
        <v>23850</v>
      </c>
      <c r="D989" s="2" t="s">
        <v>23851</v>
      </c>
      <c r="E989" s="2" t="s">
        <v>23852</v>
      </c>
    </row>
    <row r="990">
      <c r="A990" s="2" t="s">
        <v>23853</v>
      </c>
      <c r="B990" s="2" t="s">
        <v>23854</v>
      </c>
      <c r="C990" s="11" t="s">
        <v>23855</v>
      </c>
      <c r="D990" s="2" t="s">
        <v>23856</v>
      </c>
      <c r="E990" s="2" t="s">
        <v>23857</v>
      </c>
    </row>
    <row r="991">
      <c r="A991" s="2" t="s">
        <v>23858</v>
      </c>
      <c r="B991" s="2" t="s">
        <v>23859</v>
      </c>
      <c r="C991" s="11" t="s">
        <v>23860</v>
      </c>
      <c r="D991" s="2" t="s">
        <v>23861</v>
      </c>
      <c r="E991" s="2" t="s">
        <v>23862</v>
      </c>
    </row>
    <row r="992">
      <c r="A992" s="2" t="s">
        <v>23863</v>
      </c>
      <c r="B992" s="2" t="s">
        <v>23864</v>
      </c>
      <c r="C992" s="11" t="s">
        <v>23865</v>
      </c>
      <c r="D992" s="2" t="s">
        <v>23866</v>
      </c>
      <c r="E992" s="2" t="s">
        <v>23867</v>
      </c>
    </row>
    <row r="993">
      <c r="A993" s="2" t="s">
        <v>23868</v>
      </c>
      <c r="B993" s="2" t="s">
        <v>23869</v>
      </c>
      <c r="C993" s="11" t="s">
        <v>23870</v>
      </c>
      <c r="D993" s="2" t="s">
        <v>23871</v>
      </c>
      <c r="E993" s="2" t="s">
        <v>23872</v>
      </c>
    </row>
    <row r="994">
      <c r="A994" s="2" t="s">
        <v>23873</v>
      </c>
      <c r="B994" s="2" t="s">
        <v>20479</v>
      </c>
      <c r="C994" s="11" t="s">
        <v>23874</v>
      </c>
      <c r="D994" s="2" t="s">
        <v>23875</v>
      </c>
      <c r="E994" s="2" t="s">
        <v>23876</v>
      </c>
    </row>
    <row r="995">
      <c r="A995" s="2" t="s">
        <v>23877</v>
      </c>
      <c r="B995" s="2" t="s">
        <v>23878</v>
      </c>
      <c r="C995" s="11" t="s">
        <v>23879</v>
      </c>
      <c r="D995" s="2" t="s">
        <v>23880</v>
      </c>
      <c r="E995" s="2" t="s">
        <v>23881</v>
      </c>
    </row>
    <row r="996">
      <c r="A996" s="2" t="s">
        <v>18588</v>
      </c>
      <c r="B996" s="2" t="s">
        <v>23882</v>
      </c>
      <c r="C996" s="11" t="s">
        <v>23883</v>
      </c>
      <c r="D996" s="2" t="s">
        <v>23884</v>
      </c>
      <c r="E996" s="2" t="s">
        <v>23885</v>
      </c>
    </row>
    <row r="997">
      <c r="A997" s="2" t="s">
        <v>18589</v>
      </c>
      <c r="B997" s="2" t="s">
        <v>23886</v>
      </c>
      <c r="C997" s="11" t="s">
        <v>23887</v>
      </c>
      <c r="D997" s="2" t="s">
        <v>23888</v>
      </c>
      <c r="E997" s="2" t="s">
        <v>23889</v>
      </c>
    </row>
    <row r="998">
      <c r="A998" s="2" t="s">
        <v>23890</v>
      </c>
      <c r="B998" s="2" t="s">
        <v>23891</v>
      </c>
      <c r="C998" s="11" t="s">
        <v>23892</v>
      </c>
      <c r="D998" s="2" t="s">
        <v>23893</v>
      </c>
      <c r="E998" s="2" t="s">
        <v>23894</v>
      </c>
    </row>
    <row r="999">
      <c r="A999" s="2" t="s">
        <v>18645</v>
      </c>
      <c r="B999" s="2" t="s">
        <v>23895</v>
      </c>
      <c r="C999" s="11" t="s">
        <v>23896</v>
      </c>
      <c r="D999" s="2" t="s">
        <v>23897</v>
      </c>
      <c r="E999" s="2" t="s">
        <v>23898</v>
      </c>
    </row>
    <row r="1000">
      <c r="A1000" s="2" t="s">
        <v>23899</v>
      </c>
      <c r="B1000" s="2" t="s">
        <v>23900</v>
      </c>
      <c r="C1000" s="11" t="s">
        <v>23901</v>
      </c>
      <c r="D1000" s="2" t="s">
        <v>23902</v>
      </c>
      <c r="E1000" s="2" t="s">
        <v>23903</v>
      </c>
    </row>
    <row r="1001">
      <c r="A1001" s="2" t="s">
        <v>23904</v>
      </c>
      <c r="B1001" s="2" t="s">
        <v>23905</v>
      </c>
      <c r="C1001" s="11" t="s">
        <v>23906</v>
      </c>
      <c r="D1001" s="2" t="s">
        <v>23907</v>
      </c>
      <c r="E1001" s="2" t="s">
        <v>23908</v>
      </c>
    </row>
    <row r="1002">
      <c r="A1002" s="2" t="s">
        <v>23909</v>
      </c>
      <c r="B1002" s="2" t="s">
        <v>23910</v>
      </c>
      <c r="C1002" s="11" t="s">
        <v>23911</v>
      </c>
      <c r="D1002" s="2" t="s">
        <v>23912</v>
      </c>
      <c r="E1002" s="2" t="s">
        <v>23913</v>
      </c>
    </row>
    <row r="1003">
      <c r="A1003" s="2" t="s">
        <v>23914</v>
      </c>
      <c r="B1003" s="2" t="s">
        <v>23915</v>
      </c>
      <c r="C1003" s="11" t="s">
        <v>23916</v>
      </c>
      <c r="D1003" s="2" t="s">
        <v>23917</v>
      </c>
      <c r="E1003" s="2" t="s">
        <v>23918</v>
      </c>
    </row>
    <row r="1004">
      <c r="A1004" s="2" t="s">
        <v>23919</v>
      </c>
      <c r="B1004" s="2" t="s">
        <v>23920</v>
      </c>
      <c r="C1004" s="11" t="s">
        <v>23921</v>
      </c>
      <c r="D1004" s="2" t="s">
        <v>23922</v>
      </c>
      <c r="E1004" s="2" t="s">
        <v>23923</v>
      </c>
    </row>
    <row r="1005">
      <c r="A1005" s="2" t="s">
        <v>23924</v>
      </c>
      <c r="B1005" s="2" t="s">
        <v>23925</v>
      </c>
      <c r="C1005" s="11" t="s">
        <v>23926</v>
      </c>
      <c r="D1005" s="2" t="s">
        <v>23927</v>
      </c>
      <c r="E1005" s="2" t="s">
        <v>23928</v>
      </c>
    </row>
    <row r="1006">
      <c r="A1006" s="2" t="s">
        <v>23929</v>
      </c>
      <c r="B1006" s="2" t="s">
        <v>23930</v>
      </c>
      <c r="C1006" s="11" t="s">
        <v>23931</v>
      </c>
      <c r="D1006" s="2" t="s">
        <v>23932</v>
      </c>
      <c r="E1006" s="2" t="s">
        <v>23933</v>
      </c>
    </row>
    <row r="1007">
      <c r="A1007" s="2" t="s">
        <v>23934</v>
      </c>
      <c r="B1007" s="2" t="s">
        <v>23935</v>
      </c>
      <c r="C1007" s="11" t="s">
        <v>23936</v>
      </c>
      <c r="D1007" s="2" t="s">
        <v>23937</v>
      </c>
      <c r="E1007" s="2" t="s">
        <v>23938</v>
      </c>
    </row>
    <row r="1008">
      <c r="A1008" s="2" t="s">
        <v>23939</v>
      </c>
      <c r="B1008" s="2" t="s">
        <v>23940</v>
      </c>
      <c r="C1008" s="11" t="s">
        <v>23941</v>
      </c>
      <c r="D1008" s="2" t="s">
        <v>23942</v>
      </c>
      <c r="E1008" s="2" t="s">
        <v>23943</v>
      </c>
    </row>
    <row r="1009">
      <c r="A1009" s="2" t="s">
        <v>23944</v>
      </c>
      <c r="B1009" s="2" t="s">
        <v>23945</v>
      </c>
      <c r="C1009" s="11" t="s">
        <v>23946</v>
      </c>
      <c r="D1009" s="2" t="s">
        <v>23947</v>
      </c>
      <c r="E1009" s="2" t="s">
        <v>23948</v>
      </c>
    </row>
    <row r="1010">
      <c r="A1010" s="2" t="s">
        <v>23949</v>
      </c>
      <c r="B1010" s="2" t="s">
        <v>23950</v>
      </c>
      <c r="C1010" s="11" t="s">
        <v>23951</v>
      </c>
      <c r="D1010" s="2" t="s">
        <v>23952</v>
      </c>
      <c r="E1010" s="2" t="s">
        <v>23953</v>
      </c>
    </row>
    <row r="1011">
      <c r="A1011" s="2" t="s">
        <v>23954</v>
      </c>
      <c r="B1011" s="2" t="s">
        <v>23955</v>
      </c>
      <c r="C1011" s="11" t="s">
        <v>23956</v>
      </c>
      <c r="D1011" s="2" t="s">
        <v>23957</v>
      </c>
      <c r="E1011" s="2" t="s">
        <v>23958</v>
      </c>
    </row>
    <row r="1012">
      <c r="A1012" s="2" t="s">
        <v>23959</v>
      </c>
      <c r="B1012" s="2" t="s">
        <v>23960</v>
      </c>
      <c r="C1012" s="11" t="s">
        <v>23961</v>
      </c>
      <c r="D1012" s="2" t="s">
        <v>23962</v>
      </c>
      <c r="E1012" s="2" t="s">
        <v>23963</v>
      </c>
    </row>
    <row r="1013">
      <c r="A1013" s="2" t="s">
        <v>23964</v>
      </c>
      <c r="B1013" s="2" t="s">
        <v>23965</v>
      </c>
      <c r="C1013" s="11" t="s">
        <v>23966</v>
      </c>
      <c r="D1013" s="2" t="s">
        <v>23967</v>
      </c>
      <c r="E1013" s="2" t="s">
        <v>23968</v>
      </c>
    </row>
    <row r="1014">
      <c r="A1014" s="2" t="s">
        <v>23969</v>
      </c>
      <c r="B1014" s="2" t="s">
        <v>23970</v>
      </c>
      <c r="C1014" s="11" t="s">
        <v>23971</v>
      </c>
      <c r="D1014" s="2" t="s">
        <v>23972</v>
      </c>
      <c r="E1014" s="2" t="s">
        <v>23973</v>
      </c>
    </row>
    <row r="1015">
      <c r="A1015" s="2" t="s">
        <v>23974</v>
      </c>
      <c r="B1015" s="2" t="s">
        <v>23975</v>
      </c>
      <c r="C1015" s="11" t="s">
        <v>23976</v>
      </c>
      <c r="D1015" s="2" t="s">
        <v>23977</v>
      </c>
      <c r="E1015" s="2" t="s">
        <v>23978</v>
      </c>
    </row>
    <row r="1016">
      <c r="A1016" s="2" t="s">
        <v>23979</v>
      </c>
      <c r="B1016" s="2" t="s">
        <v>23980</v>
      </c>
      <c r="C1016" s="11" t="s">
        <v>23981</v>
      </c>
      <c r="D1016" s="2" t="s">
        <v>23982</v>
      </c>
      <c r="E1016" s="2" t="s">
        <v>23983</v>
      </c>
    </row>
    <row r="1017">
      <c r="A1017" s="2" t="s">
        <v>23984</v>
      </c>
      <c r="B1017" s="2" t="s">
        <v>23985</v>
      </c>
      <c r="C1017" s="11" t="s">
        <v>23986</v>
      </c>
      <c r="D1017" s="2" t="s">
        <v>23987</v>
      </c>
      <c r="E1017" s="2" t="s">
        <v>23988</v>
      </c>
    </row>
    <row r="1018">
      <c r="A1018" s="2" t="s">
        <v>23989</v>
      </c>
      <c r="B1018" s="2" t="s">
        <v>23990</v>
      </c>
      <c r="C1018" s="11" t="s">
        <v>23991</v>
      </c>
      <c r="D1018" s="2" t="s">
        <v>23992</v>
      </c>
      <c r="E1018" s="2" t="s">
        <v>23993</v>
      </c>
    </row>
    <row r="1019">
      <c r="A1019" s="2" t="s">
        <v>23994</v>
      </c>
      <c r="B1019" s="2" t="s">
        <v>23995</v>
      </c>
      <c r="C1019" s="11" t="s">
        <v>23996</v>
      </c>
      <c r="D1019" s="2" t="s">
        <v>23997</v>
      </c>
      <c r="E1019" s="2" t="s">
        <v>23998</v>
      </c>
    </row>
    <row r="1020">
      <c r="A1020" s="2" t="s">
        <v>23999</v>
      </c>
      <c r="B1020" s="2" t="s">
        <v>24000</v>
      </c>
      <c r="C1020" s="11" t="s">
        <v>24001</v>
      </c>
      <c r="D1020" s="2" t="s">
        <v>24002</v>
      </c>
      <c r="E1020" s="2" t="s">
        <v>24003</v>
      </c>
    </row>
    <row r="1021">
      <c r="A1021" s="2" t="s">
        <v>24004</v>
      </c>
      <c r="B1021" s="2" t="s">
        <v>24005</v>
      </c>
      <c r="C1021" s="11" t="s">
        <v>24006</v>
      </c>
      <c r="D1021" s="2" t="s">
        <v>24007</v>
      </c>
      <c r="E1021" s="2" t="s">
        <v>24008</v>
      </c>
    </row>
    <row r="1022">
      <c r="A1022" s="2" t="s">
        <v>24009</v>
      </c>
      <c r="B1022" s="2" t="s">
        <v>24010</v>
      </c>
      <c r="C1022" s="11" t="s">
        <v>24011</v>
      </c>
      <c r="D1022" s="2" t="s">
        <v>24012</v>
      </c>
      <c r="E1022" s="2" t="s">
        <v>24013</v>
      </c>
    </row>
    <row r="1023">
      <c r="A1023" s="2" t="s">
        <v>24014</v>
      </c>
      <c r="B1023" s="2" t="s">
        <v>24015</v>
      </c>
      <c r="C1023" s="11" t="s">
        <v>24016</v>
      </c>
      <c r="D1023" s="2" t="s">
        <v>24017</v>
      </c>
      <c r="E1023" s="2" t="s">
        <v>24018</v>
      </c>
    </row>
    <row r="1024">
      <c r="A1024" s="2" t="s">
        <v>24019</v>
      </c>
      <c r="B1024" s="2" t="s">
        <v>24020</v>
      </c>
      <c r="C1024" s="11" t="s">
        <v>24021</v>
      </c>
      <c r="D1024" s="2" t="s">
        <v>24022</v>
      </c>
      <c r="E1024" s="2" t="s">
        <v>24023</v>
      </c>
    </row>
    <row r="1025">
      <c r="A1025" s="2" t="s">
        <v>24024</v>
      </c>
      <c r="B1025" s="2" t="s">
        <v>24025</v>
      </c>
      <c r="C1025" s="11" t="s">
        <v>24026</v>
      </c>
      <c r="D1025" s="2" t="s">
        <v>24027</v>
      </c>
      <c r="E1025" s="2" t="s">
        <v>24028</v>
      </c>
    </row>
    <row r="1026">
      <c r="A1026" s="2" t="s">
        <v>24029</v>
      </c>
      <c r="B1026" s="2" t="s">
        <v>24030</v>
      </c>
      <c r="C1026" s="11" t="s">
        <v>24031</v>
      </c>
      <c r="D1026" s="2" t="s">
        <v>24032</v>
      </c>
      <c r="E1026" s="2" t="s">
        <v>24033</v>
      </c>
    </row>
    <row r="1027">
      <c r="A1027" s="2" t="s">
        <v>24034</v>
      </c>
      <c r="B1027" s="2" t="s">
        <v>24035</v>
      </c>
      <c r="C1027" s="11" t="s">
        <v>24036</v>
      </c>
      <c r="D1027" s="2" t="s">
        <v>24037</v>
      </c>
      <c r="E1027" s="2" t="s">
        <v>24038</v>
      </c>
    </row>
    <row r="1028">
      <c r="A1028" s="2" t="s">
        <v>24039</v>
      </c>
      <c r="B1028" s="2" t="s">
        <v>24040</v>
      </c>
      <c r="C1028" s="11" t="s">
        <v>24041</v>
      </c>
      <c r="D1028" s="2" t="s">
        <v>24042</v>
      </c>
      <c r="E1028" s="2" t="s">
        <v>24043</v>
      </c>
    </row>
    <row r="1029">
      <c r="A1029" s="2" t="s">
        <v>24044</v>
      </c>
      <c r="B1029" s="2" t="s">
        <v>24045</v>
      </c>
      <c r="C1029" s="11" t="s">
        <v>24046</v>
      </c>
      <c r="D1029" s="2" t="s">
        <v>24047</v>
      </c>
      <c r="E1029" s="2" t="s">
        <v>24048</v>
      </c>
    </row>
    <row r="1030">
      <c r="A1030" s="2" t="s">
        <v>18200</v>
      </c>
      <c r="B1030" s="2" t="s">
        <v>24049</v>
      </c>
      <c r="C1030" s="11" t="s">
        <v>24050</v>
      </c>
      <c r="D1030" s="2" t="s">
        <v>24051</v>
      </c>
      <c r="E1030" s="2" t="s">
        <v>24052</v>
      </c>
    </row>
    <row r="1031">
      <c r="A1031" s="2" t="s">
        <v>24053</v>
      </c>
      <c r="B1031" s="2" t="s">
        <v>24054</v>
      </c>
      <c r="C1031" s="11" t="s">
        <v>24055</v>
      </c>
      <c r="D1031" s="2" t="s">
        <v>24056</v>
      </c>
      <c r="E1031" s="2" t="s">
        <v>24057</v>
      </c>
    </row>
    <row r="1032">
      <c r="A1032" s="2" t="s">
        <v>18203</v>
      </c>
      <c r="B1032" s="2" t="s">
        <v>24058</v>
      </c>
      <c r="C1032" s="11" t="s">
        <v>24059</v>
      </c>
      <c r="D1032" s="2" t="s">
        <v>24060</v>
      </c>
      <c r="E1032" s="2" t="s">
        <v>24061</v>
      </c>
    </row>
    <row r="1033">
      <c r="A1033" s="2" t="s">
        <v>24062</v>
      </c>
      <c r="B1033" s="2" t="s">
        <v>24063</v>
      </c>
      <c r="C1033" s="11" t="s">
        <v>24064</v>
      </c>
      <c r="D1033" s="2" t="s">
        <v>24065</v>
      </c>
      <c r="E1033" s="2" t="s">
        <v>24066</v>
      </c>
    </row>
    <row r="1034">
      <c r="A1034" s="2" t="s">
        <v>18206</v>
      </c>
      <c r="B1034" s="2" t="s">
        <v>24067</v>
      </c>
      <c r="C1034" s="11" t="s">
        <v>24068</v>
      </c>
      <c r="D1034" s="2" t="s">
        <v>24069</v>
      </c>
      <c r="E1034" s="2" t="s">
        <v>24070</v>
      </c>
    </row>
    <row r="1035">
      <c r="A1035" s="2" t="s">
        <v>24071</v>
      </c>
      <c r="B1035" s="2" t="s">
        <v>24072</v>
      </c>
      <c r="C1035" s="11" t="s">
        <v>24073</v>
      </c>
      <c r="D1035" s="2" t="s">
        <v>24074</v>
      </c>
      <c r="E1035" s="2" t="s">
        <v>24075</v>
      </c>
    </row>
    <row r="1036">
      <c r="A1036" s="2" t="s">
        <v>15292</v>
      </c>
      <c r="B1036" s="2" t="s">
        <v>24076</v>
      </c>
      <c r="C1036" s="11" t="s">
        <v>24077</v>
      </c>
      <c r="D1036" s="2" t="s">
        <v>24078</v>
      </c>
      <c r="E1036" s="2" t="s">
        <v>24079</v>
      </c>
    </row>
    <row r="1037">
      <c r="A1037" s="2" t="s">
        <v>15290</v>
      </c>
      <c r="B1037" s="2" t="s">
        <v>24080</v>
      </c>
      <c r="C1037" s="11" t="s">
        <v>24081</v>
      </c>
      <c r="D1037" s="2" t="s">
        <v>24082</v>
      </c>
      <c r="E1037" s="2" t="s">
        <v>24083</v>
      </c>
    </row>
    <row r="1038">
      <c r="A1038" s="2" t="s">
        <v>24084</v>
      </c>
      <c r="B1038" s="2" t="s">
        <v>24085</v>
      </c>
      <c r="C1038" s="11" t="s">
        <v>24086</v>
      </c>
      <c r="D1038" s="2" t="s">
        <v>24087</v>
      </c>
      <c r="E1038" s="2" t="s">
        <v>24088</v>
      </c>
    </row>
    <row r="1039">
      <c r="A1039" s="2" t="s">
        <v>24089</v>
      </c>
      <c r="B1039" s="2" t="s">
        <v>24090</v>
      </c>
      <c r="C1039" s="11" t="s">
        <v>24091</v>
      </c>
      <c r="D1039" s="2" t="s">
        <v>24092</v>
      </c>
      <c r="E1039" s="2" t="s">
        <v>24093</v>
      </c>
    </row>
    <row r="1040">
      <c r="A1040" s="2" t="s">
        <v>24094</v>
      </c>
      <c r="B1040" s="2" t="s">
        <v>24095</v>
      </c>
      <c r="C1040" s="11" t="s">
        <v>24096</v>
      </c>
      <c r="D1040" s="2" t="s">
        <v>24097</v>
      </c>
      <c r="E1040" s="2" t="s">
        <v>24098</v>
      </c>
    </row>
    <row r="1041">
      <c r="A1041" s="2" t="s">
        <v>24099</v>
      </c>
      <c r="B1041" s="2" t="s">
        <v>24100</v>
      </c>
      <c r="C1041" s="11" t="s">
        <v>24101</v>
      </c>
      <c r="D1041" s="2" t="s">
        <v>24102</v>
      </c>
      <c r="E1041" s="2" t="s">
        <v>24103</v>
      </c>
    </row>
    <row r="1042">
      <c r="A1042" s="2" t="s">
        <v>18210</v>
      </c>
      <c r="B1042" s="2" t="s">
        <v>24104</v>
      </c>
      <c r="C1042" s="11" t="s">
        <v>24105</v>
      </c>
      <c r="D1042" s="2" t="s">
        <v>24106</v>
      </c>
      <c r="E1042" s="2" t="s">
        <v>24107</v>
      </c>
    </row>
    <row r="1043">
      <c r="A1043" s="2" t="s">
        <v>24108</v>
      </c>
      <c r="B1043" s="2" t="s">
        <v>24109</v>
      </c>
      <c r="C1043" s="11" t="s">
        <v>24110</v>
      </c>
      <c r="D1043" s="2" t="s">
        <v>24111</v>
      </c>
      <c r="E1043" s="2" t="s">
        <v>24112</v>
      </c>
    </row>
    <row r="1044">
      <c r="A1044" s="2" t="s">
        <v>18357</v>
      </c>
      <c r="B1044" s="2" t="s">
        <v>24113</v>
      </c>
      <c r="C1044" s="11" t="s">
        <v>24114</v>
      </c>
      <c r="D1044" s="2" t="s">
        <v>24115</v>
      </c>
      <c r="E1044" s="2" t="s">
        <v>24116</v>
      </c>
    </row>
    <row r="1045">
      <c r="A1045" s="2" t="s">
        <v>24117</v>
      </c>
      <c r="B1045" s="2" t="s">
        <v>24118</v>
      </c>
      <c r="C1045" s="11" t="s">
        <v>24119</v>
      </c>
      <c r="D1045" s="2" t="s">
        <v>24120</v>
      </c>
      <c r="E1045" s="2" t="s">
        <v>24121</v>
      </c>
    </row>
    <row r="1046">
      <c r="A1046" s="2" t="s">
        <v>24122</v>
      </c>
      <c r="B1046" s="2" t="s">
        <v>24123</v>
      </c>
      <c r="C1046" s="11" t="s">
        <v>24124</v>
      </c>
      <c r="D1046" s="2" t="s">
        <v>24125</v>
      </c>
      <c r="E1046" s="2" t="s">
        <v>24126</v>
      </c>
    </row>
    <row r="1047">
      <c r="A1047" s="2" t="s">
        <v>24127</v>
      </c>
      <c r="B1047" s="2" t="s">
        <v>24128</v>
      </c>
      <c r="C1047" s="11" t="s">
        <v>24129</v>
      </c>
      <c r="D1047" s="2" t="s">
        <v>24130</v>
      </c>
      <c r="E1047" s="2" t="s">
        <v>24131</v>
      </c>
    </row>
    <row r="1048">
      <c r="A1048" s="2" t="s">
        <v>24132</v>
      </c>
      <c r="B1048" s="2" t="s">
        <v>24133</v>
      </c>
      <c r="C1048" s="11" t="s">
        <v>24134</v>
      </c>
      <c r="D1048" s="2" t="s">
        <v>24135</v>
      </c>
      <c r="E1048" s="2" t="s">
        <v>24136</v>
      </c>
    </row>
    <row r="1049">
      <c r="A1049" s="2" t="s">
        <v>24137</v>
      </c>
      <c r="B1049" s="2" t="s">
        <v>24138</v>
      </c>
      <c r="C1049" s="11" t="s">
        <v>24139</v>
      </c>
      <c r="D1049" s="2" t="s">
        <v>24140</v>
      </c>
      <c r="E1049" s="2" t="s">
        <v>24141</v>
      </c>
    </row>
    <row r="1050">
      <c r="A1050" s="2" t="s">
        <v>24142</v>
      </c>
      <c r="B1050" s="2" t="s">
        <v>24143</v>
      </c>
      <c r="C1050" s="11" t="s">
        <v>24144</v>
      </c>
      <c r="D1050" s="2" t="s">
        <v>24145</v>
      </c>
      <c r="E1050" s="2" t="s">
        <v>24146</v>
      </c>
    </row>
    <row r="1051">
      <c r="A1051" s="2" t="s">
        <v>24147</v>
      </c>
      <c r="B1051" s="2" t="s">
        <v>24148</v>
      </c>
      <c r="C1051" s="11" t="s">
        <v>24149</v>
      </c>
      <c r="D1051" s="2" t="s">
        <v>24150</v>
      </c>
      <c r="E1051" s="2" t="s">
        <v>24151</v>
      </c>
    </row>
    <row r="1052">
      <c r="A1052" s="2" t="s">
        <v>15309</v>
      </c>
      <c r="B1052" s="2" t="s">
        <v>24152</v>
      </c>
      <c r="C1052" s="11" t="s">
        <v>24153</v>
      </c>
      <c r="D1052" s="2" t="s">
        <v>24154</v>
      </c>
      <c r="E1052" s="2" t="s">
        <v>24155</v>
      </c>
    </row>
    <row r="1053">
      <c r="A1053" s="2" t="s">
        <v>24156</v>
      </c>
      <c r="B1053" s="2" t="s">
        <v>24157</v>
      </c>
      <c r="C1053" s="11" t="s">
        <v>24158</v>
      </c>
      <c r="D1053" s="2" t="s">
        <v>24159</v>
      </c>
      <c r="E1053" s="2" t="s">
        <v>24160</v>
      </c>
    </row>
    <row r="1054">
      <c r="A1054" s="2" t="s">
        <v>24161</v>
      </c>
      <c r="B1054" s="2" t="s">
        <v>24162</v>
      </c>
      <c r="C1054" s="11" t="s">
        <v>24163</v>
      </c>
      <c r="D1054" s="2" t="s">
        <v>24164</v>
      </c>
      <c r="E1054" s="2" t="s">
        <v>24165</v>
      </c>
    </row>
    <row r="1055">
      <c r="A1055" s="2" t="s">
        <v>24166</v>
      </c>
      <c r="B1055" s="2" t="s">
        <v>24167</v>
      </c>
      <c r="C1055" s="11" t="s">
        <v>24168</v>
      </c>
      <c r="D1055" s="2" t="s">
        <v>24169</v>
      </c>
      <c r="E1055" s="2" t="s">
        <v>24170</v>
      </c>
    </row>
    <row r="1056">
      <c r="A1056" s="2" t="s">
        <v>24171</v>
      </c>
      <c r="B1056" s="2" t="s">
        <v>24172</v>
      </c>
      <c r="C1056" s="11" t="s">
        <v>24173</v>
      </c>
      <c r="D1056" s="2" t="s">
        <v>24174</v>
      </c>
      <c r="E1056" s="2" t="s">
        <v>24175</v>
      </c>
    </row>
    <row r="1057">
      <c r="A1057" s="2" t="s">
        <v>24176</v>
      </c>
      <c r="B1057" s="2" t="s">
        <v>24177</v>
      </c>
      <c r="C1057" s="11" t="s">
        <v>24178</v>
      </c>
      <c r="D1057" s="2" t="s">
        <v>24179</v>
      </c>
      <c r="E1057" s="2" t="s">
        <v>24180</v>
      </c>
    </row>
    <row r="1058">
      <c r="A1058" s="2" t="s">
        <v>15320</v>
      </c>
      <c r="B1058" s="2" t="s">
        <v>24181</v>
      </c>
      <c r="C1058" s="11" t="s">
        <v>24182</v>
      </c>
      <c r="D1058" s="2" t="s">
        <v>24183</v>
      </c>
      <c r="E1058" s="2" t="s">
        <v>24184</v>
      </c>
    </row>
    <row r="1059">
      <c r="A1059" s="2" t="s">
        <v>15318</v>
      </c>
      <c r="B1059" s="2" t="s">
        <v>24185</v>
      </c>
      <c r="C1059" s="11" t="s">
        <v>24186</v>
      </c>
      <c r="D1059" s="2" t="s">
        <v>24187</v>
      </c>
      <c r="E1059" s="2" t="s">
        <v>24188</v>
      </c>
    </row>
    <row r="1060">
      <c r="A1060" s="2" t="s">
        <v>15322</v>
      </c>
      <c r="B1060" s="2" t="s">
        <v>24189</v>
      </c>
      <c r="C1060" s="11" t="s">
        <v>24190</v>
      </c>
      <c r="D1060" s="2" t="s">
        <v>24191</v>
      </c>
      <c r="E1060" s="2" t="s">
        <v>24192</v>
      </c>
    </row>
    <row r="1061">
      <c r="A1061" s="2" t="s">
        <v>24193</v>
      </c>
      <c r="B1061" s="2" t="s">
        <v>24194</v>
      </c>
      <c r="C1061" s="11" t="s">
        <v>24195</v>
      </c>
      <c r="D1061" s="2" t="s">
        <v>24196</v>
      </c>
      <c r="E1061" s="2" t="s">
        <v>24197</v>
      </c>
    </row>
    <row r="1062">
      <c r="A1062" s="2" t="s">
        <v>24198</v>
      </c>
      <c r="B1062" s="2" t="s">
        <v>24199</v>
      </c>
      <c r="C1062" s="11" t="s">
        <v>24200</v>
      </c>
      <c r="D1062" s="2" t="s">
        <v>24201</v>
      </c>
      <c r="E1062" s="2" t="s">
        <v>24202</v>
      </c>
    </row>
    <row r="1063">
      <c r="A1063" s="2" t="s">
        <v>24203</v>
      </c>
      <c r="B1063" s="2" t="s">
        <v>24204</v>
      </c>
      <c r="C1063" s="11" t="s">
        <v>24205</v>
      </c>
      <c r="D1063" s="2" t="s">
        <v>24206</v>
      </c>
      <c r="E1063" s="2" t="s">
        <v>24207</v>
      </c>
    </row>
    <row r="1064">
      <c r="A1064" s="2" t="s">
        <v>24208</v>
      </c>
      <c r="B1064" s="2" t="s">
        <v>24209</v>
      </c>
      <c r="C1064" s="11" t="s">
        <v>24210</v>
      </c>
      <c r="D1064" s="2" t="s">
        <v>24211</v>
      </c>
      <c r="E1064" s="2" t="s">
        <v>24212</v>
      </c>
    </row>
    <row r="1065">
      <c r="A1065" s="2" t="s">
        <v>24213</v>
      </c>
      <c r="B1065" s="2" t="s">
        <v>24214</v>
      </c>
      <c r="C1065" s="11" t="s">
        <v>24215</v>
      </c>
      <c r="D1065" s="2" t="s">
        <v>24216</v>
      </c>
      <c r="E1065" s="2" t="s">
        <v>24217</v>
      </c>
    </row>
    <row r="1066">
      <c r="A1066" s="2" t="s">
        <v>24218</v>
      </c>
      <c r="B1066" s="2" t="s">
        <v>24219</v>
      </c>
      <c r="C1066" s="11" t="s">
        <v>24220</v>
      </c>
      <c r="D1066" s="2" t="s">
        <v>24221</v>
      </c>
      <c r="E1066" s="2" t="s">
        <v>24222</v>
      </c>
    </row>
    <row r="1067">
      <c r="A1067" s="2" t="s">
        <v>24223</v>
      </c>
      <c r="B1067" s="2" t="s">
        <v>24224</v>
      </c>
      <c r="C1067" s="11" t="s">
        <v>24225</v>
      </c>
      <c r="D1067" s="2" t="s">
        <v>24226</v>
      </c>
      <c r="E1067" s="2" t="s">
        <v>24227</v>
      </c>
    </row>
    <row r="1068">
      <c r="A1068" s="2" t="s">
        <v>24228</v>
      </c>
      <c r="B1068" s="2" t="s">
        <v>24229</v>
      </c>
      <c r="C1068" s="11" t="s">
        <v>24230</v>
      </c>
      <c r="D1068" s="2" t="s">
        <v>24231</v>
      </c>
      <c r="E1068" s="2" t="s">
        <v>24232</v>
      </c>
    </row>
    <row r="1069">
      <c r="A1069" s="2" t="s">
        <v>18656</v>
      </c>
      <c r="B1069" s="2" t="s">
        <v>24233</v>
      </c>
      <c r="C1069" s="11" t="s">
        <v>24234</v>
      </c>
      <c r="D1069" s="2" t="s">
        <v>24235</v>
      </c>
      <c r="E1069" s="2" t="s">
        <v>24236</v>
      </c>
    </row>
    <row r="1070">
      <c r="A1070" s="2" t="s">
        <v>24237</v>
      </c>
      <c r="B1070" s="2" t="s">
        <v>24238</v>
      </c>
      <c r="C1070" s="11" t="s">
        <v>24239</v>
      </c>
      <c r="D1070" s="2" t="s">
        <v>24240</v>
      </c>
      <c r="E1070" s="2" t="s">
        <v>24241</v>
      </c>
    </row>
    <row r="1071">
      <c r="A1071" s="2" t="s">
        <v>24242</v>
      </c>
      <c r="B1071" s="2" t="s">
        <v>24243</v>
      </c>
      <c r="C1071" s="11" t="s">
        <v>24244</v>
      </c>
      <c r="D1071" s="2" t="s">
        <v>24245</v>
      </c>
      <c r="E1071" s="2" t="s">
        <v>24246</v>
      </c>
    </row>
    <row r="1072">
      <c r="A1072" s="2" t="s">
        <v>24247</v>
      </c>
      <c r="B1072" s="2" t="s">
        <v>24248</v>
      </c>
      <c r="C1072" s="11" t="s">
        <v>24249</v>
      </c>
      <c r="D1072" s="2" t="s">
        <v>24250</v>
      </c>
      <c r="E1072" s="2" t="s">
        <v>24251</v>
      </c>
    </row>
    <row r="1073">
      <c r="A1073" s="2" t="s">
        <v>24252</v>
      </c>
      <c r="B1073" s="2" t="s">
        <v>24253</v>
      </c>
      <c r="C1073" s="11" t="s">
        <v>24254</v>
      </c>
      <c r="D1073" s="2" t="s">
        <v>24255</v>
      </c>
      <c r="E1073" s="2" t="s">
        <v>24256</v>
      </c>
    </row>
    <row r="1074">
      <c r="A1074" s="2" t="s">
        <v>17794</v>
      </c>
      <c r="B1074" s="2" t="s">
        <v>24257</v>
      </c>
      <c r="C1074" s="11" t="s">
        <v>24258</v>
      </c>
      <c r="D1074" s="2" t="s">
        <v>24259</v>
      </c>
      <c r="E1074" s="2" t="s">
        <v>24260</v>
      </c>
    </row>
    <row r="1075">
      <c r="A1075" s="2" t="s">
        <v>24261</v>
      </c>
      <c r="B1075" s="2" t="s">
        <v>24262</v>
      </c>
      <c r="C1075" s="11" t="s">
        <v>24263</v>
      </c>
      <c r="D1075" s="2" t="s">
        <v>24264</v>
      </c>
      <c r="E1075" s="2" t="s">
        <v>24265</v>
      </c>
    </row>
    <row r="1076">
      <c r="A1076" s="2" t="s">
        <v>24266</v>
      </c>
      <c r="B1076" s="2" t="s">
        <v>24267</v>
      </c>
      <c r="C1076" s="11" t="s">
        <v>24268</v>
      </c>
      <c r="D1076" s="2" t="s">
        <v>24269</v>
      </c>
      <c r="E1076" s="2" t="s">
        <v>24270</v>
      </c>
    </row>
    <row r="1077">
      <c r="A1077" s="2" t="s">
        <v>24271</v>
      </c>
      <c r="B1077" s="2" t="s">
        <v>24272</v>
      </c>
      <c r="C1077" s="11" t="s">
        <v>24273</v>
      </c>
      <c r="D1077" s="2" t="s">
        <v>24274</v>
      </c>
      <c r="E1077" s="2" t="s">
        <v>24275</v>
      </c>
    </row>
    <row r="1078">
      <c r="A1078" s="2" t="s">
        <v>24276</v>
      </c>
      <c r="B1078" s="2" t="s">
        <v>24277</v>
      </c>
      <c r="C1078" s="11" t="s">
        <v>24278</v>
      </c>
      <c r="D1078" s="2" t="s">
        <v>24279</v>
      </c>
      <c r="E1078" s="2" t="s">
        <v>24280</v>
      </c>
    </row>
    <row r="1079">
      <c r="A1079" s="2" t="s">
        <v>24281</v>
      </c>
      <c r="B1079" s="2" t="s">
        <v>24282</v>
      </c>
      <c r="C1079" s="11" t="s">
        <v>24283</v>
      </c>
      <c r="D1079" s="2" t="s">
        <v>24284</v>
      </c>
      <c r="E1079" s="2" t="s">
        <v>24285</v>
      </c>
    </row>
    <row r="1080">
      <c r="A1080" s="2" t="s">
        <v>24286</v>
      </c>
      <c r="B1080" s="2" t="s">
        <v>24287</v>
      </c>
      <c r="C1080" s="11" t="s">
        <v>24288</v>
      </c>
      <c r="D1080" s="2" t="s">
        <v>24289</v>
      </c>
      <c r="E1080" s="2" t="s">
        <v>24290</v>
      </c>
    </row>
    <row r="1081">
      <c r="A1081" s="2" t="s">
        <v>24291</v>
      </c>
      <c r="B1081" s="2" t="s">
        <v>24292</v>
      </c>
      <c r="C1081" s="11" t="s">
        <v>24293</v>
      </c>
      <c r="D1081" s="2" t="s">
        <v>24294</v>
      </c>
      <c r="E1081" s="2" t="s">
        <v>24295</v>
      </c>
    </row>
    <row r="1082">
      <c r="A1082" s="2" t="s">
        <v>24296</v>
      </c>
      <c r="B1082" s="2" t="s">
        <v>24297</v>
      </c>
      <c r="C1082" s="11" t="s">
        <v>24298</v>
      </c>
      <c r="D1082" s="2" t="s">
        <v>24299</v>
      </c>
      <c r="E1082" s="2" t="s">
        <v>24300</v>
      </c>
    </row>
    <row r="1083">
      <c r="A1083" s="2" t="s">
        <v>24301</v>
      </c>
      <c r="B1083" s="2" t="s">
        <v>24302</v>
      </c>
      <c r="C1083" s="11" t="s">
        <v>24303</v>
      </c>
      <c r="D1083" s="2" t="s">
        <v>24304</v>
      </c>
      <c r="E1083" s="2" t="s">
        <v>24305</v>
      </c>
    </row>
    <row r="1084">
      <c r="A1084" s="2" t="s">
        <v>24306</v>
      </c>
      <c r="B1084" s="2" t="s">
        <v>24307</v>
      </c>
      <c r="C1084" s="11" t="s">
        <v>24308</v>
      </c>
      <c r="D1084" s="2" t="s">
        <v>24309</v>
      </c>
      <c r="E1084" s="2" t="s">
        <v>24310</v>
      </c>
    </row>
    <row r="1085">
      <c r="A1085" s="2" t="s">
        <v>24311</v>
      </c>
      <c r="B1085" s="2" t="s">
        <v>24312</v>
      </c>
      <c r="C1085" s="11" t="s">
        <v>24313</v>
      </c>
      <c r="D1085" s="2" t="s">
        <v>24314</v>
      </c>
      <c r="E1085" s="2" t="s">
        <v>24315</v>
      </c>
    </row>
    <row r="1086">
      <c r="A1086" s="2" t="s">
        <v>24316</v>
      </c>
      <c r="B1086" s="2" t="s">
        <v>24317</v>
      </c>
      <c r="C1086" s="11" t="s">
        <v>24318</v>
      </c>
      <c r="D1086" s="2" t="s">
        <v>24319</v>
      </c>
      <c r="E1086" s="2" t="s">
        <v>24320</v>
      </c>
    </row>
    <row r="1087">
      <c r="A1087" s="2" t="s">
        <v>18386</v>
      </c>
      <c r="B1087" s="2" t="s">
        <v>24321</v>
      </c>
      <c r="C1087" s="11" t="s">
        <v>24322</v>
      </c>
      <c r="D1087" s="2" t="s">
        <v>24323</v>
      </c>
      <c r="E1087" s="2" t="s">
        <v>24324</v>
      </c>
    </row>
    <row r="1088">
      <c r="A1088" s="2" t="s">
        <v>24325</v>
      </c>
      <c r="B1088" s="2" t="s">
        <v>24326</v>
      </c>
      <c r="C1088" s="11" t="s">
        <v>24327</v>
      </c>
      <c r="D1088" s="2" t="s">
        <v>24328</v>
      </c>
      <c r="E1088" s="2" t="s">
        <v>24329</v>
      </c>
    </row>
    <row r="1089">
      <c r="A1089" s="2" t="s">
        <v>24330</v>
      </c>
      <c r="B1089" s="2" t="s">
        <v>24331</v>
      </c>
      <c r="C1089" s="11" t="s">
        <v>24332</v>
      </c>
      <c r="D1089" s="2" t="s">
        <v>24333</v>
      </c>
      <c r="E1089" s="2" t="s">
        <v>24334</v>
      </c>
    </row>
    <row r="1090">
      <c r="A1090" s="2" t="s">
        <v>18116</v>
      </c>
      <c r="B1090" s="2" t="s">
        <v>24335</v>
      </c>
      <c r="C1090" s="11" t="s">
        <v>24336</v>
      </c>
      <c r="D1090" s="2" t="s">
        <v>24337</v>
      </c>
      <c r="E1090" s="2" t="s">
        <v>24338</v>
      </c>
    </row>
    <row r="1091">
      <c r="A1091" s="2" t="s">
        <v>18117</v>
      </c>
      <c r="B1091" s="2" t="s">
        <v>24339</v>
      </c>
      <c r="C1091" s="11" t="s">
        <v>24340</v>
      </c>
      <c r="D1091" s="2" t="s">
        <v>24341</v>
      </c>
      <c r="E1091" s="2" t="s">
        <v>24342</v>
      </c>
    </row>
    <row r="1092">
      <c r="A1092" s="2" t="s">
        <v>24343</v>
      </c>
      <c r="B1092" s="2" t="s">
        <v>24344</v>
      </c>
      <c r="C1092" s="11" t="s">
        <v>24345</v>
      </c>
      <c r="D1092" s="2" t="s">
        <v>24346</v>
      </c>
      <c r="E1092" s="2" t="s">
        <v>24347</v>
      </c>
    </row>
    <row r="1093">
      <c r="A1093" s="2" t="s">
        <v>24348</v>
      </c>
      <c r="B1093" s="2" t="s">
        <v>24349</v>
      </c>
      <c r="C1093" s="11" t="s">
        <v>24350</v>
      </c>
      <c r="D1093" s="2" t="s">
        <v>24351</v>
      </c>
      <c r="E1093" s="2" t="s">
        <v>24352</v>
      </c>
    </row>
    <row r="1094">
      <c r="A1094" s="2" t="s">
        <v>18572</v>
      </c>
      <c r="B1094" s="2" t="s">
        <v>24353</v>
      </c>
      <c r="C1094" s="11" t="s">
        <v>24354</v>
      </c>
      <c r="D1094" s="2" t="s">
        <v>24355</v>
      </c>
      <c r="E1094" s="2" t="s">
        <v>24356</v>
      </c>
    </row>
    <row r="1095">
      <c r="A1095" s="2" t="s">
        <v>24357</v>
      </c>
      <c r="B1095" s="2" t="s">
        <v>24358</v>
      </c>
      <c r="C1095" s="11" t="s">
        <v>24359</v>
      </c>
      <c r="D1095" s="2" t="s">
        <v>24360</v>
      </c>
      <c r="E1095" s="2" t="s">
        <v>24361</v>
      </c>
    </row>
    <row r="1096">
      <c r="A1096" s="2" t="s">
        <v>24362</v>
      </c>
      <c r="B1096" s="2" t="s">
        <v>24363</v>
      </c>
      <c r="C1096" s="11" t="s">
        <v>24364</v>
      </c>
      <c r="D1096" s="2" t="s">
        <v>24365</v>
      </c>
      <c r="E1096" s="2" t="s">
        <v>24366</v>
      </c>
    </row>
    <row r="1097">
      <c r="A1097" s="2" t="s">
        <v>24367</v>
      </c>
      <c r="B1097" s="2" t="s">
        <v>24368</v>
      </c>
      <c r="C1097" s="11" t="s">
        <v>24369</v>
      </c>
      <c r="D1097" s="2" t="s">
        <v>24370</v>
      </c>
      <c r="E1097" s="2" t="s">
        <v>24371</v>
      </c>
    </row>
    <row r="1098">
      <c r="A1098" s="2" t="s">
        <v>24372</v>
      </c>
      <c r="B1098" s="2" t="s">
        <v>24373</v>
      </c>
      <c r="C1098" s="11" t="s">
        <v>24374</v>
      </c>
      <c r="D1098" s="2" t="s">
        <v>24375</v>
      </c>
      <c r="E1098" s="2" t="s">
        <v>24376</v>
      </c>
    </row>
    <row r="1099">
      <c r="A1099" s="2" t="s">
        <v>24377</v>
      </c>
      <c r="B1099" s="2" t="s">
        <v>24378</v>
      </c>
      <c r="C1099" s="11" t="s">
        <v>24379</v>
      </c>
      <c r="D1099" s="2" t="s">
        <v>24380</v>
      </c>
      <c r="E1099" s="2" t="s">
        <v>24381</v>
      </c>
    </row>
    <row r="1100">
      <c r="A1100" s="2" t="s">
        <v>24382</v>
      </c>
      <c r="B1100" s="2" t="s">
        <v>24383</v>
      </c>
      <c r="C1100" s="11" t="s">
        <v>24384</v>
      </c>
      <c r="D1100" s="2" t="s">
        <v>24385</v>
      </c>
      <c r="E1100" s="2" t="s">
        <v>24386</v>
      </c>
    </row>
    <row r="1101">
      <c r="A1101" s="2" t="s">
        <v>24387</v>
      </c>
      <c r="B1101" s="2" t="s">
        <v>24388</v>
      </c>
      <c r="C1101" s="11" t="s">
        <v>24389</v>
      </c>
      <c r="D1101" s="2" t="s">
        <v>24390</v>
      </c>
      <c r="E1101" s="2" t="s">
        <v>24391</v>
      </c>
    </row>
    <row r="1102">
      <c r="A1102" s="2" t="s">
        <v>24392</v>
      </c>
      <c r="B1102" s="2" t="s">
        <v>24393</v>
      </c>
      <c r="C1102" s="11" t="s">
        <v>24394</v>
      </c>
      <c r="D1102" s="2" t="s">
        <v>24395</v>
      </c>
      <c r="E1102" s="2" t="s">
        <v>24396</v>
      </c>
    </row>
    <row r="1103">
      <c r="A1103" s="2" t="s">
        <v>24397</v>
      </c>
      <c r="B1103" s="2" t="s">
        <v>24398</v>
      </c>
      <c r="C1103" s="11" t="s">
        <v>24399</v>
      </c>
      <c r="D1103" s="2" t="s">
        <v>24400</v>
      </c>
      <c r="E1103" s="2" t="s">
        <v>24401</v>
      </c>
    </row>
    <row r="1104">
      <c r="A1104" s="2" t="s">
        <v>24402</v>
      </c>
      <c r="B1104" s="2" t="s">
        <v>24403</v>
      </c>
      <c r="C1104" s="11" t="s">
        <v>24404</v>
      </c>
      <c r="D1104" s="2" t="s">
        <v>24405</v>
      </c>
      <c r="E1104" s="2" t="s">
        <v>24406</v>
      </c>
    </row>
    <row r="1105">
      <c r="A1105" s="2" t="s">
        <v>24407</v>
      </c>
      <c r="B1105" s="2" t="s">
        <v>24408</v>
      </c>
      <c r="C1105" s="11" t="s">
        <v>24409</v>
      </c>
      <c r="D1105" s="2" t="s">
        <v>24410</v>
      </c>
      <c r="E1105" s="2" t="s">
        <v>24411</v>
      </c>
    </row>
    <row r="1106">
      <c r="A1106" s="2" t="s">
        <v>24412</v>
      </c>
      <c r="B1106" s="2" t="s">
        <v>24413</v>
      </c>
      <c r="C1106" s="11" t="s">
        <v>24414</v>
      </c>
      <c r="D1106" s="2" t="s">
        <v>24415</v>
      </c>
      <c r="E1106" s="2" t="s">
        <v>24416</v>
      </c>
    </row>
    <row r="1107">
      <c r="A1107" s="2" t="s">
        <v>24417</v>
      </c>
      <c r="B1107" s="2" t="s">
        <v>24418</v>
      </c>
      <c r="C1107" s="11" t="s">
        <v>24419</v>
      </c>
      <c r="D1107" s="2" t="s">
        <v>24420</v>
      </c>
      <c r="E1107" s="2" t="s">
        <v>24421</v>
      </c>
    </row>
    <row r="1108">
      <c r="A1108" s="2" t="s">
        <v>24422</v>
      </c>
      <c r="B1108" s="2" t="s">
        <v>24423</v>
      </c>
      <c r="C1108" s="11" t="s">
        <v>24424</v>
      </c>
      <c r="D1108" s="2" t="s">
        <v>24425</v>
      </c>
      <c r="E1108" s="2" t="s">
        <v>24426</v>
      </c>
    </row>
    <row r="1109">
      <c r="A1109" s="2" t="s">
        <v>24427</v>
      </c>
      <c r="B1109" s="2" t="s">
        <v>24428</v>
      </c>
      <c r="C1109" s="11" t="s">
        <v>24429</v>
      </c>
      <c r="D1109" s="2" t="s">
        <v>24430</v>
      </c>
      <c r="E1109" s="2" t="s">
        <v>24431</v>
      </c>
    </row>
    <row r="1110">
      <c r="A1110" s="2" t="s">
        <v>24432</v>
      </c>
      <c r="B1110" s="2" t="s">
        <v>24433</v>
      </c>
      <c r="C1110" s="11" t="s">
        <v>24434</v>
      </c>
      <c r="D1110" s="2" t="s">
        <v>24435</v>
      </c>
      <c r="E1110" s="2" t="s">
        <v>24436</v>
      </c>
    </row>
    <row r="1111">
      <c r="A1111" s="2" t="s">
        <v>24437</v>
      </c>
      <c r="B1111" s="2" t="s">
        <v>24438</v>
      </c>
      <c r="C1111" s="11" t="s">
        <v>24439</v>
      </c>
      <c r="D1111" s="2" t="s">
        <v>24440</v>
      </c>
      <c r="E1111" s="2" t="s">
        <v>24441</v>
      </c>
    </row>
    <row r="1112">
      <c r="A1112" s="2" t="s">
        <v>24442</v>
      </c>
      <c r="B1112" s="2" t="s">
        <v>24443</v>
      </c>
      <c r="C1112" s="11" t="s">
        <v>24444</v>
      </c>
      <c r="D1112" s="2" t="s">
        <v>24445</v>
      </c>
      <c r="E1112" s="2" t="s">
        <v>24446</v>
      </c>
    </row>
    <row r="1113">
      <c r="A1113" s="2" t="s">
        <v>24447</v>
      </c>
      <c r="B1113" s="2" t="s">
        <v>24448</v>
      </c>
      <c r="C1113" s="11" t="s">
        <v>24449</v>
      </c>
      <c r="D1113" s="2" t="s">
        <v>24450</v>
      </c>
      <c r="E1113" s="2" t="s">
        <v>24451</v>
      </c>
    </row>
    <row r="1114">
      <c r="A1114" s="2" t="s">
        <v>24452</v>
      </c>
      <c r="B1114" s="2" t="s">
        <v>24453</v>
      </c>
      <c r="C1114" s="11" t="s">
        <v>24454</v>
      </c>
      <c r="D1114" s="2" t="s">
        <v>24455</v>
      </c>
      <c r="E1114" s="2" t="s">
        <v>24456</v>
      </c>
    </row>
    <row r="1115">
      <c r="A1115" s="2" t="s">
        <v>24457</v>
      </c>
      <c r="B1115" s="2" t="s">
        <v>24458</v>
      </c>
      <c r="C1115" s="11" t="s">
        <v>24459</v>
      </c>
      <c r="D1115" s="2" t="s">
        <v>24460</v>
      </c>
      <c r="E1115" s="2" t="s">
        <v>24461</v>
      </c>
    </row>
    <row r="1116">
      <c r="A1116" s="2" t="s">
        <v>24462</v>
      </c>
      <c r="B1116" s="2" t="s">
        <v>24463</v>
      </c>
      <c r="C1116" s="11" t="s">
        <v>24464</v>
      </c>
      <c r="D1116" s="2" t="s">
        <v>24465</v>
      </c>
      <c r="E1116" s="2" t="s">
        <v>24466</v>
      </c>
    </row>
    <row r="1117">
      <c r="A1117" s="2" t="s">
        <v>24467</v>
      </c>
      <c r="B1117" s="2" t="s">
        <v>24468</v>
      </c>
      <c r="C1117" s="11" t="s">
        <v>24469</v>
      </c>
      <c r="D1117" s="2" t="s">
        <v>24470</v>
      </c>
      <c r="E1117" s="2" t="s">
        <v>24471</v>
      </c>
    </row>
    <row r="1118">
      <c r="A1118" s="2" t="s">
        <v>24472</v>
      </c>
      <c r="B1118" s="2" t="s">
        <v>24473</v>
      </c>
      <c r="C1118" s="11" t="s">
        <v>24474</v>
      </c>
      <c r="D1118" s="2" t="s">
        <v>24475</v>
      </c>
      <c r="E1118" s="2" t="s">
        <v>24476</v>
      </c>
    </row>
    <row r="1119">
      <c r="A1119" s="2" t="s">
        <v>24477</v>
      </c>
      <c r="B1119" s="2" t="s">
        <v>24478</v>
      </c>
      <c r="C1119" s="11" t="s">
        <v>24479</v>
      </c>
      <c r="D1119" s="2" t="s">
        <v>24480</v>
      </c>
      <c r="E1119" s="2" t="s">
        <v>24481</v>
      </c>
    </row>
    <row r="1120">
      <c r="A1120" s="2" t="s">
        <v>24482</v>
      </c>
      <c r="B1120" s="2" t="s">
        <v>24483</v>
      </c>
      <c r="C1120" s="11" t="s">
        <v>24484</v>
      </c>
      <c r="D1120" s="2" t="s">
        <v>24485</v>
      </c>
      <c r="E1120" s="2" t="s">
        <v>24486</v>
      </c>
    </row>
    <row r="1121">
      <c r="A1121" s="2" t="s">
        <v>24487</v>
      </c>
      <c r="B1121" s="2" t="s">
        <v>24488</v>
      </c>
      <c r="C1121" s="11" t="s">
        <v>24489</v>
      </c>
      <c r="D1121" s="2" t="s">
        <v>24490</v>
      </c>
      <c r="E1121" s="2" t="s">
        <v>24491</v>
      </c>
    </row>
    <row r="1122">
      <c r="A1122" s="2" t="s">
        <v>24492</v>
      </c>
      <c r="B1122" s="2" t="s">
        <v>24493</v>
      </c>
      <c r="C1122" s="11" t="s">
        <v>24494</v>
      </c>
      <c r="D1122" s="2" t="s">
        <v>24495</v>
      </c>
      <c r="E1122" s="2" t="s">
        <v>24496</v>
      </c>
    </row>
    <row r="1123">
      <c r="A1123" s="2" t="s">
        <v>24497</v>
      </c>
      <c r="B1123" s="2" t="s">
        <v>24498</v>
      </c>
      <c r="C1123" s="11" t="s">
        <v>24499</v>
      </c>
      <c r="D1123" s="2" t="s">
        <v>24500</v>
      </c>
      <c r="E1123" s="2" t="s">
        <v>24501</v>
      </c>
    </row>
    <row r="1124">
      <c r="A1124" s="2" t="s">
        <v>24502</v>
      </c>
      <c r="B1124" s="2" t="s">
        <v>24503</v>
      </c>
      <c r="C1124" s="11" t="s">
        <v>24504</v>
      </c>
      <c r="D1124" s="2" t="s">
        <v>24505</v>
      </c>
      <c r="E1124" s="2" t="s">
        <v>24506</v>
      </c>
    </row>
    <row r="1125">
      <c r="A1125" s="2" t="s">
        <v>24507</v>
      </c>
      <c r="B1125" s="2" t="s">
        <v>24508</v>
      </c>
      <c r="C1125" s="11" t="s">
        <v>24509</v>
      </c>
      <c r="D1125" s="2" t="s">
        <v>24510</v>
      </c>
      <c r="E1125" s="2" t="s">
        <v>24511</v>
      </c>
    </row>
    <row r="1126">
      <c r="A1126" s="2" t="s">
        <v>24512</v>
      </c>
      <c r="B1126" s="2" t="s">
        <v>24513</v>
      </c>
      <c r="C1126" s="11" t="s">
        <v>24514</v>
      </c>
      <c r="D1126" s="2" t="s">
        <v>24515</v>
      </c>
      <c r="E1126" s="2" t="s">
        <v>24516</v>
      </c>
    </row>
    <row r="1127">
      <c r="A1127" s="2" t="s">
        <v>24517</v>
      </c>
      <c r="B1127" s="2" t="s">
        <v>24518</v>
      </c>
      <c r="C1127" s="11" t="s">
        <v>24519</v>
      </c>
      <c r="D1127" s="2" t="s">
        <v>24520</v>
      </c>
      <c r="E1127" s="2" t="s">
        <v>24521</v>
      </c>
    </row>
    <row r="1128">
      <c r="A1128" s="2" t="s">
        <v>18438</v>
      </c>
      <c r="B1128" s="2" t="s">
        <v>24522</v>
      </c>
      <c r="C1128" s="11" t="s">
        <v>24523</v>
      </c>
      <c r="D1128" s="2" t="s">
        <v>24524</v>
      </c>
      <c r="E1128" s="2" t="s">
        <v>24525</v>
      </c>
    </row>
    <row r="1129">
      <c r="A1129" s="2" t="s">
        <v>24526</v>
      </c>
      <c r="B1129" s="2" t="s">
        <v>24527</v>
      </c>
      <c r="C1129" s="11" t="s">
        <v>24528</v>
      </c>
      <c r="D1129" s="2" t="s">
        <v>24529</v>
      </c>
      <c r="E1129" s="2" t="s">
        <v>24530</v>
      </c>
    </row>
    <row r="1130">
      <c r="A1130" s="2" t="s">
        <v>24531</v>
      </c>
      <c r="B1130" s="2" t="s">
        <v>24532</v>
      </c>
      <c r="C1130" s="11" t="s">
        <v>24533</v>
      </c>
      <c r="D1130" s="2" t="s">
        <v>24534</v>
      </c>
      <c r="E1130" s="2" t="s">
        <v>24535</v>
      </c>
    </row>
    <row r="1131">
      <c r="A1131" s="2" t="s">
        <v>24536</v>
      </c>
      <c r="B1131" s="2" t="s">
        <v>24537</v>
      </c>
      <c r="C1131" s="11" t="s">
        <v>24538</v>
      </c>
      <c r="D1131" s="2" t="s">
        <v>24539</v>
      </c>
      <c r="E1131" s="2" t="s">
        <v>24540</v>
      </c>
    </row>
    <row r="1132">
      <c r="A1132" s="2" t="s">
        <v>24541</v>
      </c>
      <c r="B1132" s="2" t="s">
        <v>24542</v>
      </c>
      <c r="C1132" s="11" t="s">
        <v>24543</v>
      </c>
      <c r="D1132" s="2" t="s">
        <v>24544</v>
      </c>
      <c r="E1132" s="2" t="s">
        <v>24545</v>
      </c>
    </row>
    <row r="1133">
      <c r="A1133" s="2" t="s">
        <v>24546</v>
      </c>
      <c r="B1133" s="2" t="s">
        <v>24547</v>
      </c>
      <c r="C1133" s="11" t="s">
        <v>24548</v>
      </c>
      <c r="D1133" s="2" t="s">
        <v>24549</v>
      </c>
      <c r="E1133" s="2" t="s">
        <v>24550</v>
      </c>
    </row>
    <row r="1134">
      <c r="A1134" s="2" t="s">
        <v>18298</v>
      </c>
      <c r="B1134" s="2" t="s">
        <v>24551</v>
      </c>
      <c r="C1134" s="11" t="s">
        <v>24552</v>
      </c>
      <c r="D1134" s="2" t="s">
        <v>24553</v>
      </c>
      <c r="E1134" s="2" t="s">
        <v>24554</v>
      </c>
    </row>
    <row r="1135">
      <c r="A1135" s="2" t="s">
        <v>24555</v>
      </c>
      <c r="B1135" s="2" t="s">
        <v>24556</v>
      </c>
      <c r="C1135" s="11" t="s">
        <v>24557</v>
      </c>
      <c r="D1135" s="2" t="s">
        <v>24558</v>
      </c>
      <c r="E1135" s="2" t="s">
        <v>24559</v>
      </c>
    </row>
    <row r="1136">
      <c r="A1136" s="2" t="s">
        <v>24560</v>
      </c>
      <c r="B1136" s="2" t="s">
        <v>24561</v>
      </c>
      <c r="C1136" s="11" t="s">
        <v>24562</v>
      </c>
      <c r="D1136" s="2" t="s">
        <v>24563</v>
      </c>
      <c r="E1136" s="2" t="s">
        <v>24564</v>
      </c>
    </row>
    <row r="1137">
      <c r="A1137" s="2" t="s">
        <v>24565</v>
      </c>
      <c r="B1137" s="2" t="s">
        <v>24566</v>
      </c>
      <c r="C1137" s="11" t="s">
        <v>24567</v>
      </c>
      <c r="D1137" s="2" t="s">
        <v>24568</v>
      </c>
      <c r="E1137" s="2" t="s">
        <v>24569</v>
      </c>
    </row>
    <row r="1138">
      <c r="A1138" s="2" t="s">
        <v>18301</v>
      </c>
      <c r="B1138" s="2" t="s">
        <v>24570</v>
      </c>
      <c r="C1138" s="11" t="s">
        <v>24571</v>
      </c>
      <c r="D1138" s="2" t="s">
        <v>24572</v>
      </c>
      <c r="E1138" s="2" t="s">
        <v>24573</v>
      </c>
    </row>
    <row r="1139">
      <c r="A1139" s="2" t="s">
        <v>24574</v>
      </c>
      <c r="B1139" s="2" t="s">
        <v>24575</v>
      </c>
      <c r="C1139" s="11" t="s">
        <v>24576</v>
      </c>
      <c r="D1139" s="2" t="s">
        <v>24577</v>
      </c>
      <c r="E1139" s="2" t="s">
        <v>24578</v>
      </c>
    </row>
    <row r="1140">
      <c r="A1140" s="2" t="s">
        <v>24579</v>
      </c>
      <c r="B1140" s="2" t="s">
        <v>24580</v>
      </c>
      <c r="C1140" s="11" t="s">
        <v>24581</v>
      </c>
      <c r="D1140" s="2" t="s">
        <v>24582</v>
      </c>
      <c r="E1140" s="2" t="s">
        <v>24583</v>
      </c>
    </row>
    <row r="1141">
      <c r="A1141" s="2" t="s">
        <v>24584</v>
      </c>
      <c r="B1141" s="2" t="s">
        <v>24585</v>
      </c>
      <c r="C1141" s="11" t="s">
        <v>24586</v>
      </c>
      <c r="D1141" s="2" t="s">
        <v>24587</v>
      </c>
      <c r="E1141" s="2" t="s">
        <v>24588</v>
      </c>
    </row>
    <row r="1142">
      <c r="A1142" s="2" t="s">
        <v>24589</v>
      </c>
      <c r="B1142" s="2" t="s">
        <v>24590</v>
      </c>
      <c r="C1142" s="11" t="s">
        <v>24591</v>
      </c>
      <c r="D1142" s="2" t="s">
        <v>24592</v>
      </c>
      <c r="E1142" s="2" t="s">
        <v>24593</v>
      </c>
    </row>
    <row r="1143">
      <c r="A1143" s="2" t="s">
        <v>24594</v>
      </c>
      <c r="B1143" s="2" t="s">
        <v>24595</v>
      </c>
      <c r="C1143" s="11" t="s">
        <v>24596</v>
      </c>
      <c r="D1143" s="2" t="s">
        <v>24597</v>
      </c>
      <c r="E1143" s="2" t="s">
        <v>24598</v>
      </c>
    </row>
    <row r="1144">
      <c r="A1144" s="2" t="s">
        <v>24599</v>
      </c>
      <c r="B1144" s="2" t="s">
        <v>24600</v>
      </c>
      <c r="C1144" s="11" t="s">
        <v>24601</v>
      </c>
      <c r="D1144" s="2" t="s">
        <v>24602</v>
      </c>
      <c r="E1144" s="2" t="s">
        <v>24603</v>
      </c>
    </row>
    <row r="1145">
      <c r="A1145" s="2" t="s">
        <v>24604</v>
      </c>
      <c r="B1145" s="2" t="s">
        <v>24605</v>
      </c>
      <c r="C1145" s="11" t="s">
        <v>24606</v>
      </c>
      <c r="D1145" s="2" t="s">
        <v>24607</v>
      </c>
      <c r="E1145" s="2" t="s">
        <v>24608</v>
      </c>
    </row>
    <row r="1146">
      <c r="A1146" s="2" t="s">
        <v>24609</v>
      </c>
      <c r="B1146" s="2" t="s">
        <v>24610</v>
      </c>
      <c r="C1146" s="11" t="s">
        <v>24611</v>
      </c>
      <c r="D1146" s="2" t="s">
        <v>24612</v>
      </c>
      <c r="E1146" s="2" t="s">
        <v>24613</v>
      </c>
    </row>
    <row r="1147">
      <c r="A1147" s="2" t="s">
        <v>24614</v>
      </c>
      <c r="B1147" s="2" t="s">
        <v>24615</v>
      </c>
      <c r="C1147" s="11" t="s">
        <v>24616</v>
      </c>
      <c r="D1147" s="2" t="s">
        <v>24617</v>
      </c>
      <c r="E1147" s="2" t="s">
        <v>24618</v>
      </c>
    </row>
    <row r="1148">
      <c r="A1148" s="2" t="s">
        <v>24619</v>
      </c>
      <c r="B1148" s="2" t="s">
        <v>24620</v>
      </c>
      <c r="C1148" s="11" t="s">
        <v>24621</v>
      </c>
      <c r="D1148" s="2" t="s">
        <v>24622</v>
      </c>
      <c r="E1148" s="2" t="s">
        <v>24623</v>
      </c>
    </row>
    <row r="1149">
      <c r="A1149" s="2" t="s">
        <v>24624</v>
      </c>
      <c r="B1149" s="2" t="s">
        <v>24625</v>
      </c>
      <c r="C1149" s="11" t="s">
        <v>24626</v>
      </c>
      <c r="D1149" s="2" t="s">
        <v>24627</v>
      </c>
      <c r="E1149" s="2" t="s">
        <v>24628</v>
      </c>
    </row>
    <row r="1150">
      <c r="A1150" s="2" t="s">
        <v>24629</v>
      </c>
      <c r="B1150" s="2" t="s">
        <v>24630</v>
      </c>
      <c r="C1150" s="11" t="s">
        <v>24631</v>
      </c>
      <c r="D1150" s="2" t="s">
        <v>24632</v>
      </c>
      <c r="E1150" s="2" t="s">
        <v>24633</v>
      </c>
    </row>
    <row r="1151">
      <c r="A1151" s="2" t="s">
        <v>24634</v>
      </c>
      <c r="B1151" s="2" t="s">
        <v>24635</v>
      </c>
      <c r="C1151" s="11" t="s">
        <v>24636</v>
      </c>
      <c r="D1151" s="2" t="s">
        <v>24637</v>
      </c>
      <c r="E1151" s="2" t="s">
        <v>24638</v>
      </c>
    </row>
    <row r="1152">
      <c r="A1152" s="2" t="s">
        <v>24639</v>
      </c>
      <c r="B1152" s="2" t="s">
        <v>24640</v>
      </c>
      <c r="C1152" s="11" t="s">
        <v>24641</v>
      </c>
      <c r="D1152" s="2" t="s">
        <v>24642</v>
      </c>
      <c r="E1152" s="2" t="s">
        <v>24643</v>
      </c>
    </row>
    <row r="1153">
      <c r="A1153" s="2" t="s">
        <v>24644</v>
      </c>
      <c r="B1153" s="2" t="s">
        <v>24645</v>
      </c>
      <c r="C1153" s="11" t="s">
        <v>24646</v>
      </c>
      <c r="D1153" s="2" t="s">
        <v>24647</v>
      </c>
      <c r="E1153" s="2" t="s">
        <v>24648</v>
      </c>
    </row>
    <row r="1154">
      <c r="A1154" s="2" t="s">
        <v>18377</v>
      </c>
      <c r="B1154" s="2" t="s">
        <v>24649</v>
      </c>
      <c r="C1154" s="11" t="s">
        <v>24650</v>
      </c>
      <c r="D1154" s="2" t="s">
        <v>24651</v>
      </c>
      <c r="E1154" s="2" t="s">
        <v>24652</v>
      </c>
    </row>
    <row r="1155">
      <c r="A1155" s="2" t="s">
        <v>18387</v>
      </c>
      <c r="B1155" s="2" t="s">
        <v>24653</v>
      </c>
      <c r="C1155" s="11" t="s">
        <v>24654</v>
      </c>
      <c r="D1155" s="2" t="s">
        <v>24655</v>
      </c>
      <c r="E1155" s="2" t="s">
        <v>24656</v>
      </c>
    </row>
    <row r="1156">
      <c r="A1156" s="2" t="s">
        <v>24657</v>
      </c>
      <c r="B1156" s="2" t="s">
        <v>24658</v>
      </c>
      <c r="C1156" s="11" t="s">
        <v>24659</v>
      </c>
      <c r="D1156" s="2" t="s">
        <v>24660</v>
      </c>
      <c r="E1156" s="2" t="s">
        <v>24661</v>
      </c>
    </row>
    <row r="1157">
      <c r="A1157" s="2" t="s">
        <v>24662</v>
      </c>
      <c r="B1157" s="2" t="s">
        <v>24663</v>
      </c>
      <c r="C1157" s="11" t="s">
        <v>24664</v>
      </c>
      <c r="D1157" s="2" t="s">
        <v>24665</v>
      </c>
      <c r="E1157" s="2" t="s">
        <v>24666</v>
      </c>
    </row>
    <row r="1158">
      <c r="A1158" s="2" t="s">
        <v>24667</v>
      </c>
      <c r="B1158" s="2" t="s">
        <v>24668</v>
      </c>
      <c r="C1158" s="11" t="s">
        <v>24669</v>
      </c>
      <c r="D1158" s="2" t="s">
        <v>24670</v>
      </c>
      <c r="E1158" s="2" t="s">
        <v>24671</v>
      </c>
    </row>
    <row r="1159">
      <c r="A1159" s="2" t="s">
        <v>24672</v>
      </c>
      <c r="B1159" s="2" t="s">
        <v>24673</v>
      </c>
      <c r="C1159" s="11" t="s">
        <v>24674</v>
      </c>
      <c r="D1159" s="2" t="s">
        <v>24675</v>
      </c>
      <c r="E1159" s="2" t="s">
        <v>24676</v>
      </c>
    </row>
    <row r="1160">
      <c r="A1160" s="2" t="s">
        <v>24677</v>
      </c>
      <c r="B1160" s="2" t="s">
        <v>24678</v>
      </c>
      <c r="C1160" s="11" t="s">
        <v>24679</v>
      </c>
      <c r="D1160" s="2" t="s">
        <v>24680</v>
      </c>
      <c r="E1160" s="2" t="s">
        <v>24681</v>
      </c>
    </row>
    <row r="1161">
      <c r="A1161" s="2" t="s">
        <v>17262</v>
      </c>
      <c r="B1161" s="2" t="s">
        <v>24682</v>
      </c>
      <c r="C1161" s="11" t="s">
        <v>24683</v>
      </c>
      <c r="D1161" s="2" t="s">
        <v>24684</v>
      </c>
      <c r="E1161" s="2" t="s">
        <v>24685</v>
      </c>
    </row>
    <row r="1162">
      <c r="A1162" s="2" t="s">
        <v>24686</v>
      </c>
      <c r="B1162" s="2" t="s">
        <v>24687</v>
      </c>
      <c r="C1162" s="11" t="s">
        <v>24688</v>
      </c>
      <c r="D1162" s="2" t="s">
        <v>24689</v>
      </c>
      <c r="E1162" s="2" t="s">
        <v>24690</v>
      </c>
    </row>
    <row r="1163">
      <c r="A1163" s="2" t="s">
        <v>24691</v>
      </c>
      <c r="B1163" s="2" t="s">
        <v>24692</v>
      </c>
      <c r="C1163" s="11" t="s">
        <v>24693</v>
      </c>
      <c r="D1163" s="2" t="s">
        <v>24694</v>
      </c>
      <c r="E1163" s="2" t="s">
        <v>24695</v>
      </c>
    </row>
    <row r="1164">
      <c r="A1164" s="2" t="s">
        <v>17451</v>
      </c>
      <c r="B1164" s="2" t="s">
        <v>24696</v>
      </c>
      <c r="C1164" s="11" t="s">
        <v>24697</v>
      </c>
      <c r="D1164" s="2" t="s">
        <v>24698</v>
      </c>
      <c r="E1164" s="2" t="s">
        <v>24699</v>
      </c>
    </row>
    <row r="1165">
      <c r="A1165" s="2" t="s">
        <v>24700</v>
      </c>
      <c r="B1165" s="2" t="s">
        <v>24701</v>
      </c>
      <c r="C1165" s="11" t="s">
        <v>24702</v>
      </c>
      <c r="D1165" s="2" t="s">
        <v>24703</v>
      </c>
      <c r="E1165" s="2" t="s">
        <v>24704</v>
      </c>
    </row>
    <row r="1166">
      <c r="A1166" s="2" t="s">
        <v>24705</v>
      </c>
      <c r="B1166" s="2" t="s">
        <v>24706</v>
      </c>
      <c r="C1166" s="11" t="s">
        <v>24707</v>
      </c>
      <c r="D1166" s="2" t="s">
        <v>24708</v>
      </c>
      <c r="E1166" s="2" t="s">
        <v>24709</v>
      </c>
    </row>
    <row r="1167">
      <c r="A1167" s="2" t="s">
        <v>24710</v>
      </c>
      <c r="B1167" s="2" t="s">
        <v>24711</v>
      </c>
      <c r="C1167" s="11" t="s">
        <v>24712</v>
      </c>
      <c r="D1167" s="2" t="s">
        <v>24713</v>
      </c>
      <c r="E1167" s="2" t="s">
        <v>24714</v>
      </c>
    </row>
    <row r="1168">
      <c r="A1168" s="2" t="s">
        <v>24715</v>
      </c>
      <c r="B1168" s="2" t="s">
        <v>24716</v>
      </c>
      <c r="C1168" s="11" t="s">
        <v>24717</v>
      </c>
      <c r="D1168" s="2" t="s">
        <v>24718</v>
      </c>
      <c r="E1168" s="2" t="s">
        <v>24719</v>
      </c>
    </row>
    <row r="1169">
      <c r="A1169" s="2" t="s">
        <v>24720</v>
      </c>
      <c r="B1169" s="2" t="s">
        <v>24721</v>
      </c>
      <c r="C1169" s="11" t="s">
        <v>24722</v>
      </c>
      <c r="D1169" s="2" t="s">
        <v>24723</v>
      </c>
      <c r="E1169" s="2" t="s">
        <v>24724</v>
      </c>
    </row>
    <row r="1170">
      <c r="A1170" s="2" t="s">
        <v>24725</v>
      </c>
      <c r="B1170" s="2" t="s">
        <v>24726</v>
      </c>
      <c r="C1170" s="11" t="s">
        <v>24727</v>
      </c>
      <c r="D1170" s="2" t="s">
        <v>24728</v>
      </c>
      <c r="E1170" s="2" t="s">
        <v>24729</v>
      </c>
    </row>
    <row r="1171">
      <c r="A1171" s="2" t="s">
        <v>24730</v>
      </c>
      <c r="B1171" s="2" t="s">
        <v>24731</v>
      </c>
      <c r="C1171" s="11" t="s">
        <v>24732</v>
      </c>
      <c r="D1171" s="2" t="s">
        <v>24733</v>
      </c>
      <c r="E1171" s="2" t="s">
        <v>24734</v>
      </c>
    </row>
    <row r="1172">
      <c r="A1172" s="2" t="s">
        <v>24735</v>
      </c>
      <c r="B1172" s="2" t="s">
        <v>24736</v>
      </c>
      <c r="C1172" s="11" t="s">
        <v>24737</v>
      </c>
      <c r="D1172" s="2" t="s">
        <v>24738</v>
      </c>
      <c r="E1172" s="2" t="s">
        <v>24739</v>
      </c>
    </row>
    <row r="1173">
      <c r="A1173" s="2" t="s">
        <v>24740</v>
      </c>
      <c r="B1173" s="2" t="s">
        <v>24741</v>
      </c>
      <c r="C1173" s="11" t="s">
        <v>24742</v>
      </c>
      <c r="D1173" s="2" t="s">
        <v>24743</v>
      </c>
      <c r="E1173" s="2" t="s">
        <v>24744</v>
      </c>
    </row>
    <row r="1174">
      <c r="A1174" s="2" t="s">
        <v>24745</v>
      </c>
      <c r="B1174" s="2" t="s">
        <v>24741</v>
      </c>
      <c r="C1174" s="11" t="s">
        <v>24746</v>
      </c>
      <c r="D1174" s="2" t="s">
        <v>24747</v>
      </c>
      <c r="E1174" s="2" t="s">
        <v>24748</v>
      </c>
    </row>
    <row r="1175">
      <c r="A1175" s="2" t="s">
        <v>24749</v>
      </c>
      <c r="B1175" s="2" t="s">
        <v>24750</v>
      </c>
      <c r="C1175" s="11" t="s">
        <v>24751</v>
      </c>
      <c r="D1175" s="2" t="s">
        <v>24752</v>
      </c>
      <c r="E1175" s="2" t="s">
        <v>24753</v>
      </c>
    </row>
    <row r="1176">
      <c r="A1176" s="2" t="s">
        <v>24754</v>
      </c>
      <c r="B1176" s="2" t="s">
        <v>24755</v>
      </c>
      <c r="C1176" s="11" t="s">
        <v>24756</v>
      </c>
      <c r="D1176" s="2" t="s">
        <v>24757</v>
      </c>
      <c r="E1176" s="2" t="s">
        <v>24758</v>
      </c>
    </row>
    <row r="1177">
      <c r="A1177" s="2" t="s">
        <v>24759</v>
      </c>
      <c r="B1177" s="2" t="s">
        <v>24760</v>
      </c>
      <c r="C1177" s="11" t="s">
        <v>24761</v>
      </c>
      <c r="D1177" s="2" t="s">
        <v>24762</v>
      </c>
      <c r="E1177" s="2" t="s">
        <v>24763</v>
      </c>
    </row>
    <row r="1178">
      <c r="A1178" s="2" t="s">
        <v>24764</v>
      </c>
      <c r="B1178" s="2" t="s">
        <v>24765</v>
      </c>
      <c r="C1178" s="11" t="s">
        <v>24766</v>
      </c>
      <c r="D1178" s="2" t="s">
        <v>24767</v>
      </c>
      <c r="E1178" s="2" t="s">
        <v>24768</v>
      </c>
    </row>
    <row r="1179">
      <c r="A1179" s="2" t="s">
        <v>24769</v>
      </c>
      <c r="B1179" s="2" t="s">
        <v>24770</v>
      </c>
      <c r="C1179" s="11" t="s">
        <v>24771</v>
      </c>
      <c r="D1179" s="2" t="s">
        <v>24772</v>
      </c>
      <c r="E1179" s="2" t="s">
        <v>24773</v>
      </c>
    </row>
    <row r="1180">
      <c r="A1180" s="2" t="s">
        <v>24774</v>
      </c>
      <c r="B1180" s="2" t="s">
        <v>24775</v>
      </c>
      <c r="C1180" s="11" t="s">
        <v>24776</v>
      </c>
      <c r="D1180" s="2" t="s">
        <v>24777</v>
      </c>
      <c r="E1180" s="2" t="s">
        <v>24778</v>
      </c>
    </row>
    <row r="1181">
      <c r="A1181" s="2" t="s">
        <v>24779</v>
      </c>
      <c r="B1181" s="2" t="s">
        <v>24780</v>
      </c>
      <c r="C1181" s="11" t="s">
        <v>24781</v>
      </c>
      <c r="D1181" s="2" t="s">
        <v>24782</v>
      </c>
      <c r="E1181" s="2" t="s">
        <v>24783</v>
      </c>
    </row>
    <row r="1182">
      <c r="A1182" s="2" t="s">
        <v>24784</v>
      </c>
      <c r="B1182" s="2" t="s">
        <v>24785</v>
      </c>
      <c r="C1182" s="11" t="s">
        <v>24786</v>
      </c>
      <c r="D1182" s="2" t="s">
        <v>24787</v>
      </c>
      <c r="E1182" s="2" t="s">
        <v>24788</v>
      </c>
    </row>
    <row r="1183">
      <c r="A1183" s="2" t="s">
        <v>24789</v>
      </c>
      <c r="B1183" s="2" t="s">
        <v>24790</v>
      </c>
      <c r="C1183" s="11" t="s">
        <v>24791</v>
      </c>
      <c r="D1183" s="2" t="s">
        <v>24792</v>
      </c>
      <c r="E1183" s="2" t="s">
        <v>24793</v>
      </c>
    </row>
    <row r="1184">
      <c r="A1184" s="2" t="s">
        <v>24794</v>
      </c>
      <c r="B1184" s="2" t="s">
        <v>24795</v>
      </c>
      <c r="C1184" s="11" t="s">
        <v>24796</v>
      </c>
      <c r="D1184" s="2" t="s">
        <v>24797</v>
      </c>
      <c r="E1184" s="2" t="s">
        <v>24798</v>
      </c>
    </row>
    <row r="1185">
      <c r="A1185" s="2" t="s">
        <v>24799</v>
      </c>
      <c r="B1185" s="2" t="s">
        <v>24800</v>
      </c>
      <c r="C1185" s="11" t="s">
        <v>24801</v>
      </c>
      <c r="D1185" s="2" t="s">
        <v>24802</v>
      </c>
      <c r="E1185" s="2" t="s">
        <v>24803</v>
      </c>
    </row>
    <row r="1186">
      <c r="A1186" s="2" t="s">
        <v>18041</v>
      </c>
      <c r="B1186" s="2" t="s">
        <v>24804</v>
      </c>
      <c r="C1186" s="11" t="s">
        <v>24805</v>
      </c>
      <c r="D1186" s="2" t="s">
        <v>24806</v>
      </c>
      <c r="E1186" s="2" t="s">
        <v>24807</v>
      </c>
    </row>
    <row r="1187">
      <c r="A1187" s="2" t="s">
        <v>18417</v>
      </c>
      <c r="B1187" s="2" t="s">
        <v>24808</v>
      </c>
      <c r="C1187" s="11" t="s">
        <v>24809</v>
      </c>
      <c r="D1187" s="2" t="s">
        <v>24810</v>
      </c>
      <c r="E1187" s="2" t="s">
        <v>24811</v>
      </c>
    </row>
    <row r="1188">
      <c r="A1188" s="2" t="s">
        <v>24812</v>
      </c>
      <c r="B1188" s="2" t="s">
        <v>24813</v>
      </c>
      <c r="C1188" s="11" t="s">
        <v>24814</v>
      </c>
      <c r="D1188" s="2" t="s">
        <v>24815</v>
      </c>
      <c r="E1188" s="2" t="s">
        <v>24816</v>
      </c>
    </row>
    <row r="1189">
      <c r="A1189" s="2" t="s">
        <v>24817</v>
      </c>
      <c r="B1189" s="2" t="s">
        <v>24818</v>
      </c>
      <c r="C1189" s="11" t="s">
        <v>24819</v>
      </c>
      <c r="D1189" s="2" t="s">
        <v>24820</v>
      </c>
      <c r="E1189" s="2" t="s">
        <v>24821</v>
      </c>
    </row>
    <row r="1190">
      <c r="A1190" s="2" t="s">
        <v>24822</v>
      </c>
      <c r="B1190" s="2" t="s">
        <v>24823</v>
      </c>
      <c r="C1190" s="11" t="s">
        <v>24824</v>
      </c>
      <c r="D1190" s="2" t="s">
        <v>24825</v>
      </c>
      <c r="E1190" s="2" t="s">
        <v>24826</v>
      </c>
    </row>
    <row r="1191">
      <c r="A1191" s="2" t="s">
        <v>24827</v>
      </c>
      <c r="B1191" s="2" t="s">
        <v>24828</v>
      </c>
      <c r="C1191" s="11" t="s">
        <v>24829</v>
      </c>
      <c r="D1191" s="2" t="s">
        <v>24830</v>
      </c>
      <c r="E1191" s="2" t="s">
        <v>24831</v>
      </c>
    </row>
    <row r="1192">
      <c r="A1192" s="2" t="s">
        <v>18930</v>
      </c>
      <c r="B1192" s="2" t="s">
        <v>24832</v>
      </c>
      <c r="C1192" s="11" t="s">
        <v>24833</v>
      </c>
      <c r="D1192" s="2" t="s">
        <v>24834</v>
      </c>
      <c r="E1192" s="2" t="s">
        <v>24835</v>
      </c>
    </row>
    <row r="1193">
      <c r="A1193" s="2" t="s">
        <v>24836</v>
      </c>
      <c r="B1193" s="2" t="s">
        <v>20425</v>
      </c>
      <c r="C1193" s="11" t="s">
        <v>24837</v>
      </c>
      <c r="D1193" s="2" t="s">
        <v>24838</v>
      </c>
      <c r="E1193" s="2" t="s">
        <v>24839</v>
      </c>
    </row>
    <row r="1194">
      <c r="A1194" s="2" t="s">
        <v>24840</v>
      </c>
      <c r="B1194" s="2" t="s">
        <v>21329</v>
      </c>
      <c r="C1194" s="11" t="s">
        <v>24841</v>
      </c>
      <c r="D1194" s="2" t="s">
        <v>24842</v>
      </c>
      <c r="E1194" s="2" t="s">
        <v>24843</v>
      </c>
    </row>
    <row r="1195">
      <c r="A1195" s="2" t="s">
        <v>24844</v>
      </c>
      <c r="B1195" s="2" t="s">
        <v>24845</v>
      </c>
      <c r="C1195" s="11" t="s">
        <v>24846</v>
      </c>
      <c r="D1195" s="2" t="s">
        <v>24847</v>
      </c>
      <c r="E1195" s="2" t="s">
        <v>24848</v>
      </c>
    </row>
    <row r="1196">
      <c r="A1196" s="2" t="s">
        <v>24849</v>
      </c>
      <c r="B1196" s="2" t="s">
        <v>19455</v>
      </c>
      <c r="C1196" s="11" t="s">
        <v>24850</v>
      </c>
      <c r="D1196" s="2" t="s">
        <v>24851</v>
      </c>
      <c r="E1196" s="2" t="s">
        <v>24852</v>
      </c>
    </row>
    <row r="1197">
      <c r="A1197" s="2" t="s">
        <v>24853</v>
      </c>
      <c r="B1197" s="2" t="s">
        <v>24854</v>
      </c>
      <c r="C1197" s="11" t="s">
        <v>24855</v>
      </c>
      <c r="D1197" s="2" t="s">
        <v>24856</v>
      </c>
      <c r="E1197" s="2" t="s">
        <v>24857</v>
      </c>
    </row>
    <row r="1198">
      <c r="A1198" s="2" t="s">
        <v>24858</v>
      </c>
      <c r="B1198" s="2" t="s">
        <v>22785</v>
      </c>
      <c r="C1198" s="11" t="s">
        <v>24859</v>
      </c>
      <c r="D1198" s="2" t="s">
        <v>24860</v>
      </c>
      <c r="E1198" s="2" t="s">
        <v>24861</v>
      </c>
    </row>
    <row r="1199">
      <c r="A1199" s="2" t="s">
        <v>24862</v>
      </c>
      <c r="B1199" s="2" t="s">
        <v>19985</v>
      </c>
      <c r="C1199" s="11" t="s">
        <v>24863</v>
      </c>
      <c r="D1199" s="2" t="s">
        <v>24864</v>
      </c>
      <c r="E1199" s="2" t="s">
        <v>24865</v>
      </c>
    </row>
    <row r="1200">
      <c r="A1200" s="2" t="s">
        <v>24866</v>
      </c>
      <c r="B1200" s="2" t="s">
        <v>24867</v>
      </c>
      <c r="C1200" s="11" t="s">
        <v>24868</v>
      </c>
      <c r="D1200" s="2" t="s">
        <v>24869</v>
      </c>
      <c r="E1200" s="2" t="s">
        <v>24870</v>
      </c>
    </row>
    <row r="1201">
      <c r="A1201" s="2" t="s">
        <v>16353</v>
      </c>
      <c r="B1201" s="2" t="s">
        <v>24871</v>
      </c>
      <c r="C1201" s="11" t="s">
        <v>24872</v>
      </c>
      <c r="D1201" s="2" t="s">
        <v>24873</v>
      </c>
      <c r="E1201" s="2" t="s">
        <v>24874</v>
      </c>
    </row>
    <row r="1202">
      <c r="A1202" s="2" t="s">
        <v>24875</v>
      </c>
      <c r="B1202" s="2" t="s">
        <v>24876</v>
      </c>
      <c r="C1202" s="11" t="s">
        <v>24877</v>
      </c>
      <c r="D1202" s="2" t="s">
        <v>24878</v>
      </c>
      <c r="E1202" s="2" t="s">
        <v>24879</v>
      </c>
    </row>
    <row r="1203">
      <c r="A1203" s="2" t="s">
        <v>16354</v>
      </c>
      <c r="B1203" s="2" t="s">
        <v>20214</v>
      </c>
      <c r="C1203" s="11" t="s">
        <v>24880</v>
      </c>
      <c r="D1203" s="2" t="s">
        <v>24881</v>
      </c>
      <c r="E1203" s="2" t="s">
        <v>24882</v>
      </c>
    </row>
    <row r="1204">
      <c r="A1204" s="2" t="s">
        <v>24883</v>
      </c>
      <c r="B1204" s="2" t="s">
        <v>24884</v>
      </c>
      <c r="C1204" s="11" t="s">
        <v>24885</v>
      </c>
      <c r="D1204" s="2" t="s">
        <v>24886</v>
      </c>
      <c r="E1204" s="2" t="s">
        <v>24887</v>
      </c>
    </row>
    <row r="1205">
      <c r="A1205" s="2" t="s">
        <v>24888</v>
      </c>
      <c r="B1205" s="2" t="s">
        <v>19151</v>
      </c>
      <c r="C1205" s="11" t="s">
        <v>24889</v>
      </c>
      <c r="D1205" s="2" t="s">
        <v>24890</v>
      </c>
      <c r="E1205" s="2" t="s">
        <v>24891</v>
      </c>
    </row>
    <row r="1206">
      <c r="A1206" s="2" t="s">
        <v>24892</v>
      </c>
      <c r="B1206" s="2" t="s">
        <v>24893</v>
      </c>
      <c r="C1206" s="11" t="s">
        <v>24894</v>
      </c>
      <c r="D1206" s="2" t="s">
        <v>24895</v>
      </c>
      <c r="E1206" s="2" t="s">
        <v>24896</v>
      </c>
    </row>
    <row r="1207">
      <c r="A1207" s="2" t="s">
        <v>24897</v>
      </c>
      <c r="B1207" s="2" t="s">
        <v>24898</v>
      </c>
      <c r="C1207" s="11" t="s">
        <v>24899</v>
      </c>
      <c r="D1207" s="2" t="s">
        <v>24900</v>
      </c>
      <c r="E1207" s="2" t="s">
        <v>24901</v>
      </c>
    </row>
    <row r="1208">
      <c r="A1208" s="2" t="s">
        <v>24902</v>
      </c>
      <c r="B1208" s="2" t="s">
        <v>24903</v>
      </c>
      <c r="C1208" s="11" t="s">
        <v>24904</v>
      </c>
      <c r="D1208" s="2" t="s">
        <v>24905</v>
      </c>
      <c r="E1208" s="2" t="s">
        <v>24906</v>
      </c>
    </row>
    <row r="1209">
      <c r="A1209" s="2" t="s">
        <v>24907</v>
      </c>
      <c r="B1209" s="2" t="s">
        <v>24908</v>
      </c>
      <c r="C1209" s="11" t="s">
        <v>24909</v>
      </c>
      <c r="D1209" s="2" t="s">
        <v>24910</v>
      </c>
      <c r="E1209" s="2" t="s">
        <v>24911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</hyperlinks>
  <drawing r:id="rId120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24912</v>
      </c>
      <c r="B1" s="15" t="s">
        <v>24913</v>
      </c>
      <c r="C1" s="15" t="s">
        <v>24914</v>
      </c>
      <c r="D1" s="15" t="s">
        <v>24915</v>
      </c>
      <c r="E1" s="15" t="s">
        <v>24916</v>
      </c>
      <c r="F1" s="15" t="s">
        <v>24917</v>
      </c>
      <c r="G1" s="15" t="s">
        <v>24918</v>
      </c>
      <c r="H1" s="15" t="s">
        <v>24919</v>
      </c>
      <c r="I1" s="15" t="s">
        <v>24920</v>
      </c>
      <c r="J1" s="15" t="s">
        <v>24921</v>
      </c>
      <c r="K1" s="15" t="s">
        <v>24922</v>
      </c>
      <c r="L1" s="15" t="s">
        <v>24923</v>
      </c>
      <c r="M1" s="15" t="s">
        <v>24924</v>
      </c>
      <c r="N1" s="15" t="s">
        <v>24925</v>
      </c>
    </row>
    <row r="2">
      <c r="A2" s="12">
        <v>1.0</v>
      </c>
      <c r="B2" s="2" t="s">
        <v>24926</v>
      </c>
      <c r="C2" s="2" t="str">
        <f t="shared" ref="C2:C546" si="3">CONCATENATE(D2,"_mRNA")</f>
        <v>E1_1_1_1_mRNA</v>
      </c>
      <c r="D2" s="2" t="str">
        <f t="shared" ref="D2:D546" si="4">CONCATENATE("E",B2)</f>
        <v>E1_1_1_1</v>
      </c>
      <c r="E2" s="2" t="str">
        <f t="shared" ref="E2:E546" si="5">CONCATENATE("E",B2,"_kcat : 13.7")</f>
        <v>E1_1_1_1_kcat : 13.7</v>
      </c>
      <c r="F2" s="2" t="str">
        <f t="shared" ref="F2:F546" si="6">CONCATENATE("E",B2,"_km : 1")</f>
        <v>E1_1_1_1_km : 1</v>
      </c>
      <c r="G2" s="2" t="str">
        <f t="shared" ref="G2:H2" si="1">CONCATENATE(C2," : ",C2)</f>
        <v>E1_1_1_1_mRNA : E1_1_1_1_mRNA</v>
      </c>
      <c r="H2" s="2" t="str">
        <f t="shared" si="1"/>
        <v>E1_1_1_1 : E1_1_1_1</v>
      </c>
      <c r="I2" s="2" t="str">
        <f t="shared" ref="I2:J2" si="2">CONCATENATE(C2," : ","0")</f>
        <v>E1_1_1_1_mRNA : 0</v>
      </c>
      <c r="J2" s="2" t="str">
        <f t="shared" si="2"/>
        <v>E1_1_1_1 : 0</v>
      </c>
      <c r="K2" s="2" t="str">
        <f t="shared" ref="K2:K546" si="9">CONCATENATE("0.00292 - (0.0093 * ",C2,")")</f>
        <v>0.00292 - (0.0093 * E1_1_1_1_mRNA)</v>
      </c>
      <c r="L2" s="2" t="str">
        <f t="shared" ref="L2:L546" si="10">CONCATENATE("(0.278 * ",C2,")"," - (0.00000278 * ",D2,")")</f>
        <v>(0.278 * E1_1_1_1_mRNA) - (0.00000278 * E1_1_1_1)</v>
      </c>
      <c r="M2" s="2" t="str">
        <f t="shared" ref="M2:M546" si="11">CONCATENATE("mRNA",A2,": -&gt; ",C2," | ","0.00292"," - ","(","0.0093"," * ",C2,")")</f>
        <v>mRNA1: -&gt; E1_1_1_1_mRNA | 0.00292 - (0.0093 * E1_1_1_1_mRNA)</v>
      </c>
      <c r="N2" s="2" t="str">
        <f t="shared" ref="N2:N546" si="12">CONCATENATE("Peptide",A2,": ",C2," -&gt; ",D2," | ","(","0.278"," * ",C2,")"," - ","(","0.000000278"," * ",D2,")")</f>
        <v>Peptide1: E1_1_1_1_mRNA -&gt; E1_1_1_1 | (0.278 * E1_1_1_1_mRNA) - (0.000000278 * E1_1_1_1)</v>
      </c>
    </row>
    <row r="3">
      <c r="A3" s="12">
        <v>2.0</v>
      </c>
      <c r="B3" s="2" t="s">
        <v>24927</v>
      </c>
      <c r="C3" s="2" t="str">
        <f t="shared" si="3"/>
        <v>E1_1_1_100_mRNA</v>
      </c>
      <c r="D3" s="2" t="str">
        <f t="shared" si="4"/>
        <v>E1_1_1_100</v>
      </c>
      <c r="E3" s="2" t="str">
        <f t="shared" si="5"/>
        <v>E1_1_1_100_kcat : 13.7</v>
      </c>
      <c r="F3" s="2" t="str">
        <f t="shared" si="6"/>
        <v>E1_1_1_100_km : 1</v>
      </c>
      <c r="G3" s="2" t="str">
        <f t="shared" ref="G3:H3" si="7">CONCATENATE(C3," : ",C3)</f>
        <v>E1_1_1_100_mRNA : E1_1_1_100_mRNA</v>
      </c>
      <c r="H3" s="2" t="str">
        <f t="shared" si="7"/>
        <v>E1_1_1_100 : E1_1_1_100</v>
      </c>
      <c r="I3" s="2" t="str">
        <f t="shared" ref="I3:J3" si="8">CONCATENATE(C3," : ","0")</f>
        <v>E1_1_1_100_mRNA : 0</v>
      </c>
      <c r="J3" s="2" t="str">
        <f t="shared" si="8"/>
        <v>E1_1_1_100 : 0</v>
      </c>
      <c r="K3" s="2" t="str">
        <f t="shared" si="9"/>
        <v>0.00292 - (0.0093 * E1_1_1_100_mRNA)</v>
      </c>
      <c r="L3" s="2" t="str">
        <f t="shared" si="10"/>
        <v>(0.278 * E1_1_1_100_mRNA) - (0.00000278 * E1_1_1_100)</v>
      </c>
      <c r="M3" s="2" t="str">
        <f t="shared" si="11"/>
        <v>mRNA2: -&gt; E1_1_1_100_mRNA | 0.00292 - (0.0093 * E1_1_1_100_mRNA)</v>
      </c>
      <c r="N3" s="2" t="str">
        <f t="shared" si="12"/>
        <v>Peptide2: E1_1_1_100_mRNA -&gt; E1_1_1_100 | (0.278 * E1_1_1_100_mRNA) - (0.000000278 * E1_1_1_100)</v>
      </c>
    </row>
    <row r="4">
      <c r="A4" s="12">
        <v>3.0</v>
      </c>
      <c r="B4" s="2" t="s">
        <v>24928</v>
      </c>
      <c r="C4" s="2" t="str">
        <f t="shared" si="3"/>
        <v>E1_1_1_133_mRNA</v>
      </c>
      <c r="D4" s="2" t="str">
        <f t="shared" si="4"/>
        <v>E1_1_1_133</v>
      </c>
      <c r="E4" s="2" t="str">
        <f t="shared" si="5"/>
        <v>E1_1_1_133_kcat : 13.7</v>
      </c>
      <c r="F4" s="2" t="str">
        <f t="shared" si="6"/>
        <v>E1_1_1_133_km : 1</v>
      </c>
      <c r="G4" s="2" t="str">
        <f t="shared" ref="G4:H4" si="13">CONCATENATE(C4," : ",C4)</f>
        <v>E1_1_1_133_mRNA : E1_1_1_133_mRNA</v>
      </c>
      <c r="H4" s="2" t="str">
        <f t="shared" si="13"/>
        <v>E1_1_1_133 : E1_1_1_133</v>
      </c>
      <c r="I4" s="2" t="str">
        <f t="shared" ref="I4:J4" si="14">CONCATENATE(C4," : ","0")</f>
        <v>E1_1_1_133_mRNA : 0</v>
      </c>
      <c r="J4" s="2" t="str">
        <f t="shared" si="14"/>
        <v>E1_1_1_133 : 0</v>
      </c>
      <c r="K4" s="2" t="str">
        <f t="shared" si="9"/>
        <v>0.00292 - (0.0093 * E1_1_1_133_mRNA)</v>
      </c>
      <c r="L4" s="2" t="str">
        <f t="shared" si="10"/>
        <v>(0.278 * E1_1_1_133_mRNA) - (0.00000278 * E1_1_1_133)</v>
      </c>
      <c r="M4" s="2" t="str">
        <f t="shared" si="11"/>
        <v>mRNA3: -&gt; E1_1_1_133_mRNA | 0.00292 - (0.0093 * E1_1_1_133_mRNA)</v>
      </c>
      <c r="N4" s="2" t="str">
        <f t="shared" si="12"/>
        <v>Peptide3: E1_1_1_133_mRNA -&gt; E1_1_1_133 | (0.278 * E1_1_1_133_mRNA) - (0.000000278 * E1_1_1_133)</v>
      </c>
    </row>
    <row r="5">
      <c r="A5" s="12">
        <v>4.0</v>
      </c>
      <c r="B5" s="2" t="s">
        <v>24929</v>
      </c>
      <c r="C5" s="2" t="str">
        <f t="shared" si="3"/>
        <v>E1_1_1_157_mRNA</v>
      </c>
      <c r="D5" s="2" t="str">
        <f t="shared" si="4"/>
        <v>E1_1_1_157</v>
      </c>
      <c r="E5" s="2" t="str">
        <f t="shared" si="5"/>
        <v>E1_1_1_157_kcat : 13.7</v>
      </c>
      <c r="F5" s="2" t="str">
        <f t="shared" si="6"/>
        <v>E1_1_1_157_km : 1</v>
      </c>
      <c r="G5" s="2" t="str">
        <f t="shared" ref="G5:H5" si="15">CONCATENATE(C5," : ",C5)</f>
        <v>E1_1_1_157_mRNA : E1_1_1_157_mRNA</v>
      </c>
      <c r="H5" s="2" t="str">
        <f t="shared" si="15"/>
        <v>E1_1_1_157 : E1_1_1_157</v>
      </c>
      <c r="I5" s="2" t="str">
        <f t="shared" ref="I5:J5" si="16">CONCATENATE(C5," : ","0")</f>
        <v>E1_1_1_157_mRNA : 0</v>
      </c>
      <c r="J5" s="2" t="str">
        <f t="shared" si="16"/>
        <v>E1_1_1_157 : 0</v>
      </c>
      <c r="K5" s="2" t="str">
        <f t="shared" si="9"/>
        <v>0.00292 - (0.0093 * E1_1_1_157_mRNA)</v>
      </c>
      <c r="L5" s="2" t="str">
        <f t="shared" si="10"/>
        <v>(0.278 * E1_1_1_157_mRNA) - (0.00000278 * E1_1_1_157)</v>
      </c>
      <c r="M5" s="2" t="str">
        <f t="shared" si="11"/>
        <v>mRNA4: -&gt; E1_1_1_157_mRNA | 0.00292 - (0.0093 * E1_1_1_157_mRNA)</v>
      </c>
      <c r="N5" s="2" t="str">
        <f t="shared" si="12"/>
        <v>Peptide4: E1_1_1_157_mRNA -&gt; E1_1_1_157 | (0.278 * E1_1_1_157_mRNA) - (0.000000278 * E1_1_1_157)</v>
      </c>
    </row>
    <row r="6">
      <c r="A6" s="12">
        <v>5.0</v>
      </c>
      <c r="B6" s="2" t="s">
        <v>24930</v>
      </c>
      <c r="C6" s="2" t="str">
        <f t="shared" si="3"/>
        <v>E1_1_1_169_mRNA</v>
      </c>
      <c r="D6" s="2" t="str">
        <f t="shared" si="4"/>
        <v>E1_1_1_169</v>
      </c>
      <c r="E6" s="2" t="str">
        <f t="shared" si="5"/>
        <v>E1_1_1_169_kcat : 13.7</v>
      </c>
      <c r="F6" s="2" t="str">
        <f t="shared" si="6"/>
        <v>E1_1_1_169_km : 1</v>
      </c>
      <c r="G6" s="2" t="str">
        <f t="shared" ref="G6:H6" si="17">CONCATENATE(C6," : ",C6)</f>
        <v>E1_1_1_169_mRNA : E1_1_1_169_mRNA</v>
      </c>
      <c r="H6" s="2" t="str">
        <f t="shared" si="17"/>
        <v>E1_1_1_169 : E1_1_1_169</v>
      </c>
      <c r="I6" s="2" t="str">
        <f t="shared" ref="I6:J6" si="18">CONCATENATE(C6," : ","0")</f>
        <v>E1_1_1_169_mRNA : 0</v>
      </c>
      <c r="J6" s="2" t="str">
        <f t="shared" si="18"/>
        <v>E1_1_1_169 : 0</v>
      </c>
      <c r="K6" s="2" t="str">
        <f t="shared" si="9"/>
        <v>0.00292 - (0.0093 * E1_1_1_169_mRNA)</v>
      </c>
      <c r="L6" s="2" t="str">
        <f t="shared" si="10"/>
        <v>(0.278 * E1_1_1_169_mRNA) - (0.00000278 * E1_1_1_169)</v>
      </c>
      <c r="M6" s="2" t="str">
        <f t="shared" si="11"/>
        <v>mRNA5: -&gt; E1_1_1_169_mRNA | 0.00292 - (0.0093 * E1_1_1_169_mRNA)</v>
      </c>
      <c r="N6" s="2" t="str">
        <f t="shared" si="12"/>
        <v>Peptide5: E1_1_1_169_mRNA -&gt; E1_1_1_169 | (0.278 * E1_1_1_169_mRNA) - (0.000000278 * E1_1_1_169)</v>
      </c>
    </row>
    <row r="7">
      <c r="A7" s="12">
        <v>6.0</v>
      </c>
      <c r="B7" s="2" t="s">
        <v>24931</v>
      </c>
      <c r="C7" s="2" t="str">
        <f t="shared" si="3"/>
        <v>E1_1_1_193_mRNA</v>
      </c>
      <c r="D7" s="2" t="str">
        <f t="shared" si="4"/>
        <v>E1_1_1_193</v>
      </c>
      <c r="E7" s="2" t="str">
        <f t="shared" si="5"/>
        <v>E1_1_1_193_kcat : 13.7</v>
      </c>
      <c r="F7" s="2" t="str">
        <f t="shared" si="6"/>
        <v>E1_1_1_193_km : 1</v>
      </c>
      <c r="G7" s="2" t="str">
        <f t="shared" ref="G7:H7" si="19">CONCATENATE(C7," : ",C7)</f>
        <v>E1_1_1_193_mRNA : E1_1_1_193_mRNA</v>
      </c>
      <c r="H7" s="2" t="str">
        <f t="shared" si="19"/>
        <v>E1_1_1_193 : E1_1_1_193</v>
      </c>
      <c r="I7" s="2" t="str">
        <f t="shared" ref="I7:J7" si="20">CONCATENATE(C7," : ","0")</f>
        <v>E1_1_1_193_mRNA : 0</v>
      </c>
      <c r="J7" s="2" t="str">
        <f t="shared" si="20"/>
        <v>E1_1_1_193 : 0</v>
      </c>
      <c r="K7" s="2" t="str">
        <f t="shared" si="9"/>
        <v>0.00292 - (0.0093 * E1_1_1_193_mRNA)</v>
      </c>
      <c r="L7" s="2" t="str">
        <f t="shared" si="10"/>
        <v>(0.278 * E1_1_1_193_mRNA) - (0.00000278 * E1_1_1_193)</v>
      </c>
      <c r="M7" s="2" t="str">
        <f t="shared" si="11"/>
        <v>mRNA6: -&gt; E1_1_1_193_mRNA | 0.00292 - (0.0093 * E1_1_1_193_mRNA)</v>
      </c>
      <c r="N7" s="2" t="str">
        <f t="shared" si="12"/>
        <v>Peptide6: E1_1_1_193_mRNA -&gt; E1_1_1_193 | (0.278 * E1_1_1_193_mRNA) - (0.000000278 * E1_1_1_193)</v>
      </c>
    </row>
    <row r="8">
      <c r="A8" s="12">
        <v>7.0</v>
      </c>
      <c r="B8" s="2" t="s">
        <v>24932</v>
      </c>
      <c r="C8" s="2" t="str">
        <f t="shared" si="3"/>
        <v>E1_1_1_205_mRNA</v>
      </c>
      <c r="D8" s="2" t="str">
        <f t="shared" si="4"/>
        <v>E1_1_1_205</v>
      </c>
      <c r="E8" s="2" t="str">
        <f t="shared" si="5"/>
        <v>E1_1_1_205_kcat : 13.7</v>
      </c>
      <c r="F8" s="2" t="str">
        <f t="shared" si="6"/>
        <v>E1_1_1_205_km : 1</v>
      </c>
      <c r="G8" s="2" t="str">
        <f t="shared" ref="G8:H8" si="21">CONCATENATE(C8," : ",C8)</f>
        <v>E1_1_1_205_mRNA : E1_1_1_205_mRNA</v>
      </c>
      <c r="H8" s="2" t="str">
        <f t="shared" si="21"/>
        <v>E1_1_1_205 : E1_1_1_205</v>
      </c>
      <c r="I8" s="2" t="str">
        <f t="shared" ref="I8:J8" si="22">CONCATENATE(C8," : ","0")</f>
        <v>E1_1_1_205_mRNA : 0</v>
      </c>
      <c r="J8" s="2" t="str">
        <f t="shared" si="22"/>
        <v>E1_1_1_205 : 0</v>
      </c>
      <c r="K8" s="2" t="str">
        <f t="shared" si="9"/>
        <v>0.00292 - (0.0093 * E1_1_1_205_mRNA)</v>
      </c>
      <c r="L8" s="2" t="str">
        <f t="shared" si="10"/>
        <v>(0.278 * E1_1_1_205_mRNA) - (0.00000278 * E1_1_1_205)</v>
      </c>
      <c r="M8" s="2" t="str">
        <f t="shared" si="11"/>
        <v>mRNA7: -&gt; E1_1_1_205_mRNA | 0.00292 - (0.0093 * E1_1_1_205_mRNA)</v>
      </c>
      <c r="N8" s="2" t="str">
        <f t="shared" si="12"/>
        <v>Peptide7: E1_1_1_205_mRNA -&gt; E1_1_1_205 | (0.278 * E1_1_1_205_mRNA) - (0.000000278 * E1_1_1_205)</v>
      </c>
    </row>
    <row r="9">
      <c r="A9" s="12">
        <v>8.0</v>
      </c>
      <c r="B9" s="2" t="s">
        <v>24933</v>
      </c>
      <c r="C9" s="2" t="str">
        <f t="shared" si="3"/>
        <v>E1_1_1_23_mRNA</v>
      </c>
      <c r="D9" s="2" t="str">
        <f t="shared" si="4"/>
        <v>E1_1_1_23</v>
      </c>
      <c r="E9" s="2" t="str">
        <f t="shared" si="5"/>
        <v>E1_1_1_23_kcat : 13.7</v>
      </c>
      <c r="F9" s="2" t="str">
        <f t="shared" si="6"/>
        <v>E1_1_1_23_km : 1</v>
      </c>
      <c r="G9" s="2" t="str">
        <f t="shared" ref="G9:H9" si="23">CONCATENATE(C9," : ",C9)</f>
        <v>E1_1_1_23_mRNA : E1_1_1_23_mRNA</v>
      </c>
      <c r="H9" s="2" t="str">
        <f t="shared" si="23"/>
        <v>E1_1_1_23 : E1_1_1_23</v>
      </c>
      <c r="I9" s="2" t="str">
        <f t="shared" ref="I9:J9" si="24">CONCATENATE(C9," : ","0")</f>
        <v>E1_1_1_23_mRNA : 0</v>
      </c>
      <c r="J9" s="2" t="str">
        <f t="shared" si="24"/>
        <v>E1_1_1_23 : 0</v>
      </c>
      <c r="K9" s="2" t="str">
        <f t="shared" si="9"/>
        <v>0.00292 - (0.0093 * E1_1_1_23_mRNA)</v>
      </c>
      <c r="L9" s="2" t="str">
        <f t="shared" si="10"/>
        <v>(0.278 * E1_1_1_23_mRNA) - (0.00000278 * E1_1_1_23)</v>
      </c>
      <c r="M9" s="2" t="str">
        <f t="shared" si="11"/>
        <v>mRNA8: -&gt; E1_1_1_23_mRNA | 0.00292 - (0.0093 * E1_1_1_23_mRNA)</v>
      </c>
      <c r="N9" s="2" t="str">
        <f t="shared" si="12"/>
        <v>Peptide8: E1_1_1_23_mRNA -&gt; E1_1_1_23 | (0.278 * E1_1_1_23_mRNA) - (0.000000278 * E1_1_1_23)</v>
      </c>
    </row>
    <row r="10">
      <c r="A10" s="12">
        <v>9.0</v>
      </c>
      <c r="B10" s="2" t="s">
        <v>24934</v>
      </c>
      <c r="C10" s="2" t="str">
        <f t="shared" si="3"/>
        <v>E1_1_1_25_mRNA</v>
      </c>
      <c r="D10" s="2" t="str">
        <f t="shared" si="4"/>
        <v>E1_1_1_25</v>
      </c>
      <c r="E10" s="2" t="str">
        <f t="shared" si="5"/>
        <v>E1_1_1_25_kcat : 13.7</v>
      </c>
      <c r="F10" s="2" t="str">
        <f t="shared" si="6"/>
        <v>E1_1_1_25_km : 1</v>
      </c>
      <c r="G10" s="2" t="str">
        <f t="shared" ref="G10:H10" si="25">CONCATENATE(C10," : ",C10)</f>
        <v>E1_1_1_25_mRNA : E1_1_1_25_mRNA</v>
      </c>
      <c r="H10" s="2" t="str">
        <f t="shared" si="25"/>
        <v>E1_1_1_25 : E1_1_1_25</v>
      </c>
      <c r="I10" s="2" t="str">
        <f t="shared" ref="I10:J10" si="26">CONCATENATE(C10," : ","0")</f>
        <v>E1_1_1_25_mRNA : 0</v>
      </c>
      <c r="J10" s="2" t="str">
        <f t="shared" si="26"/>
        <v>E1_1_1_25 : 0</v>
      </c>
      <c r="K10" s="2" t="str">
        <f t="shared" si="9"/>
        <v>0.00292 - (0.0093 * E1_1_1_25_mRNA)</v>
      </c>
      <c r="L10" s="2" t="str">
        <f t="shared" si="10"/>
        <v>(0.278 * E1_1_1_25_mRNA) - (0.00000278 * E1_1_1_25)</v>
      </c>
      <c r="M10" s="2" t="str">
        <f t="shared" si="11"/>
        <v>mRNA9: -&gt; E1_1_1_25_mRNA | 0.00292 - (0.0093 * E1_1_1_25_mRNA)</v>
      </c>
      <c r="N10" s="2" t="str">
        <f t="shared" si="12"/>
        <v>Peptide9: E1_1_1_25_mRNA -&gt; E1_1_1_25 | (0.278 * E1_1_1_25_mRNA) - (0.000000278 * E1_1_1_25)</v>
      </c>
    </row>
    <row r="11">
      <c r="A11" s="12">
        <v>10.0</v>
      </c>
      <c r="B11" s="2" t="s">
        <v>24935</v>
      </c>
      <c r="C11" s="2" t="str">
        <f t="shared" si="3"/>
        <v>E1_1_1_267_mRNA</v>
      </c>
      <c r="D11" s="2" t="str">
        <f t="shared" si="4"/>
        <v>E1_1_1_267</v>
      </c>
      <c r="E11" s="2" t="str">
        <f t="shared" si="5"/>
        <v>E1_1_1_267_kcat : 13.7</v>
      </c>
      <c r="F11" s="2" t="str">
        <f t="shared" si="6"/>
        <v>E1_1_1_267_km : 1</v>
      </c>
      <c r="G11" s="2" t="str">
        <f t="shared" ref="G11:H11" si="27">CONCATENATE(C11," : ",C11)</f>
        <v>E1_1_1_267_mRNA : E1_1_1_267_mRNA</v>
      </c>
      <c r="H11" s="2" t="str">
        <f t="shared" si="27"/>
        <v>E1_1_1_267 : E1_1_1_267</v>
      </c>
      <c r="I11" s="2" t="str">
        <f t="shared" ref="I11:J11" si="28">CONCATENATE(C11," : ","0")</f>
        <v>E1_1_1_267_mRNA : 0</v>
      </c>
      <c r="J11" s="2" t="str">
        <f t="shared" si="28"/>
        <v>E1_1_1_267 : 0</v>
      </c>
      <c r="K11" s="2" t="str">
        <f t="shared" si="9"/>
        <v>0.00292 - (0.0093 * E1_1_1_267_mRNA)</v>
      </c>
      <c r="L11" s="2" t="str">
        <f t="shared" si="10"/>
        <v>(0.278 * E1_1_1_267_mRNA) - (0.00000278 * E1_1_1_267)</v>
      </c>
      <c r="M11" s="2" t="str">
        <f t="shared" si="11"/>
        <v>mRNA10: -&gt; E1_1_1_267_mRNA | 0.00292 - (0.0093 * E1_1_1_267_mRNA)</v>
      </c>
      <c r="N11" s="2" t="str">
        <f t="shared" si="12"/>
        <v>Peptide10: E1_1_1_267_mRNA -&gt; E1_1_1_267 | (0.278 * E1_1_1_267_mRNA) - (0.000000278 * E1_1_1_267)</v>
      </c>
    </row>
    <row r="12">
      <c r="A12" s="12">
        <v>11.0</v>
      </c>
      <c r="B12" s="2" t="s">
        <v>24936</v>
      </c>
      <c r="C12" s="2" t="str">
        <f t="shared" si="3"/>
        <v>E1_1_1_27_mRNA</v>
      </c>
      <c r="D12" s="2" t="str">
        <f t="shared" si="4"/>
        <v>E1_1_1_27</v>
      </c>
      <c r="E12" s="2" t="str">
        <f t="shared" si="5"/>
        <v>E1_1_1_27_kcat : 13.7</v>
      </c>
      <c r="F12" s="2" t="str">
        <f t="shared" si="6"/>
        <v>E1_1_1_27_km : 1</v>
      </c>
      <c r="G12" s="2" t="str">
        <f t="shared" ref="G12:H12" si="29">CONCATENATE(C12," : ",C12)</f>
        <v>E1_1_1_27_mRNA : E1_1_1_27_mRNA</v>
      </c>
      <c r="H12" s="2" t="str">
        <f t="shared" si="29"/>
        <v>E1_1_1_27 : E1_1_1_27</v>
      </c>
      <c r="I12" s="2" t="str">
        <f t="shared" ref="I12:J12" si="30">CONCATENATE(C12," : ","0")</f>
        <v>E1_1_1_27_mRNA : 0</v>
      </c>
      <c r="J12" s="2" t="str">
        <f t="shared" si="30"/>
        <v>E1_1_1_27 : 0</v>
      </c>
      <c r="K12" s="2" t="str">
        <f t="shared" si="9"/>
        <v>0.00292 - (0.0093 * E1_1_1_27_mRNA)</v>
      </c>
      <c r="L12" s="2" t="str">
        <f t="shared" si="10"/>
        <v>(0.278 * E1_1_1_27_mRNA) - (0.00000278 * E1_1_1_27)</v>
      </c>
      <c r="M12" s="2" t="str">
        <f t="shared" si="11"/>
        <v>mRNA11: -&gt; E1_1_1_27_mRNA | 0.00292 - (0.0093 * E1_1_1_27_mRNA)</v>
      </c>
      <c r="N12" s="2" t="str">
        <f t="shared" si="12"/>
        <v>Peptide11: E1_1_1_27_mRNA -&gt; E1_1_1_27 | (0.278 * E1_1_1_27_mRNA) - (0.000000278 * E1_1_1_27)</v>
      </c>
    </row>
    <row r="13">
      <c r="A13" s="12">
        <v>12.0</v>
      </c>
      <c r="B13" s="2" t="s">
        <v>24937</v>
      </c>
      <c r="C13" s="2" t="str">
        <f t="shared" si="3"/>
        <v>E1_1_1_3_mRNA</v>
      </c>
      <c r="D13" s="2" t="str">
        <f t="shared" si="4"/>
        <v>E1_1_1_3</v>
      </c>
      <c r="E13" s="2" t="str">
        <f t="shared" si="5"/>
        <v>E1_1_1_3_kcat : 13.7</v>
      </c>
      <c r="F13" s="2" t="str">
        <f t="shared" si="6"/>
        <v>E1_1_1_3_km : 1</v>
      </c>
      <c r="G13" s="2" t="str">
        <f t="shared" ref="G13:H13" si="31">CONCATENATE(C13," : ",C13)</f>
        <v>E1_1_1_3_mRNA : E1_1_1_3_mRNA</v>
      </c>
      <c r="H13" s="2" t="str">
        <f t="shared" si="31"/>
        <v>E1_1_1_3 : E1_1_1_3</v>
      </c>
      <c r="I13" s="2" t="str">
        <f t="shared" ref="I13:J13" si="32">CONCATENATE(C13," : ","0")</f>
        <v>E1_1_1_3_mRNA : 0</v>
      </c>
      <c r="J13" s="2" t="str">
        <f t="shared" si="32"/>
        <v>E1_1_1_3 : 0</v>
      </c>
      <c r="K13" s="2" t="str">
        <f t="shared" si="9"/>
        <v>0.00292 - (0.0093 * E1_1_1_3_mRNA)</v>
      </c>
      <c r="L13" s="2" t="str">
        <f t="shared" si="10"/>
        <v>(0.278 * E1_1_1_3_mRNA) - (0.00000278 * E1_1_1_3)</v>
      </c>
      <c r="M13" s="2" t="str">
        <f t="shared" si="11"/>
        <v>mRNA12: -&gt; E1_1_1_3_mRNA | 0.00292 - (0.0093 * E1_1_1_3_mRNA)</v>
      </c>
      <c r="N13" s="2" t="str">
        <f t="shared" si="12"/>
        <v>Peptide12: E1_1_1_3_mRNA -&gt; E1_1_1_3 | (0.278 * E1_1_1_3_mRNA) - (0.000000278 * E1_1_1_3)</v>
      </c>
    </row>
    <row r="14">
      <c r="A14" s="12">
        <v>13.0</v>
      </c>
      <c r="B14" s="2" t="s">
        <v>24938</v>
      </c>
      <c r="C14" s="2" t="str">
        <f t="shared" si="3"/>
        <v>E1_1_1_320_mRNA</v>
      </c>
      <c r="D14" s="2" t="str">
        <f t="shared" si="4"/>
        <v>E1_1_1_320</v>
      </c>
      <c r="E14" s="2" t="str">
        <f t="shared" si="5"/>
        <v>E1_1_1_320_kcat : 13.7</v>
      </c>
      <c r="F14" s="2" t="str">
        <f t="shared" si="6"/>
        <v>E1_1_1_320_km : 1</v>
      </c>
      <c r="G14" s="2" t="str">
        <f t="shared" ref="G14:H14" si="33">CONCATENATE(C14," : ",C14)</f>
        <v>E1_1_1_320_mRNA : E1_1_1_320_mRNA</v>
      </c>
      <c r="H14" s="2" t="str">
        <f t="shared" si="33"/>
        <v>E1_1_1_320 : E1_1_1_320</v>
      </c>
      <c r="I14" s="2" t="str">
        <f t="shared" ref="I14:J14" si="34">CONCATENATE(C14," : ","0")</f>
        <v>E1_1_1_320_mRNA : 0</v>
      </c>
      <c r="J14" s="2" t="str">
        <f t="shared" si="34"/>
        <v>E1_1_1_320 : 0</v>
      </c>
      <c r="K14" s="2" t="str">
        <f t="shared" si="9"/>
        <v>0.00292 - (0.0093 * E1_1_1_320_mRNA)</v>
      </c>
      <c r="L14" s="2" t="str">
        <f t="shared" si="10"/>
        <v>(0.278 * E1_1_1_320_mRNA) - (0.00000278 * E1_1_1_320)</v>
      </c>
      <c r="M14" s="2" t="str">
        <f t="shared" si="11"/>
        <v>mRNA13: -&gt; E1_1_1_320_mRNA | 0.00292 - (0.0093 * E1_1_1_320_mRNA)</v>
      </c>
      <c r="N14" s="2" t="str">
        <f t="shared" si="12"/>
        <v>Peptide13: E1_1_1_320_mRNA -&gt; E1_1_1_320 | (0.278 * E1_1_1_320_mRNA) - (0.000000278 * E1_1_1_320)</v>
      </c>
    </row>
    <row r="15">
      <c r="A15" s="12">
        <v>14.0</v>
      </c>
      <c r="B15" s="2" t="s">
        <v>24939</v>
      </c>
      <c r="C15" s="2" t="str">
        <f t="shared" si="3"/>
        <v>E1_1_1_37_mRNA</v>
      </c>
      <c r="D15" s="2" t="str">
        <f t="shared" si="4"/>
        <v>E1_1_1_37</v>
      </c>
      <c r="E15" s="2" t="str">
        <f t="shared" si="5"/>
        <v>E1_1_1_37_kcat : 13.7</v>
      </c>
      <c r="F15" s="2" t="str">
        <f t="shared" si="6"/>
        <v>E1_1_1_37_km : 1</v>
      </c>
      <c r="G15" s="2" t="str">
        <f t="shared" ref="G15:H15" si="35">CONCATENATE(C15," : ",C15)</f>
        <v>E1_1_1_37_mRNA : E1_1_1_37_mRNA</v>
      </c>
      <c r="H15" s="2" t="str">
        <f t="shared" si="35"/>
        <v>E1_1_1_37 : E1_1_1_37</v>
      </c>
      <c r="I15" s="2" t="str">
        <f t="shared" ref="I15:J15" si="36">CONCATENATE(C15," : ","0")</f>
        <v>E1_1_1_37_mRNA : 0</v>
      </c>
      <c r="J15" s="2" t="str">
        <f t="shared" si="36"/>
        <v>E1_1_1_37 : 0</v>
      </c>
      <c r="K15" s="2" t="str">
        <f t="shared" si="9"/>
        <v>0.00292 - (0.0093 * E1_1_1_37_mRNA)</v>
      </c>
      <c r="L15" s="2" t="str">
        <f t="shared" si="10"/>
        <v>(0.278 * E1_1_1_37_mRNA) - (0.00000278 * E1_1_1_37)</v>
      </c>
      <c r="M15" s="2" t="str">
        <f t="shared" si="11"/>
        <v>mRNA14: -&gt; E1_1_1_37_mRNA | 0.00292 - (0.0093 * E1_1_1_37_mRNA)</v>
      </c>
      <c r="N15" s="2" t="str">
        <f t="shared" si="12"/>
        <v>Peptide14: E1_1_1_37_mRNA -&gt; E1_1_1_37 | (0.278 * E1_1_1_37_mRNA) - (0.000000278 * E1_1_1_37)</v>
      </c>
    </row>
    <row r="16">
      <c r="A16" s="12">
        <v>15.0</v>
      </c>
      <c r="B16" s="2" t="s">
        <v>24940</v>
      </c>
      <c r="C16" s="2" t="str">
        <f t="shared" si="3"/>
        <v>E1_1_1_4_mRNA</v>
      </c>
      <c r="D16" s="2" t="str">
        <f t="shared" si="4"/>
        <v>E1_1_1_4</v>
      </c>
      <c r="E16" s="2" t="str">
        <f t="shared" si="5"/>
        <v>E1_1_1_4_kcat : 13.7</v>
      </c>
      <c r="F16" s="2" t="str">
        <f t="shared" si="6"/>
        <v>E1_1_1_4_km : 1</v>
      </c>
      <c r="G16" s="2" t="str">
        <f t="shared" ref="G16:H16" si="37">CONCATENATE(C16," : ",C16)</f>
        <v>E1_1_1_4_mRNA : E1_1_1_4_mRNA</v>
      </c>
      <c r="H16" s="2" t="str">
        <f t="shared" si="37"/>
        <v>E1_1_1_4 : E1_1_1_4</v>
      </c>
      <c r="I16" s="2" t="str">
        <f t="shared" ref="I16:J16" si="38">CONCATENATE(C16," : ","0")</f>
        <v>E1_1_1_4_mRNA : 0</v>
      </c>
      <c r="J16" s="2" t="str">
        <f t="shared" si="38"/>
        <v>E1_1_1_4 : 0</v>
      </c>
      <c r="K16" s="2" t="str">
        <f t="shared" si="9"/>
        <v>0.00292 - (0.0093 * E1_1_1_4_mRNA)</v>
      </c>
      <c r="L16" s="2" t="str">
        <f t="shared" si="10"/>
        <v>(0.278 * E1_1_1_4_mRNA) - (0.00000278 * E1_1_1_4)</v>
      </c>
      <c r="M16" s="2" t="str">
        <f t="shared" si="11"/>
        <v>mRNA15: -&gt; E1_1_1_4_mRNA | 0.00292 - (0.0093 * E1_1_1_4_mRNA)</v>
      </c>
      <c r="N16" s="2" t="str">
        <f t="shared" si="12"/>
        <v>Peptide15: E1_1_1_4_mRNA -&gt; E1_1_1_4 | (0.278 * E1_1_1_4_mRNA) - (0.000000278 * E1_1_1_4)</v>
      </c>
    </row>
    <row r="17">
      <c r="A17" s="12">
        <v>16.0</v>
      </c>
      <c r="B17" s="2" t="s">
        <v>24941</v>
      </c>
      <c r="C17" s="2" t="str">
        <f t="shared" si="3"/>
        <v>E1_1_1_85_mRNA</v>
      </c>
      <c r="D17" s="2" t="str">
        <f t="shared" si="4"/>
        <v>E1_1_1_85</v>
      </c>
      <c r="E17" s="2" t="str">
        <f t="shared" si="5"/>
        <v>E1_1_1_85_kcat : 13.7</v>
      </c>
      <c r="F17" s="2" t="str">
        <f t="shared" si="6"/>
        <v>E1_1_1_85_km : 1</v>
      </c>
      <c r="G17" s="2" t="str">
        <f t="shared" ref="G17:H17" si="39">CONCATENATE(C17," : ",C17)</f>
        <v>E1_1_1_85_mRNA : E1_1_1_85_mRNA</v>
      </c>
      <c r="H17" s="2" t="str">
        <f t="shared" si="39"/>
        <v>E1_1_1_85 : E1_1_1_85</v>
      </c>
      <c r="I17" s="2" t="str">
        <f t="shared" ref="I17:J17" si="40">CONCATENATE(C17," : ","0")</f>
        <v>E1_1_1_85_mRNA : 0</v>
      </c>
      <c r="J17" s="2" t="str">
        <f t="shared" si="40"/>
        <v>E1_1_1_85 : 0</v>
      </c>
      <c r="K17" s="2" t="str">
        <f t="shared" si="9"/>
        <v>0.00292 - (0.0093 * E1_1_1_85_mRNA)</v>
      </c>
      <c r="L17" s="2" t="str">
        <f t="shared" si="10"/>
        <v>(0.278 * E1_1_1_85_mRNA) - (0.00000278 * E1_1_1_85)</v>
      </c>
      <c r="M17" s="2" t="str">
        <f t="shared" si="11"/>
        <v>mRNA16: -&gt; E1_1_1_85_mRNA | 0.00292 - (0.0093 * E1_1_1_85_mRNA)</v>
      </c>
      <c r="N17" s="2" t="str">
        <f t="shared" si="12"/>
        <v>Peptide16: E1_1_1_85_mRNA -&gt; E1_1_1_85 | (0.278 * E1_1_1_85_mRNA) - (0.000000278 * E1_1_1_85)</v>
      </c>
    </row>
    <row r="18">
      <c r="A18" s="12">
        <v>17.0</v>
      </c>
      <c r="B18" s="2" t="s">
        <v>24942</v>
      </c>
      <c r="C18" s="2" t="str">
        <f t="shared" si="3"/>
        <v>E1_1_1_86_mRNA</v>
      </c>
      <c r="D18" s="2" t="str">
        <f t="shared" si="4"/>
        <v>E1_1_1_86</v>
      </c>
      <c r="E18" s="2" t="str">
        <f t="shared" si="5"/>
        <v>E1_1_1_86_kcat : 13.7</v>
      </c>
      <c r="F18" s="2" t="str">
        <f t="shared" si="6"/>
        <v>E1_1_1_86_km : 1</v>
      </c>
      <c r="G18" s="2" t="str">
        <f t="shared" ref="G18:H18" si="41">CONCATENATE(C18," : ",C18)</f>
        <v>E1_1_1_86_mRNA : E1_1_1_86_mRNA</v>
      </c>
      <c r="H18" s="2" t="str">
        <f t="shared" si="41"/>
        <v>E1_1_1_86 : E1_1_1_86</v>
      </c>
      <c r="I18" s="2" t="str">
        <f t="shared" ref="I18:J18" si="42">CONCATENATE(C18," : ","0")</f>
        <v>E1_1_1_86_mRNA : 0</v>
      </c>
      <c r="J18" s="2" t="str">
        <f t="shared" si="42"/>
        <v>E1_1_1_86 : 0</v>
      </c>
      <c r="K18" s="2" t="str">
        <f t="shared" si="9"/>
        <v>0.00292 - (0.0093 * E1_1_1_86_mRNA)</v>
      </c>
      <c r="L18" s="2" t="str">
        <f t="shared" si="10"/>
        <v>(0.278 * E1_1_1_86_mRNA) - (0.00000278 * E1_1_1_86)</v>
      </c>
      <c r="M18" s="2" t="str">
        <f t="shared" si="11"/>
        <v>mRNA17: -&gt; E1_1_1_86_mRNA | 0.00292 - (0.0093 * E1_1_1_86_mRNA)</v>
      </c>
      <c r="N18" s="2" t="str">
        <f t="shared" si="12"/>
        <v>Peptide17: E1_1_1_86_mRNA -&gt; E1_1_1_86 | (0.278 * E1_1_1_86_mRNA) - (0.000000278 * E1_1_1_86)</v>
      </c>
    </row>
    <row r="19">
      <c r="A19" s="12">
        <v>18.0</v>
      </c>
      <c r="B19" s="2" t="s">
        <v>24943</v>
      </c>
      <c r="C19" s="2" t="str">
        <f t="shared" si="3"/>
        <v>E1_1_1_94_mRNA</v>
      </c>
      <c r="D19" s="2" t="str">
        <f t="shared" si="4"/>
        <v>E1_1_1_94</v>
      </c>
      <c r="E19" s="2" t="str">
        <f t="shared" si="5"/>
        <v>E1_1_1_94_kcat : 13.7</v>
      </c>
      <c r="F19" s="2" t="str">
        <f t="shared" si="6"/>
        <v>E1_1_1_94_km : 1</v>
      </c>
      <c r="G19" s="2" t="str">
        <f t="shared" ref="G19:H19" si="43">CONCATENATE(C19," : ",C19)</f>
        <v>E1_1_1_94_mRNA : E1_1_1_94_mRNA</v>
      </c>
      <c r="H19" s="2" t="str">
        <f t="shared" si="43"/>
        <v>E1_1_1_94 : E1_1_1_94</v>
      </c>
      <c r="I19" s="2" t="str">
        <f t="shared" ref="I19:J19" si="44">CONCATENATE(C19," : ","0")</f>
        <v>E1_1_1_94_mRNA : 0</v>
      </c>
      <c r="J19" s="2" t="str">
        <f t="shared" si="44"/>
        <v>E1_1_1_94 : 0</v>
      </c>
      <c r="K19" s="2" t="str">
        <f t="shared" si="9"/>
        <v>0.00292 - (0.0093 * E1_1_1_94_mRNA)</v>
      </c>
      <c r="L19" s="2" t="str">
        <f t="shared" si="10"/>
        <v>(0.278 * E1_1_1_94_mRNA) - (0.00000278 * E1_1_1_94)</v>
      </c>
      <c r="M19" s="2" t="str">
        <f t="shared" si="11"/>
        <v>mRNA18: -&gt; E1_1_1_94_mRNA | 0.00292 - (0.0093 * E1_1_1_94_mRNA)</v>
      </c>
      <c r="N19" s="2" t="str">
        <f t="shared" si="12"/>
        <v>Peptide18: E1_1_1_94_mRNA -&gt; E1_1_1_94 | (0.278 * E1_1_1_94_mRNA) - (0.000000278 * E1_1_1_94)</v>
      </c>
    </row>
    <row r="20">
      <c r="A20" s="12">
        <v>19.0</v>
      </c>
      <c r="B20" s="2" t="s">
        <v>24944</v>
      </c>
      <c r="C20" s="2" t="str">
        <f t="shared" si="3"/>
        <v>E1_1_5_3_mRNA</v>
      </c>
      <c r="D20" s="2" t="str">
        <f t="shared" si="4"/>
        <v>E1_1_5_3</v>
      </c>
      <c r="E20" s="2" t="str">
        <f t="shared" si="5"/>
        <v>E1_1_5_3_kcat : 13.7</v>
      </c>
      <c r="F20" s="2" t="str">
        <f t="shared" si="6"/>
        <v>E1_1_5_3_km : 1</v>
      </c>
      <c r="G20" s="2" t="str">
        <f t="shared" ref="G20:H20" si="45">CONCATENATE(C20," : ",C20)</f>
        <v>E1_1_5_3_mRNA : E1_1_5_3_mRNA</v>
      </c>
      <c r="H20" s="2" t="str">
        <f t="shared" si="45"/>
        <v>E1_1_5_3 : E1_1_5_3</v>
      </c>
      <c r="I20" s="2" t="str">
        <f t="shared" ref="I20:J20" si="46">CONCATENATE(C20," : ","0")</f>
        <v>E1_1_5_3_mRNA : 0</v>
      </c>
      <c r="J20" s="2" t="str">
        <f t="shared" si="46"/>
        <v>E1_1_5_3 : 0</v>
      </c>
      <c r="K20" s="2" t="str">
        <f t="shared" si="9"/>
        <v>0.00292 - (0.0093 * E1_1_5_3_mRNA)</v>
      </c>
      <c r="L20" s="2" t="str">
        <f t="shared" si="10"/>
        <v>(0.278 * E1_1_5_3_mRNA) - (0.00000278 * E1_1_5_3)</v>
      </c>
      <c r="M20" s="2" t="str">
        <f t="shared" si="11"/>
        <v>mRNA19: -&gt; E1_1_5_3_mRNA | 0.00292 - (0.0093 * E1_1_5_3_mRNA)</v>
      </c>
      <c r="N20" s="2" t="str">
        <f t="shared" si="12"/>
        <v>Peptide19: E1_1_5_3_mRNA -&gt; E1_1_5_3 | (0.278 * E1_1_5_3_mRNA) - (0.000000278 * E1_1_5_3)</v>
      </c>
    </row>
    <row r="21">
      <c r="A21" s="12">
        <v>20.0</v>
      </c>
      <c r="B21" s="2" t="s">
        <v>24945</v>
      </c>
      <c r="C21" s="2" t="str">
        <f t="shared" si="3"/>
        <v>E1_1_5_4_mRNA</v>
      </c>
      <c r="D21" s="2" t="str">
        <f t="shared" si="4"/>
        <v>E1_1_5_4</v>
      </c>
      <c r="E21" s="2" t="str">
        <f t="shared" si="5"/>
        <v>E1_1_5_4_kcat : 13.7</v>
      </c>
      <c r="F21" s="2" t="str">
        <f t="shared" si="6"/>
        <v>E1_1_5_4_km : 1</v>
      </c>
      <c r="G21" s="2" t="str">
        <f t="shared" ref="G21:H21" si="47">CONCATENATE(C21," : ",C21)</f>
        <v>E1_1_5_4_mRNA : E1_1_5_4_mRNA</v>
      </c>
      <c r="H21" s="2" t="str">
        <f t="shared" si="47"/>
        <v>E1_1_5_4 : E1_1_5_4</v>
      </c>
      <c r="I21" s="2" t="str">
        <f t="shared" ref="I21:J21" si="48">CONCATENATE(C21," : ","0")</f>
        <v>E1_1_5_4_mRNA : 0</v>
      </c>
      <c r="J21" s="2" t="str">
        <f t="shared" si="48"/>
        <v>E1_1_5_4 : 0</v>
      </c>
      <c r="K21" s="2" t="str">
        <f t="shared" si="9"/>
        <v>0.00292 - (0.0093 * E1_1_5_4_mRNA)</v>
      </c>
      <c r="L21" s="2" t="str">
        <f t="shared" si="10"/>
        <v>(0.278 * E1_1_5_4_mRNA) - (0.00000278 * E1_1_5_4)</v>
      </c>
      <c r="M21" s="2" t="str">
        <f t="shared" si="11"/>
        <v>mRNA20: -&gt; E1_1_5_4_mRNA | 0.00292 - (0.0093 * E1_1_5_4_mRNA)</v>
      </c>
      <c r="N21" s="2" t="str">
        <f t="shared" si="12"/>
        <v>Peptide20: E1_1_5_4_mRNA -&gt; E1_1_5_4 | (0.278 * E1_1_5_4_mRNA) - (0.000000278 * E1_1_5_4)</v>
      </c>
    </row>
    <row r="22">
      <c r="A22" s="12">
        <v>21.0</v>
      </c>
      <c r="B22" s="2" t="s">
        <v>24946</v>
      </c>
      <c r="C22" s="2" t="str">
        <f t="shared" si="3"/>
        <v>E1_1_99_14_mRNA</v>
      </c>
      <c r="D22" s="2" t="str">
        <f t="shared" si="4"/>
        <v>E1_1_99_14</v>
      </c>
      <c r="E22" s="2" t="str">
        <f t="shared" si="5"/>
        <v>E1_1_99_14_kcat : 13.7</v>
      </c>
      <c r="F22" s="2" t="str">
        <f t="shared" si="6"/>
        <v>E1_1_99_14_km : 1</v>
      </c>
      <c r="G22" s="2" t="str">
        <f t="shared" ref="G22:H22" si="49">CONCATENATE(C22," : ",C22)</f>
        <v>E1_1_99_14_mRNA : E1_1_99_14_mRNA</v>
      </c>
      <c r="H22" s="2" t="str">
        <f t="shared" si="49"/>
        <v>E1_1_99_14 : E1_1_99_14</v>
      </c>
      <c r="I22" s="2" t="str">
        <f t="shared" ref="I22:J22" si="50">CONCATENATE(C22," : ","0")</f>
        <v>E1_1_99_14_mRNA : 0</v>
      </c>
      <c r="J22" s="2" t="str">
        <f t="shared" si="50"/>
        <v>E1_1_99_14 : 0</v>
      </c>
      <c r="K22" s="2" t="str">
        <f t="shared" si="9"/>
        <v>0.00292 - (0.0093 * E1_1_99_14_mRNA)</v>
      </c>
      <c r="L22" s="2" t="str">
        <f t="shared" si="10"/>
        <v>(0.278 * E1_1_99_14_mRNA) - (0.00000278 * E1_1_99_14)</v>
      </c>
      <c r="M22" s="2" t="str">
        <f t="shared" si="11"/>
        <v>mRNA21: -&gt; E1_1_99_14_mRNA | 0.00292 - (0.0093 * E1_1_99_14_mRNA)</v>
      </c>
      <c r="N22" s="2" t="str">
        <f t="shared" si="12"/>
        <v>Peptide21: E1_1_99_14_mRNA -&gt; E1_1_99_14 | (0.278 * E1_1_99_14_mRNA) - (0.000000278 * E1_1_99_14)</v>
      </c>
    </row>
    <row r="23">
      <c r="A23" s="12">
        <v>22.0</v>
      </c>
      <c r="B23" s="2" t="s">
        <v>24947</v>
      </c>
      <c r="C23" s="2" t="str">
        <f t="shared" si="3"/>
        <v>E1_11_1_10_mRNA</v>
      </c>
      <c r="D23" s="2" t="str">
        <f t="shared" si="4"/>
        <v>E1_11_1_10</v>
      </c>
      <c r="E23" s="2" t="str">
        <f t="shared" si="5"/>
        <v>E1_11_1_10_kcat : 13.7</v>
      </c>
      <c r="F23" s="2" t="str">
        <f t="shared" si="6"/>
        <v>E1_11_1_10_km : 1</v>
      </c>
      <c r="G23" s="2" t="str">
        <f t="shared" ref="G23:H23" si="51">CONCATENATE(C23," : ",C23)</f>
        <v>E1_11_1_10_mRNA : E1_11_1_10_mRNA</v>
      </c>
      <c r="H23" s="2" t="str">
        <f t="shared" si="51"/>
        <v>E1_11_1_10 : E1_11_1_10</v>
      </c>
      <c r="I23" s="2" t="str">
        <f t="shared" ref="I23:J23" si="52">CONCATENATE(C23," : ","0")</f>
        <v>E1_11_1_10_mRNA : 0</v>
      </c>
      <c r="J23" s="2" t="str">
        <f t="shared" si="52"/>
        <v>E1_11_1_10 : 0</v>
      </c>
      <c r="K23" s="2" t="str">
        <f t="shared" si="9"/>
        <v>0.00292 - (0.0093 * E1_11_1_10_mRNA)</v>
      </c>
      <c r="L23" s="2" t="str">
        <f t="shared" si="10"/>
        <v>(0.278 * E1_11_1_10_mRNA) - (0.00000278 * E1_11_1_10)</v>
      </c>
      <c r="M23" s="2" t="str">
        <f t="shared" si="11"/>
        <v>mRNA22: -&gt; E1_11_1_10_mRNA | 0.00292 - (0.0093 * E1_11_1_10_mRNA)</v>
      </c>
      <c r="N23" s="2" t="str">
        <f t="shared" si="12"/>
        <v>Peptide22: E1_11_1_10_mRNA -&gt; E1_11_1_10 | (0.278 * E1_11_1_10_mRNA) - (0.000000278 * E1_11_1_10)</v>
      </c>
    </row>
    <row r="24">
      <c r="A24" s="12">
        <v>23.0</v>
      </c>
      <c r="B24" s="2" t="s">
        <v>24948</v>
      </c>
      <c r="C24" s="2" t="str">
        <f t="shared" si="3"/>
        <v>E1_11_1_24_mRNA</v>
      </c>
      <c r="D24" s="2" t="str">
        <f t="shared" si="4"/>
        <v>E1_11_1_24</v>
      </c>
      <c r="E24" s="2" t="str">
        <f t="shared" si="5"/>
        <v>E1_11_1_24_kcat : 13.7</v>
      </c>
      <c r="F24" s="2" t="str">
        <f t="shared" si="6"/>
        <v>E1_11_1_24_km : 1</v>
      </c>
      <c r="G24" s="2" t="str">
        <f t="shared" ref="G24:H24" si="53">CONCATENATE(C24," : ",C24)</f>
        <v>E1_11_1_24_mRNA : E1_11_1_24_mRNA</v>
      </c>
      <c r="H24" s="2" t="str">
        <f t="shared" si="53"/>
        <v>E1_11_1_24 : E1_11_1_24</v>
      </c>
      <c r="I24" s="2" t="str">
        <f t="shared" ref="I24:J24" si="54">CONCATENATE(C24," : ","0")</f>
        <v>E1_11_1_24_mRNA : 0</v>
      </c>
      <c r="J24" s="2" t="str">
        <f t="shared" si="54"/>
        <v>E1_11_1_24 : 0</v>
      </c>
      <c r="K24" s="2" t="str">
        <f t="shared" si="9"/>
        <v>0.00292 - (0.0093 * E1_11_1_24_mRNA)</v>
      </c>
      <c r="L24" s="2" t="str">
        <f t="shared" si="10"/>
        <v>(0.278 * E1_11_1_24_mRNA) - (0.00000278 * E1_11_1_24)</v>
      </c>
      <c r="M24" s="2" t="str">
        <f t="shared" si="11"/>
        <v>mRNA23: -&gt; E1_11_1_24_mRNA | 0.00292 - (0.0093 * E1_11_1_24_mRNA)</v>
      </c>
      <c r="N24" s="2" t="str">
        <f t="shared" si="12"/>
        <v>Peptide23: E1_11_1_24_mRNA -&gt; E1_11_1_24 | (0.278 * E1_11_1_24_mRNA) - (0.000000278 * E1_11_1_24)</v>
      </c>
    </row>
    <row r="25">
      <c r="A25" s="12">
        <v>24.0</v>
      </c>
      <c r="B25" s="2" t="s">
        <v>24949</v>
      </c>
      <c r="C25" s="2" t="str">
        <f t="shared" si="3"/>
        <v>E1_11_1_26_mRNA</v>
      </c>
      <c r="D25" s="2" t="str">
        <f t="shared" si="4"/>
        <v>E1_11_1_26</v>
      </c>
      <c r="E25" s="2" t="str">
        <f t="shared" si="5"/>
        <v>E1_11_1_26_kcat : 13.7</v>
      </c>
      <c r="F25" s="2" t="str">
        <f t="shared" si="6"/>
        <v>E1_11_1_26_km : 1</v>
      </c>
      <c r="G25" s="2" t="str">
        <f t="shared" ref="G25:H25" si="55">CONCATENATE(C25," : ",C25)</f>
        <v>E1_11_1_26_mRNA : E1_11_1_26_mRNA</v>
      </c>
      <c r="H25" s="2" t="str">
        <f t="shared" si="55"/>
        <v>E1_11_1_26 : E1_11_1_26</v>
      </c>
      <c r="I25" s="2" t="str">
        <f t="shared" ref="I25:J25" si="56">CONCATENATE(C25," : ","0")</f>
        <v>E1_11_1_26_mRNA : 0</v>
      </c>
      <c r="J25" s="2" t="str">
        <f t="shared" si="56"/>
        <v>E1_11_1_26 : 0</v>
      </c>
      <c r="K25" s="2" t="str">
        <f t="shared" si="9"/>
        <v>0.00292 - (0.0093 * E1_11_1_26_mRNA)</v>
      </c>
      <c r="L25" s="2" t="str">
        <f t="shared" si="10"/>
        <v>(0.278 * E1_11_1_26_mRNA) - (0.00000278 * E1_11_1_26)</v>
      </c>
      <c r="M25" s="2" t="str">
        <f t="shared" si="11"/>
        <v>mRNA24: -&gt; E1_11_1_26_mRNA | 0.00292 - (0.0093 * E1_11_1_26_mRNA)</v>
      </c>
      <c r="N25" s="2" t="str">
        <f t="shared" si="12"/>
        <v>Peptide24: E1_11_1_26_mRNA -&gt; E1_11_1_26 | (0.278 * E1_11_1_26_mRNA) - (0.000000278 * E1_11_1_26)</v>
      </c>
    </row>
    <row r="26">
      <c r="A26" s="12">
        <v>25.0</v>
      </c>
      <c r="B26" s="2" t="s">
        <v>24950</v>
      </c>
      <c r="C26" s="2" t="str">
        <f t="shared" si="3"/>
        <v>E1_11_1_6_mRNA</v>
      </c>
      <c r="D26" s="2" t="str">
        <f t="shared" si="4"/>
        <v>E1_11_1_6</v>
      </c>
      <c r="E26" s="2" t="str">
        <f t="shared" si="5"/>
        <v>E1_11_1_6_kcat : 13.7</v>
      </c>
      <c r="F26" s="2" t="str">
        <f t="shared" si="6"/>
        <v>E1_11_1_6_km : 1</v>
      </c>
      <c r="G26" s="2" t="str">
        <f t="shared" ref="G26:H26" si="57">CONCATENATE(C26," : ",C26)</f>
        <v>E1_11_1_6_mRNA : E1_11_1_6_mRNA</v>
      </c>
      <c r="H26" s="2" t="str">
        <f t="shared" si="57"/>
        <v>E1_11_1_6 : E1_11_1_6</v>
      </c>
      <c r="I26" s="2" t="str">
        <f t="shared" ref="I26:J26" si="58">CONCATENATE(C26," : ","0")</f>
        <v>E1_11_1_6_mRNA : 0</v>
      </c>
      <c r="J26" s="2" t="str">
        <f t="shared" si="58"/>
        <v>E1_11_1_6 : 0</v>
      </c>
      <c r="K26" s="2" t="str">
        <f t="shared" si="9"/>
        <v>0.00292 - (0.0093 * E1_11_1_6_mRNA)</v>
      </c>
      <c r="L26" s="2" t="str">
        <f t="shared" si="10"/>
        <v>(0.278 * E1_11_1_6_mRNA) - (0.00000278 * E1_11_1_6)</v>
      </c>
      <c r="M26" s="2" t="str">
        <f t="shared" si="11"/>
        <v>mRNA25: -&gt; E1_11_1_6_mRNA | 0.00292 - (0.0093 * E1_11_1_6_mRNA)</v>
      </c>
      <c r="N26" s="2" t="str">
        <f t="shared" si="12"/>
        <v>Peptide25: E1_11_1_6_mRNA -&gt; E1_11_1_6 | (0.278 * E1_11_1_6_mRNA) - (0.000000278 * E1_11_1_6)</v>
      </c>
    </row>
    <row r="27">
      <c r="A27" s="12">
        <v>26.0</v>
      </c>
      <c r="B27" s="2" t="s">
        <v>24951</v>
      </c>
      <c r="C27" s="2" t="str">
        <f t="shared" si="3"/>
        <v>E1_11_1_9_mRNA</v>
      </c>
      <c r="D27" s="2" t="str">
        <f t="shared" si="4"/>
        <v>E1_11_1_9</v>
      </c>
      <c r="E27" s="2" t="str">
        <f t="shared" si="5"/>
        <v>E1_11_1_9_kcat : 13.7</v>
      </c>
      <c r="F27" s="2" t="str">
        <f t="shared" si="6"/>
        <v>E1_11_1_9_km : 1</v>
      </c>
      <c r="G27" s="2" t="str">
        <f t="shared" ref="G27:H27" si="59">CONCATENATE(C27," : ",C27)</f>
        <v>E1_11_1_9_mRNA : E1_11_1_9_mRNA</v>
      </c>
      <c r="H27" s="2" t="str">
        <f t="shared" si="59"/>
        <v>E1_11_1_9 : E1_11_1_9</v>
      </c>
      <c r="I27" s="2" t="str">
        <f t="shared" ref="I27:J27" si="60">CONCATENATE(C27," : ","0")</f>
        <v>E1_11_1_9_mRNA : 0</v>
      </c>
      <c r="J27" s="2" t="str">
        <f t="shared" si="60"/>
        <v>E1_11_1_9 : 0</v>
      </c>
      <c r="K27" s="2" t="str">
        <f t="shared" si="9"/>
        <v>0.00292 - (0.0093 * E1_11_1_9_mRNA)</v>
      </c>
      <c r="L27" s="2" t="str">
        <f t="shared" si="10"/>
        <v>(0.278 * E1_11_1_9_mRNA) - (0.00000278 * E1_11_1_9)</v>
      </c>
      <c r="M27" s="2" t="str">
        <f t="shared" si="11"/>
        <v>mRNA26: -&gt; E1_11_1_9_mRNA | 0.00292 - (0.0093 * E1_11_1_9_mRNA)</v>
      </c>
      <c r="N27" s="2" t="str">
        <f t="shared" si="12"/>
        <v>Peptide26: E1_11_1_9_mRNA -&gt; E1_11_1_9 | (0.278 * E1_11_1_9_mRNA) - (0.000000278 * E1_11_1_9)</v>
      </c>
    </row>
    <row r="28">
      <c r="A28" s="12">
        <v>27.0</v>
      </c>
      <c r="B28" s="2" t="s">
        <v>24952</v>
      </c>
      <c r="C28" s="2" t="str">
        <f t="shared" si="3"/>
        <v>E1_13_11_11_mRNA</v>
      </c>
      <c r="D28" s="2" t="str">
        <f t="shared" si="4"/>
        <v>E1_13_11_11</v>
      </c>
      <c r="E28" s="2" t="str">
        <f t="shared" si="5"/>
        <v>E1_13_11_11_kcat : 13.7</v>
      </c>
      <c r="F28" s="2" t="str">
        <f t="shared" si="6"/>
        <v>E1_13_11_11_km : 1</v>
      </c>
      <c r="G28" s="2" t="str">
        <f t="shared" ref="G28:H28" si="61">CONCATENATE(C28," : ",C28)</f>
        <v>E1_13_11_11_mRNA : E1_13_11_11_mRNA</v>
      </c>
      <c r="H28" s="2" t="str">
        <f t="shared" si="61"/>
        <v>E1_13_11_11 : E1_13_11_11</v>
      </c>
      <c r="I28" s="2" t="str">
        <f t="shared" ref="I28:J28" si="62">CONCATENATE(C28," : ","0")</f>
        <v>E1_13_11_11_mRNA : 0</v>
      </c>
      <c r="J28" s="2" t="str">
        <f t="shared" si="62"/>
        <v>E1_13_11_11 : 0</v>
      </c>
      <c r="K28" s="2" t="str">
        <f t="shared" si="9"/>
        <v>0.00292 - (0.0093 * E1_13_11_11_mRNA)</v>
      </c>
      <c r="L28" s="2" t="str">
        <f t="shared" si="10"/>
        <v>(0.278 * E1_13_11_11_mRNA) - (0.00000278 * E1_13_11_11)</v>
      </c>
      <c r="M28" s="2" t="str">
        <f t="shared" si="11"/>
        <v>mRNA27: -&gt; E1_13_11_11_mRNA | 0.00292 - (0.0093 * E1_13_11_11_mRNA)</v>
      </c>
      <c r="N28" s="2" t="str">
        <f t="shared" si="12"/>
        <v>Peptide27: E1_13_11_11_mRNA -&gt; E1_13_11_11 | (0.278 * E1_13_11_11_mRNA) - (0.000000278 * E1_13_11_11)</v>
      </c>
    </row>
    <row r="29">
      <c r="A29" s="12">
        <v>28.0</v>
      </c>
      <c r="B29" s="2" t="s">
        <v>24953</v>
      </c>
      <c r="C29" s="2" t="str">
        <f t="shared" si="3"/>
        <v>E1_13_11_27_mRNA</v>
      </c>
      <c r="D29" s="2" t="str">
        <f t="shared" si="4"/>
        <v>E1_13_11_27</v>
      </c>
      <c r="E29" s="2" t="str">
        <f t="shared" si="5"/>
        <v>E1_13_11_27_kcat : 13.7</v>
      </c>
      <c r="F29" s="2" t="str">
        <f t="shared" si="6"/>
        <v>E1_13_11_27_km : 1</v>
      </c>
      <c r="G29" s="2" t="str">
        <f t="shared" ref="G29:H29" si="63">CONCATENATE(C29," : ",C29)</f>
        <v>E1_13_11_27_mRNA : E1_13_11_27_mRNA</v>
      </c>
      <c r="H29" s="2" t="str">
        <f t="shared" si="63"/>
        <v>E1_13_11_27 : E1_13_11_27</v>
      </c>
      <c r="I29" s="2" t="str">
        <f t="shared" ref="I29:J29" si="64">CONCATENATE(C29," : ","0")</f>
        <v>E1_13_11_27_mRNA : 0</v>
      </c>
      <c r="J29" s="2" t="str">
        <f t="shared" si="64"/>
        <v>E1_13_11_27 : 0</v>
      </c>
      <c r="K29" s="2" t="str">
        <f t="shared" si="9"/>
        <v>0.00292 - (0.0093 * E1_13_11_27_mRNA)</v>
      </c>
      <c r="L29" s="2" t="str">
        <f t="shared" si="10"/>
        <v>(0.278 * E1_13_11_27_mRNA) - (0.00000278 * E1_13_11_27)</v>
      </c>
      <c r="M29" s="2" t="str">
        <f t="shared" si="11"/>
        <v>mRNA28: -&gt; E1_13_11_27_mRNA | 0.00292 - (0.0093 * E1_13_11_27_mRNA)</v>
      </c>
      <c r="N29" s="2" t="str">
        <f t="shared" si="12"/>
        <v>Peptide28: E1_13_11_27_mRNA -&gt; E1_13_11_27 | (0.278 * E1_13_11_27_mRNA) - (0.000000278 * E1_13_11_27)</v>
      </c>
    </row>
    <row r="30">
      <c r="A30" s="12">
        <v>29.0</v>
      </c>
      <c r="B30" s="2" t="s">
        <v>24954</v>
      </c>
      <c r="C30" s="2" t="str">
        <f t="shared" si="3"/>
        <v>E1_14_12_17_mRNA</v>
      </c>
      <c r="D30" s="2" t="str">
        <f t="shared" si="4"/>
        <v>E1_14_12_17</v>
      </c>
      <c r="E30" s="2" t="str">
        <f t="shared" si="5"/>
        <v>E1_14_12_17_kcat : 13.7</v>
      </c>
      <c r="F30" s="2" t="str">
        <f t="shared" si="6"/>
        <v>E1_14_12_17_km : 1</v>
      </c>
      <c r="G30" s="2" t="str">
        <f t="shared" ref="G30:H30" si="65">CONCATENATE(C30," : ",C30)</f>
        <v>E1_14_12_17_mRNA : E1_14_12_17_mRNA</v>
      </c>
      <c r="H30" s="2" t="str">
        <f t="shared" si="65"/>
        <v>E1_14_12_17 : E1_14_12_17</v>
      </c>
      <c r="I30" s="2" t="str">
        <f t="shared" ref="I30:J30" si="66">CONCATENATE(C30," : ","0")</f>
        <v>E1_14_12_17_mRNA : 0</v>
      </c>
      <c r="J30" s="2" t="str">
        <f t="shared" si="66"/>
        <v>E1_14_12_17 : 0</v>
      </c>
      <c r="K30" s="2" t="str">
        <f t="shared" si="9"/>
        <v>0.00292 - (0.0093 * E1_14_12_17_mRNA)</v>
      </c>
      <c r="L30" s="2" t="str">
        <f t="shared" si="10"/>
        <v>(0.278 * E1_14_12_17_mRNA) - (0.00000278 * E1_14_12_17)</v>
      </c>
      <c r="M30" s="2" t="str">
        <f t="shared" si="11"/>
        <v>mRNA29: -&gt; E1_14_12_17_mRNA | 0.00292 - (0.0093 * E1_14_12_17_mRNA)</v>
      </c>
      <c r="N30" s="2" t="str">
        <f t="shared" si="12"/>
        <v>Peptide29: E1_14_12_17_mRNA -&gt; E1_14_12_17 | (0.278 * E1_14_12_17_mRNA) - (0.000000278 * E1_14_12_17)</v>
      </c>
    </row>
    <row r="31">
      <c r="A31" s="12">
        <v>30.0</v>
      </c>
      <c r="B31" s="2" t="s">
        <v>24955</v>
      </c>
      <c r="C31" s="2" t="str">
        <f t="shared" si="3"/>
        <v>E1_14_14_1_mRNA</v>
      </c>
      <c r="D31" s="2" t="str">
        <f t="shared" si="4"/>
        <v>E1_14_14_1</v>
      </c>
      <c r="E31" s="2" t="str">
        <f t="shared" si="5"/>
        <v>E1_14_14_1_kcat : 13.7</v>
      </c>
      <c r="F31" s="2" t="str">
        <f t="shared" si="6"/>
        <v>E1_14_14_1_km : 1</v>
      </c>
      <c r="G31" s="2" t="str">
        <f t="shared" ref="G31:H31" si="67">CONCATENATE(C31," : ",C31)</f>
        <v>E1_14_14_1_mRNA : E1_14_14_1_mRNA</v>
      </c>
      <c r="H31" s="2" t="str">
        <f t="shared" si="67"/>
        <v>E1_14_14_1 : E1_14_14_1</v>
      </c>
      <c r="I31" s="2" t="str">
        <f t="shared" ref="I31:J31" si="68">CONCATENATE(C31," : ","0")</f>
        <v>E1_14_14_1_mRNA : 0</v>
      </c>
      <c r="J31" s="2" t="str">
        <f t="shared" si="68"/>
        <v>E1_14_14_1 : 0</v>
      </c>
      <c r="K31" s="2" t="str">
        <f t="shared" si="9"/>
        <v>0.00292 - (0.0093 * E1_14_14_1_mRNA)</v>
      </c>
      <c r="L31" s="2" t="str">
        <f t="shared" si="10"/>
        <v>(0.278 * E1_14_14_1_mRNA) - (0.00000278 * E1_14_14_1)</v>
      </c>
      <c r="M31" s="2" t="str">
        <f t="shared" si="11"/>
        <v>mRNA30: -&gt; E1_14_14_1_mRNA | 0.00292 - (0.0093 * E1_14_14_1_mRNA)</v>
      </c>
      <c r="N31" s="2" t="str">
        <f t="shared" si="12"/>
        <v>Peptide30: E1_14_14_1_mRNA -&gt; E1_14_14_1 | (0.278 * E1_14_14_1_mRNA) - (0.000000278 * E1_14_14_1)</v>
      </c>
    </row>
    <row r="32">
      <c r="A32" s="12">
        <v>31.0</v>
      </c>
      <c r="B32" s="2" t="s">
        <v>24956</v>
      </c>
      <c r="C32" s="2" t="str">
        <f t="shared" si="3"/>
        <v>E1_14_14_18_mRNA</v>
      </c>
      <c r="D32" s="2" t="str">
        <f t="shared" si="4"/>
        <v>E1_14_14_18</v>
      </c>
      <c r="E32" s="2" t="str">
        <f t="shared" si="5"/>
        <v>E1_14_14_18_kcat : 13.7</v>
      </c>
      <c r="F32" s="2" t="str">
        <f t="shared" si="6"/>
        <v>E1_14_14_18_km : 1</v>
      </c>
      <c r="G32" s="2" t="str">
        <f t="shared" ref="G32:H32" si="69">CONCATENATE(C32," : ",C32)</f>
        <v>E1_14_14_18_mRNA : E1_14_14_18_mRNA</v>
      </c>
      <c r="H32" s="2" t="str">
        <f t="shared" si="69"/>
        <v>E1_14_14_18 : E1_14_14_18</v>
      </c>
      <c r="I32" s="2" t="str">
        <f t="shared" ref="I32:J32" si="70">CONCATENATE(C32," : ","0")</f>
        <v>E1_14_14_18_mRNA : 0</v>
      </c>
      <c r="J32" s="2" t="str">
        <f t="shared" si="70"/>
        <v>E1_14_14_18 : 0</v>
      </c>
      <c r="K32" s="2" t="str">
        <f t="shared" si="9"/>
        <v>0.00292 - (0.0093 * E1_14_14_18_mRNA)</v>
      </c>
      <c r="L32" s="2" t="str">
        <f t="shared" si="10"/>
        <v>(0.278 * E1_14_14_18_mRNA) - (0.00000278 * E1_14_14_18)</v>
      </c>
      <c r="M32" s="2" t="str">
        <f t="shared" si="11"/>
        <v>mRNA31: -&gt; E1_14_14_18_mRNA | 0.00292 - (0.0093 * E1_14_14_18_mRNA)</v>
      </c>
      <c r="N32" s="2" t="str">
        <f t="shared" si="12"/>
        <v>Peptide31: E1_14_14_18_mRNA -&gt; E1_14_14_18 | (0.278 * E1_14_14_18_mRNA) - (0.000000278 * E1_14_14_18)</v>
      </c>
    </row>
    <row r="33">
      <c r="A33" s="12">
        <v>32.0</v>
      </c>
      <c r="B33" s="2" t="s">
        <v>24957</v>
      </c>
      <c r="C33" s="2" t="str">
        <f t="shared" si="3"/>
        <v>E1_15_1_1_mRNA</v>
      </c>
      <c r="D33" s="2" t="str">
        <f t="shared" si="4"/>
        <v>E1_15_1_1</v>
      </c>
      <c r="E33" s="2" t="str">
        <f t="shared" si="5"/>
        <v>E1_15_1_1_kcat : 13.7</v>
      </c>
      <c r="F33" s="2" t="str">
        <f t="shared" si="6"/>
        <v>E1_15_1_1_km : 1</v>
      </c>
      <c r="G33" s="2" t="str">
        <f t="shared" ref="G33:H33" si="71">CONCATENATE(C33," : ",C33)</f>
        <v>E1_15_1_1_mRNA : E1_15_1_1_mRNA</v>
      </c>
      <c r="H33" s="2" t="str">
        <f t="shared" si="71"/>
        <v>E1_15_1_1 : E1_15_1_1</v>
      </c>
      <c r="I33" s="2" t="str">
        <f t="shared" ref="I33:J33" si="72">CONCATENATE(C33," : ","0")</f>
        <v>E1_15_1_1_mRNA : 0</v>
      </c>
      <c r="J33" s="2" t="str">
        <f t="shared" si="72"/>
        <v>E1_15_1_1 : 0</v>
      </c>
      <c r="K33" s="2" t="str">
        <f t="shared" si="9"/>
        <v>0.00292 - (0.0093 * E1_15_1_1_mRNA)</v>
      </c>
      <c r="L33" s="2" t="str">
        <f t="shared" si="10"/>
        <v>(0.278 * E1_15_1_1_mRNA) - (0.00000278 * E1_15_1_1)</v>
      </c>
      <c r="M33" s="2" t="str">
        <f t="shared" si="11"/>
        <v>mRNA32: -&gt; E1_15_1_1_mRNA | 0.00292 - (0.0093 * E1_15_1_1_mRNA)</v>
      </c>
      <c r="N33" s="2" t="str">
        <f t="shared" si="12"/>
        <v>Peptide32: E1_15_1_1_mRNA -&gt; E1_15_1_1 | (0.278 * E1_15_1_1_mRNA) - (0.000000278 * E1_15_1_1)</v>
      </c>
    </row>
    <row r="34">
      <c r="A34" s="12">
        <v>33.0</v>
      </c>
      <c r="B34" s="2" t="s">
        <v>24958</v>
      </c>
      <c r="C34" s="2" t="str">
        <f t="shared" si="3"/>
        <v>E1_17_1_8_mRNA</v>
      </c>
      <c r="D34" s="2" t="str">
        <f t="shared" si="4"/>
        <v>E1_17_1_8</v>
      </c>
      <c r="E34" s="2" t="str">
        <f t="shared" si="5"/>
        <v>E1_17_1_8_kcat : 13.7</v>
      </c>
      <c r="F34" s="2" t="str">
        <f t="shared" si="6"/>
        <v>E1_17_1_8_km : 1</v>
      </c>
      <c r="G34" s="2" t="str">
        <f t="shared" ref="G34:H34" si="73">CONCATENATE(C34," : ",C34)</f>
        <v>E1_17_1_8_mRNA : E1_17_1_8_mRNA</v>
      </c>
      <c r="H34" s="2" t="str">
        <f t="shared" si="73"/>
        <v>E1_17_1_8 : E1_17_1_8</v>
      </c>
      <c r="I34" s="2" t="str">
        <f t="shared" ref="I34:J34" si="74">CONCATENATE(C34," : ","0")</f>
        <v>E1_17_1_8_mRNA : 0</v>
      </c>
      <c r="J34" s="2" t="str">
        <f t="shared" si="74"/>
        <v>E1_17_1_8 : 0</v>
      </c>
      <c r="K34" s="2" t="str">
        <f t="shared" si="9"/>
        <v>0.00292 - (0.0093 * E1_17_1_8_mRNA)</v>
      </c>
      <c r="L34" s="2" t="str">
        <f t="shared" si="10"/>
        <v>(0.278 * E1_17_1_8_mRNA) - (0.00000278 * E1_17_1_8)</v>
      </c>
      <c r="M34" s="2" t="str">
        <f t="shared" si="11"/>
        <v>mRNA33: -&gt; E1_17_1_8_mRNA | 0.00292 - (0.0093 * E1_17_1_8_mRNA)</v>
      </c>
      <c r="N34" s="2" t="str">
        <f t="shared" si="12"/>
        <v>Peptide33: E1_17_1_8_mRNA -&gt; E1_17_1_8 | (0.278 * E1_17_1_8_mRNA) - (0.000000278 * E1_17_1_8)</v>
      </c>
    </row>
    <row r="35">
      <c r="A35" s="12">
        <v>34.0</v>
      </c>
      <c r="B35" s="2" t="s">
        <v>24959</v>
      </c>
      <c r="C35" s="2" t="str">
        <f t="shared" si="3"/>
        <v>E1_17_1_9_mRNA</v>
      </c>
      <c r="D35" s="2" t="str">
        <f t="shared" si="4"/>
        <v>E1_17_1_9</v>
      </c>
      <c r="E35" s="2" t="str">
        <f t="shared" si="5"/>
        <v>E1_17_1_9_kcat : 13.7</v>
      </c>
      <c r="F35" s="2" t="str">
        <f t="shared" si="6"/>
        <v>E1_17_1_9_km : 1</v>
      </c>
      <c r="G35" s="2" t="str">
        <f t="shared" ref="G35:H35" si="75">CONCATENATE(C35," : ",C35)</f>
        <v>E1_17_1_9_mRNA : E1_17_1_9_mRNA</v>
      </c>
      <c r="H35" s="2" t="str">
        <f t="shared" si="75"/>
        <v>E1_17_1_9 : E1_17_1_9</v>
      </c>
      <c r="I35" s="2" t="str">
        <f t="shared" ref="I35:J35" si="76">CONCATENATE(C35," : ","0")</f>
        <v>E1_17_1_9_mRNA : 0</v>
      </c>
      <c r="J35" s="2" t="str">
        <f t="shared" si="76"/>
        <v>E1_17_1_9 : 0</v>
      </c>
      <c r="K35" s="2" t="str">
        <f t="shared" si="9"/>
        <v>0.00292 - (0.0093 * E1_17_1_9_mRNA)</v>
      </c>
      <c r="L35" s="2" t="str">
        <f t="shared" si="10"/>
        <v>(0.278 * E1_17_1_9_mRNA) - (0.00000278 * E1_17_1_9)</v>
      </c>
      <c r="M35" s="2" t="str">
        <f t="shared" si="11"/>
        <v>mRNA34: -&gt; E1_17_1_9_mRNA | 0.00292 - (0.0093 * E1_17_1_9_mRNA)</v>
      </c>
      <c r="N35" s="2" t="str">
        <f t="shared" si="12"/>
        <v>Peptide34: E1_17_1_9_mRNA -&gt; E1_17_1_9 | (0.278 * E1_17_1_9_mRNA) - (0.000000278 * E1_17_1_9)</v>
      </c>
    </row>
    <row r="36">
      <c r="A36" s="12">
        <v>35.0</v>
      </c>
      <c r="B36" s="2" t="s">
        <v>24960</v>
      </c>
      <c r="C36" s="2" t="str">
        <f t="shared" si="3"/>
        <v>E1_17_4_1_mRNA</v>
      </c>
      <c r="D36" s="2" t="str">
        <f t="shared" si="4"/>
        <v>E1_17_4_1</v>
      </c>
      <c r="E36" s="2" t="str">
        <f t="shared" si="5"/>
        <v>E1_17_4_1_kcat : 13.7</v>
      </c>
      <c r="F36" s="2" t="str">
        <f t="shared" si="6"/>
        <v>E1_17_4_1_km : 1</v>
      </c>
      <c r="G36" s="2" t="str">
        <f t="shared" ref="G36:H36" si="77">CONCATENATE(C36," : ",C36)</f>
        <v>E1_17_4_1_mRNA : E1_17_4_1_mRNA</v>
      </c>
      <c r="H36" s="2" t="str">
        <f t="shared" si="77"/>
        <v>E1_17_4_1 : E1_17_4_1</v>
      </c>
      <c r="I36" s="2" t="str">
        <f t="shared" ref="I36:J36" si="78">CONCATENATE(C36," : ","0")</f>
        <v>E1_17_4_1_mRNA : 0</v>
      </c>
      <c r="J36" s="2" t="str">
        <f t="shared" si="78"/>
        <v>E1_17_4_1 : 0</v>
      </c>
      <c r="K36" s="2" t="str">
        <f t="shared" si="9"/>
        <v>0.00292 - (0.0093 * E1_17_4_1_mRNA)</v>
      </c>
      <c r="L36" s="2" t="str">
        <f t="shared" si="10"/>
        <v>(0.278 * E1_17_4_1_mRNA) - (0.00000278 * E1_17_4_1)</v>
      </c>
      <c r="M36" s="2" t="str">
        <f t="shared" si="11"/>
        <v>mRNA35: -&gt; E1_17_4_1_mRNA | 0.00292 - (0.0093 * E1_17_4_1_mRNA)</v>
      </c>
      <c r="N36" s="2" t="str">
        <f t="shared" si="12"/>
        <v>Peptide35: E1_17_4_1_mRNA -&gt; E1_17_4_1 | (0.278 * E1_17_4_1_mRNA) - (0.000000278 * E1_17_4_1)</v>
      </c>
    </row>
    <row r="37">
      <c r="A37" s="12">
        <v>36.0</v>
      </c>
      <c r="B37" s="2" t="s">
        <v>24961</v>
      </c>
      <c r="C37" s="2" t="str">
        <f t="shared" si="3"/>
        <v>E1_17_7_3_mRNA</v>
      </c>
      <c r="D37" s="2" t="str">
        <f t="shared" si="4"/>
        <v>E1_17_7_3</v>
      </c>
      <c r="E37" s="2" t="str">
        <f t="shared" si="5"/>
        <v>E1_17_7_3_kcat : 13.7</v>
      </c>
      <c r="F37" s="2" t="str">
        <f t="shared" si="6"/>
        <v>E1_17_7_3_km : 1</v>
      </c>
      <c r="G37" s="2" t="str">
        <f t="shared" ref="G37:H37" si="79">CONCATENATE(C37," : ",C37)</f>
        <v>E1_17_7_3_mRNA : E1_17_7_3_mRNA</v>
      </c>
      <c r="H37" s="2" t="str">
        <f t="shared" si="79"/>
        <v>E1_17_7_3 : E1_17_7_3</v>
      </c>
      <c r="I37" s="2" t="str">
        <f t="shared" ref="I37:J37" si="80">CONCATENATE(C37," : ","0")</f>
        <v>E1_17_7_3_mRNA : 0</v>
      </c>
      <c r="J37" s="2" t="str">
        <f t="shared" si="80"/>
        <v>E1_17_7_3 : 0</v>
      </c>
      <c r="K37" s="2" t="str">
        <f t="shared" si="9"/>
        <v>0.00292 - (0.0093 * E1_17_7_3_mRNA)</v>
      </c>
      <c r="L37" s="2" t="str">
        <f t="shared" si="10"/>
        <v>(0.278 * E1_17_7_3_mRNA) - (0.00000278 * E1_17_7_3)</v>
      </c>
      <c r="M37" s="2" t="str">
        <f t="shared" si="11"/>
        <v>mRNA36: -&gt; E1_17_7_3_mRNA | 0.00292 - (0.0093 * E1_17_7_3_mRNA)</v>
      </c>
      <c r="N37" s="2" t="str">
        <f t="shared" si="12"/>
        <v>Peptide36: E1_17_7_3_mRNA -&gt; E1_17_7_3 | (0.278 * E1_17_7_3_mRNA) - (0.000000278 * E1_17_7_3)</v>
      </c>
    </row>
    <row r="38">
      <c r="A38" s="12">
        <v>37.0</v>
      </c>
      <c r="B38" s="2" t="s">
        <v>24962</v>
      </c>
      <c r="C38" s="2" t="str">
        <f t="shared" si="3"/>
        <v>E1_17_7_4_mRNA</v>
      </c>
      <c r="D38" s="2" t="str">
        <f t="shared" si="4"/>
        <v>E1_17_7_4</v>
      </c>
      <c r="E38" s="2" t="str">
        <f t="shared" si="5"/>
        <v>E1_17_7_4_kcat : 13.7</v>
      </c>
      <c r="F38" s="2" t="str">
        <f t="shared" si="6"/>
        <v>E1_17_7_4_km : 1</v>
      </c>
      <c r="G38" s="2" t="str">
        <f t="shared" ref="G38:H38" si="81">CONCATENATE(C38," : ",C38)</f>
        <v>E1_17_7_4_mRNA : E1_17_7_4_mRNA</v>
      </c>
      <c r="H38" s="2" t="str">
        <f t="shared" si="81"/>
        <v>E1_17_7_4 : E1_17_7_4</v>
      </c>
      <c r="I38" s="2" t="str">
        <f t="shared" ref="I38:J38" si="82">CONCATENATE(C38," : ","0")</f>
        <v>E1_17_7_4_mRNA : 0</v>
      </c>
      <c r="J38" s="2" t="str">
        <f t="shared" si="82"/>
        <v>E1_17_7_4 : 0</v>
      </c>
      <c r="K38" s="2" t="str">
        <f t="shared" si="9"/>
        <v>0.00292 - (0.0093 * E1_17_7_4_mRNA)</v>
      </c>
      <c r="L38" s="2" t="str">
        <f t="shared" si="10"/>
        <v>(0.278 * E1_17_7_4_mRNA) - (0.00000278 * E1_17_7_4)</v>
      </c>
      <c r="M38" s="2" t="str">
        <f t="shared" si="11"/>
        <v>mRNA37: -&gt; E1_17_7_4_mRNA | 0.00292 - (0.0093 * E1_17_7_4_mRNA)</v>
      </c>
      <c r="N38" s="2" t="str">
        <f t="shared" si="12"/>
        <v>Peptide37: E1_17_7_4_mRNA -&gt; E1_17_7_4 | (0.278 * E1_17_7_4_mRNA) - (0.000000278 * E1_17_7_4)</v>
      </c>
    </row>
    <row r="39">
      <c r="A39" s="12">
        <v>38.0</v>
      </c>
      <c r="B39" s="2" t="s">
        <v>24963</v>
      </c>
      <c r="C39" s="2" t="str">
        <f t="shared" si="3"/>
        <v>E1_17_99_6_mRNA</v>
      </c>
      <c r="D39" s="2" t="str">
        <f t="shared" si="4"/>
        <v>E1_17_99_6</v>
      </c>
      <c r="E39" s="2" t="str">
        <f t="shared" si="5"/>
        <v>E1_17_99_6_kcat : 13.7</v>
      </c>
      <c r="F39" s="2" t="str">
        <f t="shared" si="6"/>
        <v>E1_17_99_6_km : 1</v>
      </c>
      <c r="G39" s="2" t="str">
        <f t="shared" ref="G39:H39" si="83">CONCATENATE(C39," : ",C39)</f>
        <v>E1_17_99_6_mRNA : E1_17_99_6_mRNA</v>
      </c>
      <c r="H39" s="2" t="str">
        <f t="shared" si="83"/>
        <v>E1_17_99_6 : E1_17_99_6</v>
      </c>
      <c r="I39" s="2" t="str">
        <f t="shared" ref="I39:J39" si="84">CONCATENATE(C39," : ","0")</f>
        <v>E1_17_99_6_mRNA : 0</v>
      </c>
      <c r="J39" s="2" t="str">
        <f t="shared" si="84"/>
        <v>E1_17_99_6 : 0</v>
      </c>
      <c r="K39" s="2" t="str">
        <f t="shared" si="9"/>
        <v>0.00292 - (0.0093 * E1_17_99_6_mRNA)</v>
      </c>
      <c r="L39" s="2" t="str">
        <f t="shared" si="10"/>
        <v>(0.278 * E1_17_99_6_mRNA) - (0.00000278 * E1_17_99_6)</v>
      </c>
      <c r="M39" s="2" t="str">
        <f t="shared" si="11"/>
        <v>mRNA38: -&gt; E1_17_99_6_mRNA | 0.00292 - (0.0093 * E1_17_99_6_mRNA)</v>
      </c>
      <c r="N39" s="2" t="str">
        <f t="shared" si="12"/>
        <v>Peptide38: E1_17_99_6_mRNA -&gt; E1_17_99_6 | (0.278 * E1_17_99_6_mRNA) - (0.000000278 * E1_17_99_6)</v>
      </c>
    </row>
    <row r="40">
      <c r="A40" s="12">
        <v>39.0</v>
      </c>
      <c r="B40" s="2" t="s">
        <v>24964</v>
      </c>
      <c r="C40" s="2" t="str">
        <f t="shared" si="3"/>
        <v>E1_2_1_10_mRNA</v>
      </c>
      <c r="D40" s="2" t="str">
        <f t="shared" si="4"/>
        <v>E1_2_1_10</v>
      </c>
      <c r="E40" s="2" t="str">
        <f t="shared" si="5"/>
        <v>E1_2_1_10_kcat : 13.7</v>
      </c>
      <c r="F40" s="2" t="str">
        <f t="shared" si="6"/>
        <v>E1_2_1_10_km : 1</v>
      </c>
      <c r="G40" s="2" t="str">
        <f t="shared" ref="G40:H40" si="85">CONCATENATE(C40," : ",C40)</f>
        <v>E1_2_1_10_mRNA : E1_2_1_10_mRNA</v>
      </c>
      <c r="H40" s="2" t="str">
        <f t="shared" si="85"/>
        <v>E1_2_1_10 : E1_2_1_10</v>
      </c>
      <c r="I40" s="2" t="str">
        <f t="shared" ref="I40:J40" si="86">CONCATENATE(C40," : ","0")</f>
        <v>E1_2_1_10_mRNA : 0</v>
      </c>
      <c r="J40" s="2" t="str">
        <f t="shared" si="86"/>
        <v>E1_2_1_10 : 0</v>
      </c>
      <c r="K40" s="2" t="str">
        <f t="shared" si="9"/>
        <v>0.00292 - (0.0093 * E1_2_1_10_mRNA)</v>
      </c>
      <c r="L40" s="2" t="str">
        <f t="shared" si="10"/>
        <v>(0.278 * E1_2_1_10_mRNA) - (0.00000278 * E1_2_1_10)</v>
      </c>
      <c r="M40" s="2" t="str">
        <f t="shared" si="11"/>
        <v>mRNA39: -&gt; E1_2_1_10_mRNA | 0.00292 - (0.0093 * E1_2_1_10_mRNA)</v>
      </c>
      <c r="N40" s="2" t="str">
        <f t="shared" si="12"/>
        <v>Peptide39: E1_2_1_10_mRNA -&gt; E1_2_1_10 | (0.278 * E1_2_1_10_mRNA) - (0.000000278 * E1_2_1_10)</v>
      </c>
    </row>
    <row r="41">
      <c r="A41" s="12">
        <v>40.0</v>
      </c>
      <c r="B41" s="2" t="s">
        <v>24965</v>
      </c>
      <c r="C41" s="2" t="str">
        <f t="shared" si="3"/>
        <v>E1_2_1_11_mRNA</v>
      </c>
      <c r="D41" s="2" t="str">
        <f t="shared" si="4"/>
        <v>E1_2_1_11</v>
      </c>
      <c r="E41" s="2" t="str">
        <f t="shared" si="5"/>
        <v>E1_2_1_11_kcat : 13.7</v>
      </c>
      <c r="F41" s="2" t="str">
        <f t="shared" si="6"/>
        <v>E1_2_1_11_km : 1</v>
      </c>
      <c r="G41" s="2" t="str">
        <f t="shared" ref="G41:H41" si="87">CONCATENATE(C41," : ",C41)</f>
        <v>E1_2_1_11_mRNA : E1_2_1_11_mRNA</v>
      </c>
      <c r="H41" s="2" t="str">
        <f t="shared" si="87"/>
        <v>E1_2_1_11 : E1_2_1_11</v>
      </c>
      <c r="I41" s="2" t="str">
        <f t="shared" ref="I41:J41" si="88">CONCATENATE(C41," : ","0")</f>
        <v>E1_2_1_11_mRNA : 0</v>
      </c>
      <c r="J41" s="2" t="str">
        <f t="shared" si="88"/>
        <v>E1_2_1_11 : 0</v>
      </c>
      <c r="K41" s="2" t="str">
        <f t="shared" si="9"/>
        <v>0.00292 - (0.0093 * E1_2_1_11_mRNA)</v>
      </c>
      <c r="L41" s="2" t="str">
        <f t="shared" si="10"/>
        <v>(0.278 * E1_2_1_11_mRNA) - (0.00000278 * E1_2_1_11)</v>
      </c>
      <c r="M41" s="2" t="str">
        <f t="shared" si="11"/>
        <v>mRNA40: -&gt; E1_2_1_11_mRNA | 0.00292 - (0.0093 * E1_2_1_11_mRNA)</v>
      </c>
      <c r="N41" s="2" t="str">
        <f t="shared" si="12"/>
        <v>Peptide40: E1_2_1_11_mRNA -&gt; E1_2_1_11 | (0.278 * E1_2_1_11_mRNA) - (0.000000278 * E1_2_1_11)</v>
      </c>
    </row>
    <row r="42">
      <c r="A42" s="12">
        <v>41.0</v>
      </c>
      <c r="B42" s="2" t="s">
        <v>24966</v>
      </c>
      <c r="C42" s="2" t="str">
        <f t="shared" si="3"/>
        <v>E1_2_1_3_mRNA</v>
      </c>
      <c r="D42" s="2" t="str">
        <f t="shared" si="4"/>
        <v>E1_2_1_3</v>
      </c>
      <c r="E42" s="2" t="str">
        <f t="shared" si="5"/>
        <v>E1_2_1_3_kcat : 13.7</v>
      </c>
      <c r="F42" s="2" t="str">
        <f t="shared" si="6"/>
        <v>E1_2_1_3_km : 1</v>
      </c>
      <c r="G42" s="2" t="str">
        <f t="shared" ref="G42:H42" si="89">CONCATENATE(C42," : ",C42)</f>
        <v>E1_2_1_3_mRNA : E1_2_1_3_mRNA</v>
      </c>
      <c r="H42" s="2" t="str">
        <f t="shared" si="89"/>
        <v>E1_2_1_3 : E1_2_1_3</v>
      </c>
      <c r="I42" s="2" t="str">
        <f t="shared" ref="I42:J42" si="90">CONCATENATE(C42," : ","0")</f>
        <v>E1_2_1_3_mRNA : 0</v>
      </c>
      <c r="J42" s="2" t="str">
        <f t="shared" si="90"/>
        <v>E1_2_1_3 : 0</v>
      </c>
      <c r="K42" s="2" t="str">
        <f t="shared" si="9"/>
        <v>0.00292 - (0.0093 * E1_2_1_3_mRNA)</v>
      </c>
      <c r="L42" s="2" t="str">
        <f t="shared" si="10"/>
        <v>(0.278 * E1_2_1_3_mRNA) - (0.00000278 * E1_2_1_3)</v>
      </c>
      <c r="M42" s="2" t="str">
        <f t="shared" si="11"/>
        <v>mRNA41: -&gt; E1_2_1_3_mRNA | 0.00292 - (0.0093 * E1_2_1_3_mRNA)</v>
      </c>
      <c r="N42" s="2" t="str">
        <f t="shared" si="12"/>
        <v>Peptide41: E1_2_1_3_mRNA -&gt; E1_2_1_3 | (0.278 * E1_2_1_3_mRNA) - (0.000000278 * E1_2_1_3)</v>
      </c>
    </row>
    <row r="43">
      <c r="A43" s="12">
        <v>42.0</v>
      </c>
      <c r="B43" s="2" t="s">
        <v>24967</v>
      </c>
      <c r="C43" s="2" t="str">
        <f t="shared" si="3"/>
        <v>E1_2_1_38_mRNA</v>
      </c>
      <c r="D43" s="2" t="str">
        <f t="shared" si="4"/>
        <v>E1_2_1_38</v>
      </c>
      <c r="E43" s="2" t="str">
        <f t="shared" si="5"/>
        <v>E1_2_1_38_kcat : 13.7</v>
      </c>
      <c r="F43" s="2" t="str">
        <f t="shared" si="6"/>
        <v>E1_2_1_38_km : 1</v>
      </c>
      <c r="G43" s="2" t="str">
        <f t="shared" ref="G43:H43" si="91">CONCATENATE(C43," : ",C43)</f>
        <v>E1_2_1_38_mRNA : E1_2_1_38_mRNA</v>
      </c>
      <c r="H43" s="2" t="str">
        <f t="shared" si="91"/>
        <v>E1_2_1_38 : E1_2_1_38</v>
      </c>
      <c r="I43" s="2" t="str">
        <f t="shared" ref="I43:J43" si="92">CONCATENATE(C43," : ","0")</f>
        <v>E1_2_1_38_mRNA : 0</v>
      </c>
      <c r="J43" s="2" t="str">
        <f t="shared" si="92"/>
        <v>E1_2_1_38 : 0</v>
      </c>
      <c r="K43" s="2" t="str">
        <f t="shared" si="9"/>
        <v>0.00292 - (0.0093 * E1_2_1_38_mRNA)</v>
      </c>
      <c r="L43" s="2" t="str">
        <f t="shared" si="10"/>
        <v>(0.278 * E1_2_1_38_mRNA) - (0.00000278 * E1_2_1_38)</v>
      </c>
      <c r="M43" s="2" t="str">
        <f t="shared" si="11"/>
        <v>mRNA42: -&gt; E1_2_1_38_mRNA | 0.00292 - (0.0093 * E1_2_1_38_mRNA)</v>
      </c>
      <c r="N43" s="2" t="str">
        <f t="shared" si="12"/>
        <v>Peptide42: E1_2_1_38_mRNA -&gt; E1_2_1_38 | (0.278 * E1_2_1_38_mRNA) - (0.000000278 * E1_2_1_38)</v>
      </c>
    </row>
    <row r="44">
      <c r="A44" s="12">
        <v>43.0</v>
      </c>
      <c r="B44" s="2" t="s">
        <v>24968</v>
      </c>
      <c r="C44" s="2" t="str">
        <f t="shared" si="3"/>
        <v>E1_2_1_41_mRNA</v>
      </c>
      <c r="D44" s="2" t="str">
        <f t="shared" si="4"/>
        <v>E1_2_1_41</v>
      </c>
      <c r="E44" s="2" t="str">
        <f t="shared" si="5"/>
        <v>E1_2_1_41_kcat : 13.7</v>
      </c>
      <c r="F44" s="2" t="str">
        <f t="shared" si="6"/>
        <v>E1_2_1_41_km : 1</v>
      </c>
      <c r="G44" s="2" t="str">
        <f t="shared" ref="G44:H44" si="93">CONCATENATE(C44," : ",C44)</f>
        <v>E1_2_1_41_mRNA : E1_2_1_41_mRNA</v>
      </c>
      <c r="H44" s="2" t="str">
        <f t="shared" si="93"/>
        <v>E1_2_1_41 : E1_2_1_41</v>
      </c>
      <c r="I44" s="2" t="str">
        <f t="shared" ref="I44:J44" si="94">CONCATENATE(C44," : ","0")</f>
        <v>E1_2_1_41_mRNA : 0</v>
      </c>
      <c r="J44" s="2" t="str">
        <f t="shared" si="94"/>
        <v>E1_2_1_41 : 0</v>
      </c>
      <c r="K44" s="2" t="str">
        <f t="shared" si="9"/>
        <v>0.00292 - (0.0093 * E1_2_1_41_mRNA)</v>
      </c>
      <c r="L44" s="2" t="str">
        <f t="shared" si="10"/>
        <v>(0.278 * E1_2_1_41_mRNA) - (0.00000278 * E1_2_1_41)</v>
      </c>
      <c r="M44" s="2" t="str">
        <f t="shared" si="11"/>
        <v>mRNA43: -&gt; E1_2_1_41_mRNA | 0.00292 - (0.0093 * E1_2_1_41_mRNA)</v>
      </c>
      <c r="N44" s="2" t="str">
        <f t="shared" si="12"/>
        <v>Peptide43: E1_2_1_41_mRNA -&gt; E1_2_1_41 | (0.278 * E1_2_1_41_mRNA) - (0.000000278 * E1_2_1_41)</v>
      </c>
    </row>
    <row r="45">
      <c r="A45" s="12">
        <v>44.0</v>
      </c>
      <c r="B45" s="2" t="s">
        <v>24969</v>
      </c>
      <c r="C45" s="2" t="str">
        <f t="shared" si="3"/>
        <v>E1_2_1_70_mRNA</v>
      </c>
      <c r="D45" s="2" t="str">
        <f t="shared" si="4"/>
        <v>E1_2_1_70</v>
      </c>
      <c r="E45" s="2" t="str">
        <f t="shared" si="5"/>
        <v>E1_2_1_70_kcat : 13.7</v>
      </c>
      <c r="F45" s="2" t="str">
        <f t="shared" si="6"/>
        <v>E1_2_1_70_km : 1</v>
      </c>
      <c r="G45" s="2" t="str">
        <f t="shared" ref="G45:H45" si="95">CONCATENATE(C45," : ",C45)</f>
        <v>E1_2_1_70_mRNA : E1_2_1_70_mRNA</v>
      </c>
      <c r="H45" s="2" t="str">
        <f t="shared" si="95"/>
        <v>E1_2_1_70 : E1_2_1_70</v>
      </c>
      <c r="I45" s="2" t="str">
        <f t="shared" ref="I45:J45" si="96">CONCATENATE(C45," : ","0")</f>
        <v>E1_2_1_70_mRNA : 0</v>
      </c>
      <c r="J45" s="2" t="str">
        <f t="shared" si="96"/>
        <v>E1_2_1_70 : 0</v>
      </c>
      <c r="K45" s="2" t="str">
        <f t="shared" si="9"/>
        <v>0.00292 - (0.0093 * E1_2_1_70_mRNA)</v>
      </c>
      <c r="L45" s="2" t="str">
        <f t="shared" si="10"/>
        <v>(0.278 * E1_2_1_70_mRNA) - (0.00000278 * E1_2_1_70)</v>
      </c>
      <c r="M45" s="2" t="str">
        <f t="shared" si="11"/>
        <v>mRNA44: -&gt; E1_2_1_70_mRNA | 0.00292 - (0.0093 * E1_2_1_70_mRNA)</v>
      </c>
      <c r="N45" s="2" t="str">
        <f t="shared" si="12"/>
        <v>Peptide44: E1_2_1_70_mRNA -&gt; E1_2_1_70 | (0.278 * E1_2_1_70_mRNA) - (0.000000278 * E1_2_1_70)</v>
      </c>
    </row>
    <row r="46">
      <c r="A46" s="12">
        <v>45.0</v>
      </c>
      <c r="B46" s="2" t="s">
        <v>24970</v>
      </c>
      <c r="C46" s="2" t="str">
        <f t="shared" si="3"/>
        <v>E1_2_1_79_mRNA</v>
      </c>
      <c r="D46" s="2" t="str">
        <f t="shared" si="4"/>
        <v>E1_2_1_79</v>
      </c>
      <c r="E46" s="2" t="str">
        <f t="shared" si="5"/>
        <v>E1_2_1_79_kcat : 13.7</v>
      </c>
      <c r="F46" s="2" t="str">
        <f t="shared" si="6"/>
        <v>E1_2_1_79_km : 1</v>
      </c>
      <c r="G46" s="2" t="str">
        <f t="shared" ref="G46:H46" si="97">CONCATENATE(C46," : ",C46)</f>
        <v>E1_2_1_79_mRNA : E1_2_1_79_mRNA</v>
      </c>
      <c r="H46" s="2" t="str">
        <f t="shared" si="97"/>
        <v>E1_2_1_79 : E1_2_1_79</v>
      </c>
      <c r="I46" s="2" t="str">
        <f t="shared" ref="I46:J46" si="98">CONCATENATE(C46," : ","0")</f>
        <v>E1_2_1_79_mRNA : 0</v>
      </c>
      <c r="J46" s="2" t="str">
        <f t="shared" si="98"/>
        <v>E1_2_1_79 : 0</v>
      </c>
      <c r="K46" s="2" t="str">
        <f t="shared" si="9"/>
        <v>0.00292 - (0.0093 * E1_2_1_79_mRNA)</v>
      </c>
      <c r="L46" s="2" t="str">
        <f t="shared" si="10"/>
        <v>(0.278 * E1_2_1_79_mRNA) - (0.00000278 * E1_2_1_79)</v>
      </c>
      <c r="M46" s="2" t="str">
        <f t="shared" si="11"/>
        <v>mRNA45: -&gt; E1_2_1_79_mRNA | 0.00292 - (0.0093 * E1_2_1_79_mRNA)</v>
      </c>
      <c r="N46" s="2" t="str">
        <f t="shared" si="12"/>
        <v>Peptide45: E1_2_1_79_mRNA -&gt; E1_2_1_79 | (0.278 * E1_2_1_79_mRNA) - (0.000000278 * E1_2_1_79)</v>
      </c>
    </row>
    <row r="47">
      <c r="A47" s="12">
        <v>46.0</v>
      </c>
      <c r="B47" s="2" t="s">
        <v>24971</v>
      </c>
      <c r="C47" s="2" t="str">
        <f t="shared" si="3"/>
        <v>E1_2_1_88_mRNA</v>
      </c>
      <c r="D47" s="2" t="str">
        <f t="shared" si="4"/>
        <v>E1_2_1_88</v>
      </c>
      <c r="E47" s="2" t="str">
        <f t="shared" si="5"/>
        <v>E1_2_1_88_kcat : 13.7</v>
      </c>
      <c r="F47" s="2" t="str">
        <f t="shared" si="6"/>
        <v>E1_2_1_88_km : 1</v>
      </c>
      <c r="G47" s="2" t="str">
        <f t="shared" ref="G47:H47" si="99">CONCATENATE(C47," : ",C47)</f>
        <v>E1_2_1_88_mRNA : E1_2_1_88_mRNA</v>
      </c>
      <c r="H47" s="2" t="str">
        <f t="shared" si="99"/>
        <v>E1_2_1_88 : E1_2_1_88</v>
      </c>
      <c r="I47" s="2" t="str">
        <f t="shared" ref="I47:J47" si="100">CONCATENATE(C47," : ","0")</f>
        <v>E1_2_1_88_mRNA : 0</v>
      </c>
      <c r="J47" s="2" t="str">
        <f t="shared" si="100"/>
        <v>E1_2_1_88 : 0</v>
      </c>
      <c r="K47" s="2" t="str">
        <f t="shared" si="9"/>
        <v>0.00292 - (0.0093 * E1_2_1_88_mRNA)</v>
      </c>
      <c r="L47" s="2" t="str">
        <f t="shared" si="10"/>
        <v>(0.278 * E1_2_1_88_mRNA) - (0.00000278 * E1_2_1_88)</v>
      </c>
      <c r="M47" s="2" t="str">
        <f t="shared" si="11"/>
        <v>mRNA46: -&gt; E1_2_1_88_mRNA | 0.00292 - (0.0093 * E1_2_1_88_mRNA)</v>
      </c>
      <c r="N47" s="2" t="str">
        <f t="shared" si="12"/>
        <v>Peptide46: E1_2_1_88_mRNA -&gt; E1_2_1_88 | (0.278 * E1_2_1_88_mRNA) - (0.000000278 * E1_2_1_88)</v>
      </c>
    </row>
    <row r="48">
      <c r="A48" s="12">
        <v>47.0</v>
      </c>
      <c r="B48" s="2" t="s">
        <v>24972</v>
      </c>
      <c r="C48" s="2" t="str">
        <f t="shared" si="3"/>
        <v>E1_2_1_9_mRNA</v>
      </c>
      <c r="D48" s="2" t="str">
        <f t="shared" si="4"/>
        <v>E1_2_1_9</v>
      </c>
      <c r="E48" s="2" t="str">
        <f t="shared" si="5"/>
        <v>E1_2_1_9_kcat : 13.7</v>
      </c>
      <c r="F48" s="2" t="str">
        <f t="shared" si="6"/>
        <v>E1_2_1_9_km : 1</v>
      </c>
      <c r="G48" s="2" t="str">
        <f t="shared" ref="G48:H48" si="101">CONCATENATE(C48," : ",C48)</f>
        <v>E1_2_1_9_mRNA : E1_2_1_9_mRNA</v>
      </c>
      <c r="H48" s="2" t="str">
        <f t="shared" si="101"/>
        <v>E1_2_1_9 : E1_2_1_9</v>
      </c>
      <c r="I48" s="2" t="str">
        <f t="shared" ref="I48:J48" si="102">CONCATENATE(C48," : ","0")</f>
        <v>E1_2_1_9_mRNA : 0</v>
      </c>
      <c r="J48" s="2" t="str">
        <f t="shared" si="102"/>
        <v>E1_2_1_9 : 0</v>
      </c>
      <c r="K48" s="2" t="str">
        <f t="shared" si="9"/>
        <v>0.00292 - (0.0093 * E1_2_1_9_mRNA)</v>
      </c>
      <c r="L48" s="2" t="str">
        <f t="shared" si="10"/>
        <v>(0.278 * E1_2_1_9_mRNA) - (0.00000278 * E1_2_1_9)</v>
      </c>
      <c r="M48" s="2" t="str">
        <f t="shared" si="11"/>
        <v>mRNA47: -&gt; E1_2_1_9_mRNA | 0.00292 - (0.0093 * E1_2_1_9_mRNA)</v>
      </c>
      <c r="N48" s="2" t="str">
        <f t="shared" si="12"/>
        <v>Peptide47: E1_2_1_9_mRNA -&gt; E1_2_1_9 | (0.278 * E1_2_1_9_mRNA) - (0.000000278 * E1_2_1_9)</v>
      </c>
    </row>
    <row r="49">
      <c r="A49" s="12">
        <v>48.0</v>
      </c>
      <c r="B49" s="2" t="s">
        <v>24973</v>
      </c>
      <c r="C49" s="2" t="str">
        <f t="shared" si="3"/>
        <v>E1_2_4_1_mRNA</v>
      </c>
      <c r="D49" s="2" t="str">
        <f t="shared" si="4"/>
        <v>E1_2_4_1</v>
      </c>
      <c r="E49" s="2" t="str">
        <f t="shared" si="5"/>
        <v>E1_2_4_1_kcat : 13.7</v>
      </c>
      <c r="F49" s="2" t="str">
        <f t="shared" si="6"/>
        <v>E1_2_4_1_km : 1</v>
      </c>
      <c r="G49" s="2" t="str">
        <f t="shared" ref="G49:H49" si="103">CONCATENATE(C49," : ",C49)</f>
        <v>E1_2_4_1_mRNA : E1_2_4_1_mRNA</v>
      </c>
      <c r="H49" s="2" t="str">
        <f t="shared" si="103"/>
        <v>E1_2_4_1 : E1_2_4_1</v>
      </c>
      <c r="I49" s="2" t="str">
        <f t="shared" ref="I49:J49" si="104">CONCATENATE(C49," : ","0")</f>
        <v>E1_2_4_1_mRNA : 0</v>
      </c>
      <c r="J49" s="2" t="str">
        <f t="shared" si="104"/>
        <v>E1_2_4_1 : 0</v>
      </c>
      <c r="K49" s="2" t="str">
        <f t="shared" si="9"/>
        <v>0.00292 - (0.0093 * E1_2_4_1_mRNA)</v>
      </c>
      <c r="L49" s="2" t="str">
        <f t="shared" si="10"/>
        <v>(0.278 * E1_2_4_1_mRNA) - (0.00000278 * E1_2_4_1)</v>
      </c>
      <c r="M49" s="2" t="str">
        <f t="shared" si="11"/>
        <v>mRNA48: -&gt; E1_2_4_1_mRNA | 0.00292 - (0.0093 * E1_2_4_1_mRNA)</v>
      </c>
      <c r="N49" s="2" t="str">
        <f t="shared" si="12"/>
        <v>Peptide48: E1_2_4_1_mRNA -&gt; E1_2_4_1 | (0.278 * E1_2_4_1_mRNA) - (0.000000278 * E1_2_4_1)</v>
      </c>
    </row>
    <row r="50">
      <c r="A50" s="12">
        <v>49.0</v>
      </c>
      <c r="B50" s="2" t="s">
        <v>24974</v>
      </c>
      <c r="C50" s="2" t="str">
        <f t="shared" si="3"/>
        <v>E1_2_4_2_mRNA</v>
      </c>
      <c r="D50" s="2" t="str">
        <f t="shared" si="4"/>
        <v>E1_2_4_2</v>
      </c>
      <c r="E50" s="2" t="str">
        <f t="shared" si="5"/>
        <v>E1_2_4_2_kcat : 13.7</v>
      </c>
      <c r="F50" s="2" t="str">
        <f t="shared" si="6"/>
        <v>E1_2_4_2_km : 1</v>
      </c>
      <c r="G50" s="2" t="str">
        <f t="shared" ref="G50:H50" si="105">CONCATENATE(C50," : ",C50)</f>
        <v>E1_2_4_2_mRNA : E1_2_4_2_mRNA</v>
      </c>
      <c r="H50" s="2" t="str">
        <f t="shared" si="105"/>
        <v>E1_2_4_2 : E1_2_4_2</v>
      </c>
      <c r="I50" s="2" t="str">
        <f t="shared" ref="I50:J50" si="106">CONCATENATE(C50," : ","0")</f>
        <v>E1_2_4_2_mRNA : 0</v>
      </c>
      <c r="J50" s="2" t="str">
        <f t="shared" si="106"/>
        <v>E1_2_4_2 : 0</v>
      </c>
      <c r="K50" s="2" t="str">
        <f t="shared" si="9"/>
        <v>0.00292 - (0.0093 * E1_2_4_2_mRNA)</v>
      </c>
      <c r="L50" s="2" t="str">
        <f t="shared" si="10"/>
        <v>(0.278 * E1_2_4_2_mRNA) - (0.00000278 * E1_2_4_2)</v>
      </c>
      <c r="M50" s="2" t="str">
        <f t="shared" si="11"/>
        <v>mRNA49: -&gt; E1_2_4_2_mRNA | 0.00292 - (0.0093 * E1_2_4_2_mRNA)</v>
      </c>
      <c r="N50" s="2" t="str">
        <f t="shared" si="12"/>
        <v>Peptide49: E1_2_4_2_mRNA -&gt; E1_2_4_2 | (0.278 * E1_2_4_2_mRNA) - (0.000000278 * E1_2_4_2)</v>
      </c>
    </row>
    <row r="51">
      <c r="A51" s="12">
        <v>50.0</v>
      </c>
      <c r="B51" s="2" t="s">
        <v>24975</v>
      </c>
      <c r="C51" s="2" t="str">
        <f t="shared" si="3"/>
        <v>E1_2_4_4_mRNA</v>
      </c>
      <c r="D51" s="2" t="str">
        <f t="shared" si="4"/>
        <v>E1_2_4_4</v>
      </c>
      <c r="E51" s="2" t="str">
        <f t="shared" si="5"/>
        <v>E1_2_4_4_kcat : 13.7</v>
      </c>
      <c r="F51" s="2" t="str">
        <f t="shared" si="6"/>
        <v>E1_2_4_4_km : 1</v>
      </c>
      <c r="G51" s="2" t="str">
        <f t="shared" ref="G51:H51" si="107">CONCATENATE(C51," : ",C51)</f>
        <v>E1_2_4_4_mRNA : E1_2_4_4_mRNA</v>
      </c>
      <c r="H51" s="2" t="str">
        <f t="shared" si="107"/>
        <v>E1_2_4_4 : E1_2_4_4</v>
      </c>
      <c r="I51" s="2" t="str">
        <f t="shared" ref="I51:J51" si="108">CONCATENATE(C51," : ","0")</f>
        <v>E1_2_4_4_mRNA : 0</v>
      </c>
      <c r="J51" s="2" t="str">
        <f t="shared" si="108"/>
        <v>E1_2_4_4 : 0</v>
      </c>
      <c r="K51" s="2" t="str">
        <f t="shared" si="9"/>
        <v>0.00292 - (0.0093 * E1_2_4_4_mRNA)</v>
      </c>
      <c r="L51" s="2" t="str">
        <f t="shared" si="10"/>
        <v>(0.278 * E1_2_4_4_mRNA) - (0.00000278 * E1_2_4_4)</v>
      </c>
      <c r="M51" s="2" t="str">
        <f t="shared" si="11"/>
        <v>mRNA50: -&gt; E1_2_4_4_mRNA | 0.00292 - (0.0093 * E1_2_4_4_mRNA)</v>
      </c>
      <c r="N51" s="2" t="str">
        <f t="shared" si="12"/>
        <v>Peptide50: E1_2_4_4_mRNA -&gt; E1_2_4_4 | (0.278 * E1_2_4_4_mRNA) - (0.000000278 * E1_2_4_4)</v>
      </c>
    </row>
    <row r="52">
      <c r="A52" s="12">
        <v>51.0</v>
      </c>
      <c r="B52" s="2" t="s">
        <v>24976</v>
      </c>
      <c r="C52" s="2" t="str">
        <f t="shared" si="3"/>
        <v>E1_20_4_4_mRNA</v>
      </c>
      <c r="D52" s="2" t="str">
        <f t="shared" si="4"/>
        <v>E1_20_4_4</v>
      </c>
      <c r="E52" s="2" t="str">
        <f t="shared" si="5"/>
        <v>E1_20_4_4_kcat : 13.7</v>
      </c>
      <c r="F52" s="2" t="str">
        <f t="shared" si="6"/>
        <v>E1_20_4_4_km : 1</v>
      </c>
      <c r="G52" s="2" t="str">
        <f t="shared" ref="G52:H52" si="109">CONCATENATE(C52," : ",C52)</f>
        <v>E1_20_4_4_mRNA : E1_20_4_4_mRNA</v>
      </c>
      <c r="H52" s="2" t="str">
        <f t="shared" si="109"/>
        <v>E1_20_4_4 : E1_20_4_4</v>
      </c>
      <c r="I52" s="2" t="str">
        <f t="shared" ref="I52:J52" si="110">CONCATENATE(C52," : ","0")</f>
        <v>E1_20_4_4_mRNA : 0</v>
      </c>
      <c r="J52" s="2" t="str">
        <f t="shared" si="110"/>
        <v>E1_20_4_4 : 0</v>
      </c>
      <c r="K52" s="2" t="str">
        <f t="shared" si="9"/>
        <v>0.00292 - (0.0093 * E1_20_4_4_mRNA)</v>
      </c>
      <c r="L52" s="2" t="str">
        <f t="shared" si="10"/>
        <v>(0.278 * E1_20_4_4_mRNA) - (0.00000278 * E1_20_4_4)</v>
      </c>
      <c r="M52" s="2" t="str">
        <f t="shared" si="11"/>
        <v>mRNA51: -&gt; E1_20_4_4_mRNA | 0.00292 - (0.0093 * E1_20_4_4_mRNA)</v>
      </c>
      <c r="N52" s="2" t="str">
        <f t="shared" si="12"/>
        <v>Peptide51: E1_20_4_4_mRNA -&gt; E1_20_4_4 | (0.278 * E1_20_4_4_mRNA) - (0.000000278 * E1_20_4_4)</v>
      </c>
    </row>
    <row r="53">
      <c r="A53" s="12">
        <v>52.0</v>
      </c>
      <c r="B53" s="2" t="s">
        <v>24977</v>
      </c>
      <c r="C53" s="2" t="str">
        <f t="shared" si="3"/>
        <v>E1_3_1_12_mRNA</v>
      </c>
      <c r="D53" s="2" t="str">
        <f t="shared" si="4"/>
        <v>E1_3_1_12</v>
      </c>
      <c r="E53" s="2" t="str">
        <f t="shared" si="5"/>
        <v>E1_3_1_12_kcat : 13.7</v>
      </c>
      <c r="F53" s="2" t="str">
        <f t="shared" si="6"/>
        <v>E1_3_1_12_km : 1</v>
      </c>
      <c r="G53" s="2" t="str">
        <f t="shared" ref="G53:H53" si="111">CONCATENATE(C53," : ",C53)</f>
        <v>E1_3_1_12_mRNA : E1_3_1_12_mRNA</v>
      </c>
      <c r="H53" s="2" t="str">
        <f t="shared" si="111"/>
        <v>E1_3_1_12 : E1_3_1_12</v>
      </c>
      <c r="I53" s="2" t="str">
        <f t="shared" ref="I53:J53" si="112">CONCATENATE(C53," : ","0")</f>
        <v>E1_3_1_12_mRNA : 0</v>
      </c>
      <c r="J53" s="2" t="str">
        <f t="shared" si="112"/>
        <v>E1_3_1_12 : 0</v>
      </c>
      <c r="K53" s="2" t="str">
        <f t="shared" si="9"/>
        <v>0.00292 - (0.0093 * E1_3_1_12_mRNA)</v>
      </c>
      <c r="L53" s="2" t="str">
        <f t="shared" si="10"/>
        <v>(0.278 * E1_3_1_12_mRNA) - (0.00000278 * E1_3_1_12)</v>
      </c>
      <c r="M53" s="2" t="str">
        <f t="shared" si="11"/>
        <v>mRNA52: -&gt; E1_3_1_12_mRNA | 0.00292 - (0.0093 * E1_3_1_12_mRNA)</v>
      </c>
      <c r="N53" s="2" t="str">
        <f t="shared" si="12"/>
        <v>Peptide52: E1_3_1_12_mRNA -&gt; E1_3_1_12 | (0.278 * E1_3_1_12_mRNA) - (0.000000278 * E1_3_1_12)</v>
      </c>
    </row>
    <row r="54">
      <c r="A54" s="12">
        <v>53.0</v>
      </c>
      <c r="B54" s="2" t="s">
        <v>24978</v>
      </c>
      <c r="C54" s="2" t="str">
        <f t="shared" si="3"/>
        <v>E1_3_1_14_mRNA</v>
      </c>
      <c r="D54" s="2" t="str">
        <f t="shared" si="4"/>
        <v>E1_3_1_14</v>
      </c>
      <c r="E54" s="2" t="str">
        <f t="shared" si="5"/>
        <v>E1_3_1_14_kcat : 13.7</v>
      </c>
      <c r="F54" s="2" t="str">
        <f t="shared" si="6"/>
        <v>E1_3_1_14_km : 1</v>
      </c>
      <c r="G54" s="2" t="str">
        <f t="shared" ref="G54:H54" si="113">CONCATENATE(C54," : ",C54)</f>
        <v>E1_3_1_14_mRNA : E1_3_1_14_mRNA</v>
      </c>
      <c r="H54" s="2" t="str">
        <f t="shared" si="113"/>
        <v>E1_3_1_14 : E1_3_1_14</v>
      </c>
      <c r="I54" s="2" t="str">
        <f t="shared" ref="I54:J54" si="114">CONCATENATE(C54," : ","0")</f>
        <v>E1_3_1_14_mRNA : 0</v>
      </c>
      <c r="J54" s="2" t="str">
        <f t="shared" si="114"/>
        <v>E1_3_1_14 : 0</v>
      </c>
      <c r="K54" s="2" t="str">
        <f t="shared" si="9"/>
        <v>0.00292 - (0.0093 * E1_3_1_14_mRNA)</v>
      </c>
      <c r="L54" s="2" t="str">
        <f t="shared" si="10"/>
        <v>(0.278 * E1_3_1_14_mRNA) - (0.00000278 * E1_3_1_14)</v>
      </c>
      <c r="M54" s="2" t="str">
        <f t="shared" si="11"/>
        <v>mRNA53: -&gt; E1_3_1_14_mRNA | 0.00292 - (0.0093 * E1_3_1_14_mRNA)</v>
      </c>
      <c r="N54" s="2" t="str">
        <f t="shared" si="12"/>
        <v>Peptide53: E1_3_1_14_mRNA -&gt; E1_3_1_14 | (0.278 * E1_3_1_14_mRNA) - (0.000000278 * E1_3_1_14)</v>
      </c>
    </row>
    <row r="55">
      <c r="A55" s="12">
        <v>54.0</v>
      </c>
      <c r="B55" s="2" t="s">
        <v>24979</v>
      </c>
      <c r="C55" s="2" t="str">
        <f t="shared" si="3"/>
        <v>E1_3_1_28_mRNA</v>
      </c>
      <c r="D55" s="2" t="str">
        <f t="shared" si="4"/>
        <v>E1_3_1_28</v>
      </c>
      <c r="E55" s="2" t="str">
        <f t="shared" si="5"/>
        <v>E1_3_1_28_kcat : 13.7</v>
      </c>
      <c r="F55" s="2" t="str">
        <f t="shared" si="6"/>
        <v>E1_3_1_28_km : 1</v>
      </c>
      <c r="G55" s="2" t="str">
        <f t="shared" ref="G55:H55" si="115">CONCATENATE(C55," : ",C55)</f>
        <v>E1_3_1_28_mRNA : E1_3_1_28_mRNA</v>
      </c>
      <c r="H55" s="2" t="str">
        <f t="shared" si="115"/>
        <v>E1_3_1_28 : E1_3_1_28</v>
      </c>
      <c r="I55" s="2" t="str">
        <f t="shared" ref="I55:J55" si="116">CONCATENATE(C55," : ","0")</f>
        <v>E1_3_1_28_mRNA : 0</v>
      </c>
      <c r="J55" s="2" t="str">
        <f t="shared" si="116"/>
        <v>E1_3_1_28 : 0</v>
      </c>
      <c r="K55" s="2" t="str">
        <f t="shared" si="9"/>
        <v>0.00292 - (0.0093 * E1_3_1_28_mRNA)</v>
      </c>
      <c r="L55" s="2" t="str">
        <f t="shared" si="10"/>
        <v>(0.278 * E1_3_1_28_mRNA) - (0.00000278 * E1_3_1_28)</v>
      </c>
      <c r="M55" s="2" t="str">
        <f t="shared" si="11"/>
        <v>mRNA54: -&gt; E1_3_1_28_mRNA | 0.00292 - (0.0093 * E1_3_1_28_mRNA)</v>
      </c>
      <c r="N55" s="2" t="str">
        <f t="shared" si="12"/>
        <v>Peptide54: E1_3_1_28_mRNA -&gt; E1_3_1_28 | (0.278 * E1_3_1_28_mRNA) - (0.000000278 * E1_3_1_28)</v>
      </c>
    </row>
    <row r="56">
      <c r="A56" s="12">
        <v>55.0</v>
      </c>
      <c r="B56" s="2" t="s">
        <v>24980</v>
      </c>
      <c r="C56" s="2" t="str">
        <f t="shared" si="3"/>
        <v>E1_3_1_34_mRNA</v>
      </c>
      <c r="D56" s="2" t="str">
        <f t="shared" si="4"/>
        <v>E1_3_1_34</v>
      </c>
      <c r="E56" s="2" t="str">
        <f t="shared" si="5"/>
        <v>E1_3_1_34_kcat : 13.7</v>
      </c>
      <c r="F56" s="2" t="str">
        <f t="shared" si="6"/>
        <v>E1_3_1_34_km : 1</v>
      </c>
      <c r="G56" s="2" t="str">
        <f t="shared" ref="G56:H56" si="117">CONCATENATE(C56," : ",C56)</f>
        <v>E1_3_1_34_mRNA : E1_3_1_34_mRNA</v>
      </c>
      <c r="H56" s="2" t="str">
        <f t="shared" si="117"/>
        <v>E1_3_1_34 : E1_3_1_34</v>
      </c>
      <c r="I56" s="2" t="str">
        <f t="shared" ref="I56:J56" si="118">CONCATENATE(C56," : ","0")</f>
        <v>E1_3_1_34_mRNA : 0</v>
      </c>
      <c r="J56" s="2" t="str">
        <f t="shared" si="118"/>
        <v>E1_3_1_34 : 0</v>
      </c>
      <c r="K56" s="2" t="str">
        <f t="shared" si="9"/>
        <v>0.00292 - (0.0093 * E1_3_1_34_mRNA)</v>
      </c>
      <c r="L56" s="2" t="str">
        <f t="shared" si="10"/>
        <v>(0.278 * E1_3_1_34_mRNA) - (0.00000278 * E1_3_1_34)</v>
      </c>
      <c r="M56" s="2" t="str">
        <f t="shared" si="11"/>
        <v>mRNA55: -&gt; E1_3_1_34_mRNA | 0.00292 - (0.0093 * E1_3_1_34_mRNA)</v>
      </c>
      <c r="N56" s="2" t="str">
        <f t="shared" si="12"/>
        <v>Peptide55: E1_3_1_34_mRNA -&gt; E1_3_1_34 | (0.278 * E1_3_1_34_mRNA) - (0.000000278 * E1_3_1_34)</v>
      </c>
    </row>
    <row r="57">
      <c r="A57" s="12">
        <v>56.0</v>
      </c>
      <c r="B57" s="2" t="s">
        <v>24981</v>
      </c>
      <c r="C57" s="2" t="str">
        <f t="shared" si="3"/>
        <v>E1_3_1_9_mRNA</v>
      </c>
      <c r="D57" s="2" t="str">
        <f t="shared" si="4"/>
        <v>E1_3_1_9</v>
      </c>
      <c r="E57" s="2" t="str">
        <f t="shared" si="5"/>
        <v>E1_3_1_9_kcat : 13.7</v>
      </c>
      <c r="F57" s="2" t="str">
        <f t="shared" si="6"/>
        <v>E1_3_1_9_km : 1</v>
      </c>
      <c r="G57" s="2" t="str">
        <f t="shared" ref="G57:H57" si="119">CONCATENATE(C57," : ",C57)</f>
        <v>E1_3_1_9_mRNA : E1_3_1_9_mRNA</v>
      </c>
      <c r="H57" s="2" t="str">
        <f t="shared" si="119"/>
        <v>E1_3_1_9 : E1_3_1_9</v>
      </c>
      <c r="I57" s="2" t="str">
        <f t="shared" ref="I57:J57" si="120">CONCATENATE(C57," : ","0")</f>
        <v>E1_3_1_9_mRNA : 0</v>
      </c>
      <c r="J57" s="2" t="str">
        <f t="shared" si="120"/>
        <v>E1_3_1_9 : 0</v>
      </c>
      <c r="K57" s="2" t="str">
        <f t="shared" si="9"/>
        <v>0.00292 - (0.0093 * E1_3_1_9_mRNA)</v>
      </c>
      <c r="L57" s="2" t="str">
        <f t="shared" si="10"/>
        <v>(0.278 * E1_3_1_9_mRNA) - (0.00000278 * E1_3_1_9)</v>
      </c>
      <c r="M57" s="2" t="str">
        <f t="shared" si="11"/>
        <v>mRNA56: -&gt; E1_3_1_9_mRNA | 0.00292 - (0.0093 * E1_3_1_9_mRNA)</v>
      </c>
      <c r="N57" s="2" t="str">
        <f t="shared" si="12"/>
        <v>Peptide56: E1_3_1_9_mRNA -&gt; E1_3_1_9 | (0.278 * E1_3_1_9_mRNA) - (0.000000278 * E1_3_1_9)</v>
      </c>
    </row>
    <row r="58">
      <c r="A58" s="12">
        <v>57.0</v>
      </c>
      <c r="B58" s="2" t="s">
        <v>24982</v>
      </c>
      <c r="C58" s="2" t="str">
        <f t="shared" si="3"/>
        <v>E1_3_1_98_mRNA</v>
      </c>
      <c r="D58" s="2" t="str">
        <f t="shared" si="4"/>
        <v>E1_3_1_98</v>
      </c>
      <c r="E58" s="2" t="str">
        <f t="shared" si="5"/>
        <v>E1_3_1_98_kcat : 13.7</v>
      </c>
      <c r="F58" s="2" t="str">
        <f t="shared" si="6"/>
        <v>E1_3_1_98_km : 1</v>
      </c>
      <c r="G58" s="2" t="str">
        <f t="shared" ref="G58:H58" si="121">CONCATENATE(C58," : ",C58)</f>
        <v>E1_3_1_98_mRNA : E1_3_1_98_mRNA</v>
      </c>
      <c r="H58" s="2" t="str">
        <f t="shared" si="121"/>
        <v>E1_3_1_98 : E1_3_1_98</v>
      </c>
      <c r="I58" s="2" t="str">
        <f t="shared" ref="I58:J58" si="122">CONCATENATE(C58," : ","0")</f>
        <v>E1_3_1_98_mRNA : 0</v>
      </c>
      <c r="J58" s="2" t="str">
        <f t="shared" si="122"/>
        <v>E1_3_1_98 : 0</v>
      </c>
      <c r="K58" s="2" t="str">
        <f t="shared" si="9"/>
        <v>0.00292 - (0.0093 * E1_3_1_98_mRNA)</v>
      </c>
      <c r="L58" s="2" t="str">
        <f t="shared" si="10"/>
        <v>(0.278 * E1_3_1_98_mRNA) - (0.00000278 * E1_3_1_98)</v>
      </c>
      <c r="M58" s="2" t="str">
        <f t="shared" si="11"/>
        <v>mRNA57: -&gt; E1_3_1_98_mRNA | 0.00292 - (0.0093 * E1_3_1_98_mRNA)</v>
      </c>
      <c r="N58" s="2" t="str">
        <f t="shared" si="12"/>
        <v>Peptide57: E1_3_1_98_mRNA -&gt; E1_3_1_98 | (0.278 * E1_3_1_98_mRNA) - (0.000000278 * E1_3_1_98)</v>
      </c>
    </row>
    <row r="59">
      <c r="A59" s="12">
        <v>58.0</v>
      </c>
      <c r="B59" s="2" t="s">
        <v>24983</v>
      </c>
      <c r="C59" s="2" t="str">
        <f t="shared" si="3"/>
        <v>E1_3_3_4_mRNA</v>
      </c>
      <c r="D59" s="2" t="str">
        <f t="shared" si="4"/>
        <v>E1_3_3_4</v>
      </c>
      <c r="E59" s="2" t="str">
        <f t="shared" si="5"/>
        <v>E1_3_3_4_kcat : 13.7</v>
      </c>
      <c r="F59" s="2" t="str">
        <f t="shared" si="6"/>
        <v>E1_3_3_4_km : 1</v>
      </c>
      <c r="G59" s="2" t="str">
        <f t="shared" ref="G59:H59" si="123">CONCATENATE(C59," : ",C59)</f>
        <v>E1_3_3_4_mRNA : E1_3_3_4_mRNA</v>
      </c>
      <c r="H59" s="2" t="str">
        <f t="shared" si="123"/>
        <v>E1_3_3_4 : E1_3_3_4</v>
      </c>
      <c r="I59" s="2" t="str">
        <f t="shared" ref="I59:J59" si="124">CONCATENATE(C59," : ","0")</f>
        <v>E1_3_3_4_mRNA : 0</v>
      </c>
      <c r="J59" s="2" t="str">
        <f t="shared" si="124"/>
        <v>E1_3_3_4 : 0</v>
      </c>
      <c r="K59" s="2" t="str">
        <f t="shared" si="9"/>
        <v>0.00292 - (0.0093 * E1_3_3_4_mRNA)</v>
      </c>
      <c r="L59" s="2" t="str">
        <f t="shared" si="10"/>
        <v>(0.278 * E1_3_3_4_mRNA) - (0.00000278 * E1_3_3_4)</v>
      </c>
      <c r="M59" s="2" t="str">
        <f t="shared" si="11"/>
        <v>mRNA58: -&gt; E1_3_3_4_mRNA | 0.00292 - (0.0093 * E1_3_3_4_mRNA)</v>
      </c>
      <c r="N59" s="2" t="str">
        <f t="shared" si="12"/>
        <v>Peptide58: E1_3_3_4_mRNA -&gt; E1_3_3_4 | (0.278 * E1_3_3_4_mRNA) - (0.000000278 * E1_3_3_4)</v>
      </c>
    </row>
    <row r="60">
      <c r="A60" s="12">
        <v>59.0</v>
      </c>
      <c r="B60" s="2" t="s">
        <v>24984</v>
      </c>
      <c r="C60" s="2" t="str">
        <f t="shared" si="3"/>
        <v>E1_3_98_5_mRNA</v>
      </c>
      <c r="D60" s="2" t="str">
        <f t="shared" si="4"/>
        <v>E1_3_98_5</v>
      </c>
      <c r="E60" s="2" t="str">
        <f t="shared" si="5"/>
        <v>E1_3_98_5_kcat : 13.7</v>
      </c>
      <c r="F60" s="2" t="str">
        <f t="shared" si="6"/>
        <v>E1_3_98_5_km : 1</v>
      </c>
      <c r="G60" s="2" t="str">
        <f t="shared" ref="G60:H60" si="125">CONCATENATE(C60," : ",C60)</f>
        <v>E1_3_98_5_mRNA : E1_3_98_5_mRNA</v>
      </c>
      <c r="H60" s="2" t="str">
        <f t="shared" si="125"/>
        <v>E1_3_98_5 : E1_3_98_5</v>
      </c>
      <c r="I60" s="2" t="str">
        <f t="shared" ref="I60:J60" si="126">CONCATENATE(C60," : ","0")</f>
        <v>E1_3_98_5_mRNA : 0</v>
      </c>
      <c r="J60" s="2" t="str">
        <f t="shared" si="126"/>
        <v>E1_3_98_5 : 0</v>
      </c>
      <c r="K60" s="2" t="str">
        <f t="shared" si="9"/>
        <v>0.00292 - (0.0093 * E1_3_98_5_mRNA)</v>
      </c>
      <c r="L60" s="2" t="str">
        <f t="shared" si="10"/>
        <v>(0.278 * E1_3_98_5_mRNA) - (0.00000278 * E1_3_98_5)</v>
      </c>
      <c r="M60" s="2" t="str">
        <f t="shared" si="11"/>
        <v>mRNA59: -&gt; E1_3_98_5_mRNA | 0.00292 - (0.0093 * E1_3_98_5_mRNA)</v>
      </c>
      <c r="N60" s="2" t="str">
        <f t="shared" si="12"/>
        <v>Peptide59: E1_3_98_5_mRNA -&gt; E1_3_98_5 | (0.278 * E1_3_98_5_mRNA) - (0.000000278 * E1_3_98_5)</v>
      </c>
    </row>
    <row r="61">
      <c r="A61" s="12">
        <v>60.0</v>
      </c>
      <c r="B61" s="2" t="s">
        <v>24985</v>
      </c>
      <c r="C61" s="2" t="str">
        <f t="shared" si="3"/>
        <v>E1_4_1_1_mRNA</v>
      </c>
      <c r="D61" s="2" t="str">
        <f t="shared" si="4"/>
        <v>E1_4_1_1</v>
      </c>
      <c r="E61" s="2" t="str">
        <f t="shared" si="5"/>
        <v>E1_4_1_1_kcat : 13.7</v>
      </c>
      <c r="F61" s="2" t="str">
        <f t="shared" si="6"/>
        <v>E1_4_1_1_km : 1</v>
      </c>
      <c r="G61" s="2" t="str">
        <f t="shared" ref="G61:H61" si="127">CONCATENATE(C61," : ",C61)</f>
        <v>E1_4_1_1_mRNA : E1_4_1_1_mRNA</v>
      </c>
      <c r="H61" s="2" t="str">
        <f t="shared" si="127"/>
        <v>E1_4_1_1 : E1_4_1_1</v>
      </c>
      <c r="I61" s="2" t="str">
        <f t="shared" ref="I61:J61" si="128">CONCATENATE(C61," : ","0")</f>
        <v>E1_4_1_1_mRNA : 0</v>
      </c>
      <c r="J61" s="2" t="str">
        <f t="shared" si="128"/>
        <v>E1_4_1_1 : 0</v>
      </c>
      <c r="K61" s="2" t="str">
        <f t="shared" si="9"/>
        <v>0.00292 - (0.0093 * E1_4_1_1_mRNA)</v>
      </c>
      <c r="L61" s="2" t="str">
        <f t="shared" si="10"/>
        <v>(0.278 * E1_4_1_1_mRNA) - (0.00000278 * E1_4_1_1)</v>
      </c>
      <c r="M61" s="2" t="str">
        <f t="shared" si="11"/>
        <v>mRNA60: -&gt; E1_4_1_1_mRNA | 0.00292 - (0.0093 * E1_4_1_1_mRNA)</v>
      </c>
      <c r="N61" s="2" t="str">
        <f t="shared" si="12"/>
        <v>Peptide60: E1_4_1_1_mRNA -&gt; E1_4_1_1 | (0.278 * E1_4_1_1_mRNA) - (0.000000278 * E1_4_1_1)</v>
      </c>
    </row>
    <row r="62">
      <c r="A62" s="12">
        <v>61.0</v>
      </c>
      <c r="B62" s="2" t="s">
        <v>24986</v>
      </c>
      <c r="C62" s="2" t="str">
        <f t="shared" si="3"/>
        <v>E1_4_1_2_mRNA</v>
      </c>
      <c r="D62" s="2" t="str">
        <f t="shared" si="4"/>
        <v>E1_4_1_2</v>
      </c>
      <c r="E62" s="2" t="str">
        <f t="shared" si="5"/>
        <v>E1_4_1_2_kcat : 13.7</v>
      </c>
      <c r="F62" s="2" t="str">
        <f t="shared" si="6"/>
        <v>E1_4_1_2_km : 1</v>
      </c>
      <c r="G62" s="2" t="str">
        <f t="shared" ref="G62:H62" si="129">CONCATENATE(C62," : ",C62)</f>
        <v>E1_4_1_2_mRNA : E1_4_1_2_mRNA</v>
      </c>
      <c r="H62" s="2" t="str">
        <f t="shared" si="129"/>
        <v>E1_4_1_2 : E1_4_1_2</v>
      </c>
      <c r="I62" s="2" t="str">
        <f t="shared" ref="I62:J62" si="130">CONCATENATE(C62," : ","0")</f>
        <v>E1_4_1_2_mRNA : 0</v>
      </c>
      <c r="J62" s="2" t="str">
        <f t="shared" si="130"/>
        <v>E1_4_1_2 : 0</v>
      </c>
      <c r="K62" s="2" t="str">
        <f t="shared" si="9"/>
        <v>0.00292 - (0.0093 * E1_4_1_2_mRNA)</v>
      </c>
      <c r="L62" s="2" t="str">
        <f t="shared" si="10"/>
        <v>(0.278 * E1_4_1_2_mRNA) - (0.00000278 * E1_4_1_2)</v>
      </c>
      <c r="M62" s="2" t="str">
        <f t="shared" si="11"/>
        <v>mRNA61: -&gt; E1_4_1_2_mRNA | 0.00292 - (0.0093 * E1_4_1_2_mRNA)</v>
      </c>
      <c r="N62" s="2" t="str">
        <f t="shared" si="12"/>
        <v>Peptide61: E1_4_1_2_mRNA -&gt; E1_4_1_2 | (0.278 * E1_4_1_2_mRNA) - (0.000000278 * E1_4_1_2)</v>
      </c>
    </row>
    <row r="63">
      <c r="A63" s="12">
        <v>62.0</v>
      </c>
      <c r="B63" s="2" t="s">
        <v>24987</v>
      </c>
      <c r="C63" s="2" t="str">
        <f t="shared" si="3"/>
        <v>E1_4_1_9_mRNA</v>
      </c>
      <c r="D63" s="2" t="str">
        <f t="shared" si="4"/>
        <v>E1_4_1_9</v>
      </c>
      <c r="E63" s="2" t="str">
        <f t="shared" si="5"/>
        <v>E1_4_1_9_kcat : 13.7</v>
      </c>
      <c r="F63" s="2" t="str">
        <f t="shared" si="6"/>
        <v>E1_4_1_9_km : 1</v>
      </c>
      <c r="G63" s="2" t="str">
        <f t="shared" ref="G63:H63" si="131">CONCATENATE(C63," : ",C63)</f>
        <v>E1_4_1_9_mRNA : E1_4_1_9_mRNA</v>
      </c>
      <c r="H63" s="2" t="str">
        <f t="shared" si="131"/>
        <v>E1_4_1_9 : E1_4_1_9</v>
      </c>
      <c r="I63" s="2" t="str">
        <f t="shared" ref="I63:J63" si="132">CONCATENATE(C63," : ","0")</f>
        <v>E1_4_1_9_mRNA : 0</v>
      </c>
      <c r="J63" s="2" t="str">
        <f t="shared" si="132"/>
        <v>E1_4_1_9 : 0</v>
      </c>
      <c r="K63" s="2" t="str">
        <f t="shared" si="9"/>
        <v>0.00292 - (0.0093 * E1_4_1_9_mRNA)</v>
      </c>
      <c r="L63" s="2" t="str">
        <f t="shared" si="10"/>
        <v>(0.278 * E1_4_1_9_mRNA) - (0.00000278 * E1_4_1_9)</v>
      </c>
      <c r="M63" s="2" t="str">
        <f t="shared" si="11"/>
        <v>mRNA62: -&gt; E1_4_1_9_mRNA | 0.00292 - (0.0093 * E1_4_1_9_mRNA)</v>
      </c>
      <c r="N63" s="2" t="str">
        <f t="shared" si="12"/>
        <v>Peptide62: E1_4_1_9_mRNA -&gt; E1_4_1_9 | (0.278 * E1_4_1_9_mRNA) - (0.000000278 * E1_4_1_9)</v>
      </c>
    </row>
    <row r="64">
      <c r="A64" s="12">
        <v>63.0</v>
      </c>
      <c r="B64" s="2" t="s">
        <v>24988</v>
      </c>
      <c r="C64" s="2" t="str">
        <f t="shared" si="3"/>
        <v>E1_4_3_16_mRNA</v>
      </c>
      <c r="D64" s="2" t="str">
        <f t="shared" si="4"/>
        <v>E1_4_3_16</v>
      </c>
      <c r="E64" s="2" t="str">
        <f t="shared" si="5"/>
        <v>E1_4_3_16_kcat : 13.7</v>
      </c>
      <c r="F64" s="2" t="str">
        <f t="shared" si="6"/>
        <v>E1_4_3_16_km : 1</v>
      </c>
      <c r="G64" s="2" t="str">
        <f t="shared" ref="G64:H64" si="133">CONCATENATE(C64," : ",C64)</f>
        <v>E1_4_3_16_mRNA : E1_4_3_16_mRNA</v>
      </c>
      <c r="H64" s="2" t="str">
        <f t="shared" si="133"/>
        <v>E1_4_3_16 : E1_4_3_16</v>
      </c>
      <c r="I64" s="2" t="str">
        <f t="shared" ref="I64:J64" si="134">CONCATENATE(C64," : ","0")</f>
        <v>E1_4_3_16_mRNA : 0</v>
      </c>
      <c r="J64" s="2" t="str">
        <f t="shared" si="134"/>
        <v>E1_4_3_16 : 0</v>
      </c>
      <c r="K64" s="2" t="str">
        <f t="shared" si="9"/>
        <v>0.00292 - (0.0093 * E1_4_3_16_mRNA)</v>
      </c>
      <c r="L64" s="2" t="str">
        <f t="shared" si="10"/>
        <v>(0.278 * E1_4_3_16_mRNA) - (0.00000278 * E1_4_3_16)</v>
      </c>
      <c r="M64" s="2" t="str">
        <f t="shared" si="11"/>
        <v>mRNA63: -&gt; E1_4_3_16_mRNA | 0.00292 - (0.0093 * E1_4_3_16_mRNA)</v>
      </c>
      <c r="N64" s="2" t="str">
        <f t="shared" si="12"/>
        <v>Peptide63: E1_4_3_16_mRNA -&gt; E1_4_3_16 | (0.278 * E1_4_3_16_mRNA) - (0.000000278 * E1_4_3_16)</v>
      </c>
    </row>
    <row r="65">
      <c r="A65" s="12">
        <v>64.0</v>
      </c>
      <c r="B65" s="2" t="s">
        <v>24989</v>
      </c>
      <c r="C65" s="2" t="str">
        <f t="shared" si="3"/>
        <v>E1_4_3_19_mRNA</v>
      </c>
      <c r="D65" s="2" t="str">
        <f t="shared" si="4"/>
        <v>E1_4_3_19</v>
      </c>
      <c r="E65" s="2" t="str">
        <f t="shared" si="5"/>
        <v>E1_4_3_19_kcat : 13.7</v>
      </c>
      <c r="F65" s="2" t="str">
        <f t="shared" si="6"/>
        <v>E1_4_3_19_km : 1</v>
      </c>
      <c r="G65" s="2" t="str">
        <f t="shared" ref="G65:H65" si="135">CONCATENATE(C65," : ",C65)</f>
        <v>E1_4_3_19_mRNA : E1_4_3_19_mRNA</v>
      </c>
      <c r="H65" s="2" t="str">
        <f t="shared" si="135"/>
        <v>E1_4_3_19 : E1_4_3_19</v>
      </c>
      <c r="I65" s="2" t="str">
        <f t="shared" ref="I65:J65" si="136">CONCATENATE(C65," : ","0")</f>
        <v>E1_4_3_19_mRNA : 0</v>
      </c>
      <c r="J65" s="2" t="str">
        <f t="shared" si="136"/>
        <v>E1_4_3_19 : 0</v>
      </c>
      <c r="K65" s="2" t="str">
        <f t="shared" si="9"/>
        <v>0.00292 - (0.0093 * E1_4_3_19_mRNA)</v>
      </c>
      <c r="L65" s="2" t="str">
        <f t="shared" si="10"/>
        <v>(0.278 * E1_4_3_19_mRNA) - (0.00000278 * E1_4_3_19)</v>
      </c>
      <c r="M65" s="2" t="str">
        <f t="shared" si="11"/>
        <v>mRNA64: -&gt; E1_4_3_19_mRNA | 0.00292 - (0.0093 * E1_4_3_19_mRNA)</v>
      </c>
      <c r="N65" s="2" t="str">
        <f t="shared" si="12"/>
        <v>Peptide64: E1_4_3_19_mRNA -&gt; E1_4_3_19 | (0.278 * E1_4_3_19_mRNA) - (0.000000278 * E1_4_3_19)</v>
      </c>
    </row>
    <row r="66">
      <c r="A66" s="12">
        <v>65.0</v>
      </c>
      <c r="B66" s="2" t="s">
        <v>24990</v>
      </c>
      <c r="C66" s="2" t="str">
        <f t="shared" si="3"/>
        <v>E1_4_4_2_mRNA</v>
      </c>
      <c r="D66" s="2" t="str">
        <f t="shared" si="4"/>
        <v>E1_4_4_2</v>
      </c>
      <c r="E66" s="2" t="str">
        <f t="shared" si="5"/>
        <v>E1_4_4_2_kcat : 13.7</v>
      </c>
      <c r="F66" s="2" t="str">
        <f t="shared" si="6"/>
        <v>E1_4_4_2_km : 1</v>
      </c>
      <c r="G66" s="2" t="str">
        <f t="shared" ref="G66:H66" si="137">CONCATENATE(C66," : ",C66)</f>
        <v>E1_4_4_2_mRNA : E1_4_4_2_mRNA</v>
      </c>
      <c r="H66" s="2" t="str">
        <f t="shared" si="137"/>
        <v>E1_4_4_2 : E1_4_4_2</v>
      </c>
      <c r="I66" s="2" t="str">
        <f t="shared" ref="I66:J66" si="138">CONCATENATE(C66," : ","0")</f>
        <v>E1_4_4_2_mRNA : 0</v>
      </c>
      <c r="J66" s="2" t="str">
        <f t="shared" si="138"/>
        <v>E1_4_4_2 : 0</v>
      </c>
      <c r="K66" s="2" t="str">
        <f t="shared" si="9"/>
        <v>0.00292 - (0.0093 * E1_4_4_2_mRNA)</v>
      </c>
      <c r="L66" s="2" t="str">
        <f t="shared" si="10"/>
        <v>(0.278 * E1_4_4_2_mRNA) - (0.00000278 * E1_4_4_2)</v>
      </c>
      <c r="M66" s="2" t="str">
        <f t="shared" si="11"/>
        <v>mRNA65: -&gt; E1_4_4_2_mRNA | 0.00292 - (0.0093 * E1_4_4_2_mRNA)</v>
      </c>
      <c r="N66" s="2" t="str">
        <f t="shared" si="12"/>
        <v>Peptide65: E1_4_4_2_mRNA -&gt; E1_4_4_2 | (0.278 * E1_4_4_2_mRNA) - (0.000000278 * E1_4_4_2)</v>
      </c>
    </row>
    <row r="67">
      <c r="A67" s="12">
        <v>66.0</v>
      </c>
      <c r="B67" s="2" t="s">
        <v>24991</v>
      </c>
      <c r="C67" s="2" t="str">
        <f t="shared" si="3"/>
        <v>E1_5_1_2_mRNA</v>
      </c>
      <c r="D67" s="2" t="str">
        <f t="shared" si="4"/>
        <v>E1_5_1_2</v>
      </c>
      <c r="E67" s="2" t="str">
        <f t="shared" si="5"/>
        <v>E1_5_1_2_kcat : 13.7</v>
      </c>
      <c r="F67" s="2" t="str">
        <f t="shared" si="6"/>
        <v>E1_5_1_2_km : 1</v>
      </c>
      <c r="G67" s="2" t="str">
        <f t="shared" ref="G67:H67" si="139">CONCATENATE(C67," : ",C67)</f>
        <v>E1_5_1_2_mRNA : E1_5_1_2_mRNA</v>
      </c>
      <c r="H67" s="2" t="str">
        <f t="shared" si="139"/>
        <v>E1_5_1_2 : E1_5_1_2</v>
      </c>
      <c r="I67" s="2" t="str">
        <f t="shared" ref="I67:J67" si="140">CONCATENATE(C67," : ","0")</f>
        <v>E1_5_1_2_mRNA : 0</v>
      </c>
      <c r="J67" s="2" t="str">
        <f t="shared" si="140"/>
        <v>E1_5_1_2 : 0</v>
      </c>
      <c r="K67" s="2" t="str">
        <f t="shared" si="9"/>
        <v>0.00292 - (0.0093 * E1_5_1_2_mRNA)</v>
      </c>
      <c r="L67" s="2" t="str">
        <f t="shared" si="10"/>
        <v>(0.278 * E1_5_1_2_mRNA) - (0.00000278 * E1_5_1_2)</v>
      </c>
      <c r="M67" s="2" t="str">
        <f t="shared" si="11"/>
        <v>mRNA66: -&gt; E1_5_1_2_mRNA | 0.00292 - (0.0093 * E1_5_1_2_mRNA)</v>
      </c>
      <c r="N67" s="2" t="str">
        <f t="shared" si="12"/>
        <v>Peptide66: E1_5_1_2_mRNA -&gt; E1_5_1_2 | (0.278 * E1_5_1_2_mRNA) - (0.000000278 * E1_5_1_2)</v>
      </c>
    </row>
    <row r="68">
      <c r="A68" s="12">
        <v>67.0</v>
      </c>
      <c r="B68" s="2" t="s">
        <v>24992</v>
      </c>
      <c r="C68" s="2" t="str">
        <f t="shared" si="3"/>
        <v>E1_5_1_20_mRNA</v>
      </c>
      <c r="D68" s="2" t="str">
        <f t="shared" si="4"/>
        <v>E1_5_1_20</v>
      </c>
      <c r="E68" s="2" t="str">
        <f t="shared" si="5"/>
        <v>E1_5_1_20_kcat : 13.7</v>
      </c>
      <c r="F68" s="2" t="str">
        <f t="shared" si="6"/>
        <v>E1_5_1_20_km : 1</v>
      </c>
      <c r="G68" s="2" t="str">
        <f t="shared" ref="G68:H68" si="141">CONCATENATE(C68," : ",C68)</f>
        <v>E1_5_1_20_mRNA : E1_5_1_20_mRNA</v>
      </c>
      <c r="H68" s="2" t="str">
        <f t="shared" si="141"/>
        <v>E1_5_1_20 : E1_5_1_20</v>
      </c>
      <c r="I68" s="2" t="str">
        <f t="shared" ref="I68:J68" si="142">CONCATENATE(C68," : ","0")</f>
        <v>E1_5_1_20_mRNA : 0</v>
      </c>
      <c r="J68" s="2" t="str">
        <f t="shared" si="142"/>
        <v>E1_5_1_20 : 0</v>
      </c>
      <c r="K68" s="2" t="str">
        <f t="shared" si="9"/>
        <v>0.00292 - (0.0093 * E1_5_1_20_mRNA)</v>
      </c>
      <c r="L68" s="2" t="str">
        <f t="shared" si="10"/>
        <v>(0.278 * E1_5_1_20_mRNA) - (0.00000278 * E1_5_1_20)</v>
      </c>
      <c r="M68" s="2" t="str">
        <f t="shared" si="11"/>
        <v>mRNA67: -&gt; E1_5_1_20_mRNA | 0.00292 - (0.0093 * E1_5_1_20_mRNA)</v>
      </c>
      <c r="N68" s="2" t="str">
        <f t="shared" si="12"/>
        <v>Peptide67: E1_5_1_20_mRNA -&gt; E1_5_1_20 | (0.278 * E1_5_1_20_mRNA) - (0.000000278 * E1_5_1_20)</v>
      </c>
    </row>
    <row r="69">
      <c r="A69" s="12">
        <v>68.0</v>
      </c>
      <c r="B69" s="2" t="s">
        <v>24993</v>
      </c>
      <c r="C69" s="2" t="str">
        <f t="shared" si="3"/>
        <v>E1_5_1_3_mRNA</v>
      </c>
      <c r="D69" s="2" t="str">
        <f t="shared" si="4"/>
        <v>E1_5_1_3</v>
      </c>
      <c r="E69" s="2" t="str">
        <f t="shared" si="5"/>
        <v>E1_5_1_3_kcat : 13.7</v>
      </c>
      <c r="F69" s="2" t="str">
        <f t="shared" si="6"/>
        <v>E1_5_1_3_km : 1</v>
      </c>
      <c r="G69" s="2" t="str">
        <f t="shared" ref="G69:H69" si="143">CONCATENATE(C69," : ",C69)</f>
        <v>E1_5_1_3_mRNA : E1_5_1_3_mRNA</v>
      </c>
      <c r="H69" s="2" t="str">
        <f t="shared" si="143"/>
        <v>E1_5_1_3 : E1_5_1_3</v>
      </c>
      <c r="I69" s="2" t="str">
        <f t="shared" ref="I69:J69" si="144">CONCATENATE(C69," : ","0")</f>
        <v>E1_5_1_3_mRNA : 0</v>
      </c>
      <c r="J69" s="2" t="str">
        <f t="shared" si="144"/>
        <v>E1_5_1_3 : 0</v>
      </c>
      <c r="K69" s="2" t="str">
        <f t="shared" si="9"/>
        <v>0.00292 - (0.0093 * E1_5_1_3_mRNA)</v>
      </c>
      <c r="L69" s="2" t="str">
        <f t="shared" si="10"/>
        <v>(0.278 * E1_5_1_3_mRNA) - (0.00000278 * E1_5_1_3)</v>
      </c>
      <c r="M69" s="2" t="str">
        <f t="shared" si="11"/>
        <v>mRNA68: -&gt; E1_5_1_3_mRNA | 0.00292 - (0.0093 * E1_5_1_3_mRNA)</v>
      </c>
      <c r="N69" s="2" t="str">
        <f t="shared" si="12"/>
        <v>Peptide68: E1_5_1_3_mRNA -&gt; E1_5_1_3 | (0.278 * E1_5_1_3_mRNA) - (0.000000278 * E1_5_1_3)</v>
      </c>
    </row>
    <row r="70">
      <c r="A70" s="12">
        <v>69.0</v>
      </c>
      <c r="B70" s="2" t="s">
        <v>24994</v>
      </c>
      <c r="C70" s="2" t="str">
        <f t="shared" si="3"/>
        <v>E1_5_1_5_mRNA</v>
      </c>
      <c r="D70" s="2" t="str">
        <f t="shared" si="4"/>
        <v>E1_5_1_5</v>
      </c>
      <c r="E70" s="2" t="str">
        <f t="shared" si="5"/>
        <v>E1_5_1_5_kcat : 13.7</v>
      </c>
      <c r="F70" s="2" t="str">
        <f t="shared" si="6"/>
        <v>E1_5_1_5_km : 1</v>
      </c>
      <c r="G70" s="2" t="str">
        <f t="shared" ref="G70:H70" si="145">CONCATENATE(C70," : ",C70)</f>
        <v>E1_5_1_5_mRNA : E1_5_1_5_mRNA</v>
      </c>
      <c r="H70" s="2" t="str">
        <f t="shared" si="145"/>
        <v>E1_5_1_5 : E1_5_1_5</v>
      </c>
      <c r="I70" s="2" t="str">
        <f t="shared" ref="I70:J70" si="146">CONCATENATE(C70," : ","0")</f>
        <v>E1_5_1_5_mRNA : 0</v>
      </c>
      <c r="J70" s="2" t="str">
        <f t="shared" si="146"/>
        <v>E1_5_1_5 : 0</v>
      </c>
      <c r="K70" s="2" t="str">
        <f t="shared" si="9"/>
        <v>0.00292 - (0.0093 * E1_5_1_5_mRNA)</v>
      </c>
      <c r="L70" s="2" t="str">
        <f t="shared" si="10"/>
        <v>(0.278 * E1_5_1_5_mRNA) - (0.00000278 * E1_5_1_5)</v>
      </c>
      <c r="M70" s="2" t="str">
        <f t="shared" si="11"/>
        <v>mRNA69: -&gt; E1_5_1_5_mRNA | 0.00292 - (0.0093 * E1_5_1_5_mRNA)</v>
      </c>
      <c r="N70" s="2" t="str">
        <f t="shared" si="12"/>
        <v>Peptide69: E1_5_1_5_mRNA -&gt; E1_5_1_5 | (0.278 * E1_5_1_5_mRNA) - (0.000000278 * E1_5_1_5)</v>
      </c>
    </row>
    <row r="71">
      <c r="A71" s="12">
        <v>70.0</v>
      </c>
      <c r="B71" s="2" t="s">
        <v>24995</v>
      </c>
      <c r="C71" s="2" t="str">
        <f t="shared" si="3"/>
        <v>E1_6_2_4_mRNA</v>
      </c>
      <c r="D71" s="2" t="str">
        <f t="shared" si="4"/>
        <v>E1_6_2_4</v>
      </c>
      <c r="E71" s="2" t="str">
        <f t="shared" si="5"/>
        <v>E1_6_2_4_kcat : 13.7</v>
      </c>
      <c r="F71" s="2" t="str">
        <f t="shared" si="6"/>
        <v>E1_6_2_4_km : 1</v>
      </c>
      <c r="G71" s="2" t="str">
        <f t="shared" ref="G71:H71" si="147">CONCATENATE(C71," : ",C71)</f>
        <v>E1_6_2_4_mRNA : E1_6_2_4_mRNA</v>
      </c>
      <c r="H71" s="2" t="str">
        <f t="shared" si="147"/>
        <v>E1_6_2_4 : E1_6_2_4</v>
      </c>
      <c r="I71" s="2" t="str">
        <f t="shared" ref="I71:J71" si="148">CONCATENATE(C71," : ","0")</f>
        <v>E1_6_2_4_mRNA : 0</v>
      </c>
      <c r="J71" s="2" t="str">
        <f t="shared" si="148"/>
        <v>E1_6_2_4 : 0</v>
      </c>
      <c r="K71" s="2" t="str">
        <f t="shared" si="9"/>
        <v>0.00292 - (0.0093 * E1_6_2_4_mRNA)</v>
      </c>
      <c r="L71" s="2" t="str">
        <f t="shared" si="10"/>
        <v>(0.278 * E1_6_2_4_mRNA) - (0.00000278 * E1_6_2_4)</v>
      </c>
      <c r="M71" s="2" t="str">
        <f t="shared" si="11"/>
        <v>mRNA70: -&gt; E1_6_2_4_mRNA | 0.00292 - (0.0093 * E1_6_2_4_mRNA)</v>
      </c>
      <c r="N71" s="2" t="str">
        <f t="shared" si="12"/>
        <v>Peptide70: E1_6_2_4_mRNA -&gt; E1_6_2_4 | (0.278 * E1_6_2_4_mRNA) - (0.000000278 * E1_6_2_4)</v>
      </c>
    </row>
    <row r="72">
      <c r="A72" s="12">
        <v>71.0</v>
      </c>
      <c r="B72" s="2" t="s">
        <v>24996</v>
      </c>
      <c r="C72" s="2" t="str">
        <f t="shared" si="3"/>
        <v>E1_6_5_9_mRNA</v>
      </c>
      <c r="D72" s="2" t="str">
        <f t="shared" si="4"/>
        <v>E1_6_5_9</v>
      </c>
      <c r="E72" s="2" t="str">
        <f t="shared" si="5"/>
        <v>E1_6_5_9_kcat : 13.7</v>
      </c>
      <c r="F72" s="2" t="str">
        <f t="shared" si="6"/>
        <v>E1_6_5_9_km : 1</v>
      </c>
      <c r="G72" s="2" t="str">
        <f t="shared" ref="G72:H72" si="149">CONCATENATE(C72," : ",C72)</f>
        <v>E1_6_5_9_mRNA : E1_6_5_9_mRNA</v>
      </c>
      <c r="H72" s="2" t="str">
        <f t="shared" si="149"/>
        <v>E1_6_5_9 : E1_6_5_9</v>
      </c>
      <c r="I72" s="2" t="str">
        <f t="shared" ref="I72:J72" si="150">CONCATENATE(C72," : ","0")</f>
        <v>E1_6_5_9_mRNA : 0</v>
      </c>
      <c r="J72" s="2" t="str">
        <f t="shared" si="150"/>
        <v>E1_6_5_9 : 0</v>
      </c>
      <c r="K72" s="2" t="str">
        <f t="shared" si="9"/>
        <v>0.00292 - (0.0093 * E1_6_5_9_mRNA)</v>
      </c>
      <c r="L72" s="2" t="str">
        <f t="shared" si="10"/>
        <v>(0.278 * E1_6_5_9_mRNA) - (0.00000278 * E1_6_5_9)</v>
      </c>
      <c r="M72" s="2" t="str">
        <f t="shared" si="11"/>
        <v>mRNA71: -&gt; E1_6_5_9_mRNA | 0.00292 - (0.0093 * E1_6_5_9_mRNA)</v>
      </c>
      <c r="N72" s="2" t="str">
        <f t="shared" si="12"/>
        <v>Peptide71: E1_6_5_9_mRNA -&gt; E1_6_5_9 | (0.278 * E1_6_5_9_mRNA) - (0.000000278 * E1_6_5_9)</v>
      </c>
    </row>
    <row r="73">
      <c r="A73" s="12">
        <v>72.0</v>
      </c>
      <c r="B73" s="2" t="s">
        <v>24997</v>
      </c>
      <c r="C73" s="2" t="str">
        <f t="shared" si="3"/>
        <v>E1_6_99_1_mRNA</v>
      </c>
      <c r="D73" s="2" t="str">
        <f t="shared" si="4"/>
        <v>E1_6_99_1</v>
      </c>
      <c r="E73" s="2" t="str">
        <f t="shared" si="5"/>
        <v>E1_6_99_1_kcat : 13.7</v>
      </c>
      <c r="F73" s="2" t="str">
        <f t="shared" si="6"/>
        <v>E1_6_99_1_km : 1</v>
      </c>
      <c r="G73" s="2" t="str">
        <f t="shared" ref="G73:H73" si="151">CONCATENATE(C73," : ",C73)</f>
        <v>E1_6_99_1_mRNA : E1_6_99_1_mRNA</v>
      </c>
      <c r="H73" s="2" t="str">
        <f t="shared" si="151"/>
        <v>E1_6_99_1 : E1_6_99_1</v>
      </c>
      <c r="I73" s="2" t="str">
        <f t="shared" ref="I73:J73" si="152">CONCATENATE(C73," : ","0")</f>
        <v>E1_6_99_1_mRNA : 0</v>
      </c>
      <c r="J73" s="2" t="str">
        <f t="shared" si="152"/>
        <v>E1_6_99_1 : 0</v>
      </c>
      <c r="K73" s="2" t="str">
        <f t="shared" si="9"/>
        <v>0.00292 - (0.0093 * E1_6_99_1_mRNA)</v>
      </c>
      <c r="L73" s="2" t="str">
        <f t="shared" si="10"/>
        <v>(0.278 * E1_6_99_1_mRNA) - (0.00000278 * E1_6_99_1)</v>
      </c>
      <c r="M73" s="2" t="str">
        <f t="shared" si="11"/>
        <v>mRNA72: -&gt; E1_6_99_1_mRNA | 0.00292 - (0.0093 * E1_6_99_1_mRNA)</v>
      </c>
      <c r="N73" s="2" t="str">
        <f t="shared" si="12"/>
        <v>Peptide72: E1_6_99_1_mRNA -&gt; E1_6_99_1 | (0.278 * E1_6_99_1_mRNA) - (0.000000278 * E1_6_99_1)</v>
      </c>
    </row>
    <row r="74">
      <c r="A74" s="12">
        <v>73.0</v>
      </c>
      <c r="B74" s="2" t="s">
        <v>24998</v>
      </c>
      <c r="C74" s="2" t="str">
        <f t="shared" si="3"/>
        <v>E1_7_1_13_mRNA</v>
      </c>
      <c r="D74" s="2" t="str">
        <f t="shared" si="4"/>
        <v>E1_7_1_13</v>
      </c>
      <c r="E74" s="2" t="str">
        <f t="shared" si="5"/>
        <v>E1_7_1_13_kcat : 13.7</v>
      </c>
      <c r="F74" s="2" t="str">
        <f t="shared" si="6"/>
        <v>E1_7_1_13_km : 1</v>
      </c>
      <c r="G74" s="2" t="str">
        <f t="shared" ref="G74:H74" si="153">CONCATENATE(C74," : ",C74)</f>
        <v>E1_7_1_13_mRNA : E1_7_1_13_mRNA</v>
      </c>
      <c r="H74" s="2" t="str">
        <f t="shared" si="153"/>
        <v>E1_7_1_13 : E1_7_1_13</v>
      </c>
      <c r="I74" s="2" t="str">
        <f t="shared" ref="I74:J74" si="154">CONCATENATE(C74," : ","0")</f>
        <v>E1_7_1_13_mRNA : 0</v>
      </c>
      <c r="J74" s="2" t="str">
        <f t="shared" si="154"/>
        <v>E1_7_1_13 : 0</v>
      </c>
      <c r="K74" s="2" t="str">
        <f t="shared" si="9"/>
        <v>0.00292 - (0.0093 * E1_7_1_13_mRNA)</v>
      </c>
      <c r="L74" s="2" t="str">
        <f t="shared" si="10"/>
        <v>(0.278 * E1_7_1_13_mRNA) - (0.00000278 * E1_7_1_13)</v>
      </c>
      <c r="M74" s="2" t="str">
        <f t="shared" si="11"/>
        <v>mRNA73: -&gt; E1_7_1_13_mRNA | 0.00292 - (0.0093 * E1_7_1_13_mRNA)</v>
      </c>
      <c r="N74" s="2" t="str">
        <f t="shared" si="12"/>
        <v>Peptide73: E1_7_1_13_mRNA -&gt; E1_7_1_13 | (0.278 * E1_7_1_13_mRNA) - (0.000000278 * E1_7_1_13)</v>
      </c>
    </row>
    <row r="75">
      <c r="A75" s="12">
        <v>74.0</v>
      </c>
      <c r="B75" s="2" t="s">
        <v>24999</v>
      </c>
      <c r="C75" s="2" t="str">
        <f t="shared" si="3"/>
        <v>E1_7_1_17_mRNA</v>
      </c>
      <c r="D75" s="2" t="str">
        <f t="shared" si="4"/>
        <v>E1_7_1_17</v>
      </c>
      <c r="E75" s="2" t="str">
        <f t="shared" si="5"/>
        <v>E1_7_1_17_kcat : 13.7</v>
      </c>
      <c r="F75" s="2" t="str">
        <f t="shared" si="6"/>
        <v>E1_7_1_17_km : 1</v>
      </c>
      <c r="G75" s="2" t="str">
        <f t="shared" ref="G75:H75" si="155">CONCATENATE(C75," : ",C75)</f>
        <v>E1_7_1_17_mRNA : E1_7_1_17_mRNA</v>
      </c>
      <c r="H75" s="2" t="str">
        <f t="shared" si="155"/>
        <v>E1_7_1_17 : E1_7_1_17</v>
      </c>
      <c r="I75" s="2" t="str">
        <f t="shared" ref="I75:J75" si="156">CONCATENATE(C75," : ","0")</f>
        <v>E1_7_1_17_mRNA : 0</v>
      </c>
      <c r="J75" s="2" t="str">
        <f t="shared" si="156"/>
        <v>E1_7_1_17 : 0</v>
      </c>
      <c r="K75" s="2" t="str">
        <f t="shared" si="9"/>
        <v>0.00292 - (0.0093 * E1_7_1_17_mRNA)</v>
      </c>
      <c r="L75" s="2" t="str">
        <f t="shared" si="10"/>
        <v>(0.278 * E1_7_1_17_mRNA) - (0.00000278 * E1_7_1_17)</v>
      </c>
      <c r="M75" s="2" t="str">
        <f t="shared" si="11"/>
        <v>mRNA74: -&gt; E1_7_1_17_mRNA | 0.00292 - (0.0093 * E1_7_1_17_mRNA)</v>
      </c>
      <c r="N75" s="2" t="str">
        <f t="shared" si="12"/>
        <v>Peptide74: E1_7_1_17_mRNA -&gt; E1_7_1_17 | (0.278 * E1_7_1_17_mRNA) - (0.000000278 * E1_7_1_17)</v>
      </c>
    </row>
    <row r="76">
      <c r="A76" s="12">
        <v>75.0</v>
      </c>
      <c r="B76" s="2" t="s">
        <v>25000</v>
      </c>
      <c r="C76" s="2" t="str">
        <f t="shared" si="3"/>
        <v>E1_7_1_4_mRNA</v>
      </c>
      <c r="D76" s="2" t="str">
        <f t="shared" si="4"/>
        <v>E1_7_1_4</v>
      </c>
      <c r="E76" s="2" t="str">
        <f t="shared" si="5"/>
        <v>E1_7_1_4_kcat : 13.7</v>
      </c>
      <c r="F76" s="2" t="str">
        <f t="shared" si="6"/>
        <v>E1_7_1_4_km : 1</v>
      </c>
      <c r="G76" s="2" t="str">
        <f t="shared" ref="G76:H76" si="157">CONCATENATE(C76," : ",C76)</f>
        <v>E1_7_1_4_mRNA : E1_7_1_4_mRNA</v>
      </c>
      <c r="H76" s="2" t="str">
        <f t="shared" si="157"/>
        <v>E1_7_1_4 : E1_7_1_4</v>
      </c>
      <c r="I76" s="2" t="str">
        <f t="shared" ref="I76:J76" si="158">CONCATENATE(C76," : ","0")</f>
        <v>E1_7_1_4_mRNA : 0</v>
      </c>
      <c r="J76" s="2" t="str">
        <f t="shared" si="158"/>
        <v>E1_7_1_4 : 0</v>
      </c>
      <c r="K76" s="2" t="str">
        <f t="shared" si="9"/>
        <v>0.00292 - (0.0093 * E1_7_1_4_mRNA)</v>
      </c>
      <c r="L76" s="2" t="str">
        <f t="shared" si="10"/>
        <v>(0.278 * E1_7_1_4_mRNA) - (0.00000278 * E1_7_1_4)</v>
      </c>
      <c r="M76" s="2" t="str">
        <f t="shared" si="11"/>
        <v>mRNA75: -&gt; E1_7_1_4_mRNA | 0.00292 - (0.0093 * E1_7_1_4_mRNA)</v>
      </c>
      <c r="N76" s="2" t="str">
        <f t="shared" si="12"/>
        <v>Peptide75: E1_7_1_4_mRNA -&gt; E1_7_1_4 | (0.278 * E1_7_1_4_mRNA) - (0.000000278 * E1_7_1_4)</v>
      </c>
    </row>
    <row r="77">
      <c r="A77" s="12">
        <v>76.0</v>
      </c>
      <c r="B77" s="2" t="s">
        <v>25001</v>
      </c>
      <c r="C77" s="2" t="str">
        <f t="shared" si="3"/>
        <v>E1_7_1_7_mRNA</v>
      </c>
      <c r="D77" s="2" t="str">
        <f t="shared" si="4"/>
        <v>E1_7_1_7</v>
      </c>
      <c r="E77" s="2" t="str">
        <f t="shared" si="5"/>
        <v>E1_7_1_7_kcat : 13.7</v>
      </c>
      <c r="F77" s="2" t="str">
        <f t="shared" si="6"/>
        <v>E1_7_1_7_km : 1</v>
      </c>
      <c r="G77" s="2" t="str">
        <f t="shared" ref="G77:H77" si="159">CONCATENATE(C77," : ",C77)</f>
        <v>E1_7_1_7_mRNA : E1_7_1_7_mRNA</v>
      </c>
      <c r="H77" s="2" t="str">
        <f t="shared" si="159"/>
        <v>E1_7_1_7 : E1_7_1_7</v>
      </c>
      <c r="I77" s="2" t="str">
        <f t="shared" ref="I77:J77" si="160">CONCATENATE(C77," : ","0")</f>
        <v>E1_7_1_7_mRNA : 0</v>
      </c>
      <c r="J77" s="2" t="str">
        <f t="shared" si="160"/>
        <v>E1_7_1_7 : 0</v>
      </c>
      <c r="K77" s="2" t="str">
        <f t="shared" si="9"/>
        <v>0.00292 - (0.0093 * E1_7_1_7_mRNA)</v>
      </c>
      <c r="L77" s="2" t="str">
        <f t="shared" si="10"/>
        <v>(0.278 * E1_7_1_7_mRNA) - (0.00000278 * E1_7_1_7)</v>
      </c>
      <c r="M77" s="2" t="str">
        <f t="shared" si="11"/>
        <v>mRNA76: -&gt; E1_7_1_7_mRNA | 0.00292 - (0.0093 * E1_7_1_7_mRNA)</v>
      </c>
      <c r="N77" s="2" t="str">
        <f t="shared" si="12"/>
        <v>Peptide76: E1_7_1_7_mRNA -&gt; E1_7_1_7 | (0.278 * E1_7_1_7_mRNA) - (0.000000278 * E1_7_1_7)</v>
      </c>
    </row>
    <row r="78">
      <c r="A78" s="12">
        <v>77.0</v>
      </c>
      <c r="B78" s="2" t="s">
        <v>25002</v>
      </c>
      <c r="C78" s="2" t="str">
        <f t="shared" si="3"/>
        <v>E1_7_99_1_mRNA</v>
      </c>
      <c r="D78" s="2" t="str">
        <f t="shared" si="4"/>
        <v>E1_7_99_1</v>
      </c>
      <c r="E78" s="2" t="str">
        <f t="shared" si="5"/>
        <v>E1_7_99_1_kcat : 13.7</v>
      </c>
      <c r="F78" s="2" t="str">
        <f t="shared" si="6"/>
        <v>E1_7_99_1_km : 1</v>
      </c>
      <c r="G78" s="2" t="str">
        <f t="shared" ref="G78:H78" si="161">CONCATENATE(C78," : ",C78)</f>
        <v>E1_7_99_1_mRNA : E1_7_99_1_mRNA</v>
      </c>
      <c r="H78" s="2" t="str">
        <f t="shared" si="161"/>
        <v>E1_7_99_1 : E1_7_99_1</v>
      </c>
      <c r="I78" s="2" t="str">
        <f t="shared" ref="I78:J78" si="162">CONCATENATE(C78," : ","0")</f>
        <v>E1_7_99_1_mRNA : 0</v>
      </c>
      <c r="J78" s="2" t="str">
        <f t="shared" si="162"/>
        <v>E1_7_99_1 : 0</v>
      </c>
      <c r="K78" s="2" t="str">
        <f t="shared" si="9"/>
        <v>0.00292 - (0.0093 * E1_7_99_1_mRNA)</v>
      </c>
      <c r="L78" s="2" t="str">
        <f t="shared" si="10"/>
        <v>(0.278 * E1_7_99_1_mRNA) - (0.00000278 * E1_7_99_1)</v>
      </c>
      <c r="M78" s="2" t="str">
        <f t="shared" si="11"/>
        <v>mRNA77: -&gt; E1_7_99_1_mRNA | 0.00292 - (0.0093 * E1_7_99_1_mRNA)</v>
      </c>
      <c r="N78" s="2" t="str">
        <f t="shared" si="12"/>
        <v>Peptide77: E1_7_99_1_mRNA -&gt; E1_7_99_1 | (0.278 * E1_7_99_1_mRNA) - (0.000000278 * E1_7_99_1)</v>
      </c>
    </row>
    <row r="79">
      <c r="A79" s="12">
        <v>78.0</v>
      </c>
      <c r="B79" s="2" t="s">
        <v>25003</v>
      </c>
      <c r="C79" s="2" t="str">
        <f t="shared" si="3"/>
        <v>E1_8_1_14_mRNA</v>
      </c>
      <c r="D79" s="2" t="str">
        <f t="shared" si="4"/>
        <v>E1_8_1_14</v>
      </c>
      <c r="E79" s="2" t="str">
        <f t="shared" si="5"/>
        <v>E1_8_1_14_kcat : 13.7</v>
      </c>
      <c r="F79" s="2" t="str">
        <f t="shared" si="6"/>
        <v>E1_8_1_14_km : 1</v>
      </c>
      <c r="G79" s="2" t="str">
        <f t="shared" ref="G79:H79" si="163">CONCATENATE(C79," : ",C79)</f>
        <v>E1_8_1_14_mRNA : E1_8_1_14_mRNA</v>
      </c>
      <c r="H79" s="2" t="str">
        <f t="shared" si="163"/>
        <v>E1_8_1_14 : E1_8_1_14</v>
      </c>
      <c r="I79" s="2" t="str">
        <f t="shared" ref="I79:J79" si="164">CONCATENATE(C79," : ","0")</f>
        <v>E1_8_1_14_mRNA : 0</v>
      </c>
      <c r="J79" s="2" t="str">
        <f t="shared" si="164"/>
        <v>E1_8_1_14 : 0</v>
      </c>
      <c r="K79" s="2" t="str">
        <f t="shared" si="9"/>
        <v>0.00292 - (0.0093 * E1_8_1_14_mRNA)</v>
      </c>
      <c r="L79" s="2" t="str">
        <f t="shared" si="10"/>
        <v>(0.278 * E1_8_1_14_mRNA) - (0.00000278 * E1_8_1_14)</v>
      </c>
      <c r="M79" s="2" t="str">
        <f t="shared" si="11"/>
        <v>mRNA78: -&gt; E1_8_1_14_mRNA | 0.00292 - (0.0093 * E1_8_1_14_mRNA)</v>
      </c>
      <c r="N79" s="2" t="str">
        <f t="shared" si="12"/>
        <v>Peptide78: E1_8_1_14_mRNA -&gt; E1_8_1_14 | (0.278 * E1_8_1_14_mRNA) - (0.000000278 * E1_8_1_14)</v>
      </c>
    </row>
    <row r="80">
      <c r="A80" s="12">
        <v>79.0</v>
      </c>
      <c r="B80" s="2" t="s">
        <v>25004</v>
      </c>
      <c r="C80" s="2" t="str">
        <f t="shared" si="3"/>
        <v>E1_8_1_4_mRNA</v>
      </c>
      <c r="D80" s="2" t="str">
        <f t="shared" si="4"/>
        <v>E1_8_1_4</v>
      </c>
      <c r="E80" s="2" t="str">
        <f t="shared" si="5"/>
        <v>E1_8_1_4_kcat : 13.7</v>
      </c>
      <c r="F80" s="2" t="str">
        <f t="shared" si="6"/>
        <v>E1_8_1_4_km : 1</v>
      </c>
      <c r="G80" s="2" t="str">
        <f t="shared" ref="G80:H80" si="165">CONCATENATE(C80," : ",C80)</f>
        <v>E1_8_1_4_mRNA : E1_8_1_4_mRNA</v>
      </c>
      <c r="H80" s="2" t="str">
        <f t="shared" si="165"/>
        <v>E1_8_1_4 : E1_8_1_4</v>
      </c>
      <c r="I80" s="2" t="str">
        <f t="shared" ref="I80:J80" si="166">CONCATENATE(C80," : ","0")</f>
        <v>E1_8_1_4_mRNA : 0</v>
      </c>
      <c r="J80" s="2" t="str">
        <f t="shared" si="166"/>
        <v>E1_8_1_4 : 0</v>
      </c>
      <c r="K80" s="2" t="str">
        <f t="shared" si="9"/>
        <v>0.00292 - (0.0093 * E1_8_1_4_mRNA)</v>
      </c>
      <c r="L80" s="2" t="str">
        <f t="shared" si="10"/>
        <v>(0.278 * E1_8_1_4_mRNA) - (0.00000278 * E1_8_1_4)</v>
      </c>
      <c r="M80" s="2" t="str">
        <f t="shared" si="11"/>
        <v>mRNA79: -&gt; E1_8_1_4_mRNA | 0.00292 - (0.0093 * E1_8_1_4_mRNA)</v>
      </c>
      <c r="N80" s="2" t="str">
        <f t="shared" si="12"/>
        <v>Peptide79: E1_8_1_4_mRNA -&gt; E1_8_1_4 | (0.278 * E1_8_1_4_mRNA) - (0.000000278 * E1_8_1_4)</v>
      </c>
    </row>
    <row r="81">
      <c r="A81" s="12">
        <v>80.0</v>
      </c>
      <c r="B81" s="2" t="s">
        <v>25005</v>
      </c>
      <c r="C81" s="2" t="str">
        <f t="shared" si="3"/>
        <v>E1_8_1_9_mRNA</v>
      </c>
      <c r="D81" s="2" t="str">
        <f t="shared" si="4"/>
        <v>E1_8_1_9</v>
      </c>
      <c r="E81" s="2" t="str">
        <f t="shared" si="5"/>
        <v>E1_8_1_9_kcat : 13.7</v>
      </c>
      <c r="F81" s="2" t="str">
        <f t="shared" si="6"/>
        <v>E1_8_1_9_km : 1</v>
      </c>
      <c r="G81" s="2" t="str">
        <f t="shared" ref="G81:H81" si="167">CONCATENATE(C81," : ",C81)</f>
        <v>E1_8_1_9_mRNA : E1_8_1_9_mRNA</v>
      </c>
      <c r="H81" s="2" t="str">
        <f t="shared" si="167"/>
        <v>E1_8_1_9 : E1_8_1_9</v>
      </c>
      <c r="I81" s="2" t="str">
        <f t="shared" ref="I81:J81" si="168">CONCATENATE(C81," : ","0")</f>
        <v>E1_8_1_9_mRNA : 0</v>
      </c>
      <c r="J81" s="2" t="str">
        <f t="shared" si="168"/>
        <v>E1_8_1_9 : 0</v>
      </c>
      <c r="K81" s="2" t="str">
        <f t="shared" si="9"/>
        <v>0.00292 - (0.0093 * E1_8_1_9_mRNA)</v>
      </c>
      <c r="L81" s="2" t="str">
        <f t="shared" si="10"/>
        <v>(0.278 * E1_8_1_9_mRNA) - (0.00000278 * E1_8_1_9)</v>
      </c>
      <c r="M81" s="2" t="str">
        <f t="shared" si="11"/>
        <v>mRNA80: -&gt; E1_8_1_9_mRNA | 0.00292 - (0.0093 * E1_8_1_9_mRNA)</v>
      </c>
      <c r="N81" s="2" t="str">
        <f t="shared" si="12"/>
        <v>Peptide80: E1_8_1_9_mRNA -&gt; E1_8_1_9 | (0.278 * E1_8_1_9_mRNA) - (0.000000278 * E1_8_1_9)</v>
      </c>
    </row>
    <row r="82">
      <c r="A82" s="12">
        <v>81.0</v>
      </c>
      <c r="B82" s="2" t="s">
        <v>25006</v>
      </c>
      <c r="C82" s="2" t="str">
        <f t="shared" si="3"/>
        <v>E1_8_4_11_mRNA</v>
      </c>
      <c r="D82" s="2" t="str">
        <f t="shared" si="4"/>
        <v>E1_8_4_11</v>
      </c>
      <c r="E82" s="2" t="str">
        <f t="shared" si="5"/>
        <v>E1_8_4_11_kcat : 13.7</v>
      </c>
      <c r="F82" s="2" t="str">
        <f t="shared" si="6"/>
        <v>E1_8_4_11_km : 1</v>
      </c>
      <c r="G82" s="2" t="str">
        <f t="shared" ref="G82:H82" si="169">CONCATENATE(C82," : ",C82)</f>
        <v>E1_8_4_11_mRNA : E1_8_4_11_mRNA</v>
      </c>
      <c r="H82" s="2" t="str">
        <f t="shared" si="169"/>
        <v>E1_8_4_11 : E1_8_4_11</v>
      </c>
      <c r="I82" s="2" t="str">
        <f t="shared" ref="I82:J82" si="170">CONCATENATE(C82," : ","0")</f>
        <v>E1_8_4_11_mRNA : 0</v>
      </c>
      <c r="J82" s="2" t="str">
        <f t="shared" si="170"/>
        <v>E1_8_4_11 : 0</v>
      </c>
      <c r="K82" s="2" t="str">
        <f t="shared" si="9"/>
        <v>0.00292 - (0.0093 * E1_8_4_11_mRNA)</v>
      </c>
      <c r="L82" s="2" t="str">
        <f t="shared" si="10"/>
        <v>(0.278 * E1_8_4_11_mRNA) - (0.00000278 * E1_8_4_11)</v>
      </c>
      <c r="M82" s="2" t="str">
        <f t="shared" si="11"/>
        <v>mRNA81: -&gt; E1_8_4_11_mRNA | 0.00292 - (0.0093 * E1_8_4_11_mRNA)</v>
      </c>
      <c r="N82" s="2" t="str">
        <f t="shared" si="12"/>
        <v>Peptide81: E1_8_4_11_mRNA -&gt; E1_8_4_11 | (0.278 * E1_8_4_11_mRNA) - (0.000000278 * E1_8_4_11)</v>
      </c>
    </row>
    <row r="83">
      <c r="A83" s="12">
        <v>82.0</v>
      </c>
      <c r="B83" s="2" t="s">
        <v>25007</v>
      </c>
      <c r="C83" s="2" t="str">
        <f t="shared" si="3"/>
        <v>E1_8_4_12_mRNA</v>
      </c>
      <c r="D83" s="2" t="str">
        <f t="shared" si="4"/>
        <v>E1_8_4_12</v>
      </c>
      <c r="E83" s="2" t="str">
        <f t="shared" si="5"/>
        <v>E1_8_4_12_kcat : 13.7</v>
      </c>
      <c r="F83" s="2" t="str">
        <f t="shared" si="6"/>
        <v>E1_8_4_12_km : 1</v>
      </c>
      <c r="G83" s="2" t="str">
        <f t="shared" ref="G83:H83" si="171">CONCATENATE(C83," : ",C83)</f>
        <v>E1_8_4_12_mRNA : E1_8_4_12_mRNA</v>
      </c>
      <c r="H83" s="2" t="str">
        <f t="shared" si="171"/>
        <v>E1_8_4_12 : E1_8_4_12</v>
      </c>
      <c r="I83" s="2" t="str">
        <f t="shared" ref="I83:J83" si="172">CONCATENATE(C83," : ","0")</f>
        <v>E1_8_4_12_mRNA : 0</v>
      </c>
      <c r="J83" s="2" t="str">
        <f t="shared" si="172"/>
        <v>E1_8_4_12 : 0</v>
      </c>
      <c r="K83" s="2" t="str">
        <f t="shared" si="9"/>
        <v>0.00292 - (0.0093 * E1_8_4_12_mRNA)</v>
      </c>
      <c r="L83" s="2" t="str">
        <f t="shared" si="10"/>
        <v>(0.278 * E1_8_4_12_mRNA) - (0.00000278 * E1_8_4_12)</v>
      </c>
      <c r="M83" s="2" t="str">
        <f t="shared" si="11"/>
        <v>mRNA82: -&gt; E1_8_4_12_mRNA | 0.00292 - (0.0093 * E1_8_4_12_mRNA)</v>
      </c>
      <c r="N83" s="2" t="str">
        <f t="shared" si="12"/>
        <v>Peptide82: E1_8_4_12_mRNA -&gt; E1_8_4_12 | (0.278 * E1_8_4_12_mRNA) - (0.000000278 * E1_8_4_12)</v>
      </c>
    </row>
    <row r="84">
      <c r="A84" s="12">
        <v>83.0</v>
      </c>
      <c r="B84" s="2" t="s">
        <v>25008</v>
      </c>
      <c r="C84" s="2" t="str">
        <f t="shared" si="3"/>
        <v>E1_8_4_8_mRNA</v>
      </c>
      <c r="D84" s="2" t="str">
        <f t="shared" si="4"/>
        <v>E1_8_4_8</v>
      </c>
      <c r="E84" s="2" t="str">
        <f t="shared" si="5"/>
        <v>E1_8_4_8_kcat : 13.7</v>
      </c>
      <c r="F84" s="2" t="str">
        <f t="shared" si="6"/>
        <v>E1_8_4_8_km : 1</v>
      </c>
      <c r="G84" s="2" t="str">
        <f t="shared" ref="G84:H84" si="173">CONCATENATE(C84," : ",C84)</f>
        <v>E1_8_4_8_mRNA : E1_8_4_8_mRNA</v>
      </c>
      <c r="H84" s="2" t="str">
        <f t="shared" si="173"/>
        <v>E1_8_4_8 : E1_8_4_8</v>
      </c>
      <c r="I84" s="2" t="str">
        <f t="shared" ref="I84:J84" si="174">CONCATENATE(C84," : ","0")</f>
        <v>E1_8_4_8_mRNA : 0</v>
      </c>
      <c r="J84" s="2" t="str">
        <f t="shared" si="174"/>
        <v>E1_8_4_8 : 0</v>
      </c>
      <c r="K84" s="2" t="str">
        <f t="shared" si="9"/>
        <v>0.00292 - (0.0093 * E1_8_4_8_mRNA)</v>
      </c>
      <c r="L84" s="2" t="str">
        <f t="shared" si="10"/>
        <v>(0.278 * E1_8_4_8_mRNA) - (0.00000278 * E1_8_4_8)</v>
      </c>
      <c r="M84" s="2" t="str">
        <f t="shared" si="11"/>
        <v>mRNA83: -&gt; E1_8_4_8_mRNA | 0.00292 - (0.0093 * E1_8_4_8_mRNA)</v>
      </c>
      <c r="N84" s="2" t="str">
        <f t="shared" si="12"/>
        <v>Peptide83: E1_8_4_8_mRNA -&gt; E1_8_4_8 | (0.278 * E1_8_4_8_mRNA) - (0.000000278 * E1_8_4_8)</v>
      </c>
    </row>
    <row r="85">
      <c r="A85" s="12">
        <v>84.0</v>
      </c>
      <c r="B85" s="2" t="s">
        <v>25009</v>
      </c>
      <c r="C85" s="2" t="str">
        <f t="shared" si="3"/>
        <v>E1_97_1_4_mRNA</v>
      </c>
      <c r="D85" s="2" t="str">
        <f t="shared" si="4"/>
        <v>E1_97_1_4</v>
      </c>
      <c r="E85" s="2" t="str">
        <f t="shared" si="5"/>
        <v>E1_97_1_4_kcat : 13.7</v>
      </c>
      <c r="F85" s="2" t="str">
        <f t="shared" si="6"/>
        <v>E1_97_1_4_km : 1</v>
      </c>
      <c r="G85" s="2" t="str">
        <f t="shared" ref="G85:H85" si="175">CONCATENATE(C85," : ",C85)</f>
        <v>E1_97_1_4_mRNA : E1_97_1_4_mRNA</v>
      </c>
      <c r="H85" s="2" t="str">
        <f t="shared" si="175"/>
        <v>E1_97_1_4 : E1_97_1_4</v>
      </c>
      <c r="I85" s="2" t="str">
        <f t="shared" ref="I85:J85" si="176">CONCATENATE(C85," : ","0")</f>
        <v>E1_97_1_4_mRNA : 0</v>
      </c>
      <c r="J85" s="2" t="str">
        <f t="shared" si="176"/>
        <v>E1_97_1_4 : 0</v>
      </c>
      <c r="K85" s="2" t="str">
        <f t="shared" si="9"/>
        <v>0.00292 - (0.0093 * E1_97_1_4_mRNA)</v>
      </c>
      <c r="L85" s="2" t="str">
        <f t="shared" si="10"/>
        <v>(0.278 * E1_97_1_4_mRNA) - (0.00000278 * E1_97_1_4)</v>
      </c>
      <c r="M85" s="2" t="str">
        <f t="shared" si="11"/>
        <v>mRNA84: -&gt; E1_97_1_4_mRNA | 0.00292 - (0.0093 * E1_97_1_4_mRNA)</v>
      </c>
      <c r="N85" s="2" t="str">
        <f t="shared" si="12"/>
        <v>Peptide84: E1_97_1_4_mRNA -&gt; E1_97_1_4 | (0.278 * E1_97_1_4_mRNA) - (0.000000278 * E1_97_1_4)</v>
      </c>
    </row>
    <row r="86">
      <c r="A86" s="12">
        <v>85.0</v>
      </c>
      <c r="B86" s="2" t="s">
        <v>25010</v>
      </c>
      <c r="C86" s="2" t="str">
        <f t="shared" si="3"/>
        <v>E2_1_1_10_mRNA</v>
      </c>
      <c r="D86" s="2" t="str">
        <f t="shared" si="4"/>
        <v>E2_1_1_10</v>
      </c>
      <c r="E86" s="2" t="str">
        <f t="shared" si="5"/>
        <v>E2_1_1_10_kcat : 13.7</v>
      </c>
      <c r="F86" s="2" t="str">
        <f t="shared" si="6"/>
        <v>E2_1_1_10_km : 1</v>
      </c>
      <c r="G86" s="2" t="str">
        <f t="shared" ref="G86:H86" si="177">CONCATENATE(C86," : ",C86)</f>
        <v>E2_1_1_10_mRNA : E2_1_1_10_mRNA</v>
      </c>
      <c r="H86" s="2" t="str">
        <f t="shared" si="177"/>
        <v>E2_1_1_10 : E2_1_1_10</v>
      </c>
      <c r="I86" s="2" t="str">
        <f t="shared" ref="I86:J86" si="178">CONCATENATE(C86," : ","0")</f>
        <v>E2_1_1_10_mRNA : 0</v>
      </c>
      <c r="J86" s="2" t="str">
        <f t="shared" si="178"/>
        <v>E2_1_1_10 : 0</v>
      </c>
      <c r="K86" s="2" t="str">
        <f t="shared" si="9"/>
        <v>0.00292 - (0.0093 * E2_1_1_10_mRNA)</v>
      </c>
      <c r="L86" s="2" t="str">
        <f t="shared" si="10"/>
        <v>(0.278 * E2_1_1_10_mRNA) - (0.00000278 * E2_1_1_10)</v>
      </c>
      <c r="M86" s="2" t="str">
        <f t="shared" si="11"/>
        <v>mRNA85: -&gt; E2_1_1_10_mRNA | 0.00292 - (0.0093 * E2_1_1_10_mRNA)</v>
      </c>
      <c r="N86" s="2" t="str">
        <f t="shared" si="12"/>
        <v>Peptide85: E2_1_1_10_mRNA -&gt; E2_1_1_10 | (0.278 * E2_1_1_10_mRNA) - (0.000000278 * E2_1_1_10)</v>
      </c>
    </row>
    <row r="87">
      <c r="A87" s="12">
        <v>86.0</v>
      </c>
      <c r="B87" s="2" t="s">
        <v>25011</v>
      </c>
      <c r="C87" s="2" t="str">
        <f t="shared" si="3"/>
        <v>E2_1_1_107_mRNA</v>
      </c>
      <c r="D87" s="2" t="str">
        <f t="shared" si="4"/>
        <v>E2_1_1_107</v>
      </c>
      <c r="E87" s="2" t="str">
        <f t="shared" si="5"/>
        <v>E2_1_1_107_kcat : 13.7</v>
      </c>
      <c r="F87" s="2" t="str">
        <f t="shared" si="6"/>
        <v>E2_1_1_107_km : 1</v>
      </c>
      <c r="G87" s="2" t="str">
        <f t="shared" ref="G87:H87" si="179">CONCATENATE(C87," : ",C87)</f>
        <v>E2_1_1_107_mRNA : E2_1_1_107_mRNA</v>
      </c>
      <c r="H87" s="2" t="str">
        <f t="shared" si="179"/>
        <v>E2_1_1_107 : E2_1_1_107</v>
      </c>
      <c r="I87" s="2" t="str">
        <f t="shared" ref="I87:J87" si="180">CONCATENATE(C87," : ","0")</f>
        <v>E2_1_1_107_mRNA : 0</v>
      </c>
      <c r="J87" s="2" t="str">
        <f t="shared" si="180"/>
        <v>E2_1_1_107 : 0</v>
      </c>
      <c r="K87" s="2" t="str">
        <f t="shared" si="9"/>
        <v>0.00292 - (0.0093 * E2_1_1_107_mRNA)</v>
      </c>
      <c r="L87" s="2" t="str">
        <f t="shared" si="10"/>
        <v>(0.278 * E2_1_1_107_mRNA) - (0.00000278 * E2_1_1_107)</v>
      </c>
      <c r="M87" s="2" t="str">
        <f t="shared" si="11"/>
        <v>mRNA86: -&gt; E2_1_1_107_mRNA | 0.00292 - (0.0093 * E2_1_1_107_mRNA)</v>
      </c>
      <c r="N87" s="2" t="str">
        <f t="shared" si="12"/>
        <v>Peptide86: E2_1_1_107_mRNA -&gt; E2_1_1_107 | (0.278 * E2_1_1_107_mRNA) - (0.000000278 * E2_1_1_107)</v>
      </c>
    </row>
    <row r="88">
      <c r="A88" s="12">
        <v>87.0</v>
      </c>
      <c r="B88" s="2" t="s">
        <v>25012</v>
      </c>
      <c r="C88" s="2" t="str">
        <f t="shared" si="3"/>
        <v>E2_1_1_13_mRNA</v>
      </c>
      <c r="D88" s="2" t="str">
        <f t="shared" si="4"/>
        <v>E2_1_1_13</v>
      </c>
      <c r="E88" s="2" t="str">
        <f t="shared" si="5"/>
        <v>E2_1_1_13_kcat : 13.7</v>
      </c>
      <c r="F88" s="2" t="str">
        <f t="shared" si="6"/>
        <v>E2_1_1_13_km : 1</v>
      </c>
      <c r="G88" s="2" t="str">
        <f t="shared" ref="G88:H88" si="181">CONCATENATE(C88," : ",C88)</f>
        <v>E2_1_1_13_mRNA : E2_1_1_13_mRNA</v>
      </c>
      <c r="H88" s="2" t="str">
        <f t="shared" si="181"/>
        <v>E2_1_1_13 : E2_1_1_13</v>
      </c>
      <c r="I88" s="2" t="str">
        <f t="shared" ref="I88:J88" si="182">CONCATENATE(C88," : ","0")</f>
        <v>E2_1_1_13_mRNA : 0</v>
      </c>
      <c r="J88" s="2" t="str">
        <f t="shared" si="182"/>
        <v>E2_1_1_13 : 0</v>
      </c>
      <c r="K88" s="2" t="str">
        <f t="shared" si="9"/>
        <v>0.00292 - (0.0093 * E2_1_1_13_mRNA)</v>
      </c>
      <c r="L88" s="2" t="str">
        <f t="shared" si="10"/>
        <v>(0.278 * E2_1_1_13_mRNA) - (0.00000278 * E2_1_1_13)</v>
      </c>
      <c r="M88" s="2" t="str">
        <f t="shared" si="11"/>
        <v>mRNA87: -&gt; E2_1_1_13_mRNA | 0.00292 - (0.0093 * E2_1_1_13_mRNA)</v>
      </c>
      <c r="N88" s="2" t="str">
        <f t="shared" si="12"/>
        <v>Peptide87: E2_1_1_13_mRNA -&gt; E2_1_1_13 | (0.278 * E2_1_1_13_mRNA) - (0.000000278 * E2_1_1_13)</v>
      </c>
    </row>
    <row r="89">
      <c r="A89" s="12">
        <v>88.0</v>
      </c>
      <c r="B89" s="2" t="s">
        <v>25013</v>
      </c>
      <c r="C89" s="2" t="str">
        <f t="shared" si="3"/>
        <v>E2_1_1_14_mRNA</v>
      </c>
      <c r="D89" s="2" t="str">
        <f t="shared" si="4"/>
        <v>E2_1_1_14</v>
      </c>
      <c r="E89" s="2" t="str">
        <f t="shared" si="5"/>
        <v>E2_1_1_14_kcat : 13.7</v>
      </c>
      <c r="F89" s="2" t="str">
        <f t="shared" si="6"/>
        <v>E2_1_1_14_km : 1</v>
      </c>
      <c r="G89" s="2" t="str">
        <f t="shared" ref="G89:H89" si="183">CONCATENATE(C89," : ",C89)</f>
        <v>E2_1_1_14_mRNA : E2_1_1_14_mRNA</v>
      </c>
      <c r="H89" s="2" t="str">
        <f t="shared" si="183"/>
        <v>E2_1_1_14 : E2_1_1_14</v>
      </c>
      <c r="I89" s="2" t="str">
        <f t="shared" ref="I89:J89" si="184">CONCATENATE(C89," : ","0")</f>
        <v>E2_1_1_14_mRNA : 0</v>
      </c>
      <c r="J89" s="2" t="str">
        <f t="shared" si="184"/>
        <v>E2_1_1_14 : 0</v>
      </c>
      <c r="K89" s="2" t="str">
        <f t="shared" si="9"/>
        <v>0.00292 - (0.0093 * E2_1_1_14_mRNA)</v>
      </c>
      <c r="L89" s="2" t="str">
        <f t="shared" si="10"/>
        <v>(0.278 * E2_1_1_14_mRNA) - (0.00000278 * E2_1_1_14)</v>
      </c>
      <c r="M89" s="2" t="str">
        <f t="shared" si="11"/>
        <v>mRNA88: -&gt; E2_1_1_14_mRNA | 0.00292 - (0.0093 * E2_1_1_14_mRNA)</v>
      </c>
      <c r="N89" s="2" t="str">
        <f t="shared" si="12"/>
        <v>Peptide88: E2_1_1_14_mRNA -&gt; E2_1_1_14 | (0.278 * E2_1_1_14_mRNA) - (0.000000278 * E2_1_1_14)</v>
      </c>
    </row>
    <row r="90">
      <c r="A90" s="12">
        <v>89.0</v>
      </c>
      <c r="B90" s="2" t="s">
        <v>25014</v>
      </c>
      <c r="C90" s="2" t="str">
        <f t="shared" si="3"/>
        <v>E2_1_1_170_mRNA</v>
      </c>
      <c r="D90" s="2" t="str">
        <f t="shared" si="4"/>
        <v>E2_1_1_170</v>
      </c>
      <c r="E90" s="2" t="str">
        <f t="shared" si="5"/>
        <v>E2_1_1_170_kcat : 13.7</v>
      </c>
      <c r="F90" s="2" t="str">
        <f t="shared" si="6"/>
        <v>E2_1_1_170_km : 1</v>
      </c>
      <c r="G90" s="2" t="str">
        <f t="shared" ref="G90:H90" si="185">CONCATENATE(C90," : ",C90)</f>
        <v>E2_1_1_170_mRNA : E2_1_1_170_mRNA</v>
      </c>
      <c r="H90" s="2" t="str">
        <f t="shared" si="185"/>
        <v>E2_1_1_170 : E2_1_1_170</v>
      </c>
      <c r="I90" s="2" t="str">
        <f t="shared" ref="I90:J90" si="186">CONCATENATE(C90," : ","0")</f>
        <v>E2_1_1_170_mRNA : 0</v>
      </c>
      <c r="J90" s="2" t="str">
        <f t="shared" si="186"/>
        <v>E2_1_1_170 : 0</v>
      </c>
      <c r="K90" s="2" t="str">
        <f t="shared" si="9"/>
        <v>0.00292 - (0.0093 * E2_1_1_170_mRNA)</v>
      </c>
      <c r="L90" s="2" t="str">
        <f t="shared" si="10"/>
        <v>(0.278 * E2_1_1_170_mRNA) - (0.00000278 * E2_1_1_170)</v>
      </c>
      <c r="M90" s="2" t="str">
        <f t="shared" si="11"/>
        <v>mRNA89: -&gt; E2_1_1_170_mRNA | 0.00292 - (0.0093 * E2_1_1_170_mRNA)</v>
      </c>
      <c r="N90" s="2" t="str">
        <f t="shared" si="12"/>
        <v>Peptide89: E2_1_1_170_mRNA -&gt; E2_1_1_170 | (0.278 * E2_1_1_170_mRNA) - (0.000000278 * E2_1_1_170)</v>
      </c>
    </row>
    <row r="91">
      <c r="A91" s="12">
        <v>90.0</v>
      </c>
      <c r="B91" s="2" t="s">
        <v>25015</v>
      </c>
      <c r="C91" s="2" t="str">
        <f t="shared" si="3"/>
        <v>E2_1_1_171_mRNA</v>
      </c>
      <c r="D91" s="2" t="str">
        <f t="shared" si="4"/>
        <v>E2_1_1_171</v>
      </c>
      <c r="E91" s="2" t="str">
        <f t="shared" si="5"/>
        <v>E2_1_1_171_kcat : 13.7</v>
      </c>
      <c r="F91" s="2" t="str">
        <f t="shared" si="6"/>
        <v>E2_1_1_171_km : 1</v>
      </c>
      <c r="G91" s="2" t="str">
        <f t="shared" ref="G91:H91" si="187">CONCATENATE(C91," : ",C91)</f>
        <v>E2_1_1_171_mRNA : E2_1_1_171_mRNA</v>
      </c>
      <c r="H91" s="2" t="str">
        <f t="shared" si="187"/>
        <v>E2_1_1_171 : E2_1_1_171</v>
      </c>
      <c r="I91" s="2" t="str">
        <f t="shared" ref="I91:J91" si="188">CONCATENATE(C91," : ","0")</f>
        <v>E2_1_1_171_mRNA : 0</v>
      </c>
      <c r="J91" s="2" t="str">
        <f t="shared" si="188"/>
        <v>E2_1_1_171 : 0</v>
      </c>
      <c r="K91" s="2" t="str">
        <f t="shared" si="9"/>
        <v>0.00292 - (0.0093 * E2_1_1_171_mRNA)</v>
      </c>
      <c r="L91" s="2" t="str">
        <f t="shared" si="10"/>
        <v>(0.278 * E2_1_1_171_mRNA) - (0.00000278 * E2_1_1_171)</v>
      </c>
      <c r="M91" s="2" t="str">
        <f t="shared" si="11"/>
        <v>mRNA90: -&gt; E2_1_1_171_mRNA | 0.00292 - (0.0093 * E2_1_1_171_mRNA)</v>
      </c>
      <c r="N91" s="2" t="str">
        <f t="shared" si="12"/>
        <v>Peptide90: E2_1_1_171_mRNA -&gt; E2_1_1_171 | (0.278 * E2_1_1_171_mRNA) - (0.000000278 * E2_1_1_171)</v>
      </c>
    </row>
    <row r="92">
      <c r="A92" s="12">
        <v>91.0</v>
      </c>
      <c r="B92" s="2" t="s">
        <v>25016</v>
      </c>
      <c r="C92" s="2" t="str">
        <f t="shared" si="3"/>
        <v>E2_1_1_172_mRNA</v>
      </c>
      <c r="D92" s="2" t="str">
        <f t="shared" si="4"/>
        <v>E2_1_1_172</v>
      </c>
      <c r="E92" s="2" t="str">
        <f t="shared" si="5"/>
        <v>E2_1_1_172_kcat : 13.7</v>
      </c>
      <c r="F92" s="2" t="str">
        <f t="shared" si="6"/>
        <v>E2_1_1_172_km : 1</v>
      </c>
      <c r="G92" s="2" t="str">
        <f t="shared" ref="G92:H92" si="189">CONCATENATE(C92," : ",C92)</f>
        <v>E2_1_1_172_mRNA : E2_1_1_172_mRNA</v>
      </c>
      <c r="H92" s="2" t="str">
        <f t="shared" si="189"/>
        <v>E2_1_1_172 : E2_1_1_172</v>
      </c>
      <c r="I92" s="2" t="str">
        <f t="shared" ref="I92:J92" si="190">CONCATENATE(C92," : ","0")</f>
        <v>E2_1_1_172_mRNA : 0</v>
      </c>
      <c r="J92" s="2" t="str">
        <f t="shared" si="190"/>
        <v>E2_1_1_172 : 0</v>
      </c>
      <c r="K92" s="2" t="str">
        <f t="shared" si="9"/>
        <v>0.00292 - (0.0093 * E2_1_1_172_mRNA)</v>
      </c>
      <c r="L92" s="2" t="str">
        <f t="shared" si="10"/>
        <v>(0.278 * E2_1_1_172_mRNA) - (0.00000278 * E2_1_1_172)</v>
      </c>
      <c r="M92" s="2" t="str">
        <f t="shared" si="11"/>
        <v>mRNA91: -&gt; E2_1_1_172_mRNA | 0.00292 - (0.0093 * E2_1_1_172_mRNA)</v>
      </c>
      <c r="N92" s="2" t="str">
        <f t="shared" si="12"/>
        <v>Peptide91: E2_1_1_172_mRNA -&gt; E2_1_1_172 | (0.278 * E2_1_1_172_mRNA) - (0.000000278 * E2_1_1_172)</v>
      </c>
    </row>
    <row r="93">
      <c r="A93" s="12">
        <v>92.0</v>
      </c>
      <c r="B93" s="2" t="s">
        <v>25017</v>
      </c>
      <c r="C93" s="2" t="str">
        <f t="shared" si="3"/>
        <v>E2_1_1_174_mRNA</v>
      </c>
      <c r="D93" s="2" t="str">
        <f t="shared" si="4"/>
        <v>E2_1_1_174</v>
      </c>
      <c r="E93" s="2" t="str">
        <f t="shared" si="5"/>
        <v>E2_1_1_174_kcat : 13.7</v>
      </c>
      <c r="F93" s="2" t="str">
        <f t="shared" si="6"/>
        <v>E2_1_1_174_km : 1</v>
      </c>
      <c r="G93" s="2" t="str">
        <f t="shared" ref="G93:H93" si="191">CONCATENATE(C93," : ",C93)</f>
        <v>E2_1_1_174_mRNA : E2_1_1_174_mRNA</v>
      </c>
      <c r="H93" s="2" t="str">
        <f t="shared" si="191"/>
        <v>E2_1_1_174 : E2_1_1_174</v>
      </c>
      <c r="I93" s="2" t="str">
        <f t="shared" ref="I93:J93" si="192">CONCATENATE(C93," : ","0")</f>
        <v>E2_1_1_174_mRNA : 0</v>
      </c>
      <c r="J93" s="2" t="str">
        <f t="shared" si="192"/>
        <v>E2_1_1_174 : 0</v>
      </c>
      <c r="K93" s="2" t="str">
        <f t="shared" si="9"/>
        <v>0.00292 - (0.0093 * E2_1_1_174_mRNA)</v>
      </c>
      <c r="L93" s="2" t="str">
        <f t="shared" si="10"/>
        <v>(0.278 * E2_1_1_174_mRNA) - (0.00000278 * E2_1_1_174)</v>
      </c>
      <c r="M93" s="2" t="str">
        <f t="shared" si="11"/>
        <v>mRNA92: -&gt; E2_1_1_174_mRNA | 0.00292 - (0.0093 * E2_1_1_174_mRNA)</v>
      </c>
      <c r="N93" s="2" t="str">
        <f t="shared" si="12"/>
        <v>Peptide92: E2_1_1_174_mRNA -&gt; E2_1_1_174 | (0.278 * E2_1_1_174_mRNA) - (0.000000278 * E2_1_1_174)</v>
      </c>
    </row>
    <row r="94">
      <c r="A94" s="12">
        <v>93.0</v>
      </c>
      <c r="B94" s="2" t="s">
        <v>25018</v>
      </c>
      <c r="C94" s="2" t="str">
        <f t="shared" si="3"/>
        <v>E2_1_1_176_mRNA</v>
      </c>
      <c r="D94" s="2" t="str">
        <f t="shared" si="4"/>
        <v>E2_1_1_176</v>
      </c>
      <c r="E94" s="2" t="str">
        <f t="shared" si="5"/>
        <v>E2_1_1_176_kcat : 13.7</v>
      </c>
      <c r="F94" s="2" t="str">
        <f t="shared" si="6"/>
        <v>E2_1_1_176_km : 1</v>
      </c>
      <c r="G94" s="2" t="str">
        <f t="shared" ref="G94:H94" si="193">CONCATENATE(C94," : ",C94)</f>
        <v>E2_1_1_176_mRNA : E2_1_1_176_mRNA</v>
      </c>
      <c r="H94" s="2" t="str">
        <f t="shared" si="193"/>
        <v>E2_1_1_176 : E2_1_1_176</v>
      </c>
      <c r="I94" s="2" t="str">
        <f t="shared" ref="I94:J94" si="194">CONCATENATE(C94," : ","0")</f>
        <v>E2_1_1_176_mRNA : 0</v>
      </c>
      <c r="J94" s="2" t="str">
        <f t="shared" si="194"/>
        <v>E2_1_1_176 : 0</v>
      </c>
      <c r="K94" s="2" t="str">
        <f t="shared" si="9"/>
        <v>0.00292 - (0.0093 * E2_1_1_176_mRNA)</v>
      </c>
      <c r="L94" s="2" t="str">
        <f t="shared" si="10"/>
        <v>(0.278 * E2_1_1_176_mRNA) - (0.00000278 * E2_1_1_176)</v>
      </c>
      <c r="M94" s="2" t="str">
        <f t="shared" si="11"/>
        <v>mRNA93: -&gt; E2_1_1_176_mRNA | 0.00292 - (0.0093 * E2_1_1_176_mRNA)</v>
      </c>
      <c r="N94" s="2" t="str">
        <f t="shared" si="12"/>
        <v>Peptide93: E2_1_1_176_mRNA -&gt; E2_1_1_176 | (0.278 * E2_1_1_176_mRNA) - (0.000000278 * E2_1_1_176)</v>
      </c>
    </row>
    <row r="95">
      <c r="A95" s="12">
        <v>94.0</v>
      </c>
      <c r="B95" s="2" t="s">
        <v>25019</v>
      </c>
      <c r="C95" s="2" t="str">
        <f t="shared" si="3"/>
        <v>E2_1_1_177_mRNA</v>
      </c>
      <c r="D95" s="2" t="str">
        <f t="shared" si="4"/>
        <v>E2_1_1_177</v>
      </c>
      <c r="E95" s="2" t="str">
        <f t="shared" si="5"/>
        <v>E2_1_1_177_kcat : 13.7</v>
      </c>
      <c r="F95" s="2" t="str">
        <f t="shared" si="6"/>
        <v>E2_1_1_177_km : 1</v>
      </c>
      <c r="G95" s="2" t="str">
        <f t="shared" ref="G95:H95" si="195">CONCATENATE(C95," : ",C95)</f>
        <v>E2_1_1_177_mRNA : E2_1_1_177_mRNA</v>
      </c>
      <c r="H95" s="2" t="str">
        <f t="shared" si="195"/>
        <v>E2_1_1_177 : E2_1_1_177</v>
      </c>
      <c r="I95" s="2" t="str">
        <f t="shared" ref="I95:J95" si="196">CONCATENATE(C95," : ","0")</f>
        <v>E2_1_1_177_mRNA : 0</v>
      </c>
      <c r="J95" s="2" t="str">
        <f t="shared" si="196"/>
        <v>E2_1_1_177 : 0</v>
      </c>
      <c r="K95" s="2" t="str">
        <f t="shared" si="9"/>
        <v>0.00292 - (0.0093 * E2_1_1_177_mRNA)</v>
      </c>
      <c r="L95" s="2" t="str">
        <f t="shared" si="10"/>
        <v>(0.278 * E2_1_1_177_mRNA) - (0.00000278 * E2_1_1_177)</v>
      </c>
      <c r="M95" s="2" t="str">
        <f t="shared" si="11"/>
        <v>mRNA94: -&gt; E2_1_1_177_mRNA | 0.00292 - (0.0093 * E2_1_1_177_mRNA)</v>
      </c>
      <c r="N95" s="2" t="str">
        <f t="shared" si="12"/>
        <v>Peptide94: E2_1_1_177_mRNA -&gt; E2_1_1_177 | (0.278 * E2_1_1_177_mRNA) - (0.000000278 * E2_1_1_177)</v>
      </c>
    </row>
    <row r="96">
      <c r="A96" s="12">
        <v>95.0</v>
      </c>
      <c r="B96" s="2" t="s">
        <v>25020</v>
      </c>
      <c r="C96" s="2" t="str">
        <f t="shared" si="3"/>
        <v>E2_1_1_182_mRNA</v>
      </c>
      <c r="D96" s="2" t="str">
        <f t="shared" si="4"/>
        <v>E2_1_1_182</v>
      </c>
      <c r="E96" s="2" t="str">
        <f t="shared" si="5"/>
        <v>E2_1_1_182_kcat : 13.7</v>
      </c>
      <c r="F96" s="2" t="str">
        <f t="shared" si="6"/>
        <v>E2_1_1_182_km : 1</v>
      </c>
      <c r="G96" s="2" t="str">
        <f t="shared" ref="G96:H96" si="197">CONCATENATE(C96," : ",C96)</f>
        <v>E2_1_1_182_mRNA : E2_1_1_182_mRNA</v>
      </c>
      <c r="H96" s="2" t="str">
        <f t="shared" si="197"/>
        <v>E2_1_1_182 : E2_1_1_182</v>
      </c>
      <c r="I96" s="2" t="str">
        <f t="shared" ref="I96:J96" si="198">CONCATENATE(C96," : ","0")</f>
        <v>E2_1_1_182_mRNA : 0</v>
      </c>
      <c r="J96" s="2" t="str">
        <f t="shared" si="198"/>
        <v>E2_1_1_182 : 0</v>
      </c>
      <c r="K96" s="2" t="str">
        <f t="shared" si="9"/>
        <v>0.00292 - (0.0093 * E2_1_1_182_mRNA)</v>
      </c>
      <c r="L96" s="2" t="str">
        <f t="shared" si="10"/>
        <v>(0.278 * E2_1_1_182_mRNA) - (0.00000278 * E2_1_1_182)</v>
      </c>
      <c r="M96" s="2" t="str">
        <f t="shared" si="11"/>
        <v>mRNA95: -&gt; E2_1_1_182_mRNA | 0.00292 - (0.0093 * E2_1_1_182_mRNA)</v>
      </c>
      <c r="N96" s="2" t="str">
        <f t="shared" si="12"/>
        <v>Peptide95: E2_1_1_182_mRNA -&gt; E2_1_1_182 | (0.278 * E2_1_1_182_mRNA) - (0.000000278 * E2_1_1_182)</v>
      </c>
    </row>
    <row r="97">
      <c r="A97" s="12">
        <v>96.0</v>
      </c>
      <c r="B97" s="2" t="s">
        <v>25021</v>
      </c>
      <c r="C97" s="2" t="str">
        <f t="shared" si="3"/>
        <v>E2_1_1_190_mRNA</v>
      </c>
      <c r="D97" s="2" t="str">
        <f t="shared" si="4"/>
        <v>E2_1_1_190</v>
      </c>
      <c r="E97" s="2" t="str">
        <f t="shared" si="5"/>
        <v>E2_1_1_190_kcat : 13.7</v>
      </c>
      <c r="F97" s="2" t="str">
        <f t="shared" si="6"/>
        <v>E2_1_1_190_km : 1</v>
      </c>
      <c r="G97" s="2" t="str">
        <f t="shared" ref="G97:H97" si="199">CONCATENATE(C97," : ",C97)</f>
        <v>E2_1_1_190_mRNA : E2_1_1_190_mRNA</v>
      </c>
      <c r="H97" s="2" t="str">
        <f t="shared" si="199"/>
        <v>E2_1_1_190 : E2_1_1_190</v>
      </c>
      <c r="I97" s="2" t="str">
        <f t="shared" ref="I97:J97" si="200">CONCATENATE(C97," : ","0")</f>
        <v>E2_1_1_190_mRNA : 0</v>
      </c>
      <c r="J97" s="2" t="str">
        <f t="shared" si="200"/>
        <v>E2_1_1_190 : 0</v>
      </c>
      <c r="K97" s="2" t="str">
        <f t="shared" si="9"/>
        <v>0.00292 - (0.0093 * E2_1_1_190_mRNA)</v>
      </c>
      <c r="L97" s="2" t="str">
        <f t="shared" si="10"/>
        <v>(0.278 * E2_1_1_190_mRNA) - (0.00000278 * E2_1_1_190)</v>
      </c>
      <c r="M97" s="2" t="str">
        <f t="shared" si="11"/>
        <v>mRNA96: -&gt; E2_1_1_190_mRNA | 0.00292 - (0.0093 * E2_1_1_190_mRNA)</v>
      </c>
      <c r="N97" s="2" t="str">
        <f t="shared" si="12"/>
        <v>Peptide96: E2_1_1_190_mRNA -&gt; E2_1_1_190 | (0.278 * E2_1_1_190_mRNA) - (0.000000278 * E2_1_1_190)</v>
      </c>
    </row>
    <row r="98">
      <c r="A98" s="12">
        <v>97.0</v>
      </c>
      <c r="B98" s="2" t="s">
        <v>25022</v>
      </c>
      <c r="C98" s="2" t="str">
        <f t="shared" si="3"/>
        <v>E2_1_1_192_mRNA</v>
      </c>
      <c r="D98" s="2" t="str">
        <f t="shared" si="4"/>
        <v>E2_1_1_192</v>
      </c>
      <c r="E98" s="2" t="str">
        <f t="shared" si="5"/>
        <v>E2_1_1_192_kcat : 13.7</v>
      </c>
      <c r="F98" s="2" t="str">
        <f t="shared" si="6"/>
        <v>E2_1_1_192_km : 1</v>
      </c>
      <c r="G98" s="2" t="str">
        <f t="shared" ref="G98:H98" si="201">CONCATENATE(C98," : ",C98)</f>
        <v>E2_1_1_192_mRNA : E2_1_1_192_mRNA</v>
      </c>
      <c r="H98" s="2" t="str">
        <f t="shared" si="201"/>
        <v>E2_1_1_192 : E2_1_1_192</v>
      </c>
      <c r="I98" s="2" t="str">
        <f t="shared" ref="I98:J98" si="202">CONCATENATE(C98," : ","0")</f>
        <v>E2_1_1_192_mRNA : 0</v>
      </c>
      <c r="J98" s="2" t="str">
        <f t="shared" si="202"/>
        <v>E2_1_1_192 : 0</v>
      </c>
      <c r="K98" s="2" t="str">
        <f t="shared" si="9"/>
        <v>0.00292 - (0.0093 * E2_1_1_192_mRNA)</v>
      </c>
      <c r="L98" s="2" t="str">
        <f t="shared" si="10"/>
        <v>(0.278 * E2_1_1_192_mRNA) - (0.00000278 * E2_1_1_192)</v>
      </c>
      <c r="M98" s="2" t="str">
        <f t="shared" si="11"/>
        <v>mRNA97: -&gt; E2_1_1_192_mRNA | 0.00292 - (0.0093 * E2_1_1_192_mRNA)</v>
      </c>
      <c r="N98" s="2" t="str">
        <f t="shared" si="12"/>
        <v>Peptide97: E2_1_1_192_mRNA -&gt; E2_1_1_192 | (0.278 * E2_1_1_192_mRNA) - (0.000000278 * E2_1_1_192)</v>
      </c>
    </row>
    <row r="99">
      <c r="A99" s="12">
        <v>98.0</v>
      </c>
      <c r="B99" s="2" t="s">
        <v>25023</v>
      </c>
      <c r="C99" s="2" t="str">
        <f t="shared" si="3"/>
        <v>E2_1_1_193_mRNA</v>
      </c>
      <c r="D99" s="2" t="str">
        <f t="shared" si="4"/>
        <v>E2_1_1_193</v>
      </c>
      <c r="E99" s="2" t="str">
        <f t="shared" si="5"/>
        <v>E2_1_1_193_kcat : 13.7</v>
      </c>
      <c r="F99" s="2" t="str">
        <f t="shared" si="6"/>
        <v>E2_1_1_193_km : 1</v>
      </c>
      <c r="G99" s="2" t="str">
        <f t="shared" ref="G99:H99" si="203">CONCATENATE(C99," : ",C99)</f>
        <v>E2_1_1_193_mRNA : E2_1_1_193_mRNA</v>
      </c>
      <c r="H99" s="2" t="str">
        <f t="shared" si="203"/>
        <v>E2_1_1_193 : E2_1_1_193</v>
      </c>
      <c r="I99" s="2" t="str">
        <f t="shared" ref="I99:J99" si="204">CONCATENATE(C99," : ","0")</f>
        <v>E2_1_1_193_mRNA : 0</v>
      </c>
      <c r="J99" s="2" t="str">
        <f t="shared" si="204"/>
        <v>E2_1_1_193 : 0</v>
      </c>
      <c r="K99" s="2" t="str">
        <f t="shared" si="9"/>
        <v>0.00292 - (0.0093 * E2_1_1_193_mRNA)</v>
      </c>
      <c r="L99" s="2" t="str">
        <f t="shared" si="10"/>
        <v>(0.278 * E2_1_1_193_mRNA) - (0.00000278 * E2_1_1_193)</v>
      </c>
      <c r="M99" s="2" t="str">
        <f t="shared" si="11"/>
        <v>mRNA98: -&gt; E2_1_1_193_mRNA | 0.00292 - (0.0093 * E2_1_1_193_mRNA)</v>
      </c>
      <c r="N99" s="2" t="str">
        <f t="shared" si="12"/>
        <v>Peptide98: E2_1_1_193_mRNA -&gt; E2_1_1_193 | (0.278 * E2_1_1_193_mRNA) - (0.000000278 * E2_1_1_193)</v>
      </c>
    </row>
    <row r="100">
      <c r="A100" s="12">
        <v>99.0</v>
      </c>
      <c r="B100" s="2" t="s">
        <v>25024</v>
      </c>
      <c r="C100" s="2" t="str">
        <f t="shared" si="3"/>
        <v>E2_1_1_197_mRNA</v>
      </c>
      <c r="D100" s="2" t="str">
        <f t="shared" si="4"/>
        <v>E2_1_1_197</v>
      </c>
      <c r="E100" s="2" t="str">
        <f t="shared" si="5"/>
        <v>E2_1_1_197_kcat : 13.7</v>
      </c>
      <c r="F100" s="2" t="str">
        <f t="shared" si="6"/>
        <v>E2_1_1_197_km : 1</v>
      </c>
      <c r="G100" s="2" t="str">
        <f t="shared" ref="G100:H100" si="205">CONCATENATE(C100," : ",C100)</f>
        <v>E2_1_1_197_mRNA : E2_1_1_197_mRNA</v>
      </c>
      <c r="H100" s="2" t="str">
        <f t="shared" si="205"/>
        <v>E2_1_1_197 : E2_1_1_197</v>
      </c>
      <c r="I100" s="2" t="str">
        <f t="shared" ref="I100:J100" si="206">CONCATENATE(C100," : ","0")</f>
        <v>E2_1_1_197_mRNA : 0</v>
      </c>
      <c r="J100" s="2" t="str">
        <f t="shared" si="206"/>
        <v>E2_1_1_197 : 0</v>
      </c>
      <c r="K100" s="2" t="str">
        <f t="shared" si="9"/>
        <v>0.00292 - (0.0093 * E2_1_1_197_mRNA)</v>
      </c>
      <c r="L100" s="2" t="str">
        <f t="shared" si="10"/>
        <v>(0.278 * E2_1_1_197_mRNA) - (0.00000278 * E2_1_1_197)</v>
      </c>
      <c r="M100" s="2" t="str">
        <f t="shared" si="11"/>
        <v>mRNA99: -&gt; E2_1_1_197_mRNA | 0.00292 - (0.0093 * E2_1_1_197_mRNA)</v>
      </c>
      <c r="N100" s="2" t="str">
        <f t="shared" si="12"/>
        <v>Peptide99: E2_1_1_197_mRNA -&gt; E2_1_1_197 | (0.278 * E2_1_1_197_mRNA) - (0.000000278 * E2_1_1_197)</v>
      </c>
    </row>
    <row r="101">
      <c r="A101" s="12">
        <v>100.0</v>
      </c>
      <c r="B101" s="2" t="s">
        <v>25025</v>
      </c>
      <c r="C101" s="2" t="str">
        <f t="shared" si="3"/>
        <v>E2_1_1_198_mRNA</v>
      </c>
      <c r="D101" s="2" t="str">
        <f t="shared" si="4"/>
        <v>E2_1_1_198</v>
      </c>
      <c r="E101" s="2" t="str">
        <f t="shared" si="5"/>
        <v>E2_1_1_198_kcat : 13.7</v>
      </c>
      <c r="F101" s="2" t="str">
        <f t="shared" si="6"/>
        <v>E2_1_1_198_km : 1</v>
      </c>
      <c r="G101" s="2" t="str">
        <f t="shared" ref="G101:H101" si="207">CONCATENATE(C101," : ",C101)</f>
        <v>E2_1_1_198_mRNA : E2_1_1_198_mRNA</v>
      </c>
      <c r="H101" s="2" t="str">
        <f t="shared" si="207"/>
        <v>E2_1_1_198 : E2_1_1_198</v>
      </c>
      <c r="I101" s="2" t="str">
        <f t="shared" ref="I101:J101" si="208">CONCATENATE(C101," : ","0")</f>
        <v>E2_1_1_198_mRNA : 0</v>
      </c>
      <c r="J101" s="2" t="str">
        <f t="shared" si="208"/>
        <v>E2_1_1_198 : 0</v>
      </c>
      <c r="K101" s="2" t="str">
        <f t="shared" si="9"/>
        <v>0.00292 - (0.0093 * E2_1_1_198_mRNA)</v>
      </c>
      <c r="L101" s="2" t="str">
        <f t="shared" si="10"/>
        <v>(0.278 * E2_1_1_198_mRNA) - (0.00000278 * E2_1_1_198)</v>
      </c>
      <c r="M101" s="2" t="str">
        <f t="shared" si="11"/>
        <v>mRNA100: -&gt; E2_1_1_198_mRNA | 0.00292 - (0.0093 * E2_1_1_198_mRNA)</v>
      </c>
      <c r="N101" s="2" t="str">
        <f t="shared" si="12"/>
        <v>Peptide100: E2_1_1_198_mRNA -&gt; E2_1_1_198 | (0.278 * E2_1_1_198_mRNA) - (0.000000278 * E2_1_1_198)</v>
      </c>
    </row>
    <row r="102">
      <c r="A102" s="12">
        <v>101.0</v>
      </c>
      <c r="B102" s="2" t="s">
        <v>25026</v>
      </c>
      <c r="C102" s="2" t="str">
        <f t="shared" si="3"/>
        <v>E2_1_1_199_mRNA</v>
      </c>
      <c r="D102" s="2" t="str">
        <f t="shared" si="4"/>
        <v>E2_1_1_199</v>
      </c>
      <c r="E102" s="2" t="str">
        <f t="shared" si="5"/>
        <v>E2_1_1_199_kcat : 13.7</v>
      </c>
      <c r="F102" s="2" t="str">
        <f t="shared" si="6"/>
        <v>E2_1_1_199_km : 1</v>
      </c>
      <c r="G102" s="2" t="str">
        <f t="shared" ref="G102:H102" si="209">CONCATENATE(C102," : ",C102)</f>
        <v>E2_1_1_199_mRNA : E2_1_1_199_mRNA</v>
      </c>
      <c r="H102" s="2" t="str">
        <f t="shared" si="209"/>
        <v>E2_1_1_199 : E2_1_1_199</v>
      </c>
      <c r="I102" s="2" t="str">
        <f t="shared" ref="I102:J102" si="210">CONCATENATE(C102," : ","0")</f>
        <v>E2_1_1_199_mRNA : 0</v>
      </c>
      <c r="J102" s="2" t="str">
        <f t="shared" si="210"/>
        <v>E2_1_1_199 : 0</v>
      </c>
      <c r="K102" s="2" t="str">
        <f t="shared" si="9"/>
        <v>0.00292 - (0.0093 * E2_1_1_199_mRNA)</v>
      </c>
      <c r="L102" s="2" t="str">
        <f t="shared" si="10"/>
        <v>(0.278 * E2_1_1_199_mRNA) - (0.00000278 * E2_1_1_199)</v>
      </c>
      <c r="M102" s="2" t="str">
        <f t="shared" si="11"/>
        <v>mRNA101: -&gt; E2_1_1_199_mRNA | 0.00292 - (0.0093 * E2_1_1_199_mRNA)</v>
      </c>
      <c r="N102" s="2" t="str">
        <f t="shared" si="12"/>
        <v>Peptide101: E2_1_1_199_mRNA -&gt; E2_1_1_199 | (0.278 * E2_1_1_199_mRNA) - (0.000000278 * E2_1_1_199)</v>
      </c>
    </row>
    <row r="103">
      <c r="A103" s="12">
        <v>102.0</v>
      </c>
      <c r="B103" s="2" t="s">
        <v>25027</v>
      </c>
      <c r="C103" s="2" t="str">
        <f t="shared" si="3"/>
        <v>E2_1_1_207_mRNA</v>
      </c>
      <c r="D103" s="2" t="str">
        <f t="shared" si="4"/>
        <v>E2_1_1_207</v>
      </c>
      <c r="E103" s="2" t="str">
        <f t="shared" si="5"/>
        <v>E2_1_1_207_kcat : 13.7</v>
      </c>
      <c r="F103" s="2" t="str">
        <f t="shared" si="6"/>
        <v>E2_1_1_207_km : 1</v>
      </c>
      <c r="G103" s="2" t="str">
        <f t="shared" ref="G103:H103" si="211">CONCATENATE(C103," : ",C103)</f>
        <v>E2_1_1_207_mRNA : E2_1_1_207_mRNA</v>
      </c>
      <c r="H103" s="2" t="str">
        <f t="shared" si="211"/>
        <v>E2_1_1_207 : E2_1_1_207</v>
      </c>
      <c r="I103" s="2" t="str">
        <f t="shared" ref="I103:J103" si="212">CONCATENATE(C103," : ","0")</f>
        <v>E2_1_1_207_mRNA : 0</v>
      </c>
      <c r="J103" s="2" t="str">
        <f t="shared" si="212"/>
        <v>E2_1_1_207 : 0</v>
      </c>
      <c r="K103" s="2" t="str">
        <f t="shared" si="9"/>
        <v>0.00292 - (0.0093 * E2_1_1_207_mRNA)</v>
      </c>
      <c r="L103" s="2" t="str">
        <f t="shared" si="10"/>
        <v>(0.278 * E2_1_1_207_mRNA) - (0.00000278 * E2_1_1_207)</v>
      </c>
      <c r="M103" s="2" t="str">
        <f t="shared" si="11"/>
        <v>mRNA102: -&gt; E2_1_1_207_mRNA | 0.00292 - (0.0093 * E2_1_1_207_mRNA)</v>
      </c>
      <c r="N103" s="2" t="str">
        <f t="shared" si="12"/>
        <v>Peptide102: E2_1_1_207_mRNA -&gt; E2_1_1_207 | (0.278 * E2_1_1_207_mRNA) - (0.000000278 * E2_1_1_207)</v>
      </c>
    </row>
    <row r="104">
      <c r="A104" s="12">
        <v>103.0</v>
      </c>
      <c r="B104" s="2" t="s">
        <v>25028</v>
      </c>
      <c r="C104" s="2" t="str">
        <f t="shared" si="3"/>
        <v>E2_1_1_223_mRNA</v>
      </c>
      <c r="D104" s="2" t="str">
        <f t="shared" si="4"/>
        <v>E2_1_1_223</v>
      </c>
      <c r="E104" s="2" t="str">
        <f t="shared" si="5"/>
        <v>E2_1_1_223_kcat : 13.7</v>
      </c>
      <c r="F104" s="2" t="str">
        <f t="shared" si="6"/>
        <v>E2_1_1_223_km : 1</v>
      </c>
      <c r="G104" s="2" t="str">
        <f t="shared" ref="G104:H104" si="213">CONCATENATE(C104," : ",C104)</f>
        <v>E2_1_1_223_mRNA : E2_1_1_223_mRNA</v>
      </c>
      <c r="H104" s="2" t="str">
        <f t="shared" si="213"/>
        <v>E2_1_1_223 : E2_1_1_223</v>
      </c>
      <c r="I104" s="2" t="str">
        <f t="shared" ref="I104:J104" si="214">CONCATENATE(C104," : ","0")</f>
        <v>E2_1_1_223_mRNA : 0</v>
      </c>
      <c r="J104" s="2" t="str">
        <f t="shared" si="214"/>
        <v>E2_1_1_223 : 0</v>
      </c>
      <c r="K104" s="2" t="str">
        <f t="shared" si="9"/>
        <v>0.00292 - (0.0093 * E2_1_1_223_mRNA)</v>
      </c>
      <c r="L104" s="2" t="str">
        <f t="shared" si="10"/>
        <v>(0.278 * E2_1_1_223_mRNA) - (0.00000278 * E2_1_1_223)</v>
      </c>
      <c r="M104" s="2" t="str">
        <f t="shared" si="11"/>
        <v>mRNA103: -&gt; E2_1_1_223_mRNA | 0.00292 - (0.0093 * E2_1_1_223_mRNA)</v>
      </c>
      <c r="N104" s="2" t="str">
        <f t="shared" si="12"/>
        <v>Peptide103: E2_1_1_223_mRNA -&gt; E2_1_1_223 | (0.278 * E2_1_1_223_mRNA) - (0.000000278 * E2_1_1_223)</v>
      </c>
    </row>
    <row r="105">
      <c r="A105" s="12">
        <v>104.0</v>
      </c>
      <c r="B105" s="2" t="s">
        <v>25029</v>
      </c>
      <c r="C105" s="2" t="str">
        <f t="shared" si="3"/>
        <v>E2_1_1_228_mRNA</v>
      </c>
      <c r="D105" s="2" t="str">
        <f t="shared" si="4"/>
        <v>E2_1_1_228</v>
      </c>
      <c r="E105" s="2" t="str">
        <f t="shared" si="5"/>
        <v>E2_1_1_228_kcat : 13.7</v>
      </c>
      <c r="F105" s="2" t="str">
        <f t="shared" si="6"/>
        <v>E2_1_1_228_km : 1</v>
      </c>
      <c r="G105" s="2" t="str">
        <f t="shared" ref="G105:H105" si="215">CONCATENATE(C105," : ",C105)</f>
        <v>E2_1_1_228_mRNA : E2_1_1_228_mRNA</v>
      </c>
      <c r="H105" s="2" t="str">
        <f t="shared" si="215"/>
        <v>E2_1_1_228 : E2_1_1_228</v>
      </c>
      <c r="I105" s="2" t="str">
        <f t="shared" ref="I105:J105" si="216">CONCATENATE(C105," : ","0")</f>
        <v>E2_1_1_228_mRNA : 0</v>
      </c>
      <c r="J105" s="2" t="str">
        <f t="shared" si="216"/>
        <v>E2_1_1_228 : 0</v>
      </c>
      <c r="K105" s="2" t="str">
        <f t="shared" si="9"/>
        <v>0.00292 - (0.0093 * E2_1_1_228_mRNA)</v>
      </c>
      <c r="L105" s="2" t="str">
        <f t="shared" si="10"/>
        <v>(0.278 * E2_1_1_228_mRNA) - (0.00000278 * E2_1_1_228)</v>
      </c>
      <c r="M105" s="2" t="str">
        <f t="shared" si="11"/>
        <v>mRNA104: -&gt; E2_1_1_228_mRNA | 0.00292 - (0.0093 * E2_1_1_228_mRNA)</v>
      </c>
      <c r="N105" s="2" t="str">
        <f t="shared" si="12"/>
        <v>Peptide104: E2_1_1_228_mRNA -&gt; E2_1_1_228 | (0.278 * E2_1_1_228_mRNA) - (0.000000278 * E2_1_1_228)</v>
      </c>
    </row>
    <row r="106">
      <c r="A106" s="12">
        <v>105.0</v>
      </c>
      <c r="B106" s="2" t="s">
        <v>25030</v>
      </c>
      <c r="C106" s="2" t="str">
        <f t="shared" si="3"/>
        <v>E2_1_1_297_mRNA</v>
      </c>
      <c r="D106" s="2" t="str">
        <f t="shared" si="4"/>
        <v>E2_1_1_297</v>
      </c>
      <c r="E106" s="2" t="str">
        <f t="shared" si="5"/>
        <v>E2_1_1_297_kcat : 13.7</v>
      </c>
      <c r="F106" s="2" t="str">
        <f t="shared" si="6"/>
        <v>E2_1_1_297_km : 1</v>
      </c>
      <c r="G106" s="2" t="str">
        <f t="shared" ref="G106:H106" si="217">CONCATENATE(C106," : ",C106)</f>
        <v>E2_1_1_297_mRNA : E2_1_1_297_mRNA</v>
      </c>
      <c r="H106" s="2" t="str">
        <f t="shared" si="217"/>
        <v>E2_1_1_297 : E2_1_1_297</v>
      </c>
      <c r="I106" s="2" t="str">
        <f t="shared" ref="I106:J106" si="218">CONCATENATE(C106," : ","0")</f>
        <v>E2_1_1_297_mRNA : 0</v>
      </c>
      <c r="J106" s="2" t="str">
        <f t="shared" si="218"/>
        <v>E2_1_1_297 : 0</v>
      </c>
      <c r="K106" s="2" t="str">
        <f t="shared" si="9"/>
        <v>0.00292 - (0.0093 * E2_1_1_297_mRNA)</v>
      </c>
      <c r="L106" s="2" t="str">
        <f t="shared" si="10"/>
        <v>(0.278 * E2_1_1_297_mRNA) - (0.00000278 * E2_1_1_297)</v>
      </c>
      <c r="M106" s="2" t="str">
        <f t="shared" si="11"/>
        <v>mRNA105: -&gt; E2_1_1_297_mRNA | 0.00292 - (0.0093 * E2_1_1_297_mRNA)</v>
      </c>
      <c r="N106" s="2" t="str">
        <f t="shared" si="12"/>
        <v>Peptide105: E2_1_1_297_mRNA -&gt; E2_1_1_297 | (0.278 * E2_1_1_297_mRNA) - (0.000000278 * E2_1_1_297)</v>
      </c>
    </row>
    <row r="107">
      <c r="A107" s="12">
        <v>106.0</v>
      </c>
      <c r="B107" s="2" t="s">
        <v>25031</v>
      </c>
      <c r="C107" s="2" t="str">
        <f t="shared" si="3"/>
        <v>E2_1_1_33_mRNA</v>
      </c>
      <c r="D107" s="2" t="str">
        <f t="shared" si="4"/>
        <v>E2_1_1_33</v>
      </c>
      <c r="E107" s="2" t="str">
        <f t="shared" si="5"/>
        <v>E2_1_1_33_kcat : 13.7</v>
      </c>
      <c r="F107" s="2" t="str">
        <f t="shared" si="6"/>
        <v>E2_1_1_33_km : 1</v>
      </c>
      <c r="G107" s="2" t="str">
        <f t="shared" ref="G107:H107" si="219">CONCATENATE(C107," : ",C107)</f>
        <v>E2_1_1_33_mRNA : E2_1_1_33_mRNA</v>
      </c>
      <c r="H107" s="2" t="str">
        <f t="shared" si="219"/>
        <v>E2_1_1_33 : E2_1_1_33</v>
      </c>
      <c r="I107" s="2" t="str">
        <f t="shared" ref="I107:J107" si="220">CONCATENATE(C107," : ","0")</f>
        <v>E2_1_1_33_mRNA : 0</v>
      </c>
      <c r="J107" s="2" t="str">
        <f t="shared" si="220"/>
        <v>E2_1_1_33 : 0</v>
      </c>
      <c r="K107" s="2" t="str">
        <f t="shared" si="9"/>
        <v>0.00292 - (0.0093 * E2_1_1_33_mRNA)</v>
      </c>
      <c r="L107" s="2" t="str">
        <f t="shared" si="10"/>
        <v>(0.278 * E2_1_1_33_mRNA) - (0.00000278 * E2_1_1_33)</v>
      </c>
      <c r="M107" s="2" t="str">
        <f t="shared" si="11"/>
        <v>mRNA106: -&gt; E2_1_1_33_mRNA | 0.00292 - (0.0093 * E2_1_1_33_mRNA)</v>
      </c>
      <c r="N107" s="2" t="str">
        <f t="shared" si="12"/>
        <v>Peptide106: E2_1_1_33_mRNA -&gt; E2_1_1_33 | (0.278 * E2_1_1_33_mRNA) - (0.000000278 * E2_1_1_33)</v>
      </c>
    </row>
    <row r="108">
      <c r="A108" s="12">
        <v>107.0</v>
      </c>
      <c r="B108" s="2" t="s">
        <v>25032</v>
      </c>
      <c r="C108" s="2" t="str">
        <f t="shared" si="3"/>
        <v>E2_1_1_45_mRNA</v>
      </c>
      <c r="D108" s="2" t="str">
        <f t="shared" si="4"/>
        <v>E2_1_1_45</v>
      </c>
      <c r="E108" s="2" t="str">
        <f t="shared" si="5"/>
        <v>E2_1_1_45_kcat : 13.7</v>
      </c>
      <c r="F108" s="2" t="str">
        <f t="shared" si="6"/>
        <v>E2_1_1_45_km : 1</v>
      </c>
      <c r="G108" s="2" t="str">
        <f t="shared" ref="G108:H108" si="221">CONCATENATE(C108," : ",C108)</f>
        <v>E2_1_1_45_mRNA : E2_1_1_45_mRNA</v>
      </c>
      <c r="H108" s="2" t="str">
        <f t="shared" si="221"/>
        <v>E2_1_1_45 : E2_1_1_45</v>
      </c>
      <c r="I108" s="2" t="str">
        <f t="shared" ref="I108:J108" si="222">CONCATENATE(C108," : ","0")</f>
        <v>E2_1_1_45_mRNA : 0</v>
      </c>
      <c r="J108" s="2" t="str">
        <f t="shared" si="222"/>
        <v>E2_1_1_45 : 0</v>
      </c>
      <c r="K108" s="2" t="str">
        <f t="shared" si="9"/>
        <v>0.00292 - (0.0093 * E2_1_1_45_mRNA)</v>
      </c>
      <c r="L108" s="2" t="str">
        <f t="shared" si="10"/>
        <v>(0.278 * E2_1_1_45_mRNA) - (0.00000278 * E2_1_1_45)</v>
      </c>
      <c r="M108" s="2" t="str">
        <f t="shared" si="11"/>
        <v>mRNA107: -&gt; E2_1_1_45_mRNA | 0.00292 - (0.0093 * E2_1_1_45_mRNA)</v>
      </c>
      <c r="N108" s="2" t="str">
        <f t="shared" si="12"/>
        <v>Peptide107: E2_1_1_45_mRNA -&gt; E2_1_1_45 | (0.278 * E2_1_1_45_mRNA) - (0.000000278 * E2_1_1_45)</v>
      </c>
    </row>
    <row r="109">
      <c r="A109" s="12">
        <v>108.0</v>
      </c>
      <c r="B109" s="2" t="s">
        <v>25033</v>
      </c>
      <c r="C109" s="2" t="str">
        <f t="shared" si="3"/>
        <v>E2_1_1_63_mRNA</v>
      </c>
      <c r="D109" s="2" t="str">
        <f t="shared" si="4"/>
        <v>E2_1_1_63</v>
      </c>
      <c r="E109" s="2" t="str">
        <f t="shared" si="5"/>
        <v>E2_1_1_63_kcat : 13.7</v>
      </c>
      <c r="F109" s="2" t="str">
        <f t="shared" si="6"/>
        <v>E2_1_1_63_km : 1</v>
      </c>
      <c r="G109" s="2" t="str">
        <f t="shared" ref="G109:H109" si="223">CONCATENATE(C109," : ",C109)</f>
        <v>E2_1_1_63_mRNA : E2_1_1_63_mRNA</v>
      </c>
      <c r="H109" s="2" t="str">
        <f t="shared" si="223"/>
        <v>E2_1_1_63 : E2_1_1_63</v>
      </c>
      <c r="I109" s="2" t="str">
        <f t="shared" ref="I109:J109" si="224">CONCATENATE(C109," : ","0")</f>
        <v>E2_1_1_63_mRNA : 0</v>
      </c>
      <c r="J109" s="2" t="str">
        <f t="shared" si="224"/>
        <v>E2_1_1_63 : 0</v>
      </c>
      <c r="K109" s="2" t="str">
        <f t="shared" si="9"/>
        <v>0.00292 - (0.0093 * E2_1_1_63_mRNA)</v>
      </c>
      <c r="L109" s="2" t="str">
        <f t="shared" si="10"/>
        <v>(0.278 * E2_1_1_63_mRNA) - (0.00000278 * E2_1_1_63)</v>
      </c>
      <c r="M109" s="2" t="str">
        <f t="shared" si="11"/>
        <v>mRNA108: -&gt; E2_1_1_63_mRNA | 0.00292 - (0.0093 * E2_1_1_63_mRNA)</v>
      </c>
      <c r="N109" s="2" t="str">
        <f t="shared" si="12"/>
        <v>Peptide108: E2_1_1_63_mRNA -&gt; E2_1_1_63 | (0.278 * E2_1_1_63_mRNA) - (0.000000278 * E2_1_1_63)</v>
      </c>
    </row>
    <row r="110">
      <c r="A110" s="12">
        <v>109.0</v>
      </c>
      <c r="B110" s="2" t="s">
        <v>25034</v>
      </c>
      <c r="C110" s="2" t="str">
        <f t="shared" si="3"/>
        <v>E2_1_1_72_mRNA</v>
      </c>
      <c r="D110" s="2" t="str">
        <f t="shared" si="4"/>
        <v>E2_1_1_72</v>
      </c>
      <c r="E110" s="2" t="str">
        <f t="shared" si="5"/>
        <v>E2_1_1_72_kcat : 13.7</v>
      </c>
      <c r="F110" s="2" t="str">
        <f t="shared" si="6"/>
        <v>E2_1_1_72_km : 1</v>
      </c>
      <c r="G110" s="2" t="str">
        <f t="shared" ref="G110:H110" si="225">CONCATENATE(C110," : ",C110)</f>
        <v>E2_1_1_72_mRNA : E2_1_1_72_mRNA</v>
      </c>
      <c r="H110" s="2" t="str">
        <f t="shared" si="225"/>
        <v>E2_1_1_72 : E2_1_1_72</v>
      </c>
      <c r="I110" s="2" t="str">
        <f t="shared" ref="I110:J110" si="226">CONCATENATE(C110," : ","0")</f>
        <v>E2_1_1_72_mRNA : 0</v>
      </c>
      <c r="J110" s="2" t="str">
        <f t="shared" si="226"/>
        <v>E2_1_1_72 : 0</v>
      </c>
      <c r="K110" s="2" t="str">
        <f t="shared" si="9"/>
        <v>0.00292 - (0.0093 * E2_1_1_72_mRNA)</v>
      </c>
      <c r="L110" s="2" t="str">
        <f t="shared" si="10"/>
        <v>(0.278 * E2_1_1_72_mRNA) - (0.00000278 * E2_1_1_72)</v>
      </c>
      <c r="M110" s="2" t="str">
        <f t="shared" si="11"/>
        <v>mRNA109: -&gt; E2_1_1_72_mRNA | 0.00292 - (0.0093 * E2_1_1_72_mRNA)</v>
      </c>
      <c r="N110" s="2" t="str">
        <f t="shared" si="12"/>
        <v>Peptide109: E2_1_1_72_mRNA -&gt; E2_1_1_72 | (0.278 * E2_1_1_72_mRNA) - (0.000000278 * E2_1_1_72)</v>
      </c>
    </row>
    <row r="111">
      <c r="A111" s="12">
        <v>110.0</v>
      </c>
      <c r="B111" s="2" t="s">
        <v>25035</v>
      </c>
      <c r="C111" s="2" t="str">
        <f t="shared" si="3"/>
        <v>E2_1_1_74_mRNA</v>
      </c>
      <c r="D111" s="2" t="str">
        <f t="shared" si="4"/>
        <v>E2_1_1_74</v>
      </c>
      <c r="E111" s="2" t="str">
        <f t="shared" si="5"/>
        <v>E2_1_1_74_kcat : 13.7</v>
      </c>
      <c r="F111" s="2" t="str">
        <f t="shared" si="6"/>
        <v>E2_1_1_74_km : 1</v>
      </c>
      <c r="G111" s="2" t="str">
        <f t="shared" ref="G111:H111" si="227">CONCATENATE(C111," : ",C111)</f>
        <v>E2_1_1_74_mRNA : E2_1_1_74_mRNA</v>
      </c>
      <c r="H111" s="2" t="str">
        <f t="shared" si="227"/>
        <v>E2_1_1_74 : E2_1_1_74</v>
      </c>
      <c r="I111" s="2" t="str">
        <f t="shared" ref="I111:J111" si="228">CONCATENATE(C111," : ","0")</f>
        <v>E2_1_1_74_mRNA : 0</v>
      </c>
      <c r="J111" s="2" t="str">
        <f t="shared" si="228"/>
        <v>E2_1_1_74 : 0</v>
      </c>
      <c r="K111" s="2" t="str">
        <f t="shared" si="9"/>
        <v>0.00292 - (0.0093 * E2_1_1_74_mRNA)</v>
      </c>
      <c r="L111" s="2" t="str">
        <f t="shared" si="10"/>
        <v>(0.278 * E2_1_1_74_mRNA) - (0.00000278 * E2_1_1_74)</v>
      </c>
      <c r="M111" s="2" t="str">
        <f t="shared" si="11"/>
        <v>mRNA110: -&gt; E2_1_1_74_mRNA | 0.00292 - (0.0093 * E2_1_1_74_mRNA)</v>
      </c>
      <c r="N111" s="2" t="str">
        <f t="shared" si="12"/>
        <v>Peptide110: E2_1_1_74_mRNA -&gt; E2_1_1_74 | (0.278 * E2_1_1_74_mRNA) - (0.000000278 * E2_1_1_74)</v>
      </c>
    </row>
    <row r="112">
      <c r="A112" s="12">
        <v>111.0</v>
      </c>
      <c r="B112" s="2" t="s">
        <v>25036</v>
      </c>
      <c r="C112" s="2" t="str">
        <f t="shared" si="3"/>
        <v>E2_1_1_79_mRNA</v>
      </c>
      <c r="D112" s="2" t="str">
        <f t="shared" si="4"/>
        <v>E2_1_1_79</v>
      </c>
      <c r="E112" s="2" t="str">
        <f t="shared" si="5"/>
        <v>E2_1_1_79_kcat : 13.7</v>
      </c>
      <c r="F112" s="2" t="str">
        <f t="shared" si="6"/>
        <v>E2_1_1_79_km : 1</v>
      </c>
      <c r="G112" s="2" t="str">
        <f t="shared" ref="G112:H112" si="229">CONCATENATE(C112," : ",C112)</f>
        <v>E2_1_1_79_mRNA : E2_1_1_79_mRNA</v>
      </c>
      <c r="H112" s="2" t="str">
        <f t="shared" si="229"/>
        <v>E2_1_1_79 : E2_1_1_79</v>
      </c>
      <c r="I112" s="2" t="str">
        <f t="shared" ref="I112:J112" si="230">CONCATENATE(C112," : ","0")</f>
        <v>E2_1_1_79_mRNA : 0</v>
      </c>
      <c r="J112" s="2" t="str">
        <f t="shared" si="230"/>
        <v>E2_1_1_79 : 0</v>
      </c>
      <c r="K112" s="2" t="str">
        <f t="shared" si="9"/>
        <v>0.00292 - (0.0093 * E2_1_1_79_mRNA)</v>
      </c>
      <c r="L112" s="2" t="str">
        <f t="shared" si="10"/>
        <v>(0.278 * E2_1_1_79_mRNA) - (0.00000278 * E2_1_1_79)</v>
      </c>
      <c r="M112" s="2" t="str">
        <f t="shared" si="11"/>
        <v>mRNA111: -&gt; E2_1_1_79_mRNA | 0.00292 - (0.0093 * E2_1_1_79_mRNA)</v>
      </c>
      <c r="N112" s="2" t="str">
        <f t="shared" si="12"/>
        <v>Peptide111: E2_1_1_79_mRNA -&gt; E2_1_1_79 | (0.278 * E2_1_1_79_mRNA) - (0.000000278 * E2_1_1_79)</v>
      </c>
    </row>
    <row r="113">
      <c r="A113" s="12">
        <v>112.0</v>
      </c>
      <c r="B113" s="2" t="s">
        <v>25037</v>
      </c>
      <c r="C113" s="2" t="str">
        <f t="shared" si="3"/>
        <v>E2_1_1_80_mRNA</v>
      </c>
      <c r="D113" s="2" t="str">
        <f t="shared" si="4"/>
        <v>E2_1_1_80</v>
      </c>
      <c r="E113" s="2" t="str">
        <f t="shared" si="5"/>
        <v>E2_1_1_80_kcat : 13.7</v>
      </c>
      <c r="F113" s="2" t="str">
        <f t="shared" si="6"/>
        <v>E2_1_1_80_km : 1</v>
      </c>
      <c r="G113" s="2" t="str">
        <f t="shared" ref="G113:H113" si="231">CONCATENATE(C113," : ",C113)</f>
        <v>E2_1_1_80_mRNA : E2_1_1_80_mRNA</v>
      </c>
      <c r="H113" s="2" t="str">
        <f t="shared" si="231"/>
        <v>E2_1_1_80 : E2_1_1_80</v>
      </c>
      <c r="I113" s="2" t="str">
        <f t="shared" ref="I113:J113" si="232">CONCATENATE(C113," : ","0")</f>
        <v>E2_1_1_80_mRNA : 0</v>
      </c>
      <c r="J113" s="2" t="str">
        <f t="shared" si="232"/>
        <v>E2_1_1_80 : 0</v>
      </c>
      <c r="K113" s="2" t="str">
        <f t="shared" si="9"/>
        <v>0.00292 - (0.0093 * E2_1_1_80_mRNA)</v>
      </c>
      <c r="L113" s="2" t="str">
        <f t="shared" si="10"/>
        <v>(0.278 * E2_1_1_80_mRNA) - (0.00000278 * E2_1_1_80)</v>
      </c>
      <c r="M113" s="2" t="str">
        <f t="shared" si="11"/>
        <v>mRNA112: -&gt; E2_1_1_80_mRNA | 0.00292 - (0.0093 * E2_1_1_80_mRNA)</v>
      </c>
      <c r="N113" s="2" t="str">
        <f t="shared" si="12"/>
        <v>Peptide112: E2_1_1_80_mRNA -&gt; E2_1_1_80 | (0.278 * E2_1_1_80_mRNA) - (0.000000278 * E2_1_1_80)</v>
      </c>
    </row>
    <row r="114">
      <c r="A114" s="12">
        <v>113.0</v>
      </c>
      <c r="B114" s="2" t="s">
        <v>25038</v>
      </c>
      <c r="C114" s="2" t="str">
        <f t="shared" si="3"/>
        <v>E2_1_2_1_mRNA</v>
      </c>
      <c r="D114" s="2" t="str">
        <f t="shared" si="4"/>
        <v>E2_1_2_1</v>
      </c>
      <c r="E114" s="2" t="str">
        <f t="shared" si="5"/>
        <v>E2_1_2_1_kcat : 13.7</v>
      </c>
      <c r="F114" s="2" t="str">
        <f t="shared" si="6"/>
        <v>E2_1_2_1_km : 1</v>
      </c>
      <c r="G114" s="2" t="str">
        <f t="shared" ref="G114:H114" si="233">CONCATENATE(C114," : ",C114)</f>
        <v>E2_1_2_1_mRNA : E2_1_2_1_mRNA</v>
      </c>
      <c r="H114" s="2" t="str">
        <f t="shared" si="233"/>
        <v>E2_1_2_1 : E2_1_2_1</v>
      </c>
      <c r="I114" s="2" t="str">
        <f t="shared" ref="I114:J114" si="234">CONCATENATE(C114," : ","0")</f>
        <v>E2_1_2_1_mRNA : 0</v>
      </c>
      <c r="J114" s="2" t="str">
        <f t="shared" si="234"/>
        <v>E2_1_2_1 : 0</v>
      </c>
      <c r="K114" s="2" t="str">
        <f t="shared" si="9"/>
        <v>0.00292 - (0.0093 * E2_1_2_1_mRNA)</v>
      </c>
      <c r="L114" s="2" t="str">
        <f t="shared" si="10"/>
        <v>(0.278 * E2_1_2_1_mRNA) - (0.00000278 * E2_1_2_1)</v>
      </c>
      <c r="M114" s="2" t="str">
        <f t="shared" si="11"/>
        <v>mRNA113: -&gt; E2_1_2_1_mRNA | 0.00292 - (0.0093 * E2_1_2_1_mRNA)</v>
      </c>
      <c r="N114" s="2" t="str">
        <f t="shared" si="12"/>
        <v>Peptide113: E2_1_2_1_mRNA -&gt; E2_1_2_1 | (0.278 * E2_1_2_1_mRNA) - (0.000000278 * E2_1_2_1)</v>
      </c>
    </row>
    <row r="115">
      <c r="A115" s="12">
        <v>114.0</v>
      </c>
      <c r="B115" s="2" t="s">
        <v>25039</v>
      </c>
      <c r="C115" s="2" t="str">
        <f t="shared" si="3"/>
        <v>E2_1_2_10_mRNA</v>
      </c>
      <c r="D115" s="2" t="str">
        <f t="shared" si="4"/>
        <v>E2_1_2_10</v>
      </c>
      <c r="E115" s="2" t="str">
        <f t="shared" si="5"/>
        <v>E2_1_2_10_kcat : 13.7</v>
      </c>
      <c r="F115" s="2" t="str">
        <f t="shared" si="6"/>
        <v>E2_1_2_10_km : 1</v>
      </c>
      <c r="G115" s="2" t="str">
        <f t="shared" ref="G115:H115" si="235">CONCATENATE(C115," : ",C115)</f>
        <v>E2_1_2_10_mRNA : E2_1_2_10_mRNA</v>
      </c>
      <c r="H115" s="2" t="str">
        <f t="shared" si="235"/>
        <v>E2_1_2_10 : E2_1_2_10</v>
      </c>
      <c r="I115" s="2" t="str">
        <f t="shared" ref="I115:J115" si="236">CONCATENATE(C115," : ","0")</f>
        <v>E2_1_2_10_mRNA : 0</v>
      </c>
      <c r="J115" s="2" t="str">
        <f t="shared" si="236"/>
        <v>E2_1_2_10 : 0</v>
      </c>
      <c r="K115" s="2" t="str">
        <f t="shared" si="9"/>
        <v>0.00292 - (0.0093 * E2_1_2_10_mRNA)</v>
      </c>
      <c r="L115" s="2" t="str">
        <f t="shared" si="10"/>
        <v>(0.278 * E2_1_2_10_mRNA) - (0.00000278 * E2_1_2_10)</v>
      </c>
      <c r="M115" s="2" t="str">
        <f t="shared" si="11"/>
        <v>mRNA114: -&gt; E2_1_2_10_mRNA | 0.00292 - (0.0093 * E2_1_2_10_mRNA)</v>
      </c>
      <c r="N115" s="2" t="str">
        <f t="shared" si="12"/>
        <v>Peptide114: E2_1_2_10_mRNA -&gt; E2_1_2_10 | (0.278 * E2_1_2_10_mRNA) - (0.000000278 * E2_1_2_10)</v>
      </c>
    </row>
    <row r="116">
      <c r="A116" s="12">
        <v>115.0</v>
      </c>
      <c r="B116" s="2" t="s">
        <v>25040</v>
      </c>
      <c r="C116" s="2" t="str">
        <f t="shared" si="3"/>
        <v>E2_1_2_11_mRNA</v>
      </c>
      <c r="D116" s="2" t="str">
        <f t="shared" si="4"/>
        <v>E2_1_2_11</v>
      </c>
      <c r="E116" s="2" t="str">
        <f t="shared" si="5"/>
        <v>E2_1_2_11_kcat : 13.7</v>
      </c>
      <c r="F116" s="2" t="str">
        <f t="shared" si="6"/>
        <v>E2_1_2_11_km : 1</v>
      </c>
      <c r="G116" s="2" t="str">
        <f t="shared" ref="G116:H116" si="237">CONCATENATE(C116," : ",C116)</f>
        <v>E2_1_2_11_mRNA : E2_1_2_11_mRNA</v>
      </c>
      <c r="H116" s="2" t="str">
        <f t="shared" si="237"/>
        <v>E2_1_2_11 : E2_1_2_11</v>
      </c>
      <c r="I116" s="2" t="str">
        <f t="shared" ref="I116:J116" si="238">CONCATENATE(C116," : ","0")</f>
        <v>E2_1_2_11_mRNA : 0</v>
      </c>
      <c r="J116" s="2" t="str">
        <f t="shared" si="238"/>
        <v>E2_1_2_11 : 0</v>
      </c>
      <c r="K116" s="2" t="str">
        <f t="shared" si="9"/>
        <v>0.00292 - (0.0093 * E2_1_2_11_mRNA)</v>
      </c>
      <c r="L116" s="2" t="str">
        <f t="shared" si="10"/>
        <v>(0.278 * E2_1_2_11_mRNA) - (0.00000278 * E2_1_2_11)</v>
      </c>
      <c r="M116" s="2" t="str">
        <f t="shared" si="11"/>
        <v>mRNA115: -&gt; E2_1_2_11_mRNA | 0.00292 - (0.0093 * E2_1_2_11_mRNA)</v>
      </c>
      <c r="N116" s="2" t="str">
        <f t="shared" si="12"/>
        <v>Peptide115: E2_1_2_11_mRNA -&gt; E2_1_2_11 | (0.278 * E2_1_2_11_mRNA) - (0.000000278 * E2_1_2_11)</v>
      </c>
    </row>
    <row r="117">
      <c r="A117" s="12">
        <v>116.0</v>
      </c>
      <c r="B117" s="2" t="s">
        <v>25041</v>
      </c>
      <c r="C117" s="2" t="str">
        <f t="shared" si="3"/>
        <v>E2_1_2_2_mRNA</v>
      </c>
      <c r="D117" s="2" t="str">
        <f t="shared" si="4"/>
        <v>E2_1_2_2</v>
      </c>
      <c r="E117" s="2" t="str">
        <f t="shared" si="5"/>
        <v>E2_1_2_2_kcat : 13.7</v>
      </c>
      <c r="F117" s="2" t="str">
        <f t="shared" si="6"/>
        <v>E2_1_2_2_km : 1</v>
      </c>
      <c r="G117" s="2" t="str">
        <f t="shared" ref="G117:H117" si="239">CONCATENATE(C117," : ",C117)</f>
        <v>E2_1_2_2_mRNA : E2_1_2_2_mRNA</v>
      </c>
      <c r="H117" s="2" t="str">
        <f t="shared" si="239"/>
        <v>E2_1_2_2 : E2_1_2_2</v>
      </c>
      <c r="I117" s="2" t="str">
        <f t="shared" ref="I117:J117" si="240">CONCATENATE(C117," : ","0")</f>
        <v>E2_1_2_2_mRNA : 0</v>
      </c>
      <c r="J117" s="2" t="str">
        <f t="shared" si="240"/>
        <v>E2_1_2_2 : 0</v>
      </c>
      <c r="K117" s="2" t="str">
        <f t="shared" si="9"/>
        <v>0.00292 - (0.0093 * E2_1_2_2_mRNA)</v>
      </c>
      <c r="L117" s="2" t="str">
        <f t="shared" si="10"/>
        <v>(0.278 * E2_1_2_2_mRNA) - (0.00000278 * E2_1_2_2)</v>
      </c>
      <c r="M117" s="2" t="str">
        <f t="shared" si="11"/>
        <v>mRNA116: -&gt; E2_1_2_2_mRNA | 0.00292 - (0.0093 * E2_1_2_2_mRNA)</v>
      </c>
      <c r="N117" s="2" t="str">
        <f t="shared" si="12"/>
        <v>Peptide116: E2_1_2_2_mRNA -&gt; E2_1_2_2 | (0.278 * E2_1_2_2_mRNA) - (0.000000278 * E2_1_2_2)</v>
      </c>
    </row>
    <row r="118">
      <c r="A118" s="12">
        <v>117.0</v>
      </c>
      <c r="B118" s="2" t="s">
        <v>25042</v>
      </c>
      <c r="C118" s="2" t="str">
        <f t="shared" si="3"/>
        <v>E2_1_2_3_mRNA</v>
      </c>
      <c r="D118" s="2" t="str">
        <f t="shared" si="4"/>
        <v>E2_1_2_3</v>
      </c>
      <c r="E118" s="2" t="str">
        <f t="shared" si="5"/>
        <v>E2_1_2_3_kcat : 13.7</v>
      </c>
      <c r="F118" s="2" t="str">
        <f t="shared" si="6"/>
        <v>E2_1_2_3_km : 1</v>
      </c>
      <c r="G118" s="2" t="str">
        <f t="shared" ref="G118:H118" si="241">CONCATENATE(C118," : ",C118)</f>
        <v>E2_1_2_3_mRNA : E2_1_2_3_mRNA</v>
      </c>
      <c r="H118" s="2" t="str">
        <f t="shared" si="241"/>
        <v>E2_1_2_3 : E2_1_2_3</v>
      </c>
      <c r="I118" s="2" t="str">
        <f t="shared" ref="I118:J118" si="242">CONCATENATE(C118," : ","0")</f>
        <v>E2_1_2_3_mRNA : 0</v>
      </c>
      <c r="J118" s="2" t="str">
        <f t="shared" si="242"/>
        <v>E2_1_2_3 : 0</v>
      </c>
      <c r="K118" s="2" t="str">
        <f t="shared" si="9"/>
        <v>0.00292 - (0.0093 * E2_1_2_3_mRNA)</v>
      </c>
      <c r="L118" s="2" t="str">
        <f t="shared" si="10"/>
        <v>(0.278 * E2_1_2_3_mRNA) - (0.00000278 * E2_1_2_3)</v>
      </c>
      <c r="M118" s="2" t="str">
        <f t="shared" si="11"/>
        <v>mRNA117: -&gt; E2_1_2_3_mRNA | 0.00292 - (0.0093 * E2_1_2_3_mRNA)</v>
      </c>
      <c r="N118" s="2" t="str">
        <f t="shared" si="12"/>
        <v>Peptide117: E2_1_2_3_mRNA -&gt; E2_1_2_3 | (0.278 * E2_1_2_3_mRNA) - (0.000000278 * E2_1_2_3)</v>
      </c>
    </row>
    <row r="119">
      <c r="A119" s="12">
        <v>118.0</v>
      </c>
      <c r="B119" s="2" t="s">
        <v>25043</v>
      </c>
      <c r="C119" s="2" t="str">
        <f t="shared" si="3"/>
        <v>E2_1_2_9_mRNA</v>
      </c>
      <c r="D119" s="2" t="str">
        <f t="shared" si="4"/>
        <v>E2_1_2_9</v>
      </c>
      <c r="E119" s="2" t="str">
        <f t="shared" si="5"/>
        <v>E2_1_2_9_kcat : 13.7</v>
      </c>
      <c r="F119" s="2" t="str">
        <f t="shared" si="6"/>
        <v>E2_1_2_9_km : 1</v>
      </c>
      <c r="G119" s="2" t="str">
        <f t="shared" ref="G119:H119" si="243">CONCATENATE(C119," : ",C119)</f>
        <v>E2_1_2_9_mRNA : E2_1_2_9_mRNA</v>
      </c>
      <c r="H119" s="2" t="str">
        <f t="shared" si="243"/>
        <v>E2_1_2_9 : E2_1_2_9</v>
      </c>
      <c r="I119" s="2" t="str">
        <f t="shared" ref="I119:J119" si="244">CONCATENATE(C119," : ","0")</f>
        <v>E2_1_2_9_mRNA : 0</v>
      </c>
      <c r="J119" s="2" t="str">
        <f t="shared" si="244"/>
        <v>E2_1_2_9 : 0</v>
      </c>
      <c r="K119" s="2" t="str">
        <f t="shared" si="9"/>
        <v>0.00292 - (0.0093 * E2_1_2_9_mRNA)</v>
      </c>
      <c r="L119" s="2" t="str">
        <f t="shared" si="10"/>
        <v>(0.278 * E2_1_2_9_mRNA) - (0.00000278 * E2_1_2_9)</v>
      </c>
      <c r="M119" s="2" t="str">
        <f t="shared" si="11"/>
        <v>mRNA118: -&gt; E2_1_2_9_mRNA | 0.00292 - (0.0093 * E2_1_2_9_mRNA)</v>
      </c>
      <c r="N119" s="2" t="str">
        <f t="shared" si="12"/>
        <v>Peptide118: E2_1_2_9_mRNA -&gt; E2_1_2_9 | (0.278 * E2_1_2_9_mRNA) - (0.000000278 * E2_1_2_9)</v>
      </c>
    </row>
    <row r="120">
      <c r="A120" s="12">
        <v>119.0</v>
      </c>
      <c r="B120" s="2" t="s">
        <v>25044</v>
      </c>
      <c r="C120" s="2" t="str">
        <f t="shared" si="3"/>
        <v>E2_1_3_2_mRNA</v>
      </c>
      <c r="D120" s="2" t="str">
        <f t="shared" si="4"/>
        <v>E2_1_3_2</v>
      </c>
      <c r="E120" s="2" t="str">
        <f t="shared" si="5"/>
        <v>E2_1_3_2_kcat : 13.7</v>
      </c>
      <c r="F120" s="2" t="str">
        <f t="shared" si="6"/>
        <v>E2_1_3_2_km : 1</v>
      </c>
      <c r="G120" s="2" t="str">
        <f t="shared" ref="G120:H120" si="245">CONCATENATE(C120," : ",C120)</f>
        <v>E2_1_3_2_mRNA : E2_1_3_2_mRNA</v>
      </c>
      <c r="H120" s="2" t="str">
        <f t="shared" si="245"/>
        <v>E2_1_3_2 : E2_1_3_2</v>
      </c>
      <c r="I120" s="2" t="str">
        <f t="shared" ref="I120:J120" si="246">CONCATENATE(C120," : ","0")</f>
        <v>E2_1_3_2_mRNA : 0</v>
      </c>
      <c r="J120" s="2" t="str">
        <f t="shared" si="246"/>
        <v>E2_1_3_2 : 0</v>
      </c>
      <c r="K120" s="2" t="str">
        <f t="shared" si="9"/>
        <v>0.00292 - (0.0093 * E2_1_3_2_mRNA)</v>
      </c>
      <c r="L120" s="2" t="str">
        <f t="shared" si="10"/>
        <v>(0.278 * E2_1_3_2_mRNA) - (0.00000278 * E2_1_3_2)</v>
      </c>
      <c r="M120" s="2" t="str">
        <f t="shared" si="11"/>
        <v>mRNA119: -&gt; E2_1_3_2_mRNA | 0.00292 - (0.0093 * E2_1_3_2_mRNA)</v>
      </c>
      <c r="N120" s="2" t="str">
        <f t="shared" si="12"/>
        <v>Peptide119: E2_1_3_2_mRNA -&gt; E2_1_3_2 | (0.278 * E2_1_3_2_mRNA) - (0.000000278 * E2_1_3_2)</v>
      </c>
    </row>
    <row r="121">
      <c r="A121" s="12">
        <v>120.0</v>
      </c>
      <c r="B121" s="2" t="s">
        <v>25045</v>
      </c>
      <c r="C121" s="2" t="str">
        <f t="shared" si="3"/>
        <v>E2_1_3_3_mRNA</v>
      </c>
      <c r="D121" s="2" t="str">
        <f t="shared" si="4"/>
        <v>E2_1_3_3</v>
      </c>
      <c r="E121" s="2" t="str">
        <f t="shared" si="5"/>
        <v>E2_1_3_3_kcat : 13.7</v>
      </c>
      <c r="F121" s="2" t="str">
        <f t="shared" si="6"/>
        <v>E2_1_3_3_km : 1</v>
      </c>
      <c r="G121" s="2" t="str">
        <f t="shared" ref="G121:H121" si="247">CONCATENATE(C121," : ",C121)</f>
        <v>E2_1_3_3_mRNA : E2_1_3_3_mRNA</v>
      </c>
      <c r="H121" s="2" t="str">
        <f t="shared" si="247"/>
        <v>E2_1_3_3 : E2_1_3_3</v>
      </c>
      <c r="I121" s="2" t="str">
        <f t="shared" ref="I121:J121" si="248">CONCATENATE(C121," : ","0")</f>
        <v>E2_1_3_3_mRNA : 0</v>
      </c>
      <c r="J121" s="2" t="str">
        <f t="shared" si="248"/>
        <v>E2_1_3_3 : 0</v>
      </c>
      <c r="K121" s="2" t="str">
        <f t="shared" si="9"/>
        <v>0.00292 - (0.0093 * E2_1_3_3_mRNA)</v>
      </c>
      <c r="L121" s="2" t="str">
        <f t="shared" si="10"/>
        <v>(0.278 * E2_1_3_3_mRNA) - (0.00000278 * E2_1_3_3)</v>
      </c>
      <c r="M121" s="2" t="str">
        <f t="shared" si="11"/>
        <v>mRNA120: -&gt; E2_1_3_3_mRNA | 0.00292 - (0.0093 * E2_1_3_3_mRNA)</v>
      </c>
      <c r="N121" s="2" t="str">
        <f t="shared" si="12"/>
        <v>Peptide120: E2_1_3_3_mRNA -&gt; E2_1_3_3 | (0.278 * E2_1_3_3_mRNA) - (0.000000278 * E2_1_3_3)</v>
      </c>
    </row>
    <row r="122">
      <c r="A122" s="12">
        <v>121.0</v>
      </c>
      <c r="B122" s="2" t="s">
        <v>25046</v>
      </c>
      <c r="C122" s="2" t="str">
        <f t="shared" si="3"/>
        <v>E2_10_1_1_mRNA</v>
      </c>
      <c r="D122" s="2" t="str">
        <f t="shared" si="4"/>
        <v>E2_10_1_1</v>
      </c>
      <c r="E122" s="2" t="str">
        <f t="shared" si="5"/>
        <v>E2_10_1_1_kcat : 13.7</v>
      </c>
      <c r="F122" s="2" t="str">
        <f t="shared" si="6"/>
        <v>E2_10_1_1_km : 1</v>
      </c>
      <c r="G122" s="2" t="str">
        <f t="shared" ref="G122:H122" si="249">CONCATENATE(C122," : ",C122)</f>
        <v>E2_10_1_1_mRNA : E2_10_1_1_mRNA</v>
      </c>
      <c r="H122" s="2" t="str">
        <f t="shared" si="249"/>
        <v>E2_10_1_1 : E2_10_1_1</v>
      </c>
      <c r="I122" s="2" t="str">
        <f t="shared" ref="I122:J122" si="250">CONCATENATE(C122," : ","0")</f>
        <v>E2_10_1_1_mRNA : 0</v>
      </c>
      <c r="J122" s="2" t="str">
        <f t="shared" si="250"/>
        <v>E2_10_1_1 : 0</v>
      </c>
      <c r="K122" s="2" t="str">
        <f t="shared" si="9"/>
        <v>0.00292 - (0.0093 * E2_10_1_1_mRNA)</v>
      </c>
      <c r="L122" s="2" t="str">
        <f t="shared" si="10"/>
        <v>(0.278 * E2_10_1_1_mRNA) - (0.00000278 * E2_10_1_1)</v>
      </c>
      <c r="M122" s="2" t="str">
        <f t="shared" si="11"/>
        <v>mRNA121: -&gt; E2_10_1_1_mRNA | 0.00292 - (0.0093 * E2_10_1_1_mRNA)</v>
      </c>
      <c r="N122" s="2" t="str">
        <f t="shared" si="12"/>
        <v>Peptide121: E2_10_1_1_mRNA -&gt; E2_10_1_1 | (0.278 * E2_10_1_1_mRNA) - (0.000000278 * E2_10_1_1)</v>
      </c>
    </row>
    <row r="123">
      <c r="A123" s="12">
        <v>122.0</v>
      </c>
      <c r="B123" s="2" t="s">
        <v>25047</v>
      </c>
      <c r="C123" s="2" t="str">
        <f t="shared" si="3"/>
        <v>E2_2_1_1_mRNA</v>
      </c>
      <c r="D123" s="2" t="str">
        <f t="shared" si="4"/>
        <v>E2_2_1_1</v>
      </c>
      <c r="E123" s="2" t="str">
        <f t="shared" si="5"/>
        <v>E2_2_1_1_kcat : 13.7</v>
      </c>
      <c r="F123" s="2" t="str">
        <f t="shared" si="6"/>
        <v>E2_2_1_1_km : 1</v>
      </c>
      <c r="G123" s="2" t="str">
        <f t="shared" ref="G123:H123" si="251">CONCATENATE(C123," : ",C123)</f>
        <v>E2_2_1_1_mRNA : E2_2_1_1_mRNA</v>
      </c>
      <c r="H123" s="2" t="str">
        <f t="shared" si="251"/>
        <v>E2_2_1_1 : E2_2_1_1</v>
      </c>
      <c r="I123" s="2" t="str">
        <f t="shared" ref="I123:J123" si="252">CONCATENATE(C123," : ","0")</f>
        <v>E2_2_1_1_mRNA : 0</v>
      </c>
      <c r="J123" s="2" t="str">
        <f t="shared" si="252"/>
        <v>E2_2_1_1 : 0</v>
      </c>
      <c r="K123" s="2" t="str">
        <f t="shared" si="9"/>
        <v>0.00292 - (0.0093 * E2_2_1_1_mRNA)</v>
      </c>
      <c r="L123" s="2" t="str">
        <f t="shared" si="10"/>
        <v>(0.278 * E2_2_1_1_mRNA) - (0.00000278 * E2_2_1_1)</v>
      </c>
      <c r="M123" s="2" t="str">
        <f t="shared" si="11"/>
        <v>mRNA122: -&gt; E2_2_1_1_mRNA | 0.00292 - (0.0093 * E2_2_1_1_mRNA)</v>
      </c>
      <c r="N123" s="2" t="str">
        <f t="shared" si="12"/>
        <v>Peptide122: E2_2_1_1_mRNA -&gt; E2_2_1_1 | (0.278 * E2_2_1_1_mRNA) - (0.000000278 * E2_2_1_1)</v>
      </c>
    </row>
    <row r="124">
      <c r="A124" s="12">
        <v>123.0</v>
      </c>
      <c r="B124" s="2" t="s">
        <v>25048</v>
      </c>
      <c r="C124" s="2" t="str">
        <f t="shared" si="3"/>
        <v>E2_2_1_6_mRNA</v>
      </c>
      <c r="D124" s="2" t="str">
        <f t="shared" si="4"/>
        <v>E2_2_1_6</v>
      </c>
      <c r="E124" s="2" t="str">
        <f t="shared" si="5"/>
        <v>E2_2_1_6_kcat : 13.7</v>
      </c>
      <c r="F124" s="2" t="str">
        <f t="shared" si="6"/>
        <v>E2_2_1_6_km : 1</v>
      </c>
      <c r="G124" s="2" t="str">
        <f t="shared" ref="G124:H124" si="253">CONCATENATE(C124," : ",C124)</f>
        <v>E2_2_1_6_mRNA : E2_2_1_6_mRNA</v>
      </c>
      <c r="H124" s="2" t="str">
        <f t="shared" si="253"/>
        <v>E2_2_1_6 : E2_2_1_6</v>
      </c>
      <c r="I124" s="2" t="str">
        <f t="shared" ref="I124:J124" si="254">CONCATENATE(C124," : ","0")</f>
        <v>E2_2_1_6_mRNA : 0</v>
      </c>
      <c r="J124" s="2" t="str">
        <f t="shared" si="254"/>
        <v>E2_2_1_6 : 0</v>
      </c>
      <c r="K124" s="2" t="str">
        <f t="shared" si="9"/>
        <v>0.00292 - (0.0093 * E2_2_1_6_mRNA)</v>
      </c>
      <c r="L124" s="2" t="str">
        <f t="shared" si="10"/>
        <v>(0.278 * E2_2_1_6_mRNA) - (0.00000278 * E2_2_1_6)</v>
      </c>
      <c r="M124" s="2" t="str">
        <f t="shared" si="11"/>
        <v>mRNA123: -&gt; E2_2_1_6_mRNA | 0.00292 - (0.0093 * E2_2_1_6_mRNA)</v>
      </c>
      <c r="N124" s="2" t="str">
        <f t="shared" si="12"/>
        <v>Peptide123: E2_2_1_6_mRNA -&gt; E2_2_1_6 | (0.278 * E2_2_1_6_mRNA) - (0.000000278 * E2_2_1_6)</v>
      </c>
    </row>
    <row r="125">
      <c r="A125" s="12">
        <v>124.0</v>
      </c>
      <c r="B125" s="2" t="s">
        <v>25049</v>
      </c>
      <c r="C125" s="2" t="str">
        <f t="shared" si="3"/>
        <v>E2_2_1_7_mRNA</v>
      </c>
      <c r="D125" s="2" t="str">
        <f t="shared" si="4"/>
        <v>E2_2_1_7</v>
      </c>
      <c r="E125" s="2" t="str">
        <f t="shared" si="5"/>
        <v>E2_2_1_7_kcat : 13.7</v>
      </c>
      <c r="F125" s="2" t="str">
        <f t="shared" si="6"/>
        <v>E2_2_1_7_km : 1</v>
      </c>
      <c r="G125" s="2" t="str">
        <f t="shared" ref="G125:H125" si="255">CONCATENATE(C125," : ",C125)</f>
        <v>E2_2_1_7_mRNA : E2_2_1_7_mRNA</v>
      </c>
      <c r="H125" s="2" t="str">
        <f t="shared" si="255"/>
        <v>E2_2_1_7 : E2_2_1_7</v>
      </c>
      <c r="I125" s="2" t="str">
        <f t="shared" ref="I125:J125" si="256">CONCATENATE(C125," : ","0")</f>
        <v>E2_2_1_7_mRNA : 0</v>
      </c>
      <c r="J125" s="2" t="str">
        <f t="shared" si="256"/>
        <v>E2_2_1_7 : 0</v>
      </c>
      <c r="K125" s="2" t="str">
        <f t="shared" si="9"/>
        <v>0.00292 - (0.0093 * E2_2_1_7_mRNA)</v>
      </c>
      <c r="L125" s="2" t="str">
        <f t="shared" si="10"/>
        <v>(0.278 * E2_2_1_7_mRNA) - (0.00000278 * E2_2_1_7)</v>
      </c>
      <c r="M125" s="2" t="str">
        <f t="shared" si="11"/>
        <v>mRNA124: -&gt; E2_2_1_7_mRNA | 0.00292 - (0.0093 * E2_2_1_7_mRNA)</v>
      </c>
      <c r="N125" s="2" t="str">
        <f t="shared" si="12"/>
        <v>Peptide124: E2_2_1_7_mRNA -&gt; E2_2_1_7 | (0.278 * E2_2_1_7_mRNA) - (0.000000278 * E2_2_1_7)</v>
      </c>
    </row>
    <row r="126">
      <c r="A126" s="12">
        <v>125.0</v>
      </c>
      <c r="B126" s="2" t="s">
        <v>25050</v>
      </c>
      <c r="C126" s="2" t="str">
        <f t="shared" si="3"/>
        <v>E2_2_1_9_mRNA</v>
      </c>
      <c r="D126" s="2" t="str">
        <f t="shared" si="4"/>
        <v>E2_2_1_9</v>
      </c>
      <c r="E126" s="2" t="str">
        <f t="shared" si="5"/>
        <v>E2_2_1_9_kcat : 13.7</v>
      </c>
      <c r="F126" s="2" t="str">
        <f t="shared" si="6"/>
        <v>E2_2_1_9_km : 1</v>
      </c>
      <c r="G126" s="2" t="str">
        <f t="shared" ref="G126:H126" si="257">CONCATENATE(C126," : ",C126)</f>
        <v>E2_2_1_9_mRNA : E2_2_1_9_mRNA</v>
      </c>
      <c r="H126" s="2" t="str">
        <f t="shared" si="257"/>
        <v>E2_2_1_9 : E2_2_1_9</v>
      </c>
      <c r="I126" s="2" t="str">
        <f t="shared" ref="I126:J126" si="258">CONCATENATE(C126," : ","0")</f>
        <v>E2_2_1_9_mRNA : 0</v>
      </c>
      <c r="J126" s="2" t="str">
        <f t="shared" si="258"/>
        <v>E2_2_1_9 : 0</v>
      </c>
      <c r="K126" s="2" t="str">
        <f t="shared" si="9"/>
        <v>0.00292 - (0.0093 * E2_2_1_9_mRNA)</v>
      </c>
      <c r="L126" s="2" t="str">
        <f t="shared" si="10"/>
        <v>(0.278 * E2_2_1_9_mRNA) - (0.00000278 * E2_2_1_9)</v>
      </c>
      <c r="M126" s="2" t="str">
        <f t="shared" si="11"/>
        <v>mRNA125: -&gt; E2_2_1_9_mRNA | 0.00292 - (0.0093 * E2_2_1_9_mRNA)</v>
      </c>
      <c r="N126" s="2" t="str">
        <f t="shared" si="12"/>
        <v>Peptide125: E2_2_1_9_mRNA -&gt; E2_2_1_9 | (0.278 * E2_2_1_9_mRNA) - (0.000000278 * E2_2_1_9)</v>
      </c>
    </row>
    <row r="127">
      <c r="A127" s="12">
        <v>126.0</v>
      </c>
      <c r="B127" s="2" t="s">
        <v>25051</v>
      </c>
      <c r="C127" s="2" t="str">
        <f t="shared" si="3"/>
        <v>E2_3_1_1_mRNA</v>
      </c>
      <c r="D127" s="2" t="str">
        <f t="shared" si="4"/>
        <v>E2_3_1_1</v>
      </c>
      <c r="E127" s="2" t="str">
        <f t="shared" si="5"/>
        <v>E2_3_1_1_kcat : 13.7</v>
      </c>
      <c r="F127" s="2" t="str">
        <f t="shared" si="6"/>
        <v>E2_3_1_1_km : 1</v>
      </c>
      <c r="G127" s="2" t="str">
        <f t="shared" ref="G127:H127" si="259">CONCATENATE(C127," : ",C127)</f>
        <v>E2_3_1_1_mRNA : E2_3_1_1_mRNA</v>
      </c>
      <c r="H127" s="2" t="str">
        <f t="shared" si="259"/>
        <v>E2_3_1_1 : E2_3_1_1</v>
      </c>
      <c r="I127" s="2" t="str">
        <f t="shared" ref="I127:J127" si="260">CONCATENATE(C127," : ","0")</f>
        <v>E2_3_1_1_mRNA : 0</v>
      </c>
      <c r="J127" s="2" t="str">
        <f t="shared" si="260"/>
        <v>E2_3_1_1 : 0</v>
      </c>
      <c r="K127" s="2" t="str">
        <f t="shared" si="9"/>
        <v>0.00292 - (0.0093 * E2_3_1_1_mRNA)</v>
      </c>
      <c r="L127" s="2" t="str">
        <f t="shared" si="10"/>
        <v>(0.278 * E2_3_1_1_mRNA) - (0.00000278 * E2_3_1_1)</v>
      </c>
      <c r="M127" s="2" t="str">
        <f t="shared" si="11"/>
        <v>mRNA126: -&gt; E2_3_1_1_mRNA | 0.00292 - (0.0093 * E2_3_1_1_mRNA)</v>
      </c>
      <c r="N127" s="2" t="str">
        <f t="shared" si="12"/>
        <v>Peptide126: E2_3_1_1_mRNA -&gt; E2_3_1_1 | (0.278 * E2_3_1_1_mRNA) - (0.000000278 * E2_3_1_1)</v>
      </c>
    </row>
    <row r="128">
      <c r="A128" s="12">
        <v>127.0</v>
      </c>
      <c r="B128" s="2" t="s">
        <v>25052</v>
      </c>
      <c r="C128" s="2" t="str">
        <f t="shared" si="3"/>
        <v>E2_3_1_12_mRNA</v>
      </c>
      <c r="D128" s="2" t="str">
        <f t="shared" si="4"/>
        <v>E2_3_1_12</v>
      </c>
      <c r="E128" s="2" t="str">
        <f t="shared" si="5"/>
        <v>E2_3_1_12_kcat : 13.7</v>
      </c>
      <c r="F128" s="2" t="str">
        <f t="shared" si="6"/>
        <v>E2_3_1_12_km : 1</v>
      </c>
      <c r="G128" s="2" t="str">
        <f t="shared" ref="G128:H128" si="261">CONCATENATE(C128," : ",C128)</f>
        <v>E2_3_1_12_mRNA : E2_3_1_12_mRNA</v>
      </c>
      <c r="H128" s="2" t="str">
        <f t="shared" si="261"/>
        <v>E2_3_1_12 : E2_3_1_12</v>
      </c>
      <c r="I128" s="2" t="str">
        <f t="shared" ref="I128:J128" si="262">CONCATENATE(C128," : ","0")</f>
        <v>E2_3_1_12_mRNA : 0</v>
      </c>
      <c r="J128" s="2" t="str">
        <f t="shared" si="262"/>
        <v>E2_3_1_12 : 0</v>
      </c>
      <c r="K128" s="2" t="str">
        <f t="shared" si="9"/>
        <v>0.00292 - (0.0093 * E2_3_1_12_mRNA)</v>
      </c>
      <c r="L128" s="2" t="str">
        <f t="shared" si="10"/>
        <v>(0.278 * E2_3_1_12_mRNA) - (0.00000278 * E2_3_1_12)</v>
      </c>
      <c r="M128" s="2" t="str">
        <f t="shared" si="11"/>
        <v>mRNA127: -&gt; E2_3_1_12_mRNA | 0.00292 - (0.0093 * E2_3_1_12_mRNA)</v>
      </c>
      <c r="N128" s="2" t="str">
        <f t="shared" si="12"/>
        <v>Peptide127: E2_3_1_12_mRNA -&gt; E2_3_1_12 | (0.278 * E2_3_1_12_mRNA) - (0.000000278 * E2_3_1_12)</v>
      </c>
    </row>
    <row r="129">
      <c r="A129" s="12">
        <v>128.0</v>
      </c>
      <c r="B129" s="2" t="s">
        <v>25053</v>
      </c>
      <c r="C129" s="2" t="str">
        <f t="shared" si="3"/>
        <v>E2_3_1_15_mRNA</v>
      </c>
      <c r="D129" s="2" t="str">
        <f t="shared" si="4"/>
        <v>E2_3_1_15</v>
      </c>
      <c r="E129" s="2" t="str">
        <f t="shared" si="5"/>
        <v>E2_3_1_15_kcat : 13.7</v>
      </c>
      <c r="F129" s="2" t="str">
        <f t="shared" si="6"/>
        <v>E2_3_1_15_km : 1</v>
      </c>
      <c r="G129" s="2" t="str">
        <f t="shared" ref="G129:H129" si="263">CONCATENATE(C129," : ",C129)</f>
        <v>E2_3_1_15_mRNA : E2_3_1_15_mRNA</v>
      </c>
      <c r="H129" s="2" t="str">
        <f t="shared" si="263"/>
        <v>E2_3_1_15 : E2_3_1_15</v>
      </c>
      <c r="I129" s="2" t="str">
        <f t="shared" ref="I129:J129" si="264">CONCATENATE(C129," : ","0")</f>
        <v>E2_3_1_15_mRNA : 0</v>
      </c>
      <c r="J129" s="2" t="str">
        <f t="shared" si="264"/>
        <v>E2_3_1_15 : 0</v>
      </c>
      <c r="K129" s="2" t="str">
        <f t="shared" si="9"/>
        <v>0.00292 - (0.0093 * E2_3_1_15_mRNA)</v>
      </c>
      <c r="L129" s="2" t="str">
        <f t="shared" si="10"/>
        <v>(0.278 * E2_3_1_15_mRNA) - (0.00000278 * E2_3_1_15)</v>
      </c>
      <c r="M129" s="2" t="str">
        <f t="shared" si="11"/>
        <v>mRNA128: -&gt; E2_3_1_15_mRNA | 0.00292 - (0.0093 * E2_3_1_15_mRNA)</v>
      </c>
      <c r="N129" s="2" t="str">
        <f t="shared" si="12"/>
        <v>Peptide128: E2_3_1_15_mRNA -&gt; E2_3_1_15 | (0.278 * E2_3_1_15_mRNA) - (0.000000278 * E2_3_1_15)</v>
      </c>
    </row>
    <row r="130">
      <c r="A130" s="12">
        <v>129.0</v>
      </c>
      <c r="B130" s="2" t="s">
        <v>25054</v>
      </c>
      <c r="C130" s="2" t="str">
        <f t="shared" si="3"/>
        <v>E2_3_1_157_mRNA</v>
      </c>
      <c r="D130" s="2" t="str">
        <f t="shared" si="4"/>
        <v>E2_3_1_157</v>
      </c>
      <c r="E130" s="2" t="str">
        <f t="shared" si="5"/>
        <v>E2_3_1_157_kcat : 13.7</v>
      </c>
      <c r="F130" s="2" t="str">
        <f t="shared" si="6"/>
        <v>E2_3_1_157_km : 1</v>
      </c>
      <c r="G130" s="2" t="str">
        <f t="shared" ref="G130:H130" si="265">CONCATENATE(C130," : ",C130)</f>
        <v>E2_3_1_157_mRNA : E2_3_1_157_mRNA</v>
      </c>
      <c r="H130" s="2" t="str">
        <f t="shared" si="265"/>
        <v>E2_3_1_157 : E2_3_1_157</v>
      </c>
      <c r="I130" s="2" t="str">
        <f t="shared" ref="I130:J130" si="266">CONCATENATE(C130," : ","0")</f>
        <v>E2_3_1_157_mRNA : 0</v>
      </c>
      <c r="J130" s="2" t="str">
        <f t="shared" si="266"/>
        <v>E2_3_1_157 : 0</v>
      </c>
      <c r="K130" s="2" t="str">
        <f t="shared" si="9"/>
        <v>0.00292 - (0.0093 * E2_3_1_157_mRNA)</v>
      </c>
      <c r="L130" s="2" t="str">
        <f t="shared" si="10"/>
        <v>(0.278 * E2_3_1_157_mRNA) - (0.00000278 * E2_3_1_157)</v>
      </c>
      <c r="M130" s="2" t="str">
        <f t="shared" si="11"/>
        <v>mRNA129: -&gt; E2_3_1_157_mRNA | 0.00292 - (0.0093 * E2_3_1_157_mRNA)</v>
      </c>
      <c r="N130" s="2" t="str">
        <f t="shared" si="12"/>
        <v>Peptide129: E2_3_1_157_mRNA -&gt; E2_3_1_157 | (0.278 * E2_3_1_157_mRNA) - (0.000000278 * E2_3_1_157)</v>
      </c>
    </row>
    <row r="131">
      <c r="A131" s="12">
        <v>130.0</v>
      </c>
      <c r="B131" s="2" t="s">
        <v>25055</v>
      </c>
      <c r="C131" s="2" t="str">
        <f t="shared" si="3"/>
        <v>E2_3_1_179_mRNA</v>
      </c>
      <c r="D131" s="2" t="str">
        <f t="shared" si="4"/>
        <v>E2_3_1_179</v>
      </c>
      <c r="E131" s="2" t="str">
        <f t="shared" si="5"/>
        <v>E2_3_1_179_kcat : 13.7</v>
      </c>
      <c r="F131" s="2" t="str">
        <f t="shared" si="6"/>
        <v>E2_3_1_179_km : 1</v>
      </c>
      <c r="G131" s="2" t="str">
        <f t="shared" ref="G131:H131" si="267">CONCATENATE(C131," : ",C131)</f>
        <v>E2_3_1_179_mRNA : E2_3_1_179_mRNA</v>
      </c>
      <c r="H131" s="2" t="str">
        <f t="shared" si="267"/>
        <v>E2_3_1_179 : E2_3_1_179</v>
      </c>
      <c r="I131" s="2" t="str">
        <f t="shared" ref="I131:J131" si="268">CONCATENATE(C131," : ","0")</f>
        <v>E2_3_1_179_mRNA : 0</v>
      </c>
      <c r="J131" s="2" t="str">
        <f t="shared" si="268"/>
        <v>E2_3_1_179 : 0</v>
      </c>
      <c r="K131" s="2" t="str">
        <f t="shared" si="9"/>
        <v>0.00292 - (0.0093 * E2_3_1_179_mRNA)</v>
      </c>
      <c r="L131" s="2" t="str">
        <f t="shared" si="10"/>
        <v>(0.278 * E2_3_1_179_mRNA) - (0.00000278 * E2_3_1_179)</v>
      </c>
      <c r="M131" s="2" t="str">
        <f t="shared" si="11"/>
        <v>mRNA130: -&gt; E2_3_1_179_mRNA | 0.00292 - (0.0093 * E2_3_1_179_mRNA)</v>
      </c>
      <c r="N131" s="2" t="str">
        <f t="shared" si="12"/>
        <v>Peptide130: E2_3_1_179_mRNA -&gt; E2_3_1_179 | (0.278 * E2_3_1_179_mRNA) - (0.000000278 * E2_3_1_179)</v>
      </c>
    </row>
    <row r="132">
      <c r="A132" s="12">
        <v>131.0</v>
      </c>
      <c r="B132" s="2" t="s">
        <v>25056</v>
      </c>
      <c r="C132" s="2" t="str">
        <f t="shared" si="3"/>
        <v>E2_3_1_180_mRNA</v>
      </c>
      <c r="D132" s="2" t="str">
        <f t="shared" si="4"/>
        <v>E2_3_1_180</v>
      </c>
      <c r="E132" s="2" t="str">
        <f t="shared" si="5"/>
        <v>E2_3_1_180_kcat : 13.7</v>
      </c>
      <c r="F132" s="2" t="str">
        <f t="shared" si="6"/>
        <v>E2_3_1_180_km : 1</v>
      </c>
      <c r="G132" s="2" t="str">
        <f t="shared" ref="G132:H132" si="269">CONCATENATE(C132," : ",C132)</f>
        <v>E2_3_1_180_mRNA : E2_3_1_180_mRNA</v>
      </c>
      <c r="H132" s="2" t="str">
        <f t="shared" si="269"/>
        <v>E2_3_1_180 : E2_3_1_180</v>
      </c>
      <c r="I132" s="2" t="str">
        <f t="shared" ref="I132:J132" si="270">CONCATENATE(C132," : ","0")</f>
        <v>E2_3_1_180_mRNA : 0</v>
      </c>
      <c r="J132" s="2" t="str">
        <f t="shared" si="270"/>
        <v>E2_3_1_180 : 0</v>
      </c>
      <c r="K132" s="2" t="str">
        <f t="shared" si="9"/>
        <v>0.00292 - (0.0093 * E2_3_1_180_mRNA)</v>
      </c>
      <c r="L132" s="2" t="str">
        <f t="shared" si="10"/>
        <v>(0.278 * E2_3_1_180_mRNA) - (0.00000278 * E2_3_1_180)</v>
      </c>
      <c r="M132" s="2" t="str">
        <f t="shared" si="11"/>
        <v>mRNA131: -&gt; E2_3_1_180_mRNA | 0.00292 - (0.0093 * E2_3_1_180_mRNA)</v>
      </c>
      <c r="N132" s="2" t="str">
        <f t="shared" si="12"/>
        <v>Peptide131: E2_3_1_180_mRNA -&gt; E2_3_1_180 | (0.278 * E2_3_1_180_mRNA) - (0.000000278 * E2_3_1_180)</v>
      </c>
    </row>
    <row r="133">
      <c r="A133" s="12">
        <v>132.0</v>
      </c>
      <c r="B133" s="2" t="s">
        <v>25057</v>
      </c>
      <c r="C133" s="2" t="str">
        <f t="shared" si="3"/>
        <v>E2_3_1_19_mRNA</v>
      </c>
      <c r="D133" s="2" t="str">
        <f t="shared" si="4"/>
        <v>E2_3_1_19</v>
      </c>
      <c r="E133" s="2" t="str">
        <f t="shared" si="5"/>
        <v>E2_3_1_19_kcat : 13.7</v>
      </c>
      <c r="F133" s="2" t="str">
        <f t="shared" si="6"/>
        <v>E2_3_1_19_km : 1</v>
      </c>
      <c r="G133" s="2" t="str">
        <f t="shared" ref="G133:H133" si="271">CONCATENATE(C133," : ",C133)</f>
        <v>E2_3_1_19_mRNA : E2_3_1_19_mRNA</v>
      </c>
      <c r="H133" s="2" t="str">
        <f t="shared" si="271"/>
        <v>E2_3_1_19 : E2_3_1_19</v>
      </c>
      <c r="I133" s="2" t="str">
        <f t="shared" ref="I133:J133" si="272">CONCATENATE(C133," : ","0")</f>
        <v>E2_3_1_19_mRNA : 0</v>
      </c>
      <c r="J133" s="2" t="str">
        <f t="shared" si="272"/>
        <v>E2_3_1_19 : 0</v>
      </c>
      <c r="K133" s="2" t="str">
        <f t="shared" si="9"/>
        <v>0.00292 - (0.0093 * E2_3_1_19_mRNA)</v>
      </c>
      <c r="L133" s="2" t="str">
        <f t="shared" si="10"/>
        <v>(0.278 * E2_3_1_19_mRNA) - (0.00000278 * E2_3_1_19)</v>
      </c>
      <c r="M133" s="2" t="str">
        <f t="shared" si="11"/>
        <v>mRNA132: -&gt; E2_3_1_19_mRNA | 0.00292 - (0.0093 * E2_3_1_19_mRNA)</v>
      </c>
      <c r="N133" s="2" t="str">
        <f t="shared" si="12"/>
        <v>Peptide132: E2_3_1_19_mRNA -&gt; E2_3_1_19 | (0.278 * E2_3_1_19_mRNA) - (0.000000278 * E2_3_1_19)</v>
      </c>
    </row>
    <row r="134">
      <c r="A134" s="12">
        <v>133.0</v>
      </c>
      <c r="B134" s="2" t="s">
        <v>25058</v>
      </c>
      <c r="C134" s="2" t="str">
        <f t="shared" si="3"/>
        <v>E2_3_1_234_mRNA</v>
      </c>
      <c r="D134" s="2" t="str">
        <f t="shared" si="4"/>
        <v>E2_3_1_234</v>
      </c>
      <c r="E134" s="2" t="str">
        <f t="shared" si="5"/>
        <v>E2_3_1_234_kcat : 13.7</v>
      </c>
      <c r="F134" s="2" t="str">
        <f t="shared" si="6"/>
        <v>E2_3_1_234_km : 1</v>
      </c>
      <c r="G134" s="2" t="str">
        <f t="shared" ref="G134:H134" si="273">CONCATENATE(C134," : ",C134)</f>
        <v>E2_3_1_234_mRNA : E2_3_1_234_mRNA</v>
      </c>
      <c r="H134" s="2" t="str">
        <f t="shared" si="273"/>
        <v>E2_3_1_234 : E2_3_1_234</v>
      </c>
      <c r="I134" s="2" t="str">
        <f t="shared" ref="I134:J134" si="274">CONCATENATE(C134," : ","0")</f>
        <v>E2_3_1_234_mRNA : 0</v>
      </c>
      <c r="J134" s="2" t="str">
        <f t="shared" si="274"/>
        <v>E2_3_1_234 : 0</v>
      </c>
      <c r="K134" s="2" t="str">
        <f t="shared" si="9"/>
        <v>0.00292 - (0.0093 * E2_3_1_234_mRNA)</v>
      </c>
      <c r="L134" s="2" t="str">
        <f t="shared" si="10"/>
        <v>(0.278 * E2_3_1_234_mRNA) - (0.00000278 * E2_3_1_234)</v>
      </c>
      <c r="M134" s="2" t="str">
        <f t="shared" si="11"/>
        <v>mRNA133: -&gt; E2_3_1_234_mRNA | 0.00292 - (0.0093 * E2_3_1_234_mRNA)</v>
      </c>
      <c r="N134" s="2" t="str">
        <f t="shared" si="12"/>
        <v>Peptide133: E2_3_1_234_mRNA -&gt; E2_3_1_234 | (0.278 * E2_3_1_234_mRNA) - (0.000000278 * E2_3_1_234)</v>
      </c>
    </row>
    <row r="135">
      <c r="A135" s="12">
        <v>134.0</v>
      </c>
      <c r="B135" s="2" t="s">
        <v>25059</v>
      </c>
      <c r="C135" s="2" t="str">
        <f t="shared" si="3"/>
        <v>E2_3_1_245_mRNA</v>
      </c>
      <c r="D135" s="2" t="str">
        <f t="shared" si="4"/>
        <v>E2_3_1_245</v>
      </c>
      <c r="E135" s="2" t="str">
        <f t="shared" si="5"/>
        <v>E2_3_1_245_kcat : 13.7</v>
      </c>
      <c r="F135" s="2" t="str">
        <f t="shared" si="6"/>
        <v>E2_3_1_245_km : 1</v>
      </c>
      <c r="G135" s="2" t="str">
        <f t="shared" ref="G135:H135" si="275">CONCATENATE(C135," : ",C135)</f>
        <v>E2_3_1_245_mRNA : E2_3_1_245_mRNA</v>
      </c>
      <c r="H135" s="2" t="str">
        <f t="shared" si="275"/>
        <v>E2_3_1_245 : E2_3_1_245</v>
      </c>
      <c r="I135" s="2" t="str">
        <f t="shared" ref="I135:J135" si="276">CONCATENATE(C135," : ","0")</f>
        <v>E2_3_1_245_mRNA : 0</v>
      </c>
      <c r="J135" s="2" t="str">
        <f t="shared" si="276"/>
        <v>E2_3_1_245 : 0</v>
      </c>
      <c r="K135" s="2" t="str">
        <f t="shared" si="9"/>
        <v>0.00292 - (0.0093 * E2_3_1_245_mRNA)</v>
      </c>
      <c r="L135" s="2" t="str">
        <f t="shared" si="10"/>
        <v>(0.278 * E2_3_1_245_mRNA) - (0.00000278 * E2_3_1_245)</v>
      </c>
      <c r="M135" s="2" t="str">
        <f t="shared" si="11"/>
        <v>mRNA134: -&gt; E2_3_1_245_mRNA | 0.00292 - (0.0093 * E2_3_1_245_mRNA)</v>
      </c>
      <c r="N135" s="2" t="str">
        <f t="shared" si="12"/>
        <v>Peptide134: E2_3_1_245_mRNA -&gt; E2_3_1_245 | (0.278 * E2_3_1_245_mRNA) - (0.000000278 * E2_3_1_245)</v>
      </c>
    </row>
    <row r="136">
      <c r="A136" s="12">
        <v>135.0</v>
      </c>
      <c r="B136" s="2" t="s">
        <v>25060</v>
      </c>
      <c r="C136" s="2" t="str">
        <f t="shared" si="3"/>
        <v>E2_3_1_266_mRNA</v>
      </c>
      <c r="D136" s="2" t="str">
        <f t="shared" si="4"/>
        <v>E2_3_1_266</v>
      </c>
      <c r="E136" s="2" t="str">
        <f t="shared" si="5"/>
        <v>E2_3_1_266_kcat : 13.7</v>
      </c>
      <c r="F136" s="2" t="str">
        <f t="shared" si="6"/>
        <v>E2_3_1_266_km : 1</v>
      </c>
      <c r="G136" s="2" t="str">
        <f t="shared" ref="G136:H136" si="277">CONCATENATE(C136," : ",C136)</f>
        <v>E2_3_1_266_mRNA : E2_3_1_266_mRNA</v>
      </c>
      <c r="H136" s="2" t="str">
        <f t="shared" si="277"/>
        <v>E2_3_1_266 : E2_3_1_266</v>
      </c>
      <c r="I136" s="2" t="str">
        <f t="shared" ref="I136:J136" si="278">CONCATENATE(C136," : ","0")</f>
        <v>E2_3_1_266_mRNA : 0</v>
      </c>
      <c r="J136" s="2" t="str">
        <f t="shared" si="278"/>
        <v>E2_3_1_266 : 0</v>
      </c>
      <c r="K136" s="2" t="str">
        <f t="shared" si="9"/>
        <v>0.00292 - (0.0093 * E2_3_1_266_mRNA)</v>
      </c>
      <c r="L136" s="2" t="str">
        <f t="shared" si="10"/>
        <v>(0.278 * E2_3_1_266_mRNA) - (0.00000278 * E2_3_1_266)</v>
      </c>
      <c r="M136" s="2" t="str">
        <f t="shared" si="11"/>
        <v>mRNA135: -&gt; E2_3_1_266_mRNA | 0.00292 - (0.0093 * E2_3_1_266_mRNA)</v>
      </c>
      <c r="N136" s="2" t="str">
        <f t="shared" si="12"/>
        <v>Peptide135: E2_3_1_266_mRNA -&gt; E2_3_1_266 | (0.278 * E2_3_1_266_mRNA) - (0.000000278 * E2_3_1_266)</v>
      </c>
    </row>
    <row r="137">
      <c r="A137" s="12">
        <v>136.0</v>
      </c>
      <c r="B137" s="2" t="s">
        <v>25061</v>
      </c>
      <c r="C137" s="2" t="str">
        <f t="shared" si="3"/>
        <v>E2_3_1_274_mRNA</v>
      </c>
      <c r="D137" s="2" t="str">
        <f t="shared" si="4"/>
        <v>E2_3_1_274</v>
      </c>
      <c r="E137" s="2" t="str">
        <f t="shared" si="5"/>
        <v>E2_3_1_274_kcat : 13.7</v>
      </c>
      <c r="F137" s="2" t="str">
        <f t="shared" si="6"/>
        <v>E2_3_1_274_km : 1</v>
      </c>
      <c r="G137" s="2" t="str">
        <f t="shared" ref="G137:H137" si="279">CONCATENATE(C137," : ",C137)</f>
        <v>E2_3_1_274_mRNA : E2_3_1_274_mRNA</v>
      </c>
      <c r="H137" s="2" t="str">
        <f t="shared" si="279"/>
        <v>E2_3_1_274 : E2_3_1_274</v>
      </c>
      <c r="I137" s="2" t="str">
        <f t="shared" ref="I137:J137" si="280">CONCATENATE(C137," : ","0")</f>
        <v>E2_3_1_274_mRNA : 0</v>
      </c>
      <c r="J137" s="2" t="str">
        <f t="shared" si="280"/>
        <v>E2_3_1_274 : 0</v>
      </c>
      <c r="K137" s="2" t="str">
        <f t="shared" si="9"/>
        <v>0.00292 - (0.0093 * E2_3_1_274_mRNA)</v>
      </c>
      <c r="L137" s="2" t="str">
        <f t="shared" si="10"/>
        <v>(0.278 * E2_3_1_274_mRNA) - (0.00000278 * E2_3_1_274)</v>
      </c>
      <c r="M137" s="2" t="str">
        <f t="shared" si="11"/>
        <v>mRNA136: -&gt; E2_3_1_274_mRNA | 0.00292 - (0.0093 * E2_3_1_274_mRNA)</v>
      </c>
      <c r="N137" s="2" t="str">
        <f t="shared" si="12"/>
        <v>Peptide136: E2_3_1_274_mRNA -&gt; E2_3_1_274 | (0.278 * E2_3_1_274_mRNA) - (0.000000278 * E2_3_1_274)</v>
      </c>
    </row>
    <row r="138">
      <c r="A138" s="12">
        <v>137.0</v>
      </c>
      <c r="B138" s="2" t="s">
        <v>25062</v>
      </c>
      <c r="C138" s="2" t="str">
        <f t="shared" si="3"/>
        <v>E2_3_1_286_mRNA</v>
      </c>
      <c r="D138" s="2" t="str">
        <f t="shared" si="4"/>
        <v>E2_3_1_286</v>
      </c>
      <c r="E138" s="2" t="str">
        <f t="shared" si="5"/>
        <v>E2_3_1_286_kcat : 13.7</v>
      </c>
      <c r="F138" s="2" t="str">
        <f t="shared" si="6"/>
        <v>E2_3_1_286_km : 1</v>
      </c>
      <c r="G138" s="2" t="str">
        <f t="shared" ref="G138:H138" si="281">CONCATENATE(C138," : ",C138)</f>
        <v>E2_3_1_286_mRNA : E2_3_1_286_mRNA</v>
      </c>
      <c r="H138" s="2" t="str">
        <f t="shared" si="281"/>
        <v>E2_3_1_286 : E2_3_1_286</v>
      </c>
      <c r="I138" s="2" t="str">
        <f t="shared" ref="I138:J138" si="282">CONCATENATE(C138," : ","0")</f>
        <v>E2_3_1_286_mRNA : 0</v>
      </c>
      <c r="J138" s="2" t="str">
        <f t="shared" si="282"/>
        <v>E2_3_1_286 : 0</v>
      </c>
      <c r="K138" s="2" t="str">
        <f t="shared" si="9"/>
        <v>0.00292 - (0.0093 * E2_3_1_286_mRNA)</v>
      </c>
      <c r="L138" s="2" t="str">
        <f t="shared" si="10"/>
        <v>(0.278 * E2_3_1_286_mRNA) - (0.00000278 * E2_3_1_286)</v>
      </c>
      <c r="M138" s="2" t="str">
        <f t="shared" si="11"/>
        <v>mRNA137: -&gt; E2_3_1_286_mRNA | 0.00292 - (0.0093 * E2_3_1_286_mRNA)</v>
      </c>
      <c r="N138" s="2" t="str">
        <f t="shared" si="12"/>
        <v>Peptide137: E2_3_1_286_mRNA -&gt; E2_3_1_286 | (0.278 * E2_3_1_286_mRNA) - (0.000000278 * E2_3_1_286)</v>
      </c>
    </row>
    <row r="139">
      <c r="A139" s="12">
        <v>138.0</v>
      </c>
      <c r="B139" s="2" t="s">
        <v>25063</v>
      </c>
      <c r="C139" s="2" t="str">
        <f t="shared" si="3"/>
        <v>E2_3_1_29_mRNA</v>
      </c>
      <c r="D139" s="2" t="str">
        <f t="shared" si="4"/>
        <v>E2_3_1_29</v>
      </c>
      <c r="E139" s="2" t="str">
        <f t="shared" si="5"/>
        <v>E2_3_1_29_kcat : 13.7</v>
      </c>
      <c r="F139" s="2" t="str">
        <f t="shared" si="6"/>
        <v>E2_3_1_29_km : 1</v>
      </c>
      <c r="G139" s="2" t="str">
        <f t="shared" ref="G139:H139" si="283">CONCATENATE(C139," : ",C139)</f>
        <v>E2_3_1_29_mRNA : E2_3_1_29_mRNA</v>
      </c>
      <c r="H139" s="2" t="str">
        <f t="shared" si="283"/>
        <v>E2_3_1_29 : E2_3_1_29</v>
      </c>
      <c r="I139" s="2" t="str">
        <f t="shared" ref="I139:J139" si="284">CONCATENATE(C139," : ","0")</f>
        <v>E2_3_1_29_mRNA : 0</v>
      </c>
      <c r="J139" s="2" t="str">
        <f t="shared" si="284"/>
        <v>E2_3_1_29 : 0</v>
      </c>
      <c r="K139" s="2" t="str">
        <f t="shared" si="9"/>
        <v>0.00292 - (0.0093 * E2_3_1_29_mRNA)</v>
      </c>
      <c r="L139" s="2" t="str">
        <f t="shared" si="10"/>
        <v>(0.278 * E2_3_1_29_mRNA) - (0.00000278 * E2_3_1_29)</v>
      </c>
      <c r="M139" s="2" t="str">
        <f t="shared" si="11"/>
        <v>mRNA138: -&gt; E2_3_1_29_mRNA | 0.00292 - (0.0093 * E2_3_1_29_mRNA)</v>
      </c>
      <c r="N139" s="2" t="str">
        <f t="shared" si="12"/>
        <v>Peptide138: E2_3_1_29_mRNA -&gt; E2_3_1_29 | (0.278 * E2_3_1_29_mRNA) - (0.000000278 * E2_3_1_29)</v>
      </c>
    </row>
    <row r="140">
      <c r="A140" s="12">
        <v>139.0</v>
      </c>
      <c r="B140" s="2" t="s">
        <v>25064</v>
      </c>
      <c r="C140" s="2" t="str">
        <f t="shared" si="3"/>
        <v>E2_3_1_30_mRNA</v>
      </c>
      <c r="D140" s="2" t="str">
        <f t="shared" si="4"/>
        <v>E2_3_1_30</v>
      </c>
      <c r="E140" s="2" t="str">
        <f t="shared" si="5"/>
        <v>E2_3_1_30_kcat : 13.7</v>
      </c>
      <c r="F140" s="2" t="str">
        <f t="shared" si="6"/>
        <v>E2_3_1_30_km : 1</v>
      </c>
      <c r="G140" s="2" t="str">
        <f t="shared" ref="G140:H140" si="285">CONCATENATE(C140," : ",C140)</f>
        <v>E2_3_1_30_mRNA : E2_3_1_30_mRNA</v>
      </c>
      <c r="H140" s="2" t="str">
        <f t="shared" si="285"/>
        <v>E2_3_1_30 : E2_3_1_30</v>
      </c>
      <c r="I140" s="2" t="str">
        <f t="shared" ref="I140:J140" si="286">CONCATENATE(C140," : ","0")</f>
        <v>E2_3_1_30_mRNA : 0</v>
      </c>
      <c r="J140" s="2" t="str">
        <f t="shared" si="286"/>
        <v>E2_3_1_30 : 0</v>
      </c>
      <c r="K140" s="2" t="str">
        <f t="shared" si="9"/>
        <v>0.00292 - (0.0093 * E2_3_1_30_mRNA)</v>
      </c>
      <c r="L140" s="2" t="str">
        <f t="shared" si="10"/>
        <v>(0.278 * E2_3_1_30_mRNA) - (0.00000278 * E2_3_1_30)</v>
      </c>
      <c r="M140" s="2" t="str">
        <f t="shared" si="11"/>
        <v>mRNA139: -&gt; E2_3_1_30_mRNA | 0.00292 - (0.0093 * E2_3_1_30_mRNA)</v>
      </c>
      <c r="N140" s="2" t="str">
        <f t="shared" si="12"/>
        <v>Peptide139: E2_3_1_30_mRNA -&gt; E2_3_1_30 | (0.278 * E2_3_1_30_mRNA) - (0.000000278 * E2_3_1_30)</v>
      </c>
    </row>
    <row r="141">
      <c r="A141" s="12">
        <v>140.0</v>
      </c>
      <c r="B141" s="2" t="s">
        <v>25065</v>
      </c>
      <c r="C141" s="2" t="str">
        <f t="shared" si="3"/>
        <v>E2_3_1_31_mRNA</v>
      </c>
      <c r="D141" s="2" t="str">
        <f t="shared" si="4"/>
        <v>E2_3_1_31</v>
      </c>
      <c r="E141" s="2" t="str">
        <f t="shared" si="5"/>
        <v>E2_3_1_31_kcat : 13.7</v>
      </c>
      <c r="F141" s="2" t="str">
        <f t="shared" si="6"/>
        <v>E2_3_1_31_km : 1</v>
      </c>
      <c r="G141" s="2" t="str">
        <f t="shared" ref="G141:H141" si="287">CONCATENATE(C141," : ",C141)</f>
        <v>E2_3_1_31_mRNA : E2_3_1_31_mRNA</v>
      </c>
      <c r="H141" s="2" t="str">
        <f t="shared" si="287"/>
        <v>E2_3_1_31 : E2_3_1_31</v>
      </c>
      <c r="I141" s="2" t="str">
        <f t="shared" ref="I141:J141" si="288">CONCATENATE(C141," : ","0")</f>
        <v>E2_3_1_31_mRNA : 0</v>
      </c>
      <c r="J141" s="2" t="str">
        <f t="shared" si="288"/>
        <v>E2_3_1_31 : 0</v>
      </c>
      <c r="K141" s="2" t="str">
        <f t="shared" si="9"/>
        <v>0.00292 - (0.0093 * E2_3_1_31_mRNA)</v>
      </c>
      <c r="L141" s="2" t="str">
        <f t="shared" si="10"/>
        <v>(0.278 * E2_3_1_31_mRNA) - (0.00000278 * E2_3_1_31)</v>
      </c>
      <c r="M141" s="2" t="str">
        <f t="shared" si="11"/>
        <v>mRNA140: -&gt; E2_3_1_31_mRNA | 0.00292 - (0.0093 * E2_3_1_31_mRNA)</v>
      </c>
      <c r="N141" s="2" t="str">
        <f t="shared" si="12"/>
        <v>Peptide140: E2_3_1_31_mRNA -&gt; E2_3_1_31 | (0.278 * E2_3_1_31_mRNA) - (0.000000278 * E2_3_1_31)</v>
      </c>
    </row>
    <row r="142">
      <c r="A142" s="12">
        <v>141.0</v>
      </c>
      <c r="B142" s="2" t="s">
        <v>25066</v>
      </c>
      <c r="C142" s="2" t="str">
        <f t="shared" si="3"/>
        <v>E2_3_1_35_mRNA</v>
      </c>
      <c r="D142" s="2" t="str">
        <f t="shared" si="4"/>
        <v>E2_3_1_35</v>
      </c>
      <c r="E142" s="2" t="str">
        <f t="shared" si="5"/>
        <v>E2_3_1_35_kcat : 13.7</v>
      </c>
      <c r="F142" s="2" t="str">
        <f t="shared" si="6"/>
        <v>E2_3_1_35_km : 1</v>
      </c>
      <c r="G142" s="2" t="str">
        <f t="shared" ref="G142:H142" si="289">CONCATENATE(C142," : ",C142)</f>
        <v>E2_3_1_35_mRNA : E2_3_1_35_mRNA</v>
      </c>
      <c r="H142" s="2" t="str">
        <f t="shared" si="289"/>
        <v>E2_3_1_35 : E2_3_1_35</v>
      </c>
      <c r="I142" s="2" t="str">
        <f t="shared" ref="I142:J142" si="290">CONCATENATE(C142," : ","0")</f>
        <v>E2_3_1_35_mRNA : 0</v>
      </c>
      <c r="J142" s="2" t="str">
        <f t="shared" si="290"/>
        <v>E2_3_1_35 : 0</v>
      </c>
      <c r="K142" s="2" t="str">
        <f t="shared" si="9"/>
        <v>0.00292 - (0.0093 * E2_3_1_35_mRNA)</v>
      </c>
      <c r="L142" s="2" t="str">
        <f t="shared" si="10"/>
        <v>(0.278 * E2_3_1_35_mRNA) - (0.00000278 * E2_3_1_35)</v>
      </c>
      <c r="M142" s="2" t="str">
        <f t="shared" si="11"/>
        <v>mRNA141: -&gt; E2_3_1_35_mRNA | 0.00292 - (0.0093 * E2_3_1_35_mRNA)</v>
      </c>
      <c r="N142" s="2" t="str">
        <f t="shared" si="12"/>
        <v>Peptide141: E2_3_1_35_mRNA -&gt; E2_3_1_35 | (0.278 * E2_3_1_35_mRNA) - (0.000000278 * E2_3_1_35)</v>
      </c>
    </row>
    <row r="143">
      <c r="A143" s="12">
        <v>142.0</v>
      </c>
      <c r="B143" s="2" t="s">
        <v>25067</v>
      </c>
      <c r="C143" s="2" t="str">
        <f t="shared" si="3"/>
        <v>E2_3_1_39_mRNA</v>
      </c>
      <c r="D143" s="2" t="str">
        <f t="shared" si="4"/>
        <v>E2_3_1_39</v>
      </c>
      <c r="E143" s="2" t="str">
        <f t="shared" si="5"/>
        <v>E2_3_1_39_kcat : 13.7</v>
      </c>
      <c r="F143" s="2" t="str">
        <f t="shared" si="6"/>
        <v>E2_3_1_39_km : 1</v>
      </c>
      <c r="G143" s="2" t="str">
        <f t="shared" ref="G143:H143" si="291">CONCATENATE(C143," : ",C143)</f>
        <v>E2_3_1_39_mRNA : E2_3_1_39_mRNA</v>
      </c>
      <c r="H143" s="2" t="str">
        <f t="shared" si="291"/>
        <v>E2_3_1_39 : E2_3_1_39</v>
      </c>
      <c r="I143" s="2" t="str">
        <f t="shared" ref="I143:J143" si="292">CONCATENATE(C143," : ","0")</f>
        <v>E2_3_1_39_mRNA : 0</v>
      </c>
      <c r="J143" s="2" t="str">
        <f t="shared" si="292"/>
        <v>E2_3_1_39 : 0</v>
      </c>
      <c r="K143" s="2" t="str">
        <f t="shared" si="9"/>
        <v>0.00292 - (0.0093 * E2_3_1_39_mRNA)</v>
      </c>
      <c r="L143" s="2" t="str">
        <f t="shared" si="10"/>
        <v>(0.278 * E2_3_1_39_mRNA) - (0.00000278 * E2_3_1_39)</v>
      </c>
      <c r="M143" s="2" t="str">
        <f t="shared" si="11"/>
        <v>mRNA142: -&gt; E2_3_1_39_mRNA | 0.00292 - (0.0093 * E2_3_1_39_mRNA)</v>
      </c>
      <c r="N143" s="2" t="str">
        <f t="shared" si="12"/>
        <v>Peptide142: E2_3_1_39_mRNA -&gt; E2_3_1_39 | (0.278 * E2_3_1_39_mRNA) - (0.000000278 * E2_3_1_39)</v>
      </c>
    </row>
    <row r="144">
      <c r="A144" s="12">
        <v>143.0</v>
      </c>
      <c r="B144" s="2" t="s">
        <v>25068</v>
      </c>
      <c r="C144" s="2" t="str">
        <f t="shared" si="3"/>
        <v>E2_3_1_46_mRNA</v>
      </c>
      <c r="D144" s="2" t="str">
        <f t="shared" si="4"/>
        <v>E2_3_1_46</v>
      </c>
      <c r="E144" s="2" t="str">
        <f t="shared" si="5"/>
        <v>E2_3_1_46_kcat : 13.7</v>
      </c>
      <c r="F144" s="2" t="str">
        <f t="shared" si="6"/>
        <v>E2_3_1_46_km : 1</v>
      </c>
      <c r="G144" s="2" t="str">
        <f t="shared" ref="G144:H144" si="293">CONCATENATE(C144," : ",C144)</f>
        <v>E2_3_1_46_mRNA : E2_3_1_46_mRNA</v>
      </c>
      <c r="H144" s="2" t="str">
        <f t="shared" si="293"/>
        <v>E2_3_1_46 : E2_3_1_46</v>
      </c>
      <c r="I144" s="2" t="str">
        <f t="shared" ref="I144:J144" si="294">CONCATENATE(C144," : ","0")</f>
        <v>E2_3_1_46_mRNA : 0</v>
      </c>
      <c r="J144" s="2" t="str">
        <f t="shared" si="294"/>
        <v>E2_3_1_46 : 0</v>
      </c>
      <c r="K144" s="2" t="str">
        <f t="shared" si="9"/>
        <v>0.00292 - (0.0093 * E2_3_1_46_mRNA)</v>
      </c>
      <c r="L144" s="2" t="str">
        <f t="shared" si="10"/>
        <v>(0.278 * E2_3_1_46_mRNA) - (0.00000278 * E2_3_1_46)</v>
      </c>
      <c r="M144" s="2" t="str">
        <f t="shared" si="11"/>
        <v>mRNA143: -&gt; E2_3_1_46_mRNA | 0.00292 - (0.0093 * E2_3_1_46_mRNA)</v>
      </c>
      <c r="N144" s="2" t="str">
        <f t="shared" si="12"/>
        <v>Peptide143: E2_3_1_46_mRNA -&gt; E2_3_1_46 | (0.278 * E2_3_1_46_mRNA) - (0.000000278 * E2_3_1_46)</v>
      </c>
    </row>
    <row r="145">
      <c r="A145" s="12">
        <v>144.0</v>
      </c>
      <c r="B145" s="2" t="s">
        <v>25069</v>
      </c>
      <c r="C145" s="2" t="str">
        <f t="shared" si="3"/>
        <v>E2_3_1_47_mRNA</v>
      </c>
      <c r="D145" s="2" t="str">
        <f t="shared" si="4"/>
        <v>E2_3_1_47</v>
      </c>
      <c r="E145" s="2" t="str">
        <f t="shared" si="5"/>
        <v>E2_3_1_47_kcat : 13.7</v>
      </c>
      <c r="F145" s="2" t="str">
        <f t="shared" si="6"/>
        <v>E2_3_1_47_km : 1</v>
      </c>
      <c r="G145" s="2" t="str">
        <f t="shared" ref="G145:H145" si="295">CONCATENATE(C145," : ",C145)</f>
        <v>E2_3_1_47_mRNA : E2_3_1_47_mRNA</v>
      </c>
      <c r="H145" s="2" t="str">
        <f t="shared" si="295"/>
        <v>E2_3_1_47 : E2_3_1_47</v>
      </c>
      <c r="I145" s="2" t="str">
        <f t="shared" ref="I145:J145" si="296">CONCATENATE(C145," : ","0")</f>
        <v>E2_3_1_47_mRNA : 0</v>
      </c>
      <c r="J145" s="2" t="str">
        <f t="shared" si="296"/>
        <v>E2_3_1_47 : 0</v>
      </c>
      <c r="K145" s="2" t="str">
        <f t="shared" si="9"/>
        <v>0.00292 - (0.0093 * E2_3_1_47_mRNA)</v>
      </c>
      <c r="L145" s="2" t="str">
        <f t="shared" si="10"/>
        <v>(0.278 * E2_3_1_47_mRNA) - (0.00000278 * E2_3_1_47)</v>
      </c>
      <c r="M145" s="2" t="str">
        <f t="shared" si="11"/>
        <v>mRNA144: -&gt; E2_3_1_47_mRNA | 0.00292 - (0.0093 * E2_3_1_47_mRNA)</v>
      </c>
      <c r="N145" s="2" t="str">
        <f t="shared" si="12"/>
        <v>Peptide144: E2_3_1_47_mRNA -&gt; E2_3_1_47 | (0.278 * E2_3_1_47_mRNA) - (0.000000278 * E2_3_1_47)</v>
      </c>
    </row>
    <row r="146">
      <c r="A146" s="12">
        <v>145.0</v>
      </c>
      <c r="B146" s="2" t="s">
        <v>25070</v>
      </c>
      <c r="C146" s="2" t="str">
        <f t="shared" si="3"/>
        <v>E2_3_1_54_mRNA</v>
      </c>
      <c r="D146" s="2" t="str">
        <f t="shared" si="4"/>
        <v>E2_3_1_54</v>
      </c>
      <c r="E146" s="2" t="str">
        <f t="shared" si="5"/>
        <v>E2_3_1_54_kcat : 13.7</v>
      </c>
      <c r="F146" s="2" t="str">
        <f t="shared" si="6"/>
        <v>E2_3_1_54_km : 1</v>
      </c>
      <c r="G146" s="2" t="str">
        <f t="shared" ref="G146:H146" si="297">CONCATENATE(C146," : ",C146)</f>
        <v>E2_3_1_54_mRNA : E2_3_1_54_mRNA</v>
      </c>
      <c r="H146" s="2" t="str">
        <f t="shared" si="297"/>
        <v>E2_3_1_54 : E2_3_1_54</v>
      </c>
      <c r="I146" s="2" t="str">
        <f t="shared" ref="I146:J146" si="298">CONCATENATE(C146," : ","0")</f>
        <v>E2_3_1_54_mRNA : 0</v>
      </c>
      <c r="J146" s="2" t="str">
        <f t="shared" si="298"/>
        <v>E2_3_1_54 : 0</v>
      </c>
      <c r="K146" s="2" t="str">
        <f t="shared" si="9"/>
        <v>0.00292 - (0.0093 * E2_3_1_54_mRNA)</v>
      </c>
      <c r="L146" s="2" t="str">
        <f t="shared" si="10"/>
        <v>(0.278 * E2_3_1_54_mRNA) - (0.00000278 * E2_3_1_54)</v>
      </c>
      <c r="M146" s="2" t="str">
        <f t="shared" si="11"/>
        <v>mRNA145: -&gt; E2_3_1_54_mRNA | 0.00292 - (0.0093 * E2_3_1_54_mRNA)</v>
      </c>
      <c r="N146" s="2" t="str">
        <f t="shared" si="12"/>
        <v>Peptide145: E2_3_1_54_mRNA -&gt; E2_3_1_54 | (0.278 * E2_3_1_54_mRNA) - (0.000000278 * E2_3_1_54)</v>
      </c>
    </row>
    <row r="147">
      <c r="A147" s="12">
        <v>146.0</v>
      </c>
      <c r="B147" s="2" t="s">
        <v>25071</v>
      </c>
      <c r="C147" s="2" t="str">
        <f t="shared" si="3"/>
        <v>E2_3_1_57_mRNA</v>
      </c>
      <c r="D147" s="2" t="str">
        <f t="shared" si="4"/>
        <v>E2_3_1_57</v>
      </c>
      <c r="E147" s="2" t="str">
        <f t="shared" si="5"/>
        <v>E2_3_1_57_kcat : 13.7</v>
      </c>
      <c r="F147" s="2" t="str">
        <f t="shared" si="6"/>
        <v>E2_3_1_57_km : 1</v>
      </c>
      <c r="G147" s="2" t="str">
        <f t="shared" ref="G147:H147" si="299">CONCATENATE(C147," : ",C147)</f>
        <v>E2_3_1_57_mRNA : E2_3_1_57_mRNA</v>
      </c>
      <c r="H147" s="2" t="str">
        <f t="shared" si="299"/>
        <v>E2_3_1_57 : E2_3_1_57</v>
      </c>
      <c r="I147" s="2" t="str">
        <f t="shared" ref="I147:J147" si="300">CONCATENATE(C147," : ","0")</f>
        <v>E2_3_1_57_mRNA : 0</v>
      </c>
      <c r="J147" s="2" t="str">
        <f t="shared" si="300"/>
        <v>E2_3_1_57 : 0</v>
      </c>
      <c r="K147" s="2" t="str">
        <f t="shared" si="9"/>
        <v>0.00292 - (0.0093 * E2_3_1_57_mRNA)</v>
      </c>
      <c r="L147" s="2" t="str">
        <f t="shared" si="10"/>
        <v>(0.278 * E2_3_1_57_mRNA) - (0.00000278 * E2_3_1_57)</v>
      </c>
      <c r="M147" s="2" t="str">
        <f t="shared" si="11"/>
        <v>mRNA146: -&gt; E2_3_1_57_mRNA | 0.00292 - (0.0093 * E2_3_1_57_mRNA)</v>
      </c>
      <c r="N147" s="2" t="str">
        <f t="shared" si="12"/>
        <v>Peptide146: E2_3_1_57_mRNA -&gt; E2_3_1_57 | (0.278 * E2_3_1_57_mRNA) - (0.000000278 * E2_3_1_57)</v>
      </c>
    </row>
    <row r="148">
      <c r="A148" s="12">
        <v>147.0</v>
      </c>
      <c r="B148" s="2" t="s">
        <v>25072</v>
      </c>
      <c r="C148" s="2" t="str">
        <f t="shared" si="3"/>
        <v>E2_3_1_61_mRNA</v>
      </c>
      <c r="D148" s="2" t="str">
        <f t="shared" si="4"/>
        <v>E2_3_1_61</v>
      </c>
      <c r="E148" s="2" t="str">
        <f t="shared" si="5"/>
        <v>E2_3_1_61_kcat : 13.7</v>
      </c>
      <c r="F148" s="2" t="str">
        <f t="shared" si="6"/>
        <v>E2_3_1_61_km : 1</v>
      </c>
      <c r="G148" s="2" t="str">
        <f t="shared" ref="G148:H148" si="301">CONCATENATE(C148," : ",C148)</f>
        <v>E2_3_1_61_mRNA : E2_3_1_61_mRNA</v>
      </c>
      <c r="H148" s="2" t="str">
        <f t="shared" si="301"/>
        <v>E2_3_1_61 : E2_3_1_61</v>
      </c>
      <c r="I148" s="2" t="str">
        <f t="shared" ref="I148:J148" si="302">CONCATENATE(C148," : ","0")</f>
        <v>E2_3_1_61_mRNA : 0</v>
      </c>
      <c r="J148" s="2" t="str">
        <f t="shared" si="302"/>
        <v>E2_3_1_61 : 0</v>
      </c>
      <c r="K148" s="2" t="str">
        <f t="shared" si="9"/>
        <v>0.00292 - (0.0093 * E2_3_1_61_mRNA)</v>
      </c>
      <c r="L148" s="2" t="str">
        <f t="shared" si="10"/>
        <v>(0.278 * E2_3_1_61_mRNA) - (0.00000278 * E2_3_1_61)</v>
      </c>
      <c r="M148" s="2" t="str">
        <f t="shared" si="11"/>
        <v>mRNA147: -&gt; E2_3_1_61_mRNA | 0.00292 - (0.0093 * E2_3_1_61_mRNA)</v>
      </c>
      <c r="N148" s="2" t="str">
        <f t="shared" si="12"/>
        <v>Peptide147: E2_3_1_61_mRNA -&gt; E2_3_1_61 | (0.278 * E2_3_1_61_mRNA) - (0.000000278 * E2_3_1_61)</v>
      </c>
    </row>
    <row r="149">
      <c r="A149" s="12">
        <v>148.0</v>
      </c>
      <c r="B149" s="2" t="s">
        <v>25073</v>
      </c>
      <c r="C149" s="2" t="str">
        <f t="shared" si="3"/>
        <v>E2_3_1_8_mRNA</v>
      </c>
      <c r="D149" s="2" t="str">
        <f t="shared" si="4"/>
        <v>E2_3_1_8</v>
      </c>
      <c r="E149" s="2" t="str">
        <f t="shared" si="5"/>
        <v>E2_3_1_8_kcat : 13.7</v>
      </c>
      <c r="F149" s="2" t="str">
        <f t="shared" si="6"/>
        <v>E2_3_1_8_km : 1</v>
      </c>
      <c r="G149" s="2" t="str">
        <f t="shared" ref="G149:H149" si="303">CONCATENATE(C149," : ",C149)</f>
        <v>E2_3_1_8_mRNA : E2_3_1_8_mRNA</v>
      </c>
      <c r="H149" s="2" t="str">
        <f t="shared" si="303"/>
        <v>E2_3_1_8 : E2_3_1_8</v>
      </c>
      <c r="I149" s="2" t="str">
        <f t="shared" ref="I149:J149" si="304">CONCATENATE(C149," : ","0")</f>
        <v>E2_3_1_8_mRNA : 0</v>
      </c>
      <c r="J149" s="2" t="str">
        <f t="shared" si="304"/>
        <v>E2_3_1_8 : 0</v>
      </c>
      <c r="K149" s="2" t="str">
        <f t="shared" si="9"/>
        <v>0.00292 - (0.0093 * E2_3_1_8_mRNA)</v>
      </c>
      <c r="L149" s="2" t="str">
        <f t="shared" si="10"/>
        <v>(0.278 * E2_3_1_8_mRNA) - (0.00000278 * E2_3_1_8)</v>
      </c>
      <c r="M149" s="2" t="str">
        <f t="shared" si="11"/>
        <v>mRNA148: -&gt; E2_3_1_8_mRNA | 0.00292 - (0.0093 * E2_3_1_8_mRNA)</v>
      </c>
      <c r="N149" s="2" t="str">
        <f t="shared" si="12"/>
        <v>Peptide148: E2_3_1_8_mRNA -&gt; E2_3_1_8 | (0.278 * E2_3_1_8_mRNA) - (0.000000278 * E2_3_1_8)</v>
      </c>
    </row>
    <row r="150">
      <c r="A150" s="12">
        <v>149.0</v>
      </c>
      <c r="B150" s="2" t="s">
        <v>25074</v>
      </c>
      <c r="C150" s="2" t="str">
        <f t="shared" si="3"/>
        <v>E2_3_1_9_mRNA</v>
      </c>
      <c r="D150" s="2" t="str">
        <f t="shared" si="4"/>
        <v>E2_3_1_9</v>
      </c>
      <c r="E150" s="2" t="str">
        <f t="shared" si="5"/>
        <v>E2_3_1_9_kcat : 13.7</v>
      </c>
      <c r="F150" s="2" t="str">
        <f t="shared" si="6"/>
        <v>E2_3_1_9_km : 1</v>
      </c>
      <c r="G150" s="2" t="str">
        <f t="shared" ref="G150:H150" si="305">CONCATENATE(C150," : ",C150)</f>
        <v>E2_3_1_9_mRNA : E2_3_1_9_mRNA</v>
      </c>
      <c r="H150" s="2" t="str">
        <f t="shared" si="305"/>
        <v>E2_3_1_9 : E2_3_1_9</v>
      </c>
      <c r="I150" s="2" t="str">
        <f t="shared" ref="I150:J150" si="306">CONCATENATE(C150," : ","0")</f>
        <v>E2_3_1_9_mRNA : 0</v>
      </c>
      <c r="J150" s="2" t="str">
        <f t="shared" si="306"/>
        <v>E2_3_1_9 : 0</v>
      </c>
      <c r="K150" s="2" t="str">
        <f t="shared" si="9"/>
        <v>0.00292 - (0.0093 * E2_3_1_9_mRNA)</v>
      </c>
      <c r="L150" s="2" t="str">
        <f t="shared" si="10"/>
        <v>(0.278 * E2_3_1_9_mRNA) - (0.00000278 * E2_3_1_9)</v>
      </c>
      <c r="M150" s="2" t="str">
        <f t="shared" si="11"/>
        <v>mRNA149: -&gt; E2_3_1_9_mRNA | 0.00292 - (0.0093 * E2_3_1_9_mRNA)</v>
      </c>
      <c r="N150" s="2" t="str">
        <f t="shared" si="12"/>
        <v>Peptide149: E2_3_1_9_mRNA -&gt; E2_3_1_9 | (0.278 * E2_3_1_9_mRNA) - (0.000000278 * E2_3_1_9)</v>
      </c>
    </row>
    <row r="151">
      <c r="A151" s="12">
        <v>150.0</v>
      </c>
      <c r="B151" s="2" t="s">
        <v>25075</v>
      </c>
      <c r="C151" s="2" t="str">
        <f t="shared" si="3"/>
        <v>E2_3_2_13_mRNA</v>
      </c>
      <c r="D151" s="2" t="str">
        <f t="shared" si="4"/>
        <v>E2_3_2_13</v>
      </c>
      <c r="E151" s="2" t="str">
        <f t="shared" si="5"/>
        <v>E2_3_2_13_kcat : 13.7</v>
      </c>
      <c r="F151" s="2" t="str">
        <f t="shared" si="6"/>
        <v>E2_3_2_13_km : 1</v>
      </c>
      <c r="G151" s="2" t="str">
        <f t="shared" ref="G151:H151" si="307">CONCATENATE(C151," : ",C151)</f>
        <v>E2_3_2_13_mRNA : E2_3_2_13_mRNA</v>
      </c>
      <c r="H151" s="2" t="str">
        <f t="shared" si="307"/>
        <v>E2_3_2_13 : E2_3_2_13</v>
      </c>
      <c r="I151" s="2" t="str">
        <f t="shared" ref="I151:J151" si="308">CONCATENATE(C151," : ","0")</f>
        <v>E2_3_2_13_mRNA : 0</v>
      </c>
      <c r="J151" s="2" t="str">
        <f t="shared" si="308"/>
        <v>E2_3_2_13 : 0</v>
      </c>
      <c r="K151" s="2" t="str">
        <f t="shared" si="9"/>
        <v>0.00292 - (0.0093 * E2_3_2_13_mRNA)</v>
      </c>
      <c r="L151" s="2" t="str">
        <f t="shared" si="10"/>
        <v>(0.278 * E2_3_2_13_mRNA) - (0.00000278 * E2_3_2_13)</v>
      </c>
      <c r="M151" s="2" t="str">
        <f t="shared" si="11"/>
        <v>mRNA150: -&gt; E2_3_2_13_mRNA | 0.00292 - (0.0093 * E2_3_2_13_mRNA)</v>
      </c>
      <c r="N151" s="2" t="str">
        <f t="shared" si="12"/>
        <v>Peptide150: E2_3_2_13_mRNA -&gt; E2_3_2_13 | (0.278 * E2_3_2_13_mRNA) - (0.000000278 * E2_3_2_13)</v>
      </c>
    </row>
    <row r="152">
      <c r="A152" s="12">
        <v>151.0</v>
      </c>
      <c r="B152" s="2" t="s">
        <v>25076</v>
      </c>
      <c r="C152" s="2" t="str">
        <f t="shared" si="3"/>
        <v>E2_3_3_1_mRNA</v>
      </c>
      <c r="D152" s="2" t="str">
        <f t="shared" si="4"/>
        <v>E2_3_3_1</v>
      </c>
      <c r="E152" s="2" t="str">
        <f t="shared" si="5"/>
        <v>E2_3_3_1_kcat : 13.7</v>
      </c>
      <c r="F152" s="2" t="str">
        <f t="shared" si="6"/>
        <v>E2_3_3_1_km : 1</v>
      </c>
      <c r="G152" s="2" t="str">
        <f t="shared" ref="G152:H152" si="309">CONCATENATE(C152," : ",C152)</f>
        <v>E2_3_3_1_mRNA : E2_3_3_1_mRNA</v>
      </c>
      <c r="H152" s="2" t="str">
        <f t="shared" si="309"/>
        <v>E2_3_3_1 : E2_3_3_1</v>
      </c>
      <c r="I152" s="2" t="str">
        <f t="shared" ref="I152:J152" si="310">CONCATENATE(C152," : ","0")</f>
        <v>E2_3_3_1_mRNA : 0</v>
      </c>
      <c r="J152" s="2" t="str">
        <f t="shared" si="310"/>
        <v>E2_3_3_1 : 0</v>
      </c>
      <c r="K152" s="2" t="str">
        <f t="shared" si="9"/>
        <v>0.00292 - (0.0093 * E2_3_3_1_mRNA)</v>
      </c>
      <c r="L152" s="2" t="str">
        <f t="shared" si="10"/>
        <v>(0.278 * E2_3_3_1_mRNA) - (0.00000278 * E2_3_3_1)</v>
      </c>
      <c r="M152" s="2" t="str">
        <f t="shared" si="11"/>
        <v>mRNA151: -&gt; E2_3_3_1_mRNA | 0.00292 - (0.0093 * E2_3_3_1_mRNA)</v>
      </c>
      <c r="N152" s="2" t="str">
        <f t="shared" si="12"/>
        <v>Peptide151: E2_3_3_1_mRNA -&gt; E2_3_3_1 | (0.278 * E2_3_3_1_mRNA) - (0.000000278 * E2_3_3_1)</v>
      </c>
    </row>
    <row r="153">
      <c r="A153" s="12">
        <v>152.0</v>
      </c>
      <c r="B153" s="2" t="s">
        <v>25077</v>
      </c>
      <c r="C153" s="2" t="str">
        <f t="shared" si="3"/>
        <v>E2_3_3_13_mRNA</v>
      </c>
      <c r="D153" s="2" t="str">
        <f t="shared" si="4"/>
        <v>E2_3_3_13</v>
      </c>
      <c r="E153" s="2" t="str">
        <f t="shared" si="5"/>
        <v>E2_3_3_13_kcat : 13.7</v>
      </c>
      <c r="F153" s="2" t="str">
        <f t="shared" si="6"/>
        <v>E2_3_3_13_km : 1</v>
      </c>
      <c r="G153" s="2" t="str">
        <f t="shared" ref="G153:H153" si="311">CONCATENATE(C153," : ",C153)</f>
        <v>E2_3_3_13_mRNA : E2_3_3_13_mRNA</v>
      </c>
      <c r="H153" s="2" t="str">
        <f t="shared" si="311"/>
        <v>E2_3_3_13 : E2_3_3_13</v>
      </c>
      <c r="I153" s="2" t="str">
        <f t="shared" ref="I153:J153" si="312">CONCATENATE(C153," : ","0")</f>
        <v>E2_3_3_13_mRNA : 0</v>
      </c>
      <c r="J153" s="2" t="str">
        <f t="shared" si="312"/>
        <v>E2_3_3_13 : 0</v>
      </c>
      <c r="K153" s="2" t="str">
        <f t="shared" si="9"/>
        <v>0.00292 - (0.0093 * E2_3_3_13_mRNA)</v>
      </c>
      <c r="L153" s="2" t="str">
        <f t="shared" si="10"/>
        <v>(0.278 * E2_3_3_13_mRNA) - (0.00000278 * E2_3_3_13)</v>
      </c>
      <c r="M153" s="2" t="str">
        <f t="shared" si="11"/>
        <v>mRNA152: -&gt; E2_3_3_13_mRNA | 0.00292 - (0.0093 * E2_3_3_13_mRNA)</v>
      </c>
      <c r="N153" s="2" t="str">
        <f t="shared" si="12"/>
        <v>Peptide152: E2_3_3_13_mRNA -&gt; E2_3_3_13 | (0.278 * E2_3_3_13_mRNA) - (0.000000278 * E2_3_3_13)</v>
      </c>
    </row>
    <row r="154">
      <c r="A154" s="12">
        <v>153.0</v>
      </c>
      <c r="B154" s="2" t="s">
        <v>25078</v>
      </c>
      <c r="C154" s="2" t="str">
        <f t="shared" si="3"/>
        <v>E2_3_3_9_mRNA</v>
      </c>
      <c r="D154" s="2" t="str">
        <f t="shared" si="4"/>
        <v>E2_3_3_9</v>
      </c>
      <c r="E154" s="2" t="str">
        <f t="shared" si="5"/>
        <v>E2_3_3_9_kcat : 13.7</v>
      </c>
      <c r="F154" s="2" t="str">
        <f t="shared" si="6"/>
        <v>E2_3_3_9_km : 1</v>
      </c>
      <c r="G154" s="2" t="str">
        <f t="shared" ref="G154:H154" si="313">CONCATENATE(C154," : ",C154)</f>
        <v>E2_3_3_9_mRNA : E2_3_3_9_mRNA</v>
      </c>
      <c r="H154" s="2" t="str">
        <f t="shared" si="313"/>
        <v>E2_3_3_9 : E2_3_3_9</v>
      </c>
      <c r="I154" s="2" t="str">
        <f t="shared" ref="I154:J154" si="314">CONCATENATE(C154," : ","0")</f>
        <v>E2_3_3_9_mRNA : 0</v>
      </c>
      <c r="J154" s="2" t="str">
        <f t="shared" si="314"/>
        <v>E2_3_3_9 : 0</v>
      </c>
      <c r="K154" s="2" t="str">
        <f t="shared" si="9"/>
        <v>0.00292 - (0.0093 * E2_3_3_9_mRNA)</v>
      </c>
      <c r="L154" s="2" t="str">
        <f t="shared" si="10"/>
        <v>(0.278 * E2_3_3_9_mRNA) - (0.00000278 * E2_3_3_9)</v>
      </c>
      <c r="M154" s="2" t="str">
        <f t="shared" si="11"/>
        <v>mRNA153: -&gt; E2_3_3_9_mRNA | 0.00292 - (0.0093 * E2_3_3_9_mRNA)</v>
      </c>
      <c r="N154" s="2" t="str">
        <f t="shared" si="12"/>
        <v>Peptide153: E2_3_3_9_mRNA -&gt; E2_3_3_9 | (0.278 * E2_3_3_9_mRNA) - (0.000000278 * E2_3_3_9)</v>
      </c>
    </row>
    <row r="155">
      <c r="A155" s="12">
        <v>154.0</v>
      </c>
      <c r="B155" s="2" t="s">
        <v>25079</v>
      </c>
      <c r="C155" s="2" t="str">
        <f t="shared" si="3"/>
        <v>E2_4_1_1_mRNA</v>
      </c>
      <c r="D155" s="2" t="str">
        <f t="shared" si="4"/>
        <v>E2_4_1_1</v>
      </c>
      <c r="E155" s="2" t="str">
        <f t="shared" si="5"/>
        <v>E2_4_1_1_kcat : 13.7</v>
      </c>
      <c r="F155" s="2" t="str">
        <f t="shared" si="6"/>
        <v>E2_4_1_1_km : 1</v>
      </c>
      <c r="G155" s="2" t="str">
        <f t="shared" ref="G155:H155" si="315">CONCATENATE(C155," : ",C155)</f>
        <v>E2_4_1_1_mRNA : E2_4_1_1_mRNA</v>
      </c>
      <c r="H155" s="2" t="str">
        <f t="shared" si="315"/>
        <v>E2_4_1_1 : E2_4_1_1</v>
      </c>
      <c r="I155" s="2" t="str">
        <f t="shared" ref="I155:J155" si="316">CONCATENATE(C155," : ","0")</f>
        <v>E2_4_1_1_mRNA : 0</v>
      </c>
      <c r="J155" s="2" t="str">
        <f t="shared" si="316"/>
        <v>E2_4_1_1 : 0</v>
      </c>
      <c r="K155" s="2" t="str">
        <f t="shared" si="9"/>
        <v>0.00292 - (0.0093 * E2_4_1_1_mRNA)</v>
      </c>
      <c r="L155" s="2" t="str">
        <f t="shared" si="10"/>
        <v>(0.278 * E2_4_1_1_mRNA) - (0.00000278 * E2_4_1_1)</v>
      </c>
      <c r="M155" s="2" t="str">
        <f t="shared" si="11"/>
        <v>mRNA154: -&gt; E2_4_1_1_mRNA | 0.00292 - (0.0093 * E2_4_1_1_mRNA)</v>
      </c>
      <c r="N155" s="2" t="str">
        <f t="shared" si="12"/>
        <v>Peptide154: E2_4_1_1_mRNA -&gt; E2_4_1_1 | (0.278 * E2_4_1_1_mRNA) - (0.000000278 * E2_4_1_1)</v>
      </c>
    </row>
    <row r="156">
      <c r="A156" s="12">
        <v>155.0</v>
      </c>
      <c r="B156" s="2" t="s">
        <v>25080</v>
      </c>
      <c r="C156" s="2" t="str">
        <f t="shared" si="3"/>
        <v>E2_4_1_129_mRNA</v>
      </c>
      <c r="D156" s="2" t="str">
        <f t="shared" si="4"/>
        <v>E2_4_1_129</v>
      </c>
      <c r="E156" s="2" t="str">
        <f t="shared" si="5"/>
        <v>E2_4_1_129_kcat : 13.7</v>
      </c>
      <c r="F156" s="2" t="str">
        <f t="shared" si="6"/>
        <v>E2_4_1_129_km : 1</v>
      </c>
      <c r="G156" s="2" t="str">
        <f t="shared" ref="G156:H156" si="317">CONCATENATE(C156," : ",C156)</f>
        <v>E2_4_1_129_mRNA : E2_4_1_129_mRNA</v>
      </c>
      <c r="H156" s="2" t="str">
        <f t="shared" si="317"/>
        <v>E2_4_1_129 : E2_4_1_129</v>
      </c>
      <c r="I156" s="2" t="str">
        <f t="shared" ref="I156:J156" si="318">CONCATENATE(C156," : ","0")</f>
        <v>E2_4_1_129_mRNA : 0</v>
      </c>
      <c r="J156" s="2" t="str">
        <f t="shared" si="318"/>
        <v>E2_4_1_129 : 0</v>
      </c>
      <c r="K156" s="2" t="str">
        <f t="shared" si="9"/>
        <v>0.00292 - (0.0093 * E2_4_1_129_mRNA)</v>
      </c>
      <c r="L156" s="2" t="str">
        <f t="shared" si="10"/>
        <v>(0.278 * E2_4_1_129_mRNA) - (0.00000278 * E2_4_1_129)</v>
      </c>
      <c r="M156" s="2" t="str">
        <f t="shared" si="11"/>
        <v>mRNA155: -&gt; E2_4_1_129_mRNA | 0.00292 - (0.0093 * E2_4_1_129_mRNA)</v>
      </c>
      <c r="N156" s="2" t="str">
        <f t="shared" si="12"/>
        <v>Peptide155: E2_4_1_129_mRNA -&gt; E2_4_1_129 | (0.278 * E2_4_1_129_mRNA) - (0.000000278 * E2_4_1_129)</v>
      </c>
    </row>
    <row r="157">
      <c r="A157" s="12">
        <v>156.0</v>
      </c>
      <c r="B157" s="2" t="s">
        <v>25081</v>
      </c>
      <c r="C157" s="2" t="str">
        <f t="shared" si="3"/>
        <v>E2_4_1_18_mRNA</v>
      </c>
      <c r="D157" s="2" t="str">
        <f t="shared" si="4"/>
        <v>E2_4_1_18</v>
      </c>
      <c r="E157" s="2" t="str">
        <f t="shared" si="5"/>
        <v>E2_4_1_18_kcat : 13.7</v>
      </c>
      <c r="F157" s="2" t="str">
        <f t="shared" si="6"/>
        <v>E2_4_1_18_km : 1</v>
      </c>
      <c r="G157" s="2" t="str">
        <f t="shared" ref="G157:H157" si="319">CONCATENATE(C157," : ",C157)</f>
        <v>E2_4_1_18_mRNA : E2_4_1_18_mRNA</v>
      </c>
      <c r="H157" s="2" t="str">
        <f t="shared" si="319"/>
        <v>E2_4_1_18 : E2_4_1_18</v>
      </c>
      <c r="I157" s="2" t="str">
        <f t="shared" ref="I157:J157" si="320">CONCATENATE(C157," : ","0")</f>
        <v>E2_4_1_18_mRNA : 0</v>
      </c>
      <c r="J157" s="2" t="str">
        <f t="shared" si="320"/>
        <v>E2_4_1_18 : 0</v>
      </c>
      <c r="K157" s="2" t="str">
        <f t="shared" si="9"/>
        <v>0.00292 - (0.0093 * E2_4_1_18_mRNA)</v>
      </c>
      <c r="L157" s="2" t="str">
        <f t="shared" si="10"/>
        <v>(0.278 * E2_4_1_18_mRNA) - (0.00000278 * E2_4_1_18)</v>
      </c>
      <c r="M157" s="2" t="str">
        <f t="shared" si="11"/>
        <v>mRNA156: -&gt; E2_4_1_18_mRNA | 0.00292 - (0.0093 * E2_4_1_18_mRNA)</v>
      </c>
      <c r="N157" s="2" t="str">
        <f t="shared" si="12"/>
        <v>Peptide156: E2_4_1_18_mRNA -&gt; E2_4_1_18 | (0.278 * E2_4_1_18_mRNA) - (0.000000278 * E2_4_1_18)</v>
      </c>
    </row>
    <row r="158">
      <c r="A158" s="12">
        <v>157.0</v>
      </c>
      <c r="B158" s="2" t="s">
        <v>25082</v>
      </c>
      <c r="C158" s="2" t="str">
        <f t="shared" si="3"/>
        <v>E2_4_1_227_mRNA</v>
      </c>
      <c r="D158" s="2" t="str">
        <f t="shared" si="4"/>
        <v>E2_4_1_227</v>
      </c>
      <c r="E158" s="2" t="str">
        <f t="shared" si="5"/>
        <v>E2_4_1_227_kcat : 13.7</v>
      </c>
      <c r="F158" s="2" t="str">
        <f t="shared" si="6"/>
        <v>E2_4_1_227_km : 1</v>
      </c>
      <c r="G158" s="2" t="str">
        <f t="shared" ref="G158:H158" si="321">CONCATENATE(C158," : ",C158)</f>
        <v>E2_4_1_227_mRNA : E2_4_1_227_mRNA</v>
      </c>
      <c r="H158" s="2" t="str">
        <f t="shared" si="321"/>
        <v>E2_4_1_227 : E2_4_1_227</v>
      </c>
      <c r="I158" s="2" t="str">
        <f t="shared" ref="I158:J158" si="322">CONCATENATE(C158," : ","0")</f>
        <v>E2_4_1_227_mRNA : 0</v>
      </c>
      <c r="J158" s="2" t="str">
        <f t="shared" si="322"/>
        <v>E2_4_1_227 : 0</v>
      </c>
      <c r="K158" s="2" t="str">
        <f t="shared" si="9"/>
        <v>0.00292 - (0.0093 * E2_4_1_227_mRNA)</v>
      </c>
      <c r="L158" s="2" t="str">
        <f t="shared" si="10"/>
        <v>(0.278 * E2_4_1_227_mRNA) - (0.00000278 * E2_4_1_227)</v>
      </c>
      <c r="M158" s="2" t="str">
        <f t="shared" si="11"/>
        <v>mRNA157: -&gt; E2_4_1_227_mRNA | 0.00292 - (0.0093 * E2_4_1_227_mRNA)</v>
      </c>
      <c r="N158" s="2" t="str">
        <f t="shared" si="12"/>
        <v>Peptide157: E2_4_1_227_mRNA -&gt; E2_4_1_227 | (0.278 * E2_4_1_227_mRNA) - (0.000000278 * E2_4_1_227)</v>
      </c>
    </row>
    <row r="159">
      <c r="A159" s="12">
        <v>158.0</v>
      </c>
      <c r="B159" s="2" t="s">
        <v>25083</v>
      </c>
      <c r="C159" s="2" t="str">
        <f t="shared" si="3"/>
        <v>E2_4_2_1_mRNA</v>
      </c>
      <c r="D159" s="2" t="str">
        <f t="shared" si="4"/>
        <v>E2_4_2_1</v>
      </c>
      <c r="E159" s="2" t="str">
        <f t="shared" si="5"/>
        <v>E2_4_2_1_kcat : 13.7</v>
      </c>
      <c r="F159" s="2" t="str">
        <f t="shared" si="6"/>
        <v>E2_4_2_1_km : 1</v>
      </c>
      <c r="G159" s="2" t="str">
        <f t="shared" ref="G159:H159" si="323">CONCATENATE(C159," : ",C159)</f>
        <v>E2_4_2_1_mRNA : E2_4_2_1_mRNA</v>
      </c>
      <c r="H159" s="2" t="str">
        <f t="shared" si="323"/>
        <v>E2_4_2_1 : E2_4_2_1</v>
      </c>
      <c r="I159" s="2" t="str">
        <f t="shared" ref="I159:J159" si="324">CONCATENATE(C159," : ","0")</f>
        <v>E2_4_2_1_mRNA : 0</v>
      </c>
      <c r="J159" s="2" t="str">
        <f t="shared" si="324"/>
        <v>E2_4_2_1 : 0</v>
      </c>
      <c r="K159" s="2" t="str">
        <f t="shared" si="9"/>
        <v>0.00292 - (0.0093 * E2_4_2_1_mRNA)</v>
      </c>
      <c r="L159" s="2" t="str">
        <f t="shared" si="10"/>
        <v>(0.278 * E2_4_2_1_mRNA) - (0.00000278 * E2_4_2_1)</v>
      </c>
      <c r="M159" s="2" t="str">
        <f t="shared" si="11"/>
        <v>mRNA158: -&gt; E2_4_2_1_mRNA | 0.00292 - (0.0093 * E2_4_2_1_mRNA)</v>
      </c>
      <c r="N159" s="2" t="str">
        <f t="shared" si="12"/>
        <v>Peptide158: E2_4_2_1_mRNA -&gt; E2_4_2_1 | (0.278 * E2_4_2_1_mRNA) - (0.000000278 * E2_4_2_1)</v>
      </c>
    </row>
    <row r="160">
      <c r="A160" s="12">
        <v>159.0</v>
      </c>
      <c r="B160" s="2" t="s">
        <v>25084</v>
      </c>
      <c r="C160" s="2" t="str">
        <f t="shared" si="3"/>
        <v>E2_4_2_10_mRNA</v>
      </c>
      <c r="D160" s="2" t="str">
        <f t="shared" si="4"/>
        <v>E2_4_2_10</v>
      </c>
      <c r="E160" s="2" t="str">
        <f t="shared" si="5"/>
        <v>E2_4_2_10_kcat : 13.7</v>
      </c>
      <c r="F160" s="2" t="str">
        <f t="shared" si="6"/>
        <v>E2_4_2_10_km : 1</v>
      </c>
      <c r="G160" s="2" t="str">
        <f t="shared" ref="G160:H160" si="325">CONCATENATE(C160," : ",C160)</f>
        <v>E2_4_2_10_mRNA : E2_4_2_10_mRNA</v>
      </c>
      <c r="H160" s="2" t="str">
        <f t="shared" si="325"/>
        <v>E2_4_2_10 : E2_4_2_10</v>
      </c>
      <c r="I160" s="2" t="str">
        <f t="shared" ref="I160:J160" si="326">CONCATENATE(C160," : ","0")</f>
        <v>E2_4_2_10_mRNA : 0</v>
      </c>
      <c r="J160" s="2" t="str">
        <f t="shared" si="326"/>
        <v>E2_4_2_10 : 0</v>
      </c>
      <c r="K160" s="2" t="str">
        <f t="shared" si="9"/>
        <v>0.00292 - (0.0093 * E2_4_2_10_mRNA)</v>
      </c>
      <c r="L160" s="2" t="str">
        <f t="shared" si="10"/>
        <v>(0.278 * E2_4_2_10_mRNA) - (0.00000278 * E2_4_2_10)</v>
      </c>
      <c r="M160" s="2" t="str">
        <f t="shared" si="11"/>
        <v>mRNA159: -&gt; E2_4_2_10_mRNA | 0.00292 - (0.0093 * E2_4_2_10_mRNA)</v>
      </c>
      <c r="N160" s="2" t="str">
        <f t="shared" si="12"/>
        <v>Peptide159: E2_4_2_10_mRNA -&gt; E2_4_2_10 | (0.278 * E2_4_2_10_mRNA) - (0.000000278 * E2_4_2_10)</v>
      </c>
    </row>
    <row r="161">
      <c r="A161" s="12">
        <v>160.0</v>
      </c>
      <c r="B161" s="2" t="s">
        <v>25085</v>
      </c>
      <c r="C161" s="2" t="str">
        <f t="shared" si="3"/>
        <v>E2_4_2_14_mRNA</v>
      </c>
      <c r="D161" s="2" t="str">
        <f t="shared" si="4"/>
        <v>E2_4_2_14</v>
      </c>
      <c r="E161" s="2" t="str">
        <f t="shared" si="5"/>
        <v>E2_4_2_14_kcat : 13.7</v>
      </c>
      <c r="F161" s="2" t="str">
        <f t="shared" si="6"/>
        <v>E2_4_2_14_km : 1</v>
      </c>
      <c r="G161" s="2" t="str">
        <f t="shared" ref="G161:H161" si="327">CONCATENATE(C161," : ",C161)</f>
        <v>E2_4_2_14_mRNA : E2_4_2_14_mRNA</v>
      </c>
      <c r="H161" s="2" t="str">
        <f t="shared" si="327"/>
        <v>E2_4_2_14 : E2_4_2_14</v>
      </c>
      <c r="I161" s="2" t="str">
        <f t="shared" ref="I161:J161" si="328">CONCATENATE(C161," : ","0")</f>
        <v>E2_4_2_14_mRNA : 0</v>
      </c>
      <c r="J161" s="2" t="str">
        <f t="shared" si="328"/>
        <v>E2_4_2_14 : 0</v>
      </c>
      <c r="K161" s="2" t="str">
        <f t="shared" si="9"/>
        <v>0.00292 - (0.0093 * E2_4_2_14_mRNA)</v>
      </c>
      <c r="L161" s="2" t="str">
        <f t="shared" si="10"/>
        <v>(0.278 * E2_4_2_14_mRNA) - (0.00000278 * E2_4_2_14)</v>
      </c>
      <c r="M161" s="2" t="str">
        <f t="shared" si="11"/>
        <v>mRNA160: -&gt; E2_4_2_14_mRNA | 0.00292 - (0.0093 * E2_4_2_14_mRNA)</v>
      </c>
      <c r="N161" s="2" t="str">
        <f t="shared" si="12"/>
        <v>Peptide160: E2_4_2_14_mRNA -&gt; E2_4_2_14 | (0.278 * E2_4_2_14_mRNA) - (0.000000278 * E2_4_2_14)</v>
      </c>
    </row>
    <row r="162">
      <c r="A162" s="12">
        <v>161.0</v>
      </c>
      <c r="B162" s="2" t="s">
        <v>25086</v>
      </c>
      <c r="C162" s="2" t="str">
        <f t="shared" si="3"/>
        <v>E2_4_2_17_mRNA</v>
      </c>
      <c r="D162" s="2" t="str">
        <f t="shared" si="4"/>
        <v>E2_4_2_17</v>
      </c>
      <c r="E162" s="2" t="str">
        <f t="shared" si="5"/>
        <v>E2_4_2_17_kcat : 13.7</v>
      </c>
      <c r="F162" s="2" t="str">
        <f t="shared" si="6"/>
        <v>E2_4_2_17_km : 1</v>
      </c>
      <c r="G162" s="2" t="str">
        <f t="shared" ref="G162:H162" si="329">CONCATENATE(C162," : ",C162)</f>
        <v>E2_4_2_17_mRNA : E2_4_2_17_mRNA</v>
      </c>
      <c r="H162" s="2" t="str">
        <f t="shared" si="329"/>
        <v>E2_4_2_17 : E2_4_2_17</v>
      </c>
      <c r="I162" s="2" t="str">
        <f t="shared" ref="I162:J162" si="330">CONCATENATE(C162," : ","0")</f>
        <v>E2_4_2_17_mRNA : 0</v>
      </c>
      <c r="J162" s="2" t="str">
        <f t="shared" si="330"/>
        <v>E2_4_2_17 : 0</v>
      </c>
      <c r="K162" s="2" t="str">
        <f t="shared" si="9"/>
        <v>0.00292 - (0.0093 * E2_4_2_17_mRNA)</v>
      </c>
      <c r="L162" s="2" t="str">
        <f t="shared" si="10"/>
        <v>(0.278 * E2_4_2_17_mRNA) - (0.00000278 * E2_4_2_17)</v>
      </c>
      <c r="M162" s="2" t="str">
        <f t="shared" si="11"/>
        <v>mRNA161: -&gt; E2_4_2_17_mRNA | 0.00292 - (0.0093 * E2_4_2_17_mRNA)</v>
      </c>
      <c r="N162" s="2" t="str">
        <f t="shared" si="12"/>
        <v>Peptide161: E2_4_2_17_mRNA -&gt; E2_4_2_17 | (0.278 * E2_4_2_17_mRNA) - (0.000000278 * E2_4_2_17)</v>
      </c>
    </row>
    <row r="163">
      <c r="A163" s="12">
        <v>162.0</v>
      </c>
      <c r="B163" s="2" t="s">
        <v>25087</v>
      </c>
      <c r="C163" s="2" t="str">
        <f t="shared" si="3"/>
        <v>E2_4_2_18_mRNA</v>
      </c>
      <c r="D163" s="2" t="str">
        <f t="shared" si="4"/>
        <v>E2_4_2_18</v>
      </c>
      <c r="E163" s="2" t="str">
        <f t="shared" si="5"/>
        <v>E2_4_2_18_kcat : 13.7</v>
      </c>
      <c r="F163" s="2" t="str">
        <f t="shared" si="6"/>
        <v>E2_4_2_18_km : 1</v>
      </c>
      <c r="G163" s="2" t="str">
        <f t="shared" ref="G163:H163" si="331">CONCATENATE(C163," : ",C163)</f>
        <v>E2_4_2_18_mRNA : E2_4_2_18_mRNA</v>
      </c>
      <c r="H163" s="2" t="str">
        <f t="shared" si="331"/>
        <v>E2_4_2_18 : E2_4_2_18</v>
      </c>
      <c r="I163" s="2" t="str">
        <f t="shared" ref="I163:J163" si="332">CONCATENATE(C163," : ","0")</f>
        <v>E2_4_2_18_mRNA : 0</v>
      </c>
      <c r="J163" s="2" t="str">
        <f t="shared" si="332"/>
        <v>E2_4_2_18 : 0</v>
      </c>
      <c r="K163" s="2" t="str">
        <f t="shared" si="9"/>
        <v>0.00292 - (0.0093 * E2_4_2_18_mRNA)</v>
      </c>
      <c r="L163" s="2" t="str">
        <f t="shared" si="10"/>
        <v>(0.278 * E2_4_2_18_mRNA) - (0.00000278 * E2_4_2_18)</v>
      </c>
      <c r="M163" s="2" t="str">
        <f t="shared" si="11"/>
        <v>mRNA162: -&gt; E2_4_2_18_mRNA | 0.00292 - (0.0093 * E2_4_2_18_mRNA)</v>
      </c>
      <c r="N163" s="2" t="str">
        <f t="shared" si="12"/>
        <v>Peptide162: E2_4_2_18_mRNA -&gt; E2_4_2_18 | (0.278 * E2_4_2_18_mRNA) - (0.000000278 * E2_4_2_18)</v>
      </c>
    </row>
    <row r="164">
      <c r="A164" s="12">
        <v>163.0</v>
      </c>
      <c r="B164" s="2" t="s">
        <v>25088</v>
      </c>
      <c r="C164" s="2" t="str">
        <f t="shared" si="3"/>
        <v>E2_4_2_19_mRNA</v>
      </c>
      <c r="D164" s="2" t="str">
        <f t="shared" si="4"/>
        <v>E2_4_2_19</v>
      </c>
      <c r="E164" s="2" t="str">
        <f t="shared" si="5"/>
        <v>E2_4_2_19_kcat : 13.7</v>
      </c>
      <c r="F164" s="2" t="str">
        <f t="shared" si="6"/>
        <v>E2_4_2_19_km : 1</v>
      </c>
      <c r="G164" s="2" t="str">
        <f t="shared" ref="G164:H164" si="333">CONCATENATE(C164," : ",C164)</f>
        <v>E2_4_2_19_mRNA : E2_4_2_19_mRNA</v>
      </c>
      <c r="H164" s="2" t="str">
        <f t="shared" si="333"/>
        <v>E2_4_2_19 : E2_4_2_19</v>
      </c>
      <c r="I164" s="2" t="str">
        <f t="shared" ref="I164:J164" si="334">CONCATENATE(C164," : ","0")</f>
        <v>E2_4_2_19_mRNA : 0</v>
      </c>
      <c r="J164" s="2" t="str">
        <f t="shared" si="334"/>
        <v>E2_4_2_19 : 0</v>
      </c>
      <c r="K164" s="2" t="str">
        <f t="shared" si="9"/>
        <v>0.00292 - (0.0093 * E2_4_2_19_mRNA)</v>
      </c>
      <c r="L164" s="2" t="str">
        <f t="shared" si="10"/>
        <v>(0.278 * E2_4_2_19_mRNA) - (0.00000278 * E2_4_2_19)</v>
      </c>
      <c r="M164" s="2" t="str">
        <f t="shared" si="11"/>
        <v>mRNA163: -&gt; E2_4_2_19_mRNA | 0.00292 - (0.0093 * E2_4_2_19_mRNA)</v>
      </c>
      <c r="N164" s="2" t="str">
        <f t="shared" si="12"/>
        <v>Peptide163: E2_4_2_19_mRNA -&gt; E2_4_2_19 | (0.278 * E2_4_2_19_mRNA) - (0.000000278 * E2_4_2_19)</v>
      </c>
    </row>
    <row r="165">
      <c r="A165" s="12">
        <v>164.0</v>
      </c>
      <c r="B165" s="2" t="s">
        <v>25089</v>
      </c>
      <c r="C165" s="2" t="str">
        <f t="shared" si="3"/>
        <v>E2_4_2_2_mRNA</v>
      </c>
      <c r="D165" s="2" t="str">
        <f t="shared" si="4"/>
        <v>E2_4_2_2</v>
      </c>
      <c r="E165" s="2" t="str">
        <f t="shared" si="5"/>
        <v>E2_4_2_2_kcat : 13.7</v>
      </c>
      <c r="F165" s="2" t="str">
        <f t="shared" si="6"/>
        <v>E2_4_2_2_km : 1</v>
      </c>
      <c r="G165" s="2" t="str">
        <f t="shared" ref="G165:H165" si="335">CONCATENATE(C165," : ",C165)</f>
        <v>E2_4_2_2_mRNA : E2_4_2_2_mRNA</v>
      </c>
      <c r="H165" s="2" t="str">
        <f t="shared" si="335"/>
        <v>E2_4_2_2 : E2_4_2_2</v>
      </c>
      <c r="I165" s="2" t="str">
        <f t="shared" ref="I165:J165" si="336">CONCATENATE(C165," : ","0")</f>
        <v>E2_4_2_2_mRNA : 0</v>
      </c>
      <c r="J165" s="2" t="str">
        <f t="shared" si="336"/>
        <v>E2_4_2_2 : 0</v>
      </c>
      <c r="K165" s="2" t="str">
        <f t="shared" si="9"/>
        <v>0.00292 - (0.0093 * E2_4_2_2_mRNA)</v>
      </c>
      <c r="L165" s="2" t="str">
        <f t="shared" si="10"/>
        <v>(0.278 * E2_4_2_2_mRNA) - (0.00000278 * E2_4_2_2)</v>
      </c>
      <c r="M165" s="2" t="str">
        <f t="shared" si="11"/>
        <v>mRNA164: -&gt; E2_4_2_2_mRNA | 0.00292 - (0.0093 * E2_4_2_2_mRNA)</v>
      </c>
      <c r="N165" s="2" t="str">
        <f t="shared" si="12"/>
        <v>Peptide164: E2_4_2_2_mRNA -&gt; E2_4_2_2 | (0.278 * E2_4_2_2_mRNA) - (0.000000278 * E2_4_2_2)</v>
      </c>
    </row>
    <row r="166">
      <c r="A166" s="12">
        <v>165.0</v>
      </c>
      <c r="B166" s="2" t="s">
        <v>25090</v>
      </c>
      <c r="C166" s="2" t="str">
        <f t="shared" si="3"/>
        <v>E2_4_2_22_mRNA</v>
      </c>
      <c r="D166" s="2" t="str">
        <f t="shared" si="4"/>
        <v>E2_4_2_22</v>
      </c>
      <c r="E166" s="2" t="str">
        <f t="shared" si="5"/>
        <v>E2_4_2_22_kcat : 13.7</v>
      </c>
      <c r="F166" s="2" t="str">
        <f t="shared" si="6"/>
        <v>E2_4_2_22_km : 1</v>
      </c>
      <c r="G166" s="2" t="str">
        <f t="shared" ref="G166:H166" si="337">CONCATENATE(C166," : ",C166)</f>
        <v>E2_4_2_22_mRNA : E2_4_2_22_mRNA</v>
      </c>
      <c r="H166" s="2" t="str">
        <f t="shared" si="337"/>
        <v>E2_4_2_22 : E2_4_2_22</v>
      </c>
      <c r="I166" s="2" t="str">
        <f t="shared" ref="I166:J166" si="338">CONCATENATE(C166," : ","0")</f>
        <v>E2_4_2_22_mRNA : 0</v>
      </c>
      <c r="J166" s="2" t="str">
        <f t="shared" si="338"/>
        <v>E2_4_2_22 : 0</v>
      </c>
      <c r="K166" s="2" t="str">
        <f t="shared" si="9"/>
        <v>0.00292 - (0.0093 * E2_4_2_22_mRNA)</v>
      </c>
      <c r="L166" s="2" t="str">
        <f t="shared" si="10"/>
        <v>(0.278 * E2_4_2_22_mRNA) - (0.00000278 * E2_4_2_22)</v>
      </c>
      <c r="M166" s="2" t="str">
        <f t="shared" si="11"/>
        <v>mRNA165: -&gt; E2_4_2_22_mRNA | 0.00292 - (0.0093 * E2_4_2_22_mRNA)</v>
      </c>
      <c r="N166" s="2" t="str">
        <f t="shared" si="12"/>
        <v>Peptide165: E2_4_2_22_mRNA -&gt; E2_4_2_22 | (0.278 * E2_4_2_22_mRNA) - (0.000000278 * E2_4_2_22)</v>
      </c>
    </row>
    <row r="167">
      <c r="A167" s="12">
        <v>166.0</v>
      </c>
      <c r="B167" s="2" t="s">
        <v>25091</v>
      </c>
      <c r="C167" s="2" t="str">
        <f t="shared" si="3"/>
        <v>E2_4_2_29_mRNA</v>
      </c>
      <c r="D167" s="2" t="str">
        <f t="shared" si="4"/>
        <v>E2_4_2_29</v>
      </c>
      <c r="E167" s="2" t="str">
        <f t="shared" si="5"/>
        <v>E2_4_2_29_kcat : 13.7</v>
      </c>
      <c r="F167" s="2" t="str">
        <f t="shared" si="6"/>
        <v>E2_4_2_29_km : 1</v>
      </c>
      <c r="G167" s="2" t="str">
        <f t="shared" ref="G167:H167" si="339">CONCATENATE(C167," : ",C167)</f>
        <v>E2_4_2_29_mRNA : E2_4_2_29_mRNA</v>
      </c>
      <c r="H167" s="2" t="str">
        <f t="shared" si="339"/>
        <v>E2_4_2_29 : E2_4_2_29</v>
      </c>
      <c r="I167" s="2" t="str">
        <f t="shared" ref="I167:J167" si="340">CONCATENATE(C167," : ","0")</f>
        <v>E2_4_2_29_mRNA : 0</v>
      </c>
      <c r="J167" s="2" t="str">
        <f t="shared" si="340"/>
        <v>E2_4_2_29 : 0</v>
      </c>
      <c r="K167" s="2" t="str">
        <f t="shared" si="9"/>
        <v>0.00292 - (0.0093 * E2_4_2_29_mRNA)</v>
      </c>
      <c r="L167" s="2" t="str">
        <f t="shared" si="10"/>
        <v>(0.278 * E2_4_2_29_mRNA) - (0.00000278 * E2_4_2_29)</v>
      </c>
      <c r="M167" s="2" t="str">
        <f t="shared" si="11"/>
        <v>mRNA166: -&gt; E2_4_2_29_mRNA | 0.00292 - (0.0093 * E2_4_2_29_mRNA)</v>
      </c>
      <c r="N167" s="2" t="str">
        <f t="shared" si="12"/>
        <v>Peptide166: E2_4_2_29_mRNA -&gt; E2_4_2_29 | (0.278 * E2_4_2_29_mRNA) - (0.000000278 * E2_4_2_29)</v>
      </c>
    </row>
    <row r="168">
      <c r="A168" s="12">
        <v>167.0</v>
      </c>
      <c r="B168" s="2" t="s">
        <v>25092</v>
      </c>
      <c r="C168" s="2" t="str">
        <f t="shared" si="3"/>
        <v>E2_4_2_7_mRNA</v>
      </c>
      <c r="D168" s="2" t="str">
        <f t="shared" si="4"/>
        <v>E2_4_2_7</v>
      </c>
      <c r="E168" s="2" t="str">
        <f t="shared" si="5"/>
        <v>E2_4_2_7_kcat : 13.7</v>
      </c>
      <c r="F168" s="2" t="str">
        <f t="shared" si="6"/>
        <v>E2_4_2_7_km : 1</v>
      </c>
      <c r="G168" s="2" t="str">
        <f t="shared" ref="G168:H168" si="341">CONCATENATE(C168," : ",C168)</f>
        <v>E2_4_2_7_mRNA : E2_4_2_7_mRNA</v>
      </c>
      <c r="H168" s="2" t="str">
        <f t="shared" si="341"/>
        <v>E2_4_2_7 : E2_4_2_7</v>
      </c>
      <c r="I168" s="2" t="str">
        <f t="shared" ref="I168:J168" si="342">CONCATENATE(C168," : ","0")</f>
        <v>E2_4_2_7_mRNA : 0</v>
      </c>
      <c r="J168" s="2" t="str">
        <f t="shared" si="342"/>
        <v>E2_4_2_7 : 0</v>
      </c>
      <c r="K168" s="2" t="str">
        <f t="shared" si="9"/>
        <v>0.00292 - (0.0093 * E2_4_2_7_mRNA)</v>
      </c>
      <c r="L168" s="2" t="str">
        <f t="shared" si="10"/>
        <v>(0.278 * E2_4_2_7_mRNA) - (0.00000278 * E2_4_2_7)</v>
      </c>
      <c r="M168" s="2" t="str">
        <f t="shared" si="11"/>
        <v>mRNA167: -&gt; E2_4_2_7_mRNA | 0.00292 - (0.0093 * E2_4_2_7_mRNA)</v>
      </c>
      <c r="N168" s="2" t="str">
        <f t="shared" si="12"/>
        <v>Peptide167: E2_4_2_7_mRNA -&gt; E2_4_2_7 | (0.278 * E2_4_2_7_mRNA) - (0.000000278 * E2_4_2_7)</v>
      </c>
    </row>
    <row r="169">
      <c r="A169" s="12">
        <v>168.0</v>
      </c>
      <c r="B169" s="2" t="s">
        <v>25093</v>
      </c>
      <c r="C169" s="2" t="str">
        <f t="shared" si="3"/>
        <v>E2_4_2_8_mRNA</v>
      </c>
      <c r="D169" s="2" t="str">
        <f t="shared" si="4"/>
        <v>E2_4_2_8</v>
      </c>
      <c r="E169" s="2" t="str">
        <f t="shared" si="5"/>
        <v>E2_4_2_8_kcat : 13.7</v>
      </c>
      <c r="F169" s="2" t="str">
        <f t="shared" si="6"/>
        <v>E2_4_2_8_km : 1</v>
      </c>
      <c r="G169" s="2" t="str">
        <f t="shared" ref="G169:H169" si="343">CONCATENATE(C169," : ",C169)</f>
        <v>E2_4_2_8_mRNA : E2_4_2_8_mRNA</v>
      </c>
      <c r="H169" s="2" t="str">
        <f t="shared" si="343"/>
        <v>E2_4_2_8 : E2_4_2_8</v>
      </c>
      <c r="I169" s="2" t="str">
        <f t="shared" ref="I169:J169" si="344">CONCATENATE(C169," : ","0")</f>
        <v>E2_4_2_8_mRNA : 0</v>
      </c>
      <c r="J169" s="2" t="str">
        <f t="shared" si="344"/>
        <v>E2_4_2_8 : 0</v>
      </c>
      <c r="K169" s="2" t="str">
        <f t="shared" si="9"/>
        <v>0.00292 - (0.0093 * E2_4_2_8_mRNA)</v>
      </c>
      <c r="L169" s="2" t="str">
        <f t="shared" si="10"/>
        <v>(0.278 * E2_4_2_8_mRNA) - (0.00000278 * E2_4_2_8)</v>
      </c>
      <c r="M169" s="2" t="str">
        <f t="shared" si="11"/>
        <v>mRNA168: -&gt; E2_4_2_8_mRNA | 0.00292 - (0.0093 * E2_4_2_8_mRNA)</v>
      </c>
      <c r="N169" s="2" t="str">
        <f t="shared" si="12"/>
        <v>Peptide168: E2_4_2_8_mRNA -&gt; E2_4_2_8 | (0.278 * E2_4_2_8_mRNA) - (0.000000278 * E2_4_2_8)</v>
      </c>
    </row>
    <row r="170">
      <c r="A170" s="12">
        <v>169.0</v>
      </c>
      <c r="B170" s="2" t="s">
        <v>25094</v>
      </c>
      <c r="C170" s="2" t="str">
        <f t="shared" si="3"/>
        <v>E2_4_2_9_mRNA</v>
      </c>
      <c r="D170" s="2" t="str">
        <f t="shared" si="4"/>
        <v>E2_4_2_9</v>
      </c>
      <c r="E170" s="2" t="str">
        <f t="shared" si="5"/>
        <v>E2_4_2_9_kcat : 13.7</v>
      </c>
      <c r="F170" s="2" t="str">
        <f t="shared" si="6"/>
        <v>E2_4_2_9_km : 1</v>
      </c>
      <c r="G170" s="2" t="str">
        <f t="shared" ref="G170:H170" si="345">CONCATENATE(C170," : ",C170)</f>
        <v>E2_4_2_9_mRNA : E2_4_2_9_mRNA</v>
      </c>
      <c r="H170" s="2" t="str">
        <f t="shared" si="345"/>
        <v>E2_4_2_9 : E2_4_2_9</v>
      </c>
      <c r="I170" s="2" t="str">
        <f t="shared" ref="I170:J170" si="346">CONCATENATE(C170," : ","0")</f>
        <v>E2_4_2_9_mRNA : 0</v>
      </c>
      <c r="J170" s="2" t="str">
        <f t="shared" si="346"/>
        <v>E2_4_2_9 : 0</v>
      </c>
      <c r="K170" s="2" t="str">
        <f t="shared" si="9"/>
        <v>0.00292 - (0.0093 * E2_4_2_9_mRNA)</v>
      </c>
      <c r="L170" s="2" t="str">
        <f t="shared" si="10"/>
        <v>(0.278 * E2_4_2_9_mRNA) - (0.00000278 * E2_4_2_9)</v>
      </c>
      <c r="M170" s="2" t="str">
        <f t="shared" si="11"/>
        <v>mRNA169: -&gt; E2_4_2_9_mRNA | 0.00292 - (0.0093 * E2_4_2_9_mRNA)</v>
      </c>
      <c r="N170" s="2" t="str">
        <f t="shared" si="12"/>
        <v>Peptide169: E2_4_2_9_mRNA -&gt; E2_4_2_9 | (0.278 * E2_4_2_9_mRNA) - (0.000000278 * E2_4_2_9)</v>
      </c>
    </row>
    <row r="171">
      <c r="A171" s="12">
        <v>170.0</v>
      </c>
      <c r="B171" s="2" t="s">
        <v>25095</v>
      </c>
      <c r="C171" s="2" t="str">
        <f t="shared" si="3"/>
        <v>E2_4_99_17_mRNA</v>
      </c>
      <c r="D171" s="2" t="str">
        <f t="shared" si="4"/>
        <v>E2_4_99_17</v>
      </c>
      <c r="E171" s="2" t="str">
        <f t="shared" si="5"/>
        <v>E2_4_99_17_kcat : 13.7</v>
      </c>
      <c r="F171" s="2" t="str">
        <f t="shared" si="6"/>
        <v>E2_4_99_17_km : 1</v>
      </c>
      <c r="G171" s="2" t="str">
        <f t="shared" ref="G171:H171" si="347">CONCATENATE(C171," : ",C171)</f>
        <v>E2_4_99_17_mRNA : E2_4_99_17_mRNA</v>
      </c>
      <c r="H171" s="2" t="str">
        <f t="shared" si="347"/>
        <v>E2_4_99_17 : E2_4_99_17</v>
      </c>
      <c r="I171" s="2" t="str">
        <f t="shared" ref="I171:J171" si="348">CONCATENATE(C171," : ","0")</f>
        <v>E2_4_99_17_mRNA : 0</v>
      </c>
      <c r="J171" s="2" t="str">
        <f t="shared" si="348"/>
        <v>E2_4_99_17 : 0</v>
      </c>
      <c r="K171" s="2" t="str">
        <f t="shared" si="9"/>
        <v>0.00292 - (0.0093 * E2_4_99_17_mRNA)</v>
      </c>
      <c r="L171" s="2" t="str">
        <f t="shared" si="10"/>
        <v>(0.278 * E2_4_99_17_mRNA) - (0.00000278 * E2_4_99_17)</v>
      </c>
      <c r="M171" s="2" t="str">
        <f t="shared" si="11"/>
        <v>mRNA170: -&gt; E2_4_99_17_mRNA | 0.00292 - (0.0093 * E2_4_99_17_mRNA)</v>
      </c>
      <c r="N171" s="2" t="str">
        <f t="shared" si="12"/>
        <v>Peptide170: E2_4_99_17_mRNA -&gt; E2_4_99_17 | (0.278 * E2_4_99_17_mRNA) - (0.000000278 * E2_4_99_17)</v>
      </c>
    </row>
    <row r="172">
      <c r="A172" s="12">
        <v>171.0</v>
      </c>
      <c r="B172" s="2" t="s">
        <v>25096</v>
      </c>
      <c r="C172" s="2" t="str">
        <f t="shared" si="3"/>
        <v>E2_5_1_10_mRNA</v>
      </c>
      <c r="D172" s="2" t="str">
        <f t="shared" si="4"/>
        <v>E2_5_1_10</v>
      </c>
      <c r="E172" s="2" t="str">
        <f t="shared" si="5"/>
        <v>E2_5_1_10_kcat : 13.7</v>
      </c>
      <c r="F172" s="2" t="str">
        <f t="shared" si="6"/>
        <v>E2_5_1_10_km : 1</v>
      </c>
      <c r="G172" s="2" t="str">
        <f t="shared" ref="G172:H172" si="349">CONCATENATE(C172," : ",C172)</f>
        <v>E2_5_1_10_mRNA : E2_5_1_10_mRNA</v>
      </c>
      <c r="H172" s="2" t="str">
        <f t="shared" si="349"/>
        <v>E2_5_1_10 : E2_5_1_10</v>
      </c>
      <c r="I172" s="2" t="str">
        <f t="shared" ref="I172:J172" si="350">CONCATENATE(C172," : ","0")</f>
        <v>E2_5_1_10_mRNA : 0</v>
      </c>
      <c r="J172" s="2" t="str">
        <f t="shared" si="350"/>
        <v>E2_5_1_10 : 0</v>
      </c>
      <c r="K172" s="2" t="str">
        <f t="shared" si="9"/>
        <v>0.00292 - (0.0093 * E2_5_1_10_mRNA)</v>
      </c>
      <c r="L172" s="2" t="str">
        <f t="shared" si="10"/>
        <v>(0.278 * E2_5_1_10_mRNA) - (0.00000278 * E2_5_1_10)</v>
      </c>
      <c r="M172" s="2" t="str">
        <f t="shared" si="11"/>
        <v>mRNA171: -&gt; E2_5_1_10_mRNA | 0.00292 - (0.0093 * E2_5_1_10_mRNA)</v>
      </c>
      <c r="N172" s="2" t="str">
        <f t="shared" si="12"/>
        <v>Peptide171: E2_5_1_10_mRNA -&gt; E2_5_1_10 | (0.278 * E2_5_1_10_mRNA) - (0.000000278 * E2_5_1_10)</v>
      </c>
    </row>
    <row r="173">
      <c r="A173" s="12">
        <v>172.0</v>
      </c>
      <c r="B173" s="2" t="s">
        <v>25097</v>
      </c>
      <c r="C173" s="2" t="str">
        <f t="shared" si="3"/>
        <v>E2_5_1_134_mRNA</v>
      </c>
      <c r="D173" s="2" t="str">
        <f t="shared" si="4"/>
        <v>E2_5_1_134</v>
      </c>
      <c r="E173" s="2" t="str">
        <f t="shared" si="5"/>
        <v>E2_5_1_134_kcat : 13.7</v>
      </c>
      <c r="F173" s="2" t="str">
        <f t="shared" si="6"/>
        <v>E2_5_1_134_km : 1</v>
      </c>
      <c r="G173" s="2" t="str">
        <f t="shared" ref="G173:H173" si="351">CONCATENATE(C173," : ",C173)</f>
        <v>E2_5_1_134_mRNA : E2_5_1_134_mRNA</v>
      </c>
      <c r="H173" s="2" t="str">
        <f t="shared" si="351"/>
        <v>E2_5_1_134 : E2_5_1_134</v>
      </c>
      <c r="I173" s="2" t="str">
        <f t="shared" ref="I173:J173" si="352">CONCATENATE(C173," : ","0")</f>
        <v>E2_5_1_134_mRNA : 0</v>
      </c>
      <c r="J173" s="2" t="str">
        <f t="shared" si="352"/>
        <v>E2_5_1_134 : 0</v>
      </c>
      <c r="K173" s="2" t="str">
        <f t="shared" si="9"/>
        <v>0.00292 - (0.0093 * E2_5_1_134_mRNA)</v>
      </c>
      <c r="L173" s="2" t="str">
        <f t="shared" si="10"/>
        <v>(0.278 * E2_5_1_134_mRNA) - (0.00000278 * E2_5_1_134)</v>
      </c>
      <c r="M173" s="2" t="str">
        <f t="shared" si="11"/>
        <v>mRNA172: -&gt; E2_5_1_134_mRNA | 0.00292 - (0.0093 * E2_5_1_134_mRNA)</v>
      </c>
      <c r="N173" s="2" t="str">
        <f t="shared" si="12"/>
        <v>Peptide172: E2_5_1_134_mRNA -&gt; E2_5_1_134 | (0.278 * E2_5_1_134_mRNA) - (0.000000278 * E2_5_1_134)</v>
      </c>
    </row>
    <row r="174">
      <c r="A174" s="12">
        <v>173.0</v>
      </c>
      <c r="B174" s="2" t="s">
        <v>25098</v>
      </c>
      <c r="C174" s="2" t="str">
        <f t="shared" si="3"/>
        <v>E2_5_1_145_mRNA</v>
      </c>
      <c r="D174" s="2" t="str">
        <f t="shared" si="4"/>
        <v>E2_5_1_145</v>
      </c>
      <c r="E174" s="2" t="str">
        <f t="shared" si="5"/>
        <v>E2_5_1_145_kcat : 13.7</v>
      </c>
      <c r="F174" s="2" t="str">
        <f t="shared" si="6"/>
        <v>E2_5_1_145_km : 1</v>
      </c>
      <c r="G174" s="2" t="str">
        <f t="shared" ref="G174:H174" si="353">CONCATENATE(C174," : ",C174)</f>
        <v>E2_5_1_145_mRNA : E2_5_1_145_mRNA</v>
      </c>
      <c r="H174" s="2" t="str">
        <f t="shared" si="353"/>
        <v>E2_5_1_145 : E2_5_1_145</v>
      </c>
      <c r="I174" s="2" t="str">
        <f t="shared" ref="I174:J174" si="354">CONCATENATE(C174," : ","0")</f>
        <v>E2_5_1_145_mRNA : 0</v>
      </c>
      <c r="J174" s="2" t="str">
        <f t="shared" si="354"/>
        <v>E2_5_1_145 : 0</v>
      </c>
      <c r="K174" s="2" t="str">
        <f t="shared" si="9"/>
        <v>0.00292 - (0.0093 * E2_5_1_145_mRNA)</v>
      </c>
      <c r="L174" s="2" t="str">
        <f t="shared" si="10"/>
        <v>(0.278 * E2_5_1_145_mRNA) - (0.00000278 * E2_5_1_145)</v>
      </c>
      <c r="M174" s="2" t="str">
        <f t="shared" si="11"/>
        <v>mRNA173: -&gt; E2_5_1_145_mRNA | 0.00292 - (0.0093 * E2_5_1_145_mRNA)</v>
      </c>
      <c r="N174" s="2" t="str">
        <f t="shared" si="12"/>
        <v>Peptide173: E2_5_1_145_mRNA -&gt; E2_5_1_145 | (0.278 * E2_5_1_145_mRNA) - (0.000000278 * E2_5_1_145)</v>
      </c>
    </row>
    <row r="175">
      <c r="A175" s="12">
        <v>174.0</v>
      </c>
      <c r="B175" s="2" t="s">
        <v>25099</v>
      </c>
      <c r="C175" s="2" t="str">
        <f t="shared" si="3"/>
        <v>E2_5_1_15_mRNA</v>
      </c>
      <c r="D175" s="2" t="str">
        <f t="shared" si="4"/>
        <v>E2_5_1_15</v>
      </c>
      <c r="E175" s="2" t="str">
        <f t="shared" si="5"/>
        <v>E2_5_1_15_kcat : 13.7</v>
      </c>
      <c r="F175" s="2" t="str">
        <f t="shared" si="6"/>
        <v>E2_5_1_15_km : 1</v>
      </c>
      <c r="G175" s="2" t="str">
        <f t="shared" ref="G175:H175" si="355">CONCATENATE(C175," : ",C175)</f>
        <v>E2_5_1_15_mRNA : E2_5_1_15_mRNA</v>
      </c>
      <c r="H175" s="2" t="str">
        <f t="shared" si="355"/>
        <v>E2_5_1_15 : E2_5_1_15</v>
      </c>
      <c r="I175" s="2" t="str">
        <f t="shared" ref="I175:J175" si="356">CONCATENATE(C175," : ","0")</f>
        <v>E2_5_1_15_mRNA : 0</v>
      </c>
      <c r="J175" s="2" t="str">
        <f t="shared" si="356"/>
        <v>E2_5_1_15 : 0</v>
      </c>
      <c r="K175" s="2" t="str">
        <f t="shared" si="9"/>
        <v>0.00292 - (0.0093 * E2_5_1_15_mRNA)</v>
      </c>
      <c r="L175" s="2" t="str">
        <f t="shared" si="10"/>
        <v>(0.278 * E2_5_1_15_mRNA) - (0.00000278 * E2_5_1_15)</v>
      </c>
      <c r="M175" s="2" t="str">
        <f t="shared" si="11"/>
        <v>mRNA174: -&gt; E2_5_1_15_mRNA | 0.00292 - (0.0093 * E2_5_1_15_mRNA)</v>
      </c>
      <c r="N175" s="2" t="str">
        <f t="shared" si="12"/>
        <v>Peptide174: E2_5_1_15_mRNA -&gt; E2_5_1_15 | (0.278 * E2_5_1_15_mRNA) - (0.000000278 * E2_5_1_15)</v>
      </c>
    </row>
    <row r="176">
      <c r="A176" s="12">
        <v>175.0</v>
      </c>
      <c r="B176" s="2" t="s">
        <v>25100</v>
      </c>
      <c r="C176" s="2" t="str">
        <f t="shared" si="3"/>
        <v>E2_5_1_16_mRNA</v>
      </c>
      <c r="D176" s="2" t="str">
        <f t="shared" si="4"/>
        <v>E2_5_1_16</v>
      </c>
      <c r="E176" s="2" t="str">
        <f t="shared" si="5"/>
        <v>E2_5_1_16_kcat : 13.7</v>
      </c>
      <c r="F176" s="2" t="str">
        <f t="shared" si="6"/>
        <v>E2_5_1_16_km : 1</v>
      </c>
      <c r="G176" s="2" t="str">
        <f t="shared" ref="G176:H176" si="357">CONCATENATE(C176," : ",C176)</f>
        <v>E2_5_1_16_mRNA : E2_5_1_16_mRNA</v>
      </c>
      <c r="H176" s="2" t="str">
        <f t="shared" si="357"/>
        <v>E2_5_1_16 : E2_5_1_16</v>
      </c>
      <c r="I176" s="2" t="str">
        <f t="shared" ref="I176:J176" si="358">CONCATENATE(C176," : ","0")</f>
        <v>E2_5_1_16_mRNA : 0</v>
      </c>
      <c r="J176" s="2" t="str">
        <f t="shared" si="358"/>
        <v>E2_5_1_16 : 0</v>
      </c>
      <c r="K176" s="2" t="str">
        <f t="shared" si="9"/>
        <v>0.00292 - (0.0093 * E2_5_1_16_mRNA)</v>
      </c>
      <c r="L176" s="2" t="str">
        <f t="shared" si="10"/>
        <v>(0.278 * E2_5_1_16_mRNA) - (0.00000278 * E2_5_1_16)</v>
      </c>
      <c r="M176" s="2" t="str">
        <f t="shared" si="11"/>
        <v>mRNA175: -&gt; E2_5_1_16_mRNA | 0.00292 - (0.0093 * E2_5_1_16_mRNA)</v>
      </c>
      <c r="N176" s="2" t="str">
        <f t="shared" si="12"/>
        <v>Peptide175: E2_5_1_16_mRNA -&gt; E2_5_1_16 | (0.278 * E2_5_1_16_mRNA) - (0.000000278 * E2_5_1_16)</v>
      </c>
    </row>
    <row r="177">
      <c r="A177" s="12">
        <v>176.0</v>
      </c>
      <c r="B177" s="2" t="s">
        <v>25101</v>
      </c>
      <c r="C177" s="2" t="str">
        <f t="shared" si="3"/>
        <v>E2_5_1_17_mRNA</v>
      </c>
      <c r="D177" s="2" t="str">
        <f t="shared" si="4"/>
        <v>E2_5_1_17</v>
      </c>
      <c r="E177" s="2" t="str">
        <f t="shared" si="5"/>
        <v>E2_5_1_17_kcat : 13.7</v>
      </c>
      <c r="F177" s="2" t="str">
        <f t="shared" si="6"/>
        <v>E2_5_1_17_km : 1</v>
      </c>
      <c r="G177" s="2" t="str">
        <f t="shared" ref="G177:H177" si="359">CONCATENATE(C177," : ",C177)</f>
        <v>E2_5_1_17_mRNA : E2_5_1_17_mRNA</v>
      </c>
      <c r="H177" s="2" t="str">
        <f t="shared" si="359"/>
        <v>E2_5_1_17 : E2_5_1_17</v>
      </c>
      <c r="I177" s="2" t="str">
        <f t="shared" ref="I177:J177" si="360">CONCATENATE(C177," : ","0")</f>
        <v>E2_5_1_17_mRNA : 0</v>
      </c>
      <c r="J177" s="2" t="str">
        <f t="shared" si="360"/>
        <v>E2_5_1_17 : 0</v>
      </c>
      <c r="K177" s="2" t="str">
        <f t="shared" si="9"/>
        <v>0.00292 - (0.0093 * E2_5_1_17_mRNA)</v>
      </c>
      <c r="L177" s="2" t="str">
        <f t="shared" si="10"/>
        <v>(0.278 * E2_5_1_17_mRNA) - (0.00000278 * E2_5_1_17)</v>
      </c>
      <c r="M177" s="2" t="str">
        <f t="shared" si="11"/>
        <v>mRNA176: -&gt; E2_5_1_17_mRNA | 0.00292 - (0.0093 * E2_5_1_17_mRNA)</v>
      </c>
      <c r="N177" s="2" t="str">
        <f t="shared" si="12"/>
        <v>Peptide176: E2_5_1_17_mRNA -&gt; E2_5_1_17 | (0.278 * E2_5_1_17_mRNA) - (0.000000278 * E2_5_1_17)</v>
      </c>
    </row>
    <row r="178">
      <c r="A178" s="12">
        <v>177.0</v>
      </c>
      <c r="B178" s="2" t="s">
        <v>25102</v>
      </c>
      <c r="C178" s="2" t="str">
        <f t="shared" si="3"/>
        <v>E2_5_1_19_mRNA</v>
      </c>
      <c r="D178" s="2" t="str">
        <f t="shared" si="4"/>
        <v>E2_5_1_19</v>
      </c>
      <c r="E178" s="2" t="str">
        <f t="shared" si="5"/>
        <v>E2_5_1_19_kcat : 13.7</v>
      </c>
      <c r="F178" s="2" t="str">
        <f t="shared" si="6"/>
        <v>E2_5_1_19_km : 1</v>
      </c>
      <c r="G178" s="2" t="str">
        <f t="shared" ref="G178:H178" si="361">CONCATENATE(C178," : ",C178)</f>
        <v>E2_5_1_19_mRNA : E2_5_1_19_mRNA</v>
      </c>
      <c r="H178" s="2" t="str">
        <f t="shared" si="361"/>
        <v>E2_5_1_19 : E2_5_1_19</v>
      </c>
      <c r="I178" s="2" t="str">
        <f t="shared" ref="I178:J178" si="362">CONCATENATE(C178," : ","0")</f>
        <v>E2_5_1_19_mRNA : 0</v>
      </c>
      <c r="J178" s="2" t="str">
        <f t="shared" si="362"/>
        <v>E2_5_1_19 : 0</v>
      </c>
      <c r="K178" s="2" t="str">
        <f t="shared" si="9"/>
        <v>0.00292 - (0.0093 * E2_5_1_19_mRNA)</v>
      </c>
      <c r="L178" s="2" t="str">
        <f t="shared" si="10"/>
        <v>(0.278 * E2_5_1_19_mRNA) - (0.00000278 * E2_5_1_19)</v>
      </c>
      <c r="M178" s="2" t="str">
        <f t="shared" si="11"/>
        <v>mRNA177: -&gt; E2_5_1_19_mRNA | 0.00292 - (0.0093 * E2_5_1_19_mRNA)</v>
      </c>
      <c r="N178" s="2" t="str">
        <f t="shared" si="12"/>
        <v>Peptide177: E2_5_1_19_mRNA -&gt; E2_5_1_19 | (0.278 * E2_5_1_19_mRNA) - (0.000000278 * E2_5_1_19)</v>
      </c>
    </row>
    <row r="179">
      <c r="A179" s="12">
        <v>178.0</v>
      </c>
      <c r="B179" s="2" t="s">
        <v>25103</v>
      </c>
      <c r="C179" s="2" t="str">
        <f t="shared" si="3"/>
        <v>E2_5_1_3_mRNA</v>
      </c>
      <c r="D179" s="2" t="str">
        <f t="shared" si="4"/>
        <v>E2_5_1_3</v>
      </c>
      <c r="E179" s="2" t="str">
        <f t="shared" si="5"/>
        <v>E2_5_1_3_kcat : 13.7</v>
      </c>
      <c r="F179" s="2" t="str">
        <f t="shared" si="6"/>
        <v>E2_5_1_3_km : 1</v>
      </c>
      <c r="G179" s="2" t="str">
        <f t="shared" ref="G179:H179" si="363">CONCATENATE(C179," : ",C179)</f>
        <v>E2_5_1_3_mRNA : E2_5_1_3_mRNA</v>
      </c>
      <c r="H179" s="2" t="str">
        <f t="shared" si="363"/>
        <v>E2_5_1_3 : E2_5_1_3</v>
      </c>
      <c r="I179" s="2" t="str">
        <f t="shared" ref="I179:J179" si="364">CONCATENATE(C179," : ","0")</f>
        <v>E2_5_1_3_mRNA : 0</v>
      </c>
      <c r="J179" s="2" t="str">
        <f t="shared" si="364"/>
        <v>E2_5_1_3 : 0</v>
      </c>
      <c r="K179" s="2" t="str">
        <f t="shared" si="9"/>
        <v>0.00292 - (0.0093 * E2_5_1_3_mRNA)</v>
      </c>
      <c r="L179" s="2" t="str">
        <f t="shared" si="10"/>
        <v>(0.278 * E2_5_1_3_mRNA) - (0.00000278 * E2_5_1_3)</v>
      </c>
      <c r="M179" s="2" t="str">
        <f t="shared" si="11"/>
        <v>mRNA178: -&gt; E2_5_1_3_mRNA | 0.00292 - (0.0093 * E2_5_1_3_mRNA)</v>
      </c>
      <c r="N179" s="2" t="str">
        <f t="shared" si="12"/>
        <v>Peptide178: E2_5_1_3_mRNA -&gt; E2_5_1_3 | (0.278 * E2_5_1_3_mRNA) - (0.000000278 * E2_5_1_3)</v>
      </c>
    </row>
    <row r="180">
      <c r="A180" s="12">
        <v>179.0</v>
      </c>
      <c r="B180" s="2" t="s">
        <v>25104</v>
      </c>
      <c r="C180" s="2" t="str">
        <f t="shared" si="3"/>
        <v>E2_5_1_47_mRNA</v>
      </c>
      <c r="D180" s="2" t="str">
        <f t="shared" si="4"/>
        <v>E2_5_1_47</v>
      </c>
      <c r="E180" s="2" t="str">
        <f t="shared" si="5"/>
        <v>E2_5_1_47_kcat : 13.7</v>
      </c>
      <c r="F180" s="2" t="str">
        <f t="shared" si="6"/>
        <v>E2_5_1_47_km : 1</v>
      </c>
      <c r="G180" s="2" t="str">
        <f t="shared" ref="G180:H180" si="365">CONCATENATE(C180," : ",C180)</f>
        <v>E2_5_1_47_mRNA : E2_5_1_47_mRNA</v>
      </c>
      <c r="H180" s="2" t="str">
        <f t="shared" si="365"/>
        <v>E2_5_1_47 : E2_5_1_47</v>
      </c>
      <c r="I180" s="2" t="str">
        <f t="shared" ref="I180:J180" si="366">CONCATENATE(C180," : ","0")</f>
        <v>E2_5_1_47_mRNA : 0</v>
      </c>
      <c r="J180" s="2" t="str">
        <f t="shared" si="366"/>
        <v>E2_5_1_47 : 0</v>
      </c>
      <c r="K180" s="2" t="str">
        <f t="shared" si="9"/>
        <v>0.00292 - (0.0093 * E2_5_1_47_mRNA)</v>
      </c>
      <c r="L180" s="2" t="str">
        <f t="shared" si="10"/>
        <v>(0.278 * E2_5_1_47_mRNA) - (0.00000278 * E2_5_1_47)</v>
      </c>
      <c r="M180" s="2" t="str">
        <f t="shared" si="11"/>
        <v>mRNA179: -&gt; E2_5_1_47_mRNA | 0.00292 - (0.0093 * E2_5_1_47_mRNA)</v>
      </c>
      <c r="N180" s="2" t="str">
        <f t="shared" si="12"/>
        <v>Peptide179: E2_5_1_47_mRNA -&gt; E2_5_1_47 | (0.278 * E2_5_1_47_mRNA) - (0.000000278 * E2_5_1_47)</v>
      </c>
    </row>
    <row r="181">
      <c r="A181" s="12">
        <v>180.0</v>
      </c>
      <c r="B181" s="2" t="s">
        <v>25105</v>
      </c>
      <c r="C181" s="2" t="str">
        <f t="shared" si="3"/>
        <v>E2_5_1_6_mRNA</v>
      </c>
      <c r="D181" s="2" t="str">
        <f t="shared" si="4"/>
        <v>E2_5_1_6</v>
      </c>
      <c r="E181" s="2" t="str">
        <f t="shared" si="5"/>
        <v>E2_5_1_6_kcat : 13.7</v>
      </c>
      <c r="F181" s="2" t="str">
        <f t="shared" si="6"/>
        <v>E2_5_1_6_km : 1</v>
      </c>
      <c r="G181" s="2" t="str">
        <f t="shared" ref="G181:H181" si="367">CONCATENATE(C181," : ",C181)</f>
        <v>E2_5_1_6_mRNA : E2_5_1_6_mRNA</v>
      </c>
      <c r="H181" s="2" t="str">
        <f t="shared" si="367"/>
        <v>E2_5_1_6 : E2_5_1_6</v>
      </c>
      <c r="I181" s="2" t="str">
        <f t="shared" ref="I181:J181" si="368">CONCATENATE(C181," : ","0")</f>
        <v>E2_5_1_6_mRNA : 0</v>
      </c>
      <c r="J181" s="2" t="str">
        <f t="shared" si="368"/>
        <v>E2_5_1_6 : 0</v>
      </c>
      <c r="K181" s="2" t="str">
        <f t="shared" si="9"/>
        <v>0.00292 - (0.0093 * E2_5_1_6_mRNA)</v>
      </c>
      <c r="L181" s="2" t="str">
        <f t="shared" si="10"/>
        <v>(0.278 * E2_5_1_6_mRNA) - (0.00000278 * E2_5_1_6)</v>
      </c>
      <c r="M181" s="2" t="str">
        <f t="shared" si="11"/>
        <v>mRNA180: -&gt; E2_5_1_6_mRNA | 0.00292 - (0.0093 * E2_5_1_6_mRNA)</v>
      </c>
      <c r="N181" s="2" t="str">
        <f t="shared" si="12"/>
        <v>Peptide180: E2_5_1_6_mRNA -&gt; E2_5_1_6 | (0.278 * E2_5_1_6_mRNA) - (0.000000278 * E2_5_1_6)</v>
      </c>
    </row>
    <row r="182">
      <c r="A182" s="12">
        <v>181.0</v>
      </c>
      <c r="B182" s="2" t="s">
        <v>25106</v>
      </c>
      <c r="C182" s="2" t="str">
        <f t="shared" si="3"/>
        <v>E2_5_1_61_mRNA</v>
      </c>
      <c r="D182" s="2" t="str">
        <f t="shared" si="4"/>
        <v>E2_5_1_61</v>
      </c>
      <c r="E182" s="2" t="str">
        <f t="shared" si="5"/>
        <v>E2_5_1_61_kcat : 13.7</v>
      </c>
      <c r="F182" s="2" t="str">
        <f t="shared" si="6"/>
        <v>E2_5_1_61_km : 1</v>
      </c>
      <c r="G182" s="2" t="str">
        <f t="shared" ref="G182:H182" si="369">CONCATENATE(C182," : ",C182)</f>
        <v>E2_5_1_61_mRNA : E2_5_1_61_mRNA</v>
      </c>
      <c r="H182" s="2" t="str">
        <f t="shared" si="369"/>
        <v>E2_5_1_61 : E2_5_1_61</v>
      </c>
      <c r="I182" s="2" t="str">
        <f t="shared" ref="I182:J182" si="370">CONCATENATE(C182," : ","0")</f>
        <v>E2_5_1_61_mRNA : 0</v>
      </c>
      <c r="J182" s="2" t="str">
        <f t="shared" si="370"/>
        <v>E2_5_1_61 : 0</v>
      </c>
      <c r="K182" s="2" t="str">
        <f t="shared" si="9"/>
        <v>0.00292 - (0.0093 * E2_5_1_61_mRNA)</v>
      </c>
      <c r="L182" s="2" t="str">
        <f t="shared" si="10"/>
        <v>(0.278 * E2_5_1_61_mRNA) - (0.00000278 * E2_5_1_61)</v>
      </c>
      <c r="M182" s="2" t="str">
        <f t="shared" si="11"/>
        <v>mRNA181: -&gt; E2_5_1_61_mRNA | 0.00292 - (0.0093 * E2_5_1_61_mRNA)</v>
      </c>
      <c r="N182" s="2" t="str">
        <f t="shared" si="12"/>
        <v>Peptide181: E2_5_1_61_mRNA -&gt; E2_5_1_61 | (0.278 * E2_5_1_61_mRNA) - (0.000000278 * E2_5_1_61)</v>
      </c>
    </row>
    <row r="183">
      <c r="A183" s="12">
        <v>182.0</v>
      </c>
      <c r="B183" s="2" t="s">
        <v>25107</v>
      </c>
      <c r="C183" s="2" t="str">
        <f t="shared" si="3"/>
        <v>E2_5_1_7_mRNA</v>
      </c>
      <c r="D183" s="2" t="str">
        <f t="shared" si="4"/>
        <v>E2_5_1_7</v>
      </c>
      <c r="E183" s="2" t="str">
        <f t="shared" si="5"/>
        <v>E2_5_1_7_kcat : 13.7</v>
      </c>
      <c r="F183" s="2" t="str">
        <f t="shared" si="6"/>
        <v>E2_5_1_7_km : 1</v>
      </c>
      <c r="G183" s="2" t="str">
        <f t="shared" ref="G183:H183" si="371">CONCATENATE(C183," : ",C183)</f>
        <v>E2_5_1_7_mRNA : E2_5_1_7_mRNA</v>
      </c>
      <c r="H183" s="2" t="str">
        <f t="shared" si="371"/>
        <v>E2_5_1_7 : E2_5_1_7</v>
      </c>
      <c r="I183" s="2" t="str">
        <f t="shared" ref="I183:J183" si="372">CONCATENATE(C183," : ","0")</f>
        <v>E2_5_1_7_mRNA : 0</v>
      </c>
      <c r="J183" s="2" t="str">
        <f t="shared" si="372"/>
        <v>E2_5_1_7 : 0</v>
      </c>
      <c r="K183" s="2" t="str">
        <f t="shared" si="9"/>
        <v>0.00292 - (0.0093 * E2_5_1_7_mRNA)</v>
      </c>
      <c r="L183" s="2" t="str">
        <f t="shared" si="10"/>
        <v>(0.278 * E2_5_1_7_mRNA) - (0.00000278 * E2_5_1_7)</v>
      </c>
      <c r="M183" s="2" t="str">
        <f t="shared" si="11"/>
        <v>mRNA182: -&gt; E2_5_1_7_mRNA | 0.00292 - (0.0093 * E2_5_1_7_mRNA)</v>
      </c>
      <c r="N183" s="2" t="str">
        <f t="shared" si="12"/>
        <v>Peptide182: E2_5_1_7_mRNA -&gt; E2_5_1_7 | (0.278 * E2_5_1_7_mRNA) - (0.000000278 * E2_5_1_7)</v>
      </c>
    </row>
    <row r="184">
      <c r="A184" s="12">
        <v>183.0</v>
      </c>
      <c r="B184" s="2" t="s">
        <v>25108</v>
      </c>
      <c r="C184" s="2" t="str">
        <f t="shared" si="3"/>
        <v>E2_5_1_72_mRNA</v>
      </c>
      <c r="D184" s="2" t="str">
        <f t="shared" si="4"/>
        <v>E2_5_1_72</v>
      </c>
      <c r="E184" s="2" t="str">
        <f t="shared" si="5"/>
        <v>E2_5_1_72_kcat : 13.7</v>
      </c>
      <c r="F184" s="2" t="str">
        <f t="shared" si="6"/>
        <v>E2_5_1_72_km : 1</v>
      </c>
      <c r="G184" s="2" t="str">
        <f t="shared" ref="G184:H184" si="373">CONCATENATE(C184," : ",C184)</f>
        <v>E2_5_1_72_mRNA : E2_5_1_72_mRNA</v>
      </c>
      <c r="H184" s="2" t="str">
        <f t="shared" si="373"/>
        <v>E2_5_1_72 : E2_5_1_72</v>
      </c>
      <c r="I184" s="2" t="str">
        <f t="shared" ref="I184:J184" si="374">CONCATENATE(C184," : ","0")</f>
        <v>E2_5_1_72_mRNA : 0</v>
      </c>
      <c r="J184" s="2" t="str">
        <f t="shared" si="374"/>
        <v>E2_5_1_72 : 0</v>
      </c>
      <c r="K184" s="2" t="str">
        <f t="shared" si="9"/>
        <v>0.00292 - (0.0093 * E2_5_1_72_mRNA)</v>
      </c>
      <c r="L184" s="2" t="str">
        <f t="shared" si="10"/>
        <v>(0.278 * E2_5_1_72_mRNA) - (0.00000278 * E2_5_1_72)</v>
      </c>
      <c r="M184" s="2" t="str">
        <f t="shared" si="11"/>
        <v>mRNA183: -&gt; E2_5_1_72_mRNA | 0.00292 - (0.0093 * E2_5_1_72_mRNA)</v>
      </c>
      <c r="N184" s="2" t="str">
        <f t="shared" si="12"/>
        <v>Peptide183: E2_5_1_72_mRNA -&gt; E2_5_1_72 | (0.278 * E2_5_1_72_mRNA) - (0.000000278 * E2_5_1_72)</v>
      </c>
    </row>
    <row r="185">
      <c r="A185" s="12">
        <v>184.0</v>
      </c>
      <c r="B185" s="2" t="s">
        <v>25109</v>
      </c>
      <c r="C185" s="2" t="str">
        <f t="shared" si="3"/>
        <v>E2_5_1_74_mRNA</v>
      </c>
      <c r="D185" s="2" t="str">
        <f t="shared" si="4"/>
        <v>E2_5_1_74</v>
      </c>
      <c r="E185" s="2" t="str">
        <f t="shared" si="5"/>
        <v>E2_5_1_74_kcat : 13.7</v>
      </c>
      <c r="F185" s="2" t="str">
        <f t="shared" si="6"/>
        <v>E2_5_1_74_km : 1</v>
      </c>
      <c r="G185" s="2" t="str">
        <f t="shared" ref="G185:H185" si="375">CONCATENATE(C185," : ",C185)</f>
        <v>E2_5_1_74_mRNA : E2_5_1_74_mRNA</v>
      </c>
      <c r="H185" s="2" t="str">
        <f t="shared" si="375"/>
        <v>E2_5_1_74 : E2_5_1_74</v>
      </c>
      <c r="I185" s="2" t="str">
        <f t="shared" ref="I185:J185" si="376">CONCATENATE(C185," : ","0")</f>
        <v>E2_5_1_74_mRNA : 0</v>
      </c>
      <c r="J185" s="2" t="str">
        <f t="shared" si="376"/>
        <v>E2_5_1_74 : 0</v>
      </c>
      <c r="K185" s="2" t="str">
        <f t="shared" si="9"/>
        <v>0.00292 - (0.0093 * E2_5_1_74_mRNA)</v>
      </c>
      <c r="L185" s="2" t="str">
        <f t="shared" si="10"/>
        <v>(0.278 * E2_5_1_74_mRNA) - (0.00000278 * E2_5_1_74)</v>
      </c>
      <c r="M185" s="2" t="str">
        <f t="shared" si="11"/>
        <v>mRNA184: -&gt; E2_5_1_74_mRNA | 0.00292 - (0.0093 * E2_5_1_74_mRNA)</v>
      </c>
      <c r="N185" s="2" t="str">
        <f t="shared" si="12"/>
        <v>Peptide184: E2_5_1_74_mRNA -&gt; E2_5_1_74 | (0.278 * E2_5_1_74_mRNA) - (0.000000278 * E2_5_1_74)</v>
      </c>
    </row>
    <row r="186">
      <c r="A186" s="12">
        <v>185.0</v>
      </c>
      <c r="B186" s="2" t="s">
        <v>25110</v>
      </c>
      <c r="C186" s="2" t="str">
        <f t="shared" si="3"/>
        <v>E2_5_1_75_mRNA</v>
      </c>
      <c r="D186" s="2" t="str">
        <f t="shared" si="4"/>
        <v>E2_5_1_75</v>
      </c>
      <c r="E186" s="2" t="str">
        <f t="shared" si="5"/>
        <v>E2_5_1_75_kcat : 13.7</v>
      </c>
      <c r="F186" s="2" t="str">
        <f t="shared" si="6"/>
        <v>E2_5_1_75_km : 1</v>
      </c>
      <c r="G186" s="2" t="str">
        <f t="shared" ref="G186:H186" si="377">CONCATENATE(C186," : ",C186)</f>
        <v>E2_5_1_75_mRNA : E2_5_1_75_mRNA</v>
      </c>
      <c r="H186" s="2" t="str">
        <f t="shared" si="377"/>
        <v>E2_5_1_75 : E2_5_1_75</v>
      </c>
      <c r="I186" s="2" t="str">
        <f t="shared" ref="I186:J186" si="378">CONCATENATE(C186," : ","0")</f>
        <v>E2_5_1_75_mRNA : 0</v>
      </c>
      <c r="J186" s="2" t="str">
        <f t="shared" si="378"/>
        <v>E2_5_1_75 : 0</v>
      </c>
      <c r="K186" s="2" t="str">
        <f t="shared" si="9"/>
        <v>0.00292 - (0.0093 * E2_5_1_75_mRNA)</v>
      </c>
      <c r="L186" s="2" t="str">
        <f t="shared" si="10"/>
        <v>(0.278 * E2_5_1_75_mRNA) - (0.00000278 * E2_5_1_75)</v>
      </c>
      <c r="M186" s="2" t="str">
        <f t="shared" si="11"/>
        <v>mRNA185: -&gt; E2_5_1_75_mRNA | 0.00292 - (0.0093 * E2_5_1_75_mRNA)</v>
      </c>
      <c r="N186" s="2" t="str">
        <f t="shared" si="12"/>
        <v>Peptide185: E2_5_1_75_mRNA -&gt; E2_5_1_75 | (0.278 * E2_5_1_75_mRNA) - (0.000000278 * E2_5_1_75)</v>
      </c>
    </row>
    <row r="187">
      <c r="A187" s="12">
        <v>186.0</v>
      </c>
      <c r="B187" s="2" t="s">
        <v>25111</v>
      </c>
      <c r="C187" s="2" t="str">
        <f t="shared" si="3"/>
        <v>E2_5_1_78_mRNA</v>
      </c>
      <c r="D187" s="2" t="str">
        <f t="shared" si="4"/>
        <v>E2_5_1_78</v>
      </c>
      <c r="E187" s="2" t="str">
        <f t="shared" si="5"/>
        <v>E2_5_1_78_kcat : 13.7</v>
      </c>
      <c r="F187" s="2" t="str">
        <f t="shared" si="6"/>
        <v>E2_5_1_78_km : 1</v>
      </c>
      <c r="G187" s="2" t="str">
        <f t="shared" ref="G187:H187" si="379">CONCATENATE(C187," : ",C187)</f>
        <v>E2_5_1_78_mRNA : E2_5_1_78_mRNA</v>
      </c>
      <c r="H187" s="2" t="str">
        <f t="shared" si="379"/>
        <v>E2_5_1_78 : E2_5_1_78</v>
      </c>
      <c r="I187" s="2" t="str">
        <f t="shared" ref="I187:J187" si="380">CONCATENATE(C187," : ","0")</f>
        <v>E2_5_1_78_mRNA : 0</v>
      </c>
      <c r="J187" s="2" t="str">
        <f t="shared" si="380"/>
        <v>E2_5_1_78 : 0</v>
      </c>
      <c r="K187" s="2" t="str">
        <f t="shared" si="9"/>
        <v>0.00292 - (0.0093 * E2_5_1_78_mRNA)</v>
      </c>
      <c r="L187" s="2" t="str">
        <f t="shared" si="10"/>
        <v>(0.278 * E2_5_1_78_mRNA) - (0.00000278 * E2_5_1_78)</v>
      </c>
      <c r="M187" s="2" t="str">
        <f t="shared" si="11"/>
        <v>mRNA186: -&gt; E2_5_1_78_mRNA | 0.00292 - (0.0093 * E2_5_1_78_mRNA)</v>
      </c>
      <c r="N187" s="2" t="str">
        <f t="shared" si="12"/>
        <v>Peptide186: E2_5_1_78_mRNA -&gt; E2_5_1_78 | (0.278 * E2_5_1_78_mRNA) - (0.000000278 * E2_5_1_78)</v>
      </c>
    </row>
    <row r="188">
      <c r="A188" s="12">
        <v>187.0</v>
      </c>
      <c r="B188" s="2" t="s">
        <v>25112</v>
      </c>
      <c r="C188" s="2" t="str">
        <f t="shared" si="3"/>
        <v>E2_5_1_9_mRNA</v>
      </c>
      <c r="D188" s="2" t="str">
        <f t="shared" si="4"/>
        <v>E2_5_1_9</v>
      </c>
      <c r="E188" s="2" t="str">
        <f t="shared" si="5"/>
        <v>E2_5_1_9_kcat : 13.7</v>
      </c>
      <c r="F188" s="2" t="str">
        <f t="shared" si="6"/>
        <v>E2_5_1_9_km : 1</v>
      </c>
      <c r="G188" s="2" t="str">
        <f t="shared" ref="G188:H188" si="381">CONCATENATE(C188," : ",C188)</f>
        <v>E2_5_1_9_mRNA : E2_5_1_9_mRNA</v>
      </c>
      <c r="H188" s="2" t="str">
        <f t="shared" si="381"/>
        <v>E2_5_1_9 : E2_5_1_9</v>
      </c>
      <c r="I188" s="2" t="str">
        <f t="shared" ref="I188:J188" si="382">CONCATENATE(C188," : ","0")</f>
        <v>E2_5_1_9_mRNA : 0</v>
      </c>
      <c r="J188" s="2" t="str">
        <f t="shared" si="382"/>
        <v>E2_5_1_9 : 0</v>
      </c>
      <c r="K188" s="2" t="str">
        <f t="shared" si="9"/>
        <v>0.00292 - (0.0093 * E2_5_1_9_mRNA)</v>
      </c>
      <c r="L188" s="2" t="str">
        <f t="shared" si="10"/>
        <v>(0.278 * E2_5_1_9_mRNA) - (0.00000278 * E2_5_1_9)</v>
      </c>
      <c r="M188" s="2" t="str">
        <f t="shared" si="11"/>
        <v>mRNA187: -&gt; E2_5_1_9_mRNA | 0.00292 - (0.0093 * E2_5_1_9_mRNA)</v>
      </c>
      <c r="N188" s="2" t="str">
        <f t="shared" si="12"/>
        <v>Peptide187: E2_5_1_9_mRNA -&gt; E2_5_1_9 | (0.278 * E2_5_1_9_mRNA) - (0.000000278 * E2_5_1_9)</v>
      </c>
    </row>
    <row r="189">
      <c r="A189" s="12">
        <v>188.0</v>
      </c>
      <c r="B189" s="2" t="s">
        <v>25113</v>
      </c>
      <c r="C189" s="2" t="str">
        <f t="shared" si="3"/>
        <v>E2_6_1_1_mRNA</v>
      </c>
      <c r="D189" s="2" t="str">
        <f t="shared" si="4"/>
        <v>E2_6_1_1</v>
      </c>
      <c r="E189" s="2" t="str">
        <f t="shared" si="5"/>
        <v>E2_6_1_1_kcat : 13.7</v>
      </c>
      <c r="F189" s="2" t="str">
        <f t="shared" si="6"/>
        <v>E2_6_1_1_km : 1</v>
      </c>
      <c r="G189" s="2" t="str">
        <f t="shared" ref="G189:H189" si="383">CONCATENATE(C189," : ",C189)</f>
        <v>E2_6_1_1_mRNA : E2_6_1_1_mRNA</v>
      </c>
      <c r="H189" s="2" t="str">
        <f t="shared" si="383"/>
        <v>E2_6_1_1 : E2_6_1_1</v>
      </c>
      <c r="I189" s="2" t="str">
        <f t="shared" ref="I189:J189" si="384">CONCATENATE(C189," : ","0")</f>
        <v>E2_6_1_1_mRNA : 0</v>
      </c>
      <c r="J189" s="2" t="str">
        <f t="shared" si="384"/>
        <v>E2_6_1_1 : 0</v>
      </c>
      <c r="K189" s="2" t="str">
        <f t="shared" si="9"/>
        <v>0.00292 - (0.0093 * E2_6_1_1_mRNA)</v>
      </c>
      <c r="L189" s="2" t="str">
        <f t="shared" si="10"/>
        <v>(0.278 * E2_6_1_1_mRNA) - (0.00000278 * E2_6_1_1)</v>
      </c>
      <c r="M189" s="2" t="str">
        <f t="shared" si="11"/>
        <v>mRNA188: -&gt; E2_6_1_1_mRNA | 0.00292 - (0.0093 * E2_6_1_1_mRNA)</v>
      </c>
      <c r="N189" s="2" t="str">
        <f t="shared" si="12"/>
        <v>Peptide188: E2_6_1_1_mRNA -&gt; E2_6_1_1 | (0.278 * E2_6_1_1_mRNA) - (0.000000278 * E2_6_1_1)</v>
      </c>
    </row>
    <row r="190">
      <c r="A190" s="12">
        <v>189.0</v>
      </c>
      <c r="B190" s="2" t="s">
        <v>25114</v>
      </c>
      <c r="C190" s="2" t="str">
        <f t="shared" si="3"/>
        <v>E2_6_1_11_mRNA</v>
      </c>
      <c r="D190" s="2" t="str">
        <f t="shared" si="4"/>
        <v>E2_6_1_11</v>
      </c>
      <c r="E190" s="2" t="str">
        <f t="shared" si="5"/>
        <v>E2_6_1_11_kcat : 13.7</v>
      </c>
      <c r="F190" s="2" t="str">
        <f t="shared" si="6"/>
        <v>E2_6_1_11_km : 1</v>
      </c>
      <c r="G190" s="2" t="str">
        <f t="shared" ref="G190:H190" si="385">CONCATENATE(C190," : ",C190)</f>
        <v>E2_6_1_11_mRNA : E2_6_1_11_mRNA</v>
      </c>
      <c r="H190" s="2" t="str">
        <f t="shared" si="385"/>
        <v>E2_6_1_11 : E2_6_1_11</v>
      </c>
      <c r="I190" s="2" t="str">
        <f t="shared" ref="I190:J190" si="386">CONCATENATE(C190," : ","0")</f>
        <v>E2_6_1_11_mRNA : 0</v>
      </c>
      <c r="J190" s="2" t="str">
        <f t="shared" si="386"/>
        <v>E2_6_1_11 : 0</v>
      </c>
      <c r="K190" s="2" t="str">
        <f t="shared" si="9"/>
        <v>0.00292 - (0.0093 * E2_6_1_11_mRNA)</v>
      </c>
      <c r="L190" s="2" t="str">
        <f t="shared" si="10"/>
        <v>(0.278 * E2_6_1_11_mRNA) - (0.00000278 * E2_6_1_11)</v>
      </c>
      <c r="M190" s="2" t="str">
        <f t="shared" si="11"/>
        <v>mRNA189: -&gt; E2_6_1_11_mRNA | 0.00292 - (0.0093 * E2_6_1_11_mRNA)</v>
      </c>
      <c r="N190" s="2" t="str">
        <f t="shared" si="12"/>
        <v>Peptide189: E2_6_1_11_mRNA -&gt; E2_6_1_11 | (0.278 * E2_6_1_11_mRNA) - (0.000000278 * E2_6_1_11)</v>
      </c>
    </row>
    <row r="191">
      <c r="A191" s="12">
        <v>190.0</v>
      </c>
      <c r="B191" s="2" t="s">
        <v>25115</v>
      </c>
      <c r="C191" s="2" t="str">
        <f t="shared" si="3"/>
        <v>E2_6_1_13_mRNA</v>
      </c>
      <c r="D191" s="2" t="str">
        <f t="shared" si="4"/>
        <v>E2_6_1_13</v>
      </c>
      <c r="E191" s="2" t="str">
        <f t="shared" si="5"/>
        <v>E2_6_1_13_kcat : 13.7</v>
      </c>
      <c r="F191" s="2" t="str">
        <f t="shared" si="6"/>
        <v>E2_6_1_13_km : 1</v>
      </c>
      <c r="G191" s="2" t="str">
        <f t="shared" ref="G191:H191" si="387">CONCATENATE(C191," : ",C191)</f>
        <v>E2_6_1_13_mRNA : E2_6_1_13_mRNA</v>
      </c>
      <c r="H191" s="2" t="str">
        <f t="shared" si="387"/>
        <v>E2_6_1_13 : E2_6_1_13</v>
      </c>
      <c r="I191" s="2" t="str">
        <f t="shared" ref="I191:J191" si="388">CONCATENATE(C191," : ","0")</f>
        <v>E2_6_1_13_mRNA : 0</v>
      </c>
      <c r="J191" s="2" t="str">
        <f t="shared" si="388"/>
        <v>E2_6_1_13 : 0</v>
      </c>
      <c r="K191" s="2" t="str">
        <f t="shared" si="9"/>
        <v>0.00292 - (0.0093 * E2_6_1_13_mRNA)</v>
      </c>
      <c r="L191" s="2" t="str">
        <f t="shared" si="10"/>
        <v>(0.278 * E2_6_1_13_mRNA) - (0.00000278 * E2_6_1_13)</v>
      </c>
      <c r="M191" s="2" t="str">
        <f t="shared" si="11"/>
        <v>mRNA190: -&gt; E2_6_1_13_mRNA | 0.00292 - (0.0093 * E2_6_1_13_mRNA)</v>
      </c>
      <c r="N191" s="2" t="str">
        <f t="shared" si="12"/>
        <v>Peptide190: E2_6_1_13_mRNA -&gt; E2_6_1_13 | (0.278 * E2_6_1_13_mRNA) - (0.000000278 * E2_6_1_13)</v>
      </c>
    </row>
    <row r="192">
      <c r="A192" s="12">
        <v>191.0</v>
      </c>
      <c r="B192" s="2" t="s">
        <v>25116</v>
      </c>
      <c r="C192" s="2" t="str">
        <f t="shared" si="3"/>
        <v>E2_6_1_16_mRNA</v>
      </c>
      <c r="D192" s="2" t="str">
        <f t="shared" si="4"/>
        <v>E2_6_1_16</v>
      </c>
      <c r="E192" s="2" t="str">
        <f t="shared" si="5"/>
        <v>E2_6_1_16_kcat : 13.7</v>
      </c>
      <c r="F192" s="2" t="str">
        <f t="shared" si="6"/>
        <v>E2_6_1_16_km : 1</v>
      </c>
      <c r="G192" s="2" t="str">
        <f t="shared" ref="G192:H192" si="389">CONCATENATE(C192," : ",C192)</f>
        <v>E2_6_1_16_mRNA : E2_6_1_16_mRNA</v>
      </c>
      <c r="H192" s="2" t="str">
        <f t="shared" si="389"/>
        <v>E2_6_1_16 : E2_6_1_16</v>
      </c>
      <c r="I192" s="2" t="str">
        <f t="shared" ref="I192:J192" si="390">CONCATENATE(C192," : ","0")</f>
        <v>E2_6_1_16_mRNA : 0</v>
      </c>
      <c r="J192" s="2" t="str">
        <f t="shared" si="390"/>
        <v>E2_6_1_16 : 0</v>
      </c>
      <c r="K192" s="2" t="str">
        <f t="shared" si="9"/>
        <v>0.00292 - (0.0093 * E2_6_1_16_mRNA)</v>
      </c>
      <c r="L192" s="2" t="str">
        <f t="shared" si="10"/>
        <v>(0.278 * E2_6_1_16_mRNA) - (0.00000278 * E2_6_1_16)</v>
      </c>
      <c r="M192" s="2" t="str">
        <f t="shared" si="11"/>
        <v>mRNA191: -&gt; E2_6_1_16_mRNA | 0.00292 - (0.0093 * E2_6_1_16_mRNA)</v>
      </c>
      <c r="N192" s="2" t="str">
        <f t="shared" si="12"/>
        <v>Peptide191: E2_6_1_16_mRNA -&gt; E2_6_1_16 | (0.278 * E2_6_1_16_mRNA) - (0.000000278 * E2_6_1_16)</v>
      </c>
    </row>
    <row r="193">
      <c r="A193" s="12">
        <v>192.0</v>
      </c>
      <c r="B193" s="2" t="s">
        <v>25117</v>
      </c>
      <c r="C193" s="2" t="str">
        <f t="shared" si="3"/>
        <v>E2_6_1_19_mRNA</v>
      </c>
      <c r="D193" s="2" t="str">
        <f t="shared" si="4"/>
        <v>E2_6_1_19</v>
      </c>
      <c r="E193" s="2" t="str">
        <f t="shared" si="5"/>
        <v>E2_6_1_19_kcat : 13.7</v>
      </c>
      <c r="F193" s="2" t="str">
        <f t="shared" si="6"/>
        <v>E2_6_1_19_km : 1</v>
      </c>
      <c r="G193" s="2" t="str">
        <f t="shared" ref="G193:H193" si="391">CONCATENATE(C193," : ",C193)</f>
        <v>E2_6_1_19_mRNA : E2_6_1_19_mRNA</v>
      </c>
      <c r="H193" s="2" t="str">
        <f t="shared" si="391"/>
        <v>E2_6_1_19 : E2_6_1_19</v>
      </c>
      <c r="I193" s="2" t="str">
        <f t="shared" ref="I193:J193" si="392">CONCATENATE(C193," : ","0")</f>
        <v>E2_6_1_19_mRNA : 0</v>
      </c>
      <c r="J193" s="2" t="str">
        <f t="shared" si="392"/>
        <v>E2_6_1_19 : 0</v>
      </c>
      <c r="K193" s="2" t="str">
        <f t="shared" si="9"/>
        <v>0.00292 - (0.0093 * E2_6_1_19_mRNA)</v>
      </c>
      <c r="L193" s="2" t="str">
        <f t="shared" si="10"/>
        <v>(0.278 * E2_6_1_19_mRNA) - (0.00000278 * E2_6_1_19)</v>
      </c>
      <c r="M193" s="2" t="str">
        <f t="shared" si="11"/>
        <v>mRNA192: -&gt; E2_6_1_19_mRNA | 0.00292 - (0.0093 * E2_6_1_19_mRNA)</v>
      </c>
      <c r="N193" s="2" t="str">
        <f t="shared" si="12"/>
        <v>Peptide192: E2_6_1_19_mRNA -&gt; E2_6_1_19 | (0.278 * E2_6_1_19_mRNA) - (0.000000278 * E2_6_1_19)</v>
      </c>
    </row>
    <row r="194">
      <c r="A194" s="12">
        <v>193.0</v>
      </c>
      <c r="B194" s="2" t="s">
        <v>25118</v>
      </c>
      <c r="C194" s="2" t="str">
        <f t="shared" si="3"/>
        <v>E2_6_1_21_mRNA</v>
      </c>
      <c r="D194" s="2" t="str">
        <f t="shared" si="4"/>
        <v>E2_6_1_21</v>
      </c>
      <c r="E194" s="2" t="str">
        <f t="shared" si="5"/>
        <v>E2_6_1_21_kcat : 13.7</v>
      </c>
      <c r="F194" s="2" t="str">
        <f t="shared" si="6"/>
        <v>E2_6_1_21_km : 1</v>
      </c>
      <c r="G194" s="2" t="str">
        <f t="shared" ref="G194:H194" si="393">CONCATENATE(C194," : ",C194)</f>
        <v>E2_6_1_21_mRNA : E2_6_1_21_mRNA</v>
      </c>
      <c r="H194" s="2" t="str">
        <f t="shared" si="393"/>
        <v>E2_6_1_21 : E2_6_1_21</v>
      </c>
      <c r="I194" s="2" t="str">
        <f t="shared" ref="I194:J194" si="394">CONCATENATE(C194," : ","0")</f>
        <v>E2_6_1_21_mRNA : 0</v>
      </c>
      <c r="J194" s="2" t="str">
        <f t="shared" si="394"/>
        <v>E2_6_1_21 : 0</v>
      </c>
      <c r="K194" s="2" t="str">
        <f t="shared" si="9"/>
        <v>0.00292 - (0.0093 * E2_6_1_21_mRNA)</v>
      </c>
      <c r="L194" s="2" t="str">
        <f t="shared" si="10"/>
        <v>(0.278 * E2_6_1_21_mRNA) - (0.00000278 * E2_6_1_21)</v>
      </c>
      <c r="M194" s="2" t="str">
        <f t="shared" si="11"/>
        <v>mRNA193: -&gt; E2_6_1_21_mRNA | 0.00292 - (0.0093 * E2_6_1_21_mRNA)</v>
      </c>
      <c r="N194" s="2" t="str">
        <f t="shared" si="12"/>
        <v>Peptide193: E2_6_1_21_mRNA -&gt; E2_6_1_21 | (0.278 * E2_6_1_21_mRNA) - (0.000000278 * E2_6_1_21)</v>
      </c>
    </row>
    <row r="195">
      <c r="A195" s="12">
        <v>194.0</v>
      </c>
      <c r="B195" s="2" t="s">
        <v>25119</v>
      </c>
      <c r="C195" s="2" t="str">
        <f t="shared" si="3"/>
        <v>E2_6_1_37_mRNA</v>
      </c>
      <c r="D195" s="2" t="str">
        <f t="shared" si="4"/>
        <v>E2_6_1_37</v>
      </c>
      <c r="E195" s="2" t="str">
        <f t="shared" si="5"/>
        <v>E2_6_1_37_kcat : 13.7</v>
      </c>
      <c r="F195" s="2" t="str">
        <f t="shared" si="6"/>
        <v>E2_6_1_37_km : 1</v>
      </c>
      <c r="G195" s="2" t="str">
        <f t="shared" ref="G195:H195" si="395">CONCATENATE(C195," : ",C195)</f>
        <v>E2_6_1_37_mRNA : E2_6_1_37_mRNA</v>
      </c>
      <c r="H195" s="2" t="str">
        <f t="shared" si="395"/>
        <v>E2_6_1_37 : E2_6_1_37</v>
      </c>
      <c r="I195" s="2" t="str">
        <f t="shared" ref="I195:J195" si="396">CONCATENATE(C195," : ","0")</f>
        <v>E2_6_1_37_mRNA : 0</v>
      </c>
      <c r="J195" s="2" t="str">
        <f t="shared" si="396"/>
        <v>E2_6_1_37 : 0</v>
      </c>
      <c r="K195" s="2" t="str">
        <f t="shared" si="9"/>
        <v>0.00292 - (0.0093 * E2_6_1_37_mRNA)</v>
      </c>
      <c r="L195" s="2" t="str">
        <f t="shared" si="10"/>
        <v>(0.278 * E2_6_1_37_mRNA) - (0.00000278 * E2_6_1_37)</v>
      </c>
      <c r="M195" s="2" t="str">
        <f t="shared" si="11"/>
        <v>mRNA194: -&gt; E2_6_1_37_mRNA | 0.00292 - (0.0093 * E2_6_1_37_mRNA)</v>
      </c>
      <c r="N195" s="2" t="str">
        <f t="shared" si="12"/>
        <v>Peptide194: E2_6_1_37_mRNA -&gt; E2_6_1_37 | (0.278 * E2_6_1_37_mRNA) - (0.000000278 * E2_6_1_37)</v>
      </c>
    </row>
    <row r="196">
      <c r="A196" s="12">
        <v>195.0</v>
      </c>
      <c r="B196" s="2" t="s">
        <v>25120</v>
      </c>
      <c r="C196" s="2" t="str">
        <f t="shared" si="3"/>
        <v>E2_6_1_42_mRNA</v>
      </c>
      <c r="D196" s="2" t="str">
        <f t="shared" si="4"/>
        <v>E2_6_1_42</v>
      </c>
      <c r="E196" s="2" t="str">
        <f t="shared" si="5"/>
        <v>E2_6_1_42_kcat : 13.7</v>
      </c>
      <c r="F196" s="2" t="str">
        <f t="shared" si="6"/>
        <v>E2_6_1_42_km : 1</v>
      </c>
      <c r="G196" s="2" t="str">
        <f t="shared" ref="G196:H196" si="397">CONCATENATE(C196," : ",C196)</f>
        <v>E2_6_1_42_mRNA : E2_6_1_42_mRNA</v>
      </c>
      <c r="H196" s="2" t="str">
        <f t="shared" si="397"/>
        <v>E2_6_1_42 : E2_6_1_42</v>
      </c>
      <c r="I196" s="2" t="str">
        <f t="shared" ref="I196:J196" si="398">CONCATENATE(C196," : ","0")</f>
        <v>E2_6_1_42_mRNA : 0</v>
      </c>
      <c r="J196" s="2" t="str">
        <f t="shared" si="398"/>
        <v>E2_6_1_42 : 0</v>
      </c>
      <c r="K196" s="2" t="str">
        <f t="shared" si="9"/>
        <v>0.00292 - (0.0093 * E2_6_1_42_mRNA)</v>
      </c>
      <c r="L196" s="2" t="str">
        <f t="shared" si="10"/>
        <v>(0.278 * E2_6_1_42_mRNA) - (0.00000278 * E2_6_1_42)</v>
      </c>
      <c r="M196" s="2" t="str">
        <f t="shared" si="11"/>
        <v>mRNA195: -&gt; E2_6_1_42_mRNA | 0.00292 - (0.0093 * E2_6_1_42_mRNA)</v>
      </c>
      <c r="N196" s="2" t="str">
        <f t="shared" si="12"/>
        <v>Peptide195: E2_6_1_42_mRNA -&gt; E2_6_1_42 | (0.278 * E2_6_1_42_mRNA) - (0.000000278 * E2_6_1_42)</v>
      </c>
    </row>
    <row r="197">
      <c r="A197" s="12">
        <v>196.0</v>
      </c>
      <c r="B197" s="2" t="s">
        <v>25121</v>
      </c>
      <c r="C197" s="2" t="str">
        <f t="shared" si="3"/>
        <v>E2_6_1_52_mRNA</v>
      </c>
      <c r="D197" s="2" t="str">
        <f t="shared" si="4"/>
        <v>E2_6_1_52</v>
      </c>
      <c r="E197" s="2" t="str">
        <f t="shared" si="5"/>
        <v>E2_6_1_52_kcat : 13.7</v>
      </c>
      <c r="F197" s="2" t="str">
        <f t="shared" si="6"/>
        <v>E2_6_1_52_km : 1</v>
      </c>
      <c r="G197" s="2" t="str">
        <f t="shared" ref="G197:H197" si="399">CONCATENATE(C197," : ",C197)</f>
        <v>E2_6_1_52_mRNA : E2_6_1_52_mRNA</v>
      </c>
      <c r="H197" s="2" t="str">
        <f t="shared" si="399"/>
        <v>E2_6_1_52 : E2_6_1_52</v>
      </c>
      <c r="I197" s="2" t="str">
        <f t="shared" ref="I197:J197" si="400">CONCATENATE(C197," : ","0")</f>
        <v>E2_6_1_52_mRNA : 0</v>
      </c>
      <c r="J197" s="2" t="str">
        <f t="shared" si="400"/>
        <v>E2_6_1_52 : 0</v>
      </c>
      <c r="K197" s="2" t="str">
        <f t="shared" si="9"/>
        <v>0.00292 - (0.0093 * E2_6_1_52_mRNA)</v>
      </c>
      <c r="L197" s="2" t="str">
        <f t="shared" si="10"/>
        <v>(0.278 * E2_6_1_52_mRNA) - (0.00000278 * E2_6_1_52)</v>
      </c>
      <c r="M197" s="2" t="str">
        <f t="shared" si="11"/>
        <v>mRNA196: -&gt; E2_6_1_52_mRNA | 0.00292 - (0.0093 * E2_6_1_52_mRNA)</v>
      </c>
      <c r="N197" s="2" t="str">
        <f t="shared" si="12"/>
        <v>Peptide196: E2_6_1_52_mRNA -&gt; E2_6_1_52 | (0.278 * E2_6_1_52_mRNA) - (0.000000278 * E2_6_1_52)</v>
      </c>
    </row>
    <row r="198">
      <c r="A198" s="12">
        <v>197.0</v>
      </c>
      <c r="B198" s="2" t="s">
        <v>25122</v>
      </c>
      <c r="C198" s="2" t="str">
        <f t="shared" si="3"/>
        <v>E2_6_1_62_mRNA</v>
      </c>
      <c r="D198" s="2" t="str">
        <f t="shared" si="4"/>
        <v>E2_6_1_62</v>
      </c>
      <c r="E198" s="2" t="str">
        <f t="shared" si="5"/>
        <v>E2_6_1_62_kcat : 13.7</v>
      </c>
      <c r="F198" s="2" t="str">
        <f t="shared" si="6"/>
        <v>E2_6_1_62_km : 1</v>
      </c>
      <c r="G198" s="2" t="str">
        <f t="shared" ref="G198:H198" si="401">CONCATENATE(C198," : ",C198)</f>
        <v>E2_6_1_62_mRNA : E2_6_1_62_mRNA</v>
      </c>
      <c r="H198" s="2" t="str">
        <f t="shared" si="401"/>
        <v>E2_6_1_62 : E2_6_1_62</v>
      </c>
      <c r="I198" s="2" t="str">
        <f t="shared" ref="I198:J198" si="402">CONCATENATE(C198," : ","0")</f>
        <v>E2_6_1_62_mRNA : 0</v>
      </c>
      <c r="J198" s="2" t="str">
        <f t="shared" si="402"/>
        <v>E2_6_1_62 : 0</v>
      </c>
      <c r="K198" s="2" t="str">
        <f t="shared" si="9"/>
        <v>0.00292 - (0.0093 * E2_6_1_62_mRNA)</v>
      </c>
      <c r="L198" s="2" t="str">
        <f t="shared" si="10"/>
        <v>(0.278 * E2_6_1_62_mRNA) - (0.00000278 * E2_6_1_62)</v>
      </c>
      <c r="M198" s="2" t="str">
        <f t="shared" si="11"/>
        <v>mRNA197: -&gt; E2_6_1_62_mRNA | 0.00292 - (0.0093 * E2_6_1_62_mRNA)</v>
      </c>
      <c r="N198" s="2" t="str">
        <f t="shared" si="12"/>
        <v>Peptide197: E2_6_1_62_mRNA -&gt; E2_6_1_62 | (0.278 * E2_6_1_62_mRNA) - (0.000000278 * E2_6_1_62)</v>
      </c>
    </row>
    <row r="199">
      <c r="A199" s="12">
        <v>198.0</v>
      </c>
      <c r="B199" s="2" t="s">
        <v>25123</v>
      </c>
      <c r="C199" s="2" t="str">
        <f t="shared" si="3"/>
        <v>E2_6_1_83_mRNA</v>
      </c>
      <c r="D199" s="2" t="str">
        <f t="shared" si="4"/>
        <v>E2_6_1_83</v>
      </c>
      <c r="E199" s="2" t="str">
        <f t="shared" si="5"/>
        <v>E2_6_1_83_kcat : 13.7</v>
      </c>
      <c r="F199" s="2" t="str">
        <f t="shared" si="6"/>
        <v>E2_6_1_83_km : 1</v>
      </c>
      <c r="G199" s="2" t="str">
        <f t="shared" ref="G199:H199" si="403">CONCATENATE(C199," : ",C199)</f>
        <v>E2_6_1_83_mRNA : E2_6_1_83_mRNA</v>
      </c>
      <c r="H199" s="2" t="str">
        <f t="shared" si="403"/>
        <v>E2_6_1_83 : E2_6_1_83</v>
      </c>
      <c r="I199" s="2" t="str">
        <f t="shared" ref="I199:J199" si="404">CONCATENATE(C199," : ","0")</f>
        <v>E2_6_1_83_mRNA : 0</v>
      </c>
      <c r="J199" s="2" t="str">
        <f t="shared" si="404"/>
        <v>E2_6_1_83 : 0</v>
      </c>
      <c r="K199" s="2" t="str">
        <f t="shared" si="9"/>
        <v>0.00292 - (0.0093 * E2_6_1_83_mRNA)</v>
      </c>
      <c r="L199" s="2" t="str">
        <f t="shared" si="10"/>
        <v>(0.278 * E2_6_1_83_mRNA) - (0.00000278 * E2_6_1_83)</v>
      </c>
      <c r="M199" s="2" t="str">
        <f t="shared" si="11"/>
        <v>mRNA198: -&gt; E2_6_1_83_mRNA | 0.00292 - (0.0093 * E2_6_1_83_mRNA)</v>
      </c>
      <c r="N199" s="2" t="str">
        <f t="shared" si="12"/>
        <v>Peptide198: E2_6_1_83_mRNA -&gt; E2_6_1_83 | (0.278 * E2_6_1_83_mRNA) - (0.000000278 * E2_6_1_83)</v>
      </c>
    </row>
    <row r="200">
      <c r="A200" s="12">
        <v>199.0</v>
      </c>
      <c r="B200" s="2" t="s">
        <v>25124</v>
      </c>
      <c r="C200" s="2" t="str">
        <f t="shared" si="3"/>
        <v>E2_6_1_85_mRNA</v>
      </c>
      <c r="D200" s="2" t="str">
        <f t="shared" si="4"/>
        <v>E2_6_1_85</v>
      </c>
      <c r="E200" s="2" t="str">
        <f t="shared" si="5"/>
        <v>E2_6_1_85_kcat : 13.7</v>
      </c>
      <c r="F200" s="2" t="str">
        <f t="shared" si="6"/>
        <v>E2_6_1_85_km : 1</v>
      </c>
      <c r="G200" s="2" t="str">
        <f t="shared" ref="G200:H200" si="405">CONCATENATE(C200," : ",C200)</f>
        <v>E2_6_1_85_mRNA : E2_6_1_85_mRNA</v>
      </c>
      <c r="H200" s="2" t="str">
        <f t="shared" si="405"/>
        <v>E2_6_1_85 : E2_6_1_85</v>
      </c>
      <c r="I200" s="2" t="str">
        <f t="shared" ref="I200:J200" si="406">CONCATENATE(C200," : ","0")</f>
        <v>E2_6_1_85_mRNA : 0</v>
      </c>
      <c r="J200" s="2" t="str">
        <f t="shared" si="406"/>
        <v>E2_6_1_85 : 0</v>
      </c>
      <c r="K200" s="2" t="str">
        <f t="shared" si="9"/>
        <v>0.00292 - (0.0093 * E2_6_1_85_mRNA)</v>
      </c>
      <c r="L200" s="2" t="str">
        <f t="shared" si="10"/>
        <v>(0.278 * E2_6_1_85_mRNA) - (0.00000278 * E2_6_1_85)</v>
      </c>
      <c r="M200" s="2" t="str">
        <f t="shared" si="11"/>
        <v>mRNA199: -&gt; E2_6_1_85_mRNA | 0.00292 - (0.0093 * E2_6_1_85_mRNA)</v>
      </c>
      <c r="N200" s="2" t="str">
        <f t="shared" si="12"/>
        <v>Peptide199: E2_6_1_85_mRNA -&gt; E2_6_1_85 | (0.278 * E2_6_1_85_mRNA) - (0.000000278 * E2_6_1_85)</v>
      </c>
    </row>
    <row r="201">
      <c r="A201" s="12">
        <v>200.0</v>
      </c>
      <c r="B201" s="2" t="s">
        <v>25125</v>
      </c>
      <c r="C201" s="2" t="str">
        <f t="shared" si="3"/>
        <v>E2_6_1_9_mRNA</v>
      </c>
      <c r="D201" s="2" t="str">
        <f t="shared" si="4"/>
        <v>E2_6_1_9</v>
      </c>
      <c r="E201" s="2" t="str">
        <f t="shared" si="5"/>
        <v>E2_6_1_9_kcat : 13.7</v>
      </c>
      <c r="F201" s="2" t="str">
        <f t="shared" si="6"/>
        <v>E2_6_1_9_km : 1</v>
      </c>
      <c r="G201" s="2" t="str">
        <f t="shared" ref="G201:H201" si="407">CONCATENATE(C201," : ",C201)</f>
        <v>E2_6_1_9_mRNA : E2_6_1_9_mRNA</v>
      </c>
      <c r="H201" s="2" t="str">
        <f t="shared" si="407"/>
        <v>E2_6_1_9 : E2_6_1_9</v>
      </c>
      <c r="I201" s="2" t="str">
        <f t="shared" ref="I201:J201" si="408">CONCATENATE(C201," : ","0")</f>
        <v>E2_6_1_9_mRNA : 0</v>
      </c>
      <c r="J201" s="2" t="str">
        <f t="shared" si="408"/>
        <v>E2_6_1_9 : 0</v>
      </c>
      <c r="K201" s="2" t="str">
        <f t="shared" si="9"/>
        <v>0.00292 - (0.0093 * E2_6_1_9_mRNA)</v>
      </c>
      <c r="L201" s="2" t="str">
        <f t="shared" si="10"/>
        <v>(0.278 * E2_6_1_9_mRNA) - (0.00000278 * E2_6_1_9)</v>
      </c>
      <c r="M201" s="2" t="str">
        <f t="shared" si="11"/>
        <v>mRNA200: -&gt; E2_6_1_9_mRNA | 0.00292 - (0.0093 * E2_6_1_9_mRNA)</v>
      </c>
      <c r="N201" s="2" t="str">
        <f t="shared" si="12"/>
        <v>Peptide200: E2_6_1_9_mRNA -&gt; E2_6_1_9 | (0.278 * E2_6_1_9_mRNA) - (0.000000278 * E2_6_1_9)</v>
      </c>
    </row>
    <row r="202">
      <c r="A202" s="12">
        <v>201.0</v>
      </c>
      <c r="B202" s="2" t="s">
        <v>25126</v>
      </c>
      <c r="C202" s="2" t="str">
        <f t="shared" si="3"/>
        <v>E2_7_1_100_mRNA</v>
      </c>
      <c r="D202" s="2" t="str">
        <f t="shared" si="4"/>
        <v>E2_7_1_100</v>
      </c>
      <c r="E202" s="2" t="str">
        <f t="shared" si="5"/>
        <v>E2_7_1_100_kcat : 13.7</v>
      </c>
      <c r="F202" s="2" t="str">
        <f t="shared" si="6"/>
        <v>E2_7_1_100_km : 1</v>
      </c>
      <c r="G202" s="2" t="str">
        <f t="shared" ref="G202:H202" si="409">CONCATENATE(C202," : ",C202)</f>
        <v>E2_7_1_100_mRNA : E2_7_1_100_mRNA</v>
      </c>
      <c r="H202" s="2" t="str">
        <f t="shared" si="409"/>
        <v>E2_7_1_100 : E2_7_1_100</v>
      </c>
      <c r="I202" s="2" t="str">
        <f t="shared" ref="I202:J202" si="410">CONCATENATE(C202," : ","0")</f>
        <v>E2_7_1_100_mRNA : 0</v>
      </c>
      <c r="J202" s="2" t="str">
        <f t="shared" si="410"/>
        <v>E2_7_1_100 : 0</v>
      </c>
      <c r="K202" s="2" t="str">
        <f t="shared" si="9"/>
        <v>0.00292 - (0.0093 * E2_7_1_100_mRNA)</v>
      </c>
      <c r="L202" s="2" t="str">
        <f t="shared" si="10"/>
        <v>(0.278 * E2_7_1_100_mRNA) - (0.00000278 * E2_7_1_100)</v>
      </c>
      <c r="M202" s="2" t="str">
        <f t="shared" si="11"/>
        <v>mRNA201: -&gt; E2_7_1_100_mRNA | 0.00292 - (0.0093 * E2_7_1_100_mRNA)</v>
      </c>
      <c r="N202" s="2" t="str">
        <f t="shared" si="12"/>
        <v>Peptide201: E2_7_1_100_mRNA -&gt; E2_7_1_100 | (0.278 * E2_7_1_100_mRNA) - (0.000000278 * E2_7_1_100)</v>
      </c>
    </row>
    <row r="203">
      <c r="A203" s="12">
        <v>202.0</v>
      </c>
      <c r="B203" s="2" t="s">
        <v>25127</v>
      </c>
      <c r="C203" s="2" t="str">
        <f t="shared" si="3"/>
        <v>E2_7_1_107_mRNA</v>
      </c>
      <c r="D203" s="2" t="str">
        <f t="shared" si="4"/>
        <v>E2_7_1_107</v>
      </c>
      <c r="E203" s="2" t="str">
        <f t="shared" si="5"/>
        <v>E2_7_1_107_kcat : 13.7</v>
      </c>
      <c r="F203" s="2" t="str">
        <f t="shared" si="6"/>
        <v>E2_7_1_107_km : 1</v>
      </c>
      <c r="G203" s="2" t="str">
        <f t="shared" ref="G203:H203" si="411">CONCATENATE(C203," : ",C203)</f>
        <v>E2_7_1_107_mRNA : E2_7_1_107_mRNA</v>
      </c>
      <c r="H203" s="2" t="str">
        <f t="shared" si="411"/>
        <v>E2_7_1_107 : E2_7_1_107</v>
      </c>
      <c r="I203" s="2" t="str">
        <f t="shared" ref="I203:J203" si="412">CONCATENATE(C203," : ","0")</f>
        <v>E2_7_1_107_mRNA : 0</v>
      </c>
      <c r="J203" s="2" t="str">
        <f t="shared" si="412"/>
        <v>E2_7_1_107 : 0</v>
      </c>
      <c r="K203" s="2" t="str">
        <f t="shared" si="9"/>
        <v>0.00292 - (0.0093 * E2_7_1_107_mRNA)</v>
      </c>
      <c r="L203" s="2" t="str">
        <f t="shared" si="10"/>
        <v>(0.278 * E2_7_1_107_mRNA) - (0.00000278 * E2_7_1_107)</v>
      </c>
      <c r="M203" s="2" t="str">
        <f t="shared" si="11"/>
        <v>mRNA202: -&gt; E2_7_1_107_mRNA | 0.00292 - (0.0093 * E2_7_1_107_mRNA)</v>
      </c>
      <c r="N203" s="2" t="str">
        <f t="shared" si="12"/>
        <v>Peptide202: E2_7_1_107_mRNA -&gt; E2_7_1_107 | (0.278 * E2_7_1_107_mRNA) - (0.000000278 * E2_7_1_107)</v>
      </c>
    </row>
    <row r="204">
      <c r="A204" s="12">
        <v>203.0</v>
      </c>
      <c r="B204" s="2" t="s">
        <v>25128</v>
      </c>
      <c r="C204" s="2" t="str">
        <f t="shared" si="3"/>
        <v>E2_7_1_11_mRNA</v>
      </c>
      <c r="D204" s="2" t="str">
        <f t="shared" si="4"/>
        <v>E2_7_1_11</v>
      </c>
      <c r="E204" s="2" t="str">
        <f t="shared" si="5"/>
        <v>E2_7_1_11_kcat : 13.7</v>
      </c>
      <c r="F204" s="2" t="str">
        <f t="shared" si="6"/>
        <v>E2_7_1_11_km : 1</v>
      </c>
      <c r="G204" s="2" t="str">
        <f t="shared" ref="G204:H204" si="413">CONCATENATE(C204," : ",C204)</f>
        <v>E2_7_1_11_mRNA : E2_7_1_11_mRNA</v>
      </c>
      <c r="H204" s="2" t="str">
        <f t="shared" si="413"/>
        <v>E2_7_1_11 : E2_7_1_11</v>
      </c>
      <c r="I204" s="2" t="str">
        <f t="shared" ref="I204:J204" si="414">CONCATENATE(C204," : ","0")</f>
        <v>E2_7_1_11_mRNA : 0</v>
      </c>
      <c r="J204" s="2" t="str">
        <f t="shared" si="414"/>
        <v>E2_7_1_11 : 0</v>
      </c>
      <c r="K204" s="2" t="str">
        <f t="shared" si="9"/>
        <v>0.00292 - (0.0093 * E2_7_1_11_mRNA)</v>
      </c>
      <c r="L204" s="2" t="str">
        <f t="shared" si="10"/>
        <v>(0.278 * E2_7_1_11_mRNA) - (0.00000278 * E2_7_1_11)</v>
      </c>
      <c r="M204" s="2" t="str">
        <f t="shared" si="11"/>
        <v>mRNA203: -&gt; E2_7_1_11_mRNA | 0.00292 - (0.0093 * E2_7_1_11_mRNA)</v>
      </c>
      <c r="N204" s="2" t="str">
        <f t="shared" si="12"/>
        <v>Peptide203: E2_7_1_11_mRNA -&gt; E2_7_1_11 | (0.278 * E2_7_1_11_mRNA) - (0.000000278 * E2_7_1_11)</v>
      </c>
    </row>
    <row r="205">
      <c r="A205" s="12">
        <v>204.0</v>
      </c>
      <c r="B205" s="2" t="s">
        <v>25129</v>
      </c>
      <c r="C205" s="2" t="str">
        <f t="shared" si="3"/>
        <v>E2_7_1_12_mRNA</v>
      </c>
      <c r="D205" s="2" t="str">
        <f t="shared" si="4"/>
        <v>E2_7_1_12</v>
      </c>
      <c r="E205" s="2" t="str">
        <f t="shared" si="5"/>
        <v>E2_7_1_12_kcat : 13.7</v>
      </c>
      <c r="F205" s="2" t="str">
        <f t="shared" si="6"/>
        <v>E2_7_1_12_km : 1</v>
      </c>
      <c r="G205" s="2" t="str">
        <f t="shared" ref="G205:H205" si="415">CONCATENATE(C205," : ",C205)</f>
        <v>E2_7_1_12_mRNA : E2_7_1_12_mRNA</v>
      </c>
      <c r="H205" s="2" t="str">
        <f t="shared" si="415"/>
        <v>E2_7_1_12 : E2_7_1_12</v>
      </c>
      <c r="I205" s="2" t="str">
        <f t="shared" ref="I205:J205" si="416">CONCATENATE(C205," : ","0")</f>
        <v>E2_7_1_12_mRNA : 0</v>
      </c>
      <c r="J205" s="2" t="str">
        <f t="shared" si="416"/>
        <v>E2_7_1_12 : 0</v>
      </c>
      <c r="K205" s="2" t="str">
        <f t="shared" si="9"/>
        <v>0.00292 - (0.0093 * E2_7_1_12_mRNA)</v>
      </c>
      <c r="L205" s="2" t="str">
        <f t="shared" si="10"/>
        <v>(0.278 * E2_7_1_12_mRNA) - (0.00000278 * E2_7_1_12)</v>
      </c>
      <c r="M205" s="2" t="str">
        <f t="shared" si="11"/>
        <v>mRNA204: -&gt; E2_7_1_12_mRNA | 0.00292 - (0.0093 * E2_7_1_12_mRNA)</v>
      </c>
      <c r="N205" s="2" t="str">
        <f t="shared" si="12"/>
        <v>Peptide204: E2_7_1_12_mRNA -&gt; E2_7_1_12 | (0.278 * E2_7_1_12_mRNA) - (0.000000278 * E2_7_1_12)</v>
      </c>
    </row>
    <row r="206">
      <c r="A206" s="12">
        <v>205.0</v>
      </c>
      <c r="B206" s="2" t="s">
        <v>25130</v>
      </c>
      <c r="C206" s="2" t="str">
        <f t="shared" si="3"/>
        <v>E2_7_1_121_mRNA</v>
      </c>
      <c r="D206" s="2" t="str">
        <f t="shared" si="4"/>
        <v>E2_7_1_121</v>
      </c>
      <c r="E206" s="2" t="str">
        <f t="shared" si="5"/>
        <v>E2_7_1_121_kcat : 13.7</v>
      </c>
      <c r="F206" s="2" t="str">
        <f t="shared" si="6"/>
        <v>E2_7_1_121_km : 1</v>
      </c>
      <c r="G206" s="2" t="str">
        <f t="shared" ref="G206:H206" si="417">CONCATENATE(C206," : ",C206)</f>
        <v>E2_7_1_121_mRNA : E2_7_1_121_mRNA</v>
      </c>
      <c r="H206" s="2" t="str">
        <f t="shared" si="417"/>
        <v>E2_7_1_121 : E2_7_1_121</v>
      </c>
      <c r="I206" s="2" t="str">
        <f t="shared" ref="I206:J206" si="418">CONCATENATE(C206," : ","0")</f>
        <v>E2_7_1_121_mRNA : 0</v>
      </c>
      <c r="J206" s="2" t="str">
        <f t="shared" si="418"/>
        <v>E2_7_1_121 : 0</v>
      </c>
      <c r="K206" s="2" t="str">
        <f t="shared" si="9"/>
        <v>0.00292 - (0.0093 * E2_7_1_121_mRNA)</v>
      </c>
      <c r="L206" s="2" t="str">
        <f t="shared" si="10"/>
        <v>(0.278 * E2_7_1_121_mRNA) - (0.00000278 * E2_7_1_121)</v>
      </c>
      <c r="M206" s="2" t="str">
        <f t="shared" si="11"/>
        <v>mRNA205: -&gt; E2_7_1_121_mRNA | 0.00292 - (0.0093 * E2_7_1_121_mRNA)</v>
      </c>
      <c r="N206" s="2" t="str">
        <f t="shared" si="12"/>
        <v>Peptide205: E2_7_1_121_mRNA -&gt; E2_7_1_121 | (0.278 * E2_7_1_121_mRNA) - (0.000000278 * E2_7_1_121)</v>
      </c>
    </row>
    <row r="207">
      <c r="A207" s="12">
        <v>206.0</v>
      </c>
      <c r="B207" s="2" t="s">
        <v>25131</v>
      </c>
      <c r="C207" s="2" t="str">
        <f t="shared" si="3"/>
        <v>E2_7_1_148_mRNA</v>
      </c>
      <c r="D207" s="2" t="str">
        <f t="shared" si="4"/>
        <v>E2_7_1_148</v>
      </c>
      <c r="E207" s="2" t="str">
        <f t="shared" si="5"/>
        <v>E2_7_1_148_kcat : 13.7</v>
      </c>
      <c r="F207" s="2" t="str">
        <f t="shared" si="6"/>
        <v>E2_7_1_148_km : 1</v>
      </c>
      <c r="G207" s="2" t="str">
        <f t="shared" ref="G207:H207" si="419">CONCATENATE(C207," : ",C207)</f>
        <v>E2_7_1_148_mRNA : E2_7_1_148_mRNA</v>
      </c>
      <c r="H207" s="2" t="str">
        <f t="shared" si="419"/>
        <v>E2_7_1_148 : E2_7_1_148</v>
      </c>
      <c r="I207" s="2" t="str">
        <f t="shared" ref="I207:J207" si="420">CONCATENATE(C207," : ","0")</f>
        <v>E2_7_1_148_mRNA : 0</v>
      </c>
      <c r="J207" s="2" t="str">
        <f t="shared" si="420"/>
        <v>E2_7_1_148 : 0</v>
      </c>
      <c r="K207" s="2" t="str">
        <f t="shared" si="9"/>
        <v>0.00292 - (0.0093 * E2_7_1_148_mRNA)</v>
      </c>
      <c r="L207" s="2" t="str">
        <f t="shared" si="10"/>
        <v>(0.278 * E2_7_1_148_mRNA) - (0.00000278 * E2_7_1_148)</v>
      </c>
      <c r="M207" s="2" t="str">
        <f t="shared" si="11"/>
        <v>mRNA206: -&gt; E2_7_1_148_mRNA | 0.00292 - (0.0093 * E2_7_1_148_mRNA)</v>
      </c>
      <c r="N207" s="2" t="str">
        <f t="shared" si="12"/>
        <v>Peptide206: E2_7_1_148_mRNA -&gt; E2_7_1_148 | (0.278 * E2_7_1_148_mRNA) - (0.000000278 * E2_7_1_148)</v>
      </c>
    </row>
    <row r="208">
      <c r="A208" s="12">
        <v>207.0</v>
      </c>
      <c r="B208" s="2" t="s">
        <v>25132</v>
      </c>
      <c r="C208" s="2" t="str">
        <f t="shared" si="3"/>
        <v>E2_7_1_15_mRNA</v>
      </c>
      <c r="D208" s="2" t="str">
        <f t="shared" si="4"/>
        <v>E2_7_1_15</v>
      </c>
      <c r="E208" s="2" t="str">
        <f t="shared" si="5"/>
        <v>E2_7_1_15_kcat : 13.7</v>
      </c>
      <c r="F208" s="2" t="str">
        <f t="shared" si="6"/>
        <v>E2_7_1_15_km : 1</v>
      </c>
      <c r="G208" s="2" t="str">
        <f t="shared" ref="G208:H208" si="421">CONCATENATE(C208," : ",C208)</f>
        <v>E2_7_1_15_mRNA : E2_7_1_15_mRNA</v>
      </c>
      <c r="H208" s="2" t="str">
        <f t="shared" si="421"/>
        <v>E2_7_1_15 : E2_7_1_15</v>
      </c>
      <c r="I208" s="2" t="str">
        <f t="shared" ref="I208:J208" si="422">CONCATENATE(C208," : ","0")</f>
        <v>E2_7_1_15_mRNA : 0</v>
      </c>
      <c r="J208" s="2" t="str">
        <f t="shared" si="422"/>
        <v>E2_7_1_15 : 0</v>
      </c>
      <c r="K208" s="2" t="str">
        <f t="shared" si="9"/>
        <v>0.00292 - (0.0093 * E2_7_1_15_mRNA)</v>
      </c>
      <c r="L208" s="2" t="str">
        <f t="shared" si="10"/>
        <v>(0.278 * E2_7_1_15_mRNA) - (0.00000278 * E2_7_1_15)</v>
      </c>
      <c r="M208" s="2" t="str">
        <f t="shared" si="11"/>
        <v>mRNA207: -&gt; E2_7_1_15_mRNA | 0.00292 - (0.0093 * E2_7_1_15_mRNA)</v>
      </c>
      <c r="N208" s="2" t="str">
        <f t="shared" si="12"/>
        <v>Peptide207: E2_7_1_15_mRNA -&gt; E2_7_1_15 | (0.278 * E2_7_1_15_mRNA) - (0.000000278 * E2_7_1_15)</v>
      </c>
    </row>
    <row r="209">
      <c r="A209" s="12">
        <v>208.0</v>
      </c>
      <c r="B209" s="2" t="s">
        <v>25133</v>
      </c>
      <c r="C209" s="2" t="str">
        <f t="shared" si="3"/>
        <v>E2_7_1_170_mRNA</v>
      </c>
      <c r="D209" s="2" t="str">
        <f t="shared" si="4"/>
        <v>E2_7_1_170</v>
      </c>
      <c r="E209" s="2" t="str">
        <f t="shared" si="5"/>
        <v>E2_7_1_170_kcat : 13.7</v>
      </c>
      <c r="F209" s="2" t="str">
        <f t="shared" si="6"/>
        <v>E2_7_1_170_km : 1</v>
      </c>
      <c r="G209" s="2" t="str">
        <f t="shared" ref="G209:H209" si="423">CONCATENATE(C209," : ",C209)</f>
        <v>E2_7_1_170_mRNA : E2_7_1_170_mRNA</v>
      </c>
      <c r="H209" s="2" t="str">
        <f t="shared" si="423"/>
        <v>E2_7_1_170 : E2_7_1_170</v>
      </c>
      <c r="I209" s="2" t="str">
        <f t="shared" ref="I209:J209" si="424">CONCATENATE(C209," : ","0")</f>
        <v>E2_7_1_170_mRNA : 0</v>
      </c>
      <c r="J209" s="2" t="str">
        <f t="shared" si="424"/>
        <v>E2_7_1_170 : 0</v>
      </c>
      <c r="K209" s="2" t="str">
        <f t="shared" si="9"/>
        <v>0.00292 - (0.0093 * E2_7_1_170_mRNA)</v>
      </c>
      <c r="L209" s="2" t="str">
        <f t="shared" si="10"/>
        <v>(0.278 * E2_7_1_170_mRNA) - (0.00000278 * E2_7_1_170)</v>
      </c>
      <c r="M209" s="2" t="str">
        <f t="shared" si="11"/>
        <v>mRNA208: -&gt; E2_7_1_170_mRNA | 0.00292 - (0.0093 * E2_7_1_170_mRNA)</v>
      </c>
      <c r="N209" s="2" t="str">
        <f t="shared" si="12"/>
        <v>Peptide208: E2_7_1_170_mRNA -&gt; E2_7_1_170 | (0.278 * E2_7_1_170_mRNA) - (0.000000278 * E2_7_1_170)</v>
      </c>
    </row>
    <row r="210">
      <c r="A210" s="12">
        <v>209.0</v>
      </c>
      <c r="B210" s="2" t="s">
        <v>25134</v>
      </c>
      <c r="C210" s="2" t="str">
        <f t="shared" si="3"/>
        <v>E2_7_1_189_mRNA</v>
      </c>
      <c r="D210" s="2" t="str">
        <f t="shared" si="4"/>
        <v>E2_7_1_189</v>
      </c>
      <c r="E210" s="2" t="str">
        <f t="shared" si="5"/>
        <v>E2_7_1_189_kcat : 13.7</v>
      </c>
      <c r="F210" s="2" t="str">
        <f t="shared" si="6"/>
        <v>E2_7_1_189_km : 1</v>
      </c>
      <c r="G210" s="2" t="str">
        <f t="shared" ref="G210:H210" si="425">CONCATENATE(C210," : ",C210)</f>
        <v>E2_7_1_189_mRNA : E2_7_1_189_mRNA</v>
      </c>
      <c r="H210" s="2" t="str">
        <f t="shared" si="425"/>
        <v>E2_7_1_189 : E2_7_1_189</v>
      </c>
      <c r="I210" s="2" t="str">
        <f t="shared" ref="I210:J210" si="426">CONCATENATE(C210," : ","0")</f>
        <v>E2_7_1_189_mRNA : 0</v>
      </c>
      <c r="J210" s="2" t="str">
        <f t="shared" si="426"/>
        <v>E2_7_1_189 : 0</v>
      </c>
      <c r="K210" s="2" t="str">
        <f t="shared" si="9"/>
        <v>0.00292 - (0.0093 * E2_7_1_189_mRNA)</v>
      </c>
      <c r="L210" s="2" t="str">
        <f t="shared" si="10"/>
        <v>(0.278 * E2_7_1_189_mRNA) - (0.00000278 * E2_7_1_189)</v>
      </c>
      <c r="M210" s="2" t="str">
        <f t="shared" si="11"/>
        <v>mRNA209: -&gt; E2_7_1_189_mRNA | 0.00292 - (0.0093 * E2_7_1_189_mRNA)</v>
      </c>
      <c r="N210" s="2" t="str">
        <f t="shared" si="12"/>
        <v>Peptide209: E2_7_1_189_mRNA -&gt; E2_7_1_189 | (0.278 * E2_7_1_189_mRNA) - (0.000000278 * E2_7_1_189)</v>
      </c>
    </row>
    <row r="211">
      <c r="A211" s="12">
        <v>210.0</v>
      </c>
      <c r="B211" s="2" t="s">
        <v>25135</v>
      </c>
      <c r="C211" s="2" t="str">
        <f t="shared" si="3"/>
        <v>E2_7_1_193_mRNA</v>
      </c>
      <c r="D211" s="2" t="str">
        <f t="shared" si="4"/>
        <v>E2_7_1_193</v>
      </c>
      <c r="E211" s="2" t="str">
        <f t="shared" si="5"/>
        <v>E2_7_1_193_kcat : 13.7</v>
      </c>
      <c r="F211" s="2" t="str">
        <f t="shared" si="6"/>
        <v>E2_7_1_193_km : 1</v>
      </c>
      <c r="G211" s="2" t="str">
        <f t="shared" ref="G211:H211" si="427">CONCATENATE(C211," : ",C211)</f>
        <v>E2_7_1_193_mRNA : E2_7_1_193_mRNA</v>
      </c>
      <c r="H211" s="2" t="str">
        <f t="shared" si="427"/>
        <v>E2_7_1_193 : E2_7_1_193</v>
      </c>
      <c r="I211" s="2" t="str">
        <f t="shared" ref="I211:J211" si="428">CONCATENATE(C211," : ","0")</f>
        <v>E2_7_1_193_mRNA : 0</v>
      </c>
      <c r="J211" s="2" t="str">
        <f t="shared" si="428"/>
        <v>E2_7_1_193 : 0</v>
      </c>
      <c r="K211" s="2" t="str">
        <f t="shared" si="9"/>
        <v>0.00292 - (0.0093 * E2_7_1_193_mRNA)</v>
      </c>
      <c r="L211" s="2" t="str">
        <f t="shared" si="10"/>
        <v>(0.278 * E2_7_1_193_mRNA) - (0.00000278 * E2_7_1_193)</v>
      </c>
      <c r="M211" s="2" t="str">
        <f t="shared" si="11"/>
        <v>mRNA210: -&gt; E2_7_1_193_mRNA | 0.00292 - (0.0093 * E2_7_1_193_mRNA)</v>
      </c>
      <c r="N211" s="2" t="str">
        <f t="shared" si="12"/>
        <v>Peptide210: E2_7_1_193_mRNA -&gt; E2_7_1_193 | (0.278 * E2_7_1_193_mRNA) - (0.000000278 * E2_7_1_193)</v>
      </c>
    </row>
    <row r="212">
      <c r="A212" s="12">
        <v>211.0</v>
      </c>
      <c r="B212" s="2" t="s">
        <v>25136</v>
      </c>
      <c r="C212" s="2" t="str">
        <f t="shared" si="3"/>
        <v>E2_7_1_199_mRNA</v>
      </c>
      <c r="D212" s="2" t="str">
        <f t="shared" si="4"/>
        <v>E2_7_1_199</v>
      </c>
      <c r="E212" s="2" t="str">
        <f t="shared" si="5"/>
        <v>E2_7_1_199_kcat : 13.7</v>
      </c>
      <c r="F212" s="2" t="str">
        <f t="shared" si="6"/>
        <v>E2_7_1_199_km : 1</v>
      </c>
      <c r="G212" s="2" t="str">
        <f t="shared" ref="G212:H212" si="429">CONCATENATE(C212," : ",C212)</f>
        <v>E2_7_1_199_mRNA : E2_7_1_199_mRNA</v>
      </c>
      <c r="H212" s="2" t="str">
        <f t="shared" si="429"/>
        <v>E2_7_1_199 : E2_7_1_199</v>
      </c>
      <c r="I212" s="2" t="str">
        <f t="shared" ref="I212:J212" si="430">CONCATENATE(C212," : ","0")</f>
        <v>E2_7_1_199_mRNA : 0</v>
      </c>
      <c r="J212" s="2" t="str">
        <f t="shared" si="430"/>
        <v>E2_7_1_199 : 0</v>
      </c>
      <c r="K212" s="2" t="str">
        <f t="shared" si="9"/>
        <v>0.00292 - (0.0093 * E2_7_1_199_mRNA)</v>
      </c>
      <c r="L212" s="2" t="str">
        <f t="shared" si="10"/>
        <v>(0.278 * E2_7_1_199_mRNA) - (0.00000278 * E2_7_1_199)</v>
      </c>
      <c r="M212" s="2" t="str">
        <f t="shared" si="11"/>
        <v>mRNA211: -&gt; E2_7_1_199_mRNA | 0.00292 - (0.0093 * E2_7_1_199_mRNA)</v>
      </c>
      <c r="N212" s="2" t="str">
        <f t="shared" si="12"/>
        <v>Peptide211: E2_7_1_199_mRNA -&gt; E2_7_1_199 | (0.278 * E2_7_1_199_mRNA) - (0.000000278 * E2_7_1_199)</v>
      </c>
    </row>
    <row r="213">
      <c r="A213" s="12">
        <v>212.0</v>
      </c>
      <c r="B213" s="2" t="s">
        <v>25137</v>
      </c>
      <c r="C213" s="2" t="str">
        <f t="shared" si="3"/>
        <v>E2_7_1_2_mRNA</v>
      </c>
      <c r="D213" s="2" t="str">
        <f t="shared" si="4"/>
        <v>E2_7_1_2</v>
      </c>
      <c r="E213" s="2" t="str">
        <f t="shared" si="5"/>
        <v>E2_7_1_2_kcat : 13.7</v>
      </c>
      <c r="F213" s="2" t="str">
        <f t="shared" si="6"/>
        <v>E2_7_1_2_km : 1</v>
      </c>
      <c r="G213" s="2" t="str">
        <f t="shared" ref="G213:H213" si="431">CONCATENATE(C213," : ",C213)</f>
        <v>E2_7_1_2_mRNA : E2_7_1_2_mRNA</v>
      </c>
      <c r="H213" s="2" t="str">
        <f t="shared" si="431"/>
        <v>E2_7_1_2 : E2_7_1_2</v>
      </c>
      <c r="I213" s="2" t="str">
        <f t="shared" ref="I213:J213" si="432">CONCATENATE(C213," : ","0")</f>
        <v>E2_7_1_2_mRNA : 0</v>
      </c>
      <c r="J213" s="2" t="str">
        <f t="shared" si="432"/>
        <v>E2_7_1_2 : 0</v>
      </c>
      <c r="K213" s="2" t="str">
        <f t="shared" si="9"/>
        <v>0.00292 - (0.0093 * E2_7_1_2_mRNA)</v>
      </c>
      <c r="L213" s="2" t="str">
        <f t="shared" si="10"/>
        <v>(0.278 * E2_7_1_2_mRNA) - (0.00000278 * E2_7_1_2)</v>
      </c>
      <c r="M213" s="2" t="str">
        <f t="shared" si="11"/>
        <v>mRNA212: -&gt; E2_7_1_2_mRNA | 0.00292 - (0.0093 * E2_7_1_2_mRNA)</v>
      </c>
      <c r="N213" s="2" t="str">
        <f t="shared" si="12"/>
        <v>Peptide212: E2_7_1_2_mRNA -&gt; E2_7_1_2 | (0.278 * E2_7_1_2_mRNA) - (0.000000278 * E2_7_1_2)</v>
      </c>
    </row>
    <row r="214">
      <c r="A214" s="12">
        <v>213.0</v>
      </c>
      <c r="B214" s="2" t="s">
        <v>25138</v>
      </c>
      <c r="C214" s="2" t="str">
        <f t="shared" si="3"/>
        <v>E2_7_1_201_mRNA</v>
      </c>
      <c r="D214" s="2" t="str">
        <f t="shared" si="4"/>
        <v>E2_7_1_201</v>
      </c>
      <c r="E214" s="2" t="str">
        <f t="shared" si="5"/>
        <v>E2_7_1_201_kcat : 13.7</v>
      </c>
      <c r="F214" s="2" t="str">
        <f t="shared" si="6"/>
        <v>E2_7_1_201_km : 1</v>
      </c>
      <c r="G214" s="2" t="str">
        <f t="shared" ref="G214:H214" si="433">CONCATENATE(C214," : ",C214)</f>
        <v>E2_7_1_201_mRNA : E2_7_1_201_mRNA</v>
      </c>
      <c r="H214" s="2" t="str">
        <f t="shared" si="433"/>
        <v>E2_7_1_201 : E2_7_1_201</v>
      </c>
      <c r="I214" s="2" t="str">
        <f t="shared" ref="I214:J214" si="434">CONCATENATE(C214," : ","0")</f>
        <v>E2_7_1_201_mRNA : 0</v>
      </c>
      <c r="J214" s="2" t="str">
        <f t="shared" si="434"/>
        <v>E2_7_1_201 : 0</v>
      </c>
      <c r="K214" s="2" t="str">
        <f t="shared" si="9"/>
        <v>0.00292 - (0.0093 * E2_7_1_201_mRNA)</v>
      </c>
      <c r="L214" s="2" t="str">
        <f t="shared" si="10"/>
        <v>(0.278 * E2_7_1_201_mRNA) - (0.00000278 * E2_7_1_201)</v>
      </c>
      <c r="M214" s="2" t="str">
        <f t="shared" si="11"/>
        <v>mRNA213: -&gt; E2_7_1_201_mRNA | 0.00292 - (0.0093 * E2_7_1_201_mRNA)</v>
      </c>
      <c r="N214" s="2" t="str">
        <f t="shared" si="12"/>
        <v>Peptide213: E2_7_1_201_mRNA -&gt; E2_7_1_201 | (0.278 * E2_7_1_201_mRNA) - (0.000000278 * E2_7_1_201)</v>
      </c>
    </row>
    <row r="215">
      <c r="A215" s="12">
        <v>214.0</v>
      </c>
      <c r="B215" s="2" t="s">
        <v>25139</v>
      </c>
      <c r="C215" s="2" t="str">
        <f t="shared" si="3"/>
        <v>E2_7_1_205_mRNA</v>
      </c>
      <c r="D215" s="2" t="str">
        <f t="shared" si="4"/>
        <v>E2_7_1_205</v>
      </c>
      <c r="E215" s="2" t="str">
        <f t="shared" si="5"/>
        <v>E2_7_1_205_kcat : 13.7</v>
      </c>
      <c r="F215" s="2" t="str">
        <f t="shared" si="6"/>
        <v>E2_7_1_205_km : 1</v>
      </c>
      <c r="G215" s="2" t="str">
        <f t="shared" ref="G215:H215" si="435">CONCATENATE(C215," : ",C215)</f>
        <v>E2_7_1_205_mRNA : E2_7_1_205_mRNA</v>
      </c>
      <c r="H215" s="2" t="str">
        <f t="shared" si="435"/>
        <v>E2_7_1_205 : E2_7_1_205</v>
      </c>
      <c r="I215" s="2" t="str">
        <f t="shared" ref="I215:J215" si="436">CONCATENATE(C215," : ","0")</f>
        <v>E2_7_1_205_mRNA : 0</v>
      </c>
      <c r="J215" s="2" t="str">
        <f t="shared" si="436"/>
        <v>E2_7_1_205 : 0</v>
      </c>
      <c r="K215" s="2" t="str">
        <f t="shared" si="9"/>
        <v>0.00292 - (0.0093 * E2_7_1_205_mRNA)</v>
      </c>
      <c r="L215" s="2" t="str">
        <f t="shared" si="10"/>
        <v>(0.278 * E2_7_1_205_mRNA) - (0.00000278 * E2_7_1_205)</v>
      </c>
      <c r="M215" s="2" t="str">
        <f t="shared" si="11"/>
        <v>mRNA214: -&gt; E2_7_1_205_mRNA | 0.00292 - (0.0093 * E2_7_1_205_mRNA)</v>
      </c>
      <c r="N215" s="2" t="str">
        <f t="shared" si="12"/>
        <v>Peptide214: E2_7_1_205_mRNA -&gt; E2_7_1_205 | (0.278 * E2_7_1_205_mRNA) - (0.000000278 * E2_7_1_205)</v>
      </c>
    </row>
    <row r="216">
      <c r="A216" s="12">
        <v>215.0</v>
      </c>
      <c r="B216" s="2" t="s">
        <v>25140</v>
      </c>
      <c r="C216" s="2" t="str">
        <f t="shared" si="3"/>
        <v>E2_7_1_21_mRNA</v>
      </c>
      <c r="D216" s="2" t="str">
        <f t="shared" si="4"/>
        <v>E2_7_1_21</v>
      </c>
      <c r="E216" s="2" t="str">
        <f t="shared" si="5"/>
        <v>E2_7_1_21_kcat : 13.7</v>
      </c>
      <c r="F216" s="2" t="str">
        <f t="shared" si="6"/>
        <v>E2_7_1_21_km : 1</v>
      </c>
      <c r="G216" s="2" t="str">
        <f t="shared" ref="G216:H216" si="437">CONCATENATE(C216," : ",C216)</f>
        <v>E2_7_1_21_mRNA : E2_7_1_21_mRNA</v>
      </c>
      <c r="H216" s="2" t="str">
        <f t="shared" si="437"/>
        <v>E2_7_1_21 : E2_7_1_21</v>
      </c>
      <c r="I216" s="2" t="str">
        <f t="shared" ref="I216:J216" si="438">CONCATENATE(C216," : ","0")</f>
        <v>E2_7_1_21_mRNA : 0</v>
      </c>
      <c r="J216" s="2" t="str">
        <f t="shared" si="438"/>
        <v>E2_7_1_21 : 0</v>
      </c>
      <c r="K216" s="2" t="str">
        <f t="shared" si="9"/>
        <v>0.00292 - (0.0093 * E2_7_1_21_mRNA)</v>
      </c>
      <c r="L216" s="2" t="str">
        <f t="shared" si="10"/>
        <v>(0.278 * E2_7_1_21_mRNA) - (0.00000278 * E2_7_1_21)</v>
      </c>
      <c r="M216" s="2" t="str">
        <f t="shared" si="11"/>
        <v>mRNA215: -&gt; E2_7_1_21_mRNA | 0.00292 - (0.0093 * E2_7_1_21_mRNA)</v>
      </c>
      <c r="N216" s="2" t="str">
        <f t="shared" si="12"/>
        <v>Peptide215: E2_7_1_21_mRNA -&gt; E2_7_1_21 | (0.278 * E2_7_1_21_mRNA) - (0.000000278 * E2_7_1_21)</v>
      </c>
    </row>
    <row r="217">
      <c r="A217" s="12">
        <v>216.0</v>
      </c>
      <c r="B217" s="2" t="s">
        <v>25141</v>
      </c>
      <c r="C217" s="2" t="str">
        <f t="shared" si="3"/>
        <v>E2_7_1_211_mRNA</v>
      </c>
      <c r="D217" s="2" t="str">
        <f t="shared" si="4"/>
        <v>E2_7_1_211</v>
      </c>
      <c r="E217" s="2" t="str">
        <f t="shared" si="5"/>
        <v>E2_7_1_211_kcat : 13.7</v>
      </c>
      <c r="F217" s="2" t="str">
        <f t="shared" si="6"/>
        <v>E2_7_1_211_km : 1</v>
      </c>
      <c r="G217" s="2" t="str">
        <f t="shared" ref="G217:H217" si="439">CONCATENATE(C217," : ",C217)</f>
        <v>E2_7_1_211_mRNA : E2_7_1_211_mRNA</v>
      </c>
      <c r="H217" s="2" t="str">
        <f t="shared" si="439"/>
        <v>E2_7_1_211 : E2_7_1_211</v>
      </c>
      <c r="I217" s="2" t="str">
        <f t="shared" ref="I217:J217" si="440">CONCATENATE(C217," : ","0")</f>
        <v>E2_7_1_211_mRNA : 0</v>
      </c>
      <c r="J217" s="2" t="str">
        <f t="shared" si="440"/>
        <v>E2_7_1_211 : 0</v>
      </c>
      <c r="K217" s="2" t="str">
        <f t="shared" si="9"/>
        <v>0.00292 - (0.0093 * E2_7_1_211_mRNA)</v>
      </c>
      <c r="L217" s="2" t="str">
        <f t="shared" si="10"/>
        <v>(0.278 * E2_7_1_211_mRNA) - (0.00000278 * E2_7_1_211)</v>
      </c>
      <c r="M217" s="2" t="str">
        <f t="shared" si="11"/>
        <v>mRNA216: -&gt; E2_7_1_211_mRNA | 0.00292 - (0.0093 * E2_7_1_211_mRNA)</v>
      </c>
      <c r="N217" s="2" t="str">
        <f t="shared" si="12"/>
        <v>Peptide216: E2_7_1_211_mRNA -&gt; E2_7_1_211 | (0.278 * E2_7_1_211_mRNA) - (0.000000278 * E2_7_1_211)</v>
      </c>
    </row>
    <row r="218">
      <c r="A218" s="12">
        <v>217.0</v>
      </c>
      <c r="B218" s="2" t="s">
        <v>25142</v>
      </c>
      <c r="C218" s="2" t="str">
        <f t="shared" si="3"/>
        <v>E2_7_1_23_mRNA</v>
      </c>
      <c r="D218" s="2" t="str">
        <f t="shared" si="4"/>
        <v>E2_7_1_23</v>
      </c>
      <c r="E218" s="2" t="str">
        <f t="shared" si="5"/>
        <v>E2_7_1_23_kcat : 13.7</v>
      </c>
      <c r="F218" s="2" t="str">
        <f t="shared" si="6"/>
        <v>E2_7_1_23_km : 1</v>
      </c>
      <c r="G218" s="2" t="str">
        <f t="shared" ref="G218:H218" si="441">CONCATENATE(C218," : ",C218)</f>
        <v>E2_7_1_23_mRNA : E2_7_1_23_mRNA</v>
      </c>
      <c r="H218" s="2" t="str">
        <f t="shared" si="441"/>
        <v>E2_7_1_23 : E2_7_1_23</v>
      </c>
      <c r="I218" s="2" t="str">
        <f t="shared" ref="I218:J218" si="442">CONCATENATE(C218," : ","0")</f>
        <v>E2_7_1_23_mRNA : 0</v>
      </c>
      <c r="J218" s="2" t="str">
        <f t="shared" si="442"/>
        <v>E2_7_1_23 : 0</v>
      </c>
      <c r="K218" s="2" t="str">
        <f t="shared" si="9"/>
        <v>0.00292 - (0.0093 * E2_7_1_23_mRNA)</v>
      </c>
      <c r="L218" s="2" t="str">
        <f t="shared" si="10"/>
        <v>(0.278 * E2_7_1_23_mRNA) - (0.00000278 * E2_7_1_23)</v>
      </c>
      <c r="M218" s="2" t="str">
        <f t="shared" si="11"/>
        <v>mRNA217: -&gt; E2_7_1_23_mRNA | 0.00292 - (0.0093 * E2_7_1_23_mRNA)</v>
      </c>
      <c r="N218" s="2" t="str">
        <f t="shared" si="12"/>
        <v>Peptide217: E2_7_1_23_mRNA -&gt; E2_7_1_23 | (0.278 * E2_7_1_23_mRNA) - (0.000000278 * E2_7_1_23)</v>
      </c>
    </row>
    <row r="219">
      <c r="A219" s="12">
        <v>218.0</v>
      </c>
      <c r="B219" s="2" t="s">
        <v>25143</v>
      </c>
      <c r="C219" s="2" t="str">
        <f t="shared" si="3"/>
        <v>E2_7_1_24_mRNA</v>
      </c>
      <c r="D219" s="2" t="str">
        <f t="shared" si="4"/>
        <v>E2_7_1_24</v>
      </c>
      <c r="E219" s="2" t="str">
        <f t="shared" si="5"/>
        <v>E2_7_1_24_kcat : 13.7</v>
      </c>
      <c r="F219" s="2" t="str">
        <f t="shared" si="6"/>
        <v>E2_7_1_24_km : 1</v>
      </c>
      <c r="G219" s="2" t="str">
        <f t="shared" ref="G219:H219" si="443">CONCATENATE(C219," : ",C219)</f>
        <v>E2_7_1_24_mRNA : E2_7_1_24_mRNA</v>
      </c>
      <c r="H219" s="2" t="str">
        <f t="shared" si="443"/>
        <v>E2_7_1_24 : E2_7_1_24</v>
      </c>
      <c r="I219" s="2" t="str">
        <f t="shared" ref="I219:J219" si="444">CONCATENATE(C219," : ","0")</f>
        <v>E2_7_1_24_mRNA : 0</v>
      </c>
      <c r="J219" s="2" t="str">
        <f t="shared" si="444"/>
        <v>E2_7_1_24 : 0</v>
      </c>
      <c r="K219" s="2" t="str">
        <f t="shared" si="9"/>
        <v>0.00292 - (0.0093 * E2_7_1_24_mRNA)</v>
      </c>
      <c r="L219" s="2" t="str">
        <f t="shared" si="10"/>
        <v>(0.278 * E2_7_1_24_mRNA) - (0.00000278 * E2_7_1_24)</v>
      </c>
      <c r="M219" s="2" t="str">
        <f t="shared" si="11"/>
        <v>mRNA218: -&gt; E2_7_1_24_mRNA | 0.00292 - (0.0093 * E2_7_1_24_mRNA)</v>
      </c>
      <c r="N219" s="2" t="str">
        <f t="shared" si="12"/>
        <v>Peptide218: E2_7_1_24_mRNA -&gt; E2_7_1_24 | (0.278 * E2_7_1_24_mRNA) - (0.000000278 * E2_7_1_24)</v>
      </c>
    </row>
    <row r="220">
      <c r="A220" s="12">
        <v>219.0</v>
      </c>
      <c r="B220" s="2" t="s">
        <v>25144</v>
      </c>
      <c r="C220" s="2" t="str">
        <f t="shared" si="3"/>
        <v>E2_7_1_25_mRNA</v>
      </c>
      <c r="D220" s="2" t="str">
        <f t="shared" si="4"/>
        <v>E2_7_1_25</v>
      </c>
      <c r="E220" s="2" t="str">
        <f t="shared" si="5"/>
        <v>E2_7_1_25_kcat : 13.7</v>
      </c>
      <c r="F220" s="2" t="str">
        <f t="shared" si="6"/>
        <v>E2_7_1_25_km : 1</v>
      </c>
      <c r="G220" s="2" t="str">
        <f t="shared" ref="G220:H220" si="445">CONCATENATE(C220," : ",C220)</f>
        <v>E2_7_1_25_mRNA : E2_7_1_25_mRNA</v>
      </c>
      <c r="H220" s="2" t="str">
        <f t="shared" si="445"/>
        <v>E2_7_1_25 : E2_7_1_25</v>
      </c>
      <c r="I220" s="2" t="str">
        <f t="shared" ref="I220:J220" si="446">CONCATENATE(C220," : ","0")</f>
        <v>E2_7_1_25_mRNA : 0</v>
      </c>
      <c r="J220" s="2" t="str">
        <f t="shared" si="446"/>
        <v>E2_7_1_25 : 0</v>
      </c>
      <c r="K220" s="2" t="str">
        <f t="shared" si="9"/>
        <v>0.00292 - (0.0093 * E2_7_1_25_mRNA)</v>
      </c>
      <c r="L220" s="2" t="str">
        <f t="shared" si="10"/>
        <v>(0.278 * E2_7_1_25_mRNA) - (0.00000278 * E2_7_1_25)</v>
      </c>
      <c r="M220" s="2" t="str">
        <f t="shared" si="11"/>
        <v>mRNA219: -&gt; E2_7_1_25_mRNA | 0.00292 - (0.0093 * E2_7_1_25_mRNA)</v>
      </c>
      <c r="N220" s="2" t="str">
        <f t="shared" si="12"/>
        <v>Peptide219: E2_7_1_25_mRNA -&gt; E2_7_1_25 | (0.278 * E2_7_1_25_mRNA) - (0.000000278 * E2_7_1_25)</v>
      </c>
    </row>
    <row r="221">
      <c r="A221" s="12">
        <v>220.0</v>
      </c>
      <c r="B221" s="2" t="s">
        <v>25145</v>
      </c>
      <c r="C221" s="2" t="str">
        <f t="shared" si="3"/>
        <v>E2_7_1_26_mRNA</v>
      </c>
      <c r="D221" s="2" t="str">
        <f t="shared" si="4"/>
        <v>E2_7_1_26</v>
      </c>
      <c r="E221" s="2" t="str">
        <f t="shared" si="5"/>
        <v>E2_7_1_26_kcat : 13.7</v>
      </c>
      <c r="F221" s="2" t="str">
        <f t="shared" si="6"/>
        <v>E2_7_1_26_km : 1</v>
      </c>
      <c r="G221" s="2" t="str">
        <f t="shared" ref="G221:H221" si="447">CONCATENATE(C221," : ",C221)</f>
        <v>E2_7_1_26_mRNA : E2_7_1_26_mRNA</v>
      </c>
      <c r="H221" s="2" t="str">
        <f t="shared" si="447"/>
        <v>E2_7_1_26 : E2_7_1_26</v>
      </c>
      <c r="I221" s="2" t="str">
        <f t="shared" ref="I221:J221" si="448">CONCATENATE(C221," : ","0")</f>
        <v>E2_7_1_26_mRNA : 0</v>
      </c>
      <c r="J221" s="2" t="str">
        <f t="shared" si="448"/>
        <v>E2_7_1_26 : 0</v>
      </c>
      <c r="K221" s="2" t="str">
        <f t="shared" si="9"/>
        <v>0.00292 - (0.0093 * E2_7_1_26_mRNA)</v>
      </c>
      <c r="L221" s="2" t="str">
        <f t="shared" si="10"/>
        <v>(0.278 * E2_7_1_26_mRNA) - (0.00000278 * E2_7_1_26)</v>
      </c>
      <c r="M221" s="2" t="str">
        <f t="shared" si="11"/>
        <v>mRNA220: -&gt; E2_7_1_26_mRNA | 0.00292 - (0.0093 * E2_7_1_26_mRNA)</v>
      </c>
      <c r="N221" s="2" t="str">
        <f t="shared" si="12"/>
        <v>Peptide220: E2_7_1_26_mRNA -&gt; E2_7_1_26 | (0.278 * E2_7_1_26_mRNA) - (0.000000278 * E2_7_1_26)</v>
      </c>
    </row>
    <row r="222">
      <c r="A222" s="12">
        <v>221.0</v>
      </c>
      <c r="B222" s="2" t="s">
        <v>25146</v>
      </c>
      <c r="C222" s="2" t="str">
        <f t="shared" si="3"/>
        <v>E2_7_1_30_mRNA</v>
      </c>
      <c r="D222" s="2" t="str">
        <f t="shared" si="4"/>
        <v>E2_7_1_30</v>
      </c>
      <c r="E222" s="2" t="str">
        <f t="shared" si="5"/>
        <v>E2_7_1_30_kcat : 13.7</v>
      </c>
      <c r="F222" s="2" t="str">
        <f t="shared" si="6"/>
        <v>E2_7_1_30_km : 1</v>
      </c>
      <c r="G222" s="2" t="str">
        <f t="shared" ref="G222:H222" si="449">CONCATENATE(C222," : ",C222)</f>
        <v>E2_7_1_30_mRNA : E2_7_1_30_mRNA</v>
      </c>
      <c r="H222" s="2" t="str">
        <f t="shared" si="449"/>
        <v>E2_7_1_30 : E2_7_1_30</v>
      </c>
      <c r="I222" s="2" t="str">
        <f t="shared" ref="I222:J222" si="450">CONCATENATE(C222," : ","0")</f>
        <v>E2_7_1_30_mRNA : 0</v>
      </c>
      <c r="J222" s="2" t="str">
        <f t="shared" si="450"/>
        <v>E2_7_1_30 : 0</v>
      </c>
      <c r="K222" s="2" t="str">
        <f t="shared" si="9"/>
        <v>0.00292 - (0.0093 * E2_7_1_30_mRNA)</v>
      </c>
      <c r="L222" s="2" t="str">
        <f t="shared" si="10"/>
        <v>(0.278 * E2_7_1_30_mRNA) - (0.00000278 * E2_7_1_30)</v>
      </c>
      <c r="M222" s="2" t="str">
        <f t="shared" si="11"/>
        <v>mRNA221: -&gt; E2_7_1_30_mRNA | 0.00292 - (0.0093 * E2_7_1_30_mRNA)</v>
      </c>
      <c r="N222" s="2" t="str">
        <f t="shared" si="12"/>
        <v>Peptide221: E2_7_1_30_mRNA -&gt; E2_7_1_30 | (0.278 * E2_7_1_30_mRNA) - (0.000000278 * E2_7_1_30)</v>
      </c>
    </row>
    <row r="223">
      <c r="A223" s="12">
        <v>222.0</v>
      </c>
      <c r="B223" s="2" t="s">
        <v>25147</v>
      </c>
      <c r="C223" s="2" t="str">
        <f t="shared" si="3"/>
        <v>E2_7_1_31_mRNA</v>
      </c>
      <c r="D223" s="2" t="str">
        <f t="shared" si="4"/>
        <v>E2_7_1_31</v>
      </c>
      <c r="E223" s="2" t="str">
        <f t="shared" si="5"/>
        <v>E2_7_1_31_kcat : 13.7</v>
      </c>
      <c r="F223" s="2" t="str">
        <f t="shared" si="6"/>
        <v>E2_7_1_31_km : 1</v>
      </c>
      <c r="G223" s="2" t="str">
        <f t="shared" ref="G223:H223" si="451">CONCATENATE(C223," : ",C223)</f>
        <v>E2_7_1_31_mRNA : E2_7_1_31_mRNA</v>
      </c>
      <c r="H223" s="2" t="str">
        <f t="shared" si="451"/>
        <v>E2_7_1_31 : E2_7_1_31</v>
      </c>
      <c r="I223" s="2" t="str">
        <f t="shared" ref="I223:J223" si="452">CONCATENATE(C223," : ","0")</f>
        <v>E2_7_1_31_mRNA : 0</v>
      </c>
      <c r="J223" s="2" t="str">
        <f t="shared" si="452"/>
        <v>E2_7_1_31 : 0</v>
      </c>
      <c r="K223" s="2" t="str">
        <f t="shared" si="9"/>
        <v>0.00292 - (0.0093 * E2_7_1_31_mRNA)</v>
      </c>
      <c r="L223" s="2" t="str">
        <f t="shared" si="10"/>
        <v>(0.278 * E2_7_1_31_mRNA) - (0.00000278 * E2_7_1_31)</v>
      </c>
      <c r="M223" s="2" t="str">
        <f t="shared" si="11"/>
        <v>mRNA222: -&gt; E2_7_1_31_mRNA | 0.00292 - (0.0093 * E2_7_1_31_mRNA)</v>
      </c>
      <c r="N223" s="2" t="str">
        <f t="shared" si="12"/>
        <v>Peptide222: E2_7_1_31_mRNA -&gt; E2_7_1_31 | (0.278 * E2_7_1_31_mRNA) - (0.000000278 * E2_7_1_31)</v>
      </c>
    </row>
    <row r="224">
      <c r="A224" s="12">
        <v>223.0</v>
      </c>
      <c r="B224" s="2" t="s">
        <v>25148</v>
      </c>
      <c r="C224" s="2" t="str">
        <f t="shared" si="3"/>
        <v>E2_7_1_33_mRNA</v>
      </c>
      <c r="D224" s="2" t="str">
        <f t="shared" si="4"/>
        <v>E2_7_1_33</v>
      </c>
      <c r="E224" s="2" t="str">
        <f t="shared" si="5"/>
        <v>E2_7_1_33_kcat : 13.7</v>
      </c>
      <c r="F224" s="2" t="str">
        <f t="shared" si="6"/>
        <v>E2_7_1_33_km : 1</v>
      </c>
      <c r="G224" s="2" t="str">
        <f t="shared" ref="G224:H224" si="453">CONCATENATE(C224," : ",C224)</f>
        <v>E2_7_1_33_mRNA : E2_7_1_33_mRNA</v>
      </c>
      <c r="H224" s="2" t="str">
        <f t="shared" si="453"/>
        <v>E2_7_1_33 : E2_7_1_33</v>
      </c>
      <c r="I224" s="2" t="str">
        <f t="shared" ref="I224:J224" si="454">CONCATENATE(C224," : ","0")</f>
        <v>E2_7_1_33_mRNA : 0</v>
      </c>
      <c r="J224" s="2" t="str">
        <f t="shared" si="454"/>
        <v>E2_7_1_33 : 0</v>
      </c>
      <c r="K224" s="2" t="str">
        <f t="shared" si="9"/>
        <v>0.00292 - (0.0093 * E2_7_1_33_mRNA)</v>
      </c>
      <c r="L224" s="2" t="str">
        <f t="shared" si="10"/>
        <v>(0.278 * E2_7_1_33_mRNA) - (0.00000278 * E2_7_1_33)</v>
      </c>
      <c r="M224" s="2" t="str">
        <f t="shared" si="11"/>
        <v>mRNA223: -&gt; E2_7_1_33_mRNA | 0.00292 - (0.0093 * E2_7_1_33_mRNA)</v>
      </c>
      <c r="N224" s="2" t="str">
        <f t="shared" si="12"/>
        <v>Peptide223: E2_7_1_33_mRNA -&gt; E2_7_1_33 | (0.278 * E2_7_1_33_mRNA) - (0.000000278 * E2_7_1_33)</v>
      </c>
    </row>
    <row r="225">
      <c r="A225" s="12">
        <v>224.0</v>
      </c>
      <c r="B225" s="2" t="s">
        <v>25149</v>
      </c>
      <c r="C225" s="2" t="str">
        <f t="shared" si="3"/>
        <v>E2_7_1_39_mRNA</v>
      </c>
      <c r="D225" s="2" t="str">
        <f t="shared" si="4"/>
        <v>E2_7_1_39</v>
      </c>
      <c r="E225" s="2" t="str">
        <f t="shared" si="5"/>
        <v>E2_7_1_39_kcat : 13.7</v>
      </c>
      <c r="F225" s="2" t="str">
        <f t="shared" si="6"/>
        <v>E2_7_1_39_km : 1</v>
      </c>
      <c r="G225" s="2" t="str">
        <f t="shared" ref="G225:H225" si="455">CONCATENATE(C225," : ",C225)</f>
        <v>E2_7_1_39_mRNA : E2_7_1_39_mRNA</v>
      </c>
      <c r="H225" s="2" t="str">
        <f t="shared" si="455"/>
        <v>E2_7_1_39 : E2_7_1_39</v>
      </c>
      <c r="I225" s="2" t="str">
        <f t="shared" ref="I225:J225" si="456">CONCATENATE(C225," : ","0")</f>
        <v>E2_7_1_39_mRNA : 0</v>
      </c>
      <c r="J225" s="2" t="str">
        <f t="shared" si="456"/>
        <v>E2_7_1_39 : 0</v>
      </c>
      <c r="K225" s="2" t="str">
        <f t="shared" si="9"/>
        <v>0.00292 - (0.0093 * E2_7_1_39_mRNA)</v>
      </c>
      <c r="L225" s="2" t="str">
        <f t="shared" si="10"/>
        <v>(0.278 * E2_7_1_39_mRNA) - (0.00000278 * E2_7_1_39)</v>
      </c>
      <c r="M225" s="2" t="str">
        <f t="shared" si="11"/>
        <v>mRNA224: -&gt; E2_7_1_39_mRNA | 0.00292 - (0.0093 * E2_7_1_39_mRNA)</v>
      </c>
      <c r="N225" s="2" t="str">
        <f t="shared" si="12"/>
        <v>Peptide224: E2_7_1_39_mRNA -&gt; E2_7_1_39 | (0.278 * E2_7_1_39_mRNA) - (0.000000278 * E2_7_1_39)</v>
      </c>
    </row>
    <row r="226">
      <c r="A226" s="12">
        <v>225.0</v>
      </c>
      <c r="B226" s="2" t="s">
        <v>25150</v>
      </c>
      <c r="C226" s="2" t="str">
        <f t="shared" si="3"/>
        <v>E2_7_1_40_mRNA</v>
      </c>
      <c r="D226" s="2" t="str">
        <f t="shared" si="4"/>
        <v>E2_7_1_40</v>
      </c>
      <c r="E226" s="2" t="str">
        <f t="shared" si="5"/>
        <v>E2_7_1_40_kcat : 13.7</v>
      </c>
      <c r="F226" s="2" t="str">
        <f t="shared" si="6"/>
        <v>E2_7_1_40_km : 1</v>
      </c>
      <c r="G226" s="2" t="str">
        <f t="shared" ref="G226:H226" si="457">CONCATENATE(C226," : ",C226)</f>
        <v>E2_7_1_40_mRNA : E2_7_1_40_mRNA</v>
      </c>
      <c r="H226" s="2" t="str">
        <f t="shared" si="457"/>
        <v>E2_7_1_40 : E2_7_1_40</v>
      </c>
      <c r="I226" s="2" t="str">
        <f t="shared" ref="I226:J226" si="458">CONCATENATE(C226," : ","0")</f>
        <v>E2_7_1_40_mRNA : 0</v>
      </c>
      <c r="J226" s="2" t="str">
        <f t="shared" si="458"/>
        <v>E2_7_1_40 : 0</v>
      </c>
      <c r="K226" s="2" t="str">
        <f t="shared" si="9"/>
        <v>0.00292 - (0.0093 * E2_7_1_40_mRNA)</v>
      </c>
      <c r="L226" s="2" t="str">
        <f t="shared" si="10"/>
        <v>(0.278 * E2_7_1_40_mRNA) - (0.00000278 * E2_7_1_40)</v>
      </c>
      <c r="M226" s="2" t="str">
        <f t="shared" si="11"/>
        <v>mRNA225: -&gt; E2_7_1_40_mRNA | 0.00292 - (0.0093 * E2_7_1_40_mRNA)</v>
      </c>
      <c r="N226" s="2" t="str">
        <f t="shared" si="12"/>
        <v>Peptide225: E2_7_1_40_mRNA -&gt; E2_7_1_40 | (0.278 * E2_7_1_40_mRNA) - (0.000000278 * E2_7_1_40)</v>
      </c>
    </row>
    <row r="227">
      <c r="A227" s="12">
        <v>226.0</v>
      </c>
      <c r="B227" s="2" t="s">
        <v>25151</v>
      </c>
      <c r="C227" s="2" t="str">
        <f t="shared" si="3"/>
        <v>E2_7_1_48_mRNA</v>
      </c>
      <c r="D227" s="2" t="str">
        <f t="shared" si="4"/>
        <v>E2_7_1_48</v>
      </c>
      <c r="E227" s="2" t="str">
        <f t="shared" si="5"/>
        <v>E2_7_1_48_kcat : 13.7</v>
      </c>
      <c r="F227" s="2" t="str">
        <f t="shared" si="6"/>
        <v>E2_7_1_48_km : 1</v>
      </c>
      <c r="G227" s="2" t="str">
        <f t="shared" ref="G227:H227" si="459">CONCATENATE(C227," : ",C227)</f>
        <v>E2_7_1_48_mRNA : E2_7_1_48_mRNA</v>
      </c>
      <c r="H227" s="2" t="str">
        <f t="shared" si="459"/>
        <v>E2_7_1_48 : E2_7_1_48</v>
      </c>
      <c r="I227" s="2" t="str">
        <f t="shared" ref="I227:J227" si="460">CONCATENATE(C227," : ","0")</f>
        <v>E2_7_1_48_mRNA : 0</v>
      </c>
      <c r="J227" s="2" t="str">
        <f t="shared" si="460"/>
        <v>E2_7_1_48 : 0</v>
      </c>
      <c r="K227" s="2" t="str">
        <f t="shared" si="9"/>
        <v>0.00292 - (0.0093 * E2_7_1_48_mRNA)</v>
      </c>
      <c r="L227" s="2" t="str">
        <f t="shared" si="10"/>
        <v>(0.278 * E2_7_1_48_mRNA) - (0.00000278 * E2_7_1_48)</v>
      </c>
      <c r="M227" s="2" t="str">
        <f t="shared" si="11"/>
        <v>mRNA226: -&gt; E2_7_1_48_mRNA | 0.00292 - (0.0093 * E2_7_1_48_mRNA)</v>
      </c>
      <c r="N227" s="2" t="str">
        <f t="shared" si="12"/>
        <v>Peptide226: E2_7_1_48_mRNA -&gt; E2_7_1_48 | (0.278 * E2_7_1_48_mRNA) - (0.000000278 * E2_7_1_48)</v>
      </c>
    </row>
    <row r="228">
      <c r="A228" s="12">
        <v>227.0</v>
      </c>
      <c r="B228" s="2" t="s">
        <v>25152</v>
      </c>
      <c r="C228" s="2" t="str">
        <f t="shared" si="3"/>
        <v>E2_7_1_49_mRNA</v>
      </c>
      <c r="D228" s="2" t="str">
        <f t="shared" si="4"/>
        <v>E2_7_1_49</v>
      </c>
      <c r="E228" s="2" t="str">
        <f t="shared" si="5"/>
        <v>E2_7_1_49_kcat : 13.7</v>
      </c>
      <c r="F228" s="2" t="str">
        <f t="shared" si="6"/>
        <v>E2_7_1_49_km : 1</v>
      </c>
      <c r="G228" s="2" t="str">
        <f t="shared" ref="G228:H228" si="461">CONCATENATE(C228," : ",C228)</f>
        <v>E2_7_1_49_mRNA : E2_7_1_49_mRNA</v>
      </c>
      <c r="H228" s="2" t="str">
        <f t="shared" si="461"/>
        <v>E2_7_1_49 : E2_7_1_49</v>
      </c>
      <c r="I228" s="2" t="str">
        <f t="shared" ref="I228:J228" si="462">CONCATENATE(C228," : ","0")</f>
        <v>E2_7_1_49_mRNA : 0</v>
      </c>
      <c r="J228" s="2" t="str">
        <f t="shared" si="462"/>
        <v>E2_7_1_49 : 0</v>
      </c>
      <c r="K228" s="2" t="str">
        <f t="shared" si="9"/>
        <v>0.00292 - (0.0093 * E2_7_1_49_mRNA)</v>
      </c>
      <c r="L228" s="2" t="str">
        <f t="shared" si="10"/>
        <v>(0.278 * E2_7_1_49_mRNA) - (0.00000278 * E2_7_1_49)</v>
      </c>
      <c r="M228" s="2" t="str">
        <f t="shared" si="11"/>
        <v>mRNA227: -&gt; E2_7_1_49_mRNA | 0.00292 - (0.0093 * E2_7_1_49_mRNA)</v>
      </c>
      <c r="N228" s="2" t="str">
        <f t="shared" si="12"/>
        <v>Peptide227: E2_7_1_49_mRNA -&gt; E2_7_1_49 | (0.278 * E2_7_1_49_mRNA) - (0.000000278 * E2_7_1_49)</v>
      </c>
    </row>
    <row r="229">
      <c r="A229" s="12">
        <v>228.0</v>
      </c>
      <c r="B229" s="2" t="s">
        <v>25153</v>
      </c>
      <c r="C229" s="2" t="str">
        <f t="shared" si="3"/>
        <v>E2_7_1_50_mRNA</v>
      </c>
      <c r="D229" s="2" t="str">
        <f t="shared" si="4"/>
        <v>E2_7_1_50</v>
      </c>
      <c r="E229" s="2" t="str">
        <f t="shared" si="5"/>
        <v>E2_7_1_50_kcat : 13.7</v>
      </c>
      <c r="F229" s="2" t="str">
        <f t="shared" si="6"/>
        <v>E2_7_1_50_km : 1</v>
      </c>
      <c r="G229" s="2" t="str">
        <f t="shared" ref="G229:H229" si="463">CONCATENATE(C229," : ",C229)</f>
        <v>E2_7_1_50_mRNA : E2_7_1_50_mRNA</v>
      </c>
      <c r="H229" s="2" t="str">
        <f t="shared" si="463"/>
        <v>E2_7_1_50 : E2_7_1_50</v>
      </c>
      <c r="I229" s="2" t="str">
        <f t="shared" ref="I229:J229" si="464">CONCATENATE(C229," : ","0")</f>
        <v>E2_7_1_50_mRNA : 0</v>
      </c>
      <c r="J229" s="2" t="str">
        <f t="shared" si="464"/>
        <v>E2_7_1_50 : 0</v>
      </c>
      <c r="K229" s="2" t="str">
        <f t="shared" si="9"/>
        <v>0.00292 - (0.0093 * E2_7_1_50_mRNA)</v>
      </c>
      <c r="L229" s="2" t="str">
        <f t="shared" si="10"/>
        <v>(0.278 * E2_7_1_50_mRNA) - (0.00000278 * E2_7_1_50)</v>
      </c>
      <c r="M229" s="2" t="str">
        <f t="shared" si="11"/>
        <v>mRNA228: -&gt; E2_7_1_50_mRNA | 0.00292 - (0.0093 * E2_7_1_50_mRNA)</v>
      </c>
      <c r="N229" s="2" t="str">
        <f t="shared" si="12"/>
        <v>Peptide228: E2_7_1_50_mRNA -&gt; E2_7_1_50 | (0.278 * E2_7_1_50_mRNA) - (0.000000278 * E2_7_1_50)</v>
      </c>
    </row>
    <row r="230">
      <c r="A230" s="12">
        <v>229.0</v>
      </c>
      <c r="B230" s="2" t="s">
        <v>25154</v>
      </c>
      <c r="C230" s="2" t="str">
        <f t="shared" si="3"/>
        <v>E2_7_1_56_mRNA</v>
      </c>
      <c r="D230" s="2" t="str">
        <f t="shared" si="4"/>
        <v>E2_7_1_56</v>
      </c>
      <c r="E230" s="2" t="str">
        <f t="shared" si="5"/>
        <v>E2_7_1_56_kcat : 13.7</v>
      </c>
      <c r="F230" s="2" t="str">
        <f t="shared" si="6"/>
        <v>E2_7_1_56_km : 1</v>
      </c>
      <c r="G230" s="2" t="str">
        <f t="shared" ref="G230:H230" si="465">CONCATENATE(C230," : ",C230)</f>
        <v>E2_7_1_56_mRNA : E2_7_1_56_mRNA</v>
      </c>
      <c r="H230" s="2" t="str">
        <f t="shared" si="465"/>
        <v>E2_7_1_56 : E2_7_1_56</v>
      </c>
      <c r="I230" s="2" t="str">
        <f t="shared" ref="I230:J230" si="466">CONCATENATE(C230," : ","0")</f>
        <v>E2_7_1_56_mRNA : 0</v>
      </c>
      <c r="J230" s="2" t="str">
        <f t="shared" si="466"/>
        <v>E2_7_1_56 : 0</v>
      </c>
      <c r="K230" s="2" t="str">
        <f t="shared" si="9"/>
        <v>0.00292 - (0.0093 * E2_7_1_56_mRNA)</v>
      </c>
      <c r="L230" s="2" t="str">
        <f t="shared" si="10"/>
        <v>(0.278 * E2_7_1_56_mRNA) - (0.00000278 * E2_7_1_56)</v>
      </c>
      <c r="M230" s="2" t="str">
        <f t="shared" si="11"/>
        <v>mRNA229: -&gt; E2_7_1_56_mRNA | 0.00292 - (0.0093 * E2_7_1_56_mRNA)</v>
      </c>
      <c r="N230" s="2" t="str">
        <f t="shared" si="12"/>
        <v>Peptide229: E2_7_1_56_mRNA -&gt; E2_7_1_56 | (0.278 * E2_7_1_56_mRNA) - (0.000000278 * E2_7_1_56)</v>
      </c>
    </row>
    <row r="231">
      <c r="A231" s="12">
        <v>230.0</v>
      </c>
      <c r="B231" s="2" t="s">
        <v>25155</v>
      </c>
      <c r="C231" s="2" t="str">
        <f t="shared" si="3"/>
        <v>E2_7_1_66_mRNA</v>
      </c>
      <c r="D231" s="2" t="str">
        <f t="shared" si="4"/>
        <v>E2_7_1_66</v>
      </c>
      <c r="E231" s="2" t="str">
        <f t="shared" si="5"/>
        <v>E2_7_1_66_kcat : 13.7</v>
      </c>
      <c r="F231" s="2" t="str">
        <f t="shared" si="6"/>
        <v>E2_7_1_66_km : 1</v>
      </c>
      <c r="G231" s="2" t="str">
        <f t="shared" ref="G231:H231" si="467">CONCATENATE(C231," : ",C231)</f>
        <v>E2_7_1_66_mRNA : E2_7_1_66_mRNA</v>
      </c>
      <c r="H231" s="2" t="str">
        <f t="shared" si="467"/>
        <v>E2_7_1_66 : E2_7_1_66</v>
      </c>
      <c r="I231" s="2" t="str">
        <f t="shared" ref="I231:J231" si="468">CONCATENATE(C231," : ","0")</f>
        <v>E2_7_1_66_mRNA : 0</v>
      </c>
      <c r="J231" s="2" t="str">
        <f t="shared" si="468"/>
        <v>E2_7_1_66 : 0</v>
      </c>
      <c r="K231" s="2" t="str">
        <f t="shared" si="9"/>
        <v>0.00292 - (0.0093 * E2_7_1_66_mRNA)</v>
      </c>
      <c r="L231" s="2" t="str">
        <f t="shared" si="10"/>
        <v>(0.278 * E2_7_1_66_mRNA) - (0.00000278 * E2_7_1_66)</v>
      </c>
      <c r="M231" s="2" t="str">
        <f t="shared" si="11"/>
        <v>mRNA230: -&gt; E2_7_1_66_mRNA | 0.00292 - (0.0093 * E2_7_1_66_mRNA)</v>
      </c>
      <c r="N231" s="2" t="str">
        <f t="shared" si="12"/>
        <v>Peptide230: E2_7_1_66_mRNA -&gt; E2_7_1_66 | (0.278 * E2_7_1_66_mRNA) - (0.000000278 * E2_7_1_66)</v>
      </c>
    </row>
    <row r="232">
      <c r="A232" s="12">
        <v>231.0</v>
      </c>
      <c r="B232" s="2" t="s">
        <v>25156</v>
      </c>
      <c r="C232" s="2" t="str">
        <f t="shared" si="3"/>
        <v>E2_7_1_71_mRNA</v>
      </c>
      <c r="D232" s="2" t="str">
        <f t="shared" si="4"/>
        <v>E2_7_1_71</v>
      </c>
      <c r="E232" s="2" t="str">
        <f t="shared" si="5"/>
        <v>E2_7_1_71_kcat : 13.7</v>
      </c>
      <c r="F232" s="2" t="str">
        <f t="shared" si="6"/>
        <v>E2_7_1_71_km : 1</v>
      </c>
      <c r="G232" s="2" t="str">
        <f t="shared" ref="G232:H232" si="469">CONCATENATE(C232," : ",C232)</f>
        <v>E2_7_1_71_mRNA : E2_7_1_71_mRNA</v>
      </c>
      <c r="H232" s="2" t="str">
        <f t="shared" si="469"/>
        <v>E2_7_1_71 : E2_7_1_71</v>
      </c>
      <c r="I232" s="2" t="str">
        <f t="shared" ref="I232:J232" si="470">CONCATENATE(C232," : ","0")</f>
        <v>E2_7_1_71_mRNA : 0</v>
      </c>
      <c r="J232" s="2" t="str">
        <f t="shared" si="470"/>
        <v>E2_7_1_71 : 0</v>
      </c>
      <c r="K232" s="2" t="str">
        <f t="shared" si="9"/>
        <v>0.00292 - (0.0093 * E2_7_1_71_mRNA)</v>
      </c>
      <c r="L232" s="2" t="str">
        <f t="shared" si="10"/>
        <v>(0.278 * E2_7_1_71_mRNA) - (0.00000278 * E2_7_1_71)</v>
      </c>
      <c r="M232" s="2" t="str">
        <f t="shared" si="11"/>
        <v>mRNA231: -&gt; E2_7_1_71_mRNA | 0.00292 - (0.0093 * E2_7_1_71_mRNA)</v>
      </c>
      <c r="N232" s="2" t="str">
        <f t="shared" si="12"/>
        <v>Peptide231: E2_7_1_71_mRNA -&gt; E2_7_1_71 | (0.278 * E2_7_1_71_mRNA) - (0.000000278 * E2_7_1_71)</v>
      </c>
    </row>
    <row r="233">
      <c r="A233" s="12">
        <v>232.0</v>
      </c>
      <c r="B233" s="2" t="s">
        <v>25157</v>
      </c>
      <c r="C233" s="2" t="str">
        <f t="shared" si="3"/>
        <v>E2_7_10_2_mRNA</v>
      </c>
      <c r="D233" s="2" t="str">
        <f t="shared" si="4"/>
        <v>E2_7_10_2</v>
      </c>
      <c r="E233" s="2" t="str">
        <f t="shared" si="5"/>
        <v>E2_7_10_2_kcat : 13.7</v>
      </c>
      <c r="F233" s="2" t="str">
        <f t="shared" si="6"/>
        <v>E2_7_10_2_km : 1</v>
      </c>
      <c r="G233" s="2" t="str">
        <f t="shared" ref="G233:H233" si="471">CONCATENATE(C233," : ",C233)</f>
        <v>E2_7_10_2_mRNA : E2_7_10_2_mRNA</v>
      </c>
      <c r="H233" s="2" t="str">
        <f t="shared" si="471"/>
        <v>E2_7_10_2 : E2_7_10_2</v>
      </c>
      <c r="I233" s="2" t="str">
        <f t="shared" ref="I233:J233" si="472">CONCATENATE(C233," : ","0")</f>
        <v>E2_7_10_2_mRNA : 0</v>
      </c>
      <c r="J233" s="2" t="str">
        <f t="shared" si="472"/>
        <v>E2_7_10_2 : 0</v>
      </c>
      <c r="K233" s="2" t="str">
        <f t="shared" si="9"/>
        <v>0.00292 - (0.0093 * E2_7_10_2_mRNA)</v>
      </c>
      <c r="L233" s="2" t="str">
        <f t="shared" si="10"/>
        <v>(0.278 * E2_7_10_2_mRNA) - (0.00000278 * E2_7_10_2)</v>
      </c>
      <c r="M233" s="2" t="str">
        <f t="shared" si="11"/>
        <v>mRNA232: -&gt; E2_7_10_2_mRNA | 0.00292 - (0.0093 * E2_7_10_2_mRNA)</v>
      </c>
      <c r="N233" s="2" t="str">
        <f t="shared" si="12"/>
        <v>Peptide232: E2_7_10_2_mRNA -&gt; E2_7_10_2 | (0.278 * E2_7_10_2_mRNA) - (0.000000278 * E2_7_10_2)</v>
      </c>
    </row>
    <row r="234">
      <c r="A234" s="12">
        <v>233.0</v>
      </c>
      <c r="B234" s="2" t="s">
        <v>25158</v>
      </c>
      <c r="C234" s="2" t="str">
        <f t="shared" si="3"/>
        <v>E2_7_11_1_mRNA</v>
      </c>
      <c r="D234" s="2" t="str">
        <f t="shared" si="4"/>
        <v>E2_7_11_1</v>
      </c>
      <c r="E234" s="2" t="str">
        <f t="shared" si="5"/>
        <v>E2_7_11_1_kcat : 13.7</v>
      </c>
      <c r="F234" s="2" t="str">
        <f t="shared" si="6"/>
        <v>E2_7_11_1_km : 1</v>
      </c>
      <c r="G234" s="2" t="str">
        <f t="shared" ref="G234:H234" si="473">CONCATENATE(C234," : ",C234)</f>
        <v>E2_7_11_1_mRNA : E2_7_11_1_mRNA</v>
      </c>
      <c r="H234" s="2" t="str">
        <f t="shared" si="473"/>
        <v>E2_7_11_1 : E2_7_11_1</v>
      </c>
      <c r="I234" s="2" t="str">
        <f t="shared" ref="I234:J234" si="474">CONCATENATE(C234," : ","0")</f>
        <v>E2_7_11_1_mRNA : 0</v>
      </c>
      <c r="J234" s="2" t="str">
        <f t="shared" si="474"/>
        <v>E2_7_11_1 : 0</v>
      </c>
      <c r="K234" s="2" t="str">
        <f t="shared" si="9"/>
        <v>0.00292 - (0.0093 * E2_7_11_1_mRNA)</v>
      </c>
      <c r="L234" s="2" t="str">
        <f t="shared" si="10"/>
        <v>(0.278 * E2_7_11_1_mRNA) - (0.00000278 * E2_7_11_1)</v>
      </c>
      <c r="M234" s="2" t="str">
        <f t="shared" si="11"/>
        <v>mRNA233: -&gt; E2_7_11_1_mRNA | 0.00292 - (0.0093 * E2_7_11_1_mRNA)</v>
      </c>
      <c r="N234" s="2" t="str">
        <f t="shared" si="12"/>
        <v>Peptide233: E2_7_11_1_mRNA -&gt; E2_7_11_1 | (0.278 * E2_7_11_1_mRNA) - (0.000000278 * E2_7_11_1)</v>
      </c>
    </row>
    <row r="235">
      <c r="A235" s="12">
        <v>234.0</v>
      </c>
      <c r="B235" s="2" t="s">
        <v>25159</v>
      </c>
      <c r="C235" s="2" t="str">
        <f t="shared" si="3"/>
        <v>E2_7_11_33_mRNA</v>
      </c>
      <c r="D235" s="2" t="str">
        <f t="shared" si="4"/>
        <v>E2_7_11_33</v>
      </c>
      <c r="E235" s="2" t="str">
        <f t="shared" si="5"/>
        <v>E2_7_11_33_kcat : 13.7</v>
      </c>
      <c r="F235" s="2" t="str">
        <f t="shared" si="6"/>
        <v>E2_7_11_33_km : 1</v>
      </c>
      <c r="G235" s="2" t="str">
        <f t="shared" ref="G235:H235" si="475">CONCATENATE(C235," : ",C235)</f>
        <v>E2_7_11_33_mRNA : E2_7_11_33_mRNA</v>
      </c>
      <c r="H235" s="2" t="str">
        <f t="shared" si="475"/>
        <v>E2_7_11_33 : E2_7_11_33</v>
      </c>
      <c r="I235" s="2" t="str">
        <f t="shared" ref="I235:J235" si="476">CONCATENATE(C235," : ","0")</f>
        <v>E2_7_11_33_mRNA : 0</v>
      </c>
      <c r="J235" s="2" t="str">
        <f t="shared" si="476"/>
        <v>E2_7_11_33 : 0</v>
      </c>
      <c r="K235" s="2" t="str">
        <f t="shared" si="9"/>
        <v>0.00292 - (0.0093 * E2_7_11_33_mRNA)</v>
      </c>
      <c r="L235" s="2" t="str">
        <f t="shared" si="10"/>
        <v>(0.278 * E2_7_11_33_mRNA) - (0.00000278 * E2_7_11_33)</v>
      </c>
      <c r="M235" s="2" t="str">
        <f t="shared" si="11"/>
        <v>mRNA234: -&gt; E2_7_11_33_mRNA | 0.00292 - (0.0093 * E2_7_11_33_mRNA)</v>
      </c>
      <c r="N235" s="2" t="str">
        <f t="shared" si="12"/>
        <v>Peptide234: E2_7_11_33_mRNA -&gt; E2_7_11_33 | (0.278 * E2_7_11_33_mRNA) - (0.000000278 * E2_7_11_33)</v>
      </c>
    </row>
    <row r="236">
      <c r="A236" s="12">
        <v>235.0</v>
      </c>
      <c r="B236" s="2" t="s">
        <v>25160</v>
      </c>
      <c r="C236" s="2" t="str">
        <f t="shared" si="3"/>
        <v>E2_7_13_3_mRNA</v>
      </c>
      <c r="D236" s="2" t="str">
        <f t="shared" si="4"/>
        <v>E2_7_13_3</v>
      </c>
      <c r="E236" s="2" t="str">
        <f t="shared" si="5"/>
        <v>E2_7_13_3_kcat : 13.7</v>
      </c>
      <c r="F236" s="2" t="str">
        <f t="shared" si="6"/>
        <v>E2_7_13_3_km : 1</v>
      </c>
      <c r="G236" s="2" t="str">
        <f t="shared" ref="G236:H236" si="477">CONCATENATE(C236," : ",C236)</f>
        <v>E2_7_13_3_mRNA : E2_7_13_3_mRNA</v>
      </c>
      <c r="H236" s="2" t="str">
        <f t="shared" si="477"/>
        <v>E2_7_13_3 : E2_7_13_3</v>
      </c>
      <c r="I236" s="2" t="str">
        <f t="shared" ref="I236:J236" si="478">CONCATENATE(C236," : ","0")</f>
        <v>E2_7_13_3_mRNA : 0</v>
      </c>
      <c r="J236" s="2" t="str">
        <f t="shared" si="478"/>
        <v>E2_7_13_3 : 0</v>
      </c>
      <c r="K236" s="2" t="str">
        <f t="shared" si="9"/>
        <v>0.00292 - (0.0093 * E2_7_13_3_mRNA)</v>
      </c>
      <c r="L236" s="2" t="str">
        <f t="shared" si="10"/>
        <v>(0.278 * E2_7_13_3_mRNA) - (0.00000278 * E2_7_13_3)</v>
      </c>
      <c r="M236" s="2" t="str">
        <f t="shared" si="11"/>
        <v>mRNA235: -&gt; E2_7_13_3_mRNA | 0.00292 - (0.0093 * E2_7_13_3_mRNA)</v>
      </c>
      <c r="N236" s="2" t="str">
        <f t="shared" si="12"/>
        <v>Peptide235: E2_7_13_3_mRNA -&gt; E2_7_13_3 | (0.278 * E2_7_13_3_mRNA) - (0.000000278 * E2_7_13_3)</v>
      </c>
    </row>
    <row r="237">
      <c r="A237" s="12">
        <v>236.0</v>
      </c>
      <c r="B237" s="2" t="s">
        <v>25161</v>
      </c>
      <c r="C237" s="2" t="str">
        <f t="shared" si="3"/>
        <v>E2_7_14_1_mRNA</v>
      </c>
      <c r="D237" s="2" t="str">
        <f t="shared" si="4"/>
        <v>E2_7_14_1</v>
      </c>
      <c r="E237" s="2" t="str">
        <f t="shared" si="5"/>
        <v>E2_7_14_1_kcat : 13.7</v>
      </c>
      <c r="F237" s="2" t="str">
        <f t="shared" si="6"/>
        <v>E2_7_14_1_km : 1</v>
      </c>
      <c r="G237" s="2" t="str">
        <f t="shared" ref="G237:H237" si="479">CONCATENATE(C237," : ",C237)</f>
        <v>E2_7_14_1_mRNA : E2_7_14_1_mRNA</v>
      </c>
      <c r="H237" s="2" t="str">
        <f t="shared" si="479"/>
        <v>E2_7_14_1 : E2_7_14_1</v>
      </c>
      <c r="I237" s="2" t="str">
        <f t="shared" ref="I237:J237" si="480">CONCATENATE(C237," : ","0")</f>
        <v>E2_7_14_1_mRNA : 0</v>
      </c>
      <c r="J237" s="2" t="str">
        <f t="shared" si="480"/>
        <v>E2_7_14_1 : 0</v>
      </c>
      <c r="K237" s="2" t="str">
        <f t="shared" si="9"/>
        <v>0.00292 - (0.0093 * E2_7_14_1_mRNA)</v>
      </c>
      <c r="L237" s="2" t="str">
        <f t="shared" si="10"/>
        <v>(0.278 * E2_7_14_1_mRNA) - (0.00000278 * E2_7_14_1)</v>
      </c>
      <c r="M237" s="2" t="str">
        <f t="shared" si="11"/>
        <v>mRNA236: -&gt; E2_7_14_1_mRNA | 0.00292 - (0.0093 * E2_7_14_1_mRNA)</v>
      </c>
      <c r="N237" s="2" t="str">
        <f t="shared" si="12"/>
        <v>Peptide236: E2_7_14_1_mRNA -&gt; E2_7_14_1 | (0.278 * E2_7_14_1_mRNA) - (0.000000278 * E2_7_14_1)</v>
      </c>
    </row>
    <row r="238">
      <c r="A238" s="12">
        <v>237.0</v>
      </c>
      <c r="B238" s="2" t="s">
        <v>25162</v>
      </c>
      <c r="C238" s="2" t="str">
        <f t="shared" si="3"/>
        <v>E2_7_2_11_mRNA</v>
      </c>
      <c r="D238" s="2" t="str">
        <f t="shared" si="4"/>
        <v>E2_7_2_11</v>
      </c>
      <c r="E238" s="2" t="str">
        <f t="shared" si="5"/>
        <v>E2_7_2_11_kcat : 13.7</v>
      </c>
      <c r="F238" s="2" t="str">
        <f t="shared" si="6"/>
        <v>E2_7_2_11_km : 1</v>
      </c>
      <c r="G238" s="2" t="str">
        <f t="shared" ref="G238:H238" si="481">CONCATENATE(C238," : ",C238)</f>
        <v>E2_7_2_11_mRNA : E2_7_2_11_mRNA</v>
      </c>
      <c r="H238" s="2" t="str">
        <f t="shared" si="481"/>
        <v>E2_7_2_11 : E2_7_2_11</v>
      </c>
      <c r="I238" s="2" t="str">
        <f t="shared" ref="I238:J238" si="482">CONCATENATE(C238," : ","0")</f>
        <v>E2_7_2_11_mRNA : 0</v>
      </c>
      <c r="J238" s="2" t="str">
        <f t="shared" si="482"/>
        <v>E2_7_2_11 : 0</v>
      </c>
      <c r="K238" s="2" t="str">
        <f t="shared" si="9"/>
        <v>0.00292 - (0.0093 * E2_7_2_11_mRNA)</v>
      </c>
      <c r="L238" s="2" t="str">
        <f t="shared" si="10"/>
        <v>(0.278 * E2_7_2_11_mRNA) - (0.00000278 * E2_7_2_11)</v>
      </c>
      <c r="M238" s="2" t="str">
        <f t="shared" si="11"/>
        <v>mRNA237: -&gt; E2_7_2_11_mRNA | 0.00292 - (0.0093 * E2_7_2_11_mRNA)</v>
      </c>
      <c r="N238" s="2" t="str">
        <f t="shared" si="12"/>
        <v>Peptide237: E2_7_2_11_mRNA -&gt; E2_7_2_11 | (0.278 * E2_7_2_11_mRNA) - (0.000000278 * E2_7_2_11)</v>
      </c>
    </row>
    <row r="239">
      <c r="A239" s="12">
        <v>238.0</v>
      </c>
      <c r="B239" s="2" t="s">
        <v>25163</v>
      </c>
      <c r="C239" s="2" t="str">
        <f t="shared" si="3"/>
        <v>E2_7_2_2_mRNA</v>
      </c>
      <c r="D239" s="2" t="str">
        <f t="shared" si="4"/>
        <v>E2_7_2_2</v>
      </c>
      <c r="E239" s="2" t="str">
        <f t="shared" si="5"/>
        <v>E2_7_2_2_kcat : 13.7</v>
      </c>
      <c r="F239" s="2" t="str">
        <f t="shared" si="6"/>
        <v>E2_7_2_2_km : 1</v>
      </c>
      <c r="G239" s="2" t="str">
        <f t="shared" ref="G239:H239" si="483">CONCATENATE(C239," : ",C239)</f>
        <v>E2_7_2_2_mRNA : E2_7_2_2_mRNA</v>
      </c>
      <c r="H239" s="2" t="str">
        <f t="shared" si="483"/>
        <v>E2_7_2_2 : E2_7_2_2</v>
      </c>
      <c r="I239" s="2" t="str">
        <f t="shared" ref="I239:J239" si="484">CONCATENATE(C239," : ","0")</f>
        <v>E2_7_2_2_mRNA : 0</v>
      </c>
      <c r="J239" s="2" t="str">
        <f t="shared" si="484"/>
        <v>E2_7_2_2 : 0</v>
      </c>
      <c r="K239" s="2" t="str">
        <f t="shared" si="9"/>
        <v>0.00292 - (0.0093 * E2_7_2_2_mRNA)</v>
      </c>
      <c r="L239" s="2" t="str">
        <f t="shared" si="10"/>
        <v>(0.278 * E2_7_2_2_mRNA) - (0.00000278 * E2_7_2_2)</v>
      </c>
      <c r="M239" s="2" t="str">
        <f t="shared" si="11"/>
        <v>mRNA238: -&gt; E2_7_2_2_mRNA | 0.00292 - (0.0093 * E2_7_2_2_mRNA)</v>
      </c>
      <c r="N239" s="2" t="str">
        <f t="shared" si="12"/>
        <v>Peptide238: E2_7_2_2_mRNA -&gt; E2_7_2_2 | (0.278 * E2_7_2_2_mRNA) - (0.000000278 * E2_7_2_2)</v>
      </c>
    </row>
    <row r="240">
      <c r="A240" s="12">
        <v>239.0</v>
      </c>
      <c r="B240" s="2" t="s">
        <v>25164</v>
      </c>
      <c r="C240" s="2" t="str">
        <f t="shared" si="3"/>
        <v>E2_7_2_3_mRNA</v>
      </c>
      <c r="D240" s="2" t="str">
        <f t="shared" si="4"/>
        <v>E2_7_2_3</v>
      </c>
      <c r="E240" s="2" t="str">
        <f t="shared" si="5"/>
        <v>E2_7_2_3_kcat : 13.7</v>
      </c>
      <c r="F240" s="2" t="str">
        <f t="shared" si="6"/>
        <v>E2_7_2_3_km : 1</v>
      </c>
      <c r="G240" s="2" t="str">
        <f t="shared" ref="G240:H240" si="485">CONCATENATE(C240," : ",C240)</f>
        <v>E2_7_2_3_mRNA : E2_7_2_3_mRNA</v>
      </c>
      <c r="H240" s="2" t="str">
        <f t="shared" si="485"/>
        <v>E2_7_2_3 : E2_7_2_3</v>
      </c>
      <c r="I240" s="2" t="str">
        <f t="shared" ref="I240:J240" si="486">CONCATENATE(C240," : ","0")</f>
        <v>E2_7_2_3_mRNA : 0</v>
      </c>
      <c r="J240" s="2" t="str">
        <f t="shared" si="486"/>
        <v>E2_7_2_3 : 0</v>
      </c>
      <c r="K240" s="2" t="str">
        <f t="shared" si="9"/>
        <v>0.00292 - (0.0093 * E2_7_2_3_mRNA)</v>
      </c>
      <c r="L240" s="2" t="str">
        <f t="shared" si="10"/>
        <v>(0.278 * E2_7_2_3_mRNA) - (0.00000278 * E2_7_2_3)</v>
      </c>
      <c r="M240" s="2" t="str">
        <f t="shared" si="11"/>
        <v>mRNA239: -&gt; E2_7_2_3_mRNA | 0.00292 - (0.0093 * E2_7_2_3_mRNA)</v>
      </c>
      <c r="N240" s="2" t="str">
        <f t="shared" si="12"/>
        <v>Peptide239: E2_7_2_3_mRNA -&gt; E2_7_2_3 | (0.278 * E2_7_2_3_mRNA) - (0.000000278 * E2_7_2_3)</v>
      </c>
    </row>
    <row r="241">
      <c r="A241" s="12">
        <v>240.0</v>
      </c>
      <c r="B241" s="2" t="s">
        <v>25165</v>
      </c>
      <c r="C241" s="2" t="str">
        <f t="shared" si="3"/>
        <v>E2_7_2_4_mRNA</v>
      </c>
      <c r="D241" s="2" t="str">
        <f t="shared" si="4"/>
        <v>E2_7_2_4</v>
      </c>
      <c r="E241" s="2" t="str">
        <f t="shared" si="5"/>
        <v>E2_7_2_4_kcat : 13.7</v>
      </c>
      <c r="F241" s="2" t="str">
        <f t="shared" si="6"/>
        <v>E2_7_2_4_km : 1</v>
      </c>
      <c r="G241" s="2" t="str">
        <f t="shared" ref="G241:H241" si="487">CONCATENATE(C241," : ",C241)</f>
        <v>E2_7_2_4_mRNA : E2_7_2_4_mRNA</v>
      </c>
      <c r="H241" s="2" t="str">
        <f t="shared" si="487"/>
        <v>E2_7_2_4 : E2_7_2_4</v>
      </c>
      <c r="I241" s="2" t="str">
        <f t="shared" ref="I241:J241" si="488">CONCATENATE(C241," : ","0")</f>
        <v>E2_7_2_4_mRNA : 0</v>
      </c>
      <c r="J241" s="2" t="str">
        <f t="shared" si="488"/>
        <v>E2_7_2_4 : 0</v>
      </c>
      <c r="K241" s="2" t="str">
        <f t="shared" si="9"/>
        <v>0.00292 - (0.0093 * E2_7_2_4_mRNA)</v>
      </c>
      <c r="L241" s="2" t="str">
        <f t="shared" si="10"/>
        <v>(0.278 * E2_7_2_4_mRNA) - (0.00000278 * E2_7_2_4)</v>
      </c>
      <c r="M241" s="2" t="str">
        <f t="shared" si="11"/>
        <v>mRNA240: -&gt; E2_7_2_4_mRNA | 0.00292 - (0.0093 * E2_7_2_4_mRNA)</v>
      </c>
      <c r="N241" s="2" t="str">
        <f t="shared" si="12"/>
        <v>Peptide240: E2_7_2_4_mRNA -&gt; E2_7_2_4 | (0.278 * E2_7_2_4_mRNA) - (0.000000278 * E2_7_2_4)</v>
      </c>
    </row>
    <row r="242">
      <c r="A242" s="12">
        <v>241.0</v>
      </c>
      <c r="B242" s="2" t="s">
        <v>25166</v>
      </c>
      <c r="C242" s="2" t="str">
        <f t="shared" si="3"/>
        <v>E2_7_2_7_mRNA</v>
      </c>
      <c r="D242" s="2" t="str">
        <f t="shared" si="4"/>
        <v>E2_7_2_7</v>
      </c>
      <c r="E242" s="2" t="str">
        <f t="shared" si="5"/>
        <v>E2_7_2_7_kcat : 13.7</v>
      </c>
      <c r="F242" s="2" t="str">
        <f t="shared" si="6"/>
        <v>E2_7_2_7_km : 1</v>
      </c>
      <c r="G242" s="2" t="str">
        <f t="shared" ref="G242:H242" si="489">CONCATENATE(C242," : ",C242)</f>
        <v>E2_7_2_7_mRNA : E2_7_2_7_mRNA</v>
      </c>
      <c r="H242" s="2" t="str">
        <f t="shared" si="489"/>
        <v>E2_7_2_7 : E2_7_2_7</v>
      </c>
      <c r="I242" s="2" t="str">
        <f t="shared" ref="I242:J242" si="490">CONCATENATE(C242," : ","0")</f>
        <v>E2_7_2_7_mRNA : 0</v>
      </c>
      <c r="J242" s="2" t="str">
        <f t="shared" si="490"/>
        <v>E2_7_2_7 : 0</v>
      </c>
      <c r="K242" s="2" t="str">
        <f t="shared" si="9"/>
        <v>0.00292 - (0.0093 * E2_7_2_7_mRNA)</v>
      </c>
      <c r="L242" s="2" t="str">
        <f t="shared" si="10"/>
        <v>(0.278 * E2_7_2_7_mRNA) - (0.00000278 * E2_7_2_7)</v>
      </c>
      <c r="M242" s="2" t="str">
        <f t="shared" si="11"/>
        <v>mRNA241: -&gt; E2_7_2_7_mRNA | 0.00292 - (0.0093 * E2_7_2_7_mRNA)</v>
      </c>
      <c r="N242" s="2" t="str">
        <f t="shared" si="12"/>
        <v>Peptide241: E2_7_2_7_mRNA -&gt; E2_7_2_7 | (0.278 * E2_7_2_7_mRNA) - (0.000000278 * E2_7_2_7)</v>
      </c>
    </row>
    <row r="243">
      <c r="A243" s="12">
        <v>242.0</v>
      </c>
      <c r="B243" s="2" t="s">
        <v>25167</v>
      </c>
      <c r="C243" s="2" t="str">
        <f t="shared" si="3"/>
        <v>E2_7_2_8_mRNA</v>
      </c>
      <c r="D243" s="2" t="str">
        <f t="shared" si="4"/>
        <v>E2_7_2_8</v>
      </c>
      <c r="E243" s="2" t="str">
        <f t="shared" si="5"/>
        <v>E2_7_2_8_kcat : 13.7</v>
      </c>
      <c r="F243" s="2" t="str">
        <f t="shared" si="6"/>
        <v>E2_7_2_8_km : 1</v>
      </c>
      <c r="G243" s="2" t="str">
        <f t="shared" ref="G243:H243" si="491">CONCATENATE(C243," : ",C243)</f>
        <v>E2_7_2_8_mRNA : E2_7_2_8_mRNA</v>
      </c>
      <c r="H243" s="2" t="str">
        <f t="shared" si="491"/>
        <v>E2_7_2_8 : E2_7_2_8</v>
      </c>
      <c r="I243" s="2" t="str">
        <f t="shared" ref="I243:J243" si="492">CONCATENATE(C243," : ","0")</f>
        <v>E2_7_2_8_mRNA : 0</v>
      </c>
      <c r="J243" s="2" t="str">
        <f t="shared" si="492"/>
        <v>E2_7_2_8 : 0</v>
      </c>
      <c r="K243" s="2" t="str">
        <f t="shared" si="9"/>
        <v>0.00292 - (0.0093 * E2_7_2_8_mRNA)</v>
      </c>
      <c r="L243" s="2" t="str">
        <f t="shared" si="10"/>
        <v>(0.278 * E2_7_2_8_mRNA) - (0.00000278 * E2_7_2_8)</v>
      </c>
      <c r="M243" s="2" t="str">
        <f t="shared" si="11"/>
        <v>mRNA242: -&gt; E2_7_2_8_mRNA | 0.00292 - (0.0093 * E2_7_2_8_mRNA)</v>
      </c>
      <c r="N243" s="2" t="str">
        <f t="shared" si="12"/>
        <v>Peptide242: E2_7_2_8_mRNA -&gt; E2_7_2_8 | (0.278 * E2_7_2_8_mRNA) - (0.000000278 * E2_7_2_8)</v>
      </c>
    </row>
    <row r="244">
      <c r="A244" s="12">
        <v>243.0</v>
      </c>
      <c r="B244" s="2" t="s">
        <v>25168</v>
      </c>
      <c r="C244" s="2" t="str">
        <f t="shared" si="3"/>
        <v>E2_7_3_9_mRNA</v>
      </c>
      <c r="D244" s="2" t="str">
        <f t="shared" si="4"/>
        <v>E2_7_3_9</v>
      </c>
      <c r="E244" s="2" t="str">
        <f t="shared" si="5"/>
        <v>E2_7_3_9_kcat : 13.7</v>
      </c>
      <c r="F244" s="2" t="str">
        <f t="shared" si="6"/>
        <v>E2_7_3_9_km : 1</v>
      </c>
      <c r="G244" s="2" t="str">
        <f t="shared" ref="G244:H244" si="493">CONCATENATE(C244," : ",C244)</f>
        <v>E2_7_3_9_mRNA : E2_7_3_9_mRNA</v>
      </c>
      <c r="H244" s="2" t="str">
        <f t="shared" si="493"/>
        <v>E2_7_3_9 : E2_7_3_9</v>
      </c>
      <c r="I244" s="2" t="str">
        <f t="shared" ref="I244:J244" si="494">CONCATENATE(C244," : ","0")</f>
        <v>E2_7_3_9_mRNA : 0</v>
      </c>
      <c r="J244" s="2" t="str">
        <f t="shared" si="494"/>
        <v>E2_7_3_9 : 0</v>
      </c>
      <c r="K244" s="2" t="str">
        <f t="shared" si="9"/>
        <v>0.00292 - (0.0093 * E2_7_3_9_mRNA)</v>
      </c>
      <c r="L244" s="2" t="str">
        <f t="shared" si="10"/>
        <v>(0.278 * E2_7_3_9_mRNA) - (0.00000278 * E2_7_3_9)</v>
      </c>
      <c r="M244" s="2" t="str">
        <f t="shared" si="11"/>
        <v>mRNA243: -&gt; E2_7_3_9_mRNA | 0.00292 - (0.0093 * E2_7_3_9_mRNA)</v>
      </c>
      <c r="N244" s="2" t="str">
        <f t="shared" si="12"/>
        <v>Peptide243: E2_7_3_9_mRNA -&gt; E2_7_3_9 | (0.278 * E2_7_3_9_mRNA) - (0.000000278 * E2_7_3_9)</v>
      </c>
    </row>
    <row r="245">
      <c r="A245" s="12">
        <v>244.0</v>
      </c>
      <c r="B245" s="2" t="s">
        <v>25169</v>
      </c>
      <c r="C245" s="2" t="str">
        <f t="shared" si="3"/>
        <v>E2_7_4_1_mRNA</v>
      </c>
      <c r="D245" s="2" t="str">
        <f t="shared" si="4"/>
        <v>E2_7_4_1</v>
      </c>
      <c r="E245" s="2" t="str">
        <f t="shared" si="5"/>
        <v>E2_7_4_1_kcat : 13.7</v>
      </c>
      <c r="F245" s="2" t="str">
        <f t="shared" si="6"/>
        <v>E2_7_4_1_km : 1</v>
      </c>
      <c r="G245" s="2" t="str">
        <f t="shared" ref="G245:H245" si="495">CONCATENATE(C245," : ",C245)</f>
        <v>E2_7_4_1_mRNA : E2_7_4_1_mRNA</v>
      </c>
      <c r="H245" s="2" t="str">
        <f t="shared" si="495"/>
        <v>E2_7_4_1 : E2_7_4_1</v>
      </c>
      <c r="I245" s="2" t="str">
        <f t="shared" ref="I245:J245" si="496">CONCATENATE(C245," : ","0")</f>
        <v>E2_7_4_1_mRNA : 0</v>
      </c>
      <c r="J245" s="2" t="str">
        <f t="shared" si="496"/>
        <v>E2_7_4_1 : 0</v>
      </c>
      <c r="K245" s="2" t="str">
        <f t="shared" si="9"/>
        <v>0.00292 - (0.0093 * E2_7_4_1_mRNA)</v>
      </c>
      <c r="L245" s="2" t="str">
        <f t="shared" si="10"/>
        <v>(0.278 * E2_7_4_1_mRNA) - (0.00000278 * E2_7_4_1)</v>
      </c>
      <c r="M245" s="2" t="str">
        <f t="shared" si="11"/>
        <v>mRNA244: -&gt; E2_7_4_1_mRNA | 0.00292 - (0.0093 * E2_7_4_1_mRNA)</v>
      </c>
      <c r="N245" s="2" t="str">
        <f t="shared" si="12"/>
        <v>Peptide244: E2_7_4_1_mRNA -&gt; E2_7_4_1 | (0.278 * E2_7_4_1_mRNA) - (0.000000278 * E2_7_4_1)</v>
      </c>
    </row>
    <row r="246">
      <c r="A246" s="12">
        <v>245.0</v>
      </c>
      <c r="B246" s="2" t="s">
        <v>25170</v>
      </c>
      <c r="C246" s="2" t="str">
        <f t="shared" si="3"/>
        <v>E2_7_4_22_mRNA</v>
      </c>
      <c r="D246" s="2" t="str">
        <f t="shared" si="4"/>
        <v>E2_7_4_22</v>
      </c>
      <c r="E246" s="2" t="str">
        <f t="shared" si="5"/>
        <v>E2_7_4_22_kcat : 13.7</v>
      </c>
      <c r="F246" s="2" t="str">
        <f t="shared" si="6"/>
        <v>E2_7_4_22_km : 1</v>
      </c>
      <c r="G246" s="2" t="str">
        <f t="shared" ref="G246:H246" si="497">CONCATENATE(C246," : ",C246)</f>
        <v>E2_7_4_22_mRNA : E2_7_4_22_mRNA</v>
      </c>
      <c r="H246" s="2" t="str">
        <f t="shared" si="497"/>
        <v>E2_7_4_22 : E2_7_4_22</v>
      </c>
      <c r="I246" s="2" t="str">
        <f t="shared" ref="I246:J246" si="498">CONCATENATE(C246," : ","0")</f>
        <v>E2_7_4_22_mRNA : 0</v>
      </c>
      <c r="J246" s="2" t="str">
        <f t="shared" si="498"/>
        <v>E2_7_4_22 : 0</v>
      </c>
      <c r="K246" s="2" t="str">
        <f t="shared" si="9"/>
        <v>0.00292 - (0.0093 * E2_7_4_22_mRNA)</v>
      </c>
      <c r="L246" s="2" t="str">
        <f t="shared" si="10"/>
        <v>(0.278 * E2_7_4_22_mRNA) - (0.00000278 * E2_7_4_22)</v>
      </c>
      <c r="M246" s="2" t="str">
        <f t="shared" si="11"/>
        <v>mRNA245: -&gt; E2_7_4_22_mRNA | 0.00292 - (0.0093 * E2_7_4_22_mRNA)</v>
      </c>
      <c r="N246" s="2" t="str">
        <f t="shared" si="12"/>
        <v>Peptide245: E2_7_4_22_mRNA -&gt; E2_7_4_22 | (0.278 * E2_7_4_22_mRNA) - (0.000000278 * E2_7_4_22)</v>
      </c>
    </row>
    <row r="247">
      <c r="A247" s="12">
        <v>246.0</v>
      </c>
      <c r="B247" s="2" t="s">
        <v>25171</v>
      </c>
      <c r="C247" s="2" t="str">
        <f t="shared" si="3"/>
        <v>E2_7_4_25_mRNA</v>
      </c>
      <c r="D247" s="2" t="str">
        <f t="shared" si="4"/>
        <v>E2_7_4_25</v>
      </c>
      <c r="E247" s="2" t="str">
        <f t="shared" si="5"/>
        <v>E2_7_4_25_kcat : 13.7</v>
      </c>
      <c r="F247" s="2" t="str">
        <f t="shared" si="6"/>
        <v>E2_7_4_25_km : 1</v>
      </c>
      <c r="G247" s="2" t="str">
        <f t="shared" ref="G247:H247" si="499">CONCATENATE(C247," : ",C247)</f>
        <v>E2_7_4_25_mRNA : E2_7_4_25_mRNA</v>
      </c>
      <c r="H247" s="2" t="str">
        <f t="shared" si="499"/>
        <v>E2_7_4_25 : E2_7_4_25</v>
      </c>
      <c r="I247" s="2" t="str">
        <f t="shared" ref="I247:J247" si="500">CONCATENATE(C247," : ","0")</f>
        <v>E2_7_4_25_mRNA : 0</v>
      </c>
      <c r="J247" s="2" t="str">
        <f t="shared" si="500"/>
        <v>E2_7_4_25 : 0</v>
      </c>
      <c r="K247" s="2" t="str">
        <f t="shared" si="9"/>
        <v>0.00292 - (0.0093 * E2_7_4_25_mRNA)</v>
      </c>
      <c r="L247" s="2" t="str">
        <f t="shared" si="10"/>
        <v>(0.278 * E2_7_4_25_mRNA) - (0.00000278 * E2_7_4_25)</v>
      </c>
      <c r="M247" s="2" t="str">
        <f t="shared" si="11"/>
        <v>mRNA246: -&gt; E2_7_4_25_mRNA | 0.00292 - (0.0093 * E2_7_4_25_mRNA)</v>
      </c>
      <c r="N247" s="2" t="str">
        <f t="shared" si="12"/>
        <v>Peptide246: E2_7_4_25_mRNA -&gt; E2_7_4_25 | (0.278 * E2_7_4_25_mRNA) - (0.000000278 * E2_7_4_25)</v>
      </c>
    </row>
    <row r="248">
      <c r="A248" s="12">
        <v>247.0</v>
      </c>
      <c r="B248" s="2" t="s">
        <v>25172</v>
      </c>
      <c r="C248" s="2" t="str">
        <f t="shared" si="3"/>
        <v>E2_7_4_28_mRNA</v>
      </c>
      <c r="D248" s="2" t="str">
        <f t="shared" si="4"/>
        <v>E2_7_4_28</v>
      </c>
      <c r="E248" s="2" t="str">
        <f t="shared" si="5"/>
        <v>E2_7_4_28_kcat : 13.7</v>
      </c>
      <c r="F248" s="2" t="str">
        <f t="shared" si="6"/>
        <v>E2_7_4_28_km : 1</v>
      </c>
      <c r="G248" s="2" t="str">
        <f t="shared" ref="G248:H248" si="501">CONCATENATE(C248," : ",C248)</f>
        <v>E2_7_4_28_mRNA : E2_7_4_28_mRNA</v>
      </c>
      <c r="H248" s="2" t="str">
        <f t="shared" si="501"/>
        <v>E2_7_4_28 : E2_7_4_28</v>
      </c>
      <c r="I248" s="2" t="str">
        <f t="shared" ref="I248:J248" si="502">CONCATENATE(C248," : ","0")</f>
        <v>E2_7_4_28_mRNA : 0</v>
      </c>
      <c r="J248" s="2" t="str">
        <f t="shared" si="502"/>
        <v>E2_7_4_28 : 0</v>
      </c>
      <c r="K248" s="2" t="str">
        <f t="shared" si="9"/>
        <v>0.00292 - (0.0093 * E2_7_4_28_mRNA)</v>
      </c>
      <c r="L248" s="2" t="str">
        <f t="shared" si="10"/>
        <v>(0.278 * E2_7_4_28_mRNA) - (0.00000278 * E2_7_4_28)</v>
      </c>
      <c r="M248" s="2" t="str">
        <f t="shared" si="11"/>
        <v>mRNA247: -&gt; E2_7_4_28_mRNA | 0.00292 - (0.0093 * E2_7_4_28_mRNA)</v>
      </c>
      <c r="N248" s="2" t="str">
        <f t="shared" si="12"/>
        <v>Peptide247: E2_7_4_28_mRNA -&gt; E2_7_4_28 | (0.278 * E2_7_4_28_mRNA) - (0.000000278 * E2_7_4_28)</v>
      </c>
    </row>
    <row r="249">
      <c r="A249" s="12">
        <v>248.0</v>
      </c>
      <c r="B249" s="2" t="s">
        <v>25173</v>
      </c>
      <c r="C249" s="2" t="str">
        <f t="shared" si="3"/>
        <v>E2_7_4_3_mRNA</v>
      </c>
      <c r="D249" s="2" t="str">
        <f t="shared" si="4"/>
        <v>E2_7_4_3</v>
      </c>
      <c r="E249" s="2" t="str">
        <f t="shared" si="5"/>
        <v>E2_7_4_3_kcat : 13.7</v>
      </c>
      <c r="F249" s="2" t="str">
        <f t="shared" si="6"/>
        <v>E2_7_4_3_km : 1</v>
      </c>
      <c r="G249" s="2" t="str">
        <f t="shared" ref="G249:H249" si="503">CONCATENATE(C249," : ",C249)</f>
        <v>E2_7_4_3_mRNA : E2_7_4_3_mRNA</v>
      </c>
      <c r="H249" s="2" t="str">
        <f t="shared" si="503"/>
        <v>E2_7_4_3 : E2_7_4_3</v>
      </c>
      <c r="I249" s="2" t="str">
        <f t="shared" ref="I249:J249" si="504">CONCATENATE(C249," : ","0")</f>
        <v>E2_7_4_3_mRNA : 0</v>
      </c>
      <c r="J249" s="2" t="str">
        <f t="shared" si="504"/>
        <v>E2_7_4_3 : 0</v>
      </c>
      <c r="K249" s="2" t="str">
        <f t="shared" si="9"/>
        <v>0.00292 - (0.0093 * E2_7_4_3_mRNA)</v>
      </c>
      <c r="L249" s="2" t="str">
        <f t="shared" si="10"/>
        <v>(0.278 * E2_7_4_3_mRNA) - (0.00000278 * E2_7_4_3)</v>
      </c>
      <c r="M249" s="2" t="str">
        <f t="shared" si="11"/>
        <v>mRNA248: -&gt; E2_7_4_3_mRNA | 0.00292 - (0.0093 * E2_7_4_3_mRNA)</v>
      </c>
      <c r="N249" s="2" t="str">
        <f t="shared" si="12"/>
        <v>Peptide248: E2_7_4_3_mRNA -&gt; E2_7_4_3 | (0.278 * E2_7_4_3_mRNA) - (0.000000278 * E2_7_4_3)</v>
      </c>
    </row>
    <row r="250">
      <c r="A250" s="12">
        <v>249.0</v>
      </c>
      <c r="B250" s="2" t="s">
        <v>25174</v>
      </c>
      <c r="C250" s="2" t="str">
        <f t="shared" si="3"/>
        <v>E2_7_4_6_mRNA</v>
      </c>
      <c r="D250" s="2" t="str">
        <f t="shared" si="4"/>
        <v>E2_7_4_6</v>
      </c>
      <c r="E250" s="2" t="str">
        <f t="shared" si="5"/>
        <v>E2_7_4_6_kcat : 13.7</v>
      </c>
      <c r="F250" s="2" t="str">
        <f t="shared" si="6"/>
        <v>E2_7_4_6_km : 1</v>
      </c>
      <c r="G250" s="2" t="str">
        <f t="shared" ref="G250:H250" si="505">CONCATENATE(C250," : ",C250)</f>
        <v>E2_7_4_6_mRNA : E2_7_4_6_mRNA</v>
      </c>
      <c r="H250" s="2" t="str">
        <f t="shared" si="505"/>
        <v>E2_7_4_6 : E2_7_4_6</v>
      </c>
      <c r="I250" s="2" t="str">
        <f t="shared" ref="I250:J250" si="506">CONCATENATE(C250," : ","0")</f>
        <v>E2_7_4_6_mRNA : 0</v>
      </c>
      <c r="J250" s="2" t="str">
        <f t="shared" si="506"/>
        <v>E2_7_4_6 : 0</v>
      </c>
      <c r="K250" s="2" t="str">
        <f t="shared" si="9"/>
        <v>0.00292 - (0.0093 * E2_7_4_6_mRNA)</v>
      </c>
      <c r="L250" s="2" t="str">
        <f t="shared" si="10"/>
        <v>(0.278 * E2_7_4_6_mRNA) - (0.00000278 * E2_7_4_6)</v>
      </c>
      <c r="M250" s="2" t="str">
        <f t="shared" si="11"/>
        <v>mRNA249: -&gt; E2_7_4_6_mRNA | 0.00292 - (0.0093 * E2_7_4_6_mRNA)</v>
      </c>
      <c r="N250" s="2" t="str">
        <f t="shared" si="12"/>
        <v>Peptide249: E2_7_4_6_mRNA -&gt; E2_7_4_6 | (0.278 * E2_7_4_6_mRNA) - (0.000000278 * E2_7_4_6)</v>
      </c>
    </row>
    <row r="251">
      <c r="A251" s="12">
        <v>250.0</v>
      </c>
      <c r="B251" s="2" t="s">
        <v>25175</v>
      </c>
      <c r="C251" s="2" t="str">
        <f t="shared" si="3"/>
        <v>E2_7_4_7_mRNA</v>
      </c>
      <c r="D251" s="2" t="str">
        <f t="shared" si="4"/>
        <v>E2_7_4_7</v>
      </c>
      <c r="E251" s="2" t="str">
        <f t="shared" si="5"/>
        <v>E2_7_4_7_kcat : 13.7</v>
      </c>
      <c r="F251" s="2" t="str">
        <f t="shared" si="6"/>
        <v>E2_7_4_7_km : 1</v>
      </c>
      <c r="G251" s="2" t="str">
        <f t="shared" ref="G251:H251" si="507">CONCATENATE(C251," : ",C251)</f>
        <v>E2_7_4_7_mRNA : E2_7_4_7_mRNA</v>
      </c>
      <c r="H251" s="2" t="str">
        <f t="shared" si="507"/>
        <v>E2_7_4_7 : E2_7_4_7</v>
      </c>
      <c r="I251" s="2" t="str">
        <f t="shared" ref="I251:J251" si="508">CONCATENATE(C251," : ","0")</f>
        <v>E2_7_4_7_mRNA : 0</v>
      </c>
      <c r="J251" s="2" t="str">
        <f t="shared" si="508"/>
        <v>E2_7_4_7 : 0</v>
      </c>
      <c r="K251" s="2" t="str">
        <f t="shared" si="9"/>
        <v>0.00292 - (0.0093 * E2_7_4_7_mRNA)</v>
      </c>
      <c r="L251" s="2" t="str">
        <f t="shared" si="10"/>
        <v>(0.278 * E2_7_4_7_mRNA) - (0.00000278 * E2_7_4_7)</v>
      </c>
      <c r="M251" s="2" t="str">
        <f t="shared" si="11"/>
        <v>mRNA250: -&gt; E2_7_4_7_mRNA | 0.00292 - (0.0093 * E2_7_4_7_mRNA)</v>
      </c>
      <c r="N251" s="2" t="str">
        <f t="shared" si="12"/>
        <v>Peptide250: E2_7_4_7_mRNA -&gt; E2_7_4_7 | (0.278 * E2_7_4_7_mRNA) - (0.000000278 * E2_7_4_7)</v>
      </c>
    </row>
    <row r="252">
      <c r="A252" s="12">
        <v>251.0</v>
      </c>
      <c r="B252" s="2" t="s">
        <v>25176</v>
      </c>
      <c r="C252" s="2" t="str">
        <f t="shared" si="3"/>
        <v>E2_7_4_8_mRNA</v>
      </c>
      <c r="D252" s="2" t="str">
        <f t="shared" si="4"/>
        <v>E2_7_4_8</v>
      </c>
      <c r="E252" s="2" t="str">
        <f t="shared" si="5"/>
        <v>E2_7_4_8_kcat : 13.7</v>
      </c>
      <c r="F252" s="2" t="str">
        <f t="shared" si="6"/>
        <v>E2_7_4_8_km : 1</v>
      </c>
      <c r="G252" s="2" t="str">
        <f t="shared" ref="G252:H252" si="509">CONCATENATE(C252," : ",C252)</f>
        <v>E2_7_4_8_mRNA : E2_7_4_8_mRNA</v>
      </c>
      <c r="H252" s="2" t="str">
        <f t="shared" si="509"/>
        <v>E2_7_4_8 : E2_7_4_8</v>
      </c>
      <c r="I252" s="2" t="str">
        <f t="shared" ref="I252:J252" si="510">CONCATENATE(C252," : ","0")</f>
        <v>E2_7_4_8_mRNA : 0</v>
      </c>
      <c r="J252" s="2" t="str">
        <f t="shared" si="510"/>
        <v>E2_7_4_8 : 0</v>
      </c>
      <c r="K252" s="2" t="str">
        <f t="shared" si="9"/>
        <v>0.00292 - (0.0093 * E2_7_4_8_mRNA)</v>
      </c>
      <c r="L252" s="2" t="str">
        <f t="shared" si="10"/>
        <v>(0.278 * E2_7_4_8_mRNA) - (0.00000278 * E2_7_4_8)</v>
      </c>
      <c r="M252" s="2" t="str">
        <f t="shared" si="11"/>
        <v>mRNA251: -&gt; E2_7_4_8_mRNA | 0.00292 - (0.0093 * E2_7_4_8_mRNA)</v>
      </c>
      <c r="N252" s="2" t="str">
        <f t="shared" si="12"/>
        <v>Peptide251: E2_7_4_8_mRNA -&gt; E2_7_4_8 | (0.278 * E2_7_4_8_mRNA) - (0.000000278 * E2_7_4_8)</v>
      </c>
    </row>
    <row r="253">
      <c r="A253" s="12">
        <v>252.0</v>
      </c>
      <c r="B253" s="2" t="s">
        <v>25177</v>
      </c>
      <c r="C253" s="2" t="str">
        <f t="shared" si="3"/>
        <v>E2_7_4_9_mRNA</v>
      </c>
      <c r="D253" s="2" t="str">
        <f t="shared" si="4"/>
        <v>E2_7_4_9</v>
      </c>
      <c r="E253" s="2" t="str">
        <f t="shared" si="5"/>
        <v>E2_7_4_9_kcat : 13.7</v>
      </c>
      <c r="F253" s="2" t="str">
        <f t="shared" si="6"/>
        <v>E2_7_4_9_km : 1</v>
      </c>
      <c r="G253" s="2" t="str">
        <f t="shared" ref="G253:H253" si="511">CONCATENATE(C253," : ",C253)</f>
        <v>E2_7_4_9_mRNA : E2_7_4_9_mRNA</v>
      </c>
      <c r="H253" s="2" t="str">
        <f t="shared" si="511"/>
        <v>E2_7_4_9 : E2_7_4_9</v>
      </c>
      <c r="I253" s="2" t="str">
        <f t="shared" ref="I253:J253" si="512">CONCATENATE(C253," : ","0")</f>
        <v>E2_7_4_9_mRNA : 0</v>
      </c>
      <c r="J253" s="2" t="str">
        <f t="shared" si="512"/>
        <v>E2_7_4_9 : 0</v>
      </c>
      <c r="K253" s="2" t="str">
        <f t="shared" si="9"/>
        <v>0.00292 - (0.0093 * E2_7_4_9_mRNA)</v>
      </c>
      <c r="L253" s="2" t="str">
        <f t="shared" si="10"/>
        <v>(0.278 * E2_7_4_9_mRNA) - (0.00000278 * E2_7_4_9)</v>
      </c>
      <c r="M253" s="2" t="str">
        <f t="shared" si="11"/>
        <v>mRNA252: -&gt; E2_7_4_9_mRNA | 0.00292 - (0.0093 * E2_7_4_9_mRNA)</v>
      </c>
      <c r="N253" s="2" t="str">
        <f t="shared" si="12"/>
        <v>Peptide252: E2_7_4_9_mRNA -&gt; E2_7_4_9 | (0.278 * E2_7_4_9_mRNA) - (0.000000278 * E2_7_4_9)</v>
      </c>
    </row>
    <row r="254">
      <c r="A254" s="12">
        <v>253.0</v>
      </c>
      <c r="B254" s="2" t="s">
        <v>25178</v>
      </c>
      <c r="C254" s="2" t="str">
        <f t="shared" si="3"/>
        <v>E2_7_6_1_mRNA</v>
      </c>
      <c r="D254" s="2" t="str">
        <f t="shared" si="4"/>
        <v>E2_7_6_1</v>
      </c>
      <c r="E254" s="2" t="str">
        <f t="shared" si="5"/>
        <v>E2_7_6_1_kcat : 13.7</v>
      </c>
      <c r="F254" s="2" t="str">
        <f t="shared" si="6"/>
        <v>E2_7_6_1_km : 1</v>
      </c>
      <c r="G254" s="2" t="str">
        <f t="shared" ref="G254:H254" si="513">CONCATENATE(C254," : ",C254)</f>
        <v>E2_7_6_1_mRNA : E2_7_6_1_mRNA</v>
      </c>
      <c r="H254" s="2" t="str">
        <f t="shared" si="513"/>
        <v>E2_7_6_1 : E2_7_6_1</v>
      </c>
      <c r="I254" s="2" t="str">
        <f t="shared" ref="I254:J254" si="514">CONCATENATE(C254," : ","0")</f>
        <v>E2_7_6_1_mRNA : 0</v>
      </c>
      <c r="J254" s="2" t="str">
        <f t="shared" si="514"/>
        <v>E2_7_6_1 : 0</v>
      </c>
      <c r="K254" s="2" t="str">
        <f t="shared" si="9"/>
        <v>0.00292 - (0.0093 * E2_7_6_1_mRNA)</v>
      </c>
      <c r="L254" s="2" t="str">
        <f t="shared" si="10"/>
        <v>(0.278 * E2_7_6_1_mRNA) - (0.00000278 * E2_7_6_1)</v>
      </c>
      <c r="M254" s="2" t="str">
        <f t="shared" si="11"/>
        <v>mRNA253: -&gt; E2_7_6_1_mRNA | 0.00292 - (0.0093 * E2_7_6_1_mRNA)</v>
      </c>
      <c r="N254" s="2" t="str">
        <f t="shared" si="12"/>
        <v>Peptide253: E2_7_6_1_mRNA -&gt; E2_7_6_1 | (0.278 * E2_7_6_1_mRNA) - (0.000000278 * E2_7_6_1)</v>
      </c>
    </row>
    <row r="255">
      <c r="A255" s="12">
        <v>254.0</v>
      </c>
      <c r="B255" s="2" t="s">
        <v>25179</v>
      </c>
      <c r="C255" s="2" t="str">
        <f t="shared" si="3"/>
        <v>E2_7_6_2_mRNA</v>
      </c>
      <c r="D255" s="2" t="str">
        <f t="shared" si="4"/>
        <v>E2_7_6_2</v>
      </c>
      <c r="E255" s="2" t="str">
        <f t="shared" si="5"/>
        <v>E2_7_6_2_kcat : 13.7</v>
      </c>
      <c r="F255" s="2" t="str">
        <f t="shared" si="6"/>
        <v>E2_7_6_2_km : 1</v>
      </c>
      <c r="G255" s="2" t="str">
        <f t="shared" ref="G255:H255" si="515">CONCATENATE(C255," : ",C255)</f>
        <v>E2_7_6_2_mRNA : E2_7_6_2_mRNA</v>
      </c>
      <c r="H255" s="2" t="str">
        <f t="shared" si="515"/>
        <v>E2_7_6_2 : E2_7_6_2</v>
      </c>
      <c r="I255" s="2" t="str">
        <f t="shared" ref="I255:J255" si="516">CONCATENATE(C255," : ","0")</f>
        <v>E2_7_6_2_mRNA : 0</v>
      </c>
      <c r="J255" s="2" t="str">
        <f t="shared" si="516"/>
        <v>E2_7_6_2 : 0</v>
      </c>
      <c r="K255" s="2" t="str">
        <f t="shared" si="9"/>
        <v>0.00292 - (0.0093 * E2_7_6_2_mRNA)</v>
      </c>
      <c r="L255" s="2" t="str">
        <f t="shared" si="10"/>
        <v>(0.278 * E2_7_6_2_mRNA) - (0.00000278 * E2_7_6_2)</v>
      </c>
      <c r="M255" s="2" t="str">
        <f t="shared" si="11"/>
        <v>mRNA254: -&gt; E2_7_6_2_mRNA | 0.00292 - (0.0093 * E2_7_6_2_mRNA)</v>
      </c>
      <c r="N255" s="2" t="str">
        <f t="shared" si="12"/>
        <v>Peptide254: E2_7_6_2_mRNA -&gt; E2_7_6_2 | (0.278 * E2_7_6_2_mRNA) - (0.000000278 * E2_7_6_2)</v>
      </c>
    </row>
    <row r="256">
      <c r="A256" s="12">
        <v>255.0</v>
      </c>
      <c r="B256" s="2" t="s">
        <v>25180</v>
      </c>
      <c r="C256" s="2" t="str">
        <f t="shared" si="3"/>
        <v>E2_7_6_3_mRNA</v>
      </c>
      <c r="D256" s="2" t="str">
        <f t="shared" si="4"/>
        <v>E2_7_6_3</v>
      </c>
      <c r="E256" s="2" t="str">
        <f t="shared" si="5"/>
        <v>E2_7_6_3_kcat : 13.7</v>
      </c>
      <c r="F256" s="2" t="str">
        <f t="shared" si="6"/>
        <v>E2_7_6_3_km : 1</v>
      </c>
      <c r="G256" s="2" t="str">
        <f t="shared" ref="G256:H256" si="517">CONCATENATE(C256," : ",C256)</f>
        <v>E2_7_6_3_mRNA : E2_7_6_3_mRNA</v>
      </c>
      <c r="H256" s="2" t="str">
        <f t="shared" si="517"/>
        <v>E2_7_6_3 : E2_7_6_3</v>
      </c>
      <c r="I256" s="2" t="str">
        <f t="shared" ref="I256:J256" si="518">CONCATENATE(C256," : ","0")</f>
        <v>E2_7_6_3_mRNA : 0</v>
      </c>
      <c r="J256" s="2" t="str">
        <f t="shared" si="518"/>
        <v>E2_7_6_3 : 0</v>
      </c>
      <c r="K256" s="2" t="str">
        <f t="shared" si="9"/>
        <v>0.00292 - (0.0093 * E2_7_6_3_mRNA)</v>
      </c>
      <c r="L256" s="2" t="str">
        <f t="shared" si="10"/>
        <v>(0.278 * E2_7_6_3_mRNA) - (0.00000278 * E2_7_6_3)</v>
      </c>
      <c r="M256" s="2" t="str">
        <f t="shared" si="11"/>
        <v>mRNA255: -&gt; E2_7_6_3_mRNA | 0.00292 - (0.0093 * E2_7_6_3_mRNA)</v>
      </c>
      <c r="N256" s="2" t="str">
        <f t="shared" si="12"/>
        <v>Peptide255: E2_7_6_3_mRNA -&gt; E2_7_6_3 | (0.278 * E2_7_6_3_mRNA) - (0.000000278 * E2_7_6_3)</v>
      </c>
    </row>
    <row r="257">
      <c r="A257" s="12">
        <v>256.0</v>
      </c>
      <c r="B257" s="2" t="s">
        <v>25181</v>
      </c>
      <c r="C257" s="2" t="str">
        <f t="shared" si="3"/>
        <v>E2_7_6_5_mRNA</v>
      </c>
      <c r="D257" s="2" t="str">
        <f t="shared" si="4"/>
        <v>E2_7_6_5</v>
      </c>
      <c r="E257" s="2" t="str">
        <f t="shared" si="5"/>
        <v>E2_7_6_5_kcat : 13.7</v>
      </c>
      <c r="F257" s="2" t="str">
        <f t="shared" si="6"/>
        <v>E2_7_6_5_km : 1</v>
      </c>
      <c r="G257" s="2" t="str">
        <f t="shared" ref="G257:H257" si="519">CONCATENATE(C257," : ",C257)</f>
        <v>E2_7_6_5_mRNA : E2_7_6_5_mRNA</v>
      </c>
      <c r="H257" s="2" t="str">
        <f t="shared" si="519"/>
        <v>E2_7_6_5 : E2_7_6_5</v>
      </c>
      <c r="I257" s="2" t="str">
        <f t="shared" ref="I257:J257" si="520">CONCATENATE(C257," : ","0")</f>
        <v>E2_7_6_5_mRNA : 0</v>
      </c>
      <c r="J257" s="2" t="str">
        <f t="shared" si="520"/>
        <v>E2_7_6_5 : 0</v>
      </c>
      <c r="K257" s="2" t="str">
        <f t="shared" si="9"/>
        <v>0.00292 - (0.0093 * E2_7_6_5_mRNA)</v>
      </c>
      <c r="L257" s="2" t="str">
        <f t="shared" si="10"/>
        <v>(0.278 * E2_7_6_5_mRNA) - (0.00000278 * E2_7_6_5)</v>
      </c>
      <c r="M257" s="2" t="str">
        <f t="shared" si="11"/>
        <v>mRNA256: -&gt; E2_7_6_5_mRNA | 0.00292 - (0.0093 * E2_7_6_5_mRNA)</v>
      </c>
      <c r="N257" s="2" t="str">
        <f t="shared" si="12"/>
        <v>Peptide256: E2_7_6_5_mRNA -&gt; E2_7_6_5 | (0.278 * E2_7_6_5_mRNA) - (0.000000278 * E2_7_6_5)</v>
      </c>
    </row>
    <row r="258">
      <c r="A258" s="12">
        <v>257.0</v>
      </c>
      <c r="B258" s="2" t="s">
        <v>25182</v>
      </c>
      <c r="C258" s="2" t="str">
        <f t="shared" si="3"/>
        <v>E2_7_7_2_mRNA</v>
      </c>
      <c r="D258" s="2" t="str">
        <f t="shared" si="4"/>
        <v>E2_7_7_2</v>
      </c>
      <c r="E258" s="2" t="str">
        <f t="shared" si="5"/>
        <v>E2_7_7_2_kcat : 13.7</v>
      </c>
      <c r="F258" s="2" t="str">
        <f t="shared" si="6"/>
        <v>E2_7_7_2_km : 1</v>
      </c>
      <c r="G258" s="2" t="str">
        <f t="shared" ref="G258:H258" si="521">CONCATENATE(C258," : ",C258)</f>
        <v>E2_7_7_2_mRNA : E2_7_7_2_mRNA</v>
      </c>
      <c r="H258" s="2" t="str">
        <f t="shared" si="521"/>
        <v>E2_7_7_2 : E2_7_7_2</v>
      </c>
      <c r="I258" s="2" t="str">
        <f t="shared" ref="I258:J258" si="522">CONCATENATE(C258," : ","0")</f>
        <v>E2_7_7_2_mRNA : 0</v>
      </c>
      <c r="J258" s="2" t="str">
        <f t="shared" si="522"/>
        <v>E2_7_7_2 : 0</v>
      </c>
      <c r="K258" s="2" t="str">
        <f t="shared" si="9"/>
        <v>0.00292 - (0.0093 * E2_7_7_2_mRNA)</v>
      </c>
      <c r="L258" s="2" t="str">
        <f t="shared" si="10"/>
        <v>(0.278 * E2_7_7_2_mRNA) - (0.00000278 * E2_7_7_2)</v>
      </c>
      <c r="M258" s="2" t="str">
        <f t="shared" si="11"/>
        <v>mRNA257: -&gt; E2_7_7_2_mRNA | 0.00292 - (0.0093 * E2_7_7_2_mRNA)</v>
      </c>
      <c r="N258" s="2" t="str">
        <f t="shared" si="12"/>
        <v>Peptide257: E2_7_7_2_mRNA -&gt; E2_7_7_2 | (0.278 * E2_7_7_2_mRNA) - (0.000000278 * E2_7_7_2)</v>
      </c>
    </row>
    <row r="259">
      <c r="A259" s="12">
        <v>258.0</v>
      </c>
      <c r="B259" s="2" t="s">
        <v>25183</v>
      </c>
      <c r="C259" s="2" t="str">
        <f t="shared" si="3"/>
        <v>E2_7_7_23_mRNA</v>
      </c>
      <c r="D259" s="2" t="str">
        <f t="shared" si="4"/>
        <v>E2_7_7_23</v>
      </c>
      <c r="E259" s="2" t="str">
        <f t="shared" si="5"/>
        <v>E2_7_7_23_kcat : 13.7</v>
      </c>
      <c r="F259" s="2" t="str">
        <f t="shared" si="6"/>
        <v>E2_7_7_23_km : 1</v>
      </c>
      <c r="G259" s="2" t="str">
        <f t="shared" ref="G259:H259" si="523">CONCATENATE(C259," : ",C259)</f>
        <v>E2_7_7_23_mRNA : E2_7_7_23_mRNA</v>
      </c>
      <c r="H259" s="2" t="str">
        <f t="shared" si="523"/>
        <v>E2_7_7_23 : E2_7_7_23</v>
      </c>
      <c r="I259" s="2" t="str">
        <f t="shared" ref="I259:J259" si="524">CONCATENATE(C259," : ","0")</f>
        <v>E2_7_7_23_mRNA : 0</v>
      </c>
      <c r="J259" s="2" t="str">
        <f t="shared" si="524"/>
        <v>E2_7_7_23 : 0</v>
      </c>
      <c r="K259" s="2" t="str">
        <f t="shared" si="9"/>
        <v>0.00292 - (0.0093 * E2_7_7_23_mRNA)</v>
      </c>
      <c r="L259" s="2" t="str">
        <f t="shared" si="10"/>
        <v>(0.278 * E2_7_7_23_mRNA) - (0.00000278 * E2_7_7_23)</v>
      </c>
      <c r="M259" s="2" t="str">
        <f t="shared" si="11"/>
        <v>mRNA258: -&gt; E2_7_7_23_mRNA | 0.00292 - (0.0093 * E2_7_7_23_mRNA)</v>
      </c>
      <c r="N259" s="2" t="str">
        <f t="shared" si="12"/>
        <v>Peptide258: E2_7_7_23_mRNA -&gt; E2_7_7_23 | (0.278 * E2_7_7_23_mRNA) - (0.000000278 * E2_7_7_23)</v>
      </c>
    </row>
    <row r="260">
      <c r="A260" s="12">
        <v>259.0</v>
      </c>
      <c r="B260" s="2" t="s">
        <v>25184</v>
      </c>
      <c r="C260" s="2" t="str">
        <f t="shared" si="3"/>
        <v>E2_7_7_27_mRNA</v>
      </c>
      <c r="D260" s="2" t="str">
        <f t="shared" si="4"/>
        <v>E2_7_7_27</v>
      </c>
      <c r="E260" s="2" t="str">
        <f t="shared" si="5"/>
        <v>E2_7_7_27_kcat : 13.7</v>
      </c>
      <c r="F260" s="2" t="str">
        <f t="shared" si="6"/>
        <v>E2_7_7_27_km : 1</v>
      </c>
      <c r="G260" s="2" t="str">
        <f t="shared" ref="G260:H260" si="525">CONCATENATE(C260," : ",C260)</f>
        <v>E2_7_7_27_mRNA : E2_7_7_27_mRNA</v>
      </c>
      <c r="H260" s="2" t="str">
        <f t="shared" si="525"/>
        <v>E2_7_7_27 : E2_7_7_27</v>
      </c>
      <c r="I260" s="2" t="str">
        <f t="shared" ref="I260:J260" si="526">CONCATENATE(C260," : ","0")</f>
        <v>E2_7_7_27_mRNA : 0</v>
      </c>
      <c r="J260" s="2" t="str">
        <f t="shared" si="526"/>
        <v>E2_7_7_27 : 0</v>
      </c>
      <c r="K260" s="2" t="str">
        <f t="shared" si="9"/>
        <v>0.00292 - (0.0093 * E2_7_7_27_mRNA)</v>
      </c>
      <c r="L260" s="2" t="str">
        <f t="shared" si="10"/>
        <v>(0.278 * E2_7_7_27_mRNA) - (0.00000278 * E2_7_7_27)</v>
      </c>
      <c r="M260" s="2" t="str">
        <f t="shared" si="11"/>
        <v>mRNA259: -&gt; E2_7_7_27_mRNA | 0.00292 - (0.0093 * E2_7_7_27_mRNA)</v>
      </c>
      <c r="N260" s="2" t="str">
        <f t="shared" si="12"/>
        <v>Peptide259: E2_7_7_27_mRNA -&gt; E2_7_7_27 | (0.278 * E2_7_7_27_mRNA) - (0.000000278 * E2_7_7_27)</v>
      </c>
    </row>
    <row r="261">
      <c r="A261" s="12">
        <v>260.0</v>
      </c>
      <c r="B261" s="2" t="s">
        <v>25185</v>
      </c>
      <c r="C261" s="2" t="str">
        <f t="shared" si="3"/>
        <v>E2_7_7_3_mRNA</v>
      </c>
      <c r="D261" s="2" t="str">
        <f t="shared" si="4"/>
        <v>E2_7_7_3</v>
      </c>
      <c r="E261" s="2" t="str">
        <f t="shared" si="5"/>
        <v>E2_7_7_3_kcat : 13.7</v>
      </c>
      <c r="F261" s="2" t="str">
        <f t="shared" si="6"/>
        <v>E2_7_7_3_km : 1</v>
      </c>
      <c r="G261" s="2" t="str">
        <f t="shared" ref="G261:H261" si="527">CONCATENATE(C261," : ",C261)</f>
        <v>E2_7_7_3_mRNA : E2_7_7_3_mRNA</v>
      </c>
      <c r="H261" s="2" t="str">
        <f t="shared" si="527"/>
        <v>E2_7_7_3 : E2_7_7_3</v>
      </c>
      <c r="I261" s="2" t="str">
        <f t="shared" ref="I261:J261" si="528">CONCATENATE(C261," : ","0")</f>
        <v>E2_7_7_3_mRNA : 0</v>
      </c>
      <c r="J261" s="2" t="str">
        <f t="shared" si="528"/>
        <v>E2_7_7_3 : 0</v>
      </c>
      <c r="K261" s="2" t="str">
        <f t="shared" si="9"/>
        <v>0.00292 - (0.0093 * E2_7_7_3_mRNA)</v>
      </c>
      <c r="L261" s="2" t="str">
        <f t="shared" si="10"/>
        <v>(0.278 * E2_7_7_3_mRNA) - (0.00000278 * E2_7_7_3)</v>
      </c>
      <c r="M261" s="2" t="str">
        <f t="shared" si="11"/>
        <v>mRNA260: -&gt; E2_7_7_3_mRNA | 0.00292 - (0.0093 * E2_7_7_3_mRNA)</v>
      </c>
      <c r="N261" s="2" t="str">
        <f t="shared" si="12"/>
        <v>Peptide260: E2_7_7_3_mRNA -&gt; E2_7_7_3 | (0.278 * E2_7_7_3_mRNA) - (0.000000278 * E2_7_7_3)</v>
      </c>
    </row>
    <row r="262">
      <c r="A262" s="12">
        <v>261.0</v>
      </c>
      <c r="B262" s="2" t="s">
        <v>25186</v>
      </c>
      <c r="C262" s="2" t="str">
        <f t="shared" si="3"/>
        <v>E2_7_7_33_mRNA</v>
      </c>
      <c r="D262" s="2" t="str">
        <f t="shared" si="4"/>
        <v>E2_7_7_33</v>
      </c>
      <c r="E262" s="2" t="str">
        <f t="shared" si="5"/>
        <v>E2_7_7_33_kcat : 13.7</v>
      </c>
      <c r="F262" s="2" t="str">
        <f t="shared" si="6"/>
        <v>E2_7_7_33_km : 1</v>
      </c>
      <c r="G262" s="2" t="str">
        <f t="shared" ref="G262:H262" si="529">CONCATENATE(C262," : ",C262)</f>
        <v>E2_7_7_33_mRNA : E2_7_7_33_mRNA</v>
      </c>
      <c r="H262" s="2" t="str">
        <f t="shared" si="529"/>
        <v>E2_7_7_33 : E2_7_7_33</v>
      </c>
      <c r="I262" s="2" t="str">
        <f t="shared" ref="I262:J262" si="530">CONCATENATE(C262," : ","0")</f>
        <v>E2_7_7_33_mRNA : 0</v>
      </c>
      <c r="J262" s="2" t="str">
        <f t="shared" si="530"/>
        <v>E2_7_7_33 : 0</v>
      </c>
      <c r="K262" s="2" t="str">
        <f t="shared" si="9"/>
        <v>0.00292 - (0.0093 * E2_7_7_33_mRNA)</v>
      </c>
      <c r="L262" s="2" t="str">
        <f t="shared" si="10"/>
        <v>(0.278 * E2_7_7_33_mRNA) - (0.00000278 * E2_7_7_33)</v>
      </c>
      <c r="M262" s="2" t="str">
        <f t="shared" si="11"/>
        <v>mRNA261: -&gt; E2_7_7_33_mRNA | 0.00292 - (0.0093 * E2_7_7_33_mRNA)</v>
      </c>
      <c r="N262" s="2" t="str">
        <f t="shared" si="12"/>
        <v>Peptide261: E2_7_7_33_mRNA -&gt; E2_7_7_33 | (0.278 * E2_7_7_33_mRNA) - (0.000000278 * E2_7_7_33)</v>
      </c>
    </row>
    <row r="263">
      <c r="A263" s="12">
        <v>262.0</v>
      </c>
      <c r="B263" s="2" t="s">
        <v>25187</v>
      </c>
      <c r="C263" s="2" t="str">
        <f t="shared" si="3"/>
        <v>E2_7_7_4_mRNA</v>
      </c>
      <c r="D263" s="2" t="str">
        <f t="shared" si="4"/>
        <v>E2_7_7_4</v>
      </c>
      <c r="E263" s="2" t="str">
        <f t="shared" si="5"/>
        <v>E2_7_7_4_kcat : 13.7</v>
      </c>
      <c r="F263" s="2" t="str">
        <f t="shared" si="6"/>
        <v>E2_7_7_4_km : 1</v>
      </c>
      <c r="G263" s="2" t="str">
        <f t="shared" ref="G263:H263" si="531">CONCATENATE(C263," : ",C263)</f>
        <v>E2_7_7_4_mRNA : E2_7_7_4_mRNA</v>
      </c>
      <c r="H263" s="2" t="str">
        <f t="shared" si="531"/>
        <v>E2_7_7_4 : E2_7_7_4</v>
      </c>
      <c r="I263" s="2" t="str">
        <f t="shared" ref="I263:J263" si="532">CONCATENATE(C263," : ","0")</f>
        <v>E2_7_7_4_mRNA : 0</v>
      </c>
      <c r="J263" s="2" t="str">
        <f t="shared" si="532"/>
        <v>E2_7_7_4 : 0</v>
      </c>
      <c r="K263" s="2" t="str">
        <f t="shared" si="9"/>
        <v>0.00292 - (0.0093 * E2_7_7_4_mRNA)</v>
      </c>
      <c r="L263" s="2" t="str">
        <f t="shared" si="10"/>
        <v>(0.278 * E2_7_7_4_mRNA) - (0.00000278 * E2_7_7_4)</v>
      </c>
      <c r="M263" s="2" t="str">
        <f t="shared" si="11"/>
        <v>mRNA262: -&gt; E2_7_7_4_mRNA | 0.00292 - (0.0093 * E2_7_7_4_mRNA)</v>
      </c>
      <c r="N263" s="2" t="str">
        <f t="shared" si="12"/>
        <v>Peptide262: E2_7_7_4_mRNA -&gt; E2_7_7_4 | (0.278 * E2_7_7_4_mRNA) - (0.000000278 * E2_7_7_4)</v>
      </c>
    </row>
    <row r="264">
      <c r="A264" s="12">
        <v>263.0</v>
      </c>
      <c r="B264" s="2" t="s">
        <v>25188</v>
      </c>
      <c r="C264" s="2" t="str">
        <f t="shared" si="3"/>
        <v>E2_7_7_41_mRNA</v>
      </c>
      <c r="D264" s="2" t="str">
        <f t="shared" si="4"/>
        <v>E2_7_7_41</v>
      </c>
      <c r="E264" s="2" t="str">
        <f t="shared" si="5"/>
        <v>E2_7_7_41_kcat : 13.7</v>
      </c>
      <c r="F264" s="2" t="str">
        <f t="shared" si="6"/>
        <v>E2_7_7_41_km : 1</v>
      </c>
      <c r="G264" s="2" t="str">
        <f t="shared" ref="G264:H264" si="533">CONCATENATE(C264," : ",C264)</f>
        <v>E2_7_7_41_mRNA : E2_7_7_41_mRNA</v>
      </c>
      <c r="H264" s="2" t="str">
        <f t="shared" si="533"/>
        <v>E2_7_7_41 : E2_7_7_41</v>
      </c>
      <c r="I264" s="2" t="str">
        <f t="shared" ref="I264:J264" si="534">CONCATENATE(C264," : ","0")</f>
        <v>E2_7_7_41_mRNA : 0</v>
      </c>
      <c r="J264" s="2" t="str">
        <f t="shared" si="534"/>
        <v>E2_7_7_41 : 0</v>
      </c>
      <c r="K264" s="2" t="str">
        <f t="shared" si="9"/>
        <v>0.00292 - (0.0093 * E2_7_7_41_mRNA)</v>
      </c>
      <c r="L264" s="2" t="str">
        <f t="shared" si="10"/>
        <v>(0.278 * E2_7_7_41_mRNA) - (0.00000278 * E2_7_7_41)</v>
      </c>
      <c r="M264" s="2" t="str">
        <f t="shared" si="11"/>
        <v>mRNA263: -&gt; E2_7_7_41_mRNA | 0.00292 - (0.0093 * E2_7_7_41_mRNA)</v>
      </c>
      <c r="N264" s="2" t="str">
        <f t="shared" si="12"/>
        <v>Peptide263: E2_7_7_41_mRNA -&gt; E2_7_7_41 | (0.278 * E2_7_7_41_mRNA) - (0.000000278 * E2_7_7_41)</v>
      </c>
    </row>
    <row r="265">
      <c r="A265" s="12">
        <v>264.0</v>
      </c>
      <c r="B265" s="2" t="s">
        <v>25189</v>
      </c>
      <c r="C265" s="2" t="str">
        <f t="shared" si="3"/>
        <v>E2_7_7_49_mRNA</v>
      </c>
      <c r="D265" s="2" t="str">
        <f t="shared" si="4"/>
        <v>E2_7_7_49</v>
      </c>
      <c r="E265" s="2" t="str">
        <f t="shared" si="5"/>
        <v>E2_7_7_49_kcat : 13.7</v>
      </c>
      <c r="F265" s="2" t="str">
        <f t="shared" si="6"/>
        <v>E2_7_7_49_km : 1</v>
      </c>
      <c r="G265" s="2" t="str">
        <f t="shared" ref="G265:H265" si="535">CONCATENATE(C265," : ",C265)</f>
        <v>E2_7_7_49_mRNA : E2_7_7_49_mRNA</v>
      </c>
      <c r="H265" s="2" t="str">
        <f t="shared" si="535"/>
        <v>E2_7_7_49 : E2_7_7_49</v>
      </c>
      <c r="I265" s="2" t="str">
        <f t="shared" ref="I265:J265" si="536">CONCATENATE(C265," : ","0")</f>
        <v>E2_7_7_49_mRNA : 0</v>
      </c>
      <c r="J265" s="2" t="str">
        <f t="shared" si="536"/>
        <v>E2_7_7_49 : 0</v>
      </c>
      <c r="K265" s="2" t="str">
        <f t="shared" si="9"/>
        <v>0.00292 - (0.0093 * E2_7_7_49_mRNA)</v>
      </c>
      <c r="L265" s="2" t="str">
        <f t="shared" si="10"/>
        <v>(0.278 * E2_7_7_49_mRNA) - (0.00000278 * E2_7_7_49)</v>
      </c>
      <c r="M265" s="2" t="str">
        <f t="shared" si="11"/>
        <v>mRNA264: -&gt; E2_7_7_49_mRNA | 0.00292 - (0.0093 * E2_7_7_49_mRNA)</v>
      </c>
      <c r="N265" s="2" t="str">
        <f t="shared" si="12"/>
        <v>Peptide264: E2_7_7_49_mRNA -&gt; E2_7_7_49 | (0.278 * E2_7_7_49_mRNA) - (0.000000278 * E2_7_7_49)</v>
      </c>
    </row>
    <row r="266">
      <c r="A266" s="12">
        <v>265.0</v>
      </c>
      <c r="B266" s="2" t="s">
        <v>25190</v>
      </c>
      <c r="C266" s="2" t="str">
        <f t="shared" si="3"/>
        <v>E2_7_7_56_mRNA</v>
      </c>
      <c r="D266" s="2" t="str">
        <f t="shared" si="4"/>
        <v>E2_7_7_56</v>
      </c>
      <c r="E266" s="2" t="str">
        <f t="shared" si="5"/>
        <v>E2_7_7_56_kcat : 13.7</v>
      </c>
      <c r="F266" s="2" t="str">
        <f t="shared" si="6"/>
        <v>E2_7_7_56_km : 1</v>
      </c>
      <c r="G266" s="2" t="str">
        <f t="shared" ref="G266:H266" si="537">CONCATENATE(C266," : ",C266)</f>
        <v>E2_7_7_56_mRNA : E2_7_7_56_mRNA</v>
      </c>
      <c r="H266" s="2" t="str">
        <f t="shared" si="537"/>
        <v>E2_7_7_56 : E2_7_7_56</v>
      </c>
      <c r="I266" s="2" t="str">
        <f t="shared" ref="I266:J266" si="538">CONCATENATE(C266," : ","0")</f>
        <v>E2_7_7_56_mRNA : 0</v>
      </c>
      <c r="J266" s="2" t="str">
        <f t="shared" si="538"/>
        <v>E2_7_7_56 : 0</v>
      </c>
      <c r="K266" s="2" t="str">
        <f t="shared" si="9"/>
        <v>0.00292 - (0.0093 * E2_7_7_56_mRNA)</v>
      </c>
      <c r="L266" s="2" t="str">
        <f t="shared" si="10"/>
        <v>(0.278 * E2_7_7_56_mRNA) - (0.00000278 * E2_7_7_56)</v>
      </c>
      <c r="M266" s="2" t="str">
        <f t="shared" si="11"/>
        <v>mRNA265: -&gt; E2_7_7_56_mRNA | 0.00292 - (0.0093 * E2_7_7_56_mRNA)</v>
      </c>
      <c r="N266" s="2" t="str">
        <f t="shared" si="12"/>
        <v>Peptide265: E2_7_7_56_mRNA -&gt; E2_7_7_56 | (0.278 * E2_7_7_56_mRNA) - (0.000000278 * E2_7_7_56)</v>
      </c>
    </row>
    <row r="267">
      <c r="A267" s="12">
        <v>266.0</v>
      </c>
      <c r="B267" s="2" t="s">
        <v>25191</v>
      </c>
      <c r="C267" s="2" t="str">
        <f t="shared" si="3"/>
        <v>E2_7_7_6_mRNA</v>
      </c>
      <c r="D267" s="2" t="str">
        <f t="shared" si="4"/>
        <v>E2_7_7_6</v>
      </c>
      <c r="E267" s="2" t="str">
        <f t="shared" si="5"/>
        <v>E2_7_7_6_kcat : 13.7</v>
      </c>
      <c r="F267" s="2" t="str">
        <f t="shared" si="6"/>
        <v>E2_7_7_6_km : 1</v>
      </c>
      <c r="G267" s="2" t="str">
        <f t="shared" ref="G267:H267" si="539">CONCATENATE(C267," : ",C267)</f>
        <v>E2_7_7_6_mRNA : E2_7_7_6_mRNA</v>
      </c>
      <c r="H267" s="2" t="str">
        <f t="shared" si="539"/>
        <v>E2_7_7_6 : E2_7_7_6</v>
      </c>
      <c r="I267" s="2" t="str">
        <f t="shared" ref="I267:J267" si="540">CONCATENATE(C267," : ","0")</f>
        <v>E2_7_7_6_mRNA : 0</v>
      </c>
      <c r="J267" s="2" t="str">
        <f t="shared" si="540"/>
        <v>E2_7_7_6 : 0</v>
      </c>
      <c r="K267" s="2" t="str">
        <f t="shared" si="9"/>
        <v>0.00292 - (0.0093 * E2_7_7_6_mRNA)</v>
      </c>
      <c r="L267" s="2" t="str">
        <f t="shared" si="10"/>
        <v>(0.278 * E2_7_7_6_mRNA) - (0.00000278 * E2_7_7_6)</v>
      </c>
      <c r="M267" s="2" t="str">
        <f t="shared" si="11"/>
        <v>mRNA266: -&gt; E2_7_7_6_mRNA | 0.00292 - (0.0093 * E2_7_7_6_mRNA)</v>
      </c>
      <c r="N267" s="2" t="str">
        <f t="shared" si="12"/>
        <v>Peptide266: E2_7_7_6_mRNA -&gt; E2_7_7_6 | (0.278 * E2_7_7_6_mRNA) - (0.000000278 * E2_7_7_6)</v>
      </c>
    </row>
    <row r="268">
      <c r="A268" s="12">
        <v>267.0</v>
      </c>
      <c r="B268" s="2" t="s">
        <v>25192</v>
      </c>
      <c r="C268" s="2" t="str">
        <f t="shared" si="3"/>
        <v>E2_7_7_60_mRNA</v>
      </c>
      <c r="D268" s="2" t="str">
        <f t="shared" si="4"/>
        <v>E2_7_7_60</v>
      </c>
      <c r="E268" s="2" t="str">
        <f t="shared" si="5"/>
        <v>E2_7_7_60_kcat : 13.7</v>
      </c>
      <c r="F268" s="2" t="str">
        <f t="shared" si="6"/>
        <v>E2_7_7_60_km : 1</v>
      </c>
      <c r="G268" s="2" t="str">
        <f t="shared" ref="G268:H268" si="541">CONCATENATE(C268," : ",C268)</f>
        <v>E2_7_7_60_mRNA : E2_7_7_60_mRNA</v>
      </c>
      <c r="H268" s="2" t="str">
        <f t="shared" si="541"/>
        <v>E2_7_7_60 : E2_7_7_60</v>
      </c>
      <c r="I268" s="2" t="str">
        <f t="shared" ref="I268:J268" si="542">CONCATENATE(C268," : ","0")</f>
        <v>E2_7_7_60_mRNA : 0</v>
      </c>
      <c r="J268" s="2" t="str">
        <f t="shared" si="542"/>
        <v>E2_7_7_60 : 0</v>
      </c>
      <c r="K268" s="2" t="str">
        <f t="shared" si="9"/>
        <v>0.00292 - (0.0093 * E2_7_7_60_mRNA)</v>
      </c>
      <c r="L268" s="2" t="str">
        <f t="shared" si="10"/>
        <v>(0.278 * E2_7_7_60_mRNA) - (0.00000278 * E2_7_7_60)</v>
      </c>
      <c r="M268" s="2" t="str">
        <f t="shared" si="11"/>
        <v>mRNA267: -&gt; E2_7_7_60_mRNA | 0.00292 - (0.0093 * E2_7_7_60_mRNA)</v>
      </c>
      <c r="N268" s="2" t="str">
        <f t="shared" si="12"/>
        <v>Peptide267: E2_7_7_60_mRNA -&gt; E2_7_7_60 | (0.278 * E2_7_7_60_mRNA) - (0.000000278 * E2_7_7_60)</v>
      </c>
    </row>
    <row r="269">
      <c r="A269" s="12">
        <v>268.0</v>
      </c>
      <c r="B269" s="2" t="s">
        <v>25193</v>
      </c>
      <c r="C269" s="2" t="str">
        <f t="shared" si="3"/>
        <v>E2_7_7_65_mRNA</v>
      </c>
      <c r="D269" s="2" t="str">
        <f t="shared" si="4"/>
        <v>E2_7_7_65</v>
      </c>
      <c r="E269" s="2" t="str">
        <f t="shared" si="5"/>
        <v>E2_7_7_65_kcat : 13.7</v>
      </c>
      <c r="F269" s="2" t="str">
        <f t="shared" si="6"/>
        <v>E2_7_7_65_km : 1</v>
      </c>
      <c r="G269" s="2" t="str">
        <f t="shared" ref="G269:H269" si="543">CONCATENATE(C269," : ",C269)</f>
        <v>E2_7_7_65_mRNA : E2_7_7_65_mRNA</v>
      </c>
      <c r="H269" s="2" t="str">
        <f t="shared" si="543"/>
        <v>E2_7_7_65 : E2_7_7_65</v>
      </c>
      <c r="I269" s="2" t="str">
        <f t="shared" ref="I269:J269" si="544">CONCATENATE(C269," : ","0")</f>
        <v>E2_7_7_65_mRNA : 0</v>
      </c>
      <c r="J269" s="2" t="str">
        <f t="shared" si="544"/>
        <v>E2_7_7_65 : 0</v>
      </c>
      <c r="K269" s="2" t="str">
        <f t="shared" si="9"/>
        <v>0.00292 - (0.0093 * E2_7_7_65_mRNA)</v>
      </c>
      <c r="L269" s="2" t="str">
        <f t="shared" si="10"/>
        <v>(0.278 * E2_7_7_65_mRNA) - (0.00000278 * E2_7_7_65)</v>
      </c>
      <c r="M269" s="2" t="str">
        <f t="shared" si="11"/>
        <v>mRNA268: -&gt; E2_7_7_65_mRNA | 0.00292 - (0.0093 * E2_7_7_65_mRNA)</v>
      </c>
      <c r="N269" s="2" t="str">
        <f t="shared" si="12"/>
        <v>Peptide268: E2_7_7_65_mRNA -&gt; E2_7_7_65 | (0.278 * E2_7_7_65_mRNA) - (0.000000278 * E2_7_7_65)</v>
      </c>
    </row>
    <row r="270">
      <c r="A270" s="12">
        <v>269.0</v>
      </c>
      <c r="B270" s="2" t="s">
        <v>25194</v>
      </c>
      <c r="C270" s="2" t="str">
        <f t="shared" si="3"/>
        <v>E2_7_7_7_mRNA</v>
      </c>
      <c r="D270" s="2" t="str">
        <f t="shared" si="4"/>
        <v>E2_7_7_7</v>
      </c>
      <c r="E270" s="2" t="str">
        <f t="shared" si="5"/>
        <v>E2_7_7_7_kcat : 13.7</v>
      </c>
      <c r="F270" s="2" t="str">
        <f t="shared" si="6"/>
        <v>E2_7_7_7_km : 1</v>
      </c>
      <c r="G270" s="2" t="str">
        <f t="shared" ref="G270:H270" si="545">CONCATENATE(C270," : ",C270)</f>
        <v>E2_7_7_7_mRNA : E2_7_7_7_mRNA</v>
      </c>
      <c r="H270" s="2" t="str">
        <f t="shared" si="545"/>
        <v>E2_7_7_7 : E2_7_7_7</v>
      </c>
      <c r="I270" s="2" t="str">
        <f t="shared" ref="I270:J270" si="546">CONCATENATE(C270," : ","0")</f>
        <v>E2_7_7_7_mRNA : 0</v>
      </c>
      <c r="J270" s="2" t="str">
        <f t="shared" si="546"/>
        <v>E2_7_7_7 : 0</v>
      </c>
      <c r="K270" s="2" t="str">
        <f t="shared" si="9"/>
        <v>0.00292 - (0.0093 * E2_7_7_7_mRNA)</v>
      </c>
      <c r="L270" s="2" t="str">
        <f t="shared" si="10"/>
        <v>(0.278 * E2_7_7_7_mRNA) - (0.00000278 * E2_7_7_7)</v>
      </c>
      <c r="M270" s="2" t="str">
        <f t="shared" si="11"/>
        <v>mRNA269: -&gt; E2_7_7_7_mRNA | 0.00292 - (0.0093 * E2_7_7_7_mRNA)</v>
      </c>
      <c r="N270" s="2" t="str">
        <f t="shared" si="12"/>
        <v>Peptide269: E2_7_7_7_mRNA -&gt; E2_7_7_7 | (0.278 * E2_7_7_7_mRNA) - (0.000000278 * E2_7_7_7)</v>
      </c>
    </row>
    <row r="271">
      <c r="A271" s="12">
        <v>270.0</v>
      </c>
      <c r="B271" s="2" t="s">
        <v>25195</v>
      </c>
      <c r="C271" s="2" t="str">
        <f t="shared" si="3"/>
        <v>E2_7_7_72_mRNA</v>
      </c>
      <c r="D271" s="2" t="str">
        <f t="shared" si="4"/>
        <v>E2_7_7_72</v>
      </c>
      <c r="E271" s="2" t="str">
        <f t="shared" si="5"/>
        <v>E2_7_7_72_kcat : 13.7</v>
      </c>
      <c r="F271" s="2" t="str">
        <f t="shared" si="6"/>
        <v>E2_7_7_72_km : 1</v>
      </c>
      <c r="G271" s="2" t="str">
        <f t="shared" ref="G271:H271" si="547">CONCATENATE(C271," : ",C271)</f>
        <v>E2_7_7_72_mRNA : E2_7_7_72_mRNA</v>
      </c>
      <c r="H271" s="2" t="str">
        <f t="shared" si="547"/>
        <v>E2_7_7_72 : E2_7_7_72</v>
      </c>
      <c r="I271" s="2" t="str">
        <f t="shared" ref="I271:J271" si="548">CONCATENATE(C271," : ","0")</f>
        <v>E2_7_7_72_mRNA : 0</v>
      </c>
      <c r="J271" s="2" t="str">
        <f t="shared" si="548"/>
        <v>E2_7_7_72 : 0</v>
      </c>
      <c r="K271" s="2" t="str">
        <f t="shared" si="9"/>
        <v>0.00292 - (0.0093 * E2_7_7_72_mRNA)</v>
      </c>
      <c r="L271" s="2" t="str">
        <f t="shared" si="10"/>
        <v>(0.278 * E2_7_7_72_mRNA) - (0.00000278 * E2_7_7_72)</v>
      </c>
      <c r="M271" s="2" t="str">
        <f t="shared" si="11"/>
        <v>mRNA270: -&gt; E2_7_7_72_mRNA | 0.00292 - (0.0093 * E2_7_7_72_mRNA)</v>
      </c>
      <c r="N271" s="2" t="str">
        <f t="shared" si="12"/>
        <v>Peptide270: E2_7_7_72_mRNA -&gt; E2_7_7_72 | (0.278 * E2_7_7_72_mRNA) - (0.000000278 * E2_7_7_72)</v>
      </c>
    </row>
    <row r="272">
      <c r="A272" s="12">
        <v>271.0</v>
      </c>
      <c r="B272" s="2" t="s">
        <v>25196</v>
      </c>
      <c r="C272" s="2" t="str">
        <f t="shared" si="3"/>
        <v>E2_7_7_77_mRNA</v>
      </c>
      <c r="D272" s="2" t="str">
        <f t="shared" si="4"/>
        <v>E2_7_7_77</v>
      </c>
      <c r="E272" s="2" t="str">
        <f t="shared" si="5"/>
        <v>E2_7_7_77_kcat : 13.7</v>
      </c>
      <c r="F272" s="2" t="str">
        <f t="shared" si="6"/>
        <v>E2_7_7_77_km : 1</v>
      </c>
      <c r="G272" s="2" t="str">
        <f t="shared" ref="G272:H272" si="549">CONCATENATE(C272," : ",C272)</f>
        <v>E2_7_7_77_mRNA : E2_7_7_77_mRNA</v>
      </c>
      <c r="H272" s="2" t="str">
        <f t="shared" si="549"/>
        <v>E2_7_7_77 : E2_7_7_77</v>
      </c>
      <c r="I272" s="2" t="str">
        <f t="shared" ref="I272:J272" si="550">CONCATENATE(C272," : ","0")</f>
        <v>E2_7_7_77_mRNA : 0</v>
      </c>
      <c r="J272" s="2" t="str">
        <f t="shared" si="550"/>
        <v>E2_7_7_77 : 0</v>
      </c>
      <c r="K272" s="2" t="str">
        <f t="shared" si="9"/>
        <v>0.00292 - (0.0093 * E2_7_7_77_mRNA)</v>
      </c>
      <c r="L272" s="2" t="str">
        <f t="shared" si="10"/>
        <v>(0.278 * E2_7_7_77_mRNA) - (0.00000278 * E2_7_7_77)</v>
      </c>
      <c r="M272" s="2" t="str">
        <f t="shared" si="11"/>
        <v>mRNA271: -&gt; E2_7_7_77_mRNA | 0.00292 - (0.0093 * E2_7_7_77_mRNA)</v>
      </c>
      <c r="N272" s="2" t="str">
        <f t="shared" si="12"/>
        <v>Peptide271: E2_7_7_77_mRNA -&gt; E2_7_7_77 | (0.278 * E2_7_7_77_mRNA) - (0.000000278 * E2_7_7_77)</v>
      </c>
    </row>
    <row r="273">
      <c r="A273" s="12">
        <v>272.0</v>
      </c>
      <c r="B273" s="2" t="s">
        <v>25197</v>
      </c>
      <c r="C273" s="2" t="str">
        <f t="shared" si="3"/>
        <v>E2_7_7_8_mRNA</v>
      </c>
      <c r="D273" s="2" t="str">
        <f t="shared" si="4"/>
        <v>E2_7_7_8</v>
      </c>
      <c r="E273" s="2" t="str">
        <f t="shared" si="5"/>
        <v>E2_7_7_8_kcat : 13.7</v>
      </c>
      <c r="F273" s="2" t="str">
        <f t="shared" si="6"/>
        <v>E2_7_7_8_km : 1</v>
      </c>
      <c r="G273" s="2" t="str">
        <f t="shared" ref="G273:H273" si="551">CONCATENATE(C273," : ",C273)</f>
        <v>E2_7_7_8_mRNA : E2_7_7_8_mRNA</v>
      </c>
      <c r="H273" s="2" t="str">
        <f t="shared" si="551"/>
        <v>E2_7_7_8 : E2_7_7_8</v>
      </c>
      <c r="I273" s="2" t="str">
        <f t="shared" ref="I273:J273" si="552">CONCATENATE(C273," : ","0")</f>
        <v>E2_7_7_8_mRNA : 0</v>
      </c>
      <c r="J273" s="2" t="str">
        <f t="shared" si="552"/>
        <v>E2_7_7_8 : 0</v>
      </c>
      <c r="K273" s="2" t="str">
        <f t="shared" si="9"/>
        <v>0.00292 - (0.0093 * E2_7_7_8_mRNA)</v>
      </c>
      <c r="L273" s="2" t="str">
        <f t="shared" si="10"/>
        <v>(0.278 * E2_7_7_8_mRNA) - (0.00000278 * E2_7_7_8)</v>
      </c>
      <c r="M273" s="2" t="str">
        <f t="shared" si="11"/>
        <v>mRNA272: -&gt; E2_7_7_8_mRNA | 0.00292 - (0.0093 * E2_7_7_8_mRNA)</v>
      </c>
      <c r="N273" s="2" t="str">
        <f t="shared" si="12"/>
        <v>Peptide272: E2_7_7_8_mRNA -&gt; E2_7_7_8 | (0.278 * E2_7_7_8_mRNA) - (0.000000278 * E2_7_7_8)</v>
      </c>
    </row>
    <row r="274">
      <c r="A274" s="12">
        <v>273.0</v>
      </c>
      <c r="B274" s="2" t="s">
        <v>25198</v>
      </c>
      <c r="C274" s="2" t="str">
        <f t="shared" si="3"/>
        <v>E2_7_7_85_mRNA</v>
      </c>
      <c r="D274" s="2" t="str">
        <f t="shared" si="4"/>
        <v>E2_7_7_85</v>
      </c>
      <c r="E274" s="2" t="str">
        <f t="shared" si="5"/>
        <v>E2_7_7_85_kcat : 13.7</v>
      </c>
      <c r="F274" s="2" t="str">
        <f t="shared" si="6"/>
        <v>E2_7_7_85_km : 1</v>
      </c>
      <c r="G274" s="2" t="str">
        <f t="shared" ref="G274:H274" si="553">CONCATENATE(C274," : ",C274)</f>
        <v>E2_7_7_85_mRNA : E2_7_7_85_mRNA</v>
      </c>
      <c r="H274" s="2" t="str">
        <f t="shared" si="553"/>
        <v>E2_7_7_85 : E2_7_7_85</v>
      </c>
      <c r="I274" s="2" t="str">
        <f t="shared" ref="I274:J274" si="554">CONCATENATE(C274," : ","0")</f>
        <v>E2_7_7_85_mRNA : 0</v>
      </c>
      <c r="J274" s="2" t="str">
        <f t="shared" si="554"/>
        <v>E2_7_7_85 : 0</v>
      </c>
      <c r="K274" s="2" t="str">
        <f t="shared" si="9"/>
        <v>0.00292 - (0.0093 * E2_7_7_85_mRNA)</v>
      </c>
      <c r="L274" s="2" t="str">
        <f t="shared" si="10"/>
        <v>(0.278 * E2_7_7_85_mRNA) - (0.00000278 * E2_7_7_85)</v>
      </c>
      <c r="M274" s="2" t="str">
        <f t="shared" si="11"/>
        <v>mRNA273: -&gt; E2_7_7_85_mRNA | 0.00292 - (0.0093 * E2_7_7_85_mRNA)</v>
      </c>
      <c r="N274" s="2" t="str">
        <f t="shared" si="12"/>
        <v>Peptide273: E2_7_7_85_mRNA -&gt; E2_7_7_85 | (0.278 * E2_7_7_85_mRNA) - (0.000000278 * E2_7_7_85)</v>
      </c>
    </row>
    <row r="275">
      <c r="A275" s="12">
        <v>274.0</v>
      </c>
      <c r="B275" s="2" t="s">
        <v>25199</v>
      </c>
      <c r="C275" s="2" t="str">
        <f t="shared" si="3"/>
        <v>E2_7_7_87_mRNA</v>
      </c>
      <c r="D275" s="2" t="str">
        <f t="shared" si="4"/>
        <v>E2_7_7_87</v>
      </c>
      <c r="E275" s="2" t="str">
        <f t="shared" si="5"/>
        <v>E2_7_7_87_kcat : 13.7</v>
      </c>
      <c r="F275" s="2" t="str">
        <f t="shared" si="6"/>
        <v>E2_7_7_87_km : 1</v>
      </c>
      <c r="G275" s="2" t="str">
        <f t="shared" ref="G275:H275" si="555">CONCATENATE(C275," : ",C275)</f>
        <v>E2_7_7_87_mRNA : E2_7_7_87_mRNA</v>
      </c>
      <c r="H275" s="2" t="str">
        <f t="shared" si="555"/>
        <v>E2_7_7_87 : E2_7_7_87</v>
      </c>
      <c r="I275" s="2" t="str">
        <f t="shared" ref="I275:J275" si="556">CONCATENATE(C275," : ","0")</f>
        <v>E2_7_7_87_mRNA : 0</v>
      </c>
      <c r="J275" s="2" t="str">
        <f t="shared" si="556"/>
        <v>E2_7_7_87 : 0</v>
      </c>
      <c r="K275" s="2" t="str">
        <f t="shared" si="9"/>
        <v>0.00292 - (0.0093 * E2_7_7_87_mRNA)</v>
      </c>
      <c r="L275" s="2" t="str">
        <f t="shared" si="10"/>
        <v>(0.278 * E2_7_7_87_mRNA) - (0.00000278 * E2_7_7_87)</v>
      </c>
      <c r="M275" s="2" t="str">
        <f t="shared" si="11"/>
        <v>mRNA274: -&gt; E2_7_7_87_mRNA | 0.00292 - (0.0093 * E2_7_7_87_mRNA)</v>
      </c>
      <c r="N275" s="2" t="str">
        <f t="shared" si="12"/>
        <v>Peptide274: E2_7_7_87_mRNA -&gt; E2_7_7_87 | (0.278 * E2_7_7_87_mRNA) - (0.000000278 * E2_7_7_87)</v>
      </c>
    </row>
    <row r="276">
      <c r="A276" s="12">
        <v>275.0</v>
      </c>
      <c r="B276" s="2" t="s">
        <v>25200</v>
      </c>
      <c r="C276" s="2" t="str">
        <f t="shared" si="3"/>
        <v>E2_7_7_9_mRNA</v>
      </c>
      <c r="D276" s="2" t="str">
        <f t="shared" si="4"/>
        <v>E2_7_7_9</v>
      </c>
      <c r="E276" s="2" t="str">
        <f t="shared" si="5"/>
        <v>E2_7_7_9_kcat : 13.7</v>
      </c>
      <c r="F276" s="2" t="str">
        <f t="shared" si="6"/>
        <v>E2_7_7_9_km : 1</v>
      </c>
      <c r="G276" s="2" t="str">
        <f t="shared" ref="G276:H276" si="557">CONCATENATE(C276," : ",C276)</f>
        <v>E2_7_7_9_mRNA : E2_7_7_9_mRNA</v>
      </c>
      <c r="H276" s="2" t="str">
        <f t="shared" si="557"/>
        <v>E2_7_7_9 : E2_7_7_9</v>
      </c>
      <c r="I276" s="2" t="str">
        <f t="shared" ref="I276:J276" si="558">CONCATENATE(C276," : ","0")</f>
        <v>E2_7_7_9_mRNA : 0</v>
      </c>
      <c r="J276" s="2" t="str">
        <f t="shared" si="558"/>
        <v>E2_7_7_9 : 0</v>
      </c>
      <c r="K276" s="2" t="str">
        <f t="shared" si="9"/>
        <v>0.00292 - (0.0093 * E2_7_7_9_mRNA)</v>
      </c>
      <c r="L276" s="2" t="str">
        <f t="shared" si="10"/>
        <v>(0.278 * E2_7_7_9_mRNA) - (0.00000278 * E2_7_7_9)</v>
      </c>
      <c r="M276" s="2" t="str">
        <f t="shared" si="11"/>
        <v>mRNA275: -&gt; E2_7_7_9_mRNA | 0.00292 - (0.0093 * E2_7_7_9_mRNA)</v>
      </c>
      <c r="N276" s="2" t="str">
        <f t="shared" si="12"/>
        <v>Peptide275: E2_7_7_9_mRNA -&gt; E2_7_7_9 | (0.278 * E2_7_7_9_mRNA) - (0.000000278 * E2_7_7_9)</v>
      </c>
    </row>
    <row r="277">
      <c r="A277" s="12">
        <v>276.0</v>
      </c>
      <c r="B277" s="2" t="s">
        <v>25201</v>
      </c>
      <c r="C277" s="2" t="str">
        <f t="shared" si="3"/>
        <v>E2_7_8_13_mRNA</v>
      </c>
      <c r="D277" s="2" t="str">
        <f t="shared" si="4"/>
        <v>E2_7_8_13</v>
      </c>
      <c r="E277" s="2" t="str">
        <f t="shared" si="5"/>
        <v>E2_7_8_13_kcat : 13.7</v>
      </c>
      <c r="F277" s="2" t="str">
        <f t="shared" si="6"/>
        <v>E2_7_8_13_km : 1</v>
      </c>
      <c r="G277" s="2" t="str">
        <f t="shared" ref="G277:H277" si="559">CONCATENATE(C277," : ",C277)</f>
        <v>E2_7_8_13_mRNA : E2_7_8_13_mRNA</v>
      </c>
      <c r="H277" s="2" t="str">
        <f t="shared" si="559"/>
        <v>E2_7_8_13 : E2_7_8_13</v>
      </c>
      <c r="I277" s="2" t="str">
        <f t="shared" ref="I277:J277" si="560">CONCATENATE(C277," : ","0")</f>
        <v>E2_7_8_13_mRNA : 0</v>
      </c>
      <c r="J277" s="2" t="str">
        <f t="shared" si="560"/>
        <v>E2_7_8_13 : 0</v>
      </c>
      <c r="K277" s="2" t="str">
        <f t="shared" si="9"/>
        <v>0.00292 - (0.0093 * E2_7_8_13_mRNA)</v>
      </c>
      <c r="L277" s="2" t="str">
        <f t="shared" si="10"/>
        <v>(0.278 * E2_7_8_13_mRNA) - (0.00000278 * E2_7_8_13)</v>
      </c>
      <c r="M277" s="2" t="str">
        <f t="shared" si="11"/>
        <v>mRNA276: -&gt; E2_7_8_13_mRNA | 0.00292 - (0.0093 * E2_7_8_13_mRNA)</v>
      </c>
      <c r="N277" s="2" t="str">
        <f t="shared" si="12"/>
        <v>Peptide276: E2_7_8_13_mRNA -&gt; E2_7_8_13 | (0.278 * E2_7_8_13_mRNA) - (0.000000278 * E2_7_8_13)</v>
      </c>
    </row>
    <row r="278">
      <c r="A278" s="12">
        <v>277.0</v>
      </c>
      <c r="B278" s="2" t="s">
        <v>25202</v>
      </c>
      <c r="C278" s="2" t="str">
        <f t="shared" si="3"/>
        <v>E2_7_8_5_mRNA</v>
      </c>
      <c r="D278" s="2" t="str">
        <f t="shared" si="4"/>
        <v>E2_7_8_5</v>
      </c>
      <c r="E278" s="2" t="str">
        <f t="shared" si="5"/>
        <v>E2_7_8_5_kcat : 13.7</v>
      </c>
      <c r="F278" s="2" t="str">
        <f t="shared" si="6"/>
        <v>E2_7_8_5_km : 1</v>
      </c>
      <c r="G278" s="2" t="str">
        <f t="shared" ref="G278:H278" si="561">CONCATENATE(C278," : ",C278)</f>
        <v>E2_7_8_5_mRNA : E2_7_8_5_mRNA</v>
      </c>
      <c r="H278" s="2" t="str">
        <f t="shared" si="561"/>
        <v>E2_7_8_5 : E2_7_8_5</v>
      </c>
      <c r="I278" s="2" t="str">
        <f t="shared" ref="I278:J278" si="562">CONCATENATE(C278," : ","0")</f>
        <v>E2_7_8_5_mRNA : 0</v>
      </c>
      <c r="J278" s="2" t="str">
        <f t="shared" si="562"/>
        <v>E2_7_8_5 : 0</v>
      </c>
      <c r="K278" s="2" t="str">
        <f t="shared" si="9"/>
        <v>0.00292 - (0.0093 * E2_7_8_5_mRNA)</v>
      </c>
      <c r="L278" s="2" t="str">
        <f t="shared" si="10"/>
        <v>(0.278 * E2_7_8_5_mRNA) - (0.00000278 * E2_7_8_5)</v>
      </c>
      <c r="M278" s="2" t="str">
        <f t="shared" si="11"/>
        <v>mRNA277: -&gt; E2_7_8_5_mRNA | 0.00292 - (0.0093 * E2_7_8_5_mRNA)</v>
      </c>
      <c r="N278" s="2" t="str">
        <f t="shared" si="12"/>
        <v>Peptide277: E2_7_8_5_mRNA -&gt; E2_7_8_5 | (0.278 * E2_7_8_5_mRNA) - (0.000000278 * E2_7_8_5)</v>
      </c>
    </row>
    <row r="279">
      <c r="A279" s="12">
        <v>278.0</v>
      </c>
      <c r="B279" s="2" t="s">
        <v>25203</v>
      </c>
      <c r="C279" s="2" t="str">
        <f t="shared" si="3"/>
        <v>E2_7_8_7_mRNA</v>
      </c>
      <c r="D279" s="2" t="str">
        <f t="shared" si="4"/>
        <v>E2_7_8_7</v>
      </c>
      <c r="E279" s="2" t="str">
        <f t="shared" si="5"/>
        <v>E2_7_8_7_kcat : 13.7</v>
      </c>
      <c r="F279" s="2" t="str">
        <f t="shared" si="6"/>
        <v>E2_7_8_7_km : 1</v>
      </c>
      <c r="G279" s="2" t="str">
        <f t="shared" ref="G279:H279" si="563">CONCATENATE(C279," : ",C279)</f>
        <v>E2_7_8_7_mRNA : E2_7_8_7_mRNA</v>
      </c>
      <c r="H279" s="2" t="str">
        <f t="shared" si="563"/>
        <v>E2_7_8_7 : E2_7_8_7</v>
      </c>
      <c r="I279" s="2" t="str">
        <f t="shared" ref="I279:J279" si="564">CONCATENATE(C279," : ","0")</f>
        <v>E2_7_8_7_mRNA : 0</v>
      </c>
      <c r="J279" s="2" t="str">
        <f t="shared" si="564"/>
        <v>E2_7_8_7 : 0</v>
      </c>
      <c r="K279" s="2" t="str">
        <f t="shared" si="9"/>
        <v>0.00292 - (0.0093 * E2_7_8_7_mRNA)</v>
      </c>
      <c r="L279" s="2" t="str">
        <f t="shared" si="10"/>
        <v>(0.278 * E2_7_8_7_mRNA) - (0.00000278 * E2_7_8_7)</v>
      </c>
      <c r="M279" s="2" t="str">
        <f t="shared" si="11"/>
        <v>mRNA278: -&gt; E2_7_8_7_mRNA | 0.00292 - (0.0093 * E2_7_8_7_mRNA)</v>
      </c>
      <c r="N279" s="2" t="str">
        <f t="shared" si="12"/>
        <v>Peptide278: E2_7_8_7_mRNA -&gt; E2_7_8_7 | (0.278 * E2_7_8_7_mRNA) - (0.000000278 * E2_7_8_7)</v>
      </c>
    </row>
    <row r="280">
      <c r="A280" s="12">
        <v>279.0</v>
      </c>
      <c r="B280" s="2" t="s">
        <v>25204</v>
      </c>
      <c r="C280" s="2" t="str">
        <f t="shared" si="3"/>
        <v>E2_7_8_8_mRNA</v>
      </c>
      <c r="D280" s="2" t="str">
        <f t="shared" si="4"/>
        <v>E2_7_8_8</v>
      </c>
      <c r="E280" s="2" t="str">
        <f t="shared" si="5"/>
        <v>E2_7_8_8_kcat : 13.7</v>
      </c>
      <c r="F280" s="2" t="str">
        <f t="shared" si="6"/>
        <v>E2_7_8_8_km : 1</v>
      </c>
      <c r="G280" s="2" t="str">
        <f t="shared" ref="G280:H280" si="565">CONCATENATE(C280," : ",C280)</f>
        <v>E2_7_8_8_mRNA : E2_7_8_8_mRNA</v>
      </c>
      <c r="H280" s="2" t="str">
        <f t="shared" si="565"/>
        <v>E2_7_8_8 : E2_7_8_8</v>
      </c>
      <c r="I280" s="2" t="str">
        <f t="shared" ref="I280:J280" si="566">CONCATENATE(C280," : ","0")</f>
        <v>E2_7_8_8_mRNA : 0</v>
      </c>
      <c r="J280" s="2" t="str">
        <f t="shared" si="566"/>
        <v>E2_7_8_8 : 0</v>
      </c>
      <c r="K280" s="2" t="str">
        <f t="shared" si="9"/>
        <v>0.00292 - (0.0093 * E2_7_8_8_mRNA)</v>
      </c>
      <c r="L280" s="2" t="str">
        <f t="shared" si="10"/>
        <v>(0.278 * E2_7_8_8_mRNA) - (0.00000278 * E2_7_8_8)</v>
      </c>
      <c r="M280" s="2" t="str">
        <f t="shared" si="11"/>
        <v>mRNA279: -&gt; E2_7_8_8_mRNA | 0.00292 - (0.0093 * E2_7_8_8_mRNA)</v>
      </c>
      <c r="N280" s="2" t="str">
        <f t="shared" si="12"/>
        <v>Peptide279: E2_7_8_8_mRNA -&gt; E2_7_8_8 | (0.278 * E2_7_8_8_mRNA) - (0.000000278 * E2_7_8_8)</v>
      </c>
    </row>
    <row r="281">
      <c r="A281" s="12">
        <v>280.0</v>
      </c>
      <c r="B281" s="2" t="s">
        <v>25205</v>
      </c>
      <c r="C281" s="2" t="str">
        <f t="shared" si="3"/>
        <v>E2_7_9_2_mRNA</v>
      </c>
      <c r="D281" s="2" t="str">
        <f t="shared" si="4"/>
        <v>E2_7_9_2</v>
      </c>
      <c r="E281" s="2" t="str">
        <f t="shared" si="5"/>
        <v>E2_7_9_2_kcat : 13.7</v>
      </c>
      <c r="F281" s="2" t="str">
        <f t="shared" si="6"/>
        <v>E2_7_9_2_km : 1</v>
      </c>
      <c r="G281" s="2" t="str">
        <f t="shared" ref="G281:H281" si="567">CONCATENATE(C281," : ",C281)</f>
        <v>E2_7_9_2_mRNA : E2_7_9_2_mRNA</v>
      </c>
      <c r="H281" s="2" t="str">
        <f t="shared" si="567"/>
        <v>E2_7_9_2 : E2_7_9_2</v>
      </c>
      <c r="I281" s="2" t="str">
        <f t="shared" ref="I281:J281" si="568">CONCATENATE(C281," : ","0")</f>
        <v>E2_7_9_2_mRNA : 0</v>
      </c>
      <c r="J281" s="2" t="str">
        <f t="shared" si="568"/>
        <v>E2_7_9_2 : 0</v>
      </c>
      <c r="K281" s="2" t="str">
        <f t="shared" si="9"/>
        <v>0.00292 - (0.0093 * E2_7_9_2_mRNA)</v>
      </c>
      <c r="L281" s="2" t="str">
        <f t="shared" si="10"/>
        <v>(0.278 * E2_7_9_2_mRNA) - (0.00000278 * E2_7_9_2)</v>
      </c>
      <c r="M281" s="2" t="str">
        <f t="shared" si="11"/>
        <v>mRNA280: -&gt; E2_7_9_2_mRNA | 0.00292 - (0.0093 * E2_7_9_2_mRNA)</v>
      </c>
      <c r="N281" s="2" t="str">
        <f t="shared" si="12"/>
        <v>Peptide280: E2_7_9_2_mRNA -&gt; E2_7_9_2 | (0.278 * E2_7_9_2_mRNA) - (0.000000278 * E2_7_9_2)</v>
      </c>
    </row>
    <row r="282">
      <c r="A282" s="12">
        <v>281.0</v>
      </c>
      <c r="B282" s="2" t="s">
        <v>25206</v>
      </c>
      <c r="C282" s="2" t="str">
        <f t="shared" si="3"/>
        <v>E2_8_1_10_mRNA</v>
      </c>
      <c r="D282" s="2" t="str">
        <f t="shared" si="4"/>
        <v>E2_8_1_10</v>
      </c>
      <c r="E282" s="2" t="str">
        <f t="shared" si="5"/>
        <v>E2_8_1_10_kcat : 13.7</v>
      </c>
      <c r="F282" s="2" t="str">
        <f t="shared" si="6"/>
        <v>E2_8_1_10_km : 1</v>
      </c>
      <c r="G282" s="2" t="str">
        <f t="shared" ref="G282:H282" si="569">CONCATENATE(C282," : ",C282)</f>
        <v>E2_8_1_10_mRNA : E2_8_1_10_mRNA</v>
      </c>
      <c r="H282" s="2" t="str">
        <f t="shared" si="569"/>
        <v>E2_8_1_10 : E2_8_1_10</v>
      </c>
      <c r="I282" s="2" t="str">
        <f t="shared" ref="I282:J282" si="570">CONCATENATE(C282," : ","0")</f>
        <v>E2_8_1_10_mRNA : 0</v>
      </c>
      <c r="J282" s="2" t="str">
        <f t="shared" si="570"/>
        <v>E2_8_1_10 : 0</v>
      </c>
      <c r="K282" s="2" t="str">
        <f t="shared" si="9"/>
        <v>0.00292 - (0.0093 * E2_8_1_10_mRNA)</v>
      </c>
      <c r="L282" s="2" t="str">
        <f t="shared" si="10"/>
        <v>(0.278 * E2_8_1_10_mRNA) - (0.00000278 * E2_8_1_10)</v>
      </c>
      <c r="M282" s="2" t="str">
        <f t="shared" si="11"/>
        <v>mRNA281: -&gt; E2_8_1_10_mRNA | 0.00292 - (0.0093 * E2_8_1_10_mRNA)</v>
      </c>
      <c r="N282" s="2" t="str">
        <f t="shared" si="12"/>
        <v>Peptide281: E2_8_1_10_mRNA -&gt; E2_8_1_10 | (0.278 * E2_8_1_10_mRNA) - (0.000000278 * E2_8_1_10)</v>
      </c>
    </row>
    <row r="283">
      <c r="A283" s="12">
        <v>282.0</v>
      </c>
      <c r="B283" s="2" t="s">
        <v>25207</v>
      </c>
      <c r="C283" s="2" t="str">
        <f t="shared" si="3"/>
        <v>E2_8_1_13_mRNA</v>
      </c>
      <c r="D283" s="2" t="str">
        <f t="shared" si="4"/>
        <v>E2_8_1_13</v>
      </c>
      <c r="E283" s="2" t="str">
        <f t="shared" si="5"/>
        <v>E2_8_1_13_kcat : 13.7</v>
      </c>
      <c r="F283" s="2" t="str">
        <f t="shared" si="6"/>
        <v>E2_8_1_13_km : 1</v>
      </c>
      <c r="G283" s="2" t="str">
        <f t="shared" ref="G283:H283" si="571">CONCATENATE(C283," : ",C283)</f>
        <v>E2_8_1_13_mRNA : E2_8_1_13_mRNA</v>
      </c>
      <c r="H283" s="2" t="str">
        <f t="shared" si="571"/>
        <v>E2_8_1_13 : E2_8_1_13</v>
      </c>
      <c r="I283" s="2" t="str">
        <f t="shared" ref="I283:J283" si="572">CONCATENATE(C283," : ","0")</f>
        <v>E2_8_1_13_mRNA : 0</v>
      </c>
      <c r="J283" s="2" t="str">
        <f t="shared" si="572"/>
        <v>E2_8_1_13 : 0</v>
      </c>
      <c r="K283" s="2" t="str">
        <f t="shared" si="9"/>
        <v>0.00292 - (0.0093 * E2_8_1_13_mRNA)</v>
      </c>
      <c r="L283" s="2" t="str">
        <f t="shared" si="10"/>
        <v>(0.278 * E2_8_1_13_mRNA) - (0.00000278 * E2_8_1_13)</v>
      </c>
      <c r="M283" s="2" t="str">
        <f t="shared" si="11"/>
        <v>mRNA282: -&gt; E2_8_1_13_mRNA | 0.00292 - (0.0093 * E2_8_1_13_mRNA)</v>
      </c>
      <c r="N283" s="2" t="str">
        <f t="shared" si="12"/>
        <v>Peptide282: E2_8_1_13_mRNA -&gt; E2_8_1_13 | (0.278 * E2_8_1_13_mRNA) - (0.000000278 * E2_8_1_13)</v>
      </c>
    </row>
    <row r="284">
      <c r="A284" s="12">
        <v>283.0</v>
      </c>
      <c r="B284" s="2" t="s">
        <v>25208</v>
      </c>
      <c r="C284" s="2" t="str">
        <f t="shared" si="3"/>
        <v>E2_8_1_4_mRNA</v>
      </c>
      <c r="D284" s="2" t="str">
        <f t="shared" si="4"/>
        <v>E2_8_1_4</v>
      </c>
      <c r="E284" s="2" t="str">
        <f t="shared" si="5"/>
        <v>E2_8_1_4_kcat : 13.7</v>
      </c>
      <c r="F284" s="2" t="str">
        <f t="shared" si="6"/>
        <v>E2_8_1_4_km : 1</v>
      </c>
      <c r="G284" s="2" t="str">
        <f t="shared" ref="G284:H284" si="573">CONCATENATE(C284," : ",C284)</f>
        <v>E2_8_1_4_mRNA : E2_8_1_4_mRNA</v>
      </c>
      <c r="H284" s="2" t="str">
        <f t="shared" si="573"/>
        <v>E2_8_1_4 : E2_8_1_4</v>
      </c>
      <c r="I284" s="2" t="str">
        <f t="shared" ref="I284:J284" si="574">CONCATENATE(C284," : ","0")</f>
        <v>E2_8_1_4_mRNA : 0</v>
      </c>
      <c r="J284" s="2" t="str">
        <f t="shared" si="574"/>
        <v>E2_8_1_4 : 0</v>
      </c>
      <c r="K284" s="2" t="str">
        <f t="shared" si="9"/>
        <v>0.00292 - (0.0093 * E2_8_1_4_mRNA)</v>
      </c>
      <c r="L284" s="2" t="str">
        <f t="shared" si="10"/>
        <v>(0.278 * E2_8_1_4_mRNA) - (0.00000278 * E2_8_1_4)</v>
      </c>
      <c r="M284" s="2" t="str">
        <f t="shared" si="11"/>
        <v>mRNA283: -&gt; E2_8_1_4_mRNA | 0.00292 - (0.0093 * E2_8_1_4_mRNA)</v>
      </c>
      <c r="N284" s="2" t="str">
        <f t="shared" si="12"/>
        <v>Peptide283: E2_8_1_4_mRNA -&gt; E2_8_1_4 | (0.278 * E2_8_1_4_mRNA) - (0.000000278 * E2_8_1_4)</v>
      </c>
    </row>
    <row r="285">
      <c r="A285" s="12">
        <v>284.0</v>
      </c>
      <c r="B285" s="2" t="s">
        <v>25209</v>
      </c>
      <c r="C285" s="2" t="str">
        <f t="shared" si="3"/>
        <v>E2_8_1_6_mRNA</v>
      </c>
      <c r="D285" s="2" t="str">
        <f t="shared" si="4"/>
        <v>E2_8_1_6</v>
      </c>
      <c r="E285" s="2" t="str">
        <f t="shared" si="5"/>
        <v>E2_8_1_6_kcat : 13.7</v>
      </c>
      <c r="F285" s="2" t="str">
        <f t="shared" si="6"/>
        <v>E2_8_1_6_km : 1</v>
      </c>
      <c r="G285" s="2" t="str">
        <f t="shared" ref="G285:H285" si="575">CONCATENATE(C285," : ",C285)</f>
        <v>E2_8_1_6_mRNA : E2_8_1_6_mRNA</v>
      </c>
      <c r="H285" s="2" t="str">
        <f t="shared" si="575"/>
        <v>E2_8_1_6 : E2_8_1_6</v>
      </c>
      <c r="I285" s="2" t="str">
        <f t="shared" ref="I285:J285" si="576">CONCATENATE(C285," : ","0")</f>
        <v>E2_8_1_6_mRNA : 0</v>
      </c>
      <c r="J285" s="2" t="str">
        <f t="shared" si="576"/>
        <v>E2_8_1_6 : 0</v>
      </c>
      <c r="K285" s="2" t="str">
        <f t="shared" si="9"/>
        <v>0.00292 - (0.0093 * E2_8_1_6_mRNA)</v>
      </c>
      <c r="L285" s="2" t="str">
        <f t="shared" si="10"/>
        <v>(0.278 * E2_8_1_6_mRNA) - (0.00000278 * E2_8_1_6)</v>
      </c>
      <c r="M285" s="2" t="str">
        <f t="shared" si="11"/>
        <v>mRNA284: -&gt; E2_8_1_6_mRNA | 0.00292 - (0.0093 * E2_8_1_6_mRNA)</v>
      </c>
      <c r="N285" s="2" t="str">
        <f t="shared" si="12"/>
        <v>Peptide284: E2_8_1_6_mRNA -&gt; E2_8_1_6 | (0.278 * E2_8_1_6_mRNA) - (0.000000278 * E2_8_1_6)</v>
      </c>
    </row>
    <row r="286">
      <c r="A286" s="12">
        <v>285.0</v>
      </c>
      <c r="B286" s="2" t="s">
        <v>25210</v>
      </c>
      <c r="C286" s="2" t="str">
        <f t="shared" si="3"/>
        <v>E2_8_1_7_mRNA</v>
      </c>
      <c r="D286" s="2" t="str">
        <f t="shared" si="4"/>
        <v>E2_8_1_7</v>
      </c>
      <c r="E286" s="2" t="str">
        <f t="shared" si="5"/>
        <v>E2_8_1_7_kcat : 13.7</v>
      </c>
      <c r="F286" s="2" t="str">
        <f t="shared" si="6"/>
        <v>E2_8_1_7_km : 1</v>
      </c>
      <c r="G286" s="2" t="str">
        <f t="shared" ref="G286:H286" si="577">CONCATENATE(C286," : ",C286)</f>
        <v>E2_8_1_7_mRNA : E2_8_1_7_mRNA</v>
      </c>
      <c r="H286" s="2" t="str">
        <f t="shared" si="577"/>
        <v>E2_8_1_7 : E2_8_1_7</v>
      </c>
      <c r="I286" s="2" t="str">
        <f t="shared" ref="I286:J286" si="578">CONCATENATE(C286," : ","0")</f>
        <v>E2_8_1_7_mRNA : 0</v>
      </c>
      <c r="J286" s="2" t="str">
        <f t="shared" si="578"/>
        <v>E2_8_1_7 : 0</v>
      </c>
      <c r="K286" s="2" t="str">
        <f t="shared" si="9"/>
        <v>0.00292 - (0.0093 * E2_8_1_7_mRNA)</v>
      </c>
      <c r="L286" s="2" t="str">
        <f t="shared" si="10"/>
        <v>(0.278 * E2_8_1_7_mRNA) - (0.00000278 * E2_8_1_7)</v>
      </c>
      <c r="M286" s="2" t="str">
        <f t="shared" si="11"/>
        <v>mRNA285: -&gt; E2_8_1_7_mRNA | 0.00292 - (0.0093 * E2_8_1_7_mRNA)</v>
      </c>
      <c r="N286" s="2" t="str">
        <f t="shared" si="12"/>
        <v>Peptide285: E2_8_1_7_mRNA -&gt; E2_8_1_7 | (0.278 * E2_8_1_7_mRNA) - (0.000000278 * E2_8_1_7)</v>
      </c>
    </row>
    <row r="287">
      <c r="A287" s="12">
        <v>286.0</v>
      </c>
      <c r="B287" s="2" t="s">
        <v>25211</v>
      </c>
      <c r="C287" s="2" t="str">
        <f t="shared" si="3"/>
        <v>E2_8_1_8_mRNA</v>
      </c>
      <c r="D287" s="2" t="str">
        <f t="shared" si="4"/>
        <v>E2_8_1_8</v>
      </c>
      <c r="E287" s="2" t="str">
        <f t="shared" si="5"/>
        <v>E2_8_1_8_kcat : 13.7</v>
      </c>
      <c r="F287" s="2" t="str">
        <f t="shared" si="6"/>
        <v>E2_8_1_8_km : 1</v>
      </c>
      <c r="G287" s="2" t="str">
        <f t="shared" ref="G287:H287" si="579">CONCATENATE(C287," : ",C287)</f>
        <v>E2_8_1_8_mRNA : E2_8_1_8_mRNA</v>
      </c>
      <c r="H287" s="2" t="str">
        <f t="shared" si="579"/>
        <v>E2_8_1_8 : E2_8_1_8</v>
      </c>
      <c r="I287" s="2" t="str">
        <f t="shared" ref="I287:J287" si="580">CONCATENATE(C287," : ","0")</f>
        <v>E2_8_1_8_mRNA : 0</v>
      </c>
      <c r="J287" s="2" t="str">
        <f t="shared" si="580"/>
        <v>E2_8_1_8 : 0</v>
      </c>
      <c r="K287" s="2" t="str">
        <f t="shared" si="9"/>
        <v>0.00292 - (0.0093 * E2_8_1_8_mRNA)</v>
      </c>
      <c r="L287" s="2" t="str">
        <f t="shared" si="10"/>
        <v>(0.278 * E2_8_1_8_mRNA) - (0.00000278 * E2_8_1_8)</v>
      </c>
      <c r="M287" s="2" t="str">
        <f t="shared" si="11"/>
        <v>mRNA286: -&gt; E2_8_1_8_mRNA | 0.00292 - (0.0093 * E2_8_1_8_mRNA)</v>
      </c>
      <c r="N287" s="2" t="str">
        <f t="shared" si="12"/>
        <v>Peptide286: E2_8_1_8_mRNA -&gt; E2_8_1_8 | (0.278 * E2_8_1_8_mRNA) - (0.000000278 * E2_8_1_8)</v>
      </c>
    </row>
    <row r="288">
      <c r="A288" s="12">
        <v>287.0</v>
      </c>
      <c r="B288" s="2" t="s">
        <v>25212</v>
      </c>
      <c r="C288" s="2" t="str">
        <f t="shared" si="3"/>
        <v>E2_8_3_8_mRNA</v>
      </c>
      <c r="D288" s="2" t="str">
        <f t="shared" si="4"/>
        <v>E2_8_3_8</v>
      </c>
      <c r="E288" s="2" t="str">
        <f t="shared" si="5"/>
        <v>E2_8_3_8_kcat : 13.7</v>
      </c>
      <c r="F288" s="2" t="str">
        <f t="shared" si="6"/>
        <v>E2_8_3_8_km : 1</v>
      </c>
      <c r="G288" s="2" t="str">
        <f t="shared" ref="G288:H288" si="581">CONCATENATE(C288," : ",C288)</f>
        <v>E2_8_3_8_mRNA : E2_8_3_8_mRNA</v>
      </c>
      <c r="H288" s="2" t="str">
        <f t="shared" si="581"/>
        <v>E2_8_3_8 : E2_8_3_8</v>
      </c>
      <c r="I288" s="2" t="str">
        <f t="shared" ref="I288:J288" si="582">CONCATENATE(C288," : ","0")</f>
        <v>E2_8_3_8_mRNA : 0</v>
      </c>
      <c r="J288" s="2" t="str">
        <f t="shared" si="582"/>
        <v>E2_8_3_8 : 0</v>
      </c>
      <c r="K288" s="2" t="str">
        <f t="shared" si="9"/>
        <v>0.00292 - (0.0093 * E2_8_3_8_mRNA)</v>
      </c>
      <c r="L288" s="2" t="str">
        <f t="shared" si="10"/>
        <v>(0.278 * E2_8_3_8_mRNA) - (0.00000278 * E2_8_3_8)</v>
      </c>
      <c r="M288" s="2" t="str">
        <f t="shared" si="11"/>
        <v>mRNA287: -&gt; E2_8_3_8_mRNA | 0.00292 - (0.0093 * E2_8_3_8_mRNA)</v>
      </c>
      <c r="N288" s="2" t="str">
        <f t="shared" si="12"/>
        <v>Peptide287: E2_8_3_8_mRNA -&gt; E2_8_3_8 | (0.278 * E2_8_3_8_mRNA) - (0.000000278 * E2_8_3_8)</v>
      </c>
    </row>
    <row r="289">
      <c r="A289" s="12">
        <v>288.0</v>
      </c>
      <c r="B289" s="2" t="s">
        <v>25213</v>
      </c>
      <c r="C289" s="2" t="str">
        <f t="shared" si="3"/>
        <v>E2_8_4_3_mRNA</v>
      </c>
      <c r="D289" s="2" t="str">
        <f t="shared" si="4"/>
        <v>E2_8_4_3</v>
      </c>
      <c r="E289" s="2" t="str">
        <f t="shared" si="5"/>
        <v>E2_8_4_3_kcat : 13.7</v>
      </c>
      <c r="F289" s="2" t="str">
        <f t="shared" si="6"/>
        <v>E2_8_4_3_km : 1</v>
      </c>
      <c r="G289" s="2" t="str">
        <f t="shared" ref="G289:H289" si="583">CONCATENATE(C289," : ",C289)</f>
        <v>E2_8_4_3_mRNA : E2_8_4_3_mRNA</v>
      </c>
      <c r="H289" s="2" t="str">
        <f t="shared" si="583"/>
        <v>E2_8_4_3 : E2_8_4_3</v>
      </c>
      <c r="I289" s="2" t="str">
        <f t="shared" ref="I289:J289" si="584">CONCATENATE(C289," : ","0")</f>
        <v>E2_8_4_3_mRNA : 0</v>
      </c>
      <c r="J289" s="2" t="str">
        <f t="shared" si="584"/>
        <v>E2_8_4_3 : 0</v>
      </c>
      <c r="K289" s="2" t="str">
        <f t="shared" si="9"/>
        <v>0.00292 - (0.0093 * E2_8_4_3_mRNA)</v>
      </c>
      <c r="L289" s="2" t="str">
        <f t="shared" si="10"/>
        <v>(0.278 * E2_8_4_3_mRNA) - (0.00000278 * E2_8_4_3)</v>
      </c>
      <c r="M289" s="2" t="str">
        <f t="shared" si="11"/>
        <v>mRNA288: -&gt; E2_8_4_3_mRNA | 0.00292 - (0.0093 * E2_8_4_3_mRNA)</v>
      </c>
      <c r="N289" s="2" t="str">
        <f t="shared" si="12"/>
        <v>Peptide288: E2_8_4_3_mRNA -&gt; E2_8_4_3 | (0.278 * E2_8_4_3_mRNA) - (0.000000278 * E2_8_4_3)</v>
      </c>
    </row>
    <row r="290">
      <c r="A290" s="12">
        <v>289.0</v>
      </c>
      <c r="B290" s="2" t="s">
        <v>25214</v>
      </c>
      <c r="C290" s="2" t="str">
        <f t="shared" si="3"/>
        <v>E3_1_1_1_mRNA</v>
      </c>
      <c r="D290" s="2" t="str">
        <f t="shared" si="4"/>
        <v>E3_1_1_1</v>
      </c>
      <c r="E290" s="2" t="str">
        <f t="shared" si="5"/>
        <v>E3_1_1_1_kcat : 13.7</v>
      </c>
      <c r="F290" s="2" t="str">
        <f t="shared" si="6"/>
        <v>E3_1_1_1_km : 1</v>
      </c>
      <c r="G290" s="2" t="str">
        <f t="shared" ref="G290:H290" si="585">CONCATENATE(C290," : ",C290)</f>
        <v>E3_1_1_1_mRNA : E3_1_1_1_mRNA</v>
      </c>
      <c r="H290" s="2" t="str">
        <f t="shared" si="585"/>
        <v>E3_1_1_1 : E3_1_1_1</v>
      </c>
      <c r="I290" s="2" t="str">
        <f t="shared" ref="I290:J290" si="586">CONCATENATE(C290," : ","0")</f>
        <v>E3_1_1_1_mRNA : 0</v>
      </c>
      <c r="J290" s="2" t="str">
        <f t="shared" si="586"/>
        <v>E3_1_1_1 : 0</v>
      </c>
      <c r="K290" s="2" t="str">
        <f t="shared" si="9"/>
        <v>0.00292 - (0.0093 * E3_1_1_1_mRNA)</v>
      </c>
      <c r="L290" s="2" t="str">
        <f t="shared" si="10"/>
        <v>(0.278 * E3_1_1_1_mRNA) - (0.00000278 * E3_1_1_1)</v>
      </c>
      <c r="M290" s="2" t="str">
        <f t="shared" si="11"/>
        <v>mRNA289: -&gt; E3_1_1_1_mRNA | 0.00292 - (0.0093 * E3_1_1_1_mRNA)</v>
      </c>
      <c r="N290" s="2" t="str">
        <f t="shared" si="12"/>
        <v>Peptide289: E3_1_1_1_mRNA -&gt; E3_1_1_1 | (0.278 * E3_1_1_1_mRNA) - (0.000000278 * E3_1_1_1)</v>
      </c>
    </row>
    <row r="291">
      <c r="A291" s="12">
        <v>290.0</v>
      </c>
      <c r="B291" s="2" t="s">
        <v>25215</v>
      </c>
      <c r="C291" s="2" t="str">
        <f t="shared" si="3"/>
        <v>E3_1_1_103_mRNA</v>
      </c>
      <c r="D291" s="2" t="str">
        <f t="shared" si="4"/>
        <v>E3_1_1_103</v>
      </c>
      <c r="E291" s="2" t="str">
        <f t="shared" si="5"/>
        <v>E3_1_1_103_kcat : 13.7</v>
      </c>
      <c r="F291" s="2" t="str">
        <f t="shared" si="6"/>
        <v>E3_1_1_103_km : 1</v>
      </c>
      <c r="G291" s="2" t="str">
        <f t="shared" ref="G291:H291" si="587">CONCATENATE(C291," : ",C291)</f>
        <v>E3_1_1_103_mRNA : E3_1_1_103_mRNA</v>
      </c>
      <c r="H291" s="2" t="str">
        <f t="shared" si="587"/>
        <v>E3_1_1_103 : E3_1_1_103</v>
      </c>
      <c r="I291" s="2" t="str">
        <f t="shared" ref="I291:J291" si="588">CONCATENATE(C291," : ","0")</f>
        <v>E3_1_1_103_mRNA : 0</v>
      </c>
      <c r="J291" s="2" t="str">
        <f t="shared" si="588"/>
        <v>E3_1_1_103 : 0</v>
      </c>
      <c r="K291" s="2" t="str">
        <f t="shared" si="9"/>
        <v>0.00292 - (0.0093 * E3_1_1_103_mRNA)</v>
      </c>
      <c r="L291" s="2" t="str">
        <f t="shared" si="10"/>
        <v>(0.278 * E3_1_1_103_mRNA) - (0.00000278 * E3_1_1_103)</v>
      </c>
      <c r="M291" s="2" t="str">
        <f t="shared" si="11"/>
        <v>mRNA290: -&gt; E3_1_1_103_mRNA | 0.00292 - (0.0093 * E3_1_1_103_mRNA)</v>
      </c>
      <c r="N291" s="2" t="str">
        <f t="shared" si="12"/>
        <v>Peptide290: E3_1_1_103_mRNA -&gt; E3_1_1_103 | (0.278 * E3_1_1_103_mRNA) - (0.000000278 * E3_1_1_103)</v>
      </c>
    </row>
    <row r="292">
      <c r="A292" s="12">
        <v>291.0</v>
      </c>
      <c r="B292" s="2" t="s">
        <v>25216</v>
      </c>
      <c r="C292" s="2" t="str">
        <f t="shared" si="3"/>
        <v>E3_1_1_29_mRNA</v>
      </c>
      <c r="D292" s="2" t="str">
        <f t="shared" si="4"/>
        <v>E3_1_1_29</v>
      </c>
      <c r="E292" s="2" t="str">
        <f t="shared" si="5"/>
        <v>E3_1_1_29_kcat : 13.7</v>
      </c>
      <c r="F292" s="2" t="str">
        <f t="shared" si="6"/>
        <v>E3_1_1_29_km : 1</v>
      </c>
      <c r="G292" s="2" t="str">
        <f t="shared" ref="G292:H292" si="589">CONCATENATE(C292," : ",C292)</f>
        <v>E3_1_1_29_mRNA : E3_1_1_29_mRNA</v>
      </c>
      <c r="H292" s="2" t="str">
        <f t="shared" si="589"/>
        <v>E3_1_1_29 : E3_1_1_29</v>
      </c>
      <c r="I292" s="2" t="str">
        <f t="shared" ref="I292:J292" si="590">CONCATENATE(C292," : ","0")</f>
        <v>E3_1_1_29_mRNA : 0</v>
      </c>
      <c r="J292" s="2" t="str">
        <f t="shared" si="590"/>
        <v>E3_1_1_29 : 0</v>
      </c>
      <c r="K292" s="2" t="str">
        <f t="shared" si="9"/>
        <v>0.00292 - (0.0093 * E3_1_1_29_mRNA)</v>
      </c>
      <c r="L292" s="2" t="str">
        <f t="shared" si="10"/>
        <v>(0.278 * E3_1_1_29_mRNA) - (0.00000278 * E3_1_1_29)</v>
      </c>
      <c r="M292" s="2" t="str">
        <f t="shared" si="11"/>
        <v>mRNA291: -&gt; E3_1_1_29_mRNA | 0.00292 - (0.0093 * E3_1_1_29_mRNA)</v>
      </c>
      <c r="N292" s="2" t="str">
        <f t="shared" si="12"/>
        <v>Peptide291: E3_1_1_29_mRNA -&gt; E3_1_1_29 | (0.278 * E3_1_1_29_mRNA) - (0.000000278 * E3_1_1_29)</v>
      </c>
    </row>
    <row r="293">
      <c r="A293" s="12">
        <v>292.0</v>
      </c>
      <c r="B293" s="2" t="s">
        <v>25217</v>
      </c>
      <c r="C293" s="2" t="str">
        <f t="shared" si="3"/>
        <v>E3_1_1_96_mRNA</v>
      </c>
      <c r="D293" s="2" t="str">
        <f t="shared" si="4"/>
        <v>E3_1_1_96</v>
      </c>
      <c r="E293" s="2" t="str">
        <f t="shared" si="5"/>
        <v>E3_1_1_96_kcat : 13.7</v>
      </c>
      <c r="F293" s="2" t="str">
        <f t="shared" si="6"/>
        <v>E3_1_1_96_km : 1</v>
      </c>
      <c r="G293" s="2" t="str">
        <f t="shared" ref="G293:H293" si="591">CONCATENATE(C293," : ",C293)</f>
        <v>E3_1_1_96_mRNA : E3_1_1_96_mRNA</v>
      </c>
      <c r="H293" s="2" t="str">
        <f t="shared" si="591"/>
        <v>E3_1_1_96 : E3_1_1_96</v>
      </c>
      <c r="I293" s="2" t="str">
        <f t="shared" ref="I293:J293" si="592">CONCATENATE(C293," : ","0")</f>
        <v>E3_1_1_96_mRNA : 0</v>
      </c>
      <c r="J293" s="2" t="str">
        <f t="shared" si="592"/>
        <v>E3_1_1_96 : 0</v>
      </c>
      <c r="K293" s="2" t="str">
        <f t="shared" si="9"/>
        <v>0.00292 - (0.0093 * E3_1_1_96_mRNA)</v>
      </c>
      <c r="L293" s="2" t="str">
        <f t="shared" si="10"/>
        <v>(0.278 * E3_1_1_96_mRNA) - (0.00000278 * E3_1_1_96)</v>
      </c>
      <c r="M293" s="2" t="str">
        <f t="shared" si="11"/>
        <v>mRNA292: -&gt; E3_1_1_96_mRNA | 0.00292 - (0.0093 * E3_1_1_96_mRNA)</v>
      </c>
      <c r="N293" s="2" t="str">
        <f t="shared" si="12"/>
        <v>Peptide292: E3_1_1_96_mRNA -&gt; E3_1_1_96 | (0.278 * E3_1_1_96_mRNA) - (0.000000278 * E3_1_1_96)</v>
      </c>
    </row>
    <row r="294">
      <c r="A294" s="12">
        <v>293.0</v>
      </c>
      <c r="B294" s="2" t="s">
        <v>25218</v>
      </c>
      <c r="C294" s="2" t="str">
        <f t="shared" si="3"/>
        <v>E3_1_1_99_mRNA</v>
      </c>
      <c r="D294" s="2" t="str">
        <f t="shared" si="4"/>
        <v>E3_1_1_99</v>
      </c>
      <c r="E294" s="2" t="str">
        <f t="shared" si="5"/>
        <v>E3_1_1_99_kcat : 13.7</v>
      </c>
      <c r="F294" s="2" t="str">
        <f t="shared" si="6"/>
        <v>E3_1_1_99_km : 1</v>
      </c>
      <c r="G294" s="2" t="str">
        <f t="shared" ref="G294:H294" si="593">CONCATENATE(C294," : ",C294)</f>
        <v>E3_1_1_99_mRNA : E3_1_1_99_mRNA</v>
      </c>
      <c r="H294" s="2" t="str">
        <f t="shared" si="593"/>
        <v>E3_1_1_99 : E3_1_1_99</v>
      </c>
      <c r="I294" s="2" t="str">
        <f t="shared" ref="I294:J294" si="594">CONCATENATE(C294," : ","0")</f>
        <v>E3_1_1_99_mRNA : 0</v>
      </c>
      <c r="J294" s="2" t="str">
        <f t="shared" si="594"/>
        <v>E3_1_1_99 : 0</v>
      </c>
      <c r="K294" s="2" t="str">
        <f t="shared" si="9"/>
        <v>0.00292 - (0.0093 * E3_1_1_99_mRNA)</v>
      </c>
      <c r="L294" s="2" t="str">
        <f t="shared" si="10"/>
        <v>(0.278 * E3_1_1_99_mRNA) - (0.00000278 * E3_1_1_99)</v>
      </c>
      <c r="M294" s="2" t="str">
        <f t="shared" si="11"/>
        <v>mRNA293: -&gt; E3_1_1_99_mRNA | 0.00292 - (0.0093 * E3_1_1_99_mRNA)</v>
      </c>
      <c r="N294" s="2" t="str">
        <f t="shared" si="12"/>
        <v>Peptide293: E3_1_1_99_mRNA -&gt; E3_1_1_99 | (0.278 * E3_1_1_99_mRNA) - (0.000000278 * E3_1_1_99)</v>
      </c>
    </row>
    <row r="295">
      <c r="A295" s="12">
        <v>294.0</v>
      </c>
      <c r="B295" s="2" t="s">
        <v>25219</v>
      </c>
      <c r="C295" s="2" t="str">
        <f t="shared" si="3"/>
        <v>E3_1_11_6_mRNA</v>
      </c>
      <c r="D295" s="2" t="str">
        <f t="shared" si="4"/>
        <v>E3_1_11_6</v>
      </c>
      <c r="E295" s="2" t="str">
        <f t="shared" si="5"/>
        <v>E3_1_11_6_kcat : 13.7</v>
      </c>
      <c r="F295" s="2" t="str">
        <f t="shared" si="6"/>
        <v>E3_1_11_6_km : 1</v>
      </c>
      <c r="G295" s="2" t="str">
        <f t="shared" ref="G295:H295" si="595">CONCATENATE(C295," : ",C295)</f>
        <v>E3_1_11_6_mRNA : E3_1_11_6_mRNA</v>
      </c>
      <c r="H295" s="2" t="str">
        <f t="shared" si="595"/>
        <v>E3_1_11_6 : E3_1_11_6</v>
      </c>
      <c r="I295" s="2" t="str">
        <f t="shared" ref="I295:J295" si="596">CONCATENATE(C295," : ","0")</f>
        <v>E3_1_11_6_mRNA : 0</v>
      </c>
      <c r="J295" s="2" t="str">
        <f t="shared" si="596"/>
        <v>E3_1_11_6 : 0</v>
      </c>
      <c r="K295" s="2" t="str">
        <f t="shared" si="9"/>
        <v>0.00292 - (0.0093 * E3_1_11_6_mRNA)</v>
      </c>
      <c r="L295" s="2" t="str">
        <f t="shared" si="10"/>
        <v>(0.278 * E3_1_11_6_mRNA) - (0.00000278 * E3_1_11_6)</v>
      </c>
      <c r="M295" s="2" t="str">
        <f t="shared" si="11"/>
        <v>mRNA294: -&gt; E3_1_11_6_mRNA | 0.00292 - (0.0093 * E3_1_11_6_mRNA)</v>
      </c>
      <c r="N295" s="2" t="str">
        <f t="shared" si="12"/>
        <v>Peptide294: E3_1_11_6_mRNA -&gt; E3_1_11_6 | (0.278 * E3_1_11_6_mRNA) - (0.000000278 * E3_1_11_6)</v>
      </c>
    </row>
    <row r="296">
      <c r="A296" s="12">
        <v>295.0</v>
      </c>
      <c r="B296" s="2" t="s">
        <v>25220</v>
      </c>
      <c r="C296" s="2" t="str">
        <f t="shared" si="3"/>
        <v>E3_1_2_20_mRNA</v>
      </c>
      <c r="D296" s="2" t="str">
        <f t="shared" si="4"/>
        <v>E3_1_2_20</v>
      </c>
      <c r="E296" s="2" t="str">
        <f t="shared" si="5"/>
        <v>E3_1_2_20_kcat : 13.7</v>
      </c>
      <c r="F296" s="2" t="str">
        <f t="shared" si="6"/>
        <v>E3_1_2_20_km : 1</v>
      </c>
      <c r="G296" s="2" t="str">
        <f t="shared" ref="G296:H296" si="597">CONCATENATE(C296," : ",C296)</f>
        <v>E3_1_2_20_mRNA : E3_1_2_20_mRNA</v>
      </c>
      <c r="H296" s="2" t="str">
        <f t="shared" si="597"/>
        <v>E3_1_2_20 : E3_1_2_20</v>
      </c>
      <c r="I296" s="2" t="str">
        <f t="shared" ref="I296:J296" si="598">CONCATENATE(C296," : ","0")</f>
        <v>E3_1_2_20_mRNA : 0</v>
      </c>
      <c r="J296" s="2" t="str">
        <f t="shared" si="598"/>
        <v>E3_1_2_20 : 0</v>
      </c>
      <c r="K296" s="2" t="str">
        <f t="shared" si="9"/>
        <v>0.00292 - (0.0093 * E3_1_2_20_mRNA)</v>
      </c>
      <c r="L296" s="2" t="str">
        <f t="shared" si="10"/>
        <v>(0.278 * E3_1_2_20_mRNA) - (0.00000278 * E3_1_2_20)</v>
      </c>
      <c r="M296" s="2" t="str">
        <f t="shared" si="11"/>
        <v>mRNA295: -&gt; E3_1_2_20_mRNA | 0.00292 - (0.0093 * E3_1_2_20_mRNA)</v>
      </c>
      <c r="N296" s="2" t="str">
        <f t="shared" si="12"/>
        <v>Peptide295: E3_1_2_20_mRNA -&gt; E3_1_2_20 | (0.278 * E3_1_2_20_mRNA) - (0.000000278 * E3_1_2_20)</v>
      </c>
    </row>
    <row r="297">
      <c r="A297" s="12">
        <v>296.0</v>
      </c>
      <c r="B297" s="2" t="s">
        <v>25221</v>
      </c>
      <c r="C297" s="2" t="str">
        <f t="shared" si="3"/>
        <v>E3_1_21_2_mRNA</v>
      </c>
      <c r="D297" s="2" t="str">
        <f t="shared" si="4"/>
        <v>E3_1_21_2</v>
      </c>
      <c r="E297" s="2" t="str">
        <f t="shared" si="5"/>
        <v>E3_1_21_2_kcat : 13.7</v>
      </c>
      <c r="F297" s="2" t="str">
        <f t="shared" si="6"/>
        <v>E3_1_21_2_km : 1</v>
      </c>
      <c r="G297" s="2" t="str">
        <f t="shared" ref="G297:H297" si="599">CONCATENATE(C297," : ",C297)</f>
        <v>E3_1_21_2_mRNA : E3_1_21_2_mRNA</v>
      </c>
      <c r="H297" s="2" t="str">
        <f t="shared" si="599"/>
        <v>E3_1_21_2 : E3_1_21_2</v>
      </c>
      <c r="I297" s="2" t="str">
        <f t="shared" ref="I297:J297" si="600">CONCATENATE(C297," : ","0")</f>
        <v>E3_1_21_2_mRNA : 0</v>
      </c>
      <c r="J297" s="2" t="str">
        <f t="shared" si="600"/>
        <v>E3_1_21_2 : 0</v>
      </c>
      <c r="K297" s="2" t="str">
        <f t="shared" si="9"/>
        <v>0.00292 - (0.0093 * E3_1_21_2_mRNA)</v>
      </c>
      <c r="L297" s="2" t="str">
        <f t="shared" si="10"/>
        <v>(0.278 * E3_1_21_2_mRNA) - (0.00000278 * E3_1_21_2)</v>
      </c>
      <c r="M297" s="2" t="str">
        <f t="shared" si="11"/>
        <v>mRNA296: -&gt; E3_1_21_2_mRNA | 0.00292 - (0.0093 * E3_1_21_2_mRNA)</v>
      </c>
      <c r="N297" s="2" t="str">
        <f t="shared" si="12"/>
        <v>Peptide296: E3_1_21_2_mRNA -&gt; E3_1_21_2 | (0.278 * E3_1_21_2_mRNA) - (0.000000278 * E3_1_21_2)</v>
      </c>
    </row>
    <row r="298">
      <c r="A298" s="12">
        <v>297.0</v>
      </c>
      <c r="B298" s="2" t="s">
        <v>25222</v>
      </c>
      <c r="C298" s="2" t="str">
        <f t="shared" si="3"/>
        <v>E3_1_21_3_mRNA</v>
      </c>
      <c r="D298" s="2" t="str">
        <f t="shared" si="4"/>
        <v>E3_1_21_3</v>
      </c>
      <c r="E298" s="2" t="str">
        <f t="shared" si="5"/>
        <v>E3_1_21_3_kcat : 13.7</v>
      </c>
      <c r="F298" s="2" t="str">
        <f t="shared" si="6"/>
        <v>E3_1_21_3_km : 1</v>
      </c>
      <c r="G298" s="2" t="str">
        <f t="shared" ref="G298:H298" si="601">CONCATENATE(C298," : ",C298)</f>
        <v>E3_1_21_3_mRNA : E3_1_21_3_mRNA</v>
      </c>
      <c r="H298" s="2" t="str">
        <f t="shared" si="601"/>
        <v>E3_1_21_3 : E3_1_21_3</v>
      </c>
      <c r="I298" s="2" t="str">
        <f t="shared" ref="I298:J298" si="602">CONCATENATE(C298," : ","0")</f>
        <v>E3_1_21_3_mRNA : 0</v>
      </c>
      <c r="J298" s="2" t="str">
        <f t="shared" si="602"/>
        <v>E3_1_21_3 : 0</v>
      </c>
      <c r="K298" s="2" t="str">
        <f t="shared" si="9"/>
        <v>0.00292 - (0.0093 * E3_1_21_3_mRNA)</v>
      </c>
      <c r="L298" s="2" t="str">
        <f t="shared" si="10"/>
        <v>(0.278 * E3_1_21_3_mRNA) - (0.00000278 * E3_1_21_3)</v>
      </c>
      <c r="M298" s="2" t="str">
        <f t="shared" si="11"/>
        <v>mRNA297: -&gt; E3_1_21_3_mRNA | 0.00292 - (0.0093 * E3_1_21_3_mRNA)</v>
      </c>
      <c r="N298" s="2" t="str">
        <f t="shared" si="12"/>
        <v>Peptide297: E3_1_21_3_mRNA -&gt; E3_1_21_3 | (0.278 * E3_1_21_3_mRNA) - (0.000000278 * E3_1_21_3)</v>
      </c>
    </row>
    <row r="299">
      <c r="A299" s="12">
        <v>298.0</v>
      </c>
      <c r="B299" s="2" t="s">
        <v>25223</v>
      </c>
      <c r="C299" s="2" t="str">
        <f t="shared" si="3"/>
        <v>E3_1_26_11_mRNA</v>
      </c>
      <c r="D299" s="2" t="str">
        <f t="shared" si="4"/>
        <v>E3_1_26_11</v>
      </c>
      <c r="E299" s="2" t="str">
        <f t="shared" si="5"/>
        <v>E3_1_26_11_kcat : 13.7</v>
      </c>
      <c r="F299" s="2" t="str">
        <f t="shared" si="6"/>
        <v>E3_1_26_11_km : 1</v>
      </c>
      <c r="G299" s="2" t="str">
        <f t="shared" ref="G299:H299" si="603">CONCATENATE(C299," : ",C299)</f>
        <v>E3_1_26_11_mRNA : E3_1_26_11_mRNA</v>
      </c>
      <c r="H299" s="2" t="str">
        <f t="shared" si="603"/>
        <v>E3_1_26_11 : E3_1_26_11</v>
      </c>
      <c r="I299" s="2" t="str">
        <f t="shared" ref="I299:J299" si="604">CONCATENATE(C299," : ","0")</f>
        <v>E3_1_26_11_mRNA : 0</v>
      </c>
      <c r="J299" s="2" t="str">
        <f t="shared" si="604"/>
        <v>E3_1_26_11 : 0</v>
      </c>
      <c r="K299" s="2" t="str">
        <f t="shared" si="9"/>
        <v>0.00292 - (0.0093 * E3_1_26_11_mRNA)</v>
      </c>
      <c r="L299" s="2" t="str">
        <f t="shared" si="10"/>
        <v>(0.278 * E3_1_26_11_mRNA) - (0.00000278 * E3_1_26_11)</v>
      </c>
      <c r="M299" s="2" t="str">
        <f t="shared" si="11"/>
        <v>mRNA298: -&gt; E3_1_26_11_mRNA | 0.00292 - (0.0093 * E3_1_26_11_mRNA)</v>
      </c>
      <c r="N299" s="2" t="str">
        <f t="shared" si="12"/>
        <v>Peptide298: E3_1_26_11_mRNA -&gt; E3_1_26_11 | (0.278 * E3_1_26_11_mRNA) - (0.000000278 * E3_1_26_11)</v>
      </c>
    </row>
    <row r="300">
      <c r="A300" s="12">
        <v>299.0</v>
      </c>
      <c r="B300" s="2" t="s">
        <v>25224</v>
      </c>
      <c r="C300" s="2" t="str">
        <f t="shared" si="3"/>
        <v>E3_1_26_4_mRNA</v>
      </c>
      <c r="D300" s="2" t="str">
        <f t="shared" si="4"/>
        <v>E3_1_26_4</v>
      </c>
      <c r="E300" s="2" t="str">
        <f t="shared" si="5"/>
        <v>E3_1_26_4_kcat : 13.7</v>
      </c>
      <c r="F300" s="2" t="str">
        <f t="shared" si="6"/>
        <v>E3_1_26_4_km : 1</v>
      </c>
      <c r="G300" s="2" t="str">
        <f t="shared" ref="G300:H300" si="605">CONCATENATE(C300," : ",C300)</f>
        <v>E3_1_26_4_mRNA : E3_1_26_4_mRNA</v>
      </c>
      <c r="H300" s="2" t="str">
        <f t="shared" si="605"/>
        <v>E3_1_26_4 : E3_1_26_4</v>
      </c>
      <c r="I300" s="2" t="str">
        <f t="shared" ref="I300:J300" si="606">CONCATENATE(C300," : ","0")</f>
        <v>E3_1_26_4_mRNA : 0</v>
      </c>
      <c r="J300" s="2" t="str">
        <f t="shared" si="606"/>
        <v>E3_1_26_4 : 0</v>
      </c>
      <c r="K300" s="2" t="str">
        <f t="shared" si="9"/>
        <v>0.00292 - (0.0093 * E3_1_26_4_mRNA)</v>
      </c>
      <c r="L300" s="2" t="str">
        <f t="shared" si="10"/>
        <v>(0.278 * E3_1_26_4_mRNA) - (0.00000278 * E3_1_26_4)</v>
      </c>
      <c r="M300" s="2" t="str">
        <f t="shared" si="11"/>
        <v>mRNA299: -&gt; E3_1_26_4_mRNA | 0.00292 - (0.0093 * E3_1_26_4_mRNA)</v>
      </c>
      <c r="N300" s="2" t="str">
        <f t="shared" si="12"/>
        <v>Peptide299: E3_1_26_4_mRNA -&gt; E3_1_26_4 | (0.278 * E3_1_26_4_mRNA) - (0.000000278 * E3_1_26_4)</v>
      </c>
    </row>
    <row r="301">
      <c r="A301" s="12">
        <v>300.0</v>
      </c>
      <c r="B301" s="2" t="s">
        <v>25225</v>
      </c>
      <c r="C301" s="2" t="str">
        <f t="shared" si="3"/>
        <v>E3_1_26_5_mRNA</v>
      </c>
      <c r="D301" s="2" t="str">
        <f t="shared" si="4"/>
        <v>E3_1_26_5</v>
      </c>
      <c r="E301" s="2" t="str">
        <f t="shared" si="5"/>
        <v>E3_1_26_5_kcat : 13.7</v>
      </c>
      <c r="F301" s="2" t="str">
        <f t="shared" si="6"/>
        <v>E3_1_26_5_km : 1</v>
      </c>
      <c r="G301" s="2" t="str">
        <f t="shared" ref="G301:H301" si="607">CONCATENATE(C301," : ",C301)</f>
        <v>E3_1_26_5_mRNA : E3_1_26_5_mRNA</v>
      </c>
      <c r="H301" s="2" t="str">
        <f t="shared" si="607"/>
        <v>E3_1_26_5 : E3_1_26_5</v>
      </c>
      <c r="I301" s="2" t="str">
        <f t="shared" ref="I301:J301" si="608">CONCATENATE(C301," : ","0")</f>
        <v>E3_1_26_5_mRNA : 0</v>
      </c>
      <c r="J301" s="2" t="str">
        <f t="shared" si="608"/>
        <v>E3_1_26_5 : 0</v>
      </c>
      <c r="K301" s="2" t="str">
        <f t="shared" si="9"/>
        <v>0.00292 - (0.0093 * E3_1_26_5_mRNA)</v>
      </c>
      <c r="L301" s="2" t="str">
        <f t="shared" si="10"/>
        <v>(0.278 * E3_1_26_5_mRNA) - (0.00000278 * E3_1_26_5)</v>
      </c>
      <c r="M301" s="2" t="str">
        <f t="shared" si="11"/>
        <v>mRNA300: -&gt; E3_1_26_5_mRNA | 0.00292 - (0.0093 * E3_1_26_5_mRNA)</v>
      </c>
      <c r="N301" s="2" t="str">
        <f t="shared" si="12"/>
        <v>Peptide300: E3_1_26_5_mRNA -&gt; E3_1_26_5 | (0.278 * E3_1_26_5_mRNA) - (0.000000278 * E3_1_26_5)</v>
      </c>
    </row>
    <row r="302">
      <c r="A302" s="12">
        <v>301.0</v>
      </c>
      <c r="B302" s="2" t="s">
        <v>25226</v>
      </c>
      <c r="C302" s="2" t="str">
        <f t="shared" si="3"/>
        <v>E3_1_26_8_mRNA</v>
      </c>
      <c r="D302" s="2" t="str">
        <f t="shared" si="4"/>
        <v>E3_1_26_8</v>
      </c>
      <c r="E302" s="2" t="str">
        <f t="shared" si="5"/>
        <v>E3_1_26_8_kcat : 13.7</v>
      </c>
      <c r="F302" s="2" t="str">
        <f t="shared" si="6"/>
        <v>E3_1_26_8_km : 1</v>
      </c>
      <c r="G302" s="2" t="str">
        <f t="shared" ref="G302:H302" si="609">CONCATENATE(C302," : ",C302)</f>
        <v>E3_1_26_8_mRNA : E3_1_26_8_mRNA</v>
      </c>
      <c r="H302" s="2" t="str">
        <f t="shared" si="609"/>
        <v>E3_1_26_8 : E3_1_26_8</v>
      </c>
      <c r="I302" s="2" t="str">
        <f t="shared" ref="I302:J302" si="610">CONCATENATE(C302," : ","0")</f>
        <v>E3_1_26_8_mRNA : 0</v>
      </c>
      <c r="J302" s="2" t="str">
        <f t="shared" si="610"/>
        <v>E3_1_26_8 : 0</v>
      </c>
      <c r="K302" s="2" t="str">
        <f t="shared" si="9"/>
        <v>0.00292 - (0.0093 * E3_1_26_8_mRNA)</v>
      </c>
      <c r="L302" s="2" t="str">
        <f t="shared" si="10"/>
        <v>(0.278 * E3_1_26_8_mRNA) - (0.00000278 * E3_1_26_8)</v>
      </c>
      <c r="M302" s="2" t="str">
        <f t="shared" si="11"/>
        <v>mRNA301: -&gt; E3_1_26_8_mRNA | 0.00292 - (0.0093 * E3_1_26_8_mRNA)</v>
      </c>
      <c r="N302" s="2" t="str">
        <f t="shared" si="12"/>
        <v>Peptide301: E3_1_26_8_mRNA -&gt; E3_1_26_8 | (0.278 * E3_1_26_8_mRNA) - (0.000000278 * E3_1_26_8)</v>
      </c>
    </row>
    <row r="303">
      <c r="A303" s="12">
        <v>302.0</v>
      </c>
      <c r="B303" s="2" t="s">
        <v>25227</v>
      </c>
      <c r="C303" s="2" t="str">
        <f t="shared" si="3"/>
        <v>E3_1_3_1_mRNA</v>
      </c>
      <c r="D303" s="2" t="str">
        <f t="shared" si="4"/>
        <v>E3_1_3_1</v>
      </c>
      <c r="E303" s="2" t="str">
        <f t="shared" si="5"/>
        <v>E3_1_3_1_kcat : 13.7</v>
      </c>
      <c r="F303" s="2" t="str">
        <f t="shared" si="6"/>
        <v>E3_1_3_1_km : 1</v>
      </c>
      <c r="G303" s="2" t="str">
        <f t="shared" ref="G303:H303" si="611">CONCATENATE(C303," : ",C303)</f>
        <v>E3_1_3_1_mRNA : E3_1_3_1_mRNA</v>
      </c>
      <c r="H303" s="2" t="str">
        <f t="shared" si="611"/>
        <v>E3_1_3_1 : E3_1_3_1</v>
      </c>
      <c r="I303" s="2" t="str">
        <f t="shared" ref="I303:J303" si="612">CONCATENATE(C303," : ","0")</f>
        <v>E3_1_3_1_mRNA : 0</v>
      </c>
      <c r="J303" s="2" t="str">
        <f t="shared" si="612"/>
        <v>E3_1_3_1 : 0</v>
      </c>
      <c r="K303" s="2" t="str">
        <f t="shared" si="9"/>
        <v>0.00292 - (0.0093 * E3_1_3_1_mRNA)</v>
      </c>
      <c r="L303" s="2" t="str">
        <f t="shared" si="10"/>
        <v>(0.278 * E3_1_3_1_mRNA) - (0.00000278 * E3_1_3_1)</v>
      </c>
      <c r="M303" s="2" t="str">
        <f t="shared" si="11"/>
        <v>mRNA302: -&gt; E3_1_3_1_mRNA | 0.00292 - (0.0093 * E3_1_3_1_mRNA)</v>
      </c>
      <c r="N303" s="2" t="str">
        <f t="shared" si="12"/>
        <v>Peptide302: E3_1_3_1_mRNA -&gt; E3_1_3_1 | (0.278 * E3_1_3_1_mRNA) - (0.000000278 * E3_1_3_1)</v>
      </c>
    </row>
    <row r="304">
      <c r="A304" s="12">
        <v>303.0</v>
      </c>
      <c r="B304" s="2" t="s">
        <v>25228</v>
      </c>
      <c r="C304" s="2" t="str">
        <f t="shared" si="3"/>
        <v>E3_1_3_11_mRNA</v>
      </c>
      <c r="D304" s="2" t="str">
        <f t="shared" si="4"/>
        <v>E3_1_3_11</v>
      </c>
      <c r="E304" s="2" t="str">
        <f t="shared" si="5"/>
        <v>E3_1_3_11_kcat : 13.7</v>
      </c>
      <c r="F304" s="2" t="str">
        <f t="shared" si="6"/>
        <v>E3_1_3_11_km : 1</v>
      </c>
      <c r="G304" s="2" t="str">
        <f t="shared" ref="G304:H304" si="613">CONCATENATE(C304," : ",C304)</f>
        <v>E3_1_3_11_mRNA : E3_1_3_11_mRNA</v>
      </c>
      <c r="H304" s="2" t="str">
        <f t="shared" si="613"/>
        <v>E3_1_3_11 : E3_1_3_11</v>
      </c>
      <c r="I304" s="2" t="str">
        <f t="shared" ref="I304:J304" si="614">CONCATENATE(C304," : ","0")</f>
        <v>E3_1_3_11_mRNA : 0</v>
      </c>
      <c r="J304" s="2" t="str">
        <f t="shared" si="614"/>
        <v>E3_1_3_11 : 0</v>
      </c>
      <c r="K304" s="2" t="str">
        <f t="shared" si="9"/>
        <v>0.00292 - (0.0093 * E3_1_3_11_mRNA)</v>
      </c>
      <c r="L304" s="2" t="str">
        <f t="shared" si="10"/>
        <v>(0.278 * E3_1_3_11_mRNA) - (0.00000278 * E3_1_3_11)</v>
      </c>
      <c r="M304" s="2" t="str">
        <f t="shared" si="11"/>
        <v>mRNA303: -&gt; E3_1_3_11_mRNA | 0.00292 - (0.0093 * E3_1_3_11_mRNA)</v>
      </c>
      <c r="N304" s="2" t="str">
        <f t="shared" si="12"/>
        <v>Peptide303: E3_1_3_11_mRNA -&gt; E3_1_3_11 | (0.278 * E3_1_3_11_mRNA) - (0.000000278 * E3_1_3_11)</v>
      </c>
    </row>
    <row r="305">
      <c r="A305" s="12">
        <v>304.0</v>
      </c>
      <c r="B305" s="2" t="s">
        <v>25229</v>
      </c>
      <c r="C305" s="2" t="str">
        <f t="shared" si="3"/>
        <v>E3_1_3_16_mRNA</v>
      </c>
      <c r="D305" s="2" t="str">
        <f t="shared" si="4"/>
        <v>E3_1_3_16</v>
      </c>
      <c r="E305" s="2" t="str">
        <f t="shared" si="5"/>
        <v>E3_1_3_16_kcat : 13.7</v>
      </c>
      <c r="F305" s="2" t="str">
        <f t="shared" si="6"/>
        <v>E3_1_3_16_km : 1</v>
      </c>
      <c r="G305" s="2" t="str">
        <f t="shared" ref="G305:H305" si="615">CONCATENATE(C305," : ",C305)</f>
        <v>E3_1_3_16_mRNA : E3_1_3_16_mRNA</v>
      </c>
      <c r="H305" s="2" t="str">
        <f t="shared" si="615"/>
        <v>E3_1_3_16 : E3_1_3_16</v>
      </c>
      <c r="I305" s="2" t="str">
        <f t="shared" ref="I305:J305" si="616">CONCATENATE(C305," : ","0")</f>
        <v>E3_1_3_16_mRNA : 0</v>
      </c>
      <c r="J305" s="2" t="str">
        <f t="shared" si="616"/>
        <v>E3_1_3_16 : 0</v>
      </c>
      <c r="K305" s="2" t="str">
        <f t="shared" si="9"/>
        <v>0.00292 - (0.0093 * E3_1_3_16_mRNA)</v>
      </c>
      <c r="L305" s="2" t="str">
        <f t="shared" si="10"/>
        <v>(0.278 * E3_1_3_16_mRNA) - (0.00000278 * E3_1_3_16)</v>
      </c>
      <c r="M305" s="2" t="str">
        <f t="shared" si="11"/>
        <v>mRNA304: -&gt; E3_1_3_16_mRNA | 0.00292 - (0.0093 * E3_1_3_16_mRNA)</v>
      </c>
      <c r="N305" s="2" t="str">
        <f t="shared" si="12"/>
        <v>Peptide304: E3_1_3_16_mRNA -&gt; E3_1_3_16 | (0.278 * E3_1_3_16_mRNA) - (0.000000278 * E3_1_3_16)</v>
      </c>
    </row>
    <row r="306">
      <c r="A306" s="12">
        <v>305.0</v>
      </c>
      <c r="B306" s="2" t="s">
        <v>25230</v>
      </c>
      <c r="C306" s="2" t="str">
        <f t="shared" si="3"/>
        <v>E3_1_3_3_mRNA</v>
      </c>
      <c r="D306" s="2" t="str">
        <f t="shared" si="4"/>
        <v>E3_1_3_3</v>
      </c>
      <c r="E306" s="2" t="str">
        <f t="shared" si="5"/>
        <v>E3_1_3_3_kcat : 13.7</v>
      </c>
      <c r="F306" s="2" t="str">
        <f t="shared" si="6"/>
        <v>E3_1_3_3_km : 1</v>
      </c>
      <c r="G306" s="2" t="str">
        <f t="shared" ref="G306:H306" si="617">CONCATENATE(C306," : ",C306)</f>
        <v>E3_1_3_3_mRNA : E3_1_3_3_mRNA</v>
      </c>
      <c r="H306" s="2" t="str">
        <f t="shared" si="617"/>
        <v>E3_1_3_3 : E3_1_3_3</v>
      </c>
      <c r="I306" s="2" t="str">
        <f t="shared" ref="I306:J306" si="618">CONCATENATE(C306," : ","0")</f>
        <v>E3_1_3_3_mRNA : 0</v>
      </c>
      <c r="J306" s="2" t="str">
        <f t="shared" si="618"/>
        <v>E3_1_3_3 : 0</v>
      </c>
      <c r="K306" s="2" t="str">
        <f t="shared" si="9"/>
        <v>0.00292 - (0.0093 * E3_1_3_3_mRNA)</v>
      </c>
      <c r="L306" s="2" t="str">
        <f t="shared" si="10"/>
        <v>(0.278 * E3_1_3_3_mRNA) - (0.00000278 * E3_1_3_3)</v>
      </c>
      <c r="M306" s="2" t="str">
        <f t="shared" si="11"/>
        <v>mRNA305: -&gt; E3_1_3_3_mRNA | 0.00292 - (0.0093 * E3_1_3_3_mRNA)</v>
      </c>
      <c r="N306" s="2" t="str">
        <f t="shared" si="12"/>
        <v>Peptide305: E3_1_3_3_mRNA -&gt; E3_1_3_3 | (0.278 * E3_1_3_3_mRNA) - (0.000000278 * E3_1_3_3)</v>
      </c>
    </row>
    <row r="307">
      <c r="A307" s="12">
        <v>306.0</v>
      </c>
      <c r="B307" s="2" t="s">
        <v>25231</v>
      </c>
      <c r="C307" s="2" t="str">
        <f t="shared" si="3"/>
        <v>E3_1_3_48_mRNA</v>
      </c>
      <c r="D307" s="2" t="str">
        <f t="shared" si="4"/>
        <v>E3_1_3_48</v>
      </c>
      <c r="E307" s="2" t="str">
        <f t="shared" si="5"/>
        <v>E3_1_3_48_kcat : 13.7</v>
      </c>
      <c r="F307" s="2" t="str">
        <f t="shared" si="6"/>
        <v>E3_1_3_48_km : 1</v>
      </c>
      <c r="G307" s="2" t="str">
        <f t="shared" ref="G307:H307" si="619">CONCATENATE(C307," : ",C307)</f>
        <v>E3_1_3_48_mRNA : E3_1_3_48_mRNA</v>
      </c>
      <c r="H307" s="2" t="str">
        <f t="shared" si="619"/>
        <v>E3_1_3_48 : E3_1_3_48</v>
      </c>
      <c r="I307" s="2" t="str">
        <f t="shared" ref="I307:J307" si="620">CONCATENATE(C307," : ","0")</f>
        <v>E3_1_3_48_mRNA : 0</v>
      </c>
      <c r="J307" s="2" t="str">
        <f t="shared" si="620"/>
        <v>E3_1_3_48 : 0</v>
      </c>
      <c r="K307" s="2" t="str">
        <f t="shared" si="9"/>
        <v>0.00292 - (0.0093 * E3_1_3_48_mRNA)</v>
      </c>
      <c r="L307" s="2" t="str">
        <f t="shared" si="10"/>
        <v>(0.278 * E3_1_3_48_mRNA) - (0.00000278 * E3_1_3_48)</v>
      </c>
      <c r="M307" s="2" t="str">
        <f t="shared" si="11"/>
        <v>mRNA306: -&gt; E3_1_3_48_mRNA | 0.00292 - (0.0093 * E3_1_3_48_mRNA)</v>
      </c>
      <c r="N307" s="2" t="str">
        <f t="shared" si="12"/>
        <v>Peptide306: E3_1_3_48_mRNA -&gt; E3_1_3_48 | (0.278 * E3_1_3_48_mRNA) - (0.000000278 * E3_1_3_48)</v>
      </c>
    </row>
    <row r="308">
      <c r="A308" s="12">
        <v>307.0</v>
      </c>
      <c r="B308" s="2" t="s">
        <v>25232</v>
      </c>
      <c r="C308" s="2" t="str">
        <f t="shared" si="3"/>
        <v>E3_1_3_5_mRNA</v>
      </c>
      <c r="D308" s="2" t="str">
        <f t="shared" si="4"/>
        <v>E3_1_3_5</v>
      </c>
      <c r="E308" s="2" t="str">
        <f t="shared" si="5"/>
        <v>E3_1_3_5_kcat : 13.7</v>
      </c>
      <c r="F308" s="2" t="str">
        <f t="shared" si="6"/>
        <v>E3_1_3_5_km : 1</v>
      </c>
      <c r="G308" s="2" t="str">
        <f t="shared" ref="G308:H308" si="621">CONCATENATE(C308," : ",C308)</f>
        <v>E3_1_3_5_mRNA : E3_1_3_5_mRNA</v>
      </c>
      <c r="H308" s="2" t="str">
        <f t="shared" si="621"/>
        <v>E3_1_3_5 : E3_1_3_5</v>
      </c>
      <c r="I308" s="2" t="str">
        <f t="shared" ref="I308:J308" si="622">CONCATENATE(C308," : ","0")</f>
        <v>E3_1_3_5_mRNA : 0</v>
      </c>
      <c r="J308" s="2" t="str">
        <f t="shared" si="622"/>
        <v>E3_1_3_5 : 0</v>
      </c>
      <c r="K308" s="2" t="str">
        <f t="shared" si="9"/>
        <v>0.00292 - (0.0093 * E3_1_3_5_mRNA)</v>
      </c>
      <c r="L308" s="2" t="str">
        <f t="shared" si="10"/>
        <v>(0.278 * E3_1_3_5_mRNA) - (0.00000278 * E3_1_3_5)</v>
      </c>
      <c r="M308" s="2" t="str">
        <f t="shared" si="11"/>
        <v>mRNA307: -&gt; E3_1_3_5_mRNA | 0.00292 - (0.0093 * E3_1_3_5_mRNA)</v>
      </c>
      <c r="N308" s="2" t="str">
        <f t="shared" si="12"/>
        <v>Peptide307: E3_1_3_5_mRNA -&gt; E3_1_3_5 | (0.278 * E3_1_3_5_mRNA) - (0.000000278 * E3_1_3_5)</v>
      </c>
    </row>
    <row r="309">
      <c r="A309" s="12">
        <v>308.0</v>
      </c>
      <c r="B309" s="2" t="s">
        <v>25233</v>
      </c>
      <c r="C309" s="2" t="str">
        <f t="shared" si="3"/>
        <v>E3_1_3_7_mRNA</v>
      </c>
      <c r="D309" s="2" t="str">
        <f t="shared" si="4"/>
        <v>E3_1_3_7</v>
      </c>
      <c r="E309" s="2" t="str">
        <f t="shared" si="5"/>
        <v>E3_1_3_7_kcat : 13.7</v>
      </c>
      <c r="F309" s="2" t="str">
        <f t="shared" si="6"/>
        <v>E3_1_3_7_km : 1</v>
      </c>
      <c r="G309" s="2" t="str">
        <f t="shared" ref="G309:H309" si="623">CONCATENATE(C309," : ",C309)</f>
        <v>E3_1_3_7_mRNA : E3_1_3_7_mRNA</v>
      </c>
      <c r="H309" s="2" t="str">
        <f t="shared" si="623"/>
        <v>E3_1_3_7 : E3_1_3_7</v>
      </c>
      <c r="I309" s="2" t="str">
        <f t="shared" ref="I309:J309" si="624">CONCATENATE(C309," : ","0")</f>
        <v>E3_1_3_7_mRNA : 0</v>
      </c>
      <c r="J309" s="2" t="str">
        <f t="shared" si="624"/>
        <v>E3_1_3_7 : 0</v>
      </c>
      <c r="K309" s="2" t="str">
        <f t="shared" si="9"/>
        <v>0.00292 - (0.0093 * E3_1_3_7_mRNA)</v>
      </c>
      <c r="L309" s="2" t="str">
        <f t="shared" si="10"/>
        <v>(0.278 * E3_1_3_7_mRNA) - (0.00000278 * E3_1_3_7)</v>
      </c>
      <c r="M309" s="2" t="str">
        <f t="shared" si="11"/>
        <v>mRNA308: -&gt; E3_1_3_7_mRNA | 0.00292 - (0.0093 * E3_1_3_7_mRNA)</v>
      </c>
      <c r="N309" s="2" t="str">
        <f t="shared" si="12"/>
        <v>Peptide308: E3_1_3_7_mRNA -&gt; E3_1_3_7 | (0.278 * E3_1_3_7_mRNA) - (0.000000278 * E3_1_3_7)</v>
      </c>
    </row>
    <row r="310">
      <c r="A310" s="12">
        <v>309.0</v>
      </c>
      <c r="B310" s="2" t="s">
        <v>25234</v>
      </c>
      <c r="C310" s="2" t="str">
        <f t="shared" si="3"/>
        <v>E3_1_3_87_mRNA</v>
      </c>
      <c r="D310" s="2" t="str">
        <f t="shared" si="4"/>
        <v>E3_1_3_87</v>
      </c>
      <c r="E310" s="2" t="str">
        <f t="shared" si="5"/>
        <v>E3_1_3_87_kcat : 13.7</v>
      </c>
      <c r="F310" s="2" t="str">
        <f t="shared" si="6"/>
        <v>E3_1_3_87_km : 1</v>
      </c>
      <c r="G310" s="2" t="str">
        <f t="shared" ref="G310:H310" si="625">CONCATENATE(C310," : ",C310)</f>
        <v>E3_1_3_87_mRNA : E3_1_3_87_mRNA</v>
      </c>
      <c r="H310" s="2" t="str">
        <f t="shared" si="625"/>
        <v>E3_1_3_87 : E3_1_3_87</v>
      </c>
      <c r="I310" s="2" t="str">
        <f t="shared" ref="I310:J310" si="626">CONCATENATE(C310," : ","0")</f>
        <v>E3_1_3_87_mRNA : 0</v>
      </c>
      <c r="J310" s="2" t="str">
        <f t="shared" si="626"/>
        <v>E3_1_3_87 : 0</v>
      </c>
      <c r="K310" s="2" t="str">
        <f t="shared" si="9"/>
        <v>0.00292 - (0.0093 * E3_1_3_87_mRNA)</v>
      </c>
      <c r="L310" s="2" t="str">
        <f t="shared" si="10"/>
        <v>(0.278 * E3_1_3_87_mRNA) - (0.00000278 * E3_1_3_87)</v>
      </c>
      <c r="M310" s="2" t="str">
        <f t="shared" si="11"/>
        <v>mRNA309: -&gt; E3_1_3_87_mRNA | 0.00292 - (0.0093 * E3_1_3_87_mRNA)</v>
      </c>
      <c r="N310" s="2" t="str">
        <f t="shared" si="12"/>
        <v>Peptide309: E3_1_3_87_mRNA -&gt; E3_1_3_87 | (0.278 * E3_1_3_87_mRNA) - (0.000000278 * E3_1_3_87)</v>
      </c>
    </row>
    <row r="311">
      <c r="A311" s="12">
        <v>310.0</v>
      </c>
      <c r="B311" s="2" t="s">
        <v>25235</v>
      </c>
      <c r="C311" s="2" t="str">
        <f t="shared" si="3"/>
        <v>E3_11_1_1_mRNA</v>
      </c>
      <c r="D311" s="2" t="str">
        <f t="shared" si="4"/>
        <v>E3_11_1_1</v>
      </c>
      <c r="E311" s="2" t="str">
        <f t="shared" si="5"/>
        <v>E3_11_1_1_kcat : 13.7</v>
      </c>
      <c r="F311" s="2" t="str">
        <f t="shared" si="6"/>
        <v>E3_11_1_1_km : 1</v>
      </c>
      <c r="G311" s="2" t="str">
        <f t="shared" ref="G311:H311" si="627">CONCATENATE(C311," : ",C311)</f>
        <v>E3_11_1_1_mRNA : E3_11_1_1_mRNA</v>
      </c>
      <c r="H311" s="2" t="str">
        <f t="shared" si="627"/>
        <v>E3_11_1_1 : E3_11_1_1</v>
      </c>
      <c r="I311" s="2" t="str">
        <f t="shared" ref="I311:J311" si="628">CONCATENATE(C311," : ","0")</f>
        <v>E3_11_1_1_mRNA : 0</v>
      </c>
      <c r="J311" s="2" t="str">
        <f t="shared" si="628"/>
        <v>E3_11_1_1 : 0</v>
      </c>
      <c r="K311" s="2" t="str">
        <f t="shared" si="9"/>
        <v>0.00292 - (0.0093 * E3_11_1_1_mRNA)</v>
      </c>
      <c r="L311" s="2" t="str">
        <f t="shared" si="10"/>
        <v>(0.278 * E3_11_1_1_mRNA) - (0.00000278 * E3_11_1_1)</v>
      </c>
      <c r="M311" s="2" t="str">
        <f t="shared" si="11"/>
        <v>mRNA310: -&gt; E3_11_1_1_mRNA | 0.00292 - (0.0093 * E3_11_1_1_mRNA)</v>
      </c>
      <c r="N311" s="2" t="str">
        <f t="shared" si="12"/>
        <v>Peptide310: E3_11_1_1_mRNA -&gt; E3_11_1_1 | (0.278 * E3_11_1_1_mRNA) - (0.000000278 * E3_11_1_1)</v>
      </c>
    </row>
    <row r="312">
      <c r="A312" s="12">
        <v>311.0</v>
      </c>
      <c r="B312" s="2" t="s">
        <v>25236</v>
      </c>
      <c r="C312" s="2" t="str">
        <f t="shared" si="3"/>
        <v>E3_2_1_1_mRNA</v>
      </c>
      <c r="D312" s="2" t="str">
        <f t="shared" si="4"/>
        <v>E3_2_1_1</v>
      </c>
      <c r="E312" s="2" t="str">
        <f t="shared" si="5"/>
        <v>E3_2_1_1_kcat : 13.7</v>
      </c>
      <c r="F312" s="2" t="str">
        <f t="shared" si="6"/>
        <v>E3_2_1_1_km : 1</v>
      </c>
      <c r="G312" s="2" t="str">
        <f t="shared" ref="G312:H312" si="629">CONCATENATE(C312," : ",C312)</f>
        <v>E3_2_1_1_mRNA : E3_2_1_1_mRNA</v>
      </c>
      <c r="H312" s="2" t="str">
        <f t="shared" si="629"/>
        <v>E3_2_1_1 : E3_2_1_1</v>
      </c>
      <c r="I312" s="2" t="str">
        <f t="shared" ref="I312:J312" si="630">CONCATENATE(C312," : ","0")</f>
        <v>E3_2_1_1_mRNA : 0</v>
      </c>
      <c r="J312" s="2" t="str">
        <f t="shared" si="630"/>
        <v>E3_2_1_1 : 0</v>
      </c>
      <c r="K312" s="2" t="str">
        <f t="shared" si="9"/>
        <v>0.00292 - (0.0093 * E3_2_1_1_mRNA)</v>
      </c>
      <c r="L312" s="2" t="str">
        <f t="shared" si="10"/>
        <v>(0.278 * E3_2_1_1_mRNA) - (0.00000278 * E3_2_1_1)</v>
      </c>
      <c r="M312" s="2" t="str">
        <f t="shared" si="11"/>
        <v>mRNA311: -&gt; E3_2_1_1_mRNA | 0.00292 - (0.0093 * E3_2_1_1_mRNA)</v>
      </c>
      <c r="N312" s="2" t="str">
        <f t="shared" si="12"/>
        <v>Peptide311: E3_2_1_1_mRNA -&gt; E3_2_1_1 | (0.278 * E3_2_1_1_mRNA) - (0.000000278 * E3_2_1_1)</v>
      </c>
    </row>
    <row r="313">
      <c r="A313" s="12">
        <v>312.0</v>
      </c>
      <c r="B313" s="2" t="s">
        <v>25237</v>
      </c>
      <c r="C313" s="2" t="str">
        <f t="shared" si="3"/>
        <v>E3_2_1_10_mRNA</v>
      </c>
      <c r="D313" s="2" t="str">
        <f t="shared" si="4"/>
        <v>E3_2_1_10</v>
      </c>
      <c r="E313" s="2" t="str">
        <f t="shared" si="5"/>
        <v>E3_2_1_10_kcat : 13.7</v>
      </c>
      <c r="F313" s="2" t="str">
        <f t="shared" si="6"/>
        <v>E3_2_1_10_km : 1</v>
      </c>
      <c r="G313" s="2" t="str">
        <f t="shared" ref="G313:H313" si="631">CONCATENATE(C313," : ",C313)</f>
        <v>E3_2_1_10_mRNA : E3_2_1_10_mRNA</v>
      </c>
      <c r="H313" s="2" t="str">
        <f t="shared" si="631"/>
        <v>E3_2_1_10 : E3_2_1_10</v>
      </c>
      <c r="I313" s="2" t="str">
        <f t="shared" ref="I313:J313" si="632">CONCATENATE(C313," : ","0")</f>
        <v>E3_2_1_10_mRNA : 0</v>
      </c>
      <c r="J313" s="2" t="str">
        <f t="shared" si="632"/>
        <v>E3_2_1_10 : 0</v>
      </c>
      <c r="K313" s="2" t="str">
        <f t="shared" si="9"/>
        <v>0.00292 - (0.0093 * E3_2_1_10_mRNA)</v>
      </c>
      <c r="L313" s="2" t="str">
        <f t="shared" si="10"/>
        <v>(0.278 * E3_2_1_10_mRNA) - (0.00000278 * E3_2_1_10)</v>
      </c>
      <c r="M313" s="2" t="str">
        <f t="shared" si="11"/>
        <v>mRNA312: -&gt; E3_2_1_10_mRNA | 0.00292 - (0.0093 * E3_2_1_10_mRNA)</v>
      </c>
      <c r="N313" s="2" t="str">
        <f t="shared" si="12"/>
        <v>Peptide312: E3_2_1_10_mRNA -&gt; E3_2_1_10 | (0.278 * E3_2_1_10_mRNA) - (0.000000278 * E3_2_1_10)</v>
      </c>
    </row>
    <row r="314">
      <c r="A314" s="12">
        <v>313.0</v>
      </c>
      <c r="B314" s="2" t="s">
        <v>25238</v>
      </c>
      <c r="C314" s="2" t="str">
        <f t="shared" si="3"/>
        <v>E3_2_1_26_mRNA</v>
      </c>
      <c r="D314" s="2" t="str">
        <f t="shared" si="4"/>
        <v>E3_2_1_26</v>
      </c>
      <c r="E314" s="2" t="str">
        <f t="shared" si="5"/>
        <v>E3_2_1_26_kcat : 13.7</v>
      </c>
      <c r="F314" s="2" t="str">
        <f t="shared" si="6"/>
        <v>E3_2_1_26_km : 1</v>
      </c>
      <c r="G314" s="2" t="str">
        <f t="shared" ref="G314:H314" si="633">CONCATENATE(C314," : ",C314)</f>
        <v>E3_2_1_26_mRNA : E3_2_1_26_mRNA</v>
      </c>
      <c r="H314" s="2" t="str">
        <f t="shared" si="633"/>
        <v>E3_2_1_26 : E3_2_1_26</v>
      </c>
      <c r="I314" s="2" t="str">
        <f t="shared" ref="I314:J314" si="634">CONCATENATE(C314," : ","0")</f>
        <v>E3_2_1_26_mRNA : 0</v>
      </c>
      <c r="J314" s="2" t="str">
        <f t="shared" si="634"/>
        <v>E3_2_1_26 : 0</v>
      </c>
      <c r="K314" s="2" t="str">
        <f t="shared" si="9"/>
        <v>0.00292 - (0.0093 * E3_2_1_26_mRNA)</v>
      </c>
      <c r="L314" s="2" t="str">
        <f t="shared" si="10"/>
        <v>(0.278 * E3_2_1_26_mRNA) - (0.00000278 * E3_2_1_26)</v>
      </c>
      <c r="M314" s="2" t="str">
        <f t="shared" si="11"/>
        <v>mRNA313: -&gt; E3_2_1_26_mRNA | 0.00292 - (0.0093 * E3_2_1_26_mRNA)</v>
      </c>
      <c r="N314" s="2" t="str">
        <f t="shared" si="12"/>
        <v>Peptide313: E3_2_1_26_mRNA -&gt; E3_2_1_26 | (0.278 * E3_2_1_26_mRNA) - (0.000000278 * E3_2_1_26)</v>
      </c>
    </row>
    <row r="315">
      <c r="A315" s="12">
        <v>314.0</v>
      </c>
      <c r="B315" s="2" t="s">
        <v>25239</v>
      </c>
      <c r="C315" s="2" t="str">
        <f t="shared" si="3"/>
        <v>E3_2_1_41_mRNA</v>
      </c>
      <c r="D315" s="2" t="str">
        <f t="shared" si="4"/>
        <v>E3_2_1_41</v>
      </c>
      <c r="E315" s="2" t="str">
        <f t="shared" si="5"/>
        <v>E3_2_1_41_kcat : 13.7</v>
      </c>
      <c r="F315" s="2" t="str">
        <f t="shared" si="6"/>
        <v>E3_2_1_41_km : 1</v>
      </c>
      <c r="G315" s="2" t="str">
        <f t="shared" ref="G315:H315" si="635">CONCATENATE(C315," : ",C315)</f>
        <v>E3_2_1_41_mRNA : E3_2_1_41_mRNA</v>
      </c>
      <c r="H315" s="2" t="str">
        <f t="shared" si="635"/>
        <v>E3_2_1_41 : E3_2_1_41</v>
      </c>
      <c r="I315" s="2" t="str">
        <f t="shared" ref="I315:J315" si="636">CONCATENATE(C315," : ","0")</f>
        <v>E3_2_1_41_mRNA : 0</v>
      </c>
      <c r="J315" s="2" t="str">
        <f t="shared" si="636"/>
        <v>E3_2_1_41 : 0</v>
      </c>
      <c r="K315" s="2" t="str">
        <f t="shared" si="9"/>
        <v>0.00292 - (0.0093 * E3_2_1_41_mRNA)</v>
      </c>
      <c r="L315" s="2" t="str">
        <f t="shared" si="10"/>
        <v>(0.278 * E3_2_1_41_mRNA) - (0.00000278 * E3_2_1_41)</v>
      </c>
      <c r="M315" s="2" t="str">
        <f t="shared" si="11"/>
        <v>mRNA314: -&gt; E3_2_1_41_mRNA | 0.00292 - (0.0093 * E3_2_1_41_mRNA)</v>
      </c>
      <c r="N315" s="2" t="str">
        <f t="shared" si="12"/>
        <v>Peptide314: E3_2_1_41_mRNA -&gt; E3_2_1_41 | (0.278 * E3_2_1_41_mRNA) - (0.000000278 * E3_2_1_41)</v>
      </c>
    </row>
    <row r="316">
      <c r="A316" s="12">
        <v>315.0</v>
      </c>
      <c r="B316" s="2" t="s">
        <v>25240</v>
      </c>
      <c r="C316" s="2" t="str">
        <f t="shared" si="3"/>
        <v>E3_2_1_86_mRNA</v>
      </c>
      <c r="D316" s="2" t="str">
        <f t="shared" si="4"/>
        <v>E3_2_1_86</v>
      </c>
      <c r="E316" s="2" t="str">
        <f t="shared" si="5"/>
        <v>E3_2_1_86_kcat : 13.7</v>
      </c>
      <c r="F316" s="2" t="str">
        <f t="shared" si="6"/>
        <v>E3_2_1_86_km : 1</v>
      </c>
      <c r="G316" s="2" t="str">
        <f t="shared" ref="G316:H316" si="637">CONCATENATE(C316," : ",C316)</f>
        <v>E3_2_1_86_mRNA : E3_2_1_86_mRNA</v>
      </c>
      <c r="H316" s="2" t="str">
        <f t="shared" si="637"/>
        <v>E3_2_1_86 : E3_2_1_86</v>
      </c>
      <c r="I316" s="2" t="str">
        <f t="shared" ref="I316:J316" si="638">CONCATENATE(C316," : ","0")</f>
        <v>E3_2_1_86_mRNA : 0</v>
      </c>
      <c r="J316" s="2" t="str">
        <f t="shared" si="638"/>
        <v>E3_2_1_86 : 0</v>
      </c>
      <c r="K316" s="2" t="str">
        <f t="shared" si="9"/>
        <v>0.00292 - (0.0093 * E3_2_1_86_mRNA)</v>
      </c>
      <c r="L316" s="2" t="str">
        <f t="shared" si="10"/>
        <v>(0.278 * E3_2_1_86_mRNA) - (0.00000278 * E3_2_1_86)</v>
      </c>
      <c r="M316" s="2" t="str">
        <f t="shared" si="11"/>
        <v>mRNA315: -&gt; E3_2_1_86_mRNA | 0.00292 - (0.0093 * E3_2_1_86_mRNA)</v>
      </c>
      <c r="N316" s="2" t="str">
        <f t="shared" si="12"/>
        <v>Peptide315: E3_2_1_86_mRNA -&gt; E3_2_1_86 | (0.278 * E3_2_1_86_mRNA) - (0.000000278 * E3_2_1_86)</v>
      </c>
    </row>
    <row r="317">
      <c r="A317" s="12">
        <v>316.0</v>
      </c>
      <c r="B317" s="2" t="s">
        <v>25241</v>
      </c>
      <c r="C317" s="2" t="str">
        <f t="shared" si="3"/>
        <v>E3_2_1_93_mRNA</v>
      </c>
      <c r="D317" s="2" t="str">
        <f t="shared" si="4"/>
        <v>E3_2_1_93</v>
      </c>
      <c r="E317" s="2" t="str">
        <f t="shared" si="5"/>
        <v>E3_2_1_93_kcat : 13.7</v>
      </c>
      <c r="F317" s="2" t="str">
        <f t="shared" si="6"/>
        <v>E3_2_1_93_km : 1</v>
      </c>
      <c r="G317" s="2" t="str">
        <f t="shared" ref="G317:H317" si="639">CONCATENATE(C317," : ",C317)</f>
        <v>E3_2_1_93_mRNA : E3_2_1_93_mRNA</v>
      </c>
      <c r="H317" s="2" t="str">
        <f t="shared" si="639"/>
        <v>E3_2_1_93 : E3_2_1_93</v>
      </c>
      <c r="I317" s="2" t="str">
        <f t="shared" ref="I317:J317" si="640">CONCATENATE(C317," : ","0")</f>
        <v>E3_2_1_93_mRNA : 0</v>
      </c>
      <c r="J317" s="2" t="str">
        <f t="shared" si="640"/>
        <v>E3_2_1_93 : 0</v>
      </c>
      <c r="K317" s="2" t="str">
        <f t="shared" si="9"/>
        <v>0.00292 - (0.0093 * E3_2_1_93_mRNA)</v>
      </c>
      <c r="L317" s="2" t="str">
        <f t="shared" si="10"/>
        <v>(0.278 * E3_2_1_93_mRNA) - (0.00000278 * E3_2_1_93)</v>
      </c>
      <c r="M317" s="2" t="str">
        <f t="shared" si="11"/>
        <v>mRNA316: -&gt; E3_2_1_93_mRNA | 0.00292 - (0.0093 * E3_2_1_93_mRNA)</v>
      </c>
      <c r="N317" s="2" t="str">
        <f t="shared" si="12"/>
        <v>Peptide316: E3_2_1_93_mRNA -&gt; E3_2_1_93 | (0.278 * E3_2_1_93_mRNA) - (0.000000278 * E3_2_1_93)</v>
      </c>
    </row>
    <row r="318">
      <c r="A318" s="12">
        <v>317.0</v>
      </c>
      <c r="B318" s="2" t="s">
        <v>25242</v>
      </c>
      <c r="C318" s="2" t="str">
        <f t="shared" si="3"/>
        <v>E3_2_2_16_mRNA</v>
      </c>
      <c r="D318" s="2" t="str">
        <f t="shared" si="4"/>
        <v>E3_2_2_16</v>
      </c>
      <c r="E318" s="2" t="str">
        <f t="shared" si="5"/>
        <v>E3_2_2_16_kcat : 13.7</v>
      </c>
      <c r="F318" s="2" t="str">
        <f t="shared" si="6"/>
        <v>E3_2_2_16_km : 1</v>
      </c>
      <c r="G318" s="2" t="str">
        <f t="shared" ref="G318:H318" si="641">CONCATENATE(C318," : ",C318)</f>
        <v>E3_2_2_16_mRNA : E3_2_2_16_mRNA</v>
      </c>
      <c r="H318" s="2" t="str">
        <f t="shared" si="641"/>
        <v>E3_2_2_16 : E3_2_2_16</v>
      </c>
      <c r="I318" s="2" t="str">
        <f t="shared" ref="I318:J318" si="642">CONCATENATE(C318," : ","0")</f>
        <v>E3_2_2_16_mRNA : 0</v>
      </c>
      <c r="J318" s="2" t="str">
        <f t="shared" si="642"/>
        <v>E3_2_2_16 : 0</v>
      </c>
      <c r="K318" s="2" t="str">
        <f t="shared" si="9"/>
        <v>0.00292 - (0.0093 * E3_2_2_16_mRNA)</v>
      </c>
      <c r="L318" s="2" t="str">
        <f t="shared" si="10"/>
        <v>(0.278 * E3_2_2_16_mRNA) - (0.00000278 * E3_2_2_16)</v>
      </c>
      <c r="M318" s="2" t="str">
        <f t="shared" si="11"/>
        <v>mRNA317: -&gt; E3_2_2_16_mRNA | 0.00292 - (0.0093 * E3_2_2_16_mRNA)</v>
      </c>
      <c r="N318" s="2" t="str">
        <f t="shared" si="12"/>
        <v>Peptide317: E3_2_2_16_mRNA -&gt; E3_2_2_16 | (0.278 * E3_2_2_16_mRNA) - (0.000000278 * E3_2_2_16)</v>
      </c>
    </row>
    <row r="319">
      <c r="A319" s="12">
        <v>318.0</v>
      </c>
      <c r="B319" s="2" t="s">
        <v>25243</v>
      </c>
      <c r="C319" s="2" t="str">
        <f t="shared" si="3"/>
        <v>E3_2_2_23_mRNA</v>
      </c>
      <c r="D319" s="2" t="str">
        <f t="shared" si="4"/>
        <v>E3_2_2_23</v>
      </c>
      <c r="E319" s="2" t="str">
        <f t="shared" si="5"/>
        <v>E3_2_2_23_kcat : 13.7</v>
      </c>
      <c r="F319" s="2" t="str">
        <f t="shared" si="6"/>
        <v>E3_2_2_23_km : 1</v>
      </c>
      <c r="G319" s="2" t="str">
        <f t="shared" ref="G319:H319" si="643">CONCATENATE(C319," : ",C319)</f>
        <v>E3_2_2_23_mRNA : E3_2_2_23_mRNA</v>
      </c>
      <c r="H319" s="2" t="str">
        <f t="shared" si="643"/>
        <v>E3_2_2_23 : E3_2_2_23</v>
      </c>
      <c r="I319" s="2" t="str">
        <f t="shared" ref="I319:J319" si="644">CONCATENATE(C319," : ","0")</f>
        <v>E3_2_2_23_mRNA : 0</v>
      </c>
      <c r="J319" s="2" t="str">
        <f t="shared" si="644"/>
        <v>E3_2_2_23 : 0</v>
      </c>
      <c r="K319" s="2" t="str">
        <f t="shared" si="9"/>
        <v>0.00292 - (0.0093 * E3_2_2_23_mRNA)</v>
      </c>
      <c r="L319" s="2" t="str">
        <f t="shared" si="10"/>
        <v>(0.278 * E3_2_2_23_mRNA) - (0.00000278 * E3_2_2_23)</v>
      </c>
      <c r="M319" s="2" t="str">
        <f t="shared" si="11"/>
        <v>mRNA318: -&gt; E3_2_2_23_mRNA | 0.00292 - (0.0093 * E3_2_2_23_mRNA)</v>
      </c>
      <c r="N319" s="2" t="str">
        <f t="shared" si="12"/>
        <v>Peptide318: E3_2_2_23_mRNA -&gt; E3_2_2_23 | (0.278 * E3_2_2_23_mRNA) - (0.000000278 * E3_2_2_23)</v>
      </c>
    </row>
    <row r="320">
      <c r="A320" s="12">
        <v>319.0</v>
      </c>
      <c r="B320" s="2" t="s">
        <v>25244</v>
      </c>
      <c r="C320" s="2" t="str">
        <f t="shared" si="3"/>
        <v>E3_2_2_27_mRNA</v>
      </c>
      <c r="D320" s="2" t="str">
        <f t="shared" si="4"/>
        <v>E3_2_2_27</v>
      </c>
      <c r="E320" s="2" t="str">
        <f t="shared" si="5"/>
        <v>E3_2_2_27_kcat : 13.7</v>
      </c>
      <c r="F320" s="2" t="str">
        <f t="shared" si="6"/>
        <v>E3_2_2_27_km : 1</v>
      </c>
      <c r="G320" s="2" t="str">
        <f t="shared" ref="G320:H320" si="645">CONCATENATE(C320," : ",C320)</f>
        <v>E3_2_2_27_mRNA : E3_2_2_27_mRNA</v>
      </c>
      <c r="H320" s="2" t="str">
        <f t="shared" si="645"/>
        <v>E3_2_2_27 : E3_2_2_27</v>
      </c>
      <c r="I320" s="2" t="str">
        <f t="shared" ref="I320:J320" si="646">CONCATENATE(C320," : ","0")</f>
        <v>E3_2_2_27_mRNA : 0</v>
      </c>
      <c r="J320" s="2" t="str">
        <f t="shared" si="646"/>
        <v>E3_2_2_27 : 0</v>
      </c>
      <c r="K320" s="2" t="str">
        <f t="shared" si="9"/>
        <v>0.00292 - (0.0093 * E3_2_2_27_mRNA)</v>
      </c>
      <c r="L320" s="2" t="str">
        <f t="shared" si="10"/>
        <v>(0.278 * E3_2_2_27_mRNA) - (0.00000278 * E3_2_2_27)</v>
      </c>
      <c r="M320" s="2" t="str">
        <f t="shared" si="11"/>
        <v>mRNA319: -&gt; E3_2_2_27_mRNA | 0.00292 - (0.0093 * E3_2_2_27_mRNA)</v>
      </c>
      <c r="N320" s="2" t="str">
        <f t="shared" si="12"/>
        <v>Peptide319: E3_2_2_27_mRNA -&gt; E3_2_2_27 | (0.278 * E3_2_2_27_mRNA) - (0.000000278 * E3_2_2_27)</v>
      </c>
    </row>
    <row r="321">
      <c r="A321" s="12">
        <v>320.0</v>
      </c>
      <c r="B321" s="2" t="s">
        <v>25245</v>
      </c>
      <c r="C321" s="2" t="str">
        <f t="shared" si="3"/>
        <v>E3_2_2_9_mRNA</v>
      </c>
      <c r="D321" s="2" t="str">
        <f t="shared" si="4"/>
        <v>E3_2_2_9</v>
      </c>
      <c r="E321" s="2" t="str">
        <f t="shared" si="5"/>
        <v>E3_2_2_9_kcat : 13.7</v>
      </c>
      <c r="F321" s="2" t="str">
        <f t="shared" si="6"/>
        <v>E3_2_2_9_km : 1</v>
      </c>
      <c r="G321" s="2" t="str">
        <f t="shared" ref="G321:H321" si="647">CONCATENATE(C321," : ",C321)</f>
        <v>E3_2_2_9_mRNA : E3_2_2_9_mRNA</v>
      </c>
      <c r="H321" s="2" t="str">
        <f t="shared" si="647"/>
        <v>E3_2_2_9 : E3_2_2_9</v>
      </c>
      <c r="I321" s="2" t="str">
        <f t="shared" ref="I321:J321" si="648">CONCATENATE(C321," : ","0")</f>
        <v>E3_2_2_9_mRNA : 0</v>
      </c>
      <c r="J321" s="2" t="str">
        <f t="shared" si="648"/>
        <v>E3_2_2_9 : 0</v>
      </c>
      <c r="K321" s="2" t="str">
        <f t="shared" si="9"/>
        <v>0.00292 - (0.0093 * E3_2_2_9_mRNA)</v>
      </c>
      <c r="L321" s="2" t="str">
        <f t="shared" si="10"/>
        <v>(0.278 * E3_2_2_9_mRNA) - (0.00000278 * E3_2_2_9)</v>
      </c>
      <c r="M321" s="2" t="str">
        <f t="shared" si="11"/>
        <v>mRNA320: -&gt; E3_2_2_9_mRNA | 0.00292 - (0.0093 * E3_2_2_9_mRNA)</v>
      </c>
      <c r="N321" s="2" t="str">
        <f t="shared" si="12"/>
        <v>Peptide320: E3_2_2_9_mRNA -&gt; E3_2_2_9 | (0.278 * E3_2_2_9_mRNA) - (0.000000278 * E3_2_2_9)</v>
      </c>
    </row>
    <row r="322">
      <c r="A322" s="12">
        <v>321.0</v>
      </c>
      <c r="B322" s="2" t="s">
        <v>25246</v>
      </c>
      <c r="C322" s="2" t="str">
        <f t="shared" si="3"/>
        <v>E3_4_11_18_mRNA</v>
      </c>
      <c r="D322" s="2" t="str">
        <f t="shared" si="4"/>
        <v>E3_4_11_18</v>
      </c>
      <c r="E322" s="2" t="str">
        <f t="shared" si="5"/>
        <v>E3_4_11_18_kcat : 13.7</v>
      </c>
      <c r="F322" s="2" t="str">
        <f t="shared" si="6"/>
        <v>E3_4_11_18_km : 1</v>
      </c>
      <c r="G322" s="2" t="str">
        <f t="shared" ref="G322:H322" si="649">CONCATENATE(C322," : ",C322)</f>
        <v>E3_4_11_18_mRNA : E3_4_11_18_mRNA</v>
      </c>
      <c r="H322" s="2" t="str">
        <f t="shared" si="649"/>
        <v>E3_4_11_18 : E3_4_11_18</v>
      </c>
      <c r="I322" s="2" t="str">
        <f t="shared" ref="I322:J322" si="650">CONCATENATE(C322," : ","0")</f>
        <v>E3_4_11_18_mRNA : 0</v>
      </c>
      <c r="J322" s="2" t="str">
        <f t="shared" si="650"/>
        <v>E3_4_11_18 : 0</v>
      </c>
      <c r="K322" s="2" t="str">
        <f t="shared" si="9"/>
        <v>0.00292 - (0.0093 * E3_4_11_18_mRNA)</v>
      </c>
      <c r="L322" s="2" t="str">
        <f t="shared" si="10"/>
        <v>(0.278 * E3_4_11_18_mRNA) - (0.00000278 * E3_4_11_18)</v>
      </c>
      <c r="M322" s="2" t="str">
        <f t="shared" si="11"/>
        <v>mRNA321: -&gt; E3_4_11_18_mRNA | 0.00292 - (0.0093 * E3_4_11_18_mRNA)</v>
      </c>
      <c r="N322" s="2" t="str">
        <f t="shared" si="12"/>
        <v>Peptide321: E3_4_11_18_mRNA -&gt; E3_4_11_18 | (0.278 * E3_4_11_18_mRNA) - (0.000000278 * E3_4_11_18)</v>
      </c>
    </row>
    <row r="323">
      <c r="A323" s="12">
        <v>322.0</v>
      </c>
      <c r="B323" s="2" t="s">
        <v>25247</v>
      </c>
      <c r="C323" s="2" t="str">
        <f t="shared" si="3"/>
        <v>E3_4_11_4_mRNA</v>
      </c>
      <c r="D323" s="2" t="str">
        <f t="shared" si="4"/>
        <v>E3_4_11_4</v>
      </c>
      <c r="E323" s="2" t="str">
        <f t="shared" si="5"/>
        <v>E3_4_11_4_kcat : 13.7</v>
      </c>
      <c r="F323" s="2" t="str">
        <f t="shared" si="6"/>
        <v>E3_4_11_4_km : 1</v>
      </c>
      <c r="G323" s="2" t="str">
        <f t="shared" ref="G323:H323" si="651">CONCATENATE(C323," : ",C323)</f>
        <v>E3_4_11_4_mRNA : E3_4_11_4_mRNA</v>
      </c>
      <c r="H323" s="2" t="str">
        <f t="shared" si="651"/>
        <v>E3_4_11_4 : E3_4_11_4</v>
      </c>
      <c r="I323" s="2" t="str">
        <f t="shared" ref="I323:J323" si="652">CONCATENATE(C323," : ","0")</f>
        <v>E3_4_11_4_mRNA : 0</v>
      </c>
      <c r="J323" s="2" t="str">
        <f t="shared" si="652"/>
        <v>E3_4_11_4 : 0</v>
      </c>
      <c r="K323" s="2" t="str">
        <f t="shared" si="9"/>
        <v>0.00292 - (0.0093 * E3_4_11_4_mRNA)</v>
      </c>
      <c r="L323" s="2" t="str">
        <f t="shared" si="10"/>
        <v>(0.278 * E3_4_11_4_mRNA) - (0.00000278 * E3_4_11_4)</v>
      </c>
      <c r="M323" s="2" t="str">
        <f t="shared" si="11"/>
        <v>mRNA322: -&gt; E3_4_11_4_mRNA | 0.00292 - (0.0093 * E3_4_11_4_mRNA)</v>
      </c>
      <c r="N323" s="2" t="str">
        <f t="shared" si="12"/>
        <v>Peptide322: E3_4_11_4_mRNA -&gt; E3_4_11_4 | (0.278 * E3_4_11_4_mRNA) - (0.000000278 * E3_4_11_4)</v>
      </c>
    </row>
    <row r="324">
      <c r="A324" s="12">
        <v>323.0</v>
      </c>
      <c r="B324" s="2" t="s">
        <v>25248</v>
      </c>
      <c r="C324" s="2" t="str">
        <f t="shared" si="3"/>
        <v>E3_4_13_19_mRNA</v>
      </c>
      <c r="D324" s="2" t="str">
        <f t="shared" si="4"/>
        <v>E3_4_13_19</v>
      </c>
      <c r="E324" s="2" t="str">
        <f t="shared" si="5"/>
        <v>E3_4_13_19_kcat : 13.7</v>
      </c>
      <c r="F324" s="2" t="str">
        <f t="shared" si="6"/>
        <v>E3_4_13_19_km : 1</v>
      </c>
      <c r="G324" s="2" t="str">
        <f t="shared" ref="G324:H324" si="653">CONCATENATE(C324," : ",C324)</f>
        <v>E3_4_13_19_mRNA : E3_4_13_19_mRNA</v>
      </c>
      <c r="H324" s="2" t="str">
        <f t="shared" si="653"/>
        <v>E3_4_13_19 : E3_4_13_19</v>
      </c>
      <c r="I324" s="2" t="str">
        <f t="shared" ref="I324:J324" si="654">CONCATENATE(C324," : ","0")</f>
        <v>E3_4_13_19_mRNA : 0</v>
      </c>
      <c r="J324" s="2" t="str">
        <f t="shared" si="654"/>
        <v>E3_4_13_19 : 0</v>
      </c>
      <c r="K324" s="2" t="str">
        <f t="shared" si="9"/>
        <v>0.00292 - (0.0093 * E3_4_13_19_mRNA)</v>
      </c>
      <c r="L324" s="2" t="str">
        <f t="shared" si="10"/>
        <v>(0.278 * E3_4_13_19_mRNA) - (0.00000278 * E3_4_13_19)</v>
      </c>
      <c r="M324" s="2" t="str">
        <f t="shared" si="11"/>
        <v>mRNA323: -&gt; E3_4_13_19_mRNA | 0.00292 - (0.0093 * E3_4_13_19_mRNA)</v>
      </c>
      <c r="N324" s="2" t="str">
        <f t="shared" si="12"/>
        <v>Peptide323: E3_4_13_19_mRNA -&gt; E3_4_13_19 | (0.278 * E3_4_13_19_mRNA) - (0.000000278 * E3_4_13_19)</v>
      </c>
    </row>
    <row r="325">
      <c r="A325" s="12">
        <v>324.0</v>
      </c>
      <c r="B325" s="2" t="s">
        <v>25249</v>
      </c>
      <c r="C325" s="2" t="str">
        <f t="shared" si="3"/>
        <v>E3_4_13_21_mRNA</v>
      </c>
      <c r="D325" s="2" t="str">
        <f t="shared" si="4"/>
        <v>E3_4_13_21</v>
      </c>
      <c r="E325" s="2" t="str">
        <f t="shared" si="5"/>
        <v>E3_4_13_21_kcat : 13.7</v>
      </c>
      <c r="F325" s="2" t="str">
        <f t="shared" si="6"/>
        <v>E3_4_13_21_km : 1</v>
      </c>
      <c r="G325" s="2" t="str">
        <f t="shared" ref="G325:H325" si="655">CONCATENATE(C325," : ",C325)</f>
        <v>E3_4_13_21_mRNA : E3_4_13_21_mRNA</v>
      </c>
      <c r="H325" s="2" t="str">
        <f t="shared" si="655"/>
        <v>E3_4_13_21 : E3_4_13_21</v>
      </c>
      <c r="I325" s="2" t="str">
        <f t="shared" ref="I325:J325" si="656">CONCATENATE(C325," : ","0")</f>
        <v>E3_4_13_21_mRNA : 0</v>
      </c>
      <c r="J325" s="2" t="str">
        <f t="shared" si="656"/>
        <v>E3_4_13_21 : 0</v>
      </c>
      <c r="K325" s="2" t="str">
        <f t="shared" si="9"/>
        <v>0.00292 - (0.0093 * E3_4_13_21_mRNA)</v>
      </c>
      <c r="L325" s="2" t="str">
        <f t="shared" si="10"/>
        <v>(0.278 * E3_4_13_21_mRNA) - (0.00000278 * E3_4_13_21)</v>
      </c>
      <c r="M325" s="2" t="str">
        <f t="shared" si="11"/>
        <v>mRNA324: -&gt; E3_4_13_21_mRNA | 0.00292 - (0.0093 * E3_4_13_21_mRNA)</v>
      </c>
      <c r="N325" s="2" t="str">
        <f t="shared" si="12"/>
        <v>Peptide324: E3_4_13_21_mRNA -&gt; E3_4_13_21 | (0.278 * E3_4_13_21_mRNA) - (0.000000278 * E3_4_13_21)</v>
      </c>
    </row>
    <row r="326">
      <c r="A326" s="12">
        <v>325.0</v>
      </c>
      <c r="B326" s="2" t="s">
        <v>25250</v>
      </c>
      <c r="C326" s="2" t="str">
        <f t="shared" si="3"/>
        <v>E3_4_13_9_mRNA</v>
      </c>
      <c r="D326" s="2" t="str">
        <f t="shared" si="4"/>
        <v>E3_4_13_9</v>
      </c>
      <c r="E326" s="2" t="str">
        <f t="shared" si="5"/>
        <v>E3_4_13_9_kcat : 13.7</v>
      </c>
      <c r="F326" s="2" t="str">
        <f t="shared" si="6"/>
        <v>E3_4_13_9_km : 1</v>
      </c>
      <c r="G326" s="2" t="str">
        <f t="shared" ref="G326:H326" si="657">CONCATENATE(C326," : ",C326)</f>
        <v>E3_4_13_9_mRNA : E3_4_13_9_mRNA</v>
      </c>
      <c r="H326" s="2" t="str">
        <f t="shared" si="657"/>
        <v>E3_4_13_9 : E3_4_13_9</v>
      </c>
      <c r="I326" s="2" t="str">
        <f t="shared" ref="I326:J326" si="658">CONCATENATE(C326," : ","0")</f>
        <v>E3_4_13_9_mRNA : 0</v>
      </c>
      <c r="J326" s="2" t="str">
        <f t="shared" si="658"/>
        <v>E3_4_13_9 : 0</v>
      </c>
      <c r="K326" s="2" t="str">
        <f t="shared" si="9"/>
        <v>0.00292 - (0.0093 * E3_4_13_9_mRNA)</v>
      </c>
      <c r="L326" s="2" t="str">
        <f t="shared" si="10"/>
        <v>(0.278 * E3_4_13_9_mRNA) - (0.00000278 * E3_4_13_9)</v>
      </c>
      <c r="M326" s="2" t="str">
        <f t="shared" si="11"/>
        <v>mRNA325: -&gt; E3_4_13_9_mRNA | 0.00292 - (0.0093 * E3_4_13_9_mRNA)</v>
      </c>
      <c r="N326" s="2" t="str">
        <f t="shared" si="12"/>
        <v>Peptide325: E3_4_13_9_mRNA -&gt; E3_4_13_9 | (0.278 * E3_4_13_9_mRNA) - (0.000000278 * E3_4_13_9)</v>
      </c>
    </row>
    <row r="327">
      <c r="A327" s="12">
        <v>326.0</v>
      </c>
      <c r="B327" s="2" t="s">
        <v>25251</v>
      </c>
      <c r="C327" s="2" t="str">
        <f t="shared" si="3"/>
        <v>E3_4_16_4_mRNA</v>
      </c>
      <c r="D327" s="2" t="str">
        <f t="shared" si="4"/>
        <v>E3_4_16_4</v>
      </c>
      <c r="E327" s="2" t="str">
        <f t="shared" si="5"/>
        <v>E3_4_16_4_kcat : 13.7</v>
      </c>
      <c r="F327" s="2" t="str">
        <f t="shared" si="6"/>
        <v>E3_4_16_4_km : 1</v>
      </c>
      <c r="G327" s="2" t="str">
        <f t="shared" ref="G327:H327" si="659">CONCATENATE(C327," : ",C327)</f>
        <v>E3_4_16_4_mRNA : E3_4_16_4_mRNA</v>
      </c>
      <c r="H327" s="2" t="str">
        <f t="shared" si="659"/>
        <v>E3_4_16_4 : E3_4_16_4</v>
      </c>
      <c r="I327" s="2" t="str">
        <f t="shared" ref="I327:J327" si="660">CONCATENATE(C327," : ","0")</f>
        <v>E3_4_16_4_mRNA : 0</v>
      </c>
      <c r="J327" s="2" t="str">
        <f t="shared" si="660"/>
        <v>E3_4_16_4 : 0</v>
      </c>
      <c r="K327" s="2" t="str">
        <f t="shared" si="9"/>
        <v>0.00292 - (0.0093 * E3_4_16_4_mRNA)</v>
      </c>
      <c r="L327" s="2" t="str">
        <f t="shared" si="10"/>
        <v>(0.278 * E3_4_16_4_mRNA) - (0.00000278 * E3_4_16_4)</v>
      </c>
      <c r="M327" s="2" t="str">
        <f t="shared" si="11"/>
        <v>mRNA326: -&gt; E3_4_16_4_mRNA | 0.00292 - (0.0093 * E3_4_16_4_mRNA)</v>
      </c>
      <c r="N327" s="2" t="str">
        <f t="shared" si="12"/>
        <v>Peptide326: E3_4_16_4_mRNA -&gt; E3_4_16_4 | (0.278 * E3_4_16_4_mRNA) - (0.000000278 * E3_4_16_4)</v>
      </c>
    </row>
    <row r="328">
      <c r="A328" s="12">
        <v>327.0</v>
      </c>
      <c r="B328" s="2" t="s">
        <v>25252</v>
      </c>
      <c r="C328" s="2" t="str">
        <f t="shared" si="3"/>
        <v>E3_4_17_19_mRNA</v>
      </c>
      <c r="D328" s="2" t="str">
        <f t="shared" si="4"/>
        <v>E3_4_17_19</v>
      </c>
      <c r="E328" s="2" t="str">
        <f t="shared" si="5"/>
        <v>E3_4_17_19_kcat : 13.7</v>
      </c>
      <c r="F328" s="2" t="str">
        <f t="shared" si="6"/>
        <v>E3_4_17_19_km : 1</v>
      </c>
      <c r="G328" s="2" t="str">
        <f t="shared" ref="G328:H328" si="661">CONCATENATE(C328," : ",C328)</f>
        <v>E3_4_17_19_mRNA : E3_4_17_19_mRNA</v>
      </c>
      <c r="H328" s="2" t="str">
        <f t="shared" si="661"/>
        <v>E3_4_17_19 : E3_4_17_19</v>
      </c>
      <c r="I328" s="2" t="str">
        <f t="shared" ref="I328:J328" si="662">CONCATENATE(C328," : ","0")</f>
        <v>E3_4_17_19_mRNA : 0</v>
      </c>
      <c r="J328" s="2" t="str">
        <f t="shared" si="662"/>
        <v>E3_4_17_19 : 0</v>
      </c>
      <c r="K328" s="2" t="str">
        <f t="shared" si="9"/>
        <v>0.00292 - (0.0093 * E3_4_17_19_mRNA)</v>
      </c>
      <c r="L328" s="2" t="str">
        <f t="shared" si="10"/>
        <v>(0.278 * E3_4_17_19_mRNA) - (0.00000278 * E3_4_17_19)</v>
      </c>
      <c r="M328" s="2" t="str">
        <f t="shared" si="11"/>
        <v>mRNA327: -&gt; E3_4_17_19_mRNA | 0.00292 - (0.0093 * E3_4_17_19_mRNA)</v>
      </c>
      <c r="N328" s="2" t="str">
        <f t="shared" si="12"/>
        <v>Peptide327: E3_4_17_19_mRNA -&gt; E3_4_17_19 | (0.278 * E3_4_17_19_mRNA) - (0.000000278 * E3_4_17_19)</v>
      </c>
    </row>
    <row r="329">
      <c r="A329" s="12">
        <v>328.0</v>
      </c>
      <c r="B329" s="2" t="s">
        <v>25253</v>
      </c>
      <c r="C329" s="2" t="str">
        <f t="shared" si="3"/>
        <v>E3_4_19_3_mRNA</v>
      </c>
      <c r="D329" s="2" t="str">
        <f t="shared" si="4"/>
        <v>E3_4_19_3</v>
      </c>
      <c r="E329" s="2" t="str">
        <f t="shared" si="5"/>
        <v>E3_4_19_3_kcat : 13.7</v>
      </c>
      <c r="F329" s="2" t="str">
        <f t="shared" si="6"/>
        <v>E3_4_19_3_km : 1</v>
      </c>
      <c r="G329" s="2" t="str">
        <f t="shared" ref="G329:H329" si="663">CONCATENATE(C329," : ",C329)</f>
        <v>E3_4_19_3_mRNA : E3_4_19_3_mRNA</v>
      </c>
      <c r="H329" s="2" t="str">
        <f t="shared" si="663"/>
        <v>E3_4_19_3 : E3_4_19_3</v>
      </c>
      <c r="I329" s="2" t="str">
        <f t="shared" ref="I329:J329" si="664">CONCATENATE(C329," : ","0")</f>
        <v>E3_4_19_3_mRNA : 0</v>
      </c>
      <c r="J329" s="2" t="str">
        <f t="shared" si="664"/>
        <v>E3_4_19_3 : 0</v>
      </c>
      <c r="K329" s="2" t="str">
        <f t="shared" si="9"/>
        <v>0.00292 - (0.0093 * E3_4_19_3_mRNA)</v>
      </c>
      <c r="L329" s="2" t="str">
        <f t="shared" si="10"/>
        <v>(0.278 * E3_4_19_3_mRNA) - (0.00000278 * E3_4_19_3)</v>
      </c>
      <c r="M329" s="2" t="str">
        <f t="shared" si="11"/>
        <v>mRNA328: -&gt; E3_4_19_3_mRNA | 0.00292 - (0.0093 * E3_4_19_3_mRNA)</v>
      </c>
      <c r="N329" s="2" t="str">
        <f t="shared" si="12"/>
        <v>Peptide328: E3_4_19_3_mRNA -&gt; E3_4_19_3 | (0.278 * E3_4_19_3_mRNA) - (0.000000278 * E3_4_19_3)</v>
      </c>
    </row>
    <row r="330">
      <c r="A330" s="12">
        <v>329.0</v>
      </c>
      <c r="B330" s="2" t="s">
        <v>25254</v>
      </c>
      <c r="C330" s="2" t="str">
        <f t="shared" si="3"/>
        <v>E3_4_21_116_mRNA</v>
      </c>
      <c r="D330" s="2" t="str">
        <f t="shared" si="4"/>
        <v>E3_4_21_116</v>
      </c>
      <c r="E330" s="2" t="str">
        <f t="shared" si="5"/>
        <v>E3_4_21_116_kcat : 13.7</v>
      </c>
      <c r="F330" s="2" t="str">
        <f t="shared" si="6"/>
        <v>E3_4_21_116_km : 1</v>
      </c>
      <c r="G330" s="2" t="str">
        <f t="shared" ref="G330:H330" si="665">CONCATENATE(C330," : ",C330)</f>
        <v>E3_4_21_116_mRNA : E3_4_21_116_mRNA</v>
      </c>
      <c r="H330" s="2" t="str">
        <f t="shared" si="665"/>
        <v>E3_4_21_116 : E3_4_21_116</v>
      </c>
      <c r="I330" s="2" t="str">
        <f t="shared" ref="I330:J330" si="666">CONCATENATE(C330," : ","0")</f>
        <v>E3_4_21_116_mRNA : 0</v>
      </c>
      <c r="J330" s="2" t="str">
        <f t="shared" si="666"/>
        <v>E3_4_21_116 : 0</v>
      </c>
      <c r="K330" s="2" t="str">
        <f t="shared" si="9"/>
        <v>0.00292 - (0.0093 * E3_4_21_116_mRNA)</v>
      </c>
      <c r="L330" s="2" t="str">
        <f t="shared" si="10"/>
        <v>(0.278 * E3_4_21_116_mRNA) - (0.00000278 * E3_4_21_116)</v>
      </c>
      <c r="M330" s="2" t="str">
        <f t="shared" si="11"/>
        <v>mRNA329: -&gt; E3_4_21_116_mRNA | 0.00292 - (0.0093 * E3_4_21_116_mRNA)</v>
      </c>
      <c r="N330" s="2" t="str">
        <f t="shared" si="12"/>
        <v>Peptide329: E3_4_21_116_mRNA -&gt; E3_4_21_116 | (0.278 * E3_4_21_116_mRNA) - (0.000000278 * E3_4_21_116)</v>
      </c>
    </row>
    <row r="331">
      <c r="A331" s="12">
        <v>330.0</v>
      </c>
      <c r="B331" s="2" t="s">
        <v>25255</v>
      </c>
      <c r="C331" s="2" t="str">
        <f t="shared" si="3"/>
        <v>E3_4_21_53_mRNA</v>
      </c>
      <c r="D331" s="2" t="str">
        <f t="shared" si="4"/>
        <v>E3_4_21_53</v>
      </c>
      <c r="E331" s="2" t="str">
        <f t="shared" si="5"/>
        <v>E3_4_21_53_kcat : 13.7</v>
      </c>
      <c r="F331" s="2" t="str">
        <f t="shared" si="6"/>
        <v>E3_4_21_53_km : 1</v>
      </c>
      <c r="G331" s="2" t="str">
        <f t="shared" ref="G331:H331" si="667">CONCATENATE(C331," : ",C331)</f>
        <v>E3_4_21_53_mRNA : E3_4_21_53_mRNA</v>
      </c>
      <c r="H331" s="2" t="str">
        <f t="shared" si="667"/>
        <v>E3_4_21_53 : E3_4_21_53</v>
      </c>
      <c r="I331" s="2" t="str">
        <f t="shared" ref="I331:J331" si="668">CONCATENATE(C331," : ","0")</f>
        <v>E3_4_21_53_mRNA : 0</v>
      </c>
      <c r="J331" s="2" t="str">
        <f t="shared" si="668"/>
        <v>E3_4_21_53 : 0</v>
      </c>
      <c r="K331" s="2" t="str">
        <f t="shared" si="9"/>
        <v>0.00292 - (0.0093 * E3_4_21_53_mRNA)</v>
      </c>
      <c r="L331" s="2" t="str">
        <f t="shared" si="10"/>
        <v>(0.278 * E3_4_21_53_mRNA) - (0.00000278 * E3_4_21_53)</v>
      </c>
      <c r="M331" s="2" t="str">
        <f t="shared" si="11"/>
        <v>mRNA330: -&gt; E3_4_21_53_mRNA | 0.00292 - (0.0093 * E3_4_21_53_mRNA)</v>
      </c>
      <c r="N331" s="2" t="str">
        <f t="shared" si="12"/>
        <v>Peptide330: E3_4_21_53_mRNA -&gt; E3_4_21_53 | (0.278 * E3_4_21_53_mRNA) - (0.000000278 * E3_4_21_53)</v>
      </c>
    </row>
    <row r="332">
      <c r="A332" s="12">
        <v>331.0</v>
      </c>
      <c r="B332" s="2" t="s">
        <v>25256</v>
      </c>
      <c r="C332" s="2" t="str">
        <f t="shared" si="3"/>
        <v>E3_4_21_88_mRNA</v>
      </c>
      <c r="D332" s="2" t="str">
        <f t="shared" si="4"/>
        <v>E3_4_21_88</v>
      </c>
      <c r="E332" s="2" t="str">
        <f t="shared" si="5"/>
        <v>E3_4_21_88_kcat : 13.7</v>
      </c>
      <c r="F332" s="2" t="str">
        <f t="shared" si="6"/>
        <v>E3_4_21_88_km : 1</v>
      </c>
      <c r="G332" s="2" t="str">
        <f t="shared" ref="G332:H332" si="669">CONCATENATE(C332," : ",C332)</f>
        <v>E3_4_21_88_mRNA : E3_4_21_88_mRNA</v>
      </c>
      <c r="H332" s="2" t="str">
        <f t="shared" si="669"/>
        <v>E3_4_21_88 : E3_4_21_88</v>
      </c>
      <c r="I332" s="2" t="str">
        <f t="shared" ref="I332:J332" si="670">CONCATENATE(C332," : ","0")</f>
        <v>E3_4_21_88_mRNA : 0</v>
      </c>
      <c r="J332" s="2" t="str">
        <f t="shared" si="670"/>
        <v>E3_4_21_88 : 0</v>
      </c>
      <c r="K332" s="2" t="str">
        <f t="shared" si="9"/>
        <v>0.00292 - (0.0093 * E3_4_21_88_mRNA)</v>
      </c>
      <c r="L332" s="2" t="str">
        <f t="shared" si="10"/>
        <v>(0.278 * E3_4_21_88_mRNA) - (0.00000278 * E3_4_21_88)</v>
      </c>
      <c r="M332" s="2" t="str">
        <f t="shared" si="11"/>
        <v>mRNA331: -&gt; E3_4_21_88_mRNA | 0.00292 - (0.0093 * E3_4_21_88_mRNA)</v>
      </c>
      <c r="N332" s="2" t="str">
        <f t="shared" si="12"/>
        <v>Peptide331: E3_4_21_88_mRNA -&gt; E3_4_21_88 | (0.278 * E3_4_21_88_mRNA) - (0.000000278 * E3_4_21_88)</v>
      </c>
    </row>
    <row r="333">
      <c r="A333" s="12">
        <v>332.0</v>
      </c>
      <c r="B333" s="2" t="s">
        <v>25257</v>
      </c>
      <c r="C333" s="2" t="str">
        <f t="shared" si="3"/>
        <v>E3_4_21_89_mRNA</v>
      </c>
      <c r="D333" s="2" t="str">
        <f t="shared" si="4"/>
        <v>E3_4_21_89</v>
      </c>
      <c r="E333" s="2" t="str">
        <f t="shared" si="5"/>
        <v>E3_4_21_89_kcat : 13.7</v>
      </c>
      <c r="F333" s="2" t="str">
        <f t="shared" si="6"/>
        <v>E3_4_21_89_km : 1</v>
      </c>
      <c r="G333" s="2" t="str">
        <f t="shared" ref="G333:H333" si="671">CONCATENATE(C333," : ",C333)</f>
        <v>E3_4_21_89_mRNA : E3_4_21_89_mRNA</v>
      </c>
      <c r="H333" s="2" t="str">
        <f t="shared" si="671"/>
        <v>E3_4_21_89 : E3_4_21_89</v>
      </c>
      <c r="I333" s="2" t="str">
        <f t="shared" ref="I333:J333" si="672">CONCATENATE(C333," : ","0")</f>
        <v>E3_4_21_89_mRNA : 0</v>
      </c>
      <c r="J333" s="2" t="str">
        <f t="shared" si="672"/>
        <v>E3_4_21_89 : 0</v>
      </c>
      <c r="K333" s="2" t="str">
        <f t="shared" si="9"/>
        <v>0.00292 - (0.0093 * E3_4_21_89_mRNA)</v>
      </c>
      <c r="L333" s="2" t="str">
        <f t="shared" si="10"/>
        <v>(0.278 * E3_4_21_89_mRNA) - (0.00000278 * E3_4_21_89)</v>
      </c>
      <c r="M333" s="2" t="str">
        <f t="shared" si="11"/>
        <v>mRNA332: -&gt; E3_4_21_89_mRNA | 0.00292 - (0.0093 * E3_4_21_89_mRNA)</v>
      </c>
      <c r="N333" s="2" t="str">
        <f t="shared" si="12"/>
        <v>Peptide332: E3_4_21_89_mRNA -&gt; E3_4_21_89 | (0.278 * E3_4_21_89_mRNA) - (0.000000278 * E3_4_21_89)</v>
      </c>
    </row>
    <row r="334">
      <c r="A334" s="12">
        <v>333.0</v>
      </c>
      <c r="B334" s="2" t="s">
        <v>25258</v>
      </c>
      <c r="C334" s="2" t="str">
        <f t="shared" si="3"/>
        <v>E3_4_21_92_mRNA</v>
      </c>
      <c r="D334" s="2" t="str">
        <f t="shared" si="4"/>
        <v>E3_4_21_92</v>
      </c>
      <c r="E334" s="2" t="str">
        <f t="shared" si="5"/>
        <v>E3_4_21_92_kcat : 13.7</v>
      </c>
      <c r="F334" s="2" t="str">
        <f t="shared" si="6"/>
        <v>E3_4_21_92_km : 1</v>
      </c>
      <c r="G334" s="2" t="str">
        <f t="shared" ref="G334:H334" si="673">CONCATENATE(C334," : ",C334)</f>
        <v>E3_4_21_92_mRNA : E3_4_21_92_mRNA</v>
      </c>
      <c r="H334" s="2" t="str">
        <f t="shared" si="673"/>
        <v>E3_4_21_92 : E3_4_21_92</v>
      </c>
      <c r="I334" s="2" t="str">
        <f t="shared" ref="I334:J334" si="674">CONCATENATE(C334," : ","0")</f>
        <v>E3_4_21_92_mRNA : 0</v>
      </c>
      <c r="J334" s="2" t="str">
        <f t="shared" si="674"/>
        <v>E3_4_21_92 : 0</v>
      </c>
      <c r="K334" s="2" t="str">
        <f t="shared" si="9"/>
        <v>0.00292 - (0.0093 * E3_4_21_92_mRNA)</v>
      </c>
      <c r="L334" s="2" t="str">
        <f t="shared" si="10"/>
        <v>(0.278 * E3_4_21_92_mRNA) - (0.00000278 * E3_4_21_92)</v>
      </c>
      <c r="M334" s="2" t="str">
        <f t="shared" si="11"/>
        <v>mRNA333: -&gt; E3_4_21_92_mRNA | 0.00292 - (0.0093 * E3_4_21_92_mRNA)</v>
      </c>
      <c r="N334" s="2" t="str">
        <f t="shared" si="12"/>
        <v>Peptide333: E3_4_21_92_mRNA -&gt; E3_4_21_92 | (0.278 * E3_4_21_92_mRNA) - (0.000000278 * E3_4_21_92)</v>
      </c>
    </row>
    <row r="335">
      <c r="A335" s="12">
        <v>334.0</v>
      </c>
      <c r="B335" s="2" t="s">
        <v>25259</v>
      </c>
      <c r="C335" s="2" t="str">
        <f t="shared" si="3"/>
        <v>E3_4_22_71_mRNA</v>
      </c>
      <c r="D335" s="2" t="str">
        <f t="shared" si="4"/>
        <v>E3_4_22_71</v>
      </c>
      <c r="E335" s="2" t="str">
        <f t="shared" si="5"/>
        <v>E3_4_22_71_kcat : 13.7</v>
      </c>
      <c r="F335" s="2" t="str">
        <f t="shared" si="6"/>
        <v>E3_4_22_71_km : 1</v>
      </c>
      <c r="G335" s="2" t="str">
        <f t="shared" ref="G335:H335" si="675">CONCATENATE(C335," : ",C335)</f>
        <v>E3_4_22_71_mRNA : E3_4_22_71_mRNA</v>
      </c>
      <c r="H335" s="2" t="str">
        <f t="shared" si="675"/>
        <v>E3_4_22_71 : E3_4_22_71</v>
      </c>
      <c r="I335" s="2" t="str">
        <f t="shared" ref="I335:J335" si="676">CONCATENATE(C335," : ","0")</f>
        <v>E3_4_22_71_mRNA : 0</v>
      </c>
      <c r="J335" s="2" t="str">
        <f t="shared" si="676"/>
        <v>E3_4_22_71 : 0</v>
      </c>
      <c r="K335" s="2" t="str">
        <f t="shared" si="9"/>
        <v>0.00292 - (0.0093 * E3_4_22_71_mRNA)</v>
      </c>
      <c r="L335" s="2" t="str">
        <f t="shared" si="10"/>
        <v>(0.278 * E3_4_22_71_mRNA) - (0.00000278 * E3_4_22_71)</v>
      </c>
      <c r="M335" s="2" t="str">
        <f t="shared" si="11"/>
        <v>mRNA334: -&gt; E3_4_22_71_mRNA | 0.00292 - (0.0093 * E3_4_22_71_mRNA)</v>
      </c>
      <c r="N335" s="2" t="str">
        <f t="shared" si="12"/>
        <v>Peptide334: E3_4_22_71_mRNA -&gt; E3_4_22_71 | (0.278 * E3_4_22_71_mRNA) - (0.000000278 * E3_4_22_71)</v>
      </c>
    </row>
    <row r="336">
      <c r="A336" s="12">
        <v>335.0</v>
      </c>
      <c r="B336" s="2" t="s">
        <v>25260</v>
      </c>
      <c r="C336" s="2" t="str">
        <f t="shared" si="3"/>
        <v>E3_4_23_36_mRNA</v>
      </c>
      <c r="D336" s="2" t="str">
        <f t="shared" si="4"/>
        <v>E3_4_23_36</v>
      </c>
      <c r="E336" s="2" t="str">
        <f t="shared" si="5"/>
        <v>E3_4_23_36_kcat : 13.7</v>
      </c>
      <c r="F336" s="2" t="str">
        <f t="shared" si="6"/>
        <v>E3_4_23_36_km : 1</v>
      </c>
      <c r="G336" s="2" t="str">
        <f t="shared" ref="G336:H336" si="677">CONCATENATE(C336," : ",C336)</f>
        <v>E3_4_23_36_mRNA : E3_4_23_36_mRNA</v>
      </c>
      <c r="H336" s="2" t="str">
        <f t="shared" si="677"/>
        <v>E3_4_23_36 : E3_4_23_36</v>
      </c>
      <c r="I336" s="2" t="str">
        <f t="shared" ref="I336:J336" si="678">CONCATENATE(C336," : ","0")</f>
        <v>E3_4_23_36_mRNA : 0</v>
      </c>
      <c r="J336" s="2" t="str">
        <f t="shared" si="678"/>
        <v>E3_4_23_36 : 0</v>
      </c>
      <c r="K336" s="2" t="str">
        <f t="shared" si="9"/>
        <v>0.00292 - (0.0093 * E3_4_23_36_mRNA)</v>
      </c>
      <c r="L336" s="2" t="str">
        <f t="shared" si="10"/>
        <v>(0.278 * E3_4_23_36_mRNA) - (0.00000278 * E3_4_23_36)</v>
      </c>
      <c r="M336" s="2" t="str">
        <f t="shared" si="11"/>
        <v>mRNA335: -&gt; E3_4_23_36_mRNA | 0.00292 - (0.0093 * E3_4_23_36_mRNA)</v>
      </c>
      <c r="N336" s="2" t="str">
        <f t="shared" si="12"/>
        <v>Peptide335: E3_4_23_36_mRNA -&gt; E3_4_23_36 | (0.278 * E3_4_23_36_mRNA) - (0.000000278 * E3_4_23_36)</v>
      </c>
    </row>
    <row r="337">
      <c r="A337" s="12">
        <v>336.0</v>
      </c>
      <c r="B337" s="2" t="s">
        <v>25261</v>
      </c>
      <c r="C337" s="2" t="str">
        <f t="shared" si="3"/>
        <v>E3_4_24_78_mRNA</v>
      </c>
      <c r="D337" s="2" t="str">
        <f t="shared" si="4"/>
        <v>E3_4_24_78</v>
      </c>
      <c r="E337" s="2" t="str">
        <f t="shared" si="5"/>
        <v>E3_4_24_78_kcat : 13.7</v>
      </c>
      <c r="F337" s="2" t="str">
        <f t="shared" si="6"/>
        <v>E3_4_24_78_km : 1</v>
      </c>
      <c r="G337" s="2" t="str">
        <f t="shared" ref="G337:H337" si="679">CONCATENATE(C337," : ",C337)</f>
        <v>E3_4_24_78_mRNA : E3_4_24_78_mRNA</v>
      </c>
      <c r="H337" s="2" t="str">
        <f t="shared" si="679"/>
        <v>E3_4_24_78 : E3_4_24_78</v>
      </c>
      <c r="I337" s="2" t="str">
        <f t="shared" ref="I337:J337" si="680">CONCATENATE(C337," : ","0")</f>
        <v>E3_4_24_78_mRNA : 0</v>
      </c>
      <c r="J337" s="2" t="str">
        <f t="shared" si="680"/>
        <v>E3_4_24_78 : 0</v>
      </c>
      <c r="K337" s="2" t="str">
        <f t="shared" si="9"/>
        <v>0.00292 - (0.0093 * E3_4_24_78_mRNA)</v>
      </c>
      <c r="L337" s="2" t="str">
        <f t="shared" si="10"/>
        <v>(0.278 * E3_4_24_78_mRNA) - (0.00000278 * E3_4_24_78)</v>
      </c>
      <c r="M337" s="2" t="str">
        <f t="shared" si="11"/>
        <v>mRNA336: -&gt; E3_4_24_78_mRNA | 0.00292 - (0.0093 * E3_4_24_78_mRNA)</v>
      </c>
      <c r="N337" s="2" t="str">
        <f t="shared" si="12"/>
        <v>Peptide336: E3_4_24_78_mRNA -&gt; E3_4_24_78 | (0.278 * E3_4_24_78_mRNA) - (0.000000278 * E3_4_24_78)</v>
      </c>
    </row>
    <row r="338">
      <c r="A338" s="12">
        <v>337.0</v>
      </c>
      <c r="B338" s="2" t="s">
        <v>25262</v>
      </c>
      <c r="C338" s="2" t="str">
        <f t="shared" si="3"/>
        <v>E3_4_25_2_mRNA</v>
      </c>
      <c r="D338" s="2" t="str">
        <f t="shared" si="4"/>
        <v>E3_4_25_2</v>
      </c>
      <c r="E338" s="2" t="str">
        <f t="shared" si="5"/>
        <v>E3_4_25_2_kcat : 13.7</v>
      </c>
      <c r="F338" s="2" t="str">
        <f t="shared" si="6"/>
        <v>E3_4_25_2_km : 1</v>
      </c>
      <c r="G338" s="2" t="str">
        <f t="shared" ref="G338:H338" si="681">CONCATENATE(C338," : ",C338)</f>
        <v>E3_4_25_2_mRNA : E3_4_25_2_mRNA</v>
      </c>
      <c r="H338" s="2" t="str">
        <f t="shared" si="681"/>
        <v>E3_4_25_2 : E3_4_25_2</v>
      </c>
      <c r="I338" s="2" t="str">
        <f t="shared" ref="I338:J338" si="682">CONCATENATE(C338," : ","0")</f>
        <v>E3_4_25_2_mRNA : 0</v>
      </c>
      <c r="J338" s="2" t="str">
        <f t="shared" si="682"/>
        <v>E3_4_25_2 : 0</v>
      </c>
      <c r="K338" s="2" t="str">
        <f t="shared" si="9"/>
        <v>0.00292 - (0.0093 * E3_4_25_2_mRNA)</v>
      </c>
      <c r="L338" s="2" t="str">
        <f t="shared" si="10"/>
        <v>(0.278 * E3_4_25_2_mRNA) - (0.00000278 * E3_4_25_2)</v>
      </c>
      <c r="M338" s="2" t="str">
        <f t="shared" si="11"/>
        <v>mRNA337: -&gt; E3_4_25_2_mRNA | 0.00292 - (0.0093 * E3_4_25_2_mRNA)</v>
      </c>
      <c r="N338" s="2" t="str">
        <f t="shared" si="12"/>
        <v>Peptide337: E3_4_25_2_mRNA -&gt; E3_4_25_2 | (0.278 * E3_4_25_2_mRNA) - (0.000000278 * E3_4_25_2)</v>
      </c>
    </row>
    <row r="339">
      <c r="A339" s="12">
        <v>338.0</v>
      </c>
      <c r="B339" s="2" t="s">
        <v>25263</v>
      </c>
      <c r="C339" s="2" t="str">
        <f t="shared" si="3"/>
        <v>E3_5_1_1_mRNA</v>
      </c>
      <c r="D339" s="2" t="str">
        <f t="shared" si="4"/>
        <v>E3_5_1_1</v>
      </c>
      <c r="E339" s="2" t="str">
        <f t="shared" si="5"/>
        <v>E3_5_1_1_kcat : 13.7</v>
      </c>
      <c r="F339" s="2" t="str">
        <f t="shared" si="6"/>
        <v>E3_5_1_1_km : 1</v>
      </c>
      <c r="G339" s="2" t="str">
        <f t="shared" ref="G339:H339" si="683">CONCATENATE(C339," : ",C339)</f>
        <v>E3_5_1_1_mRNA : E3_5_1_1_mRNA</v>
      </c>
      <c r="H339" s="2" t="str">
        <f t="shared" si="683"/>
        <v>E3_5_1_1 : E3_5_1_1</v>
      </c>
      <c r="I339" s="2" t="str">
        <f t="shared" ref="I339:J339" si="684">CONCATENATE(C339," : ","0")</f>
        <v>E3_5_1_1_mRNA : 0</v>
      </c>
      <c r="J339" s="2" t="str">
        <f t="shared" si="684"/>
        <v>E3_5_1_1 : 0</v>
      </c>
      <c r="K339" s="2" t="str">
        <f t="shared" si="9"/>
        <v>0.00292 - (0.0093 * E3_5_1_1_mRNA)</v>
      </c>
      <c r="L339" s="2" t="str">
        <f t="shared" si="10"/>
        <v>(0.278 * E3_5_1_1_mRNA) - (0.00000278 * E3_5_1_1)</v>
      </c>
      <c r="M339" s="2" t="str">
        <f t="shared" si="11"/>
        <v>mRNA338: -&gt; E3_5_1_1_mRNA | 0.00292 - (0.0093 * E3_5_1_1_mRNA)</v>
      </c>
      <c r="N339" s="2" t="str">
        <f t="shared" si="12"/>
        <v>Peptide338: E3_5_1_1_mRNA -&gt; E3_5_1_1 | (0.278 * E3_5_1_1_mRNA) - (0.000000278 * E3_5_1_1)</v>
      </c>
    </row>
    <row r="340">
      <c r="A340" s="12">
        <v>339.0</v>
      </c>
      <c r="B340" s="2" t="s">
        <v>25264</v>
      </c>
      <c r="C340" s="2" t="str">
        <f t="shared" si="3"/>
        <v>E3_5_1_105_mRNA</v>
      </c>
      <c r="D340" s="2" t="str">
        <f t="shared" si="4"/>
        <v>E3_5_1_105</v>
      </c>
      <c r="E340" s="2" t="str">
        <f t="shared" si="5"/>
        <v>E3_5_1_105_kcat : 13.7</v>
      </c>
      <c r="F340" s="2" t="str">
        <f t="shared" si="6"/>
        <v>E3_5_1_105_km : 1</v>
      </c>
      <c r="G340" s="2" t="str">
        <f t="shared" ref="G340:H340" si="685">CONCATENATE(C340," : ",C340)</f>
        <v>E3_5_1_105_mRNA : E3_5_1_105_mRNA</v>
      </c>
      <c r="H340" s="2" t="str">
        <f t="shared" si="685"/>
        <v>E3_5_1_105 : E3_5_1_105</v>
      </c>
      <c r="I340" s="2" t="str">
        <f t="shared" ref="I340:J340" si="686">CONCATENATE(C340," : ","0")</f>
        <v>E3_5_1_105_mRNA : 0</v>
      </c>
      <c r="J340" s="2" t="str">
        <f t="shared" si="686"/>
        <v>E3_5_1_105 : 0</v>
      </c>
      <c r="K340" s="2" t="str">
        <f t="shared" si="9"/>
        <v>0.00292 - (0.0093 * E3_5_1_105_mRNA)</v>
      </c>
      <c r="L340" s="2" t="str">
        <f t="shared" si="10"/>
        <v>(0.278 * E3_5_1_105_mRNA) - (0.00000278 * E3_5_1_105)</v>
      </c>
      <c r="M340" s="2" t="str">
        <f t="shared" si="11"/>
        <v>mRNA339: -&gt; E3_5_1_105_mRNA | 0.00292 - (0.0093 * E3_5_1_105_mRNA)</v>
      </c>
      <c r="N340" s="2" t="str">
        <f t="shared" si="12"/>
        <v>Peptide339: E3_5_1_105_mRNA -&gt; E3_5_1_105 | (0.278 * E3_5_1_105_mRNA) - (0.000000278 * E3_5_1_105)</v>
      </c>
    </row>
    <row r="341">
      <c r="A341" s="12">
        <v>340.0</v>
      </c>
      <c r="B341" s="2" t="s">
        <v>25265</v>
      </c>
      <c r="C341" s="2" t="str">
        <f t="shared" si="3"/>
        <v>E3_5_1_14_mRNA</v>
      </c>
      <c r="D341" s="2" t="str">
        <f t="shared" si="4"/>
        <v>E3_5_1_14</v>
      </c>
      <c r="E341" s="2" t="str">
        <f t="shared" si="5"/>
        <v>E3_5_1_14_kcat : 13.7</v>
      </c>
      <c r="F341" s="2" t="str">
        <f t="shared" si="6"/>
        <v>E3_5_1_14_km : 1</v>
      </c>
      <c r="G341" s="2" t="str">
        <f t="shared" ref="G341:H341" si="687">CONCATENATE(C341," : ",C341)</f>
        <v>E3_5_1_14_mRNA : E3_5_1_14_mRNA</v>
      </c>
      <c r="H341" s="2" t="str">
        <f t="shared" si="687"/>
        <v>E3_5_1_14 : E3_5_1_14</v>
      </c>
      <c r="I341" s="2" t="str">
        <f t="shared" ref="I341:J341" si="688">CONCATENATE(C341," : ","0")</f>
        <v>E3_5_1_14_mRNA : 0</v>
      </c>
      <c r="J341" s="2" t="str">
        <f t="shared" si="688"/>
        <v>E3_5_1_14 : 0</v>
      </c>
      <c r="K341" s="2" t="str">
        <f t="shared" si="9"/>
        <v>0.00292 - (0.0093 * E3_5_1_14_mRNA)</v>
      </c>
      <c r="L341" s="2" t="str">
        <f t="shared" si="10"/>
        <v>(0.278 * E3_5_1_14_mRNA) - (0.00000278 * E3_5_1_14)</v>
      </c>
      <c r="M341" s="2" t="str">
        <f t="shared" si="11"/>
        <v>mRNA340: -&gt; E3_5_1_14_mRNA | 0.00292 - (0.0093 * E3_5_1_14_mRNA)</v>
      </c>
      <c r="N341" s="2" t="str">
        <f t="shared" si="12"/>
        <v>Peptide340: E3_5_1_14_mRNA -&gt; E3_5_1_14 | (0.278 * E3_5_1_14_mRNA) - (0.000000278 * E3_5_1_14)</v>
      </c>
    </row>
    <row r="342">
      <c r="A342" s="12">
        <v>341.0</v>
      </c>
      <c r="B342" s="2" t="s">
        <v>25266</v>
      </c>
      <c r="C342" s="2" t="str">
        <f t="shared" si="3"/>
        <v>E3_5_1_16_mRNA</v>
      </c>
      <c r="D342" s="2" t="str">
        <f t="shared" si="4"/>
        <v>E3_5_1_16</v>
      </c>
      <c r="E342" s="2" t="str">
        <f t="shared" si="5"/>
        <v>E3_5_1_16_kcat : 13.7</v>
      </c>
      <c r="F342" s="2" t="str">
        <f t="shared" si="6"/>
        <v>E3_5_1_16_km : 1</v>
      </c>
      <c r="G342" s="2" t="str">
        <f t="shared" ref="G342:H342" si="689">CONCATENATE(C342," : ",C342)</f>
        <v>E3_5_1_16_mRNA : E3_5_1_16_mRNA</v>
      </c>
      <c r="H342" s="2" t="str">
        <f t="shared" si="689"/>
        <v>E3_5_1_16 : E3_5_1_16</v>
      </c>
      <c r="I342" s="2" t="str">
        <f t="shared" ref="I342:J342" si="690">CONCATENATE(C342," : ","0")</f>
        <v>E3_5_1_16_mRNA : 0</v>
      </c>
      <c r="J342" s="2" t="str">
        <f t="shared" si="690"/>
        <v>E3_5_1_16 : 0</v>
      </c>
      <c r="K342" s="2" t="str">
        <f t="shared" si="9"/>
        <v>0.00292 - (0.0093 * E3_5_1_16_mRNA)</v>
      </c>
      <c r="L342" s="2" t="str">
        <f t="shared" si="10"/>
        <v>(0.278 * E3_5_1_16_mRNA) - (0.00000278 * E3_5_1_16)</v>
      </c>
      <c r="M342" s="2" t="str">
        <f t="shared" si="11"/>
        <v>mRNA341: -&gt; E3_5_1_16_mRNA | 0.00292 - (0.0093 * E3_5_1_16_mRNA)</v>
      </c>
      <c r="N342" s="2" t="str">
        <f t="shared" si="12"/>
        <v>Peptide341: E3_5_1_16_mRNA -&gt; E3_5_1_16 | (0.278 * E3_5_1_16_mRNA) - (0.000000278 * E3_5_1_16)</v>
      </c>
    </row>
    <row r="343">
      <c r="A343" s="12">
        <v>342.0</v>
      </c>
      <c r="B343" s="2" t="s">
        <v>25267</v>
      </c>
      <c r="C343" s="2" t="str">
        <f t="shared" si="3"/>
        <v>E3_5_1_2_mRNA</v>
      </c>
      <c r="D343" s="2" t="str">
        <f t="shared" si="4"/>
        <v>E3_5_1_2</v>
      </c>
      <c r="E343" s="2" t="str">
        <f t="shared" si="5"/>
        <v>E3_5_1_2_kcat : 13.7</v>
      </c>
      <c r="F343" s="2" t="str">
        <f t="shared" si="6"/>
        <v>E3_5_1_2_km : 1</v>
      </c>
      <c r="G343" s="2" t="str">
        <f t="shared" ref="G343:H343" si="691">CONCATENATE(C343," : ",C343)</f>
        <v>E3_5_1_2_mRNA : E3_5_1_2_mRNA</v>
      </c>
      <c r="H343" s="2" t="str">
        <f t="shared" si="691"/>
        <v>E3_5_1_2 : E3_5_1_2</v>
      </c>
      <c r="I343" s="2" t="str">
        <f t="shared" ref="I343:J343" si="692">CONCATENATE(C343," : ","0")</f>
        <v>E3_5_1_2_mRNA : 0</v>
      </c>
      <c r="J343" s="2" t="str">
        <f t="shared" si="692"/>
        <v>E3_5_1_2 : 0</v>
      </c>
      <c r="K343" s="2" t="str">
        <f t="shared" si="9"/>
        <v>0.00292 - (0.0093 * E3_5_1_2_mRNA)</v>
      </c>
      <c r="L343" s="2" t="str">
        <f t="shared" si="10"/>
        <v>(0.278 * E3_5_1_2_mRNA) - (0.00000278 * E3_5_1_2)</v>
      </c>
      <c r="M343" s="2" t="str">
        <f t="shared" si="11"/>
        <v>mRNA342: -&gt; E3_5_1_2_mRNA | 0.00292 - (0.0093 * E3_5_1_2_mRNA)</v>
      </c>
      <c r="N343" s="2" t="str">
        <f t="shared" si="12"/>
        <v>Peptide342: E3_5_1_2_mRNA -&gt; E3_5_1_2 | (0.278 * E3_5_1_2_mRNA) - (0.000000278 * E3_5_1_2)</v>
      </c>
    </row>
    <row r="344">
      <c r="A344" s="12">
        <v>343.0</v>
      </c>
      <c r="B344" s="2" t="s">
        <v>25268</v>
      </c>
      <c r="C344" s="2" t="str">
        <f t="shared" si="3"/>
        <v>E3_5_1_24_mRNA</v>
      </c>
      <c r="D344" s="2" t="str">
        <f t="shared" si="4"/>
        <v>E3_5_1_24</v>
      </c>
      <c r="E344" s="2" t="str">
        <f t="shared" si="5"/>
        <v>E3_5_1_24_kcat : 13.7</v>
      </c>
      <c r="F344" s="2" t="str">
        <f t="shared" si="6"/>
        <v>E3_5_1_24_km : 1</v>
      </c>
      <c r="G344" s="2" t="str">
        <f t="shared" ref="G344:H344" si="693">CONCATENATE(C344," : ",C344)</f>
        <v>E3_5_1_24_mRNA : E3_5_1_24_mRNA</v>
      </c>
      <c r="H344" s="2" t="str">
        <f t="shared" si="693"/>
        <v>E3_5_1_24 : E3_5_1_24</v>
      </c>
      <c r="I344" s="2" t="str">
        <f t="shared" ref="I344:J344" si="694">CONCATENATE(C344," : ","0")</f>
        <v>E3_5_1_24_mRNA : 0</v>
      </c>
      <c r="J344" s="2" t="str">
        <f t="shared" si="694"/>
        <v>E3_5_1_24 : 0</v>
      </c>
      <c r="K344" s="2" t="str">
        <f t="shared" si="9"/>
        <v>0.00292 - (0.0093 * E3_5_1_24_mRNA)</v>
      </c>
      <c r="L344" s="2" t="str">
        <f t="shared" si="10"/>
        <v>(0.278 * E3_5_1_24_mRNA) - (0.00000278 * E3_5_1_24)</v>
      </c>
      <c r="M344" s="2" t="str">
        <f t="shared" si="11"/>
        <v>mRNA343: -&gt; E3_5_1_24_mRNA | 0.00292 - (0.0093 * E3_5_1_24_mRNA)</v>
      </c>
      <c r="N344" s="2" t="str">
        <f t="shared" si="12"/>
        <v>Peptide343: E3_5_1_24_mRNA -&gt; E3_5_1_24 | (0.278 * E3_5_1_24_mRNA) - (0.000000278 * E3_5_1_24)</v>
      </c>
    </row>
    <row r="345">
      <c r="A345" s="12">
        <v>344.0</v>
      </c>
      <c r="B345" s="2" t="s">
        <v>25269</v>
      </c>
      <c r="C345" s="2" t="str">
        <f t="shared" si="3"/>
        <v>E3_5_1_25_mRNA</v>
      </c>
      <c r="D345" s="2" t="str">
        <f t="shared" si="4"/>
        <v>E3_5_1_25</v>
      </c>
      <c r="E345" s="2" t="str">
        <f t="shared" si="5"/>
        <v>E3_5_1_25_kcat : 13.7</v>
      </c>
      <c r="F345" s="2" t="str">
        <f t="shared" si="6"/>
        <v>E3_5_1_25_km : 1</v>
      </c>
      <c r="G345" s="2" t="str">
        <f t="shared" ref="G345:H345" si="695">CONCATENATE(C345," : ",C345)</f>
        <v>E3_5_1_25_mRNA : E3_5_1_25_mRNA</v>
      </c>
      <c r="H345" s="2" t="str">
        <f t="shared" si="695"/>
        <v>E3_5_1_25 : E3_5_1_25</v>
      </c>
      <c r="I345" s="2" t="str">
        <f t="shared" ref="I345:J345" si="696">CONCATENATE(C345," : ","0")</f>
        <v>E3_5_1_25_mRNA : 0</v>
      </c>
      <c r="J345" s="2" t="str">
        <f t="shared" si="696"/>
        <v>E3_5_1_25 : 0</v>
      </c>
      <c r="K345" s="2" t="str">
        <f t="shared" si="9"/>
        <v>0.00292 - (0.0093 * E3_5_1_25_mRNA)</v>
      </c>
      <c r="L345" s="2" t="str">
        <f t="shared" si="10"/>
        <v>(0.278 * E3_5_1_25_mRNA) - (0.00000278 * E3_5_1_25)</v>
      </c>
      <c r="M345" s="2" t="str">
        <f t="shared" si="11"/>
        <v>mRNA344: -&gt; E3_5_1_25_mRNA | 0.00292 - (0.0093 * E3_5_1_25_mRNA)</v>
      </c>
      <c r="N345" s="2" t="str">
        <f t="shared" si="12"/>
        <v>Peptide344: E3_5_1_25_mRNA -&gt; E3_5_1_25 | (0.278 * E3_5_1_25_mRNA) - (0.000000278 * E3_5_1_25)</v>
      </c>
    </row>
    <row r="346">
      <c r="A346" s="12">
        <v>345.0</v>
      </c>
      <c r="B346" s="2" t="s">
        <v>25270</v>
      </c>
      <c r="C346" s="2" t="str">
        <f t="shared" si="3"/>
        <v>E3_5_1_28_mRNA</v>
      </c>
      <c r="D346" s="2" t="str">
        <f t="shared" si="4"/>
        <v>E3_5_1_28</v>
      </c>
      <c r="E346" s="2" t="str">
        <f t="shared" si="5"/>
        <v>E3_5_1_28_kcat : 13.7</v>
      </c>
      <c r="F346" s="2" t="str">
        <f t="shared" si="6"/>
        <v>E3_5_1_28_km : 1</v>
      </c>
      <c r="G346" s="2" t="str">
        <f t="shared" ref="G346:H346" si="697">CONCATENATE(C346," : ",C346)</f>
        <v>E3_5_1_28_mRNA : E3_5_1_28_mRNA</v>
      </c>
      <c r="H346" s="2" t="str">
        <f t="shared" si="697"/>
        <v>E3_5_1_28 : E3_5_1_28</v>
      </c>
      <c r="I346" s="2" t="str">
        <f t="shared" ref="I346:J346" si="698">CONCATENATE(C346," : ","0")</f>
        <v>E3_5_1_28_mRNA : 0</v>
      </c>
      <c r="J346" s="2" t="str">
        <f t="shared" si="698"/>
        <v>E3_5_1_28 : 0</v>
      </c>
      <c r="K346" s="2" t="str">
        <f t="shared" si="9"/>
        <v>0.00292 - (0.0093 * E3_5_1_28_mRNA)</v>
      </c>
      <c r="L346" s="2" t="str">
        <f t="shared" si="10"/>
        <v>(0.278 * E3_5_1_28_mRNA) - (0.00000278 * E3_5_1_28)</v>
      </c>
      <c r="M346" s="2" t="str">
        <f t="shared" si="11"/>
        <v>mRNA345: -&gt; E3_5_1_28_mRNA | 0.00292 - (0.0093 * E3_5_1_28_mRNA)</v>
      </c>
      <c r="N346" s="2" t="str">
        <f t="shared" si="12"/>
        <v>Peptide345: E3_5_1_28_mRNA -&gt; E3_5_1_28 | (0.278 * E3_5_1_28_mRNA) - (0.000000278 * E3_5_1_28)</v>
      </c>
    </row>
    <row r="347">
      <c r="A347" s="12">
        <v>346.0</v>
      </c>
      <c r="B347" s="2" t="s">
        <v>25271</v>
      </c>
      <c r="C347" s="2" t="str">
        <f t="shared" si="3"/>
        <v>E3_5_1_49_mRNA</v>
      </c>
      <c r="D347" s="2" t="str">
        <f t="shared" si="4"/>
        <v>E3_5_1_49</v>
      </c>
      <c r="E347" s="2" t="str">
        <f t="shared" si="5"/>
        <v>E3_5_1_49_kcat : 13.7</v>
      </c>
      <c r="F347" s="2" t="str">
        <f t="shared" si="6"/>
        <v>E3_5_1_49_km : 1</v>
      </c>
      <c r="G347" s="2" t="str">
        <f t="shared" ref="G347:H347" si="699">CONCATENATE(C347," : ",C347)</f>
        <v>E3_5_1_49_mRNA : E3_5_1_49_mRNA</v>
      </c>
      <c r="H347" s="2" t="str">
        <f t="shared" si="699"/>
        <v>E3_5_1_49 : E3_5_1_49</v>
      </c>
      <c r="I347" s="2" t="str">
        <f t="shared" ref="I347:J347" si="700">CONCATENATE(C347," : ","0")</f>
        <v>E3_5_1_49_mRNA : 0</v>
      </c>
      <c r="J347" s="2" t="str">
        <f t="shared" si="700"/>
        <v>E3_5_1_49 : 0</v>
      </c>
      <c r="K347" s="2" t="str">
        <f t="shared" si="9"/>
        <v>0.00292 - (0.0093 * E3_5_1_49_mRNA)</v>
      </c>
      <c r="L347" s="2" t="str">
        <f t="shared" si="10"/>
        <v>(0.278 * E3_5_1_49_mRNA) - (0.00000278 * E3_5_1_49)</v>
      </c>
      <c r="M347" s="2" t="str">
        <f t="shared" si="11"/>
        <v>mRNA346: -&gt; E3_5_1_49_mRNA | 0.00292 - (0.0093 * E3_5_1_49_mRNA)</v>
      </c>
      <c r="N347" s="2" t="str">
        <f t="shared" si="12"/>
        <v>Peptide346: E3_5_1_49_mRNA -&gt; E3_5_1_49 | (0.278 * E3_5_1_49_mRNA) - (0.000000278 * E3_5_1_49)</v>
      </c>
    </row>
    <row r="348">
      <c r="A348" s="12">
        <v>347.0</v>
      </c>
      <c r="B348" s="2" t="s">
        <v>25272</v>
      </c>
      <c r="C348" s="2" t="str">
        <f t="shared" si="3"/>
        <v>E3_5_1_88_mRNA</v>
      </c>
      <c r="D348" s="2" t="str">
        <f t="shared" si="4"/>
        <v>E3_5_1_88</v>
      </c>
      <c r="E348" s="2" t="str">
        <f t="shared" si="5"/>
        <v>E3_5_1_88_kcat : 13.7</v>
      </c>
      <c r="F348" s="2" t="str">
        <f t="shared" si="6"/>
        <v>E3_5_1_88_km : 1</v>
      </c>
      <c r="G348" s="2" t="str">
        <f t="shared" ref="G348:H348" si="701">CONCATENATE(C348," : ",C348)</f>
        <v>E3_5_1_88_mRNA : E3_5_1_88_mRNA</v>
      </c>
      <c r="H348" s="2" t="str">
        <f t="shared" si="701"/>
        <v>E3_5_1_88 : E3_5_1_88</v>
      </c>
      <c r="I348" s="2" t="str">
        <f t="shared" ref="I348:J348" si="702">CONCATENATE(C348," : ","0")</f>
        <v>E3_5_1_88_mRNA : 0</v>
      </c>
      <c r="J348" s="2" t="str">
        <f t="shared" si="702"/>
        <v>E3_5_1_88 : 0</v>
      </c>
      <c r="K348" s="2" t="str">
        <f t="shared" si="9"/>
        <v>0.00292 - (0.0093 * E3_5_1_88_mRNA)</v>
      </c>
      <c r="L348" s="2" t="str">
        <f t="shared" si="10"/>
        <v>(0.278 * E3_5_1_88_mRNA) - (0.00000278 * E3_5_1_88)</v>
      </c>
      <c r="M348" s="2" t="str">
        <f t="shared" si="11"/>
        <v>mRNA347: -&gt; E3_5_1_88_mRNA | 0.00292 - (0.0093 * E3_5_1_88_mRNA)</v>
      </c>
      <c r="N348" s="2" t="str">
        <f t="shared" si="12"/>
        <v>Peptide347: E3_5_1_88_mRNA -&gt; E3_5_1_88 | (0.278 * E3_5_1_88_mRNA) - (0.000000278 * E3_5_1_88)</v>
      </c>
    </row>
    <row r="349">
      <c r="A349" s="12">
        <v>348.0</v>
      </c>
      <c r="B349" s="2" t="s">
        <v>25273</v>
      </c>
      <c r="C349" s="2" t="str">
        <f t="shared" si="3"/>
        <v>E3_5_1_9_mRNA</v>
      </c>
      <c r="D349" s="2" t="str">
        <f t="shared" si="4"/>
        <v>E3_5_1_9</v>
      </c>
      <c r="E349" s="2" t="str">
        <f t="shared" si="5"/>
        <v>E3_5_1_9_kcat : 13.7</v>
      </c>
      <c r="F349" s="2" t="str">
        <f t="shared" si="6"/>
        <v>E3_5_1_9_km : 1</v>
      </c>
      <c r="G349" s="2" t="str">
        <f t="shared" ref="G349:H349" si="703">CONCATENATE(C349," : ",C349)</f>
        <v>E3_5_1_9_mRNA : E3_5_1_9_mRNA</v>
      </c>
      <c r="H349" s="2" t="str">
        <f t="shared" si="703"/>
        <v>E3_5_1_9 : E3_5_1_9</v>
      </c>
      <c r="I349" s="2" t="str">
        <f t="shared" ref="I349:J349" si="704">CONCATENATE(C349," : ","0")</f>
        <v>E3_5_1_9_mRNA : 0</v>
      </c>
      <c r="J349" s="2" t="str">
        <f t="shared" si="704"/>
        <v>E3_5_1_9 : 0</v>
      </c>
      <c r="K349" s="2" t="str">
        <f t="shared" si="9"/>
        <v>0.00292 - (0.0093 * E3_5_1_9_mRNA)</v>
      </c>
      <c r="L349" s="2" t="str">
        <f t="shared" si="10"/>
        <v>(0.278 * E3_5_1_9_mRNA) - (0.00000278 * E3_5_1_9)</v>
      </c>
      <c r="M349" s="2" t="str">
        <f t="shared" si="11"/>
        <v>mRNA348: -&gt; E3_5_1_9_mRNA | 0.00292 - (0.0093 * E3_5_1_9_mRNA)</v>
      </c>
      <c r="N349" s="2" t="str">
        <f t="shared" si="12"/>
        <v>Peptide348: E3_5_1_9_mRNA -&gt; E3_5_1_9 | (0.278 * E3_5_1_9_mRNA) - (0.000000278 * E3_5_1_9)</v>
      </c>
    </row>
    <row r="350">
      <c r="A350" s="12">
        <v>349.0</v>
      </c>
      <c r="B350" s="2" t="s">
        <v>25274</v>
      </c>
      <c r="C350" s="2" t="str">
        <f t="shared" si="3"/>
        <v>E3_5_2_3_mRNA</v>
      </c>
      <c r="D350" s="2" t="str">
        <f t="shared" si="4"/>
        <v>E3_5_2_3</v>
      </c>
      <c r="E350" s="2" t="str">
        <f t="shared" si="5"/>
        <v>E3_5_2_3_kcat : 13.7</v>
      </c>
      <c r="F350" s="2" t="str">
        <f t="shared" si="6"/>
        <v>E3_5_2_3_km : 1</v>
      </c>
      <c r="G350" s="2" t="str">
        <f t="shared" ref="G350:H350" si="705">CONCATENATE(C350," : ",C350)</f>
        <v>E3_5_2_3_mRNA : E3_5_2_3_mRNA</v>
      </c>
      <c r="H350" s="2" t="str">
        <f t="shared" si="705"/>
        <v>E3_5_2_3 : E3_5_2_3</v>
      </c>
      <c r="I350" s="2" t="str">
        <f t="shared" ref="I350:J350" si="706">CONCATENATE(C350," : ","0")</f>
        <v>E3_5_2_3_mRNA : 0</v>
      </c>
      <c r="J350" s="2" t="str">
        <f t="shared" si="706"/>
        <v>E3_5_2_3 : 0</v>
      </c>
      <c r="K350" s="2" t="str">
        <f t="shared" si="9"/>
        <v>0.00292 - (0.0093 * E3_5_2_3_mRNA)</v>
      </c>
      <c r="L350" s="2" t="str">
        <f t="shared" si="10"/>
        <v>(0.278 * E3_5_2_3_mRNA) - (0.00000278 * E3_5_2_3)</v>
      </c>
      <c r="M350" s="2" t="str">
        <f t="shared" si="11"/>
        <v>mRNA349: -&gt; E3_5_2_3_mRNA | 0.00292 - (0.0093 * E3_5_2_3_mRNA)</v>
      </c>
      <c r="N350" s="2" t="str">
        <f t="shared" si="12"/>
        <v>Peptide349: E3_5_2_3_mRNA -&gt; E3_5_2_3 | (0.278 * E3_5_2_3_mRNA) - (0.000000278 * E3_5_2_3)</v>
      </c>
    </row>
    <row r="351">
      <c r="A351" s="12">
        <v>350.0</v>
      </c>
      <c r="B351" s="2" t="s">
        <v>25275</v>
      </c>
      <c r="C351" s="2" t="str">
        <f t="shared" si="3"/>
        <v>E3_5_2_6_mRNA</v>
      </c>
      <c r="D351" s="2" t="str">
        <f t="shared" si="4"/>
        <v>E3_5_2_6</v>
      </c>
      <c r="E351" s="2" t="str">
        <f t="shared" si="5"/>
        <v>E3_5_2_6_kcat : 13.7</v>
      </c>
      <c r="F351" s="2" t="str">
        <f t="shared" si="6"/>
        <v>E3_5_2_6_km : 1</v>
      </c>
      <c r="G351" s="2" t="str">
        <f t="shared" ref="G351:H351" si="707">CONCATENATE(C351," : ",C351)</f>
        <v>E3_5_2_6_mRNA : E3_5_2_6_mRNA</v>
      </c>
      <c r="H351" s="2" t="str">
        <f t="shared" si="707"/>
        <v>E3_5_2_6 : E3_5_2_6</v>
      </c>
      <c r="I351" s="2" t="str">
        <f t="shared" ref="I351:J351" si="708">CONCATENATE(C351," : ","0")</f>
        <v>E3_5_2_6_mRNA : 0</v>
      </c>
      <c r="J351" s="2" t="str">
        <f t="shared" si="708"/>
        <v>E3_5_2_6 : 0</v>
      </c>
      <c r="K351" s="2" t="str">
        <f t="shared" si="9"/>
        <v>0.00292 - (0.0093 * E3_5_2_6_mRNA)</v>
      </c>
      <c r="L351" s="2" t="str">
        <f t="shared" si="10"/>
        <v>(0.278 * E3_5_2_6_mRNA) - (0.00000278 * E3_5_2_6)</v>
      </c>
      <c r="M351" s="2" t="str">
        <f t="shared" si="11"/>
        <v>mRNA350: -&gt; E3_5_2_6_mRNA | 0.00292 - (0.0093 * E3_5_2_6_mRNA)</v>
      </c>
      <c r="N351" s="2" t="str">
        <f t="shared" si="12"/>
        <v>Peptide350: E3_5_2_6_mRNA -&gt; E3_5_2_6 | (0.278 * E3_5_2_6_mRNA) - (0.000000278 * E3_5_2_6)</v>
      </c>
    </row>
    <row r="352">
      <c r="A352" s="12">
        <v>351.0</v>
      </c>
      <c r="B352" s="2" t="s">
        <v>25276</v>
      </c>
      <c r="C352" s="2" t="str">
        <f t="shared" si="3"/>
        <v>E3_5_2_7_mRNA</v>
      </c>
      <c r="D352" s="2" t="str">
        <f t="shared" si="4"/>
        <v>E3_5_2_7</v>
      </c>
      <c r="E352" s="2" t="str">
        <f t="shared" si="5"/>
        <v>E3_5_2_7_kcat : 13.7</v>
      </c>
      <c r="F352" s="2" t="str">
        <f t="shared" si="6"/>
        <v>E3_5_2_7_km : 1</v>
      </c>
      <c r="G352" s="2" t="str">
        <f t="shared" ref="G352:H352" si="709">CONCATENATE(C352," : ",C352)</f>
        <v>E3_5_2_7_mRNA : E3_5_2_7_mRNA</v>
      </c>
      <c r="H352" s="2" t="str">
        <f t="shared" si="709"/>
        <v>E3_5_2_7 : E3_5_2_7</v>
      </c>
      <c r="I352" s="2" t="str">
        <f t="shared" ref="I352:J352" si="710">CONCATENATE(C352," : ","0")</f>
        <v>E3_5_2_7_mRNA : 0</v>
      </c>
      <c r="J352" s="2" t="str">
        <f t="shared" si="710"/>
        <v>E3_5_2_7 : 0</v>
      </c>
      <c r="K352" s="2" t="str">
        <f t="shared" si="9"/>
        <v>0.00292 - (0.0093 * E3_5_2_7_mRNA)</v>
      </c>
      <c r="L352" s="2" t="str">
        <f t="shared" si="10"/>
        <v>(0.278 * E3_5_2_7_mRNA) - (0.00000278 * E3_5_2_7)</v>
      </c>
      <c r="M352" s="2" t="str">
        <f t="shared" si="11"/>
        <v>mRNA351: -&gt; E3_5_2_7_mRNA | 0.00292 - (0.0093 * E3_5_2_7_mRNA)</v>
      </c>
      <c r="N352" s="2" t="str">
        <f t="shared" si="12"/>
        <v>Peptide351: E3_5_2_7_mRNA -&gt; E3_5_2_7 | (0.278 * E3_5_2_7_mRNA) - (0.000000278 * E3_5_2_7)</v>
      </c>
    </row>
    <row r="353">
      <c r="A353" s="12">
        <v>352.0</v>
      </c>
      <c r="B353" s="2" t="s">
        <v>25277</v>
      </c>
      <c r="C353" s="2" t="str">
        <f t="shared" si="3"/>
        <v>E3_5_2_9_mRNA</v>
      </c>
      <c r="D353" s="2" t="str">
        <f t="shared" si="4"/>
        <v>E3_5_2_9</v>
      </c>
      <c r="E353" s="2" t="str">
        <f t="shared" si="5"/>
        <v>E3_5_2_9_kcat : 13.7</v>
      </c>
      <c r="F353" s="2" t="str">
        <f t="shared" si="6"/>
        <v>E3_5_2_9_km : 1</v>
      </c>
      <c r="G353" s="2" t="str">
        <f t="shared" ref="G353:H353" si="711">CONCATENATE(C353," : ",C353)</f>
        <v>E3_5_2_9_mRNA : E3_5_2_9_mRNA</v>
      </c>
      <c r="H353" s="2" t="str">
        <f t="shared" si="711"/>
        <v>E3_5_2_9 : E3_5_2_9</v>
      </c>
      <c r="I353" s="2" t="str">
        <f t="shared" ref="I353:J353" si="712">CONCATENATE(C353," : ","0")</f>
        <v>E3_5_2_9_mRNA : 0</v>
      </c>
      <c r="J353" s="2" t="str">
        <f t="shared" si="712"/>
        <v>E3_5_2_9 : 0</v>
      </c>
      <c r="K353" s="2" t="str">
        <f t="shared" si="9"/>
        <v>0.00292 - (0.0093 * E3_5_2_9_mRNA)</v>
      </c>
      <c r="L353" s="2" t="str">
        <f t="shared" si="10"/>
        <v>(0.278 * E3_5_2_9_mRNA) - (0.00000278 * E3_5_2_9)</v>
      </c>
      <c r="M353" s="2" t="str">
        <f t="shared" si="11"/>
        <v>mRNA352: -&gt; E3_5_2_9_mRNA | 0.00292 - (0.0093 * E3_5_2_9_mRNA)</v>
      </c>
      <c r="N353" s="2" t="str">
        <f t="shared" si="12"/>
        <v>Peptide352: E3_5_2_9_mRNA -&gt; E3_5_2_9 | (0.278 * E3_5_2_9_mRNA) - (0.000000278 * E3_5_2_9)</v>
      </c>
    </row>
    <row r="354">
      <c r="A354" s="12">
        <v>353.0</v>
      </c>
      <c r="B354" s="2" t="s">
        <v>25278</v>
      </c>
      <c r="C354" s="2" t="str">
        <f t="shared" si="3"/>
        <v>E3_5_3_1_mRNA</v>
      </c>
      <c r="D354" s="2" t="str">
        <f t="shared" si="4"/>
        <v>E3_5_3_1</v>
      </c>
      <c r="E354" s="2" t="str">
        <f t="shared" si="5"/>
        <v>E3_5_3_1_kcat : 13.7</v>
      </c>
      <c r="F354" s="2" t="str">
        <f t="shared" si="6"/>
        <v>E3_5_3_1_km : 1</v>
      </c>
      <c r="G354" s="2" t="str">
        <f t="shared" ref="G354:H354" si="713">CONCATENATE(C354," : ",C354)</f>
        <v>E3_5_3_1_mRNA : E3_5_3_1_mRNA</v>
      </c>
      <c r="H354" s="2" t="str">
        <f t="shared" si="713"/>
        <v>E3_5_3_1 : E3_5_3_1</v>
      </c>
      <c r="I354" s="2" t="str">
        <f t="shared" ref="I354:J354" si="714">CONCATENATE(C354," : ","0")</f>
        <v>E3_5_3_1_mRNA : 0</v>
      </c>
      <c r="J354" s="2" t="str">
        <f t="shared" si="714"/>
        <v>E3_5_3_1 : 0</v>
      </c>
      <c r="K354" s="2" t="str">
        <f t="shared" si="9"/>
        <v>0.00292 - (0.0093 * E3_5_3_1_mRNA)</v>
      </c>
      <c r="L354" s="2" t="str">
        <f t="shared" si="10"/>
        <v>(0.278 * E3_5_3_1_mRNA) - (0.00000278 * E3_5_3_1)</v>
      </c>
      <c r="M354" s="2" t="str">
        <f t="shared" si="11"/>
        <v>mRNA353: -&gt; E3_5_3_1_mRNA | 0.00292 - (0.0093 * E3_5_3_1_mRNA)</v>
      </c>
      <c r="N354" s="2" t="str">
        <f t="shared" si="12"/>
        <v>Peptide353: E3_5_3_1_mRNA -&gt; E3_5_3_1 | (0.278 * E3_5_3_1_mRNA) - (0.000000278 * E3_5_3_1)</v>
      </c>
    </row>
    <row r="355">
      <c r="A355" s="12">
        <v>354.0</v>
      </c>
      <c r="B355" s="2" t="s">
        <v>25279</v>
      </c>
      <c r="C355" s="2" t="str">
        <f t="shared" si="3"/>
        <v>E3_5_3_11_mRNA</v>
      </c>
      <c r="D355" s="2" t="str">
        <f t="shared" si="4"/>
        <v>E3_5_3_11</v>
      </c>
      <c r="E355" s="2" t="str">
        <f t="shared" si="5"/>
        <v>E3_5_3_11_kcat : 13.7</v>
      </c>
      <c r="F355" s="2" t="str">
        <f t="shared" si="6"/>
        <v>E3_5_3_11_km : 1</v>
      </c>
      <c r="G355" s="2" t="str">
        <f t="shared" ref="G355:H355" si="715">CONCATENATE(C355," : ",C355)</f>
        <v>E3_5_3_11_mRNA : E3_5_3_11_mRNA</v>
      </c>
      <c r="H355" s="2" t="str">
        <f t="shared" si="715"/>
        <v>E3_5_3_11 : E3_5_3_11</v>
      </c>
      <c r="I355" s="2" t="str">
        <f t="shared" ref="I355:J355" si="716">CONCATENATE(C355," : ","0")</f>
        <v>E3_5_3_11_mRNA : 0</v>
      </c>
      <c r="J355" s="2" t="str">
        <f t="shared" si="716"/>
        <v>E3_5_3_11 : 0</v>
      </c>
      <c r="K355" s="2" t="str">
        <f t="shared" si="9"/>
        <v>0.00292 - (0.0093 * E3_5_3_11_mRNA)</v>
      </c>
      <c r="L355" s="2" t="str">
        <f t="shared" si="10"/>
        <v>(0.278 * E3_5_3_11_mRNA) - (0.00000278 * E3_5_3_11)</v>
      </c>
      <c r="M355" s="2" t="str">
        <f t="shared" si="11"/>
        <v>mRNA354: -&gt; E3_5_3_11_mRNA | 0.00292 - (0.0093 * E3_5_3_11_mRNA)</v>
      </c>
      <c r="N355" s="2" t="str">
        <f t="shared" si="12"/>
        <v>Peptide354: E3_5_3_11_mRNA -&gt; E3_5_3_11 | (0.278 * E3_5_3_11_mRNA) - (0.000000278 * E3_5_3_11)</v>
      </c>
    </row>
    <row r="356">
      <c r="A356" s="12">
        <v>355.0</v>
      </c>
      <c r="B356" s="2" t="s">
        <v>25280</v>
      </c>
      <c r="C356" s="2" t="str">
        <f t="shared" si="3"/>
        <v>E3_5_3_6_mRNA</v>
      </c>
      <c r="D356" s="2" t="str">
        <f t="shared" si="4"/>
        <v>E3_5_3_6</v>
      </c>
      <c r="E356" s="2" t="str">
        <f t="shared" si="5"/>
        <v>E3_5_3_6_kcat : 13.7</v>
      </c>
      <c r="F356" s="2" t="str">
        <f t="shared" si="6"/>
        <v>E3_5_3_6_km : 1</v>
      </c>
      <c r="G356" s="2" t="str">
        <f t="shared" ref="G356:H356" si="717">CONCATENATE(C356," : ",C356)</f>
        <v>E3_5_3_6_mRNA : E3_5_3_6_mRNA</v>
      </c>
      <c r="H356" s="2" t="str">
        <f t="shared" si="717"/>
        <v>E3_5_3_6 : E3_5_3_6</v>
      </c>
      <c r="I356" s="2" t="str">
        <f t="shared" ref="I356:J356" si="718">CONCATENATE(C356," : ","0")</f>
        <v>E3_5_3_6_mRNA : 0</v>
      </c>
      <c r="J356" s="2" t="str">
        <f t="shared" si="718"/>
        <v>E3_5_3_6 : 0</v>
      </c>
      <c r="K356" s="2" t="str">
        <f t="shared" si="9"/>
        <v>0.00292 - (0.0093 * E3_5_3_6_mRNA)</v>
      </c>
      <c r="L356" s="2" t="str">
        <f t="shared" si="10"/>
        <v>(0.278 * E3_5_3_6_mRNA) - (0.00000278 * E3_5_3_6)</v>
      </c>
      <c r="M356" s="2" t="str">
        <f t="shared" si="11"/>
        <v>mRNA355: -&gt; E3_5_3_6_mRNA | 0.00292 - (0.0093 * E3_5_3_6_mRNA)</v>
      </c>
      <c r="N356" s="2" t="str">
        <f t="shared" si="12"/>
        <v>Peptide355: E3_5_3_6_mRNA -&gt; E3_5_3_6 | (0.278 * E3_5_3_6_mRNA) - (0.000000278 * E3_5_3_6)</v>
      </c>
    </row>
    <row r="357">
      <c r="A357" s="12">
        <v>356.0</v>
      </c>
      <c r="B357" s="2" t="s">
        <v>25281</v>
      </c>
      <c r="C357" s="2" t="str">
        <f t="shared" si="3"/>
        <v>E3_5_3_8_mRNA</v>
      </c>
      <c r="D357" s="2" t="str">
        <f t="shared" si="4"/>
        <v>E3_5_3_8</v>
      </c>
      <c r="E357" s="2" t="str">
        <f t="shared" si="5"/>
        <v>E3_5_3_8_kcat : 13.7</v>
      </c>
      <c r="F357" s="2" t="str">
        <f t="shared" si="6"/>
        <v>E3_5_3_8_km : 1</v>
      </c>
      <c r="G357" s="2" t="str">
        <f t="shared" ref="G357:H357" si="719">CONCATENATE(C357," : ",C357)</f>
        <v>E3_5_3_8_mRNA : E3_5_3_8_mRNA</v>
      </c>
      <c r="H357" s="2" t="str">
        <f t="shared" si="719"/>
        <v>E3_5_3_8 : E3_5_3_8</v>
      </c>
      <c r="I357" s="2" t="str">
        <f t="shared" ref="I357:J357" si="720">CONCATENATE(C357," : ","0")</f>
        <v>E3_5_3_8_mRNA : 0</v>
      </c>
      <c r="J357" s="2" t="str">
        <f t="shared" si="720"/>
        <v>E3_5_3_8 : 0</v>
      </c>
      <c r="K357" s="2" t="str">
        <f t="shared" si="9"/>
        <v>0.00292 - (0.0093 * E3_5_3_8_mRNA)</v>
      </c>
      <c r="L357" s="2" t="str">
        <f t="shared" si="10"/>
        <v>(0.278 * E3_5_3_8_mRNA) - (0.00000278 * E3_5_3_8)</v>
      </c>
      <c r="M357" s="2" t="str">
        <f t="shared" si="11"/>
        <v>mRNA356: -&gt; E3_5_3_8_mRNA | 0.00292 - (0.0093 * E3_5_3_8_mRNA)</v>
      </c>
      <c r="N357" s="2" t="str">
        <f t="shared" si="12"/>
        <v>Peptide356: E3_5_3_8_mRNA -&gt; E3_5_3_8 | (0.278 * E3_5_3_8_mRNA) - (0.000000278 * E3_5_3_8)</v>
      </c>
    </row>
    <row r="358">
      <c r="A358" s="12">
        <v>357.0</v>
      </c>
      <c r="B358" s="2" t="s">
        <v>25282</v>
      </c>
      <c r="C358" s="2" t="str">
        <f t="shared" si="3"/>
        <v>E3_5_4_10_mRNA</v>
      </c>
      <c r="D358" s="2" t="str">
        <f t="shared" si="4"/>
        <v>E3_5_4_10</v>
      </c>
      <c r="E358" s="2" t="str">
        <f t="shared" si="5"/>
        <v>E3_5_4_10_kcat : 13.7</v>
      </c>
      <c r="F358" s="2" t="str">
        <f t="shared" si="6"/>
        <v>E3_5_4_10_km : 1</v>
      </c>
      <c r="G358" s="2" t="str">
        <f t="shared" ref="G358:H358" si="721">CONCATENATE(C358," : ",C358)</f>
        <v>E3_5_4_10_mRNA : E3_5_4_10_mRNA</v>
      </c>
      <c r="H358" s="2" t="str">
        <f t="shared" si="721"/>
        <v>E3_5_4_10 : E3_5_4_10</v>
      </c>
      <c r="I358" s="2" t="str">
        <f t="shared" ref="I358:J358" si="722">CONCATENATE(C358," : ","0")</f>
        <v>E3_5_4_10_mRNA : 0</v>
      </c>
      <c r="J358" s="2" t="str">
        <f t="shared" si="722"/>
        <v>E3_5_4_10 : 0</v>
      </c>
      <c r="K358" s="2" t="str">
        <f t="shared" si="9"/>
        <v>0.00292 - (0.0093 * E3_5_4_10_mRNA)</v>
      </c>
      <c r="L358" s="2" t="str">
        <f t="shared" si="10"/>
        <v>(0.278 * E3_5_4_10_mRNA) - (0.00000278 * E3_5_4_10)</v>
      </c>
      <c r="M358" s="2" t="str">
        <f t="shared" si="11"/>
        <v>mRNA357: -&gt; E3_5_4_10_mRNA | 0.00292 - (0.0093 * E3_5_4_10_mRNA)</v>
      </c>
      <c r="N358" s="2" t="str">
        <f t="shared" si="12"/>
        <v>Peptide357: E3_5_4_10_mRNA -&gt; E3_5_4_10 | (0.278 * E3_5_4_10_mRNA) - (0.000000278 * E3_5_4_10)</v>
      </c>
    </row>
    <row r="359">
      <c r="A359" s="12">
        <v>358.0</v>
      </c>
      <c r="B359" s="2" t="s">
        <v>25283</v>
      </c>
      <c r="C359" s="2" t="str">
        <f t="shared" si="3"/>
        <v>E3_5_4_16_mRNA</v>
      </c>
      <c r="D359" s="2" t="str">
        <f t="shared" si="4"/>
        <v>E3_5_4_16</v>
      </c>
      <c r="E359" s="2" t="str">
        <f t="shared" si="5"/>
        <v>E3_5_4_16_kcat : 13.7</v>
      </c>
      <c r="F359" s="2" t="str">
        <f t="shared" si="6"/>
        <v>E3_5_4_16_km : 1</v>
      </c>
      <c r="G359" s="2" t="str">
        <f t="shared" ref="G359:H359" si="723">CONCATENATE(C359," : ",C359)</f>
        <v>E3_5_4_16_mRNA : E3_5_4_16_mRNA</v>
      </c>
      <c r="H359" s="2" t="str">
        <f t="shared" si="723"/>
        <v>E3_5_4_16 : E3_5_4_16</v>
      </c>
      <c r="I359" s="2" t="str">
        <f t="shared" ref="I359:J359" si="724">CONCATENATE(C359," : ","0")</f>
        <v>E3_5_4_16_mRNA : 0</v>
      </c>
      <c r="J359" s="2" t="str">
        <f t="shared" si="724"/>
        <v>E3_5_4_16 : 0</v>
      </c>
      <c r="K359" s="2" t="str">
        <f t="shared" si="9"/>
        <v>0.00292 - (0.0093 * E3_5_4_16_mRNA)</v>
      </c>
      <c r="L359" s="2" t="str">
        <f t="shared" si="10"/>
        <v>(0.278 * E3_5_4_16_mRNA) - (0.00000278 * E3_5_4_16)</v>
      </c>
      <c r="M359" s="2" t="str">
        <f t="shared" si="11"/>
        <v>mRNA358: -&gt; E3_5_4_16_mRNA | 0.00292 - (0.0093 * E3_5_4_16_mRNA)</v>
      </c>
      <c r="N359" s="2" t="str">
        <f t="shared" si="12"/>
        <v>Peptide358: E3_5_4_16_mRNA -&gt; E3_5_4_16 | (0.278 * E3_5_4_16_mRNA) - (0.000000278 * E3_5_4_16)</v>
      </c>
    </row>
    <row r="360">
      <c r="A360" s="12">
        <v>359.0</v>
      </c>
      <c r="B360" s="2" t="s">
        <v>25284</v>
      </c>
      <c r="C360" s="2" t="str">
        <f t="shared" si="3"/>
        <v>E3_5_4_19_mRNA</v>
      </c>
      <c r="D360" s="2" t="str">
        <f t="shared" si="4"/>
        <v>E3_5_4_19</v>
      </c>
      <c r="E360" s="2" t="str">
        <f t="shared" si="5"/>
        <v>E3_5_4_19_kcat : 13.7</v>
      </c>
      <c r="F360" s="2" t="str">
        <f t="shared" si="6"/>
        <v>E3_5_4_19_km : 1</v>
      </c>
      <c r="G360" s="2" t="str">
        <f t="shared" ref="G360:H360" si="725">CONCATENATE(C360," : ",C360)</f>
        <v>E3_5_4_19_mRNA : E3_5_4_19_mRNA</v>
      </c>
      <c r="H360" s="2" t="str">
        <f t="shared" si="725"/>
        <v>E3_5_4_19 : E3_5_4_19</v>
      </c>
      <c r="I360" s="2" t="str">
        <f t="shared" ref="I360:J360" si="726">CONCATENATE(C360," : ","0")</f>
        <v>E3_5_4_19_mRNA : 0</v>
      </c>
      <c r="J360" s="2" t="str">
        <f t="shared" si="726"/>
        <v>E3_5_4_19 : 0</v>
      </c>
      <c r="K360" s="2" t="str">
        <f t="shared" si="9"/>
        <v>0.00292 - (0.0093 * E3_5_4_19_mRNA)</v>
      </c>
      <c r="L360" s="2" t="str">
        <f t="shared" si="10"/>
        <v>(0.278 * E3_5_4_19_mRNA) - (0.00000278 * E3_5_4_19)</v>
      </c>
      <c r="M360" s="2" t="str">
        <f t="shared" si="11"/>
        <v>mRNA359: -&gt; E3_5_4_19_mRNA | 0.00292 - (0.0093 * E3_5_4_19_mRNA)</v>
      </c>
      <c r="N360" s="2" t="str">
        <f t="shared" si="12"/>
        <v>Peptide359: E3_5_4_19_mRNA -&gt; E3_5_4_19 | (0.278 * E3_5_4_19_mRNA) - (0.000000278 * E3_5_4_19)</v>
      </c>
    </row>
    <row r="361">
      <c r="A361" s="12">
        <v>360.0</v>
      </c>
      <c r="B361" s="2" t="s">
        <v>25285</v>
      </c>
      <c r="C361" s="2" t="str">
        <f t="shared" si="3"/>
        <v>E3_5_4_25_mRNA</v>
      </c>
      <c r="D361" s="2" t="str">
        <f t="shared" si="4"/>
        <v>E3_5_4_25</v>
      </c>
      <c r="E361" s="2" t="str">
        <f t="shared" si="5"/>
        <v>E3_5_4_25_kcat : 13.7</v>
      </c>
      <c r="F361" s="2" t="str">
        <f t="shared" si="6"/>
        <v>E3_5_4_25_km : 1</v>
      </c>
      <c r="G361" s="2" t="str">
        <f t="shared" ref="G361:H361" si="727">CONCATENATE(C361," : ",C361)</f>
        <v>E3_5_4_25_mRNA : E3_5_4_25_mRNA</v>
      </c>
      <c r="H361" s="2" t="str">
        <f t="shared" si="727"/>
        <v>E3_5_4_25 : E3_5_4_25</v>
      </c>
      <c r="I361" s="2" t="str">
        <f t="shared" ref="I361:J361" si="728">CONCATENATE(C361," : ","0")</f>
        <v>E3_5_4_25_mRNA : 0</v>
      </c>
      <c r="J361" s="2" t="str">
        <f t="shared" si="728"/>
        <v>E3_5_4_25 : 0</v>
      </c>
      <c r="K361" s="2" t="str">
        <f t="shared" si="9"/>
        <v>0.00292 - (0.0093 * E3_5_4_25_mRNA)</v>
      </c>
      <c r="L361" s="2" t="str">
        <f t="shared" si="10"/>
        <v>(0.278 * E3_5_4_25_mRNA) - (0.00000278 * E3_5_4_25)</v>
      </c>
      <c r="M361" s="2" t="str">
        <f t="shared" si="11"/>
        <v>mRNA360: -&gt; E3_5_4_25_mRNA | 0.00292 - (0.0093 * E3_5_4_25_mRNA)</v>
      </c>
      <c r="N361" s="2" t="str">
        <f t="shared" si="12"/>
        <v>Peptide360: E3_5_4_25_mRNA -&gt; E3_5_4_25 | (0.278 * E3_5_4_25_mRNA) - (0.000000278 * E3_5_4_25)</v>
      </c>
    </row>
    <row r="362">
      <c r="A362" s="12">
        <v>361.0</v>
      </c>
      <c r="B362" s="2" t="s">
        <v>25286</v>
      </c>
      <c r="C362" s="2" t="str">
        <f t="shared" si="3"/>
        <v>E3_5_4_26_mRNA</v>
      </c>
      <c r="D362" s="2" t="str">
        <f t="shared" si="4"/>
        <v>E3_5_4_26</v>
      </c>
      <c r="E362" s="2" t="str">
        <f t="shared" si="5"/>
        <v>E3_5_4_26_kcat : 13.7</v>
      </c>
      <c r="F362" s="2" t="str">
        <f t="shared" si="6"/>
        <v>E3_5_4_26_km : 1</v>
      </c>
      <c r="G362" s="2" t="str">
        <f t="shared" ref="G362:H362" si="729">CONCATENATE(C362," : ",C362)</f>
        <v>E3_5_4_26_mRNA : E3_5_4_26_mRNA</v>
      </c>
      <c r="H362" s="2" t="str">
        <f t="shared" si="729"/>
        <v>E3_5_4_26 : E3_5_4_26</v>
      </c>
      <c r="I362" s="2" t="str">
        <f t="shared" ref="I362:J362" si="730">CONCATENATE(C362," : ","0")</f>
        <v>E3_5_4_26_mRNA : 0</v>
      </c>
      <c r="J362" s="2" t="str">
        <f t="shared" si="730"/>
        <v>E3_5_4_26 : 0</v>
      </c>
      <c r="K362" s="2" t="str">
        <f t="shared" si="9"/>
        <v>0.00292 - (0.0093 * E3_5_4_26_mRNA)</v>
      </c>
      <c r="L362" s="2" t="str">
        <f t="shared" si="10"/>
        <v>(0.278 * E3_5_4_26_mRNA) - (0.00000278 * E3_5_4_26)</v>
      </c>
      <c r="M362" s="2" t="str">
        <f t="shared" si="11"/>
        <v>mRNA361: -&gt; E3_5_4_26_mRNA | 0.00292 - (0.0093 * E3_5_4_26_mRNA)</v>
      </c>
      <c r="N362" s="2" t="str">
        <f t="shared" si="12"/>
        <v>Peptide361: E3_5_4_26_mRNA -&gt; E3_5_4_26 | (0.278 * E3_5_4_26_mRNA) - (0.000000278 * E3_5_4_26)</v>
      </c>
    </row>
    <row r="363">
      <c r="A363" s="12">
        <v>362.0</v>
      </c>
      <c r="B363" s="2" t="s">
        <v>25287</v>
      </c>
      <c r="C363" s="2" t="str">
        <f t="shared" si="3"/>
        <v>E3_5_4_33_mRNA</v>
      </c>
      <c r="D363" s="2" t="str">
        <f t="shared" si="4"/>
        <v>E3_5_4_33</v>
      </c>
      <c r="E363" s="2" t="str">
        <f t="shared" si="5"/>
        <v>E3_5_4_33_kcat : 13.7</v>
      </c>
      <c r="F363" s="2" t="str">
        <f t="shared" si="6"/>
        <v>E3_5_4_33_km : 1</v>
      </c>
      <c r="G363" s="2" t="str">
        <f t="shared" ref="G363:H363" si="731">CONCATENATE(C363," : ",C363)</f>
        <v>E3_5_4_33_mRNA : E3_5_4_33_mRNA</v>
      </c>
      <c r="H363" s="2" t="str">
        <f t="shared" si="731"/>
        <v>E3_5_4_33 : E3_5_4_33</v>
      </c>
      <c r="I363" s="2" t="str">
        <f t="shared" ref="I363:J363" si="732">CONCATENATE(C363," : ","0")</f>
        <v>E3_5_4_33_mRNA : 0</v>
      </c>
      <c r="J363" s="2" t="str">
        <f t="shared" si="732"/>
        <v>E3_5_4_33 : 0</v>
      </c>
      <c r="K363" s="2" t="str">
        <f t="shared" si="9"/>
        <v>0.00292 - (0.0093 * E3_5_4_33_mRNA)</v>
      </c>
      <c r="L363" s="2" t="str">
        <f t="shared" si="10"/>
        <v>(0.278 * E3_5_4_33_mRNA) - (0.00000278 * E3_5_4_33)</v>
      </c>
      <c r="M363" s="2" t="str">
        <f t="shared" si="11"/>
        <v>mRNA362: -&gt; E3_5_4_33_mRNA | 0.00292 - (0.0093 * E3_5_4_33_mRNA)</v>
      </c>
      <c r="N363" s="2" t="str">
        <f t="shared" si="12"/>
        <v>Peptide362: E3_5_4_33_mRNA -&gt; E3_5_4_33 | (0.278 * E3_5_4_33_mRNA) - (0.000000278 * E3_5_4_33)</v>
      </c>
    </row>
    <row r="364">
      <c r="A364" s="12">
        <v>363.0</v>
      </c>
      <c r="B364" s="2" t="s">
        <v>25288</v>
      </c>
      <c r="C364" s="2" t="str">
        <f t="shared" si="3"/>
        <v>E3_5_4_5_mRNA</v>
      </c>
      <c r="D364" s="2" t="str">
        <f t="shared" si="4"/>
        <v>E3_5_4_5</v>
      </c>
      <c r="E364" s="2" t="str">
        <f t="shared" si="5"/>
        <v>E3_5_4_5_kcat : 13.7</v>
      </c>
      <c r="F364" s="2" t="str">
        <f t="shared" si="6"/>
        <v>E3_5_4_5_km : 1</v>
      </c>
      <c r="G364" s="2" t="str">
        <f t="shared" ref="G364:H364" si="733">CONCATENATE(C364," : ",C364)</f>
        <v>E3_5_4_5_mRNA : E3_5_4_5_mRNA</v>
      </c>
      <c r="H364" s="2" t="str">
        <f t="shared" si="733"/>
        <v>E3_5_4_5 : E3_5_4_5</v>
      </c>
      <c r="I364" s="2" t="str">
        <f t="shared" ref="I364:J364" si="734">CONCATENATE(C364," : ","0")</f>
        <v>E3_5_4_5_mRNA : 0</v>
      </c>
      <c r="J364" s="2" t="str">
        <f t="shared" si="734"/>
        <v>E3_5_4_5 : 0</v>
      </c>
      <c r="K364" s="2" t="str">
        <f t="shared" si="9"/>
        <v>0.00292 - (0.0093 * E3_5_4_5_mRNA)</v>
      </c>
      <c r="L364" s="2" t="str">
        <f t="shared" si="10"/>
        <v>(0.278 * E3_5_4_5_mRNA) - (0.00000278 * E3_5_4_5)</v>
      </c>
      <c r="M364" s="2" t="str">
        <f t="shared" si="11"/>
        <v>mRNA363: -&gt; E3_5_4_5_mRNA | 0.00292 - (0.0093 * E3_5_4_5_mRNA)</v>
      </c>
      <c r="N364" s="2" t="str">
        <f t="shared" si="12"/>
        <v>Peptide363: E3_5_4_5_mRNA -&gt; E3_5_4_5 | (0.278 * E3_5_4_5_mRNA) - (0.000000278 * E3_5_4_5)</v>
      </c>
    </row>
    <row r="365">
      <c r="A365" s="12">
        <v>364.0</v>
      </c>
      <c r="B365" s="2" t="s">
        <v>25289</v>
      </c>
      <c r="C365" s="2" t="str">
        <f t="shared" si="3"/>
        <v>E3_5_4_9_mRNA</v>
      </c>
      <c r="D365" s="2" t="str">
        <f t="shared" si="4"/>
        <v>E3_5_4_9</v>
      </c>
      <c r="E365" s="2" t="str">
        <f t="shared" si="5"/>
        <v>E3_5_4_9_kcat : 13.7</v>
      </c>
      <c r="F365" s="2" t="str">
        <f t="shared" si="6"/>
        <v>E3_5_4_9_km : 1</v>
      </c>
      <c r="G365" s="2" t="str">
        <f t="shared" ref="G365:H365" si="735">CONCATENATE(C365," : ",C365)</f>
        <v>E3_5_4_9_mRNA : E3_5_4_9_mRNA</v>
      </c>
      <c r="H365" s="2" t="str">
        <f t="shared" si="735"/>
        <v>E3_5_4_9 : E3_5_4_9</v>
      </c>
      <c r="I365" s="2" t="str">
        <f t="shared" ref="I365:J365" si="736">CONCATENATE(C365," : ","0")</f>
        <v>E3_5_4_9_mRNA : 0</v>
      </c>
      <c r="J365" s="2" t="str">
        <f t="shared" si="736"/>
        <v>E3_5_4_9 : 0</v>
      </c>
      <c r="K365" s="2" t="str">
        <f t="shared" si="9"/>
        <v>0.00292 - (0.0093 * E3_5_4_9_mRNA)</v>
      </c>
      <c r="L365" s="2" t="str">
        <f t="shared" si="10"/>
        <v>(0.278 * E3_5_4_9_mRNA) - (0.00000278 * E3_5_4_9)</v>
      </c>
      <c r="M365" s="2" t="str">
        <f t="shared" si="11"/>
        <v>mRNA364: -&gt; E3_5_4_9_mRNA | 0.00292 - (0.0093 * E3_5_4_9_mRNA)</v>
      </c>
      <c r="N365" s="2" t="str">
        <f t="shared" si="12"/>
        <v>Peptide364: E3_5_4_9_mRNA -&gt; E3_5_4_9 | (0.278 * E3_5_4_9_mRNA) - (0.000000278 * E3_5_4_9)</v>
      </c>
    </row>
    <row r="366">
      <c r="A366" s="12">
        <v>365.0</v>
      </c>
      <c r="B366" s="2" t="s">
        <v>25290</v>
      </c>
      <c r="C366" s="2" t="str">
        <f t="shared" si="3"/>
        <v>E3_5_99_6_mRNA</v>
      </c>
      <c r="D366" s="2" t="str">
        <f t="shared" si="4"/>
        <v>E3_5_99_6</v>
      </c>
      <c r="E366" s="2" t="str">
        <f t="shared" si="5"/>
        <v>E3_5_99_6_kcat : 13.7</v>
      </c>
      <c r="F366" s="2" t="str">
        <f t="shared" si="6"/>
        <v>E3_5_99_6_km : 1</v>
      </c>
      <c r="G366" s="2" t="str">
        <f t="shared" ref="G366:H366" si="737">CONCATENATE(C366," : ",C366)</f>
        <v>E3_5_99_6_mRNA : E3_5_99_6_mRNA</v>
      </c>
      <c r="H366" s="2" t="str">
        <f t="shared" si="737"/>
        <v>E3_5_99_6 : E3_5_99_6</v>
      </c>
      <c r="I366" s="2" t="str">
        <f t="shared" ref="I366:J366" si="738">CONCATENATE(C366," : ","0")</f>
        <v>E3_5_99_6_mRNA : 0</v>
      </c>
      <c r="J366" s="2" t="str">
        <f t="shared" si="738"/>
        <v>E3_5_99_6 : 0</v>
      </c>
      <c r="K366" s="2" t="str">
        <f t="shared" si="9"/>
        <v>0.00292 - (0.0093 * E3_5_99_6_mRNA)</v>
      </c>
      <c r="L366" s="2" t="str">
        <f t="shared" si="10"/>
        <v>(0.278 * E3_5_99_6_mRNA) - (0.00000278 * E3_5_99_6)</v>
      </c>
      <c r="M366" s="2" t="str">
        <f t="shared" si="11"/>
        <v>mRNA365: -&gt; E3_5_99_6_mRNA | 0.00292 - (0.0093 * E3_5_99_6_mRNA)</v>
      </c>
      <c r="N366" s="2" t="str">
        <f t="shared" si="12"/>
        <v>Peptide365: E3_5_99_6_mRNA -&gt; E3_5_99_6 | (0.278 * E3_5_99_6_mRNA) - (0.000000278 * E3_5_99_6)</v>
      </c>
    </row>
    <row r="367">
      <c r="A367" s="12">
        <v>366.0</v>
      </c>
      <c r="B367" s="2" t="s">
        <v>25291</v>
      </c>
      <c r="C367" s="2" t="str">
        <f t="shared" si="3"/>
        <v>E3_6_1_1_mRNA</v>
      </c>
      <c r="D367" s="2" t="str">
        <f t="shared" si="4"/>
        <v>E3_6_1_1</v>
      </c>
      <c r="E367" s="2" t="str">
        <f t="shared" si="5"/>
        <v>E3_6_1_1_kcat : 13.7</v>
      </c>
      <c r="F367" s="2" t="str">
        <f t="shared" si="6"/>
        <v>E3_6_1_1_km : 1</v>
      </c>
      <c r="G367" s="2" t="str">
        <f t="shared" ref="G367:H367" si="739">CONCATENATE(C367," : ",C367)</f>
        <v>E3_6_1_1_mRNA : E3_6_1_1_mRNA</v>
      </c>
      <c r="H367" s="2" t="str">
        <f t="shared" si="739"/>
        <v>E3_6_1_1 : E3_6_1_1</v>
      </c>
      <c r="I367" s="2" t="str">
        <f t="shared" ref="I367:J367" si="740">CONCATENATE(C367," : ","0")</f>
        <v>E3_6_1_1_mRNA : 0</v>
      </c>
      <c r="J367" s="2" t="str">
        <f t="shared" si="740"/>
        <v>E3_6_1_1 : 0</v>
      </c>
      <c r="K367" s="2" t="str">
        <f t="shared" si="9"/>
        <v>0.00292 - (0.0093 * E3_6_1_1_mRNA)</v>
      </c>
      <c r="L367" s="2" t="str">
        <f t="shared" si="10"/>
        <v>(0.278 * E3_6_1_1_mRNA) - (0.00000278 * E3_6_1_1)</v>
      </c>
      <c r="M367" s="2" t="str">
        <f t="shared" si="11"/>
        <v>mRNA366: -&gt; E3_6_1_1_mRNA | 0.00292 - (0.0093 * E3_6_1_1_mRNA)</v>
      </c>
      <c r="N367" s="2" t="str">
        <f t="shared" si="12"/>
        <v>Peptide366: E3_6_1_1_mRNA -&gt; E3_6_1_1 | (0.278 * E3_6_1_1_mRNA) - (0.000000278 * E3_6_1_1)</v>
      </c>
    </row>
    <row r="368">
      <c r="A368" s="12">
        <v>367.0</v>
      </c>
      <c r="B368" s="2" t="s">
        <v>25292</v>
      </c>
      <c r="C368" s="2" t="str">
        <f t="shared" si="3"/>
        <v>E3_6_1_27_mRNA</v>
      </c>
      <c r="D368" s="2" t="str">
        <f t="shared" si="4"/>
        <v>E3_6_1_27</v>
      </c>
      <c r="E368" s="2" t="str">
        <f t="shared" si="5"/>
        <v>E3_6_1_27_kcat : 13.7</v>
      </c>
      <c r="F368" s="2" t="str">
        <f t="shared" si="6"/>
        <v>E3_6_1_27_km : 1</v>
      </c>
      <c r="G368" s="2" t="str">
        <f t="shared" ref="G368:H368" si="741">CONCATENATE(C368," : ",C368)</f>
        <v>E3_6_1_27_mRNA : E3_6_1_27_mRNA</v>
      </c>
      <c r="H368" s="2" t="str">
        <f t="shared" si="741"/>
        <v>E3_6_1_27 : E3_6_1_27</v>
      </c>
      <c r="I368" s="2" t="str">
        <f t="shared" ref="I368:J368" si="742">CONCATENATE(C368," : ","0")</f>
        <v>E3_6_1_27_mRNA : 0</v>
      </c>
      <c r="J368" s="2" t="str">
        <f t="shared" si="742"/>
        <v>E3_6_1_27 : 0</v>
      </c>
      <c r="K368" s="2" t="str">
        <f t="shared" si="9"/>
        <v>0.00292 - (0.0093 * E3_6_1_27_mRNA)</v>
      </c>
      <c r="L368" s="2" t="str">
        <f t="shared" si="10"/>
        <v>(0.278 * E3_6_1_27_mRNA) - (0.00000278 * E3_6_1_27)</v>
      </c>
      <c r="M368" s="2" t="str">
        <f t="shared" si="11"/>
        <v>mRNA367: -&gt; E3_6_1_27_mRNA | 0.00292 - (0.0093 * E3_6_1_27_mRNA)</v>
      </c>
      <c r="N368" s="2" t="str">
        <f t="shared" si="12"/>
        <v>Peptide367: E3_6_1_27_mRNA -&gt; E3_6_1_27 | (0.278 * E3_6_1_27_mRNA) - (0.000000278 * E3_6_1_27)</v>
      </c>
    </row>
    <row r="369">
      <c r="A369" s="12">
        <v>368.0</v>
      </c>
      <c r="B369" s="2" t="s">
        <v>25293</v>
      </c>
      <c r="C369" s="2" t="str">
        <f t="shared" si="3"/>
        <v>E3_6_1_31_mRNA</v>
      </c>
      <c r="D369" s="2" t="str">
        <f t="shared" si="4"/>
        <v>E3_6_1_31</v>
      </c>
      <c r="E369" s="2" t="str">
        <f t="shared" si="5"/>
        <v>E3_6_1_31_kcat : 13.7</v>
      </c>
      <c r="F369" s="2" t="str">
        <f t="shared" si="6"/>
        <v>E3_6_1_31_km : 1</v>
      </c>
      <c r="G369" s="2" t="str">
        <f t="shared" ref="G369:H369" si="743">CONCATENATE(C369," : ",C369)</f>
        <v>E3_6_1_31_mRNA : E3_6_1_31_mRNA</v>
      </c>
      <c r="H369" s="2" t="str">
        <f t="shared" si="743"/>
        <v>E3_6_1_31 : E3_6_1_31</v>
      </c>
      <c r="I369" s="2" t="str">
        <f t="shared" ref="I369:J369" si="744">CONCATENATE(C369," : ","0")</f>
        <v>E3_6_1_31_mRNA : 0</v>
      </c>
      <c r="J369" s="2" t="str">
        <f t="shared" si="744"/>
        <v>E3_6_1_31 : 0</v>
      </c>
      <c r="K369" s="2" t="str">
        <f t="shared" si="9"/>
        <v>0.00292 - (0.0093 * E3_6_1_31_mRNA)</v>
      </c>
      <c r="L369" s="2" t="str">
        <f t="shared" si="10"/>
        <v>(0.278 * E3_6_1_31_mRNA) - (0.00000278 * E3_6_1_31)</v>
      </c>
      <c r="M369" s="2" t="str">
        <f t="shared" si="11"/>
        <v>mRNA368: -&gt; E3_6_1_31_mRNA | 0.00292 - (0.0093 * E3_6_1_31_mRNA)</v>
      </c>
      <c r="N369" s="2" t="str">
        <f t="shared" si="12"/>
        <v>Peptide368: E3_6_1_31_mRNA -&gt; E3_6_1_31 | (0.278 * E3_6_1_31_mRNA) - (0.000000278 * E3_6_1_31)</v>
      </c>
    </row>
    <row r="370">
      <c r="A370" s="12">
        <v>369.0</v>
      </c>
      <c r="B370" s="2" t="s">
        <v>25294</v>
      </c>
      <c r="C370" s="2" t="str">
        <f t="shared" si="3"/>
        <v>E3_6_1_41_mRNA</v>
      </c>
      <c r="D370" s="2" t="str">
        <f t="shared" si="4"/>
        <v>E3_6_1_41</v>
      </c>
      <c r="E370" s="2" t="str">
        <f t="shared" si="5"/>
        <v>E3_6_1_41_kcat : 13.7</v>
      </c>
      <c r="F370" s="2" t="str">
        <f t="shared" si="6"/>
        <v>E3_6_1_41_km : 1</v>
      </c>
      <c r="G370" s="2" t="str">
        <f t="shared" ref="G370:H370" si="745">CONCATENATE(C370," : ",C370)</f>
        <v>E3_6_1_41_mRNA : E3_6_1_41_mRNA</v>
      </c>
      <c r="H370" s="2" t="str">
        <f t="shared" si="745"/>
        <v>E3_6_1_41 : E3_6_1_41</v>
      </c>
      <c r="I370" s="2" t="str">
        <f t="shared" ref="I370:J370" si="746">CONCATENATE(C370," : ","0")</f>
        <v>E3_6_1_41_mRNA : 0</v>
      </c>
      <c r="J370" s="2" t="str">
        <f t="shared" si="746"/>
        <v>E3_6_1_41 : 0</v>
      </c>
      <c r="K370" s="2" t="str">
        <f t="shared" si="9"/>
        <v>0.00292 - (0.0093 * E3_6_1_41_mRNA)</v>
      </c>
      <c r="L370" s="2" t="str">
        <f t="shared" si="10"/>
        <v>(0.278 * E3_6_1_41_mRNA) - (0.00000278 * E3_6_1_41)</v>
      </c>
      <c r="M370" s="2" t="str">
        <f t="shared" si="11"/>
        <v>mRNA369: -&gt; E3_6_1_41_mRNA | 0.00292 - (0.0093 * E3_6_1_41_mRNA)</v>
      </c>
      <c r="N370" s="2" t="str">
        <f t="shared" si="12"/>
        <v>Peptide369: E3_6_1_41_mRNA -&gt; E3_6_1_41 | (0.278 * E3_6_1_41_mRNA) - (0.000000278 * E3_6_1_41)</v>
      </c>
    </row>
    <row r="371">
      <c r="A371" s="12">
        <v>370.0</v>
      </c>
      <c r="B371" s="2" t="s">
        <v>25295</v>
      </c>
      <c r="C371" s="2" t="str">
        <f t="shared" si="3"/>
        <v>E3_6_1_66_mRNA</v>
      </c>
      <c r="D371" s="2" t="str">
        <f t="shared" si="4"/>
        <v>E3_6_1_66</v>
      </c>
      <c r="E371" s="2" t="str">
        <f t="shared" si="5"/>
        <v>E3_6_1_66_kcat : 13.7</v>
      </c>
      <c r="F371" s="2" t="str">
        <f t="shared" si="6"/>
        <v>E3_6_1_66_km : 1</v>
      </c>
      <c r="G371" s="2" t="str">
        <f t="shared" ref="G371:H371" si="747">CONCATENATE(C371," : ",C371)</f>
        <v>E3_6_1_66_mRNA : E3_6_1_66_mRNA</v>
      </c>
      <c r="H371" s="2" t="str">
        <f t="shared" si="747"/>
        <v>E3_6_1_66 : E3_6_1_66</v>
      </c>
      <c r="I371" s="2" t="str">
        <f t="shared" ref="I371:J371" si="748">CONCATENATE(C371," : ","0")</f>
        <v>E3_6_1_66_mRNA : 0</v>
      </c>
      <c r="J371" s="2" t="str">
        <f t="shared" si="748"/>
        <v>E3_6_1_66 : 0</v>
      </c>
      <c r="K371" s="2" t="str">
        <f t="shared" si="9"/>
        <v>0.00292 - (0.0093 * E3_6_1_66_mRNA)</v>
      </c>
      <c r="L371" s="2" t="str">
        <f t="shared" si="10"/>
        <v>(0.278 * E3_6_1_66_mRNA) - (0.00000278 * E3_6_1_66)</v>
      </c>
      <c r="M371" s="2" t="str">
        <f t="shared" si="11"/>
        <v>mRNA370: -&gt; E3_6_1_66_mRNA | 0.00292 - (0.0093 * E3_6_1_66_mRNA)</v>
      </c>
      <c r="N371" s="2" t="str">
        <f t="shared" si="12"/>
        <v>Peptide370: E3_6_1_66_mRNA -&gt; E3_6_1_66 | (0.278 * E3_6_1_66_mRNA) - (0.000000278 * E3_6_1_66)</v>
      </c>
    </row>
    <row r="372">
      <c r="A372" s="12">
        <v>371.0</v>
      </c>
      <c r="B372" s="2" t="s">
        <v>25296</v>
      </c>
      <c r="C372" s="2" t="str">
        <f t="shared" si="3"/>
        <v>E3_6_1_9_mRNA</v>
      </c>
      <c r="D372" s="2" t="str">
        <f t="shared" si="4"/>
        <v>E3_6_1_9</v>
      </c>
      <c r="E372" s="2" t="str">
        <f t="shared" si="5"/>
        <v>E3_6_1_9_kcat : 13.7</v>
      </c>
      <c r="F372" s="2" t="str">
        <f t="shared" si="6"/>
        <v>E3_6_1_9_km : 1</v>
      </c>
      <c r="G372" s="2" t="str">
        <f t="shared" ref="G372:H372" si="749">CONCATENATE(C372," : ",C372)</f>
        <v>E3_6_1_9_mRNA : E3_6_1_9_mRNA</v>
      </c>
      <c r="H372" s="2" t="str">
        <f t="shared" si="749"/>
        <v>E3_6_1_9 : E3_6_1_9</v>
      </c>
      <c r="I372" s="2" t="str">
        <f t="shared" ref="I372:J372" si="750">CONCATENATE(C372," : ","0")</f>
        <v>E3_6_1_9_mRNA : 0</v>
      </c>
      <c r="J372" s="2" t="str">
        <f t="shared" si="750"/>
        <v>E3_6_1_9 : 0</v>
      </c>
      <c r="K372" s="2" t="str">
        <f t="shared" si="9"/>
        <v>0.00292 - (0.0093 * E3_6_1_9_mRNA)</v>
      </c>
      <c r="L372" s="2" t="str">
        <f t="shared" si="10"/>
        <v>(0.278 * E3_6_1_9_mRNA) - (0.00000278 * E3_6_1_9)</v>
      </c>
      <c r="M372" s="2" t="str">
        <f t="shared" si="11"/>
        <v>mRNA371: -&gt; E3_6_1_9_mRNA | 0.00292 - (0.0093 * E3_6_1_9_mRNA)</v>
      </c>
      <c r="N372" s="2" t="str">
        <f t="shared" si="12"/>
        <v>Peptide371: E3_6_1_9_mRNA -&gt; E3_6_1_9 | (0.278 * E3_6_1_9_mRNA) - (0.000000278 * E3_6_1_9)</v>
      </c>
    </row>
    <row r="373">
      <c r="A373" s="12">
        <v>372.0</v>
      </c>
      <c r="B373" s="2" t="s">
        <v>25297</v>
      </c>
      <c r="C373" s="2" t="str">
        <f t="shared" si="3"/>
        <v>E3_6_4_12_mRNA</v>
      </c>
      <c r="D373" s="2" t="str">
        <f t="shared" si="4"/>
        <v>E3_6_4_12</v>
      </c>
      <c r="E373" s="2" t="str">
        <f t="shared" si="5"/>
        <v>E3_6_4_12_kcat : 13.7</v>
      </c>
      <c r="F373" s="2" t="str">
        <f t="shared" si="6"/>
        <v>E3_6_4_12_km : 1</v>
      </c>
      <c r="G373" s="2" t="str">
        <f t="shared" ref="G373:H373" si="751">CONCATENATE(C373," : ",C373)</f>
        <v>E3_6_4_12_mRNA : E3_6_4_12_mRNA</v>
      </c>
      <c r="H373" s="2" t="str">
        <f t="shared" si="751"/>
        <v>E3_6_4_12 : E3_6_4_12</v>
      </c>
      <c r="I373" s="2" t="str">
        <f t="shared" ref="I373:J373" si="752">CONCATENATE(C373," : ","0")</f>
        <v>E3_6_4_12_mRNA : 0</v>
      </c>
      <c r="J373" s="2" t="str">
        <f t="shared" si="752"/>
        <v>E3_6_4_12 : 0</v>
      </c>
      <c r="K373" s="2" t="str">
        <f t="shared" si="9"/>
        <v>0.00292 - (0.0093 * E3_6_4_12_mRNA)</v>
      </c>
      <c r="L373" s="2" t="str">
        <f t="shared" si="10"/>
        <v>(0.278 * E3_6_4_12_mRNA) - (0.00000278 * E3_6_4_12)</v>
      </c>
      <c r="M373" s="2" t="str">
        <f t="shared" si="11"/>
        <v>mRNA372: -&gt; E3_6_4_12_mRNA | 0.00292 - (0.0093 * E3_6_4_12_mRNA)</v>
      </c>
      <c r="N373" s="2" t="str">
        <f t="shared" si="12"/>
        <v>Peptide372: E3_6_4_12_mRNA -&gt; E3_6_4_12 | (0.278 * E3_6_4_12_mRNA) - (0.000000278 * E3_6_4_12)</v>
      </c>
    </row>
    <row r="374">
      <c r="A374" s="12">
        <v>373.0</v>
      </c>
      <c r="B374" s="2" t="s">
        <v>25298</v>
      </c>
      <c r="C374" s="2" t="str">
        <f t="shared" si="3"/>
        <v>E3_7_1_3_mRNA</v>
      </c>
      <c r="D374" s="2" t="str">
        <f t="shared" si="4"/>
        <v>E3_7_1_3</v>
      </c>
      <c r="E374" s="2" t="str">
        <f t="shared" si="5"/>
        <v>E3_7_1_3_kcat : 13.7</v>
      </c>
      <c r="F374" s="2" t="str">
        <f t="shared" si="6"/>
        <v>E3_7_1_3_km : 1</v>
      </c>
      <c r="G374" s="2" t="str">
        <f t="shared" ref="G374:H374" si="753">CONCATENATE(C374," : ",C374)</f>
        <v>E3_7_1_3_mRNA : E3_7_1_3_mRNA</v>
      </c>
      <c r="H374" s="2" t="str">
        <f t="shared" si="753"/>
        <v>E3_7_1_3 : E3_7_1_3</v>
      </c>
      <c r="I374" s="2" t="str">
        <f t="shared" ref="I374:J374" si="754">CONCATENATE(C374," : ","0")</f>
        <v>E3_7_1_3_mRNA : 0</v>
      </c>
      <c r="J374" s="2" t="str">
        <f t="shared" si="754"/>
        <v>E3_7_1_3 : 0</v>
      </c>
      <c r="K374" s="2" t="str">
        <f t="shared" si="9"/>
        <v>0.00292 - (0.0093 * E3_7_1_3_mRNA)</v>
      </c>
      <c r="L374" s="2" t="str">
        <f t="shared" si="10"/>
        <v>(0.278 * E3_7_1_3_mRNA) - (0.00000278 * E3_7_1_3)</v>
      </c>
      <c r="M374" s="2" t="str">
        <f t="shared" si="11"/>
        <v>mRNA373: -&gt; E3_7_1_3_mRNA | 0.00292 - (0.0093 * E3_7_1_3_mRNA)</v>
      </c>
      <c r="N374" s="2" t="str">
        <f t="shared" si="12"/>
        <v>Peptide373: E3_7_1_3_mRNA -&gt; E3_7_1_3 | (0.278 * E3_7_1_3_mRNA) - (0.000000278 * E3_7_1_3)</v>
      </c>
    </row>
    <row r="375">
      <c r="A375" s="12">
        <v>374.0</v>
      </c>
      <c r="B375" s="2" t="s">
        <v>25299</v>
      </c>
      <c r="C375" s="2" t="str">
        <f t="shared" si="3"/>
        <v>E4_1_1_11_mRNA</v>
      </c>
      <c r="D375" s="2" t="str">
        <f t="shared" si="4"/>
        <v>E4_1_1_11</v>
      </c>
      <c r="E375" s="2" t="str">
        <f t="shared" si="5"/>
        <v>E4_1_1_11_kcat : 13.7</v>
      </c>
      <c r="F375" s="2" t="str">
        <f t="shared" si="6"/>
        <v>E4_1_1_11_km : 1</v>
      </c>
      <c r="G375" s="2" t="str">
        <f t="shared" ref="G375:H375" si="755">CONCATENATE(C375," : ",C375)</f>
        <v>E4_1_1_11_mRNA : E4_1_1_11_mRNA</v>
      </c>
      <c r="H375" s="2" t="str">
        <f t="shared" si="755"/>
        <v>E4_1_1_11 : E4_1_1_11</v>
      </c>
      <c r="I375" s="2" t="str">
        <f t="shared" ref="I375:J375" si="756">CONCATENATE(C375," : ","0")</f>
        <v>E4_1_1_11_mRNA : 0</v>
      </c>
      <c r="J375" s="2" t="str">
        <f t="shared" si="756"/>
        <v>E4_1_1_11 : 0</v>
      </c>
      <c r="K375" s="2" t="str">
        <f t="shared" si="9"/>
        <v>0.00292 - (0.0093 * E4_1_1_11_mRNA)</v>
      </c>
      <c r="L375" s="2" t="str">
        <f t="shared" si="10"/>
        <v>(0.278 * E4_1_1_11_mRNA) - (0.00000278 * E4_1_1_11)</v>
      </c>
      <c r="M375" s="2" t="str">
        <f t="shared" si="11"/>
        <v>mRNA374: -&gt; E4_1_1_11_mRNA | 0.00292 - (0.0093 * E4_1_1_11_mRNA)</v>
      </c>
      <c r="N375" s="2" t="str">
        <f t="shared" si="12"/>
        <v>Peptide374: E4_1_1_11_mRNA -&gt; E4_1_1_11 | (0.278 * E4_1_1_11_mRNA) - (0.000000278 * E4_1_1_11)</v>
      </c>
    </row>
    <row r="376">
      <c r="A376" s="12">
        <v>375.0</v>
      </c>
      <c r="B376" s="2" t="s">
        <v>25300</v>
      </c>
      <c r="C376" s="2" t="str">
        <f t="shared" si="3"/>
        <v>E4_1_1_19_mRNA</v>
      </c>
      <c r="D376" s="2" t="str">
        <f t="shared" si="4"/>
        <v>E4_1_1_19</v>
      </c>
      <c r="E376" s="2" t="str">
        <f t="shared" si="5"/>
        <v>E4_1_1_19_kcat : 13.7</v>
      </c>
      <c r="F376" s="2" t="str">
        <f t="shared" si="6"/>
        <v>E4_1_1_19_km : 1</v>
      </c>
      <c r="G376" s="2" t="str">
        <f t="shared" ref="G376:H376" si="757">CONCATENATE(C376," : ",C376)</f>
        <v>E4_1_1_19_mRNA : E4_1_1_19_mRNA</v>
      </c>
      <c r="H376" s="2" t="str">
        <f t="shared" si="757"/>
        <v>E4_1_1_19 : E4_1_1_19</v>
      </c>
      <c r="I376" s="2" t="str">
        <f t="shared" ref="I376:J376" si="758">CONCATENATE(C376," : ","0")</f>
        <v>E4_1_1_19_mRNA : 0</v>
      </c>
      <c r="J376" s="2" t="str">
        <f t="shared" si="758"/>
        <v>E4_1_1_19 : 0</v>
      </c>
      <c r="K376" s="2" t="str">
        <f t="shared" si="9"/>
        <v>0.00292 - (0.0093 * E4_1_1_19_mRNA)</v>
      </c>
      <c r="L376" s="2" t="str">
        <f t="shared" si="10"/>
        <v>(0.278 * E4_1_1_19_mRNA) - (0.00000278 * E4_1_1_19)</v>
      </c>
      <c r="M376" s="2" t="str">
        <f t="shared" si="11"/>
        <v>mRNA375: -&gt; E4_1_1_19_mRNA | 0.00292 - (0.0093 * E4_1_1_19_mRNA)</v>
      </c>
      <c r="N376" s="2" t="str">
        <f t="shared" si="12"/>
        <v>Peptide375: E4_1_1_19_mRNA -&gt; E4_1_1_19 | (0.278 * E4_1_1_19_mRNA) - (0.000000278 * E4_1_1_19)</v>
      </c>
    </row>
    <row r="377">
      <c r="A377" s="12">
        <v>376.0</v>
      </c>
      <c r="B377" s="2" t="s">
        <v>25301</v>
      </c>
      <c r="C377" s="2" t="str">
        <f t="shared" si="3"/>
        <v>E4_1_1_20_mRNA</v>
      </c>
      <c r="D377" s="2" t="str">
        <f t="shared" si="4"/>
        <v>E4_1_1_20</v>
      </c>
      <c r="E377" s="2" t="str">
        <f t="shared" si="5"/>
        <v>E4_1_1_20_kcat : 13.7</v>
      </c>
      <c r="F377" s="2" t="str">
        <f t="shared" si="6"/>
        <v>E4_1_1_20_km : 1</v>
      </c>
      <c r="G377" s="2" t="str">
        <f t="shared" ref="G377:H377" si="759">CONCATENATE(C377," : ",C377)</f>
        <v>E4_1_1_20_mRNA : E4_1_1_20_mRNA</v>
      </c>
      <c r="H377" s="2" t="str">
        <f t="shared" si="759"/>
        <v>E4_1_1_20 : E4_1_1_20</v>
      </c>
      <c r="I377" s="2" t="str">
        <f t="shared" ref="I377:J377" si="760">CONCATENATE(C377," : ","0")</f>
        <v>E4_1_1_20_mRNA : 0</v>
      </c>
      <c r="J377" s="2" t="str">
        <f t="shared" si="760"/>
        <v>E4_1_1_20 : 0</v>
      </c>
      <c r="K377" s="2" t="str">
        <f t="shared" si="9"/>
        <v>0.00292 - (0.0093 * E4_1_1_20_mRNA)</v>
      </c>
      <c r="L377" s="2" t="str">
        <f t="shared" si="10"/>
        <v>(0.278 * E4_1_1_20_mRNA) - (0.00000278 * E4_1_1_20)</v>
      </c>
      <c r="M377" s="2" t="str">
        <f t="shared" si="11"/>
        <v>mRNA376: -&gt; E4_1_1_20_mRNA | 0.00292 - (0.0093 * E4_1_1_20_mRNA)</v>
      </c>
      <c r="N377" s="2" t="str">
        <f t="shared" si="12"/>
        <v>Peptide376: E4_1_1_20_mRNA -&gt; E4_1_1_20 | (0.278 * E4_1_1_20_mRNA) - (0.000000278 * E4_1_1_20)</v>
      </c>
    </row>
    <row r="378">
      <c r="A378" s="12">
        <v>377.0</v>
      </c>
      <c r="B378" s="2" t="s">
        <v>25302</v>
      </c>
      <c r="C378" s="2" t="str">
        <f t="shared" si="3"/>
        <v>E4_1_1_21_mRNA</v>
      </c>
      <c r="D378" s="2" t="str">
        <f t="shared" si="4"/>
        <v>E4_1_1_21</v>
      </c>
      <c r="E378" s="2" t="str">
        <f t="shared" si="5"/>
        <v>E4_1_1_21_kcat : 13.7</v>
      </c>
      <c r="F378" s="2" t="str">
        <f t="shared" si="6"/>
        <v>E4_1_1_21_km : 1</v>
      </c>
      <c r="G378" s="2" t="str">
        <f t="shared" ref="G378:H378" si="761">CONCATENATE(C378," : ",C378)</f>
        <v>E4_1_1_21_mRNA : E4_1_1_21_mRNA</v>
      </c>
      <c r="H378" s="2" t="str">
        <f t="shared" si="761"/>
        <v>E4_1_1_21 : E4_1_1_21</v>
      </c>
      <c r="I378" s="2" t="str">
        <f t="shared" ref="I378:J378" si="762">CONCATENATE(C378," : ","0")</f>
        <v>E4_1_1_21_mRNA : 0</v>
      </c>
      <c r="J378" s="2" t="str">
        <f t="shared" si="762"/>
        <v>E4_1_1_21 : 0</v>
      </c>
      <c r="K378" s="2" t="str">
        <f t="shared" si="9"/>
        <v>0.00292 - (0.0093 * E4_1_1_21_mRNA)</v>
      </c>
      <c r="L378" s="2" t="str">
        <f t="shared" si="10"/>
        <v>(0.278 * E4_1_1_21_mRNA) - (0.00000278 * E4_1_1_21)</v>
      </c>
      <c r="M378" s="2" t="str">
        <f t="shared" si="11"/>
        <v>mRNA377: -&gt; E4_1_1_21_mRNA | 0.00292 - (0.0093 * E4_1_1_21_mRNA)</v>
      </c>
      <c r="N378" s="2" t="str">
        <f t="shared" si="12"/>
        <v>Peptide377: E4_1_1_21_mRNA -&gt; E4_1_1_21 | (0.278 * E4_1_1_21_mRNA) - (0.000000278 * E4_1_1_21)</v>
      </c>
    </row>
    <row r="379">
      <c r="A379" s="12">
        <v>378.0</v>
      </c>
      <c r="B379" s="2" t="s">
        <v>25303</v>
      </c>
      <c r="C379" s="2" t="str">
        <f t="shared" si="3"/>
        <v>E4_1_1_23_mRNA</v>
      </c>
      <c r="D379" s="2" t="str">
        <f t="shared" si="4"/>
        <v>E4_1_1_23</v>
      </c>
      <c r="E379" s="2" t="str">
        <f t="shared" si="5"/>
        <v>E4_1_1_23_kcat : 13.7</v>
      </c>
      <c r="F379" s="2" t="str">
        <f t="shared" si="6"/>
        <v>E4_1_1_23_km : 1</v>
      </c>
      <c r="G379" s="2" t="str">
        <f t="shared" ref="G379:H379" si="763">CONCATENATE(C379," : ",C379)</f>
        <v>E4_1_1_23_mRNA : E4_1_1_23_mRNA</v>
      </c>
      <c r="H379" s="2" t="str">
        <f t="shared" si="763"/>
        <v>E4_1_1_23 : E4_1_1_23</v>
      </c>
      <c r="I379" s="2" t="str">
        <f t="shared" ref="I379:J379" si="764">CONCATENATE(C379," : ","0")</f>
        <v>E4_1_1_23_mRNA : 0</v>
      </c>
      <c r="J379" s="2" t="str">
        <f t="shared" si="764"/>
        <v>E4_1_1_23 : 0</v>
      </c>
      <c r="K379" s="2" t="str">
        <f t="shared" si="9"/>
        <v>0.00292 - (0.0093 * E4_1_1_23_mRNA)</v>
      </c>
      <c r="L379" s="2" t="str">
        <f t="shared" si="10"/>
        <v>(0.278 * E4_1_1_23_mRNA) - (0.00000278 * E4_1_1_23)</v>
      </c>
      <c r="M379" s="2" t="str">
        <f t="shared" si="11"/>
        <v>mRNA378: -&gt; E4_1_1_23_mRNA | 0.00292 - (0.0093 * E4_1_1_23_mRNA)</v>
      </c>
      <c r="N379" s="2" t="str">
        <f t="shared" si="12"/>
        <v>Peptide378: E4_1_1_23_mRNA -&gt; E4_1_1_23 | (0.278 * E4_1_1_23_mRNA) - (0.000000278 * E4_1_1_23)</v>
      </c>
    </row>
    <row r="380">
      <c r="A380" s="12">
        <v>379.0</v>
      </c>
      <c r="B380" s="2" t="s">
        <v>25304</v>
      </c>
      <c r="C380" s="2" t="str">
        <f t="shared" si="3"/>
        <v>E4_1_1_36_mRNA</v>
      </c>
      <c r="D380" s="2" t="str">
        <f t="shared" si="4"/>
        <v>E4_1_1_36</v>
      </c>
      <c r="E380" s="2" t="str">
        <f t="shared" si="5"/>
        <v>E4_1_1_36_kcat : 13.7</v>
      </c>
      <c r="F380" s="2" t="str">
        <f t="shared" si="6"/>
        <v>E4_1_1_36_km : 1</v>
      </c>
      <c r="G380" s="2" t="str">
        <f t="shared" ref="G380:H380" si="765">CONCATENATE(C380," : ",C380)</f>
        <v>E4_1_1_36_mRNA : E4_1_1_36_mRNA</v>
      </c>
      <c r="H380" s="2" t="str">
        <f t="shared" si="765"/>
        <v>E4_1_1_36 : E4_1_1_36</v>
      </c>
      <c r="I380" s="2" t="str">
        <f t="shared" ref="I380:J380" si="766">CONCATENATE(C380," : ","0")</f>
        <v>E4_1_1_36_mRNA : 0</v>
      </c>
      <c r="J380" s="2" t="str">
        <f t="shared" si="766"/>
        <v>E4_1_1_36 : 0</v>
      </c>
      <c r="K380" s="2" t="str">
        <f t="shared" si="9"/>
        <v>0.00292 - (0.0093 * E4_1_1_36_mRNA)</v>
      </c>
      <c r="L380" s="2" t="str">
        <f t="shared" si="10"/>
        <v>(0.278 * E4_1_1_36_mRNA) - (0.00000278 * E4_1_1_36)</v>
      </c>
      <c r="M380" s="2" t="str">
        <f t="shared" si="11"/>
        <v>mRNA379: -&gt; E4_1_1_36_mRNA | 0.00292 - (0.0093 * E4_1_1_36_mRNA)</v>
      </c>
      <c r="N380" s="2" t="str">
        <f t="shared" si="12"/>
        <v>Peptide379: E4_1_1_36_mRNA -&gt; E4_1_1_36 | (0.278 * E4_1_1_36_mRNA) - (0.000000278 * E4_1_1_36)</v>
      </c>
    </row>
    <row r="381">
      <c r="A381" s="12">
        <v>380.0</v>
      </c>
      <c r="B381" s="2" t="s">
        <v>25305</v>
      </c>
      <c r="C381" s="2" t="str">
        <f t="shared" si="3"/>
        <v>E4_1_1_37_mRNA</v>
      </c>
      <c r="D381" s="2" t="str">
        <f t="shared" si="4"/>
        <v>E4_1_1_37</v>
      </c>
      <c r="E381" s="2" t="str">
        <f t="shared" si="5"/>
        <v>E4_1_1_37_kcat : 13.7</v>
      </c>
      <c r="F381" s="2" t="str">
        <f t="shared" si="6"/>
        <v>E4_1_1_37_km : 1</v>
      </c>
      <c r="G381" s="2" t="str">
        <f t="shared" ref="G381:H381" si="767">CONCATENATE(C381," : ",C381)</f>
        <v>E4_1_1_37_mRNA : E4_1_1_37_mRNA</v>
      </c>
      <c r="H381" s="2" t="str">
        <f t="shared" si="767"/>
        <v>E4_1_1_37 : E4_1_1_37</v>
      </c>
      <c r="I381" s="2" t="str">
        <f t="shared" ref="I381:J381" si="768">CONCATENATE(C381," : ","0")</f>
        <v>E4_1_1_37_mRNA : 0</v>
      </c>
      <c r="J381" s="2" t="str">
        <f t="shared" si="768"/>
        <v>E4_1_1_37 : 0</v>
      </c>
      <c r="K381" s="2" t="str">
        <f t="shared" si="9"/>
        <v>0.00292 - (0.0093 * E4_1_1_37_mRNA)</v>
      </c>
      <c r="L381" s="2" t="str">
        <f t="shared" si="10"/>
        <v>(0.278 * E4_1_1_37_mRNA) - (0.00000278 * E4_1_1_37)</v>
      </c>
      <c r="M381" s="2" t="str">
        <f t="shared" si="11"/>
        <v>mRNA380: -&gt; E4_1_1_37_mRNA | 0.00292 - (0.0093 * E4_1_1_37_mRNA)</v>
      </c>
      <c r="N381" s="2" t="str">
        <f t="shared" si="12"/>
        <v>Peptide380: E4_1_1_37_mRNA -&gt; E4_1_1_37 | (0.278 * E4_1_1_37_mRNA) - (0.000000278 * E4_1_1_37)</v>
      </c>
    </row>
    <row r="382">
      <c r="A382" s="12">
        <v>381.0</v>
      </c>
      <c r="B382" s="2" t="s">
        <v>25306</v>
      </c>
      <c r="C382" s="2" t="str">
        <f t="shared" si="3"/>
        <v>E4_1_1_48_mRNA</v>
      </c>
      <c r="D382" s="2" t="str">
        <f t="shared" si="4"/>
        <v>E4_1_1_48</v>
      </c>
      <c r="E382" s="2" t="str">
        <f t="shared" si="5"/>
        <v>E4_1_1_48_kcat : 13.7</v>
      </c>
      <c r="F382" s="2" t="str">
        <f t="shared" si="6"/>
        <v>E4_1_1_48_km : 1</v>
      </c>
      <c r="G382" s="2" t="str">
        <f t="shared" ref="G382:H382" si="769">CONCATENATE(C382," : ",C382)</f>
        <v>E4_1_1_48_mRNA : E4_1_1_48_mRNA</v>
      </c>
      <c r="H382" s="2" t="str">
        <f t="shared" si="769"/>
        <v>E4_1_1_48 : E4_1_1_48</v>
      </c>
      <c r="I382" s="2" t="str">
        <f t="shared" ref="I382:J382" si="770">CONCATENATE(C382," : ","0")</f>
        <v>E4_1_1_48_mRNA : 0</v>
      </c>
      <c r="J382" s="2" t="str">
        <f t="shared" si="770"/>
        <v>E4_1_1_48 : 0</v>
      </c>
      <c r="K382" s="2" t="str">
        <f t="shared" si="9"/>
        <v>0.00292 - (0.0093 * E4_1_1_48_mRNA)</v>
      </c>
      <c r="L382" s="2" t="str">
        <f t="shared" si="10"/>
        <v>(0.278 * E4_1_1_48_mRNA) - (0.00000278 * E4_1_1_48)</v>
      </c>
      <c r="M382" s="2" t="str">
        <f t="shared" si="11"/>
        <v>mRNA381: -&gt; E4_1_1_48_mRNA | 0.00292 - (0.0093 * E4_1_1_48_mRNA)</v>
      </c>
      <c r="N382" s="2" t="str">
        <f t="shared" si="12"/>
        <v>Peptide381: E4_1_1_48_mRNA -&gt; E4_1_1_48 | (0.278 * E4_1_1_48_mRNA) - (0.000000278 * E4_1_1_48)</v>
      </c>
    </row>
    <row r="383">
      <c r="A383" s="12">
        <v>382.0</v>
      </c>
      <c r="B383" s="2" t="s">
        <v>25307</v>
      </c>
      <c r="C383" s="2" t="str">
        <f t="shared" si="3"/>
        <v>E4_1_1_49_mRNA</v>
      </c>
      <c r="D383" s="2" t="str">
        <f t="shared" si="4"/>
        <v>E4_1_1_49</v>
      </c>
      <c r="E383" s="2" t="str">
        <f t="shared" si="5"/>
        <v>E4_1_1_49_kcat : 13.7</v>
      </c>
      <c r="F383" s="2" t="str">
        <f t="shared" si="6"/>
        <v>E4_1_1_49_km : 1</v>
      </c>
      <c r="G383" s="2" t="str">
        <f t="shared" ref="G383:H383" si="771">CONCATENATE(C383," : ",C383)</f>
        <v>E4_1_1_49_mRNA : E4_1_1_49_mRNA</v>
      </c>
      <c r="H383" s="2" t="str">
        <f t="shared" si="771"/>
        <v>E4_1_1_49 : E4_1_1_49</v>
      </c>
      <c r="I383" s="2" t="str">
        <f t="shared" ref="I383:J383" si="772">CONCATENATE(C383," : ","0")</f>
        <v>E4_1_1_49_mRNA : 0</v>
      </c>
      <c r="J383" s="2" t="str">
        <f t="shared" si="772"/>
        <v>E4_1_1_49 : 0</v>
      </c>
      <c r="K383" s="2" t="str">
        <f t="shared" si="9"/>
        <v>0.00292 - (0.0093 * E4_1_1_49_mRNA)</v>
      </c>
      <c r="L383" s="2" t="str">
        <f t="shared" si="10"/>
        <v>(0.278 * E4_1_1_49_mRNA) - (0.00000278 * E4_1_1_49)</v>
      </c>
      <c r="M383" s="2" t="str">
        <f t="shared" si="11"/>
        <v>mRNA382: -&gt; E4_1_1_49_mRNA | 0.00292 - (0.0093 * E4_1_1_49_mRNA)</v>
      </c>
      <c r="N383" s="2" t="str">
        <f t="shared" si="12"/>
        <v>Peptide382: E4_1_1_49_mRNA -&gt; E4_1_1_49 | (0.278 * E4_1_1_49_mRNA) - (0.000000278 * E4_1_1_49)</v>
      </c>
    </row>
    <row r="384">
      <c r="A384" s="12">
        <v>383.0</v>
      </c>
      <c r="B384" s="2" t="s">
        <v>25308</v>
      </c>
      <c r="C384" s="2" t="str">
        <f t="shared" si="3"/>
        <v>E4_1_1_5_mRNA</v>
      </c>
      <c r="D384" s="2" t="str">
        <f t="shared" si="4"/>
        <v>E4_1_1_5</v>
      </c>
      <c r="E384" s="2" t="str">
        <f t="shared" si="5"/>
        <v>E4_1_1_5_kcat : 13.7</v>
      </c>
      <c r="F384" s="2" t="str">
        <f t="shared" si="6"/>
        <v>E4_1_1_5_km : 1</v>
      </c>
      <c r="G384" s="2" t="str">
        <f t="shared" ref="G384:H384" si="773">CONCATENATE(C384," : ",C384)</f>
        <v>E4_1_1_5_mRNA : E4_1_1_5_mRNA</v>
      </c>
      <c r="H384" s="2" t="str">
        <f t="shared" si="773"/>
        <v>E4_1_1_5 : E4_1_1_5</v>
      </c>
      <c r="I384" s="2" t="str">
        <f t="shared" ref="I384:J384" si="774">CONCATENATE(C384," : ","0")</f>
        <v>E4_1_1_5_mRNA : 0</v>
      </c>
      <c r="J384" s="2" t="str">
        <f t="shared" si="774"/>
        <v>E4_1_1_5 : 0</v>
      </c>
      <c r="K384" s="2" t="str">
        <f t="shared" si="9"/>
        <v>0.00292 - (0.0093 * E4_1_1_5_mRNA)</v>
      </c>
      <c r="L384" s="2" t="str">
        <f t="shared" si="10"/>
        <v>(0.278 * E4_1_1_5_mRNA) - (0.00000278 * E4_1_1_5)</v>
      </c>
      <c r="M384" s="2" t="str">
        <f t="shared" si="11"/>
        <v>mRNA383: -&gt; E4_1_1_5_mRNA | 0.00292 - (0.0093 * E4_1_1_5_mRNA)</v>
      </c>
      <c r="N384" s="2" t="str">
        <f t="shared" si="12"/>
        <v>Peptide383: E4_1_1_5_mRNA -&gt; E4_1_1_5 | (0.278 * E4_1_1_5_mRNA) - (0.000000278 * E4_1_1_5)</v>
      </c>
    </row>
    <row r="385">
      <c r="A385" s="12">
        <v>384.0</v>
      </c>
      <c r="B385" s="2" t="s">
        <v>25309</v>
      </c>
      <c r="C385" s="2" t="str">
        <f t="shared" si="3"/>
        <v>E4_1_1_50_mRNA</v>
      </c>
      <c r="D385" s="2" t="str">
        <f t="shared" si="4"/>
        <v>E4_1_1_50</v>
      </c>
      <c r="E385" s="2" t="str">
        <f t="shared" si="5"/>
        <v>E4_1_1_50_kcat : 13.7</v>
      </c>
      <c r="F385" s="2" t="str">
        <f t="shared" si="6"/>
        <v>E4_1_1_50_km : 1</v>
      </c>
      <c r="G385" s="2" t="str">
        <f t="shared" ref="G385:H385" si="775">CONCATENATE(C385," : ",C385)</f>
        <v>E4_1_1_50_mRNA : E4_1_1_50_mRNA</v>
      </c>
      <c r="H385" s="2" t="str">
        <f t="shared" si="775"/>
        <v>E4_1_1_50 : E4_1_1_50</v>
      </c>
      <c r="I385" s="2" t="str">
        <f t="shared" ref="I385:J385" si="776">CONCATENATE(C385," : ","0")</f>
        <v>E4_1_1_50_mRNA : 0</v>
      </c>
      <c r="J385" s="2" t="str">
        <f t="shared" si="776"/>
        <v>E4_1_1_50 : 0</v>
      </c>
      <c r="K385" s="2" t="str">
        <f t="shared" si="9"/>
        <v>0.00292 - (0.0093 * E4_1_1_50_mRNA)</v>
      </c>
      <c r="L385" s="2" t="str">
        <f t="shared" si="10"/>
        <v>(0.278 * E4_1_1_50_mRNA) - (0.00000278 * E4_1_1_50)</v>
      </c>
      <c r="M385" s="2" t="str">
        <f t="shared" si="11"/>
        <v>mRNA384: -&gt; E4_1_1_50_mRNA | 0.00292 - (0.0093 * E4_1_1_50_mRNA)</v>
      </c>
      <c r="N385" s="2" t="str">
        <f t="shared" si="12"/>
        <v>Peptide384: E4_1_1_50_mRNA -&gt; E4_1_1_50 | (0.278 * E4_1_1_50_mRNA) - (0.000000278 * E4_1_1_50)</v>
      </c>
    </row>
    <row r="386">
      <c r="A386" s="12">
        <v>385.0</v>
      </c>
      <c r="B386" s="2" t="s">
        <v>25310</v>
      </c>
      <c r="C386" s="2" t="str">
        <f t="shared" si="3"/>
        <v>E4_1_1_65_mRNA</v>
      </c>
      <c r="D386" s="2" t="str">
        <f t="shared" si="4"/>
        <v>E4_1_1_65</v>
      </c>
      <c r="E386" s="2" t="str">
        <f t="shared" si="5"/>
        <v>E4_1_1_65_kcat : 13.7</v>
      </c>
      <c r="F386" s="2" t="str">
        <f t="shared" si="6"/>
        <v>E4_1_1_65_km : 1</v>
      </c>
      <c r="G386" s="2" t="str">
        <f t="shared" ref="G386:H386" si="777">CONCATENATE(C386," : ",C386)</f>
        <v>E4_1_1_65_mRNA : E4_1_1_65_mRNA</v>
      </c>
      <c r="H386" s="2" t="str">
        <f t="shared" si="777"/>
        <v>E4_1_1_65 : E4_1_1_65</v>
      </c>
      <c r="I386" s="2" t="str">
        <f t="shared" ref="I386:J386" si="778">CONCATENATE(C386," : ","0")</f>
        <v>E4_1_1_65_mRNA : 0</v>
      </c>
      <c r="J386" s="2" t="str">
        <f t="shared" si="778"/>
        <v>E4_1_1_65 : 0</v>
      </c>
      <c r="K386" s="2" t="str">
        <f t="shared" si="9"/>
        <v>0.00292 - (0.0093 * E4_1_1_65_mRNA)</v>
      </c>
      <c r="L386" s="2" t="str">
        <f t="shared" si="10"/>
        <v>(0.278 * E4_1_1_65_mRNA) - (0.00000278 * E4_1_1_65)</v>
      </c>
      <c r="M386" s="2" t="str">
        <f t="shared" si="11"/>
        <v>mRNA385: -&gt; E4_1_1_65_mRNA | 0.00292 - (0.0093 * E4_1_1_65_mRNA)</v>
      </c>
      <c r="N386" s="2" t="str">
        <f t="shared" si="12"/>
        <v>Peptide385: E4_1_1_65_mRNA -&gt; E4_1_1_65 | (0.278 * E4_1_1_65_mRNA) - (0.000000278 * E4_1_1_65)</v>
      </c>
    </row>
    <row r="387">
      <c r="A387" s="12">
        <v>386.0</v>
      </c>
      <c r="B387" s="2" t="s">
        <v>25311</v>
      </c>
      <c r="C387" s="2" t="str">
        <f t="shared" si="3"/>
        <v>E4_1_2_13_mRNA</v>
      </c>
      <c r="D387" s="2" t="str">
        <f t="shared" si="4"/>
        <v>E4_1_2_13</v>
      </c>
      <c r="E387" s="2" t="str">
        <f t="shared" si="5"/>
        <v>E4_1_2_13_kcat : 13.7</v>
      </c>
      <c r="F387" s="2" t="str">
        <f t="shared" si="6"/>
        <v>E4_1_2_13_km : 1</v>
      </c>
      <c r="G387" s="2" t="str">
        <f t="shared" ref="G387:H387" si="779">CONCATENATE(C387," : ",C387)</f>
        <v>E4_1_2_13_mRNA : E4_1_2_13_mRNA</v>
      </c>
      <c r="H387" s="2" t="str">
        <f t="shared" si="779"/>
        <v>E4_1_2_13 : E4_1_2_13</v>
      </c>
      <c r="I387" s="2" t="str">
        <f t="shared" ref="I387:J387" si="780">CONCATENATE(C387," : ","0")</f>
        <v>E4_1_2_13_mRNA : 0</v>
      </c>
      <c r="J387" s="2" t="str">
        <f t="shared" si="780"/>
        <v>E4_1_2_13 : 0</v>
      </c>
      <c r="K387" s="2" t="str">
        <f t="shared" si="9"/>
        <v>0.00292 - (0.0093 * E4_1_2_13_mRNA)</v>
      </c>
      <c r="L387" s="2" t="str">
        <f t="shared" si="10"/>
        <v>(0.278 * E4_1_2_13_mRNA) - (0.00000278 * E4_1_2_13)</v>
      </c>
      <c r="M387" s="2" t="str">
        <f t="shared" si="11"/>
        <v>mRNA386: -&gt; E4_1_2_13_mRNA | 0.00292 - (0.0093 * E4_1_2_13_mRNA)</v>
      </c>
      <c r="N387" s="2" t="str">
        <f t="shared" si="12"/>
        <v>Peptide386: E4_1_2_13_mRNA -&gt; E4_1_2_13 | (0.278 * E4_1_2_13_mRNA) - (0.000000278 * E4_1_2_13)</v>
      </c>
    </row>
    <row r="388">
      <c r="A388" s="12">
        <v>387.0</v>
      </c>
      <c r="B388" s="2" t="s">
        <v>25312</v>
      </c>
      <c r="C388" s="2" t="str">
        <f t="shared" si="3"/>
        <v>E4_1_2_17_mRNA</v>
      </c>
      <c r="D388" s="2" t="str">
        <f t="shared" si="4"/>
        <v>E4_1_2_17</v>
      </c>
      <c r="E388" s="2" t="str">
        <f t="shared" si="5"/>
        <v>E4_1_2_17_kcat : 13.7</v>
      </c>
      <c r="F388" s="2" t="str">
        <f t="shared" si="6"/>
        <v>E4_1_2_17_km : 1</v>
      </c>
      <c r="G388" s="2" t="str">
        <f t="shared" ref="G388:H388" si="781">CONCATENATE(C388," : ",C388)</f>
        <v>E4_1_2_17_mRNA : E4_1_2_17_mRNA</v>
      </c>
      <c r="H388" s="2" t="str">
        <f t="shared" si="781"/>
        <v>E4_1_2_17 : E4_1_2_17</v>
      </c>
      <c r="I388" s="2" t="str">
        <f t="shared" ref="I388:J388" si="782">CONCATENATE(C388," : ","0")</f>
        <v>E4_1_2_17_mRNA : 0</v>
      </c>
      <c r="J388" s="2" t="str">
        <f t="shared" si="782"/>
        <v>E4_1_2_17 : 0</v>
      </c>
      <c r="K388" s="2" t="str">
        <f t="shared" si="9"/>
        <v>0.00292 - (0.0093 * E4_1_2_17_mRNA)</v>
      </c>
      <c r="L388" s="2" t="str">
        <f t="shared" si="10"/>
        <v>(0.278 * E4_1_2_17_mRNA) - (0.00000278 * E4_1_2_17)</v>
      </c>
      <c r="M388" s="2" t="str">
        <f t="shared" si="11"/>
        <v>mRNA387: -&gt; E4_1_2_17_mRNA | 0.00292 - (0.0093 * E4_1_2_17_mRNA)</v>
      </c>
      <c r="N388" s="2" t="str">
        <f t="shared" si="12"/>
        <v>Peptide387: E4_1_2_17_mRNA -&gt; E4_1_2_17 | (0.278 * E4_1_2_17_mRNA) - (0.000000278 * E4_1_2_17)</v>
      </c>
    </row>
    <row r="389">
      <c r="A389" s="12">
        <v>388.0</v>
      </c>
      <c r="B389" s="2" t="s">
        <v>25313</v>
      </c>
      <c r="C389" s="2" t="str">
        <f t="shared" si="3"/>
        <v>E4_1_2_25_mRNA</v>
      </c>
      <c r="D389" s="2" t="str">
        <f t="shared" si="4"/>
        <v>E4_1_2_25</v>
      </c>
      <c r="E389" s="2" t="str">
        <f t="shared" si="5"/>
        <v>E4_1_2_25_kcat : 13.7</v>
      </c>
      <c r="F389" s="2" t="str">
        <f t="shared" si="6"/>
        <v>E4_1_2_25_km : 1</v>
      </c>
      <c r="G389" s="2" t="str">
        <f t="shared" ref="G389:H389" si="783">CONCATENATE(C389," : ",C389)</f>
        <v>E4_1_2_25_mRNA : E4_1_2_25_mRNA</v>
      </c>
      <c r="H389" s="2" t="str">
        <f t="shared" si="783"/>
        <v>E4_1_2_25 : E4_1_2_25</v>
      </c>
      <c r="I389" s="2" t="str">
        <f t="shared" ref="I389:J389" si="784">CONCATENATE(C389," : ","0")</f>
        <v>E4_1_2_25_mRNA : 0</v>
      </c>
      <c r="J389" s="2" t="str">
        <f t="shared" si="784"/>
        <v>E4_1_2_25 : 0</v>
      </c>
      <c r="K389" s="2" t="str">
        <f t="shared" si="9"/>
        <v>0.00292 - (0.0093 * E4_1_2_25_mRNA)</v>
      </c>
      <c r="L389" s="2" t="str">
        <f t="shared" si="10"/>
        <v>(0.278 * E4_1_2_25_mRNA) - (0.00000278 * E4_1_2_25)</v>
      </c>
      <c r="M389" s="2" t="str">
        <f t="shared" si="11"/>
        <v>mRNA388: -&gt; E4_1_2_25_mRNA | 0.00292 - (0.0093 * E4_1_2_25_mRNA)</v>
      </c>
      <c r="N389" s="2" t="str">
        <f t="shared" si="12"/>
        <v>Peptide388: E4_1_2_25_mRNA -&gt; E4_1_2_25 | (0.278 * E4_1_2_25_mRNA) - (0.000000278 * E4_1_2_25)</v>
      </c>
    </row>
    <row r="390">
      <c r="A390" s="12">
        <v>389.0</v>
      </c>
      <c r="B390" s="2" t="s">
        <v>25314</v>
      </c>
      <c r="C390" s="2" t="str">
        <f t="shared" si="3"/>
        <v>E4_1_2_4_mRNA</v>
      </c>
      <c r="D390" s="2" t="str">
        <f t="shared" si="4"/>
        <v>E4_1_2_4</v>
      </c>
      <c r="E390" s="2" t="str">
        <f t="shared" si="5"/>
        <v>E4_1_2_4_kcat : 13.7</v>
      </c>
      <c r="F390" s="2" t="str">
        <f t="shared" si="6"/>
        <v>E4_1_2_4_km : 1</v>
      </c>
      <c r="G390" s="2" t="str">
        <f t="shared" ref="G390:H390" si="785">CONCATENATE(C390," : ",C390)</f>
        <v>E4_1_2_4_mRNA : E4_1_2_4_mRNA</v>
      </c>
      <c r="H390" s="2" t="str">
        <f t="shared" si="785"/>
        <v>E4_1_2_4 : E4_1_2_4</v>
      </c>
      <c r="I390" s="2" t="str">
        <f t="shared" ref="I390:J390" si="786">CONCATENATE(C390," : ","0")</f>
        <v>E4_1_2_4_mRNA : 0</v>
      </c>
      <c r="J390" s="2" t="str">
        <f t="shared" si="786"/>
        <v>E4_1_2_4 : 0</v>
      </c>
      <c r="K390" s="2" t="str">
        <f t="shared" si="9"/>
        <v>0.00292 - (0.0093 * E4_1_2_4_mRNA)</v>
      </c>
      <c r="L390" s="2" t="str">
        <f t="shared" si="10"/>
        <v>(0.278 * E4_1_2_4_mRNA) - (0.00000278 * E4_1_2_4)</v>
      </c>
      <c r="M390" s="2" t="str">
        <f t="shared" si="11"/>
        <v>mRNA389: -&gt; E4_1_2_4_mRNA | 0.00292 - (0.0093 * E4_1_2_4_mRNA)</v>
      </c>
      <c r="N390" s="2" t="str">
        <f t="shared" si="12"/>
        <v>Peptide389: E4_1_2_4_mRNA -&gt; E4_1_2_4 | (0.278 * E4_1_2_4_mRNA) - (0.000000278 * E4_1_2_4)</v>
      </c>
    </row>
    <row r="391">
      <c r="A391" s="12">
        <v>390.0</v>
      </c>
      <c r="B391" s="2" t="s">
        <v>25315</v>
      </c>
      <c r="C391" s="2" t="str">
        <f t="shared" si="3"/>
        <v>E4_1_2_50_mRNA</v>
      </c>
      <c r="D391" s="2" t="str">
        <f t="shared" si="4"/>
        <v>E4_1_2_50</v>
      </c>
      <c r="E391" s="2" t="str">
        <f t="shared" si="5"/>
        <v>E4_1_2_50_kcat : 13.7</v>
      </c>
      <c r="F391" s="2" t="str">
        <f t="shared" si="6"/>
        <v>E4_1_2_50_km : 1</v>
      </c>
      <c r="G391" s="2" t="str">
        <f t="shared" ref="G391:H391" si="787">CONCATENATE(C391," : ",C391)</f>
        <v>E4_1_2_50_mRNA : E4_1_2_50_mRNA</v>
      </c>
      <c r="H391" s="2" t="str">
        <f t="shared" si="787"/>
        <v>E4_1_2_50 : E4_1_2_50</v>
      </c>
      <c r="I391" s="2" t="str">
        <f t="shared" ref="I391:J391" si="788">CONCATENATE(C391," : ","0")</f>
        <v>E4_1_2_50_mRNA : 0</v>
      </c>
      <c r="J391" s="2" t="str">
        <f t="shared" si="788"/>
        <v>E4_1_2_50 : 0</v>
      </c>
      <c r="K391" s="2" t="str">
        <f t="shared" si="9"/>
        <v>0.00292 - (0.0093 * E4_1_2_50_mRNA)</v>
      </c>
      <c r="L391" s="2" t="str">
        <f t="shared" si="10"/>
        <v>(0.278 * E4_1_2_50_mRNA) - (0.00000278 * E4_1_2_50)</v>
      </c>
      <c r="M391" s="2" t="str">
        <f t="shared" si="11"/>
        <v>mRNA390: -&gt; E4_1_2_50_mRNA | 0.00292 - (0.0093 * E4_1_2_50_mRNA)</v>
      </c>
      <c r="N391" s="2" t="str">
        <f t="shared" si="12"/>
        <v>Peptide390: E4_1_2_50_mRNA -&gt; E4_1_2_50 | (0.278 * E4_1_2_50_mRNA) - (0.000000278 * E4_1_2_50)</v>
      </c>
    </row>
    <row r="392">
      <c r="A392" s="12">
        <v>391.0</v>
      </c>
      <c r="B392" s="2" t="s">
        <v>25316</v>
      </c>
      <c r="C392" s="2" t="str">
        <f t="shared" si="3"/>
        <v>E4_1_3_1_mRNA</v>
      </c>
      <c r="D392" s="2" t="str">
        <f t="shared" si="4"/>
        <v>E4_1_3_1</v>
      </c>
      <c r="E392" s="2" t="str">
        <f t="shared" si="5"/>
        <v>E4_1_3_1_kcat : 13.7</v>
      </c>
      <c r="F392" s="2" t="str">
        <f t="shared" si="6"/>
        <v>E4_1_3_1_km : 1</v>
      </c>
      <c r="G392" s="2" t="str">
        <f t="shared" ref="G392:H392" si="789">CONCATENATE(C392," : ",C392)</f>
        <v>E4_1_3_1_mRNA : E4_1_3_1_mRNA</v>
      </c>
      <c r="H392" s="2" t="str">
        <f t="shared" si="789"/>
        <v>E4_1_3_1 : E4_1_3_1</v>
      </c>
      <c r="I392" s="2" t="str">
        <f t="shared" ref="I392:J392" si="790">CONCATENATE(C392," : ","0")</f>
        <v>E4_1_3_1_mRNA : 0</v>
      </c>
      <c r="J392" s="2" t="str">
        <f t="shared" si="790"/>
        <v>E4_1_3_1 : 0</v>
      </c>
      <c r="K392" s="2" t="str">
        <f t="shared" si="9"/>
        <v>0.00292 - (0.0093 * E4_1_3_1_mRNA)</v>
      </c>
      <c r="L392" s="2" t="str">
        <f t="shared" si="10"/>
        <v>(0.278 * E4_1_3_1_mRNA) - (0.00000278 * E4_1_3_1)</v>
      </c>
      <c r="M392" s="2" t="str">
        <f t="shared" si="11"/>
        <v>mRNA391: -&gt; E4_1_3_1_mRNA | 0.00292 - (0.0093 * E4_1_3_1_mRNA)</v>
      </c>
      <c r="N392" s="2" t="str">
        <f t="shared" si="12"/>
        <v>Peptide391: E4_1_3_1_mRNA -&gt; E4_1_3_1 | (0.278 * E4_1_3_1_mRNA) - (0.000000278 * E4_1_3_1)</v>
      </c>
    </row>
    <row r="393">
      <c r="A393" s="12">
        <v>392.0</v>
      </c>
      <c r="B393" s="2" t="s">
        <v>25317</v>
      </c>
      <c r="C393" s="2" t="str">
        <f t="shared" si="3"/>
        <v>E4_1_3_27_mRNA</v>
      </c>
      <c r="D393" s="2" t="str">
        <f t="shared" si="4"/>
        <v>E4_1_3_27</v>
      </c>
      <c r="E393" s="2" t="str">
        <f t="shared" si="5"/>
        <v>E4_1_3_27_kcat : 13.7</v>
      </c>
      <c r="F393" s="2" t="str">
        <f t="shared" si="6"/>
        <v>E4_1_3_27_km : 1</v>
      </c>
      <c r="G393" s="2" t="str">
        <f t="shared" ref="G393:H393" si="791">CONCATENATE(C393," : ",C393)</f>
        <v>E4_1_3_27_mRNA : E4_1_3_27_mRNA</v>
      </c>
      <c r="H393" s="2" t="str">
        <f t="shared" si="791"/>
        <v>E4_1_3_27 : E4_1_3_27</v>
      </c>
      <c r="I393" s="2" t="str">
        <f t="shared" ref="I393:J393" si="792">CONCATENATE(C393," : ","0")</f>
        <v>E4_1_3_27_mRNA : 0</v>
      </c>
      <c r="J393" s="2" t="str">
        <f t="shared" si="792"/>
        <v>E4_1_3_27 : 0</v>
      </c>
      <c r="K393" s="2" t="str">
        <f t="shared" si="9"/>
        <v>0.00292 - (0.0093 * E4_1_3_27_mRNA)</v>
      </c>
      <c r="L393" s="2" t="str">
        <f t="shared" si="10"/>
        <v>(0.278 * E4_1_3_27_mRNA) - (0.00000278 * E4_1_3_27)</v>
      </c>
      <c r="M393" s="2" t="str">
        <f t="shared" si="11"/>
        <v>mRNA392: -&gt; E4_1_3_27_mRNA | 0.00292 - (0.0093 * E4_1_3_27_mRNA)</v>
      </c>
      <c r="N393" s="2" t="str">
        <f t="shared" si="12"/>
        <v>Peptide392: E4_1_3_27_mRNA -&gt; E4_1_3_27 | (0.278 * E4_1_3_27_mRNA) - (0.000000278 * E4_1_3_27)</v>
      </c>
    </row>
    <row r="394">
      <c r="A394" s="12">
        <v>393.0</v>
      </c>
      <c r="B394" s="2" t="s">
        <v>25318</v>
      </c>
      <c r="C394" s="2" t="str">
        <f t="shared" si="3"/>
        <v>E4_1_3_30_mRNA</v>
      </c>
      <c r="D394" s="2" t="str">
        <f t="shared" si="4"/>
        <v>E4_1_3_30</v>
      </c>
      <c r="E394" s="2" t="str">
        <f t="shared" si="5"/>
        <v>E4_1_3_30_kcat : 13.7</v>
      </c>
      <c r="F394" s="2" t="str">
        <f t="shared" si="6"/>
        <v>E4_1_3_30_km : 1</v>
      </c>
      <c r="G394" s="2" t="str">
        <f t="shared" ref="G394:H394" si="793">CONCATENATE(C394," : ",C394)</f>
        <v>E4_1_3_30_mRNA : E4_1_3_30_mRNA</v>
      </c>
      <c r="H394" s="2" t="str">
        <f t="shared" si="793"/>
        <v>E4_1_3_30 : E4_1_3_30</v>
      </c>
      <c r="I394" s="2" t="str">
        <f t="shared" ref="I394:J394" si="794">CONCATENATE(C394," : ","0")</f>
        <v>E4_1_3_30_mRNA : 0</v>
      </c>
      <c r="J394" s="2" t="str">
        <f t="shared" si="794"/>
        <v>E4_1_3_30 : 0</v>
      </c>
      <c r="K394" s="2" t="str">
        <f t="shared" si="9"/>
        <v>0.00292 - (0.0093 * E4_1_3_30_mRNA)</v>
      </c>
      <c r="L394" s="2" t="str">
        <f t="shared" si="10"/>
        <v>(0.278 * E4_1_3_30_mRNA) - (0.00000278 * E4_1_3_30)</v>
      </c>
      <c r="M394" s="2" t="str">
        <f t="shared" si="11"/>
        <v>mRNA393: -&gt; E4_1_3_30_mRNA | 0.00292 - (0.0093 * E4_1_3_30_mRNA)</v>
      </c>
      <c r="N394" s="2" t="str">
        <f t="shared" si="12"/>
        <v>Peptide393: E4_1_3_30_mRNA -&gt; E4_1_3_30 | (0.278 * E4_1_3_30_mRNA) - (0.000000278 * E4_1_3_30)</v>
      </c>
    </row>
    <row r="395">
      <c r="A395" s="12">
        <v>394.0</v>
      </c>
      <c r="B395" s="2" t="s">
        <v>25319</v>
      </c>
      <c r="C395" s="2" t="str">
        <f t="shared" si="3"/>
        <v>E4_1_3_36_mRNA</v>
      </c>
      <c r="D395" s="2" t="str">
        <f t="shared" si="4"/>
        <v>E4_1_3_36</v>
      </c>
      <c r="E395" s="2" t="str">
        <f t="shared" si="5"/>
        <v>E4_1_3_36_kcat : 13.7</v>
      </c>
      <c r="F395" s="2" t="str">
        <f t="shared" si="6"/>
        <v>E4_1_3_36_km : 1</v>
      </c>
      <c r="G395" s="2" t="str">
        <f t="shared" ref="G395:H395" si="795">CONCATENATE(C395," : ",C395)</f>
        <v>E4_1_3_36_mRNA : E4_1_3_36_mRNA</v>
      </c>
      <c r="H395" s="2" t="str">
        <f t="shared" si="795"/>
        <v>E4_1_3_36 : E4_1_3_36</v>
      </c>
      <c r="I395" s="2" t="str">
        <f t="shared" ref="I395:J395" si="796">CONCATENATE(C395," : ","0")</f>
        <v>E4_1_3_36_mRNA : 0</v>
      </c>
      <c r="J395" s="2" t="str">
        <f t="shared" si="796"/>
        <v>E4_1_3_36 : 0</v>
      </c>
      <c r="K395" s="2" t="str">
        <f t="shared" si="9"/>
        <v>0.00292 - (0.0093 * E4_1_3_36_mRNA)</v>
      </c>
      <c r="L395" s="2" t="str">
        <f t="shared" si="10"/>
        <v>(0.278 * E4_1_3_36_mRNA) - (0.00000278 * E4_1_3_36)</v>
      </c>
      <c r="M395" s="2" t="str">
        <f t="shared" si="11"/>
        <v>mRNA394: -&gt; E4_1_3_36_mRNA | 0.00292 - (0.0093 * E4_1_3_36_mRNA)</v>
      </c>
      <c r="N395" s="2" t="str">
        <f t="shared" si="12"/>
        <v>Peptide394: E4_1_3_36_mRNA -&gt; E4_1_3_36 | (0.278 * E4_1_3_36_mRNA) - (0.000000278 * E4_1_3_36)</v>
      </c>
    </row>
    <row r="396">
      <c r="A396" s="12">
        <v>395.0</v>
      </c>
      <c r="B396" s="2" t="s">
        <v>25320</v>
      </c>
      <c r="C396" s="2" t="str">
        <f t="shared" si="3"/>
        <v>E4_1_3_38_mRNA</v>
      </c>
      <c r="D396" s="2" t="str">
        <f t="shared" si="4"/>
        <v>E4_1_3_38</v>
      </c>
      <c r="E396" s="2" t="str">
        <f t="shared" si="5"/>
        <v>E4_1_3_38_kcat : 13.7</v>
      </c>
      <c r="F396" s="2" t="str">
        <f t="shared" si="6"/>
        <v>E4_1_3_38_km : 1</v>
      </c>
      <c r="G396" s="2" t="str">
        <f t="shared" ref="G396:H396" si="797">CONCATENATE(C396," : ",C396)</f>
        <v>E4_1_3_38_mRNA : E4_1_3_38_mRNA</v>
      </c>
      <c r="H396" s="2" t="str">
        <f t="shared" si="797"/>
        <v>E4_1_3_38 : E4_1_3_38</v>
      </c>
      <c r="I396" s="2" t="str">
        <f t="shared" ref="I396:J396" si="798">CONCATENATE(C396," : ","0")</f>
        <v>E4_1_3_38_mRNA : 0</v>
      </c>
      <c r="J396" s="2" t="str">
        <f t="shared" si="798"/>
        <v>E4_1_3_38 : 0</v>
      </c>
      <c r="K396" s="2" t="str">
        <f t="shared" si="9"/>
        <v>0.00292 - (0.0093 * E4_1_3_38_mRNA)</v>
      </c>
      <c r="L396" s="2" t="str">
        <f t="shared" si="10"/>
        <v>(0.278 * E4_1_3_38_mRNA) - (0.00000278 * E4_1_3_38)</v>
      </c>
      <c r="M396" s="2" t="str">
        <f t="shared" si="11"/>
        <v>mRNA395: -&gt; E4_1_3_38_mRNA | 0.00292 - (0.0093 * E4_1_3_38_mRNA)</v>
      </c>
      <c r="N396" s="2" t="str">
        <f t="shared" si="12"/>
        <v>Peptide395: E4_1_3_38_mRNA -&gt; E4_1_3_38 | (0.278 * E4_1_3_38_mRNA) - (0.000000278 * E4_1_3_38)</v>
      </c>
    </row>
    <row r="397">
      <c r="A397" s="12">
        <v>396.0</v>
      </c>
      <c r="B397" s="2" t="s">
        <v>25321</v>
      </c>
      <c r="C397" s="2" t="str">
        <f t="shared" si="3"/>
        <v>E4_1_3_4_mRNA</v>
      </c>
      <c r="D397" s="2" t="str">
        <f t="shared" si="4"/>
        <v>E4_1_3_4</v>
      </c>
      <c r="E397" s="2" t="str">
        <f t="shared" si="5"/>
        <v>E4_1_3_4_kcat : 13.7</v>
      </c>
      <c r="F397" s="2" t="str">
        <f t="shared" si="6"/>
        <v>E4_1_3_4_km : 1</v>
      </c>
      <c r="G397" s="2" t="str">
        <f t="shared" ref="G397:H397" si="799">CONCATENATE(C397," : ",C397)</f>
        <v>E4_1_3_4_mRNA : E4_1_3_4_mRNA</v>
      </c>
      <c r="H397" s="2" t="str">
        <f t="shared" si="799"/>
        <v>E4_1_3_4 : E4_1_3_4</v>
      </c>
      <c r="I397" s="2" t="str">
        <f t="shared" ref="I397:J397" si="800">CONCATENATE(C397," : ","0")</f>
        <v>E4_1_3_4_mRNA : 0</v>
      </c>
      <c r="J397" s="2" t="str">
        <f t="shared" si="800"/>
        <v>E4_1_3_4 : 0</v>
      </c>
      <c r="K397" s="2" t="str">
        <f t="shared" si="9"/>
        <v>0.00292 - (0.0093 * E4_1_3_4_mRNA)</v>
      </c>
      <c r="L397" s="2" t="str">
        <f t="shared" si="10"/>
        <v>(0.278 * E4_1_3_4_mRNA) - (0.00000278 * E4_1_3_4)</v>
      </c>
      <c r="M397" s="2" t="str">
        <f t="shared" si="11"/>
        <v>mRNA396: -&gt; E4_1_3_4_mRNA | 0.00292 - (0.0093 * E4_1_3_4_mRNA)</v>
      </c>
      <c r="N397" s="2" t="str">
        <f t="shared" si="12"/>
        <v>Peptide396: E4_1_3_4_mRNA -&gt; E4_1_3_4 | (0.278 * E4_1_3_4_mRNA) - (0.000000278 * E4_1_3_4)</v>
      </c>
    </row>
    <row r="398">
      <c r="A398" s="12">
        <v>397.0</v>
      </c>
      <c r="B398" s="2" t="s">
        <v>25322</v>
      </c>
      <c r="C398" s="2" t="str">
        <f t="shared" si="3"/>
        <v>E4_1_99_12_mRNA</v>
      </c>
      <c r="D398" s="2" t="str">
        <f t="shared" si="4"/>
        <v>E4_1_99_12</v>
      </c>
      <c r="E398" s="2" t="str">
        <f t="shared" si="5"/>
        <v>E4_1_99_12_kcat : 13.7</v>
      </c>
      <c r="F398" s="2" t="str">
        <f t="shared" si="6"/>
        <v>E4_1_99_12_km : 1</v>
      </c>
      <c r="G398" s="2" t="str">
        <f t="shared" ref="G398:H398" si="801">CONCATENATE(C398," : ",C398)</f>
        <v>E4_1_99_12_mRNA : E4_1_99_12_mRNA</v>
      </c>
      <c r="H398" s="2" t="str">
        <f t="shared" si="801"/>
        <v>E4_1_99_12 : E4_1_99_12</v>
      </c>
      <c r="I398" s="2" t="str">
        <f t="shared" ref="I398:J398" si="802">CONCATENATE(C398," : ","0")</f>
        <v>E4_1_99_12_mRNA : 0</v>
      </c>
      <c r="J398" s="2" t="str">
        <f t="shared" si="802"/>
        <v>E4_1_99_12 : 0</v>
      </c>
      <c r="K398" s="2" t="str">
        <f t="shared" si="9"/>
        <v>0.00292 - (0.0093 * E4_1_99_12_mRNA)</v>
      </c>
      <c r="L398" s="2" t="str">
        <f t="shared" si="10"/>
        <v>(0.278 * E4_1_99_12_mRNA) - (0.00000278 * E4_1_99_12)</v>
      </c>
      <c r="M398" s="2" t="str">
        <f t="shared" si="11"/>
        <v>mRNA397: -&gt; E4_1_99_12_mRNA | 0.00292 - (0.0093 * E4_1_99_12_mRNA)</v>
      </c>
      <c r="N398" s="2" t="str">
        <f t="shared" si="12"/>
        <v>Peptide397: E4_1_99_12_mRNA -&gt; E4_1_99_12 | (0.278 * E4_1_99_12_mRNA) - (0.000000278 * E4_1_99_12)</v>
      </c>
    </row>
    <row r="399">
      <c r="A399" s="12">
        <v>398.0</v>
      </c>
      <c r="B399" s="2" t="s">
        <v>25323</v>
      </c>
      <c r="C399" s="2" t="str">
        <f t="shared" si="3"/>
        <v>E4_1_99_14_mRNA</v>
      </c>
      <c r="D399" s="2" t="str">
        <f t="shared" si="4"/>
        <v>E4_1_99_14</v>
      </c>
      <c r="E399" s="2" t="str">
        <f t="shared" si="5"/>
        <v>E4_1_99_14_kcat : 13.7</v>
      </c>
      <c r="F399" s="2" t="str">
        <f t="shared" si="6"/>
        <v>E4_1_99_14_km : 1</v>
      </c>
      <c r="G399" s="2" t="str">
        <f t="shared" ref="G399:H399" si="803">CONCATENATE(C399," : ",C399)</f>
        <v>E4_1_99_14_mRNA : E4_1_99_14_mRNA</v>
      </c>
      <c r="H399" s="2" t="str">
        <f t="shared" si="803"/>
        <v>E4_1_99_14 : E4_1_99_14</v>
      </c>
      <c r="I399" s="2" t="str">
        <f t="shared" ref="I399:J399" si="804">CONCATENATE(C399," : ","0")</f>
        <v>E4_1_99_14_mRNA : 0</v>
      </c>
      <c r="J399" s="2" t="str">
        <f t="shared" si="804"/>
        <v>E4_1_99_14 : 0</v>
      </c>
      <c r="K399" s="2" t="str">
        <f t="shared" si="9"/>
        <v>0.00292 - (0.0093 * E4_1_99_14_mRNA)</v>
      </c>
      <c r="L399" s="2" t="str">
        <f t="shared" si="10"/>
        <v>(0.278 * E4_1_99_14_mRNA) - (0.00000278 * E4_1_99_14)</v>
      </c>
      <c r="M399" s="2" t="str">
        <f t="shared" si="11"/>
        <v>mRNA398: -&gt; E4_1_99_14_mRNA | 0.00292 - (0.0093 * E4_1_99_14_mRNA)</v>
      </c>
      <c r="N399" s="2" t="str">
        <f t="shared" si="12"/>
        <v>Peptide398: E4_1_99_14_mRNA -&gt; E4_1_99_14 | (0.278 * E4_1_99_14_mRNA) - (0.000000278 * E4_1_99_14)</v>
      </c>
    </row>
    <row r="400">
      <c r="A400" s="12">
        <v>399.0</v>
      </c>
      <c r="B400" s="2" t="s">
        <v>25324</v>
      </c>
      <c r="C400" s="2" t="str">
        <f t="shared" si="3"/>
        <v>E4_1_99_17_mRNA</v>
      </c>
      <c r="D400" s="2" t="str">
        <f t="shared" si="4"/>
        <v>E4_1_99_17</v>
      </c>
      <c r="E400" s="2" t="str">
        <f t="shared" si="5"/>
        <v>E4_1_99_17_kcat : 13.7</v>
      </c>
      <c r="F400" s="2" t="str">
        <f t="shared" si="6"/>
        <v>E4_1_99_17_km : 1</v>
      </c>
      <c r="G400" s="2" t="str">
        <f t="shared" ref="G400:H400" si="805">CONCATENATE(C400," : ",C400)</f>
        <v>E4_1_99_17_mRNA : E4_1_99_17_mRNA</v>
      </c>
      <c r="H400" s="2" t="str">
        <f t="shared" si="805"/>
        <v>E4_1_99_17 : E4_1_99_17</v>
      </c>
      <c r="I400" s="2" t="str">
        <f t="shared" ref="I400:J400" si="806">CONCATENATE(C400," : ","0")</f>
        <v>E4_1_99_17_mRNA : 0</v>
      </c>
      <c r="J400" s="2" t="str">
        <f t="shared" si="806"/>
        <v>E4_1_99_17 : 0</v>
      </c>
      <c r="K400" s="2" t="str">
        <f t="shared" si="9"/>
        <v>0.00292 - (0.0093 * E4_1_99_17_mRNA)</v>
      </c>
      <c r="L400" s="2" t="str">
        <f t="shared" si="10"/>
        <v>(0.278 * E4_1_99_17_mRNA) - (0.00000278 * E4_1_99_17)</v>
      </c>
      <c r="M400" s="2" t="str">
        <f t="shared" si="11"/>
        <v>mRNA399: -&gt; E4_1_99_17_mRNA | 0.00292 - (0.0093 * E4_1_99_17_mRNA)</v>
      </c>
      <c r="N400" s="2" t="str">
        <f t="shared" si="12"/>
        <v>Peptide399: E4_1_99_17_mRNA -&gt; E4_1_99_17 | (0.278 * E4_1_99_17_mRNA) - (0.000000278 * E4_1_99_17)</v>
      </c>
    </row>
    <row r="401">
      <c r="A401" s="12">
        <v>400.0</v>
      </c>
      <c r="B401" s="2" t="s">
        <v>25325</v>
      </c>
      <c r="C401" s="2" t="str">
        <f t="shared" si="3"/>
        <v>E4_1_99_22_mRNA</v>
      </c>
      <c r="D401" s="2" t="str">
        <f t="shared" si="4"/>
        <v>E4_1_99_22</v>
      </c>
      <c r="E401" s="2" t="str">
        <f t="shared" si="5"/>
        <v>E4_1_99_22_kcat : 13.7</v>
      </c>
      <c r="F401" s="2" t="str">
        <f t="shared" si="6"/>
        <v>E4_1_99_22_km : 1</v>
      </c>
      <c r="G401" s="2" t="str">
        <f t="shared" ref="G401:H401" si="807">CONCATENATE(C401," : ",C401)</f>
        <v>E4_1_99_22_mRNA : E4_1_99_22_mRNA</v>
      </c>
      <c r="H401" s="2" t="str">
        <f t="shared" si="807"/>
        <v>E4_1_99_22 : E4_1_99_22</v>
      </c>
      <c r="I401" s="2" t="str">
        <f t="shared" ref="I401:J401" si="808">CONCATENATE(C401," : ","0")</f>
        <v>E4_1_99_22_mRNA : 0</v>
      </c>
      <c r="J401" s="2" t="str">
        <f t="shared" si="808"/>
        <v>E4_1_99_22 : 0</v>
      </c>
      <c r="K401" s="2" t="str">
        <f t="shared" si="9"/>
        <v>0.00292 - (0.0093 * E4_1_99_22_mRNA)</v>
      </c>
      <c r="L401" s="2" t="str">
        <f t="shared" si="10"/>
        <v>(0.278 * E4_1_99_22_mRNA) - (0.00000278 * E4_1_99_22)</v>
      </c>
      <c r="M401" s="2" t="str">
        <f t="shared" si="11"/>
        <v>mRNA400: -&gt; E4_1_99_22_mRNA | 0.00292 - (0.0093 * E4_1_99_22_mRNA)</v>
      </c>
      <c r="N401" s="2" t="str">
        <f t="shared" si="12"/>
        <v>Peptide400: E4_1_99_22_mRNA -&gt; E4_1_99_22 | (0.278 * E4_1_99_22_mRNA) - (0.000000278 * E4_1_99_22)</v>
      </c>
    </row>
    <row r="402">
      <c r="A402" s="12">
        <v>401.0</v>
      </c>
      <c r="B402" s="2" t="s">
        <v>25326</v>
      </c>
      <c r="C402" s="2" t="str">
        <f t="shared" si="3"/>
        <v>E4_1_99_3_mRNA</v>
      </c>
      <c r="D402" s="2" t="str">
        <f t="shared" si="4"/>
        <v>E4_1_99_3</v>
      </c>
      <c r="E402" s="2" t="str">
        <f t="shared" si="5"/>
        <v>E4_1_99_3_kcat : 13.7</v>
      </c>
      <c r="F402" s="2" t="str">
        <f t="shared" si="6"/>
        <v>E4_1_99_3_km : 1</v>
      </c>
      <c r="G402" s="2" t="str">
        <f t="shared" ref="G402:H402" si="809">CONCATENATE(C402," : ",C402)</f>
        <v>E4_1_99_3_mRNA : E4_1_99_3_mRNA</v>
      </c>
      <c r="H402" s="2" t="str">
        <f t="shared" si="809"/>
        <v>E4_1_99_3 : E4_1_99_3</v>
      </c>
      <c r="I402" s="2" t="str">
        <f t="shared" ref="I402:J402" si="810">CONCATENATE(C402," : ","0")</f>
        <v>E4_1_99_3_mRNA : 0</v>
      </c>
      <c r="J402" s="2" t="str">
        <f t="shared" si="810"/>
        <v>E4_1_99_3 : 0</v>
      </c>
      <c r="K402" s="2" t="str">
        <f t="shared" si="9"/>
        <v>0.00292 - (0.0093 * E4_1_99_3_mRNA)</v>
      </c>
      <c r="L402" s="2" t="str">
        <f t="shared" si="10"/>
        <v>(0.278 * E4_1_99_3_mRNA) - (0.00000278 * E4_1_99_3)</v>
      </c>
      <c r="M402" s="2" t="str">
        <f t="shared" si="11"/>
        <v>mRNA401: -&gt; E4_1_99_3_mRNA | 0.00292 - (0.0093 * E4_1_99_3_mRNA)</v>
      </c>
      <c r="N402" s="2" t="str">
        <f t="shared" si="12"/>
        <v>Peptide401: E4_1_99_3_mRNA -&gt; E4_1_99_3 | (0.278 * E4_1_99_3_mRNA) - (0.000000278 * E4_1_99_3)</v>
      </c>
    </row>
    <row r="403">
      <c r="A403" s="12">
        <v>402.0</v>
      </c>
      <c r="B403" s="2" t="s">
        <v>25327</v>
      </c>
      <c r="C403" s="2" t="str">
        <f t="shared" si="3"/>
        <v>E4_2_1_10_mRNA</v>
      </c>
      <c r="D403" s="2" t="str">
        <f t="shared" si="4"/>
        <v>E4_2_1_10</v>
      </c>
      <c r="E403" s="2" t="str">
        <f t="shared" si="5"/>
        <v>E4_2_1_10_kcat : 13.7</v>
      </c>
      <c r="F403" s="2" t="str">
        <f t="shared" si="6"/>
        <v>E4_2_1_10_km : 1</v>
      </c>
      <c r="G403" s="2" t="str">
        <f t="shared" ref="G403:H403" si="811">CONCATENATE(C403," : ",C403)</f>
        <v>E4_2_1_10_mRNA : E4_2_1_10_mRNA</v>
      </c>
      <c r="H403" s="2" t="str">
        <f t="shared" si="811"/>
        <v>E4_2_1_10 : E4_2_1_10</v>
      </c>
      <c r="I403" s="2" t="str">
        <f t="shared" ref="I403:J403" si="812">CONCATENATE(C403," : ","0")</f>
        <v>E4_2_1_10_mRNA : 0</v>
      </c>
      <c r="J403" s="2" t="str">
        <f t="shared" si="812"/>
        <v>E4_2_1_10 : 0</v>
      </c>
      <c r="K403" s="2" t="str">
        <f t="shared" si="9"/>
        <v>0.00292 - (0.0093 * E4_2_1_10_mRNA)</v>
      </c>
      <c r="L403" s="2" t="str">
        <f t="shared" si="10"/>
        <v>(0.278 * E4_2_1_10_mRNA) - (0.00000278 * E4_2_1_10)</v>
      </c>
      <c r="M403" s="2" t="str">
        <f t="shared" si="11"/>
        <v>mRNA402: -&gt; E4_2_1_10_mRNA | 0.00292 - (0.0093 * E4_2_1_10_mRNA)</v>
      </c>
      <c r="N403" s="2" t="str">
        <f t="shared" si="12"/>
        <v>Peptide402: E4_2_1_10_mRNA -&gt; E4_2_1_10 | (0.278 * E4_2_1_10_mRNA) - (0.000000278 * E4_2_1_10)</v>
      </c>
    </row>
    <row r="404">
      <c r="A404" s="12">
        <v>403.0</v>
      </c>
      <c r="B404" s="2" t="s">
        <v>25328</v>
      </c>
      <c r="C404" s="2" t="str">
        <f t="shared" si="3"/>
        <v>E4_2_1_109_mRNA</v>
      </c>
      <c r="D404" s="2" t="str">
        <f t="shared" si="4"/>
        <v>E4_2_1_109</v>
      </c>
      <c r="E404" s="2" t="str">
        <f t="shared" si="5"/>
        <v>E4_2_1_109_kcat : 13.7</v>
      </c>
      <c r="F404" s="2" t="str">
        <f t="shared" si="6"/>
        <v>E4_2_1_109_km : 1</v>
      </c>
      <c r="G404" s="2" t="str">
        <f t="shared" ref="G404:H404" si="813">CONCATENATE(C404," : ",C404)</f>
        <v>E4_2_1_109_mRNA : E4_2_1_109_mRNA</v>
      </c>
      <c r="H404" s="2" t="str">
        <f t="shared" si="813"/>
        <v>E4_2_1_109 : E4_2_1_109</v>
      </c>
      <c r="I404" s="2" t="str">
        <f t="shared" ref="I404:J404" si="814">CONCATENATE(C404," : ","0")</f>
        <v>E4_2_1_109_mRNA : 0</v>
      </c>
      <c r="J404" s="2" t="str">
        <f t="shared" si="814"/>
        <v>E4_2_1_109 : 0</v>
      </c>
      <c r="K404" s="2" t="str">
        <f t="shared" si="9"/>
        <v>0.00292 - (0.0093 * E4_2_1_109_mRNA)</v>
      </c>
      <c r="L404" s="2" t="str">
        <f t="shared" si="10"/>
        <v>(0.278 * E4_2_1_109_mRNA) - (0.00000278 * E4_2_1_109)</v>
      </c>
      <c r="M404" s="2" t="str">
        <f t="shared" si="11"/>
        <v>mRNA403: -&gt; E4_2_1_109_mRNA | 0.00292 - (0.0093 * E4_2_1_109_mRNA)</v>
      </c>
      <c r="N404" s="2" t="str">
        <f t="shared" si="12"/>
        <v>Peptide403: E4_2_1_109_mRNA -&gt; E4_2_1_109 | (0.278 * E4_2_1_109_mRNA) - (0.000000278 * E4_2_1_109)</v>
      </c>
    </row>
    <row r="405">
      <c r="A405" s="12">
        <v>404.0</v>
      </c>
      <c r="B405" s="2" t="s">
        <v>25329</v>
      </c>
      <c r="C405" s="2" t="str">
        <f t="shared" si="3"/>
        <v>E4_2_1_11_mRNA</v>
      </c>
      <c r="D405" s="2" t="str">
        <f t="shared" si="4"/>
        <v>E4_2_1_11</v>
      </c>
      <c r="E405" s="2" t="str">
        <f t="shared" si="5"/>
        <v>E4_2_1_11_kcat : 13.7</v>
      </c>
      <c r="F405" s="2" t="str">
        <f t="shared" si="6"/>
        <v>E4_2_1_11_km : 1</v>
      </c>
      <c r="G405" s="2" t="str">
        <f t="shared" ref="G405:H405" si="815">CONCATENATE(C405," : ",C405)</f>
        <v>E4_2_1_11_mRNA : E4_2_1_11_mRNA</v>
      </c>
      <c r="H405" s="2" t="str">
        <f t="shared" si="815"/>
        <v>E4_2_1_11 : E4_2_1_11</v>
      </c>
      <c r="I405" s="2" t="str">
        <f t="shared" ref="I405:J405" si="816">CONCATENATE(C405," : ","0")</f>
        <v>E4_2_1_11_mRNA : 0</v>
      </c>
      <c r="J405" s="2" t="str">
        <f t="shared" si="816"/>
        <v>E4_2_1_11 : 0</v>
      </c>
      <c r="K405" s="2" t="str">
        <f t="shared" si="9"/>
        <v>0.00292 - (0.0093 * E4_2_1_11_mRNA)</v>
      </c>
      <c r="L405" s="2" t="str">
        <f t="shared" si="10"/>
        <v>(0.278 * E4_2_1_11_mRNA) - (0.00000278 * E4_2_1_11)</v>
      </c>
      <c r="M405" s="2" t="str">
        <f t="shared" si="11"/>
        <v>mRNA404: -&gt; E4_2_1_11_mRNA | 0.00292 - (0.0093 * E4_2_1_11_mRNA)</v>
      </c>
      <c r="N405" s="2" t="str">
        <f t="shared" si="12"/>
        <v>Peptide404: E4_2_1_11_mRNA -&gt; E4_2_1_11 | (0.278 * E4_2_1_11_mRNA) - (0.000000278 * E4_2_1_11)</v>
      </c>
    </row>
    <row r="406">
      <c r="A406" s="12">
        <v>405.0</v>
      </c>
      <c r="B406" s="2" t="s">
        <v>25330</v>
      </c>
      <c r="C406" s="2" t="str">
        <f t="shared" si="3"/>
        <v>E4_2_1_113_mRNA</v>
      </c>
      <c r="D406" s="2" t="str">
        <f t="shared" si="4"/>
        <v>E4_2_1_113</v>
      </c>
      <c r="E406" s="2" t="str">
        <f t="shared" si="5"/>
        <v>E4_2_1_113_kcat : 13.7</v>
      </c>
      <c r="F406" s="2" t="str">
        <f t="shared" si="6"/>
        <v>E4_2_1_113_km : 1</v>
      </c>
      <c r="G406" s="2" t="str">
        <f t="shared" ref="G406:H406" si="817">CONCATENATE(C406," : ",C406)</f>
        <v>E4_2_1_113_mRNA : E4_2_1_113_mRNA</v>
      </c>
      <c r="H406" s="2" t="str">
        <f t="shared" si="817"/>
        <v>E4_2_1_113 : E4_2_1_113</v>
      </c>
      <c r="I406" s="2" t="str">
        <f t="shared" ref="I406:J406" si="818">CONCATENATE(C406," : ","0")</f>
        <v>E4_2_1_113_mRNA : 0</v>
      </c>
      <c r="J406" s="2" t="str">
        <f t="shared" si="818"/>
        <v>E4_2_1_113 : 0</v>
      </c>
      <c r="K406" s="2" t="str">
        <f t="shared" si="9"/>
        <v>0.00292 - (0.0093 * E4_2_1_113_mRNA)</v>
      </c>
      <c r="L406" s="2" t="str">
        <f t="shared" si="10"/>
        <v>(0.278 * E4_2_1_113_mRNA) - (0.00000278 * E4_2_1_113)</v>
      </c>
      <c r="M406" s="2" t="str">
        <f t="shared" si="11"/>
        <v>mRNA405: -&gt; E4_2_1_113_mRNA | 0.00292 - (0.0093 * E4_2_1_113_mRNA)</v>
      </c>
      <c r="N406" s="2" t="str">
        <f t="shared" si="12"/>
        <v>Peptide405: E4_2_1_113_mRNA -&gt; E4_2_1_113 | (0.278 * E4_2_1_113_mRNA) - (0.000000278 * E4_2_1_113)</v>
      </c>
    </row>
    <row r="407">
      <c r="A407" s="12">
        <v>406.0</v>
      </c>
      <c r="B407" s="2" t="s">
        <v>25331</v>
      </c>
      <c r="C407" s="2" t="str">
        <f t="shared" si="3"/>
        <v>E4_2_1_126_mRNA</v>
      </c>
      <c r="D407" s="2" t="str">
        <f t="shared" si="4"/>
        <v>E4_2_1_126</v>
      </c>
      <c r="E407" s="2" t="str">
        <f t="shared" si="5"/>
        <v>E4_2_1_126_kcat : 13.7</v>
      </c>
      <c r="F407" s="2" t="str">
        <f t="shared" si="6"/>
        <v>E4_2_1_126_km : 1</v>
      </c>
      <c r="G407" s="2" t="str">
        <f t="shared" ref="G407:H407" si="819">CONCATENATE(C407," : ",C407)</f>
        <v>E4_2_1_126_mRNA : E4_2_1_126_mRNA</v>
      </c>
      <c r="H407" s="2" t="str">
        <f t="shared" si="819"/>
        <v>E4_2_1_126 : E4_2_1_126</v>
      </c>
      <c r="I407" s="2" t="str">
        <f t="shared" ref="I407:J407" si="820">CONCATENATE(C407," : ","0")</f>
        <v>E4_2_1_126_mRNA : 0</v>
      </c>
      <c r="J407" s="2" t="str">
        <f t="shared" si="820"/>
        <v>E4_2_1_126 : 0</v>
      </c>
      <c r="K407" s="2" t="str">
        <f t="shared" si="9"/>
        <v>0.00292 - (0.0093 * E4_2_1_126_mRNA)</v>
      </c>
      <c r="L407" s="2" t="str">
        <f t="shared" si="10"/>
        <v>(0.278 * E4_2_1_126_mRNA) - (0.00000278 * E4_2_1_126)</v>
      </c>
      <c r="M407" s="2" t="str">
        <f t="shared" si="11"/>
        <v>mRNA406: -&gt; E4_2_1_126_mRNA | 0.00292 - (0.0093 * E4_2_1_126_mRNA)</v>
      </c>
      <c r="N407" s="2" t="str">
        <f t="shared" si="12"/>
        <v>Peptide406: E4_2_1_126_mRNA -&gt; E4_2_1_126 | (0.278 * E4_2_1_126_mRNA) - (0.000000278 * E4_2_1_126)</v>
      </c>
    </row>
    <row r="408">
      <c r="A408" s="12">
        <v>407.0</v>
      </c>
      <c r="B408" s="2" t="s">
        <v>25332</v>
      </c>
      <c r="C408" s="2" t="str">
        <f t="shared" si="3"/>
        <v>E4_2_1_17_mRNA</v>
      </c>
      <c r="D408" s="2" t="str">
        <f t="shared" si="4"/>
        <v>E4_2_1_17</v>
      </c>
      <c r="E408" s="2" t="str">
        <f t="shared" si="5"/>
        <v>E4_2_1_17_kcat : 13.7</v>
      </c>
      <c r="F408" s="2" t="str">
        <f t="shared" si="6"/>
        <v>E4_2_1_17_km : 1</v>
      </c>
      <c r="G408" s="2" t="str">
        <f t="shared" ref="G408:H408" si="821">CONCATENATE(C408," : ",C408)</f>
        <v>E4_2_1_17_mRNA : E4_2_1_17_mRNA</v>
      </c>
      <c r="H408" s="2" t="str">
        <f t="shared" si="821"/>
        <v>E4_2_1_17 : E4_2_1_17</v>
      </c>
      <c r="I408" s="2" t="str">
        <f t="shared" ref="I408:J408" si="822">CONCATENATE(C408," : ","0")</f>
        <v>E4_2_1_17_mRNA : 0</v>
      </c>
      <c r="J408" s="2" t="str">
        <f t="shared" si="822"/>
        <v>E4_2_1_17 : 0</v>
      </c>
      <c r="K408" s="2" t="str">
        <f t="shared" si="9"/>
        <v>0.00292 - (0.0093 * E4_2_1_17_mRNA)</v>
      </c>
      <c r="L408" s="2" t="str">
        <f t="shared" si="10"/>
        <v>(0.278 * E4_2_1_17_mRNA) - (0.00000278 * E4_2_1_17)</v>
      </c>
      <c r="M408" s="2" t="str">
        <f t="shared" si="11"/>
        <v>mRNA407: -&gt; E4_2_1_17_mRNA | 0.00292 - (0.0093 * E4_2_1_17_mRNA)</v>
      </c>
      <c r="N408" s="2" t="str">
        <f t="shared" si="12"/>
        <v>Peptide407: E4_2_1_17_mRNA -&gt; E4_2_1_17 | (0.278 * E4_2_1_17_mRNA) - (0.000000278 * E4_2_1_17)</v>
      </c>
    </row>
    <row r="409">
      <c r="A409" s="12">
        <v>408.0</v>
      </c>
      <c r="B409" s="2" t="s">
        <v>25333</v>
      </c>
      <c r="C409" s="2" t="str">
        <f t="shared" si="3"/>
        <v>E4_2_1_19_mRNA</v>
      </c>
      <c r="D409" s="2" t="str">
        <f t="shared" si="4"/>
        <v>E4_2_1_19</v>
      </c>
      <c r="E409" s="2" t="str">
        <f t="shared" si="5"/>
        <v>E4_2_1_19_kcat : 13.7</v>
      </c>
      <c r="F409" s="2" t="str">
        <f t="shared" si="6"/>
        <v>E4_2_1_19_km : 1</v>
      </c>
      <c r="G409" s="2" t="str">
        <f t="shared" ref="G409:H409" si="823">CONCATENATE(C409," : ",C409)</f>
        <v>E4_2_1_19_mRNA : E4_2_1_19_mRNA</v>
      </c>
      <c r="H409" s="2" t="str">
        <f t="shared" si="823"/>
        <v>E4_2_1_19 : E4_2_1_19</v>
      </c>
      <c r="I409" s="2" t="str">
        <f t="shared" ref="I409:J409" si="824">CONCATENATE(C409," : ","0")</f>
        <v>E4_2_1_19_mRNA : 0</v>
      </c>
      <c r="J409" s="2" t="str">
        <f t="shared" si="824"/>
        <v>E4_2_1_19 : 0</v>
      </c>
      <c r="K409" s="2" t="str">
        <f t="shared" si="9"/>
        <v>0.00292 - (0.0093 * E4_2_1_19_mRNA)</v>
      </c>
      <c r="L409" s="2" t="str">
        <f t="shared" si="10"/>
        <v>(0.278 * E4_2_1_19_mRNA) - (0.00000278 * E4_2_1_19)</v>
      </c>
      <c r="M409" s="2" t="str">
        <f t="shared" si="11"/>
        <v>mRNA408: -&gt; E4_2_1_19_mRNA | 0.00292 - (0.0093 * E4_2_1_19_mRNA)</v>
      </c>
      <c r="N409" s="2" t="str">
        <f t="shared" si="12"/>
        <v>Peptide408: E4_2_1_19_mRNA -&gt; E4_2_1_19 | (0.278 * E4_2_1_19_mRNA) - (0.000000278 * E4_2_1_19)</v>
      </c>
    </row>
    <row r="410">
      <c r="A410" s="12">
        <v>409.0</v>
      </c>
      <c r="B410" s="2" t="s">
        <v>25334</v>
      </c>
      <c r="C410" s="2" t="str">
        <f t="shared" si="3"/>
        <v>E4_2_1_2_mRNA</v>
      </c>
      <c r="D410" s="2" t="str">
        <f t="shared" si="4"/>
        <v>E4_2_1_2</v>
      </c>
      <c r="E410" s="2" t="str">
        <f t="shared" si="5"/>
        <v>E4_2_1_2_kcat : 13.7</v>
      </c>
      <c r="F410" s="2" t="str">
        <f t="shared" si="6"/>
        <v>E4_2_1_2_km : 1</v>
      </c>
      <c r="G410" s="2" t="str">
        <f t="shared" ref="G410:H410" si="825">CONCATENATE(C410," : ",C410)</f>
        <v>E4_2_1_2_mRNA : E4_2_1_2_mRNA</v>
      </c>
      <c r="H410" s="2" t="str">
        <f t="shared" si="825"/>
        <v>E4_2_1_2 : E4_2_1_2</v>
      </c>
      <c r="I410" s="2" t="str">
        <f t="shared" ref="I410:J410" si="826">CONCATENATE(C410," : ","0")</f>
        <v>E4_2_1_2_mRNA : 0</v>
      </c>
      <c r="J410" s="2" t="str">
        <f t="shared" si="826"/>
        <v>E4_2_1_2 : 0</v>
      </c>
      <c r="K410" s="2" t="str">
        <f t="shared" si="9"/>
        <v>0.00292 - (0.0093 * E4_2_1_2_mRNA)</v>
      </c>
      <c r="L410" s="2" t="str">
        <f t="shared" si="10"/>
        <v>(0.278 * E4_2_1_2_mRNA) - (0.00000278 * E4_2_1_2)</v>
      </c>
      <c r="M410" s="2" t="str">
        <f t="shared" si="11"/>
        <v>mRNA409: -&gt; E4_2_1_2_mRNA | 0.00292 - (0.0093 * E4_2_1_2_mRNA)</v>
      </c>
      <c r="N410" s="2" t="str">
        <f t="shared" si="12"/>
        <v>Peptide409: E4_2_1_2_mRNA -&gt; E4_2_1_2 | (0.278 * E4_2_1_2_mRNA) - (0.000000278 * E4_2_1_2)</v>
      </c>
    </row>
    <row r="411">
      <c r="A411" s="12">
        <v>410.0</v>
      </c>
      <c r="B411" s="2" t="s">
        <v>25335</v>
      </c>
      <c r="C411" s="2" t="str">
        <f t="shared" si="3"/>
        <v>E4_2_1_20_mRNA</v>
      </c>
      <c r="D411" s="2" t="str">
        <f t="shared" si="4"/>
        <v>E4_2_1_20</v>
      </c>
      <c r="E411" s="2" t="str">
        <f t="shared" si="5"/>
        <v>E4_2_1_20_kcat : 13.7</v>
      </c>
      <c r="F411" s="2" t="str">
        <f t="shared" si="6"/>
        <v>E4_2_1_20_km : 1</v>
      </c>
      <c r="G411" s="2" t="str">
        <f t="shared" ref="G411:H411" si="827">CONCATENATE(C411," : ",C411)</f>
        <v>E4_2_1_20_mRNA : E4_2_1_20_mRNA</v>
      </c>
      <c r="H411" s="2" t="str">
        <f t="shared" si="827"/>
        <v>E4_2_1_20 : E4_2_1_20</v>
      </c>
      <c r="I411" s="2" t="str">
        <f t="shared" ref="I411:J411" si="828">CONCATENATE(C411," : ","0")</f>
        <v>E4_2_1_20_mRNA : 0</v>
      </c>
      <c r="J411" s="2" t="str">
        <f t="shared" si="828"/>
        <v>E4_2_1_20 : 0</v>
      </c>
      <c r="K411" s="2" t="str">
        <f t="shared" si="9"/>
        <v>0.00292 - (0.0093 * E4_2_1_20_mRNA)</v>
      </c>
      <c r="L411" s="2" t="str">
        <f t="shared" si="10"/>
        <v>(0.278 * E4_2_1_20_mRNA) - (0.00000278 * E4_2_1_20)</v>
      </c>
      <c r="M411" s="2" t="str">
        <f t="shared" si="11"/>
        <v>mRNA410: -&gt; E4_2_1_20_mRNA | 0.00292 - (0.0093 * E4_2_1_20_mRNA)</v>
      </c>
      <c r="N411" s="2" t="str">
        <f t="shared" si="12"/>
        <v>Peptide410: E4_2_1_20_mRNA -&gt; E4_2_1_20 | (0.278 * E4_2_1_20_mRNA) - (0.000000278 * E4_2_1_20)</v>
      </c>
    </row>
    <row r="412">
      <c r="A412" s="12">
        <v>411.0</v>
      </c>
      <c r="B412" s="2" t="s">
        <v>25336</v>
      </c>
      <c r="C412" s="2" t="str">
        <f t="shared" si="3"/>
        <v>E4_2_1_24_mRNA</v>
      </c>
      <c r="D412" s="2" t="str">
        <f t="shared" si="4"/>
        <v>E4_2_1_24</v>
      </c>
      <c r="E412" s="2" t="str">
        <f t="shared" si="5"/>
        <v>E4_2_1_24_kcat : 13.7</v>
      </c>
      <c r="F412" s="2" t="str">
        <f t="shared" si="6"/>
        <v>E4_2_1_24_km : 1</v>
      </c>
      <c r="G412" s="2" t="str">
        <f t="shared" ref="G412:H412" si="829">CONCATENATE(C412," : ",C412)</f>
        <v>E4_2_1_24_mRNA : E4_2_1_24_mRNA</v>
      </c>
      <c r="H412" s="2" t="str">
        <f t="shared" si="829"/>
        <v>E4_2_1_24 : E4_2_1_24</v>
      </c>
      <c r="I412" s="2" t="str">
        <f t="shared" ref="I412:J412" si="830">CONCATENATE(C412," : ","0")</f>
        <v>E4_2_1_24_mRNA : 0</v>
      </c>
      <c r="J412" s="2" t="str">
        <f t="shared" si="830"/>
        <v>E4_2_1_24 : 0</v>
      </c>
      <c r="K412" s="2" t="str">
        <f t="shared" si="9"/>
        <v>0.00292 - (0.0093 * E4_2_1_24_mRNA)</v>
      </c>
      <c r="L412" s="2" t="str">
        <f t="shared" si="10"/>
        <v>(0.278 * E4_2_1_24_mRNA) - (0.00000278 * E4_2_1_24)</v>
      </c>
      <c r="M412" s="2" t="str">
        <f t="shared" si="11"/>
        <v>mRNA411: -&gt; E4_2_1_24_mRNA | 0.00292 - (0.0093 * E4_2_1_24_mRNA)</v>
      </c>
      <c r="N412" s="2" t="str">
        <f t="shared" si="12"/>
        <v>Peptide411: E4_2_1_24_mRNA -&gt; E4_2_1_24 | (0.278 * E4_2_1_24_mRNA) - (0.000000278 * E4_2_1_24)</v>
      </c>
    </row>
    <row r="413">
      <c r="A413" s="12">
        <v>412.0</v>
      </c>
      <c r="B413" s="2" t="s">
        <v>25337</v>
      </c>
      <c r="C413" s="2" t="str">
        <f t="shared" si="3"/>
        <v>E4_2_1_3_mRNA</v>
      </c>
      <c r="D413" s="2" t="str">
        <f t="shared" si="4"/>
        <v>E4_2_1_3</v>
      </c>
      <c r="E413" s="2" t="str">
        <f t="shared" si="5"/>
        <v>E4_2_1_3_kcat : 13.7</v>
      </c>
      <c r="F413" s="2" t="str">
        <f t="shared" si="6"/>
        <v>E4_2_1_3_km : 1</v>
      </c>
      <c r="G413" s="2" t="str">
        <f t="shared" ref="G413:H413" si="831">CONCATENATE(C413," : ",C413)</f>
        <v>E4_2_1_3_mRNA : E4_2_1_3_mRNA</v>
      </c>
      <c r="H413" s="2" t="str">
        <f t="shared" si="831"/>
        <v>E4_2_1_3 : E4_2_1_3</v>
      </c>
      <c r="I413" s="2" t="str">
        <f t="shared" ref="I413:J413" si="832">CONCATENATE(C413," : ","0")</f>
        <v>E4_2_1_3_mRNA : 0</v>
      </c>
      <c r="J413" s="2" t="str">
        <f t="shared" si="832"/>
        <v>E4_2_1_3 : 0</v>
      </c>
      <c r="K413" s="2" t="str">
        <f t="shared" si="9"/>
        <v>0.00292 - (0.0093 * E4_2_1_3_mRNA)</v>
      </c>
      <c r="L413" s="2" t="str">
        <f t="shared" si="10"/>
        <v>(0.278 * E4_2_1_3_mRNA) - (0.00000278 * E4_2_1_3)</v>
      </c>
      <c r="M413" s="2" t="str">
        <f t="shared" si="11"/>
        <v>mRNA412: -&gt; E4_2_1_3_mRNA | 0.00292 - (0.0093 * E4_2_1_3_mRNA)</v>
      </c>
      <c r="N413" s="2" t="str">
        <f t="shared" si="12"/>
        <v>Peptide412: E4_2_1_3_mRNA -&gt; E4_2_1_3 | (0.278 * E4_2_1_3_mRNA) - (0.000000278 * E4_2_1_3)</v>
      </c>
    </row>
    <row r="414">
      <c r="A414" s="12">
        <v>413.0</v>
      </c>
      <c r="B414" s="2" t="s">
        <v>25338</v>
      </c>
      <c r="C414" s="2" t="str">
        <f t="shared" si="3"/>
        <v>E4_2_1_33_mRNA</v>
      </c>
      <c r="D414" s="2" t="str">
        <f t="shared" si="4"/>
        <v>E4_2_1_33</v>
      </c>
      <c r="E414" s="2" t="str">
        <f t="shared" si="5"/>
        <v>E4_2_1_33_kcat : 13.7</v>
      </c>
      <c r="F414" s="2" t="str">
        <f t="shared" si="6"/>
        <v>E4_2_1_33_km : 1</v>
      </c>
      <c r="G414" s="2" t="str">
        <f t="shared" ref="G414:H414" si="833">CONCATENATE(C414," : ",C414)</f>
        <v>E4_2_1_33_mRNA : E4_2_1_33_mRNA</v>
      </c>
      <c r="H414" s="2" t="str">
        <f t="shared" si="833"/>
        <v>E4_2_1_33 : E4_2_1_33</v>
      </c>
      <c r="I414" s="2" t="str">
        <f t="shared" ref="I414:J414" si="834">CONCATENATE(C414," : ","0")</f>
        <v>E4_2_1_33_mRNA : 0</v>
      </c>
      <c r="J414" s="2" t="str">
        <f t="shared" si="834"/>
        <v>E4_2_1_33 : 0</v>
      </c>
      <c r="K414" s="2" t="str">
        <f t="shared" si="9"/>
        <v>0.00292 - (0.0093 * E4_2_1_33_mRNA)</v>
      </c>
      <c r="L414" s="2" t="str">
        <f t="shared" si="10"/>
        <v>(0.278 * E4_2_1_33_mRNA) - (0.00000278 * E4_2_1_33)</v>
      </c>
      <c r="M414" s="2" t="str">
        <f t="shared" si="11"/>
        <v>mRNA413: -&gt; E4_2_1_33_mRNA | 0.00292 - (0.0093 * E4_2_1_33_mRNA)</v>
      </c>
      <c r="N414" s="2" t="str">
        <f t="shared" si="12"/>
        <v>Peptide413: E4_2_1_33_mRNA -&gt; E4_2_1_33 | (0.278 * E4_2_1_33_mRNA) - (0.000000278 * E4_2_1_33)</v>
      </c>
    </row>
    <row r="415">
      <c r="A415" s="12">
        <v>414.0</v>
      </c>
      <c r="B415" s="2" t="s">
        <v>25339</v>
      </c>
      <c r="C415" s="2" t="str">
        <f t="shared" si="3"/>
        <v>E4_2_1_45_mRNA</v>
      </c>
      <c r="D415" s="2" t="str">
        <f t="shared" si="4"/>
        <v>E4_2_1_45</v>
      </c>
      <c r="E415" s="2" t="str">
        <f t="shared" si="5"/>
        <v>E4_2_1_45_kcat : 13.7</v>
      </c>
      <c r="F415" s="2" t="str">
        <f t="shared" si="6"/>
        <v>E4_2_1_45_km : 1</v>
      </c>
      <c r="G415" s="2" t="str">
        <f t="shared" ref="G415:H415" si="835">CONCATENATE(C415," : ",C415)</f>
        <v>E4_2_1_45_mRNA : E4_2_1_45_mRNA</v>
      </c>
      <c r="H415" s="2" t="str">
        <f t="shared" si="835"/>
        <v>E4_2_1_45 : E4_2_1_45</v>
      </c>
      <c r="I415" s="2" t="str">
        <f t="shared" ref="I415:J415" si="836">CONCATENATE(C415," : ","0")</f>
        <v>E4_2_1_45_mRNA : 0</v>
      </c>
      <c r="J415" s="2" t="str">
        <f t="shared" si="836"/>
        <v>E4_2_1_45 : 0</v>
      </c>
      <c r="K415" s="2" t="str">
        <f t="shared" si="9"/>
        <v>0.00292 - (0.0093 * E4_2_1_45_mRNA)</v>
      </c>
      <c r="L415" s="2" t="str">
        <f t="shared" si="10"/>
        <v>(0.278 * E4_2_1_45_mRNA) - (0.00000278 * E4_2_1_45)</v>
      </c>
      <c r="M415" s="2" t="str">
        <f t="shared" si="11"/>
        <v>mRNA414: -&gt; E4_2_1_45_mRNA | 0.00292 - (0.0093 * E4_2_1_45_mRNA)</v>
      </c>
      <c r="N415" s="2" t="str">
        <f t="shared" si="12"/>
        <v>Peptide414: E4_2_1_45_mRNA -&gt; E4_2_1_45 | (0.278 * E4_2_1_45_mRNA) - (0.000000278 * E4_2_1_45)</v>
      </c>
    </row>
    <row r="416">
      <c r="A416" s="12">
        <v>415.0</v>
      </c>
      <c r="B416" s="2" t="s">
        <v>25340</v>
      </c>
      <c r="C416" s="2" t="str">
        <f t="shared" si="3"/>
        <v>E4_2_1_46_mRNA</v>
      </c>
      <c r="D416" s="2" t="str">
        <f t="shared" si="4"/>
        <v>E4_2_1_46</v>
      </c>
      <c r="E416" s="2" t="str">
        <f t="shared" si="5"/>
        <v>E4_2_1_46_kcat : 13.7</v>
      </c>
      <c r="F416" s="2" t="str">
        <f t="shared" si="6"/>
        <v>E4_2_1_46_km : 1</v>
      </c>
      <c r="G416" s="2" t="str">
        <f t="shared" ref="G416:H416" si="837">CONCATENATE(C416," : ",C416)</f>
        <v>E4_2_1_46_mRNA : E4_2_1_46_mRNA</v>
      </c>
      <c r="H416" s="2" t="str">
        <f t="shared" si="837"/>
        <v>E4_2_1_46 : E4_2_1_46</v>
      </c>
      <c r="I416" s="2" t="str">
        <f t="shared" ref="I416:J416" si="838">CONCATENATE(C416," : ","0")</f>
        <v>E4_2_1_46_mRNA : 0</v>
      </c>
      <c r="J416" s="2" t="str">
        <f t="shared" si="838"/>
        <v>E4_2_1_46 : 0</v>
      </c>
      <c r="K416" s="2" t="str">
        <f t="shared" si="9"/>
        <v>0.00292 - (0.0093 * E4_2_1_46_mRNA)</v>
      </c>
      <c r="L416" s="2" t="str">
        <f t="shared" si="10"/>
        <v>(0.278 * E4_2_1_46_mRNA) - (0.00000278 * E4_2_1_46)</v>
      </c>
      <c r="M416" s="2" t="str">
        <f t="shared" si="11"/>
        <v>mRNA415: -&gt; E4_2_1_46_mRNA | 0.00292 - (0.0093 * E4_2_1_46_mRNA)</v>
      </c>
      <c r="N416" s="2" t="str">
        <f t="shared" si="12"/>
        <v>Peptide415: E4_2_1_46_mRNA -&gt; E4_2_1_46 | (0.278 * E4_2_1_46_mRNA) - (0.000000278 * E4_2_1_46)</v>
      </c>
    </row>
    <row r="417">
      <c r="A417" s="12">
        <v>416.0</v>
      </c>
      <c r="B417" s="2" t="s">
        <v>25341</v>
      </c>
      <c r="C417" s="2" t="str">
        <f t="shared" si="3"/>
        <v>E4_2_1_49_mRNA</v>
      </c>
      <c r="D417" s="2" t="str">
        <f t="shared" si="4"/>
        <v>E4_2_1_49</v>
      </c>
      <c r="E417" s="2" t="str">
        <f t="shared" si="5"/>
        <v>E4_2_1_49_kcat : 13.7</v>
      </c>
      <c r="F417" s="2" t="str">
        <f t="shared" si="6"/>
        <v>E4_2_1_49_km : 1</v>
      </c>
      <c r="G417" s="2" t="str">
        <f t="shared" ref="G417:H417" si="839">CONCATENATE(C417," : ",C417)</f>
        <v>E4_2_1_49_mRNA : E4_2_1_49_mRNA</v>
      </c>
      <c r="H417" s="2" t="str">
        <f t="shared" si="839"/>
        <v>E4_2_1_49 : E4_2_1_49</v>
      </c>
      <c r="I417" s="2" t="str">
        <f t="shared" ref="I417:J417" si="840">CONCATENATE(C417," : ","0")</f>
        <v>E4_2_1_49_mRNA : 0</v>
      </c>
      <c r="J417" s="2" t="str">
        <f t="shared" si="840"/>
        <v>E4_2_1_49 : 0</v>
      </c>
      <c r="K417" s="2" t="str">
        <f t="shared" si="9"/>
        <v>0.00292 - (0.0093 * E4_2_1_49_mRNA)</v>
      </c>
      <c r="L417" s="2" t="str">
        <f t="shared" si="10"/>
        <v>(0.278 * E4_2_1_49_mRNA) - (0.00000278 * E4_2_1_49)</v>
      </c>
      <c r="M417" s="2" t="str">
        <f t="shared" si="11"/>
        <v>mRNA416: -&gt; E4_2_1_49_mRNA | 0.00292 - (0.0093 * E4_2_1_49_mRNA)</v>
      </c>
      <c r="N417" s="2" t="str">
        <f t="shared" si="12"/>
        <v>Peptide416: E4_2_1_49_mRNA -&gt; E4_2_1_49 | (0.278 * E4_2_1_49_mRNA) - (0.000000278 * E4_2_1_49)</v>
      </c>
    </row>
    <row r="418">
      <c r="A418" s="12">
        <v>417.0</v>
      </c>
      <c r="B418" s="2" t="s">
        <v>25342</v>
      </c>
      <c r="C418" s="2" t="str">
        <f t="shared" si="3"/>
        <v>E4_2_1_51_mRNA</v>
      </c>
      <c r="D418" s="2" t="str">
        <f t="shared" si="4"/>
        <v>E4_2_1_51</v>
      </c>
      <c r="E418" s="2" t="str">
        <f t="shared" si="5"/>
        <v>E4_2_1_51_kcat : 13.7</v>
      </c>
      <c r="F418" s="2" t="str">
        <f t="shared" si="6"/>
        <v>E4_2_1_51_km : 1</v>
      </c>
      <c r="G418" s="2" t="str">
        <f t="shared" ref="G418:H418" si="841">CONCATENATE(C418," : ",C418)</f>
        <v>E4_2_1_51_mRNA : E4_2_1_51_mRNA</v>
      </c>
      <c r="H418" s="2" t="str">
        <f t="shared" si="841"/>
        <v>E4_2_1_51 : E4_2_1_51</v>
      </c>
      <c r="I418" s="2" t="str">
        <f t="shared" ref="I418:J418" si="842">CONCATENATE(C418," : ","0")</f>
        <v>E4_2_1_51_mRNA : 0</v>
      </c>
      <c r="J418" s="2" t="str">
        <f t="shared" si="842"/>
        <v>E4_2_1_51 : 0</v>
      </c>
      <c r="K418" s="2" t="str">
        <f t="shared" si="9"/>
        <v>0.00292 - (0.0093 * E4_2_1_51_mRNA)</v>
      </c>
      <c r="L418" s="2" t="str">
        <f t="shared" si="10"/>
        <v>(0.278 * E4_2_1_51_mRNA) - (0.00000278 * E4_2_1_51)</v>
      </c>
      <c r="M418" s="2" t="str">
        <f t="shared" si="11"/>
        <v>mRNA417: -&gt; E4_2_1_51_mRNA | 0.00292 - (0.0093 * E4_2_1_51_mRNA)</v>
      </c>
      <c r="N418" s="2" t="str">
        <f t="shared" si="12"/>
        <v>Peptide417: E4_2_1_51_mRNA -&gt; E4_2_1_51 | (0.278 * E4_2_1_51_mRNA) - (0.000000278 * E4_2_1_51)</v>
      </c>
    </row>
    <row r="419">
      <c r="A419" s="12">
        <v>418.0</v>
      </c>
      <c r="B419" s="2" t="s">
        <v>25343</v>
      </c>
      <c r="C419" s="2" t="str">
        <f t="shared" si="3"/>
        <v>E4_2_1_59_mRNA</v>
      </c>
      <c r="D419" s="2" t="str">
        <f t="shared" si="4"/>
        <v>E4_2_1_59</v>
      </c>
      <c r="E419" s="2" t="str">
        <f t="shared" si="5"/>
        <v>E4_2_1_59_kcat : 13.7</v>
      </c>
      <c r="F419" s="2" t="str">
        <f t="shared" si="6"/>
        <v>E4_2_1_59_km : 1</v>
      </c>
      <c r="G419" s="2" t="str">
        <f t="shared" ref="G419:H419" si="843">CONCATENATE(C419," : ",C419)</f>
        <v>E4_2_1_59_mRNA : E4_2_1_59_mRNA</v>
      </c>
      <c r="H419" s="2" t="str">
        <f t="shared" si="843"/>
        <v>E4_2_1_59 : E4_2_1_59</v>
      </c>
      <c r="I419" s="2" t="str">
        <f t="shared" ref="I419:J419" si="844">CONCATENATE(C419," : ","0")</f>
        <v>E4_2_1_59_mRNA : 0</v>
      </c>
      <c r="J419" s="2" t="str">
        <f t="shared" si="844"/>
        <v>E4_2_1_59 : 0</v>
      </c>
      <c r="K419" s="2" t="str">
        <f t="shared" si="9"/>
        <v>0.00292 - (0.0093 * E4_2_1_59_mRNA)</v>
      </c>
      <c r="L419" s="2" t="str">
        <f t="shared" si="10"/>
        <v>(0.278 * E4_2_1_59_mRNA) - (0.00000278 * E4_2_1_59)</v>
      </c>
      <c r="M419" s="2" t="str">
        <f t="shared" si="11"/>
        <v>mRNA418: -&gt; E4_2_1_59_mRNA | 0.00292 - (0.0093 * E4_2_1_59_mRNA)</v>
      </c>
      <c r="N419" s="2" t="str">
        <f t="shared" si="12"/>
        <v>Peptide418: E4_2_1_59_mRNA -&gt; E4_2_1_59 | (0.278 * E4_2_1_59_mRNA) - (0.000000278 * E4_2_1_59)</v>
      </c>
    </row>
    <row r="420">
      <c r="A420" s="12">
        <v>419.0</v>
      </c>
      <c r="B420" s="2" t="s">
        <v>25344</v>
      </c>
      <c r="C420" s="2" t="str">
        <f t="shared" si="3"/>
        <v>E4_2_1_75_mRNA</v>
      </c>
      <c r="D420" s="2" t="str">
        <f t="shared" si="4"/>
        <v>E4_2_1_75</v>
      </c>
      <c r="E420" s="2" t="str">
        <f t="shared" si="5"/>
        <v>E4_2_1_75_kcat : 13.7</v>
      </c>
      <c r="F420" s="2" t="str">
        <f t="shared" si="6"/>
        <v>E4_2_1_75_km : 1</v>
      </c>
      <c r="G420" s="2" t="str">
        <f t="shared" ref="G420:H420" si="845">CONCATENATE(C420," : ",C420)</f>
        <v>E4_2_1_75_mRNA : E4_2_1_75_mRNA</v>
      </c>
      <c r="H420" s="2" t="str">
        <f t="shared" si="845"/>
        <v>E4_2_1_75 : E4_2_1_75</v>
      </c>
      <c r="I420" s="2" t="str">
        <f t="shared" ref="I420:J420" si="846">CONCATENATE(C420," : ","0")</f>
        <v>E4_2_1_75_mRNA : 0</v>
      </c>
      <c r="J420" s="2" t="str">
        <f t="shared" si="846"/>
        <v>E4_2_1_75 : 0</v>
      </c>
      <c r="K420" s="2" t="str">
        <f t="shared" si="9"/>
        <v>0.00292 - (0.0093 * E4_2_1_75_mRNA)</v>
      </c>
      <c r="L420" s="2" t="str">
        <f t="shared" si="10"/>
        <v>(0.278 * E4_2_1_75_mRNA) - (0.00000278 * E4_2_1_75)</v>
      </c>
      <c r="M420" s="2" t="str">
        <f t="shared" si="11"/>
        <v>mRNA419: -&gt; E4_2_1_75_mRNA | 0.00292 - (0.0093 * E4_2_1_75_mRNA)</v>
      </c>
      <c r="N420" s="2" t="str">
        <f t="shared" si="12"/>
        <v>Peptide419: E4_2_1_75_mRNA -&gt; E4_2_1_75 | (0.278 * E4_2_1_75_mRNA) - (0.000000278 * E4_2_1_75)</v>
      </c>
    </row>
    <row r="421">
      <c r="A421" s="12">
        <v>420.0</v>
      </c>
      <c r="B421" s="2" t="s">
        <v>25345</v>
      </c>
      <c r="C421" s="2" t="str">
        <f t="shared" si="3"/>
        <v>E4_2_1_79_mRNA</v>
      </c>
      <c r="D421" s="2" t="str">
        <f t="shared" si="4"/>
        <v>E4_2_1_79</v>
      </c>
      <c r="E421" s="2" t="str">
        <f t="shared" si="5"/>
        <v>E4_2_1_79_kcat : 13.7</v>
      </c>
      <c r="F421" s="2" t="str">
        <f t="shared" si="6"/>
        <v>E4_2_1_79_km : 1</v>
      </c>
      <c r="G421" s="2" t="str">
        <f t="shared" ref="G421:H421" si="847">CONCATENATE(C421," : ",C421)</f>
        <v>E4_2_1_79_mRNA : E4_2_1_79_mRNA</v>
      </c>
      <c r="H421" s="2" t="str">
        <f t="shared" si="847"/>
        <v>E4_2_1_79 : E4_2_1_79</v>
      </c>
      <c r="I421" s="2" t="str">
        <f t="shared" ref="I421:J421" si="848">CONCATENATE(C421," : ","0")</f>
        <v>E4_2_1_79_mRNA : 0</v>
      </c>
      <c r="J421" s="2" t="str">
        <f t="shared" si="848"/>
        <v>E4_2_1_79 : 0</v>
      </c>
      <c r="K421" s="2" t="str">
        <f t="shared" si="9"/>
        <v>0.00292 - (0.0093 * E4_2_1_79_mRNA)</v>
      </c>
      <c r="L421" s="2" t="str">
        <f t="shared" si="10"/>
        <v>(0.278 * E4_2_1_79_mRNA) - (0.00000278 * E4_2_1_79)</v>
      </c>
      <c r="M421" s="2" t="str">
        <f t="shared" si="11"/>
        <v>mRNA420: -&gt; E4_2_1_79_mRNA | 0.00292 - (0.0093 * E4_2_1_79_mRNA)</v>
      </c>
      <c r="N421" s="2" t="str">
        <f t="shared" si="12"/>
        <v>Peptide420: E4_2_1_79_mRNA -&gt; E4_2_1_79 | (0.278 * E4_2_1_79_mRNA) - (0.000000278 * E4_2_1_79)</v>
      </c>
    </row>
    <row r="422">
      <c r="A422" s="12">
        <v>421.0</v>
      </c>
      <c r="B422" s="2" t="s">
        <v>25346</v>
      </c>
      <c r="C422" s="2" t="str">
        <f t="shared" si="3"/>
        <v>E4_2_1_9_mRNA</v>
      </c>
      <c r="D422" s="2" t="str">
        <f t="shared" si="4"/>
        <v>E4_2_1_9</v>
      </c>
      <c r="E422" s="2" t="str">
        <f t="shared" si="5"/>
        <v>E4_2_1_9_kcat : 13.7</v>
      </c>
      <c r="F422" s="2" t="str">
        <f t="shared" si="6"/>
        <v>E4_2_1_9_km : 1</v>
      </c>
      <c r="G422" s="2" t="str">
        <f t="shared" ref="G422:H422" si="849">CONCATENATE(C422," : ",C422)</f>
        <v>E4_2_1_9_mRNA : E4_2_1_9_mRNA</v>
      </c>
      <c r="H422" s="2" t="str">
        <f t="shared" si="849"/>
        <v>E4_2_1_9 : E4_2_1_9</v>
      </c>
      <c r="I422" s="2" t="str">
        <f t="shared" ref="I422:J422" si="850">CONCATENATE(C422," : ","0")</f>
        <v>E4_2_1_9_mRNA : 0</v>
      </c>
      <c r="J422" s="2" t="str">
        <f t="shared" si="850"/>
        <v>E4_2_1_9 : 0</v>
      </c>
      <c r="K422" s="2" t="str">
        <f t="shared" si="9"/>
        <v>0.00292 - (0.0093 * E4_2_1_9_mRNA)</v>
      </c>
      <c r="L422" s="2" t="str">
        <f t="shared" si="10"/>
        <v>(0.278 * E4_2_1_9_mRNA) - (0.00000278 * E4_2_1_9)</v>
      </c>
      <c r="M422" s="2" t="str">
        <f t="shared" si="11"/>
        <v>mRNA421: -&gt; E4_2_1_9_mRNA | 0.00292 - (0.0093 * E4_2_1_9_mRNA)</v>
      </c>
      <c r="N422" s="2" t="str">
        <f t="shared" si="12"/>
        <v>Peptide421: E4_2_1_9_mRNA -&gt; E4_2_1_9 | (0.278 * E4_2_1_9_mRNA) - (0.000000278 * E4_2_1_9)</v>
      </c>
    </row>
    <row r="423">
      <c r="A423" s="12">
        <v>422.0</v>
      </c>
      <c r="B423" s="2" t="s">
        <v>25347</v>
      </c>
      <c r="C423" s="2" t="str">
        <f t="shared" si="3"/>
        <v>E4_2_1_96_mRNA</v>
      </c>
      <c r="D423" s="2" t="str">
        <f t="shared" si="4"/>
        <v>E4_2_1_96</v>
      </c>
      <c r="E423" s="2" t="str">
        <f t="shared" si="5"/>
        <v>E4_2_1_96_kcat : 13.7</v>
      </c>
      <c r="F423" s="2" t="str">
        <f t="shared" si="6"/>
        <v>E4_2_1_96_km : 1</v>
      </c>
      <c r="G423" s="2" t="str">
        <f t="shared" ref="G423:H423" si="851">CONCATENATE(C423," : ",C423)</f>
        <v>E4_2_1_96_mRNA : E4_2_1_96_mRNA</v>
      </c>
      <c r="H423" s="2" t="str">
        <f t="shared" si="851"/>
        <v>E4_2_1_96 : E4_2_1_96</v>
      </c>
      <c r="I423" s="2" t="str">
        <f t="shared" ref="I423:J423" si="852">CONCATENATE(C423," : ","0")</f>
        <v>E4_2_1_96_mRNA : 0</v>
      </c>
      <c r="J423" s="2" t="str">
        <f t="shared" si="852"/>
        <v>E4_2_1_96 : 0</v>
      </c>
      <c r="K423" s="2" t="str">
        <f t="shared" si="9"/>
        <v>0.00292 - (0.0093 * E4_2_1_96_mRNA)</v>
      </c>
      <c r="L423" s="2" t="str">
        <f t="shared" si="10"/>
        <v>(0.278 * E4_2_1_96_mRNA) - (0.00000278 * E4_2_1_96)</v>
      </c>
      <c r="M423" s="2" t="str">
        <f t="shared" si="11"/>
        <v>mRNA422: -&gt; E4_2_1_96_mRNA | 0.00292 - (0.0093 * E4_2_1_96_mRNA)</v>
      </c>
      <c r="N423" s="2" t="str">
        <f t="shared" si="12"/>
        <v>Peptide422: E4_2_1_96_mRNA -&gt; E4_2_1_96 | (0.278 * E4_2_1_96_mRNA) - (0.000000278 * E4_2_1_96)</v>
      </c>
    </row>
    <row r="424">
      <c r="A424" s="12">
        <v>423.0</v>
      </c>
      <c r="B424" s="2" t="s">
        <v>25348</v>
      </c>
      <c r="C424" s="2" t="str">
        <f t="shared" si="3"/>
        <v>E4_2_3_1_mRNA</v>
      </c>
      <c r="D424" s="2" t="str">
        <f t="shared" si="4"/>
        <v>E4_2_3_1</v>
      </c>
      <c r="E424" s="2" t="str">
        <f t="shared" si="5"/>
        <v>E4_2_3_1_kcat : 13.7</v>
      </c>
      <c r="F424" s="2" t="str">
        <f t="shared" si="6"/>
        <v>E4_2_3_1_km : 1</v>
      </c>
      <c r="G424" s="2" t="str">
        <f t="shared" ref="G424:H424" si="853">CONCATENATE(C424," : ",C424)</f>
        <v>E4_2_3_1_mRNA : E4_2_3_1_mRNA</v>
      </c>
      <c r="H424" s="2" t="str">
        <f t="shared" si="853"/>
        <v>E4_2_3_1 : E4_2_3_1</v>
      </c>
      <c r="I424" s="2" t="str">
        <f t="shared" ref="I424:J424" si="854">CONCATENATE(C424," : ","0")</f>
        <v>E4_2_3_1_mRNA : 0</v>
      </c>
      <c r="J424" s="2" t="str">
        <f t="shared" si="854"/>
        <v>E4_2_3_1 : 0</v>
      </c>
      <c r="K424" s="2" t="str">
        <f t="shared" si="9"/>
        <v>0.00292 - (0.0093 * E4_2_3_1_mRNA)</v>
      </c>
      <c r="L424" s="2" t="str">
        <f t="shared" si="10"/>
        <v>(0.278 * E4_2_3_1_mRNA) - (0.00000278 * E4_2_3_1)</v>
      </c>
      <c r="M424" s="2" t="str">
        <f t="shared" si="11"/>
        <v>mRNA423: -&gt; E4_2_3_1_mRNA | 0.00292 - (0.0093 * E4_2_3_1_mRNA)</v>
      </c>
      <c r="N424" s="2" t="str">
        <f t="shared" si="12"/>
        <v>Peptide423: E4_2_3_1_mRNA -&gt; E4_2_3_1 | (0.278 * E4_2_3_1_mRNA) - (0.000000278 * E4_2_3_1)</v>
      </c>
    </row>
    <row r="425">
      <c r="A425" s="12">
        <v>424.0</v>
      </c>
      <c r="B425" s="2" t="s">
        <v>25349</v>
      </c>
      <c r="C425" s="2" t="str">
        <f t="shared" si="3"/>
        <v>E4_2_3_3_mRNA</v>
      </c>
      <c r="D425" s="2" t="str">
        <f t="shared" si="4"/>
        <v>E4_2_3_3</v>
      </c>
      <c r="E425" s="2" t="str">
        <f t="shared" si="5"/>
        <v>E4_2_3_3_kcat : 13.7</v>
      </c>
      <c r="F425" s="2" t="str">
        <f t="shared" si="6"/>
        <v>E4_2_3_3_km : 1</v>
      </c>
      <c r="G425" s="2" t="str">
        <f t="shared" ref="G425:H425" si="855">CONCATENATE(C425," : ",C425)</f>
        <v>E4_2_3_3_mRNA : E4_2_3_3_mRNA</v>
      </c>
      <c r="H425" s="2" t="str">
        <f t="shared" si="855"/>
        <v>E4_2_3_3 : E4_2_3_3</v>
      </c>
      <c r="I425" s="2" t="str">
        <f t="shared" ref="I425:J425" si="856">CONCATENATE(C425," : ","0")</f>
        <v>E4_2_3_3_mRNA : 0</v>
      </c>
      <c r="J425" s="2" t="str">
        <f t="shared" si="856"/>
        <v>E4_2_3_3 : 0</v>
      </c>
      <c r="K425" s="2" t="str">
        <f t="shared" si="9"/>
        <v>0.00292 - (0.0093 * E4_2_3_3_mRNA)</v>
      </c>
      <c r="L425" s="2" t="str">
        <f t="shared" si="10"/>
        <v>(0.278 * E4_2_3_3_mRNA) - (0.00000278 * E4_2_3_3)</v>
      </c>
      <c r="M425" s="2" t="str">
        <f t="shared" si="11"/>
        <v>mRNA424: -&gt; E4_2_3_3_mRNA | 0.00292 - (0.0093 * E4_2_3_3_mRNA)</v>
      </c>
      <c r="N425" s="2" t="str">
        <f t="shared" si="12"/>
        <v>Peptide424: E4_2_3_3_mRNA -&gt; E4_2_3_3 | (0.278 * E4_2_3_3_mRNA) - (0.000000278 * E4_2_3_3)</v>
      </c>
    </row>
    <row r="426">
      <c r="A426" s="12">
        <v>425.0</v>
      </c>
      <c r="B426" s="2" t="s">
        <v>25350</v>
      </c>
      <c r="C426" s="2" t="str">
        <f t="shared" si="3"/>
        <v>E4_2_3_4_mRNA</v>
      </c>
      <c r="D426" s="2" t="str">
        <f t="shared" si="4"/>
        <v>E4_2_3_4</v>
      </c>
      <c r="E426" s="2" t="str">
        <f t="shared" si="5"/>
        <v>E4_2_3_4_kcat : 13.7</v>
      </c>
      <c r="F426" s="2" t="str">
        <f t="shared" si="6"/>
        <v>E4_2_3_4_km : 1</v>
      </c>
      <c r="G426" s="2" t="str">
        <f t="shared" ref="G426:H426" si="857">CONCATENATE(C426," : ",C426)</f>
        <v>E4_2_3_4_mRNA : E4_2_3_4_mRNA</v>
      </c>
      <c r="H426" s="2" t="str">
        <f t="shared" si="857"/>
        <v>E4_2_3_4 : E4_2_3_4</v>
      </c>
      <c r="I426" s="2" t="str">
        <f t="shared" ref="I426:J426" si="858">CONCATENATE(C426," : ","0")</f>
        <v>E4_2_3_4_mRNA : 0</v>
      </c>
      <c r="J426" s="2" t="str">
        <f t="shared" si="858"/>
        <v>E4_2_3_4 : 0</v>
      </c>
      <c r="K426" s="2" t="str">
        <f t="shared" si="9"/>
        <v>0.00292 - (0.0093 * E4_2_3_4_mRNA)</v>
      </c>
      <c r="L426" s="2" t="str">
        <f t="shared" si="10"/>
        <v>(0.278 * E4_2_3_4_mRNA) - (0.00000278 * E4_2_3_4)</v>
      </c>
      <c r="M426" s="2" t="str">
        <f t="shared" si="11"/>
        <v>mRNA425: -&gt; E4_2_3_4_mRNA | 0.00292 - (0.0093 * E4_2_3_4_mRNA)</v>
      </c>
      <c r="N426" s="2" t="str">
        <f t="shared" si="12"/>
        <v>Peptide425: E4_2_3_4_mRNA -&gt; E4_2_3_4 | (0.278 * E4_2_3_4_mRNA) - (0.000000278 * E4_2_3_4)</v>
      </c>
    </row>
    <row r="427">
      <c r="A427" s="12">
        <v>426.0</v>
      </c>
      <c r="B427" s="2" t="s">
        <v>25351</v>
      </c>
      <c r="C427" s="2" t="str">
        <f t="shared" si="3"/>
        <v>E4_2_3_5_mRNA</v>
      </c>
      <c r="D427" s="2" t="str">
        <f t="shared" si="4"/>
        <v>E4_2_3_5</v>
      </c>
      <c r="E427" s="2" t="str">
        <f t="shared" si="5"/>
        <v>E4_2_3_5_kcat : 13.7</v>
      </c>
      <c r="F427" s="2" t="str">
        <f t="shared" si="6"/>
        <v>E4_2_3_5_km : 1</v>
      </c>
      <c r="G427" s="2" t="str">
        <f t="shared" ref="G427:H427" si="859">CONCATENATE(C427," : ",C427)</f>
        <v>E4_2_3_5_mRNA : E4_2_3_5_mRNA</v>
      </c>
      <c r="H427" s="2" t="str">
        <f t="shared" si="859"/>
        <v>E4_2_3_5 : E4_2_3_5</v>
      </c>
      <c r="I427" s="2" t="str">
        <f t="shared" ref="I427:J427" si="860">CONCATENATE(C427," : ","0")</f>
        <v>E4_2_3_5_mRNA : 0</v>
      </c>
      <c r="J427" s="2" t="str">
        <f t="shared" si="860"/>
        <v>E4_2_3_5 : 0</v>
      </c>
      <c r="K427" s="2" t="str">
        <f t="shared" si="9"/>
        <v>0.00292 - (0.0093 * E4_2_3_5_mRNA)</v>
      </c>
      <c r="L427" s="2" t="str">
        <f t="shared" si="10"/>
        <v>(0.278 * E4_2_3_5_mRNA) - (0.00000278 * E4_2_3_5)</v>
      </c>
      <c r="M427" s="2" t="str">
        <f t="shared" si="11"/>
        <v>mRNA426: -&gt; E4_2_3_5_mRNA | 0.00292 - (0.0093 * E4_2_3_5_mRNA)</v>
      </c>
      <c r="N427" s="2" t="str">
        <f t="shared" si="12"/>
        <v>Peptide426: E4_2_3_5_mRNA -&gt; E4_2_3_5 | (0.278 * E4_2_3_5_mRNA) - (0.000000278 * E4_2_3_5)</v>
      </c>
    </row>
    <row r="428">
      <c r="A428" s="12">
        <v>427.0</v>
      </c>
      <c r="B428" s="2" t="s">
        <v>25352</v>
      </c>
      <c r="C428" s="2" t="str">
        <f t="shared" si="3"/>
        <v>E4_2_99_20_mRNA</v>
      </c>
      <c r="D428" s="2" t="str">
        <f t="shared" si="4"/>
        <v>E4_2_99_20</v>
      </c>
      <c r="E428" s="2" t="str">
        <f t="shared" si="5"/>
        <v>E4_2_99_20_kcat : 13.7</v>
      </c>
      <c r="F428" s="2" t="str">
        <f t="shared" si="6"/>
        <v>E4_2_99_20_km : 1</v>
      </c>
      <c r="G428" s="2" t="str">
        <f t="shared" ref="G428:H428" si="861">CONCATENATE(C428," : ",C428)</f>
        <v>E4_2_99_20_mRNA : E4_2_99_20_mRNA</v>
      </c>
      <c r="H428" s="2" t="str">
        <f t="shared" si="861"/>
        <v>E4_2_99_20 : E4_2_99_20</v>
      </c>
      <c r="I428" s="2" t="str">
        <f t="shared" ref="I428:J428" si="862">CONCATENATE(C428," : ","0")</f>
        <v>E4_2_99_20_mRNA : 0</v>
      </c>
      <c r="J428" s="2" t="str">
        <f t="shared" si="862"/>
        <v>E4_2_99_20 : 0</v>
      </c>
      <c r="K428" s="2" t="str">
        <f t="shared" si="9"/>
        <v>0.00292 - (0.0093 * E4_2_99_20_mRNA)</v>
      </c>
      <c r="L428" s="2" t="str">
        <f t="shared" si="10"/>
        <v>(0.278 * E4_2_99_20_mRNA) - (0.00000278 * E4_2_99_20)</v>
      </c>
      <c r="M428" s="2" t="str">
        <f t="shared" si="11"/>
        <v>mRNA427: -&gt; E4_2_99_20_mRNA | 0.00292 - (0.0093 * E4_2_99_20_mRNA)</v>
      </c>
      <c r="N428" s="2" t="str">
        <f t="shared" si="12"/>
        <v>Peptide427: E4_2_99_20_mRNA -&gt; E4_2_99_20 | (0.278 * E4_2_99_20_mRNA) - (0.000000278 * E4_2_99_20)</v>
      </c>
    </row>
    <row r="429">
      <c r="A429" s="12">
        <v>428.0</v>
      </c>
      <c r="B429" s="2" t="s">
        <v>25353</v>
      </c>
      <c r="C429" s="2" t="str">
        <f t="shared" si="3"/>
        <v>E4_3_1_1_mRNA</v>
      </c>
      <c r="D429" s="2" t="str">
        <f t="shared" si="4"/>
        <v>E4_3_1_1</v>
      </c>
      <c r="E429" s="2" t="str">
        <f t="shared" si="5"/>
        <v>E4_3_1_1_kcat : 13.7</v>
      </c>
      <c r="F429" s="2" t="str">
        <f t="shared" si="6"/>
        <v>E4_3_1_1_km : 1</v>
      </c>
      <c r="G429" s="2" t="str">
        <f t="shared" ref="G429:H429" si="863">CONCATENATE(C429," : ",C429)</f>
        <v>E4_3_1_1_mRNA : E4_3_1_1_mRNA</v>
      </c>
      <c r="H429" s="2" t="str">
        <f t="shared" si="863"/>
        <v>E4_3_1_1 : E4_3_1_1</v>
      </c>
      <c r="I429" s="2" t="str">
        <f t="shared" ref="I429:J429" si="864">CONCATENATE(C429," : ","0")</f>
        <v>E4_3_1_1_mRNA : 0</v>
      </c>
      <c r="J429" s="2" t="str">
        <f t="shared" si="864"/>
        <v>E4_3_1_1 : 0</v>
      </c>
      <c r="K429" s="2" t="str">
        <f t="shared" si="9"/>
        <v>0.00292 - (0.0093 * E4_3_1_1_mRNA)</v>
      </c>
      <c r="L429" s="2" t="str">
        <f t="shared" si="10"/>
        <v>(0.278 * E4_3_1_1_mRNA) - (0.00000278 * E4_3_1_1)</v>
      </c>
      <c r="M429" s="2" t="str">
        <f t="shared" si="11"/>
        <v>mRNA428: -&gt; E4_3_1_1_mRNA | 0.00292 - (0.0093 * E4_3_1_1_mRNA)</v>
      </c>
      <c r="N429" s="2" t="str">
        <f t="shared" si="12"/>
        <v>Peptide428: E4_3_1_1_mRNA -&gt; E4_3_1_1 | (0.278 * E4_3_1_1_mRNA) - (0.000000278 * E4_3_1_1)</v>
      </c>
    </row>
    <row r="430">
      <c r="A430" s="12">
        <v>429.0</v>
      </c>
      <c r="B430" s="2" t="s">
        <v>25354</v>
      </c>
      <c r="C430" s="2" t="str">
        <f t="shared" si="3"/>
        <v>E4_3_1_17_mRNA</v>
      </c>
      <c r="D430" s="2" t="str">
        <f t="shared" si="4"/>
        <v>E4_3_1_17</v>
      </c>
      <c r="E430" s="2" t="str">
        <f t="shared" si="5"/>
        <v>E4_3_1_17_kcat : 13.7</v>
      </c>
      <c r="F430" s="2" t="str">
        <f t="shared" si="6"/>
        <v>E4_3_1_17_km : 1</v>
      </c>
      <c r="G430" s="2" t="str">
        <f t="shared" ref="G430:H430" si="865">CONCATENATE(C430," : ",C430)</f>
        <v>E4_3_1_17_mRNA : E4_3_1_17_mRNA</v>
      </c>
      <c r="H430" s="2" t="str">
        <f t="shared" si="865"/>
        <v>E4_3_1_17 : E4_3_1_17</v>
      </c>
      <c r="I430" s="2" t="str">
        <f t="shared" ref="I430:J430" si="866">CONCATENATE(C430," : ","0")</f>
        <v>E4_3_1_17_mRNA : 0</v>
      </c>
      <c r="J430" s="2" t="str">
        <f t="shared" si="866"/>
        <v>E4_3_1_17 : 0</v>
      </c>
      <c r="K430" s="2" t="str">
        <f t="shared" si="9"/>
        <v>0.00292 - (0.0093 * E4_3_1_17_mRNA)</v>
      </c>
      <c r="L430" s="2" t="str">
        <f t="shared" si="10"/>
        <v>(0.278 * E4_3_1_17_mRNA) - (0.00000278 * E4_3_1_17)</v>
      </c>
      <c r="M430" s="2" t="str">
        <f t="shared" si="11"/>
        <v>mRNA429: -&gt; E4_3_1_17_mRNA | 0.00292 - (0.0093 * E4_3_1_17_mRNA)</v>
      </c>
      <c r="N430" s="2" t="str">
        <f t="shared" si="12"/>
        <v>Peptide429: E4_3_1_17_mRNA -&gt; E4_3_1_17 | (0.278 * E4_3_1_17_mRNA) - (0.000000278 * E4_3_1_17)</v>
      </c>
    </row>
    <row r="431">
      <c r="A431" s="12">
        <v>430.0</v>
      </c>
      <c r="B431" s="2" t="s">
        <v>25355</v>
      </c>
      <c r="C431" s="2" t="str">
        <f t="shared" si="3"/>
        <v>E4_3_1_19_mRNA</v>
      </c>
      <c r="D431" s="2" t="str">
        <f t="shared" si="4"/>
        <v>E4_3_1_19</v>
      </c>
      <c r="E431" s="2" t="str">
        <f t="shared" si="5"/>
        <v>E4_3_1_19_kcat : 13.7</v>
      </c>
      <c r="F431" s="2" t="str">
        <f t="shared" si="6"/>
        <v>E4_3_1_19_km : 1</v>
      </c>
      <c r="G431" s="2" t="str">
        <f t="shared" ref="G431:H431" si="867">CONCATENATE(C431," : ",C431)</f>
        <v>E4_3_1_19_mRNA : E4_3_1_19_mRNA</v>
      </c>
      <c r="H431" s="2" t="str">
        <f t="shared" si="867"/>
        <v>E4_3_1_19 : E4_3_1_19</v>
      </c>
      <c r="I431" s="2" t="str">
        <f t="shared" ref="I431:J431" si="868">CONCATENATE(C431," : ","0")</f>
        <v>E4_3_1_19_mRNA : 0</v>
      </c>
      <c r="J431" s="2" t="str">
        <f t="shared" si="868"/>
        <v>E4_3_1_19 : 0</v>
      </c>
      <c r="K431" s="2" t="str">
        <f t="shared" si="9"/>
        <v>0.00292 - (0.0093 * E4_3_1_19_mRNA)</v>
      </c>
      <c r="L431" s="2" t="str">
        <f t="shared" si="10"/>
        <v>(0.278 * E4_3_1_19_mRNA) - (0.00000278 * E4_3_1_19)</v>
      </c>
      <c r="M431" s="2" t="str">
        <f t="shared" si="11"/>
        <v>mRNA430: -&gt; E4_3_1_19_mRNA | 0.00292 - (0.0093 * E4_3_1_19_mRNA)</v>
      </c>
      <c r="N431" s="2" t="str">
        <f t="shared" si="12"/>
        <v>Peptide430: E4_3_1_19_mRNA -&gt; E4_3_1_19 | (0.278 * E4_3_1_19_mRNA) - (0.000000278 * E4_3_1_19)</v>
      </c>
    </row>
    <row r="432">
      <c r="A432" s="12">
        <v>431.0</v>
      </c>
      <c r="B432" s="2" t="s">
        <v>25356</v>
      </c>
      <c r="C432" s="2" t="str">
        <f t="shared" si="3"/>
        <v>E4_3_1_3_mRNA</v>
      </c>
      <c r="D432" s="2" t="str">
        <f t="shared" si="4"/>
        <v>E4_3_1_3</v>
      </c>
      <c r="E432" s="2" t="str">
        <f t="shared" si="5"/>
        <v>E4_3_1_3_kcat : 13.7</v>
      </c>
      <c r="F432" s="2" t="str">
        <f t="shared" si="6"/>
        <v>E4_3_1_3_km : 1</v>
      </c>
      <c r="G432" s="2" t="str">
        <f t="shared" ref="G432:H432" si="869">CONCATENATE(C432," : ",C432)</f>
        <v>E4_3_1_3_mRNA : E4_3_1_3_mRNA</v>
      </c>
      <c r="H432" s="2" t="str">
        <f t="shared" si="869"/>
        <v>E4_3_1_3 : E4_3_1_3</v>
      </c>
      <c r="I432" s="2" t="str">
        <f t="shared" ref="I432:J432" si="870">CONCATENATE(C432," : ","0")</f>
        <v>E4_3_1_3_mRNA : 0</v>
      </c>
      <c r="J432" s="2" t="str">
        <f t="shared" si="870"/>
        <v>E4_3_1_3 : 0</v>
      </c>
      <c r="K432" s="2" t="str">
        <f t="shared" si="9"/>
        <v>0.00292 - (0.0093 * E4_3_1_3_mRNA)</v>
      </c>
      <c r="L432" s="2" t="str">
        <f t="shared" si="10"/>
        <v>(0.278 * E4_3_1_3_mRNA) - (0.00000278 * E4_3_1_3)</v>
      </c>
      <c r="M432" s="2" t="str">
        <f t="shared" si="11"/>
        <v>mRNA431: -&gt; E4_3_1_3_mRNA | 0.00292 - (0.0093 * E4_3_1_3_mRNA)</v>
      </c>
      <c r="N432" s="2" t="str">
        <f t="shared" si="12"/>
        <v>Peptide431: E4_3_1_3_mRNA -&gt; E4_3_1_3 | (0.278 * E4_3_1_3_mRNA) - (0.000000278 * E4_3_1_3)</v>
      </c>
    </row>
    <row r="433">
      <c r="A433" s="12">
        <v>432.0</v>
      </c>
      <c r="B433" s="2" t="s">
        <v>25357</v>
      </c>
      <c r="C433" s="2" t="str">
        <f t="shared" si="3"/>
        <v>E4_3_2_1_mRNA</v>
      </c>
      <c r="D433" s="2" t="str">
        <f t="shared" si="4"/>
        <v>E4_3_2_1</v>
      </c>
      <c r="E433" s="2" t="str">
        <f t="shared" si="5"/>
        <v>E4_3_2_1_kcat : 13.7</v>
      </c>
      <c r="F433" s="2" t="str">
        <f t="shared" si="6"/>
        <v>E4_3_2_1_km : 1</v>
      </c>
      <c r="G433" s="2" t="str">
        <f t="shared" ref="G433:H433" si="871">CONCATENATE(C433," : ",C433)</f>
        <v>E4_3_2_1_mRNA : E4_3_2_1_mRNA</v>
      </c>
      <c r="H433" s="2" t="str">
        <f t="shared" si="871"/>
        <v>E4_3_2_1 : E4_3_2_1</v>
      </c>
      <c r="I433" s="2" t="str">
        <f t="shared" ref="I433:J433" si="872">CONCATENATE(C433," : ","0")</f>
        <v>E4_3_2_1_mRNA : 0</v>
      </c>
      <c r="J433" s="2" t="str">
        <f t="shared" si="872"/>
        <v>E4_3_2_1 : 0</v>
      </c>
      <c r="K433" s="2" t="str">
        <f t="shared" si="9"/>
        <v>0.00292 - (0.0093 * E4_3_2_1_mRNA)</v>
      </c>
      <c r="L433" s="2" t="str">
        <f t="shared" si="10"/>
        <v>(0.278 * E4_3_2_1_mRNA) - (0.00000278 * E4_3_2_1)</v>
      </c>
      <c r="M433" s="2" t="str">
        <f t="shared" si="11"/>
        <v>mRNA432: -&gt; E4_3_2_1_mRNA | 0.00292 - (0.0093 * E4_3_2_1_mRNA)</v>
      </c>
      <c r="N433" s="2" t="str">
        <f t="shared" si="12"/>
        <v>Peptide432: E4_3_2_1_mRNA -&gt; E4_3_2_1 | (0.278 * E4_3_2_1_mRNA) - (0.000000278 * E4_3_2_1)</v>
      </c>
    </row>
    <row r="434">
      <c r="A434" s="12">
        <v>433.0</v>
      </c>
      <c r="B434" s="2" t="s">
        <v>25358</v>
      </c>
      <c r="C434" s="2" t="str">
        <f t="shared" si="3"/>
        <v>E4_3_2_10_mRNA</v>
      </c>
      <c r="D434" s="2" t="str">
        <f t="shared" si="4"/>
        <v>E4_3_2_10</v>
      </c>
      <c r="E434" s="2" t="str">
        <f t="shared" si="5"/>
        <v>E4_3_2_10_kcat : 13.7</v>
      </c>
      <c r="F434" s="2" t="str">
        <f t="shared" si="6"/>
        <v>E4_3_2_10_km : 1</v>
      </c>
      <c r="G434" s="2" t="str">
        <f t="shared" ref="G434:H434" si="873">CONCATENATE(C434," : ",C434)</f>
        <v>E4_3_2_10_mRNA : E4_3_2_10_mRNA</v>
      </c>
      <c r="H434" s="2" t="str">
        <f t="shared" si="873"/>
        <v>E4_3_2_10 : E4_3_2_10</v>
      </c>
      <c r="I434" s="2" t="str">
        <f t="shared" ref="I434:J434" si="874">CONCATENATE(C434," : ","0")</f>
        <v>E4_3_2_10_mRNA : 0</v>
      </c>
      <c r="J434" s="2" t="str">
        <f t="shared" si="874"/>
        <v>E4_3_2_10 : 0</v>
      </c>
      <c r="K434" s="2" t="str">
        <f t="shared" si="9"/>
        <v>0.00292 - (0.0093 * E4_3_2_10_mRNA)</v>
      </c>
      <c r="L434" s="2" t="str">
        <f t="shared" si="10"/>
        <v>(0.278 * E4_3_2_10_mRNA) - (0.00000278 * E4_3_2_10)</v>
      </c>
      <c r="M434" s="2" t="str">
        <f t="shared" si="11"/>
        <v>mRNA433: -&gt; E4_3_2_10_mRNA | 0.00292 - (0.0093 * E4_3_2_10_mRNA)</v>
      </c>
      <c r="N434" s="2" t="str">
        <f t="shared" si="12"/>
        <v>Peptide433: E4_3_2_10_mRNA -&gt; E4_3_2_10 | (0.278 * E4_3_2_10_mRNA) - (0.000000278 * E4_3_2_10)</v>
      </c>
    </row>
    <row r="435">
      <c r="A435" s="12">
        <v>434.0</v>
      </c>
      <c r="B435" s="2" t="s">
        <v>25359</v>
      </c>
      <c r="C435" s="2" t="str">
        <f t="shared" si="3"/>
        <v>E4_3_2_2_mRNA</v>
      </c>
      <c r="D435" s="2" t="str">
        <f t="shared" si="4"/>
        <v>E4_3_2_2</v>
      </c>
      <c r="E435" s="2" t="str">
        <f t="shared" si="5"/>
        <v>E4_3_2_2_kcat : 13.7</v>
      </c>
      <c r="F435" s="2" t="str">
        <f t="shared" si="6"/>
        <v>E4_3_2_2_km : 1</v>
      </c>
      <c r="G435" s="2" t="str">
        <f t="shared" ref="G435:H435" si="875">CONCATENATE(C435," : ",C435)</f>
        <v>E4_3_2_2_mRNA : E4_3_2_2_mRNA</v>
      </c>
      <c r="H435" s="2" t="str">
        <f t="shared" si="875"/>
        <v>E4_3_2_2 : E4_3_2_2</v>
      </c>
      <c r="I435" s="2" t="str">
        <f t="shared" ref="I435:J435" si="876">CONCATENATE(C435," : ","0")</f>
        <v>E4_3_2_2_mRNA : 0</v>
      </c>
      <c r="J435" s="2" t="str">
        <f t="shared" si="876"/>
        <v>E4_3_2_2 : 0</v>
      </c>
      <c r="K435" s="2" t="str">
        <f t="shared" si="9"/>
        <v>0.00292 - (0.0093 * E4_3_2_2_mRNA)</v>
      </c>
      <c r="L435" s="2" t="str">
        <f t="shared" si="10"/>
        <v>(0.278 * E4_3_2_2_mRNA) - (0.00000278 * E4_3_2_2)</v>
      </c>
      <c r="M435" s="2" t="str">
        <f t="shared" si="11"/>
        <v>mRNA434: -&gt; E4_3_2_2_mRNA | 0.00292 - (0.0093 * E4_3_2_2_mRNA)</v>
      </c>
      <c r="N435" s="2" t="str">
        <f t="shared" si="12"/>
        <v>Peptide434: E4_3_2_2_mRNA -&gt; E4_3_2_2 | (0.278 * E4_3_2_2_mRNA) - (0.000000278 * E4_3_2_2)</v>
      </c>
    </row>
    <row r="436">
      <c r="A436" s="12">
        <v>435.0</v>
      </c>
      <c r="B436" s="2" t="s">
        <v>25360</v>
      </c>
      <c r="C436" s="2" t="str">
        <f t="shared" si="3"/>
        <v>E4_3_3_6_mRNA</v>
      </c>
      <c r="D436" s="2" t="str">
        <f t="shared" si="4"/>
        <v>E4_3_3_6</v>
      </c>
      <c r="E436" s="2" t="str">
        <f t="shared" si="5"/>
        <v>E4_3_3_6_kcat : 13.7</v>
      </c>
      <c r="F436" s="2" t="str">
        <f t="shared" si="6"/>
        <v>E4_3_3_6_km : 1</v>
      </c>
      <c r="G436" s="2" t="str">
        <f t="shared" ref="G436:H436" si="877">CONCATENATE(C436," : ",C436)</f>
        <v>E4_3_3_6_mRNA : E4_3_3_6_mRNA</v>
      </c>
      <c r="H436" s="2" t="str">
        <f t="shared" si="877"/>
        <v>E4_3_3_6 : E4_3_3_6</v>
      </c>
      <c r="I436" s="2" t="str">
        <f t="shared" ref="I436:J436" si="878">CONCATENATE(C436," : ","0")</f>
        <v>E4_3_3_6_mRNA : 0</v>
      </c>
      <c r="J436" s="2" t="str">
        <f t="shared" si="878"/>
        <v>E4_3_3_6 : 0</v>
      </c>
      <c r="K436" s="2" t="str">
        <f t="shared" si="9"/>
        <v>0.00292 - (0.0093 * E4_3_3_6_mRNA)</v>
      </c>
      <c r="L436" s="2" t="str">
        <f t="shared" si="10"/>
        <v>(0.278 * E4_3_3_6_mRNA) - (0.00000278 * E4_3_3_6)</v>
      </c>
      <c r="M436" s="2" t="str">
        <f t="shared" si="11"/>
        <v>mRNA435: -&gt; E4_3_3_6_mRNA | 0.00292 - (0.0093 * E4_3_3_6_mRNA)</v>
      </c>
      <c r="N436" s="2" t="str">
        <f t="shared" si="12"/>
        <v>Peptide435: E4_3_3_6_mRNA -&gt; E4_3_3_6 | (0.278 * E4_3_3_6_mRNA) - (0.000000278 * E4_3_3_6)</v>
      </c>
    </row>
    <row r="437">
      <c r="A437" s="12">
        <v>436.0</v>
      </c>
      <c r="B437" s="2" t="s">
        <v>25361</v>
      </c>
      <c r="C437" s="2" t="str">
        <f t="shared" si="3"/>
        <v>E4_3_3_7_mRNA</v>
      </c>
      <c r="D437" s="2" t="str">
        <f t="shared" si="4"/>
        <v>E4_3_3_7</v>
      </c>
      <c r="E437" s="2" t="str">
        <f t="shared" si="5"/>
        <v>E4_3_3_7_kcat : 13.7</v>
      </c>
      <c r="F437" s="2" t="str">
        <f t="shared" si="6"/>
        <v>E4_3_3_7_km : 1</v>
      </c>
      <c r="G437" s="2" t="str">
        <f t="shared" ref="G437:H437" si="879">CONCATENATE(C437," : ",C437)</f>
        <v>E4_3_3_7_mRNA : E4_3_3_7_mRNA</v>
      </c>
      <c r="H437" s="2" t="str">
        <f t="shared" si="879"/>
        <v>E4_3_3_7 : E4_3_3_7</v>
      </c>
      <c r="I437" s="2" t="str">
        <f t="shared" ref="I437:J437" si="880">CONCATENATE(C437," : ","0")</f>
        <v>E4_3_3_7_mRNA : 0</v>
      </c>
      <c r="J437" s="2" t="str">
        <f t="shared" si="880"/>
        <v>E4_3_3_7 : 0</v>
      </c>
      <c r="K437" s="2" t="str">
        <f t="shared" si="9"/>
        <v>0.00292 - (0.0093 * E4_3_3_7_mRNA)</v>
      </c>
      <c r="L437" s="2" t="str">
        <f t="shared" si="10"/>
        <v>(0.278 * E4_3_3_7_mRNA) - (0.00000278 * E4_3_3_7)</v>
      </c>
      <c r="M437" s="2" t="str">
        <f t="shared" si="11"/>
        <v>mRNA436: -&gt; E4_3_3_7_mRNA | 0.00292 - (0.0093 * E4_3_3_7_mRNA)</v>
      </c>
      <c r="N437" s="2" t="str">
        <f t="shared" si="12"/>
        <v>Peptide436: E4_3_3_7_mRNA -&gt; E4_3_3_7 | (0.278 * E4_3_3_7_mRNA) - (0.000000278 * E4_3_3_7)</v>
      </c>
    </row>
    <row r="438">
      <c r="A438" s="12">
        <v>437.0</v>
      </c>
      <c r="B438" s="2" t="s">
        <v>25362</v>
      </c>
      <c r="C438" s="2" t="str">
        <f t="shared" si="3"/>
        <v>E4_3_99_3_mRNA</v>
      </c>
      <c r="D438" s="2" t="str">
        <f t="shared" si="4"/>
        <v>E4_3_99_3</v>
      </c>
      <c r="E438" s="2" t="str">
        <f t="shared" si="5"/>
        <v>E4_3_99_3_kcat : 13.7</v>
      </c>
      <c r="F438" s="2" t="str">
        <f t="shared" si="6"/>
        <v>E4_3_99_3_km : 1</v>
      </c>
      <c r="G438" s="2" t="str">
        <f t="shared" ref="G438:H438" si="881">CONCATENATE(C438," : ",C438)</f>
        <v>E4_3_99_3_mRNA : E4_3_99_3_mRNA</v>
      </c>
      <c r="H438" s="2" t="str">
        <f t="shared" si="881"/>
        <v>E4_3_99_3 : E4_3_99_3</v>
      </c>
      <c r="I438" s="2" t="str">
        <f t="shared" ref="I438:J438" si="882">CONCATENATE(C438," : ","0")</f>
        <v>E4_3_99_3_mRNA : 0</v>
      </c>
      <c r="J438" s="2" t="str">
        <f t="shared" si="882"/>
        <v>E4_3_99_3 : 0</v>
      </c>
      <c r="K438" s="2" t="str">
        <f t="shared" si="9"/>
        <v>0.00292 - (0.0093 * E4_3_99_3_mRNA)</v>
      </c>
      <c r="L438" s="2" t="str">
        <f t="shared" si="10"/>
        <v>(0.278 * E4_3_99_3_mRNA) - (0.00000278 * E4_3_99_3)</v>
      </c>
      <c r="M438" s="2" t="str">
        <f t="shared" si="11"/>
        <v>mRNA437: -&gt; E4_3_99_3_mRNA | 0.00292 - (0.0093 * E4_3_99_3_mRNA)</v>
      </c>
      <c r="N438" s="2" t="str">
        <f t="shared" si="12"/>
        <v>Peptide437: E4_3_99_3_mRNA -&gt; E4_3_99_3 | (0.278 * E4_3_99_3_mRNA) - (0.000000278 * E4_3_99_3)</v>
      </c>
    </row>
    <row r="439">
      <c r="A439" s="12">
        <v>438.0</v>
      </c>
      <c r="B439" s="2" t="s">
        <v>25363</v>
      </c>
      <c r="C439" s="2" t="str">
        <f t="shared" si="3"/>
        <v>E4_4_1_11_mRNA</v>
      </c>
      <c r="D439" s="2" t="str">
        <f t="shared" si="4"/>
        <v>E4_4_1_11</v>
      </c>
      <c r="E439" s="2" t="str">
        <f t="shared" si="5"/>
        <v>E4_4_1_11_kcat : 13.7</v>
      </c>
      <c r="F439" s="2" t="str">
        <f t="shared" si="6"/>
        <v>E4_4_1_11_km : 1</v>
      </c>
      <c r="G439" s="2" t="str">
        <f t="shared" ref="G439:H439" si="883">CONCATENATE(C439," : ",C439)</f>
        <v>E4_4_1_11_mRNA : E4_4_1_11_mRNA</v>
      </c>
      <c r="H439" s="2" t="str">
        <f t="shared" si="883"/>
        <v>E4_4_1_11 : E4_4_1_11</v>
      </c>
      <c r="I439" s="2" t="str">
        <f t="shared" ref="I439:J439" si="884">CONCATENATE(C439," : ","0")</f>
        <v>E4_4_1_11_mRNA : 0</v>
      </c>
      <c r="J439" s="2" t="str">
        <f t="shared" si="884"/>
        <v>E4_4_1_11 : 0</v>
      </c>
      <c r="K439" s="2" t="str">
        <f t="shared" si="9"/>
        <v>0.00292 - (0.0093 * E4_4_1_11_mRNA)</v>
      </c>
      <c r="L439" s="2" t="str">
        <f t="shared" si="10"/>
        <v>(0.278 * E4_4_1_11_mRNA) - (0.00000278 * E4_4_1_11)</v>
      </c>
      <c r="M439" s="2" t="str">
        <f t="shared" si="11"/>
        <v>mRNA438: -&gt; E4_4_1_11_mRNA | 0.00292 - (0.0093 * E4_4_1_11_mRNA)</v>
      </c>
      <c r="N439" s="2" t="str">
        <f t="shared" si="12"/>
        <v>Peptide438: E4_4_1_11_mRNA -&gt; E4_4_1_11 | (0.278 * E4_4_1_11_mRNA) - (0.000000278 * E4_4_1_11)</v>
      </c>
    </row>
    <row r="440">
      <c r="A440" s="12">
        <v>439.0</v>
      </c>
      <c r="B440" s="2" t="s">
        <v>25364</v>
      </c>
      <c r="C440" s="2" t="str">
        <f t="shared" si="3"/>
        <v>E4_4_1_13_mRNA</v>
      </c>
      <c r="D440" s="2" t="str">
        <f t="shared" si="4"/>
        <v>E4_4_1_13</v>
      </c>
      <c r="E440" s="2" t="str">
        <f t="shared" si="5"/>
        <v>E4_4_1_13_kcat : 13.7</v>
      </c>
      <c r="F440" s="2" t="str">
        <f t="shared" si="6"/>
        <v>E4_4_1_13_km : 1</v>
      </c>
      <c r="G440" s="2" t="str">
        <f t="shared" ref="G440:H440" si="885">CONCATENATE(C440," : ",C440)</f>
        <v>E4_4_1_13_mRNA : E4_4_1_13_mRNA</v>
      </c>
      <c r="H440" s="2" t="str">
        <f t="shared" si="885"/>
        <v>E4_4_1_13 : E4_4_1_13</v>
      </c>
      <c r="I440" s="2" t="str">
        <f t="shared" ref="I440:J440" si="886">CONCATENATE(C440," : ","0")</f>
        <v>E4_4_1_13_mRNA : 0</v>
      </c>
      <c r="J440" s="2" t="str">
        <f t="shared" si="886"/>
        <v>E4_4_1_13 : 0</v>
      </c>
      <c r="K440" s="2" t="str">
        <f t="shared" si="9"/>
        <v>0.00292 - (0.0093 * E4_4_1_13_mRNA)</v>
      </c>
      <c r="L440" s="2" t="str">
        <f t="shared" si="10"/>
        <v>(0.278 * E4_4_1_13_mRNA) - (0.00000278 * E4_4_1_13)</v>
      </c>
      <c r="M440" s="2" t="str">
        <f t="shared" si="11"/>
        <v>mRNA439: -&gt; E4_4_1_13_mRNA | 0.00292 - (0.0093 * E4_4_1_13_mRNA)</v>
      </c>
      <c r="N440" s="2" t="str">
        <f t="shared" si="12"/>
        <v>Peptide439: E4_4_1_13_mRNA -&gt; E4_4_1_13 | (0.278 * E4_4_1_13_mRNA) - (0.000000278 * E4_4_1_13)</v>
      </c>
    </row>
    <row r="441">
      <c r="A441" s="12">
        <v>440.0</v>
      </c>
      <c r="B441" s="2" t="s">
        <v>25365</v>
      </c>
      <c r="C441" s="2" t="str">
        <f t="shared" si="3"/>
        <v>E4_4_1_15_mRNA</v>
      </c>
      <c r="D441" s="2" t="str">
        <f t="shared" si="4"/>
        <v>E4_4_1_15</v>
      </c>
      <c r="E441" s="2" t="str">
        <f t="shared" si="5"/>
        <v>E4_4_1_15_kcat : 13.7</v>
      </c>
      <c r="F441" s="2" t="str">
        <f t="shared" si="6"/>
        <v>E4_4_1_15_km : 1</v>
      </c>
      <c r="G441" s="2" t="str">
        <f t="shared" ref="G441:H441" si="887">CONCATENATE(C441," : ",C441)</f>
        <v>E4_4_1_15_mRNA : E4_4_1_15_mRNA</v>
      </c>
      <c r="H441" s="2" t="str">
        <f t="shared" si="887"/>
        <v>E4_4_1_15 : E4_4_1_15</v>
      </c>
      <c r="I441" s="2" t="str">
        <f t="shared" ref="I441:J441" si="888">CONCATENATE(C441," : ","0")</f>
        <v>E4_4_1_15_mRNA : 0</v>
      </c>
      <c r="J441" s="2" t="str">
        <f t="shared" si="888"/>
        <v>E4_4_1_15 : 0</v>
      </c>
      <c r="K441" s="2" t="str">
        <f t="shared" si="9"/>
        <v>0.00292 - (0.0093 * E4_4_1_15_mRNA)</v>
      </c>
      <c r="L441" s="2" t="str">
        <f t="shared" si="10"/>
        <v>(0.278 * E4_4_1_15_mRNA) - (0.00000278 * E4_4_1_15)</v>
      </c>
      <c r="M441" s="2" t="str">
        <f t="shared" si="11"/>
        <v>mRNA440: -&gt; E4_4_1_15_mRNA | 0.00292 - (0.0093 * E4_4_1_15_mRNA)</v>
      </c>
      <c r="N441" s="2" t="str">
        <f t="shared" si="12"/>
        <v>Peptide440: E4_4_1_15_mRNA -&gt; E4_4_1_15 | (0.278 * E4_4_1_15_mRNA) - (0.000000278 * E4_4_1_15)</v>
      </c>
    </row>
    <row r="442">
      <c r="A442" s="12">
        <v>441.0</v>
      </c>
      <c r="B442" s="2" t="s">
        <v>25366</v>
      </c>
      <c r="C442" s="2" t="str">
        <f t="shared" si="3"/>
        <v>E4_4_1_21_mRNA</v>
      </c>
      <c r="D442" s="2" t="str">
        <f t="shared" si="4"/>
        <v>E4_4_1_21</v>
      </c>
      <c r="E442" s="2" t="str">
        <f t="shared" si="5"/>
        <v>E4_4_1_21_kcat : 13.7</v>
      </c>
      <c r="F442" s="2" t="str">
        <f t="shared" si="6"/>
        <v>E4_4_1_21_km : 1</v>
      </c>
      <c r="G442" s="2" t="str">
        <f t="shared" ref="G442:H442" si="889">CONCATENATE(C442," : ",C442)</f>
        <v>E4_4_1_21_mRNA : E4_4_1_21_mRNA</v>
      </c>
      <c r="H442" s="2" t="str">
        <f t="shared" si="889"/>
        <v>E4_4_1_21 : E4_4_1_21</v>
      </c>
      <c r="I442" s="2" t="str">
        <f t="shared" ref="I442:J442" si="890">CONCATENATE(C442," : ","0")</f>
        <v>E4_4_1_21_mRNA : 0</v>
      </c>
      <c r="J442" s="2" t="str">
        <f t="shared" si="890"/>
        <v>E4_4_1_21 : 0</v>
      </c>
      <c r="K442" s="2" t="str">
        <f t="shared" si="9"/>
        <v>0.00292 - (0.0093 * E4_4_1_21_mRNA)</v>
      </c>
      <c r="L442" s="2" t="str">
        <f t="shared" si="10"/>
        <v>(0.278 * E4_4_1_21_mRNA) - (0.00000278 * E4_4_1_21)</v>
      </c>
      <c r="M442" s="2" t="str">
        <f t="shared" si="11"/>
        <v>mRNA441: -&gt; E4_4_1_21_mRNA | 0.00292 - (0.0093 * E4_4_1_21_mRNA)</v>
      </c>
      <c r="N442" s="2" t="str">
        <f t="shared" si="12"/>
        <v>Peptide441: E4_4_1_21_mRNA -&gt; E4_4_1_21 | (0.278 * E4_4_1_21_mRNA) - (0.000000278 * E4_4_1_21)</v>
      </c>
    </row>
    <row r="443">
      <c r="A443" s="12">
        <v>442.0</v>
      </c>
      <c r="B443" s="2" t="s">
        <v>25367</v>
      </c>
      <c r="C443" s="2" t="str">
        <f t="shared" si="3"/>
        <v>E4_6_1_12_mRNA</v>
      </c>
      <c r="D443" s="2" t="str">
        <f t="shared" si="4"/>
        <v>E4_6_1_12</v>
      </c>
      <c r="E443" s="2" t="str">
        <f t="shared" si="5"/>
        <v>E4_6_1_12_kcat : 13.7</v>
      </c>
      <c r="F443" s="2" t="str">
        <f t="shared" si="6"/>
        <v>E4_6_1_12_km : 1</v>
      </c>
      <c r="G443" s="2" t="str">
        <f t="shared" ref="G443:H443" si="891">CONCATENATE(C443," : ",C443)</f>
        <v>E4_6_1_12_mRNA : E4_6_1_12_mRNA</v>
      </c>
      <c r="H443" s="2" t="str">
        <f t="shared" si="891"/>
        <v>E4_6_1_12 : E4_6_1_12</v>
      </c>
      <c r="I443" s="2" t="str">
        <f t="shared" ref="I443:J443" si="892">CONCATENATE(C443," : ","0")</f>
        <v>E4_6_1_12_mRNA : 0</v>
      </c>
      <c r="J443" s="2" t="str">
        <f t="shared" si="892"/>
        <v>E4_6_1_12 : 0</v>
      </c>
      <c r="K443" s="2" t="str">
        <f t="shared" si="9"/>
        <v>0.00292 - (0.0093 * E4_6_1_12_mRNA)</v>
      </c>
      <c r="L443" s="2" t="str">
        <f t="shared" si="10"/>
        <v>(0.278 * E4_6_1_12_mRNA) - (0.00000278 * E4_6_1_12)</v>
      </c>
      <c r="M443" s="2" t="str">
        <f t="shared" si="11"/>
        <v>mRNA442: -&gt; E4_6_1_12_mRNA | 0.00292 - (0.0093 * E4_6_1_12_mRNA)</v>
      </c>
      <c r="N443" s="2" t="str">
        <f t="shared" si="12"/>
        <v>Peptide442: E4_6_1_12_mRNA -&gt; E4_6_1_12 | (0.278 * E4_6_1_12_mRNA) - (0.000000278 * E4_6_1_12)</v>
      </c>
    </row>
    <row r="444">
      <c r="A444" s="12">
        <v>443.0</v>
      </c>
      <c r="B444" s="2" t="s">
        <v>25368</v>
      </c>
      <c r="C444" s="2" t="str">
        <f t="shared" si="3"/>
        <v>E4_6_1_13_mRNA</v>
      </c>
      <c r="D444" s="2" t="str">
        <f t="shared" si="4"/>
        <v>E4_6_1_13</v>
      </c>
      <c r="E444" s="2" t="str">
        <f t="shared" si="5"/>
        <v>E4_6_1_13_kcat : 13.7</v>
      </c>
      <c r="F444" s="2" t="str">
        <f t="shared" si="6"/>
        <v>E4_6_1_13_km : 1</v>
      </c>
      <c r="G444" s="2" t="str">
        <f t="shared" ref="G444:H444" si="893">CONCATENATE(C444," : ",C444)</f>
        <v>E4_6_1_13_mRNA : E4_6_1_13_mRNA</v>
      </c>
      <c r="H444" s="2" t="str">
        <f t="shared" si="893"/>
        <v>E4_6_1_13 : E4_6_1_13</v>
      </c>
      <c r="I444" s="2" t="str">
        <f t="shared" ref="I444:J444" si="894">CONCATENATE(C444," : ","0")</f>
        <v>E4_6_1_13_mRNA : 0</v>
      </c>
      <c r="J444" s="2" t="str">
        <f t="shared" si="894"/>
        <v>E4_6_1_13 : 0</v>
      </c>
      <c r="K444" s="2" t="str">
        <f t="shared" si="9"/>
        <v>0.00292 - (0.0093 * E4_6_1_13_mRNA)</v>
      </c>
      <c r="L444" s="2" t="str">
        <f t="shared" si="10"/>
        <v>(0.278 * E4_6_1_13_mRNA) - (0.00000278 * E4_6_1_13)</v>
      </c>
      <c r="M444" s="2" t="str">
        <f t="shared" si="11"/>
        <v>mRNA443: -&gt; E4_6_1_13_mRNA | 0.00292 - (0.0093 * E4_6_1_13_mRNA)</v>
      </c>
      <c r="N444" s="2" t="str">
        <f t="shared" si="12"/>
        <v>Peptide443: E4_6_1_13_mRNA -&gt; E4_6_1_13 | (0.278 * E4_6_1_13_mRNA) - (0.000000278 * E4_6_1_13)</v>
      </c>
    </row>
    <row r="445">
      <c r="A445" s="12">
        <v>444.0</v>
      </c>
      <c r="B445" s="2" t="s">
        <v>25369</v>
      </c>
      <c r="C445" s="2" t="str">
        <f t="shared" si="3"/>
        <v>E4_6_1_17_mRNA</v>
      </c>
      <c r="D445" s="2" t="str">
        <f t="shared" si="4"/>
        <v>E4_6_1_17</v>
      </c>
      <c r="E445" s="2" t="str">
        <f t="shared" si="5"/>
        <v>E4_6_1_17_kcat : 13.7</v>
      </c>
      <c r="F445" s="2" t="str">
        <f t="shared" si="6"/>
        <v>E4_6_1_17_km : 1</v>
      </c>
      <c r="G445" s="2" t="str">
        <f t="shared" ref="G445:H445" si="895">CONCATENATE(C445," : ",C445)</f>
        <v>E4_6_1_17_mRNA : E4_6_1_17_mRNA</v>
      </c>
      <c r="H445" s="2" t="str">
        <f t="shared" si="895"/>
        <v>E4_6_1_17 : E4_6_1_17</v>
      </c>
      <c r="I445" s="2" t="str">
        <f t="shared" ref="I445:J445" si="896">CONCATENATE(C445," : ","0")</f>
        <v>E4_6_1_17_mRNA : 0</v>
      </c>
      <c r="J445" s="2" t="str">
        <f t="shared" si="896"/>
        <v>E4_6_1_17 : 0</v>
      </c>
      <c r="K445" s="2" t="str">
        <f t="shared" si="9"/>
        <v>0.00292 - (0.0093 * E4_6_1_17_mRNA)</v>
      </c>
      <c r="L445" s="2" t="str">
        <f t="shared" si="10"/>
        <v>(0.278 * E4_6_1_17_mRNA) - (0.00000278 * E4_6_1_17)</v>
      </c>
      <c r="M445" s="2" t="str">
        <f t="shared" si="11"/>
        <v>mRNA444: -&gt; E4_6_1_17_mRNA | 0.00292 - (0.0093 * E4_6_1_17_mRNA)</v>
      </c>
      <c r="N445" s="2" t="str">
        <f t="shared" si="12"/>
        <v>Peptide444: E4_6_1_17_mRNA -&gt; E4_6_1_17 | (0.278 * E4_6_1_17_mRNA) - (0.000000278 * E4_6_1_17)</v>
      </c>
    </row>
    <row r="446">
      <c r="A446" s="12">
        <v>445.0</v>
      </c>
      <c r="B446" s="2" t="s">
        <v>25370</v>
      </c>
      <c r="C446" s="2" t="str">
        <f t="shared" si="3"/>
        <v>E5_1_1_1_mRNA</v>
      </c>
      <c r="D446" s="2" t="str">
        <f t="shared" si="4"/>
        <v>E5_1_1_1</v>
      </c>
      <c r="E446" s="2" t="str">
        <f t="shared" si="5"/>
        <v>E5_1_1_1_kcat : 13.7</v>
      </c>
      <c r="F446" s="2" t="str">
        <f t="shared" si="6"/>
        <v>E5_1_1_1_km : 1</v>
      </c>
      <c r="G446" s="2" t="str">
        <f t="shared" ref="G446:H446" si="897">CONCATENATE(C446," : ",C446)</f>
        <v>E5_1_1_1_mRNA : E5_1_1_1_mRNA</v>
      </c>
      <c r="H446" s="2" t="str">
        <f t="shared" si="897"/>
        <v>E5_1_1_1 : E5_1_1_1</v>
      </c>
      <c r="I446" s="2" t="str">
        <f t="shared" ref="I446:J446" si="898">CONCATENATE(C446," : ","0")</f>
        <v>E5_1_1_1_mRNA : 0</v>
      </c>
      <c r="J446" s="2" t="str">
        <f t="shared" si="898"/>
        <v>E5_1_1_1 : 0</v>
      </c>
      <c r="K446" s="2" t="str">
        <f t="shared" si="9"/>
        <v>0.00292 - (0.0093 * E5_1_1_1_mRNA)</v>
      </c>
      <c r="L446" s="2" t="str">
        <f t="shared" si="10"/>
        <v>(0.278 * E5_1_1_1_mRNA) - (0.00000278 * E5_1_1_1)</v>
      </c>
      <c r="M446" s="2" t="str">
        <f t="shared" si="11"/>
        <v>mRNA445: -&gt; E5_1_1_1_mRNA | 0.00292 - (0.0093 * E5_1_1_1_mRNA)</v>
      </c>
      <c r="N446" s="2" t="str">
        <f t="shared" si="12"/>
        <v>Peptide445: E5_1_1_1_mRNA -&gt; E5_1_1_1 | (0.278 * E5_1_1_1_mRNA) - (0.000000278 * E5_1_1_1)</v>
      </c>
    </row>
    <row r="447">
      <c r="A447" s="12">
        <v>446.0</v>
      </c>
      <c r="B447" s="2" t="s">
        <v>25371</v>
      </c>
      <c r="C447" s="2" t="str">
        <f t="shared" si="3"/>
        <v>E5_1_1_3_mRNA</v>
      </c>
      <c r="D447" s="2" t="str">
        <f t="shared" si="4"/>
        <v>E5_1_1_3</v>
      </c>
      <c r="E447" s="2" t="str">
        <f t="shared" si="5"/>
        <v>E5_1_1_3_kcat : 13.7</v>
      </c>
      <c r="F447" s="2" t="str">
        <f t="shared" si="6"/>
        <v>E5_1_1_3_km : 1</v>
      </c>
      <c r="G447" s="2" t="str">
        <f t="shared" ref="G447:H447" si="899">CONCATENATE(C447," : ",C447)</f>
        <v>E5_1_1_3_mRNA : E5_1_1_3_mRNA</v>
      </c>
      <c r="H447" s="2" t="str">
        <f t="shared" si="899"/>
        <v>E5_1_1_3 : E5_1_1_3</v>
      </c>
      <c r="I447" s="2" t="str">
        <f t="shared" ref="I447:J447" si="900">CONCATENATE(C447," : ","0")</f>
        <v>E5_1_1_3_mRNA : 0</v>
      </c>
      <c r="J447" s="2" t="str">
        <f t="shared" si="900"/>
        <v>E5_1_1_3 : 0</v>
      </c>
      <c r="K447" s="2" t="str">
        <f t="shared" si="9"/>
        <v>0.00292 - (0.0093 * E5_1_1_3_mRNA)</v>
      </c>
      <c r="L447" s="2" t="str">
        <f t="shared" si="10"/>
        <v>(0.278 * E5_1_1_3_mRNA) - (0.00000278 * E5_1_1_3)</v>
      </c>
      <c r="M447" s="2" t="str">
        <f t="shared" si="11"/>
        <v>mRNA446: -&gt; E5_1_1_3_mRNA | 0.00292 - (0.0093 * E5_1_1_3_mRNA)</v>
      </c>
      <c r="N447" s="2" t="str">
        <f t="shared" si="12"/>
        <v>Peptide446: E5_1_1_3_mRNA -&gt; E5_1_1_3 | (0.278 * E5_1_1_3_mRNA) - (0.000000278 * E5_1_1_3)</v>
      </c>
    </row>
    <row r="448">
      <c r="A448" s="12">
        <v>447.0</v>
      </c>
      <c r="B448" s="2" t="s">
        <v>25372</v>
      </c>
      <c r="C448" s="2" t="str">
        <f t="shared" si="3"/>
        <v>E5_1_1_7_mRNA</v>
      </c>
      <c r="D448" s="2" t="str">
        <f t="shared" si="4"/>
        <v>E5_1_1_7</v>
      </c>
      <c r="E448" s="2" t="str">
        <f t="shared" si="5"/>
        <v>E5_1_1_7_kcat : 13.7</v>
      </c>
      <c r="F448" s="2" t="str">
        <f t="shared" si="6"/>
        <v>E5_1_1_7_km : 1</v>
      </c>
      <c r="G448" s="2" t="str">
        <f t="shared" ref="G448:H448" si="901">CONCATENATE(C448," : ",C448)</f>
        <v>E5_1_1_7_mRNA : E5_1_1_7_mRNA</v>
      </c>
      <c r="H448" s="2" t="str">
        <f t="shared" si="901"/>
        <v>E5_1_1_7 : E5_1_1_7</v>
      </c>
      <c r="I448" s="2" t="str">
        <f t="shared" ref="I448:J448" si="902">CONCATENATE(C448," : ","0")</f>
        <v>E5_1_1_7_mRNA : 0</v>
      </c>
      <c r="J448" s="2" t="str">
        <f t="shared" si="902"/>
        <v>E5_1_1_7 : 0</v>
      </c>
      <c r="K448" s="2" t="str">
        <f t="shared" si="9"/>
        <v>0.00292 - (0.0093 * E5_1_1_7_mRNA)</v>
      </c>
      <c r="L448" s="2" t="str">
        <f t="shared" si="10"/>
        <v>(0.278 * E5_1_1_7_mRNA) - (0.00000278 * E5_1_1_7)</v>
      </c>
      <c r="M448" s="2" t="str">
        <f t="shared" si="11"/>
        <v>mRNA447: -&gt; E5_1_1_7_mRNA | 0.00292 - (0.0093 * E5_1_1_7_mRNA)</v>
      </c>
      <c r="N448" s="2" t="str">
        <f t="shared" si="12"/>
        <v>Peptide447: E5_1_1_7_mRNA -&gt; E5_1_1_7 | (0.278 * E5_1_1_7_mRNA) - (0.000000278 * E5_1_1_7)</v>
      </c>
    </row>
    <row r="449">
      <c r="A449" s="12">
        <v>448.0</v>
      </c>
      <c r="B449" s="2" t="s">
        <v>25373</v>
      </c>
      <c r="C449" s="2" t="str">
        <f t="shared" si="3"/>
        <v>E5_1_3_1_mRNA</v>
      </c>
      <c r="D449" s="2" t="str">
        <f t="shared" si="4"/>
        <v>E5_1_3_1</v>
      </c>
      <c r="E449" s="2" t="str">
        <f t="shared" si="5"/>
        <v>E5_1_3_1_kcat : 13.7</v>
      </c>
      <c r="F449" s="2" t="str">
        <f t="shared" si="6"/>
        <v>E5_1_3_1_km : 1</v>
      </c>
      <c r="G449" s="2" t="str">
        <f t="shared" ref="G449:H449" si="903">CONCATENATE(C449," : ",C449)</f>
        <v>E5_1_3_1_mRNA : E5_1_3_1_mRNA</v>
      </c>
      <c r="H449" s="2" t="str">
        <f t="shared" si="903"/>
        <v>E5_1_3_1 : E5_1_3_1</v>
      </c>
      <c r="I449" s="2" t="str">
        <f t="shared" ref="I449:J449" si="904">CONCATENATE(C449," : ","0")</f>
        <v>E5_1_3_1_mRNA : 0</v>
      </c>
      <c r="J449" s="2" t="str">
        <f t="shared" si="904"/>
        <v>E5_1_3_1 : 0</v>
      </c>
      <c r="K449" s="2" t="str">
        <f t="shared" si="9"/>
        <v>0.00292 - (0.0093 * E5_1_3_1_mRNA)</v>
      </c>
      <c r="L449" s="2" t="str">
        <f t="shared" si="10"/>
        <v>(0.278 * E5_1_3_1_mRNA) - (0.00000278 * E5_1_3_1)</v>
      </c>
      <c r="M449" s="2" t="str">
        <f t="shared" si="11"/>
        <v>mRNA448: -&gt; E5_1_3_1_mRNA | 0.00292 - (0.0093 * E5_1_3_1_mRNA)</v>
      </c>
      <c r="N449" s="2" t="str">
        <f t="shared" si="12"/>
        <v>Peptide448: E5_1_3_1_mRNA -&gt; E5_1_3_1 | (0.278 * E5_1_3_1_mRNA) - (0.000000278 * E5_1_3_1)</v>
      </c>
    </row>
    <row r="450">
      <c r="A450" s="12">
        <v>449.0</v>
      </c>
      <c r="B450" s="2" t="s">
        <v>25374</v>
      </c>
      <c r="C450" s="2" t="str">
        <f t="shared" si="3"/>
        <v>E5_1_3_13_mRNA</v>
      </c>
      <c r="D450" s="2" t="str">
        <f t="shared" si="4"/>
        <v>E5_1_3_13</v>
      </c>
      <c r="E450" s="2" t="str">
        <f t="shared" si="5"/>
        <v>E5_1_3_13_kcat : 13.7</v>
      </c>
      <c r="F450" s="2" t="str">
        <f t="shared" si="6"/>
        <v>E5_1_3_13_km : 1</v>
      </c>
      <c r="G450" s="2" t="str">
        <f t="shared" ref="G450:H450" si="905">CONCATENATE(C450," : ",C450)</f>
        <v>E5_1_3_13_mRNA : E5_1_3_13_mRNA</v>
      </c>
      <c r="H450" s="2" t="str">
        <f t="shared" si="905"/>
        <v>E5_1_3_13 : E5_1_3_13</v>
      </c>
      <c r="I450" s="2" t="str">
        <f t="shared" ref="I450:J450" si="906">CONCATENATE(C450," : ","0")</f>
        <v>E5_1_3_13_mRNA : 0</v>
      </c>
      <c r="J450" s="2" t="str">
        <f t="shared" si="906"/>
        <v>E5_1_3_13 : 0</v>
      </c>
      <c r="K450" s="2" t="str">
        <f t="shared" si="9"/>
        <v>0.00292 - (0.0093 * E5_1_3_13_mRNA)</v>
      </c>
      <c r="L450" s="2" t="str">
        <f t="shared" si="10"/>
        <v>(0.278 * E5_1_3_13_mRNA) - (0.00000278 * E5_1_3_13)</v>
      </c>
      <c r="M450" s="2" t="str">
        <f t="shared" si="11"/>
        <v>mRNA449: -&gt; E5_1_3_13_mRNA | 0.00292 - (0.0093 * E5_1_3_13_mRNA)</v>
      </c>
      <c r="N450" s="2" t="str">
        <f t="shared" si="12"/>
        <v>Peptide449: E5_1_3_13_mRNA -&gt; E5_1_3_13 | (0.278 * E5_1_3_13_mRNA) - (0.000000278 * E5_1_3_13)</v>
      </c>
    </row>
    <row r="451">
      <c r="A451" s="12">
        <v>450.0</v>
      </c>
      <c r="B451" s="2" t="s">
        <v>25375</v>
      </c>
      <c r="C451" s="2" t="str">
        <f t="shared" si="3"/>
        <v>E5_1_3_14_mRNA</v>
      </c>
      <c r="D451" s="2" t="str">
        <f t="shared" si="4"/>
        <v>E5_1_3_14</v>
      </c>
      <c r="E451" s="2" t="str">
        <f t="shared" si="5"/>
        <v>E5_1_3_14_kcat : 13.7</v>
      </c>
      <c r="F451" s="2" t="str">
        <f t="shared" si="6"/>
        <v>E5_1_3_14_km : 1</v>
      </c>
      <c r="G451" s="2" t="str">
        <f t="shared" ref="G451:H451" si="907">CONCATENATE(C451," : ",C451)</f>
        <v>E5_1_3_14_mRNA : E5_1_3_14_mRNA</v>
      </c>
      <c r="H451" s="2" t="str">
        <f t="shared" si="907"/>
        <v>E5_1_3_14 : E5_1_3_14</v>
      </c>
      <c r="I451" s="2" t="str">
        <f t="shared" ref="I451:J451" si="908">CONCATENATE(C451," : ","0")</f>
        <v>E5_1_3_14_mRNA : 0</v>
      </c>
      <c r="J451" s="2" t="str">
        <f t="shared" si="908"/>
        <v>E5_1_3_14 : 0</v>
      </c>
      <c r="K451" s="2" t="str">
        <f t="shared" si="9"/>
        <v>0.00292 - (0.0093 * E5_1_3_14_mRNA)</v>
      </c>
      <c r="L451" s="2" t="str">
        <f t="shared" si="10"/>
        <v>(0.278 * E5_1_3_14_mRNA) - (0.00000278 * E5_1_3_14)</v>
      </c>
      <c r="M451" s="2" t="str">
        <f t="shared" si="11"/>
        <v>mRNA450: -&gt; E5_1_3_14_mRNA | 0.00292 - (0.0093 * E5_1_3_14_mRNA)</v>
      </c>
      <c r="N451" s="2" t="str">
        <f t="shared" si="12"/>
        <v>Peptide450: E5_1_3_14_mRNA -&gt; E5_1_3_14 | (0.278 * E5_1_3_14_mRNA) - (0.000000278 * E5_1_3_14)</v>
      </c>
    </row>
    <row r="452">
      <c r="A452" s="12">
        <v>451.0</v>
      </c>
      <c r="B452" s="2" t="s">
        <v>25376</v>
      </c>
      <c r="C452" s="2" t="str">
        <f t="shared" si="3"/>
        <v>E5_1_3_2_mRNA</v>
      </c>
      <c r="D452" s="2" t="str">
        <f t="shared" si="4"/>
        <v>E5_1_3_2</v>
      </c>
      <c r="E452" s="2" t="str">
        <f t="shared" si="5"/>
        <v>E5_1_3_2_kcat : 13.7</v>
      </c>
      <c r="F452" s="2" t="str">
        <f t="shared" si="6"/>
        <v>E5_1_3_2_km : 1</v>
      </c>
      <c r="G452" s="2" t="str">
        <f t="shared" ref="G452:H452" si="909">CONCATENATE(C452," : ",C452)</f>
        <v>E5_1_3_2_mRNA : E5_1_3_2_mRNA</v>
      </c>
      <c r="H452" s="2" t="str">
        <f t="shared" si="909"/>
        <v>E5_1_3_2 : E5_1_3_2</v>
      </c>
      <c r="I452" s="2" t="str">
        <f t="shared" ref="I452:J452" si="910">CONCATENATE(C452," : ","0")</f>
        <v>E5_1_3_2_mRNA : 0</v>
      </c>
      <c r="J452" s="2" t="str">
        <f t="shared" si="910"/>
        <v>E5_1_3_2 : 0</v>
      </c>
      <c r="K452" s="2" t="str">
        <f t="shared" si="9"/>
        <v>0.00292 - (0.0093 * E5_1_3_2_mRNA)</v>
      </c>
      <c r="L452" s="2" t="str">
        <f t="shared" si="10"/>
        <v>(0.278 * E5_1_3_2_mRNA) - (0.00000278 * E5_1_3_2)</v>
      </c>
      <c r="M452" s="2" t="str">
        <f t="shared" si="11"/>
        <v>mRNA451: -&gt; E5_1_3_2_mRNA | 0.00292 - (0.0093 * E5_1_3_2_mRNA)</v>
      </c>
      <c r="N452" s="2" t="str">
        <f t="shared" si="12"/>
        <v>Peptide451: E5_1_3_2_mRNA -&gt; E5_1_3_2 | (0.278 * E5_1_3_2_mRNA) - (0.000000278 * E5_1_3_2)</v>
      </c>
    </row>
    <row r="453">
      <c r="A453" s="12">
        <v>452.0</v>
      </c>
      <c r="B453" s="2" t="s">
        <v>25377</v>
      </c>
      <c r="C453" s="2" t="str">
        <f t="shared" si="3"/>
        <v>E5_2_1_8_mRNA</v>
      </c>
      <c r="D453" s="2" t="str">
        <f t="shared" si="4"/>
        <v>E5_2_1_8</v>
      </c>
      <c r="E453" s="2" t="str">
        <f t="shared" si="5"/>
        <v>E5_2_1_8_kcat : 13.7</v>
      </c>
      <c r="F453" s="2" t="str">
        <f t="shared" si="6"/>
        <v>E5_2_1_8_km : 1</v>
      </c>
      <c r="G453" s="2" t="str">
        <f t="shared" ref="G453:H453" si="911">CONCATENATE(C453," : ",C453)</f>
        <v>E5_2_1_8_mRNA : E5_2_1_8_mRNA</v>
      </c>
      <c r="H453" s="2" t="str">
        <f t="shared" si="911"/>
        <v>E5_2_1_8 : E5_2_1_8</v>
      </c>
      <c r="I453" s="2" t="str">
        <f t="shared" ref="I453:J453" si="912">CONCATENATE(C453," : ","0")</f>
        <v>E5_2_1_8_mRNA : 0</v>
      </c>
      <c r="J453" s="2" t="str">
        <f t="shared" si="912"/>
        <v>E5_2_1_8 : 0</v>
      </c>
      <c r="K453" s="2" t="str">
        <f t="shared" si="9"/>
        <v>0.00292 - (0.0093 * E5_2_1_8_mRNA)</v>
      </c>
      <c r="L453" s="2" t="str">
        <f t="shared" si="10"/>
        <v>(0.278 * E5_2_1_8_mRNA) - (0.00000278 * E5_2_1_8)</v>
      </c>
      <c r="M453" s="2" t="str">
        <f t="shared" si="11"/>
        <v>mRNA452: -&gt; E5_2_1_8_mRNA | 0.00292 - (0.0093 * E5_2_1_8_mRNA)</v>
      </c>
      <c r="N453" s="2" t="str">
        <f t="shared" si="12"/>
        <v>Peptide452: E5_2_1_8_mRNA -&gt; E5_2_1_8 | (0.278 * E5_2_1_8_mRNA) - (0.000000278 * E5_2_1_8)</v>
      </c>
    </row>
    <row r="454">
      <c r="A454" s="12">
        <v>453.0</v>
      </c>
      <c r="B454" s="2" t="s">
        <v>25378</v>
      </c>
      <c r="C454" s="2" t="str">
        <f t="shared" si="3"/>
        <v>E5_3_1_1_mRNA</v>
      </c>
      <c r="D454" s="2" t="str">
        <f t="shared" si="4"/>
        <v>E5_3_1_1</v>
      </c>
      <c r="E454" s="2" t="str">
        <f t="shared" si="5"/>
        <v>E5_3_1_1_kcat : 13.7</v>
      </c>
      <c r="F454" s="2" t="str">
        <f t="shared" si="6"/>
        <v>E5_3_1_1_km : 1</v>
      </c>
      <c r="G454" s="2" t="str">
        <f t="shared" ref="G454:H454" si="913">CONCATENATE(C454," : ",C454)</f>
        <v>E5_3_1_1_mRNA : E5_3_1_1_mRNA</v>
      </c>
      <c r="H454" s="2" t="str">
        <f t="shared" si="913"/>
        <v>E5_3_1_1 : E5_3_1_1</v>
      </c>
      <c r="I454" s="2" t="str">
        <f t="shared" ref="I454:J454" si="914">CONCATENATE(C454," : ","0")</f>
        <v>E5_3_1_1_mRNA : 0</v>
      </c>
      <c r="J454" s="2" t="str">
        <f t="shared" si="914"/>
        <v>E5_3_1_1 : 0</v>
      </c>
      <c r="K454" s="2" t="str">
        <f t="shared" si="9"/>
        <v>0.00292 - (0.0093 * E5_3_1_1_mRNA)</v>
      </c>
      <c r="L454" s="2" t="str">
        <f t="shared" si="10"/>
        <v>(0.278 * E5_3_1_1_mRNA) - (0.00000278 * E5_3_1_1)</v>
      </c>
      <c r="M454" s="2" t="str">
        <f t="shared" si="11"/>
        <v>mRNA453: -&gt; E5_3_1_1_mRNA | 0.00292 - (0.0093 * E5_3_1_1_mRNA)</v>
      </c>
      <c r="N454" s="2" t="str">
        <f t="shared" si="12"/>
        <v>Peptide453: E5_3_1_1_mRNA -&gt; E5_3_1_1 | (0.278 * E5_3_1_1_mRNA) - (0.000000278 * E5_3_1_1)</v>
      </c>
    </row>
    <row r="455">
      <c r="A455" s="12">
        <v>454.0</v>
      </c>
      <c r="B455" s="2" t="s">
        <v>25379</v>
      </c>
      <c r="C455" s="2" t="str">
        <f t="shared" si="3"/>
        <v>E5_3_1_16_mRNA</v>
      </c>
      <c r="D455" s="2" t="str">
        <f t="shared" si="4"/>
        <v>E5_3_1_16</v>
      </c>
      <c r="E455" s="2" t="str">
        <f t="shared" si="5"/>
        <v>E5_3_1_16_kcat : 13.7</v>
      </c>
      <c r="F455" s="2" t="str">
        <f t="shared" si="6"/>
        <v>E5_3_1_16_km : 1</v>
      </c>
      <c r="G455" s="2" t="str">
        <f t="shared" ref="G455:H455" si="915">CONCATENATE(C455," : ",C455)</f>
        <v>E5_3_1_16_mRNA : E5_3_1_16_mRNA</v>
      </c>
      <c r="H455" s="2" t="str">
        <f t="shared" si="915"/>
        <v>E5_3_1_16 : E5_3_1_16</v>
      </c>
      <c r="I455" s="2" t="str">
        <f t="shared" ref="I455:J455" si="916">CONCATENATE(C455," : ","0")</f>
        <v>E5_3_1_16_mRNA : 0</v>
      </c>
      <c r="J455" s="2" t="str">
        <f t="shared" si="916"/>
        <v>E5_3_1_16 : 0</v>
      </c>
      <c r="K455" s="2" t="str">
        <f t="shared" si="9"/>
        <v>0.00292 - (0.0093 * E5_3_1_16_mRNA)</v>
      </c>
      <c r="L455" s="2" t="str">
        <f t="shared" si="10"/>
        <v>(0.278 * E5_3_1_16_mRNA) - (0.00000278 * E5_3_1_16)</v>
      </c>
      <c r="M455" s="2" t="str">
        <f t="shared" si="11"/>
        <v>mRNA454: -&gt; E5_3_1_16_mRNA | 0.00292 - (0.0093 * E5_3_1_16_mRNA)</v>
      </c>
      <c r="N455" s="2" t="str">
        <f t="shared" si="12"/>
        <v>Peptide454: E5_3_1_16_mRNA -&gt; E5_3_1_16 | (0.278 * E5_3_1_16_mRNA) - (0.000000278 * E5_3_1_16)</v>
      </c>
    </row>
    <row r="456">
      <c r="A456" s="12">
        <v>455.0</v>
      </c>
      <c r="B456" s="2" t="s">
        <v>25380</v>
      </c>
      <c r="C456" s="2" t="str">
        <f t="shared" si="3"/>
        <v>E5_3_1_23_mRNA</v>
      </c>
      <c r="D456" s="2" t="str">
        <f t="shared" si="4"/>
        <v>E5_3_1_23</v>
      </c>
      <c r="E456" s="2" t="str">
        <f t="shared" si="5"/>
        <v>E5_3_1_23_kcat : 13.7</v>
      </c>
      <c r="F456" s="2" t="str">
        <f t="shared" si="6"/>
        <v>E5_3_1_23_km : 1</v>
      </c>
      <c r="G456" s="2" t="str">
        <f t="shared" ref="G456:H456" si="917">CONCATENATE(C456," : ",C456)</f>
        <v>E5_3_1_23_mRNA : E5_3_1_23_mRNA</v>
      </c>
      <c r="H456" s="2" t="str">
        <f t="shared" si="917"/>
        <v>E5_3_1_23 : E5_3_1_23</v>
      </c>
      <c r="I456" s="2" t="str">
        <f t="shared" ref="I456:J456" si="918">CONCATENATE(C456," : ","0")</f>
        <v>E5_3_1_23_mRNA : 0</v>
      </c>
      <c r="J456" s="2" t="str">
        <f t="shared" si="918"/>
        <v>E5_3_1_23 : 0</v>
      </c>
      <c r="K456" s="2" t="str">
        <f t="shared" si="9"/>
        <v>0.00292 - (0.0093 * E5_3_1_23_mRNA)</v>
      </c>
      <c r="L456" s="2" t="str">
        <f t="shared" si="10"/>
        <v>(0.278 * E5_3_1_23_mRNA) - (0.00000278 * E5_3_1_23)</v>
      </c>
      <c r="M456" s="2" t="str">
        <f t="shared" si="11"/>
        <v>mRNA455: -&gt; E5_3_1_23_mRNA | 0.00292 - (0.0093 * E5_3_1_23_mRNA)</v>
      </c>
      <c r="N456" s="2" t="str">
        <f t="shared" si="12"/>
        <v>Peptide455: E5_3_1_23_mRNA -&gt; E5_3_1_23 | (0.278 * E5_3_1_23_mRNA) - (0.000000278 * E5_3_1_23)</v>
      </c>
    </row>
    <row r="457">
      <c r="A457" s="12">
        <v>456.0</v>
      </c>
      <c r="B457" s="2" t="s">
        <v>25381</v>
      </c>
      <c r="C457" s="2" t="str">
        <f t="shared" si="3"/>
        <v>E5_3_1_24_mRNA</v>
      </c>
      <c r="D457" s="2" t="str">
        <f t="shared" si="4"/>
        <v>E5_3_1_24</v>
      </c>
      <c r="E457" s="2" t="str">
        <f t="shared" si="5"/>
        <v>E5_3_1_24_kcat : 13.7</v>
      </c>
      <c r="F457" s="2" t="str">
        <f t="shared" si="6"/>
        <v>E5_3_1_24_km : 1</v>
      </c>
      <c r="G457" s="2" t="str">
        <f t="shared" ref="G457:H457" si="919">CONCATENATE(C457," : ",C457)</f>
        <v>E5_3_1_24_mRNA : E5_3_1_24_mRNA</v>
      </c>
      <c r="H457" s="2" t="str">
        <f t="shared" si="919"/>
        <v>E5_3_1_24 : E5_3_1_24</v>
      </c>
      <c r="I457" s="2" t="str">
        <f t="shared" ref="I457:J457" si="920">CONCATENATE(C457," : ","0")</f>
        <v>E5_3_1_24_mRNA : 0</v>
      </c>
      <c r="J457" s="2" t="str">
        <f t="shared" si="920"/>
        <v>E5_3_1_24 : 0</v>
      </c>
      <c r="K457" s="2" t="str">
        <f t="shared" si="9"/>
        <v>0.00292 - (0.0093 * E5_3_1_24_mRNA)</v>
      </c>
      <c r="L457" s="2" t="str">
        <f t="shared" si="10"/>
        <v>(0.278 * E5_3_1_24_mRNA) - (0.00000278 * E5_3_1_24)</v>
      </c>
      <c r="M457" s="2" t="str">
        <f t="shared" si="11"/>
        <v>mRNA456: -&gt; E5_3_1_24_mRNA | 0.00292 - (0.0093 * E5_3_1_24_mRNA)</v>
      </c>
      <c r="N457" s="2" t="str">
        <f t="shared" si="12"/>
        <v>Peptide456: E5_3_1_24_mRNA -&gt; E5_3_1_24 | (0.278 * E5_3_1_24_mRNA) - (0.000000278 * E5_3_1_24)</v>
      </c>
    </row>
    <row r="458">
      <c r="A458" s="12">
        <v>457.0</v>
      </c>
      <c r="B458" s="2" t="s">
        <v>25382</v>
      </c>
      <c r="C458" s="2" t="str">
        <f t="shared" si="3"/>
        <v>E5_3_1_6_mRNA</v>
      </c>
      <c r="D458" s="2" t="str">
        <f t="shared" si="4"/>
        <v>E5_3_1_6</v>
      </c>
      <c r="E458" s="2" t="str">
        <f t="shared" si="5"/>
        <v>E5_3_1_6_kcat : 13.7</v>
      </c>
      <c r="F458" s="2" t="str">
        <f t="shared" si="6"/>
        <v>E5_3_1_6_km : 1</v>
      </c>
      <c r="G458" s="2" t="str">
        <f t="shared" ref="G458:H458" si="921">CONCATENATE(C458," : ",C458)</f>
        <v>E5_3_1_6_mRNA : E5_3_1_6_mRNA</v>
      </c>
      <c r="H458" s="2" t="str">
        <f t="shared" si="921"/>
        <v>E5_3_1_6 : E5_3_1_6</v>
      </c>
      <c r="I458" s="2" t="str">
        <f t="shared" ref="I458:J458" si="922">CONCATENATE(C458," : ","0")</f>
        <v>E5_3_1_6_mRNA : 0</v>
      </c>
      <c r="J458" s="2" t="str">
        <f t="shared" si="922"/>
        <v>E5_3_1_6 : 0</v>
      </c>
      <c r="K458" s="2" t="str">
        <f t="shared" si="9"/>
        <v>0.00292 - (0.0093 * E5_3_1_6_mRNA)</v>
      </c>
      <c r="L458" s="2" t="str">
        <f t="shared" si="10"/>
        <v>(0.278 * E5_3_1_6_mRNA) - (0.00000278 * E5_3_1_6)</v>
      </c>
      <c r="M458" s="2" t="str">
        <f t="shared" si="11"/>
        <v>mRNA457: -&gt; E5_3_1_6_mRNA | 0.00292 - (0.0093 * E5_3_1_6_mRNA)</v>
      </c>
      <c r="N458" s="2" t="str">
        <f t="shared" si="12"/>
        <v>Peptide457: E5_3_1_6_mRNA -&gt; E5_3_1_6 | (0.278 * E5_3_1_6_mRNA) - (0.000000278 * E5_3_1_6)</v>
      </c>
    </row>
    <row r="459">
      <c r="A459" s="12">
        <v>458.0</v>
      </c>
      <c r="B459" s="2" t="s">
        <v>25383</v>
      </c>
      <c r="C459" s="2" t="str">
        <f t="shared" si="3"/>
        <v>E5_3_1_9_mRNA</v>
      </c>
      <c r="D459" s="2" t="str">
        <f t="shared" si="4"/>
        <v>E5_3_1_9</v>
      </c>
      <c r="E459" s="2" t="str">
        <f t="shared" si="5"/>
        <v>E5_3_1_9_kcat : 13.7</v>
      </c>
      <c r="F459" s="2" t="str">
        <f t="shared" si="6"/>
        <v>E5_3_1_9_km : 1</v>
      </c>
      <c r="G459" s="2" t="str">
        <f t="shared" ref="G459:H459" si="923">CONCATENATE(C459," : ",C459)</f>
        <v>E5_3_1_9_mRNA : E5_3_1_9_mRNA</v>
      </c>
      <c r="H459" s="2" t="str">
        <f t="shared" si="923"/>
        <v>E5_3_1_9 : E5_3_1_9</v>
      </c>
      <c r="I459" s="2" t="str">
        <f t="shared" ref="I459:J459" si="924">CONCATENATE(C459," : ","0")</f>
        <v>E5_3_1_9_mRNA : 0</v>
      </c>
      <c r="J459" s="2" t="str">
        <f t="shared" si="924"/>
        <v>E5_3_1_9 : 0</v>
      </c>
      <c r="K459" s="2" t="str">
        <f t="shared" si="9"/>
        <v>0.00292 - (0.0093 * E5_3_1_9_mRNA)</v>
      </c>
      <c r="L459" s="2" t="str">
        <f t="shared" si="10"/>
        <v>(0.278 * E5_3_1_9_mRNA) - (0.00000278 * E5_3_1_9)</v>
      </c>
      <c r="M459" s="2" t="str">
        <f t="shared" si="11"/>
        <v>mRNA458: -&gt; E5_3_1_9_mRNA | 0.00292 - (0.0093 * E5_3_1_9_mRNA)</v>
      </c>
      <c r="N459" s="2" t="str">
        <f t="shared" si="12"/>
        <v>Peptide458: E5_3_1_9_mRNA -&gt; E5_3_1_9 | (0.278 * E5_3_1_9_mRNA) - (0.000000278 * E5_3_1_9)</v>
      </c>
    </row>
    <row r="460">
      <c r="A460" s="12">
        <v>459.0</v>
      </c>
      <c r="B460" s="2" t="s">
        <v>25384</v>
      </c>
      <c r="C460" s="2" t="str">
        <f t="shared" si="3"/>
        <v>E5_3_2_5_mRNA</v>
      </c>
      <c r="D460" s="2" t="str">
        <f t="shared" si="4"/>
        <v>E5_3_2_5</v>
      </c>
      <c r="E460" s="2" t="str">
        <f t="shared" si="5"/>
        <v>E5_3_2_5_kcat : 13.7</v>
      </c>
      <c r="F460" s="2" t="str">
        <f t="shared" si="6"/>
        <v>E5_3_2_5_km : 1</v>
      </c>
      <c r="G460" s="2" t="str">
        <f t="shared" ref="G460:H460" si="925">CONCATENATE(C460," : ",C460)</f>
        <v>E5_3_2_5_mRNA : E5_3_2_5_mRNA</v>
      </c>
      <c r="H460" s="2" t="str">
        <f t="shared" si="925"/>
        <v>E5_3_2_5 : E5_3_2_5</v>
      </c>
      <c r="I460" s="2" t="str">
        <f t="shared" ref="I460:J460" si="926">CONCATENATE(C460," : ","0")</f>
        <v>E5_3_2_5_mRNA : 0</v>
      </c>
      <c r="J460" s="2" t="str">
        <f t="shared" si="926"/>
        <v>E5_3_2_5 : 0</v>
      </c>
      <c r="K460" s="2" t="str">
        <f t="shared" si="9"/>
        <v>0.00292 - (0.0093 * E5_3_2_5_mRNA)</v>
      </c>
      <c r="L460" s="2" t="str">
        <f t="shared" si="10"/>
        <v>(0.278 * E5_3_2_5_mRNA) - (0.00000278 * E5_3_2_5)</v>
      </c>
      <c r="M460" s="2" t="str">
        <f t="shared" si="11"/>
        <v>mRNA459: -&gt; E5_3_2_5_mRNA | 0.00292 - (0.0093 * E5_3_2_5_mRNA)</v>
      </c>
      <c r="N460" s="2" t="str">
        <f t="shared" si="12"/>
        <v>Peptide459: E5_3_2_5_mRNA -&gt; E5_3_2_5 | (0.278 * E5_3_2_5_mRNA) - (0.000000278 * E5_3_2_5)</v>
      </c>
    </row>
    <row r="461">
      <c r="A461" s="12">
        <v>460.0</v>
      </c>
      <c r="B461" s="2" t="s">
        <v>25385</v>
      </c>
      <c r="C461" s="2" t="str">
        <f t="shared" si="3"/>
        <v>E5_3_2_6_mRNA</v>
      </c>
      <c r="D461" s="2" t="str">
        <f t="shared" si="4"/>
        <v>E5_3_2_6</v>
      </c>
      <c r="E461" s="2" t="str">
        <f t="shared" si="5"/>
        <v>E5_3_2_6_kcat : 13.7</v>
      </c>
      <c r="F461" s="2" t="str">
        <f t="shared" si="6"/>
        <v>E5_3_2_6_km : 1</v>
      </c>
      <c r="G461" s="2" t="str">
        <f t="shared" ref="G461:H461" si="927">CONCATENATE(C461," : ",C461)</f>
        <v>E5_3_2_6_mRNA : E5_3_2_6_mRNA</v>
      </c>
      <c r="H461" s="2" t="str">
        <f t="shared" si="927"/>
        <v>E5_3_2_6 : E5_3_2_6</v>
      </c>
      <c r="I461" s="2" t="str">
        <f t="shared" ref="I461:J461" si="928">CONCATENATE(C461," : ","0")</f>
        <v>E5_3_2_6_mRNA : 0</v>
      </c>
      <c r="J461" s="2" t="str">
        <f t="shared" si="928"/>
        <v>E5_3_2_6 : 0</v>
      </c>
      <c r="K461" s="2" t="str">
        <f t="shared" si="9"/>
        <v>0.00292 - (0.0093 * E5_3_2_6_mRNA)</v>
      </c>
      <c r="L461" s="2" t="str">
        <f t="shared" si="10"/>
        <v>(0.278 * E5_3_2_6_mRNA) - (0.00000278 * E5_3_2_6)</v>
      </c>
      <c r="M461" s="2" t="str">
        <f t="shared" si="11"/>
        <v>mRNA460: -&gt; E5_3_2_6_mRNA | 0.00292 - (0.0093 * E5_3_2_6_mRNA)</v>
      </c>
      <c r="N461" s="2" t="str">
        <f t="shared" si="12"/>
        <v>Peptide460: E5_3_2_6_mRNA -&gt; E5_3_2_6 | (0.278 * E5_3_2_6_mRNA) - (0.000000278 * E5_3_2_6)</v>
      </c>
    </row>
    <row r="462">
      <c r="A462" s="12">
        <v>461.0</v>
      </c>
      <c r="B462" s="2" t="s">
        <v>25386</v>
      </c>
      <c r="C462" s="2" t="str">
        <f t="shared" si="3"/>
        <v>E5_3_3_2_mRNA</v>
      </c>
      <c r="D462" s="2" t="str">
        <f t="shared" si="4"/>
        <v>E5_3_3_2</v>
      </c>
      <c r="E462" s="2" t="str">
        <f t="shared" si="5"/>
        <v>E5_3_3_2_kcat : 13.7</v>
      </c>
      <c r="F462" s="2" t="str">
        <f t="shared" si="6"/>
        <v>E5_3_3_2_km : 1</v>
      </c>
      <c r="G462" s="2" t="str">
        <f t="shared" ref="G462:H462" si="929">CONCATENATE(C462," : ",C462)</f>
        <v>E5_3_3_2_mRNA : E5_3_3_2_mRNA</v>
      </c>
      <c r="H462" s="2" t="str">
        <f t="shared" si="929"/>
        <v>E5_3_3_2 : E5_3_3_2</v>
      </c>
      <c r="I462" s="2" t="str">
        <f t="shared" ref="I462:J462" si="930">CONCATENATE(C462," : ","0")</f>
        <v>E5_3_3_2_mRNA : 0</v>
      </c>
      <c r="J462" s="2" t="str">
        <f t="shared" si="930"/>
        <v>E5_3_3_2 : 0</v>
      </c>
      <c r="K462" s="2" t="str">
        <f t="shared" si="9"/>
        <v>0.00292 - (0.0093 * E5_3_3_2_mRNA)</v>
      </c>
      <c r="L462" s="2" t="str">
        <f t="shared" si="10"/>
        <v>(0.278 * E5_3_3_2_mRNA) - (0.00000278 * E5_3_3_2)</v>
      </c>
      <c r="M462" s="2" t="str">
        <f t="shared" si="11"/>
        <v>mRNA461: -&gt; E5_3_3_2_mRNA | 0.00292 - (0.0093 * E5_3_3_2_mRNA)</v>
      </c>
      <c r="N462" s="2" t="str">
        <f t="shared" si="12"/>
        <v>Peptide461: E5_3_3_2_mRNA -&gt; E5_3_3_2 | (0.278 * E5_3_3_2_mRNA) - (0.000000278 * E5_3_3_2)</v>
      </c>
    </row>
    <row r="463">
      <c r="A463" s="12">
        <v>462.0</v>
      </c>
      <c r="B463" s="2" t="s">
        <v>25387</v>
      </c>
      <c r="C463" s="2" t="str">
        <f t="shared" si="3"/>
        <v>E5_4_2_10_mRNA</v>
      </c>
      <c r="D463" s="2" t="str">
        <f t="shared" si="4"/>
        <v>E5_4_2_10</v>
      </c>
      <c r="E463" s="2" t="str">
        <f t="shared" si="5"/>
        <v>E5_4_2_10_kcat : 13.7</v>
      </c>
      <c r="F463" s="2" t="str">
        <f t="shared" si="6"/>
        <v>E5_4_2_10_km : 1</v>
      </c>
      <c r="G463" s="2" t="str">
        <f t="shared" ref="G463:H463" si="931">CONCATENATE(C463," : ",C463)</f>
        <v>E5_4_2_10_mRNA : E5_4_2_10_mRNA</v>
      </c>
      <c r="H463" s="2" t="str">
        <f t="shared" si="931"/>
        <v>E5_4_2_10 : E5_4_2_10</v>
      </c>
      <c r="I463" s="2" t="str">
        <f t="shared" ref="I463:J463" si="932">CONCATENATE(C463," : ","0")</f>
        <v>E5_4_2_10_mRNA : 0</v>
      </c>
      <c r="J463" s="2" t="str">
        <f t="shared" si="932"/>
        <v>E5_4_2_10 : 0</v>
      </c>
      <c r="K463" s="2" t="str">
        <f t="shared" si="9"/>
        <v>0.00292 - (0.0093 * E5_4_2_10_mRNA)</v>
      </c>
      <c r="L463" s="2" t="str">
        <f t="shared" si="10"/>
        <v>(0.278 * E5_4_2_10_mRNA) - (0.00000278 * E5_4_2_10)</v>
      </c>
      <c r="M463" s="2" t="str">
        <f t="shared" si="11"/>
        <v>mRNA462: -&gt; E5_4_2_10_mRNA | 0.00292 - (0.0093 * E5_4_2_10_mRNA)</v>
      </c>
      <c r="N463" s="2" t="str">
        <f t="shared" si="12"/>
        <v>Peptide462: E5_4_2_10_mRNA -&gt; E5_4_2_10 | (0.278 * E5_4_2_10_mRNA) - (0.000000278 * E5_4_2_10)</v>
      </c>
    </row>
    <row r="464">
      <c r="A464" s="12">
        <v>463.0</v>
      </c>
      <c r="B464" s="2" t="s">
        <v>25388</v>
      </c>
      <c r="C464" s="2" t="str">
        <f t="shared" si="3"/>
        <v>E5_4_2_11_mRNA</v>
      </c>
      <c r="D464" s="2" t="str">
        <f t="shared" si="4"/>
        <v>E5_4_2_11</v>
      </c>
      <c r="E464" s="2" t="str">
        <f t="shared" si="5"/>
        <v>E5_4_2_11_kcat : 13.7</v>
      </c>
      <c r="F464" s="2" t="str">
        <f t="shared" si="6"/>
        <v>E5_4_2_11_km : 1</v>
      </c>
      <c r="G464" s="2" t="str">
        <f t="shared" ref="G464:H464" si="933">CONCATENATE(C464," : ",C464)</f>
        <v>E5_4_2_11_mRNA : E5_4_2_11_mRNA</v>
      </c>
      <c r="H464" s="2" t="str">
        <f t="shared" si="933"/>
        <v>E5_4_2_11 : E5_4_2_11</v>
      </c>
      <c r="I464" s="2" t="str">
        <f t="shared" ref="I464:J464" si="934">CONCATENATE(C464," : ","0")</f>
        <v>E5_4_2_11_mRNA : 0</v>
      </c>
      <c r="J464" s="2" t="str">
        <f t="shared" si="934"/>
        <v>E5_4_2_11 : 0</v>
      </c>
      <c r="K464" s="2" t="str">
        <f t="shared" si="9"/>
        <v>0.00292 - (0.0093 * E5_4_2_11_mRNA)</v>
      </c>
      <c r="L464" s="2" t="str">
        <f t="shared" si="10"/>
        <v>(0.278 * E5_4_2_11_mRNA) - (0.00000278 * E5_4_2_11)</v>
      </c>
      <c r="M464" s="2" t="str">
        <f t="shared" si="11"/>
        <v>mRNA463: -&gt; E5_4_2_11_mRNA | 0.00292 - (0.0093 * E5_4_2_11_mRNA)</v>
      </c>
      <c r="N464" s="2" t="str">
        <f t="shared" si="12"/>
        <v>Peptide463: E5_4_2_11_mRNA -&gt; E5_4_2_11 | (0.278 * E5_4_2_11_mRNA) - (0.000000278 * E5_4_2_11)</v>
      </c>
    </row>
    <row r="465">
      <c r="A465" s="12">
        <v>464.0</v>
      </c>
      <c r="B465" s="2" t="s">
        <v>25389</v>
      </c>
      <c r="C465" s="2" t="str">
        <f t="shared" si="3"/>
        <v>E5_4_2_12_mRNA</v>
      </c>
      <c r="D465" s="2" t="str">
        <f t="shared" si="4"/>
        <v>E5_4_2_12</v>
      </c>
      <c r="E465" s="2" t="str">
        <f t="shared" si="5"/>
        <v>E5_4_2_12_kcat : 13.7</v>
      </c>
      <c r="F465" s="2" t="str">
        <f t="shared" si="6"/>
        <v>E5_4_2_12_km : 1</v>
      </c>
      <c r="G465" s="2" t="str">
        <f t="shared" ref="G465:H465" si="935">CONCATENATE(C465," : ",C465)</f>
        <v>E5_4_2_12_mRNA : E5_4_2_12_mRNA</v>
      </c>
      <c r="H465" s="2" t="str">
        <f t="shared" si="935"/>
        <v>E5_4_2_12 : E5_4_2_12</v>
      </c>
      <c r="I465" s="2" t="str">
        <f t="shared" ref="I465:J465" si="936">CONCATENATE(C465," : ","0")</f>
        <v>E5_4_2_12_mRNA : 0</v>
      </c>
      <c r="J465" s="2" t="str">
        <f t="shared" si="936"/>
        <v>E5_4_2_12 : 0</v>
      </c>
      <c r="K465" s="2" t="str">
        <f t="shared" si="9"/>
        <v>0.00292 - (0.0093 * E5_4_2_12_mRNA)</v>
      </c>
      <c r="L465" s="2" t="str">
        <f t="shared" si="10"/>
        <v>(0.278 * E5_4_2_12_mRNA) - (0.00000278 * E5_4_2_12)</v>
      </c>
      <c r="M465" s="2" t="str">
        <f t="shared" si="11"/>
        <v>mRNA464: -&gt; E5_4_2_12_mRNA | 0.00292 - (0.0093 * E5_4_2_12_mRNA)</v>
      </c>
      <c r="N465" s="2" t="str">
        <f t="shared" si="12"/>
        <v>Peptide464: E5_4_2_12_mRNA -&gt; E5_4_2_12 | (0.278 * E5_4_2_12_mRNA) - (0.000000278 * E5_4_2_12)</v>
      </c>
    </row>
    <row r="466">
      <c r="A466" s="12">
        <v>465.0</v>
      </c>
      <c r="B466" s="2" t="s">
        <v>25390</v>
      </c>
      <c r="C466" s="2" t="str">
        <f t="shared" si="3"/>
        <v>E5_4_2_7_mRNA</v>
      </c>
      <c r="D466" s="2" t="str">
        <f t="shared" si="4"/>
        <v>E5_4_2_7</v>
      </c>
      <c r="E466" s="2" t="str">
        <f t="shared" si="5"/>
        <v>E5_4_2_7_kcat : 13.7</v>
      </c>
      <c r="F466" s="2" t="str">
        <f t="shared" si="6"/>
        <v>E5_4_2_7_km : 1</v>
      </c>
      <c r="G466" s="2" t="str">
        <f t="shared" ref="G466:H466" si="937">CONCATENATE(C466," : ",C466)</f>
        <v>E5_4_2_7_mRNA : E5_4_2_7_mRNA</v>
      </c>
      <c r="H466" s="2" t="str">
        <f t="shared" si="937"/>
        <v>E5_4_2_7 : E5_4_2_7</v>
      </c>
      <c r="I466" s="2" t="str">
        <f t="shared" ref="I466:J466" si="938">CONCATENATE(C466," : ","0")</f>
        <v>E5_4_2_7_mRNA : 0</v>
      </c>
      <c r="J466" s="2" t="str">
        <f t="shared" si="938"/>
        <v>E5_4_2_7 : 0</v>
      </c>
      <c r="K466" s="2" t="str">
        <f t="shared" si="9"/>
        <v>0.00292 - (0.0093 * E5_4_2_7_mRNA)</v>
      </c>
      <c r="L466" s="2" t="str">
        <f t="shared" si="10"/>
        <v>(0.278 * E5_4_2_7_mRNA) - (0.00000278 * E5_4_2_7)</v>
      </c>
      <c r="M466" s="2" t="str">
        <f t="shared" si="11"/>
        <v>mRNA465: -&gt; E5_4_2_7_mRNA | 0.00292 - (0.0093 * E5_4_2_7_mRNA)</v>
      </c>
      <c r="N466" s="2" t="str">
        <f t="shared" si="12"/>
        <v>Peptide465: E5_4_2_7_mRNA -&gt; E5_4_2_7 | (0.278 * E5_4_2_7_mRNA) - (0.000000278 * E5_4_2_7)</v>
      </c>
    </row>
    <row r="467">
      <c r="A467" s="12">
        <v>466.0</v>
      </c>
      <c r="B467" s="2" t="s">
        <v>25391</v>
      </c>
      <c r="C467" s="2" t="str">
        <f t="shared" si="3"/>
        <v>E5_4_3_2_mRNA</v>
      </c>
      <c r="D467" s="2" t="str">
        <f t="shared" si="4"/>
        <v>E5_4_3_2</v>
      </c>
      <c r="E467" s="2" t="str">
        <f t="shared" si="5"/>
        <v>E5_4_3_2_kcat : 13.7</v>
      </c>
      <c r="F467" s="2" t="str">
        <f t="shared" si="6"/>
        <v>E5_4_3_2_km : 1</v>
      </c>
      <c r="G467" s="2" t="str">
        <f t="shared" ref="G467:H467" si="939">CONCATENATE(C467," : ",C467)</f>
        <v>E5_4_3_2_mRNA : E5_4_3_2_mRNA</v>
      </c>
      <c r="H467" s="2" t="str">
        <f t="shared" si="939"/>
        <v>E5_4_3_2 : E5_4_3_2</v>
      </c>
      <c r="I467" s="2" t="str">
        <f t="shared" ref="I467:J467" si="940">CONCATENATE(C467," : ","0")</f>
        <v>E5_4_3_2_mRNA : 0</v>
      </c>
      <c r="J467" s="2" t="str">
        <f t="shared" si="940"/>
        <v>E5_4_3_2 : 0</v>
      </c>
      <c r="K467" s="2" t="str">
        <f t="shared" si="9"/>
        <v>0.00292 - (0.0093 * E5_4_3_2_mRNA)</v>
      </c>
      <c r="L467" s="2" t="str">
        <f t="shared" si="10"/>
        <v>(0.278 * E5_4_3_2_mRNA) - (0.00000278 * E5_4_3_2)</v>
      </c>
      <c r="M467" s="2" t="str">
        <f t="shared" si="11"/>
        <v>mRNA466: -&gt; E5_4_3_2_mRNA | 0.00292 - (0.0093 * E5_4_3_2_mRNA)</v>
      </c>
      <c r="N467" s="2" t="str">
        <f t="shared" si="12"/>
        <v>Peptide466: E5_4_3_2_mRNA -&gt; E5_4_3_2 | (0.278 * E5_4_3_2_mRNA) - (0.000000278 * E5_4_3_2)</v>
      </c>
    </row>
    <row r="468">
      <c r="A468" s="12">
        <v>467.0</v>
      </c>
      <c r="B468" s="2" t="s">
        <v>25392</v>
      </c>
      <c r="C468" s="2" t="str">
        <f t="shared" si="3"/>
        <v>E5_4_3_8_mRNA</v>
      </c>
      <c r="D468" s="2" t="str">
        <f t="shared" si="4"/>
        <v>E5_4_3_8</v>
      </c>
      <c r="E468" s="2" t="str">
        <f t="shared" si="5"/>
        <v>E5_4_3_8_kcat : 13.7</v>
      </c>
      <c r="F468" s="2" t="str">
        <f t="shared" si="6"/>
        <v>E5_4_3_8_km : 1</v>
      </c>
      <c r="G468" s="2" t="str">
        <f t="shared" ref="G468:H468" si="941">CONCATENATE(C468," : ",C468)</f>
        <v>E5_4_3_8_mRNA : E5_4_3_8_mRNA</v>
      </c>
      <c r="H468" s="2" t="str">
        <f t="shared" si="941"/>
        <v>E5_4_3_8 : E5_4_3_8</v>
      </c>
      <c r="I468" s="2" t="str">
        <f t="shared" ref="I468:J468" si="942">CONCATENATE(C468," : ","0")</f>
        <v>E5_4_3_8_mRNA : 0</v>
      </c>
      <c r="J468" s="2" t="str">
        <f t="shared" si="942"/>
        <v>E5_4_3_8 : 0</v>
      </c>
      <c r="K468" s="2" t="str">
        <f t="shared" si="9"/>
        <v>0.00292 - (0.0093 * E5_4_3_8_mRNA)</v>
      </c>
      <c r="L468" s="2" t="str">
        <f t="shared" si="10"/>
        <v>(0.278 * E5_4_3_8_mRNA) - (0.00000278 * E5_4_3_8)</v>
      </c>
      <c r="M468" s="2" t="str">
        <f t="shared" si="11"/>
        <v>mRNA467: -&gt; E5_4_3_8_mRNA | 0.00292 - (0.0093 * E5_4_3_8_mRNA)</v>
      </c>
      <c r="N468" s="2" t="str">
        <f t="shared" si="12"/>
        <v>Peptide467: E5_4_3_8_mRNA -&gt; E5_4_3_8 | (0.278 * E5_4_3_8_mRNA) - (0.000000278 * E5_4_3_8)</v>
      </c>
    </row>
    <row r="469">
      <c r="A469" s="12">
        <v>468.0</v>
      </c>
      <c r="B469" s="2" t="s">
        <v>25393</v>
      </c>
      <c r="C469" s="2" t="str">
        <f t="shared" si="3"/>
        <v>E5_4_4_2_mRNA</v>
      </c>
      <c r="D469" s="2" t="str">
        <f t="shared" si="4"/>
        <v>E5_4_4_2</v>
      </c>
      <c r="E469" s="2" t="str">
        <f t="shared" si="5"/>
        <v>E5_4_4_2_kcat : 13.7</v>
      </c>
      <c r="F469" s="2" t="str">
        <f t="shared" si="6"/>
        <v>E5_4_4_2_km : 1</v>
      </c>
      <c r="G469" s="2" t="str">
        <f t="shared" ref="G469:H469" si="943">CONCATENATE(C469," : ",C469)</f>
        <v>E5_4_4_2_mRNA : E5_4_4_2_mRNA</v>
      </c>
      <c r="H469" s="2" t="str">
        <f t="shared" si="943"/>
        <v>E5_4_4_2 : E5_4_4_2</v>
      </c>
      <c r="I469" s="2" t="str">
        <f t="shared" ref="I469:J469" si="944">CONCATENATE(C469," : ","0")</f>
        <v>E5_4_4_2_mRNA : 0</v>
      </c>
      <c r="J469" s="2" t="str">
        <f t="shared" si="944"/>
        <v>E5_4_4_2 : 0</v>
      </c>
      <c r="K469" s="2" t="str">
        <f t="shared" si="9"/>
        <v>0.00292 - (0.0093 * E5_4_4_2_mRNA)</v>
      </c>
      <c r="L469" s="2" t="str">
        <f t="shared" si="10"/>
        <v>(0.278 * E5_4_4_2_mRNA) - (0.00000278 * E5_4_4_2)</v>
      </c>
      <c r="M469" s="2" t="str">
        <f t="shared" si="11"/>
        <v>mRNA468: -&gt; E5_4_4_2_mRNA | 0.00292 - (0.0093 * E5_4_4_2_mRNA)</v>
      </c>
      <c r="N469" s="2" t="str">
        <f t="shared" si="12"/>
        <v>Peptide468: E5_4_4_2_mRNA -&gt; E5_4_4_2 | (0.278 * E5_4_4_2_mRNA) - (0.000000278 * E5_4_4_2)</v>
      </c>
    </row>
    <row r="470">
      <c r="A470" s="12">
        <v>469.0</v>
      </c>
      <c r="B470" s="2" t="s">
        <v>25394</v>
      </c>
      <c r="C470" s="2" t="str">
        <f t="shared" si="3"/>
        <v>E5_4_99_12_mRNA</v>
      </c>
      <c r="D470" s="2" t="str">
        <f t="shared" si="4"/>
        <v>E5_4_99_12</v>
      </c>
      <c r="E470" s="2" t="str">
        <f t="shared" si="5"/>
        <v>E5_4_99_12_kcat : 13.7</v>
      </c>
      <c r="F470" s="2" t="str">
        <f t="shared" si="6"/>
        <v>E5_4_99_12_km : 1</v>
      </c>
      <c r="G470" s="2" t="str">
        <f t="shared" ref="G470:H470" si="945">CONCATENATE(C470," : ",C470)</f>
        <v>E5_4_99_12_mRNA : E5_4_99_12_mRNA</v>
      </c>
      <c r="H470" s="2" t="str">
        <f t="shared" si="945"/>
        <v>E5_4_99_12 : E5_4_99_12</v>
      </c>
      <c r="I470" s="2" t="str">
        <f t="shared" ref="I470:J470" si="946">CONCATENATE(C470," : ","0")</f>
        <v>E5_4_99_12_mRNA : 0</v>
      </c>
      <c r="J470" s="2" t="str">
        <f t="shared" si="946"/>
        <v>E5_4_99_12 : 0</v>
      </c>
      <c r="K470" s="2" t="str">
        <f t="shared" si="9"/>
        <v>0.00292 - (0.0093 * E5_4_99_12_mRNA)</v>
      </c>
      <c r="L470" s="2" t="str">
        <f t="shared" si="10"/>
        <v>(0.278 * E5_4_99_12_mRNA) - (0.00000278 * E5_4_99_12)</v>
      </c>
      <c r="M470" s="2" t="str">
        <f t="shared" si="11"/>
        <v>mRNA469: -&gt; E5_4_99_12_mRNA | 0.00292 - (0.0093 * E5_4_99_12_mRNA)</v>
      </c>
      <c r="N470" s="2" t="str">
        <f t="shared" si="12"/>
        <v>Peptide469: E5_4_99_12_mRNA -&gt; E5_4_99_12 | (0.278 * E5_4_99_12_mRNA) - (0.000000278 * E5_4_99_12)</v>
      </c>
    </row>
    <row r="471">
      <c r="A471" s="12">
        <v>470.0</v>
      </c>
      <c r="B471" s="2" t="s">
        <v>25395</v>
      </c>
      <c r="C471" s="2" t="str">
        <f t="shared" si="3"/>
        <v>E5_4_99_18_mRNA</v>
      </c>
      <c r="D471" s="2" t="str">
        <f t="shared" si="4"/>
        <v>E5_4_99_18</v>
      </c>
      <c r="E471" s="2" t="str">
        <f t="shared" si="5"/>
        <v>E5_4_99_18_kcat : 13.7</v>
      </c>
      <c r="F471" s="2" t="str">
        <f t="shared" si="6"/>
        <v>E5_4_99_18_km : 1</v>
      </c>
      <c r="G471" s="2" t="str">
        <f t="shared" ref="G471:H471" si="947">CONCATENATE(C471," : ",C471)</f>
        <v>E5_4_99_18_mRNA : E5_4_99_18_mRNA</v>
      </c>
      <c r="H471" s="2" t="str">
        <f t="shared" si="947"/>
        <v>E5_4_99_18 : E5_4_99_18</v>
      </c>
      <c r="I471" s="2" t="str">
        <f t="shared" ref="I471:J471" si="948">CONCATENATE(C471," : ","0")</f>
        <v>E5_4_99_18_mRNA : 0</v>
      </c>
      <c r="J471" s="2" t="str">
        <f t="shared" si="948"/>
        <v>E5_4_99_18 : 0</v>
      </c>
      <c r="K471" s="2" t="str">
        <f t="shared" si="9"/>
        <v>0.00292 - (0.0093 * E5_4_99_18_mRNA)</v>
      </c>
      <c r="L471" s="2" t="str">
        <f t="shared" si="10"/>
        <v>(0.278 * E5_4_99_18_mRNA) - (0.00000278 * E5_4_99_18)</v>
      </c>
      <c r="M471" s="2" t="str">
        <f t="shared" si="11"/>
        <v>mRNA470: -&gt; E5_4_99_18_mRNA | 0.00292 - (0.0093 * E5_4_99_18_mRNA)</v>
      </c>
      <c r="N471" s="2" t="str">
        <f t="shared" si="12"/>
        <v>Peptide470: E5_4_99_18_mRNA -&gt; E5_4_99_18 | (0.278 * E5_4_99_18_mRNA) - (0.000000278 * E5_4_99_18)</v>
      </c>
    </row>
    <row r="472">
      <c r="A472" s="12">
        <v>471.0</v>
      </c>
      <c r="B472" s="2" t="s">
        <v>25396</v>
      </c>
      <c r="C472" s="2" t="str">
        <f t="shared" si="3"/>
        <v>E5_4_99_21_mRNA</v>
      </c>
      <c r="D472" s="2" t="str">
        <f t="shared" si="4"/>
        <v>E5_4_99_21</v>
      </c>
      <c r="E472" s="2" t="str">
        <f t="shared" si="5"/>
        <v>E5_4_99_21_kcat : 13.7</v>
      </c>
      <c r="F472" s="2" t="str">
        <f t="shared" si="6"/>
        <v>E5_4_99_21_km : 1</v>
      </c>
      <c r="G472" s="2" t="str">
        <f t="shared" ref="G472:H472" si="949">CONCATENATE(C472," : ",C472)</f>
        <v>E5_4_99_21_mRNA : E5_4_99_21_mRNA</v>
      </c>
      <c r="H472" s="2" t="str">
        <f t="shared" si="949"/>
        <v>E5_4_99_21 : E5_4_99_21</v>
      </c>
      <c r="I472" s="2" t="str">
        <f t="shared" ref="I472:J472" si="950">CONCATENATE(C472," : ","0")</f>
        <v>E5_4_99_21_mRNA : 0</v>
      </c>
      <c r="J472" s="2" t="str">
        <f t="shared" si="950"/>
        <v>E5_4_99_21 : 0</v>
      </c>
      <c r="K472" s="2" t="str">
        <f t="shared" si="9"/>
        <v>0.00292 - (0.0093 * E5_4_99_21_mRNA)</v>
      </c>
      <c r="L472" s="2" t="str">
        <f t="shared" si="10"/>
        <v>(0.278 * E5_4_99_21_mRNA) - (0.00000278 * E5_4_99_21)</v>
      </c>
      <c r="M472" s="2" t="str">
        <f t="shared" si="11"/>
        <v>mRNA471: -&gt; E5_4_99_21_mRNA | 0.00292 - (0.0093 * E5_4_99_21_mRNA)</v>
      </c>
      <c r="N472" s="2" t="str">
        <f t="shared" si="12"/>
        <v>Peptide471: E5_4_99_21_mRNA -&gt; E5_4_99_21 | (0.278 * E5_4_99_21_mRNA) - (0.000000278 * E5_4_99_21)</v>
      </c>
    </row>
    <row r="473">
      <c r="A473" s="12">
        <v>472.0</v>
      </c>
      <c r="B473" s="2" t="s">
        <v>25397</v>
      </c>
      <c r="C473" s="2" t="str">
        <f t="shared" si="3"/>
        <v>E5_4_99_22_mRNA</v>
      </c>
      <c r="D473" s="2" t="str">
        <f t="shared" si="4"/>
        <v>E5_4_99_22</v>
      </c>
      <c r="E473" s="2" t="str">
        <f t="shared" si="5"/>
        <v>E5_4_99_22_kcat : 13.7</v>
      </c>
      <c r="F473" s="2" t="str">
        <f t="shared" si="6"/>
        <v>E5_4_99_22_km : 1</v>
      </c>
      <c r="G473" s="2" t="str">
        <f t="shared" ref="G473:H473" si="951">CONCATENATE(C473," : ",C473)</f>
        <v>E5_4_99_22_mRNA : E5_4_99_22_mRNA</v>
      </c>
      <c r="H473" s="2" t="str">
        <f t="shared" si="951"/>
        <v>E5_4_99_22 : E5_4_99_22</v>
      </c>
      <c r="I473" s="2" t="str">
        <f t="shared" ref="I473:J473" si="952">CONCATENATE(C473," : ","0")</f>
        <v>E5_4_99_22_mRNA : 0</v>
      </c>
      <c r="J473" s="2" t="str">
        <f t="shared" si="952"/>
        <v>E5_4_99_22 : 0</v>
      </c>
      <c r="K473" s="2" t="str">
        <f t="shared" si="9"/>
        <v>0.00292 - (0.0093 * E5_4_99_22_mRNA)</v>
      </c>
      <c r="L473" s="2" t="str">
        <f t="shared" si="10"/>
        <v>(0.278 * E5_4_99_22_mRNA) - (0.00000278 * E5_4_99_22)</v>
      </c>
      <c r="M473" s="2" t="str">
        <f t="shared" si="11"/>
        <v>mRNA472: -&gt; E5_4_99_22_mRNA | 0.00292 - (0.0093 * E5_4_99_22_mRNA)</v>
      </c>
      <c r="N473" s="2" t="str">
        <f t="shared" si="12"/>
        <v>Peptide472: E5_4_99_22_mRNA -&gt; E5_4_99_22 | (0.278 * E5_4_99_22_mRNA) - (0.000000278 * E5_4_99_22)</v>
      </c>
    </row>
    <row r="474">
      <c r="A474" s="12">
        <v>473.0</v>
      </c>
      <c r="B474" s="2" t="s">
        <v>25398</v>
      </c>
      <c r="C474" s="2" t="str">
        <f t="shared" si="3"/>
        <v>E5_4_99_25_mRNA</v>
      </c>
      <c r="D474" s="2" t="str">
        <f t="shared" si="4"/>
        <v>E5_4_99_25</v>
      </c>
      <c r="E474" s="2" t="str">
        <f t="shared" si="5"/>
        <v>E5_4_99_25_kcat : 13.7</v>
      </c>
      <c r="F474" s="2" t="str">
        <f t="shared" si="6"/>
        <v>E5_4_99_25_km : 1</v>
      </c>
      <c r="G474" s="2" t="str">
        <f t="shared" ref="G474:H474" si="953">CONCATENATE(C474," : ",C474)</f>
        <v>E5_4_99_25_mRNA : E5_4_99_25_mRNA</v>
      </c>
      <c r="H474" s="2" t="str">
        <f t="shared" si="953"/>
        <v>E5_4_99_25 : E5_4_99_25</v>
      </c>
      <c r="I474" s="2" t="str">
        <f t="shared" ref="I474:J474" si="954">CONCATENATE(C474," : ","0")</f>
        <v>E5_4_99_25_mRNA : 0</v>
      </c>
      <c r="J474" s="2" t="str">
        <f t="shared" si="954"/>
        <v>E5_4_99_25 : 0</v>
      </c>
      <c r="K474" s="2" t="str">
        <f t="shared" si="9"/>
        <v>0.00292 - (0.0093 * E5_4_99_25_mRNA)</v>
      </c>
      <c r="L474" s="2" t="str">
        <f t="shared" si="10"/>
        <v>(0.278 * E5_4_99_25_mRNA) - (0.00000278 * E5_4_99_25)</v>
      </c>
      <c r="M474" s="2" t="str">
        <f t="shared" si="11"/>
        <v>mRNA473: -&gt; E5_4_99_25_mRNA | 0.00292 - (0.0093 * E5_4_99_25_mRNA)</v>
      </c>
      <c r="N474" s="2" t="str">
        <f t="shared" si="12"/>
        <v>Peptide473: E5_4_99_25_mRNA -&gt; E5_4_99_25 | (0.278 * E5_4_99_25_mRNA) - (0.000000278 * E5_4_99_25)</v>
      </c>
    </row>
    <row r="475">
      <c r="A475" s="12">
        <v>474.0</v>
      </c>
      <c r="B475" s="2" t="s">
        <v>25399</v>
      </c>
      <c r="C475" s="2" t="str">
        <f t="shared" si="3"/>
        <v>E5_4_99_62_mRNA</v>
      </c>
      <c r="D475" s="2" t="str">
        <f t="shared" si="4"/>
        <v>E5_4_99_62</v>
      </c>
      <c r="E475" s="2" t="str">
        <f t="shared" si="5"/>
        <v>E5_4_99_62_kcat : 13.7</v>
      </c>
      <c r="F475" s="2" t="str">
        <f t="shared" si="6"/>
        <v>E5_4_99_62_km : 1</v>
      </c>
      <c r="G475" s="2" t="str">
        <f t="shared" ref="G475:H475" si="955">CONCATENATE(C475," : ",C475)</f>
        <v>E5_4_99_62_mRNA : E5_4_99_62_mRNA</v>
      </c>
      <c r="H475" s="2" t="str">
        <f t="shared" si="955"/>
        <v>E5_4_99_62 : E5_4_99_62</v>
      </c>
      <c r="I475" s="2" t="str">
        <f t="shared" ref="I475:J475" si="956">CONCATENATE(C475," : ","0")</f>
        <v>E5_4_99_62_mRNA : 0</v>
      </c>
      <c r="J475" s="2" t="str">
        <f t="shared" si="956"/>
        <v>E5_4_99_62 : 0</v>
      </c>
      <c r="K475" s="2" t="str">
        <f t="shared" si="9"/>
        <v>0.00292 - (0.0093 * E5_4_99_62_mRNA)</v>
      </c>
      <c r="L475" s="2" t="str">
        <f t="shared" si="10"/>
        <v>(0.278 * E5_4_99_62_mRNA) - (0.00000278 * E5_4_99_62)</v>
      </c>
      <c r="M475" s="2" t="str">
        <f t="shared" si="11"/>
        <v>mRNA474: -&gt; E5_4_99_62_mRNA | 0.00292 - (0.0093 * E5_4_99_62_mRNA)</v>
      </c>
      <c r="N475" s="2" t="str">
        <f t="shared" si="12"/>
        <v>Peptide474: E5_4_99_62_mRNA -&gt; E5_4_99_62 | (0.278 * E5_4_99_62_mRNA) - (0.000000278 * E5_4_99_62)</v>
      </c>
    </row>
    <row r="476">
      <c r="A476" s="12">
        <v>475.0</v>
      </c>
      <c r="B476" s="2" t="s">
        <v>25400</v>
      </c>
      <c r="C476" s="2" t="str">
        <f t="shared" si="3"/>
        <v>E5_6_2_1_mRNA</v>
      </c>
      <c r="D476" s="2" t="str">
        <f t="shared" si="4"/>
        <v>E5_6_2_1</v>
      </c>
      <c r="E476" s="2" t="str">
        <f t="shared" si="5"/>
        <v>E5_6_2_1_kcat : 13.7</v>
      </c>
      <c r="F476" s="2" t="str">
        <f t="shared" si="6"/>
        <v>E5_6_2_1_km : 1</v>
      </c>
      <c r="G476" s="2" t="str">
        <f t="shared" ref="G476:H476" si="957">CONCATENATE(C476," : ",C476)</f>
        <v>E5_6_2_1_mRNA : E5_6_2_1_mRNA</v>
      </c>
      <c r="H476" s="2" t="str">
        <f t="shared" si="957"/>
        <v>E5_6_2_1 : E5_6_2_1</v>
      </c>
      <c r="I476" s="2" t="str">
        <f t="shared" ref="I476:J476" si="958">CONCATENATE(C476," : ","0")</f>
        <v>E5_6_2_1_mRNA : 0</v>
      </c>
      <c r="J476" s="2" t="str">
        <f t="shared" si="958"/>
        <v>E5_6_2_1 : 0</v>
      </c>
      <c r="K476" s="2" t="str">
        <f t="shared" si="9"/>
        <v>0.00292 - (0.0093 * E5_6_2_1_mRNA)</v>
      </c>
      <c r="L476" s="2" t="str">
        <f t="shared" si="10"/>
        <v>(0.278 * E5_6_2_1_mRNA) - (0.00000278 * E5_6_2_1)</v>
      </c>
      <c r="M476" s="2" t="str">
        <f t="shared" si="11"/>
        <v>mRNA475: -&gt; E5_6_2_1_mRNA | 0.00292 - (0.0093 * E5_6_2_1_mRNA)</v>
      </c>
      <c r="N476" s="2" t="str">
        <f t="shared" si="12"/>
        <v>Peptide475: E5_6_2_1_mRNA -&gt; E5_6_2_1 | (0.278 * E5_6_2_1_mRNA) - (0.000000278 * E5_6_2_1)</v>
      </c>
    </row>
    <row r="477">
      <c r="A477" s="12">
        <v>476.0</v>
      </c>
      <c r="B477" s="2" t="s">
        <v>25401</v>
      </c>
      <c r="C477" s="2" t="str">
        <f t="shared" si="3"/>
        <v>E5_6_2_2_mRNA</v>
      </c>
      <c r="D477" s="2" t="str">
        <f t="shared" si="4"/>
        <v>E5_6_2_2</v>
      </c>
      <c r="E477" s="2" t="str">
        <f t="shared" si="5"/>
        <v>E5_6_2_2_kcat : 13.7</v>
      </c>
      <c r="F477" s="2" t="str">
        <f t="shared" si="6"/>
        <v>E5_6_2_2_km : 1</v>
      </c>
      <c r="G477" s="2" t="str">
        <f t="shared" ref="G477:H477" si="959">CONCATENATE(C477," : ",C477)</f>
        <v>E5_6_2_2_mRNA : E5_6_2_2_mRNA</v>
      </c>
      <c r="H477" s="2" t="str">
        <f t="shared" si="959"/>
        <v>E5_6_2_2 : E5_6_2_2</v>
      </c>
      <c r="I477" s="2" t="str">
        <f t="shared" ref="I477:J477" si="960">CONCATENATE(C477," : ","0")</f>
        <v>E5_6_2_2_mRNA : 0</v>
      </c>
      <c r="J477" s="2" t="str">
        <f t="shared" si="960"/>
        <v>E5_6_2_2 : 0</v>
      </c>
      <c r="K477" s="2" t="str">
        <f t="shared" si="9"/>
        <v>0.00292 - (0.0093 * E5_6_2_2_mRNA)</v>
      </c>
      <c r="L477" s="2" t="str">
        <f t="shared" si="10"/>
        <v>(0.278 * E5_6_2_2_mRNA) - (0.00000278 * E5_6_2_2)</v>
      </c>
      <c r="M477" s="2" t="str">
        <f t="shared" si="11"/>
        <v>mRNA476: -&gt; E5_6_2_2_mRNA | 0.00292 - (0.0093 * E5_6_2_2_mRNA)</v>
      </c>
      <c r="N477" s="2" t="str">
        <f t="shared" si="12"/>
        <v>Peptide476: E5_6_2_2_mRNA -&gt; E5_6_2_2 | (0.278 * E5_6_2_2_mRNA) - (0.000000278 * E5_6_2_2)</v>
      </c>
    </row>
    <row r="478">
      <c r="A478" s="12">
        <v>477.0</v>
      </c>
      <c r="B478" s="2" t="s">
        <v>25402</v>
      </c>
      <c r="C478" s="2" t="str">
        <f t="shared" si="3"/>
        <v>E6_1_1_1_mRNA</v>
      </c>
      <c r="D478" s="2" t="str">
        <f t="shared" si="4"/>
        <v>E6_1_1_1</v>
      </c>
      <c r="E478" s="2" t="str">
        <f t="shared" si="5"/>
        <v>E6_1_1_1_kcat : 13.7</v>
      </c>
      <c r="F478" s="2" t="str">
        <f t="shared" si="6"/>
        <v>E6_1_1_1_km : 1</v>
      </c>
      <c r="G478" s="2" t="str">
        <f t="shared" ref="G478:H478" si="961">CONCATENATE(C478," : ",C478)</f>
        <v>E6_1_1_1_mRNA : E6_1_1_1_mRNA</v>
      </c>
      <c r="H478" s="2" t="str">
        <f t="shared" si="961"/>
        <v>E6_1_1_1 : E6_1_1_1</v>
      </c>
      <c r="I478" s="2" t="str">
        <f t="shared" ref="I478:J478" si="962">CONCATENATE(C478," : ","0")</f>
        <v>E6_1_1_1_mRNA : 0</v>
      </c>
      <c r="J478" s="2" t="str">
        <f t="shared" si="962"/>
        <v>E6_1_1_1 : 0</v>
      </c>
      <c r="K478" s="2" t="str">
        <f t="shared" si="9"/>
        <v>0.00292 - (0.0093 * E6_1_1_1_mRNA)</v>
      </c>
      <c r="L478" s="2" t="str">
        <f t="shared" si="10"/>
        <v>(0.278 * E6_1_1_1_mRNA) - (0.00000278 * E6_1_1_1)</v>
      </c>
      <c r="M478" s="2" t="str">
        <f t="shared" si="11"/>
        <v>mRNA477: -&gt; E6_1_1_1_mRNA | 0.00292 - (0.0093 * E6_1_1_1_mRNA)</v>
      </c>
      <c r="N478" s="2" t="str">
        <f t="shared" si="12"/>
        <v>Peptide477: E6_1_1_1_mRNA -&gt; E6_1_1_1 | (0.278 * E6_1_1_1_mRNA) - (0.000000278 * E6_1_1_1)</v>
      </c>
    </row>
    <row r="479">
      <c r="A479" s="12">
        <v>478.0</v>
      </c>
      <c r="B479" s="2" t="s">
        <v>25403</v>
      </c>
      <c r="C479" s="2" t="str">
        <f t="shared" si="3"/>
        <v>E6_1_1_10_mRNA</v>
      </c>
      <c r="D479" s="2" t="str">
        <f t="shared" si="4"/>
        <v>E6_1_1_10</v>
      </c>
      <c r="E479" s="2" t="str">
        <f t="shared" si="5"/>
        <v>E6_1_1_10_kcat : 13.7</v>
      </c>
      <c r="F479" s="2" t="str">
        <f t="shared" si="6"/>
        <v>E6_1_1_10_km : 1</v>
      </c>
      <c r="G479" s="2" t="str">
        <f t="shared" ref="G479:H479" si="963">CONCATENATE(C479," : ",C479)</f>
        <v>E6_1_1_10_mRNA : E6_1_1_10_mRNA</v>
      </c>
      <c r="H479" s="2" t="str">
        <f t="shared" si="963"/>
        <v>E6_1_1_10 : E6_1_1_10</v>
      </c>
      <c r="I479" s="2" t="str">
        <f t="shared" ref="I479:J479" si="964">CONCATENATE(C479," : ","0")</f>
        <v>E6_1_1_10_mRNA : 0</v>
      </c>
      <c r="J479" s="2" t="str">
        <f t="shared" si="964"/>
        <v>E6_1_1_10 : 0</v>
      </c>
      <c r="K479" s="2" t="str">
        <f t="shared" si="9"/>
        <v>0.00292 - (0.0093 * E6_1_1_10_mRNA)</v>
      </c>
      <c r="L479" s="2" t="str">
        <f t="shared" si="10"/>
        <v>(0.278 * E6_1_1_10_mRNA) - (0.00000278 * E6_1_1_10)</v>
      </c>
      <c r="M479" s="2" t="str">
        <f t="shared" si="11"/>
        <v>mRNA478: -&gt; E6_1_1_10_mRNA | 0.00292 - (0.0093 * E6_1_1_10_mRNA)</v>
      </c>
      <c r="N479" s="2" t="str">
        <f t="shared" si="12"/>
        <v>Peptide478: E6_1_1_10_mRNA -&gt; E6_1_1_10 | (0.278 * E6_1_1_10_mRNA) - (0.000000278 * E6_1_1_10)</v>
      </c>
    </row>
    <row r="480">
      <c r="A480" s="12">
        <v>479.0</v>
      </c>
      <c r="B480" s="2" t="s">
        <v>25404</v>
      </c>
      <c r="C480" s="2" t="str">
        <f t="shared" si="3"/>
        <v>E6_1_1_12_mRNA</v>
      </c>
      <c r="D480" s="2" t="str">
        <f t="shared" si="4"/>
        <v>E6_1_1_12</v>
      </c>
      <c r="E480" s="2" t="str">
        <f t="shared" si="5"/>
        <v>E6_1_1_12_kcat : 13.7</v>
      </c>
      <c r="F480" s="2" t="str">
        <f t="shared" si="6"/>
        <v>E6_1_1_12_km : 1</v>
      </c>
      <c r="G480" s="2" t="str">
        <f t="shared" ref="G480:H480" si="965">CONCATENATE(C480," : ",C480)</f>
        <v>E6_1_1_12_mRNA : E6_1_1_12_mRNA</v>
      </c>
      <c r="H480" s="2" t="str">
        <f t="shared" si="965"/>
        <v>E6_1_1_12 : E6_1_1_12</v>
      </c>
      <c r="I480" s="2" t="str">
        <f t="shared" ref="I480:J480" si="966">CONCATENATE(C480," : ","0")</f>
        <v>E6_1_1_12_mRNA : 0</v>
      </c>
      <c r="J480" s="2" t="str">
        <f t="shared" si="966"/>
        <v>E6_1_1_12 : 0</v>
      </c>
      <c r="K480" s="2" t="str">
        <f t="shared" si="9"/>
        <v>0.00292 - (0.0093 * E6_1_1_12_mRNA)</v>
      </c>
      <c r="L480" s="2" t="str">
        <f t="shared" si="10"/>
        <v>(0.278 * E6_1_1_12_mRNA) - (0.00000278 * E6_1_1_12)</v>
      </c>
      <c r="M480" s="2" t="str">
        <f t="shared" si="11"/>
        <v>mRNA479: -&gt; E6_1_1_12_mRNA | 0.00292 - (0.0093 * E6_1_1_12_mRNA)</v>
      </c>
      <c r="N480" s="2" t="str">
        <f t="shared" si="12"/>
        <v>Peptide479: E6_1_1_12_mRNA -&gt; E6_1_1_12 | (0.278 * E6_1_1_12_mRNA) - (0.000000278 * E6_1_1_12)</v>
      </c>
    </row>
    <row r="481">
      <c r="A481" s="12">
        <v>480.0</v>
      </c>
      <c r="B481" s="2" t="s">
        <v>25405</v>
      </c>
      <c r="C481" s="2" t="str">
        <f t="shared" si="3"/>
        <v>E6_1_1_13_mRNA</v>
      </c>
      <c r="D481" s="2" t="str">
        <f t="shared" si="4"/>
        <v>E6_1_1_13</v>
      </c>
      <c r="E481" s="2" t="str">
        <f t="shared" si="5"/>
        <v>E6_1_1_13_kcat : 13.7</v>
      </c>
      <c r="F481" s="2" t="str">
        <f t="shared" si="6"/>
        <v>E6_1_1_13_km : 1</v>
      </c>
      <c r="G481" s="2" t="str">
        <f t="shared" ref="G481:H481" si="967">CONCATENATE(C481," : ",C481)</f>
        <v>E6_1_1_13_mRNA : E6_1_1_13_mRNA</v>
      </c>
      <c r="H481" s="2" t="str">
        <f t="shared" si="967"/>
        <v>E6_1_1_13 : E6_1_1_13</v>
      </c>
      <c r="I481" s="2" t="str">
        <f t="shared" ref="I481:J481" si="968">CONCATENATE(C481," : ","0")</f>
        <v>E6_1_1_13_mRNA : 0</v>
      </c>
      <c r="J481" s="2" t="str">
        <f t="shared" si="968"/>
        <v>E6_1_1_13 : 0</v>
      </c>
      <c r="K481" s="2" t="str">
        <f t="shared" si="9"/>
        <v>0.00292 - (0.0093 * E6_1_1_13_mRNA)</v>
      </c>
      <c r="L481" s="2" t="str">
        <f t="shared" si="10"/>
        <v>(0.278 * E6_1_1_13_mRNA) - (0.00000278 * E6_1_1_13)</v>
      </c>
      <c r="M481" s="2" t="str">
        <f t="shared" si="11"/>
        <v>mRNA480: -&gt; E6_1_1_13_mRNA | 0.00292 - (0.0093 * E6_1_1_13_mRNA)</v>
      </c>
      <c r="N481" s="2" t="str">
        <f t="shared" si="12"/>
        <v>Peptide480: E6_1_1_13_mRNA -&gt; E6_1_1_13 | (0.278 * E6_1_1_13_mRNA) - (0.000000278 * E6_1_1_13)</v>
      </c>
    </row>
    <row r="482">
      <c r="A482" s="12">
        <v>481.0</v>
      </c>
      <c r="B482" s="2" t="s">
        <v>25406</v>
      </c>
      <c r="C482" s="2" t="str">
        <f t="shared" si="3"/>
        <v>E6_1_1_15_mRNA</v>
      </c>
      <c r="D482" s="2" t="str">
        <f t="shared" si="4"/>
        <v>E6_1_1_15</v>
      </c>
      <c r="E482" s="2" t="str">
        <f t="shared" si="5"/>
        <v>E6_1_1_15_kcat : 13.7</v>
      </c>
      <c r="F482" s="2" t="str">
        <f t="shared" si="6"/>
        <v>E6_1_1_15_km : 1</v>
      </c>
      <c r="G482" s="2" t="str">
        <f t="shared" ref="G482:H482" si="969">CONCATENATE(C482," : ",C482)</f>
        <v>E6_1_1_15_mRNA : E6_1_1_15_mRNA</v>
      </c>
      <c r="H482" s="2" t="str">
        <f t="shared" si="969"/>
        <v>E6_1_1_15 : E6_1_1_15</v>
      </c>
      <c r="I482" s="2" t="str">
        <f t="shared" ref="I482:J482" si="970">CONCATENATE(C482," : ","0")</f>
        <v>E6_1_1_15_mRNA : 0</v>
      </c>
      <c r="J482" s="2" t="str">
        <f t="shared" si="970"/>
        <v>E6_1_1_15 : 0</v>
      </c>
      <c r="K482" s="2" t="str">
        <f t="shared" si="9"/>
        <v>0.00292 - (0.0093 * E6_1_1_15_mRNA)</v>
      </c>
      <c r="L482" s="2" t="str">
        <f t="shared" si="10"/>
        <v>(0.278 * E6_1_1_15_mRNA) - (0.00000278 * E6_1_1_15)</v>
      </c>
      <c r="M482" s="2" t="str">
        <f t="shared" si="11"/>
        <v>mRNA481: -&gt; E6_1_1_15_mRNA | 0.00292 - (0.0093 * E6_1_1_15_mRNA)</v>
      </c>
      <c r="N482" s="2" t="str">
        <f t="shared" si="12"/>
        <v>Peptide481: E6_1_1_15_mRNA -&gt; E6_1_1_15 | (0.278 * E6_1_1_15_mRNA) - (0.000000278 * E6_1_1_15)</v>
      </c>
    </row>
    <row r="483">
      <c r="A483" s="12">
        <v>482.0</v>
      </c>
      <c r="B483" s="2" t="s">
        <v>25407</v>
      </c>
      <c r="C483" s="2" t="str">
        <f t="shared" si="3"/>
        <v>E6_1_1_16_mRNA</v>
      </c>
      <c r="D483" s="2" t="str">
        <f t="shared" si="4"/>
        <v>E6_1_1_16</v>
      </c>
      <c r="E483" s="2" t="str">
        <f t="shared" si="5"/>
        <v>E6_1_1_16_kcat : 13.7</v>
      </c>
      <c r="F483" s="2" t="str">
        <f t="shared" si="6"/>
        <v>E6_1_1_16_km : 1</v>
      </c>
      <c r="G483" s="2" t="str">
        <f t="shared" ref="G483:H483" si="971">CONCATENATE(C483," : ",C483)</f>
        <v>E6_1_1_16_mRNA : E6_1_1_16_mRNA</v>
      </c>
      <c r="H483" s="2" t="str">
        <f t="shared" si="971"/>
        <v>E6_1_1_16 : E6_1_1_16</v>
      </c>
      <c r="I483" s="2" t="str">
        <f t="shared" ref="I483:J483" si="972">CONCATENATE(C483," : ","0")</f>
        <v>E6_1_1_16_mRNA : 0</v>
      </c>
      <c r="J483" s="2" t="str">
        <f t="shared" si="972"/>
        <v>E6_1_1_16 : 0</v>
      </c>
      <c r="K483" s="2" t="str">
        <f t="shared" si="9"/>
        <v>0.00292 - (0.0093 * E6_1_1_16_mRNA)</v>
      </c>
      <c r="L483" s="2" t="str">
        <f t="shared" si="10"/>
        <v>(0.278 * E6_1_1_16_mRNA) - (0.00000278 * E6_1_1_16)</v>
      </c>
      <c r="M483" s="2" t="str">
        <f t="shared" si="11"/>
        <v>mRNA482: -&gt; E6_1_1_16_mRNA | 0.00292 - (0.0093 * E6_1_1_16_mRNA)</v>
      </c>
      <c r="N483" s="2" t="str">
        <f t="shared" si="12"/>
        <v>Peptide482: E6_1_1_16_mRNA -&gt; E6_1_1_16 | (0.278 * E6_1_1_16_mRNA) - (0.000000278 * E6_1_1_16)</v>
      </c>
    </row>
    <row r="484">
      <c r="A484" s="12">
        <v>483.0</v>
      </c>
      <c r="B484" s="2" t="s">
        <v>25408</v>
      </c>
      <c r="C484" s="2" t="str">
        <f t="shared" si="3"/>
        <v>E6_1_1_17_mRNA</v>
      </c>
      <c r="D484" s="2" t="str">
        <f t="shared" si="4"/>
        <v>E6_1_1_17</v>
      </c>
      <c r="E484" s="2" t="str">
        <f t="shared" si="5"/>
        <v>E6_1_1_17_kcat : 13.7</v>
      </c>
      <c r="F484" s="2" t="str">
        <f t="shared" si="6"/>
        <v>E6_1_1_17_km : 1</v>
      </c>
      <c r="G484" s="2" t="str">
        <f t="shared" ref="G484:H484" si="973">CONCATENATE(C484," : ",C484)</f>
        <v>E6_1_1_17_mRNA : E6_1_1_17_mRNA</v>
      </c>
      <c r="H484" s="2" t="str">
        <f t="shared" si="973"/>
        <v>E6_1_1_17 : E6_1_1_17</v>
      </c>
      <c r="I484" s="2" t="str">
        <f t="shared" ref="I484:J484" si="974">CONCATENATE(C484," : ","0")</f>
        <v>E6_1_1_17_mRNA : 0</v>
      </c>
      <c r="J484" s="2" t="str">
        <f t="shared" si="974"/>
        <v>E6_1_1_17 : 0</v>
      </c>
      <c r="K484" s="2" t="str">
        <f t="shared" si="9"/>
        <v>0.00292 - (0.0093 * E6_1_1_17_mRNA)</v>
      </c>
      <c r="L484" s="2" t="str">
        <f t="shared" si="10"/>
        <v>(0.278 * E6_1_1_17_mRNA) - (0.00000278 * E6_1_1_17)</v>
      </c>
      <c r="M484" s="2" t="str">
        <f t="shared" si="11"/>
        <v>mRNA483: -&gt; E6_1_1_17_mRNA | 0.00292 - (0.0093 * E6_1_1_17_mRNA)</v>
      </c>
      <c r="N484" s="2" t="str">
        <f t="shared" si="12"/>
        <v>Peptide483: E6_1_1_17_mRNA -&gt; E6_1_1_17 | (0.278 * E6_1_1_17_mRNA) - (0.000000278 * E6_1_1_17)</v>
      </c>
    </row>
    <row r="485">
      <c r="A485" s="12">
        <v>484.0</v>
      </c>
      <c r="B485" s="2" t="s">
        <v>25409</v>
      </c>
      <c r="C485" s="2" t="str">
        <f t="shared" si="3"/>
        <v>E6_1_1_19_mRNA</v>
      </c>
      <c r="D485" s="2" t="str">
        <f t="shared" si="4"/>
        <v>E6_1_1_19</v>
      </c>
      <c r="E485" s="2" t="str">
        <f t="shared" si="5"/>
        <v>E6_1_1_19_kcat : 13.7</v>
      </c>
      <c r="F485" s="2" t="str">
        <f t="shared" si="6"/>
        <v>E6_1_1_19_km : 1</v>
      </c>
      <c r="G485" s="2" t="str">
        <f t="shared" ref="G485:H485" si="975">CONCATENATE(C485," : ",C485)</f>
        <v>E6_1_1_19_mRNA : E6_1_1_19_mRNA</v>
      </c>
      <c r="H485" s="2" t="str">
        <f t="shared" si="975"/>
        <v>E6_1_1_19 : E6_1_1_19</v>
      </c>
      <c r="I485" s="2" t="str">
        <f t="shared" ref="I485:J485" si="976">CONCATENATE(C485," : ","0")</f>
        <v>E6_1_1_19_mRNA : 0</v>
      </c>
      <c r="J485" s="2" t="str">
        <f t="shared" si="976"/>
        <v>E6_1_1_19 : 0</v>
      </c>
      <c r="K485" s="2" t="str">
        <f t="shared" si="9"/>
        <v>0.00292 - (0.0093 * E6_1_1_19_mRNA)</v>
      </c>
      <c r="L485" s="2" t="str">
        <f t="shared" si="10"/>
        <v>(0.278 * E6_1_1_19_mRNA) - (0.00000278 * E6_1_1_19)</v>
      </c>
      <c r="M485" s="2" t="str">
        <f t="shared" si="11"/>
        <v>mRNA484: -&gt; E6_1_1_19_mRNA | 0.00292 - (0.0093 * E6_1_1_19_mRNA)</v>
      </c>
      <c r="N485" s="2" t="str">
        <f t="shared" si="12"/>
        <v>Peptide484: E6_1_1_19_mRNA -&gt; E6_1_1_19 | (0.278 * E6_1_1_19_mRNA) - (0.000000278 * E6_1_1_19)</v>
      </c>
    </row>
    <row r="486">
      <c r="A486" s="12">
        <v>485.0</v>
      </c>
      <c r="B486" s="2" t="s">
        <v>25410</v>
      </c>
      <c r="C486" s="2" t="str">
        <f t="shared" si="3"/>
        <v>E6_1_1_2_mRNA</v>
      </c>
      <c r="D486" s="2" t="str">
        <f t="shared" si="4"/>
        <v>E6_1_1_2</v>
      </c>
      <c r="E486" s="2" t="str">
        <f t="shared" si="5"/>
        <v>E6_1_1_2_kcat : 13.7</v>
      </c>
      <c r="F486" s="2" t="str">
        <f t="shared" si="6"/>
        <v>E6_1_1_2_km : 1</v>
      </c>
      <c r="G486" s="2" t="str">
        <f t="shared" ref="G486:H486" si="977">CONCATENATE(C486," : ",C486)</f>
        <v>E6_1_1_2_mRNA : E6_1_1_2_mRNA</v>
      </c>
      <c r="H486" s="2" t="str">
        <f t="shared" si="977"/>
        <v>E6_1_1_2 : E6_1_1_2</v>
      </c>
      <c r="I486" s="2" t="str">
        <f t="shared" ref="I486:J486" si="978">CONCATENATE(C486," : ","0")</f>
        <v>E6_1_1_2_mRNA : 0</v>
      </c>
      <c r="J486" s="2" t="str">
        <f t="shared" si="978"/>
        <v>E6_1_1_2 : 0</v>
      </c>
      <c r="K486" s="2" t="str">
        <f t="shared" si="9"/>
        <v>0.00292 - (0.0093 * E6_1_1_2_mRNA)</v>
      </c>
      <c r="L486" s="2" t="str">
        <f t="shared" si="10"/>
        <v>(0.278 * E6_1_1_2_mRNA) - (0.00000278 * E6_1_1_2)</v>
      </c>
      <c r="M486" s="2" t="str">
        <f t="shared" si="11"/>
        <v>mRNA485: -&gt; E6_1_1_2_mRNA | 0.00292 - (0.0093 * E6_1_1_2_mRNA)</v>
      </c>
      <c r="N486" s="2" t="str">
        <f t="shared" si="12"/>
        <v>Peptide485: E6_1_1_2_mRNA -&gt; E6_1_1_2 | (0.278 * E6_1_1_2_mRNA) - (0.000000278 * E6_1_1_2)</v>
      </c>
    </row>
    <row r="487">
      <c r="A487" s="12">
        <v>486.0</v>
      </c>
      <c r="B487" s="2" t="s">
        <v>25411</v>
      </c>
      <c r="C487" s="2" t="str">
        <f t="shared" si="3"/>
        <v>E6_1_1_20_mRNA</v>
      </c>
      <c r="D487" s="2" t="str">
        <f t="shared" si="4"/>
        <v>E6_1_1_20</v>
      </c>
      <c r="E487" s="2" t="str">
        <f t="shared" si="5"/>
        <v>E6_1_1_20_kcat : 13.7</v>
      </c>
      <c r="F487" s="2" t="str">
        <f t="shared" si="6"/>
        <v>E6_1_1_20_km : 1</v>
      </c>
      <c r="G487" s="2" t="str">
        <f t="shared" ref="G487:H487" si="979">CONCATENATE(C487," : ",C487)</f>
        <v>E6_1_1_20_mRNA : E6_1_1_20_mRNA</v>
      </c>
      <c r="H487" s="2" t="str">
        <f t="shared" si="979"/>
        <v>E6_1_1_20 : E6_1_1_20</v>
      </c>
      <c r="I487" s="2" t="str">
        <f t="shared" ref="I487:J487" si="980">CONCATENATE(C487," : ","0")</f>
        <v>E6_1_1_20_mRNA : 0</v>
      </c>
      <c r="J487" s="2" t="str">
        <f t="shared" si="980"/>
        <v>E6_1_1_20 : 0</v>
      </c>
      <c r="K487" s="2" t="str">
        <f t="shared" si="9"/>
        <v>0.00292 - (0.0093 * E6_1_1_20_mRNA)</v>
      </c>
      <c r="L487" s="2" t="str">
        <f t="shared" si="10"/>
        <v>(0.278 * E6_1_1_20_mRNA) - (0.00000278 * E6_1_1_20)</v>
      </c>
      <c r="M487" s="2" t="str">
        <f t="shared" si="11"/>
        <v>mRNA486: -&gt; E6_1_1_20_mRNA | 0.00292 - (0.0093 * E6_1_1_20_mRNA)</v>
      </c>
      <c r="N487" s="2" t="str">
        <f t="shared" si="12"/>
        <v>Peptide486: E6_1_1_20_mRNA -&gt; E6_1_1_20 | (0.278 * E6_1_1_20_mRNA) - (0.000000278 * E6_1_1_20)</v>
      </c>
    </row>
    <row r="488">
      <c r="A488" s="12">
        <v>487.0</v>
      </c>
      <c r="B488" s="2" t="s">
        <v>25412</v>
      </c>
      <c r="C488" s="2" t="str">
        <f t="shared" si="3"/>
        <v>E6_1_1_21_mRNA</v>
      </c>
      <c r="D488" s="2" t="str">
        <f t="shared" si="4"/>
        <v>E6_1_1_21</v>
      </c>
      <c r="E488" s="2" t="str">
        <f t="shared" si="5"/>
        <v>E6_1_1_21_kcat : 13.7</v>
      </c>
      <c r="F488" s="2" t="str">
        <f t="shared" si="6"/>
        <v>E6_1_1_21_km : 1</v>
      </c>
      <c r="G488" s="2" t="str">
        <f t="shared" ref="G488:H488" si="981">CONCATENATE(C488," : ",C488)</f>
        <v>E6_1_1_21_mRNA : E6_1_1_21_mRNA</v>
      </c>
      <c r="H488" s="2" t="str">
        <f t="shared" si="981"/>
        <v>E6_1_1_21 : E6_1_1_21</v>
      </c>
      <c r="I488" s="2" t="str">
        <f t="shared" ref="I488:J488" si="982">CONCATENATE(C488," : ","0")</f>
        <v>E6_1_1_21_mRNA : 0</v>
      </c>
      <c r="J488" s="2" t="str">
        <f t="shared" si="982"/>
        <v>E6_1_1_21 : 0</v>
      </c>
      <c r="K488" s="2" t="str">
        <f t="shared" si="9"/>
        <v>0.00292 - (0.0093 * E6_1_1_21_mRNA)</v>
      </c>
      <c r="L488" s="2" t="str">
        <f t="shared" si="10"/>
        <v>(0.278 * E6_1_1_21_mRNA) - (0.00000278 * E6_1_1_21)</v>
      </c>
      <c r="M488" s="2" t="str">
        <f t="shared" si="11"/>
        <v>mRNA487: -&gt; E6_1_1_21_mRNA | 0.00292 - (0.0093 * E6_1_1_21_mRNA)</v>
      </c>
      <c r="N488" s="2" t="str">
        <f t="shared" si="12"/>
        <v>Peptide487: E6_1_1_21_mRNA -&gt; E6_1_1_21 | (0.278 * E6_1_1_21_mRNA) - (0.000000278 * E6_1_1_21)</v>
      </c>
    </row>
    <row r="489">
      <c r="A489" s="12">
        <v>488.0</v>
      </c>
      <c r="B489" s="2" t="s">
        <v>25413</v>
      </c>
      <c r="C489" s="2" t="str">
        <f t="shared" si="3"/>
        <v>E6_1_1_22_mRNA</v>
      </c>
      <c r="D489" s="2" t="str">
        <f t="shared" si="4"/>
        <v>E6_1_1_22</v>
      </c>
      <c r="E489" s="2" t="str">
        <f t="shared" si="5"/>
        <v>E6_1_1_22_kcat : 13.7</v>
      </c>
      <c r="F489" s="2" t="str">
        <f t="shared" si="6"/>
        <v>E6_1_1_22_km : 1</v>
      </c>
      <c r="G489" s="2" t="str">
        <f t="shared" ref="G489:H489" si="983">CONCATENATE(C489," : ",C489)</f>
        <v>E6_1_1_22_mRNA : E6_1_1_22_mRNA</v>
      </c>
      <c r="H489" s="2" t="str">
        <f t="shared" si="983"/>
        <v>E6_1_1_22 : E6_1_1_22</v>
      </c>
      <c r="I489" s="2" t="str">
        <f t="shared" ref="I489:J489" si="984">CONCATENATE(C489," : ","0")</f>
        <v>E6_1_1_22_mRNA : 0</v>
      </c>
      <c r="J489" s="2" t="str">
        <f t="shared" si="984"/>
        <v>E6_1_1_22 : 0</v>
      </c>
      <c r="K489" s="2" t="str">
        <f t="shared" si="9"/>
        <v>0.00292 - (0.0093 * E6_1_1_22_mRNA)</v>
      </c>
      <c r="L489" s="2" t="str">
        <f t="shared" si="10"/>
        <v>(0.278 * E6_1_1_22_mRNA) - (0.00000278 * E6_1_1_22)</v>
      </c>
      <c r="M489" s="2" t="str">
        <f t="shared" si="11"/>
        <v>mRNA488: -&gt; E6_1_1_22_mRNA | 0.00292 - (0.0093 * E6_1_1_22_mRNA)</v>
      </c>
      <c r="N489" s="2" t="str">
        <f t="shared" si="12"/>
        <v>Peptide488: E6_1_1_22_mRNA -&gt; E6_1_1_22 | (0.278 * E6_1_1_22_mRNA) - (0.000000278 * E6_1_1_22)</v>
      </c>
    </row>
    <row r="490">
      <c r="A490" s="12">
        <v>489.0</v>
      </c>
      <c r="B490" s="2" t="s">
        <v>25414</v>
      </c>
      <c r="C490" s="2" t="str">
        <f t="shared" si="3"/>
        <v>E6_1_1_23_mRNA</v>
      </c>
      <c r="D490" s="2" t="str">
        <f t="shared" si="4"/>
        <v>E6_1_1_23</v>
      </c>
      <c r="E490" s="2" t="str">
        <f t="shared" si="5"/>
        <v>E6_1_1_23_kcat : 13.7</v>
      </c>
      <c r="F490" s="2" t="str">
        <f t="shared" si="6"/>
        <v>E6_1_1_23_km : 1</v>
      </c>
      <c r="G490" s="2" t="str">
        <f t="shared" ref="G490:H490" si="985">CONCATENATE(C490," : ",C490)</f>
        <v>E6_1_1_23_mRNA : E6_1_1_23_mRNA</v>
      </c>
      <c r="H490" s="2" t="str">
        <f t="shared" si="985"/>
        <v>E6_1_1_23 : E6_1_1_23</v>
      </c>
      <c r="I490" s="2" t="str">
        <f t="shared" ref="I490:J490" si="986">CONCATENATE(C490," : ","0")</f>
        <v>E6_1_1_23_mRNA : 0</v>
      </c>
      <c r="J490" s="2" t="str">
        <f t="shared" si="986"/>
        <v>E6_1_1_23 : 0</v>
      </c>
      <c r="K490" s="2" t="str">
        <f t="shared" si="9"/>
        <v>0.00292 - (0.0093 * E6_1_1_23_mRNA)</v>
      </c>
      <c r="L490" s="2" t="str">
        <f t="shared" si="10"/>
        <v>(0.278 * E6_1_1_23_mRNA) - (0.00000278 * E6_1_1_23)</v>
      </c>
      <c r="M490" s="2" t="str">
        <f t="shared" si="11"/>
        <v>mRNA489: -&gt; E6_1_1_23_mRNA | 0.00292 - (0.0093 * E6_1_1_23_mRNA)</v>
      </c>
      <c r="N490" s="2" t="str">
        <f t="shared" si="12"/>
        <v>Peptide489: E6_1_1_23_mRNA -&gt; E6_1_1_23 | (0.278 * E6_1_1_23_mRNA) - (0.000000278 * E6_1_1_23)</v>
      </c>
    </row>
    <row r="491">
      <c r="A491" s="12">
        <v>490.0</v>
      </c>
      <c r="B491" s="2" t="s">
        <v>25415</v>
      </c>
      <c r="C491" s="2" t="str">
        <f t="shared" si="3"/>
        <v>E6_1_1_3_mRNA</v>
      </c>
      <c r="D491" s="2" t="str">
        <f t="shared" si="4"/>
        <v>E6_1_1_3</v>
      </c>
      <c r="E491" s="2" t="str">
        <f t="shared" si="5"/>
        <v>E6_1_1_3_kcat : 13.7</v>
      </c>
      <c r="F491" s="2" t="str">
        <f t="shared" si="6"/>
        <v>E6_1_1_3_km : 1</v>
      </c>
      <c r="G491" s="2" t="str">
        <f t="shared" ref="G491:H491" si="987">CONCATENATE(C491," : ",C491)</f>
        <v>E6_1_1_3_mRNA : E6_1_1_3_mRNA</v>
      </c>
      <c r="H491" s="2" t="str">
        <f t="shared" si="987"/>
        <v>E6_1_1_3 : E6_1_1_3</v>
      </c>
      <c r="I491" s="2" t="str">
        <f t="shared" ref="I491:J491" si="988">CONCATENATE(C491," : ","0")</f>
        <v>E6_1_1_3_mRNA : 0</v>
      </c>
      <c r="J491" s="2" t="str">
        <f t="shared" si="988"/>
        <v>E6_1_1_3 : 0</v>
      </c>
      <c r="K491" s="2" t="str">
        <f t="shared" si="9"/>
        <v>0.00292 - (0.0093 * E6_1_1_3_mRNA)</v>
      </c>
      <c r="L491" s="2" t="str">
        <f t="shared" si="10"/>
        <v>(0.278 * E6_1_1_3_mRNA) - (0.00000278 * E6_1_1_3)</v>
      </c>
      <c r="M491" s="2" t="str">
        <f t="shared" si="11"/>
        <v>mRNA490: -&gt; E6_1_1_3_mRNA | 0.00292 - (0.0093 * E6_1_1_3_mRNA)</v>
      </c>
      <c r="N491" s="2" t="str">
        <f t="shared" si="12"/>
        <v>Peptide490: E6_1_1_3_mRNA -&gt; E6_1_1_3 | (0.278 * E6_1_1_3_mRNA) - (0.000000278 * E6_1_1_3)</v>
      </c>
    </row>
    <row r="492">
      <c r="A492" s="12">
        <v>491.0</v>
      </c>
      <c r="B492" s="2" t="s">
        <v>25416</v>
      </c>
      <c r="C492" s="2" t="str">
        <f t="shared" si="3"/>
        <v>E6_1_1_4_mRNA</v>
      </c>
      <c r="D492" s="2" t="str">
        <f t="shared" si="4"/>
        <v>E6_1_1_4</v>
      </c>
      <c r="E492" s="2" t="str">
        <f t="shared" si="5"/>
        <v>E6_1_1_4_kcat : 13.7</v>
      </c>
      <c r="F492" s="2" t="str">
        <f t="shared" si="6"/>
        <v>E6_1_1_4_km : 1</v>
      </c>
      <c r="G492" s="2" t="str">
        <f t="shared" ref="G492:H492" si="989">CONCATENATE(C492," : ",C492)</f>
        <v>E6_1_1_4_mRNA : E6_1_1_4_mRNA</v>
      </c>
      <c r="H492" s="2" t="str">
        <f t="shared" si="989"/>
        <v>E6_1_1_4 : E6_1_1_4</v>
      </c>
      <c r="I492" s="2" t="str">
        <f t="shared" ref="I492:J492" si="990">CONCATENATE(C492," : ","0")</f>
        <v>E6_1_1_4_mRNA : 0</v>
      </c>
      <c r="J492" s="2" t="str">
        <f t="shared" si="990"/>
        <v>E6_1_1_4 : 0</v>
      </c>
      <c r="K492" s="2" t="str">
        <f t="shared" si="9"/>
        <v>0.00292 - (0.0093 * E6_1_1_4_mRNA)</v>
      </c>
      <c r="L492" s="2" t="str">
        <f t="shared" si="10"/>
        <v>(0.278 * E6_1_1_4_mRNA) - (0.00000278 * E6_1_1_4)</v>
      </c>
      <c r="M492" s="2" t="str">
        <f t="shared" si="11"/>
        <v>mRNA491: -&gt; E6_1_1_4_mRNA | 0.00292 - (0.0093 * E6_1_1_4_mRNA)</v>
      </c>
      <c r="N492" s="2" t="str">
        <f t="shared" si="12"/>
        <v>Peptide491: E6_1_1_4_mRNA -&gt; E6_1_1_4 | (0.278 * E6_1_1_4_mRNA) - (0.000000278 * E6_1_1_4)</v>
      </c>
    </row>
    <row r="493">
      <c r="A493" s="12">
        <v>492.0</v>
      </c>
      <c r="B493" s="2" t="s">
        <v>25417</v>
      </c>
      <c r="C493" s="2" t="str">
        <f t="shared" si="3"/>
        <v>E6_1_1_5_mRNA</v>
      </c>
      <c r="D493" s="2" t="str">
        <f t="shared" si="4"/>
        <v>E6_1_1_5</v>
      </c>
      <c r="E493" s="2" t="str">
        <f t="shared" si="5"/>
        <v>E6_1_1_5_kcat : 13.7</v>
      </c>
      <c r="F493" s="2" t="str">
        <f t="shared" si="6"/>
        <v>E6_1_1_5_km : 1</v>
      </c>
      <c r="G493" s="2" t="str">
        <f t="shared" ref="G493:H493" si="991">CONCATENATE(C493," : ",C493)</f>
        <v>E6_1_1_5_mRNA : E6_1_1_5_mRNA</v>
      </c>
      <c r="H493" s="2" t="str">
        <f t="shared" si="991"/>
        <v>E6_1_1_5 : E6_1_1_5</v>
      </c>
      <c r="I493" s="2" t="str">
        <f t="shared" ref="I493:J493" si="992">CONCATENATE(C493," : ","0")</f>
        <v>E6_1_1_5_mRNA : 0</v>
      </c>
      <c r="J493" s="2" t="str">
        <f t="shared" si="992"/>
        <v>E6_1_1_5 : 0</v>
      </c>
      <c r="K493" s="2" t="str">
        <f t="shared" si="9"/>
        <v>0.00292 - (0.0093 * E6_1_1_5_mRNA)</v>
      </c>
      <c r="L493" s="2" t="str">
        <f t="shared" si="10"/>
        <v>(0.278 * E6_1_1_5_mRNA) - (0.00000278 * E6_1_1_5)</v>
      </c>
      <c r="M493" s="2" t="str">
        <f t="shared" si="11"/>
        <v>mRNA492: -&gt; E6_1_1_5_mRNA | 0.00292 - (0.0093 * E6_1_1_5_mRNA)</v>
      </c>
      <c r="N493" s="2" t="str">
        <f t="shared" si="12"/>
        <v>Peptide492: E6_1_1_5_mRNA -&gt; E6_1_1_5 | (0.278 * E6_1_1_5_mRNA) - (0.000000278 * E6_1_1_5)</v>
      </c>
    </row>
    <row r="494">
      <c r="A494" s="12">
        <v>493.0</v>
      </c>
      <c r="B494" s="2" t="s">
        <v>25418</v>
      </c>
      <c r="C494" s="2" t="str">
        <f t="shared" si="3"/>
        <v>E6_1_1_6_mRNA</v>
      </c>
      <c r="D494" s="2" t="str">
        <f t="shared" si="4"/>
        <v>E6_1_1_6</v>
      </c>
      <c r="E494" s="2" t="str">
        <f t="shared" si="5"/>
        <v>E6_1_1_6_kcat : 13.7</v>
      </c>
      <c r="F494" s="2" t="str">
        <f t="shared" si="6"/>
        <v>E6_1_1_6_km : 1</v>
      </c>
      <c r="G494" s="2" t="str">
        <f t="shared" ref="G494:H494" si="993">CONCATENATE(C494," : ",C494)</f>
        <v>E6_1_1_6_mRNA : E6_1_1_6_mRNA</v>
      </c>
      <c r="H494" s="2" t="str">
        <f t="shared" si="993"/>
        <v>E6_1_1_6 : E6_1_1_6</v>
      </c>
      <c r="I494" s="2" t="str">
        <f t="shared" ref="I494:J494" si="994">CONCATENATE(C494," : ","0")</f>
        <v>E6_1_1_6_mRNA : 0</v>
      </c>
      <c r="J494" s="2" t="str">
        <f t="shared" si="994"/>
        <v>E6_1_1_6 : 0</v>
      </c>
      <c r="K494" s="2" t="str">
        <f t="shared" si="9"/>
        <v>0.00292 - (0.0093 * E6_1_1_6_mRNA)</v>
      </c>
      <c r="L494" s="2" t="str">
        <f t="shared" si="10"/>
        <v>(0.278 * E6_1_1_6_mRNA) - (0.00000278 * E6_1_1_6)</v>
      </c>
      <c r="M494" s="2" t="str">
        <f t="shared" si="11"/>
        <v>mRNA493: -&gt; E6_1_1_6_mRNA | 0.00292 - (0.0093 * E6_1_1_6_mRNA)</v>
      </c>
      <c r="N494" s="2" t="str">
        <f t="shared" si="12"/>
        <v>Peptide493: E6_1_1_6_mRNA -&gt; E6_1_1_6 | (0.278 * E6_1_1_6_mRNA) - (0.000000278 * E6_1_1_6)</v>
      </c>
    </row>
    <row r="495">
      <c r="A495" s="12">
        <v>494.0</v>
      </c>
      <c r="B495" s="2" t="s">
        <v>25419</v>
      </c>
      <c r="C495" s="2" t="str">
        <f t="shared" si="3"/>
        <v>E6_1_1_7_mRNA</v>
      </c>
      <c r="D495" s="2" t="str">
        <f t="shared" si="4"/>
        <v>E6_1_1_7</v>
      </c>
      <c r="E495" s="2" t="str">
        <f t="shared" si="5"/>
        <v>E6_1_1_7_kcat : 13.7</v>
      </c>
      <c r="F495" s="2" t="str">
        <f t="shared" si="6"/>
        <v>E6_1_1_7_km : 1</v>
      </c>
      <c r="G495" s="2" t="str">
        <f t="shared" ref="G495:H495" si="995">CONCATENATE(C495," : ",C495)</f>
        <v>E6_1_1_7_mRNA : E6_1_1_7_mRNA</v>
      </c>
      <c r="H495" s="2" t="str">
        <f t="shared" si="995"/>
        <v>E6_1_1_7 : E6_1_1_7</v>
      </c>
      <c r="I495" s="2" t="str">
        <f t="shared" ref="I495:J495" si="996">CONCATENATE(C495," : ","0")</f>
        <v>E6_1_1_7_mRNA : 0</v>
      </c>
      <c r="J495" s="2" t="str">
        <f t="shared" si="996"/>
        <v>E6_1_1_7 : 0</v>
      </c>
      <c r="K495" s="2" t="str">
        <f t="shared" si="9"/>
        <v>0.00292 - (0.0093 * E6_1_1_7_mRNA)</v>
      </c>
      <c r="L495" s="2" t="str">
        <f t="shared" si="10"/>
        <v>(0.278 * E6_1_1_7_mRNA) - (0.00000278 * E6_1_1_7)</v>
      </c>
      <c r="M495" s="2" t="str">
        <f t="shared" si="11"/>
        <v>mRNA494: -&gt; E6_1_1_7_mRNA | 0.00292 - (0.0093 * E6_1_1_7_mRNA)</v>
      </c>
      <c r="N495" s="2" t="str">
        <f t="shared" si="12"/>
        <v>Peptide494: E6_1_1_7_mRNA -&gt; E6_1_1_7 | (0.278 * E6_1_1_7_mRNA) - (0.000000278 * E6_1_1_7)</v>
      </c>
    </row>
    <row r="496">
      <c r="A496" s="12">
        <v>495.0</v>
      </c>
      <c r="B496" s="2" t="s">
        <v>25420</v>
      </c>
      <c r="C496" s="2" t="str">
        <f t="shared" si="3"/>
        <v>E6_1_1_9_mRNA</v>
      </c>
      <c r="D496" s="2" t="str">
        <f t="shared" si="4"/>
        <v>E6_1_1_9</v>
      </c>
      <c r="E496" s="2" t="str">
        <f t="shared" si="5"/>
        <v>E6_1_1_9_kcat : 13.7</v>
      </c>
      <c r="F496" s="2" t="str">
        <f t="shared" si="6"/>
        <v>E6_1_1_9_km : 1</v>
      </c>
      <c r="G496" s="2" t="str">
        <f t="shared" ref="G496:H496" si="997">CONCATENATE(C496," : ",C496)</f>
        <v>E6_1_1_9_mRNA : E6_1_1_9_mRNA</v>
      </c>
      <c r="H496" s="2" t="str">
        <f t="shared" si="997"/>
        <v>E6_1_1_9 : E6_1_1_9</v>
      </c>
      <c r="I496" s="2" t="str">
        <f t="shared" ref="I496:J496" si="998">CONCATENATE(C496," : ","0")</f>
        <v>E6_1_1_9_mRNA : 0</v>
      </c>
      <c r="J496" s="2" t="str">
        <f t="shared" si="998"/>
        <v>E6_1_1_9 : 0</v>
      </c>
      <c r="K496" s="2" t="str">
        <f t="shared" si="9"/>
        <v>0.00292 - (0.0093 * E6_1_1_9_mRNA)</v>
      </c>
      <c r="L496" s="2" t="str">
        <f t="shared" si="10"/>
        <v>(0.278 * E6_1_1_9_mRNA) - (0.00000278 * E6_1_1_9)</v>
      </c>
      <c r="M496" s="2" t="str">
        <f t="shared" si="11"/>
        <v>mRNA495: -&gt; E6_1_1_9_mRNA | 0.00292 - (0.0093 * E6_1_1_9_mRNA)</v>
      </c>
      <c r="N496" s="2" t="str">
        <f t="shared" si="12"/>
        <v>Peptide495: E6_1_1_9_mRNA -&gt; E6_1_1_9 | (0.278 * E6_1_1_9_mRNA) - (0.000000278 * E6_1_1_9)</v>
      </c>
    </row>
    <row r="497">
      <c r="A497" s="12">
        <v>496.0</v>
      </c>
      <c r="B497" s="2" t="s">
        <v>25421</v>
      </c>
      <c r="C497" s="2" t="str">
        <f t="shared" si="3"/>
        <v>E6_2_1_1_mRNA</v>
      </c>
      <c r="D497" s="2" t="str">
        <f t="shared" si="4"/>
        <v>E6_2_1_1</v>
      </c>
      <c r="E497" s="2" t="str">
        <f t="shared" si="5"/>
        <v>E6_2_1_1_kcat : 13.7</v>
      </c>
      <c r="F497" s="2" t="str">
        <f t="shared" si="6"/>
        <v>E6_2_1_1_km : 1</v>
      </c>
      <c r="G497" s="2" t="str">
        <f t="shared" ref="G497:H497" si="999">CONCATENATE(C497," : ",C497)</f>
        <v>E6_2_1_1_mRNA : E6_2_1_1_mRNA</v>
      </c>
      <c r="H497" s="2" t="str">
        <f t="shared" si="999"/>
        <v>E6_2_1_1 : E6_2_1_1</v>
      </c>
      <c r="I497" s="2" t="str">
        <f t="shared" ref="I497:J497" si="1000">CONCATENATE(C497," : ","0")</f>
        <v>E6_2_1_1_mRNA : 0</v>
      </c>
      <c r="J497" s="2" t="str">
        <f t="shared" si="1000"/>
        <v>E6_2_1_1 : 0</v>
      </c>
      <c r="K497" s="2" t="str">
        <f t="shared" si="9"/>
        <v>0.00292 - (0.0093 * E6_2_1_1_mRNA)</v>
      </c>
      <c r="L497" s="2" t="str">
        <f t="shared" si="10"/>
        <v>(0.278 * E6_2_1_1_mRNA) - (0.00000278 * E6_2_1_1)</v>
      </c>
      <c r="M497" s="2" t="str">
        <f t="shared" si="11"/>
        <v>mRNA496: -&gt; E6_2_1_1_mRNA | 0.00292 - (0.0093 * E6_2_1_1_mRNA)</v>
      </c>
      <c r="N497" s="2" t="str">
        <f t="shared" si="12"/>
        <v>Peptide496: E6_2_1_1_mRNA -&gt; E6_2_1_1 | (0.278 * E6_2_1_1_mRNA) - (0.000000278 * E6_2_1_1)</v>
      </c>
    </row>
    <row r="498">
      <c r="A498" s="12">
        <v>497.0</v>
      </c>
      <c r="B498" s="2" t="s">
        <v>25422</v>
      </c>
      <c r="C498" s="2" t="str">
        <f t="shared" si="3"/>
        <v>E6_2_1_26_mRNA</v>
      </c>
      <c r="D498" s="2" t="str">
        <f t="shared" si="4"/>
        <v>E6_2_1_26</v>
      </c>
      <c r="E498" s="2" t="str">
        <f t="shared" si="5"/>
        <v>E6_2_1_26_kcat : 13.7</v>
      </c>
      <c r="F498" s="2" t="str">
        <f t="shared" si="6"/>
        <v>E6_2_1_26_km : 1</v>
      </c>
      <c r="G498" s="2" t="str">
        <f t="shared" ref="G498:H498" si="1001">CONCATENATE(C498," : ",C498)</f>
        <v>E6_2_1_26_mRNA : E6_2_1_26_mRNA</v>
      </c>
      <c r="H498" s="2" t="str">
        <f t="shared" si="1001"/>
        <v>E6_2_1_26 : E6_2_1_26</v>
      </c>
      <c r="I498" s="2" t="str">
        <f t="shared" ref="I498:J498" si="1002">CONCATENATE(C498," : ","0")</f>
        <v>E6_2_1_26_mRNA : 0</v>
      </c>
      <c r="J498" s="2" t="str">
        <f t="shared" si="1002"/>
        <v>E6_2_1_26 : 0</v>
      </c>
      <c r="K498" s="2" t="str">
        <f t="shared" si="9"/>
        <v>0.00292 - (0.0093 * E6_2_1_26_mRNA)</v>
      </c>
      <c r="L498" s="2" t="str">
        <f t="shared" si="10"/>
        <v>(0.278 * E6_2_1_26_mRNA) - (0.00000278 * E6_2_1_26)</v>
      </c>
      <c r="M498" s="2" t="str">
        <f t="shared" si="11"/>
        <v>mRNA497: -&gt; E6_2_1_26_mRNA | 0.00292 - (0.0093 * E6_2_1_26_mRNA)</v>
      </c>
      <c r="N498" s="2" t="str">
        <f t="shared" si="12"/>
        <v>Peptide497: E6_2_1_26_mRNA -&gt; E6_2_1_26 | (0.278 * E6_2_1_26_mRNA) - (0.000000278 * E6_2_1_26)</v>
      </c>
    </row>
    <row r="499">
      <c r="A499" s="12">
        <v>498.0</v>
      </c>
      <c r="B499" s="2" t="s">
        <v>25423</v>
      </c>
      <c r="C499" s="2" t="str">
        <f t="shared" si="3"/>
        <v>E6_2_1_3_mRNA</v>
      </c>
      <c r="D499" s="2" t="str">
        <f t="shared" si="4"/>
        <v>E6_2_1_3</v>
      </c>
      <c r="E499" s="2" t="str">
        <f t="shared" si="5"/>
        <v>E6_2_1_3_kcat : 13.7</v>
      </c>
      <c r="F499" s="2" t="str">
        <f t="shared" si="6"/>
        <v>E6_2_1_3_km : 1</v>
      </c>
      <c r="G499" s="2" t="str">
        <f t="shared" ref="G499:H499" si="1003">CONCATENATE(C499," : ",C499)</f>
        <v>E6_2_1_3_mRNA : E6_2_1_3_mRNA</v>
      </c>
      <c r="H499" s="2" t="str">
        <f t="shared" si="1003"/>
        <v>E6_2_1_3 : E6_2_1_3</v>
      </c>
      <c r="I499" s="2" t="str">
        <f t="shared" ref="I499:J499" si="1004">CONCATENATE(C499," : ","0")</f>
        <v>E6_2_1_3_mRNA : 0</v>
      </c>
      <c r="J499" s="2" t="str">
        <f t="shared" si="1004"/>
        <v>E6_2_1_3 : 0</v>
      </c>
      <c r="K499" s="2" t="str">
        <f t="shared" si="9"/>
        <v>0.00292 - (0.0093 * E6_2_1_3_mRNA)</v>
      </c>
      <c r="L499" s="2" t="str">
        <f t="shared" si="10"/>
        <v>(0.278 * E6_2_1_3_mRNA) - (0.00000278 * E6_2_1_3)</v>
      </c>
      <c r="M499" s="2" t="str">
        <f t="shared" si="11"/>
        <v>mRNA498: -&gt; E6_2_1_3_mRNA | 0.00292 - (0.0093 * E6_2_1_3_mRNA)</v>
      </c>
      <c r="N499" s="2" t="str">
        <f t="shared" si="12"/>
        <v>Peptide498: E6_2_1_3_mRNA -&gt; E6_2_1_3 | (0.278 * E6_2_1_3_mRNA) - (0.000000278 * E6_2_1_3)</v>
      </c>
    </row>
    <row r="500">
      <c r="A500" s="12">
        <v>499.0</v>
      </c>
      <c r="B500" s="2" t="s">
        <v>25424</v>
      </c>
      <c r="C500" s="2" t="str">
        <f t="shared" si="3"/>
        <v>E6_2_1_5_mRNA</v>
      </c>
      <c r="D500" s="2" t="str">
        <f t="shared" si="4"/>
        <v>E6_2_1_5</v>
      </c>
      <c r="E500" s="2" t="str">
        <f t="shared" si="5"/>
        <v>E6_2_1_5_kcat : 13.7</v>
      </c>
      <c r="F500" s="2" t="str">
        <f t="shared" si="6"/>
        <v>E6_2_1_5_km : 1</v>
      </c>
      <c r="G500" s="2" t="str">
        <f t="shared" ref="G500:H500" si="1005">CONCATENATE(C500," : ",C500)</f>
        <v>E6_2_1_5_mRNA : E6_2_1_5_mRNA</v>
      </c>
      <c r="H500" s="2" t="str">
        <f t="shared" si="1005"/>
        <v>E6_2_1_5 : E6_2_1_5</v>
      </c>
      <c r="I500" s="2" t="str">
        <f t="shared" ref="I500:J500" si="1006">CONCATENATE(C500," : ","0")</f>
        <v>E6_2_1_5_mRNA : 0</v>
      </c>
      <c r="J500" s="2" t="str">
        <f t="shared" si="1006"/>
        <v>E6_2_1_5 : 0</v>
      </c>
      <c r="K500" s="2" t="str">
        <f t="shared" si="9"/>
        <v>0.00292 - (0.0093 * E6_2_1_5_mRNA)</v>
      </c>
      <c r="L500" s="2" t="str">
        <f t="shared" si="10"/>
        <v>(0.278 * E6_2_1_5_mRNA) - (0.00000278 * E6_2_1_5)</v>
      </c>
      <c r="M500" s="2" t="str">
        <f t="shared" si="11"/>
        <v>mRNA499: -&gt; E6_2_1_5_mRNA | 0.00292 - (0.0093 * E6_2_1_5_mRNA)</v>
      </c>
      <c r="N500" s="2" t="str">
        <f t="shared" si="12"/>
        <v>Peptide499: E6_2_1_5_mRNA -&gt; E6_2_1_5 | (0.278 * E6_2_1_5_mRNA) - (0.000000278 * E6_2_1_5)</v>
      </c>
    </row>
    <row r="501">
      <c r="A501" s="12">
        <v>500.0</v>
      </c>
      <c r="B501" s="2" t="s">
        <v>25425</v>
      </c>
      <c r="C501" s="2" t="str">
        <f t="shared" si="3"/>
        <v>E6_3_1_1_mRNA</v>
      </c>
      <c r="D501" s="2" t="str">
        <f t="shared" si="4"/>
        <v>E6_3_1_1</v>
      </c>
      <c r="E501" s="2" t="str">
        <f t="shared" si="5"/>
        <v>E6_3_1_1_kcat : 13.7</v>
      </c>
      <c r="F501" s="2" t="str">
        <f t="shared" si="6"/>
        <v>E6_3_1_1_km : 1</v>
      </c>
      <c r="G501" s="2" t="str">
        <f t="shared" ref="G501:H501" si="1007">CONCATENATE(C501," : ",C501)</f>
        <v>E6_3_1_1_mRNA : E6_3_1_1_mRNA</v>
      </c>
      <c r="H501" s="2" t="str">
        <f t="shared" si="1007"/>
        <v>E6_3_1_1 : E6_3_1_1</v>
      </c>
      <c r="I501" s="2" t="str">
        <f t="shared" ref="I501:J501" si="1008">CONCATENATE(C501," : ","0")</f>
        <v>E6_3_1_1_mRNA : 0</v>
      </c>
      <c r="J501" s="2" t="str">
        <f t="shared" si="1008"/>
        <v>E6_3_1_1 : 0</v>
      </c>
      <c r="K501" s="2" t="str">
        <f t="shared" si="9"/>
        <v>0.00292 - (0.0093 * E6_3_1_1_mRNA)</v>
      </c>
      <c r="L501" s="2" t="str">
        <f t="shared" si="10"/>
        <v>(0.278 * E6_3_1_1_mRNA) - (0.00000278 * E6_3_1_1)</v>
      </c>
      <c r="M501" s="2" t="str">
        <f t="shared" si="11"/>
        <v>mRNA500: -&gt; E6_3_1_1_mRNA | 0.00292 - (0.0093 * E6_3_1_1_mRNA)</v>
      </c>
      <c r="N501" s="2" t="str">
        <f t="shared" si="12"/>
        <v>Peptide500: E6_3_1_1_mRNA -&gt; E6_3_1_1 | (0.278 * E6_3_1_1_mRNA) - (0.000000278 * E6_3_1_1)</v>
      </c>
    </row>
    <row r="502">
      <c r="A502" s="12">
        <v>501.0</v>
      </c>
      <c r="B502" s="2" t="s">
        <v>25426</v>
      </c>
      <c r="C502" s="2" t="str">
        <f t="shared" si="3"/>
        <v>E6_3_1_2_mRNA</v>
      </c>
      <c r="D502" s="2" t="str">
        <f t="shared" si="4"/>
        <v>E6_3_1_2</v>
      </c>
      <c r="E502" s="2" t="str">
        <f t="shared" si="5"/>
        <v>E6_3_1_2_kcat : 13.7</v>
      </c>
      <c r="F502" s="2" t="str">
        <f t="shared" si="6"/>
        <v>E6_3_1_2_km : 1</v>
      </c>
      <c r="G502" s="2" t="str">
        <f t="shared" ref="G502:H502" si="1009">CONCATENATE(C502," : ",C502)</f>
        <v>E6_3_1_2_mRNA : E6_3_1_2_mRNA</v>
      </c>
      <c r="H502" s="2" t="str">
        <f t="shared" si="1009"/>
        <v>E6_3_1_2 : E6_3_1_2</v>
      </c>
      <c r="I502" s="2" t="str">
        <f t="shared" ref="I502:J502" si="1010">CONCATENATE(C502," : ","0")</f>
        <v>E6_3_1_2_mRNA : 0</v>
      </c>
      <c r="J502" s="2" t="str">
        <f t="shared" si="1010"/>
        <v>E6_3_1_2 : 0</v>
      </c>
      <c r="K502" s="2" t="str">
        <f t="shared" si="9"/>
        <v>0.00292 - (0.0093 * E6_3_1_2_mRNA)</v>
      </c>
      <c r="L502" s="2" t="str">
        <f t="shared" si="10"/>
        <v>(0.278 * E6_3_1_2_mRNA) - (0.00000278 * E6_3_1_2)</v>
      </c>
      <c r="M502" s="2" t="str">
        <f t="shared" si="11"/>
        <v>mRNA501: -&gt; E6_3_1_2_mRNA | 0.00292 - (0.0093 * E6_3_1_2_mRNA)</v>
      </c>
      <c r="N502" s="2" t="str">
        <f t="shared" si="12"/>
        <v>Peptide501: E6_3_1_2_mRNA -&gt; E6_3_1_2 | (0.278 * E6_3_1_2_mRNA) - (0.000000278 * E6_3_1_2)</v>
      </c>
    </row>
    <row r="503">
      <c r="A503" s="12">
        <v>502.0</v>
      </c>
      <c r="B503" s="2" t="s">
        <v>25427</v>
      </c>
      <c r="C503" s="2" t="str">
        <f t="shared" si="3"/>
        <v>E6_3_1_20_mRNA</v>
      </c>
      <c r="D503" s="2" t="str">
        <f t="shared" si="4"/>
        <v>E6_3_1_20</v>
      </c>
      <c r="E503" s="2" t="str">
        <f t="shared" si="5"/>
        <v>E6_3_1_20_kcat : 13.7</v>
      </c>
      <c r="F503" s="2" t="str">
        <f t="shared" si="6"/>
        <v>E6_3_1_20_km : 1</v>
      </c>
      <c r="G503" s="2" t="str">
        <f t="shared" ref="G503:H503" si="1011">CONCATENATE(C503," : ",C503)</f>
        <v>E6_3_1_20_mRNA : E6_3_1_20_mRNA</v>
      </c>
      <c r="H503" s="2" t="str">
        <f t="shared" si="1011"/>
        <v>E6_3_1_20 : E6_3_1_20</v>
      </c>
      <c r="I503" s="2" t="str">
        <f t="shared" ref="I503:J503" si="1012">CONCATENATE(C503," : ","0")</f>
        <v>E6_3_1_20_mRNA : 0</v>
      </c>
      <c r="J503" s="2" t="str">
        <f t="shared" si="1012"/>
        <v>E6_3_1_20 : 0</v>
      </c>
      <c r="K503" s="2" t="str">
        <f t="shared" si="9"/>
        <v>0.00292 - (0.0093 * E6_3_1_20_mRNA)</v>
      </c>
      <c r="L503" s="2" t="str">
        <f t="shared" si="10"/>
        <v>(0.278 * E6_3_1_20_mRNA) - (0.00000278 * E6_3_1_20)</v>
      </c>
      <c r="M503" s="2" t="str">
        <f t="shared" si="11"/>
        <v>mRNA502: -&gt; E6_3_1_20_mRNA | 0.00292 - (0.0093 * E6_3_1_20_mRNA)</v>
      </c>
      <c r="N503" s="2" t="str">
        <f t="shared" si="12"/>
        <v>Peptide502: E6_3_1_20_mRNA -&gt; E6_3_1_20 | (0.278 * E6_3_1_20_mRNA) - (0.000000278 * E6_3_1_20)</v>
      </c>
    </row>
    <row r="504">
      <c r="A504" s="12">
        <v>503.0</v>
      </c>
      <c r="B504" s="2" t="s">
        <v>25428</v>
      </c>
      <c r="C504" s="2" t="str">
        <f t="shared" si="3"/>
        <v>E6_3_1_5_mRNA</v>
      </c>
      <c r="D504" s="2" t="str">
        <f t="shared" si="4"/>
        <v>E6_3_1_5</v>
      </c>
      <c r="E504" s="2" t="str">
        <f t="shared" si="5"/>
        <v>E6_3_1_5_kcat : 13.7</v>
      </c>
      <c r="F504" s="2" t="str">
        <f t="shared" si="6"/>
        <v>E6_3_1_5_km : 1</v>
      </c>
      <c r="G504" s="2" t="str">
        <f t="shared" ref="G504:H504" si="1013">CONCATENATE(C504," : ",C504)</f>
        <v>E6_3_1_5_mRNA : E6_3_1_5_mRNA</v>
      </c>
      <c r="H504" s="2" t="str">
        <f t="shared" si="1013"/>
        <v>E6_3_1_5 : E6_3_1_5</v>
      </c>
      <c r="I504" s="2" t="str">
        <f t="shared" ref="I504:J504" si="1014">CONCATENATE(C504," : ","0")</f>
        <v>E6_3_1_5_mRNA : 0</v>
      </c>
      <c r="J504" s="2" t="str">
        <f t="shared" si="1014"/>
        <v>E6_3_1_5 : 0</v>
      </c>
      <c r="K504" s="2" t="str">
        <f t="shared" si="9"/>
        <v>0.00292 - (0.0093 * E6_3_1_5_mRNA)</v>
      </c>
      <c r="L504" s="2" t="str">
        <f t="shared" si="10"/>
        <v>(0.278 * E6_3_1_5_mRNA) - (0.00000278 * E6_3_1_5)</v>
      </c>
      <c r="M504" s="2" t="str">
        <f t="shared" si="11"/>
        <v>mRNA503: -&gt; E6_3_1_5_mRNA | 0.00292 - (0.0093 * E6_3_1_5_mRNA)</v>
      </c>
      <c r="N504" s="2" t="str">
        <f t="shared" si="12"/>
        <v>Peptide503: E6_3_1_5_mRNA -&gt; E6_3_1_5 | (0.278 * E6_3_1_5_mRNA) - (0.000000278 * E6_3_1_5)</v>
      </c>
    </row>
    <row r="505">
      <c r="A505" s="12">
        <v>504.0</v>
      </c>
      <c r="B505" s="2" t="s">
        <v>25429</v>
      </c>
      <c r="C505" s="2" t="str">
        <f t="shared" si="3"/>
        <v>E6_3_2_10_mRNA</v>
      </c>
      <c r="D505" s="2" t="str">
        <f t="shared" si="4"/>
        <v>E6_3_2_10</v>
      </c>
      <c r="E505" s="2" t="str">
        <f t="shared" si="5"/>
        <v>E6_3_2_10_kcat : 13.7</v>
      </c>
      <c r="F505" s="2" t="str">
        <f t="shared" si="6"/>
        <v>E6_3_2_10_km : 1</v>
      </c>
      <c r="G505" s="2" t="str">
        <f t="shared" ref="G505:H505" si="1015">CONCATENATE(C505," : ",C505)</f>
        <v>E6_3_2_10_mRNA : E6_3_2_10_mRNA</v>
      </c>
      <c r="H505" s="2" t="str">
        <f t="shared" si="1015"/>
        <v>E6_3_2_10 : E6_3_2_10</v>
      </c>
      <c r="I505" s="2" t="str">
        <f t="shared" ref="I505:J505" si="1016">CONCATENATE(C505," : ","0")</f>
        <v>E6_3_2_10_mRNA : 0</v>
      </c>
      <c r="J505" s="2" t="str">
        <f t="shared" si="1016"/>
        <v>E6_3_2_10 : 0</v>
      </c>
      <c r="K505" s="2" t="str">
        <f t="shared" si="9"/>
        <v>0.00292 - (0.0093 * E6_3_2_10_mRNA)</v>
      </c>
      <c r="L505" s="2" t="str">
        <f t="shared" si="10"/>
        <v>(0.278 * E6_3_2_10_mRNA) - (0.00000278 * E6_3_2_10)</v>
      </c>
      <c r="M505" s="2" t="str">
        <f t="shared" si="11"/>
        <v>mRNA504: -&gt; E6_3_2_10_mRNA | 0.00292 - (0.0093 * E6_3_2_10_mRNA)</v>
      </c>
      <c r="N505" s="2" t="str">
        <f t="shared" si="12"/>
        <v>Peptide504: E6_3_2_10_mRNA -&gt; E6_3_2_10 | (0.278 * E6_3_2_10_mRNA) - (0.000000278 * E6_3_2_10)</v>
      </c>
    </row>
    <row r="506">
      <c r="A506" s="12">
        <v>505.0</v>
      </c>
      <c r="B506" s="2" t="s">
        <v>25430</v>
      </c>
      <c r="C506" s="2" t="str">
        <f t="shared" si="3"/>
        <v>E6_3_2_12_mRNA</v>
      </c>
      <c r="D506" s="2" t="str">
        <f t="shared" si="4"/>
        <v>E6_3_2_12</v>
      </c>
      <c r="E506" s="2" t="str">
        <f t="shared" si="5"/>
        <v>E6_3_2_12_kcat : 13.7</v>
      </c>
      <c r="F506" s="2" t="str">
        <f t="shared" si="6"/>
        <v>E6_3_2_12_km : 1</v>
      </c>
      <c r="G506" s="2" t="str">
        <f t="shared" ref="G506:H506" si="1017">CONCATENATE(C506," : ",C506)</f>
        <v>E6_3_2_12_mRNA : E6_3_2_12_mRNA</v>
      </c>
      <c r="H506" s="2" t="str">
        <f t="shared" si="1017"/>
        <v>E6_3_2_12 : E6_3_2_12</v>
      </c>
      <c r="I506" s="2" t="str">
        <f t="shared" ref="I506:J506" si="1018">CONCATENATE(C506," : ","0")</f>
        <v>E6_3_2_12_mRNA : 0</v>
      </c>
      <c r="J506" s="2" t="str">
        <f t="shared" si="1018"/>
        <v>E6_3_2_12 : 0</v>
      </c>
      <c r="K506" s="2" t="str">
        <f t="shared" si="9"/>
        <v>0.00292 - (0.0093 * E6_3_2_12_mRNA)</v>
      </c>
      <c r="L506" s="2" t="str">
        <f t="shared" si="10"/>
        <v>(0.278 * E6_3_2_12_mRNA) - (0.00000278 * E6_3_2_12)</v>
      </c>
      <c r="M506" s="2" t="str">
        <f t="shared" si="11"/>
        <v>mRNA505: -&gt; E6_3_2_12_mRNA | 0.00292 - (0.0093 * E6_3_2_12_mRNA)</v>
      </c>
      <c r="N506" s="2" t="str">
        <f t="shared" si="12"/>
        <v>Peptide505: E6_3_2_12_mRNA -&gt; E6_3_2_12 | (0.278 * E6_3_2_12_mRNA) - (0.000000278 * E6_3_2_12)</v>
      </c>
    </row>
    <row r="507">
      <c r="A507" s="12">
        <v>506.0</v>
      </c>
      <c r="B507" s="2" t="s">
        <v>25431</v>
      </c>
      <c r="C507" s="2" t="str">
        <f t="shared" si="3"/>
        <v>E6_3_2_13_mRNA</v>
      </c>
      <c r="D507" s="2" t="str">
        <f t="shared" si="4"/>
        <v>E6_3_2_13</v>
      </c>
      <c r="E507" s="2" t="str">
        <f t="shared" si="5"/>
        <v>E6_3_2_13_kcat : 13.7</v>
      </c>
      <c r="F507" s="2" t="str">
        <f t="shared" si="6"/>
        <v>E6_3_2_13_km : 1</v>
      </c>
      <c r="G507" s="2" t="str">
        <f t="shared" ref="G507:H507" si="1019">CONCATENATE(C507," : ",C507)</f>
        <v>E6_3_2_13_mRNA : E6_3_2_13_mRNA</v>
      </c>
      <c r="H507" s="2" t="str">
        <f t="shared" si="1019"/>
        <v>E6_3_2_13 : E6_3_2_13</v>
      </c>
      <c r="I507" s="2" t="str">
        <f t="shared" ref="I507:J507" si="1020">CONCATENATE(C507," : ","0")</f>
        <v>E6_3_2_13_mRNA : 0</v>
      </c>
      <c r="J507" s="2" t="str">
        <f t="shared" si="1020"/>
        <v>E6_3_2_13 : 0</v>
      </c>
      <c r="K507" s="2" t="str">
        <f t="shared" si="9"/>
        <v>0.00292 - (0.0093 * E6_3_2_13_mRNA)</v>
      </c>
      <c r="L507" s="2" t="str">
        <f t="shared" si="10"/>
        <v>(0.278 * E6_3_2_13_mRNA) - (0.00000278 * E6_3_2_13)</v>
      </c>
      <c r="M507" s="2" t="str">
        <f t="shared" si="11"/>
        <v>mRNA506: -&gt; E6_3_2_13_mRNA | 0.00292 - (0.0093 * E6_3_2_13_mRNA)</v>
      </c>
      <c r="N507" s="2" t="str">
        <f t="shared" si="12"/>
        <v>Peptide506: E6_3_2_13_mRNA -&gt; E6_3_2_13 | (0.278 * E6_3_2_13_mRNA) - (0.000000278 * E6_3_2_13)</v>
      </c>
    </row>
    <row r="508">
      <c r="A508" s="12">
        <v>507.0</v>
      </c>
      <c r="B508" s="2" t="s">
        <v>25432</v>
      </c>
      <c r="C508" s="2" t="str">
        <f t="shared" si="3"/>
        <v>E6_3_2_17_mRNA</v>
      </c>
      <c r="D508" s="2" t="str">
        <f t="shared" si="4"/>
        <v>E6_3_2_17</v>
      </c>
      <c r="E508" s="2" t="str">
        <f t="shared" si="5"/>
        <v>E6_3_2_17_kcat : 13.7</v>
      </c>
      <c r="F508" s="2" t="str">
        <f t="shared" si="6"/>
        <v>E6_3_2_17_km : 1</v>
      </c>
      <c r="G508" s="2" t="str">
        <f t="shared" ref="G508:H508" si="1021">CONCATENATE(C508," : ",C508)</f>
        <v>E6_3_2_17_mRNA : E6_3_2_17_mRNA</v>
      </c>
      <c r="H508" s="2" t="str">
        <f t="shared" si="1021"/>
        <v>E6_3_2_17 : E6_3_2_17</v>
      </c>
      <c r="I508" s="2" t="str">
        <f t="shared" ref="I508:J508" si="1022">CONCATENATE(C508," : ","0")</f>
        <v>E6_3_2_17_mRNA : 0</v>
      </c>
      <c r="J508" s="2" t="str">
        <f t="shared" si="1022"/>
        <v>E6_3_2_17 : 0</v>
      </c>
      <c r="K508" s="2" t="str">
        <f t="shared" si="9"/>
        <v>0.00292 - (0.0093 * E6_3_2_17_mRNA)</v>
      </c>
      <c r="L508" s="2" t="str">
        <f t="shared" si="10"/>
        <v>(0.278 * E6_3_2_17_mRNA) - (0.00000278 * E6_3_2_17)</v>
      </c>
      <c r="M508" s="2" t="str">
        <f t="shared" si="11"/>
        <v>mRNA507: -&gt; E6_3_2_17_mRNA | 0.00292 - (0.0093 * E6_3_2_17_mRNA)</v>
      </c>
      <c r="N508" s="2" t="str">
        <f t="shared" si="12"/>
        <v>Peptide507: E6_3_2_17_mRNA -&gt; E6_3_2_17 | (0.278 * E6_3_2_17_mRNA) - (0.000000278 * E6_3_2_17)</v>
      </c>
    </row>
    <row r="509">
      <c r="A509" s="12">
        <v>508.0</v>
      </c>
      <c r="B509" s="2" t="s">
        <v>25433</v>
      </c>
      <c r="C509" s="2" t="str">
        <f t="shared" si="3"/>
        <v>E6_3_2_4_mRNA</v>
      </c>
      <c r="D509" s="2" t="str">
        <f t="shared" si="4"/>
        <v>E6_3_2_4</v>
      </c>
      <c r="E509" s="2" t="str">
        <f t="shared" si="5"/>
        <v>E6_3_2_4_kcat : 13.7</v>
      </c>
      <c r="F509" s="2" t="str">
        <f t="shared" si="6"/>
        <v>E6_3_2_4_km : 1</v>
      </c>
      <c r="G509" s="2" t="str">
        <f t="shared" ref="G509:H509" si="1023">CONCATENATE(C509," : ",C509)</f>
        <v>E6_3_2_4_mRNA : E6_3_2_4_mRNA</v>
      </c>
      <c r="H509" s="2" t="str">
        <f t="shared" si="1023"/>
        <v>E6_3_2_4 : E6_3_2_4</v>
      </c>
      <c r="I509" s="2" t="str">
        <f t="shared" ref="I509:J509" si="1024">CONCATENATE(C509," : ","0")</f>
        <v>E6_3_2_4_mRNA : 0</v>
      </c>
      <c r="J509" s="2" t="str">
        <f t="shared" si="1024"/>
        <v>E6_3_2_4 : 0</v>
      </c>
      <c r="K509" s="2" t="str">
        <f t="shared" si="9"/>
        <v>0.00292 - (0.0093 * E6_3_2_4_mRNA)</v>
      </c>
      <c r="L509" s="2" t="str">
        <f t="shared" si="10"/>
        <v>(0.278 * E6_3_2_4_mRNA) - (0.00000278 * E6_3_2_4)</v>
      </c>
      <c r="M509" s="2" t="str">
        <f t="shared" si="11"/>
        <v>mRNA508: -&gt; E6_3_2_4_mRNA | 0.00292 - (0.0093 * E6_3_2_4_mRNA)</v>
      </c>
      <c r="N509" s="2" t="str">
        <f t="shared" si="12"/>
        <v>Peptide508: E6_3_2_4_mRNA -&gt; E6_3_2_4 | (0.278 * E6_3_2_4_mRNA) - (0.000000278 * E6_3_2_4)</v>
      </c>
    </row>
    <row r="510">
      <c r="A510" s="12">
        <v>509.0</v>
      </c>
      <c r="B510" s="2" t="s">
        <v>25434</v>
      </c>
      <c r="C510" s="2" t="str">
        <f t="shared" si="3"/>
        <v>E6_3_2_5_mRNA</v>
      </c>
      <c r="D510" s="2" t="str">
        <f t="shared" si="4"/>
        <v>E6_3_2_5</v>
      </c>
      <c r="E510" s="2" t="str">
        <f t="shared" si="5"/>
        <v>E6_3_2_5_kcat : 13.7</v>
      </c>
      <c r="F510" s="2" t="str">
        <f t="shared" si="6"/>
        <v>E6_3_2_5_km : 1</v>
      </c>
      <c r="G510" s="2" t="str">
        <f t="shared" ref="G510:H510" si="1025">CONCATENATE(C510," : ",C510)</f>
        <v>E6_3_2_5_mRNA : E6_3_2_5_mRNA</v>
      </c>
      <c r="H510" s="2" t="str">
        <f t="shared" si="1025"/>
        <v>E6_3_2_5 : E6_3_2_5</v>
      </c>
      <c r="I510" s="2" t="str">
        <f t="shared" ref="I510:J510" si="1026">CONCATENATE(C510," : ","0")</f>
        <v>E6_3_2_5_mRNA : 0</v>
      </c>
      <c r="J510" s="2" t="str">
        <f t="shared" si="1026"/>
        <v>E6_3_2_5 : 0</v>
      </c>
      <c r="K510" s="2" t="str">
        <f t="shared" si="9"/>
        <v>0.00292 - (0.0093 * E6_3_2_5_mRNA)</v>
      </c>
      <c r="L510" s="2" t="str">
        <f t="shared" si="10"/>
        <v>(0.278 * E6_3_2_5_mRNA) - (0.00000278 * E6_3_2_5)</v>
      </c>
      <c r="M510" s="2" t="str">
        <f t="shared" si="11"/>
        <v>mRNA509: -&gt; E6_3_2_5_mRNA | 0.00292 - (0.0093 * E6_3_2_5_mRNA)</v>
      </c>
      <c r="N510" s="2" t="str">
        <f t="shared" si="12"/>
        <v>Peptide509: E6_3_2_5_mRNA -&gt; E6_3_2_5 | (0.278 * E6_3_2_5_mRNA) - (0.000000278 * E6_3_2_5)</v>
      </c>
    </row>
    <row r="511">
      <c r="A511" s="12">
        <v>510.0</v>
      </c>
      <c r="B511" s="2" t="s">
        <v>25435</v>
      </c>
      <c r="C511" s="2" t="str">
        <f t="shared" si="3"/>
        <v>E6_3_2_6_mRNA</v>
      </c>
      <c r="D511" s="2" t="str">
        <f t="shared" si="4"/>
        <v>E6_3_2_6</v>
      </c>
      <c r="E511" s="2" t="str">
        <f t="shared" si="5"/>
        <v>E6_3_2_6_kcat : 13.7</v>
      </c>
      <c r="F511" s="2" t="str">
        <f t="shared" si="6"/>
        <v>E6_3_2_6_km : 1</v>
      </c>
      <c r="G511" s="2" t="str">
        <f t="shared" ref="G511:H511" si="1027">CONCATENATE(C511," : ",C511)</f>
        <v>E6_3_2_6_mRNA : E6_3_2_6_mRNA</v>
      </c>
      <c r="H511" s="2" t="str">
        <f t="shared" si="1027"/>
        <v>E6_3_2_6 : E6_3_2_6</v>
      </c>
      <c r="I511" s="2" t="str">
        <f t="shared" ref="I511:J511" si="1028">CONCATENATE(C511," : ","0")</f>
        <v>E6_3_2_6_mRNA : 0</v>
      </c>
      <c r="J511" s="2" t="str">
        <f t="shared" si="1028"/>
        <v>E6_3_2_6 : 0</v>
      </c>
      <c r="K511" s="2" t="str">
        <f t="shared" si="9"/>
        <v>0.00292 - (0.0093 * E6_3_2_6_mRNA)</v>
      </c>
      <c r="L511" s="2" t="str">
        <f t="shared" si="10"/>
        <v>(0.278 * E6_3_2_6_mRNA) - (0.00000278 * E6_3_2_6)</v>
      </c>
      <c r="M511" s="2" t="str">
        <f t="shared" si="11"/>
        <v>mRNA510: -&gt; E6_3_2_6_mRNA | 0.00292 - (0.0093 * E6_3_2_6_mRNA)</v>
      </c>
      <c r="N511" s="2" t="str">
        <f t="shared" si="12"/>
        <v>Peptide510: E6_3_2_6_mRNA -&gt; E6_3_2_6 | (0.278 * E6_3_2_6_mRNA) - (0.000000278 * E6_3_2_6)</v>
      </c>
    </row>
    <row r="512">
      <c r="A512" s="12">
        <v>511.0</v>
      </c>
      <c r="B512" s="2" t="s">
        <v>25436</v>
      </c>
      <c r="C512" s="2" t="str">
        <f t="shared" si="3"/>
        <v>E6_3_2_8_mRNA</v>
      </c>
      <c r="D512" s="2" t="str">
        <f t="shared" si="4"/>
        <v>E6_3_2_8</v>
      </c>
      <c r="E512" s="2" t="str">
        <f t="shared" si="5"/>
        <v>E6_3_2_8_kcat : 13.7</v>
      </c>
      <c r="F512" s="2" t="str">
        <f t="shared" si="6"/>
        <v>E6_3_2_8_km : 1</v>
      </c>
      <c r="G512" s="2" t="str">
        <f t="shared" ref="G512:H512" si="1029">CONCATENATE(C512," : ",C512)</f>
        <v>E6_3_2_8_mRNA : E6_3_2_8_mRNA</v>
      </c>
      <c r="H512" s="2" t="str">
        <f t="shared" si="1029"/>
        <v>E6_3_2_8 : E6_3_2_8</v>
      </c>
      <c r="I512" s="2" t="str">
        <f t="shared" ref="I512:J512" si="1030">CONCATENATE(C512," : ","0")</f>
        <v>E6_3_2_8_mRNA : 0</v>
      </c>
      <c r="J512" s="2" t="str">
        <f t="shared" si="1030"/>
        <v>E6_3_2_8 : 0</v>
      </c>
      <c r="K512" s="2" t="str">
        <f t="shared" si="9"/>
        <v>0.00292 - (0.0093 * E6_3_2_8_mRNA)</v>
      </c>
      <c r="L512" s="2" t="str">
        <f t="shared" si="10"/>
        <v>(0.278 * E6_3_2_8_mRNA) - (0.00000278 * E6_3_2_8)</v>
      </c>
      <c r="M512" s="2" t="str">
        <f t="shared" si="11"/>
        <v>mRNA511: -&gt; E6_3_2_8_mRNA | 0.00292 - (0.0093 * E6_3_2_8_mRNA)</v>
      </c>
      <c r="N512" s="2" t="str">
        <f t="shared" si="12"/>
        <v>Peptide511: E6_3_2_8_mRNA -&gt; E6_3_2_8 | (0.278 * E6_3_2_8_mRNA) - (0.000000278 * E6_3_2_8)</v>
      </c>
    </row>
    <row r="513">
      <c r="A513" s="12">
        <v>512.0</v>
      </c>
      <c r="B513" s="2" t="s">
        <v>25437</v>
      </c>
      <c r="C513" s="2" t="str">
        <f t="shared" si="3"/>
        <v>E6_3_2_9_mRNA</v>
      </c>
      <c r="D513" s="2" t="str">
        <f t="shared" si="4"/>
        <v>E6_3_2_9</v>
      </c>
      <c r="E513" s="2" t="str">
        <f t="shared" si="5"/>
        <v>E6_3_2_9_kcat : 13.7</v>
      </c>
      <c r="F513" s="2" t="str">
        <f t="shared" si="6"/>
        <v>E6_3_2_9_km : 1</v>
      </c>
      <c r="G513" s="2" t="str">
        <f t="shared" ref="G513:H513" si="1031">CONCATENATE(C513," : ",C513)</f>
        <v>E6_3_2_9_mRNA : E6_3_2_9_mRNA</v>
      </c>
      <c r="H513" s="2" t="str">
        <f t="shared" si="1031"/>
        <v>E6_3_2_9 : E6_3_2_9</v>
      </c>
      <c r="I513" s="2" t="str">
        <f t="shared" ref="I513:J513" si="1032">CONCATENATE(C513," : ","0")</f>
        <v>E6_3_2_9_mRNA : 0</v>
      </c>
      <c r="J513" s="2" t="str">
        <f t="shared" si="1032"/>
        <v>E6_3_2_9 : 0</v>
      </c>
      <c r="K513" s="2" t="str">
        <f t="shared" si="9"/>
        <v>0.00292 - (0.0093 * E6_3_2_9_mRNA)</v>
      </c>
      <c r="L513" s="2" t="str">
        <f t="shared" si="10"/>
        <v>(0.278 * E6_3_2_9_mRNA) - (0.00000278 * E6_3_2_9)</v>
      </c>
      <c r="M513" s="2" t="str">
        <f t="shared" si="11"/>
        <v>mRNA512: -&gt; E6_3_2_9_mRNA | 0.00292 - (0.0093 * E6_3_2_9_mRNA)</v>
      </c>
      <c r="N513" s="2" t="str">
        <f t="shared" si="12"/>
        <v>Peptide512: E6_3_2_9_mRNA -&gt; E6_3_2_9 | (0.278 * E6_3_2_9_mRNA) - (0.000000278 * E6_3_2_9)</v>
      </c>
    </row>
    <row r="514">
      <c r="A514" s="12">
        <v>513.0</v>
      </c>
      <c r="B514" s="2" t="s">
        <v>25438</v>
      </c>
      <c r="C514" s="2" t="str">
        <f t="shared" si="3"/>
        <v>E6_3_3_1_mRNA</v>
      </c>
      <c r="D514" s="2" t="str">
        <f t="shared" si="4"/>
        <v>E6_3_3_1</v>
      </c>
      <c r="E514" s="2" t="str">
        <f t="shared" si="5"/>
        <v>E6_3_3_1_kcat : 13.7</v>
      </c>
      <c r="F514" s="2" t="str">
        <f t="shared" si="6"/>
        <v>E6_3_3_1_km : 1</v>
      </c>
      <c r="G514" s="2" t="str">
        <f t="shared" ref="G514:H514" si="1033">CONCATENATE(C514," : ",C514)</f>
        <v>E6_3_3_1_mRNA : E6_3_3_1_mRNA</v>
      </c>
      <c r="H514" s="2" t="str">
        <f t="shared" si="1033"/>
        <v>E6_3_3_1 : E6_3_3_1</v>
      </c>
      <c r="I514" s="2" t="str">
        <f t="shared" ref="I514:J514" si="1034">CONCATENATE(C514," : ","0")</f>
        <v>E6_3_3_1_mRNA : 0</v>
      </c>
      <c r="J514" s="2" t="str">
        <f t="shared" si="1034"/>
        <v>E6_3_3_1 : 0</v>
      </c>
      <c r="K514" s="2" t="str">
        <f t="shared" si="9"/>
        <v>0.00292 - (0.0093 * E6_3_3_1_mRNA)</v>
      </c>
      <c r="L514" s="2" t="str">
        <f t="shared" si="10"/>
        <v>(0.278 * E6_3_3_1_mRNA) - (0.00000278 * E6_3_3_1)</v>
      </c>
      <c r="M514" s="2" t="str">
        <f t="shared" si="11"/>
        <v>mRNA513: -&gt; E6_3_3_1_mRNA | 0.00292 - (0.0093 * E6_3_3_1_mRNA)</v>
      </c>
      <c r="N514" s="2" t="str">
        <f t="shared" si="12"/>
        <v>Peptide513: E6_3_3_1_mRNA -&gt; E6_3_3_1 | (0.278 * E6_3_3_1_mRNA) - (0.000000278 * E6_3_3_1)</v>
      </c>
    </row>
    <row r="515">
      <c r="A515" s="12">
        <v>514.0</v>
      </c>
      <c r="B515" s="2" t="s">
        <v>25439</v>
      </c>
      <c r="C515" s="2" t="str">
        <f t="shared" si="3"/>
        <v>E6_3_3_2_mRNA</v>
      </c>
      <c r="D515" s="2" t="str">
        <f t="shared" si="4"/>
        <v>E6_3_3_2</v>
      </c>
      <c r="E515" s="2" t="str">
        <f t="shared" si="5"/>
        <v>E6_3_3_2_kcat : 13.7</v>
      </c>
      <c r="F515" s="2" t="str">
        <f t="shared" si="6"/>
        <v>E6_3_3_2_km : 1</v>
      </c>
      <c r="G515" s="2" t="str">
        <f t="shared" ref="G515:H515" si="1035">CONCATENATE(C515," : ",C515)</f>
        <v>E6_3_3_2_mRNA : E6_3_3_2_mRNA</v>
      </c>
      <c r="H515" s="2" t="str">
        <f t="shared" si="1035"/>
        <v>E6_3_3_2 : E6_3_3_2</v>
      </c>
      <c r="I515" s="2" t="str">
        <f t="shared" ref="I515:J515" si="1036">CONCATENATE(C515," : ","0")</f>
        <v>E6_3_3_2_mRNA : 0</v>
      </c>
      <c r="J515" s="2" t="str">
        <f t="shared" si="1036"/>
        <v>E6_3_3_2 : 0</v>
      </c>
      <c r="K515" s="2" t="str">
        <f t="shared" si="9"/>
        <v>0.00292 - (0.0093 * E6_3_3_2_mRNA)</v>
      </c>
      <c r="L515" s="2" t="str">
        <f t="shared" si="10"/>
        <v>(0.278 * E6_3_3_2_mRNA) - (0.00000278 * E6_3_3_2)</v>
      </c>
      <c r="M515" s="2" t="str">
        <f t="shared" si="11"/>
        <v>mRNA514: -&gt; E6_3_3_2_mRNA | 0.00292 - (0.0093 * E6_3_3_2_mRNA)</v>
      </c>
      <c r="N515" s="2" t="str">
        <f t="shared" si="12"/>
        <v>Peptide514: E6_3_3_2_mRNA -&gt; E6_3_3_2 | (0.278 * E6_3_3_2_mRNA) - (0.000000278 * E6_3_3_2)</v>
      </c>
    </row>
    <row r="516">
      <c r="A516" s="12">
        <v>515.0</v>
      </c>
      <c r="B516" s="2" t="s">
        <v>25440</v>
      </c>
      <c r="C516" s="2" t="str">
        <f t="shared" si="3"/>
        <v>E6_3_3_3_mRNA</v>
      </c>
      <c r="D516" s="2" t="str">
        <f t="shared" si="4"/>
        <v>E6_3_3_3</v>
      </c>
      <c r="E516" s="2" t="str">
        <f t="shared" si="5"/>
        <v>E6_3_3_3_kcat : 13.7</v>
      </c>
      <c r="F516" s="2" t="str">
        <f t="shared" si="6"/>
        <v>E6_3_3_3_km : 1</v>
      </c>
      <c r="G516" s="2" t="str">
        <f t="shared" ref="G516:H516" si="1037">CONCATENATE(C516," : ",C516)</f>
        <v>E6_3_3_3_mRNA : E6_3_3_3_mRNA</v>
      </c>
      <c r="H516" s="2" t="str">
        <f t="shared" si="1037"/>
        <v>E6_3_3_3 : E6_3_3_3</v>
      </c>
      <c r="I516" s="2" t="str">
        <f t="shared" ref="I516:J516" si="1038">CONCATENATE(C516," : ","0")</f>
        <v>E6_3_3_3_mRNA : 0</v>
      </c>
      <c r="J516" s="2" t="str">
        <f t="shared" si="1038"/>
        <v>E6_3_3_3 : 0</v>
      </c>
      <c r="K516" s="2" t="str">
        <f t="shared" si="9"/>
        <v>0.00292 - (0.0093 * E6_3_3_3_mRNA)</v>
      </c>
      <c r="L516" s="2" t="str">
        <f t="shared" si="10"/>
        <v>(0.278 * E6_3_3_3_mRNA) - (0.00000278 * E6_3_3_3)</v>
      </c>
      <c r="M516" s="2" t="str">
        <f t="shared" si="11"/>
        <v>mRNA515: -&gt; E6_3_3_3_mRNA | 0.00292 - (0.0093 * E6_3_3_3_mRNA)</v>
      </c>
      <c r="N516" s="2" t="str">
        <f t="shared" si="12"/>
        <v>Peptide515: E6_3_3_3_mRNA -&gt; E6_3_3_3 | (0.278 * E6_3_3_3_mRNA) - (0.000000278 * E6_3_3_3)</v>
      </c>
    </row>
    <row r="517">
      <c r="A517" s="12">
        <v>516.0</v>
      </c>
      <c r="B517" s="2" t="s">
        <v>25441</v>
      </c>
      <c r="C517" s="2" t="str">
        <f t="shared" si="3"/>
        <v>E6_3_4_13_mRNA</v>
      </c>
      <c r="D517" s="2" t="str">
        <f t="shared" si="4"/>
        <v>E6_3_4_13</v>
      </c>
      <c r="E517" s="2" t="str">
        <f t="shared" si="5"/>
        <v>E6_3_4_13_kcat : 13.7</v>
      </c>
      <c r="F517" s="2" t="str">
        <f t="shared" si="6"/>
        <v>E6_3_4_13_km : 1</v>
      </c>
      <c r="G517" s="2" t="str">
        <f t="shared" ref="G517:H517" si="1039">CONCATENATE(C517," : ",C517)</f>
        <v>E6_3_4_13_mRNA : E6_3_4_13_mRNA</v>
      </c>
      <c r="H517" s="2" t="str">
        <f t="shared" si="1039"/>
        <v>E6_3_4_13 : E6_3_4_13</v>
      </c>
      <c r="I517" s="2" t="str">
        <f t="shared" ref="I517:J517" si="1040">CONCATENATE(C517," : ","0")</f>
        <v>E6_3_4_13_mRNA : 0</v>
      </c>
      <c r="J517" s="2" t="str">
        <f t="shared" si="1040"/>
        <v>E6_3_4_13 : 0</v>
      </c>
      <c r="K517" s="2" t="str">
        <f t="shared" si="9"/>
        <v>0.00292 - (0.0093 * E6_3_4_13_mRNA)</v>
      </c>
      <c r="L517" s="2" t="str">
        <f t="shared" si="10"/>
        <v>(0.278 * E6_3_4_13_mRNA) - (0.00000278 * E6_3_4_13)</v>
      </c>
      <c r="M517" s="2" t="str">
        <f t="shared" si="11"/>
        <v>mRNA516: -&gt; E6_3_4_13_mRNA | 0.00292 - (0.0093 * E6_3_4_13_mRNA)</v>
      </c>
      <c r="N517" s="2" t="str">
        <f t="shared" si="12"/>
        <v>Peptide516: E6_3_4_13_mRNA -&gt; E6_3_4_13 | (0.278 * E6_3_4_13_mRNA) - (0.000000278 * E6_3_4_13)</v>
      </c>
    </row>
    <row r="518">
      <c r="A518" s="12">
        <v>517.0</v>
      </c>
      <c r="B518" s="2" t="s">
        <v>25442</v>
      </c>
      <c r="C518" s="2" t="str">
        <f t="shared" si="3"/>
        <v>E6_3_4_14_mRNA</v>
      </c>
      <c r="D518" s="2" t="str">
        <f t="shared" si="4"/>
        <v>E6_3_4_14</v>
      </c>
      <c r="E518" s="2" t="str">
        <f t="shared" si="5"/>
        <v>E6_3_4_14_kcat : 13.7</v>
      </c>
      <c r="F518" s="2" t="str">
        <f t="shared" si="6"/>
        <v>E6_3_4_14_km : 1</v>
      </c>
      <c r="G518" s="2" t="str">
        <f t="shared" ref="G518:H518" si="1041">CONCATENATE(C518," : ",C518)</f>
        <v>E6_3_4_14_mRNA : E6_3_4_14_mRNA</v>
      </c>
      <c r="H518" s="2" t="str">
        <f t="shared" si="1041"/>
        <v>E6_3_4_14 : E6_3_4_14</v>
      </c>
      <c r="I518" s="2" t="str">
        <f t="shared" ref="I518:J518" si="1042">CONCATENATE(C518," : ","0")</f>
        <v>E6_3_4_14_mRNA : 0</v>
      </c>
      <c r="J518" s="2" t="str">
        <f t="shared" si="1042"/>
        <v>E6_3_4_14 : 0</v>
      </c>
      <c r="K518" s="2" t="str">
        <f t="shared" si="9"/>
        <v>0.00292 - (0.0093 * E6_3_4_14_mRNA)</v>
      </c>
      <c r="L518" s="2" t="str">
        <f t="shared" si="10"/>
        <v>(0.278 * E6_3_4_14_mRNA) - (0.00000278 * E6_3_4_14)</v>
      </c>
      <c r="M518" s="2" t="str">
        <f t="shared" si="11"/>
        <v>mRNA517: -&gt; E6_3_4_14_mRNA | 0.00292 - (0.0093 * E6_3_4_14_mRNA)</v>
      </c>
      <c r="N518" s="2" t="str">
        <f t="shared" si="12"/>
        <v>Peptide517: E6_3_4_14_mRNA -&gt; E6_3_4_14 | (0.278 * E6_3_4_14_mRNA) - (0.000000278 * E6_3_4_14)</v>
      </c>
    </row>
    <row r="519">
      <c r="A519" s="12">
        <v>518.0</v>
      </c>
      <c r="B519" s="2" t="s">
        <v>25443</v>
      </c>
      <c r="C519" s="2" t="str">
        <f t="shared" si="3"/>
        <v>E6_3_4_15_mRNA</v>
      </c>
      <c r="D519" s="2" t="str">
        <f t="shared" si="4"/>
        <v>E6_3_4_15</v>
      </c>
      <c r="E519" s="2" t="str">
        <f t="shared" si="5"/>
        <v>E6_3_4_15_kcat : 13.7</v>
      </c>
      <c r="F519" s="2" t="str">
        <f t="shared" si="6"/>
        <v>E6_3_4_15_km : 1</v>
      </c>
      <c r="G519" s="2" t="str">
        <f t="shared" ref="G519:H519" si="1043">CONCATENATE(C519," : ",C519)</f>
        <v>E6_3_4_15_mRNA : E6_3_4_15_mRNA</v>
      </c>
      <c r="H519" s="2" t="str">
        <f t="shared" si="1043"/>
        <v>E6_3_4_15 : E6_3_4_15</v>
      </c>
      <c r="I519" s="2" t="str">
        <f t="shared" ref="I519:J519" si="1044">CONCATENATE(C519," : ","0")</f>
        <v>E6_3_4_15_mRNA : 0</v>
      </c>
      <c r="J519" s="2" t="str">
        <f t="shared" si="1044"/>
        <v>E6_3_4_15 : 0</v>
      </c>
      <c r="K519" s="2" t="str">
        <f t="shared" si="9"/>
        <v>0.00292 - (0.0093 * E6_3_4_15_mRNA)</v>
      </c>
      <c r="L519" s="2" t="str">
        <f t="shared" si="10"/>
        <v>(0.278 * E6_3_4_15_mRNA) - (0.00000278 * E6_3_4_15)</v>
      </c>
      <c r="M519" s="2" t="str">
        <f t="shared" si="11"/>
        <v>mRNA518: -&gt; E6_3_4_15_mRNA | 0.00292 - (0.0093 * E6_3_4_15_mRNA)</v>
      </c>
      <c r="N519" s="2" t="str">
        <f t="shared" si="12"/>
        <v>Peptide518: E6_3_4_15_mRNA -&gt; E6_3_4_15 | (0.278 * E6_3_4_15_mRNA) - (0.000000278 * E6_3_4_15)</v>
      </c>
    </row>
    <row r="520">
      <c r="A520" s="12">
        <v>519.0</v>
      </c>
      <c r="B520" s="2" t="s">
        <v>25444</v>
      </c>
      <c r="C520" s="2" t="str">
        <f t="shared" si="3"/>
        <v>E6_3_4_18_mRNA</v>
      </c>
      <c r="D520" s="2" t="str">
        <f t="shared" si="4"/>
        <v>E6_3_4_18</v>
      </c>
      <c r="E520" s="2" t="str">
        <f t="shared" si="5"/>
        <v>E6_3_4_18_kcat : 13.7</v>
      </c>
      <c r="F520" s="2" t="str">
        <f t="shared" si="6"/>
        <v>E6_3_4_18_km : 1</v>
      </c>
      <c r="G520" s="2" t="str">
        <f t="shared" ref="G520:H520" si="1045">CONCATENATE(C520," : ",C520)</f>
        <v>E6_3_4_18_mRNA : E6_3_4_18_mRNA</v>
      </c>
      <c r="H520" s="2" t="str">
        <f t="shared" si="1045"/>
        <v>E6_3_4_18 : E6_3_4_18</v>
      </c>
      <c r="I520" s="2" t="str">
        <f t="shared" ref="I520:J520" si="1046">CONCATENATE(C520," : ","0")</f>
        <v>E6_3_4_18_mRNA : 0</v>
      </c>
      <c r="J520" s="2" t="str">
        <f t="shared" si="1046"/>
        <v>E6_3_4_18 : 0</v>
      </c>
      <c r="K520" s="2" t="str">
        <f t="shared" si="9"/>
        <v>0.00292 - (0.0093 * E6_3_4_18_mRNA)</v>
      </c>
      <c r="L520" s="2" t="str">
        <f t="shared" si="10"/>
        <v>(0.278 * E6_3_4_18_mRNA) - (0.00000278 * E6_3_4_18)</v>
      </c>
      <c r="M520" s="2" t="str">
        <f t="shared" si="11"/>
        <v>mRNA519: -&gt; E6_3_4_18_mRNA | 0.00292 - (0.0093 * E6_3_4_18_mRNA)</v>
      </c>
      <c r="N520" s="2" t="str">
        <f t="shared" si="12"/>
        <v>Peptide519: E6_3_4_18_mRNA -&gt; E6_3_4_18 | (0.278 * E6_3_4_18_mRNA) - (0.000000278 * E6_3_4_18)</v>
      </c>
    </row>
    <row r="521">
      <c r="A521" s="12">
        <v>520.0</v>
      </c>
      <c r="B521" s="2" t="s">
        <v>25445</v>
      </c>
      <c r="C521" s="2" t="str">
        <f t="shared" si="3"/>
        <v>E6_3_4_19_mRNA</v>
      </c>
      <c r="D521" s="2" t="str">
        <f t="shared" si="4"/>
        <v>E6_3_4_19</v>
      </c>
      <c r="E521" s="2" t="str">
        <f t="shared" si="5"/>
        <v>E6_3_4_19_kcat : 13.7</v>
      </c>
      <c r="F521" s="2" t="str">
        <f t="shared" si="6"/>
        <v>E6_3_4_19_km : 1</v>
      </c>
      <c r="G521" s="2" t="str">
        <f t="shared" ref="G521:H521" si="1047">CONCATENATE(C521," : ",C521)</f>
        <v>E6_3_4_19_mRNA : E6_3_4_19_mRNA</v>
      </c>
      <c r="H521" s="2" t="str">
        <f t="shared" si="1047"/>
        <v>E6_3_4_19 : E6_3_4_19</v>
      </c>
      <c r="I521" s="2" t="str">
        <f t="shared" ref="I521:J521" si="1048">CONCATENATE(C521," : ","0")</f>
        <v>E6_3_4_19_mRNA : 0</v>
      </c>
      <c r="J521" s="2" t="str">
        <f t="shared" si="1048"/>
        <v>E6_3_4_19 : 0</v>
      </c>
      <c r="K521" s="2" t="str">
        <f t="shared" si="9"/>
        <v>0.00292 - (0.0093 * E6_3_4_19_mRNA)</v>
      </c>
      <c r="L521" s="2" t="str">
        <f t="shared" si="10"/>
        <v>(0.278 * E6_3_4_19_mRNA) - (0.00000278 * E6_3_4_19)</v>
      </c>
      <c r="M521" s="2" t="str">
        <f t="shared" si="11"/>
        <v>mRNA520: -&gt; E6_3_4_19_mRNA | 0.00292 - (0.0093 * E6_3_4_19_mRNA)</v>
      </c>
      <c r="N521" s="2" t="str">
        <f t="shared" si="12"/>
        <v>Peptide520: E6_3_4_19_mRNA -&gt; E6_3_4_19 | (0.278 * E6_3_4_19_mRNA) - (0.000000278 * E6_3_4_19)</v>
      </c>
    </row>
    <row r="522">
      <c r="A522" s="12">
        <v>521.0</v>
      </c>
      <c r="B522" s="2" t="s">
        <v>25446</v>
      </c>
      <c r="C522" s="2" t="str">
        <f t="shared" si="3"/>
        <v>E6_3_4_2_mRNA</v>
      </c>
      <c r="D522" s="2" t="str">
        <f t="shared" si="4"/>
        <v>E6_3_4_2</v>
      </c>
      <c r="E522" s="2" t="str">
        <f t="shared" si="5"/>
        <v>E6_3_4_2_kcat : 13.7</v>
      </c>
      <c r="F522" s="2" t="str">
        <f t="shared" si="6"/>
        <v>E6_3_4_2_km : 1</v>
      </c>
      <c r="G522" s="2" t="str">
        <f t="shared" ref="G522:H522" si="1049">CONCATENATE(C522," : ",C522)</f>
        <v>E6_3_4_2_mRNA : E6_3_4_2_mRNA</v>
      </c>
      <c r="H522" s="2" t="str">
        <f t="shared" si="1049"/>
        <v>E6_3_4_2 : E6_3_4_2</v>
      </c>
      <c r="I522" s="2" t="str">
        <f t="shared" ref="I522:J522" si="1050">CONCATENATE(C522," : ","0")</f>
        <v>E6_3_4_2_mRNA : 0</v>
      </c>
      <c r="J522" s="2" t="str">
        <f t="shared" si="1050"/>
        <v>E6_3_4_2 : 0</v>
      </c>
      <c r="K522" s="2" t="str">
        <f t="shared" si="9"/>
        <v>0.00292 - (0.0093 * E6_3_4_2_mRNA)</v>
      </c>
      <c r="L522" s="2" t="str">
        <f t="shared" si="10"/>
        <v>(0.278 * E6_3_4_2_mRNA) - (0.00000278 * E6_3_4_2)</v>
      </c>
      <c r="M522" s="2" t="str">
        <f t="shared" si="11"/>
        <v>mRNA521: -&gt; E6_3_4_2_mRNA | 0.00292 - (0.0093 * E6_3_4_2_mRNA)</v>
      </c>
      <c r="N522" s="2" t="str">
        <f t="shared" si="12"/>
        <v>Peptide521: E6_3_4_2_mRNA -&gt; E6_3_4_2 | (0.278 * E6_3_4_2_mRNA) - (0.000000278 * E6_3_4_2)</v>
      </c>
    </row>
    <row r="523">
      <c r="A523" s="12">
        <v>522.0</v>
      </c>
      <c r="B523" s="2" t="s">
        <v>25447</v>
      </c>
      <c r="C523" s="2" t="str">
        <f t="shared" si="3"/>
        <v>E6_3_4_20_mRNA</v>
      </c>
      <c r="D523" s="2" t="str">
        <f t="shared" si="4"/>
        <v>E6_3_4_20</v>
      </c>
      <c r="E523" s="2" t="str">
        <f t="shared" si="5"/>
        <v>E6_3_4_20_kcat : 13.7</v>
      </c>
      <c r="F523" s="2" t="str">
        <f t="shared" si="6"/>
        <v>E6_3_4_20_km : 1</v>
      </c>
      <c r="G523" s="2" t="str">
        <f t="shared" ref="G523:H523" si="1051">CONCATENATE(C523," : ",C523)</f>
        <v>E6_3_4_20_mRNA : E6_3_4_20_mRNA</v>
      </c>
      <c r="H523" s="2" t="str">
        <f t="shared" si="1051"/>
        <v>E6_3_4_20 : E6_3_4_20</v>
      </c>
      <c r="I523" s="2" t="str">
        <f t="shared" ref="I523:J523" si="1052">CONCATENATE(C523," : ","0")</f>
        <v>E6_3_4_20_mRNA : 0</v>
      </c>
      <c r="J523" s="2" t="str">
        <f t="shared" si="1052"/>
        <v>E6_3_4_20 : 0</v>
      </c>
      <c r="K523" s="2" t="str">
        <f t="shared" si="9"/>
        <v>0.00292 - (0.0093 * E6_3_4_20_mRNA)</v>
      </c>
      <c r="L523" s="2" t="str">
        <f t="shared" si="10"/>
        <v>(0.278 * E6_3_4_20_mRNA) - (0.00000278 * E6_3_4_20)</v>
      </c>
      <c r="M523" s="2" t="str">
        <f t="shared" si="11"/>
        <v>mRNA522: -&gt; E6_3_4_20_mRNA | 0.00292 - (0.0093 * E6_3_4_20_mRNA)</v>
      </c>
      <c r="N523" s="2" t="str">
        <f t="shared" si="12"/>
        <v>Peptide522: E6_3_4_20_mRNA -&gt; E6_3_4_20 | (0.278 * E6_3_4_20_mRNA) - (0.000000278 * E6_3_4_20)</v>
      </c>
    </row>
    <row r="524">
      <c r="A524" s="12">
        <v>523.0</v>
      </c>
      <c r="B524" s="2" t="s">
        <v>25448</v>
      </c>
      <c r="C524" s="2" t="str">
        <f t="shared" si="3"/>
        <v>E6_3_4_21_mRNA</v>
      </c>
      <c r="D524" s="2" t="str">
        <f t="shared" si="4"/>
        <v>E6_3_4_21</v>
      </c>
      <c r="E524" s="2" t="str">
        <f t="shared" si="5"/>
        <v>E6_3_4_21_kcat : 13.7</v>
      </c>
      <c r="F524" s="2" t="str">
        <f t="shared" si="6"/>
        <v>E6_3_4_21_km : 1</v>
      </c>
      <c r="G524" s="2" t="str">
        <f t="shared" ref="G524:H524" si="1053">CONCATENATE(C524," : ",C524)</f>
        <v>E6_3_4_21_mRNA : E6_3_4_21_mRNA</v>
      </c>
      <c r="H524" s="2" t="str">
        <f t="shared" si="1053"/>
        <v>E6_3_4_21 : E6_3_4_21</v>
      </c>
      <c r="I524" s="2" t="str">
        <f t="shared" ref="I524:J524" si="1054">CONCATENATE(C524," : ","0")</f>
        <v>E6_3_4_21_mRNA : 0</v>
      </c>
      <c r="J524" s="2" t="str">
        <f t="shared" si="1054"/>
        <v>E6_3_4_21 : 0</v>
      </c>
      <c r="K524" s="2" t="str">
        <f t="shared" si="9"/>
        <v>0.00292 - (0.0093 * E6_3_4_21_mRNA)</v>
      </c>
      <c r="L524" s="2" t="str">
        <f t="shared" si="10"/>
        <v>(0.278 * E6_3_4_21_mRNA) - (0.00000278 * E6_3_4_21)</v>
      </c>
      <c r="M524" s="2" t="str">
        <f t="shared" si="11"/>
        <v>mRNA523: -&gt; E6_3_4_21_mRNA | 0.00292 - (0.0093 * E6_3_4_21_mRNA)</v>
      </c>
      <c r="N524" s="2" t="str">
        <f t="shared" si="12"/>
        <v>Peptide523: E6_3_4_21_mRNA -&gt; E6_3_4_21 | (0.278 * E6_3_4_21_mRNA) - (0.000000278 * E6_3_4_21)</v>
      </c>
    </row>
    <row r="525">
      <c r="A525" s="12">
        <v>524.0</v>
      </c>
      <c r="B525" s="2" t="s">
        <v>25449</v>
      </c>
      <c r="C525" s="2" t="str">
        <f t="shared" si="3"/>
        <v>E6_3_4_3_mRNA</v>
      </c>
      <c r="D525" s="2" t="str">
        <f t="shared" si="4"/>
        <v>E6_3_4_3</v>
      </c>
      <c r="E525" s="2" t="str">
        <f t="shared" si="5"/>
        <v>E6_3_4_3_kcat : 13.7</v>
      </c>
      <c r="F525" s="2" t="str">
        <f t="shared" si="6"/>
        <v>E6_3_4_3_km : 1</v>
      </c>
      <c r="G525" s="2" t="str">
        <f t="shared" ref="G525:H525" si="1055">CONCATENATE(C525," : ",C525)</f>
        <v>E6_3_4_3_mRNA : E6_3_4_3_mRNA</v>
      </c>
      <c r="H525" s="2" t="str">
        <f t="shared" si="1055"/>
        <v>E6_3_4_3 : E6_3_4_3</v>
      </c>
      <c r="I525" s="2" t="str">
        <f t="shared" ref="I525:J525" si="1056">CONCATENATE(C525," : ","0")</f>
        <v>E6_3_4_3_mRNA : 0</v>
      </c>
      <c r="J525" s="2" t="str">
        <f t="shared" si="1056"/>
        <v>E6_3_4_3 : 0</v>
      </c>
      <c r="K525" s="2" t="str">
        <f t="shared" si="9"/>
        <v>0.00292 - (0.0093 * E6_3_4_3_mRNA)</v>
      </c>
      <c r="L525" s="2" t="str">
        <f t="shared" si="10"/>
        <v>(0.278 * E6_3_4_3_mRNA) - (0.00000278 * E6_3_4_3)</v>
      </c>
      <c r="M525" s="2" t="str">
        <f t="shared" si="11"/>
        <v>mRNA524: -&gt; E6_3_4_3_mRNA | 0.00292 - (0.0093 * E6_3_4_3_mRNA)</v>
      </c>
      <c r="N525" s="2" t="str">
        <f t="shared" si="12"/>
        <v>Peptide524: E6_3_4_3_mRNA -&gt; E6_3_4_3 | (0.278 * E6_3_4_3_mRNA) - (0.000000278 * E6_3_4_3)</v>
      </c>
    </row>
    <row r="526">
      <c r="A526" s="12">
        <v>525.0</v>
      </c>
      <c r="B526" s="2" t="s">
        <v>25450</v>
      </c>
      <c r="C526" s="2" t="str">
        <f t="shared" si="3"/>
        <v>E6_3_4_4_mRNA</v>
      </c>
      <c r="D526" s="2" t="str">
        <f t="shared" si="4"/>
        <v>E6_3_4_4</v>
      </c>
      <c r="E526" s="2" t="str">
        <f t="shared" si="5"/>
        <v>E6_3_4_4_kcat : 13.7</v>
      </c>
      <c r="F526" s="2" t="str">
        <f t="shared" si="6"/>
        <v>E6_3_4_4_km : 1</v>
      </c>
      <c r="G526" s="2" t="str">
        <f t="shared" ref="G526:H526" si="1057">CONCATENATE(C526," : ",C526)</f>
        <v>E6_3_4_4_mRNA : E6_3_4_4_mRNA</v>
      </c>
      <c r="H526" s="2" t="str">
        <f t="shared" si="1057"/>
        <v>E6_3_4_4 : E6_3_4_4</v>
      </c>
      <c r="I526" s="2" t="str">
        <f t="shared" ref="I526:J526" si="1058">CONCATENATE(C526," : ","0")</f>
        <v>E6_3_4_4_mRNA : 0</v>
      </c>
      <c r="J526" s="2" t="str">
        <f t="shared" si="1058"/>
        <v>E6_3_4_4 : 0</v>
      </c>
      <c r="K526" s="2" t="str">
        <f t="shared" si="9"/>
        <v>0.00292 - (0.0093 * E6_3_4_4_mRNA)</v>
      </c>
      <c r="L526" s="2" t="str">
        <f t="shared" si="10"/>
        <v>(0.278 * E6_3_4_4_mRNA) - (0.00000278 * E6_3_4_4)</v>
      </c>
      <c r="M526" s="2" t="str">
        <f t="shared" si="11"/>
        <v>mRNA525: -&gt; E6_3_4_4_mRNA | 0.00292 - (0.0093 * E6_3_4_4_mRNA)</v>
      </c>
      <c r="N526" s="2" t="str">
        <f t="shared" si="12"/>
        <v>Peptide525: E6_3_4_4_mRNA -&gt; E6_3_4_4 | (0.278 * E6_3_4_4_mRNA) - (0.000000278 * E6_3_4_4)</v>
      </c>
    </row>
    <row r="527">
      <c r="A527" s="12">
        <v>526.0</v>
      </c>
      <c r="B527" s="2" t="s">
        <v>25451</v>
      </c>
      <c r="C527" s="2" t="str">
        <f t="shared" si="3"/>
        <v>E6_3_4_5_mRNA</v>
      </c>
      <c r="D527" s="2" t="str">
        <f t="shared" si="4"/>
        <v>E6_3_4_5</v>
      </c>
      <c r="E527" s="2" t="str">
        <f t="shared" si="5"/>
        <v>E6_3_4_5_kcat : 13.7</v>
      </c>
      <c r="F527" s="2" t="str">
        <f t="shared" si="6"/>
        <v>E6_3_4_5_km : 1</v>
      </c>
      <c r="G527" s="2" t="str">
        <f t="shared" ref="G527:H527" si="1059">CONCATENATE(C527," : ",C527)</f>
        <v>E6_3_4_5_mRNA : E6_3_4_5_mRNA</v>
      </c>
      <c r="H527" s="2" t="str">
        <f t="shared" si="1059"/>
        <v>E6_3_4_5 : E6_3_4_5</v>
      </c>
      <c r="I527" s="2" t="str">
        <f t="shared" ref="I527:J527" si="1060">CONCATENATE(C527," : ","0")</f>
        <v>E6_3_4_5_mRNA : 0</v>
      </c>
      <c r="J527" s="2" t="str">
        <f t="shared" si="1060"/>
        <v>E6_3_4_5 : 0</v>
      </c>
      <c r="K527" s="2" t="str">
        <f t="shared" si="9"/>
        <v>0.00292 - (0.0093 * E6_3_4_5_mRNA)</v>
      </c>
      <c r="L527" s="2" t="str">
        <f t="shared" si="10"/>
        <v>(0.278 * E6_3_4_5_mRNA) - (0.00000278 * E6_3_4_5)</v>
      </c>
      <c r="M527" s="2" t="str">
        <f t="shared" si="11"/>
        <v>mRNA526: -&gt; E6_3_4_5_mRNA | 0.00292 - (0.0093 * E6_3_4_5_mRNA)</v>
      </c>
      <c r="N527" s="2" t="str">
        <f t="shared" si="12"/>
        <v>Peptide526: E6_3_4_5_mRNA -&gt; E6_3_4_5 | (0.278 * E6_3_4_5_mRNA) - (0.000000278 * E6_3_4_5)</v>
      </c>
    </row>
    <row r="528">
      <c r="A528" s="12">
        <v>527.0</v>
      </c>
      <c r="B528" s="2" t="s">
        <v>25452</v>
      </c>
      <c r="C528" s="2" t="str">
        <f t="shared" si="3"/>
        <v>E6_3_5_2_mRNA</v>
      </c>
      <c r="D528" s="2" t="str">
        <f t="shared" si="4"/>
        <v>E6_3_5_2</v>
      </c>
      <c r="E528" s="2" t="str">
        <f t="shared" si="5"/>
        <v>E6_3_5_2_kcat : 13.7</v>
      </c>
      <c r="F528" s="2" t="str">
        <f t="shared" si="6"/>
        <v>E6_3_5_2_km : 1</v>
      </c>
      <c r="G528" s="2" t="str">
        <f t="shared" ref="G528:H528" si="1061">CONCATENATE(C528," : ",C528)</f>
        <v>E6_3_5_2_mRNA : E6_3_5_2_mRNA</v>
      </c>
      <c r="H528" s="2" t="str">
        <f t="shared" si="1061"/>
        <v>E6_3_5_2 : E6_3_5_2</v>
      </c>
      <c r="I528" s="2" t="str">
        <f t="shared" ref="I528:J528" si="1062">CONCATENATE(C528," : ","0")</f>
        <v>E6_3_5_2_mRNA : 0</v>
      </c>
      <c r="J528" s="2" t="str">
        <f t="shared" si="1062"/>
        <v>E6_3_5_2 : 0</v>
      </c>
      <c r="K528" s="2" t="str">
        <f t="shared" si="9"/>
        <v>0.00292 - (0.0093 * E6_3_5_2_mRNA)</v>
      </c>
      <c r="L528" s="2" t="str">
        <f t="shared" si="10"/>
        <v>(0.278 * E6_3_5_2_mRNA) - (0.00000278 * E6_3_5_2)</v>
      </c>
      <c r="M528" s="2" t="str">
        <f t="shared" si="11"/>
        <v>mRNA527: -&gt; E6_3_5_2_mRNA | 0.00292 - (0.0093 * E6_3_5_2_mRNA)</v>
      </c>
      <c r="N528" s="2" t="str">
        <f t="shared" si="12"/>
        <v>Peptide527: E6_3_5_2_mRNA -&gt; E6_3_5_2 | (0.278 * E6_3_5_2_mRNA) - (0.000000278 * E6_3_5_2)</v>
      </c>
    </row>
    <row r="529">
      <c r="A529" s="12">
        <v>528.0</v>
      </c>
      <c r="B529" s="2" t="s">
        <v>25453</v>
      </c>
      <c r="C529" s="2" t="str">
        <f t="shared" si="3"/>
        <v>E6_3_5_3_mRNA</v>
      </c>
      <c r="D529" s="2" t="str">
        <f t="shared" si="4"/>
        <v>E6_3_5_3</v>
      </c>
      <c r="E529" s="2" t="str">
        <f t="shared" si="5"/>
        <v>E6_3_5_3_kcat : 13.7</v>
      </c>
      <c r="F529" s="2" t="str">
        <f t="shared" si="6"/>
        <v>E6_3_5_3_km : 1</v>
      </c>
      <c r="G529" s="2" t="str">
        <f t="shared" ref="G529:H529" si="1063">CONCATENATE(C529," : ",C529)</f>
        <v>E6_3_5_3_mRNA : E6_3_5_3_mRNA</v>
      </c>
      <c r="H529" s="2" t="str">
        <f t="shared" si="1063"/>
        <v>E6_3_5_3 : E6_3_5_3</v>
      </c>
      <c r="I529" s="2" t="str">
        <f t="shared" ref="I529:J529" si="1064">CONCATENATE(C529," : ","0")</f>
        <v>E6_3_5_3_mRNA : 0</v>
      </c>
      <c r="J529" s="2" t="str">
        <f t="shared" si="1064"/>
        <v>E6_3_5_3 : 0</v>
      </c>
      <c r="K529" s="2" t="str">
        <f t="shared" si="9"/>
        <v>0.00292 - (0.0093 * E6_3_5_3_mRNA)</v>
      </c>
      <c r="L529" s="2" t="str">
        <f t="shared" si="10"/>
        <v>(0.278 * E6_3_5_3_mRNA) - (0.00000278 * E6_3_5_3)</v>
      </c>
      <c r="M529" s="2" t="str">
        <f t="shared" si="11"/>
        <v>mRNA528: -&gt; E6_3_5_3_mRNA | 0.00292 - (0.0093 * E6_3_5_3_mRNA)</v>
      </c>
      <c r="N529" s="2" t="str">
        <f t="shared" si="12"/>
        <v>Peptide528: E6_3_5_3_mRNA -&gt; E6_3_5_3 | (0.278 * E6_3_5_3_mRNA) - (0.000000278 * E6_3_5_3)</v>
      </c>
    </row>
    <row r="530">
      <c r="A530" s="12">
        <v>529.0</v>
      </c>
      <c r="B530" s="2" t="s">
        <v>25454</v>
      </c>
      <c r="C530" s="2" t="str">
        <f t="shared" si="3"/>
        <v>E6_3_5_4_mRNA</v>
      </c>
      <c r="D530" s="2" t="str">
        <f t="shared" si="4"/>
        <v>E6_3_5_4</v>
      </c>
      <c r="E530" s="2" t="str">
        <f t="shared" si="5"/>
        <v>E6_3_5_4_kcat : 13.7</v>
      </c>
      <c r="F530" s="2" t="str">
        <f t="shared" si="6"/>
        <v>E6_3_5_4_km : 1</v>
      </c>
      <c r="G530" s="2" t="str">
        <f t="shared" ref="G530:H530" si="1065">CONCATENATE(C530," : ",C530)</f>
        <v>E6_3_5_4_mRNA : E6_3_5_4_mRNA</v>
      </c>
      <c r="H530" s="2" t="str">
        <f t="shared" si="1065"/>
        <v>E6_3_5_4 : E6_3_5_4</v>
      </c>
      <c r="I530" s="2" t="str">
        <f t="shared" ref="I530:J530" si="1066">CONCATENATE(C530," : ","0")</f>
        <v>E6_3_5_4_mRNA : 0</v>
      </c>
      <c r="J530" s="2" t="str">
        <f t="shared" si="1066"/>
        <v>E6_3_5_4 : 0</v>
      </c>
      <c r="K530" s="2" t="str">
        <f t="shared" si="9"/>
        <v>0.00292 - (0.0093 * E6_3_5_4_mRNA)</v>
      </c>
      <c r="L530" s="2" t="str">
        <f t="shared" si="10"/>
        <v>(0.278 * E6_3_5_4_mRNA) - (0.00000278 * E6_3_5_4)</v>
      </c>
      <c r="M530" s="2" t="str">
        <f t="shared" si="11"/>
        <v>mRNA529: -&gt; E6_3_5_4_mRNA | 0.00292 - (0.0093 * E6_3_5_4_mRNA)</v>
      </c>
      <c r="N530" s="2" t="str">
        <f t="shared" si="12"/>
        <v>Peptide529: E6_3_5_4_mRNA -&gt; E6_3_5_4 | (0.278 * E6_3_5_4_mRNA) - (0.000000278 * E6_3_5_4)</v>
      </c>
    </row>
    <row r="531">
      <c r="A531" s="12">
        <v>530.0</v>
      </c>
      <c r="B531" s="2" t="s">
        <v>25455</v>
      </c>
      <c r="C531" s="2" t="str">
        <f t="shared" si="3"/>
        <v>E6_3_5_5_mRNA</v>
      </c>
      <c r="D531" s="2" t="str">
        <f t="shared" si="4"/>
        <v>E6_3_5_5</v>
      </c>
      <c r="E531" s="2" t="str">
        <f t="shared" si="5"/>
        <v>E6_3_5_5_kcat : 13.7</v>
      </c>
      <c r="F531" s="2" t="str">
        <f t="shared" si="6"/>
        <v>E6_3_5_5_km : 1</v>
      </c>
      <c r="G531" s="2" t="str">
        <f t="shared" ref="G531:H531" si="1067">CONCATENATE(C531," : ",C531)</f>
        <v>E6_3_5_5_mRNA : E6_3_5_5_mRNA</v>
      </c>
      <c r="H531" s="2" t="str">
        <f t="shared" si="1067"/>
        <v>E6_3_5_5 : E6_3_5_5</v>
      </c>
      <c r="I531" s="2" t="str">
        <f t="shared" ref="I531:J531" si="1068">CONCATENATE(C531," : ","0")</f>
        <v>E6_3_5_5_mRNA : 0</v>
      </c>
      <c r="J531" s="2" t="str">
        <f t="shared" si="1068"/>
        <v>E6_3_5_5 : 0</v>
      </c>
      <c r="K531" s="2" t="str">
        <f t="shared" si="9"/>
        <v>0.00292 - (0.0093 * E6_3_5_5_mRNA)</v>
      </c>
      <c r="L531" s="2" t="str">
        <f t="shared" si="10"/>
        <v>(0.278 * E6_3_5_5_mRNA) - (0.00000278 * E6_3_5_5)</v>
      </c>
      <c r="M531" s="2" t="str">
        <f t="shared" si="11"/>
        <v>mRNA530: -&gt; E6_3_5_5_mRNA | 0.00292 - (0.0093 * E6_3_5_5_mRNA)</v>
      </c>
      <c r="N531" s="2" t="str">
        <f t="shared" si="12"/>
        <v>Peptide530: E6_3_5_5_mRNA -&gt; E6_3_5_5 | (0.278 * E6_3_5_5_mRNA) - (0.000000278 * E6_3_5_5)</v>
      </c>
    </row>
    <row r="532">
      <c r="A532" s="12">
        <v>531.0</v>
      </c>
      <c r="B532" s="2" t="s">
        <v>25456</v>
      </c>
      <c r="C532" s="2" t="str">
        <f t="shared" si="3"/>
        <v>E6_4_1_1_mRNA</v>
      </c>
      <c r="D532" s="2" t="str">
        <f t="shared" si="4"/>
        <v>E6_4_1_1</v>
      </c>
      <c r="E532" s="2" t="str">
        <f t="shared" si="5"/>
        <v>E6_4_1_1_kcat : 13.7</v>
      </c>
      <c r="F532" s="2" t="str">
        <f t="shared" si="6"/>
        <v>E6_4_1_1_km : 1</v>
      </c>
      <c r="G532" s="2" t="str">
        <f t="shared" ref="G532:H532" si="1069">CONCATENATE(C532," : ",C532)</f>
        <v>E6_4_1_1_mRNA : E6_4_1_1_mRNA</v>
      </c>
      <c r="H532" s="2" t="str">
        <f t="shared" si="1069"/>
        <v>E6_4_1_1 : E6_4_1_1</v>
      </c>
      <c r="I532" s="2" t="str">
        <f t="shared" ref="I532:J532" si="1070">CONCATENATE(C532," : ","0")</f>
        <v>E6_4_1_1_mRNA : 0</v>
      </c>
      <c r="J532" s="2" t="str">
        <f t="shared" si="1070"/>
        <v>E6_4_1_1 : 0</v>
      </c>
      <c r="K532" s="2" t="str">
        <f t="shared" si="9"/>
        <v>0.00292 - (0.0093 * E6_4_1_1_mRNA)</v>
      </c>
      <c r="L532" s="2" t="str">
        <f t="shared" si="10"/>
        <v>(0.278 * E6_4_1_1_mRNA) - (0.00000278 * E6_4_1_1)</v>
      </c>
      <c r="M532" s="2" t="str">
        <f t="shared" si="11"/>
        <v>mRNA531: -&gt; E6_4_1_1_mRNA | 0.00292 - (0.0093 * E6_4_1_1_mRNA)</v>
      </c>
      <c r="N532" s="2" t="str">
        <f t="shared" si="12"/>
        <v>Peptide531: E6_4_1_1_mRNA -&gt; E6_4_1_1 | (0.278 * E6_4_1_1_mRNA) - (0.000000278 * E6_4_1_1)</v>
      </c>
    </row>
    <row r="533">
      <c r="A533" s="12">
        <v>532.0</v>
      </c>
      <c r="B533" s="2" t="s">
        <v>25457</v>
      </c>
      <c r="C533" s="2" t="str">
        <f t="shared" si="3"/>
        <v>E6_4_1_2_mRNA</v>
      </c>
      <c r="D533" s="2" t="str">
        <f t="shared" si="4"/>
        <v>E6_4_1_2</v>
      </c>
      <c r="E533" s="2" t="str">
        <f t="shared" si="5"/>
        <v>E6_4_1_2_kcat : 13.7</v>
      </c>
      <c r="F533" s="2" t="str">
        <f t="shared" si="6"/>
        <v>E6_4_1_2_km : 1</v>
      </c>
      <c r="G533" s="2" t="str">
        <f t="shared" ref="G533:H533" si="1071">CONCATENATE(C533," : ",C533)</f>
        <v>E6_4_1_2_mRNA : E6_4_1_2_mRNA</v>
      </c>
      <c r="H533" s="2" t="str">
        <f t="shared" si="1071"/>
        <v>E6_4_1_2 : E6_4_1_2</v>
      </c>
      <c r="I533" s="2" t="str">
        <f t="shared" ref="I533:J533" si="1072">CONCATENATE(C533," : ","0")</f>
        <v>E6_4_1_2_mRNA : 0</v>
      </c>
      <c r="J533" s="2" t="str">
        <f t="shared" si="1072"/>
        <v>E6_4_1_2 : 0</v>
      </c>
      <c r="K533" s="2" t="str">
        <f t="shared" si="9"/>
        <v>0.00292 - (0.0093 * E6_4_1_2_mRNA)</v>
      </c>
      <c r="L533" s="2" t="str">
        <f t="shared" si="10"/>
        <v>(0.278 * E6_4_1_2_mRNA) - (0.00000278 * E6_4_1_2)</v>
      </c>
      <c r="M533" s="2" t="str">
        <f t="shared" si="11"/>
        <v>mRNA532: -&gt; E6_4_1_2_mRNA | 0.00292 - (0.0093 * E6_4_1_2_mRNA)</v>
      </c>
      <c r="N533" s="2" t="str">
        <f t="shared" si="12"/>
        <v>Peptide532: E6_4_1_2_mRNA -&gt; E6_4_1_2 | (0.278 * E6_4_1_2_mRNA) - (0.000000278 * E6_4_1_2)</v>
      </c>
    </row>
    <row r="534">
      <c r="A534" s="12">
        <v>533.0</v>
      </c>
      <c r="B534" s="2" t="s">
        <v>25458</v>
      </c>
      <c r="C534" s="2" t="str">
        <f t="shared" si="3"/>
        <v>E6_5_1_2_mRNA</v>
      </c>
      <c r="D534" s="2" t="str">
        <f t="shared" si="4"/>
        <v>E6_5_1_2</v>
      </c>
      <c r="E534" s="2" t="str">
        <f t="shared" si="5"/>
        <v>E6_5_1_2_kcat : 13.7</v>
      </c>
      <c r="F534" s="2" t="str">
        <f t="shared" si="6"/>
        <v>E6_5_1_2_km : 1</v>
      </c>
      <c r="G534" s="2" t="str">
        <f t="shared" ref="G534:H534" si="1073">CONCATENATE(C534," : ",C534)</f>
        <v>E6_5_1_2_mRNA : E6_5_1_2_mRNA</v>
      </c>
      <c r="H534" s="2" t="str">
        <f t="shared" si="1073"/>
        <v>E6_5_1_2 : E6_5_1_2</v>
      </c>
      <c r="I534" s="2" t="str">
        <f t="shared" ref="I534:J534" si="1074">CONCATENATE(C534," : ","0")</f>
        <v>E6_5_1_2_mRNA : 0</v>
      </c>
      <c r="J534" s="2" t="str">
        <f t="shared" si="1074"/>
        <v>E6_5_1_2 : 0</v>
      </c>
      <c r="K534" s="2" t="str">
        <f t="shared" si="9"/>
        <v>0.00292 - (0.0093 * E6_5_1_2_mRNA)</v>
      </c>
      <c r="L534" s="2" t="str">
        <f t="shared" si="10"/>
        <v>(0.278 * E6_5_1_2_mRNA) - (0.00000278 * E6_5_1_2)</v>
      </c>
      <c r="M534" s="2" t="str">
        <f t="shared" si="11"/>
        <v>mRNA533: -&gt; E6_5_1_2_mRNA | 0.00292 - (0.0093 * E6_5_1_2_mRNA)</v>
      </c>
      <c r="N534" s="2" t="str">
        <f t="shared" si="12"/>
        <v>Peptide533: E6_5_1_2_mRNA -&gt; E6_5_1_2 | (0.278 * E6_5_1_2_mRNA) - (0.000000278 * E6_5_1_2)</v>
      </c>
    </row>
    <row r="535">
      <c r="A535" s="12">
        <v>534.0</v>
      </c>
      <c r="B535" s="2" t="s">
        <v>25459</v>
      </c>
      <c r="C535" s="2" t="str">
        <f t="shared" si="3"/>
        <v>E7_1_1_2_mRNA</v>
      </c>
      <c r="D535" s="2" t="str">
        <f t="shared" si="4"/>
        <v>E7_1_1_2</v>
      </c>
      <c r="E535" s="2" t="str">
        <f t="shared" si="5"/>
        <v>E7_1_1_2_kcat : 13.7</v>
      </c>
      <c r="F535" s="2" t="str">
        <f t="shared" si="6"/>
        <v>E7_1_1_2_km : 1</v>
      </c>
      <c r="G535" s="2" t="str">
        <f t="shared" ref="G535:H535" si="1075">CONCATENATE(C535," : ",C535)</f>
        <v>E7_1_1_2_mRNA : E7_1_1_2_mRNA</v>
      </c>
      <c r="H535" s="2" t="str">
        <f t="shared" si="1075"/>
        <v>E7_1_1_2 : E7_1_1_2</v>
      </c>
      <c r="I535" s="2" t="str">
        <f t="shared" ref="I535:J535" si="1076">CONCATENATE(C535," : ","0")</f>
        <v>E7_1_1_2_mRNA : 0</v>
      </c>
      <c r="J535" s="2" t="str">
        <f t="shared" si="1076"/>
        <v>E7_1_1_2 : 0</v>
      </c>
      <c r="K535" s="2" t="str">
        <f t="shared" si="9"/>
        <v>0.00292 - (0.0093 * E7_1_1_2_mRNA)</v>
      </c>
      <c r="L535" s="2" t="str">
        <f t="shared" si="10"/>
        <v>(0.278 * E7_1_1_2_mRNA) - (0.00000278 * E7_1_1_2)</v>
      </c>
      <c r="M535" s="2" t="str">
        <f t="shared" si="11"/>
        <v>mRNA534: -&gt; E7_1_1_2_mRNA | 0.00292 - (0.0093 * E7_1_1_2_mRNA)</v>
      </c>
      <c r="N535" s="2" t="str">
        <f t="shared" si="12"/>
        <v>Peptide534: E7_1_1_2_mRNA -&gt; E7_1_1_2 | (0.278 * E7_1_1_2_mRNA) - (0.000000278 * E7_1_1_2)</v>
      </c>
    </row>
    <row r="536">
      <c r="A536" s="12">
        <v>535.0</v>
      </c>
      <c r="B536" s="2" t="s">
        <v>25460</v>
      </c>
      <c r="C536" s="2" t="str">
        <f t="shared" si="3"/>
        <v>E7_1_1_9_mRNA</v>
      </c>
      <c r="D536" s="2" t="str">
        <f t="shared" si="4"/>
        <v>E7_1_1_9</v>
      </c>
      <c r="E536" s="2" t="str">
        <f t="shared" si="5"/>
        <v>E7_1_1_9_kcat : 13.7</v>
      </c>
      <c r="F536" s="2" t="str">
        <f t="shared" si="6"/>
        <v>E7_1_1_9_km : 1</v>
      </c>
      <c r="G536" s="2" t="str">
        <f t="shared" ref="G536:H536" si="1077">CONCATENATE(C536," : ",C536)</f>
        <v>E7_1_1_9_mRNA : E7_1_1_9_mRNA</v>
      </c>
      <c r="H536" s="2" t="str">
        <f t="shared" si="1077"/>
        <v>E7_1_1_9 : E7_1_1_9</v>
      </c>
      <c r="I536" s="2" t="str">
        <f t="shared" ref="I536:J536" si="1078">CONCATENATE(C536," : ","0")</f>
        <v>E7_1_1_9_mRNA : 0</v>
      </c>
      <c r="J536" s="2" t="str">
        <f t="shared" si="1078"/>
        <v>E7_1_1_9 : 0</v>
      </c>
      <c r="K536" s="2" t="str">
        <f t="shared" si="9"/>
        <v>0.00292 - (0.0093 * E7_1_1_9_mRNA)</v>
      </c>
      <c r="L536" s="2" t="str">
        <f t="shared" si="10"/>
        <v>(0.278 * E7_1_1_9_mRNA) - (0.00000278 * E7_1_1_9)</v>
      </c>
      <c r="M536" s="2" t="str">
        <f t="shared" si="11"/>
        <v>mRNA535: -&gt; E7_1_1_9_mRNA | 0.00292 - (0.0093 * E7_1_1_9_mRNA)</v>
      </c>
      <c r="N536" s="2" t="str">
        <f t="shared" si="12"/>
        <v>Peptide535: E7_1_1_9_mRNA -&gt; E7_1_1_9 | (0.278 * E7_1_1_9_mRNA) - (0.000000278 * E7_1_1_9)</v>
      </c>
    </row>
    <row r="537">
      <c r="A537" s="12">
        <v>536.0</v>
      </c>
      <c r="B537" s="2" t="s">
        <v>25461</v>
      </c>
      <c r="C537" s="2" t="str">
        <f t="shared" si="3"/>
        <v>E7_1_2_2_mRNA</v>
      </c>
      <c r="D537" s="2" t="str">
        <f t="shared" si="4"/>
        <v>E7_1_2_2</v>
      </c>
      <c r="E537" s="2" t="str">
        <f t="shared" si="5"/>
        <v>E7_1_2_2_kcat : 13.7</v>
      </c>
      <c r="F537" s="2" t="str">
        <f t="shared" si="6"/>
        <v>E7_1_2_2_km : 1</v>
      </c>
      <c r="G537" s="2" t="str">
        <f t="shared" ref="G537:H537" si="1079">CONCATENATE(C537," : ",C537)</f>
        <v>E7_1_2_2_mRNA : E7_1_2_2_mRNA</v>
      </c>
      <c r="H537" s="2" t="str">
        <f t="shared" si="1079"/>
        <v>E7_1_2_2 : E7_1_2_2</v>
      </c>
      <c r="I537" s="2" t="str">
        <f t="shared" ref="I537:J537" si="1080">CONCATENATE(C537," : ","0")</f>
        <v>E7_1_2_2_mRNA : 0</v>
      </c>
      <c r="J537" s="2" t="str">
        <f t="shared" si="1080"/>
        <v>E7_1_2_2 : 0</v>
      </c>
      <c r="K537" s="2" t="str">
        <f t="shared" si="9"/>
        <v>0.00292 - (0.0093 * E7_1_2_2_mRNA)</v>
      </c>
      <c r="L537" s="2" t="str">
        <f t="shared" si="10"/>
        <v>(0.278 * E7_1_2_2_mRNA) - (0.00000278 * E7_1_2_2)</v>
      </c>
      <c r="M537" s="2" t="str">
        <f t="shared" si="11"/>
        <v>mRNA536: -&gt; E7_1_2_2_mRNA | 0.00292 - (0.0093 * E7_1_2_2_mRNA)</v>
      </c>
      <c r="N537" s="2" t="str">
        <f t="shared" si="12"/>
        <v>Peptide536: E7_1_2_2_mRNA -&gt; E7_1_2_2 | (0.278 * E7_1_2_2_mRNA) - (0.000000278 * E7_1_2_2)</v>
      </c>
    </row>
    <row r="538">
      <c r="A538" s="12">
        <v>537.0</v>
      </c>
      <c r="B538" s="2" t="s">
        <v>25462</v>
      </c>
      <c r="C538" s="2" t="str">
        <f t="shared" si="3"/>
        <v>E7_2_2_10_mRNA</v>
      </c>
      <c r="D538" s="2" t="str">
        <f t="shared" si="4"/>
        <v>E7_2_2_10</v>
      </c>
      <c r="E538" s="2" t="str">
        <f t="shared" si="5"/>
        <v>E7_2_2_10_kcat : 13.7</v>
      </c>
      <c r="F538" s="2" t="str">
        <f t="shared" si="6"/>
        <v>E7_2_2_10_km : 1</v>
      </c>
      <c r="G538" s="2" t="str">
        <f t="shared" ref="G538:H538" si="1081">CONCATENATE(C538," : ",C538)</f>
        <v>E7_2_2_10_mRNA : E7_2_2_10_mRNA</v>
      </c>
      <c r="H538" s="2" t="str">
        <f t="shared" si="1081"/>
        <v>E7_2_2_10 : E7_2_2_10</v>
      </c>
      <c r="I538" s="2" t="str">
        <f t="shared" ref="I538:J538" si="1082">CONCATENATE(C538," : ","0")</f>
        <v>E7_2_2_10_mRNA : 0</v>
      </c>
      <c r="J538" s="2" t="str">
        <f t="shared" si="1082"/>
        <v>E7_2_2_10 : 0</v>
      </c>
      <c r="K538" s="2" t="str">
        <f t="shared" si="9"/>
        <v>0.00292 - (0.0093 * E7_2_2_10_mRNA)</v>
      </c>
      <c r="L538" s="2" t="str">
        <f t="shared" si="10"/>
        <v>(0.278 * E7_2_2_10_mRNA) - (0.00000278 * E7_2_2_10)</v>
      </c>
      <c r="M538" s="2" t="str">
        <f t="shared" si="11"/>
        <v>mRNA537: -&gt; E7_2_2_10_mRNA | 0.00292 - (0.0093 * E7_2_2_10_mRNA)</v>
      </c>
      <c r="N538" s="2" t="str">
        <f t="shared" si="12"/>
        <v>Peptide537: E7_2_2_10_mRNA -&gt; E7_2_2_10 | (0.278 * E7_2_2_10_mRNA) - (0.000000278 * E7_2_2_10)</v>
      </c>
    </row>
    <row r="539">
      <c r="A539" s="12">
        <v>538.0</v>
      </c>
      <c r="B539" s="2" t="s">
        <v>25463</v>
      </c>
      <c r="C539" s="2" t="str">
        <f t="shared" si="3"/>
        <v>E7_2_2_14_mRNA</v>
      </c>
      <c r="D539" s="2" t="str">
        <f t="shared" si="4"/>
        <v>E7_2_2_14</v>
      </c>
      <c r="E539" s="2" t="str">
        <f t="shared" si="5"/>
        <v>E7_2_2_14_kcat : 13.7</v>
      </c>
      <c r="F539" s="2" t="str">
        <f t="shared" si="6"/>
        <v>E7_2_2_14_km : 1</v>
      </c>
      <c r="G539" s="2" t="str">
        <f t="shared" ref="G539:H539" si="1083">CONCATENATE(C539," : ",C539)</f>
        <v>E7_2_2_14_mRNA : E7_2_2_14_mRNA</v>
      </c>
      <c r="H539" s="2" t="str">
        <f t="shared" si="1083"/>
        <v>E7_2_2_14 : E7_2_2_14</v>
      </c>
      <c r="I539" s="2" t="str">
        <f t="shared" ref="I539:J539" si="1084">CONCATENATE(C539," : ","0")</f>
        <v>E7_2_2_14_mRNA : 0</v>
      </c>
      <c r="J539" s="2" t="str">
        <f t="shared" si="1084"/>
        <v>E7_2_2_14 : 0</v>
      </c>
      <c r="K539" s="2" t="str">
        <f t="shared" si="9"/>
        <v>0.00292 - (0.0093 * E7_2_2_14_mRNA)</v>
      </c>
      <c r="L539" s="2" t="str">
        <f t="shared" si="10"/>
        <v>(0.278 * E7_2_2_14_mRNA) - (0.00000278 * E7_2_2_14)</v>
      </c>
      <c r="M539" s="2" t="str">
        <f t="shared" si="11"/>
        <v>mRNA538: -&gt; E7_2_2_14_mRNA | 0.00292 - (0.0093 * E7_2_2_14_mRNA)</v>
      </c>
      <c r="N539" s="2" t="str">
        <f t="shared" si="12"/>
        <v>Peptide538: E7_2_2_14_mRNA -&gt; E7_2_2_14 | (0.278 * E7_2_2_14_mRNA) - (0.000000278 * E7_2_2_14)</v>
      </c>
    </row>
    <row r="540">
      <c r="A540" s="12">
        <v>539.0</v>
      </c>
      <c r="B540" s="2" t="s">
        <v>25464</v>
      </c>
      <c r="C540" s="2" t="str">
        <f t="shared" si="3"/>
        <v>E7_2_2_6_mRNA</v>
      </c>
      <c r="D540" s="2" t="str">
        <f t="shared" si="4"/>
        <v>E7_2_2_6</v>
      </c>
      <c r="E540" s="2" t="str">
        <f t="shared" si="5"/>
        <v>E7_2_2_6_kcat : 13.7</v>
      </c>
      <c r="F540" s="2" t="str">
        <f t="shared" si="6"/>
        <v>E7_2_2_6_km : 1</v>
      </c>
      <c r="G540" s="2" t="str">
        <f t="shared" ref="G540:H540" si="1085">CONCATENATE(C540," : ",C540)</f>
        <v>E7_2_2_6_mRNA : E7_2_2_6_mRNA</v>
      </c>
      <c r="H540" s="2" t="str">
        <f t="shared" si="1085"/>
        <v>E7_2_2_6 : E7_2_2_6</v>
      </c>
      <c r="I540" s="2" t="str">
        <f t="shared" ref="I540:J540" si="1086">CONCATENATE(C540," : ","0")</f>
        <v>E7_2_2_6_mRNA : 0</v>
      </c>
      <c r="J540" s="2" t="str">
        <f t="shared" si="1086"/>
        <v>E7_2_2_6 : 0</v>
      </c>
      <c r="K540" s="2" t="str">
        <f t="shared" si="9"/>
        <v>0.00292 - (0.0093 * E7_2_2_6_mRNA)</v>
      </c>
      <c r="L540" s="2" t="str">
        <f t="shared" si="10"/>
        <v>(0.278 * E7_2_2_6_mRNA) - (0.00000278 * E7_2_2_6)</v>
      </c>
      <c r="M540" s="2" t="str">
        <f t="shared" si="11"/>
        <v>mRNA539: -&gt; E7_2_2_6_mRNA | 0.00292 - (0.0093 * E7_2_2_6_mRNA)</v>
      </c>
      <c r="N540" s="2" t="str">
        <f t="shared" si="12"/>
        <v>Peptide539: E7_2_2_6_mRNA -&gt; E7_2_2_6 | (0.278 * E7_2_2_6_mRNA) - (0.000000278 * E7_2_2_6)</v>
      </c>
    </row>
    <row r="541">
      <c r="A541" s="12">
        <v>540.0</v>
      </c>
      <c r="B541" s="2" t="s">
        <v>25465</v>
      </c>
      <c r="C541" s="2" t="str">
        <f t="shared" si="3"/>
        <v>E7_3_2_1_mRNA</v>
      </c>
      <c r="D541" s="2" t="str">
        <f t="shared" si="4"/>
        <v>E7_3_2_1</v>
      </c>
      <c r="E541" s="2" t="str">
        <f t="shared" si="5"/>
        <v>E7_3_2_1_kcat : 13.7</v>
      </c>
      <c r="F541" s="2" t="str">
        <f t="shared" si="6"/>
        <v>E7_3_2_1_km : 1</v>
      </c>
      <c r="G541" s="2" t="str">
        <f t="shared" ref="G541:H541" si="1087">CONCATENATE(C541," : ",C541)</f>
        <v>E7_3_2_1_mRNA : E7_3_2_1_mRNA</v>
      </c>
      <c r="H541" s="2" t="str">
        <f t="shared" si="1087"/>
        <v>E7_3_2_1 : E7_3_2_1</v>
      </c>
      <c r="I541" s="2" t="str">
        <f t="shared" ref="I541:J541" si="1088">CONCATENATE(C541," : ","0")</f>
        <v>E7_3_2_1_mRNA : 0</v>
      </c>
      <c r="J541" s="2" t="str">
        <f t="shared" si="1088"/>
        <v>E7_3_2_1 : 0</v>
      </c>
      <c r="K541" s="2" t="str">
        <f t="shared" si="9"/>
        <v>0.00292 - (0.0093 * E7_3_2_1_mRNA)</v>
      </c>
      <c r="L541" s="2" t="str">
        <f t="shared" si="10"/>
        <v>(0.278 * E7_3_2_1_mRNA) - (0.00000278 * E7_3_2_1)</v>
      </c>
      <c r="M541" s="2" t="str">
        <f t="shared" si="11"/>
        <v>mRNA540: -&gt; E7_3_2_1_mRNA | 0.00292 - (0.0093 * E7_3_2_1_mRNA)</v>
      </c>
      <c r="N541" s="2" t="str">
        <f t="shared" si="12"/>
        <v>Peptide540: E7_3_2_1_mRNA -&gt; E7_3_2_1 | (0.278 * E7_3_2_1_mRNA) - (0.000000278 * E7_3_2_1)</v>
      </c>
    </row>
    <row r="542">
      <c r="A542" s="12">
        <v>541.0</v>
      </c>
      <c r="B542" s="2" t="s">
        <v>25466</v>
      </c>
      <c r="C542" s="2" t="str">
        <f t="shared" si="3"/>
        <v>E7_3_2_2_mRNA</v>
      </c>
      <c r="D542" s="2" t="str">
        <f t="shared" si="4"/>
        <v>E7_3_2_2</v>
      </c>
      <c r="E542" s="2" t="str">
        <f t="shared" si="5"/>
        <v>E7_3_2_2_kcat : 13.7</v>
      </c>
      <c r="F542" s="2" t="str">
        <f t="shared" si="6"/>
        <v>E7_3_2_2_km : 1</v>
      </c>
      <c r="G542" s="2" t="str">
        <f t="shared" ref="G542:H542" si="1089">CONCATENATE(C542," : ",C542)</f>
        <v>E7_3_2_2_mRNA : E7_3_2_2_mRNA</v>
      </c>
      <c r="H542" s="2" t="str">
        <f t="shared" si="1089"/>
        <v>E7_3_2_2 : E7_3_2_2</v>
      </c>
      <c r="I542" s="2" t="str">
        <f t="shared" ref="I542:J542" si="1090">CONCATENATE(C542," : ","0")</f>
        <v>E7_3_2_2_mRNA : 0</v>
      </c>
      <c r="J542" s="2" t="str">
        <f t="shared" si="1090"/>
        <v>E7_3_2_2 : 0</v>
      </c>
      <c r="K542" s="2" t="str">
        <f t="shared" si="9"/>
        <v>0.00292 - (0.0093 * E7_3_2_2_mRNA)</v>
      </c>
      <c r="L542" s="2" t="str">
        <f t="shared" si="10"/>
        <v>(0.278 * E7_3_2_2_mRNA) - (0.00000278 * E7_3_2_2)</v>
      </c>
      <c r="M542" s="2" t="str">
        <f t="shared" si="11"/>
        <v>mRNA541: -&gt; E7_3_2_2_mRNA | 0.00292 - (0.0093 * E7_3_2_2_mRNA)</v>
      </c>
      <c r="N542" s="2" t="str">
        <f t="shared" si="12"/>
        <v>Peptide541: E7_3_2_2_mRNA -&gt; E7_3_2_2 | (0.278 * E7_3_2_2_mRNA) - (0.000000278 * E7_3_2_2)</v>
      </c>
    </row>
    <row r="543">
      <c r="A543" s="12">
        <v>542.0</v>
      </c>
      <c r="B543" s="2" t="s">
        <v>25467</v>
      </c>
      <c r="C543" s="2" t="str">
        <f t="shared" si="3"/>
        <v>E7_4_2_11_mRNA</v>
      </c>
      <c r="D543" s="2" t="str">
        <f t="shared" si="4"/>
        <v>E7_4_2_11</v>
      </c>
      <c r="E543" s="2" t="str">
        <f t="shared" si="5"/>
        <v>E7_4_2_11_kcat : 13.7</v>
      </c>
      <c r="F543" s="2" t="str">
        <f t="shared" si="6"/>
        <v>E7_4_2_11_km : 1</v>
      </c>
      <c r="G543" s="2" t="str">
        <f t="shared" ref="G543:H543" si="1091">CONCATENATE(C543," : ",C543)</f>
        <v>E7_4_2_11_mRNA : E7_4_2_11_mRNA</v>
      </c>
      <c r="H543" s="2" t="str">
        <f t="shared" si="1091"/>
        <v>E7_4_2_11 : E7_4_2_11</v>
      </c>
      <c r="I543" s="2" t="str">
        <f t="shared" ref="I543:J543" si="1092">CONCATENATE(C543," : ","0")</f>
        <v>E7_4_2_11_mRNA : 0</v>
      </c>
      <c r="J543" s="2" t="str">
        <f t="shared" si="1092"/>
        <v>E7_4_2_11 : 0</v>
      </c>
      <c r="K543" s="2" t="str">
        <f t="shared" si="9"/>
        <v>0.00292 - (0.0093 * E7_4_2_11_mRNA)</v>
      </c>
      <c r="L543" s="2" t="str">
        <f t="shared" si="10"/>
        <v>(0.278 * E7_4_2_11_mRNA) - (0.00000278 * E7_4_2_11)</v>
      </c>
      <c r="M543" s="2" t="str">
        <f t="shared" si="11"/>
        <v>mRNA542: -&gt; E7_4_2_11_mRNA | 0.00292 - (0.0093 * E7_4_2_11_mRNA)</v>
      </c>
      <c r="N543" s="2" t="str">
        <f t="shared" si="12"/>
        <v>Peptide542: E7_4_2_11_mRNA -&gt; E7_4_2_11 | (0.278 * E7_4_2_11_mRNA) - (0.000000278 * E7_4_2_11)</v>
      </c>
    </row>
    <row r="544">
      <c r="A544" s="12">
        <v>543.0</v>
      </c>
      <c r="B544" s="2" t="s">
        <v>25468</v>
      </c>
      <c r="C544" s="2" t="str">
        <f t="shared" si="3"/>
        <v>E7_5_2_7_mRNA</v>
      </c>
      <c r="D544" s="2" t="str">
        <f t="shared" si="4"/>
        <v>E7_5_2_7</v>
      </c>
      <c r="E544" s="2" t="str">
        <f t="shared" si="5"/>
        <v>E7_5_2_7_kcat : 13.7</v>
      </c>
      <c r="F544" s="2" t="str">
        <f t="shared" si="6"/>
        <v>E7_5_2_7_km : 1</v>
      </c>
      <c r="G544" s="2" t="str">
        <f t="shared" ref="G544:H544" si="1093">CONCATENATE(C544," : ",C544)</f>
        <v>E7_5_2_7_mRNA : E7_5_2_7_mRNA</v>
      </c>
      <c r="H544" s="2" t="str">
        <f t="shared" si="1093"/>
        <v>E7_5_2_7 : E7_5_2_7</v>
      </c>
      <c r="I544" s="2" t="str">
        <f t="shared" ref="I544:J544" si="1094">CONCATENATE(C544," : ","0")</f>
        <v>E7_5_2_7_mRNA : 0</v>
      </c>
      <c r="J544" s="2" t="str">
        <f t="shared" si="1094"/>
        <v>E7_5_2_7 : 0</v>
      </c>
      <c r="K544" s="2" t="str">
        <f t="shared" si="9"/>
        <v>0.00292 - (0.0093 * E7_5_2_7_mRNA)</v>
      </c>
      <c r="L544" s="2" t="str">
        <f t="shared" si="10"/>
        <v>(0.278 * E7_5_2_7_mRNA) - (0.00000278 * E7_5_2_7)</v>
      </c>
      <c r="M544" s="2" t="str">
        <f t="shared" si="11"/>
        <v>mRNA543: -&gt; E7_5_2_7_mRNA | 0.00292 - (0.0093 * E7_5_2_7_mRNA)</v>
      </c>
      <c r="N544" s="2" t="str">
        <f t="shared" si="12"/>
        <v>Peptide543: E7_5_2_7_mRNA -&gt; E7_5_2_7 | (0.278 * E7_5_2_7_mRNA) - (0.000000278 * E7_5_2_7)</v>
      </c>
    </row>
    <row r="545">
      <c r="A545" s="12">
        <v>544.0</v>
      </c>
      <c r="B545" s="2" t="s">
        <v>25469</v>
      </c>
      <c r="C545" s="2" t="str">
        <f t="shared" si="3"/>
        <v>E7_6_2_14_mRNA</v>
      </c>
      <c r="D545" s="2" t="str">
        <f t="shared" si="4"/>
        <v>E7_6_2_14</v>
      </c>
      <c r="E545" s="2" t="str">
        <f t="shared" si="5"/>
        <v>E7_6_2_14_kcat : 13.7</v>
      </c>
      <c r="F545" s="2" t="str">
        <f t="shared" si="6"/>
        <v>E7_6_2_14_km : 1</v>
      </c>
      <c r="G545" s="2" t="str">
        <f t="shared" ref="G545:H545" si="1095">CONCATENATE(C545," : ",C545)</f>
        <v>E7_6_2_14_mRNA : E7_6_2_14_mRNA</v>
      </c>
      <c r="H545" s="2" t="str">
        <f t="shared" si="1095"/>
        <v>E7_6_2_14 : E7_6_2_14</v>
      </c>
      <c r="I545" s="2" t="str">
        <f t="shared" ref="I545:J545" si="1096">CONCATENATE(C545," : ","0")</f>
        <v>E7_6_2_14_mRNA : 0</v>
      </c>
      <c r="J545" s="2" t="str">
        <f t="shared" si="1096"/>
        <v>E7_6_2_14 : 0</v>
      </c>
      <c r="K545" s="2" t="str">
        <f t="shared" si="9"/>
        <v>0.00292 - (0.0093 * E7_6_2_14_mRNA)</v>
      </c>
      <c r="L545" s="2" t="str">
        <f t="shared" si="10"/>
        <v>(0.278 * E7_6_2_14_mRNA) - (0.00000278 * E7_6_2_14)</v>
      </c>
      <c r="M545" s="2" t="str">
        <f t="shared" si="11"/>
        <v>mRNA544: -&gt; E7_6_2_14_mRNA | 0.00292 - (0.0093 * E7_6_2_14_mRNA)</v>
      </c>
      <c r="N545" s="2" t="str">
        <f t="shared" si="12"/>
        <v>Peptide544: E7_6_2_14_mRNA -&gt; E7_6_2_14 | (0.278 * E7_6_2_14_mRNA) - (0.000000278 * E7_6_2_14)</v>
      </c>
    </row>
    <row r="546">
      <c r="A546" s="12">
        <v>545.0</v>
      </c>
      <c r="B546" s="2" t="s">
        <v>25470</v>
      </c>
      <c r="C546" s="2" t="str">
        <f t="shared" si="3"/>
        <v>E7_6_2_7_mRNA</v>
      </c>
      <c r="D546" s="2" t="str">
        <f t="shared" si="4"/>
        <v>E7_6_2_7</v>
      </c>
      <c r="E546" s="2" t="str">
        <f t="shared" si="5"/>
        <v>E7_6_2_7_kcat : 13.7</v>
      </c>
      <c r="F546" s="2" t="str">
        <f t="shared" si="6"/>
        <v>E7_6_2_7_km : 1</v>
      </c>
      <c r="G546" s="2" t="str">
        <f t="shared" ref="G546:H546" si="1097">CONCATENATE(C546," : ",C546)</f>
        <v>E7_6_2_7_mRNA : E7_6_2_7_mRNA</v>
      </c>
      <c r="H546" s="2" t="str">
        <f t="shared" si="1097"/>
        <v>E7_6_2_7 : E7_6_2_7</v>
      </c>
      <c r="I546" s="2" t="str">
        <f t="shared" ref="I546:J546" si="1098">CONCATENATE(C546," : ","0")</f>
        <v>E7_6_2_7_mRNA : 0</v>
      </c>
      <c r="J546" s="2" t="str">
        <f t="shared" si="1098"/>
        <v>E7_6_2_7 : 0</v>
      </c>
      <c r="K546" s="2" t="str">
        <f t="shared" si="9"/>
        <v>0.00292 - (0.0093 * E7_6_2_7_mRNA)</v>
      </c>
      <c r="L546" s="2" t="str">
        <f t="shared" si="10"/>
        <v>(0.278 * E7_6_2_7_mRNA) - (0.00000278 * E7_6_2_7)</v>
      </c>
      <c r="M546" s="2" t="str">
        <f t="shared" si="11"/>
        <v>mRNA545: -&gt; E7_6_2_7_mRNA | 0.00292 - (0.0093 * E7_6_2_7_mRNA)</v>
      </c>
      <c r="N546" s="2" t="str">
        <f t="shared" si="12"/>
        <v>Peptide545: E7_6_2_7_mRNA -&gt; E7_6_2_7 | (0.278 * E7_6_2_7_mRNA) - (0.000000278 * E7_6_2_7)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29</v>
      </c>
      <c r="B1" s="16" t="s">
        <v>31</v>
      </c>
      <c r="C1" s="16" t="s">
        <v>14874</v>
      </c>
      <c r="D1" s="17" t="s">
        <v>25471</v>
      </c>
      <c r="E1" s="16" t="s">
        <v>24915</v>
      </c>
      <c r="F1" s="15" t="s">
        <v>25472</v>
      </c>
      <c r="G1" s="15" t="s">
        <v>25473</v>
      </c>
      <c r="H1" s="15" t="s">
        <v>25474</v>
      </c>
      <c r="I1" s="15" t="s">
        <v>25475</v>
      </c>
      <c r="J1" s="16" t="s">
        <v>25476</v>
      </c>
      <c r="K1" s="16" t="s">
        <v>25477</v>
      </c>
    </row>
    <row r="2">
      <c r="A2" s="2" t="s">
        <v>10249</v>
      </c>
      <c r="B2" s="2" t="s">
        <v>10250</v>
      </c>
      <c r="C2" s="2" t="s">
        <v>24926</v>
      </c>
      <c r="D2" s="18">
        <v>1.0</v>
      </c>
      <c r="E2" s="2" t="str">
        <f t="shared" ref="E2:E1074" si="1">CONCATENATE("E",C2)</f>
        <v>E1_1_1_1</v>
      </c>
      <c r="F2" s="19" t="s">
        <v>25478</v>
      </c>
      <c r="G2" s="19" t="s">
        <v>25479</v>
      </c>
      <c r="H2" s="19" t="s">
        <v>25480</v>
      </c>
      <c r="I2" s="19" t="s">
        <v>25481</v>
      </c>
      <c r="J2" s="2" t="str">
        <f t="shared" ref="J2:J1074" si="2">CONCATENATE("(${Variables:",E2,"_kcat","} * ",E2," * ",G2,")","/(${Variables:",E2,"_km","} + (",E2," * ",G2,"))")</f>
        <v>(${Variables:E1_1_1_1_kcat} * E1_1_1_1 * C00226 * C00003)/(${Variables:E1_1_1_1_km} + (E1_1_1_1 * C00226 * C00003))</v>
      </c>
      <c r="K2" s="2" t="str">
        <f t="shared" ref="K2:K1074" si="3">CONCATENATE("r",D2,": ",F2," -&gt; ",H2," | ",J2)</f>
        <v>r1: C00226 + C00003 -&gt; C00071 + C00004 + C00080 | (${Variables:E1_1_1_1_kcat} * E1_1_1_1 * C00226 * C00003)/(${Variables:E1_1_1_1_km} + (E1_1_1_1 * C00226 * C00003))</v>
      </c>
    </row>
    <row r="3">
      <c r="A3" s="2" t="s">
        <v>10249</v>
      </c>
      <c r="B3" s="2" t="s">
        <v>10250</v>
      </c>
      <c r="C3" s="2" t="s">
        <v>24926</v>
      </c>
      <c r="D3" s="18">
        <v>2.0</v>
      </c>
      <c r="E3" s="2" t="str">
        <f t="shared" si="1"/>
        <v>E1_1_1_1</v>
      </c>
      <c r="F3" s="19" t="s">
        <v>25482</v>
      </c>
      <c r="G3" s="19" t="s">
        <v>25483</v>
      </c>
      <c r="H3" s="19" t="s">
        <v>25484</v>
      </c>
      <c r="I3" s="19" t="s">
        <v>25485</v>
      </c>
      <c r="J3" s="2" t="str">
        <f t="shared" si="2"/>
        <v>(${Variables:E1_1_1_1_kcat} * E1_1_1_1 * C01612 * C00003)/(${Variables:E1_1_1_1_km} + (E1_1_1_1 * C01612 * C00003))</v>
      </c>
      <c r="K3" s="2" t="str">
        <f t="shared" si="3"/>
        <v>r2: C01612 + C00003 -&gt; C01450 + C00004 + C00080 | (${Variables:E1_1_1_1_kcat} * E1_1_1_1 * C01612 * C00003)/(${Variables:E1_1_1_1_km} + (E1_1_1_1 * C01612 * C00003))</v>
      </c>
    </row>
    <row r="4">
      <c r="A4" s="2" t="s">
        <v>10249</v>
      </c>
      <c r="B4" s="2" t="s">
        <v>10250</v>
      </c>
      <c r="C4" s="2" t="s">
        <v>24926</v>
      </c>
      <c r="D4" s="18">
        <v>3.0</v>
      </c>
      <c r="E4" s="2" t="str">
        <f t="shared" si="1"/>
        <v>E1_1_1_1</v>
      </c>
      <c r="F4" s="19" t="s">
        <v>25486</v>
      </c>
      <c r="G4" s="19" t="s">
        <v>25487</v>
      </c>
      <c r="H4" s="19" t="s">
        <v>25488</v>
      </c>
      <c r="I4" s="19" t="s">
        <v>25489</v>
      </c>
      <c r="J4" s="2" t="str">
        <f t="shared" si="2"/>
        <v>(${Variables:E1_1_1_1_kcat} * E1_1_1_1 * C00469 * C00003)/(${Variables:E1_1_1_1_km} + (E1_1_1_1 * C00469 * C00003))</v>
      </c>
      <c r="K4" s="2" t="str">
        <f t="shared" si="3"/>
        <v>r3: C00469 + C00003 -&gt; C00084 + C00004 + C00080 | (${Variables:E1_1_1_1_kcat} * E1_1_1_1 * C00469 * C00003)/(${Variables:E1_1_1_1_km} + (E1_1_1_1 * C00469 * C00003))</v>
      </c>
    </row>
    <row r="5">
      <c r="A5" s="2" t="s">
        <v>10249</v>
      </c>
      <c r="B5" s="2" t="s">
        <v>10250</v>
      </c>
      <c r="C5" s="2" t="s">
        <v>24926</v>
      </c>
      <c r="D5" s="18">
        <v>4.0</v>
      </c>
      <c r="E5" s="2" t="str">
        <f t="shared" si="1"/>
        <v>E1_1_1_1</v>
      </c>
      <c r="F5" s="19" t="s">
        <v>25490</v>
      </c>
      <c r="G5" s="19" t="s">
        <v>25491</v>
      </c>
      <c r="H5" s="19" t="s">
        <v>25492</v>
      </c>
      <c r="I5" s="19" t="s">
        <v>25493</v>
      </c>
      <c r="J5" s="2" t="str">
        <f t="shared" si="2"/>
        <v>(${Variables:E1_1_1_1_kcat} * E1_1_1_1 * C00473 * C00003)/(${Variables:E1_1_1_1_km} + (E1_1_1_1 * C00473 * C00003))</v>
      </c>
      <c r="K5" s="2" t="str">
        <f t="shared" si="3"/>
        <v>r4: C00473 + C00003 -&gt; C00376 + C00004 + C00080 | (${Variables:E1_1_1_1_kcat} * E1_1_1_1 * C00473 * C00003)/(${Variables:E1_1_1_1_km} + (E1_1_1_1 * C00473 * C00003))</v>
      </c>
    </row>
    <row r="6">
      <c r="A6" s="2" t="s">
        <v>10249</v>
      </c>
      <c r="B6" s="2" t="s">
        <v>10250</v>
      </c>
      <c r="C6" s="2" t="s">
        <v>24926</v>
      </c>
      <c r="D6" s="18">
        <v>5.0</v>
      </c>
      <c r="E6" s="2" t="str">
        <f t="shared" si="1"/>
        <v>E1_1_1_1</v>
      </c>
      <c r="F6" s="19" t="s">
        <v>25494</v>
      </c>
      <c r="G6" s="19" t="s">
        <v>25495</v>
      </c>
      <c r="H6" s="19" t="s">
        <v>25496</v>
      </c>
      <c r="I6" s="19" t="s">
        <v>25497</v>
      </c>
      <c r="J6" s="2" t="str">
        <f t="shared" si="2"/>
        <v>(${Variables:E1_1_1_1_kcat} * E1_1_1_1 * C00418 * C00003)/(${Variables:E1_1_1_1_km} + (E1_1_1_1 * C00418 * C00003))</v>
      </c>
      <c r="K6" s="2" t="str">
        <f t="shared" si="3"/>
        <v>r5: C00418 + C00003 -&gt; C00772 + C00004 + C00080 | (${Variables:E1_1_1_1_kcat} * E1_1_1_1 * C00418 * C00003)/(${Variables:E1_1_1_1_km} + (E1_1_1_1 * C00418 * C00003))</v>
      </c>
    </row>
    <row r="7">
      <c r="A7" s="2" t="s">
        <v>10249</v>
      </c>
      <c r="B7" s="2" t="s">
        <v>10250</v>
      </c>
      <c r="C7" s="2" t="s">
        <v>24926</v>
      </c>
      <c r="D7" s="18">
        <v>6.0</v>
      </c>
      <c r="E7" s="2" t="str">
        <f t="shared" si="1"/>
        <v>E1_1_1_1</v>
      </c>
      <c r="F7" s="19" t="s">
        <v>25498</v>
      </c>
      <c r="G7" s="19" t="s">
        <v>25499</v>
      </c>
      <c r="H7" s="19" t="s">
        <v>25500</v>
      </c>
      <c r="I7" s="19" t="s">
        <v>25501</v>
      </c>
      <c r="J7" s="2" t="str">
        <f t="shared" si="2"/>
        <v>(${Variables:E1_1_1_1_kcat} * E1_1_1_1 * C00756 * C00003)/(${Variables:E1_1_1_1_km} + (E1_1_1_1 * C00756 * C00003))</v>
      </c>
      <c r="K7" s="2" t="str">
        <f t="shared" si="3"/>
        <v>r6: C00756 + C00003 -&gt; C01545 + C00004 + C00080 | (${Variables:E1_1_1_1_kcat} * E1_1_1_1 * C00756 * C00003)/(${Variables:E1_1_1_1_km} + (E1_1_1_1 * C00756 * C00003))</v>
      </c>
    </row>
    <row r="8">
      <c r="A8" s="2" t="s">
        <v>10249</v>
      </c>
      <c r="B8" s="2" t="s">
        <v>10250</v>
      </c>
      <c r="C8" s="2" t="s">
        <v>24926</v>
      </c>
      <c r="D8" s="18">
        <v>7.0</v>
      </c>
      <c r="E8" s="2" t="str">
        <f t="shared" si="1"/>
        <v>E1_1_1_1</v>
      </c>
      <c r="F8" s="19" t="s">
        <v>25502</v>
      </c>
      <c r="G8" s="19" t="s">
        <v>25503</v>
      </c>
      <c r="H8" s="19" t="s">
        <v>25504</v>
      </c>
      <c r="I8" s="19" t="s">
        <v>25505</v>
      </c>
      <c r="J8" s="2" t="str">
        <f t="shared" si="2"/>
        <v>(${Variables:E1_1_1_1_kcat} * E1_1_1_1 * C05444 * C00003)/(${Variables:E1_1_1_1_km} + (E1_1_1_1 * C05444 * C00003))</v>
      </c>
      <c r="K8" s="2" t="str">
        <f t="shared" si="3"/>
        <v>r7: C05444 + C00003 -&gt; C05445 + C00004 + C00080 | (${Variables:E1_1_1_1_kcat} * E1_1_1_1 * C05444 * C00003)/(${Variables:E1_1_1_1_km} + (E1_1_1_1 * C05444 * C00003))</v>
      </c>
    </row>
    <row r="9">
      <c r="A9" s="2" t="s">
        <v>10249</v>
      </c>
      <c r="B9" s="2" t="s">
        <v>10250</v>
      </c>
      <c r="C9" s="2" t="s">
        <v>24926</v>
      </c>
      <c r="D9" s="18">
        <v>8.0</v>
      </c>
      <c r="E9" s="2" t="str">
        <f t="shared" si="1"/>
        <v>E1_1_1_1</v>
      </c>
      <c r="F9" s="19" t="s">
        <v>25506</v>
      </c>
      <c r="G9" s="19" t="s">
        <v>25507</v>
      </c>
      <c r="H9" s="19" t="s">
        <v>25508</v>
      </c>
      <c r="I9" s="19" t="s">
        <v>25509</v>
      </c>
      <c r="J9" s="2" t="str">
        <f t="shared" si="2"/>
        <v>(${Variables:E1_1_1_1_kcat} * E1_1_1_1 * C05576 * C00003)/(${Variables:E1_1_1_1_km} + (E1_1_1_1 * C05576 * C00003))</v>
      </c>
      <c r="K9" s="2" t="str">
        <f t="shared" si="3"/>
        <v>r8: C05576 + C00003 -&gt; C05577 + C00004 + C00080 | (${Variables:E1_1_1_1_kcat} * E1_1_1_1 * C05576 * C00003)/(${Variables:E1_1_1_1_km} + (E1_1_1_1 * C05576 * C00003))</v>
      </c>
    </row>
    <row r="10">
      <c r="A10" s="2" t="s">
        <v>10249</v>
      </c>
      <c r="B10" s="2" t="s">
        <v>10250</v>
      </c>
      <c r="C10" s="2" t="s">
        <v>24926</v>
      </c>
      <c r="D10" s="18">
        <v>9.0</v>
      </c>
      <c r="E10" s="2" t="str">
        <f t="shared" si="1"/>
        <v>E1_1_1_1</v>
      </c>
      <c r="F10" s="19" t="s">
        <v>25510</v>
      </c>
      <c r="G10" s="19" t="s">
        <v>25511</v>
      </c>
      <c r="H10" s="19" t="s">
        <v>25512</v>
      </c>
      <c r="I10" s="19" t="s">
        <v>25513</v>
      </c>
      <c r="J10" s="2" t="str">
        <f t="shared" si="2"/>
        <v>(${Variables:E1_1_1_1_kcat} * E1_1_1_1 * C06611 * C00003)/(${Variables:E1_1_1_1_km} + (E1_1_1_1 * C06611 * C00003))</v>
      </c>
      <c r="K10" s="2" t="str">
        <f t="shared" si="3"/>
        <v>r9: C06611 + C00003 -&gt; C06613 + C00004 + C00080 | (${Variables:E1_1_1_1_kcat} * E1_1_1_1 * C06611 * C00003)/(${Variables:E1_1_1_1_km} + (E1_1_1_1 * C06611 * C00003))</v>
      </c>
    </row>
    <row r="11">
      <c r="A11" s="2" t="s">
        <v>10249</v>
      </c>
      <c r="B11" s="2" t="s">
        <v>10250</v>
      </c>
      <c r="C11" s="2" t="s">
        <v>24926</v>
      </c>
      <c r="D11" s="18">
        <v>10.0</v>
      </c>
      <c r="E11" s="2" t="str">
        <f t="shared" si="1"/>
        <v>E1_1_1_1</v>
      </c>
      <c r="F11" s="19" t="s">
        <v>25514</v>
      </c>
      <c r="G11" s="19" t="s">
        <v>25515</v>
      </c>
      <c r="H11" s="19" t="s">
        <v>25516</v>
      </c>
      <c r="I11" s="19" t="s">
        <v>25517</v>
      </c>
      <c r="J11" s="2" t="str">
        <f t="shared" si="2"/>
        <v>(${Variables:E1_1_1_1_kcat} * E1_1_1_1 * C06612 * C00003)/(${Variables:E1_1_1_1_km} + (E1_1_1_1 * C06612 * C00003))</v>
      </c>
      <c r="K11" s="2" t="str">
        <f t="shared" si="3"/>
        <v>r10: C06612 + C00003 -&gt; C16348 + C00004 + C00080 | (${Variables:E1_1_1_1_kcat} * E1_1_1_1 * C06612 * C00003)/(${Variables:E1_1_1_1_km} + (E1_1_1_1 * C06612 * C00003))</v>
      </c>
    </row>
    <row r="12">
      <c r="A12" s="2" t="s">
        <v>10249</v>
      </c>
      <c r="B12" s="2" t="s">
        <v>10250</v>
      </c>
      <c r="C12" s="2" t="s">
        <v>24926</v>
      </c>
      <c r="D12" s="18">
        <v>11.0</v>
      </c>
      <c r="E12" s="2" t="str">
        <f t="shared" si="1"/>
        <v>E1_1_1_1</v>
      </c>
      <c r="F12" s="19" t="s">
        <v>25518</v>
      </c>
      <c r="G12" s="19" t="s">
        <v>25519</v>
      </c>
      <c r="H12" s="19" t="s">
        <v>25520</v>
      </c>
      <c r="I12" s="19" t="s">
        <v>25521</v>
      </c>
      <c r="J12" s="2" t="str">
        <f t="shared" si="2"/>
        <v>(${Variables:E1_1_1_1_kcat} * E1_1_1_1 * C14089 * C00003)/(${Variables:E1_1_1_1_km} + (E1_1_1_1 * C14089 * C00003))</v>
      </c>
      <c r="K12" s="2" t="str">
        <f t="shared" si="3"/>
        <v>r11: C14089 + C00003 -&gt; C14090 + C00004 + C00080 | (${Variables:E1_1_1_1_kcat} * E1_1_1_1 * C14089 * C00003)/(${Variables:E1_1_1_1_km} + (E1_1_1_1 * C14089 * C00003))</v>
      </c>
    </row>
    <row r="13">
      <c r="A13" s="2" t="s">
        <v>10249</v>
      </c>
      <c r="B13" s="2" t="s">
        <v>10250</v>
      </c>
      <c r="C13" s="2" t="s">
        <v>24926</v>
      </c>
      <c r="D13" s="18">
        <v>12.0</v>
      </c>
      <c r="E13" s="2" t="str">
        <f t="shared" si="1"/>
        <v>E1_1_1_1</v>
      </c>
      <c r="F13" s="19" t="s">
        <v>25522</v>
      </c>
      <c r="G13" s="19" t="s">
        <v>25523</v>
      </c>
      <c r="H13" s="19" t="s">
        <v>25524</v>
      </c>
      <c r="I13" s="19" t="s">
        <v>25525</v>
      </c>
      <c r="J13" s="2" t="str">
        <f t="shared" si="2"/>
        <v>(${Variables:E1_1_1_1_kcat} * E1_1_1_1 * C02909 * C00003)/(${Variables:E1_1_1_1_km} + (E1_1_1_1 * C02909 * C00003))</v>
      </c>
      <c r="K13" s="2" t="str">
        <f t="shared" si="3"/>
        <v>r12: C02909 + C00003 -&gt; C14099 + C00004 + C00080 | (${Variables:E1_1_1_1_kcat} * E1_1_1_1 * C02909 * C00003)/(${Variables:E1_1_1_1_km} + (E1_1_1_1 * C02909 * C00003))</v>
      </c>
    </row>
    <row r="14">
      <c r="A14" s="2" t="s">
        <v>10249</v>
      </c>
      <c r="B14" s="2" t="s">
        <v>10250</v>
      </c>
      <c r="C14" s="2" t="s">
        <v>24926</v>
      </c>
      <c r="D14" s="18">
        <v>13.0</v>
      </c>
      <c r="E14" s="2" t="str">
        <f t="shared" si="1"/>
        <v>E1_1_1_1</v>
      </c>
      <c r="F14" s="19" t="s">
        <v>25526</v>
      </c>
      <c r="G14" s="19" t="s">
        <v>25527</v>
      </c>
      <c r="H14" s="19" t="s">
        <v>25528</v>
      </c>
      <c r="I14" s="19" t="s">
        <v>25529</v>
      </c>
      <c r="J14" s="2" t="str">
        <f t="shared" si="2"/>
        <v>(${Variables:E1_1_1_1_kcat} * E1_1_1_1 * C06899 * C00004 * C00080)/(${Variables:E1_1_1_1_km} + (E1_1_1_1 * C06899 * C00004 * C00080))</v>
      </c>
      <c r="K14" s="2" t="str">
        <f t="shared" si="3"/>
        <v>r13: C06899 + C00004 + C00080 -&gt; C07490 + C00003 + C00001 | (${Variables:E1_1_1_1_kcat} * E1_1_1_1 * C06899 * C00004 * C00080)/(${Variables:E1_1_1_1_km} + (E1_1_1_1 * C06899 * C00004 * C00080))</v>
      </c>
    </row>
    <row r="15">
      <c r="A15" s="2" t="s">
        <v>10249</v>
      </c>
      <c r="B15" s="2" t="s">
        <v>10250</v>
      </c>
      <c r="C15" s="2" t="s">
        <v>24926</v>
      </c>
      <c r="D15" s="18">
        <v>14.0</v>
      </c>
      <c r="E15" s="2" t="str">
        <f t="shared" si="1"/>
        <v>E1_1_1_1</v>
      </c>
      <c r="F15" s="19" t="s">
        <v>25530</v>
      </c>
      <c r="G15" s="19" t="s">
        <v>25531</v>
      </c>
      <c r="H15" s="19" t="s">
        <v>25532</v>
      </c>
      <c r="I15" s="19" t="s">
        <v>25533</v>
      </c>
      <c r="J15" s="2" t="str">
        <f t="shared" si="2"/>
        <v>(${Variables:E1_1_1_1_kcat} * E1_1_1_1 * C07645 * C00004 * C00080)/(${Variables:E1_1_1_1_km} + (E1_1_1_1 * C07645 * C00004 * C00080))</v>
      </c>
      <c r="K15" s="2" t="str">
        <f t="shared" si="3"/>
        <v>r14: C07645 + C00004 + C00080 -&gt; C16551 + C00003 | (${Variables:E1_1_1_1_kcat} * E1_1_1_1 * C07645 * C00004 * C00080)/(${Variables:E1_1_1_1_km} + (E1_1_1_1 * C07645 * C00004 * C00080))</v>
      </c>
    </row>
    <row r="16">
      <c r="A16" s="2" t="s">
        <v>10249</v>
      </c>
      <c r="B16" s="2" t="s">
        <v>10250</v>
      </c>
      <c r="C16" s="2" t="s">
        <v>24926</v>
      </c>
      <c r="D16" s="18">
        <v>15.0</v>
      </c>
      <c r="E16" s="2" t="str">
        <f t="shared" si="1"/>
        <v>E1_1_1_1</v>
      </c>
      <c r="F16" s="19" t="s">
        <v>25534</v>
      </c>
      <c r="G16" s="19" t="s">
        <v>25535</v>
      </c>
      <c r="H16" s="19" t="s">
        <v>25536</v>
      </c>
      <c r="I16" s="19" t="s">
        <v>25537</v>
      </c>
      <c r="J16" s="2" t="str">
        <f t="shared" si="2"/>
        <v>(${Variables:E1_1_1_1_kcat} * E1_1_1_1 * C16586 * C00003)/(${Variables:E1_1_1_1_km} + (E1_1_1_1 * C16586 * C00003))</v>
      </c>
      <c r="K16" s="2" t="str">
        <f t="shared" si="3"/>
        <v>r15: C16586 + C00003 -&gt; C16587 + C00004 + C00080 | (${Variables:E1_1_1_1_kcat} * E1_1_1_1 * C16586 * C00003)/(${Variables:E1_1_1_1_km} + (E1_1_1_1 * C16586 * C00003))</v>
      </c>
    </row>
    <row r="17">
      <c r="A17" s="2" t="s">
        <v>10249</v>
      </c>
      <c r="B17" s="2" t="s">
        <v>10250</v>
      </c>
      <c r="C17" s="2" t="s">
        <v>24926</v>
      </c>
      <c r="D17" s="18">
        <v>16.0</v>
      </c>
      <c r="E17" s="2" t="str">
        <f t="shared" si="1"/>
        <v>E1_1_1_1</v>
      </c>
      <c r="F17" s="19" t="s">
        <v>25538</v>
      </c>
      <c r="G17" s="19" t="s">
        <v>25539</v>
      </c>
      <c r="H17" s="19" t="s">
        <v>25540</v>
      </c>
      <c r="I17" s="19" t="s">
        <v>25541</v>
      </c>
      <c r="J17" s="2" t="str">
        <f t="shared" si="2"/>
        <v>(${Variables:E1_1_1_1_kcat} * E1_1_1_1 * C16595 * C00003)/(${Variables:E1_1_1_1_km} + (E1_1_1_1 * C16595 * C00003))</v>
      </c>
      <c r="K17" s="2" t="str">
        <f t="shared" si="3"/>
        <v>r16: C16595 + C00003 -&gt; C16596 + C00004 + C00080 | (${Variables:E1_1_1_1_kcat} * E1_1_1_1 * C16595 * C00003)/(${Variables:E1_1_1_1_km} + (E1_1_1_1 * C16595 * C00003))</v>
      </c>
    </row>
    <row r="18">
      <c r="A18" s="2" t="s">
        <v>10249</v>
      </c>
      <c r="B18" s="2" t="s">
        <v>10250</v>
      </c>
      <c r="C18" s="2" t="s">
        <v>24926</v>
      </c>
      <c r="D18" s="18">
        <v>17.0</v>
      </c>
      <c r="E18" s="2" t="str">
        <f t="shared" si="1"/>
        <v>E1_1_1_1</v>
      </c>
      <c r="F18" s="19" t="s">
        <v>25542</v>
      </c>
      <c r="G18" s="19" t="s">
        <v>25543</v>
      </c>
      <c r="H18" s="19" t="s">
        <v>25544</v>
      </c>
      <c r="I18" s="19" t="s">
        <v>25545</v>
      </c>
      <c r="J18" s="2" t="str">
        <f t="shared" si="2"/>
        <v>(${Variables:E1_1_1_1_kcat} * E1_1_1_1 * C00114 * C00003)/(${Variables:E1_1_1_1_km} + (E1_1_1_1 * C00114 * C00003))</v>
      </c>
      <c r="K18" s="2" t="str">
        <f t="shared" si="3"/>
        <v>r17: C00114 + C00003 -&gt; C00576 + C00004 + C00080 | (${Variables:E1_1_1_1_kcat} * E1_1_1_1 * C00114 * C00003)/(${Variables:E1_1_1_1_km} + (E1_1_1_1 * C00114 * C00003))</v>
      </c>
    </row>
    <row r="19">
      <c r="A19" s="2" t="s">
        <v>10249</v>
      </c>
      <c r="B19" s="2" t="s">
        <v>10250</v>
      </c>
      <c r="C19" s="2" t="s">
        <v>24926</v>
      </c>
      <c r="D19" s="18">
        <v>18.0</v>
      </c>
      <c r="E19" s="2" t="str">
        <f t="shared" si="1"/>
        <v>E1_1_1_1</v>
      </c>
      <c r="F19" s="19" t="s">
        <v>25546</v>
      </c>
      <c r="G19" s="19" t="s">
        <v>25547</v>
      </c>
      <c r="H19" s="19" t="s">
        <v>25548</v>
      </c>
      <c r="I19" s="19" t="s">
        <v>25549</v>
      </c>
      <c r="J19" s="2" t="str">
        <f t="shared" si="2"/>
        <v>(${Variables:E1_1_1_1_kcat} * E1_1_1_1 * C00114 * C00006)/(${Variables:E1_1_1_1_km} + (E1_1_1_1 * C00114 * C00006))</v>
      </c>
      <c r="K19" s="2" t="str">
        <f t="shared" si="3"/>
        <v>r18: C00114 + C00006 -&gt; C00576 + C00005 + C00080 | (${Variables:E1_1_1_1_kcat} * E1_1_1_1 * C00114 * C00006)/(${Variables:E1_1_1_1_km} + (E1_1_1_1 * C00114 * C00006))</v>
      </c>
    </row>
    <row r="20">
      <c r="A20" s="2" t="s">
        <v>10249</v>
      </c>
      <c r="B20" s="2" t="s">
        <v>10250</v>
      </c>
      <c r="C20" s="2" t="s">
        <v>24926</v>
      </c>
      <c r="D20" s="18">
        <v>19.0</v>
      </c>
      <c r="E20" s="2" t="str">
        <f t="shared" si="1"/>
        <v>E1_1_1_1</v>
      </c>
      <c r="F20" s="19" t="s">
        <v>25550</v>
      </c>
      <c r="G20" s="19" t="s">
        <v>25551</v>
      </c>
      <c r="H20" s="19" t="s">
        <v>25552</v>
      </c>
      <c r="I20" s="19" t="s">
        <v>25553</v>
      </c>
      <c r="J20" s="2" t="str">
        <f t="shared" si="2"/>
        <v>(${Variables:E1_1_1_1_kcat} * E1_1_1_1 * C16310 * C00004 * C00080)/(${Variables:E1_1_1_1_km} + (E1_1_1_1 * C16310 * C00004 * C00080))</v>
      </c>
      <c r="K20" s="2" t="str">
        <f t="shared" si="3"/>
        <v>r19: C16310 + C00004 + C00080 -&gt; C08492 + C00003 | (${Variables:E1_1_1_1_kcat} * E1_1_1_1 * C16310 * C00004 * C00080)/(${Variables:E1_1_1_1_km} + (E1_1_1_1 * C16310 * C00004 * C00080))</v>
      </c>
    </row>
    <row r="21">
      <c r="A21" s="2" t="s">
        <v>11826</v>
      </c>
      <c r="B21" s="2" t="s">
        <v>11827</v>
      </c>
      <c r="C21" s="2" t="s">
        <v>24927</v>
      </c>
      <c r="D21" s="18">
        <v>20.0</v>
      </c>
      <c r="E21" s="2" t="str">
        <f t="shared" si="1"/>
        <v>E1_1_1_100</v>
      </c>
      <c r="F21" s="19" t="s">
        <v>25554</v>
      </c>
      <c r="G21" s="19" t="s">
        <v>25555</v>
      </c>
      <c r="H21" s="19" t="s">
        <v>25556</v>
      </c>
      <c r="I21" s="19" t="s">
        <v>25557</v>
      </c>
      <c r="J21" s="2" t="str">
        <f t="shared" si="2"/>
        <v>(${Variables:E1_1_1_100_kcat} * E1_1_1_100 * C01271 * C00006)/(${Variables:E1_1_1_100_km} + (E1_1_1_100 * C01271 * C00006))</v>
      </c>
      <c r="K21" s="2" t="str">
        <f t="shared" si="3"/>
        <v>r20: C01271 + C00006 -&gt; C00685 + C00005 + C00080 | (${Variables:E1_1_1_100_kcat} * E1_1_1_100 * C01271 * C00006)/(${Variables:E1_1_1_100_km} + (E1_1_1_100 * C01271 * C00006))</v>
      </c>
    </row>
    <row r="22">
      <c r="A22" s="2" t="s">
        <v>11826</v>
      </c>
      <c r="B22" s="2" t="s">
        <v>11827</v>
      </c>
      <c r="C22" s="2" t="s">
        <v>24927</v>
      </c>
      <c r="D22" s="18">
        <v>21.0</v>
      </c>
      <c r="E22" s="2" t="str">
        <f t="shared" si="1"/>
        <v>E1_1_1_100</v>
      </c>
      <c r="F22" s="19" t="s">
        <v>25558</v>
      </c>
      <c r="G22" s="19" t="s">
        <v>25559</v>
      </c>
      <c r="H22" s="19" t="s">
        <v>25560</v>
      </c>
      <c r="I22" s="19" t="s">
        <v>25561</v>
      </c>
      <c r="J22" s="2" t="str">
        <f t="shared" si="2"/>
        <v>(${Variables:E1_1_1_100_kcat} * E1_1_1_100 * C04618 * C00006)/(${Variables:E1_1_1_100_km} + (E1_1_1_100 * C04618 * C00006))</v>
      </c>
      <c r="K22" s="2" t="str">
        <f t="shared" si="3"/>
        <v>r21: C04618 + C00006 -&gt; C05744 + C00005 + C00080 | (${Variables:E1_1_1_100_kcat} * E1_1_1_100 * C04618 * C00006)/(${Variables:E1_1_1_100_km} + (E1_1_1_100 * C04618 * C00006))</v>
      </c>
    </row>
    <row r="23">
      <c r="A23" s="2" t="s">
        <v>11826</v>
      </c>
      <c r="B23" s="2" t="s">
        <v>11827</v>
      </c>
      <c r="C23" s="2" t="s">
        <v>24927</v>
      </c>
      <c r="D23" s="18">
        <v>22.0</v>
      </c>
      <c r="E23" s="2" t="str">
        <f t="shared" si="1"/>
        <v>E1_1_1_100</v>
      </c>
      <c r="F23" s="19" t="s">
        <v>25562</v>
      </c>
      <c r="G23" s="19" t="s">
        <v>25563</v>
      </c>
      <c r="H23" s="19" t="s">
        <v>25564</v>
      </c>
      <c r="I23" s="19" t="s">
        <v>25565</v>
      </c>
      <c r="J23" s="2" t="str">
        <f t="shared" si="2"/>
        <v>(${Variables:E1_1_1_100_kcat} * E1_1_1_100 * C04619 * C00006)/(${Variables:E1_1_1_100_km} + (E1_1_1_100 * C04619 * C00006))</v>
      </c>
      <c r="K23" s="2" t="str">
        <f t="shared" si="3"/>
        <v>r22: C04619 + C00006 -&gt; C05753 + C00005 | (${Variables:E1_1_1_100_kcat} * E1_1_1_100 * C04619 * C00006)/(${Variables:E1_1_1_100_km} + (E1_1_1_100 * C04619 * C00006))</v>
      </c>
    </row>
    <row r="24">
      <c r="A24" s="2" t="s">
        <v>11826</v>
      </c>
      <c r="B24" s="2" t="s">
        <v>11827</v>
      </c>
      <c r="C24" s="2" t="s">
        <v>24927</v>
      </c>
      <c r="D24" s="18">
        <v>23.0</v>
      </c>
      <c r="E24" s="2" t="str">
        <f t="shared" si="1"/>
        <v>E1_1_1_100</v>
      </c>
      <c r="F24" s="19" t="s">
        <v>25566</v>
      </c>
      <c r="G24" s="19" t="s">
        <v>25567</v>
      </c>
      <c r="H24" s="19" t="s">
        <v>25568</v>
      </c>
      <c r="I24" s="19" t="s">
        <v>25569</v>
      </c>
      <c r="J24" s="2" t="str">
        <f t="shared" si="2"/>
        <v>(${Variables:E1_1_1_100_kcat} * E1_1_1_100 * C04620 * C00006)/(${Variables:E1_1_1_100_km} + (E1_1_1_100 * C04620 * C00006))</v>
      </c>
      <c r="K24" s="2" t="str">
        <f t="shared" si="3"/>
        <v>r23: C04620 + C00006 -&gt; C05750 + C00005 + C00080 | (${Variables:E1_1_1_100_kcat} * E1_1_1_100 * C04620 * C00006)/(${Variables:E1_1_1_100_km} + (E1_1_1_100 * C04620 * C00006))</v>
      </c>
    </row>
    <row r="25">
      <c r="A25" s="2" t="s">
        <v>11826</v>
      </c>
      <c r="B25" s="2" t="s">
        <v>11827</v>
      </c>
      <c r="C25" s="2" t="s">
        <v>24927</v>
      </c>
      <c r="D25" s="18">
        <v>24.0</v>
      </c>
      <c r="E25" s="2" t="str">
        <f t="shared" si="1"/>
        <v>E1_1_1_100</v>
      </c>
      <c r="F25" s="19" t="s">
        <v>25570</v>
      </c>
      <c r="G25" s="19" t="s">
        <v>25571</v>
      </c>
      <c r="H25" s="19" t="s">
        <v>25572</v>
      </c>
      <c r="I25" s="19" t="s">
        <v>25573</v>
      </c>
      <c r="J25" s="2" t="str">
        <f t="shared" si="2"/>
        <v>(${Variables:E1_1_1_100_kcat} * E1_1_1_100 * C04633 * C00006)/(${Variables:E1_1_1_100_km} + (E1_1_1_100 * C04633 * C00006))</v>
      </c>
      <c r="K25" s="2" t="str">
        <f t="shared" si="3"/>
        <v>r24: C04633 + C00006 -&gt; C05762 + C00005 + C00080 | (${Variables:E1_1_1_100_kcat} * E1_1_1_100 * C04633 * C00006)/(${Variables:E1_1_1_100_km} + (E1_1_1_100 * C04633 * C00006))</v>
      </c>
    </row>
    <row r="26">
      <c r="A26" s="2" t="s">
        <v>11826</v>
      </c>
      <c r="B26" s="2" t="s">
        <v>11827</v>
      </c>
      <c r="C26" s="2" t="s">
        <v>24927</v>
      </c>
      <c r="D26" s="18">
        <v>25.0</v>
      </c>
      <c r="E26" s="2" t="str">
        <f t="shared" si="1"/>
        <v>E1_1_1_100</v>
      </c>
      <c r="F26" s="19" t="s">
        <v>25574</v>
      </c>
      <c r="G26" s="19" t="s">
        <v>25575</v>
      </c>
      <c r="H26" s="19" t="s">
        <v>25576</v>
      </c>
      <c r="I26" s="19" t="s">
        <v>25577</v>
      </c>
      <c r="J26" s="2" t="str">
        <f t="shared" si="2"/>
        <v>(${Variables:E1_1_1_100_kcat} * E1_1_1_100 * C04688 * C00006)/(${Variables:E1_1_1_100_km} + (E1_1_1_100 * C04688 * C00006))</v>
      </c>
      <c r="K26" s="2" t="str">
        <f t="shared" si="3"/>
        <v>r25: C04688 + C00006 -&gt; C05759 + C00005 + C00080 | (${Variables:E1_1_1_100_kcat} * E1_1_1_100 * C04688 * C00006)/(${Variables:E1_1_1_100_km} + (E1_1_1_100 * C04688 * C00006))</v>
      </c>
    </row>
    <row r="27">
      <c r="A27" s="2" t="s">
        <v>11826</v>
      </c>
      <c r="B27" s="2" t="s">
        <v>11827</v>
      </c>
      <c r="C27" s="2" t="s">
        <v>24927</v>
      </c>
      <c r="D27" s="18">
        <v>26.0</v>
      </c>
      <c r="E27" s="2" t="str">
        <f t="shared" si="1"/>
        <v>E1_1_1_100</v>
      </c>
      <c r="F27" s="19" t="s">
        <v>25578</v>
      </c>
      <c r="G27" s="19" t="s">
        <v>25579</v>
      </c>
      <c r="H27" s="19" t="s">
        <v>25580</v>
      </c>
      <c r="I27" s="19" t="s">
        <v>25581</v>
      </c>
      <c r="J27" s="2" t="str">
        <f t="shared" si="2"/>
        <v>(${Variables:E1_1_1_100_kcat} * E1_1_1_100 * C05747 * C00006)/(${Variables:E1_1_1_100_km} + (E1_1_1_100 * C05747 * C00006))</v>
      </c>
      <c r="K27" s="2" t="str">
        <f t="shared" si="3"/>
        <v>r26: C05747 + C00006 -&gt; C05746 + C00005 + C00080 | (${Variables:E1_1_1_100_kcat} * E1_1_1_100 * C05747 * C00006)/(${Variables:E1_1_1_100_km} + (E1_1_1_100 * C05747 * C00006))</v>
      </c>
    </row>
    <row r="28">
      <c r="A28" s="2" t="s">
        <v>11826</v>
      </c>
      <c r="B28" s="2" t="s">
        <v>11827</v>
      </c>
      <c r="C28" s="2" t="s">
        <v>24927</v>
      </c>
      <c r="D28" s="18">
        <v>27.0</v>
      </c>
      <c r="E28" s="2" t="str">
        <f t="shared" si="1"/>
        <v>E1_1_1_100</v>
      </c>
      <c r="F28" s="19" t="s">
        <v>25582</v>
      </c>
      <c r="G28" s="19" t="s">
        <v>25583</v>
      </c>
      <c r="H28" s="19" t="s">
        <v>25584</v>
      </c>
      <c r="I28" s="19" t="s">
        <v>25585</v>
      </c>
      <c r="J28" s="2" t="str">
        <f t="shared" si="2"/>
        <v>(${Variables:E1_1_1_100_kcat} * E1_1_1_100 * C05757 * C00006)/(${Variables:E1_1_1_100_km} + (E1_1_1_100 * C05757 * C00006))</v>
      </c>
      <c r="K28" s="2" t="str">
        <f t="shared" si="3"/>
        <v>r27: C05757 + C00006 -&gt; C05756 + C00005 + C00080 | (${Variables:E1_1_1_100_kcat} * E1_1_1_100 * C05757 * C00006)/(${Variables:E1_1_1_100_km} + (E1_1_1_100 * C05757 * C00006))</v>
      </c>
    </row>
    <row r="29">
      <c r="A29" s="2" t="s">
        <v>11826</v>
      </c>
      <c r="B29" s="2" t="s">
        <v>11827</v>
      </c>
      <c r="C29" s="2" t="s">
        <v>24927</v>
      </c>
      <c r="D29" s="18">
        <v>28.0</v>
      </c>
      <c r="E29" s="2" t="str">
        <f t="shared" si="1"/>
        <v>E1_1_1_100</v>
      </c>
      <c r="F29" s="19" t="s">
        <v>25586</v>
      </c>
      <c r="G29" s="19" t="s">
        <v>25587</v>
      </c>
      <c r="H29" s="19" t="s">
        <v>25588</v>
      </c>
      <c r="I29" s="19" t="s">
        <v>25589</v>
      </c>
      <c r="J29" s="2" t="str">
        <f t="shared" si="2"/>
        <v>(${Variables:E1_1_1_100_kcat} * E1_1_1_100 * C16219 * C00005 * C00080)/(${Variables:E1_1_1_100_km} + (E1_1_1_100 * C16219 * C00005 * C00080))</v>
      </c>
      <c r="K29" s="2" t="str">
        <f t="shared" si="3"/>
        <v>r28: C16219 + C00005 + C00080 -&gt; C16220 + C00006 | (${Variables:E1_1_1_100_kcat} * E1_1_1_100 * C16219 * C00005 * C00080)/(${Variables:E1_1_1_100_km} + (E1_1_1_100 * C16219 * C00005 * C00080))</v>
      </c>
    </row>
    <row r="30">
      <c r="A30" s="2" t="s">
        <v>11826</v>
      </c>
      <c r="B30" s="2" t="s">
        <v>11827</v>
      </c>
      <c r="C30" s="2" t="s">
        <v>24927</v>
      </c>
      <c r="D30" s="18">
        <v>29.0</v>
      </c>
      <c r="E30" s="2" t="str">
        <f t="shared" si="1"/>
        <v>E1_1_1_100</v>
      </c>
      <c r="F30" s="19" t="s">
        <v>25590</v>
      </c>
      <c r="G30" s="19" t="s">
        <v>25591</v>
      </c>
      <c r="H30" s="19" t="s">
        <v>25592</v>
      </c>
      <c r="I30" s="19" t="s">
        <v>25593</v>
      </c>
      <c r="J30" s="2" t="str">
        <f t="shared" si="2"/>
        <v>(${Variables:E1_1_1_100_kcat} * E1_1_1_100 * C20372 * C00005 * C00080)/(${Variables:E1_1_1_100_km} + (E1_1_1_100 * C20372 * C00005 * C00080))</v>
      </c>
      <c r="K30" s="2" t="str">
        <f t="shared" si="3"/>
        <v>r29: C20372 + C00005 + C00080 -&gt; C20373 + C00006 | (${Variables:E1_1_1_100_kcat} * E1_1_1_100 * C20372 * C00005 * C00080)/(${Variables:E1_1_1_100_km} + (E1_1_1_100 * C20372 * C00005 * C00080))</v>
      </c>
    </row>
    <row r="31">
      <c r="A31" s="2" t="s">
        <v>11826</v>
      </c>
      <c r="B31" s="2" t="s">
        <v>11827</v>
      </c>
      <c r="C31" s="2" t="s">
        <v>24927</v>
      </c>
      <c r="D31" s="18">
        <v>30.0</v>
      </c>
      <c r="E31" s="2" t="str">
        <f t="shared" si="1"/>
        <v>E1_1_1_100</v>
      </c>
      <c r="F31" s="19" t="s">
        <v>25594</v>
      </c>
      <c r="G31" s="19" t="s">
        <v>25595</v>
      </c>
      <c r="H31" s="19" t="s">
        <v>25596</v>
      </c>
      <c r="I31" s="19" t="s">
        <v>25597</v>
      </c>
      <c r="J31" s="2" t="str">
        <f t="shared" si="2"/>
        <v>(${Variables:E1_1_1_100_kcat} * E1_1_1_100 * C20376 * C00005 * C00080)/(${Variables:E1_1_1_100_km} + (E1_1_1_100 * C20376 * C00005 * C00080))</v>
      </c>
      <c r="K31" s="2" t="str">
        <f t="shared" si="3"/>
        <v>r30: C20376 + C00005 + C00080 -&gt; C20377 + C00006 | (${Variables:E1_1_1_100_kcat} * E1_1_1_100 * C20376 * C00005 * C00080)/(${Variables:E1_1_1_100_km} + (E1_1_1_100 * C20376 * C00005 * C00080))</v>
      </c>
    </row>
    <row r="32">
      <c r="A32" s="2" t="s">
        <v>3937</v>
      </c>
      <c r="B32" s="2" t="s">
        <v>3938</v>
      </c>
      <c r="C32" s="2" t="s">
        <v>24928</v>
      </c>
      <c r="D32" s="18">
        <v>31.0</v>
      </c>
      <c r="E32" s="2" t="str">
        <f t="shared" si="1"/>
        <v>E1_1_1_133</v>
      </c>
      <c r="F32" s="19" t="s">
        <v>25598</v>
      </c>
      <c r="G32" s="19" t="s">
        <v>25599</v>
      </c>
      <c r="H32" s="19" t="s">
        <v>25600</v>
      </c>
      <c r="I32" s="19" t="s">
        <v>25601</v>
      </c>
      <c r="J32" s="2" t="str">
        <f t="shared" si="2"/>
        <v>(${Variables:E1_1_1_133_kcat} * E1_1_1_133 * C03319 * C00006)/(${Variables:E1_1_1_133_km} + (E1_1_1_133 * C03319 * C00006))</v>
      </c>
      <c r="K32" s="2" t="str">
        <f t="shared" si="3"/>
        <v>r31: C03319 + C00006 -&gt; C00688 + C00005 + C00080 | (${Variables:E1_1_1_133_kcat} * E1_1_1_133 * C03319 * C00006)/(${Variables:E1_1_1_133_km} + (E1_1_1_133 * C03319 * C00006))</v>
      </c>
    </row>
    <row r="33">
      <c r="A33" s="2" t="s">
        <v>7600</v>
      </c>
      <c r="B33" s="2" t="s">
        <v>7601</v>
      </c>
      <c r="C33" s="2" t="s">
        <v>24929</v>
      </c>
      <c r="D33" s="18">
        <v>32.0</v>
      </c>
      <c r="E33" s="2" t="str">
        <f t="shared" si="1"/>
        <v>E1_1_1_157</v>
      </c>
      <c r="F33" s="19" t="s">
        <v>25602</v>
      </c>
      <c r="G33" s="19" t="s">
        <v>25603</v>
      </c>
      <c r="H33" s="19" t="s">
        <v>25604</v>
      </c>
      <c r="I33" s="19" t="s">
        <v>25605</v>
      </c>
      <c r="J33" s="2" t="str">
        <f t="shared" si="2"/>
        <v>(${Variables:E1_1_1_157_kcat} * E1_1_1_157 * C01144 * C00006)/(${Variables:E1_1_1_157_km} + (E1_1_1_157 * C01144 * C00006))</v>
      </c>
      <c r="K33" s="2" t="str">
        <f t="shared" si="3"/>
        <v>r32: C01144 + C00006 -&gt; C00332 + C00005 + C00080 | (${Variables:E1_1_1_157_kcat} * E1_1_1_157 * C01144 * C00006)/(${Variables:E1_1_1_157_km} + (E1_1_1_157 * C01144 * C00006))</v>
      </c>
    </row>
    <row r="34">
      <c r="A34" s="2" t="s">
        <v>7600</v>
      </c>
      <c r="B34" s="2" t="s">
        <v>7601</v>
      </c>
      <c r="C34" s="2" t="s">
        <v>24929</v>
      </c>
      <c r="D34" s="18">
        <v>33.0</v>
      </c>
      <c r="E34" s="2" t="str">
        <f t="shared" si="1"/>
        <v>E1_1_1_157</v>
      </c>
      <c r="F34" s="19" t="s">
        <v>25606</v>
      </c>
      <c r="G34" s="19" t="s">
        <v>25607</v>
      </c>
      <c r="H34" s="19" t="s">
        <v>25604</v>
      </c>
      <c r="I34" s="19" t="s">
        <v>25605</v>
      </c>
      <c r="J34" s="2" t="str">
        <f t="shared" si="2"/>
        <v>(${Variables:E1_1_1_157_kcat} * E1_1_1_157 * C05116 * C00006)/(${Variables:E1_1_1_157_km} + (E1_1_1_157 * C05116 * C00006))</v>
      </c>
      <c r="K34" s="2" t="str">
        <f t="shared" si="3"/>
        <v>r33: C05116 + C00006 -&gt; C00332 + C00005 + C00080 | (${Variables:E1_1_1_157_kcat} * E1_1_1_157 * C05116 * C00006)/(${Variables:E1_1_1_157_km} + (E1_1_1_157 * C05116 * C00006))</v>
      </c>
    </row>
    <row r="35">
      <c r="A35" s="2" t="s">
        <v>7600</v>
      </c>
      <c r="B35" s="2" t="s">
        <v>7601</v>
      </c>
      <c r="C35" s="2" t="s">
        <v>24929</v>
      </c>
      <c r="D35" s="18">
        <v>34.0</v>
      </c>
      <c r="E35" s="2" t="str">
        <f t="shared" si="1"/>
        <v>E1_1_1_157</v>
      </c>
      <c r="F35" s="19" t="s">
        <v>25608</v>
      </c>
      <c r="G35" s="19" t="s">
        <v>25609</v>
      </c>
      <c r="H35" s="19" t="s">
        <v>25610</v>
      </c>
      <c r="I35" s="19" t="s">
        <v>25611</v>
      </c>
      <c r="J35" s="2" t="str">
        <f t="shared" si="2"/>
        <v>(${Variables:E1_1_1_157_kcat} * E1_1_1_157 * C14145 * C00003)/(${Variables:E1_1_1_157_km} + (E1_1_1_157 * C14145 * C00003))</v>
      </c>
      <c r="K35" s="2" t="str">
        <f t="shared" si="3"/>
        <v>r34: C14145 + C00003 -&gt; C02232 + C00004 + C00080 | (${Variables:E1_1_1_157_kcat} * E1_1_1_157 * C14145 * C00003)/(${Variables:E1_1_1_157_km} + (E1_1_1_157 * C14145 * C00003))</v>
      </c>
    </row>
    <row r="36">
      <c r="A36" s="2" t="s">
        <v>2236</v>
      </c>
      <c r="B36" s="2" t="s">
        <v>2237</v>
      </c>
      <c r="C36" s="2" t="s">
        <v>24930</v>
      </c>
      <c r="D36" s="18">
        <v>35.0</v>
      </c>
      <c r="E36" s="2" t="str">
        <f t="shared" si="1"/>
        <v>E1_1_1_169</v>
      </c>
      <c r="F36" s="19" t="s">
        <v>25612</v>
      </c>
      <c r="G36" s="19" t="s">
        <v>25613</v>
      </c>
      <c r="H36" s="19" t="s">
        <v>25614</v>
      </c>
      <c r="I36" s="19" t="s">
        <v>25615</v>
      </c>
      <c r="J36" s="2" t="str">
        <f t="shared" si="2"/>
        <v>(${Variables:E1_1_1_169_kcat} * E1_1_1_169 * C00522 * C00006)/(${Variables:E1_1_1_169_km} + (E1_1_1_169 * C00522 * C00006))</v>
      </c>
      <c r="K36" s="2" t="str">
        <f t="shared" si="3"/>
        <v>r35: C00522 + C00006 -&gt; C00966 + C00005 + C00080 | (${Variables:E1_1_1_169_kcat} * E1_1_1_169 * C00522 * C00006)/(${Variables:E1_1_1_169_km} + (E1_1_1_169 * C00522 * C00006))</v>
      </c>
    </row>
    <row r="37">
      <c r="A37" s="2" t="s">
        <v>11026</v>
      </c>
      <c r="B37" s="2" t="s">
        <v>11027</v>
      </c>
      <c r="C37" s="2" t="s">
        <v>24931</v>
      </c>
      <c r="D37" s="18">
        <v>36.0</v>
      </c>
      <c r="E37" s="2" t="str">
        <f t="shared" si="1"/>
        <v>E1_1_1_193</v>
      </c>
      <c r="F37" s="19" t="s">
        <v>25616</v>
      </c>
      <c r="G37" s="19" t="s">
        <v>25617</v>
      </c>
      <c r="H37" s="19" t="s">
        <v>25618</v>
      </c>
      <c r="I37" s="19" t="s">
        <v>25619</v>
      </c>
      <c r="J37" s="2" t="str">
        <f t="shared" si="2"/>
        <v>(${Variables:E1_1_1_193_kcat} * E1_1_1_193 * C04454 * C00006)/(${Variables:E1_1_1_193_km} + (E1_1_1_193 * C04454 * C00006))</v>
      </c>
      <c r="K37" s="2" t="str">
        <f t="shared" si="3"/>
        <v>r36: C04454 + C00006 -&gt; C01268 + C00005 + C00080 | (${Variables:E1_1_1_193_kcat} * E1_1_1_193 * C04454 * C00006)/(${Variables:E1_1_1_193_km} + (E1_1_1_193 * C04454 * C00006))</v>
      </c>
    </row>
    <row r="38">
      <c r="A38" s="2" t="s">
        <v>7171</v>
      </c>
      <c r="B38" s="2" t="s">
        <v>7172</v>
      </c>
      <c r="C38" s="2" t="s">
        <v>24932</v>
      </c>
      <c r="D38" s="18">
        <v>37.0</v>
      </c>
      <c r="E38" s="2" t="str">
        <f t="shared" si="1"/>
        <v>E1_1_1_205</v>
      </c>
      <c r="F38" s="19" t="s">
        <v>25620</v>
      </c>
      <c r="G38" s="19" t="s">
        <v>25621</v>
      </c>
      <c r="H38" s="19" t="s">
        <v>25622</v>
      </c>
      <c r="I38" s="19" t="s">
        <v>25623</v>
      </c>
      <c r="J38" s="2" t="str">
        <f t="shared" si="2"/>
        <v>(${Variables:E1_1_1_205_kcat} * E1_1_1_205 * C00130 * C00003 * C00001)/(${Variables:E1_1_1_205_km} + (E1_1_1_205 * C00130 * C00003 * C00001))</v>
      </c>
      <c r="K38" s="2" t="str">
        <f t="shared" si="3"/>
        <v>r37: C00130 + C00003 + C00001 -&gt; C00655 + C00004 + C00080 | (${Variables:E1_1_1_205_kcat} * E1_1_1_205 * C00130 * C00003 * C00001)/(${Variables:E1_1_1_205_km} + (E1_1_1_205 * C00130 * C00003 * C00001))</v>
      </c>
    </row>
    <row r="39">
      <c r="A39" s="2" t="s">
        <v>7171</v>
      </c>
      <c r="B39" s="2" t="s">
        <v>7172</v>
      </c>
      <c r="C39" s="2" t="s">
        <v>24932</v>
      </c>
      <c r="D39" s="18">
        <v>38.0</v>
      </c>
      <c r="E39" s="2" t="str">
        <f t="shared" si="1"/>
        <v>E1_1_1_205</v>
      </c>
      <c r="F39" s="19" t="s">
        <v>25624</v>
      </c>
      <c r="G39" s="19" t="s">
        <v>25625</v>
      </c>
      <c r="H39" s="19" t="s">
        <v>25626</v>
      </c>
      <c r="I39" s="19" t="s">
        <v>25627</v>
      </c>
      <c r="J39" s="2" t="str">
        <f t="shared" si="2"/>
        <v>(${Variables:E1_1_1_205_kcat} * E1_1_1_205 * C04646 * C00003 * C00001)/(${Variables:E1_1_1_205_km} + (E1_1_1_205 * C04646 * C00003 * C00001))</v>
      </c>
      <c r="K39" s="2" t="str">
        <f t="shared" si="3"/>
        <v>r38: C04646 + C00003 + C00001 -&gt; C16618 + C00004 + C00080 | (${Variables:E1_1_1_205_kcat} * E1_1_1_205 * C04646 * C00003 * C00001)/(${Variables:E1_1_1_205_km} + (E1_1_1_205 * C04646 * C00003 * C00001))</v>
      </c>
    </row>
    <row r="40">
      <c r="A40" s="2" t="s">
        <v>3410</v>
      </c>
      <c r="B40" s="2" t="s">
        <v>3411</v>
      </c>
      <c r="C40" s="2" t="s">
        <v>24933</v>
      </c>
      <c r="D40" s="18">
        <v>39.0</v>
      </c>
      <c r="E40" s="2" t="str">
        <f t="shared" si="1"/>
        <v>E1_1_1_23</v>
      </c>
      <c r="F40" s="19" t="s">
        <v>25628</v>
      </c>
      <c r="G40" s="19" t="s">
        <v>25629</v>
      </c>
      <c r="H40" s="19" t="s">
        <v>25630</v>
      </c>
      <c r="I40" s="19" t="s">
        <v>25631</v>
      </c>
      <c r="J40" s="2" t="str">
        <f t="shared" si="2"/>
        <v>(${Variables:E1_1_1_23_kcat} * E1_1_1_23 * C00860 * C00003 * C00001)/(${Variables:E1_1_1_23_km} + (E1_1_1_23 * C00860 * C00003 * C00001))</v>
      </c>
      <c r="K40" s="2" t="str">
        <f t="shared" si="3"/>
        <v>r39: C00860 + C00003 + C00001 -&gt; C00135 + C00004 + C00080 | (${Variables:E1_1_1_23_kcat} * E1_1_1_23 * C00860 * C00003 * C00001)/(${Variables:E1_1_1_23_km} + (E1_1_1_23 * C00860 * C00003 * C00001))</v>
      </c>
    </row>
    <row r="41">
      <c r="A41" s="2" t="s">
        <v>3410</v>
      </c>
      <c r="B41" s="2" t="s">
        <v>3411</v>
      </c>
      <c r="C41" s="2" t="s">
        <v>24933</v>
      </c>
      <c r="D41" s="18">
        <v>40.0</v>
      </c>
      <c r="E41" s="2" t="str">
        <f t="shared" si="1"/>
        <v>E1_1_1_23</v>
      </c>
      <c r="F41" s="19" t="s">
        <v>25632</v>
      </c>
      <c r="G41" s="19" t="s">
        <v>25633</v>
      </c>
      <c r="H41" s="19" t="s">
        <v>25630</v>
      </c>
      <c r="I41" s="19" t="s">
        <v>25631</v>
      </c>
      <c r="J41" s="2" t="str">
        <f t="shared" si="2"/>
        <v>(${Variables:E1_1_1_23_kcat} * E1_1_1_23 * C01929 * C00001 * C00003)/(${Variables:E1_1_1_23_km} + (E1_1_1_23 * C01929 * C00001 * C00003))</v>
      </c>
      <c r="K41" s="2" t="str">
        <f t="shared" si="3"/>
        <v>r40: C01929 + C00001 + C00003 -&gt; C00135 + C00004 + C00080 | (${Variables:E1_1_1_23_kcat} * E1_1_1_23 * C01929 * C00001 * C00003)/(${Variables:E1_1_1_23_km} + (E1_1_1_23 * C01929 * C00001 * C00003))</v>
      </c>
    </row>
    <row r="42">
      <c r="A42" s="2" t="s">
        <v>3410</v>
      </c>
      <c r="B42" s="2" t="s">
        <v>3411</v>
      </c>
      <c r="C42" s="2" t="s">
        <v>24933</v>
      </c>
      <c r="D42" s="18">
        <v>41.0</v>
      </c>
      <c r="E42" s="2" t="str">
        <f t="shared" si="1"/>
        <v>E1_1_1_23</v>
      </c>
      <c r="F42" s="19" t="s">
        <v>25634</v>
      </c>
      <c r="G42" s="19" t="s">
        <v>25635</v>
      </c>
      <c r="H42" s="19" t="s">
        <v>25636</v>
      </c>
      <c r="I42" s="19" t="s">
        <v>25637</v>
      </c>
      <c r="J42" s="2" t="str">
        <f t="shared" si="2"/>
        <v>(${Variables:E1_1_1_23_kcat} * E1_1_1_23 * C00860 * C00003)/(${Variables:E1_1_1_23_km} + (E1_1_1_23 * C00860 * C00003))</v>
      </c>
      <c r="K42" s="2" t="str">
        <f t="shared" si="3"/>
        <v>r41: C00860 + C00003 -&gt; C01929 + C00004 + C00080 | (${Variables:E1_1_1_23_kcat} * E1_1_1_23 * C00860 * C00003)/(${Variables:E1_1_1_23_km} + (E1_1_1_23 * C00860 * C00003))</v>
      </c>
    </row>
    <row r="43">
      <c r="A43" s="2" t="s">
        <v>10337</v>
      </c>
      <c r="B43" s="2" t="s">
        <v>10338</v>
      </c>
      <c r="C43" s="2" t="s">
        <v>24934</v>
      </c>
      <c r="D43" s="18">
        <v>42.0</v>
      </c>
      <c r="E43" s="2" t="str">
        <f t="shared" si="1"/>
        <v>E1_1_1_25</v>
      </c>
      <c r="F43" s="19" t="s">
        <v>25638</v>
      </c>
      <c r="G43" s="19" t="s">
        <v>25639</v>
      </c>
      <c r="H43" s="19" t="s">
        <v>25640</v>
      </c>
      <c r="I43" s="19" t="s">
        <v>25641</v>
      </c>
      <c r="J43" s="2" t="str">
        <f t="shared" si="2"/>
        <v>(${Variables:E1_1_1_25_kcat} * E1_1_1_25 * C00493 * C00006)/(${Variables:E1_1_1_25_km} + (E1_1_1_25 * C00493 * C00006))</v>
      </c>
      <c r="K43" s="2" t="str">
        <f t="shared" si="3"/>
        <v>r42: C00493 + C00006 -&gt; C02637 + C00005 + C00080 | (${Variables:E1_1_1_25_kcat} * E1_1_1_25 * C00493 * C00006)/(${Variables:E1_1_1_25_km} + (E1_1_1_25 * C00493 * C00006))</v>
      </c>
    </row>
    <row r="44">
      <c r="A44" s="2" t="s">
        <v>10337</v>
      </c>
      <c r="B44" s="2" t="s">
        <v>10338</v>
      </c>
      <c r="C44" s="2" t="s">
        <v>24934</v>
      </c>
      <c r="D44" s="18">
        <v>43.0</v>
      </c>
      <c r="E44" s="2" t="str">
        <f t="shared" si="1"/>
        <v>E1_1_1_25</v>
      </c>
      <c r="F44" s="19" t="s">
        <v>25642</v>
      </c>
      <c r="G44" s="19" t="s">
        <v>25643</v>
      </c>
      <c r="H44" s="19" t="s">
        <v>25644</v>
      </c>
      <c r="I44" s="19" t="s">
        <v>25645</v>
      </c>
      <c r="J44" s="2" t="str">
        <f t="shared" si="2"/>
        <v>(${Variables:E1_1_1_25_kcat} * E1_1_1_25 * C02637 * C00006)/(${Variables:E1_1_1_25_km} + (E1_1_1_25 * C02637 * C00006))</v>
      </c>
      <c r="K44" s="2" t="str">
        <f t="shared" si="3"/>
        <v>r43: C02637 + C00006 -&gt; C22438 + C00005 + C00080 | (${Variables:E1_1_1_25_kcat} * E1_1_1_25 * C02637 * C00006)/(${Variables:E1_1_1_25_km} + (E1_1_1_25 * C02637 * C00006))</v>
      </c>
    </row>
    <row r="45">
      <c r="A45" s="2" t="s">
        <v>11939</v>
      </c>
      <c r="B45" s="2" t="s">
        <v>11940</v>
      </c>
      <c r="C45" s="2" t="s">
        <v>24935</v>
      </c>
      <c r="D45" s="18">
        <v>44.0</v>
      </c>
      <c r="E45" s="2" t="str">
        <f t="shared" si="1"/>
        <v>E1_1_1_267</v>
      </c>
      <c r="F45" s="19" t="s">
        <v>25646</v>
      </c>
      <c r="G45" s="19" t="s">
        <v>25647</v>
      </c>
      <c r="H45" s="19" t="s">
        <v>25648</v>
      </c>
      <c r="I45" s="19" t="s">
        <v>25649</v>
      </c>
      <c r="J45" s="2" t="str">
        <f t="shared" si="2"/>
        <v>(${Variables:E1_1_1_267_kcat} * E1_1_1_267 * C11434 * C00006)/(${Variables:E1_1_1_267_km} + (E1_1_1_267 * C11434 * C00006))</v>
      </c>
      <c r="K45" s="2" t="str">
        <f t="shared" si="3"/>
        <v>r44: C11434 + C00006 -&gt; C11437 + C00005 + C00080 | (${Variables:E1_1_1_267_kcat} * E1_1_1_267 * C11434 * C00006)/(${Variables:E1_1_1_267_km} + (E1_1_1_267 * C11434 * C00006))</v>
      </c>
    </row>
    <row r="46">
      <c r="A46" s="2" t="s">
        <v>254</v>
      </c>
      <c r="B46" s="2" t="s">
        <v>255</v>
      </c>
      <c r="C46" s="2" t="s">
        <v>24937</v>
      </c>
      <c r="D46" s="18">
        <v>45.0</v>
      </c>
      <c r="E46" s="2" t="str">
        <f t="shared" si="1"/>
        <v>E1_1_1_3</v>
      </c>
      <c r="F46" s="19" t="s">
        <v>25650</v>
      </c>
      <c r="G46" s="19" t="s">
        <v>25651</v>
      </c>
      <c r="H46" s="19" t="s">
        <v>25652</v>
      </c>
      <c r="I46" s="19" t="s">
        <v>25653</v>
      </c>
      <c r="J46" s="2" t="str">
        <f t="shared" si="2"/>
        <v>(${Variables:E1_1_1_3_kcat} * E1_1_1_3 * C00263 * C00003)/(${Variables:E1_1_1_3_km} + (E1_1_1_3 * C00263 * C00003))</v>
      </c>
      <c r="K46" s="2" t="str">
        <f t="shared" si="3"/>
        <v>r45: C00263 + C00003 -&gt; C00441 + C00004 + C00080 | (${Variables:E1_1_1_3_kcat} * E1_1_1_3 * C00263 * C00003)/(${Variables:E1_1_1_3_km} + (E1_1_1_3 * C00263 * C00003))</v>
      </c>
    </row>
    <row r="47">
      <c r="A47" s="2" t="s">
        <v>254</v>
      </c>
      <c r="B47" s="2" t="s">
        <v>255</v>
      </c>
      <c r="C47" s="2" t="s">
        <v>24937</v>
      </c>
      <c r="D47" s="18">
        <v>46.0</v>
      </c>
      <c r="E47" s="2" t="str">
        <f t="shared" si="1"/>
        <v>E1_1_1_3</v>
      </c>
      <c r="F47" s="19" t="s">
        <v>25654</v>
      </c>
      <c r="G47" s="19" t="s">
        <v>25655</v>
      </c>
      <c r="H47" s="19" t="s">
        <v>25656</v>
      </c>
      <c r="I47" s="19" t="s">
        <v>25657</v>
      </c>
      <c r="J47" s="2" t="str">
        <f t="shared" si="2"/>
        <v>(${Variables:E1_1_1_3_kcat} * E1_1_1_3 * C00263 * C00006)/(${Variables:E1_1_1_3_km} + (E1_1_1_3 * C00263 * C00006))</v>
      </c>
      <c r="K47" s="2" t="str">
        <f t="shared" si="3"/>
        <v>r46: C00263 + C00006 -&gt; C00441 + C00005 + C00080 | (${Variables:E1_1_1_3_kcat} * E1_1_1_3 * C00263 * C00006)/(${Variables:E1_1_1_3_km} + (E1_1_1_3 * C00263 * C00006))</v>
      </c>
    </row>
    <row r="48">
      <c r="A48" s="2" t="s">
        <v>12669</v>
      </c>
      <c r="B48" s="2" t="s">
        <v>12670</v>
      </c>
      <c r="C48" s="2" t="s">
        <v>24938</v>
      </c>
      <c r="D48" s="18">
        <v>47.0</v>
      </c>
      <c r="E48" s="2" t="str">
        <f t="shared" si="1"/>
        <v>E1_1_1_320</v>
      </c>
      <c r="F48" s="19" t="s">
        <v>25658</v>
      </c>
      <c r="G48" s="19" t="s">
        <v>25659</v>
      </c>
      <c r="H48" s="19" t="s">
        <v>25660</v>
      </c>
      <c r="I48" s="19" t="s">
        <v>25661</v>
      </c>
      <c r="J48" s="2" t="str">
        <f t="shared" si="2"/>
        <v>(${Variables:E1_1_1_320_kcat} * E1_1_1_320 * C20227 * C00006)/(${Variables:E1_1_1_320_km} + (E1_1_1_320 * C20227 * C00006))</v>
      </c>
      <c r="K48" s="2" t="str">
        <f t="shared" si="3"/>
        <v>r47: C20227 + C00006 -&gt; C20226 + C00005 + C00080 | (${Variables:E1_1_1_320_kcat} * E1_1_1_320 * C20227 * C00006)/(${Variables:E1_1_1_320_km} + (E1_1_1_320 * C20227 * C00006))</v>
      </c>
    </row>
    <row r="49">
      <c r="A49" s="2" t="s">
        <v>9574</v>
      </c>
      <c r="B49" s="2" t="s">
        <v>9575</v>
      </c>
      <c r="C49" s="2" t="s">
        <v>24939</v>
      </c>
      <c r="D49" s="18">
        <v>48.0</v>
      </c>
      <c r="E49" s="2" t="str">
        <f t="shared" si="1"/>
        <v>E1_1_1_37</v>
      </c>
      <c r="F49" s="19" t="s">
        <v>25662</v>
      </c>
      <c r="G49" s="19" t="s">
        <v>25663</v>
      </c>
      <c r="H49" s="19" t="s">
        <v>25664</v>
      </c>
      <c r="I49" s="19" t="s">
        <v>25665</v>
      </c>
      <c r="J49" s="2" t="str">
        <f t="shared" si="2"/>
        <v>(${Variables:E1_1_1_37_kcat} * E1_1_1_37 * C00149 * C00003)/(${Variables:E1_1_1_37_km} + (E1_1_1_37 * C00149 * C00003))</v>
      </c>
      <c r="K49" s="2" t="str">
        <f t="shared" si="3"/>
        <v>r48: C00149 + C00003 -&gt; C00036 + C00004 + C00080 | (${Variables:E1_1_1_37_kcat} * E1_1_1_37 * C00149 * C00003)/(${Variables:E1_1_1_37_km} + (E1_1_1_37 * C00149 * C00003))</v>
      </c>
    </row>
    <row r="50">
      <c r="A50" s="2" t="s">
        <v>9574</v>
      </c>
      <c r="B50" s="2" t="s">
        <v>9575</v>
      </c>
      <c r="C50" s="2" t="s">
        <v>24939</v>
      </c>
      <c r="D50" s="18">
        <v>49.0</v>
      </c>
      <c r="E50" s="2" t="str">
        <f t="shared" si="1"/>
        <v>E1_1_1_37</v>
      </c>
      <c r="F50" s="19" t="s">
        <v>25666</v>
      </c>
      <c r="G50" s="19" t="s">
        <v>25667</v>
      </c>
      <c r="H50" s="19" t="s">
        <v>25668</v>
      </c>
      <c r="I50" s="19" t="s">
        <v>25669</v>
      </c>
      <c r="J50" s="2" t="str">
        <f t="shared" si="2"/>
        <v>(${Variables:E1_1_1_37_kcat} * E1_1_1_37 * C11537 * C00003)/(${Variables:E1_1_1_37_km} + (E1_1_1_37 * C11537 * C00003))</v>
      </c>
      <c r="K50" s="2" t="str">
        <f t="shared" si="3"/>
        <v>r49: C11537 + C00003 -&gt; C05528 + C00004 + C00080 | (${Variables:E1_1_1_37_kcat} * E1_1_1_37 * C11537 * C00003)/(${Variables:E1_1_1_37_km} + (E1_1_1_37 * C11537 * C00003))</v>
      </c>
    </row>
    <row r="51">
      <c r="A51" s="2" t="s">
        <v>5407</v>
      </c>
      <c r="B51" s="2" t="s">
        <v>5408</v>
      </c>
      <c r="C51" s="2" t="s">
        <v>24940</v>
      </c>
      <c r="D51" s="18">
        <v>50.0</v>
      </c>
      <c r="E51" s="2" t="str">
        <f t="shared" si="1"/>
        <v>E1_1_1_4</v>
      </c>
      <c r="F51" s="19" t="s">
        <v>25670</v>
      </c>
      <c r="G51" s="19" t="s">
        <v>25671</v>
      </c>
      <c r="H51" s="19" t="s">
        <v>25672</v>
      </c>
      <c r="I51" s="19" t="s">
        <v>25673</v>
      </c>
      <c r="J51" s="2" t="str">
        <f t="shared" si="2"/>
        <v>(${Variables:E1_1_1_4_kcat} * E1_1_1_4 * C03044 * C00003)/(${Variables:E1_1_1_4_km} + (E1_1_1_4 * C03044 * C00003))</v>
      </c>
      <c r="K51" s="2" t="str">
        <f t="shared" si="3"/>
        <v>r50: C03044 + C00003 -&gt; C00810 + C00004 + C00080 | (${Variables:E1_1_1_4_kcat} * E1_1_1_4 * C03044 * C00003)/(${Variables:E1_1_1_4_km} + (E1_1_1_4 * C03044 * C00003))</v>
      </c>
    </row>
    <row r="52">
      <c r="A52" s="2" t="s">
        <v>3429</v>
      </c>
      <c r="B52" s="2" t="s">
        <v>3430</v>
      </c>
      <c r="C52" s="2" t="s">
        <v>24941</v>
      </c>
      <c r="D52" s="18">
        <v>51.0</v>
      </c>
      <c r="E52" s="2" t="str">
        <f t="shared" si="1"/>
        <v>E1_1_1_85</v>
      </c>
      <c r="F52" s="19" t="s">
        <v>25674</v>
      </c>
      <c r="G52" s="19" t="s">
        <v>25675</v>
      </c>
      <c r="H52" s="19" t="s">
        <v>25676</v>
      </c>
      <c r="I52" s="19" t="s">
        <v>25677</v>
      </c>
      <c r="J52" s="2" t="str">
        <f t="shared" si="2"/>
        <v>(${Variables:E1_1_1_85_kcat} * E1_1_1_85 * C00109 * C00011 * C00004 * C00080)/(${Variables:E1_1_1_85_km} + (E1_1_1_85 * C00109 * C00011 * C00004 * C00080))</v>
      </c>
      <c r="K52" s="2" t="str">
        <f t="shared" si="3"/>
        <v>r51: C00109 + C00011 + C00004 + C00080 -&gt; C06032 + C00003 | (${Variables:E1_1_1_85_kcat} * E1_1_1_85 * C00109 * C00011 * C00004 * C00080)/(${Variables:E1_1_1_85_km} + (E1_1_1_85 * C00109 * C00011 * C00004 * C00080))</v>
      </c>
    </row>
    <row r="53">
      <c r="A53" s="2" t="s">
        <v>3429</v>
      </c>
      <c r="B53" s="2" t="s">
        <v>3430</v>
      </c>
      <c r="C53" s="2" t="s">
        <v>24941</v>
      </c>
      <c r="D53" s="18">
        <v>52.0</v>
      </c>
      <c r="E53" s="2" t="str">
        <f t="shared" si="1"/>
        <v>E1_1_1_85</v>
      </c>
      <c r="F53" s="19" t="s">
        <v>25678</v>
      </c>
      <c r="G53" s="19" t="s">
        <v>25679</v>
      </c>
      <c r="H53" s="19" t="s">
        <v>15073</v>
      </c>
      <c r="I53" s="19" t="s">
        <v>15073</v>
      </c>
      <c r="J53" s="2" t="str">
        <f t="shared" si="2"/>
        <v>(${Variables:E1_1_1_85_kcat} * E1_1_1_85 * C00233 * C00011)/(${Variables:E1_1_1_85_km} + (E1_1_1_85 * C00233 * C00011))</v>
      </c>
      <c r="K53" s="2" t="str">
        <f t="shared" si="3"/>
        <v>r52: C00233 + C00011 -&gt; C04236 | (${Variables:E1_1_1_85_kcat} * E1_1_1_85 * C00233 * C00011)/(${Variables:E1_1_1_85_km} + (E1_1_1_85 * C00233 * C00011))</v>
      </c>
    </row>
    <row r="54">
      <c r="A54" s="2" t="s">
        <v>3429</v>
      </c>
      <c r="B54" s="2" t="s">
        <v>3430</v>
      </c>
      <c r="C54" s="2" t="s">
        <v>24941</v>
      </c>
      <c r="D54" s="18">
        <v>53.0</v>
      </c>
      <c r="E54" s="2" t="str">
        <f t="shared" si="1"/>
        <v>E1_1_1_85</v>
      </c>
      <c r="F54" s="19" t="s">
        <v>25680</v>
      </c>
      <c r="G54" s="19" t="s">
        <v>25681</v>
      </c>
      <c r="H54" s="19" t="s">
        <v>25682</v>
      </c>
      <c r="I54" s="19" t="s">
        <v>25683</v>
      </c>
      <c r="J54" s="2" t="str">
        <f t="shared" si="2"/>
        <v>(${Variables:E1_1_1_85_kcat} * E1_1_1_85 * C04411 * C00003)/(${Variables:E1_1_1_85_km} + (E1_1_1_85 * C04411 * C00003))</v>
      </c>
      <c r="K54" s="2" t="str">
        <f t="shared" si="3"/>
        <v>r53: C04411 + C00003 -&gt; C04236 + C00004 + C00080 | (${Variables:E1_1_1_85_kcat} * E1_1_1_85 * C04411 * C00003)/(${Variables:E1_1_1_85_km} + (E1_1_1_85 * C04411 * C00003))</v>
      </c>
    </row>
    <row r="55">
      <c r="A55" s="2" t="s">
        <v>3429</v>
      </c>
      <c r="B55" s="2" t="s">
        <v>3430</v>
      </c>
      <c r="C55" s="2" t="s">
        <v>24941</v>
      </c>
      <c r="D55" s="18">
        <v>54.0</v>
      </c>
      <c r="E55" s="2" t="str">
        <f t="shared" si="1"/>
        <v>E1_1_1_85</v>
      </c>
      <c r="F55" s="19" t="s">
        <v>25680</v>
      </c>
      <c r="G55" s="19" t="s">
        <v>25681</v>
      </c>
      <c r="H55" s="19" t="s">
        <v>25684</v>
      </c>
      <c r="I55" s="19" t="s">
        <v>25685</v>
      </c>
      <c r="J55" s="2" t="str">
        <f t="shared" si="2"/>
        <v>(${Variables:E1_1_1_85_kcat} * E1_1_1_85 * C04411 * C00003)/(${Variables:E1_1_1_85_km} + (E1_1_1_85 * C04411 * C00003))</v>
      </c>
      <c r="K55" s="2" t="str">
        <f t="shared" si="3"/>
        <v>r54: C04411 + C00003 -&gt; C00233 + C00011 + C00004 + C00080 | (${Variables:E1_1_1_85_kcat} * E1_1_1_85 * C04411 * C00003)/(${Variables:E1_1_1_85_km} + (E1_1_1_85 * C04411 * C00003))</v>
      </c>
    </row>
    <row r="56">
      <c r="A56" s="2" t="s">
        <v>2305</v>
      </c>
      <c r="B56" s="2" t="s">
        <v>2306</v>
      </c>
      <c r="C56" s="2" t="s">
        <v>24942</v>
      </c>
      <c r="D56" s="18">
        <v>55.0</v>
      </c>
      <c r="E56" s="2" t="str">
        <f t="shared" si="1"/>
        <v>E1_1_1_86</v>
      </c>
      <c r="F56" s="19" t="s">
        <v>25686</v>
      </c>
      <c r="G56" s="19" t="s">
        <v>25687</v>
      </c>
      <c r="H56" s="19" t="s">
        <v>25688</v>
      </c>
      <c r="I56" s="19" t="s">
        <v>25689</v>
      </c>
      <c r="J56" s="2" t="str">
        <f t="shared" si="2"/>
        <v>(${Variables:E1_1_1_86_kcat} * E1_1_1_86 * C00900 * C00005 * C00080)/(${Variables:E1_1_1_86_km} + (E1_1_1_86 * C00900 * C00005 * C00080))</v>
      </c>
      <c r="K56" s="2" t="str">
        <f t="shared" si="3"/>
        <v>r55: C00900 + C00005 + C00080 -&gt; C04039 + C00006 | (${Variables:E1_1_1_86_kcat} * E1_1_1_86 * C00900 * C00005 * C00080)/(${Variables:E1_1_1_86_km} + (E1_1_1_86 * C00900 * C00005 * C00080))</v>
      </c>
    </row>
    <row r="57">
      <c r="A57" s="2" t="s">
        <v>2305</v>
      </c>
      <c r="B57" s="2" t="s">
        <v>2306</v>
      </c>
      <c r="C57" s="2" t="s">
        <v>24942</v>
      </c>
      <c r="D57" s="18">
        <v>56.0</v>
      </c>
      <c r="E57" s="2" t="str">
        <f t="shared" si="1"/>
        <v>E1_1_1_86</v>
      </c>
      <c r="F57" s="19" t="s">
        <v>25690</v>
      </c>
      <c r="G57" s="19" t="s">
        <v>25691</v>
      </c>
      <c r="H57" s="19" t="s">
        <v>25692</v>
      </c>
      <c r="I57" s="19" t="s">
        <v>25693</v>
      </c>
      <c r="J57" s="2" t="str">
        <f t="shared" si="2"/>
        <v>(${Variables:E1_1_1_86_kcat} * E1_1_1_86 * C04272 * C00006)/(${Variables:E1_1_1_86_km} + (E1_1_1_86 * C04272 * C00006))</v>
      </c>
      <c r="K57" s="2" t="str">
        <f t="shared" si="3"/>
        <v>r56: C04272 + C00006 -&gt; C06010 + C00005 + C00080 | (${Variables:E1_1_1_86_kcat} * E1_1_1_86 * C04272 * C00006)/(${Variables:E1_1_1_86_km} + (E1_1_1_86 * C04272 * C00006))</v>
      </c>
    </row>
    <row r="58">
      <c r="A58" s="2" t="s">
        <v>2305</v>
      </c>
      <c r="B58" s="2" t="s">
        <v>2306</v>
      </c>
      <c r="C58" s="2" t="s">
        <v>24942</v>
      </c>
      <c r="D58" s="18">
        <v>57.0</v>
      </c>
      <c r="E58" s="2" t="str">
        <f t="shared" si="1"/>
        <v>E1_1_1_86</v>
      </c>
      <c r="F58" s="19" t="s">
        <v>25690</v>
      </c>
      <c r="G58" s="19" t="s">
        <v>25691</v>
      </c>
      <c r="H58" s="19" t="s">
        <v>25694</v>
      </c>
      <c r="I58" s="19" t="s">
        <v>25695</v>
      </c>
      <c r="J58" s="2" t="str">
        <f t="shared" si="2"/>
        <v>(${Variables:E1_1_1_86_kcat} * E1_1_1_86 * C04272 * C00006)/(${Variables:E1_1_1_86_km} + (E1_1_1_86 * C04272 * C00006))</v>
      </c>
      <c r="K58" s="2" t="str">
        <f t="shared" si="3"/>
        <v>r57: C04272 + C00006 -&gt; C04181 + C00005 + C00080 | (${Variables:E1_1_1_86_kcat} * E1_1_1_86 * C04272 * C00006)/(${Variables:E1_1_1_86_km} + (E1_1_1_86 * C04272 * C00006))</v>
      </c>
    </row>
    <row r="59">
      <c r="A59" s="2" t="s">
        <v>2305</v>
      </c>
      <c r="B59" s="2" t="s">
        <v>2306</v>
      </c>
      <c r="C59" s="2" t="s">
        <v>24942</v>
      </c>
      <c r="D59" s="18">
        <v>58.0</v>
      </c>
      <c r="E59" s="2" t="str">
        <f t="shared" si="1"/>
        <v>E1_1_1_86</v>
      </c>
      <c r="F59" s="19" t="s">
        <v>25696</v>
      </c>
      <c r="G59" s="19" t="s">
        <v>25697</v>
      </c>
      <c r="H59" s="19" t="s">
        <v>25698</v>
      </c>
      <c r="I59" s="19" t="s">
        <v>25699</v>
      </c>
      <c r="J59" s="2" t="str">
        <f t="shared" si="2"/>
        <v>(${Variables:E1_1_1_86_kcat} * E1_1_1_86 * C06007 * C00006)/(${Variables:E1_1_1_86_km} + (E1_1_1_86 * C06007 * C00006))</v>
      </c>
      <c r="K59" s="2" t="str">
        <f t="shared" si="3"/>
        <v>r58: C06007 + C00006 -&gt; C14463 + C00005 + C00080 | (${Variables:E1_1_1_86_kcat} * E1_1_1_86 * C06007 * C00006)/(${Variables:E1_1_1_86_km} + (E1_1_1_86 * C06007 * C00006))</v>
      </c>
    </row>
    <row r="60">
      <c r="A60" s="2" t="s">
        <v>2305</v>
      </c>
      <c r="B60" s="2" t="s">
        <v>2306</v>
      </c>
      <c r="C60" s="2" t="s">
        <v>24942</v>
      </c>
      <c r="D60" s="18">
        <v>59.0</v>
      </c>
      <c r="E60" s="2" t="str">
        <f t="shared" si="1"/>
        <v>E1_1_1_86</v>
      </c>
      <c r="F60" s="19" t="s">
        <v>15093</v>
      </c>
      <c r="G60" s="19" t="s">
        <v>15093</v>
      </c>
      <c r="H60" s="19" t="s">
        <v>15094</v>
      </c>
      <c r="I60" s="19" t="s">
        <v>15094</v>
      </c>
      <c r="J60" s="2" t="str">
        <f t="shared" si="2"/>
        <v>(${Variables:E1_1_1_86_kcat} * E1_1_1_86 * C06006)/(${Variables:E1_1_1_86_km} + (E1_1_1_86 * C06006))</v>
      </c>
      <c r="K60" s="2" t="str">
        <f t="shared" si="3"/>
        <v>r59: C06006 -&gt; C14463 | (${Variables:E1_1_1_86_kcat} * E1_1_1_86 * C06006)/(${Variables:E1_1_1_86_km} + (E1_1_1_86 * C06006))</v>
      </c>
    </row>
    <row r="61">
      <c r="A61" s="2" t="s">
        <v>2305</v>
      </c>
      <c r="B61" s="2" t="s">
        <v>2306</v>
      </c>
      <c r="C61" s="2" t="s">
        <v>24942</v>
      </c>
      <c r="D61" s="18">
        <v>60.0</v>
      </c>
      <c r="E61" s="2" t="str">
        <f t="shared" si="1"/>
        <v>E1_1_1_86</v>
      </c>
      <c r="F61" s="19" t="s">
        <v>15096</v>
      </c>
      <c r="G61" s="19" t="s">
        <v>15096</v>
      </c>
      <c r="H61" s="19" t="s">
        <v>15097</v>
      </c>
      <c r="I61" s="19" t="s">
        <v>15097</v>
      </c>
      <c r="J61" s="2" t="str">
        <f t="shared" si="2"/>
        <v>(${Variables:E1_1_1_86_kcat} * E1_1_1_86 * C06010)/(${Variables:E1_1_1_86_km} + (E1_1_1_86 * C06010))</v>
      </c>
      <c r="K61" s="2" t="str">
        <f t="shared" si="3"/>
        <v>r60: C06010 -&gt; C04181 | (${Variables:E1_1_1_86_kcat} * E1_1_1_86 * C06010)/(${Variables:E1_1_1_86_km} + (E1_1_1_86 * C06010))</v>
      </c>
    </row>
    <row r="62">
      <c r="A62" s="2" t="s">
        <v>3113</v>
      </c>
      <c r="B62" s="2" t="s">
        <v>3114</v>
      </c>
      <c r="C62" s="2" t="s">
        <v>24943</v>
      </c>
      <c r="D62" s="18">
        <v>61.0</v>
      </c>
      <c r="E62" s="2" t="str">
        <f t="shared" si="1"/>
        <v>E1_1_1_94</v>
      </c>
      <c r="F62" s="19" t="s">
        <v>25700</v>
      </c>
      <c r="G62" s="19" t="s">
        <v>25701</v>
      </c>
      <c r="H62" s="19" t="s">
        <v>25702</v>
      </c>
      <c r="I62" s="19" t="s">
        <v>25703</v>
      </c>
      <c r="J62" s="2" t="str">
        <f t="shared" si="2"/>
        <v>(${Variables:E1_1_1_94_kcat} * E1_1_1_94 * C00093 * C00003)/(${Variables:E1_1_1_94_km} + (E1_1_1_94 * C00093 * C00003))</v>
      </c>
      <c r="K62" s="2" t="str">
        <f t="shared" si="3"/>
        <v>r61: C00093 + C00003 -&gt; C00111 + C00004 + C00080 | (${Variables:E1_1_1_94_kcat} * E1_1_1_94 * C00093 * C00003)/(${Variables:E1_1_1_94_km} + (E1_1_1_94 * C00093 * C00003))</v>
      </c>
    </row>
    <row r="63">
      <c r="A63" s="2" t="s">
        <v>3113</v>
      </c>
      <c r="B63" s="2" t="s">
        <v>3114</v>
      </c>
      <c r="C63" s="2" t="s">
        <v>24943</v>
      </c>
      <c r="D63" s="18">
        <v>62.0</v>
      </c>
      <c r="E63" s="2" t="str">
        <f t="shared" si="1"/>
        <v>E1_1_1_94</v>
      </c>
      <c r="F63" s="19" t="s">
        <v>25704</v>
      </c>
      <c r="G63" s="19" t="s">
        <v>25705</v>
      </c>
      <c r="H63" s="19" t="s">
        <v>25706</v>
      </c>
      <c r="I63" s="19" t="s">
        <v>25707</v>
      </c>
      <c r="J63" s="2" t="str">
        <f t="shared" si="2"/>
        <v>(${Variables:E1_1_1_94_kcat} * E1_1_1_94 * C00093 * C00006)/(${Variables:E1_1_1_94_km} + (E1_1_1_94 * C00093 * C00006))</v>
      </c>
      <c r="K63" s="2" t="str">
        <f t="shared" si="3"/>
        <v>r62: C00093 + C00006 -&gt; C00111 + C00005 + C00080 | (${Variables:E1_1_1_94_kcat} * E1_1_1_94 * C00093 * C00006)/(${Variables:E1_1_1_94_km} + (E1_1_1_94 * C00093 * C00006))</v>
      </c>
    </row>
    <row r="64">
      <c r="A64" s="2" t="s">
        <v>4429</v>
      </c>
      <c r="B64" s="2" t="s">
        <v>4430</v>
      </c>
      <c r="C64" s="2" t="s">
        <v>24944</v>
      </c>
      <c r="D64" s="18">
        <v>63.0</v>
      </c>
      <c r="E64" s="2" t="str">
        <f t="shared" si="1"/>
        <v>E1_1_5_3</v>
      </c>
      <c r="F64" s="19" t="s">
        <v>25708</v>
      </c>
      <c r="G64" s="19" t="s">
        <v>25709</v>
      </c>
      <c r="H64" s="19" t="s">
        <v>25710</v>
      </c>
      <c r="I64" s="19" t="s">
        <v>25711</v>
      </c>
      <c r="J64" s="2" t="str">
        <f t="shared" si="2"/>
        <v>(${Variables:E1_1_5_3_kcat} * E1_1_5_3 * C00093 * C00016)/(${Variables:E1_1_5_3_km} + (E1_1_5_3 * C00093 * C00016))</v>
      </c>
      <c r="K64" s="2" t="str">
        <f t="shared" si="3"/>
        <v>r63: C00093 + C00016 -&gt; C00111 + C01352 | (${Variables:E1_1_5_3_kcat} * E1_1_5_3 * C00093 * C00016)/(${Variables:E1_1_5_3_km} + (E1_1_5_3 * C00093 * C00016))</v>
      </c>
    </row>
    <row r="65">
      <c r="A65" s="2" t="s">
        <v>4429</v>
      </c>
      <c r="B65" s="2" t="s">
        <v>4430</v>
      </c>
      <c r="C65" s="2" t="s">
        <v>24944</v>
      </c>
      <c r="D65" s="18">
        <v>64.0</v>
      </c>
      <c r="E65" s="2" t="str">
        <f t="shared" si="1"/>
        <v>E1_1_5_3</v>
      </c>
      <c r="F65" s="19" t="s">
        <v>25712</v>
      </c>
      <c r="G65" s="19" t="s">
        <v>25713</v>
      </c>
      <c r="H65" s="19" t="s">
        <v>25714</v>
      </c>
      <c r="I65" s="19" t="s">
        <v>25715</v>
      </c>
      <c r="J65" s="2" t="str">
        <f t="shared" si="2"/>
        <v>(${Variables:E1_1_5_3_kcat} * E1_1_5_3 * C00093 * C15602)/(${Variables:E1_1_5_3_km} + (E1_1_5_3 * C00093 * C15602))</v>
      </c>
      <c r="K65" s="2" t="str">
        <f t="shared" si="3"/>
        <v>r64: C00093 + C15602 -&gt; C00111 + C15603 | (${Variables:E1_1_5_3_kcat} * E1_1_5_3 * C00093 * C15602)/(${Variables:E1_1_5_3_km} + (E1_1_5_3 * C00093 * C15602))</v>
      </c>
    </row>
    <row r="66">
      <c r="A66" s="2" t="s">
        <v>4429</v>
      </c>
      <c r="B66" s="2" t="s">
        <v>4430</v>
      </c>
      <c r="C66" s="2" t="s">
        <v>24944</v>
      </c>
      <c r="D66" s="18">
        <v>65.0</v>
      </c>
      <c r="E66" s="2" t="str">
        <f t="shared" si="1"/>
        <v>E1_1_5_3</v>
      </c>
      <c r="F66" s="19" t="s">
        <v>25716</v>
      </c>
      <c r="G66" s="19" t="s">
        <v>25717</v>
      </c>
      <c r="H66" s="19" t="s">
        <v>25718</v>
      </c>
      <c r="I66" s="19" t="s">
        <v>25719</v>
      </c>
      <c r="J66" s="2" t="str">
        <f t="shared" si="2"/>
        <v>(${Variables:E1_1_5_3_kcat} * E1_1_5_3 * C00093 * C00399)/(${Variables:E1_1_5_3_km} + (E1_1_5_3 * C00093 * C00399))</v>
      </c>
      <c r="K66" s="2" t="str">
        <f t="shared" si="3"/>
        <v>r65: C00093 + C00399 -&gt; C00111 + C00390 | (${Variables:E1_1_5_3_kcat} * E1_1_5_3 * C00093 * C00399)/(${Variables:E1_1_5_3_km} + (E1_1_5_3 * C00093 * C00399))</v>
      </c>
    </row>
    <row r="67">
      <c r="A67" s="2" t="s">
        <v>14027</v>
      </c>
      <c r="B67" s="2" t="s">
        <v>14028</v>
      </c>
      <c r="C67" s="2" t="s">
        <v>24945</v>
      </c>
      <c r="D67" s="18">
        <v>66.0</v>
      </c>
      <c r="E67" s="2" t="str">
        <f t="shared" si="1"/>
        <v>E1_1_5_4</v>
      </c>
      <c r="F67" s="19" t="s">
        <v>25720</v>
      </c>
      <c r="G67" s="19" t="s">
        <v>25721</v>
      </c>
      <c r="H67" s="19" t="s">
        <v>25722</v>
      </c>
      <c r="I67" s="19" t="s">
        <v>25723</v>
      </c>
      <c r="J67" s="2" t="str">
        <f t="shared" si="2"/>
        <v>(${Variables:E1_1_5_4_kcat} * E1_1_5_4 * C00149 * C00007)/(${Variables:E1_1_5_4_km} + (E1_1_5_4 * C00149 * C00007))</v>
      </c>
      <c r="K67" s="2" t="str">
        <f t="shared" si="3"/>
        <v>r66: C00149 + C00007 -&gt; C00036 + C00027 | (${Variables:E1_1_5_4_kcat} * E1_1_5_4 * C00149 * C00007)/(${Variables:E1_1_5_4_km} + (E1_1_5_4 * C00149 * C00007))</v>
      </c>
    </row>
    <row r="68">
      <c r="A68" s="2" t="s">
        <v>14027</v>
      </c>
      <c r="B68" s="2" t="s">
        <v>14028</v>
      </c>
      <c r="C68" s="2" t="s">
        <v>24945</v>
      </c>
      <c r="D68" s="18">
        <v>67.0</v>
      </c>
      <c r="E68" s="2" t="str">
        <f t="shared" si="1"/>
        <v>E1_1_5_4</v>
      </c>
      <c r="F68" s="19" t="s">
        <v>25724</v>
      </c>
      <c r="G68" s="19" t="s">
        <v>25725</v>
      </c>
      <c r="H68" s="19" t="s">
        <v>25726</v>
      </c>
      <c r="I68" s="19" t="s">
        <v>25727</v>
      </c>
      <c r="J68" s="2" t="str">
        <f t="shared" si="2"/>
        <v>(${Variables:E1_1_5_4_kcat} * E1_1_5_4 * C00149 * C15602)/(${Variables:E1_1_5_4_km} + (E1_1_5_4 * C00149 * C15602))</v>
      </c>
      <c r="K68" s="2" t="str">
        <f t="shared" si="3"/>
        <v>r67: C00149 + C15602 -&gt; C00036 + C15603 | (${Variables:E1_1_5_4_kcat} * E1_1_5_4 * C00149 * C15602)/(${Variables:E1_1_5_4_km} + (E1_1_5_4 * C00149 * C15602))</v>
      </c>
    </row>
    <row r="69">
      <c r="A69" s="2" t="s">
        <v>14027</v>
      </c>
      <c r="B69" s="2" t="s">
        <v>14028</v>
      </c>
      <c r="C69" s="2" t="s">
        <v>24945</v>
      </c>
      <c r="D69" s="18">
        <v>68.0</v>
      </c>
      <c r="E69" s="2" t="str">
        <f t="shared" si="1"/>
        <v>E1_1_5_4</v>
      </c>
      <c r="F69" s="19" t="s">
        <v>25728</v>
      </c>
      <c r="G69" s="19" t="s">
        <v>25729</v>
      </c>
      <c r="H69" s="19" t="s">
        <v>25730</v>
      </c>
      <c r="I69" s="19" t="s">
        <v>25731</v>
      </c>
      <c r="J69" s="2" t="str">
        <f t="shared" si="2"/>
        <v>(${Variables:E1_1_5_4_kcat} * E1_1_5_4 * C00149 * C00016)/(${Variables:E1_1_5_4_km} + (E1_1_5_4 * C00149 * C00016))</v>
      </c>
      <c r="K69" s="2" t="str">
        <f t="shared" si="3"/>
        <v>r68: C00149 + C00016 -&gt; C00036 + C01352 | (${Variables:E1_1_5_4_kcat} * E1_1_5_4 * C00149 * C00016)/(${Variables:E1_1_5_4_km} + (E1_1_5_4 * C00149 * C00016))</v>
      </c>
    </row>
    <row r="70">
      <c r="A70" s="2" t="s">
        <v>3714</v>
      </c>
      <c r="B70" s="2" t="s">
        <v>3715</v>
      </c>
      <c r="C70" s="2" t="s">
        <v>24946</v>
      </c>
      <c r="D70" s="18">
        <v>69.0</v>
      </c>
      <c r="E70" s="2" t="str">
        <f t="shared" si="1"/>
        <v>E1_1_99_14</v>
      </c>
      <c r="F70" s="19" t="s">
        <v>25732</v>
      </c>
      <c r="G70" s="19" t="s">
        <v>25733</v>
      </c>
      <c r="H70" s="19" t="s">
        <v>25734</v>
      </c>
      <c r="I70" s="19" t="s">
        <v>25735</v>
      </c>
      <c r="J70" s="2" t="str">
        <f t="shared" si="2"/>
        <v>(${Variables:E1_1_99_14_kcat} * E1_1_99_14 * C00160 * C00028)/(${Variables:E1_1_99_14_km} + (E1_1_99_14 * C00160 * C00028))</v>
      </c>
      <c r="K70" s="2" t="str">
        <f t="shared" si="3"/>
        <v>r69: C00160 + C00028 -&gt; C00048 + C00030 | (${Variables:E1_1_99_14_kcat} * E1_1_99_14 * C00160 * C00028)/(${Variables:E1_1_99_14_km} + (E1_1_99_14 * C00160 * C00028))</v>
      </c>
    </row>
    <row r="71">
      <c r="A71" s="2" t="s">
        <v>13647</v>
      </c>
      <c r="B71" s="2" t="s">
        <v>13648</v>
      </c>
      <c r="C71" s="2" t="s">
        <v>24947</v>
      </c>
      <c r="D71" s="18">
        <v>70.0</v>
      </c>
      <c r="E71" s="2" t="str">
        <f t="shared" si="1"/>
        <v>E1_11_1_10</v>
      </c>
      <c r="F71" s="19" t="s">
        <v>25736</v>
      </c>
      <c r="G71" s="19" t="s">
        <v>25737</v>
      </c>
      <c r="H71" s="19" t="s">
        <v>25738</v>
      </c>
      <c r="I71" s="19" t="s">
        <v>25739</v>
      </c>
      <c r="J71" s="2" t="str">
        <f t="shared" si="2"/>
        <v>(${Variables:E1_11_1_10_kcat} * E1_11_1_10 * C00027 * C01371 * C01327)/(${Variables:E1_11_1_10_km} + (E1_11_1_10 * C00027 * C01371 * C01327))</v>
      </c>
      <c r="K71" s="2" t="str">
        <f t="shared" si="3"/>
        <v>r70: C00027 + C01371 + C01327 -&gt; C01334 + C00001 | (${Variables:E1_11_1_10_kcat} * E1_11_1_10 * C00027 * C01371 * C01327)/(${Variables:E1_11_1_10_km} + (E1_11_1_10 * C00027 * C01371 * C01327))</v>
      </c>
    </row>
    <row r="72">
      <c r="A72" s="2" t="s">
        <v>5771</v>
      </c>
      <c r="B72" s="2" t="s">
        <v>5772</v>
      </c>
      <c r="C72" s="2" t="s">
        <v>24948</v>
      </c>
      <c r="D72" s="18">
        <v>71.0</v>
      </c>
      <c r="E72" s="2" t="str">
        <f t="shared" si="1"/>
        <v>E1_11_1_24</v>
      </c>
      <c r="F72" s="19" t="s">
        <v>25740</v>
      </c>
      <c r="G72" s="19" t="s">
        <v>25741</v>
      </c>
      <c r="H72" s="19" t="s">
        <v>25742</v>
      </c>
      <c r="I72" s="19" t="s">
        <v>25743</v>
      </c>
      <c r="J72" s="2" t="str">
        <f t="shared" si="2"/>
        <v>(${Variables:E1_11_1_24_kcat} * E1_11_1_24 * C00342 * C15498)/(${Variables:E1_11_1_24_km} + (E1_11_1_24 * C00342 * C15498))</v>
      </c>
      <c r="K72" s="2" t="str">
        <f t="shared" si="3"/>
        <v>r71: C00342 + C15498 -&gt; C00343 + C00001 + C01335 | (${Variables:E1_11_1_24_kcat} * E1_11_1_24 * C00342 * C15498)/(${Variables:E1_11_1_24_km} + (E1_11_1_24 * C00342 * C15498))</v>
      </c>
    </row>
    <row r="73">
      <c r="A73" s="2" t="s">
        <v>6142</v>
      </c>
      <c r="B73" s="2" t="s">
        <v>6143</v>
      </c>
      <c r="C73" s="2" t="s">
        <v>24949</v>
      </c>
      <c r="D73" s="18">
        <v>72.0</v>
      </c>
      <c r="E73" s="2" t="str">
        <f t="shared" si="1"/>
        <v>E1_11_1_26</v>
      </c>
      <c r="F73" s="19" t="s">
        <v>25744</v>
      </c>
      <c r="G73" s="19" t="s">
        <v>25745</v>
      </c>
      <c r="H73" s="19" t="s">
        <v>25746</v>
      </c>
      <c r="I73" s="19" t="s">
        <v>25747</v>
      </c>
      <c r="J73" s="2" t="str">
        <f t="shared" si="2"/>
        <v>(${Variables:E1_11_1_26_kcat} * E1_11_1_26 * C00004 * C15498 * C00080)/(${Variables:E1_11_1_26_km} + (E1_11_1_26 * C00004 * C15498 * C00080))</v>
      </c>
      <c r="K73" s="2" t="str">
        <f t="shared" si="3"/>
        <v>r72: C00004 + C15498 + C00080 -&gt; C00003 + C00001 + C01335 | (${Variables:E1_11_1_26_kcat} * E1_11_1_26 * C00004 * C15498 * C00080)/(${Variables:E1_11_1_26_km} + (E1_11_1_26 * C00004 * C15498 * C00080))</v>
      </c>
    </row>
    <row r="74">
      <c r="A74" s="2" t="s">
        <v>4111</v>
      </c>
      <c r="B74" s="2" t="s">
        <v>4112</v>
      </c>
      <c r="C74" s="2" t="s">
        <v>24950</v>
      </c>
      <c r="D74" s="18">
        <v>73.0</v>
      </c>
      <c r="E74" s="2" t="str">
        <f t="shared" si="1"/>
        <v>E1_11_1_6</v>
      </c>
      <c r="F74" s="19" t="s">
        <v>15151</v>
      </c>
      <c r="G74" s="19" t="s">
        <v>15151</v>
      </c>
      <c r="H74" s="19" t="s">
        <v>25748</v>
      </c>
      <c r="I74" s="19" t="s">
        <v>25749</v>
      </c>
      <c r="J74" s="2" t="str">
        <f t="shared" si="2"/>
        <v>(${Variables:E1_11_1_6_kcat} * E1_11_1_6 * C00027)/(${Variables:E1_11_1_6_km} + (E1_11_1_6 * C00027))</v>
      </c>
      <c r="K74" s="2" t="str">
        <f t="shared" si="3"/>
        <v>r73: C00027 -&gt; C00007 + C00001 | (${Variables:E1_11_1_6_kcat} * E1_11_1_6 * C00027)/(${Variables:E1_11_1_6_km} + (E1_11_1_6 * C00027))</v>
      </c>
    </row>
    <row r="75">
      <c r="A75" s="2" t="s">
        <v>4111</v>
      </c>
      <c r="B75" s="2" t="s">
        <v>4112</v>
      </c>
      <c r="C75" s="2" t="s">
        <v>24950</v>
      </c>
      <c r="D75" s="18">
        <v>74.0</v>
      </c>
      <c r="E75" s="2" t="str">
        <f t="shared" si="1"/>
        <v>E1_11_1_6</v>
      </c>
      <c r="F75" s="19" t="s">
        <v>25750</v>
      </c>
      <c r="G75" s="19" t="s">
        <v>25751</v>
      </c>
      <c r="H75" s="19" t="s">
        <v>25752</v>
      </c>
      <c r="I75" s="19" t="s">
        <v>25753</v>
      </c>
      <c r="J75" s="2" t="str">
        <f t="shared" si="2"/>
        <v>(${Variables:E1_11_1_6_kcat} * E1_11_1_6 * C00132 * C00027)/(${Variables:E1_11_1_6_km} + (E1_11_1_6 * C00132 * C00027))</v>
      </c>
      <c r="K75" s="2" t="str">
        <f t="shared" si="3"/>
        <v>r74: C00132 + C00027 -&gt; C00067 + C00001 | (${Variables:E1_11_1_6_kcat} * E1_11_1_6 * C00132 * C00027)/(${Variables:E1_11_1_6_km} + (E1_11_1_6 * C00132 * C00027))</v>
      </c>
    </row>
    <row r="76">
      <c r="A76" s="2" t="s">
        <v>4111</v>
      </c>
      <c r="B76" s="2" t="s">
        <v>4112</v>
      </c>
      <c r="C76" s="2" t="s">
        <v>24950</v>
      </c>
      <c r="D76" s="18">
        <v>75.0</v>
      </c>
      <c r="E76" s="2" t="str">
        <f t="shared" si="1"/>
        <v>E1_11_1_6</v>
      </c>
      <c r="F76" s="19" t="s">
        <v>25754</v>
      </c>
      <c r="G76" s="19" t="s">
        <v>25755</v>
      </c>
      <c r="H76" s="19" t="s">
        <v>25756</v>
      </c>
      <c r="I76" s="19" t="s">
        <v>25757</v>
      </c>
      <c r="J76" s="2" t="str">
        <f t="shared" si="2"/>
        <v>(${Variables:E1_11_1_6_kcat} * E1_11_1_6 * C00632 * C00007)/(${Variables:E1_11_1_6_km} + (E1_11_1_6 * C00632 * C00007))</v>
      </c>
      <c r="K76" s="2" t="str">
        <f t="shared" si="3"/>
        <v>r75: C00632 + C00007 -&gt; C05640 + C00704 + C00027 + C00080 | (${Variables:E1_11_1_6_kcat} * E1_11_1_6 * C00632 * C00007)/(${Variables:E1_11_1_6_km} + (E1_11_1_6 * C00632 * C00007))</v>
      </c>
    </row>
    <row r="77">
      <c r="A77" s="2" t="s">
        <v>1392</v>
      </c>
      <c r="B77" s="2" t="s">
        <v>1393</v>
      </c>
      <c r="C77" s="2" t="s">
        <v>24951</v>
      </c>
      <c r="D77" s="18">
        <v>76.0</v>
      </c>
      <c r="E77" s="2" t="str">
        <f t="shared" si="1"/>
        <v>E1_11_1_9</v>
      </c>
      <c r="F77" s="19" t="s">
        <v>25758</v>
      </c>
      <c r="G77" s="19" t="s">
        <v>25759</v>
      </c>
      <c r="H77" s="19" t="s">
        <v>25760</v>
      </c>
      <c r="I77" s="19" t="s">
        <v>25761</v>
      </c>
      <c r="J77" s="2" t="str">
        <f t="shared" si="2"/>
        <v>(${Variables:E1_11_1_9_kcat} * E1_11_1_9 * C00027 * C00051)/(${Variables:E1_11_1_9_km} + (E1_11_1_9 * C00027 * C00051))</v>
      </c>
      <c r="K77" s="2" t="str">
        <f t="shared" si="3"/>
        <v>r76: C00027 + C00051 -&gt; C00127 + C00001 | (${Variables:E1_11_1_9_kcat} * E1_11_1_9 * C00027 * C00051)/(${Variables:E1_11_1_9_km} + (E1_11_1_9 * C00027 * C00051))</v>
      </c>
    </row>
    <row r="78">
      <c r="A78" s="2" t="s">
        <v>14510</v>
      </c>
      <c r="B78" s="2" t="s">
        <v>14511</v>
      </c>
      <c r="C78" s="2" t="s">
        <v>24952</v>
      </c>
      <c r="D78" s="18">
        <v>77.0</v>
      </c>
      <c r="E78" s="2" t="str">
        <f t="shared" si="1"/>
        <v>E1_13_11_11</v>
      </c>
      <c r="F78" s="19" t="s">
        <v>25762</v>
      </c>
      <c r="G78" s="19" t="s">
        <v>25763</v>
      </c>
      <c r="H78" s="19" t="s">
        <v>15168</v>
      </c>
      <c r="I78" s="19" t="s">
        <v>15168</v>
      </c>
      <c r="J78" s="2" t="str">
        <f t="shared" si="2"/>
        <v>(${Variables:E1_13_11_11_kcat} * E1_13_11_11 * C00078 * C00007)/(${Variables:E1_13_11_11_km} + (E1_13_11_11 * C00078 * C00007))</v>
      </c>
      <c r="K78" s="2" t="str">
        <f t="shared" si="3"/>
        <v>r77: C00078 + C00007 -&gt; C02700 | (${Variables:E1_13_11_11_kcat} * E1_13_11_11 * C00078 * C00007)/(${Variables:E1_13_11_11_km} + (E1_13_11_11 * C00078 * C00007))</v>
      </c>
    </row>
    <row r="79">
      <c r="A79" s="2" t="s">
        <v>6456</v>
      </c>
      <c r="B79" s="2" t="s">
        <v>6457</v>
      </c>
      <c r="C79" s="2" t="s">
        <v>24953</v>
      </c>
      <c r="D79" s="18">
        <v>78.0</v>
      </c>
      <c r="E79" s="2" t="str">
        <f t="shared" si="1"/>
        <v>E1_13_11_27</v>
      </c>
      <c r="F79" s="19" t="s">
        <v>25764</v>
      </c>
      <c r="G79" s="19" t="s">
        <v>25765</v>
      </c>
      <c r="H79" s="19" t="s">
        <v>25766</v>
      </c>
      <c r="I79" s="19" t="s">
        <v>25767</v>
      </c>
      <c r="J79" s="2" t="str">
        <f t="shared" si="2"/>
        <v>(${Variables:E1_13_11_27_kcat} * E1_13_11_27 * C00166 * C00007)/(${Variables:E1_13_11_27_km} + (E1_13_11_27 * C00166 * C00007))</v>
      </c>
      <c r="K79" s="2" t="str">
        <f t="shared" si="3"/>
        <v>r78: C00166 + C00007 -&gt; C05852 + C00011 | (${Variables:E1_13_11_27_kcat} * E1_13_11_27 * C00166 * C00007)/(${Variables:E1_13_11_27_km} + (E1_13_11_27 * C00166 * C00007))</v>
      </c>
    </row>
    <row r="80">
      <c r="A80" s="2" t="s">
        <v>6456</v>
      </c>
      <c r="B80" s="2" t="s">
        <v>6457</v>
      </c>
      <c r="C80" s="2" t="s">
        <v>24953</v>
      </c>
      <c r="D80" s="18">
        <v>79.0</v>
      </c>
      <c r="E80" s="2" t="str">
        <f t="shared" si="1"/>
        <v>E1_13_11_27</v>
      </c>
      <c r="F80" s="19" t="s">
        <v>25768</v>
      </c>
      <c r="G80" s="19" t="s">
        <v>25769</v>
      </c>
      <c r="H80" s="19" t="s">
        <v>25770</v>
      </c>
      <c r="I80" s="19" t="s">
        <v>25771</v>
      </c>
      <c r="J80" s="2" t="str">
        <f t="shared" si="2"/>
        <v>(${Variables:E1_13_11_27_kcat} * E1_13_11_27 * C01179 * C00007)/(${Variables:E1_13_11_27_km} + (E1_13_11_27 * C01179 * C00007))</v>
      </c>
      <c r="K80" s="2" t="str">
        <f t="shared" si="3"/>
        <v>r79: C01179 + C00007 -&gt; C00544 + C00011 | (${Variables:E1_13_11_27_kcat} * E1_13_11_27 * C01179 * C00007)/(${Variables:E1_13_11_27_km} + (E1_13_11_27 * C01179 * C00007))</v>
      </c>
    </row>
    <row r="81">
      <c r="A81" s="2" t="s">
        <v>3279</v>
      </c>
      <c r="B81" s="2" t="s">
        <v>3280</v>
      </c>
      <c r="C81" s="2" t="s">
        <v>24954</v>
      </c>
      <c r="D81" s="18">
        <v>80.0</v>
      </c>
      <c r="E81" s="2" t="str">
        <f t="shared" si="1"/>
        <v>E1_14_12_17</v>
      </c>
      <c r="F81" s="19" t="s">
        <v>25772</v>
      </c>
      <c r="G81" s="19" t="s">
        <v>25773</v>
      </c>
      <c r="H81" s="19" t="s">
        <v>25774</v>
      </c>
      <c r="I81" s="19" t="s">
        <v>25775</v>
      </c>
      <c r="J81" s="2" t="str">
        <f t="shared" si="2"/>
        <v>(${Variables:E1_14_12_17_kcat} * E1_14_12_17 * C00533 * C00007 * C00004 * C00080)/(${Variables:E1_14_12_17_km} + (E1_14_12_17 * C00533 * C00007 * C00004 * C00080))</v>
      </c>
      <c r="K81" s="2" t="str">
        <f t="shared" si="3"/>
        <v>r80: C00533 + C00007 + C00004 + C00080 -&gt; C00244 + C00003 | (${Variables:E1_14_12_17_kcat} * E1_14_12_17 * C00533 * C00007 * C00004 * C00080)/(${Variables:E1_14_12_17_km} + (E1_14_12_17 * C00533 * C00007 * C00004 * C00080))</v>
      </c>
    </row>
    <row r="82">
      <c r="A82" s="2" t="s">
        <v>3279</v>
      </c>
      <c r="B82" s="2" t="s">
        <v>3280</v>
      </c>
      <c r="C82" s="2" t="s">
        <v>24954</v>
      </c>
      <c r="D82" s="18">
        <v>81.0</v>
      </c>
      <c r="E82" s="2" t="str">
        <f t="shared" si="1"/>
        <v>E1_14_12_17</v>
      </c>
      <c r="F82" s="19" t="s">
        <v>25776</v>
      </c>
      <c r="G82" s="19" t="s">
        <v>25777</v>
      </c>
      <c r="H82" s="19" t="s">
        <v>25778</v>
      </c>
      <c r="I82" s="19" t="s">
        <v>25779</v>
      </c>
      <c r="J82" s="2" t="str">
        <f t="shared" si="2"/>
        <v>(${Variables:E1_14_12_17_kcat} * E1_14_12_17 * C00533 * C00007 * C00005 * C00080)/(${Variables:E1_14_12_17_km} + (E1_14_12_17 * C00533 * C00007 * C00005 * C00080))</v>
      </c>
      <c r="K82" s="2" t="str">
        <f t="shared" si="3"/>
        <v>r81: C00533 + C00007 + C00005 + C00080 -&gt; C00244 + C00006 | (${Variables:E1_14_12_17_kcat} * E1_14_12_17 * C00533 * C00007 * C00005 * C00080)/(${Variables:E1_14_12_17_km} + (E1_14_12_17 * C00533 * C00007 * C00005 * C00080))</v>
      </c>
    </row>
    <row r="83">
      <c r="A83" s="2" t="s">
        <v>13444</v>
      </c>
      <c r="B83" s="2" t="s">
        <v>13445</v>
      </c>
      <c r="C83" s="2" t="s">
        <v>24955</v>
      </c>
      <c r="D83" s="18">
        <v>82.0</v>
      </c>
      <c r="E83" s="2" t="str">
        <f t="shared" si="1"/>
        <v>E1_14_14_1</v>
      </c>
      <c r="F83" s="19" t="s">
        <v>25780</v>
      </c>
      <c r="G83" s="19" t="s">
        <v>25781</v>
      </c>
      <c r="H83" s="19" t="s">
        <v>25782</v>
      </c>
      <c r="I83" s="19" t="s">
        <v>25783</v>
      </c>
      <c r="J83" s="2" t="str">
        <f t="shared" si="2"/>
        <v>(${Variables:E1_14_14_1_kcat} * E1_14_14_1 * C00280 * C03024 * C00007)/(${Variables:E1_14_14_1_km} + (E1_14_14_1 * C00280 * C03024 * C00007))</v>
      </c>
      <c r="K83" s="2" t="str">
        <f t="shared" si="3"/>
        <v>r82: C00280 + C03024 + C00007 -&gt; C05296 + C03161 + C00001 | (${Variables:E1_14_14_1_kcat} * E1_14_14_1 * C00280 * C03024 * C00007)/(${Variables:E1_14_14_1_km} + (E1_14_14_1 * C00280 * C03024 * C00007))</v>
      </c>
    </row>
    <row r="84">
      <c r="A84" s="2" t="s">
        <v>13444</v>
      </c>
      <c r="B84" s="2" t="s">
        <v>13445</v>
      </c>
      <c r="C84" s="2" t="s">
        <v>24955</v>
      </c>
      <c r="D84" s="18">
        <v>83.0</v>
      </c>
      <c r="E84" s="2" t="str">
        <f t="shared" si="1"/>
        <v>E1_14_14_1</v>
      </c>
      <c r="F84" s="19" t="s">
        <v>25784</v>
      </c>
      <c r="G84" s="19" t="s">
        <v>25785</v>
      </c>
      <c r="H84" s="19" t="s">
        <v>25786</v>
      </c>
      <c r="I84" s="19" t="s">
        <v>25787</v>
      </c>
      <c r="J84" s="2" t="str">
        <f t="shared" si="2"/>
        <v>(${Variables:E1_14_14_1_kcat} * E1_14_14_1 * C00468 * C00080 * C00007 * C00004)/(${Variables:E1_14_14_1_km} + (E1_14_14_1 * C00468 * C00080 * C00007 * C00004))</v>
      </c>
      <c r="K84" s="2" t="str">
        <f t="shared" si="3"/>
        <v>r83: C00468 + C00080 + C00007 + C00004 -&gt; C05298 + C00003 + C00001 | (${Variables:E1_14_14_1_kcat} * E1_14_14_1 * C00468 * C00080 * C00007 * C00004)/(${Variables:E1_14_14_1_km} + (E1_14_14_1 * C00468 * C00080 * C00007 * C00004))</v>
      </c>
    </row>
    <row r="85">
      <c r="A85" s="2" t="s">
        <v>13444</v>
      </c>
      <c r="B85" s="2" t="s">
        <v>13445</v>
      </c>
      <c r="C85" s="2" t="s">
        <v>24955</v>
      </c>
      <c r="D85" s="18">
        <v>84.0</v>
      </c>
      <c r="E85" s="2" t="str">
        <f t="shared" si="1"/>
        <v>E1_14_14_1</v>
      </c>
      <c r="F85" s="19" t="s">
        <v>25788</v>
      </c>
      <c r="G85" s="19" t="s">
        <v>25789</v>
      </c>
      <c r="H85" s="19" t="s">
        <v>25790</v>
      </c>
      <c r="I85" s="19" t="s">
        <v>25791</v>
      </c>
      <c r="J85" s="2" t="str">
        <f t="shared" si="2"/>
        <v>(${Variables:E1_14_14_1_kcat} * E1_14_14_1 * C00468 * C00080 * C00007 * C00005)/(${Variables:E1_14_14_1_km} + (E1_14_14_1 * C00468 * C00080 * C00007 * C00005))</v>
      </c>
      <c r="K85" s="2" t="str">
        <f t="shared" si="3"/>
        <v>r84: C00468 + C00080 + C00007 + C00005 -&gt; C05298 + C00006 + C00001 | (${Variables:E1_14_14_1_kcat} * E1_14_14_1 * C00468 * C00080 * C00007 * C00005)/(${Variables:E1_14_14_1_km} + (E1_14_14_1 * C00468 * C00080 * C00007 * C00005))</v>
      </c>
    </row>
    <row r="86">
      <c r="A86" s="2" t="s">
        <v>13444</v>
      </c>
      <c r="B86" s="2" t="s">
        <v>13445</v>
      </c>
      <c r="C86" s="2" t="s">
        <v>24955</v>
      </c>
      <c r="D86" s="18">
        <v>85.0</v>
      </c>
      <c r="E86" s="2" t="str">
        <f t="shared" si="1"/>
        <v>E1_14_14_1</v>
      </c>
      <c r="F86" s="19" t="s">
        <v>25788</v>
      </c>
      <c r="G86" s="19" t="s">
        <v>25789</v>
      </c>
      <c r="H86" s="19" t="s">
        <v>25792</v>
      </c>
      <c r="I86" s="19" t="s">
        <v>25793</v>
      </c>
      <c r="J86" s="2" t="str">
        <f t="shared" si="2"/>
        <v>(${Variables:E1_14_14_1_kcat} * E1_14_14_1 * C00468 * C00080 * C00007 * C00005)/(${Variables:E1_14_14_1_km} + (E1_14_14_1 * C00468 * C00080 * C00007 * C00005))</v>
      </c>
      <c r="K86" s="2" t="str">
        <f t="shared" si="3"/>
        <v>r85: C00468 + C00080 + C00007 + C00005 -&gt; C05300 + C00006 + C00001 | (${Variables:E1_14_14_1_kcat} * E1_14_14_1 * C00468 * C00080 * C00007 * C00005)/(${Variables:E1_14_14_1_km} + (E1_14_14_1 * C00468 * C00080 * C00007 * C00005))</v>
      </c>
    </row>
    <row r="87">
      <c r="A87" s="2" t="s">
        <v>13444</v>
      </c>
      <c r="B87" s="2" t="s">
        <v>13445</v>
      </c>
      <c r="C87" s="2" t="s">
        <v>24955</v>
      </c>
      <c r="D87" s="18">
        <v>86.0</v>
      </c>
      <c r="E87" s="2" t="str">
        <f t="shared" si="1"/>
        <v>E1_14_14_1</v>
      </c>
      <c r="F87" s="19" t="s">
        <v>25794</v>
      </c>
      <c r="G87" s="19" t="s">
        <v>25795</v>
      </c>
      <c r="H87" s="19" t="s">
        <v>25796</v>
      </c>
      <c r="I87" s="19" t="s">
        <v>25797</v>
      </c>
      <c r="J87" s="2" t="str">
        <f t="shared" si="2"/>
        <v>(${Variables:E1_14_14_1_kcat} * E1_14_14_1 * C00535 * C03024 * C00007)/(${Variables:E1_14_14_1_km} + (E1_14_14_1 * C00535 * C03024 * C00007))</v>
      </c>
      <c r="K87" s="2" t="str">
        <f t="shared" si="3"/>
        <v>r86: C00535 + C03024 + C00007 -&gt; C05291 + C03161 + C00001 | (${Variables:E1_14_14_1_kcat} * E1_14_14_1 * C00535 * C03024 * C00007)/(${Variables:E1_14_14_1_km} + (E1_14_14_1 * C00535 * C03024 * C00007))</v>
      </c>
    </row>
    <row r="88">
      <c r="A88" s="2" t="s">
        <v>13444</v>
      </c>
      <c r="B88" s="2" t="s">
        <v>13445</v>
      </c>
      <c r="C88" s="2" t="s">
        <v>24955</v>
      </c>
      <c r="D88" s="18">
        <v>87.0</v>
      </c>
      <c r="E88" s="2" t="str">
        <f t="shared" si="1"/>
        <v>E1_14_14_1</v>
      </c>
      <c r="F88" s="19" t="s">
        <v>25798</v>
      </c>
      <c r="G88" s="19" t="s">
        <v>25799</v>
      </c>
      <c r="H88" s="19" t="s">
        <v>25800</v>
      </c>
      <c r="I88" s="19" t="s">
        <v>25801</v>
      </c>
      <c r="J88" s="2" t="str">
        <f t="shared" si="2"/>
        <v>(${Variables:E1_14_14_1_kcat} * E1_14_14_1 * C00951 * C00080 * C00007 * C00004)/(${Variables:E1_14_14_1_km} + (E1_14_14_1 * C00951 * C00080 * C00007 * C00004))</v>
      </c>
      <c r="K88" s="2" t="str">
        <f t="shared" si="3"/>
        <v>r87: C00951 + C00080 + C00007 + C00004 -&gt; C05301 + C00003 + C00001 | (${Variables:E1_14_14_1_kcat} * E1_14_14_1 * C00951 * C00080 * C00007 * C00004)/(${Variables:E1_14_14_1_km} + (E1_14_14_1 * C00951 * C00080 * C00007 * C00004))</v>
      </c>
    </row>
    <row r="89">
      <c r="A89" s="2" t="s">
        <v>13444</v>
      </c>
      <c r="B89" s="2" t="s">
        <v>13445</v>
      </c>
      <c r="C89" s="2" t="s">
        <v>24955</v>
      </c>
      <c r="D89" s="18">
        <v>88.0</v>
      </c>
      <c r="E89" s="2" t="str">
        <f t="shared" si="1"/>
        <v>E1_14_14_1</v>
      </c>
      <c r="F89" s="19" t="s">
        <v>25802</v>
      </c>
      <c r="G89" s="19" t="s">
        <v>25803</v>
      </c>
      <c r="H89" s="19" t="s">
        <v>25804</v>
      </c>
      <c r="I89" s="19" t="s">
        <v>25805</v>
      </c>
      <c r="J89" s="2" t="str">
        <f t="shared" si="2"/>
        <v>(${Variables:E1_14_14_1_kcat} * E1_14_14_1 * C00951 * C00080 * C00007 * C00005)/(${Variables:E1_14_14_1_km} + (E1_14_14_1 * C00951 * C00080 * C00007 * C00005))</v>
      </c>
      <c r="K89" s="2" t="str">
        <f t="shared" si="3"/>
        <v>r88: C00951 + C00080 + C00007 + C00005 -&gt; C05141 + C00006 + C00001 | (${Variables:E1_14_14_1_kcat} * E1_14_14_1 * C00951 * C00080 * C00007 * C00005)/(${Variables:E1_14_14_1_km} + (E1_14_14_1 * C00951 * C00080 * C00007 * C00005))</v>
      </c>
    </row>
    <row r="90">
      <c r="A90" s="2" t="s">
        <v>13444</v>
      </c>
      <c r="B90" s="2" t="s">
        <v>13445</v>
      </c>
      <c r="C90" s="2" t="s">
        <v>24955</v>
      </c>
      <c r="D90" s="18">
        <v>89.0</v>
      </c>
      <c r="E90" s="2" t="str">
        <f t="shared" si="1"/>
        <v>E1_14_14_1</v>
      </c>
      <c r="F90" s="19" t="s">
        <v>25802</v>
      </c>
      <c r="G90" s="19" t="s">
        <v>25803</v>
      </c>
      <c r="H90" s="19" t="s">
        <v>25806</v>
      </c>
      <c r="I90" s="19" t="s">
        <v>25807</v>
      </c>
      <c r="J90" s="2" t="str">
        <f t="shared" si="2"/>
        <v>(${Variables:E1_14_14_1_kcat} * E1_14_14_1 * C00951 * C00080 * C00007 * C00005)/(${Variables:E1_14_14_1_km} + (E1_14_14_1 * C00951 * C00080 * C00007 * C00005))</v>
      </c>
      <c r="K90" s="2" t="str">
        <f t="shared" si="3"/>
        <v>r89: C00951 + C00080 + C00007 + C00005 -&gt; C05301 + C00006 + C00001 | (${Variables:E1_14_14_1_kcat} * E1_14_14_1 * C00951 * C00080 * C00007 * C00005)/(${Variables:E1_14_14_1_km} + (E1_14_14_1 * C00951 * C00080 * C00007 * C00005))</v>
      </c>
    </row>
    <row r="91">
      <c r="A91" s="2" t="s">
        <v>13444</v>
      </c>
      <c r="B91" s="2" t="s">
        <v>13445</v>
      </c>
      <c r="C91" s="2" t="s">
        <v>24955</v>
      </c>
      <c r="D91" s="18">
        <v>90.0</v>
      </c>
      <c r="E91" s="2" t="str">
        <f t="shared" si="1"/>
        <v>E1_14_14_1</v>
      </c>
      <c r="F91" s="19" t="s">
        <v>25808</v>
      </c>
      <c r="G91" s="19" t="s">
        <v>25809</v>
      </c>
      <c r="H91" s="19" t="s">
        <v>25810</v>
      </c>
      <c r="I91" s="19" t="s">
        <v>25811</v>
      </c>
      <c r="J91" s="2" t="str">
        <f t="shared" si="2"/>
        <v>(${Variables:E1_14_14_1_kcat} * E1_14_14_1 * C01227 * C00080 * C00007 * C00005)/(${Variables:E1_14_14_1_km} + (E1_14_14_1 * C01227 * C00080 * C00007 * C00005))</v>
      </c>
      <c r="K91" s="2" t="str">
        <f t="shared" si="3"/>
        <v>r90: C01227 + C00080 + C00007 + C00005 -&gt; C05139 + C00006 + C00001 | (${Variables:E1_14_14_1_kcat} * E1_14_14_1 * C01227 * C00080 * C00007 * C00005)/(${Variables:E1_14_14_1_km} + (E1_14_14_1 * C01227 * C00080 * C00007 * C00005))</v>
      </c>
    </row>
    <row r="92">
      <c r="A92" s="2" t="s">
        <v>13444</v>
      </c>
      <c r="B92" s="2" t="s">
        <v>13445</v>
      </c>
      <c r="C92" s="2" t="s">
        <v>24955</v>
      </c>
      <c r="D92" s="18">
        <v>91.0</v>
      </c>
      <c r="E92" s="2" t="str">
        <f t="shared" si="1"/>
        <v>E1_14_14_1</v>
      </c>
      <c r="F92" s="19" t="s">
        <v>25812</v>
      </c>
      <c r="G92" s="19" t="s">
        <v>25813</v>
      </c>
      <c r="H92" s="19" t="s">
        <v>25814</v>
      </c>
      <c r="I92" s="19" t="s">
        <v>25815</v>
      </c>
      <c r="J92" s="2" t="str">
        <f t="shared" si="2"/>
        <v>(${Variables:E1_14_14_1_kcat} * E1_14_14_1 * C01598 * C03024 * C00007)/(${Variables:E1_14_14_1_km} + (E1_14_14_1 * C01598 * C03024 * C00007))</v>
      </c>
      <c r="K92" s="2" t="str">
        <f t="shared" si="3"/>
        <v>r91: C01598 + C03024 + C00007 -&gt; C05643 + C03161 + C00001 | (${Variables:E1_14_14_1_kcat} * E1_14_14_1 * C01598 * C03024 * C00007)/(${Variables:E1_14_14_1_km} + (E1_14_14_1 * C01598 * C03024 * C00007))</v>
      </c>
    </row>
    <row r="93">
      <c r="A93" s="2" t="s">
        <v>13444</v>
      </c>
      <c r="B93" s="2" t="s">
        <v>13445</v>
      </c>
      <c r="C93" s="2" t="s">
        <v>24955</v>
      </c>
      <c r="D93" s="18">
        <v>92.0</v>
      </c>
      <c r="E93" s="2" t="str">
        <f t="shared" si="1"/>
        <v>E1_14_14_1</v>
      </c>
      <c r="F93" s="19" t="s">
        <v>25816</v>
      </c>
      <c r="G93" s="19" t="s">
        <v>25817</v>
      </c>
      <c r="H93" s="19" t="s">
        <v>25818</v>
      </c>
      <c r="I93" s="19" t="s">
        <v>25819</v>
      </c>
      <c r="J93" s="2" t="str">
        <f t="shared" si="2"/>
        <v>(${Variables:E1_14_14_1_kcat} * E1_14_14_1 * C01516 * C03161 * C00067 * C00001)/(${Variables:E1_14_14_1_km} + (E1_14_14_1 * C01516 * C03161 * C00067 * C00001))</v>
      </c>
      <c r="K93" s="2" t="str">
        <f t="shared" si="3"/>
        <v>r92: C01516 + C03161 + C00067 + C00001 -&gt; C06174 + C03024 + C00007 | (${Variables:E1_14_14_1_kcat} * E1_14_14_1 * C01516 * C03161 * C00067 * C00001)/(${Variables:E1_14_14_1_km} + (E1_14_14_1 * C01516 * C03161 * C00067 * C00001))</v>
      </c>
    </row>
    <row r="94">
      <c r="A94" s="2" t="s">
        <v>13444</v>
      </c>
      <c r="B94" s="2" t="s">
        <v>13445</v>
      </c>
      <c r="C94" s="2" t="s">
        <v>24955</v>
      </c>
      <c r="D94" s="18">
        <v>93.0</v>
      </c>
      <c r="E94" s="2" t="str">
        <f t="shared" si="1"/>
        <v>E1_14_14_1</v>
      </c>
      <c r="F94" s="19" t="s">
        <v>25820</v>
      </c>
      <c r="G94" s="19" t="s">
        <v>25821</v>
      </c>
      <c r="H94" s="19" t="s">
        <v>25822</v>
      </c>
      <c r="I94" s="19" t="s">
        <v>25823</v>
      </c>
      <c r="J94" s="2" t="str">
        <f t="shared" si="2"/>
        <v>(${Variables:E1_14_14_1_kcat} * E1_14_14_1 * C03024 * C00162 * C00007)/(${Variables:E1_14_14_1_km} + (E1_14_14_1 * C03024 * C00162 * C00007))</v>
      </c>
      <c r="K94" s="2" t="str">
        <f t="shared" si="3"/>
        <v>r93: C03024 + C00162 + C00007 -&gt; C05102 + C03161 + C00001 | (${Variables:E1_14_14_1_kcat} * E1_14_14_1 * C03024 * C00162 * C00007)/(${Variables:E1_14_14_1_km} + (E1_14_14_1 * C03024 * C00162 * C00007))</v>
      </c>
    </row>
    <row r="95">
      <c r="A95" s="2" t="s">
        <v>13444</v>
      </c>
      <c r="B95" s="2" t="s">
        <v>13445</v>
      </c>
      <c r="C95" s="2" t="s">
        <v>24955</v>
      </c>
      <c r="D95" s="18">
        <v>94.0</v>
      </c>
      <c r="E95" s="2" t="str">
        <f t="shared" si="1"/>
        <v>E1_14_14_1</v>
      </c>
      <c r="F95" s="19" t="s">
        <v>25824</v>
      </c>
      <c r="G95" s="19" t="s">
        <v>25825</v>
      </c>
      <c r="H95" s="19" t="s">
        <v>25826</v>
      </c>
      <c r="I95" s="19" t="s">
        <v>25827</v>
      </c>
      <c r="J95" s="2" t="str">
        <f t="shared" si="2"/>
        <v>(${Variables:E1_14_14_1_kcat} * E1_14_14_1 * C03024 * C01371 * C00007)/(${Variables:E1_14_14_1_km} + (E1_14_14_1 * C03024 * C01371 * C00007))</v>
      </c>
      <c r="K95" s="2" t="str">
        <f t="shared" si="3"/>
        <v>r94: C03024 + C01371 + C00007 -&gt; C03161 + C01335 + C00001 | (${Variables:E1_14_14_1_kcat} * E1_14_14_1 * C03024 * C01371 * C00007)/(${Variables:E1_14_14_1_km} + (E1_14_14_1 * C03024 * C01371 * C00007))</v>
      </c>
    </row>
    <row r="96">
      <c r="A96" s="2" t="s">
        <v>13444</v>
      </c>
      <c r="B96" s="2" t="s">
        <v>13445</v>
      </c>
      <c r="C96" s="2" t="s">
        <v>24955</v>
      </c>
      <c r="D96" s="18">
        <v>95.0</v>
      </c>
      <c r="E96" s="2" t="str">
        <f t="shared" si="1"/>
        <v>E1_14_14_1</v>
      </c>
      <c r="F96" s="19" t="s">
        <v>25828</v>
      </c>
      <c r="G96" s="19" t="s">
        <v>25829</v>
      </c>
      <c r="H96" s="19" t="s">
        <v>25830</v>
      </c>
      <c r="I96" s="19" t="s">
        <v>25831</v>
      </c>
      <c r="J96" s="2" t="str">
        <f t="shared" si="2"/>
        <v>(${Variables:E1_14_14_1_kcat} * E1_14_14_1 * C06604 * C03024 * C00007)/(${Variables:E1_14_14_1_km} + (E1_14_14_1 * C06604 * C03024 * C00007))</v>
      </c>
      <c r="K96" s="2" t="str">
        <f t="shared" si="3"/>
        <v>r95: C06604 + C03024 + C00007 -&gt; C06606 + C03161 + C00087 + C00001 | (${Variables:E1_14_14_1_kcat} * E1_14_14_1 * C06604 * C03024 * C00007)/(${Variables:E1_14_14_1_km} + (E1_14_14_1 * C06604 * C03024 * C00007))</v>
      </c>
    </row>
    <row r="97">
      <c r="A97" s="2" t="s">
        <v>13444</v>
      </c>
      <c r="B97" s="2" t="s">
        <v>13445</v>
      </c>
      <c r="C97" s="2" t="s">
        <v>24955</v>
      </c>
      <c r="D97" s="18">
        <v>96.0</v>
      </c>
      <c r="E97" s="2" t="str">
        <f t="shared" si="1"/>
        <v>E1_14_14_1</v>
      </c>
      <c r="F97" s="19" t="s">
        <v>25832</v>
      </c>
      <c r="G97" s="19" t="s">
        <v>25833</v>
      </c>
      <c r="H97" s="19" t="s">
        <v>25834</v>
      </c>
      <c r="I97" s="19" t="s">
        <v>25835</v>
      </c>
      <c r="J97" s="2" t="str">
        <f t="shared" si="2"/>
        <v>(${Variables:E1_14_14_1_kcat} * E1_14_14_1 * C00829 * C00005 * C00007 * C00080)/(${Variables:E1_14_14_1_km} + (E1_14_14_1 * C00829 * C00005 * C00007 * C00080))</v>
      </c>
      <c r="K97" s="2" t="str">
        <f t="shared" si="3"/>
        <v>r96: C00829 + C00005 + C00007 + C00080 -&gt; C14786 + C00006 + C00001 | (${Variables:E1_14_14_1_kcat} * E1_14_14_1 * C00829 * C00005 * C00007 * C00080)/(${Variables:E1_14_14_1_km} + (E1_14_14_1 * C00829 * C00005 * C00007 * C00080))</v>
      </c>
    </row>
    <row r="98">
      <c r="A98" s="2" t="s">
        <v>13444</v>
      </c>
      <c r="B98" s="2" t="s">
        <v>13445</v>
      </c>
      <c r="C98" s="2" t="s">
        <v>24955</v>
      </c>
      <c r="D98" s="18">
        <v>97.0</v>
      </c>
      <c r="E98" s="2" t="str">
        <f t="shared" si="1"/>
        <v>E1_14_14_1</v>
      </c>
      <c r="F98" s="19" t="s">
        <v>25832</v>
      </c>
      <c r="G98" s="19" t="s">
        <v>25833</v>
      </c>
      <c r="H98" s="19" t="s">
        <v>25836</v>
      </c>
      <c r="I98" s="19" t="s">
        <v>25837</v>
      </c>
      <c r="J98" s="2" t="str">
        <f t="shared" si="2"/>
        <v>(${Variables:E1_14_14_1_kcat} * E1_14_14_1 * C00829 * C00005 * C00007 * C00080)/(${Variables:E1_14_14_1_km} + (E1_14_14_1 * C00829 * C00005 * C00007 * C00080))</v>
      </c>
      <c r="K98" s="2" t="str">
        <f t="shared" si="3"/>
        <v>r97: C00829 + C00005 + C00007 + C00080 -&gt; C14787 + C00006 + C00001 | (${Variables:E1_14_14_1_kcat} * E1_14_14_1 * C00829 * C00005 * C00007 * C00080)/(${Variables:E1_14_14_1_km} + (E1_14_14_1 * C00829 * C00005 * C00007 * C00080))</v>
      </c>
    </row>
    <row r="99">
      <c r="A99" s="2" t="s">
        <v>13444</v>
      </c>
      <c r="B99" s="2" t="s">
        <v>13445</v>
      </c>
      <c r="C99" s="2" t="s">
        <v>24955</v>
      </c>
      <c r="D99" s="18">
        <v>98.0</v>
      </c>
      <c r="E99" s="2" t="str">
        <f t="shared" si="1"/>
        <v>E1_14_14_1</v>
      </c>
      <c r="F99" s="19" t="s">
        <v>25838</v>
      </c>
      <c r="G99" s="19" t="s">
        <v>25839</v>
      </c>
      <c r="H99" s="19" t="s">
        <v>25840</v>
      </c>
      <c r="I99" s="19" t="s">
        <v>25841</v>
      </c>
      <c r="J99" s="2" t="str">
        <f t="shared" si="2"/>
        <v>(${Variables:E1_14_14_1_kcat} * E1_14_14_1 * C14040 * C00005 * C00007 * C00080)/(${Variables:E1_14_14_1_km} + (E1_14_14_1 * C14040 * C00005 * C00007 * C00080))</v>
      </c>
      <c r="K99" s="2" t="str">
        <f t="shared" si="3"/>
        <v>r98: C14040 + C00005 + C00007 + C00080 -&gt; C14802 + C00006 + C00001 | (${Variables:E1_14_14_1_kcat} * E1_14_14_1 * C14040 * C00005 * C00007 * C00080)/(${Variables:E1_14_14_1_km} + (E1_14_14_1 * C14040 * C00005 * C00007 * C00080))</v>
      </c>
    </row>
    <row r="100">
      <c r="A100" s="2" t="s">
        <v>13444</v>
      </c>
      <c r="B100" s="2" t="s">
        <v>13445</v>
      </c>
      <c r="C100" s="2" t="s">
        <v>24955</v>
      </c>
      <c r="D100" s="18">
        <v>99.0</v>
      </c>
      <c r="E100" s="2" t="str">
        <f t="shared" si="1"/>
        <v>E1_14_14_1</v>
      </c>
      <c r="F100" s="19" t="s">
        <v>25838</v>
      </c>
      <c r="G100" s="19" t="s">
        <v>25839</v>
      </c>
      <c r="H100" s="19" t="s">
        <v>25842</v>
      </c>
      <c r="I100" s="19" t="s">
        <v>25843</v>
      </c>
      <c r="J100" s="2" t="str">
        <f t="shared" si="2"/>
        <v>(${Variables:E1_14_14_1_kcat} * E1_14_14_1 * C14040 * C00005 * C00007 * C00080)/(${Variables:E1_14_14_1_km} + (E1_14_14_1 * C14040 * C00005 * C00007 * C00080))</v>
      </c>
      <c r="K100" s="2" t="str">
        <f t="shared" si="3"/>
        <v>r99: C14040 + C00005 + C00007 + C00080 -&gt; C14800 + C00006 + C00001 | (${Variables:E1_14_14_1_kcat} * E1_14_14_1 * C14040 * C00005 * C00007 * C00080)/(${Variables:E1_14_14_1_km} + (E1_14_14_1 * C14040 * C00005 * C00007 * C00080))</v>
      </c>
    </row>
    <row r="101">
      <c r="A101" s="2" t="s">
        <v>13444</v>
      </c>
      <c r="B101" s="2" t="s">
        <v>13445</v>
      </c>
      <c r="C101" s="2" t="s">
        <v>24955</v>
      </c>
      <c r="D101" s="18">
        <v>100.0</v>
      </c>
      <c r="E101" s="2" t="str">
        <f t="shared" si="1"/>
        <v>E1_14_14_1</v>
      </c>
      <c r="F101" s="19" t="s">
        <v>15238</v>
      </c>
      <c r="G101" s="19" t="s">
        <v>15238</v>
      </c>
      <c r="H101" s="19" t="s">
        <v>15239</v>
      </c>
      <c r="I101" s="19" t="s">
        <v>15239</v>
      </c>
      <c r="J101" s="2" t="str">
        <f t="shared" si="2"/>
        <v>(${Variables:E1_14_14_1_kcat} * E1_14_14_1 * C05966)/(${Variables:E1_14_14_1_km} + (E1_14_14_1 * C05966))</v>
      </c>
      <c r="K101" s="2" t="str">
        <f t="shared" si="3"/>
        <v>r100: C05966 -&gt; C14781 | (${Variables:E1_14_14_1_kcat} * E1_14_14_1 * C05966)/(${Variables:E1_14_14_1_km} + (E1_14_14_1 * C05966))</v>
      </c>
    </row>
    <row r="102">
      <c r="A102" s="2" t="s">
        <v>13444</v>
      </c>
      <c r="B102" s="2" t="s">
        <v>13445</v>
      </c>
      <c r="C102" s="2" t="s">
        <v>24955</v>
      </c>
      <c r="D102" s="18">
        <v>101.0</v>
      </c>
      <c r="E102" s="2" t="str">
        <f t="shared" si="1"/>
        <v>E1_14_14_1</v>
      </c>
      <c r="F102" s="19" t="s">
        <v>15238</v>
      </c>
      <c r="G102" s="19" t="s">
        <v>15238</v>
      </c>
      <c r="H102" s="19" t="s">
        <v>15241</v>
      </c>
      <c r="I102" s="19" t="s">
        <v>15241</v>
      </c>
      <c r="J102" s="2" t="str">
        <f t="shared" si="2"/>
        <v>(${Variables:E1_14_14_1_kcat} * E1_14_14_1 * C05966)/(${Variables:E1_14_14_1_km} + (E1_14_14_1 * C05966))</v>
      </c>
      <c r="K102" s="2" t="str">
        <f t="shared" si="3"/>
        <v>r101: C05966 -&gt; C14813 | (${Variables:E1_14_14_1_kcat} * E1_14_14_1 * C05966)/(${Variables:E1_14_14_1_km} + (E1_14_14_1 * C05966))</v>
      </c>
    </row>
    <row r="103">
      <c r="A103" s="2" t="s">
        <v>13444</v>
      </c>
      <c r="B103" s="2" t="s">
        <v>13445</v>
      </c>
      <c r="C103" s="2" t="s">
        <v>24955</v>
      </c>
      <c r="D103" s="18">
        <v>102.0</v>
      </c>
      <c r="E103" s="2" t="str">
        <f t="shared" si="1"/>
        <v>E1_14_14_1</v>
      </c>
      <c r="F103" s="19" t="s">
        <v>25844</v>
      </c>
      <c r="G103" s="19" t="s">
        <v>25845</v>
      </c>
      <c r="H103" s="19" t="s">
        <v>15244</v>
      </c>
      <c r="I103" s="19" t="s">
        <v>15244</v>
      </c>
      <c r="J103" s="2" t="str">
        <f t="shared" si="2"/>
        <v>(${Variables:E1_14_14_1_kcat} * E1_14_14_1 * C14781 * C00001)/(${Variables:E1_14_14_1_km} + (E1_14_14_1 * C14781 * C00001))</v>
      </c>
      <c r="K103" s="2" t="str">
        <f t="shared" si="3"/>
        <v>r102: C14781 + C00001 -&gt; C14782 | (${Variables:E1_14_14_1_kcat} * E1_14_14_1 * C14781 * C00001)/(${Variables:E1_14_14_1_km} + (E1_14_14_1 * C14781 * C00001))</v>
      </c>
    </row>
    <row r="104">
      <c r="A104" s="2" t="s">
        <v>13444</v>
      </c>
      <c r="B104" s="2" t="s">
        <v>13445</v>
      </c>
      <c r="C104" s="2" t="s">
        <v>24955</v>
      </c>
      <c r="D104" s="18">
        <v>103.0</v>
      </c>
      <c r="E104" s="2" t="str">
        <f t="shared" si="1"/>
        <v>E1_14_14_1</v>
      </c>
      <c r="F104" s="19" t="s">
        <v>25846</v>
      </c>
      <c r="G104" s="19" t="s">
        <v>25847</v>
      </c>
      <c r="H104" s="19" t="s">
        <v>15247</v>
      </c>
      <c r="I104" s="19" t="s">
        <v>15247</v>
      </c>
      <c r="J104" s="2" t="str">
        <f t="shared" si="2"/>
        <v>(${Variables:E1_14_14_1_kcat} * E1_14_14_1 * C14813 * C00001)/(${Variables:E1_14_14_1_km} + (E1_14_14_1 * C14813 * C00001))</v>
      </c>
      <c r="K104" s="2" t="str">
        <f t="shared" si="3"/>
        <v>r103: C14813 + C00001 -&gt; C14814 | (${Variables:E1_14_14_1_kcat} * E1_14_14_1 * C14813 * C00001)/(${Variables:E1_14_14_1_km} + (E1_14_14_1 * C14813 * C00001))</v>
      </c>
    </row>
    <row r="105">
      <c r="A105" s="2" t="s">
        <v>13444</v>
      </c>
      <c r="B105" s="2" t="s">
        <v>13445</v>
      </c>
      <c r="C105" s="2" t="s">
        <v>24955</v>
      </c>
      <c r="D105" s="18">
        <v>104.0</v>
      </c>
      <c r="E105" s="2" t="str">
        <f t="shared" si="1"/>
        <v>E1_14_14_1</v>
      </c>
      <c r="F105" s="19" t="s">
        <v>25848</v>
      </c>
      <c r="G105" s="19" t="s">
        <v>25849</v>
      </c>
      <c r="H105" s="19" t="s">
        <v>25850</v>
      </c>
      <c r="I105" s="19" t="s">
        <v>25851</v>
      </c>
      <c r="J105" s="2" t="str">
        <f t="shared" si="2"/>
        <v>(${Variables:E1_14_14_1_kcat} * E1_14_14_1 * C00219 * C03024 * C00007)/(${Variables:E1_14_14_1_km} + (E1_14_14_1 * C00219 * C03024 * C00007))</v>
      </c>
      <c r="K105" s="2" t="str">
        <f t="shared" si="3"/>
        <v>r104: C00219 + C03024 + C00007 -&gt; C14749 + C03161 + C00001 | (${Variables:E1_14_14_1_kcat} * E1_14_14_1 * C00219 * C03024 * C00007)/(${Variables:E1_14_14_1_km} + (E1_14_14_1 * C00219 * C03024 * C00007))</v>
      </c>
    </row>
    <row r="106">
      <c r="A106" s="2" t="s">
        <v>13444</v>
      </c>
      <c r="B106" s="2" t="s">
        <v>13445</v>
      </c>
      <c r="C106" s="2" t="s">
        <v>24955</v>
      </c>
      <c r="D106" s="18">
        <v>105.0</v>
      </c>
      <c r="E106" s="2" t="str">
        <f t="shared" si="1"/>
        <v>E1_14_14_1</v>
      </c>
      <c r="F106" s="19" t="s">
        <v>25852</v>
      </c>
      <c r="G106" s="19" t="s">
        <v>25853</v>
      </c>
      <c r="H106" s="19" t="s">
        <v>25854</v>
      </c>
      <c r="I106" s="19" t="s">
        <v>25855</v>
      </c>
      <c r="J106" s="2" t="str">
        <f t="shared" si="2"/>
        <v>(${Variables:E1_14_14_1_kcat} * E1_14_14_1 * C00219 * C00007 * C00005 * C00080)/(${Variables:E1_14_14_1_km} + (E1_14_14_1 * C00219 * C00007 * C00005 * C00080))</v>
      </c>
      <c r="K106" s="2" t="str">
        <f t="shared" si="3"/>
        <v>r105: C00219 + C00007 + C00005 + C00080 -&gt; C14771 + C00006 + C00001 | (${Variables:E1_14_14_1_kcat} * E1_14_14_1 * C00219 * C00007 * C00005 * C00080)/(${Variables:E1_14_14_1_km} + (E1_14_14_1 * C00219 * C00007 * C00005 * C00080))</v>
      </c>
    </row>
    <row r="107">
      <c r="A107" s="2" t="s">
        <v>13444</v>
      </c>
      <c r="B107" s="2" t="s">
        <v>13445</v>
      </c>
      <c r="C107" s="2" t="s">
        <v>24955</v>
      </c>
      <c r="D107" s="18">
        <v>106.0</v>
      </c>
      <c r="E107" s="2" t="str">
        <f t="shared" si="1"/>
        <v>E1_14_14_1</v>
      </c>
      <c r="F107" s="19" t="s">
        <v>25852</v>
      </c>
      <c r="G107" s="19" t="s">
        <v>25853</v>
      </c>
      <c r="H107" s="19" t="s">
        <v>25856</v>
      </c>
      <c r="I107" s="19" t="s">
        <v>25857</v>
      </c>
      <c r="J107" s="2" t="str">
        <f t="shared" si="2"/>
        <v>(${Variables:E1_14_14_1_kcat} * E1_14_14_1 * C00219 * C00007 * C00005 * C00080)/(${Variables:E1_14_14_1_km} + (E1_14_14_1 * C00219 * C00007 * C00005 * C00080))</v>
      </c>
      <c r="K107" s="2" t="str">
        <f t="shared" si="3"/>
        <v>r106: C00219 + C00007 + C00005 + C00080 -&gt; C14770 + C00006 + C00001 | (${Variables:E1_14_14_1_kcat} * E1_14_14_1 * C00219 * C00007 * C00005 * C00080)/(${Variables:E1_14_14_1_km} + (E1_14_14_1 * C00219 * C00007 * C00005 * C00080))</v>
      </c>
    </row>
    <row r="108">
      <c r="A108" s="2" t="s">
        <v>13444</v>
      </c>
      <c r="B108" s="2" t="s">
        <v>13445</v>
      </c>
      <c r="C108" s="2" t="s">
        <v>24955</v>
      </c>
      <c r="D108" s="18">
        <v>107.0</v>
      </c>
      <c r="E108" s="2" t="str">
        <f t="shared" si="1"/>
        <v>E1_14_14_1</v>
      </c>
      <c r="F108" s="19" t="s">
        <v>25852</v>
      </c>
      <c r="G108" s="19" t="s">
        <v>25853</v>
      </c>
      <c r="H108" s="19" t="s">
        <v>25858</v>
      </c>
      <c r="I108" s="19" t="s">
        <v>25859</v>
      </c>
      <c r="J108" s="2" t="str">
        <f t="shared" si="2"/>
        <v>(${Variables:E1_14_14_1_kcat} * E1_14_14_1 * C00219 * C00007 * C00005 * C00080)/(${Variables:E1_14_14_1_km} + (E1_14_14_1 * C00219 * C00007 * C00005 * C00080))</v>
      </c>
      <c r="K108" s="2" t="str">
        <f t="shared" si="3"/>
        <v>r107: C00219 + C00007 + C00005 + C00080 -&gt; C14769 + C00006 + C00001 | (${Variables:E1_14_14_1_kcat} * E1_14_14_1 * C00219 * C00007 * C00005 * C00080)/(${Variables:E1_14_14_1_km} + (E1_14_14_1 * C00219 * C00007 * C00005 * C00080))</v>
      </c>
    </row>
    <row r="109">
      <c r="A109" s="2" t="s">
        <v>13444</v>
      </c>
      <c r="B109" s="2" t="s">
        <v>13445</v>
      </c>
      <c r="C109" s="2" t="s">
        <v>24955</v>
      </c>
      <c r="D109" s="18">
        <v>108.0</v>
      </c>
      <c r="E109" s="2" t="str">
        <f t="shared" si="1"/>
        <v>E1_14_14_1</v>
      </c>
      <c r="F109" s="19" t="s">
        <v>25852</v>
      </c>
      <c r="G109" s="19" t="s">
        <v>25853</v>
      </c>
      <c r="H109" s="19" t="s">
        <v>25860</v>
      </c>
      <c r="I109" s="19" t="s">
        <v>25861</v>
      </c>
      <c r="J109" s="2" t="str">
        <f t="shared" si="2"/>
        <v>(${Variables:E1_14_14_1_kcat} * E1_14_14_1 * C00219 * C00007 * C00005 * C00080)/(${Variables:E1_14_14_1_km} + (E1_14_14_1 * C00219 * C00007 * C00005 * C00080))</v>
      </c>
      <c r="K109" s="2" t="str">
        <f t="shared" si="3"/>
        <v>r108: C00219 + C00007 + C00005 + C00080 -&gt; C14768 + C00006 + C00001 | (${Variables:E1_14_14_1_kcat} * E1_14_14_1 * C00219 * C00007 * C00005 * C00080)/(${Variables:E1_14_14_1_km} + (E1_14_14_1 * C00219 * C00007 * C00005 * C00080))</v>
      </c>
    </row>
    <row r="110">
      <c r="A110" s="2" t="s">
        <v>13444</v>
      </c>
      <c r="B110" s="2" t="s">
        <v>13445</v>
      </c>
      <c r="C110" s="2" t="s">
        <v>24955</v>
      </c>
      <c r="D110" s="18">
        <v>109.0</v>
      </c>
      <c r="E110" s="2" t="str">
        <f t="shared" si="1"/>
        <v>E1_14_14_1</v>
      </c>
      <c r="F110" s="19" t="s">
        <v>25852</v>
      </c>
      <c r="G110" s="19" t="s">
        <v>25853</v>
      </c>
      <c r="H110" s="19" t="s">
        <v>25862</v>
      </c>
      <c r="I110" s="19" t="s">
        <v>25863</v>
      </c>
      <c r="J110" s="2" t="str">
        <f t="shared" si="2"/>
        <v>(${Variables:E1_14_14_1_kcat} * E1_14_14_1 * C00219 * C00007 * C00005 * C00080)/(${Variables:E1_14_14_1_km} + (E1_14_14_1 * C00219 * C00007 * C00005 * C00080))</v>
      </c>
      <c r="K110" s="2" t="str">
        <f t="shared" si="3"/>
        <v>r109: C00219 + C00007 + C00005 + C00080 -&gt; C14778 + C00006 + C00001 | (${Variables:E1_14_14_1_kcat} * E1_14_14_1 * C00219 * C00007 * C00005 * C00080)/(${Variables:E1_14_14_1_km} + (E1_14_14_1 * C00219 * C00007 * C00005 * C00080))</v>
      </c>
    </row>
    <row r="111">
      <c r="A111" s="2" t="s">
        <v>13444</v>
      </c>
      <c r="B111" s="2" t="s">
        <v>13445</v>
      </c>
      <c r="C111" s="2" t="s">
        <v>24955</v>
      </c>
      <c r="D111" s="18">
        <v>110.0</v>
      </c>
      <c r="E111" s="2" t="str">
        <f t="shared" si="1"/>
        <v>E1_14_14_1</v>
      </c>
      <c r="F111" s="19" t="s">
        <v>25864</v>
      </c>
      <c r="G111" s="19" t="s">
        <v>25865</v>
      </c>
      <c r="H111" s="19" t="s">
        <v>25866</v>
      </c>
      <c r="I111" s="19" t="s">
        <v>25867</v>
      </c>
      <c r="J111" s="2" t="str">
        <f t="shared" si="2"/>
        <v>(${Variables:E1_14_14_1_kcat} * E1_14_14_1 * C01595 * C00007 * C00005 * C00080)/(${Variables:E1_14_14_1_km} + (E1_14_14_1 * C01595 * C00007 * C00005 * C00080))</v>
      </c>
      <c r="K111" s="2" t="str">
        <f t="shared" si="3"/>
        <v>r110: C01595 + C00007 + C00005 + C00080 -&gt; C14825 + C00006 + C00001 | (${Variables:E1_14_14_1_kcat} * E1_14_14_1 * C01595 * C00007 * C00005 * C00080)/(${Variables:E1_14_14_1_km} + (E1_14_14_1 * C01595 * C00007 * C00005 * C00080))</v>
      </c>
    </row>
    <row r="112">
      <c r="A112" s="2" t="s">
        <v>13444</v>
      </c>
      <c r="B112" s="2" t="s">
        <v>13445</v>
      </c>
      <c r="C112" s="2" t="s">
        <v>24955</v>
      </c>
      <c r="D112" s="18">
        <v>111.0</v>
      </c>
      <c r="E112" s="2" t="str">
        <f t="shared" si="1"/>
        <v>E1_14_14_1</v>
      </c>
      <c r="F112" s="19" t="s">
        <v>25864</v>
      </c>
      <c r="G112" s="19" t="s">
        <v>25865</v>
      </c>
      <c r="H112" s="19" t="s">
        <v>25868</v>
      </c>
      <c r="I112" s="19" t="s">
        <v>25869</v>
      </c>
      <c r="J112" s="2" t="str">
        <f t="shared" si="2"/>
        <v>(${Variables:E1_14_14_1_kcat} * E1_14_14_1 * C01595 * C00007 * C00005 * C00080)/(${Variables:E1_14_14_1_km} + (E1_14_14_1 * C01595 * C00007 * C00005 * C00080))</v>
      </c>
      <c r="K112" s="2" t="str">
        <f t="shared" si="3"/>
        <v>r111: C01595 + C00007 + C00005 + C00080 -&gt; C14826 + C00006 + C00001 | (${Variables:E1_14_14_1_kcat} * E1_14_14_1 * C01595 * C00007 * C00005 * C00080)/(${Variables:E1_14_14_1_km} + (E1_14_14_1 * C01595 * C00007 * C00005 * C00080))</v>
      </c>
    </row>
    <row r="113">
      <c r="A113" s="2" t="s">
        <v>13444</v>
      </c>
      <c r="B113" s="2" t="s">
        <v>13445</v>
      </c>
      <c r="C113" s="2" t="s">
        <v>24955</v>
      </c>
      <c r="D113" s="18">
        <v>112.0</v>
      </c>
      <c r="E113" s="2" t="str">
        <f t="shared" si="1"/>
        <v>E1_14_14_1</v>
      </c>
      <c r="F113" s="19" t="s">
        <v>25870</v>
      </c>
      <c r="G113" s="19" t="s">
        <v>25871</v>
      </c>
      <c r="H113" s="19" t="s">
        <v>25872</v>
      </c>
      <c r="I113" s="19" t="s">
        <v>25873</v>
      </c>
      <c r="J113" s="2" t="str">
        <f t="shared" si="2"/>
        <v>(${Variables:E1_14_14_1_kcat} * E1_14_14_1 * C07535 * C00005 * C00007 * C00080)/(${Variables:E1_14_14_1_km} + (E1_14_14_1 * C07535 * C00005 * C00007 * C00080))</v>
      </c>
      <c r="K113" s="2" t="str">
        <f t="shared" si="3"/>
        <v>r112: C07535 + C00005 + C00007 + C00080 -&gt; C14849 + C00006 + C00001 | (${Variables:E1_14_14_1_kcat} * E1_14_14_1 * C07535 * C00005 * C00007 * C00080)/(${Variables:E1_14_14_1_km} + (E1_14_14_1 * C07535 * C00005 * C00007 * C00080))</v>
      </c>
    </row>
    <row r="114">
      <c r="A114" s="2" t="s">
        <v>13444</v>
      </c>
      <c r="B114" s="2" t="s">
        <v>13445</v>
      </c>
      <c r="C114" s="2" t="s">
        <v>24955</v>
      </c>
      <c r="D114" s="18">
        <v>113.0</v>
      </c>
      <c r="E114" s="2" t="str">
        <f t="shared" si="1"/>
        <v>E1_14_14_1</v>
      </c>
      <c r="F114" s="19" t="s">
        <v>25870</v>
      </c>
      <c r="G114" s="19" t="s">
        <v>25871</v>
      </c>
      <c r="H114" s="19" t="s">
        <v>25874</v>
      </c>
      <c r="I114" s="19" t="s">
        <v>25875</v>
      </c>
      <c r="J114" s="2" t="str">
        <f t="shared" si="2"/>
        <v>(${Variables:E1_14_14_1_kcat} * E1_14_14_1 * C07535 * C00005 * C00007 * C00080)/(${Variables:E1_14_14_1_km} + (E1_14_14_1 * C07535 * C00005 * C00007 * C00080))</v>
      </c>
      <c r="K114" s="2" t="str">
        <f t="shared" si="3"/>
        <v>r113: C07535 + C00005 + C00007 + C00080 -&gt; C14850 + C00006 + C00001 | (${Variables:E1_14_14_1_kcat} * E1_14_14_1 * C07535 * C00005 * C00007 * C00080)/(${Variables:E1_14_14_1_km} + (E1_14_14_1 * C07535 * C00005 * C00007 * C00080))</v>
      </c>
    </row>
    <row r="115">
      <c r="A115" s="2" t="s">
        <v>13444</v>
      </c>
      <c r="B115" s="2" t="s">
        <v>13445</v>
      </c>
      <c r="C115" s="2" t="s">
        <v>24955</v>
      </c>
      <c r="D115" s="18">
        <v>114.0</v>
      </c>
      <c r="E115" s="2" t="str">
        <f t="shared" si="1"/>
        <v>E1_14_14_1</v>
      </c>
      <c r="F115" s="19" t="s">
        <v>25870</v>
      </c>
      <c r="G115" s="19" t="s">
        <v>25871</v>
      </c>
      <c r="H115" s="19" t="s">
        <v>25876</v>
      </c>
      <c r="I115" s="19" t="s">
        <v>25877</v>
      </c>
      <c r="J115" s="2" t="str">
        <f t="shared" si="2"/>
        <v>(${Variables:E1_14_14_1_kcat} * E1_14_14_1 * C07535 * C00005 * C00007 * C00080)/(${Variables:E1_14_14_1_km} + (E1_14_14_1 * C07535 * C00005 * C00007 * C00080))</v>
      </c>
      <c r="K115" s="2" t="str">
        <f t="shared" si="3"/>
        <v>r114: C07535 + C00005 + C00007 + C00080 -&gt; C14851 + C00006 + C00001 | (${Variables:E1_14_14_1_kcat} * E1_14_14_1 * C07535 * C00005 * C00007 * C00080)/(${Variables:E1_14_14_1_km} + (E1_14_14_1 * C07535 * C00005 * C00007 * C00080))</v>
      </c>
    </row>
    <row r="116">
      <c r="A116" s="2" t="s">
        <v>13444</v>
      </c>
      <c r="B116" s="2" t="s">
        <v>13445</v>
      </c>
      <c r="C116" s="2" t="s">
        <v>24955</v>
      </c>
      <c r="D116" s="18">
        <v>115.0</v>
      </c>
      <c r="E116" s="2" t="str">
        <f t="shared" si="1"/>
        <v>E1_14_14_1</v>
      </c>
      <c r="F116" s="19" t="s">
        <v>25878</v>
      </c>
      <c r="G116" s="19" t="s">
        <v>25879</v>
      </c>
      <c r="H116" s="19" t="s">
        <v>25880</v>
      </c>
      <c r="I116" s="19" t="s">
        <v>25881</v>
      </c>
      <c r="J116" s="2" t="str">
        <f t="shared" si="2"/>
        <v>(${Variables:E1_14_14_1_kcat} * E1_14_14_1 * C14852 * C00005 * C00007 * C00080)/(${Variables:E1_14_14_1_km} + (E1_14_14_1 * C14852 * C00005 * C00007 * C00080))</v>
      </c>
      <c r="K116" s="2" t="str">
        <f t="shared" si="3"/>
        <v>r115: C14852 + C00005 + C00007 + C00080 -&gt; C14853 + C00006 + C00001 | (${Variables:E1_14_14_1_kcat} * E1_14_14_1 * C14852 * C00005 * C00007 * C00080)/(${Variables:E1_14_14_1_km} + (E1_14_14_1 * C14852 * C00005 * C00007 * C00080))</v>
      </c>
    </row>
    <row r="117">
      <c r="A117" s="2" t="s">
        <v>13444</v>
      </c>
      <c r="B117" s="2" t="s">
        <v>13445</v>
      </c>
      <c r="C117" s="2" t="s">
        <v>24955</v>
      </c>
      <c r="D117" s="18">
        <v>116.0</v>
      </c>
      <c r="E117" s="2" t="str">
        <f t="shared" si="1"/>
        <v>E1_14_14_1</v>
      </c>
      <c r="F117" s="19" t="s">
        <v>25882</v>
      </c>
      <c r="G117" s="19" t="s">
        <v>25883</v>
      </c>
      <c r="H117" s="19" t="s">
        <v>25884</v>
      </c>
      <c r="I117" s="19" t="s">
        <v>25885</v>
      </c>
      <c r="J117" s="2" t="str">
        <f t="shared" si="2"/>
        <v>(${Variables:E1_14_14_1_kcat} * E1_14_14_1 * C14556 * C00005 * C00007 * C00080)/(${Variables:E1_14_14_1_km} + (E1_14_14_1 * C14556 * C00005 * C00007 * C00080))</v>
      </c>
      <c r="K117" s="2" t="str">
        <f t="shared" si="3"/>
        <v>r116: C14556 + C00005 + C00007 + C00080 -&gt; C14854 + C00006 + C00001 | (${Variables:E1_14_14_1_kcat} * E1_14_14_1 * C14556 * C00005 * C00007 * C00080)/(${Variables:E1_14_14_1_km} + (E1_14_14_1 * C14556 * C00005 * C00007 * C00080))</v>
      </c>
    </row>
    <row r="118">
      <c r="A118" s="2" t="s">
        <v>13444</v>
      </c>
      <c r="B118" s="2" t="s">
        <v>13445</v>
      </c>
      <c r="C118" s="2" t="s">
        <v>24955</v>
      </c>
      <c r="D118" s="18">
        <v>117.0</v>
      </c>
      <c r="E118" s="2" t="str">
        <f t="shared" si="1"/>
        <v>E1_14_14_1</v>
      </c>
      <c r="F118" s="19" t="s">
        <v>25886</v>
      </c>
      <c r="G118" s="19" t="s">
        <v>25887</v>
      </c>
      <c r="H118" s="19" t="s">
        <v>25888</v>
      </c>
      <c r="I118" s="19" t="s">
        <v>25889</v>
      </c>
      <c r="J118" s="2" t="str">
        <f t="shared" si="2"/>
        <v>(${Variables:E1_14_14_1_kcat} * E1_14_14_1 * C06790 * C00005 * C00007 * C00080)/(${Variables:E1_14_14_1_km} + (E1_14_14_1 * C06790 * C00005 * C00007 * C00080))</v>
      </c>
      <c r="K118" s="2" t="str">
        <f t="shared" si="3"/>
        <v>r117: C06790 + C00005 + C00007 + C00080 -&gt; C11148 + C00006 + C00001 | (${Variables:E1_14_14_1_kcat} * E1_14_14_1 * C06790 * C00005 * C00007 * C00080)/(${Variables:E1_14_14_1_km} + (E1_14_14_1 * C06790 * C00005 * C00007 * C00080))</v>
      </c>
    </row>
    <row r="119">
      <c r="A119" s="2" t="s">
        <v>13444</v>
      </c>
      <c r="B119" s="2" t="s">
        <v>13445</v>
      </c>
      <c r="C119" s="2" t="s">
        <v>24955</v>
      </c>
      <c r="D119" s="18">
        <v>118.0</v>
      </c>
      <c r="E119" s="2" t="str">
        <f t="shared" si="1"/>
        <v>E1_14_14_1</v>
      </c>
      <c r="F119" s="19" t="s">
        <v>25886</v>
      </c>
      <c r="G119" s="19" t="s">
        <v>25887</v>
      </c>
      <c r="H119" s="19" t="s">
        <v>25890</v>
      </c>
      <c r="I119" s="19" t="s">
        <v>25891</v>
      </c>
      <c r="J119" s="2" t="str">
        <f t="shared" si="2"/>
        <v>(${Variables:E1_14_14_1_kcat} * E1_14_14_1 * C06790 * C00005 * C00007 * C00080)/(${Variables:E1_14_14_1_km} + (E1_14_14_1 * C06790 * C00005 * C00007 * C00080))</v>
      </c>
      <c r="K119" s="2" t="str">
        <f t="shared" si="3"/>
        <v>r118: C06790 + C00005 + C00007 + C00080 -&gt; C14866 + C00006 + C00001 | (${Variables:E1_14_14_1_kcat} * E1_14_14_1 * C06790 * C00005 * C00007 * C00080)/(${Variables:E1_14_14_1_km} + (E1_14_14_1 * C06790 * C00005 * C00007 * C00080))</v>
      </c>
    </row>
    <row r="120">
      <c r="A120" s="2" t="s">
        <v>13444</v>
      </c>
      <c r="B120" s="2" t="s">
        <v>13445</v>
      </c>
      <c r="C120" s="2" t="s">
        <v>24955</v>
      </c>
      <c r="D120" s="18">
        <v>119.0</v>
      </c>
      <c r="E120" s="2" t="str">
        <f t="shared" si="1"/>
        <v>E1_14_14_1</v>
      </c>
      <c r="F120" s="19" t="s">
        <v>25892</v>
      </c>
      <c r="G120" s="19" t="s">
        <v>25893</v>
      </c>
      <c r="H120" s="19" t="s">
        <v>25894</v>
      </c>
      <c r="I120" s="19" t="s">
        <v>25895</v>
      </c>
      <c r="J120" s="2" t="str">
        <f t="shared" si="2"/>
        <v>(${Variables:E1_14_14_1_kcat} * E1_14_14_1 * C07481 * C00005 * C00007 * C00080)/(${Variables:E1_14_14_1_km} + (E1_14_14_1 * C07481 * C00005 * C00007 * C00080))</v>
      </c>
      <c r="K120" s="2" t="str">
        <f t="shared" si="3"/>
        <v>r119: C07481 + C00005 + C00007 + C00080 -&gt; C13747 + C00006 + C00067 + C00001 | (${Variables:E1_14_14_1_kcat} * E1_14_14_1 * C07481 * C00005 * C00007 * C00080)/(${Variables:E1_14_14_1_km} + (E1_14_14_1 * C07481 * C00005 * C00007 * C00080))</v>
      </c>
    </row>
    <row r="121">
      <c r="A121" s="2" t="s">
        <v>13444</v>
      </c>
      <c r="B121" s="2" t="s">
        <v>13445</v>
      </c>
      <c r="C121" s="2" t="s">
        <v>24955</v>
      </c>
      <c r="D121" s="18">
        <v>120.0</v>
      </c>
      <c r="E121" s="2" t="str">
        <f t="shared" si="1"/>
        <v>E1_14_14_1</v>
      </c>
      <c r="F121" s="19" t="s">
        <v>15289</v>
      </c>
      <c r="G121" s="19" t="s">
        <v>15289</v>
      </c>
      <c r="H121" s="19" t="s">
        <v>15290</v>
      </c>
      <c r="I121" s="19" t="s">
        <v>15290</v>
      </c>
      <c r="J121" s="2" t="str">
        <f t="shared" si="2"/>
        <v>(${Variables:E1_14_14_1_kcat} * E1_14_14_1 * C13747)/(${Variables:E1_14_14_1_km} + (E1_14_14_1 * C13747))</v>
      </c>
      <c r="K121" s="2" t="str">
        <f t="shared" si="3"/>
        <v>r120: C13747 -&gt; C16358 | (${Variables:E1_14_14_1_kcat} * E1_14_14_1 * C13747)/(${Variables:E1_14_14_1_km} + (E1_14_14_1 * C13747))</v>
      </c>
    </row>
    <row r="122">
      <c r="A122" s="2" t="s">
        <v>13444</v>
      </c>
      <c r="B122" s="2" t="s">
        <v>13445</v>
      </c>
      <c r="C122" s="2" t="s">
        <v>24955</v>
      </c>
      <c r="D122" s="18">
        <v>121.0</v>
      </c>
      <c r="E122" s="2" t="str">
        <f t="shared" si="1"/>
        <v>E1_14_14_1</v>
      </c>
      <c r="F122" s="19" t="s">
        <v>15289</v>
      </c>
      <c r="G122" s="19" t="s">
        <v>15289</v>
      </c>
      <c r="H122" s="19" t="s">
        <v>15292</v>
      </c>
      <c r="I122" s="19" t="s">
        <v>15292</v>
      </c>
      <c r="J122" s="2" t="str">
        <f t="shared" si="2"/>
        <v>(${Variables:E1_14_14_1_kcat} * E1_14_14_1 * C13747)/(${Variables:E1_14_14_1_km} + (E1_14_14_1 * C13747))</v>
      </c>
      <c r="K122" s="2" t="str">
        <f t="shared" si="3"/>
        <v>r121: C13747 -&gt; C16356 | (${Variables:E1_14_14_1_kcat} * E1_14_14_1 * C13747)/(${Variables:E1_14_14_1_km} + (E1_14_14_1 * C13747))</v>
      </c>
    </row>
    <row r="123">
      <c r="A123" s="2" t="s">
        <v>13444</v>
      </c>
      <c r="B123" s="2" t="s">
        <v>13445</v>
      </c>
      <c r="C123" s="2" t="s">
        <v>24955</v>
      </c>
      <c r="D123" s="18">
        <v>122.0</v>
      </c>
      <c r="E123" s="2" t="str">
        <f t="shared" si="1"/>
        <v>E1_14_14_1</v>
      </c>
      <c r="F123" s="19" t="s">
        <v>25896</v>
      </c>
      <c r="G123" s="19" t="s">
        <v>25897</v>
      </c>
      <c r="H123" s="19" t="s">
        <v>25898</v>
      </c>
      <c r="I123" s="19" t="s">
        <v>25899</v>
      </c>
      <c r="J123" s="2" t="str">
        <f t="shared" si="2"/>
        <v>(${Variables:E1_14_14_1_kcat} * E1_14_14_1 * C01516 * C03024 * C00007)/(${Variables:E1_14_14_1_km} + (E1_14_14_1 * C01516 * C03024 * C00007))</v>
      </c>
      <c r="K123" s="2" t="str">
        <f t="shared" si="3"/>
        <v>r122: C01516 + C03024 + C00007 -&gt; C11785 + C00067 + C03161 + C00001 | (${Variables:E1_14_14_1_kcat} * E1_14_14_1 * C01516 * C03024 * C00007)/(${Variables:E1_14_14_1_km} + (E1_14_14_1 * C01516 * C03024 * C00007))</v>
      </c>
    </row>
    <row r="124">
      <c r="A124" s="2" t="s">
        <v>13444</v>
      </c>
      <c r="B124" s="2" t="s">
        <v>13445</v>
      </c>
      <c r="C124" s="2" t="s">
        <v>24955</v>
      </c>
      <c r="D124" s="18">
        <v>123.0</v>
      </c>
      <c r="E124" s="2" t="str">
        <f t="shared" si="1"/>
        <v>E1_14_14_1</v>
      </c>
      <c r="F124" s="19" t="s">
        <v>25900</v>
      </c>
      <c r="G124" s="19" t="s">
        <v>25901</v>
      </c>
      <c r="H124" s="19" t="s">
        <v>25902</v>
      </c>
      <c r="I124" s="19" t="s">
        <v>25903</v>
      </c>
      <c r="J124" s="2" t="str">
        <f t="shared" si="2"/>
        <v>(${Variables:E1_14_14_1_kcat} * E1_14_14_1 * C07108 * C00005 * C00007 * C00080)/(${Variables:E1_14_14_1_km} + (E1_14_14_1 * C07108 * C00005 * C00007 * C00080))</v>
      </c>
      <c r="K124" s="2" t="str">
        <f t="shared" si="3"/>
        <v>r123: C07108 + C00005 + C00007 + C00080 -&gt; C05011 + C00006 + C00001 | (${Variables:E1_14_14_1_kcat} * E1_14_14_1 * C07108 * C00005 * C00007 * C00080)/(${Variables:E1_14_14_1_km} + (E1_14_14_1 * C07108 * C00005 * C00007 * C00080))</v>
      </c>
    </row>
    <row r="125">
      <c r="A125" s="2" t="s">
        <v>13444</v>
      </c>
      <c r="B125" s="2" t="s">
        <v>13445</v>
      </c>
      <c r="C125" s="2" t="s">
        <v>24955</v>
      </c>
      <c r="D125" s="18">
        <v>124.0</v>
      </c>
      <c r="E125" s="2" t="str">
        <f t="shared" si="1"/>
        <v>E1_14_14_1</v>
      </c>
      <c r="F125" s="19" t="s">
        <v>25904</v>
      </c>
      <c r="G125" s="19" t="s">
        <v>25905</v>
      </c>
      <c r="H125" s="19" t="s">
        <v>25906</v>
      </c>
      <c r="I125" s="19" t="s">
        <v>25907</v>
      </c>
      <c r="J125" s="2" t="str">
        <f t="shared" si="2"/>
        <v>(${Variables:E1_14_14_1_kcat} * E1_14_14_1 * C16546 * C00005 * C00007 * C00080)/(${Variables:E1_14_14_1_km} + (E1_14_14_1 * C16546 * C00005 * C00007 * C00080))</v>
      </c>
      <c r="K125" s="2" t="str">
        <f t="shared" si="3"/>
        <v>r124: C16546 + C00005 + C00007 + C00080 -&gt; C16547 + C00006 + C00001 | (${Variables:E1_14_14_1_kcat} * E1_14_14_1 * C16546 * C00005 * C00007 * C00080)/(${Variables:E1_14_14_1_km} + (E1_14_14_1 * C16546 * C00005 * C00007 * C00080))</v>
      </c>
    </row>
    <row r="126">
      <c r="A126" s="2" t="s">
        <v>13444</v>
      </c>
      <c r="B126" s="2" t="s">
        <v>13445</v>
      </c>
      <c r="C126" s="2" t="s">
        <v>24955</v>
      </c>
      <c r="D126" s="18">
        <v>125.0</v>
      </c>
      <c r="E126" s="2" t="str">
        <f t="shared" si="1"/>
        <v>E1_14_14_1</v>
      </c>
      <c r="F126" s="19" t="s">
        <v>15303</v>
      </c>
      <c r="G126" s="19" t="s">
        <v>15303</v>
      </c>
      <c r="H126" s="19" t="s">
        <v>25908</v>
      </c>
      <c r="I126" s="19" t="s">
        <v>25909</v>
      </c>
      <c r="J126" s="2" t="str">
        <f t="shared" si="2"/>
        <v>(${Variables:E1_14_14_1_kcat} * E1_14_14_1 * C07047)/(${Variables:E1_14_14_1_km} + (E1_14_14_1 * C07047))</v>
      </c>
      <c r="K126" s="2" t="str">
        <f t="shared" si="3"/>
        <v>r125: C07047 -&gt; C16550 + C06754 | (${Variables:E1_14_14_1_kcat} * E1_14_14_1 * C07047)/(${Variables:E1_14_14_1_km} + (E1_14_14_1 * C07047))</v>
      </c>
    </row>
    <row r="127">
      <c r="A127" s="2" t="s">
        <v>13444</v>
      </c>
      <c r="B127" s="2" t="s">
        <v>13445</v>
      </c>
      <c r="C127" s="2" t="s">
        <v>24955</v>
      </c>
      <c r="D127" s="18">
        <v>126.0</v>
      </c>
      <c r="E127" s="2" t="str">
        <f t="shared" si="1"/>
        <v>E1_14_14_1</v>
      </c>
      <c r="F127" s="19" t="s">
        <v>15303</v>
      </c>
      <c r="G127" s="19" t="s">
        <v>15303</v>
      </c>
      <c r="H127" s="19" t="s">
        <v>25910</v>
      </c>
      <c r="I127" s="19" t="s">
        <v>25911</v>
      </c>
      <c r="J127" s="2" t="str">
        <f t="shared" si="2"/>
        <v>(${Variables:E1_14_14_1_kcat} * E1_14_14_1 * C07047)/(${Variables:E1_14_14_1_km} + (E1_14_14_1 * C07047))</v>
      </c>
      <c r="K127" s="2" t="str">
        <f t="shared" si="3"/>
        <v>r126: C07047 -&gt; C16555 + C06754 | (${Variables:E1_14_14_1_kcat} * E1_14_14_1 * C07047)/(${Variables:E1_14_14_1_km} + (E1_14_14_1 * C07047))</v>
      </c>
    </row>
    <row r="128">
      <c r="A128" s="2" t="s">
        <v>13444</v>
      </c>
      <c r="B128" s="2" t="s">
        <v>13445</v>
      </c>
      <c r="C128" s="2" t="s">
        <v>24955</v>
      </c>
      <c r="D128" s="18">
        <v>127.0</v>
      </c>
      <c r="E128" s="2" t="str">
        <f t="shared" si="1"/>
        <v>E1_14_14_1</v>
      </c>
      <c r="F128" s="19" t="s">
        <v>15308</v>
      </c>
      <c r="G128" s="19" t="s">
        <v>15308</v>
      </c>
      <c r="H128" s="19" t="s">
        <v>15309</v>
      </c>
      <c r="I128" s="19" t="s">
        <v>15309</v>
      </c>
      <c r="J128" s="2" t="str">
        <f t="shared" si="2"/>
        <v>(${Variables:E1_14_14_1_kcat} * E1_14_14_1 * C07073)/(${Variables:E1_14_14_1_km} + (E1_14_14_1 * C07073))</v>
      </c>
      <c r="K128" s="2" t="str">
        <f t="shared" si="3"/>
        <v>r127: C07073 -&gt; C16561 | (${Variables:E1_14_14_1_kcat} * E1_14_14_1 * C07073)/(${Variables:E1_14_14_1_km} + (E1_14_14_1 * C07073))</v>
      </c>
    </row>
    <row r="129">
      <c r="A129" s="2" t="s">
        <v>13444</v>
      </c>
      <c r="B129" s="2" t="s">
        <v>13445</v>
      </c>
      <c r="C129" s="2" t="s">
        <v>24955</v>
      </c>
      <c r="D129" s="18">
        <v>128.0</v>
      </c>
      <c r="E129" s="2" t="str">
        <f t="shared" si="1"/>
        <v>E1_14_14_1</v>
      </c>
      <c r="F129" s="19" t="s">
        <v>25912</v>
      </c>
      <c r="G129" s="19" t="s">
        <v>25913</v>
      </c>
      <c r="H129" s="19" t="s">
        <v>25914</v>
      </c>
      <c r="I129" s="19" t="s">
        <v>25915</v>
      </c>
      <c r="J129" s="2" t="str">
        <f t="shared" si="2"/>
        <v>(${Variables:E1_14_14_1_kcat} * E1_14_14_1 * C07073 * C00005 * C00007 * C00080)/(${Variables:E1_14_14_1_km} + (E1_14_14_1 * C07073 * C00005 * C00007 * C00080))</v>
      </c>
      <c r="K129" s="2" t="str">
        <f t="shared" si="3"/>
        <v>r128: C07073 + C00005 + C00007 + C00080 -&gt; C16560 + C00006 + C00001 | (${Variables:E1_14_14_1_kcat} * E1_14_14_1 * C07073 * C00005 * C00007 * C00080)/(${Variables:E1_14_14_1_km} + (E1_14_14_1 * C07073 * C00005 * C00007 * C00080))</v>
      </c>
    </row>
    <row r="130">
      <c r="A130" s="2" t="s">
        <v>13444</v>
      </c>
      <c r="B130" s="2" t="s">
        <v>13445</v>
      </c>
      <c r="C130" s="2" t="s">
        <v>24955</v>
      </c>
      <c r="D130" s="18">
        <v>129.0</v>
      </c>
      <c r="E130" s="2" t="str">
        <f t="shared" si="1"/>
        <v>E1_14_14_1</v>
      </c>
      <c r="F130" s="19" t="s">
        <v>25916</v>
      </c>
      <c r="G130" s="19" t="s">
        <v>25917</v>
      </c>
      <c r="H130" s="19" t="s">
        <v>25918</v>
      </c>
      <c r="I130" s="19" t="s">
        <v>25919</v>
      </c>
      <c r="J130" s="2" t="str">
        <f t="shared" si="2"/>
        <v>(${Variables:E1_14_14_1_kcat} * E1_14_14_1 * C06868 * C00005 * C00080 * C00007)/(${Variables:E1_14_14_1_km} + (E1_14_14_1 * C06868 * C00005 * C00080 * C00007))</v>
      </c>
      <c r="K130" s="2" t="str">
        <f t="shared" si="3"/>
        <v>r129: C06868 + C00005 + C00080 + C00007 -&gt; C07496 + C00006 + C00001 | (${Variables:E1_14_14_1_kcat} * E1_14_14_1 * C06868 * C00005 * C00080 * C00007)/(${Variables:E1_14_14_1_km} + (E1_14_14_1 * C06868 * C00005 * C00080 * C00007))</v>
      </c>
    </row>
    <row r="131">
      <c r="A131" s="2" t="s">
        <v>13444</v>
      </c>
      <c r="B131" s="2" t="s">
        <v>13445</v>
      </c>
      <c r="C131" s="2" t="s">
        <v>24955</v>
      </c>
      <c r="D131" s="18">
        <v>130.0</v>
      </c>
      <c r="E131" s="2" t="str">
        <f t="shared" si="1"/>
        <v>E1_14_14_1</v>
      </c>
      <c r="F131" s="19" t="s">
        <v>15317</v>
      </c>
      <c r="G131" s="19" t="s">
        <v>15317</v>
      </c>
      <c r="H131" s="19" t="s">
        <v>15318</v>
      </c>
      <c r="I131" s="19" t="s">
        <v>15318</v>
      </c>
      <c r="J131" s="2" t="str">
        <f t="shared" si="2"/>
        <v>(${Variables:E1_14_14_1_kcat} * E1_14_14_1 * C07572)/(${Variables:E1_14_14_1_km} + (E1_14_14_1 * C07572))</v>
      </c>
      <c r="K131" s="2" t="str">
        <f t="shared" si="3"/>
        <v>r130: C07572 -&gt; C16608 | (${Variables:E1_14_14_1_kcat} * E1_14_14_1 * C07572)/(${Variables:E1_14_14_1_km} + (E1_14_14_1 * C07572))</v>
      </c>
    </row>
    <row r="132">
      <c r="A132" s="2" t="s">
        <v>13444</v>
      </c>
      <c r="B132" s="2" t="s">
        <v>13445</v>
      </c>
      <c r="C132" s="2" t="s">
        <v>24955</v>
      </c>
      <c r="D132" s="18">
        <v>131.0</v>
      </c>
      <c r="E132" s="2" t="str">
        <f t="shared" si="1"/>
        <v>E1_14_14_1</v>
      </c>
      <c r="F132" s="19" t="s">
        <v>15317</v>
      </c>
      <c r="G132" s="19" t="s">
        <v>15317</v>
      </c>
      <c r="H132" s="19" t="s">
        <v>15320</v>
      </c>
      <c r="I132" s="19" t="s">
        <v>15320</v>
      </c>
      <c r="J132" s="2" t="str">
        <f t="shared" si="2"/>
        <v>(${Variables:E1_14_14_1_kcat} * E1_14_14_1 * C07572)/(${Variables:E1_14_14_1_km} + (E1_14_14_1 * C07572))</v>
      </c>
      <c r="K132" s="2" t="str">
        <f t="shared" si="3"/>
        <v>r131: C07572 -&gt; C16607 | (${Variables:E1_14_14_1_kcat} * E1_14_14_1 * C07572)/(${Variables:E1_14_14_1_km} + (E1_14_14_1 * C07572))</v>
      </c>
    </row>
    <row r="133">
      <c r="A133" s="2" t="s">
        <v>13444</v>
      </c>
      <c r="B133" s="2" t="s">
        <v>13445</v>
      </c>
      <c r="C133" s="2" t="s">
        <v>24955</v>
      </c>
      <c r="D133" s="18">
        <v>132.0</v>
      </c>
      <c r="E133" s="2" t="str">
        <f t="shared" si="1"/>
        <v>E1_14_14_1</v>
      </c>
      <c r="F133" s="19" t="s">
        <v>15318</v>
      </c>
      <c r="G133" s="19" t="s">
        <v>15318</v>
      </c>
      <c r="H133" s="19" t="s">
        <v>15322</v>
      </c>
      <c r="I133" s="19" t="s">
        <v>15322</v>
      </c>
      <c r="J133" s="2" t="str">
        <f t="shared" si="2"/>
        <v>(${Variables:E1_14_14_1_kcat} * E1_14_14_1 * C16608)/(${Variables:E1_14_14_1_km} + (E1_14_14_1 * C16608))</v>
      </c>
      <c r="K133" s="2" t="str">
        <f t="shared" si="3"/>
        <v>r132: C16608 -&gt; C16609 | (${Variables:E1_14_14_1_kcat} * E1_14_14_1 * C16608)/(${Variables:E1_14_14_1_km} + (E1_14_14_1 * C16608))</v>
      </c>
    </row>
    <row r="134">
      <c r="A134" s="2" t="s">
        <v>13444</v>
      </c>
      <c r="B134" s="2" t="s">
        <v>13445</v>
      </c>
      <c r="C134" s="2" t="s">
        <v>24955</v>
      </c>
      <c r="D134" s="18">
        <v>133.0</v>
      </c>
      <c r="E134" s="2" t="str">
        <f t="shared" si="1"/>
        <v>E1_14_14_1</v>
      </c>
      <c r="F134" s="19" t="s">
        <v>25920</v>
      </c>
      <c r="G134" s="19" t="s">
        <v>25921</v>
      </c>
      <c r="H134" s="19" t="s">
        <v>25922</v>
      </c>
      <c r="I134" s="19" t="s">
        <v>25923</v>
      </c>
      <c r="J134" s="2" t="str">
        <f t="shared" si="2"/>
        <v>(${Variables:E1_14_14_1_kcat} * E1_14_14_1 * C00777 * C03024 * C00007)/(${Variables:E1_14_14_1_km} + (E1_14_14_1 * C00777 * C03024 * C00007))</v>
      </c>
      <c r="K134" s="2" t="str">
        <f t="shared" si="3"/>
        <v>r133: C00777 + C03024 + C00007 -&gt; C16679 + C03161 + C00001 | (${Variables:E1_14_14_1_kcat} * E1_14_14_1 * C00777 * C03024 * C00007)/(${Variables:E1_14_14_1_km} + (E1_14_14_1 * C00777 * C03024 * C00007))</v>
      </c>
    </row>
    <row r="135">
      <c r="A135" s="2" t="s">
        <v>13444</v>
      </c>
      <c r="B135" s="2" t="s">
        <v>13445</v>
      </c>
      <c r="C135" s="2" t="s">
        <v>24955</v>
      </c>
      <c r="D135" s="18">
        <v>134.0</v>
      </c>
      <c r="E135" s="2" t="str">
        <f t="shared" si="1"/>
        <v>E1_14_14_1</v>
      </c>
      <c r="F135" s="19" t="s">
        <v>25924</v>
      </c>
      <c r="G135" s="19" t="s">
        <v>25925</v>
      </c>
      <c r="H135" s="19" t="s">
        <v>25926</v>
      </c>
      <c r="I135" s="19" t="s">
        <v>25927</v>
      </c>
      <c r="J135" s="2" t="str">
        <f t="shared" si="2"/>
        <v>(${Variables:E1_14_14_1_kcat} * E1_14_14_1 * C00777 * C00005 * C00080 * C00007)/(${Variables:E1_14_14_1_km} + (E1_14_14_1 * C00777 * C00005 * C00080 * C00007))</v>
      </c>
      <c r="K135" s="2" t="str">
        <f t="shared" si="3"/>
        <v>r134: C00777 + C00005 + C00080 + C00007 -&gt; C16680 + C00006 + C00001 | (${Variables:E1_14_14_1_kcat} * E1_14_14_1 * C00777 * C00005 * C00080 * C00007)/(${Variables:E1_14_14_1_km} + (E1_14_14_1 * C00777 * C00005 * C00080 * C00007))</v>
      </c>
    </row>
    <row r="136">
      <c r="A136" s="2" t="s">
        <v>13444</v>
      </c>
      <c r="B136" s="2" t="s">
        <v>13445</v>
      </c>
      <c r="C136" s="2" t="s">
        <v>24955</v>
      </c>
      <c r="D136" s="18">
        <v>135.0</v>
      </c>
      <c r="E136" s="2" t="str">
        <f t="shared" si="1"/>
        <v>E1_14_14_1</v>
      </c>
      <c r="F136" s="19" t="s">
        <v>25920</v>
      </c>
      <c r="G136" s="19" t="s">
        <v>25921</v>
      </c>
      <c r="H136" s="19" t="s">
        <v>25928</v>
      </c>
      <c r="I136" s="19" t="s">
        <v>25929</v>
      </c>
      <c r="J136" s="2" t="str">
        <f t="shared" si="2"/>
        <v>(${Variables:E1_14_14_1_kcat} * E1_14_14_1 * C00777 * C03024 * C00007)/(${Variables:E1_14_14_1_km} + (E1_14_14_1 * C00777 * C03024 * C00007))</v>
      </c>
      <c r="K136" s="2" t="str">
        <f t="shared" si="3"/>
        <v>r135: C00777 + C03024 + C00007 -&gt; C16677 + C03161 + C00001 | (${Variables:E1_14_14_1_kcat} * E1_14_14_1 * C00777 * C03024 * C00007)/(${Variables:E1_14_14_1_km} + (E1_14_14_1 * C00777 * C03024 * C00007))</v>
      </c>
    </row>
    <row r="137">
      <c r="A137" s="2" t="s">
        <v>13444</v>
      </c>
      <c r="B137" s="2" t="s">
        <v>13445</v>
      </c>
      <c r="C137" s="2" t="s">
        <v>24955</v>
      </c>
      <c r="D137" s="18">
        <v>136.0</v>
      </c>
      <c r="E137" s="2" t="str">
        <f t="shared" si="1"/>
        <v>E1_14_14_1</v>
      </c>
      <c r="F137" s="19" t="s">
        <v>25930</v>
      </c>
      <c r="G137" s="19" t="s">
        <v>25931</v>
      </c>
      <c r="H137" s="19" t="s">
        <v>25932</v>
      </c>
      <c r="I137" s="19" t="s">
        <v>25933</v>
      </c>
      <c r="J137" s="2" t="str">
        <f t="shared" si="2"/>
        <v>(${Variables:E1_14_14_1_kcat} * E1_14_14_1 * C06800 * C00007 * C00005 * C00080)/(${Variables:E1_14_14_1_km} + (E1_14_14_1 * C06800 * C00007 * C00005 * C00080))</v>
      </c>
      <c r="K137" s="2" t="str">
        <f t="shared" si="3"/>
        <v>r136: C06800 + C00007 + C00005 + C00080 -&gt; C19585 + C00001 + C00006 | (${Variables:E1_14_14_1_kcat} * E1_14_14_1 * C06800 * C00007 * C00005 * C00080)/(${Variables:E1_14_14_1_km} + (E1_14_14_1 * C06800 * C00007 * C00005 * C00080))</v>
      </c>
    </row>
    <row r="138">
      <c r="A138" s="2" t="s">
        <v>13444</v>
      </c>
      <c r="B138" s="2" t="s">
        <v>13445</v>
      </c>
      <c r="C138" s="2" t="s">
        <v>24955</v>
      </c>
      <c r="D138" s="18">
        <v>137.0</v>
      </c>
      <c r="E138" s="2" t="str">
        <f t="shared" si="1"/>
        <v>E1_14_14_1</v>
      </c>
      <c r="F138" s="19" t="s">
        <v>25930</v>
      </c>
      <c r="G138" s="19" t="s">
        <v>25931</v>
      </c>
      <c r="H138" s="19" t="s">
        <v>25934</v>
      </c>
      <c r="I138" s="19" t="s">
        <v>25935</v>
      </c>
      <c r="J138" s="2" t="str">
        <f t="shared" si="2"/>
        <v>(${Variables:E1_14_14_1_kcat} * E1_14_14_1 * C06800 * C00007 * C00005 * C00080)/(${Variables:E1_14_14_1_km} + (E1_14_14_1 * C06800 * C00007 * C00005 * C00080))</v>
      </c>
      <c r="K138" s="2" t="str">
        <f t="shared" si="3"/>
        <v>r137: C06800 + C00007 + C00005 + C00080 -&gt; C16756 + C00001 + C00006 | (${Variables:E1_14_14_1_kcat} * E1_14_14_1 * C06800 * C00007 * C00005 * C00080)/(${Variables:E1_14_14_1_km} + (E1_14_14_1 * C06800 * C00007 * C00005 * C00080))</v>
      </c>
    </row>
    <row r="139">
      <c r="A139" s="2" t="s">
        <v>13444</v>
      </c>
      <c r="B139" s="2" t="s">
        <v>13445</v>
      </c>
      <c r="C139" s="2" t="s">
        <v>24955</v>
      </c>
      <c r="D139" s="18">
        <v>138.0</v>
      </c>
      <c r="E139" s="2" t="str">
        <f t="shared" si="1"/>
        <v>E1_14_14_1</v>
      </c>
      <c r="F139" s="19" t="s">
        <v>25936</v>
      </c>
      <c r="G139" s="19" t="s">
        <v>25937</v>
      </c>
      <c r="H139" s="19" t="s">
        <v>25938</v>
      </c>
      <c r="I139" s="19" t="s">
        <v>25939</v>
      </c>
      <c r="J139" s="2" t="str">
        <f t="shared" si="2"/>
        <v>(${Variables:E1_14_14_1_kcat} * E1_14_14_1 * C16756 * C00007 * C00005 * C00080)/(${Variables:E1_14_14_1_km} + (E1_14_14_1 * C16756 * C00007 * C00005 * C00080))</v>
      </c>
      <c r="K139" s="2" t="str">
        <f t="shared" si="3"/>
        <v>r138: C16756 + C00007 + C00005 + C00080 -&gt; C19594 + C00001 + C00006 | (${Variables:E1_14_14_1_kcat} * E1_14_14_1 * C16756 * C00007 * C00005 * C00080)/(${Variables:E1_14_14_1_km} + (E1_14_14_1 * C16756 * C00007 * C00005 * C00080))</v>
      </c>
    </row>
    <row r="140">
      <c r="A140" s="2" t="s">
        <v>13444</v>
      </c>
      <c r="B140" s="2" t="s">
        <v>13445</v>
      </c>
      <c r="C140" s="2" t="s">
        <v>24955</v>
      </c>
      <c r="D140" s="18">
        <v>139.0</v>
      </c>
      <c r="E140" s="2" t="str">
        <f t="shared" si="1"/>
        <v>E1_14_14_1</v>
      </c>
      <c r="F140" s="19" t="s">
        <v>25930</v>
      </c>
      <c r="G140" s="19" t="s">
        <v>25931</v>
      </c>
      <c r="H140" s="19" t="s">
        <v>25940</v>
      </c>
      <c r="I140" s="19" t="s">
        <v>25941</v>
      </c>
      <c r="J140" s="2" t="str">
        <f t="shared" si="2"/>
        <v>(${Variables:E1_14_14_1_kcat} * E1_14_14_1 * C06800 * C00007 * C00005 * C00080)/(${Variables:E1_14_14_1_km} + (E1_14_14_1 * C06800 * C00007 * C00005 * C00080))</v>
      </c>
      <c r="K140" s="2" t="str">
        <f t="shared" si="3"/>
        <v>r139: C06800 + C00007 + C00005 + C00080 -&gt; C19595 + C00001 + C00006 | (${Variables:E1_14_14_1_kcat} * E1_14_14_1 * C06800 * C00007 * C00005 * C00080)/(${Variables:E1_14_14_1_km} + (E1_14_14_1 * C06800 * C00007 * C00005 * C00080))</v>
      </c>
    </row>
    <row r="141">
      <c r="A141" s="2" t="s">
        <v>13444</v>
      </c>
      <c r="B141" s="2" t="s">
        <v>13445</v>
      </c>
      <c r="C141" s="2" t="s">
        <v>24955</v>
      </c>
      <c r="D141" s="18">
        <v>140.0</v>
      </c>
      <c r="E141" s="2" t="str">
        <f t="shared" si="1"/>
        <v>E1_14_14_1</v>
      </c>
      <c r="F141" s="19" t="s">
        <v>25930</v>
      </c>
      <c r="G141" s="19" t="s">
        <v>25931</v>
      </c>
      <c r="H141" s="19" t="s">
        <v>25942</v>
      </c>
      <c r="I141" s="19" t="s">
        <v>25943</v>
      </c>
      <c r="J141" s="2" t="str">
        <f t="shared" si="2"/>
        <v>(${Variables:E1_14_14_1_kcat} * E1_14_14_1 * C06800 * C00007 * C00005 * C00080)/(${Variables:E1_14_14_1_km} + (E1_14_14_1 * C06800 * C00007 * C00005 * C00080))</v>
      </c>
      <c r="K141" s="2" t="str">
        <f t="shared" si="3"/>
        <v>r140: C06800 + C00007 + C00005 + C00080 -&gt; C19586 + C00001 + C00006 | (${Variables:E1_14_14_1_kcat} * E1_14_14_1 * C06800 * C00007 * C00005 * C00080)/(${Variables:E1_14_14_1_km} + (E1_14_14_1 * C06800 * C00007 * C00005 * C00080))</v>
      </c>
    </row>
    <row r="142">
      <c r="A142" s="2" t="s">
        <v>13444</v>
      </c>
      <c r="B142" s="2" t="s">
        <v>13445</v>
      </c>
      <c r="C142" s="2" t="s">
        <v>24955</v>
      </c>
      <c r="D142" s="18">
        <v>141.0</v>
      </c>
      <c r="E142" s="2" t="str">
        <f t="shared" si="1"/>
        <v>E1_14_14_1</v>
      </c>
      <c r="F142" s="19" t="s">
        <v>25944</v>
      </c>
      <c r="G142" s="19" t="s">
        <v>25945</v>
      </c>
      <c r="H142" s="19" t="s">
        <v>25946</v>
      </c>
      <c r="I142" s="19" t="s">
        <v>25947</v>
      </c>
      <c r="J142" s="2" t="str">
        <f t="shared" si="2"/>
        <v>(${Variables:E1_14_14_1_kcat} * E1_14_14_1 * C19488 * C00007 * C00005 * C00080)/(${Variables:E1_14_14_1_km} + (E1_14_14_1 * C19488 * C00007 * C00005 * C00080))</v>
      </c>
      <c r="K142" s="2" t="str">
        <f t="shared" si="3"/>
        <v>r141: C19488 + C00007 + C00005 + C00080 -&gt; C19489 + C00001 + C00006 | (${Variables:E1_14_14_1_kcat} * E1_14_14_1 * C19488 * C00007 * C00005 * C00080)/(${Variables:E1_14_14_1_km} + (E1_14_14_1 * C19488 * C00007 * C00005 * C00080))</v>
      </c>
    </row>
    <row r="143">
      <c r="A143" s="2" t="s">
        <v>13444</v>
      </c>
      <c r="B143" s="2" t="s">
        <v>13445</v>
      </c>
      <c r="C143" s="2" t="s">
        <v>24955</v>
      </c>
      <c r="D143" s="18">
        <v>142.0</v>
      </c>
      <c r="E143" s="2" t="str">
        <f t="shared" si="1"/>
        <v>E1_14_14_1</v>
      </c>
      <c r="F143" s="19" t="s">
        <v>25948</v>
      </c>
      <c r="G143" s="19" t="s">
        <v>25949</v>
      </c>
      <c r="H143" s="19" t="s">
        <v>25950</v>
      </c>
      <c r="I143" s="19" t="s">
        <v>25951</v>
      </c>
      <c r="J143" s="2" t="str">
        <f t="shared" si="2"/>
        <v>(${Variables:E1_14_14_1_kcat} * E1_14_14_1 * C19490 * C00007 * C00005 * C00080)/(${Variables:E1_14_14_1_km} + (E1_14_14_1 * C19490 * C00007 * C00005 * C00080))</v>
      </c>
      <c r="K143" s="2" t="str">
        <f t="shared" si="3"/>
        <v>r142: C19490 + C00007 + C00005 + C00080 -&gt; C19559 + C00001 + C00006 | (${Variables:E1_14_14_1_kcat} * E1_14_14_1 * C19490 * C00007 * C00005 * C00080)/(${Variables:E1_14_14_1_km} + (E1_14_14_1 * C19490 * C00007 * C00005 * C00080))</v>
      </c>
    </row>
    <row r="144">
      <c r="A144" s="2" t="s">
        <v>13444</v>
      </c>
      <c r="B144" s="2" t="s">
        <v>13445</v>
      </c>
      <c r="C144" s="2" t="s">
        <v>24955</v>
      </c>
      <c r="D144" s="18">
        <v>143.0</v>
      </c>
      <c r="E144" s="2" t="str">
        <f t="shared" si="1"/>
        <v>E1_14_14_1</v>
      </c>
      <c r="F144" s="19" t="s">
        <v>25952</v>
      </c>
      <c r="G144" s="19" t="s">
        <v>25953</v>
      </c>
      <c r="H144" s="19" t="s">
        <v>25954</v>
      </c>
      <c r="I144" s="19" t="s">
        <v>25955</v>
      </c>
      <c r="J144" s="2" t="str">
        <f t="shared" si="2"/>
        <v>(${Variables:E1_14_14_1_kcat} * E1_14_14_1 * C16453 * C00007 * C00005 * C00080)/(${Variables:E1_14_14_1_km} + (E1_14_14_1 * C16453 * C00007 * C00005 * C00080))</v>
      </c>
      <c r="K144" s="2" t="str">
        <f t="shared" si="3"/>
        <v>r143: C16453 + C00007 + C00005 + C00080 -&gt; C19563 + C00001 + C00006 | (${Variables:E1_14_14_1_kcat} * E1_14_14_1 * C16453 * C00007 * C00005 * C00080)/(${Variables:E1_14_14_1_km} + (E1_14_14_1 * C16453 * C00007 * C00005 * C00080))</v>
      </c>
    </row>
    <row r="145">
      <c r="A145" s="2" t="s">
        <v>13444</v>
      </c>
      <c r="B145" s="2" t="s">
        <v>13445</v>
      </c>
      <c r="C145" s="2" t="s">
        <v>24955</v>
      </c>
      <c r="D145" s="18">
        <v>144.0</v>
      </c>
      <c r="E145" s="2" t="str">
        <f t="shared" si="1"/>
        <v>E1_14_14_1</v>
      </c>
      <c r="F145" s="19" t="s">
        <v>25952</v>
      </c>
      <c r="G145" s="19" t="s">
        <v>25953</v>
      </c>
      <c r="H145" s="19" t="s">
        <v>25956</v>
      </c>
      <c r="I145" s="19" t="s">
        <v>25957</v>
      </c>
      <c r="J145" s="2" t="str">
        <f t="shared" si="2"/>
        <v>(${Variables:E1_14_14_1_kcat} * E1_14_14_1 * C16453 * C00007 * C00005 * C00080)/(${Variables:E1_14_14_1_km} + (E1_14_14_1 * C16453 * C00007 * C00005 * C00080))</v>
      </c>
      <c r="K145" s="2" t="str">
        <f t="shared" si="3"/>
        <v>r144: C16453 + C00007 + C00005 + C00080 -&gt; C19566 + C00001 + C00006 | (${Variables:E1_14_14_1_kcat} * E1_14_14_1 * C16453 * C00007 * C00005 * C00080)/(${Variables:E1_14_14_1_km} + (E1_14_14_1 * C16453 * C00007 * C00005 * C00080))</v>
      </c>
    </row>
    <row r="146">
      <c r="A146" s="2" t="s">
        <v>13444</v>
      </c>
      <c r="B146" s="2" t="s">
        <v>13445</v>
      </c>
      <c r="C146" s="2" t="s">
        <v>24955</v>
      </c>
      <c r="D146" s="18">
        <v>145.0</v>
      </c>
      <c r="E146" s="2" t="str">
        <f t="shared" si="1"/>
        <v>E1_14_14_1</v>
      </c>
      <c r="F146" s="19" t="s">
        <v>25958</v>
      </c>
      <c r="G146" s="19" t="s">
        <v>25959</v>
      </c>
      <c r="H146" s="19" t="s">
        <v>25960</v>
      </c>
      <c r="I146" s="19" t="s">
        <v>25961</v>
      </c>
      <c r="J146" s="2" t="str">
        <f t="shared" si="2"/>
        <v>(${Variables:E1_14_14_1_kcat} * E1_14_14_1 * C19574 * C00007 * C00005 * C00080)/(${Variables:E1_14_14_1_km} + (E1_14_14_1 * C19574 * C00007 * C00005 * C00080))</v>
      </c>
      <c r="K146" s="2" t="str">
        <f t="shared" si="3"/>
        <v>r145: C19574 + C00007 + C00005 + C00080 -&gt; C19577 + C00001 + C00006 | (${Variables:E1_14_14_1_kcat} * E1_14_14_1 * C19574 * C00007 * C00005 * C00080)/(${Variables:E1_14_14_1_km} + (E1_14_14_1 * C19574 * C00007 * C00005 * C00080))</v>
      </c>
    </row>
    <row r="147">
      <c r="A147" s="2" t="s">
        <v>13444</v>
      </c>
      <c r="B147" s="2" t="s">
        <v>13445</v>
      </c>
      <c r="C147" s="2" t="s">
        <v>24955</v>
      </c>
      <c r="D147" s="18">
        <v>146.0</v>
      </c>
      <c r="E147" s="2" t="str">
        <f t="shared" si="1"/>
        <v>E1_14_14_1</v>
      </c>
      <c r="F147" s="19" t="s">
        <v>25958</v>
      </c>
      <c r="G147" s="19" t="s">
        <v>25959</v>
      </c>
      <c r="H147" s="19" t="s">
        <v>25962</v>
      </c>
      <c r="I147" s="19" t="s">
        <v>25963</v>
      </c>
      <c r="J147" s="2" t="str">
        <f t="shared" si="2"/>
        <v>(${Variables:E1_14_14_1_kcat} * E1_14_14_1 * C19574 * C00007 * C00005 * C00080)/(${Variables:E1_14_14_1_km} + (E1_14_14_1 * C19574 * C00007 * C00005 * C00080))</v>
      </c>
      <c r="K147" s="2" t="str">
        <f t="shared" si="3"/>
        <v>r146: C19574 + C00007 + C00005 + C00080 -&gt; C19580 + C00001 + C00006 | (${Variables:E1_14_14_1_kcat} * E1_14_14_1 * C19574 * C00007 * C00005 * C00080)/(${Variables:E1_14_14_1_km} + (E1_14_14_1 * C19574 * C00007 * C00005 * C00080))</v>
      </c>
    </row>
    <row r="148">
      <c r="A148" s="2" t="s">
        <v>13444</v>
      </c>
      <c r="B148" s="2" t="s">
        <v>13445</v>
      </c>
      <c r="C148" s="2" t="s">
        <v>24955</v>
      </c>
      <c r="D148" s="18">
        <v>147.0</v>
      </c>
      <c r="E148" s="2" t="str">
        <f t="shared" si="1"/>
        <v>E1_14_14_1</v>
      </c>
      <c r="F148" s="19" t="s">
        <v>25944</v>
      </c>
      <c r="G148" s="19" t="s">
        <v>25945</v>
      </c>
      <c r="H148" s="19" t="s">
        <v>25964</v>
      </c>
      <c r="I148" s="19" t="s">
        <v>25965</v>
      </c>
      <c r="J148" s="2" t="str">
        <f t="shared" si="2"/>
        <v>(${Variables:E1_14_14_1_kcat} * E1_14_14_1 * C19488 * C00007 * C00005 * C00080)/(${Variables:E1_14_14_1_km} + (E1_14_14_1 * C19488 * C00007 * C00005 * C00080))</v>
      </c>
      <c r="K148" s="2" t="str">
        <f t="shared" si="3"/>
        <v>r147: C19488 + C00007 + C00005 + C00080 -&gt; C19604 + C00001 + C00006 | (${Variables:E1_14_14_1_kcat} * E1_14_14_1 * C19488 * C00007 * C00005 * C00080)/(${Variables:E1_14_14_1_km} + (E1_14_14_1 * C19488 * C00007 * C00005 * C00080))</v>
      </c>
    </row>
    <row r="149">
      <c r="A149" s="2" t="s">
        <v>9737</v>
      </c>
      <c r="B149" s="2" t="s">
        <v>9738</v>
      </c>
      <c r="C149" s="2" t="s">
        <v>24956</v>
      </c>
      <c r="D149" s="18">
        <v>148.0</v>
      </c>
      <c r="E149" s="2" t="str">
        <f t="shared" si="1"/>
        <v>E1_14_14_18</v>
      </c>
      <c r="F149" s="19" t="s">
        <v>25966</v>
      </c>
      <c r="G149" s="19" t="s">
        <v>25967</v>
      </c>
      <c r="H149" s="19" t="s">
        <v>25968</v>
      </c>
      <c r="I149" s="19" t="s">
        <v>25969</v>
      </c>
      <c r="J149" s="2" t="str">
        <f t="shared" si="2"/>
        <v>(${Variables:E1_14_14_18_kcat} * E1_14_14_18 * C00032 * C03024 * C00007)/(${Variables:E1_14_14_18_km} + (E1_14_14_18 * C00032 * C03024 * C00007))</v>
      </c>
      <c r="K149" s="2" t="str">
        <f t="shared" si="3"/>
        <v>r148: C00032 + C03024 + C00007 -&gt; C00500 + C00237 + C14818 + C03161 + C00001 | (${Variables:E1_14_14_18_kcat} * E1_14_14_18 * C00032 * C03024 * C00007)/(${Variables:E1_14_14_18_km} + (E1_14_14_18 * C00032 * C03024 * C00007))</v>
      </c>
    </row>
    <row r="150">
      <c r="A150" s="2" t="s">
        <v>3230</v>
      </c>
      <c r="B150" s="2" t="s">
        <v>3231</v>
      </c>
      <c r="C150" s="2" t="s">
        <v>24957</v>
      </c>
      <c r="D150" s="18">
        <v>149.0</v>
      </c>
      <c r="E150" s="2" t="str">
        <f t="shared" si="1"/>
        <v>E1_15_1_1</v>
      </c>
      <c r="F150" s="19" t="s">
        <v>25970</v>
      </c>
      <c r="G150" s="19" t="s">
        <v>25971</v>
      </c>
      <c r="H150" s="19" t="s">
        <v>25972</v>
      </c>
      <c r="I150" s="19" t="s">
        <v>25973</v>
      </c>
      <c r="J150" s="2" t="str">
        <f t="shared" si="2"/>
        <v>(${Variables:E1_15_1_1_kcat} * E1_15_1_1 * C00704 * C00080)/(${Variables:E1_15_1_1_km} + (E1_15_1_1 * C00704 * C00080))</v>
      </c>
      <c r="K150" s="2" t="str">
        <f t="shared" si="3"/>
        <v>r149: C00704 + C00080 -&gt; C00027 + C00007 | (${Variables:E1_15_1_1_kcat} * E1_15_1_1 * C00704 * C00080)/(${Variables:E1_15_1_1_km} + (E1_15_1_1 * C00704 * C00080))</v>
      </c>
    </row>
    <row r="151">
      <c r="A151" s="2" t="s">
        <v>3023</v>
      </c>
      <c r="B151" s="2" t="s">
        <v>3024</v>
      </c>
      <c r="C151" s="2" t="s">
        <v>24958</v>
      </c>
      <c r="D151" s="18">
        <v>150.0</v>
      </c>
      <c r="E151" s="2" t="str">
        <f t="shared" si="1"/>
        <v>E1_17_1_8</v>
      </c>
      <c r="F151" s="19" t="s">
        <v>25974</v>
      </c>
      <c r="G151" s="19" t="s">
        <v>25975</v>
      </c>
      <c r="H151" s="19" t="s">
        <v>25976</v>
      </c>
      <c r="I151" s="19" t="s">
        <v>25977</v>
      </c>
      <c r="J151" s="2" t="str">
        <f t="shared" si="2"/>
        <v>(${Variables:E1_17_1_8_kcat} * E1_17_1_8 * C03972 * C00003 * C00001)/(${Variables:E1_17_1_8_km} + (E1_17_1_8 * C03972 * C00003 * C00001))</v>
      </c>
      <c r="K151" s="2" t="str">
        <f t="shared" si="3"/>
        <v>r150: C03972 + C00003 + C00001 -&gt; C20258 + C00004 + C00080 | (${Variables:E1_17_1_8_kcat} * E1_17_1_8 * C03972 * C00003 * C00001)/(${Variables:E1_17_1_8_km} + (E1_17_1_8 * C03972 * C00003 * C00001))</v>
      </c>
    </row>
    <row r="152">
      <c r="A152" s="2" t="s">
        <v>3023</v>
      </c>
      <c r="B152" s="2" t="s">
        <v>3024</v>
      </c>
      <c r="C152" s="2" t="s">
        <v>24958</v>
      </c>
      <c r="D152" s="18">
        <v>151.0</v>
      </c>
      <c r="E152" s="2" t="str">
        <f t="shared" si="1"/>
        <v>E1_17_1_8</v>
      </c>
      <c r="F152" s="19" t="s">
        <v>25978</v>
      </c>
      <c r="G152" s="19" t="s">
        <v>25979</v>
      </c>
      <c r="H152" s="19" t="s">
        <v>25980</v>
      </c>
      <c r="I152" s="19" t="s">
        <v>25981</v>
      </c>
      <c r="J152" s="2" t="str">
        <f t="shared" si="2"/>
        <v>(${Variables:E1_17_1_8_kcat} * E1_17_1_8 * C03972 * C00006 * C00001)/(${Variables:E1_17_1_8_km} + (E1_17_1_8 * C03972 * C00006 * C00001))</v>
      </c>
      <c r="K152" s="2" t="str">
        <f t="shared" si="3"/>
        <v>r151: C03972 + C00006 + C00001 -&gt; C20258 + C00005 + C00080 | (${Variables:E1_17_1_8_kcat} * E1_17_1_8 * C03972 * C00006 * C00001)/(${Variables:E1_17_1_8_km} + (E1_17_1_8 * C03972 * C00006 * C00001))</v>
      </c>
    </row>
    <row r="153">
      <c r="A153" s="2" t="s">
        <v>5617</v>
      </c>
      <c r="B153" s="2" t="s">
        <v>5618</v>
      </c>
      <c r="C153" s="2" t="s">
        <v>24959</v>
      </c>
      <c r="D153" s="18">
        <v>152.0</v>
      </c>
      <c r="E153" s="2" t="str">
        <f t="shared" si="1"/>
        <v>E1_17_1_9</v>
      </c>
      <c r="F153" s="19" t="s">
        <v>25982</v>
      </c>
      <c r="G153" s="19" t="s">
        <v>25983</v>
      </c>
      <c r="H153" s="19" t="s">
        <v>25984</v>
      </c>
      <c r="I153" s="19" t="s">
        <v>25985</v>
      </c>
      <c r="J153" s="2" t="str">
        <f t="shared" si="2"/>
        <v>(${Variables:E1_17_1_9_kcat} * E1_17_1_9 * C00058 * C00003)/(${Variables:E1_17_1_9_km} + (E1_17_1_9 * C00058 * C00003))</v>
      </c>
      <c r="K153" s="2" t="str">
        <f t="shared" si="3"/>
        <v>r152: C00058 + C00003 -&gt; C00080 + C00011 + C00004 | (${Variables:E1_17_1_9_kcat} * E1_17_1_9 * C00058 * C00003)/(${Variables:E1_17_1_9_km} + (E1_17_1_9 * C00058 * C00003))</v>
      </c>
    </row>
    <row r="154">
      <c r="A154" s="2" t="s">
        <v>3553</v>
      </c>
      <c r="B154" s="2" t="s">
        <v>3554</v>
      </c>
      <c r="C154" s="2" t="s">
        <v>24960</v>
      </c>
      <c r="D154" s="18">
        <v>153.0</v>
      </c>
      <c r="E154" s="2" t="str">
        <f t="shared" si="1"/>
        <v>E1_17_4_1</v>
      </c>
      <c r="F154" s="19" t="s">
        <v>25986</v>
      </c>
      <c r="G154" s="19" t="s">
        <v>25987</v>
      </c>
      <c r="H154" s="19" t="s">
        <v>25988</v>
      </c>
      <c r="I154" s="19" t="s">
        <v>25989</v>
      </c>
      <c r="J154" s="2" t="str">
        <f t="shared" si="2"/>
        <v>(${Variables:E1_17_4_1_kcat} * E1_17_4_1 * C00206 * C00343 * C00001)/(${Variables:E1_17_4_1_km} + (E1_17_4_1 * C00206 * C00343 * C00001))</v>
      </c>
      <c r="K154" s="2" t="str">
        <f t="shared" si="3"/>
        <v>r153: C00206 + C00343 + C00001 -&gt; C00342 + C00008 | (${Variables:E1_17_4_1_kcat} * E1_17_4_1 * C00206 * C00343 * C00001)/(${Variables:E1_17_4_1_km} + (E1_17_4_1 * C00206 * C00343 * C00001))</v>
      </c>
    </row>
    <row r="155">
      <c r="A155" s="2" t="s">
        <v>3553</v>
      </c>
      <c r="B155" s="2" t="s">
        <v>3554</v>
      </c>
      <c r="C155" s="2" t="s">
        <v>24960</v>
      </c>
      <c r="D155" s="18">
        <v>154.0</v>
      </c>
      <c r="E155" s="2" t="str">
        <f t="shared" si="1"/>
        <v>E1_17_4_1</v>
      </c>
      <c r="F155" s="19" t="s">
        <v>25990</v>
      </c>
      <c r="G155" s="19" t="s">
        <v>25991</v>
      </c>
      <c r="H155" s="19" t="s">
        <v>25992</v>
      </c>
      <c r="I155" s="19" t="s">
        <v>25993</v>
      </c>
      <c r="J155" s="2" t="str">
        <f t="shared" si="2"/>
        <v>(${Variables:E1_17_4_1_kcat} * E1_17_4_1 * C01346 * C00343 * C00001)/(${Variables:E1_17_4_1_km} + (E1_17_4_1 * C01346 * C00343 * C00001))</v>
      </c>
      <c r="K155" s="2" t="str">
        <f t="shared" si="3"/>
        <v>r154: C01346 + C00343 + C00001 -&gt; C00342 + C00015 | (${Variables:E1_17_4_1_kcat} * E1_17_4_1 * C01346 * C00343 * C00001)/(${Variables:E1_17_4_1_km} + (E1_17_4_1 * C01346 * C00343 * C00001))</v>
      </c>
    </row>
    <row r="156">
      <c r="A156" s="2" t="s">
        <v>3553</v>
      </c>
      <c r="B156" s="2" t="s">
        <v>3554</v>
      </c>
      <c r="C156" s="2" t="s">
        <v>24960</v>
      </c>
      <c r="D156" s="18">
        <v>155.0</v>
      </c>
      <c r="E156" s="2" t="str">
        <f t="shared" si="1"/>
        <v>E1_17_4_1</v>
      </c>
      <c r="F156" s="19" t="s">
        <v>25994</v>
      </c>
      <c r="G156" s="19" t="s">
        <v>25995</v>
      </c>
      <c r="H156" s="19" t="s">
        <v>25996</v>
      </c>
      <c r="I156" s="19" t="s">
        <v>25997</v>
      </c>
      <c r="J156" s="2" t="str">
        <f t="shared" si="2"/>
        <v>(${Variables:E1_17_4_1_kcat} * E1_17_4_1 * C00361 * C00343 * C00001)/(${Variables:E1_17_4_1_km} + (E1_17_4_1 * C00361 * C00343 * C00001))</v>
      </c>
      <c r="K156" s="2" t="str">
        <f t="shared" si="3"/>
        <v>r155: C00361 + C00343 + C00001 -&gt; C00035 + C00342 | (${Variables:E1_17_4_1_kcat} * E1_17_4_1 * C00361 * C00343 * C00001)/(${Variables:E1_17_4_1_km} + (E1_17_4_1 * C00361 * C00343 * C00001))</v>
      </c>
    </row>
    <row r="157">
      <c r="A157" s="2" t="s">
        <v>3553</v>
      </c>
      <c r="B157" s="2" t="s">
        <v>3554</v>
      </c>
      <c r="C157" s="2" t="s">
        <v>24960</v>
      </c>
      <c r="D157" s="18">
        <v>156.0</v>
      </c>
      <c r="E157" s="2" t="str">
        <f t="shared" si="1"/>
        <v>E1_17_4_1</v>
      </c>
      <c r="F157" s="19" t="s">
        <v>25998</v>
      </c>
      <c r="G157" s="19" t="s">
        <v>25999</v>
      </c>
      <c r="H157" s="19" t="s">
        <v>26000</v>
      </c>
      <c r="I157" s="19" t="s">
        <v>26001</v>
      </c>
      <c r="J157" s="2" t="str">
        <f t="shared" si="2"/>
        <v>(${Variables:E1_17_4_1_kcat} * E1_17_4_1 * C00705 * C00343 * C00001)/(${Variables:E1_17_4_1_km} + (E1_17_4_1 * C00705 * C00343 * C00001))</v>
      </c>
      <c r="K157" s="2" t="str">
        <f t="shared" si="3"/>
        <v>r156: C00705 + C00343 + C00001 -&gt; C00342 + C00112 | (${Variables:E1_17_4_1_kcat} * E1_17_4_1 * C00705 * C00343 * C00001)/(${Variables:E1_17_4_1_km} + (E1_17_4_1 * C00705 * C00343 * C00001))</v>
      </c>
    </row>
    <row r="158">
      <c r="A158" s="2" t="s">
        <v>3553</v>
      </c>
      <c r="B158" s="2" t="s">
        <v>3554</v>
      </c>
      <c r="C158" s="2" t="s">
        <v>24960</v>
      </c>
      <c r="D158" s="18">
        <v>157.0</v>
      </c>
      <c r="E158" s="2" t="str">
        <f t="shared" si="1"/>
        <v>E1_17_4_1</v>
      </c>
      <c r="F158" s="19" t="s">
        <v>26002</v>
      </c>
      <c r="G158" s="19" t="s">
        <v>26003</v>
      </c>
      <c r="H158" s="19" t="s">
        <v>26004</v>
      </c>
      <c r="I158" s="19" t="s">
        <v>26005</v>
      </c>
      <c r="J158" s="2" t="str">
        <f t="shared" si="2"/>
        <v>(${Variables:E1_17_4_1_kcat} * E1_17_4_1 * C04232 * C00343 * C00001)/(${Variables:E1_17_4_1_km} + (E1_17_4_1 * C04232 * C00343 * C00001))</v>
      </c>
      <c r="K158" s="2" t="str">
        <f t="shared" si="3"/>
        <v>r157: C04232 + C00343 + C00001 -&gt; C03723 + C00342 | (${Variables:E1_17_4_1_kcat} * E1_17_4_1 * C04232 * C00343 * C00001)/(${Variables:E1_17_4_1_km} + (E1_17_4_1 * C04232 * C00343 * C00001))</v>
      </c>
    </row>
    <row r="159">
      <c r="A159" s="2" t="s">
        <v>3553</v>
      </c>
      <c r="B159" s="2" t="s">
        <v>3554</v>
      </c>
      <c r="C159" s="2" t="s">
        <v>24960</v>
      </c>
      <c r="D159" s="18">
        <v>158.0</v>
      </c>
      <c r="E159" s="2" t="str">
        <f t="shared" si="1"/>
        <v>E1_17_4_1</v>
      </c>
      <c r="F159" s="19" t="s">
        <v>26006</v>
      </c>
      <c r="G159" s="19" t="s">
        <v>26007</v>
      </c>
      <c r="H159" s="19" t="s">
        <v>26008</v>
      </c>
      <c r="I159" s="19" t="s">
        <v>26009</v>
      </c>
      <c r="J159" s="2" t="str">
        <f t="shared" si="2"/>
        <v>(${Variables:E1_17_4_1_kcat} * E1_17_4_1 * C04232 * C16664 * C00001)/(${Variables:E1_17_4_1_km} + (E1_17_4_1 * C04232 * C16664 * C00001))</v>
      </c>
      <c r="K159" s="2" t="str">
        <f t="shared" si="3"/>
        <v>r158: C04232 + C16664 + C00001 -&gt; C03723 + C16663 | (${Variables:E1_17_4_1_kcat} * E1_17_4_1 * C04232 * C16664 * C00001)/(${Variables:E1_17_4_1_km} + (E1_17_4_1 * C04232 * C16664 * C00001))</v>
      </c>
    </row>
    <row r="160">
      <c r="A160" s="2" t="s">
        <v>3553</v>
      </c>
      <c r="B160" s="2" t="s">
        <v>3554</v>
      </c>
      <c r="C160" s="2" t="s">
        <v>24960</v>
      </c>
      <c r="D160" s="18">
        <v>159.0</v>
      </c>
      <c r="E160" s="2" t="str">
        <f t="shared" si="1"/>
        <v>E1_17_4_1</v>
      </c>
      <c r="F160" s="19" t="s">
        <v>26010</v>
      </c>
      <c r="G160" s="19" t="s">
        <v>26011</v>
      </c>
      <c r="H160" s="19" t="s">
        <v>26012</v>
      </c>
      <c r="I160" s="19" t="s">
        <v>26013</v>
      </c>
      <c r="J160" s="2" t="str">
        <f t="shared" si="2"/>
        <v>(${Variables:E1_17_4_1_kcat} * E1_17_4_1 * C04232 * C03170 * C00001)/(${Variables:E1_17_4_1_km} + (E1_17_4_1 * C04232 * C03170 * C00001))</v>
      </c>
      <c r="K160" s="2" t="str">
        <f t="shared" si="3"/>
        <v>r159: C04232 + C03170 + C00001 -&gt; C03723 + C02090 | (${Variables:E1_17_4_1_kcat} * E1_17_4_1 * C04232 * C03170 * C00001)/(${Variables:E1_17_4_1_km} + (E1_17_4_1 * C04232 * C03170 * C00001))</v>
      </c>
    </row>
    <row r="161">
      <c r="A161" s="2" t="s">
        <v>3553</v>
      </c>
      <c r="B161" s="2" t="s">
        <v>3554</v>
      </c>
      <c r="C161" s="2" t="s">
        <v>24960</v>
      </c>
      <c r="D161" s="18">
        <v>160.0</v>
      </c>
      <c r="E161" s="2" t="str">
        <f t="shared" si="1"/>
        <v>E1_17_4_1</v>
      </c>
      <c r="F161" s="19" t="s">
        <v>26014</v>
      </c>
      <c r="G161" s="19" t="s">
        <v>26015</v>
      </c>
      <c r="H161" s="19" t="s">
        <v>26016</v>
      </c>
      <c r="I161" s="19" t="s">
        <v>26017</v>
      </c>
      <c r="J161" s="2" t="str">
        <f t="shared" si="2"/>
        <v>(${Variables:E1_17_4_1_kcat} * E1_17_4_1 * C21750 * C00343 * C00001)/(${Variables:E1_17_4_1_km} + (E1_17_4_1 * C21750 * C00343 * C00001))</v>
      </c>
      <c r="K161" s="2" t="str">
        <f t="shared" si="3"/>
        <v>r160: C21750 + C00343 + C00001 -&gt; C21748 + C00342 | (${Variables:E1_17_4_1_kcat} * E1_17_4_1 * C21750 * C00343 * C00001)/(${Variables:E1_17_4_1_km} + (E1_17_4_1 * C21750 * C00343 * C00001))</v>
      </c>
    </row>
    <row r="162">
      <c r="A162" s="2" t="s">
        <v>10519</v>
      </c>
      <c r="B162" s="2" t="s">
        <v>10520</v>
      </c>
      <c r="C162" s="2" t="s">
        <v>24961</v>
      </c>
      <c r="D162" s="18">
        <v>161.0</v>
      </c>
      <c r="E162" s="2" t="str">
        <f t="shared" si="1"/>
        <v>E1_17_7_3</v>
      </c>
      <c r="F162" s="19" t="s">
        <v>26018</v>
      </c>
      <c r="G162" s="19" t="s">
        <v>26019</v>
      </c>
      <c r="H162" s="19" t="s">
        <v>26020</v>
      </c>
      <c r="I162" s="19" t="s">
        <v>26021</v>
      </c>
      <c r="J162" s="2" t="str">
        <f t="shared" si="2"/>
        <v>(${Variables:E1_17_7_3_kcat} * E1_17_7_3 * C11811 * C00001 * C02869)/(${Variables:E1_17_7_3_km} + (E1_17_7_3 * C11811 * C00001 * C02869))</v>
      </c>
      <c r="K162" s="2" t="str">
        <f t="shared" si="3"/>
        <v>r161: C11811 + C00001 + C02869 -&gt; C11453 + C02745 | (${Variables:E1_17_7_3_kcat} * E1_17_7_3 * C11811 * C00001 * C02869)/(${Variables:E1_17_7_3_km} + (E1_17_7_3 * C11811 * C00001 * C02869))</v>
      </c>
    </row>
    <row r="163">
      <c r="A163" s="2" t="s">
        <v>10494</v>
      </c>
      <c r="B163" s="2" t="s">
        <v>10495</v>
      </c>
      <c r="C163" s="2" t="s">
        <v>24962</v>
      </c>
      <c r="D163" s="18">
        <v>162.0</v>
      </c>
      <c r="E163" s="2" t="str">
        <f t="shared" si="1"/>
        <v>E1_17_7_4</v>
      </c>
      <c r="F163" s="19" t="s">
        <v>26022</v>
      </c>
      <c r="G163" s="19" t="s">
        <v>26023</v>
      </c>
      <c r="H163" s="19" t="s">
        <v>26024</v>
      </c>
      <c r="I163" s="19" t="s">
        <v>26025</v>
      </c>
      <c r="J163" s="2" t="str">
        <f t="shared" si="2"/>
        <v>(${Variables:E1_17_7_4_kcat} * E1_17_7_4 * C11811 * C00138 * C00080)/(${Variables:E1_17_7_4_km} + (E1_17_7_4 * C11811 * C00138 * C00080))</v>
      </c>
      <c r="K163" s="2" t="str">
        <f t="shared" si="3"/>
        <v>r162: C11811 + C00138 + C00080 -&gt; C00129 + C00139 + C00001 | (${Variables:E1_17_7_4_kcat} * E1_17_7_4 * C11811 * C00138 * C00080)/(${Variables:E1_17_7_4_km} + (E1_17_7_4 * C11811 * C00138 * C00080))</v>
      </c>
    </row>
    <row r="164">
      <c r="A164" s="2" t="s">
        <v>10494</v>
      </c>
      <c r="B164" s="2" t="s">
        <v>10495</v>
      </c>
      <c r="C164" s="2" t="s">
        <v>24962</v>
      </c>
      <c r="D164" s="18">
        <v>163.0</v>
      </c>
      <c r="E164" s="2" t="str">
        <f t="shared" si="1"/>
        <v>E1_17_7_4</v>
      </c>
      <c r="F164" s="19" t="s">
        <v>26026</v>
      </c>
      <c r="G164" s="19" t="s">
        <v>26027</v>
      </c>
      <c r="H164" s="19" t="s">
        <v>26022</v>
      </c>
      <c r="I164" s="19" t="s">
        <v>26023</v>
      </c>
      <c r="J164" s="2" t="str">
        <f t="shared" si="2"/>
        <v>(${Variables:E1_17_7_4_kcat} * E1_17_7_4 * C00235 * C00139 * C00001)/(${Variables:E1_17_7_4_km} + (E1_17_7_4 * C00235 * C00139 * C00001))</v>
      </c>
      <c r="K164" s="2" t="str">
        <f t="shared" si="3"/>
        <v>r163: C00235 + C00139 + C00001 -&gt; C11811 + C00138 + C00080 | (${Variables:E1_17_7_4_kcat} * E1_17_7_4 * C00235 * C00139 * C00001)/(${Variables:E1_17_7_4_km} + (E1_17_7_4 * C00235 * C00139 * C00001))</v>
      </c>
    </row>
    <row r="165">
      <c r="A165" s="2" t="s">
        <v>5724</v>
      </c>
      <c r="B165" s="2" t="s">
        <v>5725</v>
      </c>
      <c r="C165" s="2" t="s">
        <v>24963</v>
      </c>
      <c r="D165" s="18">
        <v>164.0</v>
      </c>
      <c r="E165" s="2" t="str">
        <f t="shared" si="1"/>
        <v>E1_17_99_6</v>
      </c>
      <c r="F165" s="19" t="s">
        <v>26028</v>
      </c>
      <c r="G165" s="19" t="s">
        <v>26029</v>
      </c>
      <c r="H165" s="19" t="s">
        <v>26030</v>
      </c>
      <c r="I165" s="19" t="s">
        <v>26031</v>
      </c>
      <c r="J165" s="2" t="str">
        <f t="shared" si="2"/>
        <v>(${Variables:E1_17_99_6_kcat} * E1_17_99_6 * C01978 * C00028 * C00001)/(${Variables:E1_17_99_6_km} + (E1_17_99_6 * C01978 * C00028 * C00001))</v>
      </c>
      <c r="K165" s="2" t="str">
        <f t="shared" si="3"/>
        <v>r164: C01978 + C00028 + C00001 -&gt; C19647 + C00030 | (${Variables:E1_17_99_6_kcat} * E1_17_99_6 * C01978 * C00028 * C00001)/(${Variables:E1_17_99_6_km} + (E1_17_99_6 * C01978 * C00028 * C00001))</v>
      </c>
    </row>
    <row r="166">
      <c r="A166" s="2" t="s">
        <v>713</v>
      </c>
      <c r="B166" s="2" t="s">
        <v>714</v>
      </c>
      <c r="C166" s="2" t="s">
        <v>24965</v>
      </c>
      <c r="D166" s="18">
        <v>165.0</v>
      </c>
      <c r="E166" s="2" t="str">
        <f t="shared" si="1"/>
        <v>E1_2_1_11</v>
      </c>
      <c r="F166" s="19" t="s">
        <v>26032</v>
      </c>
      <c r="G166" s="19" t="s">
        <v>26033</v>
      </c>
      <c r="H166" s="19" t="s">
        <v>26034</v>
      </c>
      <c r="I166" s="19" t="s">
        <v>26035</v>
      </c>
      <c r="J166" s="2" t="str">
        <f t="shared" si="2"/>
        <v>(${Variables:E1_2_1_11_kcat} * E1_2_1_11 * C00441 * C00009 * C00006)/(${Variables:E1_2_1_11_km} + (E1_2_1_11 * C00441 * C00009 * C00006))</v>
      </c>
      <c r="K166" s="2" t="str">
        <f t="shared" si="3"/>
        <v>r165: C00441 + C00009 + C00006 -&gt; C03082 + C00005 + C00080 | (${Variables:E1_2_1_11_kcat} * E1_2_1_11 * C00441 * C00009 * C00006)/(${Variables:E1_2_1_11_km} + (E1_2_1_11 * C00441 * C00009 * C00006))</v>
      </c>
    </row>
    <row r="167">
      <c r="A167" s="2" t="s">
        <v>12651</v>
      </c>
      <c r="B167" s="2" t="s">
        <v>12652</v>
      </c>
      <c r="C167" s="2" t="s">
        <v>24966</v>
      </c>
      <c r="D167" s="18">
        <v>166.0</v>
      </c>
      <c r="E167" s="2" t="str">
        <f t="shared" si="1"/>
        <v>E1_2_1_3</v>
      </c>
      <c r="F167" s="19" t="s">
        <v>26036</v>
      </c>
      <c r="G167" s="19" t="s">
        <v>26037</v>
      </c>
      <c r="H167" s="19" t="s">
        <v>26038</v>
      </c>
      <c r="I167" s="19" t="s">
        <v>26039</v>
      </c>
      <c r="J167" s="2" t="str">
        <f t="shared" si="2"/>
        <v>(${Variables:E1_2_1_3_kcat} * E1_2_1_3 * C00433 * C00006 * C00001)/(${Variables:E1_2_1_3_km} + (E1_2_1_3 * C00433 * C00006 * C00001))</v>
      </c>
      <c r="K167" s="2" t="str">
        <f t="shared" si="3"/>
        <v>r166: C00433 + C00006 + C00001 -&gt; C00026 + C00005 + C00080 | (${Variables:E1_2_1_3_kcat} * E1_2_1_3 * C00433 * C00006 * C00001)/(${Variables:E1_2_1_3_km} + (E1_2_1_3 * C00433 * C00006 * C00001))</v>
      </c>
    </row>
    <row r="168">
      <c r="A168" s="2" t="s">
        <v>12651</v>
      </c>
      <c r="B168" s="2" t="s">
        <v>12652</v>
      </c>
      <c r="C168" s="2" t="s">
        <v>24966</v>
      </c>
      <c r="D168" s="18">
        <v>167.0</v>
      </c>
      <c r="E168" s="2" t="str">
        <f t="shared" si="1"/>
        <v>E1_2_1_3</v>
      </c>
      <c r="F168" s="19" t="s">
        <v>26040</v>
      </c>
      <c r="G168" s="19" t="s">
        <v>26041</v>
      </c>
      <c r="H168" s="19" t="s">
        <v>26042</v>
      </c>
      <c r="I168" s="19" t="s">
        <v>26043</v>
      </c>
      <c r="J168" s="2" t="str">
        <f t="shared" si="2"/>
        <v>(${Variables:E1_2_1_3_kcat} * E1_2_1_3 * C00071 * C00003 * C00001)/(${Variables:E1_2_1_3_km} + (E1_2_1_3 * C00071 * C00003 * C00001))</v>
      </c>
      <c r="K168" s="2" t="str">
        <f t="shared" si="3"/>
        <v>r167: C00071 + C00003 + C00001 -&gt; C00060 + C00004 + C00080 | (${Variables:E1_2_1_3_kcat} * E1_2_1_3 * C00071 * C00003 * C00001)/(${Variables:E1_2_1_3_km} + (E1_2_1_3 * C00071 * C00003 * C00001))</v>
      </c>
    </row>
    <row r="169">
      <c r="A169" s="2" t="s">
        <v>12651</v>
      </c>
      <c r="B169" s="2" t="s">
        <v>12652</v>
      </c>
      <c r="C169" s="2" t="s">
        <v>24966</v>
      </c>
      <c r="D169" s="18">
        <v>168.0</v>
      </c>
      <c r="E169" s="2" t="str">
        <f t="shared" si="1"/>
        <v>E1_2_1_3</v>
      </c>
      <c r="F169" s="19" t="s">
        <v>26040</v>
      </c>
      <c r="G169" s="19" t="s">
        <v>26041</v>
      </c>
      <c r="H169" s="19" t="s">
        <v>26044</v>
      </c>
      <c r="I169" s="19" t="s">
        <v>26045</v>
      </c>
      <c r="J169" s="2" t="str">
        <f t="shared" si="2"/>
        <v>(${Variables:E1_2_1_3_kcat} * E1_2_1_3 * C00071 * C00003 * C00001)/(${Variables:E1_2_1_3_km} + (E1_2_1_3 * C00071 * C00003 * C00001))</v>
      </c>
      <c r="K169" s="2" t="str">
        <f t="shared" si="3"/>
        <v>r168: C00071 + C00003 + C00001 -&gt; C00162 + C00004 + C00080 | (${Variables:E1_2_1_3_kcat} * E1_2_1_3 * C00071 * C00003 * C00001)/(${Variables:E1_2_1_3_km} + (E1_2_1_3 * C00071 * C00003 * C00001))</v>
      </c>
    </row>
    <row r="170">
      <c r="A170" s="2" t="s">
        <v>12651</v>
      </c>
      <c r="B170" s="2" t="s">
        <v>12652</v>
      </c>
      <c r="C170" s="2" t="s">
        <v>24966</v>
      </c>
      <c r="D170" s="18">
        <v>169.0</v>
      </c>
      <c r="E170" s="2" t="str">
        <f t="shared" si="1"/>
        <v>E1_2_1_3</v>
      </c>
      <c r="F170" s="19" t="s">
        <v>26046</v>
      </c>
      <c r="G170" s="19" t="s">
        <v>26047</v>
      </c>
      <c r="H170" s="19" t="s">
        <v>26048</v>
      </c>
      <c r="I170" s="19" t="s">
        <v>26049</v>
      </c>
      <c r="J170" s="2" t="str">
        <f t="shared" si="2"/>
        <v>(${Variables:E1_2_1_3_kcat} * E1_2_1_3 * C00084 * C00003 * C00001)/(${Variables:E1_2_1_3_km} + (E1_2_1_3 * C00084 * C00003 * C00001))</v>
      </c>
      <c r="K170" s="2" t="str">
        <f t="shared" si="3"/>
        <v>r169: C00084 + C00003 + C00001 -&gt; C00033 + C00004 + C00080 | (${Variables:E1_2_1_3_kcat} * E1_2_1_3 * C00084 * C00003 * C00001)/(${Variables:E1_2_1_3_km} + (E1_2_1_3 * C00084 * C00003 * C00001))</v>
      </c>
    </row>
    <row r="171">
      <c r="A171" s="2" t="s">
        <v>12651</v>
      </c>
      <c r="B171" s="2" t="s">
        <v>12652</v>
      </c>
      <c r="C171" s="2" t="s">
        <v>24966</v>
      </c>
      <c r="D171" s="18">
        <v>170.0</v>
      </c>
      <c r="E171" s="2" t="str">
        <f t="shared" si="1"/>
        <v>E1_2_1_3</v>
      </c>
      <c r="F171" s="19" t="s">
        <v>26050</v>
      </c>
      <c r="G171" s="19" t="s">
        <v>26051</v>
      </c>
      <c r="H171" s="19" t="s">
        <v>26052</v>
      </c>
      <c r="I171" s="19" t="s">
        <v>26053</v>
      </c>
      <c r="J171" s="2" t="str">
        <f t="shared" si="2"/>
        <v>(${Variables:E1_2_1_3_kcat} * E1_2_1_3 * C05665 * C00003 * C00001)/(${Variables:E1_2_1_3_km} + (E1_2_1_3 * C05665 * C00003 * C00001))</v>
      </c>
      <c r="K171" s="2" t="str">
        <f t="shared" si="3"/>
        <v>r170: C05665 + C00003 + C00001 -&gt; C00099 + C00004 + C00080 | (${Variables:E1_2_1_3_kcat} * E1_2_1_3 * C05665 * C00003 * C00001)/(${Variables:E1_2_1_3_km} + (E1_2_1_3 * C05665 * C00003 * C00001))</v>
      </c>
    </row>
    <row r="172">
      <c r="A172" s="2" t="s">
        <v>12651</v>
      </c>
      <c r="B172" s="2" t="s">
        <v>12652</v>
      </c>
      <c r="C172" s="2" t="s">
        <v>24966</v>
      </c>
      <c r="D172" s="18">
        <v>171.0</v>
      </c>
      <c r="E172" s="2" t="str">
        <f t="shared" si="1"/>
        <v>E1_2_1_3</v>
      </c>
      <c r="F172" s="19" t="s">
        <v>26054</v>
      </c>
      <c r="G172" s="19" t="s">
        <v>26055</v>
      </c>
      <c r="H172" s="19" t="s">
        <v>26056</v>
      </c>
      <c r="I172" s="19" t="s">
        <v>26057</v>
      </c>
      <c r="J172" s="2" t="str">
        <f t="shared" si="2"/>
        <v>(${Variables:E1_2_1_3_kcat} * E1_2_1_3 * C00577 * C00003 * C00001)/(${Variables:E1_2_1_3_km} + (E1_2_1_3 * C00577 * C00003 * C00001))</v>
      </c>
      <c r="K172" s="2" t="str">
        <f t="shared" si="3"/>
        <v>r171: C00577 + C00003 + C00001 -&gt; C00258 + C00004 + C00080 | (${Variables:E1_2_1_3_kcat} * E1_2_1_3 * C00577 * C00003 * C00001)/(${Variables:E1_2_1_3_km} + (E1_2_1_3 * C00577 * C00003 * C00001))</v>
      </c>
    </row>
    <row r="173">
      <c r="A173" s="2" t="s">
        <v>12651</v>
      </c>
      <c r="B173" s="2" t="s">
        <v>12652</v>
      </c>
      <c r="C173" s="2" t="s">
        <v>24966</v>
      </c>
      <c r="D173" s="18">
        <v>172.0</v>
      </c>
      <c r="E173" s="2" t="str">
        <f t="shared" si="1"/>
        <v>E1_2_1_3</v>
      </c>
      <c r="F173" s="19" t="s">
        <v>26058</v>
      </c>
      <c r="G173" s="19" t="s">
        <v>26059</v>
      </c>
      <c r="H173" s="19" t="s">
        <v>26060</v>
      </c>
      <c r="I173" s="19" t="s">
        <v>26061</v>
      </c>
      <c r="J173" s="2" t="str">
        <f t="shared" si="2"/>
        <v>(${Variables:E1_2_1_3_kcat} * E1_2_1_3 * C00555 * C00006 * C00001)/(${Variables:E1_2_1_3_km} + (E1_2_1_3 * C00555 * C00006 * C00001))</v>
      </c>
      <c r="K173" s="2" t="str">
        <f t="shared" si="3"/>
        <v>r172: C00555 + C00006 + C00001 -&gt; C00334 + C00005 + C00080 | (${Variables:E1_2_1_3_kcat} * E1_2_1_3 * C00555 * C00006 * C00001)/(${Variables:E1_2_1_3_km} + (E1_2_1_3 * C00555 * C00006 * C00001))</v>
      </c>
    </row>
    <row r="174">
      <c r="A174" s="2" t="s">
        <v>12651</v>
      </c>
      <c r="B174" s="2" t="s">
        <v>12652</v>
      </c>
      <c r="C174" s="2" t="s">
        <v>24966</v>
      </c>
      <c r="D174" s="18">
        <v>173.0</v>
      </c>
      <c r="E174" s="2" t="str">
        <f t="shared" si="1"/>
        <v>E1_2_1_3</v>
      </c>
      <c r="F174" s="19" t="s">
        <v>26062</v>
      </c>
      <c r="G174" s="19" t="s">
        <v>26063</v>
      </c>
      <c r="H174" s="19" t="s">
        <v>26064</v>
      </c>
      <c r="I174" s="19" t="s">
        <v>26065</v>
      </c>
      <c r="J174" s="2" t="str">
        <f t="shared" si="2"/>
        <v>(${Variables:E1_2_1_3_kcat} * E1_2_1_3 * C00555 * C00003 * C00001)/(${Variables:E1_2_1_3_km} + (E1_2_1_3 * C00555 * C00003 * C00001))</v>
      </c>
      <c r="K174" s="2" t="str">
        <f t="shared" si="3"/>
        <v>r173: C00555 + C00003 + C00001 -&gt; C00334 + C00004 + C00080 | (${Variables:E1_2_1_3_kcat} * E1_2_1_3 * C00555 * C00003 * C00001)/(${Variables:E1_2_1_3_km} + (E1_2_1_3 * C00555 * C00003 * C00001))</v>
      </c>
    </row>
    <row r="175">
      <c r="A175" s="2" t="s">
        <v>12651</v>
      </c>
      <c r="B175" s="2" t="s">
        <v>12652</v>
      </c>
      <c r="C175" s="2" t="s">
        <v>24966</v>
      </c>
      <c r="D175" s="18">
        <v>174.0</v>
      </c>
      <c r="E175" s="2" t="str">
        <f t="shared" si="1"/>
        <v>E1_2_1_3</v>
      </c>
      <c r="F175" s="19" t="s">
        <v>26066</v>
      </c>
      <c r="G175" s="19" t="s">
        <v>26067</v>
      </c>
      <c r="H175" s="19" t="s">
        <v>26068</v>
      </c>
      <c r="I175" s="19" t="s">
        <v>26069</v>
      </c>
      <c r="J175" s="2" t="str">
        <f t="shared" si="2"/>
        <v>(${Variables:E1_2_1_3_kcat} * E1_2_1_3 * C00637 * C00003 * C00001)/(${Variables:E1_2_1_3_km} + (E1_2_1_3 * C00637 * C00003 * C00001))</v>
      </c>
      <c r="K175" s="2" t="str">
        <f t="shared" si="3"/>
        <v>r174: C00637 + C00003 + C00001 -&gt; C00954 + C00004 + C00080 | (${Variables:E1_2_1_3_kcat} * E1_2_1_3 * C00637 * C00003 * C00001)/(${Variables:E1_2_1_3_km} + (E1_2_1_3 * C00637 * C00003 * C00001))</v>
      </c>
    </row>
    <row r="176">
      <c r="A176" s="2" t="s">
        <v>12651</v>
      </c>
      <c r="B176" s="2" t="s">
        <v>12652</v>
      </c>
      <c r="C176" s="2" t="s">
        <v>24966</v>
      </c>
      <c r="D176" s="18">
        <v>175.0</v>
      </c>
      <c r="E176" s="2" t="str">
        <f t="shared" si="1"/>
        <v>E1_2_1_3</v>
      </c>
      <c r="F176" s="19" t="s">
        <v>26070</v>
      </c>
      <c r="G176" s="19" t="s">
        <v>26071</v>
      </c>
      <c r="H176" s="19" t="s">
        <v>26072</v>
      </c>
      <c r="I176" s="19" t="s">
        <v>26073</v>
      </c>
      <c r="J176" s="2" t="str">
        <f t="shared" si="2"/>
        <v>(${Variables:E1_2_1_3_kcat} * E1_2_1_3 * C05985 * C00003 * C00001)/(${Variables:E1_2_1_3_km} + (E1_2_1_3 * C05985 * C00003 * C00001))</v>
      </c>
      <c r="K176" s="2" t="str">
        <f t="shared" si="3"/>
        <v>r175: C05985 + C00003 + C00001 -&gt; C00804 + C00004 + C00080 | (${Variables:E1_2_1_3_kcat} * E1_2_1_3 * C05985 * C00003 * C00001)/(${Variables:E1_2_1_3_km} + (E1_2_1_3 * C05985 * C00003 * C00001))</v>
      </c>
    </row>
    <row r="177">
      <c r="A177" s="2" t="s">
        <v>12651</v>
      </c>
      <c r="B177" s="2" t="s">
        <v>12652</v>
      </c>
      <c r="C177" s="2" t="s">
        <v>24966</v>
      </c>
      <c r="D177" s="18">
        <v>176.0</v>
      </c>
      <c r="E177" s="2" t="str">
        <f t="shared" si="1"/>
        <v>E1_2_1_3</v>
      </c>
      <c r="F177" s="19" t="s">
        <v>26074</v>
      </c>
      <c r="G177" s="19" t="s">
        <v>26075</v>
      </c>
      <c r="H177" s="19" t="s">
        <v>26076</v>
      </c>
      <c r="I177" s="19" t="s">
        <v>26077</v>
      </c>
      <c r="J177" s="2" t="str">
        <f t="shared" si="2"/>
        <v>(${Variables:E1_2_1_3_kcat} * E1_2_1_3 * C02670 * C00003 * C00001)/(${Variables:E1_2_1_3_km} + (E1_2_1_3 * C02670 * C00003 * C00001))</v>
      </c>
      <c r="K177" s="2" t="str">
        <f t="shared" si="3"/>
        <v>r176: C02670 + C00003 + C00001 -&gt; C00818 + C00004 + C00080 | (${Variables:E1_2_1_3_kcat} * E1_2_1_3 * C02670 * C00003 * C00001)/(${Variables:E1_2_1_3_km} + (E1_2_1_3 * C02670 * C00003 * C00001))</v>
      </c>
    </row>
    <row r="178">
      <c r="A178" s="2" t="s">
        <v>12651</v>
      </c>
      <c r="B178" s="2" t="s">
        <v>12652</v>
      </c>
      <c r="C178" s="2" t="s">
        <v>24966</v>
      </c>
      <c r="D178" s="18">
        <v>177.0</v>
      </c>
      <c r="E178" s="2" t="str">
        <f t="shared" si="1"/>
        <v>E1_2_1_3</v>
      </c>
      <c r="F178" s="19" t="s">
        <v>26078</v>
      </c>
      <c r="G178" s="19" t="s">
        <v>26079</v>
      </c>
      <c r="H178" s="19" t="s">
        <v>26080</v>
      </c>
      <c r="I178" s="19" t="s">
        <v>26081</v>
      </c>
      <c r="J178" s="2" t="str">
        <f t="shared" si="2"/>
        <v>(${Variables:E1_2_1_3_kcat} * E1_2_1_3 * C01149 * C00003 * C00001)/(${Variables:E1_2_1_3_km} + (E1_2_1_3 * C01149 * C00003 * C00001))</v>
      </c>
      <c r="K178" s="2" t="str">
        <f t="shared" si="3"/>
        <v>r177: C01149 + C00003 + C00001 -&gt; C01181 + C00004 + C00080 | (${Variables:E1_2_1_3_kcat} * E1_2_1_3 * C01149 * C00003 * C00001)/(${Variables:E1_2_1_3_km} + (E1_2_1_3 * C01149 * C00003 * C00001))</v>
      </c>
    </row>
    <row r="179">
      <c r="A179" s="2" t="s">
        <v>12651</v>
      </c>
      <c r="B179" s="2" t="s">
        <v>12652</v>
      </c>
      <c r="C179" s="2" t="s">
        <v>24966</v>
      </c>
      <c r="D179" s="18">
        <v>178.0</v>
      </c>
      <c r="E179" s="2" t="str">
        <f t="shared" si="1"/>
        <v>E1_2_1_3</v>
      </c>
      <c r="F179" s="19" t="s">
        <v>26082</v>
      </c>
      <c r="G179" s="19" t="s">
        <v>26083</v>
      </c>
      <c r="H179" s="19" t="s">
        <v>26084</v>
      </c>
      <c r="I179" s="19" t="s">
        <v>26085</v>
      </c>
      <c r="J179" s="2" t="str">
        <f t="shared" si="2"/>
        <v>(${Variables:E1_2_1_3_kcat} * E1_2_1_3 * C06002 * C00003 * C00001)/(${Variables:E1_2_1_3_km} + (E1_2_1_3 * C06002 * C00003 * C00001))</v>
      </c>
      <c r="K179" s="2" t="str">
        <f t="shared" si="3"/>
        <v>r178: C06002 + C00003 + C00001 -&gt; C02170 + C00004 + C00080 | (${Variables:E1_2_1_3_kcat} * E1_2_1_3 * C06002 * C00003 * C00001)/(${Variables:E1_2_1_3_km} + (E1_2_1_3 * C06002 * C00003 * C00001))</v>
      </c>
    </row>
    <row r="180">
      <c r="A180" s="2" t="s">
        <v>12651</v>
      </c>
      <c r="B180" s="2" t="s">
        <v>12652</v>
      </c>
      <c r="C180" s="2" t="s">
        <v>24966</v>
      </c>
      <c r="D180" s="18">
        <v>179.0</v>
      </c>
      <c r="E180" s="2" t="str">
        <f t="shared" si="1"/>
        <v>E1_2_1_3</v>
      </c>
      <c r="F180" s="19" t="s">
        <v>26086</v>
      </c>
      <c r="G180" s="19" t="s">
        <v>26087</v>
      </c>
      <c r="H180" s="19" t="s">
        <v>26088</v>
      </c>
      <c r="I180" s="19" t="s">
        <v>26089</v>
      </c>
      <c r="J180" s="2" t="str">
        <f t="shared" si="2"/>
        <v>(${Variables:E1_2_1_3_kcat} * E1_2_1_3 * C05130 * C00003 * C00001)/(${Variables:E1_2_1_3_km} + (E1_2_1_3 * C05130 * C00003 * C00001))</v>
      </c>
      <c r="K180" s="2" t="str">
        <f t="shared" si="3"/>
        <v>r179: C05130 + C00003 + C00001 -&gt; C02835 + C00004 + C00080 | (${Variables:E1_2_1_3_kcat} * E1_2_1_3 * C05130 * C00003 * C00001)/(${Variables:E1_2_1_3_km} + (E1_2_1_3 * C05130 * C00003 * C00001))</v>
      </c>
    </row>
    <row r="181">
      <c r="A181" s="2" t="s">
        <v>12651</v>
      </c>
      <c r="B181" s="2" t="s">
        <v>12652</v>
      </c>
      <c r="C181" s="2" t="s">
        <v>24966</v>
      </c>
      <c r="D181" s="18">
        <v>180.0</v>
      </c>
      <c r="E181" s="2" t="str">
        <f t="shared" si="1"/>
        <v>E1_2_1_3</v>
      </c>
      <c r="F181" s="19" t="s">
        <v>26090</v>
      </c>
      <c r="G181" s="19" t="s">
        <v>26091</v>
      </c>
      <c r="H181" s="19" t="s">
        <v>26092</v>
      </c>
      <c r="I181" s="19" t="s">
        <v>26093</v>
      </c>
      <c r="J181" s="2" t="str">
        <f t="shared" si="2"/>
        <v>(${Variables:E1_2_1_3_kcat} * E1_2_1_3 * C05445 * C00003 * C00001)/(${Variables:E1_2_1_3_km} + (E1_2_1_3 * C05445 * C00003 * C00001))</v>
      </c>
      <c r="K181" s="2" t="str">
        <f t="shared" si="3"/>
        <v>r180: C05445 + C00003 + C00001 -&gt; C04554 + C00004 + C00080 | (${Variables:E1_2_1_3_kcat} * E1_2_1_3 * C05445 * C00003 * C00001)/(${Variables:E1_2_1_3_km} + (E1_2_1_3 * C05445 * C00003 * C00001))</v>
      </c>
    </row>
    <row r="182">
      <c r="A182" s="2" t="s">
        <v>12651</v>
      </c>
      <c r="B182" s="2" t="s">
        <v>12652</v>
      </c>
      <c r="C182" s="2" t="s">
        <v>24966</v>
      </c>
      <c r="D182" s="18">
        <v>181.0</v>
      </c>
      <c r="E182" s="2" t="str">
        <f t="shared" si="1"/>
        <v>E1_2_1_3</v>
      </c>
      <c r="F182" s="19" t="s">
        <v>26094</v>
      </c>
      <c r="G182" s="19" t="s">
        <v>26095</v>
      </c>
      <c r="H182" s="19" t="s">
        <v>26096</v>
      </c>
      <c r="I182" s="19" t="s">
        <v>26097</v>
      </c>
      <c r="J182" s="2" t="str">
        <f t="shared" si="2"/>
        <v>(${Variables:E1_2_1_3_kcat} * E1_2_1_3 * C05634 * C00003 * C00001)/(${Variables:E1_2_1_3_km} + (E1_2_1_3 * C05634 * C00003 * C00001))</v>
      </c>
      <c r="K182" s="2" t="str">
        <f t="shared" si="3"/>
        <v>r181: C05634 + C00003 + C00001 -&gt; C05635 + C00080 + C00004 | (${Variables:E1_2_1_3_kcat} * E1_2_1_3 * C05634 * C00003 * C00001)/(${Variables:E1_2_1_3_km} + (E1_2_1_3 * C05634 * C00003 * C00001))</v>
      </c>
    </row>
    <row r="183">
      <c r="A183" s="2" t="s">
        <v>12651</v>
      </c>
      <c r="B183" s="2" t="s">
        <v>12652</v>
      </c>
      <c r="C183" s="2" t="s">
        <v>24966</v>
      </c>
      <c r="D183" s="18">
        <v>182.0</v>
      </c>
      <c r="E183" s="2" t="str">
        <f t="shared" si="1"/>
        <v>E1_2_1_3</v>
      </c>
      <c r="F183" s="19" t="s">
        <v>26098</v>
      </c>
      <c r="G183" s="19" t="s">
        <v>26099</v>
      </c>
      <c r="H183" s="19" t="s">
        <v>26100</v>
      </c>
      <c r="I183" s="19" t="s">
        <v>26101</v>
      </c>
      <c r="J183" s="2" t="str">
        <f t="shared" si="2"/>
        <v>(${Variables:E1_2_1_3_kcat} * E1_2_1_3 * C05936 * C00003 * C00001)/(${Variables:E1_2_1_3_km} + (E1_2_1_3 * C05936 * C00003 * C00001))</v>
      </c>
      <c r="K183" s="2" t="str">
        <f t="shared" si="3"/>
        <v>r182: C05936 + C00003 + C00001 -&gt; C02946 + C00004 + C00080 | (${Variables:E1_2_1_3_kcat} * E1_2_1_3 * C05936 * C00003 * C00001)/(${Variables:E1_2_1_3_km} + (E1_2_1_3 * C05936 * C00003 * C00001))</v>
      </c>
    </row>
    <row r="184">
      <c r="A184" s="2" t="s">
        <v>12651</v>
      </c>
      <c r="B184" s="2" t="s">
        <v>12652</v>
      </c>
      <c r="C184" s="2" t="s">
        <v>24966</v>
      </c>
      <c r="D184" s="18">
        <v>183.0</v>
      </c>
      <c r="E184" s="2" t="str">
        <f t="shared" si="1"/>
        <v>E1_2_1_3</v>
      </c>
      <c r="F184" s="19" t="s">
        <v>26102</v>
      </c>
      <c r="G184" s="19" t="s">
        <v>26103</v>
      </c>
      <c r="H184" s="19" t="s">
        <v>26104</v>
      </c>
      <c r="I184" s="19" t="s">
        <v>26105</v>
      </c>
      <c r="J184" s="2" t="str">
        <f t="shared" si="2"/>
        <v>(${Variables:E1_2_1_3_kcat} * E1_2_1_3 * C06613 * C00001)/(${Variables:E1_2_1_3_km} + (E1_2_1_3 * C06613 * C00001))</v>
      </c>
      <c r="K184" s="2" t="str">
        <f t="shared" si="3"/>
        <v>r183: C06613 + C00001 -&gt; C06614 + C00080 | (${Variables:E1_2_1_3_kcat} * E1_2_1_3 * C06613 * C00001)/(${Variables:E1_2_1_3_km} + (E1_2_1_3 * C06613 * C00001))</v>
      </c>
    </row>
    <row r="185">
      <c r="A185" s="2" t="s">
        <v>12651</v>
      </c>
      <c r="B185" s="2" t="s">
        <v>12652</v>
      </c>
      <c r="C185" s="2" t="s">
        <v>24966</v>
      </c>
      <c r="D185" s="18">
        <v>184.0</v>
      </c>
      <c r="E185" s="2" t="str">
        <f t="shared" si="1"/>
        <v>E1_2_1_3</v>
      </c>
      <c r="F185" s="19" t="s">
        <v>26106</v>
      </c>
      <c r="G185" s="19" t="s">
        <v>26107</v>
      </c>
      <c r="H185" s="19" t="s">
        <v>26108</v>
      </c>
      <c r="I185" s="19" t="s">
        <v>26109</v>
      </c>
      <c r="J185" s="2" t="str">
        <f t="shared" si="2"/>
        <v>(${Variables:E1_2_1_3_kcat} * E1_2_1_3 * C16348 * C00001)/(${Variables:E1_2_1_3_km} + (E1_2_1_3 * C16348 * C00001))</v>
      </c>
      <c r="K185" s="2" t="str">
        <f t="shared" si="3"/>
        <v>r184: C16348 + C00001 -&gt; C06615 + C00080 | (${Variables:E1_2_1_3_kcat} * E1_2_1_3 * C16348 * C00001)/(${Variables:E1_2_1_3_km} + (E1_2_1_3 * C16348 * C00001))</v>
      </c>
    </row>
    <row r="186">
      <c r="A186" s="2" t="s">
        <v>12651</v>
      </c>
      <c r="B186" s="2" t="s">
        <v>12652</v>
      </c>
      <c r="C186" s="2" t="s">
        <v>24966</v>
      </c>
      <c r="D186" s="18">
        <v>185.0</v>
      </c>
      <c r="E186" s="2" t="str">
        <f t="shared" si="1"/>
        <v>E1_2_1_3</v>
      </c>
      <c r="F186" s="19" t="s">
        <v>26110</v>
      </c>
      <c r="G186" s="19" t="s">
        <v>26111</v>
      </c>
      <c r="H186" s="19" t="s">
        <v>26112</v>
      </c>
      <c r="I186" s="19" t="s">
        <v>26113</v>
      </c>
      <c r="J186" s="2" t="str">
        <f t="shared" si="2"/>
        <v>(${Variables:E1_2_1_3_kcat} * E1_2_1_3 * C06754 * C00003 * C00001)/(${Variables:E1_2_1_3_km} + (E1_2_1_3 * C06754 * C00003 * C00001))</v>
      </c>
      <c r="K186" s="2" t="str">
        <f t="shared" si="3"/>
        <v>r185: C06754 + C00003 + C00001 -&gt; C06755 + C00004 + C00080 | (${Variables:E1_2_1_3_kcat} * E1_2_1_3 * C06754 * C00003 * C00001)/(${Variables:E1_2_1_3_km} + (E1_2_1_3 * C06754 * C00003 * C00001))</v>
      </c>
    </row>
    <row r="187">
      <c r="A187" s="2" t="s">
        <v>12651</v>
      </c>
      <c r="B187" s="2" t="s">
        <v>12652</v>
      </c>
      <c r="C187" s="2" t="s">
        <v>24966</v>
      </c>
      <c r="D187" s="18">
        <v>186.0</v>
      </c>
      <c r="E187" s="2" t="str">
        <f t="shared" si="1"/>
        <v>E1_2_1_3</v>
      </c>
      <c r="F187" s="19" t="s">
        <v>26114</v>
      </c>
      <c r="G187" s="19" t="s">
        <v>26115</v>
      </c>
      <c r="H187" s="19" t="s">
        <v>26116</v>
      </c>
      <c r="I187" s="19" t="s">
        <v>26117</v>
      </c>
      <c r="J187" s="2" t="str">
        <f t="shared" si="2"/>
        <v>(${Variables:E1_2_1_3_kcat} * E1_2_1_3 * C02576 * C00001 * C00003)/(${Variables:E1_2_1_3_km} + (E1_2_1_3 * C02576 * C00001 * C00003))</v>
      </c>
      <c r="K187" s="2" t="str">
        <f t="shared" si="3"/>
        <v>r186: C02576 + C00001 + C00003 -&gt; C11924 + C00004 + C00080 | (${Variables:E1_2_1_3_kcat} * E1_2_1_3 * C02576 * C00001 * C00003)/(${Variables:E1_2_1_3_km} + (E1_2_1_3 * C02576 * C00001 * C00003))</v>
      </c>
    </row>
    <row r="188">
      <c r="A188" s="2" t="s">
        <v>12651</v>
      </c>
      <c r="B188" s="2" t="s">
        <v>12652</v>
      </c>
      <c r="C188" s="2" t="s">
        <v>24966</v>
      </c>
      <c r="D188" s="18">
        <v>187.0</v>
      </c>
      <c r="E188" s="2" t="str">
        <f t="shared" si="1"/>
        <v>E1_2_1_3</v>
      </c>
      <c r="F188" s="19" t="s">
        <v>26118</v>
      </c>
      <c r="G188" s="19" t="s">
        <v>26119</v>
      </c>
      <c r="H188" s="19" t="s">
        <v>26120</v>
      </c>
      <c r="I188" s="19" t="s">
        <v>26121</v>
      </c>
      <c r="J188" s="2" t="str">
        <f t="shared" si="2"/>
        <v>(${Variables:E1_2_1_3_kcat} * E1_2_1_3 * C03461 * C00003 * C00001)/(${Variables:E1_2_1_3_km} + (E1_2_1_3 * C03461 * C00003 * C00001))</v>
      </c>
      <c r="K188" s="2" t="str">
        <f t="shared" si="3"/>
        <v>r187: C03461 + C00003 + C00001 -&gt; C16502 + C00004 + C00080 | (${Variables:E1_2_1_3_kcat} * E1_2_1_3 * C03461 * C00003 * C00001)/(${Variables:E1_2_1_3_km} + (E1_2_1_3 * C03461 * C00003 * C00001))</v>
      </c>
    </row>
    <row r="189">
      <c r="A189" s="2" t="s">
        <v>10956</v>
      </c>
      <c r="B189" s="2" t="s">
        <v>10957</v>
      </c>
      <c r="C189" s="2" t="s">
        <v>24967</v>
      </c>
      <c r="D189" s="18">
        <v>188.0</v>
      </c>
      <c r="E189" s="2" t="str">
        <f t="shared" si="1"/>
        <v>E1_2_1_38</v>
      </c>
      <c r="F189" s="19" t="s">
        <v>26122</v>
      </c>
      <c r="G189" s="19" t="s">
        <v>26123</v>
      </c>
      <c r="H189" s="19" t="s">
        <v>26124</v>
      </c>
      <c r="I189" s="19" t="s">
        <v>26125</v>
      </c>
      <c r="J189" s="2" t="str">
        <f t="shared" si="2"/>
        <v>(${Variables:E1_2_1_38_kcat} * E1_2_1_38 * C01250 * C00009 * C00006)/(${Variables:E1_2_1_38_km} + (E1_2_1_38 * C01250 * C00009 * C00006))</v>
      </c>
      <c r="K189" s="2" t="str">
        <f t="shared" si="3"/>
        <v>r188: C01250 + C00009 + C00006 -&gt; C04133 + C00005 + C00080 | (${Variables:E1_2_1_38_kcat} * E1_2_1_38 * C01250 * C00009 * C00006)/(${Variables:E1_2_1_38_km} + (E1_2_1_38 * C01250 * C00009 * C00006))</v>
      </c>
    </row>
    <row r="190">
      <c r="A190" s="2" t="s">
        <v>13988</v>
      </c>
      <c r="B190" s="2" t="s">
        <v>13989</v>
      </c>
      <c r="C190" s="2" t="s">
        <v>24968</v>
      </c>
      <c r="D190" s="18">
        <v>189.0</v>
      </c>
      <c r="E190" s="2" t="str">
        <f t="shared" si="1"/>
        <v>E1_2_1_41</v>
      </c>
      <c r="F190" s="19" t="s">
        <v>26126</v>
      </c>
      <c r="G190" s="19" t="s">
        <v>26127</v>
      </c>
      <c r="H190" s="19" t="s">
        <v>26128</v>
      </c>
      <c r="I190" s="19" t="s">
        <v>26129</v>
      </c>
      <c r="J190" s="2" t="str">
        <f t="shared" si="2"/>
        <v>(${Variables:E1_2_1_41_kcat} * E1_2_1_41 * C01165 * C00009 * C00006)/(${Variables:E1_2_1_41_km} + (E1_2_1_41 * C01165 * C00009 * C00006))</v>
      </c>
      <c r="K190" s="2" t="str">
        <f t="shared" si="3"/>
        <v>r189: C01165 + C00009 + C00006 -&gt; C03287 + C00005 + C00080 | (${Variables:E1_2_1_41_kcat} * E1_2_1_41 * C01165 * C00009 * C00006)/(${Variables:E1_2_1_41_km} + (E1_2_1_41 * C01165 * C00009 * C00006))</v>
      </c>
    </row>
    <row r="191">
      <c r="A191" s="2" t="s">
        <v>9930</v>
      </c>
      <c r="B191" s="2" t="s">
        <v>9931</v>
      </c>
      <c r="C191" s="2" t="s">
        <v>24969</v>
      </c>
      <c r="D191" s="18">
        <v>190.0</v>
      </c>
      <c r="E191" s="2" t="str">
        <f t="shared" si="1"/>
        <v>E1_2_1_70</v>
      </c>
      <c r="F191" s="19" t="s">
        <v>26130</v>
      </c>
      <c r="G191" s="19" t="s">
        <v>26131</v>
      </c>
      <c r="H191" s="19" t="s">
        <v>26132</v>
      </c>
      <c r="I191" s="19" t="s">
        <v>26133</v>
      </c>
      <c r="J191" s="2" t="str">
        <f t="shared" si="2"/>
        <v>(${Variables:E1_2_1_70_kcat} * E1_2_1_70 * C02987 * C00005 * C00080)/(${Variables:E1_2_1_70_km} + (E1_2_1_70 * C02987 * C00005 * C00080))</v>
      </c>
      <c r="K191" s="2" t="str">
        <f t="shared" si="3"/>
        <v>r190: C02987 + C00005 + C00080 -&gt; C03741 + C01641 + C00006 | (${Variables:E1_2_1_70_kcat} * E1_2_1_70 * C02987 * C00005 * C00080)/(${Variables:E1_2_1_70_km} + (E1_2_1_70 * C02987 * C00005 * C00080))</v>
      </c>
    </row>
    <row r="192">
      <c r="A192" s="2" t="s">
        <v>6193</v>
      </c>
      <c r="B192" s="2" t="s">
        <v>6194</v>
      </c>
      <c r="C192" s="2" t="s">
        <v>24970</v>
      </c>
      <c r="D192" s="18">
        <v>191.0</v>
      </c>
      <c r="E192" s="2" t="str">
        <f t="shared" si="1"/>
        <v>E1_2_1_79</v>
      </c>
      <c r="F192" s="19" t="s">
        <v>26134</v>
      </c>
      <c r="G192" s="19" t="s">
        <v>26135</v>
      </c>
      <c r="H192" s="19" t="s">
        <v>26136</v>
      </c>
      <c r="I192" s="19" t="s">
        <v>26137</v>
      </c>
      <c r="J192" s="2" t="str">
        <f t="shared" si="2"/>
        <v>(${Variables:E1_2_1_79_kcat} * E1_2_1_79 * C00232 * C00006 * C00001)/(${Variables:E1_2_1_79_km} + (E1_2_1_79 * C00232 * C00006 * C00001))</v>
      </c>
      <c r="K192" s="2" t="str">
        <f t="shared" si="3"/>
        <v>r191: C00232 + C00006 + C00001 -&gt; C00042 + C00005 + C00080 | (${Variables:E1_2_1_79_kcat} * E1_2_1_79 * C00232 * C00006 * C00001)/(${Variables:E1_2_1_79_km} + (E1_2_1_79 * C00232 * C00006 * C00001))</v>
      </c>
    </row>
    <row r="193">
      <c r="A193" s="2" t="s">
        <v>4870</v>
      </c>
      <c r="B193" s="2" t="s">
        <v>4871</v>
      </c>
      <c r="C193" s="2" t="s">
        <v>24972</v>
      </c>
      <c r="D193" s="18">
        <v>192.0</v>
      </c>
      <c r="E193" s="2" t="str">
        <f t="shared" si="1"/>
        <v>E1_2_1_9</v>
      </c>
      <c r="F193" s="19" t="s">
        <v>26138</v>
      </c>
      <c r="G193" s="19" t="s">
        <v>26139</v>
      </c>
      <c r="H193" s="19" t="s">
        <v>26140</v>
      </c>
      <c r="I193" s="19" t="s">
        <v>26141</v>
      </c>
      <c r="J193" s="2" t="str">
        <f t="shared" si="2"/>
        <v>(${Variables:E1_2_1_9_kcat} * E1_2_1_9 * C00118 * C00006 * C00001)/(${Variables:E1_2_1_9_km} + (E1_2_1_9 * C00118 * C00006 * C00001))</v>
      </c>
      <c r="K193" s="2" t="str">
        <f t="shared" si="3"/>
        <v>r192: C00118 + C00006 + C00001 -&gt; C00197 + C00005 + C00080 | (${Variables:E1_2_1_9_kcat} * E1_2_1_9 * C00118 * C00006 * C00001)/(${Variables:E1_2_1_9_km} + (E1_2_1_9 * C00118 * C00006 * C00001))</v>
      </c>
    </row>
    <row r="194">
      <c r="A194" s="2" t="s">
        <v>11425</v>
      </c>
      <c r="B194" s="2" t="s">
        <v>11426</v>
      </c>
      <c r="C194" s="2" t="s">
        <v>24973</v>
      </c>
      <c r="D194" s="18">
        <v>193.0</v>
      </c>
      <c r="E194" s="2" t="str">
        <f t="shared" si="1"/>
        <v>E1_2_4_1</v>
      </c>
      <c r="F194" s="19" t="s">
        <v>26142</v>
      </c>
      <c r="G194" s="19" t="s">
        <v>26143</v>
      </c>
      <c r="H194" s="19" t="s">
        <v>26144</v>
      </c>
      <c r="I194" s="19" t="s">
        <v>26145</v>
      </c>
      <c r="J194" s="2" t="str">
        <f t="shared" si="2"/>
        <v>(${Variables:E1_2_4_1_kcat} * E1_2_4_1 * C00022 * C00068)/(${Variables:E1_2_4_1_km} + (E1_2_4_1 * C00022 * C00068))</v>
      </c>
      <c r="K194" s="2" t="str">
        <f t="shared" si="3"/>
        <v>r193: C00022 + C00068 -&gt; C05125 + C00011 | (${Variables:E1_2_4_1_kcat} * E1_2_4_1 * C00022 * C00068)/(${Variables:E1_2_4_1_km} + (E1_2_4_1 * C00022 * C00068))</v>
      </c>
    </row>
    <row r="195">
      <c r="A195" s="2" t="s">
        <v>11425</v>
      </c>
      <c r="B195" s="2" t="s">
        <v>11426</v>
      </c>
      <c r="C195" s="2" t="s">
        <v>24973</v>
      </c>
      <c r="D195" s="18">
        <v>194.0</v>
      </c>
      <c r="E195" s="2" t="str">
        <f t="shared" si="1"/>
        <v>E1_2_4_1</v>
      </c>
      <c r="F195" s="19" t="s">
        <v>26146</v>
      </c>
      <c r="G195" s="19" t="s">
        <v>26147</v>
      </c>
      <c r="H195" s="19" t="s">
        <v>26148</v>
      </c>
      <c r="I195" s="19" t="s">
        <v>26149</v>
      </c>
      <c r="J195" s="2" t="str">
        <f t="shared" si="2"/>
        <v>(${Variables:E1_2_4_1_kcat} * E1_2_4_1 * C00022 * C15972)/(${Variables:E1_2_4_1_km} + (E1_2_4_1 * C00022 * C15972))</v>
      </c>
      <c r="K195" s="2" t="str">
        <f t="shared" si="3"/>
        <v>r194: C00022 + C15972 -&gt; C16255 + C00011 | (${Variables:E1_2_4_1_kcat} * E1_2_4_1 * C00022 * C15972)/(${Variables:E1_2_4_1_km} + (E1_2_4_1 * C00022 * C15972))</v>
      </c>
    </row>
    <row r="196">
      <c r="A196" s="2" t="s">
        <v>11425</v>
      </c>
      <c r="B196" s="2" t="s">
        <v>11426</v>
      </c>
      <c r="C196" s="2" t="s">
        <v>24973</v>
      </c>
      <c r="D196" s="18">
        <v>195.0</v>
      </c>
      <c r="E196" s="2" t="str">
        <f t="shared" si="1"/>
        <v>E1_2_4_1</v>
      </c>
      <c r="F196" s="19" t="s">
        <v>26150</v>
      </c>
      <c r="G196" s="19" t="s">
        <v>26151</v>
      </c>
      <c r="H196" s="19" t="s">
        <v>26152</v>
      </c>
      <c r="I196" s="19" t="s">
        <v>26153</v>
      </c>
      <c r="J196" s="2" t="str">
        <f t="shared" si="2"/>
        <v>(${Variables:E1_2_4_1_kcat} * E1_2_4_1 * C05125 * C15972)/(${Variables:E1_2_4_1_km} + (E1_2_4_1 * C05125 * C15972))</v>
      </c>
      <c r="K196" s="2" t="str">
        <f t="shared" si="3"/>
        <v>r195: C05125 + C15972 -&gt; C16255 + C00068 | (${Variables:E1_2_4_1_kcat} * E1_2_4_1 * C05125 * C15972)/(${Variables:E1_2_4_1_km} + (E1_2_4_1 * C05125 * C15972))</v>
      </c>
    </row>
    <row r="197">
      <c r="A197" s="2" t="s">
        <v>3827</v>
      </c>
      <c r="B197" s="2" t="s">
        <v>3828</v>
      </c>
      <c r="C197" s="2" t="s">
        <v>24974</v>
      </c>
      <c r="D197" s="18">
        <v>196.0</v>
      </c>
      <c r="E197" s="2" t="str">
        <f t="shared" si="1"/>
        <v>E1_2_4_2</v>
      </c>
      <c r="F197" s="19" t="s">
        <v>26154</v>
      </c>
      <c r="G197" s="19" t="s">
        <v>26155</v>
      </c>
      <c r="H197" s="19" t="s">
        <v>26156</v>
      </c>
      <c r="I197" s="19" t="s">
        <v>26157</v>
      </c>
      <c r="J197" s="2" t="str">
        <f t="shared" si="2"/>
        <v>(${Variables:E1_2_4_2_kcat} * E1_2_4_2 * C00026 * C00068)/(${Variables:E1_2_4_2_km} + (E1_2_4_2 * C00026 * C00068))</v>
      </c>
      <c r="K197" s="2" t="str">
        <f t="shared" si="3"/>
        <v>r196: C00026 + C00068 -&gt; C05381 + C00011 | (${Variables:E1_2_4_2_kcat} * E1_2_4_2 * C00026 * C00068)/(${Variables:E1_2_4_2_km} + (E1_2_4_2 * C00026 * C00068))</v>
      </c>
    </row>
    <row r="198">
      <c r="A198" s="2" t="s">
        <v>3827</v>
      </c>
      <c r="B198" s="2" t="s">
        <v>3828</v>
      </c>
      <c r="C198" s="2" t="s">
        <v>24974</v>
      </c>
      <c r="D198" s="18">
        <v>197.0</v>
      </c>
      <c r="E198" s="2" t="str">
        <f t="shared" si="1"/>
        <v>E1_2_4_2</v>
      </c>
      <c r="F198" s="19" t="s">
        <v>26158</v>
      </c>
      <c r="G198" s="19" t="s">
        <v>26159</v>
      </c>
      <c r="H198" s="19" t="s">
        <v>26160</v>
      </c>
      <c r="I198" s="19" t="s">
        <v>26161</v>
      </c>
      <c r="J198" s="2" t="str">
        <f t="shared" si="2"/>
        <v>(${Variables:E1_2_4_2_kcat} * E1_2_4_2 * C00026 * C15972)/(${Variables:E1_2_4_2_km} + (E1_2_4_2 * C00026 * C15972))</v>
      </c>
      <c r="K198" s="2" t="str">
        <f t="shared" si="3"/>
        <v>r197: C00026 + C15972 -&gt; C16254 + C00011 | (${Variables:E1_2_4_2_kcat} * E1_2_4_2 * C00026 * C15972)/(${Variables:E1_2_4_2_km} + (E1_2_4_2 * C00026 * C15972))</v>
      </c>
    </row>
    <row r="199">
      <c r="A199" s="2" t="s">
        <v>3827</v>
      </c>
      <c r="B199" s="2" t="s">
        <v>3828</v>
      </c>
      <c r="C199" s="2" t="s">
        <v>24974</v>
      </c>
      <c r="D199" s="18">
        <v>198.0</v>
      </c>
      <c r="E199" s="2" t="str">
        <f t="shared" si="1"/>
        <v>E1_2_4_2</v>
      </c>
      <c r="F199" s="19" t="s">
        <v>26162</v>
      </c>
      <c r="G199" s="19" t="s">
        <v>26163</v>
      </c>
      <c r="H199" s="19" t="s">
        <v>26164</v>
      </c>
      <c r="I199" s="19" t="s">
        <v>26165</v>
      </c>
      <c r="J199" s="2" t="str">
        <f t="shared" si="2"/>
        <v>(${Variables:E1_2_4_2_kcat} * E1_2_4_2 * C05381 * C15972)/(${Variables:E1_2_4_2_km} + (E1_2_4_2 * C05381 * C15972))</v>
      </c>
      <c r="K199" s="2" t="str">
        <f t="shared" si="3"/>
        <v>r198: C05381 + C15972 -&gt; C16254 + C00068 | (${Variables:E1_2_4_2_kcat} * E1_2_4_2 * C05381 * C15972)/(${Variables:E1_2_4_2_km} + (E1_2_4_2 * C05381 * C15972))</v>
      </c>
    </row>
    <row r="200">
      <c r="A200" s="2" t="s">
        <v>10871</v>
      </c>
      <c r="B200" s="2" t="s">
        <v>10872</v>
      </c>
      <c r="C200" s="2" t="s">
        <v>24975</v>
      </c>
      <c r="D200" s="18">
        <v>199.0</v>
      </c>
      <c r="E200" s="2" t="str">
        <f t="shared" si="1"/>
        <v>E1_2_4_4</v>
      </c>
      <c r="F200" s="19" t="s">
        <v>26166</v>
      </c>
      <c r="G200" s="19" t="s">
        <v>26167</v>
      </c>
      <c r="H200" s="19" t="s">
        <v>26168</v>
      </c>
      <c r="I200" s="19" t="s">
        <v>26169</v>
      </c>
      <c r="J200" s="2" t="str">
        <f t="shared" si="2"/>
        <v>(${Variables:E1_2_4_4_kcat} * E1_2_4_4 * C00141 * C15972)/(${Variables:E1_2_4_4_km} + (E1_2_4_4 * C00141 * C15972))</v>
      </c>
      <c r="K200" s="2" t="str">
        <f t="shared" si="3"/>
        <v>r199: C00141 + C15972 -&gt; C15977 + C00011 | (${Variables:E1_2_4_4_kcat} * E1_2_4_4 * C00141 * C15972)/(${Variables:E1_2_4_4_km} + (E1_2_4_4 * C00141 * C15972))</v>
      </c>
    </row>
    <row r="201">
      <c r="A201" s="2" t="s">
        <v>10871</v>
      </c>
      <c r="B201" s="2" t="s">
        <v>10872</v>
      </c>
      <c r="C201" s="2" t="s">
        <v>24975</v>
      </c>
      <c r="D201" s="18">
        <v>200.0</v>
      </c>
      <c r="E201" s="2" t="str">
        <f t="shared" si="1"/>
        <v>E1_2_4_4</v>
      </c>
      <c r="F201" s="19" t="s">
        <v>26170</v>
      </c>
      <c r="G201" s="19" t="s">
        <v>26171</v>
      </c>
      <c r="H201" s="19" t="s">
        <v>26172</v>
      </c>
      <c r="I201" s="19" t="s">
        <v>26173</v>
      </c>
      <c r="J201" s="2" t="str">
        <f t="shared" si="2"/>
        <v>(${Variables:E1_2_4_4_kcat} * E1_2_4_4 * C00233 * C15972)/(${Variables:E1_2_4_4_km} + (E1_2_4_4 * C00233 * C15972))</v>
      </c>
      <c r="K201" s="2" t="str">
        <f t="shared" si="3"/>
        <v>r200: C00233 + C15972 -&gt; C15975 + C00011 | (${Variables:E1_2_4_4_kcat} * E1_2_4_4 * C00233 * C15972)/(${Variables:E1_2_4_4_km} + (E1_2_4_4 * C00233 * C15972))</v>
      </c>
    </row>
    <row r="202">
      <c r="A202" s="2" t="s">
        <v>10871</v>
      </c>
      <c r="B202" s="2" t="s">
        <v>10872</v>
      </c>
      <c r="C202" s="2" t="s">
        <v>24975</v>
      </c>
      <c r="D202" s="18">
        <v>201.0</v>
      </c>
      <c r="E202" s="2" t="str">
        <f t="shared" si="1"/>
        <v>E1_2_4_4</v>
      </c>
      <c r="F202" s="19" t="s">
        <v>26174</v>
      </c>
      <c r="G202" s="19" t="s">
        <v>26175</v>
      </c>
      <c r="H202" s="19" t="s">
        <v>26176</v>
      </c>
      <c r="I202" s="19" t="s">
        <v>26177</v>
      </c>
      <c r="J202" s="2" t="str">
        <f t="shared" si="2"/>
        <v>(${Variables:E1_2_4_4_kcat} * E1_2_4_4 * C00671 * C15972)/(${Variables:E1_2_4_4_km} + (E1_2_4_4 * C00671 * C15972))</v>
      </c>
      <c r="K202" s="2" t="str">
        <f t="shared" si="3"/>
        <v>r201: C00671 + C15972 -&gt; C15979 + C00011 | (${Variables:E1_2_4_4_kcat} * E1_2_4_4 * C00671 * C15972)/(${Variables:E1_2_4_4_km} + (E1_2_4_4 * C00671 * C15972))</v>
      </c>
    </row>
    <row r="203">
      <c r="A203" s="2" t="s">
        <v>10871</v>
      </c>
      <c r="B203" s="2" t="s">
        <v>10872</v>
      </c>
      <c r="C203" s="2" t="s">
        <v>24975</v>
      </c>
      <c r="D203" s="18">
        <v>202.0</v>
      </c>
      <c r="E203" s="2" t="str">
        <f t="shared" si="1"/>
        <v>E1_2_4_4</v>
      </c>
      <c r="F203" s="19" t="s">
        <v>26178</v>
      </c>
      <c r="G203" s="19" t="s">
        <v>26179</v>
      </c>
      <c r="H203" s="19" t="s">
        <v>26180</v>
      </c>
      <c r="I203" s="19" t="s">
        <v>26181</v>
      </c>
      <c r="J203" s="2" t="str">
        <f t="shared" si="2"/>
        <v>(${Variables:E1_2_4_4_kcat} * E1_2_4_4 * C00141 * C00068)/(${Variables:E1_2_4_4_km} + (E1_2_4_4 * C00141 * C00068))</v>
      </c>
      <c r="K203" s="2" t="str">
        <f t="shared" si="3"/>
        <v>r202: C00141 + C00068 -&gt; C15976 + C00011 | (${Variables:E1_2_4_4_kcat} * E1_2_4_4 * C00141 * C00068)/(${Variables:E1_2_4_4_km} + (E1_2_4_4 * C00141 * C00068))</v>
      </c>
    </row>
    <row r="204">
      <c r="A204" s="2" t="s">
        <v>10871</v>
      </c>
      <c r="B204" s="2" t="s">
        <v>10872</v>
      </c>
      <c r="C204" s="2" t="s">
        <v>24975</v>
      </c>
      <c r="D204" s="18">
        <v>203.0</v>
      </c>
      <c r="E204" s="2" t="str">
        <f t="shared" si="1"/>
        <v>E1_2_4_4</v>
      </c>
      <c r="F204" s="19" t="s">
        <v>26182</v>
      </c>
      <c r="G204" s="19" t="s">
        <v>26183</v>
      </c>
      <c r="H204" s="19" t="s">
        <v>26184</v>
      </c>
      <c r="I204" s="19" t="s">
        <v>26185</v>
      </c>
      <c r="J204" s="2" t="str">
        <f t="shared" si="2"/>
        <v>(${Variables:E1_2_4_4_kcat} * E1_2_4_4 * C15976 * C15972)/(${Variables:E1_2_4_4_km} + (E1_2_4_4 * C15976 * C15972))</v>
      </c>
      <c r="K204" s="2" t="str">
        <f t="shared" si="3"/>
        <v>r203: C15976 + C15972 -&gt; C15977 + C00068 | (${Variables:E1_2_4_4_kcat} * E1_2_4_4 * C15976 * C15972)/(${Variables:E1_2_4_4_km} + (E1_2_4_4 * C15976 * C15972))</v>
      </c>
    </row>
    <row r="205">
      <c r="A205" s="2" t="s">
        <v>10871</v>
      </c>
      <c r="B205" s="2" t="s">
        <v>10872</v>
      </c>
      <c r="C205" s="2" t="s">
        <v>24975</v>
      </c>
      <c r="D205" s="18">
        <v>204.0</v>
      </c>
      <c r="E205" s="2" t="str">
        <f t="shared" si="1"/>
        <v>E1_2_4_4</v>
      </c>
      <c r="F205" s="19" t="s">
        <v>26186</v>
      </c>
      <c r="G205" s="19" t="s">
        <v>26187</v>
      </c>
      <c r="H205" s="19" t="s">
        <v>26188</v>
      </c>
      <c r="I205" s="19" t="s">
        <v>26189</v>
      </c>
      <c r="J205" s="2" t="str">
        <f t="shared" si="2"/>
        <v>(${Variables:E1_2_4_4_kcat} * E1_2_4_4 * C00233 * C00068)/(${Variables:E1_2_4_4_km} + (E1_2_4_4 * C00233 * C00068))</v>
      </c>
      <c r="K205" s="2" t="str">
        <f t="shared" si="3"/>
        <v>r204: C00233 + C00068 -&gt; C15974 + C00011 | (${Variables:E1_2_4_4_kcat} * E1_2_4_4 * C00233 * C00068)/(${Variables:E1_2_4_4_km} + (E1_2_4_4 * C00233 * C00068))</v>
      </c>
    </row>
    <row r="206">
      <c r="A206" s="2" t="s">
        <v>10871</v>
      </c>
      <c r="B206" s="2" t="s">
        <v>10872</v>
      </c>
      <c r="C206" s="2" t="s">
        <v>24975</v>
      </c>
      <c r="D206" s="18">
        <v>205.0</v>
      </c>
      <c r="E206" s="2" t="str">
        <f t="shared" si="1"/>
        <v>E1_2_4_4</v>
      </c>
      <c r="F206" s="19" t="s">
        <v>26190</v>
      </c>
      <c r="G206" s="19" t="s">
        <v>26191</v>
      </c>
      <c r="H206" s="19" t="s">
        <v>26192</v>
      </c>
      <c r="I206" s="19" t="s">
        <v>26193</v>
      </c>
      <c r="J206" s="2" t="str">
        <f t="shared" si="2"/>
        <v>(${Variables:E1_2_4_4_kcat} * E1_2_4_4 * C15974 * C15972)/(${Variables:E1_2_4_4_km} + (E1_2_4_4 * C15974 * C15972))</v>
      </c>
      <c r="K206" s="2" t="str">
        <f t="shared" si="3"/>
        <v>r205: C15974 + C15972 -&gt; C15975 + C00068 | (${Variables:E1_2_4_4_kcat} * E1_2_4_4 * C15974 * C15972)/(${Variables:E1_2_4_4_km} + (E1_2_4_4 * C15974 * C15972))</v>
      </c>
    </row>
    <row r="207">
      <c r="A207" s="2" t="s">
        <v>10871</v>
      </c>
      <c r="B207" s="2" t="s">
        <v>10872</v>
      </c>
      <c r="C207" s="2" t="s">
        <v>24975</v>
      </c>
      <c r="D207" s="18">
        <v>206.0</v>
      </c>
      <c r="E207" s="2" t="str">
        <f t="shared" si="1"/>
        <v>E1_2_4_4</v>
      </c>
      <c r="F207" s="19" t="s">
        <v>26194</v>
      </c>
      <c r="G207" s="19" t="s">
        <v>26195</v>
      </c>
      <c r="H207" s="19" t="s">
        <v>26196</v>
      </c>
      <c r="I207" s="19" t="s">
        <v>26197</v>
      </c>
      <c r="J207" s="2" t="str">
        <f t="shared" si="2"/>
        <v>(${Variables:E1_2_4_4_kcat} * E1_2_4_4 * C00671 * C00068)/(${Variables:E1_2_4_4_km} + (E1_2_4_4 * C00671 * C00068))</v>
      </c>
      <c r="K207" s="2" t="str">
        <f t="shared" si="3"/>
        <v>r206: C00671 + C00068 -&gt; C15978 + C00011 | (${Variables:E1_2_4_4_kcat} * E1_2_4_4 * C00671 * C00068)/(${Variables:E1_2_4_4_km} + (E1_2_4_4 * C00671 * C00068))</v>
      </c>
    </row>
    <row r="208">
      <c r="A208" s="2" t="s">
        <v>10871</v>
      </c>
      <c r="B208" s="2" t="s">
        <v>10872</v>
      </c>
      <c r="C208" s="2" t="s">
        <v>24975</v>
      </c>
      <c r="D208" s="18">
        <v>207.0</v>
      </c>
      <c r="E208" s="2" t="str">
        <f t="shared" si="1"/>
        <v>E1_2_4_4</v>
      </c>
      <c r="F208" s="19" t="s">
        <v>26198</v>
      </c>
      <c r="G208" s="19" t="s">
        <v>26199</v>
      </c>
      <c r="H208" s="19" t="s">
        <v>26200</v>
      </c>
      <c r="I208" s="19" t="s">
        <v>26201</v>
      </c>
      <c r="J208" s="2" t="str">
        <f t="shared" si="2"/>
        <v>(${Variables:E1_2_4_4_kcat} * E1_2_4_4 * C15978 * C15972)/(${Variables:E1_2_4_4_km} + (E1_2_4_4 * C15978 * C15972))</v>
      </c>
      <c r="K208" s="2" t="str">
        <f t="shared" si="3"/>
        <v>r207: C15978 + C15972 -&gt; C15979 + C00068 | (${Variables:E1_2_4_4_kcat} * E1_2_4_4 * C15978 * C15972)/(${Variables:E1_2_4_4_km} + (E1_2_4_4 * C15978 * C15972))</v>
      </c>
    </row>
    <row r="209">
      <c r="A209" s="2" t="s">
        <v>10871</v>
      </c>
      <c r="B209" s="2" t="s">
        <v>10872</v>
      </c>
      <c r="C209" s="2" t="s">
        <v>24975</v>
      </c>
      <c r="D209" s="18">
        <v>208.0</v>
      </c>
      <c r="E209" s="2" t="str">
        <f t="shared" si="1"/>
        <v>E1_2_4_4</v>
      </c>
      <c r="F209" s="19" t="s">
        <v>26202</v>
      </c>
      <c r="G209" s="19" t="s">
        <v>26203</v>
      </c>
      <c r="H209" s="19" t="s">
        <v>26204</v>
      </c>
      <c r="I209" s="19" t="s">
        <v>26205</v>
      </c>
      <c r="J209" s="2" t="str">
        <f t="shared" si="2"/>
        <v>(${Variables:E1_2_4_4_kcat} * E1_2_4_4 * C00109 * C00068)/(${Variables:E1_2_4_4_km} + (E1_2_4_4 * C00109 * C00068))</v>
      </c>
      <c r="K209" s="2" t="str">
        <f t="shared" si="3"/>
        <v>r208: C00109 + C00068 -&gt; C21017 + C00011 | (${Variables:E1_2_4_4_kcat} * E1_2_4_4 * C00109 * C00068)/(${Variables:E1_2_4_4_km} + (E1_2_4_4 * C00109 * C00068))</v>
      </c>
    </row>
    <row r="210">
      <c r="A210" s="2" t="s">
        <v>10871</v>
      </c>
      <c r="B210" s="2" t="s">
        <v>10872</v>
      </c>
      <c r="C210" s="2" t="s">
        <v>24975</v>
      </c>
      <c r="D210" s="18">
        <v>209.0</v>
      </c>
      <c r="E210" s="2" t="str">
        <f t="shared" si="1"/>
        <v>E1_2_4_4</v>
      </c>
      <c r="F210" s="19" t="s">
        <v>26206</v>
      </c>
      <c r="G210" s="19" t="s">
        <v>26207</v>
      </c>
      <c r="H210" s="19" t="s">
        <v>26208</v>
      </c>
      <c r="I210" s="19" t="s">
        <v>26209</v>
      </c>
      <c r="J210" s="2" t="str">
        <f t="shared" si="2"/>
        <v>(${Variables:E1_2_4_4_kcat} * E1_2_4_4 * C21017 * C15972)/(${Variables:E1_2_4_4_km} + (E1_2_4_4 * C21017 * C15972))</v>
      </c>
      <c r="K210" s="2" t="str">
        <f t="shared" si="3"/>
        <v>r209: C21017 + C15972 -&gt; C21018 + C00068 | (${Variables:E1_2_4_4_kcat} * E1_2_4_4 * C21017 * C15972)/(${Variables:E1_2_4_4_km} + (E1_2_4_4 * C21017 * C15972))</v>
      </c>
    </row>
    <row r="211">
      <c r="A211" s="2" t="s">
        <v>13578</v>
      </c>
      <c r="B211" s="2" t="s">
        <v>13579</v>
      </c>
      <c r="C211" s="2" t="s">
        <v>24976</v>
      </c>
      <c r="D211" s="18">
        <v>210.0</v>
      </c>
      <c r="E211" s="2" t="str">
        <f t="shared" si="1"/>
        <v>E1_20_4_4</v>
      </c>
      <c r="F211" s="19" t="s">
        <v>26210</v>
      </c>
      <c r="G211" s="19" t="s">
        <v>26211</v>
      </c>
      <c r="H211" s="19" t="s">
        <v>26212</v>
      </c>
      <c r="I211" s="19" t="s">
        <v>26213</v>
      </c>
      <c r="J211" s="2" t="str">
        <f t="shared" si="2"/>
        <v>(${Variables:E1_20_4_4_kcat} * E1_20_4_4 * C11215 * C00342)/(${Variables:E1_20_4_4_km} + (E1_20_4_4 * C11215 * C00342))</v>
      </c>
      <c r="K211" s="2" t="str">
        <f t="shared" si="3"/>
        <v>r210: C11215 + C00342 -&gt; C06697 + C00343 + C00001 | (${Variables:E1_20_4_4_kcat} * E1_20_4_4 * C11215 * C00342)/(${Variables:E1_20_4_4_km} + (E1_20_4_4 * C11215 * C00342))</v>
      </c>
    </row>
    <row r="212">
      <c r="A212" s="2" t="s">
        <v>14067</v>
      </c>
      <c r="B212" s="2" t="s">
        <v>14068</v>
      </c>
      <c r="C212" s="2" t="s">
        <v>24977</v>
      </c>
      <c r="D212" s="18">
        <v>211.0</v>
      </c>
      <c r="E212" s="2" t="str">
        <f t="shared" si="1"/>
        <v>E1_3_1_12</v>
      </c>
      <c r="F212" s="19" t="s">
        <v>26214</v>
      </c>
      <c r="G212" s="19" t="s">
        <v>26215</v>
      </c>
      <c r="H212" s="19" t="s">
        <v>26216</v>
      </c>
      <c r="I212" s="19" t="s">
        <v>26217</v>
      </c>
      <c r="J212" s="2" t="str">
        <f t="shared" si="2"/>
        <v>(${Variables:E1_3_1_12_kcat} * E1_3_1_12 * C00254 * C00003)/(${Variables:E1_3_1_12_km} + (E1_3_1_12 * C00254 * C00003))</v>
      </c>
      <c r="K212" s="2" t="str">
        <f t="shared" si="3"/>
        <v>r211: C00254 + C00003 -&gt; C01179 + C00011 + C00004 + C00080 | (${Variables:E1_3_1_12_kcat} * E1_3_1_12 * C00254 * C00003)/(${Variables:E1_3_1_12_km} + (E1_3_1_12 * C00254 * C00003))</v>
      </c>
    </row>
    <row r="213">
      <c r="A213" s="2" t="s">
        <v>11708</v>
      </c>
      <c r="B213" s="2" t="s">
        <v>11709</v>
      </c>
      <c r="C213" s="2" t="s">
        <v>24978</v>
      </c>
      <c r="D213" s="18">
        <v>212.0</v>
      </c>
      <c r="E213" s="2" t="str">
        <f t="shared" si="1"/>
        <v>E1_3_1_14</v>
      </c>
      <c r="F213" s="19" t="s">
        <v>26218</v>
      </c>
      <c r="G213" s="19" t="s">
        <v>26219</v>
      </c>
      <c r="H213" s="19" t="s">
        <v>26220</v>
      </c>
      <c r="I213" s="19" t="s">
        <v>26221</v>
      </c>
      <c r="J213" s="2" t="str">
        <f t="shared" si="2"/>
        <v>(${Variables:E1_3_1_14_kcat} * E1_3_1_14 * C00337 * C00003)/(${Variables:E1_3_1_14_km} + (E1_3_1_14 * C00337 * C00003))</v>
      </c>
      <c r="K213" s="2" t="str">
        <f t="shared" si="3"/>
        <v>r212: C00337 + C00003 -&gt; C00295 + C00080 + C00004 | (${Variables:E1_3_1_14_kcat} * E1_3_1_14 * C00337 * C00003)/(${Variables:E1_3_1_14_km} + (E1_3_1_14 * C00337 * C00003))</v>
      </c>
    </row>
    <row r="214">
      <c r="A214" s="2" t="s">
        <v>861</v>
      </c>
      <c r="B214" s="2" t="s">
        <v>862</v>
      </c>
      <c r="C214" s="2" t="s">
        <v>24979</v>
      </c>
      <c r="D214" s="18">
        <v>213.0</v>
      </c>
      <c r="E214" s="2" t="str">
        <f t="shared" si="1"/>
        <v>E1_3_1_28</v>
      </c>
      <c r="F214" s="19" t="s">
        <v>26222</v>
      </c>
      <c r="G214" s="19" t="s">
        <v>26223</v>
      </c>
      <c r="H214" s="19" t="s">
        <v>26224</v>
      </c>
      <c r="I214" s="19" t="s">
        <v>26225</v>
      </c>
      <c r="J214" s="2" t="str">
        <f t="shared" si="2"/>
        <v>(${Variables:E1_3_1_28_kcat} * E1_3_1_28 * C04171 * C00003)/(${Variables:E1_3_1_28_km} + (E1_3_1_28 * C04171 * C00003))</v>
      </c>
      <c r="K214" s="2" t="str">
        <f t="shared" si="3"/>
        <v>r213: C04171 + C00003 -&gt; C00196 + C00004 + C00080 | (${Variables:E1_3_1_28_kcat} * E1_3_1_28 * C04171 * C00003)/(${Variables:E1_3_1_28_km} + (E1_3_1_28 * C04171 * C00003))</v>
      </c>
    </row>
    <row r="215">
      <c r="A215" s="2" t="s">
        <v>11368</v>
      </c>
      <c r="B215" s="2" t="s">
        <v>11369</v>
      </c>
      <c r="C215" s="2" t="s">
        <v>24980</v>
      </c>
      <c r="D215" s="18">
        <v>214.0</v>
      </c>
      <c r="E215" s="2" t="str">
        <f t="shared" si="1"/>
        <v>E1_3_1_34</v>
      </c>
      <c r="F215" s="19" t="s">
        <v>26226</v>
      </c>
      <c r="G215" s="19" t="s">
        <v>26227</v>
      </c>
      <c r="H215" s="19" t="s">
        <v>26228</v>
      </c>
      <c r="I215" s="19" t="s">
        <v>26229</v>
      </c>
      <c r="J215" s="2" t="str">
        <f t="shared" si="2"/>
        <v>(${Variables:E1_3_1_34_kcat} * E1_3_1_34 * C00658 * C00006)/(${Variables:E1_3_1_34_km} + (E1_3_1_34 * C00658 * C00006))</v>
      </c>
      <c r="K215" s="2" t="str">
        <f t="shared" si="3"/>
        <v>r214: C00658 + C00006 -&gt; C04512 + C00005 + C00080 | (${Variables:E1_3_1_34_kcat} * E1_3_1_34 * C00658 * C00006)/(${Variables:E1_3_1_34_km} + (E1_3_1_34 * C00658 * C00006))</v>
      </c>
    </row>
    <row r="216">
      <c r="A216" s="2" t="s">
        <v>11368</v>
      </c>
      <c r="B216" s="2" t="s">
        <v>11369</v>
      </c>
      <c r="C216" s="2" t="s">
        <v>24980</v>
      </c>
      <c r="D216" s="18">
        <v>215.0</v>
      </c>
      <c r="E216" s="2" t="str">
        <f t="shared" si="1"/>
        <v>E1_3_1_34</v>
      </c>
      <c r="F216" s="19" t="s">
        <v>26226</v>
      </c>
      <c r="G216" s="19" t="s">
        <v>26227</v>
      </c>
      <c r="H216" s="19" t="s">
        <v>26230</v>
      </c>
      <c r="I216" s="19" t="s">
        <v>26231</v>
      </c>
      <c r="J216" s="2" t="str">
        <f t="shared" si="2"/>
        <v>(${Variables:E1_3_1_34_kcat} * E1_3_1_34 * C00658 * C00006)/(${Variables:E1_3_1_34_km} + (E1_3_1_34 * C00658 * C00006))</v>
      </c>
      <c r="K216" s="2" t="str">
        <f t="shared" si="3"/>
        <v>r215: C00658 + C00006 -&gt; C22258 + C00005 + C00080 | (${Variables:E1_3_1_34_kcat} * E1_3_1_34 * C00658 * C00006)/(${Variables:E1_3_1_34_km} + (E1_3_1_34 * C00658 * C00006))</v>
      </c>
    </row>
    <row r="217">
      <c r="A217" s="2" t="s">
        <v>3933</v>
      </c>
      <c r="B217" s="2" t="s">
        <v>3934</v>
      </c>
      <c r="C217" s="2" t="s">
        <v>24981</v>
      </c>
      <c r="D217" s="18">
        <v>216.0</v>
      </c>
      <c r="E217" s="2" t="str">
        <f t="shared" si="1"/>
        <v>E1_3_1_9</v>
      </c>
      <c r="F217" s="19" t="s">
        <v>26232</v>
      </c>
      <c r="G217" s="19" t="s">
        <v>26233</v>
      </c>
      <c r="H217" s="19" t="s">
        <v>26234</v>
      </c>
      <c r="I217" s="19" t="s">
        <v>26235</v>
      </c>
      <c r="J217" s="2" t="str">
        <f t="shared" si="2"/>
        <v>(${Variables:E1_3_1_9_kcat} * E1_3_1_9 * C00173 * C00003)/(${Variables:E1_3_1_9_km} + (E1_3_1_9 * C00173 * C00003))</v>
      </c>
      <c r="K217" s="2" t="str">
        <f t="shared" si="3"/>
        <v>r216: C00173 + C00003 -&gt; C00693 + C00004 + C00080 | (${Variables:E1_3_1_9_kcat} * E1_3_1_9 * C00173 * C00003)/(${Variables:E1_3_1_9_km} + (E1_3_1_9 * C00173 * C00003))</v>
      </c>
    </row>
    <row r="218">
      <c r="A218" s="2" t="s">
        <v>3933</v>
      </c>
      <c r="B218" s="2" t="s">
        <v>3934</v>
      </c>
      <c r="C218" s="2" t="s">
        <v>24981</v>
      </c>
      <c r="D218" s="18">
        <v>217.0</v>
      </c>
      <c r="E218" s="2" t="str">
        <f t="shared" si="1"/>
        <v>E1_3_1_9</v>
      </c>
      <c r="F218" s="19" t="s">
        <v>26236</v>
      </c>
      <c r="G218" s="19" t="s">
        <v>26237</v>
      </c>
      <c r="H218" s="19" t="s">
        <v>26238</v>
      </c>
      <c r="I218" s="19" t="s">
        <v>26239</v>
      </c>
      <c r="J218" s="2" t="str">
        <f t="shared" si="2"/>
        <v>(${Variables:E1_3_1_9_kcat} * E1_3_1_9 * C05745 * C00003)/(${Variables:E1_3_1_9_km} + (E1_3_1_9 * C05745 * C00003))</v>
      </c>
      <c r="K218" s="2" t="str">
        <f t="shared" si="3"/>
        <v>r217: C05745 + C00003 -&gt; C04246 + C00004 + C00080 | (${Variables:E1_3_1_9_kcat} * E1_3_1_9 * C05745 * C00003)/(${Variables:E1_3_1_9_km} + (E1_3_1_9 * C05745 * C00003))</v>
      </c>
    </row>
    <row r="219">
      <c r="A219" s="2" t="s">
        <v>3933</v>
      </c>
      <c r="B219" s="2" t="s">
        <v>3934</v>
      </c>
      <c r="C219" s="2" t="s">
        <v>24981</v>
      </c>
      <c r="D219" s="18">
        <v>218.0</v>
      </c>
      <c r="E219" s="2" t="str">
        <f t="shared" si="1"/>
        <v>E1_3_1_9</v>
      </c>
      <c r="F219" s="19" t="s">
        <v>26240</v>
      </c>
      <c r="G219" s="19" t="s">
        <v>26241</v>
      </c>
      <c r="H219" s="19" t="s">
        <v>26242</v>
      </c>
      <c r="I219" s="19" t="s">
        <v>26243</v>
      </c>
      <c r="J219" s="2" t="str">
        <f t="shared" si="2"/>
        <v>(${Variables:E1_3_1_9_kcat} * E1_3_1_9 * C05223 * C00003)/(${Variables:E1_3_1_9_km} + (E1_3_1_9 * C05223 * C00003))</v>
      </c>
      <c r="K219" s="2" t="str">
        <f t="shared" si="3"/>
        <v>r218: C05223 + C00003 -&gt; C05758 + C00004 + C00080 | (${Variables:E1_3_1_9_kcat} * E1_3_1_9 * C05223 * C00003)/(${Variables:E1_3_1_9_km} + (E1_3_1_9 * C05223 * C00003))</v>
      </c>
    </row>
    <row r="220">
      <c r="A220" s="2" t="s">
        <v>3933</v>
      </c>
      <c r="B220" s="2" t="s">
        <v>3934</v>
      </c>
      <c r="C220" s="2" t="s">
        <v>24981</v>
      </c>
      <c r="D220" s="18">
        <v>219.0</v>
      </c>
      <c r="E220" s="2" t="str">
        <f t="shared" si="1"/>
        <v>E1_3_1_9</v>
      </c>
      <c r="F220" s="19" t="s">
        <v>26244</v>
      </c>
      <c r="G220" s="19" t="s">
        <v>26245</v>
      </c>
      <c r="H220" s="19" t="s">
        <v>26246</v>
      </c>
      <c r="I220" s="19" t="s">
        <v>26247</v>
      </c>
      <c r="J220" s="2" t="str">
        <f t="shared" si="2"/>
        <v>(${Variables:E1_3_1_9_kcat} * E1_3_1_9 * C05749 * C00003)/(${Variables:E1_3_1_9_km} + (E1_3_1_9 * C05749 * C00003))</v>
      </c>
      <c r="K220" s="2" t="str">
        <f t="shared" si="3"/>
        <v>r219: C05749 + C00003 -&gt; C05748 + C00004 + C00080 | (${Variables:E1_3_1_9_kcat} * E1_3_1_9 * C05749 * C00003)/(${Variables:E1_3_1_9_km} + (E1_3_1_9 * C05749 * C00003))</v>
      </c>
    </row>
    <row r="221">
      <c r="A221" s="2" t="s">
        <v>3933</v>
      </c>
      <c r="B221" s="2" t="s">
        <v>3934</v>
      </c>
      <c r="C221" s="2" t="s">
        <v>24981</v>
      </c>
      <c r="D221" s="18">
        <v>220.0</v>
      </c>
      <c r="E221" s="2" t="str">
        <f t="shared" si="1"/>
        <v>E1_3_1_9</v>
      </c>
      <c r="F221" s="19" t="s">
        <v>26248</v>
      </c>
      <c r="G221" s="19" t="s">
        <v>26249</v>
      </c>
      <c r="H221" s="19" t="s">
        <v>26250</v>
      </c>
      <c r="I221" s="19" t="s">
        <v>26251</v>
      </c>
      <c r="J221" s="2" t="str">
        <f t="shared" si="2"/>
        <v>(${Variables:E1_3_1_9_kcat} * E1_3_1_9 * C05752 * C00003)/(${Variables:E1_3_1_9_km} + (E1_3_1_9 * C05752 * C00003))</v>
      </c>
      <c r="K221" s="2" t="str">
        <f t="shared" si="3"/>
        <v>r220: C05752 + C00003 -&gt; C05751 + C00004 + C00080 | (${Variables:E1_3_1_9_kcat} * E1_3_1_9 * C05752 * C00003)/(${Variables:E1_3_1_9_km} + (E1_3_1_9 * C05752 * C00003))</v>
      </c>
    </row>
    <row r="222">
      <c r="A222" s="2" t="s">
        <v>3933</v>
      </c>
      <c r="B222" s="2" t="s">
        <v>3934</v>
      </c>
      <c r="C222" s="2" t="s">
        <v>24981</v>
      </c>
      <c r="D222" s="18">
        <v>221.0</v>
      </c>
      <c r="E222" s="2" t="str">
        <f t="shared" si="1"/>
        <v>E1_3_1_9</v>
      </c>
      <c r="F222" s="19" t="s">
        <v>26252</v>
      </c>
      <c r="G222" s="19" t="s">
        <v>26253</v>
      </c>
      <c r="H222" s="19" t="s">
        <v>26254</v>
      </c>
      <c r="I222" s="19" t="s">
        <v>26255</v>
      </c>
      <c r="J222" s="2" t="str">
        <f t="shared" si="2"/>
        <v>(${Variables:E1_3_1_9_kcat} * E1_3_1_9 * C05755 * C00003)/(${Variables:E1_3_1_9_km} + (E1_3_1_9 * C05755 * C00003))</v>
      </c>
      <c r="K222" s="2" t="str">
        <f t="shared" si="3"/>
        <v>r221: C05755 + C00003 -&gt; C05754 + C00004 + C00080 | (${Variables:E1_3_1_9_kcat} * E1_3_1_9 * C05755 * C00003)/(${Variables:E1_3_1_9_km} + (E1_3_1_9 * C05755 * C00003))</v>
      </c>
    </row>
    <row r="223">
      <c r="A223" s="2" t="s">
        <v>3933</v>
      </c>
      <c r="B223" s="2" t="s">
        <v>3934</v>
      </c>
      <c r="C223" s="2" t="s">
        <v>24981</v>
      </c>
      <c r="D223" s="18">
        <v>222.0</v>
      </c>
      <c r="E223" s="2" t="str">
        <f t="shared" si="1"/>
        <v>E1_3_1_9</v>
      </c>
      <c r="F223" s="19" t="s">
        <v>26256</v>
      </c>
      <c r="G223" s="19" t="s">
        <v>26257</v>
      </c>
      <c r="H223" s="19" t="s">
        <v>26258</v>
      </c>
      <c r="I223" s="19" t="s">
        <v>26259</v>
      </c>
      <c r="J223" s="2" t="str">
        <f t="shared" si="2"/>
        <v>(${Variables:E1_3_1_9_kcat} * E1_3_1_9 * C05761 * C00003)/(${Variables:E1_3_1_9_km} + (E1_3_1_9 * C05761 * C00003))</v>
      </c>
      <c r="K223" s="2" t="str">
        <f t="shared" si="3"/>
        <v>r222: C05761 + C00003 -&gt; C05760 + C00004 + C00080 | (${Variables:E1_3_1_9_kcat} * E1_3_1_9 * C05761 * C00003)/(${Variables:E1_3_1_9_km} + (E1_3_1_9 * C05761 * C00003))</v>
      </c>
    </row>
    <row r="224">
      <c r="A224" s="2" t="s">
        <v>3933</v>
      </c>
      <c r="B224" s="2" t="s">
        <v>3934</v>
      </c>
      <c r="C224" s="2" t="s">
        <v>24981</v>
      </c>
      <c r="D224" s="18">
        <v>223.0</v>
      </c>
      <c r="E224" s="2" t="str">
        <f t="shared" si="1"/>
        <v>E1_3_1_9</v>
      </c>
      <c r="F224" s="19" t="s">
        <v>26260</v>
      </c>
      <c r="G224" s="19" t="s">
        <v>26261</v>
      </c>
      <c r="H224" s="19" t="s">
        <v>26262</v>
      </c>
      <c r="I224" s="19" t="s">
        <v>26263</v>
      </c>
      <c r="J224" s="2" t="str">
        <f t="shared" si="2"/>
        <v>(${Variables:E1_3_1_9_kcat} * E1_3_1_9 * C05764 * C00003)/(${Variables:E1_3_1_9_km} + (E1_3_1_9 * C05764 * C00003))</v>
      </c>
      <c r="K224" s="2" t="str">
        <f t="shared" si="3"/>
        <v>r223: C05764 + C00003 -&gt; C05763 + C00004 + C00080 | (${Variables:E1_3_1_9_kcat} * E1_3_1_9 * C05764 * C00003)/(${Variables:E1_3_1_9_km} + (E1_3_1_9 * C05764 * C00003))</v>
      </c>
    </row>
    <row r="225">
      <c r="A225" s="2" t="s">
        <v>3933</v>
      </c>
      <c r="B225" s="2" t="s">
        <v>3934</v>
      </c>
      <c r="C225" s="2" t="s">
        <v>24981</v>
      </c>
      <c r="D225" s="18">
        <v>224.0</v>
      </c>
      <c r="E225" s="2" t="str">
        <f t="shared" si="1"/>
        <v>E1_3_1_9</v>
      </c>
      <c r="F225" s="19" t="s">
        <v>26264</v>
      </c>
      <c r="G225" s="19" t="s">
        <v>26265</v>
      </c>
      <c r="H225" s="19" t="s">
        <v>26266</v>
      </c>
      <c r="I225" s="19" t="s">
        <v>26267</v>
      </c>
      <c r="J225" s="2" t="str">
        <f t="shared" si="2"/>
        <v>(${Variables:E1_3_1_9_kcat} * E1_3_1_9 * C16221 * C00004 * C00080)/(${Variables:E1_3_1_9_km} + (E1_3_1_9 * C16221 * C00004 * C00080))</v>
      </c>
      <c r="K225" s="2" t="str">
        <f t="shared" si="3"/>
        <v>r224: C16221 + C00004 + C00080 -&gt; C04088 + C00003 | (${Variables:E1_3_1_9_kcat} * E1_3_1_9 * C16221 * C00004 * C00080)/(${Variables:E1_3_1_9_km} + (E1_3_1_9 * C16221 * C00004 * C00080))</v>
      </c>
    </row>
    <row r="226">
      <c r="A226" s="2" t="s">
        <v>8380</v>
      </c>
      <c r="B226" s="2" t="s">
        <v>8381</v>
      </c>
      <c r="C226" s="2" t="s">
        <v>24982</v>
      </c>
      <c r="D226" s="18">
        <v>225.0</v>
      </c>
      <c r="E226" s="2" t="str">
        <f t="shared" si="1"/>
        <v>E1_3_1_98</v>
      </c>
      <c r="F226" s="19" t="s">
        <v>26268</v>
      </c>
      <c r="G226" s="19" t="s">
        <v>26269</v>
      </c>
      <c r="H226" s="19" t="s">
        <v>26270</v>
      </c>
      <c r="I226" s="19" t="s">
        <v>26271</v>
      </c>
      <c r="J226" s="2" t="str">
        <f t="shared" si="2"/>
        <v>(${Variables:E1_3_1_98_kcat} * E1_3_1_98 * C01050 * C00003)/(${Variables:E1_3_1_98_km} + (E1_3_1_98 * C01050 * C00003))</v>
      </c>
      <c r="K226" s="2" t="str">
        <f t="shared" si="3"/>
        <v>r225: C01050 + C00003 -&gt; C04631 + C00004 + C00080 | (${Variables:E1_3_1_98_kcat} * E1_3_1_98 * C01050 * C00003)/(${Variables:E1_3_1_98_km} + (E1_3_1_98 * C01050 * C00003))</v>
      </c>
    </row>
    <row r="227">
      <c r="A227" s="2" t="s">
        <v>8380</v>
      </c>
      <c r="B227" s="2" t="s">
        <v>8381</v>
      </c>
      <c r="C227" s="2" t="s">
        <v>24982</v>
      </c>
      <c r="D227" s="18">
        <v>226.0</v>
      </c>
      <c r="E227" s="2" t="str">
        <f t="shared" si="1"/>
        <v>E1_3_1_98</v>
      </c>
      <c r="F227" s="19" t="s">
        <v>26272</v>
      </c>
      <c r="G227" s="19" t="s">
        <v>26273</v>
      </c>
      <c r="H227" s="19" t="s">
        <v>26274</v>
      </c>
      <c r="I227" s="19" t="s">
        <v>26275</v>
      </c>
      <c r="J227" s="2" t="str">
        <f t="shared" si="2"/>
        <v>(${Variables:E1_3_1_98_kcat} * E1_3_1_98 * C01050 * C00006)/(${Variables:E1_3_1_98_km} + (E1_3_1_98 * C01050 * C00006))</v>
      </c>
      <c r="K227" s="2" t="str">
        <f t="shared" si="3"/>
        <v>r226: C01050 + C00006 -&gt; C04631 + C00005 + C00080 | (${Variables:E1_3_1_98_kcat} * E1_3_1_98 * C01050 * C00006)/(${Variables:E1_3_1_98_km} + (E1_3_1_98 * C01050 * C00006))</v>
      </c>
    </row>
    <row r="228">
      <c r="A228" s="2" t="s">
        <v>736</v>
      </c>
      <c r="B228" s="2" t="s">
        <v>737</v>
      </c>
      <c r="C228" s="2" t="s">
        <v>24983</v>
      </c>
      <c r="D228" s="18">
        <v>227.0</v>
      </c>
      <c r="E228" s="2" t="str">
        <f t="shared" si="1"/>
        <v>E1_3_3_4</v>
      </c>
      <c r="F228" s="19" t="s">
        <v>26276</v>
      </c>
      <c r="G228" s="19" t="s">
        <v>26277</v>
      </c>
      <c r="H228" s="19" t="s">
        <v>26278</v>
      </c>
      <c r="I228" s="19" t="s">
        <v>26279</v>
      </c>
      <c r="J228" s="2" t="str">
        <f t="shared" si="2"/>
        <v>(${Variables:E1_3_3_4_kcat} * E1_3_3_4 * C01079 * C00007)/(${Variables:E1_3_3_4_km} + (E1_3_3_4 * C01079 * C00007))</v>
      </c>
      <c r="K228" s="2" t="str">
        <f t="shared" si="3"/>
        <v>r227: C01079 + C00007 -&gt; C02191 + C00027 | (${Variables:E1_3_3_4_kcat} * E1_3_3_4 * C01079 * C00007)/(${Variables:E1_3_3_4_km} + (E1_3_3_4 * C01079 * C00007))</v>
      </c>
    </row>
    <row r="229">
      <c r="A229" s="2" t="s">
        <v>7495</v>
      </c>
      <c r="B229" s="2" t="s">
        <v>7496</v>
      </c>
      <c r="C229" s="2" t="s">
        <v>24984</v>
      </c>
      <c r="D229" s="18">
        <v>228.0</v>
      </c>
      <c r="E229" s="2" t="str">
        <f t="shared" si="1"/>
        <v>E1_3_98_5</v>
      </c>
      <c r="F229" s="19" t="s">
        <v>26280</v>
      </c>
      <c r="G229" s="19" t="s">
        <v>26281</v>
      </c>
      <c r="H229" s="19" t="s">
        <v>26282</v>
      </c>
      <c r="I229" s="19" t="s">
        <v>26283</v>
      </c>
      <c r="J229" s="2" t="str">
        <f t="shared" si="2"/>
        <v>(${Variables:E1_3_98_5_kcat} * E1_3_98_5 * C21284 * C00027)/(${Variables:E1_3_98_5_km} + (E1_3_98_5 * C21284 * C00027))</v>
      </c>
      <c r="K229" s="2" t="str">
        <f t="shared" si="3"/>
        <v>r228: C21284 + C00027 -&gt; C00032 + C00011 + C00001 | (${Variables:E1_3_98_5_kcat} * E1_3_98_5 * C21284 * C00027)/(${Variables:E1_3_98_5_km} + (E1_3_98_5 * C21284 * C00027))</v>
      </c>
    </row>
    <row r="230">
      <c r="A230" s="2" t="s">
        <v>7495</v>
      </c>
      <c r="B230" s="2" t="s">
        <v>7496</v>
      </c>
      <c r="C230" s="2" t="s">
        <v>24984</v>
      </c>
      <c r="D230" s="18">
        <v>229.0</v>
      </c>
      <c r="E230" s="2" t="str">
        <f t="shared" si="1"/>
        <v>E1_3_98_5</v>
      </c>
      <c r="F230" s="19" t="s">
        <v>26280</v>
      </c>
      <c r="G230" s="19" t="s">
        <v>26281</v>
      </c>
      <c r="H230" s="19" t="s">
        <v>26284</v>
      </c>
      <c r="I230" s="19" t="s">
        <v>26285</v>
      </c>
      <c r="J230" s="2" t="str">
        <f t="shared" si="2"/>
        <v>(${Variables:E1_3_98_5_kcat} * E1_3_98_5 * C21284 * C00027)/(${Variables:E1_3_98_5_km} + (E1_3_98_5 * C21284 * C00027))</v>
      </c>
      <c r="K230" s="2" t="str">
        <f t="shared" si="3"/>
        <v>r229: C21284 + C00027 -&gt; C22173 + C00011 + C00001 | (${Variables:E1_3_98_5_kcat} * E1_3_98_5 * C21284 * C00027)/(${Variables:E1_3_98_5_km} + (E1_3_98_5 * C21284 * C00027))</v>
      </c>
    </row>
    <row r="231">
      <c r="A231" s="2" t="s">
        <v>7495</v>
      </c>
      <c r="B231" s="2" t="s">
        <v>7496</v>
      </c>
      <c r="C231" s="2" t="s">
        <v>24984</v>
      </c>
      <c r="D231" s="18">
        <v>230.0</v>
      </c>
      <c r="E231" s="2" t="str">
        <f t="shared" si="1"/>
        <v>E1_3_98_5</v>
      </c>
      <c r="F231" s="19" t="s">
        <v>26286</v>
      </c>
      <c r="G231" s="19" t="s">
        <v>26287</v>
      </c>
      <c r="H231" s="19" t="s">
        <v>26282</v>
      </c>
      <c r="I231" s="19" t="s">
        <v>26283</v>
      </c>
      <c r="J231" s="2" t="str">
        <f t="shared" si="2"/>
        <v>(${Variables:E1_3_98_5_kcat} * E1_3_98_5 * C22173 * C00027)/(${Variables:E1_3_98_5_km} + (E1_3_98_5 * C22173 * C00027))</v>
      </c>
      <c r="K231" s="2" t="str">
        <f t="shared" si="3"/>
        <v>r230: C22173 + C00027 -&gt; C00032 + C00011 + C00001 | (${Variables:E1_3_98_5_kcat} * E1_3_98_5 * C22173 * C00027)/(${Variables:E1_3_98_5_km} + (E1_3_98_5 * C22173 * C00027))</v>
      </c>
    </row>
    <row r="232">
      <c r="A232" s="2" t="s">
        <v>5606</v>
      </c>
      <c r="B232" s="2" t="s">
        <v>5607</v>
      </c>
      <c r="C232" s="2" t="s">
        <v>24985</v>
      </c>
      <c r="D232" s="18">
        <v>231.0</v>
      </c>
      <c r="E232" s="2" t="str">
        <f t="shared" si="1"/>
        <v>E1_4_1_1</v>
      </c>
      <c r="F232" s="19" t="s">
        <v>26288</v>
      </c>
      <c r="G232" s="19" t="s">
        <v>26289</v>
      </c>
      <c r="H232" s="19" t="s">
        <v>26290</v>
      </c>
      <c r="I232" s="19" t="s">
        <v>26291</v>
      </c>
      <c r="J232" s="2" t="str">
        <f t="shared" si="2"/>
        <v>(${Variables:E1_4_1_1_kcat} * E1_4_1_1 * C05167 * C00001 * C00003)/(${Variables:E1_4_1_1_km} + (E1_4_1_1 * C05167 * C00001 * C00003))</v>
      </c>
      <c r="K232" s="2" t="str">
        <f t="shared" si="3"/>
        <v>r231: C05167 + C00001 + C00003 -&gt; C00161 + C00014 + C00004 + C00080 | (${Variables:E1_4_1_1_kcat} * E1_4_1_1 * C05167 * C00001 * C00003)/(${Variables:E1_4_1_1_km} + (E1_4_1_1 * C05167 * C00001 * C00003))</v>
      </c>
    </row>
    <row r="233">
      <c r="A233" s="2" t="s">
        <v>5606</v>
      </c>
      <c r="B233" s="2" t="s">
        <v>5607</v>
      </c>
      <c r="C233" s="2" t="s">
        <v>24985</v>
      </c>
      <c r="D233" s="18">
        <v>232.0</v>
      </c>
      <c r="E233" s="2" t="str">
        <f t="shared" si="1"/>
        <v>E1_4_1_1</v>
      </c>
      <c r="F233" s="19" t="s">
        <v>26292</v>
      </c>
      <c r="G233" s="19" t="s">
        <v>26293</v>
      </c>
      <c r="H233" s="19" t="s">
        <v>26294</v>
      </c>
      <c r="I233" s="19" t="s">
        <v>26295</v>
      </c>
      <c r="J233" s="2" t="str">
        <f t="shared" si="2"/>
        <v>(${Variables:E1_4_1_1_kcat} * E1_4_1_1 * C05167 * C00001 * C00006)/(${Variables:E1_4_1_1_km} + (E1_4_1_1 * C05167 * C00001 * C00006))</v>
      </c>
      <c r="K233" s="2" t="str">
        <f t="shared" si="3"/>
        <v>r232: C05167 + C00001 + C00006 -&gt; C00161 + C00014 + C00005 + C00080 | (${Variables:E1_4_1_1_kcat} * E1_4_1_1 * C05167 * C00001 * C00006)/(${Variables:E1_4_1_1_km} + (E1_4_1_1 * C05167 * C00001 * C00006))</v>
      </c>
    </row>
    <row r="234">
      <c r="A234" s="2" t="s">
        <v>5606</v>
      </c>
      <c r="B234" s="2" t="s">
        <v>5607</v>
      </c>
      <c r="C234" s="2" t="s">
        <v>24985</v>
      </c>
      <c r="D234" s="18">
        <v>233.0</v>
      </c>
      <c r="E234" s="2" t="str">
        <f t="shared" si="1"/>
        <v>E1_4_1_1</v>
      </c>
      <c r="F234" s="19" t="s">
        <v>26296</v>
      </c>
      <c r="G234" s="19" t="s">
        <v>26297</v>
      </c>
      <c r="H234" s="19" t="s">
        <v>26298</v>
      </c>
      <c r="I234" s="19" t="s">
        <v>26299</v>
      </c>
      <c r="J234" s="2" t="str">
        <f t="shared" si="2"/>
        <v>(${Variables:E1_4_1_1_kcat} * E1_4_1_1 * C00037 * C00001 * C00003)/(${Variables:E1_4_1_1_km} + (E1_4_1_1 * C00037 * C00001 * C00003))</v>
      </c>
      <c r="K234" s="2" t="str">
        <f t="shared" si="3"/>
        <v>r233: C00037 + C00001 + C00003 -&gt; C00048 + C00014 + C00004 + C00080 | (${Variables:E1_4_1_1_kcat} * E1_4_1_1 * C00037 * C00001 * C00003)/(${Variables:E1_4_1_1_km} + (E1_4_1_1 * C00037 * C00001 * C00003))</v>
      </c>
    </row>
    <row r="235">
      <c r="A235" s="2" t="s">
        <v>5606</v>
      </c>
      <c r="B235" s="2" t="s">
        <v>5607</v>
      </c>
      <c r="C235" s="2" t="s">
        <v>24985</v>
      </c>
      <c r="D235" s="18">
        <v>234.0</v>
      </c>
      <c r="E235" s="2" t="str">
        <f t="shared" si="1"/>
        <v>E1_4_1_1</v>
      </c>
      <c r="F235" s="19" t="s">
        <v>26300</v>
      </c>
      <c r="G235" s="19" t="s">
        <v>26301</v>
      </c>
      <c r="H235" s="19" t="s">
        <v>26302</v>
      </c>
      <c r="I235" s="19" t="s">
        <v>26303</v>
      </c>
      <c r="J235" s="2" t="str">
        <f t="shared" si="2"/>
        <v>(${Variables:E1_4_1_1_kcat} * E1_4_1_1 * C00041 * C00003 * C00001)/(${Variables:E1_4_1_1_km} + (E1_4_1_1 * C00041 * C00003 * C00001))</v>
      </c>
      <c r="K235" s="2" t="str">
        <f t="shared" si="3"/>
        <v>r234: C00041 + C00003 + C00001 -&gt; C00022 + C00014 + C00004 + C00080 | (${Variables:E1_4_1_1_kcat} * E1_4_1_1 * C00041 * C00003 * C00001)/(${Variables:E1_4_1_1_km} + (E1_4_1_1 * C00041 * C00003 * C00001))</v>
      </c>
    </row>
    <row r="236">
      <c r="A236" s="2" t="s">
        <v>3159</v>
      </c>
      <c r="B236" s="2" t="s">
        <v>3160</v>
      </c>
      <c r="C236" s="2" t="s">
        <v>24986</v>
      </c>
      <c r="D236" s="18">
        <v>235.0</v>
      </c>
      <c r="E236" s="2" t="str">
        <f t="shared" si="1"/>
        <v>E1_4_1_2</v>
      </c>
      <c r="F236" s="19" t="s">
        <v>26288</v>
      </c>
      <c r="G236" s="19" t="s">
        <v>26289</v>
      </c>
      <c r="H236" s="19" t="s">
        <v>26290</v>
      </c>
      <c r="I236" s="19" t="s">
        <v>26291</v>
      </c>
      <c r="J236" s="2" t="str">
        <f t="shared" si="2"/>
        <v>(${Variables:E1_4_1_2_kcat} * E1_4_1_2 * C05167 * C00001 * C00003)/(${Variables:E1_4_1_2_km} + (E1_4_1_2 * C05167 * C00001 * C00003))</v>
      </c>
      <c r="K236" s="2" t="str">
        <f t="shared" si="3"/>
        <v>r235: C05167 + C00001 + C00003 -&gt; C00161 + C00014 + C00004 + C00080 | (${Variables:E1_4_1_2_kcat} * E1_4_1_2 * C05167 * C00001 * C00003)/(${Variables:E1_4_1_2_km} + (E1_4_1_2 * C05167 * C00001 * C00003))</v>
      </c>
    </row>
    <row r="237">
      <c r="A237" s="2" t="s">
        <v>3159</v>
      </c>
      <c r="B237" s="2" t="s">
        <v>3160</v>
      </c>
      <c r="C237" s="2" t="s">
        <v>24986</v>
      </c>
      <c r="D237" s="18">
        <v>236.0</v>
      </c>
      <c r="E237" s="2" t="str">
        <f t="shared" si="1"/>
        <v>E1_4_1_2</v>
      </c>
      <c r="F237" s="19" t="s">
        <v>26292</v>
      </c>
      <c r="G237" s="19" t="s">
        <v>26293</v>
      </c>
      <c r="H237" s="19" t="s">
        <v>26294</v>
      </c>
      <c r="I237" s="19" t="s">
        <v>26295</v>
      </c>
      <c r="J237" s="2" t="str">
        <f t="shared" si="2"/>
        <v>(${Variables:E1_4_1_2_kcat} * E1_4_1_2 * C05167 * C00001 * C00006)/(${Variables:E1_4_1_2_km} + (E1_4_1_2 * C05167 * C00001 * C00006))</v>
      </c>
      <c r="K237" s="2" t="str">
        <f t="shared" si="3"/>
        <v>r236: C05167 + C00001 + C00006 -&gt; C00161 + C00014 + C00005 + C00080 | (${Variables:E1_4_1_2_kcat} * E1_4_1_2 * C05167 * C00001 * C00006)/(${Variables:E1_4_1_2_km} + (E1_4_1_2 * C05167 * C00001 * C00006))</v>
      </c>
    </row>
    <row r="238">
      <c r="A238" s="2" t="s">
        <v>3159</v>
      </c>
      <c r="B238" s="2" t="s">
        <v>3160</v>
      </c>
      <c r="C238" s="2" t="s">
        <v>24986</v>
      </c>
      <c r="D238" s="18">
        <v>237.0</v>
      </c>
      <c r="E238" s="2" t="str">
        <f t="shared" si="1"/>
        <v>E1_4_1_2</v>
      </c>
      <c r="F238" s="19" t="s">
        <v>26304</v>
      </c>
      <c r="G238" s="19" t="s">
        <v>26305</v>
      </c>
      <c r="H238" s="19" t="s">
        <v>26306</v>
      </c>
      <c r="I238" s="19" t="s">
        <v>26307</v>
      </c>
      <c r="J238" s="2" t="str">
        <f t="shared" si="2"/>
        <v>(${Variables:E1_4_1_2_kcat} * E1_4_1_2 * C00025 * C00003 * C00001)/(${Variables:E1_4_1_2_km} + (E1_4_1_2 * C00025 * C00003 * C00001))</v>
      </c>
      <c r="K238" s="2" t="str">
        <f t="shared" si="3"/>
        <v>r237: C00025 + C00003 + C00001 -&gt; C00026 + C00014 + C00004 + C00080 | (${Variables:E1_4_1_2_kcat} * E1_4_1_2 * C00025 * C00003 * C00001)/(${Variables:E1_4_1_2_km} + (E1_4_1_2 * C00025 * C00003 * C00001))</v>
      </c>
    </row>
    <row r="239">
      <c r="A239" s="2" t="s">
        <v>10860</v>
      </c>
      <c r="B239" s="2" t="s">
        <v>10861</v>
      </c>
      <c r="C239" s="2" t="s">
        <v>24987</v>
      </c>
      <c r="D239" s="18">
        <v>238.0</v>
      </c>
      <c r="E239" s="2" t="str">
        <f t="shared" si="1"/>
        <v>E1_4_1_9</v>
      </c>
      <c r="F239" s="19" t="s">
        <v>26288</v>
      </c>
      <c r="G239" s="19" t="s">
        <v>26289</v>
      </c>
      <c r="H239" s="19" t="s">
        <v>26290</v>
      </c>
      <c r="I239" s="19" t="s">
        <v>26291</v>
      </c>
      <c r="J239" s="2" t="str">
        <f t="shared" si="2"/>
        <v>(${Variables:E1_4_1_9_kcat} * E1_4_1_9 * C05167 * C00001 * C00003)/(${Variables:E1_4_1_9_km} + (E1_4_1_9 * C05167 * C00001 * C00003))</v>
      </c>
      <c r="K239" s="2" t="str">
        <f t="shared" si="3"/>
        <v>r238: C05167 + C00001 + C00003 -&gt; C00161 + C00014 + C00004 + C00080 | (${Variables:E1_4_1_9_kcat} * E1_4_1_9 * C05167 * C00001 * C00003)/(${Variables:E1_4_1_9_km} + (E1_4_1_9 * C05167 * C00001 * C00003))</v>
      </c>
    </row>
    <row r="240">
      <c r="A240" s="2" t="s">
        <v>10860</v>
      </c>
      <c r="B240" s="2" t="s">
        <v>10861</v>
      </c>
      <c r="C240" s="2" t="s">
        <v>24987</v>
      </c>
      <c r="D240" s="18">
        <v>239.0</v>
      </c>
      <c r="E240" s="2" t="str">
        <f t="shared" si="1"/>
        <v>E1_4_1_9</v>
      </c>
      <c r="F240" s="19" t="s">
        <v>26292</v>
      </c>
      <c r="G240" s="19" t="s">
        <v>26293</v>
      </c>
      <c r="H240" s="19" t="s">
        <v>26294</v>
      </c>
      <c r="I240" s="19" t="s">
        <v>26295</v>
      </c>
      <c r="J240" s="2" t="str">
        <f t="shared" si="2"/>
        <v>(${Variables:E1_4_1_9_kcat} * E1_4_1_9 * C05167 * C00001 * C00006)/(${Variables:E1_4_1_9_km} + (E1_4_1_9 * C05167 * C00001 * C00006))</v>
      </c>
      <c r="K240" s="2" t="str">
        <f t="shared" si="3"/>
        <v>r239: C05167 + C00001 + C00006 -&gt; C00161 + C00014 + C00005 + C00080 | (${Variables:E1_4_1_9_kcat} * E1_4_1_9 * C05167 * C00001 * C00006)/(${Variables:E1_4_1_9_km} + (E1_4_1_9 * C05167 * C00001 * C00006))</v>
      </c>
    </row>
    <row r="241">
      <c r="A241" s="2" t="s">
        <v>10860</v>
      </c>
      <c r="B241" s="2" t="s">
        <v>10861</v>
      </c>
      <c r="C241" s="2" t="s">
        <v>24987</v>
      </c>
      <c r="D241" s="18">
        <v>240.0</v>
      </c>
      <c r="E241" s="2" t="str">
        <f t="shared" si="1"/>
        <v>E1_4_1_9</v>
      </c>
      <c r="F241" s="19" t="s">
        <v>26308</v>
      </c>
      <c r="G241" s="19" t="s">
        <v>26309</v>
      </c>
      <c r="H241" s="19" t="s">
        <v>26310</v>
      </c>
      <c r="I241" s="19" t="s">
        <v>26311</v>
      </c>
      <c r="J241" s="2" t="str">
        <f t="shared" si="2"/>
        <v>(${Variables:E1_4_1_9_kcat} * E1_4_1_9 * C00123 * C00001 * C00003)/(${Variables:E1_4_1_9_km} + (E1_4_1_9 * C00123 * C00001 * C00003))</v>
      </c>
      <c r="K241" s="2" t="str">
        <f t="shared" si="3"/>
        <v>r240: C00123 + C00001 + C00003 -&gt; C00233 + C00014 + C00004 + C00080 | (${Variables:E1_4_1_9_kcat} * E1_4_1_9 * C00123 * C00001 * C00003)/(${Variables:E1_4_1_9_km} + (E1_4_1_9 * C00123 * C00001 * C00003))</v>
      </c>
    </row>
    <row r="242">
      <c r="A242" s="2" t="s">
        <v>10860</v>
      </c>
      <c r="B242" s="2" t="s">
        <v>10861</v>
      </c>
      <c r="C242" s="2" t="s">
        <v>24987</v>
      </c>
      <c r="D242" s="18">
        <v>241.0</v>
      </c>
      <c r="E242" s="2" t="str">
        <f t="shared" si="1"/>
        <v>E1_4_1_9</v>
      </c>
      <c r="F242" s="19" t="s">
        <v>26312</v>
      </c>
      <c r="G242" s="19" t="s">
        <v>26313</v>
      </c>
      <c r="H242" s="19" t="s">
        <v>26314</v>
      </c>
      <c r="I242" s="19" t="s">
        <v>26315</v>
      </c>
      <c r="J242" s="2" t="str">
        <f t="shared" si="2"/>
        <v>(${Variables:E1_4_1_9_kcat} * E1_4_1_9 * C00183 * C00001 * C00003)/(${Variables:E1_4_1_9_km} + (E1_4_1_9 * C00183 * C00001 * C00003))</v>
      </c>
      <c r="K242" s="2" t="str">
        <f t="shared" si="3"/>
        <v>r241: C00183 + C00001 + C00003 -&gt; C00141 + C00014 + C00004 + C00080 | (${Variables:E1_4_1_9_kcat} * E1_4_1_9 * C00183 * C00001 * C00003)/(${Variables:E1_4_1_9_km} + (E1_4_1_9 * C00183 * C00001 * C00003))</v>
      </c>
    </row>
    <row r="243">
      <c r="A243" s="2" t="s">
        <v>10860</v>
      </c>
      <c r="B243" s="2" t="s">
        <v>10861</v>
      </c>
      <c r="C243" s="2" t="s">
        <v>24987</v>
      </c>
      <c r="D243" s="18">
        <v>242.0</v>
      </c>
      <c r="E243" s="2" t="str">
        <f t="shared" si="1"/>
        <v>E1_4_1_9</v>
      </c>
      <c r="F243" s="19" t="s">
        <v>26316</v>
      </c>
      <c r="G243" s="19" t="s">
        <v>26317</v>
      </c>
      <c r="H243" s="19" t="s">
        <v>26318</v>
      </c>
      <c r="I243" s="19" t="s">
        <v>26319</v>
      </c>
      <c r="J243" s="2" t="str">
        <f t="shared" si="2"/>
        <v>(${Variables:E1_4_1_9_kcat} * E1_4_1_9 * C00407 * C00003 * C00001)/(${Variables:E1_4_1_9_km} + (E1_4_1_9 * C00407 * C00003 * C00001))</v>
      </c>
      <c r="K243" s="2" t="str">
        <f t="shared" si="3"/>
        <v>r242: C00407 + C00003 + C00001 -&gt; C00671 + C00014 + C00004 + C00080 | (${Variables:E1_4_1_9_kcat} * E1_4_1_9 * C00407 * C00003 * C00001)/(${Variables:E1_4_1_9_km} + (E1_4_1_9 * C00407 * C00003 * C00001))</v>
      </c>
    </row>
    <row r="244">
      <c r="A244" s="2" t="s">
        <v>10074</v>
      </c>
      <c r="B244" s="2" t="s">
        <v>10075</v>
      </c>
      <c r="C244" s="2" t="s">
        <v>24988</v>
      </c>
      <c r="D244" s="18">
        <v>243.0</v>
      </c>
      <c r="E244" s="2" t="str">
        <f t="shared" si="1"/>
        <v>E1_4_3_16</v>
      </c>
      <c r="F244" s="19" t="s">
        <v>26320</v>
      </c>
      <c r="G244" s="19" t="s">
        <v>26321</v>
      </c>
      <c r="H244" s="19" t="s">
        <v>26322</v>
      </c>
      <c r="I244" s="19" t="s">
        <v>26323</v>
      </c>
      <c r="J244" s="2" t="str">
        <f t="shared" si="2"/>
        <v>(${Variables:E1_4_3_16_kcat} * E1_4_3_16 * C00049 * C00001 * C00007)/(${Variables:E1_4_3_16_km} + (E1_4_3_16 * C00049 * C00001 * C00007))</v>
      </c>
      <c r="K244" s="2" t="str">
        <f t="shared" si="3"/>
        <v>r243: C00049 + C00001 + C00007 -&gt; C00036 + C00014 + C00027 | (${Variables:E1_4_3_16_kcat} * E1_4_3_16 * C00049 * C00001 * C00007)/(${Variables:E1_4_3_16_km} + (E1_4_3_16 * C00049 * C00001 * C00007))</v>
      </c>
    </row>
    <row r="245">
      <c r="A245" s="2" t="s">
        <v>10074</v>
      </c>
      <c r="B245" s="2" t="s">
        <v>10075</v>
      </c>
      <c r="C245" s="2" t="s">
        <v>24988</v>
      </c>
      <c r="D245" s="18">
        <v>244.0</v>
      </c>
      <c r="E245" s="2" t="str">
        <f t="shared" si="1"/>
        <v>E1_4_3_16</v>
      </c>
      <c r="F245" s="19" t="s">
        <v>26324</v>
      </c>
      <c r="G245" s="19" t="s">
        <v>26325</v>
      </c>
      <c r="H245" s="19" t="s">
        <v>26326</v>
      </c>
      <c r="I245" s="19" t="s">
        <v>26327</v>
      </c>
      <c r="J245" s="2" t="str">
        <f t="shared" si="2"/>
        <v>(${Variables:E1_4_3_16_kcat} * E1_4_3_16 * C00049 * C00007)/(${Variables:E1_4_3_16_km} + (E1_4_3_16 * C00049 * C00007))</v>
      </c>
      <c r="K245" s="2" t="str">
        <f t="shared" si="3"/>
        <v>r244: C00049 + C00007 -&gt; C05840 + C00027 | (${Variables:E1_4_3_16_kcat} * E1_4_3_16 * C00049 * C00007)/(${Variables:E1_4_3_16_km} + (E1_4_3_16 * C00049 * C00007))</v>
      </c>
    </row>
    <row r="246">
      <c r="A246" s="2" t="s">
        <v>5201</v>
      </c>
      <c r="B246" s="2" t="s">
        <v>5202</v>
      </c>
      <c r="C246" s="2" t="s">
        <v>24989</v>
      </c>
      <c r="D246" s="18">
        <v>245.0</v>
      </c>
      <c r="E246" s="2" t="str">
        <f t="shared" si="1"/>
        <v>E1_4_3_19</v>
      </c>
      <c r="F246" s="19" t="s">
        <v>26328</v>
      </c>
      <c r="G246" s="19" t="s">
        <v>26329</v>
      </c>
      <c r="H246" s="19" t="s">
        <v>26330</v>
      </c>
      <c r="I246" s="19" t="s">
        <v>26331</v>
      </c>
      <c r="J246" s="2" t="str">
        <f t="shared" si="2"/>
        <v>(${Variables:E1_4_3_19_kcat} * E1_4_3_19 * C00037 * C00001 * C00007)/(${Variables:E1_4_3_19_km} + (E1_4_3_19 * C00037 * C00001 * C00007))</v>
      </c>
      <c r="K246" s="2" t="str">
        <f t="shared" si="3"/>
        <v>r245: C00037 + C00001 + C00007 -&gt; C00048 + C00014 + C00027 | (${Variables:E1_4_3_19_kcat} * E1_4_3_19 * C00037 * C00001 * C00007)/(${Variables:E1_4_3_19_km} + (E1_4_3_19 * C00037 * C00001 * C00007))</v>
      </c>
    </row>
    <row r="247">
      <c r="A247" s="2" t="s">
        <v>5201</v>
      </c>
      <c r="B247" s="2" t="s">
        <v>5202</v>
      </c>
      <c r="C247" s="2" t="s">
        <v>24989</v>
      </c>
      <c r="D247" s="18">
        <v>246.0</v>
      </c>
      <c r="E247" s="2" t="str">
        <f t="shared" si="1"/>
        <v>E1_4_3_19</v>
      </c>
      <c r="F247" s="19" t="s">
        <v>26332</v>
      </c>
      <c r="G247" s="19" t="s">
        <v>26333</v>
      </c>
      <c r="H247" s="19" t="s">
        <v>26334</v>
      </c>
      <c r="I247" s="19" t="s">
        <v>26335</v>
      </c>
      <c r="J247" s="2" t="str">
        <f t="shared" si="2"/>
        <v>(${Variables:E1_4_3_19_kcat} * E1_4_3_19 * C00133 * C00001 * C00007)/(${Variables:E1_4_3_19_km} + (E1_4_3_19 * C00133 * C00001 * C00007))</v>
      </c>
      <c r="K247" s="2" t="str">
        <f t="shared" si="3"/>
        <v>r246: C00133 + C00001 + C00007 -&gt; C00022 + C00014 + C00027 | (${Variables:E1_4_3_19_kcat} * E1_4_3_19 * C00133 * C00001 * C00007)/(${Variables:E1_4_3_19_km} + (E1_4_3_19 * C00133 * C00001 * C00007))</v>
      </c>
    </row>
    <row r="248">
      <c r="A248" s="2" t="s">
        <v>5201</v>
      </c>
      <c r="B248" s="2" t="s">
        <v>5202</v>
      </c>
      <c r="C248" s="2" t="s">
        <v>24989</v>
      </c>
      <c r="D248" s="18">
        <v>247.0</v>
      </c>
      <c r="E248" s="2" t="str">
        <f t="shared" si="1"/>
        <v>E1_4_3_19</v>
      </c>
      <c r="F248" s="19" t="s">
        <v>26336</v>
      </c>
      <c r="G248" s="19" t="s">
        <v>26337</v>
      </c>
      <c r="H248" s="19" t="s">
        <v>26338</v>
      </c>
      <c r="I248" s="19" t="s">
        <v>26339</v>
      </c>
      <c r="J248" s="2" t="str">
        <f t="shared" si="2"/>
        <v>(${Variables:E1_4_3_19_kcat} * E1_4_3_19 * C00213 * C00001 * C00007)/(${Variables:E1_4_3_19_km} + (E1_4_3_19 * C00213 * C00001 * C00007))</v>
      </c>
      <c r="K248" s="2" t="str">
        <f t="shared" si="3"/>
        <v>r247: C00213 + C00001 + C00007 -&gt; C00048 + C00218 + C00027 | (${Variables:E1_4_3_19_kcat} * E1_4_3_19 * C00213 * C00001 * C00007)/(${Variables:E1_4_3_19_km} + (E1_4_3_19 * C00213 * C00001 * C00007))</v>
      </c>
    </row>
    <row r="249">
      <c r="A249" s="2" t="s">
        <v>5201</v>
      </c>
      <c r="B249" s="2" t="s">
        <v>5202</v>
      </c>
      <c r="C249" s="2" t="s">
        <v>24989</v>
      </c>
      <c r="D249" s="18">
        <v>248.0</v>
      </c>
      <c r="E249" s="2" t="str">
        <f t="shared" si="1"/>
        <v>E1_4_3_19</v>
      </c>
      <c r="F249" s="19" t="s">
        <v>26340</v>
      </c>
      <c r="G249" s="19" t="s">
        <v>26341</v>
      </c>
      <c r="H249" s="19" t="s">
        <v>26342</v>
      </c>
      <c r="I249" s="19" t="s">
        <v>26343</v>
      </c>
      <c r="J249" s="2" t="str">
        <f t="shared" si="2"/>
        <v>(${Variables:E1_4_3_19_kcat} * E1_4_3_19 * C11735 * C00001 * C00007)/(${Variables:E1_4_3_19_km} + (E1_4_3_19 * C11735 * C00001 * C00007))</v>
      </c>
      <c r="K249" s="2" t="str">
        <f t="shared" si="3"/>
        <v>r248: C11735 + C00001 + C00007 -&gt; C00048 + C00797 + C00027 | (${Variables:E1_4_3_19_kcat} * E1_4_3_19 * C11735 * C00001 * C00007)/(${Variables:E1_4_3_19_km} + (E1_4_3_19 * C11735 * C00001 * C00007))</v>
      </c>
    </row>
    <row r="250">
      <c r="A250" s="2" t="s">
        <v>5201</v>
      </c>
      <c r="B250" s="2" t="s">
        <v>5202</v>
      </c>
      <c r="C250" s="2" t="s">
        <v>24989</v>
      </c>
      <c r="D250" s="18">
        <v>249.0</v>
      </c>
      <c r="E250" s="2" t="str">
        <f t="shared" si="1"/>
        <v>E1_4_3_19</v>
      </c>
      <c r="F250" s="19" t="s">
        <v>26344</v>
      </c>
      <c r="G250" s="19" t="s">
        <v>26345</v>
      </c>
      <c r="H250" s="19" t="s">
        <v>26346</v>
      </c>
      <c r="I250" s="19" t="s">
        <v>26347</v>
      </c>
      <c r="J250" s="2" t="str">
        <f t="shared" si="2"/>
        <v>(${Variables:E1_4_3_19_kcat} * E1_4_3_19 * C00037 * C00007)/(${Variables:E1_4_3_19_km} + (E1_4_3_19 * C00037 * C00007))</v>
      </c>
      <c r="K250" s="2" t="str">
        <f t="shared" si="3"/>
        <v>r249: C00037 + C00007 -&gt; C15809 + C00027 | (${Variables:E1_4_3_19_kcat} * E1_4_3_19 * C00037 * C00007)/(${Variables:E1_4_3_19_km} + (E1_4_3_19 * C00037 * C00007))</v>
      </c>
    </row>
    <row r="251">
      <c r="A251" s="2" t="s">
        <v>5201</v>
      </c>
      <c r="B251" s="2" t="s">
        <v>5202</v>
      </c>
      <c r="C251" s="2" t="s">
        <v>24989</v>
      </c>
      <c r="D251" s="18">
        <v>250.0</v>
      </c>
      <c r="E251" s="2" t="str">
        <f t="shared" si="1"/>
        <v>E1_4_3_19</v>
      </c>
      <c r="F251" s="19" t="s">
        <v>26348</v>
      </c>
      <c r="G251" s="19" t="s">
        <v>26349</v>
      </c>
      <c r="H251" s="19" t="s">
        <v>26350</v>
      </c>
      <c r="I251" s="19" t="s">
        <v>26351</v>
      </c>
      <c r="J251" s="2" t="str">
        <f t="shared" si="2"/>
        <v>(${Variables:E1_4_3_19_kcat} * E1_4_3_19 * C15809 * C00001)/(${Variables:E1_4_3_19_km} + (E1_4_3_19 * C15809 * C00001))</v>
      </c>
      <c r="K251" s="2" t="str">
        <f t="shared" si="3"/>
        <v>r250: C15809 + C00001 -&gt; C00048 + C00014 | (${Variables:E1_4_3_19_kcat} * E1_4_3_19 * C15809 * C00001)/(${Variables:E1_4_3_19_km} + (E1_4_3_19 * C15809 * C00001))</v>
      </c>
    </row>
    <row r="252">
      <c r="A252" s="2" t="s">
        <v>10672</v>
      </c>
      <c r="B252" s="2" t="s">
        <v>10673</v>
      </c>
      <c r="C252" s="2" t="s">
        <v>24990</v>
      </c>
      <c r="D252" s="18">
        <v>251.0</v>
      </c>
      <c r="E252" s="2" t="str">
        <f t="shared" si="1"/>
        <v>E1_4_4_2</v>
      </c>
      <c r="F252" s="19" t="s">
        <v>26352</v>
      </c>
      <c r="G252" s="19" t="s">
        <v>26353</v>
      </c>
      <c r="H252" s="19" t="s">
        <v>26354</v>
      </c>
      <c r="I252" s="19" t="s">
        <v>26355</v>
      </c>
      <c r="J252" s="2" t="str">
        <f t="shared" si="2"/>
        <v>(${Variables:E1_4_4_2_kcat} * E1_4_4_2 * C00037 * C02051)/(${Variables:E1_4_4_2_km} + (E1_4_4_2 * C00037 * C02051))</v>
      </c>
      <c r="K252" s="2" t="str">
        <f t="shared" si="3"/>
        <v>r251: C00037 + C02051 -&gt; C01242 + C00011 | (${Variables:E1_4_4_2_kcat} * E1_4_4_2 * C00037 * C02051)/(${Variables:E1_4_4_2_km} + (E1_4_4_2 * C00037 * C02051))</v>
      </c>
    </row>
    <row r="253">
      <c r="A253" s="2" t="s">
        <v>6540</v>
      </c>
      <c r="B253" s="2" t="s">
        <v>6541</v>
      </c>
      <c r="C253" s="2" t="s">
        <v>24991</v>
      </c>
      <c r="D253" s="18">
        <v>252.0</v>
      </c>
      <c r="E253" s="2" t="str">
        <f t="shared" si="1"/>
        <v>E1_5_1_2</v>
      </c>
      <c r="F253" s="19" t="s">
        <v>26356</v>
      </c>
      <c r="G253" s="19" t="s">
        <v>26357</v>
      </c>
      <c r="H253" s="19" t="s">
        <v>26358</v>
      </c>
      <c r="I253" s="19" t="s">
        <v>26359</v>
      </c>
      <c r="J253" s="2" t="str">
        <f t="shared" si="2"/>
        <v>(${Variables:E1_5_1_2_kcat} * E1_5_1_2 * C00148 * C00003)/(${Variables:E1_5_1_2_km} + (E1_5_1_2 * C00148 * C00003))</v>
      </c>
      <c r="K253" s="2" t="str">
        <f t="shared" si="3"/>
        <v>r252: C00148 + C00003 -&gt; C03912 + C00004 + C00080 | (${Variables:E1_5_1_2_kcat} * E1_5_1_2 * C00148 * C00003)/(${Variables:E1_5_1_2_km} + (E1_5_1_2 * C00148 * C00003))</v>
      </c>
    </row>
    <row r="254">
      <c r="A254" s="2" t="s">
        <v>6540</v>
      </c>
      <c r="B254" s="2" t="s">
        <v>6541</v>
      </c>
      <c r="C254" s="2" t="s">
        <v>24991</v>
      </c>
      <c r="D254" s="18">
        <v>253.0</v>
      </c>
      <c r="E254" s="2" t="str">
        <f t="shared" si="1"/>
        <v>E1_5_1_2</v>
      </c>
      <c r="F254" s="19" t="s">
        <v>26360</v>
      </c>
      <c r="G254" s="19" t="s">
        <v>26361</v>
      </c>
      <c r="H254" s="19" t="s">
        <v>26362</v>
      </c>
      <c r="I254" s="19" t="s">
        <v>26363</v>
      </c>
      <c r="J254" s="2" t="str">
        <f t="shared" si="2"/>
        <v>(${Variables:E1_5_1_2_kcat} * E1_5_1_2 * C00148 * C00006)/(${Variables:E1_5_1_2_km} + (E1_5_1_2 * C00148 * C00006))</v>
      </c>
      <c r="K254" s="2" t="str">
        <f t="shared" si="3"/>
        <v>r253: C00148 + C00006 -&gt; C03912 + C00005 + C00080 | (${Variables:E1_5_1_2_kcat} * E1_5_1_2 * C00148 * C00006)/(${Variables:E1_5_1_2_km} + (E1_5_1_2 * C00148 * C00006))</v>
      </c>
    </row>
    <row r="255">
      <c r="A255" s="2" t="s">
        <v>6540</v>
      </c>
      <c r="B255" s="2" t="s">
        <v>6541</v>
      </c>
      <c r="C255" s="2" t="s">
        <v>24991</v>
      </c>
      <c r="D255" s="18">
        <v>254.0</v>
      </c>
      <c r="E255" s="2" t="str">
        <f t="shared" si="1"/>
        <v>E1_5_1_2</v>
      </c>
      <c r="F255" s="19" t="s">
        <v>26364</v>
      </c>
      <c r="G255" s="19" t="s">
        <v>26365</v>
      </c>
      <c r="H255" s="19" t="s">
        <v>26366</v>
      </c>
      <c r="I255" s="19" t="s">
        <v>26367</v>
      </c>
      <c r="J255" s="2" t="str">
        <f t="shared" si="2"/>
        <v>(${Variables:E1_5_1_2_kcat} * E1_5_1_2 * C01157 * C00003)/(${Variables:E1_5_1_2_km} + (E1_5_1_2 * C01157 * C00003))</v>
      </c>
      <c r="K255" s="2" t="str">
        <f t="shared" si="3"/>
        <v>r254: C01157 + C00003 -&gt; C04281 + C00004 + C00080 | (${Variables:E1_5_1_2_kcat} * E1_5_1_2 * C01157 * C00003)/(${Variables:E1_5_1_2_km} + (E1_5_1_2 * C01157 * C00003))</v>
      </c>
    </row>
    <row r="256">
      <c r="A256" s="2" t="s">
        <v>6540</v>
      </c>
      <c r="B256" s="2" t="s">
        <v>6541</v>
      </c>
      <c r="C256" s="2" t="s">
        <v>24991</v>
      </c>
      <c r="D256" s="18">
        <v>255.0</v>
      </c>
      <c r="E256" s="2" t="str">
        <f t="shared" si="1"/>
        <v>E1_5_1_2</v>
      </c>
      <c r="F256" s="19" t="s">
        <v>26368</v>
      </c>
      <c r="G256" s="19" t="s">
        <v>26369</v>
      </c>
      <c r="H256" s="19" t="s">
        <v>26370</v>
      </c>
      <c r="I256" s="19" t="s">
        <v>26371</v>
      </c>
      <c r="J256" s="2" t="str">
        <f t="shared" si="2"/>
        <v>(${Variables:E1_5_1_2_kcat} * E1_5_1_2 * C01157 * C00006)/(${Variables:E1_5_1_2_km} + (E1_5_1_2 * C01157 * C00006))</v>
      </c>
      <c r="K256" s="2" t="str">
        <f t="shared" si="3"/>
        <v>r255: C01157 + C00006 -&gt; C04281 + C00005 + C00080 | (${Variables:E1_5_1_2_kcat} * E1_5_1_2 * C01157 * C00006)/(${Variables:E1_5_1_2_km} + (E1_5_1_2 * C01157 * C00006))</v>
      </c>
    </row>
    <row r="257">
      <c r="A257" s="2" t="s">
        <v>10585</v>
      </c>
      <c r="B257" s="2" t="s">
        <v>10586</v>
      </c>
      <c r="C257" s="2" t="s">
        <v>24992</v>
      </c>
      <c r="D257" s="18">
        <v>256.0</v>
      </c>
      <c r="E257" s="2" t="str">
        <f t="shared" si="1"/>
        <v>E1_5_1_20</v>
      </c>
      <c r="F257" s="19" t="s">
        <v>26372</v>
      </c>
      <c r="G257" s="19" t="s">
        <v>26373</v>
      </c>
      <c r="H257" s="19" t="s">
        <v>26374</v>
      </c>
      <c r="I257" s="19" t="s">
        <v>26375</v>
      </c>
      <c r="J257" s="2" t="str">
        <f t="shared" si="2"/>
        <v>(${Variables:E1_5_1_20_kcat} * E1_5_1_20 * C00440 * C00006)/(${Variables:E1_5_1_20_km} + (E1_5_1_20 * C00440 * C00006))</v>
      </c>
      <c r="K257" s="2" t="str">
        <f t="shared" si="3"/>
        <v>r256: C00440 + C00006 -&gt; C00143 + C00005 + C00080 | (${Variables:E1_5_1_20_kcat} * E1_5_1_20 * C00440 * C00006)/(${Variables:E1_5_1_20_km} + (E1_5_1_20 * C00440 * C00006))</v>
      </c>
    </row>
    <row r="258">
      <c r="A258" s="2" t="s">
        <v>10585</v>
      </c>
      <c r="B258" s="2" t="s">
        <v>10586</v>
      </c>
      <c r="C258" s="2" t="s">
        <v>24992</v>
      </c>
      <c r="D258" s="18">
        <v>257.0</v>
      </c>
      <c r="E258" s="2" t="str">
        <f t="shared" si="1"/>
        <v>E1_5_1_20</v>
      </c>
      <c r="F258" s="19" t="s">
        <v>26376</v>
      </c>
      <c r="G258" s="19" t="s">
        <v>26377</v>
      </c>
      <c r="H258" s="19" t="s">
        <v>26378</v>
      </c>
      <c r="I258" s="19" t="s">
        <v>26379</v>
      </c>
      <c r="J258" s="2" t="str">
        <f t="shared" si="2"/>
        <v>(${Variables:E1_5_1_20_kcat} * E1_5_1_20 * C00440 * C00003)/(${Variables:E1_5_1_20_km} + (E1_5_1_20 * C00440 * C00003))</v>
      </c>
      <c r="K258" s="2" t="str">
        <f t="shared" si="3"/>
        <v>r257: C00440 + C00003 -&gt; C00143 + C00004 + C00080 | (${Variables:E1_5_1_20_kcat} * E1_5_1_20 * C00440 * C00003)/(${Variables:E1_5_1_20_km} + (E1_5_1_20 * C00440 * C00003))</v>
      </c>
    </row>
    <row r="259">
      <c r="A259" s="2" t="s">
        <v>1168</v>
      </c>
      <c r="B259" s="2" t="s">
        <v>1169</v>
      </c>
      <c r="C259" s="2" t="s">
        <v>24993</v>
      </c>
      <c r="D259" s="18">
        <v>258.0</v>
      </c>
      <c r="E259" s="2" t="str">
        <f t="shared" si="1"/>
        <v>E1_5_1_3</v>
      </c>
      <c r="F259" s="19" t="s">
        <v>26380</v>
      </c>
      <c r="G259" s="19" t="s">
        <v>26381</v>
      </c>
      <c r="H259" s="19" t="s">
        <v>26382</v>
      </c>
      <c r="I259" s="19" t="s">
        <v>26383</v>
      </c>
      <c r="J259" s="2" t="str">
        <f t="shared" si="2"/>
        <v>(${Variables:E1_5_1_3_kcat} * E1_5_1_3 * C00101 * C00003)/(${Variables:E1_5_1_3_km} + (E1_5_1_3 * C00101 * C00003))</v>
      </c>
      <c r="K259" s="2" t="str">
        <f t="shared" si="3"/>
        <v>r258: C00101 + C00003 -&gt; C00415 + C00004 + C00080 | (${Variables:E1_5_1_3_kcat} * E1_5_1_3 * C00101 * C00003)/(${Variables:E1_5_1_3_km} + (E1_5_1_3 * C00101 * C00003))</v>
      </c>
    </row>
    <row r="260">
      <c r="A260" s="2" t="s">
        <v>1168</v>
      </c>
      <c r="B260" s="2" t="s">
        <v>1169</v>
      </c>
      <c r="C260" s="2" t="s">
        <v>24993</v>
      </c>
      <c r="D260" s="18">
        <v>259.0</v>
      </c>
      <c r="E260" s="2" t="str">
        <f t="shared" si="1"/>
        <v>E1_5_1_3</v>
      </c>
      <c r="F260" s="19" t="s">
        <v>26380</v>
      </c>
      <c r="G260" s="19" t="s">
        <v>26381</v>
      </c>
      <c r="H260" s="19" t="s">
        <v>26384</v>
      </c>
      <c r="I260" s="19" t="s">
        <v>26385</v>
      </c>
      <c r="J260" s="2" t="str">
        <f t="shared" si="2"/>
        <v>(${Variables:E1_5_1_3_kcat} * E1_5_1_3 * C00101 * C00003)/(${Variables:E1_5_1_3_km} + (E1_5_1_3 * C00101 * C00003))</v>
      </c>
      <c r="K260" s="2" t="str">
        <f t="shared" si="3"/>
        <v>r259: C00101 + C00003 -&gt; C00504 + C00004 + C00080 | (${Variables:E1_5_1_3_kcat} * E1_5_1_3 * C00101 * C00003)/(${Variables:E1_5_1_3_km} + (E1_5_1_3 * C00101 * C00003))</v>
      </c>
    </row>
    <row r="261">
      <c r="A261" s="2" t="s">
        <v>1168</v>
      </c>
      <c r="B261" s="2" t="s">
        <v>1169</v>
      </c>
      <c r="C261" s="2" t="s">
        <v>24993</v>
      </c>
      <c r="D261" s="18">
        <v>260.0</v>
      </c>
      <c r="E261" s="2" t="str">
        <f t="shared" si="1"/>
        <v>E1_5_1_3</v>
      </c>
      <c r="F261" s="19" t="s">
        <v>26386</v>
      </c>
      <c r="G261" s="19" t="s">
        <v>26387</v>
      </c>
      <c r="H261" s="19" t="s">
        <v>26388</v>
      </c>
      <c r="I261" s="19" t="s">
        <v>26389</v>
      </c>
      <c r="J261" s="2" t="str">
        <f t="shared" si="2"/>
        <v>(${Variables:E1_5_1_3_kcat} * E1_5_1_3 * C00101 * C00006)/(${Variables:E1_5_1_3_km} + (E1_5_1_3 * C00101 * C00006))</v>
      </c>
      <c r="K261" s="2" t="str">
        <f t="shared" si="3"/>
        <v>r260: C00101 + C00006 -&gt; C00415 + C00005 + C00080 | (${Variables:E1_5_1_3_kcat} * E1_5_1_3 * C00101 * C00006)/(${Variables:E1_5_1_3_km} + (E1_5_1_3 * C00101 * C00006))</v>
      </c>
    </row>
    <row r="262">
      <c r="A262" s="2" t="s">
        <v>1168</v>
      </c>
      <c r="B262" s="2" t="s">
        <v>1169</v>
      </c>
      <c r="C262" s="2" t="s">
        <v>24993</v>
      </c>
      <c r="D262" s="18">
        <v>261.0</v>
      </c>
      <c r="E262" s="2" t="str">
        <f t="shared" si="1"/>
        <v>E1_5_1_3</v>
      </c>
      <c r="F262" s="19" t="s">
        <v>26386</v>
      </c>
      <c r="G262" s="19" t="s">
        <v>26387</v>
      </c>
      <c r="H262" s="19" t="s">
        <v>26390</v>
      </c>
      <c r="I262" s="19" t="s">
        <v>26391</v>
      </c>
      <c r="J262" s="2" t="str">
        <f t="shared" si="2"/>
        <v>(${Variables:E1_5_1_3_kcat} * E1_5_1_3 * C00101 * C00006)/(${Variables:E1_5_1_3_km} + (E1_5_1_3 * C00101 * C00006))</v>
      </c>
      <c r="K262" s="2" t="str">
        <f t="shared" si="3"/>
        <v>r261: C00101 + C00006 -&gt; C00504 + C00005 + C00080 | (${Variables:E1_5_1_3_kcat} * E1_5_1_3 * C00101 * C00006)/(${Variables:E1_5_1_3_km} + (E1_5_1_3 * C00101 * C00006))</v>
      </c>
    </row>
    <row r="263">
      <c r="A263" s="2" t="s">
        <v>1168</v>
      </c>
      <c r="B263" s="2" t="s">
        <v>1169</v>
      </c>
      <c r="C263" s="2" t="s">
        <v>24993</v>
      </c>
      <c r="D263" s="18">
        <v>262.0</v>
      </c>
      <c r="E263" s="2" t="str">
        <f t="shared" si="1"/>
        <v>E1_5_1_3</v>
      </c>
      <c r="F263" s="19" t="s">
        <v>26392</v>
      </c>
      <c r="G263" s="19" t="s">
        <v>26393</v>
      </c>
      <c r="H263" s="19" t="s">
        <v>26384</v>
      </c>
      <c r="I263" s="19" t="s">
        <v>26385</v>
      </c>
      <c r="J263" s="2" t="str">
        <f t="shared" si="2"/>
        <v>(${Variables:E1_5_1_3_kcat} * E1_5_1_3 * C00415 * C00003)/(${Variables:E1_5_1_3_km} + (E1_5_1_3 * C00415 * C00003))</v>
      </c>
      <c r="K263" s="2" t="str">
        <f t="shared" si="3"/>
        <v>r262: C00415 + C00003 -&gt; C00504 + C00004 + C00080 | (${Variables:E1_5_1_3_kcat} * E1_5_1_3 * C00415 * C00003)/(${Variables:E1_5_1_3_km} + (E1_5_1_3 * C00415 * C00003))</v>
      </c>
    </row>
    <row r="264">
      <c r="A264" s="2" t="s">
        <v>1168</v>
      </c>
      <c r="B264" s="2" t="s">
        <v>1169</v>
      </c>
      <c r="C264" s="2" t="s">
        <v>24993</v>
      </c>
      <c r="D264" s="18">
        <v>263.0</v>
      </c>
      <c r="E264" s="2" t="str">
        <f t="shared" si="1"/>
        <v>E1_5_1_3</v>
      </c>
      <c r="F264" s="19" t="s">
        <v>26394</v>
      </c>
      <c r="G264" s="19" t="s">
        <v>26395</v>
      </c>
      <c r="H264" s="19" t="s">
        <v>26390</v>
      </c>
      <c r="I264" s="19" t="s">
        <v>26391</v>
      </c>
      <c r="J264" s="2" t="str">
        <f t="shared" si="2"/>
        <v>(${Variables:E1_5_1_3_kcat} * E1_5_1_3 * C00415 * C00006)/(${Variables:E1_5_1_3_km} + (E1_5_1_3 * C00415 * C00006))</v>
      </c>
      <c r="K264" s="2" t="str">
        <f t="shared" si="3"/>
        <v>r263: C00415 + C00006 -&gt; C00504 + C00005 + C00080 | (${Variables:E1_5_1_3_kcat} * E1_5_1_3 * C00415 * C00006)/(${Variables:E1_5_1_3_km} + (E1_5_1_3 * C00415 * C00006))</v>
      </c>
    </row>
    <row r="265">
      <c r="A265" s="2" t="s">
        <v>1168</v>
      </c>
      <c r="B265" s="2" t="s">
        <v>1169</v>
      </c>
      <c r="C265" s="2" t="s">
        <v>24993</v>
      </c>
      <c r="D265" s="18">
        <v>264.0</v>
      </c>
      <c r="E265" s="2" t="str">
        <f t="shared" si="1"/>
        <v>E1_5_1_3</v>
      </c>
      <c r="F265" s="19" t="s">
        <v>26396</v>
      </c>
      <c r="G265" s="19" t="s">
        <v>26397</v>
      </c>
      <c r="H265" s="19" t="s">
        <v>26398</v>
      </c>
      <c r="I265" s="19" t="s">
        <v>26399</v>
      </c>
      <c r="J265" s="2" t="str">
        <f t="shared" si="2"/>
        <v>(${Variables:E1_5_1_3_kcat} * E1_5_1_3 * C00272 * C00006)/(${Variables:E1_5_1_3_km} + (E1_5_1_3 * C00272 * C00006))</v>
      </c>
      <c r="K265" s="2" t="str">
        <f t="shared" si="3"/>
        <v>r264: C00272 + C00006 -&gt; C02953 + C00005 + C00080 | (${Variables:E1_5_1_3_kcat} * E1_5_1_3 * C00272 * C00006)/(${Variables:E1_5_1_3_km} + (E1_5_1_3 * C00272 * C00006))</v>
      </c>
    </row>
    <row r="266">
      <c r="A266" s="2" t="s">
        <v>10806</v>
      </c>
      <c r="B266" s="2" t="s">
        <v>10807</v>
      </c>
      <c r="C266" s="2" t="s">
        <v>24994</v>
      </c>
      <c r="D266" s="18">
        <v>265.0</v>
      </c>
      <c r="E266" s="2" t="str">
        <f t="shared" si="1"/>
        <v>E1_5_1_5</v>
      </c>
      <c r="F266" s="19" t="s">
        <v>26400</v>
      </c>
      <c r="G266" s="19" t="s">
        <v>26401</v>
      </c>
      <c r="H266" s="19" t="s">
        <v>26402</v>
      </c>
      <c r="I266" s="19" t="s">
        <v>26403</v>
      </c>
      <c r="J266" s="2" t="str">
        <f t="shared" si="2"/>
        <v>(${Variables:E1_5_1_5_kcat} * E1_5_1_5 * C00143 * C00006)/(${Variables:E1_5_1_5_km} + (E1_5_1_5 * C00143 * C00006))</v>
      </c>
      <c r="K266" s="2" t="str">
        <f t="shared" si="3"/>
        <v>r265: C00143 + C00006 -&gt; C00445 + C00005 | (${Variables:E1_5_1_5_kcat} * E1_5_1_5 * C00143 * C00006)/(${Variables:E1_5_1_5_km} + (E1_5_1_5 * C00143 * C00006))</v>
      </c>
    </row>
    <row r="267">
      <c r="A267" s="2" t="s">
        <v>7753</v>
      </c>
      <c r="B267" s="2" t="s">
        <v>7754</v>
      </c>
      <c r="C267" s="2" t="s">
        <v>24996</v>
      </c>
      <c r="D267" s="18">
        <v>266.0</v>
      </c>
      <c r="E267" s="2" t="str">
        <f t="shared" si="1"/>
        <v>E1_6_5_9</v>
      </c>
      <c r="F267" s="19" t="s">
        <v>26404</v>
      </c>
      <c r="G267" s="19" t="s">
        <v>26405</v>
      </c>
      <c r="H267" s="19" t="s">
        <v>26406</v>
      </c>
      <c r="I267" s="19" t="s">
        <v>26407</v>
      </c>
      <c r="J267" s="2" t="str">
        <f t="shared" si="2"/>
        <v>(${Variables:E1_6_5_9_kcat} * E1_6_5_9 * C00390 * C00003)/(${Variables:E1_6_5_9_km} + (E1_6_5_9 * C00390 * C00003))</v>
      </c>
      <c r="K267" s="2" t="str">
        <f t="shared" si="3"/>
        <v>r266: C00390 + C00003 -&gt; C00399 + C00004 + C00080 | (${Variables:E1_6_5_9_kcat} * E1_6_5_9 * C00390 * C00003)/(${Variables:E1_6_5_9_km} + (E1_6_5_9 * C00390 * C00003))</v>
      </c>
    </row>
    <row r="268">
      <c r="A268" s="2" t="s">
        <v>7753</v>
      </c>
      <c r="B268" s="2" t="s">
        <v>7754</v>
      </c>
      <c r="C268" s="2" t="s">
        <v>24996</v>
      </c>
      <c r="D268" s="18">
        <v>267.0</v>
      </c>
      <c r="E268" s="2" t="str">
        <f t="shared" si="1"/>
        <v>E1_6_5_9</v>
      </c>
      <c r="F268" s="19" t="s">
        <v>26408</v>
      </c>
      <c r="G268" s="19" t="s">
        <v>26409</v>
      </c>
      <c r="H268" s="19" t="s">
        <v>26410</v>
      </c>
      <c r="I268" s="19" t="s">
        <v>26411</v>
      </c>
      <c r="J268" s="2" t="str">
        <f t="shared" si="2"/>
        <v>(${Variables:E1_6_5_9_kcat} * E1_6_5_9 * C00004 * C00080 * C15602)/(${Variables:E1_6_5_9_km} + (E1_6_5_9 * C00004 * C00080 * C15602))</v>
      </c>
      <c r="K268" s="2" t="str">
        <f t="shared" si="3"/>
        <v>r267: C00004 + C00080 + C15602 -&gt; C00003 + C15603 | (${Variables:E1_6_5_9_kcat} * E1_6_5_9 * C00004 * C00080 * C15602)/(${Variables:E1_6_5_9_km} + (E1_6_5_9 * C00004 * C00080 * C15602))</v>
      </c>
    </row>
    <row r="269">
      <c r="A269" s="2" t="s">
        <v>1651</v>
      </c>
      <c r="B269" s="2" t="s">
        <v>1652</v>
      </c>
      <c r="C269" s="2" t="s">
        <v>24997</v>
      </c>
      <c r="D269" s="18">
        <v>268.0</v>
      </c>
      <c r="E269" s="2" t="str">
        <f t="shared" si="1"/>
        <v>E1_6_99_1</v>
      </c>
      <c r="F269" s="19" t="s">
        <v>26412</v>
      </c>
      <c r="G269" s="19" t="s">
        <v>26413</v>
      </c>
      <c r="H269" s="19" t="s">
        <v>26414</v>
      </c>
      <c r="I269" s="19" t="s">
        <v>26415</v>
      </c>
      <c r="J269" s="2" t="str">
        <f t="shared" si="2"/>
        <v>(${Variables:E1_6_99_1_kcat} * E1_6_99_1 * C00028 * C00005 * C00080)/(${Variables:E1_6_99_1_km} + (E1_6_99_1 * C00028 * C00005 * C00080))</v>
      </c>
      <c r="K269" s="2" t="str">
        <f t="shared" si="3"/>
        <v>r268: C00028 + C00005 + C00080 -&gt; C00030 + C00006 | (${Variables:E1_6_99_1_kcat} * E1_6_99_1 * C00028 * C00005 * C00080)/(${Variables:E1_6_99_1_km} + (E1_6_99_1 * C00028 * C00005 * C00080))</v>
      </c>
    </row>
    <row r="270">
      <c r="A270" s="2" t="s">
        <v>3580</v>
      </c>
      <c r="B270" s="2" t="s">
        <v>3581</v>
      </c>
      <c r="C270" s="2" t="s">
        <v>24998</v>
      </c>
      <c r="D270" s="18">
        <v>269.0</v>
      </c>
      <c r="E270" s="2" t="str">
        <f t="shared" si="1"/>
        <v>E1_7_1_13</v>
      </c>
      <c r="F270" s="19" t="s">
        <v>26416</v>
      </c>
      <c r="G270" s="19" t="s">
        <v>26417</v>
      </c>
      <c r="H270" s="19" t="s">
        <v>26418</v>
      </c>
      <c r="I270" s="19" t="s">
        <v>26419</v>
      </c>
      <c r="J270" s="2" t="str">
        <f t="shared" si="2"/>
        <v>(${Variables:E1_7_1_13_kcat} * E1_7_1_13 * C16675 * C00006)/(${Variables:E1_7_1_13_km} + (E1_7_1_13 * C16675 * C00006))</v>
      </c>
      <c r="K270" s="2" t="str">
        <f t="shared" si="3"/>
        <v>r269: C16675 + C00006 -&gt; C15996 + C00005 + C00080 | (${Variables:E1_7_1_13_kcat} * E1_7_1_13 * C16675 * C00006)/(${Variables:E1_7_1_13_km} + (E1_7_1_13 * C16675 * C00006))</v>
      </c>
    </row>
    <row r="271">
      <c r="A271" s="2" t="s">
        <v>1322</v>
      </c>
      <c r="B271" s="2" t="s">
        <v>1323</v>
      </c>
      <c r="C271" s="2" t="s">
        <v>25000</v>
      </c>
      <c r="D271" s="18">
        <v>270.0</v>
      </c>
      <c r="E271" s="2" t="str">
        <f t="shared" si="1"/>
        <v>E1_7_1_4</v>
      </c>
      <c r="F271" s="19" t="s">
        <v>26420</v>
      </c>
      <c r="G271" s="19" t="s">
        <v>26421</v>
      </c>
      <c r="H271" s="19" t="s">
        <v>26422</v>
      </c>
      <c r="I271" s="19" t="s">
        <v>26423</v>
      </c>
      <c r="J271" s="2" t="str">
        <f t="shared" si="2"/>
        <v>(${Variables:E1_7_1_4_kcat} * E1_7_1_4 * C00014 * C00003 * C00001)/(${Variables:E1_7_1_4_km} + (E1_7_1_4 * C00014 * C00003 * C00001))</v>
      </c>
      <c r="K271" s="2" t="str">
        <f t="shared" si="3"/>
        <v>r270: C00014 + C00003 + C00001 -&gt; C00088 + C00004 + C00080 | (${Variables:E1_7_1_4_kcat} * E1_7_1_4 * C00014 * C00003 * C00001)/(${Variables:E1_7_1_4_km} + (E1_7_1_4 * C00014 * C00003 * C00001))</v>
      </c>
    </row>
    <row r="272">
      <c r="A272" s="2" t="s">
        <v>1322</v>
      </c>
      <c r="B272" s="2" t="s">
        <v>1323</v>
      </c>
      <c r="C272" s="2" t="s">
        <v>25000</v>
      </c>
      <c r="D272" s="18">
        <v>271.0</v>
      </c>
      <c r="E272" s="2" t="str">
        <f t="shared" si="1"/>
        <v>E1_7_1_4</v>
      </c>
      <c r="F272" s="19" t="s">
        <v>26424</v>
      </c>
      <c r="G272" s="19" t="s">
        <v>26425</v>
      </c>
      <c r="H272" s="19" t="s">
        <v>26426</v>
      </c>
      <c r="I272" s="19" t="s">
        <v>26427</v>
      </c>
      <c r="J272" s="2" t="str">
        <f t="shared" si="2"/>
        <v>(${Variables:E1_7_1_4_kcat} * E1_7_1_4 * C00014 * C00006 * C00001)/(${Variables:E1_7_1_4_km} + (E1_7_1_4 * C00014 * C00006 * C00001))</v>
      </c>
      <c r="K272" s="2" t="str">
        <f t="shared" si="3"/>
        <v>r271: C00014 + C00006 + C00001 -&gt; C00088 + C00005 + C00080 | (${Variables:E1_7_1_4_kcat} * E1_7_1_4 * C00014 * C00006 * C00001)/(${Variables:E1_7_1_4_km} + (E1_7_1_4 * C00014 * C00006 * C00001))</v>
      </c>
    </row>
    <row r="273">
      <c r="A273" s="2" t="s">
        <v>7322</v>
      </c>
      <c r="B273" s="2" t="s">
        <v>7323</v>
      </c>
      <c r="C273" s="2" t="s">
        <v>25001</v>
      </c>
      <c r="D273" s="18">
        <v>272.0</v>
      </c>
      <c r="E273" s="2" t="str">
        <f t="shared" si="1"/>
        <v>E1_7_1_7</v>
      </c>
      <c r="F273" s="19" t="s">
        <v>26428</v>
      </c>
      <c r="G273" s="19" t="s">
        <v>26429</v>
      </c>
      <c r="H273" s="19" t="s">
        <v>26430</v>
      </c>
      <c r="I273" s="19" t="s">
        <v>26431</v>
      </c>
      <c r="J273" s="2" t="str">
        <f t="shared" si="2"/>
        <v>(${Variables:E1_7_1_7_kcat} * E1_7_1_7 * C00130 * C00014 * C00006)/(${Variables:E1_7_1_7_km} + (E1_7_1_7 * C00130 * C00014 * C00006))</v>
      </c>
      <c r="K273" s="2" t="str">
        <f t="shared" si="3"/>
        <v>r272: C00130 + C00014 + C00006 -&gt; C00144 + C00005 + C00080 | (${Variables:E1_7_1_7_kcat} * E1_7_1_7 * C00130 * C00014 * C00006)/(${Variables:E1_7_1_7_km} + (E1_7_1_7 * C00130 * C00014 * C00006))</v>
      </c>
    </row>
    <row r="274">
      <c r="A274" s="2" t="s">
        <v>12930</v>
      </c>
      <c r="B274" s="2" t="s">
        <v>12931</v>
      </c>
      <c r="C274" s="2" t="s">
        <v>25002</v>
      </c>
      <c r="D274" s="18">
        <v>273.0</v>
      </c>
      <c r="E274" s="2" t="str">
        <f t="shared" si="1"/>
        <v>E1_7_99_1</v>
      </c>
      <c r="F274" s="19" t="s">
        <v>26420</v>
      </c>
      <c r="G274" s="19" t="s">
        <v>26421</v>
      </c>
      <c r="H274" s="19" t="s">
        <v>26432</v>
      </c>
      <c r="I274" s="19" t="s">
        <v>26433</v>
      </c>
      <c r="J274" s="2" t="str">
        <f t="shared" si="2"/>
        <v>(${Variables:E1_7_99_1_kcat} * E1_7_99_1 * C00014 * C00003 * C00001)/(${Variables:E1_7_99_1_km} + (E1_7_99_1 * C00014 * C00003 * C00001))</v>
      </c>
      <c r="K274" s="2" t="str">
        <f t="shared" si="3"/>
        <v>r273: C00014 + C00003 + C00001 -&gt; C00192 + C00004 + C00080 | (${Variables:E1_7_99_1_kcat} * E1_7_99_1 * C00014 * C00003 * C00001)/(${Variables:E1_7_99_1_km} + (E1_7_99_1 * C00014 * C00003 * C00001))</v>
      </c>
    </row>
    <row r="275">
      <c r="A275" s="2" t="s">
        <v>12930</v>
      </c>
      <c r="B275" s="2" t="s">
        <v>12931</v>
      </c>
      <c r="C275" s="2" t="s">
        <v>25002</v>
      </c>
      <c r="D275" s="18">
        <v>274.0</v>
      </c>
      <c r="E275" s="2" t="str">
        <f t="shared" si="1"/>
        <v>E1_7_99_1</v>
      </c>
      <c r="F275" s="19" t="s">
        <v>26434</v>
      </c>
      <c r="G275" s="19" t="s">
        <v>26435</v>
      </c>
      <c r="H275" s="19" t="s">
        <v>26436</v>
      </c>
      <c r="I275" s="19" t="s">
        <v>26437</v>
      </c>
      <c r="J275" s="2" t="str">
        <f t="shared" si="2"/>
        <v>(${Variables:E1_7_99_1_kcat} * E1_7_99_1 * C00028 * C00014 * C00001)/(${Variables:E1_7_99_1_km} + (E1_7_99_1 * C00028 * C00014 * C00001))</v>
      </c>
      <c r="K275" s="2" t="str">
        <f t="shared" si="3"/>
        <v>r274: C00028 + C00014 + C00001 -&gt; C00192 + C00030 | (${Variables:E1_7_99_1_kcat} * E1_7_99_1 * C00028 * C00014 * C00001)/(${Variables:E1_7_99_1_km} + (E1_7_99_1 * C00028 * C00014 * C00001))</v>
      </c>
    </row>
    <row r="276">
      <c r="A276" s="2" t="s">
        <v>5065</v>
      </c>
      <c r="B276" s="2" t="s">
        <v>5066</v>
      </c>
      <c r="C276" s="2" t="s">
        <v>25003</v>
      </c>
      <c r="D276" s="18">
        <v>275.0</v>
      </c>
      <c r="E276" s="2" t="str">
        <f t="shared" si="1"/>
        <v>E1_8_1_14</v>
      </c>
      <c r="F276" s="19" t="s">
        <v>26438</v>
      </c>
      <c r="G276" s="19" t="s">
        <v>26439</v>
      </c>
      <c r="H276" s="19" t="s">
        <v>26440</v>
      </c>
      <c r="I276" s="19" t="s">
        <v>26441</v>
      </c>
      <c r="J276" s="2" t="str">
        <f t="shared" si="2"/>
        <v>(${Variables:E1_8_1_14_kcat} * E1_8_1_14 * C00010 * C00006)/(${Variables:E1_8_1_14_km} + (E1_8_1_14 * C00010 * C00006))</v>
      </c>
      <c r="K276" s="2" t="str">
        <f t="shared" si="3"/>
        <v>r275: C00010 + C00006 -&gt; C02015 + C00005 + C00080 | (${Variables:E1_8_1_14_kcat} * E1_8_1_14 * C00010 * C00006)/(${Variables:E1_8_1_14_km} + (E1_8_1_14 * C00010 * C00006))</v>
      </c>
    </row>
    <row r="277">
      <c r="A277" s="2" t="s">
        <v>10867</v>
      </c>
      <c r="B277" s="2" t="s">
        <v>10868</v>
      </c>
      <c r="C277" s="2" t="s">
        <v>25004</v>
      </c>
      <c r="D277" s="18">
        <v>276.0</v>
      </c>
      <c r="E277" s="2" t="str">
        <f t="shared" si="1"/>
        <v>E1_8_1_4</v>
      </c>
      <c r="F277" s="19" t="s">
        <v>26442</v>
      </c>
      <c r="G277" s="19" t="s">
        <v>26443</v>
      </c>
      <c r="H277" s="19" t="s">
        <v>26444</v>
      </c>
      <c r="I277" s="19" t="s">
        <v>26445</v>
      </c>
      <c r="J277" s="2" t="str">
        <f t="shared" si="2"/>
        <v>(${Variables:E1_8_1_4_kcat} * E1_8_1_4 * C00579 * C00003)/(${Variables:E1_8_1_4_km} + (E1_8_1_4 * C00579 * C00003))</v>
      </c>
      <c r="K277" s="2" t="str">
        <f t="shared" si="3"/>
        <v>r276: C00579 + C00003 -&gt; C00248 + C00004 + C00080 | (${Variables:E1_8_1_4_kcat} * E1_8_1_4 * C00579 * C00003)/(${Variables:E1_8_1_4_km} + (E1_8_1_4 * C00579 * C00003))</v>
      </c>
    </row>
    <row r="278">
      <c r="A278" s="2" t="s">
        <v>10867</v>
      </c>
      <c r="B278" s="2" t="s">
        <v>10868</v>
      </c>
      <c r="C278" s="2" t="s">
        <v>25004</v>
      </c>
      <c r="D278" s="18">
        <v>277.0</v>
      </c>
      <c r="E278" s="2" t="str">
        <f t="shared" si="1"/>
        <v>E1_8_1_4</v>
      </c>
      <c r="F278" s="19" t="s">
        <v>26446</v>
      </c>
      <c r="G278" s="19" t="s">
        <v>26447</v>
      </c>
      <c r="H278" s="19" t="s">
        <v>26448</v>
      </c>
      <c r="I278" s="19" t="s">
        <v>26449</v>
      </c>
      <c r="J278" s="2" t="str">
        <f t="shared" si="2"/>
        <v>(${Variables:E1_8_1_4_kcat} * E1_8_1_4 * C02972 * C00003)/(${Variables:E1_8_1_4_km} + (E1_8_1_4 * C02972 * C00003))</v>
      </c>
      <c r="K278" s="2" t="str">
        <f t="shared" si="3"/>
        <v>r277: C02972 + C00003 -&gt; C02051 + C00004 + C00080 | (${Variables:E1_8_1_4_kcat} * E1_8_1_4 * C02972 * C00003)/(${Variables:E1_8_1_4_km} + (E1_8_1_4 * C02972 * C00003))</v>
      </c>
    </row>
    <row r="279">
      <c r="A279" s="2" t="s">
        <v>10867</v>
      </c>
      <c r="B279" s="2" t="s">
        <v>10868</v>
      </c>
      <c r="C279" s="2" t="s">
        <v>25004</v>
      </c>
      <c r="D279" s="18">
        <v>278.0</v>
      </c>
      <c r="E279" s="2" t="str">
        <f t="shared" si="1"/>
        <v>E1_8_1_4</v>
      </c>
      <c r="F279" s="19" t="s">
        <v>26450</v>
      </c>
      <c r="G279" s="19" t="s">
        <v>26451</v>
      </c>
      <c r="H279" s="19" t="s">
        <v>26452</v>
      </c>
      <c r="I279" s="19" t="s">
        <v>26453</v>
      </c>
      <c r="J279" s="2" t="str">
        <f t="shared" si="2"/>
        <v>(${Variables:E1_8_1_4_kcat} * E1_8_1_4 * C15973 * C00003)/(${Variables:E1_8_1_4_km} + (E1_8_1_4 * C15973 * C00003))</v>
      </c>
      <c r="K279" s="2" t="str">
        <f t="shared" si="3"/>
        <v>r278: C15973 + C00003 -&gt; C15972 + C00004 + C00080 | (${Variables:E1_8_1_4_kcat} * E1_8_1_4 * C15973 * C00003)/(${Variables:E1_8_1_4_km} + (E1_8_1_4 * C15973 * C00003))</v>
      </c>
    </row>
    <row r="280">
      <c r="A280" s="2" t="s">
        <v>10867</v>
      </c>
      <c r="B280" s="2" t="s">
        <v>10868</v>
      </c>
      <c r="C280" s="2" t="s">
        <v>25004</v>
      </c>
      <c r="D280" s="18">
        <v>279.0</v>
      </c>
      <c r="E280" s="2" t="str">
        <f t="shared" si="1"/>
        <v>E1_8_1_4</v>
      </c>
      <c r="F280" s="19" t="s">
        <v>26454</v>
      </c>
      <c r="G280" s="19" t="s">
        <v>26455</v>
      </c>
      <c r="H280" s="19" t="s">
        <v>26456</v>
      </c>
      <c r="I280" s="19" t="s">
        <v>26457</v>
      </c>
      <c r="J280" s="2" t="str">
        <f t="shared" si="2"/>
        <v>(${Variables:E1_8_1_4_kcat} * E1_8_1_4 * C16832 * C00003)/(${Variables:E1_8_1_4_km} + (E1_8_1_4 * C16832 * C00003))</v>
      </c>
      <c r="K280" s="2" t="str">
        <f t="shared" si="3"/>
        <v>r279: C16832 + C00003 -&gt; C16237 + C00004 + C00080 | (${Variables:E1_8_1_4_kcat} * E1_8_1_4 * C16832 * C00003)/(${Variables:E1_8_1_4_km} + (E1_8_1_4 * C16832 * C00003))</v>
      </c>
    </row>
    <row r="281">
      <c r="A281" s="2" t="s">
        <v>8134</v>
      </c>
      <c r="B281" s="2" t="s">
        <v>8135</v>
      </c>
      <c r="C281" s="2" t="s">
        <v>25005</v>
      </c>
      <c r="D281" s="18">
        <v>280.0</v>
      </c>
      <c r="E281" s="2" t="str">
        <f t="shared" si="1"/>
        <v>E1_8_1_9</v>
      </c>
      <c r="F281" s="19" t="s">
        <v>26458</v>
      </c>
      <c r="G281" s="19" t="s">
        <v>26459</v>
      </c>
      <c r="H281" s="19" t="s">
        <v>26460</v>
      </c>
      <c r="I281" s="19" t="s">
        <v>26461</v>
      </c>
      <c r="J281" s="2" t="str">
        <f t="shared" si="2"/>
        <v>(${Variables:E1_8_1_9_kcat} * E1_8_1_9 * C00097 * C00051 * C00006)/(${Variables:E1_8_1_9_km} + (E1_8_1_9 * C00097 * C00051 * C00006))</v>
      </c>
      <c r="K281" s="2" t="str">
        <f t="shared" si="3"/>
        <v>r280: C00097 + C00051 + C00006 -&gt; C05526 + C00005 | (${Variables:E1_8_1_9_kcat} * E1_8_1_9 * C00097 * C00051 * C00006)/(${Variables:E1_8_1_9_km} + (E1_8_1_9 * C00097 * C00051 * C00006))</v>
      </c>
    </row>
    <row r="282">
      <c r="A282" s="2" t="s">
        <v>8134</v>
      </c>
      <c r="B282" s="2" t="s">
        <v>8135</v>
      </c>
      <c r="C282" s="2" t="s">
        <v>25005</v>
      </c>
      <c r="D282" s="18">
        <v>281.0</v>
      </c>
      <c r="E282" s="2" t="str">
        <f t="shared" si="1"/>
        <v>E1_8_1_9</v>
      </c>
      <c r="F282" s="19" t="s">
        <v>26462</v>
      </c>
      <c r="G282" s="19" t="s">
        <v>26463</v>
      </c>
      <c r="H282" s="19" t="s">
        <v>26464</v>
      </c>
      <c r="I282" s="19" t="s">
        <v>26465</v>
      </c>
      <c r="J282" s="2" t="str">
        <f t="shared" si="2"/>
        <v>(${Variables:E1_8_1_9_kcat} * E1_8_1_9 * C00342 * C00006)/(${Variables:E1_8_1_9_km} + (E1_8_1_9 * C00342 * C00006))</v>
      </c>
      <c r="K282" s="2" t="str">
        <f t="shared" si="3"/>
        <v>r281: C00342 + C00006 -&gt; C00343 + C00005 + C00080 | (${Variables:E1_8_1_9_kcat} * E1_8_1_9 * C00342 * C00006)/(${Variables:E1_8_1_9_km} + (E1_8_1_9 * C00342 * C00006))</v>
      </c>
    </row>
    <row r="283">
      <c r="A283" s="2" t="s">
        <v>8134</v>
      </c>
      <c r="B283" s="2" t="s">
        <v>8135</v>
      </c>
      <c r="C283" s="2" t="s">
        <v>25005</v>
      </c>
      <c r="D283" s="18">
        <v>282.0</v>
      </c>
      <c r="E283" s="2" t="str">
        <f t="shared" si="1"/>
        <v>E1_8_1_9</v>
      </c>
      <c r="F283" s="19" t="s">
        <v>26466</v>
      </c>
      <c r="G283" s="19" t="s">
        <v>26467</v>
      </c>
      <c r="H283" s="19" t="s">
        <v>26468</v>
      </c>
      <c r="I283" s="19" t="s">
        <v>26469</v>
      </c>
      <c r="J283" s="2" t="str">
        <f t="shared" si="2"/>
        <v>(${Variables:E1_8_1_9_kcat} * E1_8_1_9 * C01528 * C00006 * C00001)/(${Variables:E1_8_1_9_km} + (E1_8_1_9 * C01528 * C00006 * C00001))</v>
      </c>
      <c r="K283" s="2" t="str">
        <f t="shared" si="3"/>
        <v>r282: C01528 + C00006 + C00001 -&gt; C05684 + C00005 + C00080 | (${Variables:E1_8_1_9_kcat} * E1_8_1_9 * C01528 * C00006 * C00001)/(${Variables:E1_8_1_9_km} + (E1_8_1_9 * C01528 * C00006 * C00001))</v>
      </c>
    </row>
    <row r="284">
      <c r="A284" s="2" t="s">
        <v>8134</v>
      </c>
      <c r="B284" s="2" t="s">
        <v>8135</v>
      </c>
      <c r="C284" s="2" t="s">
        <v>25005</v>
      </c>
      <c r="D284" s="18">
        <v>283.0</v>
      </c>
      <c r="E284" s="2" t="str">
        <f t="shared" si="1"/>
        <v>E1_8_1_9</v>
      </c>
      <c r="F284" s="19" t="s">
        <v>26470</v>
      </c>
      <c r="G284" s="19" t="s">
        <v>26471</v>
      </c>
      <c r="H284" s="19" t="s">
        <v>26472</v>
      </c>
      <c r="I284" s="19" t="s">
        <v>26473</v>
      </c>
      <c r="J284" s="2" t="str">
        <f t="shared" si="2"/>
        <v>(${Variables:E1_8_1_9_kcat} * E1_8_1_9 * C00005 * C00080 * C18902)/(${Variables:E1_8_1_9_km} + (E1_8_1_9 * C00005 * C00080 * C18902))</v>
      </c>
      <c r="K284" s="2" t="str">
        <f t="shared" si="3"/>
        <v>r283: C00005 + C00080 + C18902 -&gt; C00006 + C00001 + C05703 | (${Variables:E1_8_1_9_kcat} * E1_8_1_9 * C00005 * C00080 * C18902)/(${Variables:E1_8_1_9_km} + (E1_8_1_9 * C00005 * C00080 * C18902))</v>
      </c>
    </row>
    <row r="285">
      <c r="A285" s="2" t="s">
        <v>2321</v>
      </c>
      <c r="B285" s="2" t="s">
        <v>2322</v>
      </c>
      <c r="C285" s="2" t="s">
        <v>25006</v>
      </c>
      <c r="D285" s="18">
        <v>284.0</v>
      </c>
      <c r="E285" s="2" t="str">
        <f t="shared" si="1"/>
        <v>E1_8_4_11</v>
      </c>
      <c r="F285" s="19" t="s">
        <v>26474</v>
      </c>
      <c r="G285" s="19" t="s">
        <v>26475</v>
      </c>
      <c r="H285" s="19" t="s">
        <v>26476</v>
      </c>
      <c r="I285" s="19" t="s">
        <v>26477</v>
      </c>
      <c r="J285" s="2" t="str">
        <f t="shared" si="2"/>
        <v>(${Variables:E1_8_4_11_kcat} * E1_8_4_11 * C03023 * C00343 * C00001)/(${Variables:E1_8_4_11_km} + (E1_8_4_11 * C03023 * C00343 * C00001))</v>
      </c>
      <c r="K285" s="2" t="str">
        <f t="shared" si="3"/>
        <v>r284: C03023 + C00343 + C00001 -&gt; C03895 + C00342 | (${Variables:E1_8_4_11_kcat} * E1_8_4_11 * C03023 * C00343 * C00001)/(${Variables:E1_8_4_11_km} + (E1_8_4_11 * C03023 * C00343 * C00001))</v>
      </c>
    </row>
    <row r="286">
      <c r="A286" s="2" t="s">
        <v>2321</v>
      </c>
      <c r="B286" s="2" t="s">
        <v>2322</v>
      </c>
      <c r="C286" s="2" t="s">
        <v>25006</v>
      </c>
      <c r="D286" s="18">
        <v>285.0</v>
      </c>
      <c r="E286" s="2" t="str">
        <f t="shared" si="1"/>
        <v>E1_8_4_11</v>
      </c>
      <c r="F286" s="19" t="s">
        <v>26478</v>
      </c>
      <c r="G286" s="19" t="s">
        <v>26479</v>
      </c>
      <c r="H286" s="19" t="s">
        <v>26480</v>
      </c>
      <c r="I286" s="19" t="s">
        <v>26481</v>
      </c>
      <c r="J286" s="2" t="str">
        <f t="shared" si="2"/>
        <v>(${Variables:E1_8_4_11_kcat} * E1_8_4_11 * C00073 * C00343 * C00001)/(${Variables:E1_8_4_11_km} + (E1_8_4_11 * C00073 * C00343 * C00001))</v>
      </c>
      <c r="K286" s="2" t="str">
        <f t="shared" si="3"/>
        <v>r285: C00073 + C00343 + C00001 -&gt; C15999 + C00342 | (${Variables:E1_8_4_11_kcat} * E1_8_4_11 * C00073 * C00343 * C00001)/(${Variables:E1_8_4_11_km} + (E1_8_4_11 * C00073 * C00343 * C00001))</v>
      </c>
    </row>
    <row r="287">
      <c r="A287" s="2" t="s">
        <v>3356</v>
      </c>
      <c r="B287" s="2" t="s">
        <v>3357</v>
      </c>
      <c r="C287" s="2" t="s">
        <v>25008</v>
      </c>
      <c r="D287" s="18">
        <v>286.0</v>
      </c>
      <c r="E287" s="2" t="str">
        <f t="shared" si="1"/>
        <v>E1_8_4_8</v>
      </c>
      <c r="F287" s="19" t="s">
        <v>26482</v>
      </c>
      <c r="G287" s="19" t="s">
        <v>26483</v>
      </c>
      <c r="H287" s="19" t="s">
        <v>26484</v>
      </c>
      <c r="I287" s="19" t="s">
        <v>26485</v>
      </c>
      <c r="J287" s="2" t="str">
        <f t="shared" si="2"/>
        <v>(${Variables:E1_8_4_8_kcat} * E1_8_4_8 * C00342 * C00053)/(${Variables:E1_8_4_8_km} + (E1_8_4_8 * C00342 * C00053))</v>
      </c>
      <c r="K287" s="2" t="str">
        <f t="shared" si="3"/>
        <v>r286: C00342 + C00053 -&gt; C00343 + C00094 + C00054 | (${Variables:E1_8_4_8_kcat} * E1_8_4_8 * C00342 * C00053)/(${Variables:E1_8_4_8_km} + (E1_8_4_8 * C00342 * C00053))</v>
      </c>
    </row>
    <row r="288">
      <c r="A288" s="2" t="s">
        <v>5842</v>
      </c>
      <c r="B288" s="2" t="s">
        <v>5843</v>
      </c>
      <c r="C288" s="2" t="s">
        <v>25009</v>
      </c>
      <c r="D288" s="18">
        <v>287.0</v>
      </c>
      <c r="E288" s="2" t="str">
        <f t="shared" si="1"/>
        <v>E1_97_1_4</v>
      </c>
      <c r="F288" s="19" t="s">
        <v>26486</v>
      </c>
      <c r="G288" s="19" t="s">
        <v>26487</v>
      </c>
      <c r="H288" s="19" t="s">
        <v>26488</v>
      </c>
      <c r="I288" s="19" t="s">
        <v>26489</v>
      </c>
      <c r="J288" s="2" t="str">
        <f t="shared" si="2"/>
        <v>(${Variables:E1_97_1_4_kcat} * E1_97_1_4 * C00019 * C05196 * C05197)/(${Variables:E1_97_1_4_km} + (E1_97_1_4 * C00019 * C05196 * C05197))</v>
      </c>
      <c r="K288" s="2" t="str">
        <f t="shared" si="3"/>
        <v>r287: C00019 + C05196 + C05197 -&gt; C05198 + C00073 + C05199 + C05312 | (${Variables:E1_97_1_4_kcat} * E1_97_1_4 * C00019 * C05196 * C05197)/(${Variables:E1_97_1_4_km} + (E1_97_1_4 * C00019 * C05196 * C05197))</v>
      </c>
    </row>
    <row r="289">
      <c r="A289" s="2" t="s">
        <v>1328</v>
      </c>
      <c r="B289" s="2" t="s">
        <v>1329</v>
      </c>
      <c r="C289" s="2" t="s">
        <v>25011</v>
      </c>
      <c r="D289" s="18">
        <v>288.0</v>
      </c>
      <c r="E289" s="2" t="str">
        <f t="shared" si="1"/>
        <v>E2_1_1_107</v>
      </c>
      <c r="F289" s="19" t="s">
        <v>26490</v>
      </c>
      <c r="G289" s="19" t="s">
        <v>26491</v>
      </c>
      <c r="H289" s="19" t="s">
        <v>26492</v>
      </c>
      <c r="I289" s="19" t="s">
        <v>26493</v>
      </c>
      <c r="J289" s="2" t="str">
        <f t="shared" si="2"/>
        <v>(${Variables:E2_1_1_107_kcat} * E2_1_1_107 * C00019 * C01051)/(${Variables:E2_1_1_107_km} + (E2_1_1_107 * C00019 * C01051))</v>
      </c>
      <c r="K289" s="2" t="str">
        <f t="shared" si="3"/>
        <v>r288: C00019 + C01051 -&gt; C00021 + C02463 | (${Variables:E2_1_1_107_kcat} * E2_1_1_107 * C00019 * C01051)/(${Variables:E2_1_1_107_km} + (E2_1_1_107 * C00019 * C01051))</v>
      </c>
    </row>
    <row r="290">
      <c r="A290" s="2" t="s">
        <v>1328</v>
      </c>
      <c r="B290" s="2" t="s">
        <v>1329</v>
      </c>
      <c r="C290" s="2" t="s">
        <v>25011</v>
      </c>
      <c r="D290" s="18">
        <v>289.0</v>
      </c>
      <c r="E290" s="2" t="str">
        <f t="shared" si="1"/>
        <v>E2_1_1_107</v>
      </c>
      <c r="F290" s="19" t="s">
        <v>26494</v>
      </c>
      <c r="G290" s="19" t="s">
        <v>26495</v>
      </c>
      <c r="H290" s="19" t="s">
        <v>26496</v>
      </c>
      <c r="I290" s="19" t="s">
        <v>26497</v>
      </c>
      <c r="J290" s="2" t="str">
        <f t="shared" si="2"/>
        <v>(${Variables:E2_1_1_107_kcat} * E2_1_1_107 * C00019 * C02469)/(${Variables:E2_1_1_107_km} + (E2_1_1_107 * C00019 * C02469))</v>
      </c>
      <c r="K290" s="2" t="str">
        <f t="shared" si="3"/>
        <v>r289: C00019 + C02469 -&gt; C00021 + C05778 | (${Variables:E2_1_1_107_kcat} * E2_1_1_107 * C00019 * C02469)/(${Variables:E2_1_1_107_km} + (E2_1_1_107 * C00019 * C02469))</v>
      </c>
    </row>
    <row r="291">
      <c r="A291" s="2" t="s">
        <v>1328</v>
      </c>
      <c r="B291" s="2" t="s">
        <v>1329</v>
      </c>
      <c r="C291" s="2" t="s">
        <v>25011</v>
      </c>
      <c r="D291" s="18">
        <v>290.0</v>
      </c>
      <c r="E291" s="2" t="str">
        <f t="shared" si="1"/>
        <v>E2_1_1_107</v>
      </c>
      <c r="F291" s="19" t="s">
        <v>26490</v>
      </c>
      <c r="G291" s="19" t="s">
        <v>26491</v>
      </c>
      <c r="H291" s="19" t="s">
        <v>26498</v>
      </c>
      <c r="I291" s="19" t="s">
        <v>26499</v>
      </c>
      <c r="J291" s="2" t="str">
        <f t="shared" si="2"/>
        <v>(${Variables:E2_1_1_107_kcat} * E2_1_1_107 * C00019 * C01051)/(${Variables:E2_1_1_107_km} + (E2_1_1_107 * C00019 * C01051))</v>
      </c>
      <c r="K291" s="2" t="str">
        <f t="shared" si="3"/>
        <v>r290: C00019 + C01051 -&gt; C00021 + C15527 | (${Variables:E2_1_1_107_kcat} * E2_1_1_107 * C00019 * C01051)/(${Variables:E2_1_1_107_km} + (E2_1_1_107 * C00019 * C01051))</v>
      </c>
    </row>
    <row r="292">
      <c r="A292" s="2" t="s">
        <v>1328</v>
      </c>
      <c r="B292" s="2" t="s">
        <v>1329</v>
      </c>
      <c r="C292" s="2" t="s">
        <v>25011</v>
      </c>
      <c r="D292" s="18">
        <v>291.0</v>
      </c>
      <c r="E292" s="2" t="str">
        <f t="shared" si="1"/>
        <v>E2_1_1_107</v>
      </c>
      <c r="F292" s="19" t="s">
        <v>26500</v>
      </c>
      <c r="G292" s="19" t="s">
        <v>26501</v>
      </c>
      <c r="H292" s="19" t="s">
        <v>26492</v>
      </c>
      <c r="I292" s="19" t="s">
        <v>26493</v>
      </c>
      <c r="J292" s="2" t="str">
        <f t="shared" si="2"/>
        <v>(${Variables:E2_1_1_107_kcat} * E2_1_1_107 * C00019 * C15527)/(${Variables:E2_1_1_107_km} + (E2_1_1_107 * C00019 * C15527))</v>
      </c>
      <c r="K292" s="2" t="str">
        <f t="shared" si="3"/>
        <v>r291: C00019 + C15527 -&gt; C00021 + C02463 | (${Variables:E2_1_1_107_kcat} * E2_1_1_107 * C00019 * C15527)/(${Variables:E2_1_1_107_km} + (E2_1_1_107 * C00019 * C15527))</v>
      </c>
    </row>
    <row r="293">
      <c r="A293" s="2" t="s">
        <v>10589</v>
      </c>
      <c r="B293" s="2" t="s">
        <v>10590</v>
      </c>
      <c r="C293" s="2" t="s">
        <v>25012</v>
      </c>
      <c r="D293" s="18">
        <v>292.0</v>
      </c>
      <c r="E293" s="2" t="str">
        <f t="shared" si="1"/>
        <v>E2_1_1_13</v>
      </c>
      <c r="F293" s="19" t="s">
        <v>26502</v>
      </c>
      <c r="G293" s="19" t="s">
        <v>26503</v>
      </c>
      <c r="H293" s="19" t="s">
        <v>26504</v>
      </c>
      <c r="I293" s="19" t="s">
        <v>26505</v>
      </c>
      <c r="J293" s="2" t="str">
        <f t="shared" si="2"/>
        <v>(${Variables:E2_1_1_13_kcat} * E2_1_1_13 * C00440 * C00155)/(${Variables:E2_1_1_13_km} + (E2_1_1_13 * C00440 * C00155))</v>
      </c>
      <c r="K293" s="2" t="str">
        <f t="shared" si="3"/>
        <v>r292: C00440 + C00155 -&gt; C00101 + C00073 | (${Variables:E2_1_1_13_kcat} * E2_1_1_13 * C00440 * C00155)/(${Variables:E2_1_1_13_km} + (E2_1_1_13 * C00440 * C00155))</v>
      </c>
    </row>
    <row r="294">
      <c r="A294" s="2" t="s">
        <v>10589</v>
      </c>
      <c r="B294" s="2" t="s">
        <v>10590</v>
      </c>
      <c r="C294" s="2" t="s">
        <v>25012</v>
      </c>
      <c r="D294" s="18">
        <v>293.0</v>
      </c>
      <c r="E294" s="2" t="str">
        <f t="shared" si="1"/>
        <v>E2_1_1_13</v>
      </c>
      <c r="F294" s="19" t="s">
        <v>26506</v>
      </c>
      <c r="G294" s="19" t="s">
        <v>26507</v>
      </c>
      <c r="H294" s="19" t="s">
        <v>26508</v>
      </c>
      <c r="I294" s="19" t="s">
        <v>26509</v>
      </c>
      <c r="J294" s="2" t="str">
        <f t="shared" si="2"/>
        <v>(${Variables:E2_1_1_13_kcat} * E2_1_1_13 * C05698 * C04489)/(${Variables:E2_1_1_13_km} + (E2_1_1_13 * C05698 * C04489))</v>
      </c>
      <c r="K294" s="2" t="str">
        <f t="shared" si="3"/>
        <v>r293: C05698 + C04489 -&gt; C05335 + C04144 | (${Variables:E2_1_1_13_kcat} * E2_1_1_13 * C05698 * C04489)/(${Variables:E2_1_1_13_km} + (E2_1_1_13 * C05698 * C04489))</v>
      </c>
    </row>
    <row r="295">
      <c r="A295" s="2" t="s">
        <v>11336</v>
      </c>
      <c r="B295" s="2" t="s">
        <v>11337</v>
      </c>
      <c r="C295" s="2" t="s">
        <v>25013</v>
      </c>
      <c r="D295" s="18">
        <v>294.0</v>
      </c>
      <c r="E295" s="2" t="str">
        <f t="shared" si="1"/>
        <v>E2_1_1_14</v>
      </c>
      <c r="F295" s="19" t="s">
        <v>26510</v>
      </c>
      <c r="G295" s="19" t="s">
        <v>26511</v>
      </c>
      <c r="H295" s="19" t="s">
        <v>26512</v>
      </c>
      <c r="I295" s="19" t="s">
        <v>26513</v>
      </c>
      <c r="J295" s="2" t="str">
        <f t="shared" si="2"/>
        <v>(${Variables:E2_1_1_14_kcat} * E2_1_1_14 * C04489 * C00155)/(${Variables:E2_1_1_14_km} + (E2_1_1_14 * C04489 * C00155))</v>
      </c>
      <c r="K295" s="2" t="str">
        <f t="shared" si="3"/>
        <v>r294: C04489 + C00155 -&gt; C04144 + C00073 | (${Variables:E2_1_1_14_kcat} * E2_1_1_14 * C04489 * C00155)/(${Variables:E2_1_1_14_km} + (E2_1_1_14 * C04489 * C00155))</v>
      </c>
    </row>
    <row r="296">
      <c r="A296" s="2" t="s">
        <v>11336</v>
      </c>
      <c r="B296" s="2" t="s">
        <v>11337</v>
      </c>
      <c r="C296" s="2" t="s">
        <v>25013</v>
      </c>
      <c r="D296" s="18">
        <v>295.0</v>
      </c>
      <c r="E296" s="2" t="str">
        <f t="shared" si="1"/>
        <v>E2_1_1_14</v>
      </c>
      <c r="F296" s="19" t="s">
        <v>26506</v>
      </c>
      <c r="G296" s="19" t="s">
        <v>26507</v>
      </c>
      <c r="H296" s="19" t="s">
        <v>26508</v>
      </c>
      <c r="I296" s="19" t="s">
        <v>26509</v>
      </c>
      <c r="J296" s="2" t="str">
        <f t="shared" si="2"/>
        <v>(${Variables:E2_1_1_14_kcat} * E2_1_1_14 * C05698 * C04489)/(${Variables:E2_1_1_14_km} + (E2_1_1_14 * C05698 * C04489))</v>
      </c>
      <c r="K296" s="2" t="str">
        <f t="shared" si="3"/>
        <v>r295: C05698 + C04489 -&gt; C05335 + C04144 | (${Variables:E2_1_1_14_kcat} * E2_1_1_14 * C05698 * C04489)/(${Variables:E2_1_1_14_km} + (E2_1_1_14 * C05698 * C04489))</v>
      </c>
    </row>
    <row r="297">
      <c r="A297" s="2" t="s">
        <v>11552</v>
      </c>
      <c r="B297" s="2" t="s">
        <v>11553</v>
      </c>
      <c r="C297" s="2" t="s">
        <v>25015</v>
      </c>
      <c r="D297" s="18">
        <v>296.0</v>
      </c>
      <c r="E297" s="2" t="str">
        <f t="shared" si="1"/>
        <v>E2_1_1_171</v>
      </c>
      <c r="F297" s="19" t="s">
        <v>26514</v>
      </c>
      <c r="G297" s="19" t="s">
        <v>26515</v>
      </c>
      <c r="H297" s="19" t="s">
        <v>26516</v>
      </c>
      <c r="I297" s="19" t="s">
        <v>26517</v>
      </c>
      <c r="J297" s="2" t="str">
        <f t="shared" si="2"/>
        <v>(${Variables:E2_1_1_171_kcat} * E2_1_1_171 * C00019 * C00240)/(${Variables:E2_1_1_171_km} + (E2_1_1_171 * C00019 * C00240))</v>
      </c>
      <c r="K297" s="2" t="str">
        <f t="shared" si="3"/>
        <v>r296: C00019 + C00240 -&gt; C00021 + C04153 | (${Variables:E2_1_1_171_kcat} * E2_1_1_171 * C00019 * C00240)/(${Variables:E2_1_1_171_km} + (E2_1_1_171 * C00019 * C00240))</v>
      </c>
    </row>
    <row r="298">
      <c r="A298" s="2" t="s">
        <v>6833</v>
      </c>
      <c r="B298" s="2" t="s">
        <v>6834</v>
      </c>
      <c r="C298" s="2" t="s">
        <v>25016</v>
      </c>
      <c r="D298" s="18">
        <v>297.0</v>
      </c>
      <c r="E298" s="2" t="str">
        <f t="shared" si="1"/>
        <v>E2_1_1_172</v>
      </c>
      <c r="F298" s="19" t="s">
        <v>26514</v>
      </c>
      <c r="G298" s="19" t="s">
        <v>26515</v>
      </c>
      <c r="H298" s="19" t="s">
        <v>26516</v>
      </c>
      <c r="I298" s="19" t="s">
        <v>26517</v>
      </c>
      <c r="J298" s="2" t="str">
        <f t="shared" si="2"/>
        <v>(${Variables:E2_1_1_172_kcat} * E2_1_1_172 * C00019 * C00240)/(${Variables:E2_1_1_172_km} + (E2_1_1_172 * C00019 * C00240))</v>
      </c>
      <c r="K298" s="2" t="str">
        <f t="shared" si="3"/>
        <v>r297: C00019 + C00240 -&gt; C00021 + C04153 | (${Variables:E2_1_1_172_kcat} * E2_1_1_172 * C00019 * C00240)/(${Variables:E2_1_1_172_km} + (E2_1_1_172 * C00019 * C00240))</v>
      </c>
    </row>
    <row r="299">
      <c r="A299" s="2" t="s">
        <v>7066</v>
      </c>
      <c r="B299" s="2" t="s">
        <v>7067</v>
      </c>
      <c r="C299" s="2" t="s">
        <v>25020</v>
      </c>
      <c r="D299" s="18">
        <v>298.0</v>
      </c>
      <c r="E299" s="2" t="str">
        <f t="shared" si="1"/>
        <v>E2_1_1_182</v>
      </c>
      <c r="F299" s="19" t="s">
        <v>26518</v>
      </c>
      <c r="G299" s="19" t="s">
        <v>26519</v>
      </c>
      <c r="H299" s="19" t="s">
        <v>26520</v>
      </c>
      <c r="I299" s="19" t="s">
        <v>26521</v>
      </c>
      <c r="J299" s="2" t="str">
        <f t="shared" si="2"/>
        <v>(${Variables:E2_1_1_182_kcat} * E2_1_1_182 * C00019 * C20648)/(${Variables:E2_1_1_182_km} + (E2_1_1_182 * C00019 * C20648))</v>
      </c>
      <c r="K299" s="2" t="str">
        <f t="shared" si="3"/>
        <v>r298: C00019 + C20648 -&gt; C00021 + C20796 | (${Variables:E2_1_1_182_kcat} * E2_1_1_182 * C00019 * C20648)/(${Variables:E2_1_1_182_km} + (E2_1_1_182 * C00019 * C20648))</v>
      </c>
    </row>
    <row r="300">
      <c r="A300" s="2" t="s">
        <v>11006</v>
      </c>
      <c r="B300" s="2" t="s">
        <v>11007</v>
      </c>
      <c r="C300" s="2" t="s">
        <v>25024</v>
      </c>
      <c r="D300" s="18">
        <v>299.0</v>
      </c>
      <c r="E300" s="2" t="str">
        <f t="shared" si="1"/>
        <v>E2_1_1_197</v>
      </c>
      <c r="F300" s="19" t="s">
        <v>26522</v>
      </c>
      <c r="G300" s="19" t="s">
        <v>26523</v>
      </c>
      <c r="H300" s="19" t="s">
        <v>26524</v>
      </c>
      <c r="I300" s="19" t="s">
        <v>26525</v>
      </c>
      <c r="J300" s="2" t="str">
        <f t="shared" si="2"/>
        <v>(${Variables:E2_1_1_197_kcat} * E2_1_1_197 * C00019 * C01209)/(${Variables:E2_1_1_197_km} + (E2_1_1_197 * C00019 * C01209))</v>
      </c>
      <c r="K300" s="2" t="str">
        <f t="shared" si="3"/>
        <v>r299: C00019 + C01209 -&gt; C00021 + C19673 | (${Variables:E2_1_1_197_kcat} * E2_1_1_197 * C00019 * C01209)/(${Variables:E2_1_1_197_km} + (E2_1_1_197 * C00019 * C01209))</v>
      </c>
    </row>
    <row r="301">
      <c r="A301" s="2" t="s">
        <v>11864</v>
      </c>
      <c r="B301" s="2" t="s">
        <v>11865</v>
      </c>
      <c r="C301" s="2" t="s">
        <v>25029</v>
      </c>
      <c r="D301" s="18">
        <v>300.0</v>
      </c>
      <c r="E301" s="2" t="str">
        <f t="shared" si="1"/>
        <v>E2_1_1_228</v>
      </c>
      <c r="F301" s="19" t="s">
        <v>26526</v>
      </c>
      <c r="G301" s="19" t="s">
        <v>26527</v>
      </c>
      <c r="H301" s="19" t="s">
        <v>26528</v>
      </c>
      <c r="I301" s="19" t="s">
        <v>26529</v>
      </c>
      <c r="J301" s="2" t="str">
        <f t="shared" si="2"/>
        <v>(${Variables:E2_1_1_228_kcat} * E2_1_1_228 * C00019 * C01977)/(${Variables:E2_1_1_228_km} + (E2_1_1_228 * C00019 * C01977))</v>
      </c>
      <c r="K301" s="2" t="str">
        <f t="shared" si="3"/>
        <v>r300: C00019 + C01977 -&gt; C00021 + C04157 | (${Variables:E2_1_1_228_kcat} * E2_1_1_228 * C00019 * C01977)/(${Variables:E2_1_1_228_km} + (E2_1_1_228 * C00019 * C01977))</v>
      </c>
    </row>
    <row r="302">
      <c r="A302" s="2" t="s">
        <v>7650</v>
      </c>
      <c r="B302" s="2" t="s">
        <v>7651</v>
      </c>
      <c r="C302" s="2" t="s">
        <v>25030</v>
      </c>
      <c r="D302" s="18">
        <v>301.0</v>
      </c>
      <c r="E302" s="2" t="str">
        <f t="shared" si="1"/>
        <v>E2_1_1_297</v>
      </c>
      <c r="F302" s="19" t="s">
        <v>26530</v>
      </c>
      <c r="G302" s="19" t="s">
        <v>26531</v>
      </c>
      <c r="H302" s="19" t="s">
        <v>26532</v>
      </c>
      <c r="I302" s="19" t="s">
        <v>26533</v>
      </c>
      <c r="J302" s="2" t="str">
        <f t="shared" si="2"/>
        <v>(${Variables:E2_1_1_297_kcat} * E2_1_1_297 * C02583 * C00019)/(${Variables:E2_1_1_297_km} + (E2_1_1_297 * C02583 * C00019))</v>
      </c>
      <c r="K302" s="2" t="str">
        <f t="shared" si="3"/>
        <v>r301: C02583 + C00019 -&gt; C20858 + C00021 | (${Variables:E2_1_1_297_kcat} * E2_1_1_297 * C02583 * C00019)/(${Variables:E2_1_1_297_km} + (E2_1_1_297 * C02583 * C00019))</v>
      </c>
    </row>
    <row r="303">
      <c r="A303" s="2" t="s">
        <v>9286</v>
      </c>
      <c r="B303" s="2" t="s">
        <v>9287</v>
      </c>
      <c r="C303" s="2" t="s">
        <v>25031</v>
      </c>
      <c r="D303" s="18">
        <v>302.0</v>
      </c>
      <c r="E303" s="2" t="str">
        <f t="shared" si="1"/>
        <v>E2_1_1_33</v>
      </c>
      <c r="F303" s="19" t="s">
        <v>26526</v>
      </c>
      <c r="G303" s="19" t="s">
        <v>26527</v>
      </c>
      <c r="H303" s="19" t="s">
        <v>26534</v>
      </c>
      <c r="I303" s="19" t="s">
        <v>26535</v>
      </c>
      <c r="J303" s="2" t="str">
        <f t="shared" si="2"/>
        <v>(${Variables:E2_1_1_33_kcat} * E2_1_1_33 * C00019 * C01977)/(${Variables:E2_1_1_33_km} + (E2_1_1_33 * C00019 * C01977))</v>
      </c>
      <c r="K303" s="2" t="str">
        <f t="shared" si="3"/>
        <v>r302: C00019 + C01977 -&gt; C00021 + C04160 | (${Variables:E2_1_1_33_kcat} * E2_1_1_33 * C00019 * C01977)/(${Variables:E2_1_1_33_km} + (E2_1_1_33 * C00019 * C01977))</v>
      </c>
    </row>
    <row r="304">
      <c r="A304" s="2" t="s">
        <v>1170</v>
      </c>
      <c r="B304" s="2" t="s">
        <v>1171</v>
      </c>
      <c r="C304" s="2" t="s">
        <v>25032</v>
      </c>
      <c r="D304" s="18">
        <v>303.0</v>
      </c>
      <c r="E304" s="2" t="str">
        <f t="shared" si="1"/>
        <v>E2_1_1_45</v>
      </c>
      <c r="F304" s="19" t="s">
        <v>26536</v>
      </c>
      <c r="G304" s="19" t="s">
        <v>26537</v>
      </c>
      <c r="H304" s="19" t="s">
        <v>26538</v>
      </c>
      <c r="I304" s="19" t="s">
        <v>26539</v>
      </c>
      <c r="J304" s="2" t="str">
        <f t="shared" si="2"/>
        <v>(${Variables:E2_1_1_45_kcat} * E2_1_1_45 * C00365 * C00143)/(${Variables:E2_1_1_45_km} + (E2_1_1_45 * C00365 * C00143))</v>
      </c>
      <c r="K304" s="2" t="str">
        <f t="shared" si="3"/>
        <v>r303: C00365 + C00143 -&gt; C00415 + C00364 | (${Variables:E2_1_1_45_kcat} * E2_1_1_45 * C00365 * C00143)/(${Variables:E2_1_1_45_km} + (E2_1_1_45 * C00365 * C00143))</v>
      </c>
    </row>
    <row r="305">
      <c r="A305" s="2" t="s">
        <v>1648</v>
      </c>
      <c r="B305" s="2" t="s">
        <v>1649</v>
      </c>
      <c r="C305" s="2" t="s">
        <v>25033</v>
      </c>
      <c r="D305" s="18">
        <v>304.0</v>
      </c>
      <c r="E305" s="2" t="str">
        <f t="shared" si="1"/>
        <v>E2_1_1_63</v>
      </c>
      <c r="F305" s="19" t="s">
        <v>26540</v>
      </c>
      <c r="G305" s="19" t="s">
        <v>26541</v>
      </c>
      <c r="H305" s="19" t="s">
        <v>26542</v>
      </c>
      <c r="I305" s="19" t="s">
        <v>26543</v>
      </c>
      <c r="J305" s="2" t="str">
        <f t="shared" si="2"/>
        <v>(${Variables:E2_1_1_63_kcat} * E2_1_1_63 * C04250 * C02743)/(${Variables:E2_1_1_63_km} + (E2_1_1_63 * C04250 * C02743))</v>
      </c>
      <c r="K305" s="2" t="str">
        <f t="shared" si="3"/>
        <v>r304: C04250 + C02743 -&gt; C03800 + C11475 | (${Variables:E2_1_1_63_kcat} * E2_1_1_63 * C04250 * C02743)/(${Variables:E2_1_1_63_km} + (E2_1_1_63 * C04250 * C02743))</v>
      </c>
    </row>
    <row r="306">
      <c r="A306" s="2" t="s">
        <v>9978</v>
      </c>
      <c r="B306" s="2" t="s">
        <v>9979</v>
      </c>
      <c r="C306" s="2" t="s">
        <v>25034</v>
      </c>
      <c r="D306" s="18">
        <v>305.0</v>
      </c>
      <c r="E306" s="2" t="str">
        <f t="shared" si="1"/>
        <v>E2_1_1_72</v>
      </c>
      <c r="F306" s="19" t="s">
        <v>26544</v>
      </c>
      <c r="G306" s="19" t="s">
        <v>26545</v>
      </c>
      <c r="H306" s="19" t="s">
        <v>26546</v>
      </c>
      <c r="I306" s="19" t="s">
        <v>26547</v>
      </c>
      <c r="J306" s="2" t="str">
        <f t="shared" si="2"/>
        <v>(${Variables:E2_1_1_72_kcat} * E2_1_1_72 * C00019 * C00821)/(${Variables:E2_1_1_72_km} + (E2_1_1_72 * C00019 * C00821))</v>
      </c>
      <c r="K306" s="2" t="str">
        <f t="shared" si="3"/>
        <v>r305: C00019 + C00821 -&gt; C00021 + C03391 | (${Variables:E2_1_1_72_kcat} * E2_1_1_72 * C00019 * C00821)/(${Variables:E2_1_1_72_km} + (E2_1_1_72 * C00019 * C00821))</v>
      </c>
    </row>
    <row r="307">
      <c r="A307" s="2" t="s">
        <v>11897</v>
      </c>
      <c r="B307" s="2" t="s">
        <v>11898</v>
      </c>
      <c r="C307" s="2" t="s">
        <v>25035</v>
      </c>
      <c r="D307" s="18">
        <v>306.0</v>
      </c>
      <c r="E307" s="2" t="str">
        <f t="shared" si="1"/>
        <v>E2_1_1_74</v>
      </c>
      <c r="F307" s="19" t="s">
        <v>26548</v>
      </c>
      <c r="G307" s="19" t="s">
        <v>26549</v>
      </c>
      <c r="H307" s="19" t="s">
        <v>26550</v>
      </c>
      <c r="I307" s="19" t="s">
        <v>26551</v>
      </c>
      <c r="J307" s="2" t="str">
        <f t="shared" si="2"/>
        <v>(${Variables:E2_1_1_74_kcat} * E2_1_1_74 * C00143 * C01764 * C01352)/(${Variables:E2_1_1_74_km} + (E2_1_1_74 * C00143 * C01764 * C01352))</v>
      </c>
      <c r="K307" s="2" t="str">
        <f t="shared" si="3"/>
        <v>r306: C00143 + C01764 + C01352 -&gt; C00101 + C03446 + C00016 | (${Variables:E2_1_1_74_kcat} * E2_1_1_74 * C00143 * C01764 * C01352)/(${Variables:E2_1_1_74_km} + (E2_1_1_74 * C00143 * C01764 * C01352))</v>
      </c>
    </row>
    <row r="308">
      <c r="A308" s="2" t="s">
        <v>11897</v>
      </c>
      <c r="B308" s="2" t="s">
        <v>11898</v>
      </c>
      <c r="C308" s="2" t="s">
        <v>25035</v>
      </c>
      <c r="D308" s="18">
        <v>307.0</v>
      </c>
      <c r="E308" s="2" t="str">
        <f t="shared" si="1"/>
        <v>E2_1_1_74</v>
      </c>
      <c r="F308" s="19" t="s">
        <v>26552</v>
      </c>
      <c r="G308" s="19" t="s">
        <v>26553</v>
      </c>
      <c r="H308" s="19" t="s">
        <v>26554</v>
      </c>
      <c r="I308" s="19" t="s">
        <v>26555</v>
      </c>
      <c r="J308" s="2" t="str">
        <f t="shared" si="2"/>
        <v>(${Variables:E2_1_1_74_kcat} * E2_1_1_74 * C00143 * C01764 * C00004 * C00080)/(${Variables:E2_1_1_74_km} + (E2_1_1_74 * C00143 * C01764 * C00004 * C00080))</v>
      </c>
      <c r="K308" s="2" t="str">
        <f t="shared" si="3"/>
        <v>r307: C00143 + C01764 + C00004 + C00080 -&gt; C00101 + C03446 + C00003 | (${Variables:E2_1_1_74_kcat} * E2_1_1_74 * C00143 * C01764 * C00004 * C00080)/(${Variables:E2_1_1_74_km} + (E2_1_1_74 * C00143 * C01764 * C00004 * C00080))</v>
      </c>
    </row>
    <row r="309">
      <c r="A309" s="2" t="s">
        <v>13002</v>
      </c>
      <c r="B309" s="2" t="s">
        <v>13003</v>
      </c>
      <c r="C309" s="2" t="s">
        <v>25036</v>
      </c>
      <c r="D309" s="18">
        <v>308.0</v>
      </c>
      <c r="E309" s="2" t="str">
        <f t="shared" si="1"/>
        <v>E2_1_1_79</v>
      </c>
      <c r="F309" s="19" t="s">
        <v>26556</v>
      </c>
      <c r="G309" s="19" t="s">
        <v>26557</v>
      </c>
      <c r="H309" s="19" t="s">
        <v>26558</v>
      </c>
      <c r="I309" s="19" t="s">
        <v>26559</v>
      </c>
      <c r="J309" s="2" t="str">
        <f t="shared" si="2"/>
        <v>(${Variables:E2_1_1_79_kcat} * E2_1_1_79 * C00019 * C01229)/(${Variables:E2_1_1_79_km} + (E2_1_1_79 * C00019 * C01229))</v>
      </c>
      <c r="K309" s="2" t="str">
        <f t="shared" si="3"/>
        <v>r308: C00019 + C01229 -&gt; C00021 + C04340 | (${Variables:E2_1_1_79_kcat} * E2_1_1_79 * C00019 * C01229)/(${Variables:E2_1_1_79_km} + (E2_1_1_79 * C00019 * C01229))</v>
      </c>
    </row>
    <row r="310">
      <c r="A310" s="2" t="s">
        <v>2721</v>
      </c>
      <c r="B310" s="2" t="s">
        <v>2722</v>
      </c>
      <c r="C310" s="2" t="s">
        <v>25037</v>
      </c>
      <c r="D310" s="18">
        <v>309.0</v>
      </c>
      <c r="E310" s="2" t="str">
        <f t="shared" si="1"/>
        <v>E2_1_1_80</v>
      </c>
      <c r="F310" s="19" t="s">
        <v>26560</v>
      </c>
      <c r="G310" s="19" t="s">
        <v>26561</v>
      </c>
      <c r="H310" s="19" t="s">
        <v>26562</v>
      </c>
      <c r="I310" s="19" t="s">
        <v>26563</v>
      </c>
      <c r="J310" s="2" t="str">
        <f t="shared" si="2"/>
        <v>(${Variables:E2_1_1_80_kcat} * E2_1_1_80 * C00019 * C00614)/(${Variables:E2_1_1_80_km} + (E2_1_1_80 * C00019 * C00614))</v>
      </c>
      <c r="K310" s="2" t="str">
        <f t="shared" si="3"/>
        <v>r309: C00019 + C00614 -&gt; C00021 + C04142 | (${Variables:E2_1_1_80_kcat} * E2_1_1_80 * C00019 * C00614)/(${Variables:E2_1_1_80_km} + (E2_1_1_80 * C00019 * C00614))</v>
      </c>
    </row>
    <row r="311">
      <c r="A311" s="2" t="s">
        <v>7691</v>
      </c>
      <c r="B311" s="2" t="s">
        <v>7692</v>
      </c>
      <c r="C311" s="2" t="s">
        <v>25038</v>
      </c>
      <c r="D311" s="18">
        <v>310.0</v>
      </c>
      <c r="E311" s="2" t="str">
        <f t="shared" si="1"/>
        <v>E2_1_2_1</v>
      </c>
      <c r="F311" s="19" t="s">
        <v>26564</v>
      </c>
      <c r="G311" s="19" t="s">
        <v>26565</v>
      </c>
      <c r="H311" s="19" t="s">
        <v>26566</v>
      </c>
      <c r="I311" s="19" t="s">
        <v>26567</v>
      </c>
      <c r="J311" s="2" t="str">
        <f t="shared" si="2"/>
        <v>(${Variables:E2_1_2_1_kcat} * E2_1_2_1 * C00143 * C00037 * C00001)/(${Variables:E2_1_2_1_km} + (E2_1_2_1 * C00143 * C00037 * C00001))</v>
      </c>
      <c r="K311" s="2" t="str">
        <f t="shared" si="3"/>
        <v>r310: C00143 + C00037 + C00001 -&gt; C00101 + C00065 | (${Variables:E2_1_2_1_kcat} * E2_1_2_1 * C00143 * C00037 * C00001)/(${Variables:E2_1_2_1_km} + (E2_1_2_1 * C00143 * C00037 * C00001))</v>
      </c>
    </row>
    <row r="312">
      <c r="A312" s="2" t="s">
        <v>7691</v>
      </c>
      <c r="B312" s="2" t="s">
        <v>7692</v>
      </c>
      <c r="C312" s="2" t="s">
        <v>25038</v>
      </c>
      <c r="D312" s="18">
        <v>311.0</v>
      </c>
      <c r="E312" s="2" t="str">
        <f t="shared" si="1"/>
        <v>E2_1_2_1</v>
      </c>
      <c r="F312" s="19" t="s">
        <v>26568</v>
      </c>
      <c r="G312" s="19" t="s">
        <v>26569</v>
      </c>
      <c r="H312" s="19" t="s">
        <v>26570</v>
      </c>
      <c r="I312" s="19" t="s">
        <v>26571</v>
      </c>
      <c r="J312" s="2" t="str">
        <f t="shared" si="2"/>
        <v>(${Variables:E2_1_2_1_kcat} * E2_1_2_1 * C00065 * C01217)/(${Variables:E2_1_2_1_km} + (E2_1_2_1 * C00065 * C01217))</v>
      </c>
      <c r="K312" s="2" t="str">
        <f t="shared" si="3"/>
        <v>r311: C00065 + C01217 -&gt; C04377 + C00037 + C00001 | (${Variables:E2_1_2_1_kcat} * E2_1_2_1 * C00065 * C01217)/(${Variables:E2_1_2_1_km} + (E2_1_2_1 * C00065 * C01217))</v>
      </c>
    </row>
    <row r="313">
      <c r="A313" s="2" t="s">
        <v>10670</v>
      </c>
      <c r="B313" s="2" t="s">
        <v>10671</v>
      </c>
      <c r="C313" s="2" t="s">
        <v>25039</v>
      </c>
      <c r="D313" s="18">
        <v>312.0</v>
      </c>
      <c r="E313" s="2" t="str">
        <f t="shared" si="1"/>
        <v>E2_1_2_10</v>
      </c>
      <c r="F313" s="19" t="s">
        <v>16040</v>
      </c>
      <c r="G313" s="19" t="s">
        <v>16040</v>
      </c>
      <c r="H313" s="19" t="s">
        <v>26572</v>
      </c>
      <c r="I313" s="19" t="s">
        <v>26573</v>
      </c>
      <c r="J313" s="2" t="str">
        <f t="shared" si="2"/>
        <v>(${Variables:E2_1_2_10_kcat} * E2_1_2_10 * C03479)/(${Variables:E2_1_2_10_km} + (E2_1_2_10 * C03479))</v>
      </c>
      <c r="K313" s="2" t="str">
        <f t="shared" si="3"/>
        <v>r312: C03479 -&gt; C00445 + C00001 | (${Variables:E2_1_2_10_kcat} * E2_1_2_10 * C03479)/(${Variables:E2_1_2_10_km} + (E2_1_2_10 * C03479))</v>
      </c>
    </row>
    <row r="314">
      <c r="A314" s="2" t="s">
        <v>10670</v>
      </c>
      <c r="B314" s="2" t="s">
        <v>10671</v>
      </c>
      <c r="C314" s="2" t="s">
        <v>25039</v>
      </c>
      <c r="D314" s="18">
        <v>313.0</v>
      </c>
      <c r="E314" s="2" t="str">
        <f t="shared" si="1"/>
        <v>E2_1_2_10</v>
      </c>
      <c r="F314" s="19" t="s">
        <v>26574</v>
      </c>
      <c r="G314" s="19" t="s">
        <v>26575</v>
      </c>
      <c r="H314" s="19" t="s">
        <v>26576</v>
      </c>
      <c r="I314" s="19" t="s">
        <v>26577</v>
      </c>
      <c r="J314" s="2" t="str">
        <f t="shared" si="2"/>
        <v>(${Variables:E2_1_2_10_kcat} * E2_1_2_10 * C01242 * C00101)/(${Variables:E2_1_2_10_km} + (E2_1_2_10 * C01242 * C00101))</v>
      </c>
      <c r="K314" s="2" t="str">
        <f t="shared" si="3"/>
        <v>r313: C01242 + C00101 -&gt; C02972 + C00143 + C00014 | (${Variables:E2_1_2_10_kcat} * E2_1_2_10 * C01242 * C00101)/(${Variables:E2_1_2_10_km} + (E2_1_2_10 * C01242 * C00101))</v>
      </c>
    </row>
    <row r="315">
      <c r="A315" s="2" t="s">
        <v>2998</v>
      </c>
      <c r="B315" s="2" t="s">
        <v>2999</v>
      </c>
      <c r="C315" s="2" t="s">
        <v>25040</v>
      </c>
      <c r="D315" s="18">
        <v>314.0</v>
      </c>
      <c r="E315" s="2" t="str">
        <f t="shared" si="1"/>
        <v>E2_1_2_11</v>
      </c>
      <c r="F315" s="19" t="s">
        <v>16048</v>
      </c>
      <c r="G315" s="19" t="s">
        <v>16048</v>
      </c>
      <c r="H315" s="19" t="s">
        <v>26578</v>
      </c>
      <c r="I315" s="19" t="s">
        <v>26579</v>
      </c>
      <c r="J315" s="2" t="str">
        <f t="shared" si="2"/>
        <v>(${Variables:E2_1_2_11_kcat} * E2_1_2_11 * C00966)/(${Variables:E2_1_2_11_km} + (E2_1_2_11 * C00966))</v>
      </c>
      <c r="K315" s="2" t="str">
        <f t="shared" si="3"/>
        <v>r314: C00966 -&gt; C00141 + C00067 | (${Variables:E2_1_2_11_kcat} * E2_1_2_11 * C00966)/(${Variables:E2_1_2_11_km} + (E2_1_2_11 * C00966))</v>
      </c>
    </row>
    <row r="316">
      <c r="A316" s="2" t="s">
        <v>2998</v>
      </c>
      <c r="B316" s="2" t="s">
        <v>2999</v>
      </c>
      <c r="C316" s="2" t="s">
        <v>25040</v>
      </c>
      <c r="D316" s="18">
        <v>315.0</v>
      </c>
      <c r="E316" s="2" t="str">
        <f t="shared" si="1"/>
        <v>E2_1_2_11</v>
      </c>
      <c r="F316" s="19" t="s">
        <v>26580</v>
      </c>
      <c r="G316" s="19" t="s">
        <v>26581</v>
      </c>
      <c r="H316" s="19" t="s">
        <v>26582</v>
      </c>
      <c r="I316" s="19" t="s">
        <v>26583</v>
      </c>
      <c r="J316" s="2" t="str">
        <f t="shared" si="2"/>
        <v>(${Variables:E2_1_2_11_kcat} * E2_1_2_11 * C00143 * C00141 * C00001)/(${Variables:E2_1_2_11_km} + (E2_1_2_11 * C00143 * C00141 * C00001))</v>
      </c>
      <c r="K316" s="2" t="str">
        <f t="shared" si="3"/>
        <v>r315: C00143 + C00141 + C00001 -&gt; C00101 + C00966 | (${Variables:E2_1_2_11_kcat} * E2_1_2_11 * C00143 * C00141 * C00001)/(${Variables:E2_1_2_11_km} + (E2_1_2_11 * C00143 * C00141 * C00001))</v>
      </c>
    </row>
    <row r="317">
      <c r="A317" s="2" t="s">
        <v>6269</v>
      </c>
      <c r="B317" s="2" t="s">
        <v>6270</v>
      </c>
      <c r="C317" s="2" t="s">
        <v>25041</v>
      </c>
      <c r="D317" s="18">
        <v>316.0</v>
      </c>
      <c r="E317" s="2" t="str">
        <f t="shared" si="1"/>
        <v>E2_1_2_2</v>
      </c>
      <c r="F317" s="19" t="s">
        <v>26584</v>
      </c>
      <c r="G317" s="19" t="s">
        <v>26585</v>
      </c>
      <c r="H317" s="19" t="s">
        <v>26586</v>
      </c>
      <c r="I317" s="19" t="s">
        <v>26587</v>
      </c>
      <c r="J317" s="2" t="str">
        <f t="shared" si="2"/>
        <v>(${Variables:E2_1_2_2_kcat} * E2_1_2_2 * C00234 * C03838)/(${Variables:E2_1_2_2_km} + (E2_1_2_2 * C00234 * C03838))</v>
      </c>
      <c r="K317" s="2" t="str">
        <f t="shared" si="3"/>
        <v>r316: C00234 + C03838 -&gt; C00101 + C04376 | (${Variables:E2_1_2_2_kcat} * E2_1_2_2 * C00234 * C03838)/(${Variables:E2_1_2_2_km} + (E2_1_2_2 * C00234 * C03838))</v>
      </c>
    </row>
    <row r="318">
      <c r="A318" s="2" t="s">
        <v>6269</v>
      </c>
      <c r="B318" s="2" t="s">
        <v>6270</v>
      </c>
      <c r="C318" s="2" t="s">
        <v>25041</v>
      </c>
      <c r="D318" s="18">
        <v>317.0</v>
      </c>
      <c r="E318" s="2" t="str">
        <f t="shared" si="1"/>
        <v>E2_1_2_2</v>
      </c>
      <c r="F318" s="19" t="s">
        <v>26588</v>
      </c>
      <c r="G318" s="19" t="s">
        <v>26589</v>
      </c>
      <c r="H318" s="19" t="s">
        <v>26590</v>
      </c>
      <c r="I318" s="19" t="s">
        <v>26591</v>
      </c>
      <c r="J318" s="2" t="str">
        <f t="shared" si="2"/>
        <v>(${Variables:E2_1_2_2_kcat} * E2_1_2_2 * C03838 * C00445 * C00001)/(${Variables:E2_1_2_2_km} + (E2_1_2_2 * C03838 * C00445 * C00001))</v>
      </c>
      <c r="K318" s="2" t="str">
        <f t="shared" si="3"/>
        <v>r317: C03838 + C00445 + C00001 -&gt; C04376 + C00101 | (${Variables:E2_1_2_2_kcat} * E2_1_2_2 * C03838 * C00445 * C00001)/(${Variables:E2_1_2_2_km} + (E2_1_2_2 * C03838 * C00445 * C00001))</v>
      </c>
    </row>
    <row r="319">
      <c r="A319" s="2" t="s">
        <v>6265</v>
      </c>
      <c r="B319" s="2" t="s">
        <v>6266</v>
      </c>
      <c r="C319" s="2" t="s">
        <v>25042</v>
      </c>
      <c r="D319" s="18">
        <v>318.0</v>
      </c>
      <c r="E319" s="2" t="str">
        <f t="shared" si="1"/>
        <v>E2_1_2_3</v>
      </c>
      <c r="F319" s="19" t="s">
        <v>26592</v>
      </c>
      <c r="G319" s="19" t="s">
        <v>26593</v>
      </c>
      <c r="H319" s="19" t="s">
        <v>26594</v>
      </c>
      <c r="I319" s="19" t="s">
        <v>26595</v>
      </c>
      <c r="J319" s="2" t="str">
        <f t="shared" si="2"/>
        <v>(${Variables:E2_1_2_3_kcat} * E2_1_2_3 * C00234 * C04677)/(${Variables:E2_1_2_3_km} + (E2_1_2_3 * C00234 * C04677))</v>
      </c>
      <c r="K319" s="2" t="str">
        <f t="shared" si="3"/>
        <v>r318: C00234 + C04677 -&gt; C00101 + C04734 | (${Variables:E2_1_2_3_kcat} * E2_1_2_3 * C00234 * C04677)/(${Variables:E2_1_2_3_km} + (E2_1_2_3 * C00234 * C04677))</v>
      </c>
    </row>
    <row r="320">
      <c r="A320" s="2" t="s">
        <v>11771</v>
      </c>
      <c r="B320" s="2" t="s">
        <v>11772</v>
      </c>
      <c r="C320" s="2" t="s">
        <v>25043</v>
      </c>
      <c r="D320" s="18">
        <v>319.0</v>
      </c>
      <c r="E320" s="2" t="str">
        <f t="shared" si="1"/>
        <v>E2_1_2_9</v>
      </c>
      <c r="F320" s="19" t="s">
        <v>26596</v>
      </c>
      <c r="G320" s="19" t="s">
        <v>26597</v>
      </c>
      <c r="H320" s="19" t="s">
        <v>26598</v>
      </c>
      <c r="I320" s="19" t="s">
        <v>26599</v>
      </c>
      <c r="J320" s="2" t="str">
        <f t="shared" si="2"/>
        <v>(${Variables:E2_1_2_9_kcat} * E2_1_2_9 * C02430 * C00234)/(${Variables:E2_1_2_9_km} + (E2_1_2_9 * C02430 * C00234))</v>
      </c>
      <c r="K320" s="2" t="str">
        <f t="shared" si="3"/>
        <v>r319: C02430 + C00234 -&gt; C00101 + C03294 | (${Variables:E2_1_2_9_kcat} * E2_1_2_9 * C02430 * C00234)/(${Variables:E2_1_2_9_km} + (E2_1_2_9 * C02430 * C00234))</v>
      </c>
    </row>
    <row r="321">
      <c r="A321" s="2" t="s">
        <v>11689</v>
      </c>
      <c r="B321" s="2" t="s">
        <v>11690</v>
      </c>
      <c r="C321" s="2" t="s">
        <v>25044</v>
      </c>
      <c r="D321" s="18">
        <v>320.0</v>
      </c>
      <c r="E321" s="2" t="str">
        <f t="shared" si="1"/>
        <v>E2_1_3_2</v>
      </c>
      <c r="F321" s="19" t="s">
        <v>26600</v>
      </c>
      <c r="G321" s="19" t="s">
        <v>26601</v>
      </c>
      <c r="H321" s="19" t="s">
        <v>26602</v>
      </c>
      <c r="I321" s="19" t="s">
        <v>26603</v>
      </c>
      <c r="J321" s="2" t="str">
        <f t="shared" si="2"/>
        <v>(${Variables:E2_1_3_2_kcat} * E2_1_3_2 * C00169 * C00049)/(${Variables:E2_1_3_2_km} + (E2_1_3_2 * C00169 * C00049))</v>
      </c>
      <c r="K321" s="2" t="str">
        <f t="shared" si="3"/>
        <v>r320: C00169 + C00049 -&gt; C00009 + C00438 | (${Variables:E2_1_3_2_kcat} * E2_1_3_2 * C00169 * C00049)/(${Variables:E2_1_3_2_km} + (E2_1_3_2 * C00169 * C00049))</v>
      </c>
    </row>
    <row r="322">
      <c r="A322" s="2" t="s">
        <v>6072</v>
      </c>
      <c r="B322" s="2" t="s">
        <v>6073</v>
      </c>
      <c r="C322" s="2" t="s">
        <v>25045</v>
      </c>
      <c r="D322" s="18">
        <v>321.0</v>
      </c>
      <c r="E322" s="2" t="str">
        <f t="shared" si="1"/>
        <v>E2_1_3_3</v>
      </c>
      <c r="F322" s="19" t="s">
        <v>26604</v>
      </c>
      <c r="G322" s="19" t="s">
        <v>26605</v>
      </c>
      <c r="H322" s="19" t="s">
        <v>26606</v>
      </c>
      <c r="I322" s="19" t="s">
        <v>26607</v>
      </c>
      <c r="J322" s="2" t="str">
        <f t="shared" si="2"/>
        <v>(${Variables:E2_1_3_3_kcat} * E2_1_3_3 * C00169 * C00077)/(${Variables:E2_1_3_3_km} + (E2_1_3_3 * C00169 * C00077))</v>
      </c>
      <c r="K322" s="2" t="str">
        <f t="shared" si="3"/>
        <v>r321: C00169 + C00077 -&gt; C00009 + C00327 | (${Variables:E2_1_3_3_kcat} * E2_1_3_3 * C00169 * C00077)/(${Variables:E2_1_3_3_km} + (E2_1_3_3 * C00169 * C00077))</v>
      </c>
    </row>
    <row r="323">
      <c r="A323" s="2" t="s">
        <v>9218</v>
      </c>
      <c r="B323" s="2" t="s">
        <v>9219</v>
      </c>
      <c r="C323" s="2" t="s">
        <v>25046</v>
      </c>
      <c r="D323" s="18">
        <v>322.0</v>
      </c>
      <c r="E323" s="2" t="str">
        <f t="shared" si="1"/>
        <v>E2_10_1_1</v>
      </c>
      <c r="F323" s="19" t="s">
        <v>26608</v>
      </c>
      <c r="G323" s="19" t="s">
        <v>26609</v>
      </c>
      <c r="H323" s="19" t="s">
        <v>26610</v>
      </c>
      <c r="I323" s="19" t="s">
        <v>26611</v>
      </c>
      <c r="J323" s="2" t="str">
        <f t="shared" si="2"/>
        <v>(${Variables:E2_10_1_1_kcat} * E2_10_1_1 * C19848 * C06232)/(${Variables:E2_10_1_1_km} + (E2_10_1_1 * C19848 * C06232))</v>
      </c>
      <c r="K323" s="2" t="str">
        <f t="shared" si="3"/>
        <v>r322: C19848 + C06232 -&gt; C18237 + C00020 + C00001 | (${Variables:E2_10_1_1_kcat} * E2_10_1_1 * C19848 * C06232)/(${Variables:E2_10_1_1_km} + (E2_10_1_1 * C19848 * C06232))</v>
      </c>
    </row>
    <row r="324">
      <c r="A324" s="2" t="s">
        <v>12334</v>
      </c>
      <c r="B324" s="2" t="s">
        <v>12335</v>
      </c>
      <c r="C324" s="2" t="s">
        <v>25047</v>
      </c>
      <c r="D324" s="18">
        <v>323.0</v>
      </c>
      <c r="E324" s="2" t="str">
        <f t="shared" si="1"/>
        <v>E2_2_1_1</v>
      </c>
      <c r="F324" s="19" t="s">
        <v>26612</v>
      </c>
      <c r="G324" s="19" t="s">
        <v>26613</v>
      </c>
      <c r="H324" s="19" t="s">
        <v>26614</v>
      </c>
      <c r="I324" s="19" t="s">
        <v>26615</v>
      </c>
      <c r="J324" s="2" t="str">
        <f t="shared" si="2"/>
        <v>(${Variables:E2_2_1_1_kcat} * E2_2_1_1 * C00085 * C00118)/(${Variables:E2_2_1_1_km} + (E2_2_1_1 * C00085 * C00118))</v>
      </c>
      <c r="K324" s="2" t="str">
        <f t="shared" si="3"/>
        <v>r323: C00085 + C00118 -&gt; C00279 + C00231 | (${Variables:E2_2_1_1_kcat} * E2_2_1_1 * C00085 * C00118)/(${Variables:E2_2_1_1_km} + (E2_2_1_1 * C00085 * C00118))</v>
      </c>
    </row>
    <row r="325">
      <c r="A325" s="2" t="s">
        <v>12334</v>
      </c>
      <c r="B325" s="2" t="s">
        <v>12335</v>
      </c>
      <c r="C325" s="2" t="s">
        <v>25047</v>
      </c>
      <c r="D325" s="18">
        <v>324.0</v>
      </c>
      <c r="E325" s="2" t="str">
        <f t="shared" si="1"/>
        <v>E2_2_1_1</v>
      </c>
      <c r="F325" s="19" t="s">
        <v>26616</v>
      </c>
      <c r="G325" s="19" t="s">
        <v>26617</v>
      </c>
      <c r="H325" s="19" t="s">
        <v>26618</v>
      </c>
      <c r="I325" s="19" t="s">
        <v>26619</v>
      </c>
      <c r="J325" s="2" t="str">
        <f t="shared" si="2"/>
        <v>(${Variables:E2_2_1_1_kcat} * E2_2_1_1 * C05382 * C00118)/(${Variables:E2_2_1_1_km} + (E2_2_1_1 * C05382 * C00118))</v>
      </c>
      <c r="K325" s="2" t="str">
        <f t="shared" si="3"/>
        <v>r324: C05382 + C00118 -&gt; C00117 + C00231 | (${Variables:E2_2_1_1_kcat} * E2_2_1_1 * C05382 * C00118)/(${Variables:E2_2_1_1_km} + (E2_2_1_1 * C05382 * C00118))</v>
      </c>
    </row>
    <row r="326">
      <c r="A326" s="2" t="s">
        <v>12334</v>
      </c>
      <c r="B326" s="2" t="s">
        <v>12335</v>
      </c>
      <c r="C326" s="2" t="s">
        <v>25047</v>
      </c>
      <c r="D326" s="18">
        <v>325.0</v>
      </c>
      <c r="E326" s="2" t="str">
        <f t="shared" si="1"/>
        <v>E2_2_1_1</v>
      </c>
      <c r="F326" s="19" t="s">
        <v>26620</v>
      </c>
      <c r="G326" s="19" t="s">
        <v>26621</v>
      </c>
      <c r="H326" s="19" t="s">
        <v>26614</v>
      </c>
      <c r="I326" s="19" t="s">
        <v>26615</v>
      </c>
      <c r="J326" s="2" t="str">
        <f t="shared" si="2"/>
        <v>(${Variables:E2_2_1_1_kcat} * E2_2_1_1 * C05345 * C00118)/(${Variables:E2_2_1_1_km} + (E2_2_1_1 * C05345 * C00118))</v>
      </c>
      <c r="K326" s="2" t="str">
        <f t="shared" si="3"/>
        <v>r325: C05345 + C00118 -&gt; C00279 + C00231 | (${Variables:E2_2_1_1_kcat} * E2_2_1_1 * C05345 * C00118)/(${Variables:E2_2_1_1_km} + (E2_2_1_1 * C05345 * C00118))</v>
      </c>
    </row>
    <row r="327">
      <c r="A327" s="2" t="s">
        <v>12334</v>
      </c>
      <c r="B327" s="2" t="s">
        <v>12335</v>
      </c>
      <c r="C327" s="2" t="s">
        <v>25047</v>
      </c>
      <c r="D327" s="18">
        <v>326.0</v>
      </c>
      <c r="E327" s="2" t="str">
        <f t="shared" si="1"/>
        <v>E2_2_1_1</v>
      </c>
      <c r="F327" s="19" t="s">
        <v>26622</v>
      </c>
      <c r="G327" s="19" t="s">
        <v>26623</v>
      </c>
      <c r="H327" s="19" t="s">
        <v>26624</v>
      </c>
      <c r="I327" s="19" t="s">
        <v>26625</v>
      </c>
      <c r="J327" s="2" t="str">
        <f t="shared" si="2"/>
        <v>(${Variables:E2_2_1_1_kcat} * E2_2_1_1 * C12214 * C00117)/(${Variables:E2_2_1_1_km} + (E2_2_1_1 * C12214 * C00117))</v>
      </c>
      <c r="K327" s="2" t="str">
        <f t="shared" si="3"/>
        <v>r326: C12214 + C00117 -&gt; C12215 + C05382 | (${Variables:E2_2_1_1_kcat} * E2_2_1_1 * C12214 * C00117)/(${Variables:E2_2_1_1_km} + (E2_2_1_1 * C12214 * C00117))</v>
      </c>
    </row>
    <row r="328">
      <c r="A328" s="2" t="s">
        <v>12334</v>
      </c>
      <c r="B328" s="2" t="s">
        <v>12335</v>
      </c>
      <c r="C328" s="2" t="s">
        <v>25047</v>
      </c>
      <c r="D328" s="18">
        <v>327.0</v>
      </c>
      <c r="E328" s="2" t="str">
        <f t="shared" si="1"/>
        <v>E2_2_1_1</v>
      </c>
      <c r="F328" s="19" t="s">
        <v>26626</v>
      </c>
      <c r="G328" s="19" t="s">
        <v>26627</v>
      </c>
      <c r="H328" s="19" t="s">
        <v>26628</v>
      </c>
      <c r="I328" s="19" t="s">
        <v>26629</v>
      </c>
      <c r="J328" s="2" t="str">
        <f t="shared" si="2"/>
        <v>(${Variables:E2_2_1_1_kcat} * E2_2_1_1 * C00231 * C00068)/(${Variables:E2_2_1_1_km} + (E2_2_1_1 * C00231 * C00068))</v>
      </c>
      <c r="K328" s="2" t="str">
        <f t="shared" si="3"/>
        <v>r327: C00231 + C00068 -&gt; C13378 + C00118 | (${Variables:E2_2_1_1_kcat} * E2_2_1_1 * C00231 * C00068)/(${Variables:E2_2_1_1_km} + (E2_2_1_1 * C00231 * C00068))</v>
      </c>
    </row>
    <row r="329">
      <c r="A329" s="2" t="s">
        <v>12334</v>
      </c>
      <c r="B329" s="2" t="s">
        <v>12335</v>
      </c>
      <c r="C329" s="2" t="s">
        <v>25047</v>
      </c>
      <c r="D329" s="18">
        <v>328.0</v>
      </c>
      <c r="E329" s="2" t="str">
        <f t="shared" si="1"/>
        <v>E2_2_1_1</v>
      </c>
      <c r="F329" s="19" t="s">
        <v>26630</v>
      </c>
      <c r="G329" s="19" t="s">
        <v>26631</v>
      </c>
      <c r="H329" s="19" t="s">
        <v>26632</v>
      </c>
      <c r="I329" s="19" t="s">
        <v>26633</v>
      </c>
      <c r="J329" s="2" t="str">
        <f t="shared" si="2"/>
        <v>(${Variables:E2_2_1_1_kcat} * E2_2_1_1 * C05382 * C00068)/(${Variables:E2_2_1_1_km} + (E2_2_1_1 * C05382 * C00068))</v>
      </c>
      <c r="K329" s="2" t="str">
        <f t="shared" si="3"/>
        <v>r328: C05382 + C00068 -&gt; C13378 + C00117 | (${Variables:E2_2_1_1_kcat} * E2_2_1_1 * C05382 * C00068)/(${Variables:E2_2_1_1_km} + (E2_2_1_1 * C05382 * C00068))</v>
      </c>
    </row>
    <row r="330">
      <c r="A330" s="2" t="s">
        <v>3437</v>
      </c>
      <c r="B330" s="2" t="s">
        <v>3438</v>
      </c>
      <c r="C330" s="2" t="s">
        <v>25048</v>
      </c>
      <c r="D330" s="18">
        <v>329.0</v>
      </c>
      <c r="E330" s="2" t="str">
        <f t="shared" si="1"/>
        <v>E2_2_1_6</v>
      </c>
      <c r="F330" s="19" t="s">
        <v>26634</v>
      </c>
      <c r="G330" s="19" t="s">
        <v>26635</v>
      </c>
      <c r="H330" s="19" t="s">
        <v>16109</v>
      </c>
      <c r="I330" s="19" t="s">
        <v>16109</v>
      </c>
      <c r="J330" s="2" t="str">
        <f t="shared" si="2"/>
        <v>(${Variables:E2_2_1_6_kcat} * E2_2_1_6 * C00900 * C00011)/(${Variables:E2_2_1_6_km} + (E2_2_1_6 * C00900 * C00011))</v>
      </c>
      <c r="K330" s="2" t="str">
        <f t="shared" si="3"/>
        <v>r329: C00900 + C00011 -&gt; C00022 | (${Variables:E2_2_1_6_kcat} * E2_2_1_6 * C00900 * C00011)/(${Variables:E2_2_1_6_km} + (E2_2_1_6 * C00900 * C00011))</v>
      </c>
    </row>
    <row r="331">
      <c r="A331" s="2" t="s">
        <v>3437</v>
      </c>
      <c r="B331" s="2" t="s">
        <v>3438</v>
      </c>
      <c r="C331" s="2" t="s">
        <v>25048</v>
      </c>
      <c r="D331" s="18">
        <v>330.0</v>
      </c>
      <c r="E331" s="2" t="str">
        <f t="shared" si="1"/>
        <v>E2_2_1_6</v>
      </c>
      <c r="F331" s="19" t="s">
        <v>26142</v>
      </c>
      <c r="G331" s="19" t="s">
        <v>26143</v>
      </c>
      <c r="H331" s="19" t="s">
        <v>26144</v>
      </c>
      <c r="I331" s="19" t="s">
        <v>26145</v>
      </c>
      <c r="J331" s="2" t="str">
        <f t="shared" si="2"/>
        <v>(${Variables:E2_2_1_6_kcat} * E2_2_1_6 * C00022 * C00068)/(${Variables:E2_2_1_6_km} + (E2_2_1_6 * C00022 * C00068))</v>
      </c>
      <c r="K331" s="2" t="str">
        <f t="shared" si="3"/>
        <v>r330: C00022 + C00068 -&gt; C05125 + C00011 | (${Variables:E2_2_1_6_kcat} * E2_2_1_6 * C00022 * C00068)/(${Variables:E2_2_1_6_km} + (E2_2_1_6 * C00022 * C00068))</v>
      </c>
    </row>
    <row r="332">
      <c r="A332" s="2" t="s">
        <v>3437</v>
      </c>
      <c r="B332" s="2" t="s">
        <v>3438</v>
      </c>
      <c r="C332" s="2" t="s">
        <v>25048</v>
      </c>
      <c r="D332" s="18">
        <v>331.0</v>
      </c>
      <c r="E332" s="2" t="str">
        <f t="shared" si="1"/>
        <v>E2_2_1_6</v>
      </c>
      <c r="F332" s="19" t="s">
        <v>26636</v>
      </c>
      <c r="G332" s="19" t="s">
        <v>26637</v>
      </c>
      <c r="H332" s="19" t="s">
        <v>16109</v>
      </c>
      <c r="I332" s="19" t="s">
        <v>16109</v>
      </c>
      <c r="J332" s="2" t="str">
        <f t="shared" si="2"/>
        <v>(${Variables:E2_2_1_6_kcat} * E2_2_1_6 * C06010 * C00011)/(${Variables:E2_2_1_6_km} + (E2_2_1_6 * C06010 * C00011))</v>
      </c>
      <c r="K332" s="2" t="str">
        <f t="shared" si="3"/>
        <v>r331: C06010 + C00011 -&gt; C00022 | (${Variables:E2_2_1_6_kcat} * E2_2_1_6 * C06010 * C00011)/(${Variables:E2_2_1_6_km} + (E2_2_1_6 * C06010 * C00011))</v>
      </c>
    </row>
    <row r="333">
      <c r="A333" s="2" t="s">
        <v>3437</v>
      </c>
      <c r="B333" s="2" t="s">
        <v>3438</v>
      </c>
      <c r="C333" s="2" t="s">
        <v>25048</v>
      </c>
      <c r="D333" s="18">
        <v>332.0</v>
      </c>
      <c r="E333" s="2" t="str">
        <f t="shared" si="1"/>
        <v>E2_2_1_6</v>
      </c>
      <c r="F333" s="19" t="s">
        <v>26638</v>
      </c>
      <c r="G333" s="19" t="s">
        <v>26639</v>
      </c>
      <c r="H333" s="19" t="s">
        <v>26640</v>
      </c>
      <c r="I333" s="19" t="s">
        <v>26641</v>
      </c>
      <c r="J333" s="2" t="str">
        <f t="shared" si="2"/>
        <v>(${Variables:E2_2_1_6_kcat} * E2_2_1_6 * C00900 * C00068)/(${Variables:E2_2_1_6_km} + (E2_2_1_6 * C00900 * C00068))</v>
      </c>
      <c r="K333" s="2" t="str">
        <f t="shared" si="3"/>
        <v>r332: C00900 + C00068 -&gt; C05125 + C00022 | (${Variables:E2_2_1_6_kcat} * E2_2_1_6 * C00900 * C00068)/(${Variables:E2_2_1_6_km} + (E2_2_1_6 * C00900 * C00068))</v>
      </c>
    </row>
    <row r="334">
      <c r="A334" s="2" t="s">
        <v>3437</v>
      </c>
      <c r="B334" s="2" t="s">
        <v>3438</v>
      </c>
      <c r="C334" s="2" t="s">
        <v>25048</v>
      </c>
      <c r="D334" s="18">
        <v>333.0</v>
      </c>
      <c r="E334" s="2" t="str">
        <f t="shared" si="1"/>
        <v>E2_2_1_6</v>
      </c>
      <c r="F334" s="19" t="s">
        <v>26642</v>
      </c>
      <c r="G334" s="19" t="s">
        <v>26643</v>
      </c>
      <c r="H334" s="19" t="s">
        <v>26640</v>
      </c>
      <c r="I334" s="19" t="s">
        <v>26641</v>
      </c>
      <c r="J334" s="2" t="str">
        <f t="shared" si="2"/>
        <v>(${Variables:E2_2_1_6_kcat} * E2_2_1_6 * C06010 * C00068)/(${Variables:E2_2_1_6_km} + (E2_2_1_6 * C06010 * C00068))</v>
      </c>
      <c r="K334" s="2" t="str">
        <f t="shared" si="3"/>
        <v>r333: C06010 + C00068 -&gt; C05125 + C00022 | (${Variables:E2_2_1_6_kcat} * E2_2_1_6 * C06010 * C00068)/(${Variables:E2_2_1_6_km} + (E2_2_1_6 * C06010 * C00068))</v>
      </c>
    </row>
    <row r="335">
      <c r="A335" s="2" t="s">
        <v>3437</v>
      </c>
      <c r="B335" s="2" t="s">
        <v>3438</v>
      </c>
      <c r="C335" s="2" t="s">
        <v>25048</v>
      </c>
      <c r="D335" s="18">
        <v>334.0</v>
      </c>
      <c r="E335" s="2" t="str">
        <f t="shared" si="1"/>
        <v>E2_2_1_6</v>
      </c>
      <c r="F335" s="19" t="s">
        <v>26644</v>
      </c>
      <c r="G335" s="19" t="s">
        <v>26645</v>
      </c>
      <c r="H335" s="19" t="s">
        <v>26646</v>
      </c>
      <c r="I335" s="19" t="s">
        <v>26647</v>
      </c>
      <c r="J335" s="2" t="str">
        <f t="shared" si="2"/>
        <v>(${Variables:E2_2_1_6_kcat} * E2_2_1_6 * C00109 * C05125)/(${Variables:E2_2_1_6_km} + (E2_2_1_6 * C00109 * C05125))</v>
      </c>
      <c r="K335" s="2" t="str">
        <f t="shared" si="3"/>
        <v>r334: C00109 + C05125 -&gt; C06006 + C00068 | (${Variables:E2_2_1_6_kcat} * E2_2_1_6 * C00109 * C05125)/(${Variables:E2_2_1_6_km} + (E2_2_1_6 * C00109 * C05125))</v>
      </c>
    </row>
    <row r="336">
      <c r="A336" s="2" t="s">
        <v>3437</v>
      </c>
      <c r="B336" s="2" t="s">
        <v>3438</v>
      </c>
      <c r="C336" s="2" t="s">
        <v>25048</v>
      </c>
      <c r="D336" s="18">
        <v>335.0</v>
      </c>
      <c r="E336" s="2" t="str">
        <f t="shared" si="1"/>
        <v>E2_2_1_6</v>
      </c>
      <c r="F336" s="19" t="s">
        <v>26648</v>
      </c>
      <c r="G336" s="19" t="s">
        <v>26649</v>
      </c>
      <c r="H336" s="19" t="s">
        <v>26650</v>
      </c>
      <c r="I336" s="19" t="s">
        <v>26651</v>
      </c>
      <c r="J336" s="2" t="str">
        <f t="shared" si="2"/>
        <v>(${Variables:E2_2_1_6_kcat} * E2_2_1_6 * C00022 * C00109)/(${Variables:E2_2_1_6_km} + (E2_2_1_6 * C00022 * C00109))</v>
      </c>
      <c r="K336" s="2" t="str">
        <f t="shared" si="3"/>
        <v>r335: C00022 + C00109 -&gt; C06006 + C00011 | (${Variables:E2_2_1_6_kcat} * E2_2_1_6 * C00022 * C00109)/(${Variables:E2_2_1_6_km} + (E2_2_1_6 * C00022 * C00109))</v>
      </c>
    </row>
    <row r="337">
      <c r="A337" s="2" t="s">
        <v>10822</v>
      </c>
      <c r="B337" s="2" t="s">
        <v>10823</v>
      </c>
      <c r="C337" s="2" t="s">
        <v>25049</v>
      </c>
      <c r="D337" s="18">
        <v>336.0</v>
      </c>
      <c r="E337" s="2" t="str">
        <f t="shared" si="1"/>
        <v>E2_2_1_7</v>
      </c>
      <c r="F337" s="19" t="s">
        <v>26652</v>
      </c>
      <c r="G337" s="19" t="s">
        <v>26653</v>
      </c>
      <c r="H337" s="19" t="s">
        <v>26654</v>
      </c>
      <c r="I337" s="19" t="s">
        <v>26655</v>
      </c>
      <c r="J337" s="2" t="str">
        <f t="shared" si="2"/>
        <v>(${Variables:E2_2_1_7_kcat} * E2_2_1_7 * C00022 * C00118)/(${Variables:E2_2_1_7_km} + (E2_2_1_7 * C00022 * C00118))</v>
      </c>
      <c r="K337" s="2" t="str">
        <f t="shared" si="3"/>
        <v>r336: C00022 + C00118 -&gt; C11437 + C00011 | (${Variables:E2_2_1_7_kcat} * E2_2_1_7 * C00022 * C00118)/(${Variables:E2_2_1_7_km} + (E2_2_1_7 * C00022 * C00118))</v>
      </c>
    </row>
    <row r="338">
      <c r="A338" s="2" t="s">
        <v>8887</v>
      </c>
      <c r="B338" s="2" t="s">
        <v>8888</v>
      </c>
      <c r="C338" s="2" t="s">
        <v>25050</v>
      </c>
      <c r="D338" s="18">
        <v>337.0</v>
      </c>
      <c r="E338" s="2" t="str">
        <f t="shared" si="1"/>
        <v>E2_2_1_9</v>
      </c>
      <c r="F338" s="19" t="s">
        <v>26656</v>
      </c>
      <c r="G338" s="19" t="s">
        <v>26657</v>
      </c>
      <c r="H338" s="19" t="s">
        <v>26658</v>
      </c>
      <c r="I338" s="19" t="s">
        <v>26659</v>
      </c>
      <c r="J338" s="2" t="str">
        <f t="shared" si="2"/>
        <v>(${Variables:E2_2_1_9_kcat} * E2_2_1_9 * C00885 * C00026)/(${Variables:E2_2_1_9_km} + (E2_2_1_9 * C00885 * C00026))</v>
      </c>
      <c r="K338" s="2" t="str">
        <f t="shared" si="3"/>
        <v>r337: C00885 + C00026 -&gt; C16519 + C00011 | (${Variables:E2_2_1_9_kcat} * E2_2_1_9 * C00885 * C00026)/(${Variables:E2_2_1_9_km} + (E2_2_1_9 * C00885 * C00026))</v>
      </c>
    </row>
    <row r="339">
      <c r="A339" s="2" t="s">
        <v>10959</v>
      </c>
      <c r="B339" s="2" t="s">
        <v>10960</v>
      </c>
      <c r="C339" s="2" t="s">
        <v>25051</v>
      </c>
      <c r="D339" s="18">
        <v>338.0</v>
      </c>
      <c r="E339" s="2" t="str">
        <f t="shared" si="1"/>
        <v>E2_3_1_1</v>
      </c>
      <c r="F339" s="19" t="s">
        <v>26660</v>
      </c>
      <c r="G339" s="19" t="s">
        <v>26661</v>
      </c>
      <c r="H339" s="19" t="s">
        <v>26662</v>
      </c>
      <c r="I339" s="19" t="s">
        <v>26663</v>
      </c>
      <c r="J339" s="2" t="str">
        <f t="shared" si="2"/>
        <v>(${Variables:E2_3_1_1_kcat} * E2_3_1_1 * C00024 * C00025)/(${Variables:E2_3_1_1_km} + (E2_3_1_1 * C00024 * C00025))</v>
      </c>
      <c r="K339" s="2" t="str">
        <f t="shared" si="3"/>
        <v>r338: C00024 + C00025 -&gt; C00010 + C00624 | (${Variables:E2_3_1_1_kcat} * E2_3_1_1 * C00024 * C00025)/(${Variables:E2_3_1_1_km} + (E2_3_1_1 * C00024 * C00025))</v>
      </c>
    </row>
    <row r="340">
      <c r="A340" s="2" t="s">
        <v>11431</v>
      </c>
      <c r="B340" s="2" t="s">
        <v>11432</v>
      </c>
      <c r="C340" s="2" t="s">
        <v>25052</v>
      </c>
      <c r="D340" s="18">
        <v>339.0</v>
      </c>
      <c r="E340" s="2" t="str">
        <f t="shared" si="1"/>
        <v>E2_3_1_12</v>
      </c>
      <c r="F340" s="19" t="s">
        <v>26664</v>
      </c>
      <c r="G340" s="19" t="s">
        <v>26665</v>
      </c>
      <c r="H340" s="19" t="s">
        <v>26666</v>
      </c>
      <c r="I340" s="19" t="s">
        <v>26667</v>
      </c>
      <c r="J340" s="2" t="str">
        <f t="shared" si="2"/>
        <v>(${Variables:E2_3_1_12_kcat} * E2_3_1_12 * C00024 * C15973)/(${Variables:E2_3_1_12_km} + (E2_3_1_12 * C00024 * C15973))</v>
      </c>
      <c r="K340" s="2" t="str">
        <f t="shared" si="3"/>
        <v>r339: C00024 + C15973 -&gt; C00010 + C16255 | (${Variables:E2_3_1_12_kcat} * E2_3_1_12 * C00024 * C15973)/(${Variables:E2_3_1_12_km} + (E2_3_1_12 * C00024 * C15973))</v>
      </c>
    </row>
    <row r="341">
      <c r="A341" s="2" t="s">
        <v>7035</v>
      </c>
      <c r="B341" s="2" t="s">
        <v>7036</v>
      </c>
      <c r="C341" s="2" t="s">
        <v>25054</v>
      </c>
      <c r="D341" s="18">
        <v>340.0</v>
      </c>
      <c r="E341" s="2" t="str">
        <f t="shared" si="1"/>
        <v>E2_3_1_157</v>
      </c>
      <c r="F341" s="19" t="s">
        <v>26668</v>
      </c>
      <c r="G341" s="19" t="s">
        <v>26669</v>
      </c>
      <c r="H341" s="19" t="s">
        <v>26670</v>
      </c>
      <c r="I341" s="19" t="s">
        <v>26671</v>
      </c>
      <c r="J341" s="2" t="str">
        <f t="shared" si="2"/>
        <v>(${Variables:E2_3_1_157_kcat} * E2_3_1_157 * C00024 * C06156)/(${Variables:E2_3_1_157_km} + (E2_3_1_157 * C00024 * C06156))</v>
      </c>
      <c r="K341" s="2" t="str">
        <f t="shared" si="3"/>
        <v>r340: C00024 + C06156 -&gt; C00010 + C04501 | (${Variables:E2_3_1_157_kcat} * E2_3_1_157 * C00024 * C06156)/(${Variables:E2_3_1_157_km} + (E2_3_1_157 * C00024 * C06156))</v>
      </c>
    </row>
    <row r="342">
      <c r="A342" s="2" t="s">
        <v>4056</v>
      </c>
      <c r="B342" s="2" t="s">
        <v>4057</v>
      </c>
      <c r="C342" s="2" t="s">
        <v>25055</v>
      </c>
      <c r="D342" s="18">
        <v>341.0</v>
      </c>
      <c r="E342" s="2" t="str">
        <f t="shared" si="1"/>
        <v>E2_3_1_179</v>
      </c>
      <c r="F342" s="19" t="s">
        <v>26672</v>
      </c>
      <c r="G342" s="19" t="s">
        <v>26673</v>
      </c>
      <c r="H342" s="19" t="s">
        <v>26674</v>
      </c>
      <c r="I342" s="19" t="s">
        <v>26675</v>
      </c>
      <c r="J342" s="2" t="str">
        <f t="shared" si="2"/>
        <v>(${Variables:E2_3_1_179_kcat} * E2_3_1_179 * C00173 * C01209)/(${Variables:E2_3_1_179_km} + (E2_3_1_179 * C00173 * C01209))</v>
      </c>
      <c r="K342" s="2" t="str">
        <f t="shared" si="3"/>
        <v>r341: C00173 + C01209 -&gt; C00685 + C00011 + C00229 | (${Variables:E2_3_1_179_kcat} * E2_3_1_179 * C00173 * C01209)/(${Variables:E2_3_1_179_km} + (E2_3_1_179 * C00173 * C01209))</v>
      </c>
    </row>
    <row r="343">
      <c r="A343" s="2" t="s">
        <v>4056</v>
      </c>
      <c r="B343" s="2" t="s">
        <v>4057</v>
      </c>
      <c r="C343" s="2" t="s">
        <v>25055</v>
      </c>
      <c r="D343" s="18">
        <v>342.0</v>
      </c>
      <c r="E343" s="2" t="str">
        <f t="shared" si="1"/>
        <v>E2_3_1_179</v>
      </c>
      <c r="F343" s="19" t="s">
        <v>26676</v>
      </c>
      <c r="G343" s="19" t="s">
        <v>26677</v>
      </c>
      <c r="H343" s="19" t="s">
        <v>26678</v>
      </c>
      <c r="I343" s="19" t="s">
        <v>26679</v>
      </c>
      <c r="J343" s="2" t="str">
        <f t="shared" si="2"/>
        <v>(${Variables:E2_3_1_179_kcat} * E2_3_1_179 * C03939 * C01209)/(${Variables:E2_3_1_179_km} + (E2_3_1_179 * C03939 * C01209))</v>
      </c>
      <c r="K343" s="2" t="str">
        <f t="shared" si="3"/>
        <v>r342: C03939 + C01209 -&gt; C05744 + C00011 + C00229 | (${Variables:E2_3_1_179_kcat} * E2_3_1_179 * C03939 * C01209)/(${Variables:E2_3_1_179_km} + (E2_3_1_179 * C03939 * C01209))</v>
      </c>
    </row>
    <row r="344">
      <c r="A344" s="2" t="s">
        <v>4056</v>
      </c>
      <c r="B344" s="2" t="s">
        <v>4057</v>
      </c>
      <c r="C344" s="2" t="s">
        <v>25055</v>
      </c>
      <c r="D344" s="18">
        <v>343.0</v>
      </c>
      <c r="E344" s="2" t="str">
        <f t="shared" si="1"/>
        <v>E2_3_1_179</v>
      </c>
      <c r="F344" s="19" t="s">
        <v>26680</v>
      </c>
      <c r="G344" s="19" t="s">
        <v>26681</v>
      </c>
      <c r="H344" s="19" t="s">
        <v>26682</v>
      </c>
      <c r="I344" s="19" t="s">
        <v>26683</v>
      </c>
      <c r="J344" s="2" t="str">
        <f t="shared" si="2"/>
        <v>(${Variables:E2_3_1_179_kcat} * E2_3_1_179 * C05223 * C01209)/(${Variables:E2_3_1_179_km} + (E2_3_1_179 * C05223 * C01209))</v>
      </c>
      <c r="K344" s="2" t="str">
        <f t="shared" si="3"/>
        <v>r343: C05223 + C01209 -&gt; C05759 + C00011 + C00229 | (${Variables:E2_3_1_179_kcat} * E2_3_1_179 * C05223 * C01209)/(${Variables:E2_3_1_179_km} + (E2_3_1_179 * C05223 * C01209))</v>
      </c>
    </row>
    <row r="345">
      <c r="A345" s="2" t="s">
        <v>4056</v>
      </c>
      <c r="B345" s="2" t="s">
        <v>4057</v>
      </c>
      <c r="C345" s="2" t="s">
        <v>25055</v>
      </c>
      <c r="D345" s="18">
        <v>344.0</v>
      </c>
      <c r="E345" s="2" t="str">
        <f t="shared" si="1"/>
        <v>E2_3_1_179</v>
      </c>
      <c r="F345" s="19" t="s">
        <v>26684</v>
      </c>
      <c r="G345" s="19" t="s">
        <v>26685</v>
      </c>
      <c r="H345" s="19" t="s">
        <v>26686</v>
      </c>
      <c r="I345" s="19" t="s">
        <v>26687</v>
      </c>
      <c r="J345" s="2" t="str">
        <f t="shared" si="2"/>
        <v>(${Variables:E2_3_1_179_kcat} * E2_3_1_179 * C05745 * C01209)/(${Variables:E2_3_1_179_km} + (E2_3_1_179 * C05745 * C01209))</v>
      </c>
      <c r="K345" s="2" t="str">
        <f t="shared" si="3"/>
        <v>r344: C05745 + C01209 -&gt; C05746 + C00011 + C00229 | (${Variables:E2_3_1_179_kcat} * E2_3_1_179 * C05745 * C01209)/(${Variables:E2_3_1_179_km} + (E2_3_1_179 * C05745 * C01209))</v>
      </c>
    </row>
    <row r="346">
      <c r="A346" s="2" t="s">
        <v>4056</v>
      </c>
      <c r="B346" s="2" t="s">
        <v>4057</v>
      </c>
      <c r="C346" s="2" t="s">
        <v>25055</v>
      </c>
      <c r="D346" s="18">
        <v>345.0</v>
      </c>
      <c r="E346" s="2" t="str">
        <f t="shared" si="1"/>
        <v>E2_3_1_179</v>
      </c>
      <c r="F346" s="19" t="s">
        <v>26688</v>
      </c>
      <c r="G346" s="19" t="s">
        <v>26689</v>
      </c>
      <c r="H346" s="19" t="s">
        <v>26690</v>
      </c>
      <c r="I346" s="19" t="s">
        <v>26691</v>
      </c>
      <c r="J346" s="2" t="str">
        <f t="shared" si="2"/>
        <v>(${Variables:E2_3_1_179_kcat} * E2_3_1_179 * C05749 * C01209)/(${Variables:E2_3_1_179_km} + (E2_3_1_179 * C05749 * C01209))</v>
      </c>
      <c r="K346" s="2" t="str">
        <f t="shared" si="3"/>
        <v>r345: C05749 + C01209 -&gt; C05750 + C00011 + C00229 | (${Variables:E2_3_1_179_kcat} * E2_3_1_179 * C05749 * C01209)/(${Variables:E2_3_1_179_km} + (E2_3_1_179 * C05749 * C01209))</v>
      </c>
    </row>
    <row r="347">
      <c r="A347" s="2" t="s">
        <v>4056</v>
      </c>
      <c r="B347" s="2" t="s">
        <v>4057</v>
      </c>
      <c r="C347" s="2" t="s">
        <v>25055</v>
      </c>
      <c r="D347" s="18">
        <v>346.0</v>
      </c>
      <c r="E347" s="2" t="str">
        <f t="shared" si="1"/>
        <v>E2_3_1_179</v>
      </c>
      <c r="F347" s="19" t="s">
        <v>26692</v>
      </c>
      <c r="G347" s="19" t="s">
        <v>26693</v>
      </c>
      <c r="H347" s="19" t="s">
        <v>26694</v>
      </c>
      <c r="I347" s="19" t="s">
        <v>26695</v>
      </c>
      <c r="J347" s="2" t="str">
        <f t="shared" si="2"/>
        <v>(${Variables:E2_3_1_179_kcat} * E2_3_1_179 * C05752 * C01209)/(${Variables:E2_3_1_179_km} + (E2_3_1_179 * C05752 * C01209))</v>
      </c>
      <c r="K347" s="2" t="str">
        <f t="shared" si="3"/>
        <v>r346: C05752 + C01209 -&gt; C05753 + C00011 + C00229 | (${Variables:E2_3_1_179_kcat} * E2_3_1_179 * C05752 * C01209)/(${Variables:E2_3_1_179_km} + (E2_3_1_179 * C05752 * C01209))</v>
      </c>
    </row>
    <row r="348">
      <c r="A348" s="2" t="s">
        <v>4056</v>
      </c>
      <c r="B348" s="2" t="s">
        <v>4057</v>
      </c>
      <c r="C348" s="2" t="s">
        <v>25055</v>
      </c>
      <c r="D348" s="18">
        <v>347.0</v>
      </c>
      <c r="E348" s="2" t="str">
        <f t="shared" si="1"/>
        <v>E2_3_1_179</v>
      </c>
      <c r="F348" s="19" t="s">
        <v>26696</v>
      </c>
      <c r="G348" s="19" t="s">
        <v>26697</v>
      </c>
      <c r="H348" s="19" t="s">
        <v>26698</v>
      </c>
      <c r="I348" s="19" t="s">
        <v>26699</v>
      </c>
      <c r="J348" s="2" t="str">
        <f t="shared" si="2"/>
        <v>(${Variables:E2_3_1_179_kcat} * E2_3_1_179 * C05755 * C01209)/(${Variables:E2_3_1_179_km} + (E2_3_1_179 * C05755 * C01209))</v>
      </c>
      <c r="K348" s="2" t="str">
        <f t="shared" si="3"/>
        <v>r347: C05755 + C01209 -&gt; C05756 + C00011 + C00229 | (${Variables:E2_3_1_179_kcat} * E2_3_1_179 * C05755 * C01209)/(${Variables:E2_3_1_179_km} + (E2_3_1_179 * C05755 * C01209))</v>
      </c>
    </row>
    <row r="349">
      <c r="A349" s="2" t="s">
        <v>4056</v>
      </c>
      <c r="B349" s="2" t="s">
        <v>4057</v>
      </c>
      <c r="C349" s="2" t="s">
        <v>25055</v>
      </c>
      <c r="D349" s="18">
        <v>348.0</v>
      </c>
      <c r="E349" s="2" t="str">
        <f t="shared" si="1"/>
        <v>E2_3_1_179</v>
      </c>
      <c r="F349" s="19" t="s">
        <v>26700</v>
      </c>
      <c r="G349" s="19" t="s">
        <v>26701</v>
      </c>
      <c r="H349" s="19" t="s">
        <v>26702</v>
      </c>
      <c r="I349" s="19" t="s">
        <v>26703</v>
      </c>
      <c r="J349" s="2" t="str">
        <f t="shared" si="2"/>
        <v>(${Variables:E2_3_1_179_kcat} * E2_3_1_179 * C05761 * C01209)/(${Variables:E2_3_1_179_km} + (E2_3_1_179 * C05761 * C01209))</v>
      </c>
      <c r="K349" s="2" t="str">
        <f t="shared" si="3"/>
        <v>r348: C05761 + C01209 -&gt; C05762 + C00011 + C00229 | (${Variables:E2_3_1_179_kcat} * E2_3_1_179 * C05761 * C01209)/(${Variables:E2_3_1_179_km} + (E2_3_1_179 * C05761 * C01209))</v>
      </c>
    </row>
    <row r="350">
      <c r="A350" s="2" t="s">
        <v>4056</v>
      </c>
      <c r="B350" s="2" t="s">
        <v>4057</v>
      </c>
      <c r="C350" s="2" t="s">
        <v>25055</v>
      </c>
      <c r="D350" s="18">
        <v>349.0</v>
      </c>
      <c r="E350" s="2" t="str">
        <f t="shared" si="1"/>
        <v>E2_3_1_179</v>
      </c>
      <c r="F350" s="19" t="s">
        <v>26704</v>
      </c>
      <c r="G350" s="19" t="s">
        <v>26705</v>
      </c>
      <c r="H350" s="19" t="s">
        <v>26706</v>
      </c>
      <c r="I350" s="19" t="s">
        <v>26707</v>
      </c>
      <c r="J350" s="2" t="str">
        <f t="shared" si="2"/>
        <v>(${Variables:E2_3_1_179_kcat} * E2_3_1_179 * C05764 * C01209)/(${Variables:E2_3_1_179_km} + (E2_3_1_179 * C05764 * C01209))</v>
      </c>
      <c r="K350" s="2" t="str">
        <f t="shared" si="3"/>
        <v>r349: C05764 + C01209 -&gt; C16219 + C00229 + C00011 | (${Variables:E2_3_1_179_kcat} * E2_3_1_179 * C05764 * C01209)/(${Variables:E2_3_1_179_km} + (E2_3_1_179 * C05764 * C01209))</v>
      </c>
    </row>
    <row r="351">
      <c r="A351" s="2" t="s">
        <v>4056</v>
      </c>
      <c r="B351" s="2" t="s">
        <v>4057</v>
      </c>
      <c r="C351" s="2" t="s">
        <v>25055</v>
      </c>
      <c r="D351" s="18">
        <v>350.0</v>
      </c>
      <c r="E351" s="2" t="str">
        <f t="shared" si="1"/>
        <v>E2_3_1_179</v>
      </c>
      <c r="F351" s="19" t="s">
        <v>26708</v>
      </c>
      <c r="G351" s="19" t="s">
        <v>26709</v>
      </c>
      <c r="H351" s="19" t="s">
        <v>26710</v>
      </c>
      <c r="I351" s="19" t="s">
        <v>26711</v>
      </c>
      <c r="J351" s="2" t="str">
        <f t="shared" si="2"/>
        <v>(${Variables:E2_3_1_179_kcat} * E2_3_1_179 * C19673 * C01209)/(${Variables:E2_3_1_179_km} + (E2_3_1_179 * C19673 * C01209))</v>
      </c>
      <c r="K351" s="2" t="str">
        <f t="shared" si="3"/>
        <v>r350: C19673 + C01209 -&gt; C20372 + C00011 + C00229 | (${Variables:E2_3_1_179_kcat} * E2_3_1_179 * C19673 * C01209)/(${Variables:E2_3_1_179_km} + (E2_3_1_179 * C19673 * C01209))</v>
      </c>
    </row>
    <row r="352">
      <c r="A352" s="2" t="s">
        <v>4056</v>
      </c>
      <c r="B352" s="2" t="s">
        <v>4057</v>
      </c>
      <c r="C352" s="2" t="s">
        <v>25055</v>
      </c>
      <c r="D352" s="18">
        <v>351.0</v>
      </c>
      <c r="E352" s="2" t="str">
        <f t="shared" si="1"/>
        <v>E2_3_1_179</v>
      </c>
      <c r="F352" s="19" t="s">
        <v>26712</v>
      </c>
      <c r="G352" s="19" t="s">
        <v>26713</v>
      </c>
      <c r="H352" s="19" t="s">
        <v>26714</v>
      </c>
      <c r="I352" s="19" t="s">
        <v>26715</v>
      </c>
      <c r="J352" s="2" t="str">
        <f t="shared" si="2"/>
        <v>(${Variables:E2_3_1_179_kcat} * E2_3_1_179 * C20375 * C01209)/(${Variables:E2_3_1_179_km} + (E2_3_1_179 * C20375 * C01209))</v>
      </c>
      <c r="K352" s="2" t="str">
        <f t="shared" si="3"/>
        <v>r351: C20375 + C01209 -&gt; C20376 + C00011 + C00229 | (${Variables:E2_3_1_179_kcat} * E2_3_1_179 * C20375 * C01209)/(${Variables:E2_3_1_179_km} + (E2_3_1_179 * C20375 * C01209))</v>
      </c>
    </row>
    <row r="353">
      <c r="A353" s="2" t="s">
        <v>4059</v>
      </c>
      <c r="B353" s="2" t="s">
        <v>4060</v>
      </c>
      <c r="C353" s="2" t="s">
        <v>25056</v>
      </c>
      <c r="D353" s="18">
        <v>352.0</v>
      </c>
      <c r="E353" s="2" t="str">
        <f t="shared" si="1"/>
        <v>E2_3_1_180</v>
      </c>
      <c r="F353" s="19" t="s">
        <v>26716</v>
      </c>
      <c r="G353" s="19" t="s">
        <v>26717</v>
      </c>
      <c r="H353" s="19" t="s">
        <v>26718</v>
      </c>
      <c r="I353" s="19" t="s">
        <v>26719</v>
      </c>
      <c r="J353" s="2" t="str">
        <f t="shared" si="2"/>
        <v>(${Variables:E2_3_1_180_kcat} * E2_3_1_180 * C00024 * C01209)/(${Variables:E2_3_1_180_km} + (E2_3_1_180 * C00024 * C01209))</v>
      </c>
      <c r="K353" s="2" t="str">
        <f t="shared" si="3"/>
        <v>r352: C00024 + C01209 -&gt; C05744 + C00010 + C00011 | (${Variables:E2_3_1_180_kcat} * E2_3_1_180 * C00024 * C01209)/(${Variables:E2_3_1_180_km} + (E2_3_1_180 * C00024 * C01209))</v>
      </c>
    </row>
    <row r="354">
      <c r="A354" s="2" t="s">
        <v>10858</v>
      </c>
      <c r="B354" s="2" t="s">
        <v>10859</v>
      </c>
      <c r="C354" s="2" t="s">
        <v>25057</v>
      </c>
      <c r="D354" s="18">
        <v>353.0</v>
      </c>
      <c r="E354" s="2" t="str">
        <f t="shared" si="1"/>
        <v>E2_3_1_19</v>
      </c>
      <c r="F354" s="19" t="s">
        <v>26720</v>
      </c>
      <c r="G354" s="19" t="s">
        <v>26721</v>
      </c>
      <c r="H354" s="19" t="s">
        <v>26722</v>
      </c>
      <c r="I354" s="19" t="s">
        <v>26723</v>
      </c>
      <c r="J354" s="2" t="str">
        <f t="shared" si="2"/>
        <v>(${Variables:E2_3_1_19_kcat} * E2_3_1_19 * C00136 * C00009)/(${Variables:E2_3_1_19_km} + (E2_3_1_19 * C00136 * C00009))</v>
      </c>
      <c r="K354" s="2" t="str">
        <f t="shared" si="3"/>
        <v>r353: C00136 + C00009 -&gt; C00010 + C02527 | (${Variables:E2_3_1_19_kcat} * E2_3_1_19 * C00136 * C00009)/(${Variables:E2_3_1_19_km} + (E2_3_1_19 * C00136 * C00009))</v>
      </c>
    </row>
    <row r="355">
      <c r="A355" s="2" t="s">
        <v>6373</v>
      </c>
      <c r="B355" s="2" t="s">
        <v>6374</v>
      </c>
      <c r="C355" s="2" t="s">
        <v>25058</v>
      </c>
      <c r="D355" s="18">
        <v>354.0</v>
      </c>
      <c r="E355" s="2" t="str">
        <f t="shared" si="1"/>
        <v>E2_3_1_234</v>
      </c>
      <c r="F355" s="19" t="s">
        <v>26724</v>
      </c>
      <c r="G355" s="19" t="s">
        <v>26725</v>
      </c>
      <c r="H355" s="19" t="s">
        <v>26726</v>
      </c>
      <c r="I355" s="19" t="s">
        <v>26727</v>
      </c>
      <c r="J355" s="2" t="str">
        <f t="shared" si="2"/>
        <v>(${Variables:E2_3_1_234_kcat} * E2_3_1_234 * C20641 * C17324)/(${Variables:E2_3_1_234_km} + (E2_3_1_234 * C20641 * C17324))</v>
      </c>
      <c r="K355" s="2" t="str">
        <f t="shared" si="3"/>
        <v>r354: C20641 + C17324 -&gt; C00020 + C20751 | (${Variables:E2_3_1_234_kcat} * E2_3_1_234 * C20641 * C17324)/(${Variables:E2_3_1_234_km} + (E2_3_1_234 * C20641 * C17324))</v>
      </c>
    </row>
    <row r="356">
      <c r="A356" s="2" t="s">
        <v>14005</v>
      </c>
      <c r="B356" s="2" t="s">
        <v>14006</v>
      </c>
      <c r="C356" s="2" t="s">
        <v>25059</v>
      </c>
      <c r="D356" s="18">
        <v>355.0</v>
      </c>
      <c r="E356" s="2" t="str">
        <f t="shared" si="1"/>
        <v>E2_3_1_245</v>
      </c>
      <c r="F356" s="19" t="s">
        <v>26728</v>
      </c>
      <c r="G356" s="19" t="s">
        <v>26729</v>
      </c>
      <c r="H356" s="19" t="s">
        <v>26730</v>
      </c>
      <c r="I356" s="19" t="s">
        <v>26731</v>
      </c>
      <c r="J356" s="2" t="str">
        <f t="shared" si="2"/>
        <v>(${Variables:E2_3_1_245_kcat} * E2_3_1_245 * C00111 * C00024)/(${Variables:E2_3_1_245_km} + (E2_3_1_245 * C00111 * C00024))</v>
      </c>
      <c r="K356" s="2" t="str">
        <f t="shared" si="3"/>
        <v>r355: C00111 + C00024 -&gt; C20960 + C00010 | (${Variables:E2_3_1_245_kcat} * E2_3_1_245 * C00111 * C00024)/(${Variables:E2_3_1_245_km} + (E2_3_1_245 * C00111 * C00024))</v>
      </c>
    </row>
    <row r="357">
      <c r="A357" s="2" t="s">
        <v>6377</v>
      </c>
      <c r="B357" s="2" t="s">
        <v>6378</v>
      </c>
      <c r="C357" s="2" t="s">
        <v>25060</v>
      </c>
      <c r="D357" s="18">
        <v>356.0</v>
      </c>
      <c r="E357" s="2" t="str">
        <f t="shared" si="1"/>
        <v>E2_3_1_266</v>
      </c>
      <c r="F357" s="19" t="s">
        <v>26732</v>
      </c>
      <c r="G357" s="19" t="s">
        <v>26733</v>
      </c>
      <c r="H357" s="19" t="s">
        <v>26734</v>
      </c>
      <c r="I357" s="19" t="s">
        <v>26735</v>
      </c>
      <c r="J357" s="2" t="str">
        <f t="shared" si="2"/>
        <v>(${Variables:E2_3_1_266_kcat} * E2_3_1_266 * C00024 * C03803)/(${Variables:E2_3_1_266_km} + (E2_3_1_266 * C00024 * C03803))</v>
      </c>
      <c r="K357" s="2" t="str">
        <f t="shared" si="3"/>
        <v>r356: C00024 + C03803 -&gt; C00010 + C04341 | (${Variables:E2_3_1_266_kcat} * E2_3_1_266 * C00024 * C03803)/(${Variables:E2_3_1_266_km} + (E2_3_1_266 * C00024 * C03803))</v>
      </c>
    </row>
    <row r="358">
      <c r="A358" s="2" t="s">
        <v>11818</v>
      </c>
      <c r="B358" s="2" t="s">
        <v>11819</v>
      </c>
      <c r="C358" s="2" t="s">
        <v>25061</v>
      </c>
      <c r="D358" s="18">
        <v>357.0</v>
      </c>
      <c r="E358" s="2" t="str">
        <f t="shared" si="1"/>
        <v>E2_3_1_274</v>
      </c>
      <c r="F358" s="19" t="s">
        <v>26736</v>
      </c>
      <c r="G358" s="19" t="s">
        <v>26737</v>
      </c>
      <c r="H358" s="19" t="s">
        <v>26738</v>
      </c>
      <c r="I358" s="19" t="s">
        <v>26739</v>
      </c>
      <c r="J358" s="2" t="str">
        <f t="shared" si="2"/>
        <v>(${Variables:E2_3_1_274_kcat} * E2_3_1_274 * C00173 * C00009)/(${Variables:E2_3_1_274_km} + (E2_3_1_274 * C00173 * C00009))</v>
      </c>
      <c r="K358" s="2" t="str">
        <f t="shared" si="3"/>
        <v>r357: C00173 + C00009 -&gt; C02133 + C00229 | (${Variables:E2_3_1_274_kcat} * E2_3_1_274 * C00173 * C00009)/(${Variables:E2_3_1_274_km} + (E2_3_1_274 * C00173 * C00009))</v>
      </c>
    </row>
    <row r="359">
      <c r="A359" s="2" t="s">
        <v>13798</v>
      </c>
      <c r="B359" s="2" t="s">
        <v>13799</v>
      </c>
      <c r="C359" s="2" t="s">
        <v>25062</v>
      </c>
      <c r="D359" s="18">
        <v>358.0</v>
      </c>
      <c r="E359" s="2" t="str">
        <f t="shared" si="1"/>
        <v>E2_3_1_286</v>
      </c>
      <c r="F359" s="19" t="s">
        <v>26740</v>
      </c>
      <c r="G359" s="19" t="s">
        <v>26741</v>
      </c>
      <c r="H359" s="19" t="s">
        <v>26742</v>
      </c>
      <c r="I359" s="19" t="s">
        <v>26743</v>
      </c>
      <c r="J359" s="2" t="str">
        <f t="shared" si="2"/>
        <v>(${Variables:E2_3_1_286_kcat} * E2_3_1_286 * C00003 * C01997 * C00001)/(${Variables:E2_3_1_286_km} + (E2_3_1_286 * C00003 * C01997 * C00001))</v>
      </c>
      <c r="K359" s="2" t="str">
        <f t="shared" si="3"/>
        <v>r358: C00003 + C01997 + C00001 -&gt; C00153 + C02415 + C20658 + C00080 | (${Variables:E2_3_1_286_kcat} * E2_3_1_286 * C00003 * C01997 * C00001)/(${Variables:E2_3_1_286_km} + (E2_3_1_286 * C00003 * C01997 * C00001))</v>
      </c>
    </row>
    <row r="360">
      <c r="A360" s="2" t="s">
        <v>13798</v>
      </c>
      <c r="B360" s="2" t="s">
        <v>13799</v>
      </c>
      <c r="C360" s="2" t="s">
        <v>25062</v>
      </c>
      <c r="D360" s="18">
        <v>359.0</v>
      </c>
      <c r="E360" s="2" t="str">
        <f t="shared" si="1"/>
        <v>E2_3_1_286</v>
      </c>
      <c r="F360" s="19" t="s">
        <v>26744</v>
      </c>
      <c r="G360" s="19" t="s">
        <v>26745</v>
      </c>
      <c r="H360" s="19" t="s">
        <v>26746</v>
      </c>
      <c r="I360" s="19" t="s">
        <v>26747</v>
      </c>
      <c r="J360" s="2" t="str">
        <f t="shared" si="2"/>
        <v>(${Variables:E2_3_1_286_kcat} * E2_3_1_286 * C00003 * C20743 * C00001)/(${Variables:E2_3_1_286_km} + (E2_3_1_286 * C00003 * C20743 * C00001))</v>
      </c>
      <c r="K360" s="2" t="str">
        <f t="shared" si="3"/>
        <v>r359: C00003 + C20743 + C00001 -&gt; C00153 + C02188 + C20658 + C00080 | (${Variables:E2_3_1_286_kcat} * E2_3_1_286 * C00003 * C20743 * C00001)/(${Variables:E2_3_1_286_km} + (E2_3_1_286 * C00003 * C20743 * C00001))</v>
      </c>
    </row>
    <row r="361">
      <c r="A361" s="2" t="s">
        <v>5541</v>
      </c>
      <c r="B361" s="2" t="s">
        <v>5542</v>
      </c>
      <c r="C361" s="2" t="s">
        <v>25063</v>
      </c>
      <c r="D361" s="18">
        <v>360.0</v>
      </c>
      <c r="E361" s="2" t="str">
        <f t="shared" si="1"/>
        <v>E2_3_1_29</v>
      </c>
      <c r="F361" s="19" t="s">
        <v>26748</v>
      </c>
      <c r="G361" s="19" t="s">
        <v>26749</v>
      </c>
      <c r="H361" s="19" t="s">
        <v>26750</v>
      </c>
      <c r="I361" s="19" t="s">
        <v>26751</v>
      </c>
      <c r="J361" s="2" t="str">
        <f t="shared" si="2"/>
        <v>(${Variables:E2_3_1_29_kcat} * E2_3_1_29 * C00024 * C00037)/(${Variables:E2_3_1_29_km} + (E2_3_1_29 * C00024 * C00037))</v>
      </c>
      <c r="K361" s="2" t="str">
        <f t="shared" si="3"/>
        <v>r360: C00024 + C00037 -&gt; C00010 + C03508 | (${Variables:E2_3_1_29_kcat} * E2_3_1_29 * C00024 * C00037)/(${Variables:E2_3_1_29_km} + (E2_3_1_29 * C00024 * C00037))</v>
      </c>
    </row>
    <row r="362">
      <c r="A362" s="2" t="s">
        <v>6880</v>
      </c>
      <c r="B362" s="2" t="s">
        <v>6881</v>
      </c>
      <c r="C362" s="2" t="s">
        <v>25064</v>
      </c>
      <c r="D362" s="18">
        <v>361.0</v>
      </c>
      <c r="E362" s="2" t="str">
        <f t="shared" si="1"/>
        <v>E2_3_1_30</v>
      </c>
      <c r="F362" s="19" t="s">
        <v>26752</v>
      </c>
      <c r="G362" s="19" t="s">
        <v>26753</v>
      </c>
      <c r="H362" s="19" t="s">
        <v>26754</v>
      </c>
      <c r="I362" s="19" t="s">
        <v>26755</v>
      </c>
      <c r="J362" s="2" t="str">
        <f t="shared" si="2"/>
        <v>(${Variables:E2_3_1_30_kcat} * E2_3_1_30 * C00065 * C00024)/(${Variables:E2_3_1_30_km} + (E2_3_1_30 * C00065 * C00024))</v>
      </c>
      <c r="K362" s="2" t="str">
        <f t="shared" si="3"/>
        <v>r361: C00065 + C00024 -&gt; C00979 + C00010 | (${Variables:E2_3_1_30_kcat} * E2_3_1_30 * C00065 * C00024)/(${Variables:E2_3_1_30_km} + (E2_3_1_30 * C00065 * C00024))</v>
      </c>
    </row>
    <row r="363">
      <c r="A363" s="2" t="s">
        <v>9198</v>
      </c>
      <c r="B363" s="2" t="s">
        <v>9199</v>
      </c>
      <c r="C363" s="2" t="s">
        <v>25065</v>
      </c>
      <c r="D363" s="18">
        <v>362.0</v>
      </c>
      <c r="E363" s="2" t="str">
        <f t="shared" si="1"/>
        <v>E2_3_1_31</v>
      </c>
      <c r="F363" s="19" t="s">
        <v>26756</v>
      </c>
      <c r="G363" s="19" t="s">
        <v>26757</v>
      </c>
      <c r="H363" s="19" t="s">
        <v>26758</v>
      </c>
      <c r="I363" s="19" t="s">
        <v>26759</v>
      </c>
      <c r="J363" s="2" t="str">
        <f t="shared" si="2"/>
        <v>(${Variables:E2_3_1_31_kcat} * E2_3_1_31 * C00024 * C00263)/(${Variables:E2_3_1_31_km} + (E2_3_1_31 * C00024 * C00263))</v>
      </c>
      <c r="K363" s="2" t="str">
        <f t="shared" si="3"/>
        <v>r362: C00024 + C00263 -&gt; C00010 + C01077 | (${Variables:E2_3_1_31_kcat} * E2_3_1_31 * C00024 * C00263)/(${Variables:E2_3_1_31_km} + (E2_3_1_31 * C00024 * C00263))</v>
      </c>
    </row>
    <row r="364">
      <c r="A364" s="2" t="s">
        <v>11822</v>
      </c>
      <c r="B364" s="2" t="s">
        <v>11823</v>
      </c>
      <c r="C364" s="2" t="s">
        <v>25067</v>
      </c>
      <c r="D364" s="18">
        <v>363.0</v>
      </c>
      <c r="E364" s="2" t="str">
        <f t="shared" si="1"/>
        <v>E2_3_1_39</v>
      </c>
      <c r="F364" s="19" t="s">
        <v>26760</v>
      </c>
      <c r="G364" s="19" t="s">
        <v>26761</v>
      </c>
      <c r="H364" s="19" t="s">
        <v>26762</v>
      </c>
      <c r="I364" s="19" t="s">
        <v>26763</v>
      </c>
      <c r="J364" s="2" t="str">
        <f t="shared" si="2"/>
        <v>(${Variables:E2_3_1_39_kcat} * E2_3_1_39 * C00083 * C00229)/(${Variables:E2_3_1_39_km} + (E2_3_1_39 * C00083 * C00229))</v>
      </c>
      <c r="K364" s="2" t="str">
        <f t="shared" si="3"/>
        <v>r363: C00083 + C00229 -&gt; C00010 + C01209 | (${Variables:E2_3_1_39_kcat} * E2_3_1_39 * C00083 * C00229)/(${Variables:E2_3_1_39_km} + (E2_3_1_39 * C00083 * C00229))</v>
      </c>
    </row>
    <row r="365">
      <c r="A365" s="2" t="s">
        <v>7449</v>
      </c>
      <c r="B365" s="2" t="s">
        <v>7450</v>
      </c>
      <c r="C365" s="2" t="s">
        <v>25068</v>
      </c>
      <c r="D365" s="18">
        <v>364.0</v>
      </c>
      <c r="E365" s="2" t="str">
        <f t="shared" si="1"/>
        <v>E2_3_1_46</v>
      </c>
      <c r="F365" s="19" t="s">
        <v>26764</v>
      </c>
      <c r="G365" s="19" t="s">
        <v>26765</v>
      </c>
      <c r="H365" s="19" t="s">
        <v>26766</v>
      </c>
      <c r="I365" s="19" t="s">
        <v>26767</v>
      </c>
      <c r="J365" s="2" t="str">
        <f t="shared" si="2"/>
        <v>(${Variables:E2_3_1_46_kcat} * E2_3_1_46 * C00091 * C00263)/(${Variables:E2_3_1_46_km} + (E2_3_1_46 * C00091 * C00263))</v>
      </c>
      <c r="K365" s="2" t="str">
        <f t="shared" si="3"/>
        <v>r364: C00091 + C00263 -&gt; C00010 + C01118 | (${Variables:E2_3_1_46_kcat} * E2_3_1_46 * C00091 * C00263)/(${Variables:E2_3_1_46_km} + (E2_3_1_46 * C00091 * C00263))</v>
      </c>
    </row>
    <row r="366">
      <c r="A366" s="2" t="s">
        <v>10998</v>
      </c>
      <c r="B366" s="2" t="s">
        <v>10999</v>
      </c>
      <c r="C366" s="2" t="s">
        <v>25069</v>
      </c>
      <c r="D366" s="18">
        <v>365.0</v>
      </c>
      <c r="E366" s="2" t="str">
        <f t="shared" si="1"/>
        <v>E2_3_1_47</v>
      </c>
      <c r="F366" s="19" t="s">
        <v>26768</v>
      </c>
      <c r="G366" s="19" t="s">
        <v>26769</v>
      </c>
      <c r="H366" s="19" t="s">
        <v>26770</v>
      </c>
      <c r="I366" s="19" t="s">
        <v>26771</v>
      </c>
      <c r="J366" s="2" t="str">
        <f t="shared" si="2"/>
        <v>(${Variables:E2_3_1_47_kcat} * E2_3_1_47 * C01063 * C00041)/(${Variables:E2_3_1_47_km} + (E2_3_1_47 * C01063 * C00041))</v>
      </c>
      <c r="K366" s="2" t="str">
        <f t="shared" si="3"/>
        <v>r365: C01063 + C00041 -&gt; C01092 + C00010 + C00011 | (${Variables:E2_3_1_47_kcat} * E2_3_1_47 * C01063 * C00041)/(${Variables:E2_3_1_47_km} + (E2_3_1_47 * C01063 * C00041))</v>
      </c>
    </row>
    <row r="367">
      <c r="A367" s="2" t="s">
        <v>10998</v>
      </c>
      <c r="B367" s="2" t="s">
        <v>10999</v>
      </c>
      <c r="C367" s="2" t="s">
        <v>25069</v>
      </c>
      <c r="D367" s="18">
        <v>366.0</v>
      </c>
      <c r="E367" s="2" t="str">
        <f t="shared" si="1"/>
        <v>E2_3_1_47</v>
      </c>
      <c r="F367" s="19" t="s">
        <v>26772</v>
      </c>
      <c r="G367" s="19" t="s">
        <v>26773</v>
      </c>
      <c r="H367" s="19" t="s">
        <v>26774</v>
      </c>
      <c r="I367" s="19" t="s">
        <v>26775</v>
      </c>
      <c r="J367" s="2" t="str">
        <f t="shared" si="2"/>
        <v>(${Variables:E2_3_1_47_kcat} * E2_3_1_47 * C19845 * C00041)/(${Variables:E2_3_1_47_km} + (E2_3_1_47 * C19845 * C00041))</v>
      </c>
      <c r="K367" s="2" t="str">
        <f t="shared" si="3"/>
        <v>r366: C19845 + C00041 -&gt; C01092 + C00229 + C00011 | (${Variables:E2_3_1_47_kcat} * E2_3_1_47 * C19845 * C00041)/(${Variables:E2_3_1_47_km} + (E2_3_1_47 * C19845 * C00041))</v>
      </c>
    </row>
    <row r="368">
      <c r="A368" s="2" t="s">
        <v>5846</v>
      </c>
      <c r="B368" s="2" t="s">
        <v>5847</v>
      </c>
      <c r="C368" s="2" t="s">
        <v>25070</v>
      </c>
      <c r="D368" s="18">
        <v>367.0</v>
      </c>
      <c r="E368" s="2" t="str">
        <f t="shared" si="1"/>
        <v>E2_3_1_54</v>
      </c>
      <c r="F368" s="19" t="s">
        <v>26776</v>
      </c>
      <c r="G368" s="19" t="s">
        <v>26777</v>
      </c>
      <c r="H368" s="19" t="s">
        <v>26778</v>
      </c>
      <c r="I368" s="19" t="s">
        <v>26779</v>
      </c>
      <c r="J368" s="2" t="str">
        <f t="shared" si="2"/>
        <v>(${Variables:E2_3_1_54_kcat} * E2_3_1_54 * C00024 * C00058)/(${Variables:E2_3_1_54_km} + (E2_3_1_54 * C00024 * C00058))</v>
      </c>
      <c r="K368" s="2" t="str">
        <f t="shared" si="3"/>
        <v>r367: C00024 + C00058 -&gt; C00010 + C00022 | (${Variables:E2_3_1_54_kcat} * E2_3_1_54 * C00024 * C00058)/(${Variables:E2_3_1_54_km} + (E2_3_1_54 * C00024 * C00058))</v>
      </c>
    </row>
    <row r="369">
      <c r="A369" s="2" t="s">
        <v>5846</v>
      </c>
      <c r="B369" s="2" t="s">
        <v>5847</v>
      </c>
      <c r="C369" s="2" t="s">
        <v>25070</v>
      </c>
      <c r="D369" s="18">
        <v>368.0</v>
      </c>
      <c r="E369" s="2" t="str">
        <f t="shared" si="1"/>
        <v>E2_3_1_54</v>
      </c>
      <c r="F369" s="19" t="s">
        <v>26780</v>
      </c>
      <c r="G369" s="19" t="s">
        <v>26781</v>
      </c>
      <c r="H369" s="19" t="s">
        <v>26782</v>
      </c>
      <c r="I369" s="19" t="s">
        <v>26783</v>
      </c>
      <c r="J369" s="2" t="str">
        <f t="shared" si="2"/>
        <v>(${Variables:E2_3_1_54_kcat} * E2_3_1_54 * C00109 * C00010)/(${Variables:E2_3_1_54_km} + (E2_3_1_54 * C00109 * C00010))</v>
      </c>
      <c r="K369" s="2" t="str">
        <f t="shared" si="3"/>
        <v>r368: C00109 + C00010 -&gt; C00100 + C00058 | (${Variables:E2_3_1_54_kcat} * E2_3_1_54 * C00109 * C00010)/(${Variables:E2_3_1_54_km} + (E2_3_1_54 * C00109 * C00010))</v>
      </c>
    </row>
    <row r="370">
      <c r="A370" s="2" t="s">
        <v>8353</v>
      </c>
      <c r="B370" s="2" t="s">
        <v>8354</v>
      </c>
      <c r="C370" s="2" t="s">
        <v>25071</v>
      </c>
      <c r="D370" s="18">
        <v>369.0</v>
      </c>
      <c r="E370" s="2" t="str">
        <f t="shared" si="1"/>
        <v>E2_3_1_57</v>
      </c>
      <c r="F370" s="19" t="s">
        <v>26784</v>
      </c>
      <c r="G370" s="19" t="s">
        <v>26785</v>
      </c>
      <c r="H370" s="19" t="s">
        <v>26786</v>
      </c>
      <c r="I370" s="19" t="s">
        <v>26787</v>
      </c>
      <c r="J370" s="2" t="str">
        <f t="shared" si="2"/>
        <v>(${Variables:E2_3_1_57_kcat} * E2_3_1_57 * C00024 * C00134)/(${Variables:E2_3_1_57_km} + (E2_3_1_57 * C00024 * C00134))</v>
      </c>
      <c r="K370" s="2" t="str">
        <f t="shared" si="3"/>
        <v>r369: C00024 + C00134 -&gt; C00010 + C02714 | (${Variables:E2_3_1_57_kcat} * E2_3_1_57 * C00024 * C00134)/(${Variables:E2_3_1_57_km} + (E2_3_1_57 * C00024 * C00134))</v>
      </c>
    </row>
    <row r="371">
      <c r="A371" s="2" t="s">
        <v>8353</v>
      </c>
      <c r="B371" s="2" t="s">
        <v>8354</v>
      </c>
      <c r="C371" s="2" t="s">
        <v>25071</v>
      </c>
      <c r="D371" s="18">
        <v>370.0</v>
      </c>
      <c r="E371" s="2" t="str">
        <f t="shared" si="1"/>
        <v>E2_3_1_57</v>
      </c>
      <c r="F371" s="19" t="s">
        <v>26788</v>
      </c>
      <c r="G371" s="19" t="s">
        <v>26789</v>
      </c>
      <c r="H371" s="19" t="s">
        <v>26790</v>
      </c>
      <c r="I371" s="19" t="s">
        <v>26791</v>
      </c>
      <c r="J371" s="2" t="str">
        <f t="shared" si="2"/>
        <v>(${Variables:E2_3_1_57_kcat} * E2_3_1_57 * C00024 * C03687)/(${Variables:E2_3_1_57_km} + (E2_3_1_57 * C00024 * C03687))</v>
      </c>
      <c r="K371" s="2" t="str">
        <f t="shared" si="3"/>
        <v>r370: C00024 + C03687 -&gt; C00010 + C02297 | (${Variables:E2_3_1_57_kcat} * E2_3_1_57 * C00024 * C03687)/(${Variables:E2_3_1_57_km} + (E2_3_1_57 * C00024 * C03687))</v>
      </c>
    </row>
    <row r="372">
      <c r="A372" s="2" t="s">
        <v>3830</v>
      </c>
      <c r="B372" s="2" t="s">
        <v>3831</v>
      </c>
      <c r="C372" s="2" t="s">
        <v>25072</v>
      </c>
      <c r="D372" s="18">
        <v>371.0</v>
      </c>
      <c r="E372" s="2" t="str">
        <f t="shared" si="1"/>
        <v>E2_3_1_61</v>
      </c>
      <c r="F372" s="19" t="s">
        <v>26792</v>
      </c>
      <c r="G372" s="19" t="s">
        <v>26793</v>
      </c>
      <c r="H372" s="19" t="s">
        <v>26794</v>
      </c>
      <c r="I372" s="19" t="s">
        <v>26795</v>
      </c>
      <c r="J372" s="2" t="str">
        <f t="shared" si="2"/>
        <v>(${Variables:E2_3_1_61_kcat} * E2_3_1_61 * C00091 * C15973)/(${Variables:E2_3_1_61_km} + (E2_3_1_61 * C00091 * C15973))</v>
      </c>
      <c r="K372" s="2" t="str">
        <f t="shared" si="3"/>
        <v>r371: C00091 + C15973 -&gt; C00010 + C16254 | (${Variables:E2_3_1_61_kcat} * E2_3_1_61 * C00091 * C15973)/(${Variables:E2_3_1_61_km} + (E2_3_1_61 * C00091 * C15973))</v>
      </c>
    </row>
    <row r="373">
      <c r="A373" s="2" t="s">
        <v>3830</v>
      </c>
      <c r="B373" s="2" t="s">
        <v>3831</v>
      </c>
      <c r="C373" s="2" t="s">
        <v>25072</v>
      </c>
      <c r="D373" s="18">
        <v>372.0</v>
      </c>
      <c r="E373" s="2" t="str">
        <f t="shared" si="1"/>
        <v>E2_3_1_61</v>
      </c>
      <c r="F373" s="19" t="s">
        <v>26796</v>
      </c>
      <c r="G373" s="19" t="s">
        <v>26797</v>
      </c>
      <c r="H373" s="19" t="s">
        <v>26798</v>
      </c>
      <c r="I373" s="19" t="s">
        <v>26799</v>
      </c>
      <c r="J373" s="2" t="str">
        <f t="shared" si="2"/>
        <v>(${Variables:E2_3_1_61_kcat} * E2_3_1_61 * C00527 * C15973)/(${Variables:E2_3_1_61_km} + (E2_3_1_61 * C00527 * C15973))</v>
      </c>
      <c r="K373" s="2" t="str">
        <f t="shared" si="3"/>
        <v>r372: C00527 + C15973 -&gt; C00010 + C06157 | (${Variables:E2_3_1_61_kcat} * E2_3_1_61 * C00527 * C15973)/(${Variables:E2_3_1_61_km} + (E2_3_1_61 * C00527 * C15973))</v>
      </c>
    </row>
    <row r="374">
      <c r="A374" s="2" t="s">
        <v>7497</v>
      </c>
      <c r="B374" s="2" t="s">
        <v>7498</v>
      </c>
      <c r="C374" s="2" t="s">
        <v>25073</v>
      </c>
      <c r="D374" s="18">
        <v>373.0</v>
      </c>
      <c r="E374" s="2" t="str">
        <f t="shared" si="1"/>
        <v>E2_3_1_8</v>
      </c>
      <c r="F374" s="19" t="s">
        <v>26800</v>
      </c>
      <c r="G374" s="19" t="s">
        <v>26801</v>
      </c>
      <c r="H374" s="19" t="s">
        <v>26802</v>
      </c>
      <c r="I374" s="19" t="s">
        <v>26803</v>
      </c>
      <c r="J374" s="2" t="str">
        <f t="shared" si="2"/>
        <v>(${Variables:E2_3_1_8_kcat} * E2_3_1_8 * C00024 * C00009)/(${Variables:E2_3_1_8_km} + (E2_3_1_8 * C00024 * C00009))</v>
      </c>
      <c r="K374" s="2" t="str">
        <f t="shared" si="3"/>
        <v>r373: C00024 + C00009 -&gt; C00010 + C00227 | (${Variables:E2_3_1_8_kcat} * E2_3_1_8 * C00024 * C00009)/(${Variables:E2_3_1_8_km} + (E2_3_1_8 * C00024 * C00009))</v>
      </c>
    </row>
    <row r="375">
      <c r="A375" s="2" t="s">
        <v>7497</v>
      </c>
      <c r="B375" s="2" t="s">
        <v>7498</v>
      </c>
      <c r="C375" s="2" t="s">
        <v>25073</v>
      </c>
      <c r="D375" s="18">
        <v>374.0</v>
      </c>
      <c r="E375" s="2" t="str">
        <f t="shared" si="1"/>
        <v>E2_3_1_8</v>
      </c>
      <c r="F375" s="19" t="s">
        <v>26804</v>
      </c>
      <c r="G375" s="19" t="s">
        <v>26805</v>
      </c>
      <c r="H375" s="19" t="s">
        <v>26806</v>
      </c>
      <c r="I375" s="19" t="s">
        <v>26807</v>
      </c>
      <c r="J375" s="2" t="str">
        <f t="shared" si="2"/>
        <v>(${Variables:E2_3_1_8_kcat} * E2_3_1_8 * C00100 * C00009)/(${Variables:E2_3_1_8_km} + (E2_3_1_8 * C00100 * C00009))</v>
      </c>
      <c r="K375" s="2" t="str">
        <f t="shared" si="3"/>
        <v>r374: C00100 + C00009 -&gt; C02876 + C00010 | (${Variables:E2_3_1_8_kcat} * E2_3_1_8 * C00100 * C00009)/(${Variables:E2_3_1_8_km} + (E2_3_1_8 * C00100 * C00009))</v>
      </c>
    </row>
    <row r="376">
      <c r="A376" s="2" t="s">
        <v>7598</v>
      </c>
      <c r="B376" s="2" t="s">
        <v>7599</v>
      </c>
      <c r="C376" s="2" t="s">
        <v>25074</v>
      </c>
      <c r="D376" s="18">
        <v>375.0</v>
      </c>
      <c r="E376" s="2" t="str">
        <f t="shared" si="1"/>
        <v>E2_3_1_9</v>
      </c>
      <c r="F376" s="19" t="s">
        <v>16305</v>
      </c>
      <c r="G376" s="19" t="s">
        <v>16305</v>
      </c>
      <c r="H376" s="19" t="s">
        <v>26808</v>
      </c>
      <c r="I376" s="19" t="s">
        <v>26809</v>
      </c>
      <c r="J376" s="2" t="str">
        <f t="shared" si="2"/>
        <v>(${Variables:E2_3_1_9_kcat} * E2_3_1_9 * C00024)/(${Variables:E2_3_1_9_km} + (E2_3_1_9 * C00024))</v>
      </c>
      <c r="K376" s="2" t="str">
        <f t="shared" si="3"/>
        <v>r375: C00024 -&gt; C00010 + C00332 | (${Variables:E2_3_1_9_kcat} * E2_3_1_9 * C00024)/(${Variables:E2_3_1_9_km} + (E2_3_1_9 * C00024))</v>
      </c>
    </row>
    <row r="377">
      <c r="A377" s="2" t="s">
        <v>7598</v>
      </c>
      <c r="B377" s="2" t="s">
        <v>7599</v>
      </c>
      <c r="C377" s="2" t="s">
        <v>25074</v>
      </c>
      <c r="D377" s="18">
        <v>376.0</v>
      </c>
      <c r="E377" s="2" t="str">
        <f t="shared" si="1"/>
        <v>E2_3_1_9</v>
      </c>
      <c r="F377" s="19" t="s">
        <v>26810</v>
      </c>
      <c r="G377" s="19" t="s">
        <v>26811</v>
      </c>
      <c r="H377" s="19" t="s">
        <v>26812</v>
      </c>
      <c r="I377" s="19" t="s">
        <v>26813</v>
      </c>
      <c r="J377" s="2" t="str">
        <f t="shared" si="2"/>
        <v>(${Variables:E2_3_1_9_kcat} * E2_3_1_9 * C00100 * C00024)/(${Variables:E2_3_1_9_km} + (E2_3_1_9 * C00100 * C00024))</v>
      </c>
      <c r="K377" s="2" t="str">
        <f t="shared" si="3"/>
        <v>r376: C00100 + C00024 -&gt; C00010 + C03344 | (${Variables:E2_3_1_9_kcat} * E2_3_1_9 * C00100 * C00024)/(${Variables:E2_3_1_9_km} + (E2_3_1_9 * C00100 * C00024))</v>
      </c>
    </row>
    <row r="378">
      <c r="A378" s="2" t="s">
        <v>7598</v>
      </c>
      <c r="B378" s="2" t="s">
        <v>7599</v>
      </c>
      <c r="C378" s="2" t="s">
        <v>25074</v>
      </c>
      <c r="D378" s="18">
        <v>377.0</v>
      </c>
      <c r="E378" s="2" t="str">
        <f t="shared" si="1"/>
        <v>E2_3_1_9</v>
      </c>
      <c r="F378" s="19" t="s">
        <v>26814</v>
      </c>
      <c r="G378" s="19" t="s">
        <v>26815</v>
      </c>
      <c r="H378" s="19" t="s">
        <v>26816</v>
      </c>
      <c r="I378" s="19" t="s">
        <v>26817</v>
      </c>
      <c r="J378" s="2" t="str">
        <f t="shared" si="2"/>
        <v>(${Variables:E2_3_1_9_kcat} * E2_3_1_9 * C00024 * C00136)/(${Variables:E2_3_1_9_km} + (E2_3_1_9 * C00024 * C00136))</v>
      </c>
      <c r="K378" s="2" t="str">
        <f t="shared" si="3"/>
        <v>r377: C00024 + C00136 -&gt; C00010 + C05269 | (${Variables:E2_3_1_9_kcat} * E2_3_1_9 * C00024 * C00136)/(${Variables:E2_3_1_9_km} + (E2_3_1_9 * C00024 * C00136))</v>
      </c>
    </row>
    <row r="379">
      <c r="A379" s="2" t="s">
        <v>11453</v>
      </c>
      <c r="B379" s="2" t="s">
        <v>11454</v>
      </c>
      <c r="C379" s="2" t="s">
        <v>25075</v>
      </c>
      <c r="D379" s="18">
        <v>378.0</v>
      </c>
      <c r="E379" s="2" t="str">
        <f t="shared" si="1"/>
        <v>E2_3_2_13</v>
      </c>
      <c r="F379" s="19" t="s">
        <v>26818</v>
      </c>
      <c r="G379" s="19" t="s">
        <v>26819</v>
      </c>
      <c r="H379" s="19" t="s">
        <v>26820</v>
      </c>
      <c r="I379" s="19" t="s">
        <v>26821</v>
      </c>
      <c r="J379" s="2" t="str">
        <f t="shared" si="2"/>
        <v>(${Variables:E2_3_2_13_kcat} * E2_3_2_13 * C02583 * C01664)/(${Variables:E2_3_2_13_km} + (E2_3_2_13 * C02583 * C01664))</v>
      </c>
      <c r="K379" s="2" t="str">
        <f t="shared" si="3"/>
        <v>r378: C02583 + C01664 -&gt; C03636 + C00014 | (${Variables:E2_3_2_13_kcat} * E2_3_2_13 * C02583 * C01664)/(${Variables:E2_3_2_13_km} + (E2_3_2_13 * C02583 * C01664))</v>
      </c>
    </row>
    <row r="380">
      <c r="A380" s="2" t="s">
        <v>9567</v>
      </c>
      <c r="B380" s="2" t="s">
        <v>9568</v>
      </c>
      <c r="C380" s="2" t="s">
        <v>25076</v>
      </c>
      <c r="D380" s="18">
        <v>379.0</v>
      </c>
      <c r="E380" s="2" t="str">
        <f t="shared" si="1"/>
        <v>E2_3_3_1</v>
      </c>
      <c r="F380" s="19" t="s">
        <v>26822</v>
      </c>
      <c r="G380" s="19" t="s">
        <v>26823</v>
      </c>
      <c r="H380" s="19" t="s">
        <v>26824</v>
      </c>
      <c r="I380" s="19" t="s">
        <v>26825</v>
      </c>
      <c r="J380" s="2" t="str">
        <f t="shared" si="2"/>
        <v>(${Variables:E2_3_3_1_kcat} * E2_3_3_1 * C00158 * C00010)/(${Variables:E2_3_3_1_km} + (E2_3_3_1 * C00158 * C00010))</v>
      </c>
      <c r="K380" s="2" t="str">
        <f t="shared" si="3"/>
        <v>r379: C00158 + C00010 -&gt; C00024 + C00001 + C00036 | (${Variables:E2_3_3_1_kcat} * E2_3_3_1 * C00158 * C00010)/(${Variables:E2_3_3_1_km} + (E2_3_3_1 * C00158 * C00010))</v>
      </c>
    </row>
    <row r="381">
      <c r="A381" s="2" t="s">
        <v>3431</v>
      </c>
      <c r="B381" s="2" t="s">
        <v>3432</v>
      </c>
      <c r="C381" s="2" t="s">
        <v>25077</v>
      </c>
      <c r="D381" s="18">
        <v>380.0</v>
      </c>
      <c r="E381" s="2" t="str">
        <f t="shared" si="1"/>
        <v>E2_3_3_13</v>
      </c>
      <c r="F381" s="19" t="s">
        <v>26826</v>
      </c>
      <c r="G381" s="19" t="s">
        <v>26827</v>
      </c>
      <c r="H381" s="19" t="s">
        <v>26828</v>
      </c>
      <c r="I381" s="19" t="s">
        <v>26829</v>
      </c>
      <c r="J381" s="2" t="str">
        <f t="shared" si="2"/>
        <v>(${Variables:E2_3_3_13_kcat} * E2_3_3_13 * C02504 * C00010)/(${Variables:E2_3_3_13_km} + (E2_3_3_13 * C02504 * C00010))</v>
      </c>
      <c r="K381" s="2" t="str">
        <f t="shared" si="3"/>
        <v>r380: C02504 + C00010 -&gt; C00024 + C00141 + C00001 | (${Variables:E2_3_3_13_kcat} * E2_3_3_13 * C02504 * C00010)/(${Variables:E2_3_3_13_km} + (E2_3_3_13 * C02504 * C00010))</v>
      </c>
    </row>
    <row r="382">
      <c r="A382" s="2" t="s">
        <v>4196</v>
      </c>
      <c r="B382" s="2" t="s">
        <v>4197</v>
      </c>
      <c r="C382" s="2" t="s">
        <v>25078</v>
      </c>
      <c r="D382" s="18">
        <v>381.0</v>
      </c>
      <c r="E382" s="2" t="str">
        <f t="shared" si="1"/>
        <v>E2_3_3_9</v>
      </c>
      <c r="F382" s="19" t="s">
        <v>26830</v>
      </c>
      <c r="G382" s="19" t="s">
        <v>26831</v>
      </c>
      <c r="H382" s="19" t="s">
        <v>26832</v>
      </c>
      <c r="I382" s="19" t="s">
        <v>26833</v>
      </c>
      <c r="J382" s="2" t="str">
        <f t="shared" si="2"/>
        <v>(${Variables:E2_3_3_9_kcat} * E2_3_3_9 * C00149 * C00010)/(${Variables:E2_3_3_9_km} + (E2_3_3_9 * C00149 * C00010))</v>
      </c>
      <c r="K382" s="2" t="str">
        <f t="shared" si="3"/>
        <v>r381: C00149 + C00010 -&gt; C00024 + C00001 + C00048 | (${Variables:E2_3_3_9_kcat} * E2_3_3_9 * C00149 * C00010)/(${Variables:E2_3_3_9_km} + (E2_3_3_9 * C00149 * C00010))</v>
      </c>
    </row>
    <row r="383">
      <c r="A383" s="2" t="s">
        <v>8862</v>
      </c>
      <c r="B383" s="2" t="s">
        <v>8863</v>
      </c>
      <c r="C383" s="2" t="s">
        <v>25079</v>
      </c>
      <c r="D383" s="18">
        <v>382.0</v>
      </c>
      <c r="E383" s="2" t="str">
        <f t="shared" si="1"/>
        <v>E2_4_1_1</v>
      </c>
      <c r="F383" s="19" t="s">
        <v>26834</v>
      </c>
      <c r="G383" s="19" t="s">
        <v>26835</v>
      </c>
      <c r="H383" s="19" t="s">
        <v>26836</v>
      </c>
      <c r="I383" s="19" t="s">
        <v>26837</v>
      </c>
      <c r="J383" s="2" t="str">
        <f t="shared" si="2"/>
        <v>(${Variables:E2_4_1_1_kcat} * E2_4_1_1 * C00718 * C00009)/(${Variables:E2_4_1_1_km} + (E2_4_1_1 * C00718 * C00009))</v>
      </c>
      <c r="K383" s="2" t="str">
        <f t="shared" si="3"/>
        <v>r382: C00718 + C00009 -&gt; C00718 + C00103 | (${Variables:E2_4_1_1_kcat} * E2_4_1_1 * C00718 * C00009)/(${Variables:E2_4_1_1_km} + (E2_4_1_1 * C00718 * C00009))</v>
      </c>
    </row>
    <row r="384">
      <c r="A384" s="2" t="s">
        <v>8862</v>
      </c>
      <c r="B384" s="2" t="s">
        <v>8863</v>
      </c>
      <c r="C384" s="2" t="s">
        <v>25079</v>
      </c>
      <c r="D384" s="18">
        <v>383.0</v>
      </c>
      <c r="E384" s="2" t="str">
        <f t="shared" si="1"/>
        <v>E2_4_1_1</v>
      </c>
      <c r="F384" s="19" t="s">
        <v>26838</v>
      </c>
      <c r="G384" s="19" t="s">
        <v>26839</v>
      </c>
      <c r="H384" s="19" t="s">
        <v>26836</v>
      </c>
      <c r="I384" s="19" t="s">
        <v>26837</v>
      </c>
      <c r="J384" s="2" t="str">
        <f t="shared" si="2"/>
        <v>(${Variables:E2_4_1_1_kcat} * E2_4_1_1 * C00369 * C00009)/(${Variables:E2_4_1_1_km} + (E2_4_1_1 * C00369 * C00009))</v>
      </c>
      <c r="K384" s="2" t="str">
        <f t="shared" si="3"/>
        <v>r383: C00369 + C00009 -&gt; C00718 + C00103 | (${Variables:E2_4_1_1_kcat} * E2_4_1_1 * C00369 * C00009)/(${Variables:E2_4_1_1_km} + (E2_4_1_1 * C00369 * C00009))</v>
      </c>
    </row>
    <row r="385">
      <c r="A385" s="2" t="s">
        <v>8862</v>
      </c>
      <c r="B385" s="2" t="s">
        <v>8863</v>
      </c>
      <c r="C385" s="2" t="s">
        <v>25079</v>
      </c>
      <c r="D385" s="18">
        <v>384.0</v>
      </c>
      <c r="E385" s="2" t="str">
        <f t="shared" si="1"/>
        <v>E2_4_1_1</v>
      </c>
      <c r="F385" s="19" t="s">
        <v>26840</v>
      </c>
      <c r="G385" s="19" t="s">
        <v>26841</v>
      </c>
      <c r="H385" s="19" t="s">
        <v>26842</v>
      </c>
      <c r="I385" s="19" t="s">
        <v>26843</v>
      </c>
      <c r="J385" s="2" t="str">
        <f t="shared" si="2"/>
        <v>(${Variables:E2_4_1_1_kcat} * E2_4_1_1 * G10495 * C00009)/(${Variables:E2_4_1_1_km} + (E2_4_1_1 * G10495 * C00009))</v>
      </c>
      <c r="K385" s="2" t="str">
        <f t="shared" si="3"/>
        <v>r384: G10495 + C00009 -&gt; G10495 + C00103 | (${Variables:E2_4_1_1_kcat} * E2_4_1_1 * G10495 * C00009)/(${Variables:E2_4_1_1_km} + (E2_4_1_1 * G10495 * C00009))</v>
      </c>
    </row>
    <row r="386">
      <c r="A386" s="2" t="s">
        <v>8862</v>
      </c>
      <c r="B386" s="2" t="s">
        <v>8863</v>
      </c>
      <c r="C386" s="2" t="s">
        <v>25079</v>
      </c>
      <c r="D386" s="18">
        <v>385.0</v>
      </c>
      <c r="E386" s="2" t="str">
        <f t="shared" si="1"/>
        <v>E2_4_1_1</v>
      </c>
      <c r="F386" s="19" t="s">
        <v>26844</v>
      </c>
      <c r="G386" s="19" t="s">
        <v>26845</v>
      </c>
      <c r="H386" s="19" t="s">
        <v>26842</v>
      </c>
      <c r="I386" s="19" t="s">
        <v>26843</v>
      </c>
      <c r="J386" s="2" t="str">
        <f t="shared" si="2"/>
        <v>(${Variables:E2_4_1_1_kcat} * E2_4_1_1 * G10545 * C00009)/(${Variables:E2_4_1_1_km} + (E2_4_1_1 * G10545 * C00009))</v>
      </c>
      <c r="K386" s="2" t="str">
        <f t="shared" si="3"/>
        <v>r385: G10545 + C00009 -&gt; G10495 + C00103 | (${Variables:E2_4_1_1_kcat} * E2_4_1_1 * G10545 * C00009)/(${Variables:E2_4_1_1_km} + (E2_4_1_1 * G10545 * C00009))</v>
      </c>
    </row>
    <row r="387">
      <c r="A387" s="2" t="s">
        <v>8848</v>
      </c>
      <c r="B387" s="2" t="s">
        <v>8849</v>
      </c>
      <c r="C387" s="2" t="s">
        <v>25081</v>
      </c>
      <c r="D387" s="18">
        <v>386.0</v>
      </c>
      <c r="E387" s="2" t="str">
        <f t="shared" si="1"/>
        <v>E2_4_1_18</v>
      </c>
      <c r="F387" s="19" t="s">
        <v>16350</v>
      </c>
      <c r="G387" s="19" t="s">
        <v>16350</v>
      </c>
      <c r="H387" s="19" t="s">
        <v>16351</v>
      </c>
      <c r="I387" s="19" t="s">
        <v>16351</v>
      </c>
      <c r="J387" s="2" t="str">
        <f t="shared" si="2"/>
        <v>(${Variables:E2_4_1_18_kcat} * E2_4_1_18 * C00718)/(${Variables:E2_4_1_18_km} + (E2_4_1_18 * C00718))</v>
      </c>
      <c r="K387" s="2" t="str">
        <f t="shared" si="3"/>
        <v>r386: C00718 -&gt; C00369 | (${Variables:E2_4_1_18_kcat} * E2_4_1_18 * C00718)/(${Variables:E2_4_1_18_km} + (E2_4_1_18 * C00718))</v>
      </c>
    </row>
    <row r="388">
      <c r="A388" s="2" t="s">
        <v>8848</v>
      </c>
      <c r="B388" s="2" t="s">
        <v>8849</v>
      </c>
      <c r="C388" s="2" t="s">
        <v>25081</v>
      </c>
      <c r="D388" s="18">
        <v>387.0</v>
      </c>
      <c r="E388" s="2" t="str">
        <f t="shared" si="1"/>
        <v>E2_4_1_18</v>
      </c>
      <c r="F388" s="19" t="s">
        <v>16353</v>
      </c>
      <c r="G388" s="19" t="s">
        <v>16353</v>
      </c>
      <c r="H388" s="19" t="s">
        <v>16354</v>
      </c>
      <c r="I388" s="19" t="s">
        <v>16354</v>
      </c>
      <c r="J388" s="2" t="str">
        <f t="shared" si="2"/>
        <v>(${Variables:E2_4_1_18_kcat} * E2_4_1_18 * G10495)/(${Variables:E2_4_1_18_km} + (E2_4_1_18 * G10495))</v>
      </c>
      <c r="K388" s="2" t="str">
        <f t="shared" si="3"/>
        <v>r387: G10495 -&gt; G10545 | (${Variables:E2_4_1_18_kcat} * E2_4_1_18 * G10495)/(${Variables:E2_4_1_18_km} + (E2_4_1_18 * G10495))</v>
      </c>
    </row>
    <row r="389">
      <c r="A389" s="2" t="s">
        <v>10592</v>
      </c>
      <c r="B389" s="2" t="s">
        <v>10593</v>
      </c>
      <c r="C389" s="2" t="s">
        <v>25082</v>
      </c>
      <c r="D389" s="18">
        <v>388.0</v>
      </c>
      <c r="E389" s="2" t="str">
        <f t="shared" si="1"/>
        <v>E2_4_1_227</v>
      </c>
      <c r="F389" s="19" t="s">
        <v>26846</v>
      </c>
      <c r="G389" s="19" t="s">
        <v>26847</v>
      </c>
      <c r="H389" s="19" t="s">
        <v>26848</v>
      </c>
      <c r="I389" s="19" t="s">
        <v>26849</v>
      </c>
      <c r="J389" s="2" t="str">
        <f t="shared" si="2"/>
        <v>(${Variables:E2_4_1_227_kcat} * E2_4_1_227 * C05897 * C00043)/(${Variables:E2_4_1_227_km} + (E2_4_1_227 * C05897 * C00043))</v>
      </c>
      <c r="K389" s="2" t="str">
        <f t="shared" si="3"/>
        <v>r388: C05897 + C00043 -&gt; C05898 + C00015 | (${Variables:E2_4_1_227_kcat} * E2_4_1_227 * C05897 * C00043)/(${Variables:E2_4_1_227_km} + (E2_4_1_227 * C05897 * C00043))</v>
      </c>
    </row>
    <row r="390">
      <c r="A390" s="2" t="s">
        <v>10592</v>
      </c>
      <c r="B390" s="2" t="s">
        <v>10593</v>
      </c>
      <c r="C390" s="2" t="s">
        <v>25082</v>
      </c>
      <c r="D390" s="18">
        <v>389.0</v>
      </c>
      <c r="E390" s="2" t="str">
        <f t="shared" si="1"/>
        <v>E2_4_1_227</v>
      </c>
      <c r="F390" s="19" t="s">
        <v>26850</v>
      </c>
      <c r="G390" s="19" t="s">
        <v>26851</v>
      </c>
      <c r="H390" s="19" t="s">
        <v>26852</v>
      </c>
      <c r="I390" s="19" t="s">
        <v>26853</v>
      </c>
      <c r="J390" s="2" t="str">
        <f t="shared" si="2"/>
        <v>(${Variables:E2_4_1_227_kcat} * E2_4_1_227 * C04851 * C00043)/(${Variables:E2_4_1_227_km} + (E2_4_1_227 * C04851 * C00043))</v>
      </c>
      <c r="K390" s="2" t="str">
        <f t="shared" si="3"/>
        <v>r389: C04851 + C00043 -&gt; C05893 + C00015 | (${Variables:E2_4_1_227_kcat} * E2_4_1_227 * C04851 * C00043)/(${Variables:E2_4_1_227_km} + (E2_4_1_227 * C04851 * C00043))</v>
      </c>
    </row>
    <row r="391">
      <c r="A391" s="2" t="s">
        <v>10592</v>
      </c>
      <c r="B391" s="2" t="s">
        <v>10593</v>
      </c>
      <c r="C391" s="2" t="s">
        <v>25082</v>
      </c>
      <c r="D391" s="18">
        <v>390.0</v>
      </c>
      <c r="E391" s="2" t="str">
        <f t="shared" si="1"/>
        <v>E2_4_1_227</v>
      </c>
      <c r="F391" s="19" t="s">
        <v>26854</v>
      </c>
      <c r="G391" s="19" t="s">
        <v>26855</v>
      </c>
      <c r="H391" s="19" t="s">
        <v>26856</v>
      </c>
      <c r="I391" s="19" t="s">
        <v>26857</v>
      </c>
      <c r="J391" s="2" t="str">
        <f t="shared" si="2"/>
        <v>(${Variables:E2_4_1_227_kcat} * E2_4_1_227 * G10551 * G10610)/(${Variables:E2_4_1_227_km} + (E2_4_1_227 * G10551 * G10610))</v>
      </c>
      <c r="K391" s="2" t="str">
        <f t="shared" si="3"/>
        <v>r390: G10551 + G10610 -&gt; G10550 + G10619 | (${Variables:E2_4_1_227_kcat} * E2_4_1_227 * G10551 * G10610)/(${Variables:E2_4_1_227_km} + (E2_4_1_227 * G10551 * G10610))</v>
      </c>
    </row>
    <row r="392">
      <c r="A392" s="2" t="s">
        <v>10592</v>
      </c>
      <c r="B392" s="2" t="s">
        <v>10593</v>
      </c>
      <c r="C392" s="2" t="s">
        <v>25082</v>
      </c>
      <c r="D392" s="18">
        <v>391.0</v>
      </c>
      <c r="E392" s="2" t="str">
        <f t="shared" si="1"/>
        <v>E2_4_1_227</v>
      </c>
      <c r="F392" s="19" t="s">
        <v>26858</v>
      </c>
      <c r="G392" s="19" t="s">
        <v>26859</v>
      </c>
      <c r="H392" s="19" t="s">
        <v>26860</v>
      </c>
      <c r="I392" s="19" t="s">
        <v>26861</v>
      </c>
      <c r="J392" s="2" t="str">
        <f t="shared" si="2"/>
        <v>(${Variables:E2_4_1_227_kcat} * E2_4_1_227 * G10552 * G10610)/(${Variables:E2_4_1_227_km} + (E2_4_1_227 * G10552 * G10610))</v>
      </c>
      <c r="K392" s="2" t="str">
        <f t="shared" si="3"/>
        <v>r391: G10552 + G10610 -&gt; G10553 + G10619 | (${Variables:E2_4_1_227_kcat} * E2_4_1_227 * G10552 * G10610)/(${Variables:E2_4_1_227_km} + (E2_4_1_227 * G10552 * G10610))</v>
      </c>
    </row>
    <row r="393">
      <c r="A393" s="2" t="s">
        <v>10592</v>
      </c>
      <c r="B393" s="2" t="s">
        <v>10593</v>
      </c>
      <c r="C393" s="2" t="s">
        <v>25082</v>
      </c>
      <c r="D393" s="18">
        <v>392.0</v>
      </c>
      <c r="E393" s="2" t="str">
        <f t="shared" si="1"/>
        <v>E2_4_1_227</v>
      </c>
      <c r="F393" s="19" t="s">
        <v>26862</v>
      </c>
      <c r="G393" s="19" t="s">
        <v>26863</v>
      </c>
      <c r="H393" s="19" t="s">
        <v>26864</v>
      </c>
      <c r="I393" s="19" t="s">
        <v>26865</v>
      </c>
      <c r="J393" s="2" t="str">
        <f t="shared" si="2"/>
        <v>(${Variables:E2_4_1_227_kcat} * E2_4_1_227 * G10556 * G10610)/(${Variables:E2_4_1_227_km} + (E2_4_1_227 * G10556 * G10610))</v>
      </c>
      <c r="K393" s="2" t="str">
        <f t="shared" si="3"/>
        <v>r392: G10556 + G10610 -&gt; G10555 + G10619 | (${Variables:E2_4_1_227_kcat} * E2_4_1_227 * G10556 * G10610)/(${Variables:E2_4_1_227_km} + (E2_4_1_227 * G10556 * G10610))</v>
      </c>
    </row>
    <row r="394">
      <c r="A394" s="2" t="s">
        <v>3244</v>
      </c>
      <c r="B394" s="2" t="s">
        <v>3245</v>
      </c>
      <c r="C394" s="2" t="s">
        <v>25083</v>
      </c>
      <c r="D394" s="18">
        <v>393.0</v>
      </c>
      <c r="E394" s="2" t="str">
        <f t="shared" si="1"/>
        <v>E2_4_2_1</v>
      </c>
      <c r="F394" s="19" t="s">
        <v>26866</v>
      </c>
      <c r="G394" s="19" t="s">
        <v>26867</v>
      </c>
      <c r="H394" s="19" t="s">
        <v>26868</v>
      </c>
      <c r="I394" s="19" t="s">
        <v>26869</v>
      </c>
      <c r="J394" s="2" t="str">
        <f t="shared" si="2"/>
        <v>(${Variables:E2_4_2_1_kcat} * E2_4_2_1 * C00212 * C00009)/(${Variables:E2_4_2_1_km} + (E2_4_2_1 * C00212 * C00009))</v>
      </c>
      <c r="K394" s="2" t="str">
        <f t="shared" si="3"/>
        <v>r393: C00212 + C00009 -&gt; C00147 + C00620 | (${Variables:E2_4_2_1_kcat} * E2_4_2_1 * C00212 * C00009)/(${Variables:E2_4_2_1_km} + (E2_4_2_1 * C00212 * C00009))</v>
      </c>
    </row>
    <row r="395">
      <c r="A395" s="2" t="s">
        <v>3244</v>
      </c>
      <c r="B395" s="2" t="s">
        <v>3245</v>
      </c>
      <c r="C395" s="2" t="s">
        <v>25083</v>
      </c>
      <c r="D395" s="18">
        <v>394.0</v>
      </c>
      <c r="E395" s="2" t="str">
        <f t="shared" si="1"/>
        <v>E2_4_2_1</v>
      </c>
      <c r="F395" s="19" t="s">
        <v>26870</v>
      </c>
      <c r="G395" s="19" t="s">
        <v>26871</v>
      </c>
      <c r="H395" s="19" t="s">
        <v>26872</v>
      </c>
      <c r="I395" s="19" t="s">
        <v>26873</v>
      </c>
      <c r="J395" s="2" t="str">
        <f t="shared" si="2"/>
        <v>(${Variables:E2_4_2_1_kcat} * E2_4_2_1 * C00294 * C00009)/(${Variables:E2_4_2_1_km} + (E2_4_2_1 * C00294 * C00009))</v>
      </c>
      <c r="K395" s="2" t="str">
        <f t="shared" si="3"/>
        <v>r394: C00294 + C00009 -&gt; C00262 + C00620 | (${Variables:E2_4_2_1_kcat} * E2_4_2_1 * C00294 * C00009)/(${Variables:E2_4_2_1_km} + (E2_4_2_1 * C00294 * C00009))</v>
      </c>
    </row>
    <row r="396">
      <c r="A396" s="2" t="s">
        <v>3244</v>
      </c>
      <c r="B396" s="2" t="s">
        <v>3245</v>
      </c>
      <c r="C396" s="2" t="s">
        <v>25083</v>
      </c>
      <c r="D396" s="18">
        <v>395.0</v>
      </c>
      <c r="E396" s="2" t="str">
        <f t="shared" si="1"/>
        <v>E2_4_2_1</v>
      </c>
      <c r="F396" s="19" t="s">
        <v>26874</v>
      </c>
      <c r="G396" s="19" t="s">
        <v>26875</v>
      </c>
      <c r="H396" s="19" t="s">
        <v>26876</v>
      </c>
      <c r="I396" s="19" t="s">
        <v>26877</v>
      </c>
      <c r="J396" s="2" t="str">
        <f t="shared" si="2"/>
        <v>(${Variables:E2_4_2_1_kcat} * E2_4_2_1 * C00330 * C00009)/(${Variables:E2_4_2_1_km} + (E2_4_2_1 * C00330 * C00009))</v>
      </c>
      <c r="K396" s="2" t="str">
        <f t="shared" si="3"/>
        <v>r395: C00330 + C00009 -&gt; C00242 + C00672 | (${Variables:E2_4_2_1_kcat} * E2_4_2_1 * C00330 * C00009)/(${Variables:E2_4_2_1_km} + (E2_4_2_1 * C00330 * C00009))</v>
      </c>
    </row>
    <row r="397">
      <c r="A397" s="2" t="s">
        <v>3244</v>
      </c>
      <c r="B397" s="2" t="s">
        <v>3245</v>
      </c>
      <c r="C397" s="2" t="s">
        <v>25083</v>
      </c>
      <c r="D397" s="18">
        <v>396.0</v>
      </c>
      <c r="E397" s="2" t="str">
        <f t="shared" si="1"/>
        <v>E2_4_2_1</v>
      </c>
      <c r="F397" s="19" t="s">
        <v>26878</v>
      </c>
      <c r="G397" s="19" t="s">
        <v>26879</v>
      </c>
      <c r="H397" s="19" t="s">
        <v>26880</v>
      </c>
      <c r="I397" s="19" t="s">
        <v>26881</v>
      </c>
      <c r="J397" s="2" t="str">
        <f t="shared" si="2"/>
        <v>(${Variables:E2_4_2_1_kcat} * E2_4_2_1 * C00387 * C00009)/(${Variables:E2_4_2_1_km} + (E2_4_2_1 * C00387 * C00009))</v>
      </c>
      <c r="K397" s="2" t="str">
        <f t="shared" si="3"/>
        <v>r396: C00387 + C00009 -&gt; C00242 + C00620 | (${Variables:E2_4_2_1_kcat} * E2_4_2_1 * C00387 * C00009)/(${Variables:E2_4_2_1_km} + (E2_4_2_1 * C00387 * C00009))</v>
      </c>
    </row>
    <row r="398">
      <c r="A398" s="2" t="s">
        <v>3244</v>
      </c>
      <c r="B398" s="2" t="s">
        <v>3245</v>
      </c>
      <c r="C398" s="2" t="s">
        <v>25083</v>
      </c>
      <c r="D398" s="18">
        <v>397.0</v>
      </c>
      <c r="E398" s="2" t="str">
        <f t="shared" si="1"/>
        <v>E2_4_2_1</v>
      </c>
      <c r="F398" s="19" t="s">
        <v>26882</v>
      </c>
      <c r="G398" s="19" t="s">
        <v>26883</v>
      </c>
      <c r="H398" s="19" t="s">
        <v>26884</v>
      </c>
      <c r="I398" s="19" t="s">
        <v>26885</v>
      </c>
      <c r="J398" s="2" t="str">
        <f t="shared" si="2"/>
        <v>(${Variables:E2_4_2_1_kcat} * E2_4_2_1 * C03150 * C00009)/(${Variables:E2_4_2_1_km} + (E2_4_2_1 * C03150 * C00009))</v>
      </c>
      <c r="K398" s="2" t="str">
        <f t="shared" si="3"/>
        <v>r397: C03150 + C00009 -&gt; C00153 + C00620 | (${Variables:E2_4_2_1_kcat} * E2_4_2_1 * C03150 * C00009)/(${Variables:E2_4_2_1_km} + (E2_4_2_1 * C03150 * C00009))</v>
      </c>
    </row>
    <row r="399">
      <c r="A399" s="2" t="s">
        <v>3244</v>
      </c>
      <c r="B399" s="2" t="s">
        <v>3245</v>
      </c>
      <c r="C399" s="2" t="s">
        <v>25083</v>
      </c>
      <c r="D399" s="18">
        <v>398.0</v>
      </c>
      <c r="E399" s="2" t="str">
        <f t="shared" si="1"/>
        <v>E2_4_2_1</v>
      </c>
      <c r="F399" s="19" t="s">
        <v>26886</v>
      </c>
      <c r="G399" s="19" t="s">
        <v>26887</v>
      </c>
      <c r="H399" s="19" t="s">
        <v>26888</v>
      </c>
      <c r="I399" s="19" t="s">
        <v>26889</v>
      </c>
      <c r="J399" s="2" t="str">
        <f t="shared" si="2"/>
        <v>(${Variables:E2_4_2_1_kcat} * E2_4_2_1 * C05841 * C00009)/(${Variables:E2_4_2_1_km} + (E2_4_2_1 * C05841 * C00009))</v>
      </c>
      <c r="K399" s="2" t="str">
        <f t="shared" si="3"/>
        <v>r398: C05841 + C00009 -&gt; C00253 + C00620 + C00080 | (${Variables:E2_4_2_1_kcat} * E2_4_2_1 * C05841 * C00009)/(${Variables:E2_4_2_1_km} + (E2_4_2_1 * C05841 * C00009))</v>
      </c>
    </row>
    <row r="400">
      <c r="A400" s="2" t="s">
        <v>3244</v>
      </c>
      <c r="B400" s="2" t="s">
        <v>3245</v>
      </c>
      <c r="C400" s="2" t="s">
        <v>25083</v>
      </c>
      <c r="D400" s="18">
        <v>399.0</v>
      </c>
      <c r="E400" s="2" t="str">
        <f t="shared" si="1"/>
        <v>E2_4_2_1</v>
      </c>
      <c r="F400" s="19" t="s">
        <v>26890</v>
      </c>
      <c r="G400" s="19" t="s">
        <v>26891</v>
      </c>
      <c r="H400" s="19" t="s">
        <v>26892</v>
      </c>
      <c r="I400" s="19" t="s">
        <v>26893</v>
      </c>
      <c r="J400" s="2" t="str">
        <f t="shared" si="2"/>
        <v>(${Variables:E2_4_2_1_kcat} * E2_4_2_1 * C01762 * C00009)/(${Variables:E2_4_2_1_km} + (E2_4_2_1 * C01762 * C00009))</v>
      </c>
      <c r="K400" s="2" t="str">
        <f t="shared" si="3"/>
        <v>r399: C01762 + C00009 -&gt; C00385 + C00620 | (${Variables:E2_4_2_1_kcat} * E2_4_2_1 * C01762 * C00009)/(${Variables:E2_4_2_1_km} + (E2_4_2_1 * C01762 * C00009))</v>
      </c>
    </row>
    <row r="401">
      <c r="A401" s="2" t="s">
        <v>3244</v>
      </c>
      <c r="B401" s="2" t="s">
        <v>3245</v>
      </c>
      <c r="C401" s="2" t="s">
        <v>25083</v>
      </c>
      <c r="D401" s="18">
        <v>400.0</v>
      </c>
      <c r="E401" s="2" t="str">
        <f t="shared" si="1"/>
        <v>E2_4_2_1</v>
      </c>
      <c r="F401" s="19" t="s">
        <v>26894</v>
      </c>
      <c r="G401" s="19" t="s">
        <v>26895</v>
      </c>
      <c r="H401" s="19" t="s">
        <v>26896</v>
      </c>
      <c r="I401" s="19" t="s">
        <v>26897</v>
      </c>
      <c r="J401" s="2" t="str">
        <f t="shared" si="2"/>
        <v>(${Variables:E2_4_2_1_kcat} * E2_4_2_1 * C00559 * C00009)/(${Variables:E2_4_2_1_km} + (E2_4_2_1 * C00559 * C00009))</v>
      </c>
      <c r="K401" s="2" t="str">
        <f t="shared" si="3"/>
        <v>r400: C00559 + C00009 -&gt; C00147 + C00672 | (${Variables:E2_4_2_1_kcat} * E2_4_2_1 * C00559 * C00009)/(${Variables:E2_4_2_1_km} + (E2_4_2_1 * C00559 * C00009))</v>
      </c>
    </row>
    <row r="402">
      <c r="A402" s="2" t="s">
        <v>3244</v>
      </c>
      <c r="B402" s="2" t="s">
        <v>3245</v>
      </c>
      <c r="C402" s="2" t="s">
        <v>25083</v>
      </c>
      <c r="D402" s="18">
        <v>401.0</v>
      </c>
      <c r="E402" s="2" t="str">
        <f t="shared" si="1"/>
        <v>E2_4_2_1</v>
      </c>
      <c r="F402" s="19" t="s">
        <v>26898</v>
      </c>
      <c r="G402" s="19" t="s">
        <v>26899</v>
      </c>
      <c r="H402" s="19" t="s">
        <v>26900</v>
      </c>
      <c r="I402" s="19" t="s">
        <v>26901</v>
      </c>
      <c r="J402" s="2" t="str">
        <f t="shared" si="2"/>
        <v>(${Variables:E2_4_2_1_kcat} * E2_4_2_1 * C05512 * C00009)/(${Variables:E2_4_2_1_km} + (E2_4_2_1 * C05512 * C00009))</v>
      </c>
      <c r="K402" s="2" t="str">
        <f t="shared" si="3"/>
        <v>r401: C05512 + C00009 -&gt; C00262 + C00672 | (${Variables:E2_4_2_1_kcat} * E2_4_2_1 * C05512 * C00009)/(${Variables:E2_4_2_1_km} + (E2_4_2_1 * C05512 * C00009))</v>
      </c>
    </row>
    <row r="403">
      <c r="A403" s="2" t="s">
        <v>3244</v>
      </c>
      <c r="B403" s="2" t="s">
        <v>3245</v>
      </c>
      <c r="C403" s="2" t="s">
        <v>25083</v>
      </c>
      <c r="D403" s="18">
        <v>402.0</v>
      </c>
      <c r="E403" s="2" t="str">
        <f t="shared" si="1"/>
        <v>E2_4_2_1</v>
      </c>
      <c r="F403" s="19" t="s">
        <v>26902</v>
      </c>
      <c r="G403" s="19" t="s">
        <v>26903</v>
      </c>
      <c r="H403" s="19" t="s">
        <v>26904</v>
      </c>
      <c r="I403" s="19" t="s">
        <v>26905</v>
      </c>
      <c r="J403" s="2" t="str">
        <f t="shared" si="2"/>
        <v>(${Variables:E2_4_2_1_kcat} * E2_4_2_1 * C15586 * C00009)/(${Variables:E2_4_2_1_km} + (E2_4_2_1 * C15586 * C00009))</v>
      </c>
      <c r="K403" s="2" t="str">
        <f t="shared" si="3"/>
        <v>r402: C15586 + C00009 -&gt; C15587 + C00620 | (${Variables:E2_4_2_1_kcat} * E2_4_2_1 * C15586 * C00009)/(${Variables:E2_4_2_1_km} + (E2_4_2_1 * C15586 * C00009))</v>
      </c>
    </row>
    <row r="404">
      <c r="A404" s="2" t="s">
        <v>3244</v>
      </c>
      <c r="B404" s="2" t="s">
        <v>3245</v>
      </c>
      <c r="C404" s="2" t="s">
        <v>25083</v>
      </c>
      <c r="D404" s="18">
        <v>403.0</v>
      </c>
      <c r="E404" s="2" t="str">
        <f t="shared" si="1"/>
        <v>E2_4_2_1</v>
      </c>
      <c r="F404" s="19" t="s">
        <v>26906</v>
      </c>
      <c r="G404" s="19" t="s">
        <v>26907</v>
      </c>
      <c r="H404" s="19" t="s">
        <v>26908</v>
      </c>
      <c r="I404" s="19" t="s">
        <v>26909</v>
      </c>
      <c r="J404" s="2" t="str">
        <f t="shared" si="2"/>
        <v>(${Variables:E2_4_2_1_kcat} * E2_4_2_1 * C20463 * C00009)/(${Variables:E2_4_2_1_km} + (E2_4_2_1 * C20463 * C00009))</v>
      </c>
      <c r="K404" s="2" t="str">
        <f t="shared" si="3"/>
        <v>r403: C20463 + C00009 -&gt; C15587 + C00672 | (${Variables:E2_4_2_1_kcat} * E2_4_2_1 * C20463 * C00009)/(${Variables:E2_4_2_1_km} + (E2_4_2_1 * C20463 * C00009))</v>
      </c>
    </row>
    <row r="405">
      <c r="A405" s="2" t="s">
        <v>11716</v>
      </c>
      <c r="B405" s="2" t="s">
        <v>11717</v>
      </c>
      <c r="C405" s="2" t="s">
        <v>25084</v>
      </c>
      <c r="D405" s="18">
        <v>404.0</v>
      </c>
      <c r="E405" s="2" t="str">
        <f t="shared" si="1"/>
        <v>E2_4_2_10</v>
      </c>
      <c r="F405" s="19" t="s">
        <v>26910</v>
      </c>
      <c r="G405" s="19" t="s">
        <v>26911</v>
      </c>
      <c r="H405" s="19" t="s">
        <v>26912</v>
      </c>
      <c r="I405" s="19" t="s">
        <v>26913</v>
      </c>
      <c r="J405" s="2" t="str">
        <f t="shared" si="2"/>
        <v>(${Variables:E2_4_2_10_kcat} * E2_4_2_10 * C01103 * C00013)/(${Variables:E2_4_2_10_km} + (E2_4_2_10 * C01103 * C00013))</v>
      </c>
      <c r="K405" s="2" t="str">
        <f t="shared" si="3"/>
        <v>r404: C01103 + C00013 -&gt; C00295 + C00119 | (${Variables:E2_4_2_10_kcat} * E2_4_2_10 * C01103 * C00013)/(${Variables:E2_4_2_10_km} + (E2_4_2_10 * C01103 * C00013))</v>
      </c>
    </row>
    <row r="406">
      <c r="A406" s="2" t="s">
        <v>11716</v>
      </c>
      <c r="B406" s="2" t="s">
        <v>11717</v>
      </c>
      <c r="C406" s="2" t="s">
        <v>25084</v>
      </c>
      <c r="D406" s="18">
        <v>405.0</v>
      </c>
      <c r="E406" s="2" t="str">
        <f t="shared" si="1"/>
        <v>E2_4_2_10</v>
      </c>
      <c r="F406" s="19" t="s">
        <v>26914</v>
      </c>
      <c r="G406" s="19" t="s">
        <v>26915</v>
      </c>
      <c r="H406" s="19" t="s">
        <v>26916</v>
      </c>
      <c r="I406" s="19" t="s">
        <v>26917</v>
      </c>
      <c r="J406" s="2" t="str">
        <f t="shared" si="2"/>
        <v>(${Variables:E2_4_2_10_kcat} * E2_4_2_10 * C07649 * C00119)/(${Variables:E2_4_2_10_km} + (E2_4_2_10 * C07649 * C00119))</v>
      </c>
      <c r="K406" s="2" t="str">
        <f t="shared" si="3"/>
        <v>r405: C07649 + C00119 -&gt; C16634 + C00013 | (${Variables:E2_4_2_10_kcat} * E2_4_2_10 * C07649 * C00119)/(${Variables:E2_4_2_10_km} + (E2_4_2_10 * C07649 * C00119))</v>
      </c>
    </row>
    <row r="407">
      <c r="A407" s="2" t="s">
        <v>6277</v>
      </c>
      <c r="B407" s="2" t="s">
        <v>6278</v>
      </c>
      <c r="C407" s="2" t="s">
        <v>25085</v>
      </c>
      <c r="D407" s="18">
        <v>406.0</v>
      </c>
      <c r="E407" s="2" t="str">
        <f t="shared" si="1"/>
        <v>E2_4_2_14</v>
      </c>
      <c r="F407" s="19" t="s">
        <v>26918</v>
      </c>
      <c r="G407" s="19" t="s">
        <v>26919</v>
      </c>
      <c r="H407" s="19" t="s">
        <v>26920</v>
      </c>
      <c r="I407" s="19" t="s">
        <v>26921</v>
      </c>
      <c r="J407" s="2" t="str">
        <f t="shared" si="2"/>
        <v>(${Variables:E2_4_2_14_kcat} * E2_4_2_14 * C03090 * C00013 * C00025)/(${Variables:E2_4_2_14_km} + (E2_4_2_14 * C03090 * C00013 * C00025))</v>
      </c>
      <c r="K407" s="2" t="str">
        <f t="shared" si="3"/>
        <v>r406: C03090 + C00013 + C00025 -&gt; C00064 + C00119 + C00001 | (${Variables:E2_4_2_14_kcat} * E2_4_2_14 * C03090 * C00013 * C00025)/(${Variables:E2_4_2_14_km} + (E2_4_2_14 * C03090 * C00013 * C00025))</v>
      </c>
    </row>
    <row r="408">
      <c r="A408" s="2" t="s">
        <v>3413</v>
      </c>
      <c r="B408" s="2" t="s">
        <v>3414</v>
      </c>
      <c r="C408" s="2" t="s">
        <v>25086</v>
      </c>
      <c r="D408" s="18">
        <v>407.0</v>
      </c>
      <c r="E408" s="2" t="str">
        <f t="shared" si="1"/>
        <v>E2_4_2_17</v>
      </c>
      <c r="F408" s="19" t="s">
        <v>26922</v>
      </c>
      <c r="G408" s="19" t="s">
        <v>26923</v>
      </c>
      <c r="H408" s="19" t="s">
        <v>26924</v>
      </c>
      <c r="I408" s="19" t="s">
        <v>26925</v>
      </c>
      <c r="J408" s="2" t="str">
        <f t="shared" si="2"/>
        <v>(${Variables:E2_4_2_17_kcat} * E2_4_2_17 * C02739 * C00013)/(${Variables:E2_4_2_17_km} + (E2_4_2_17 * C02739 * C00013))</v>
      </c>
      <c r="K408" s="2" t="str">
        <f t="shared" si="3"/>
        <v>r407: C02739 + C00013 -&gt; C00002 + C00119 | (${Variables:E2_4_2_17_kcat} * E2_4_2_17 * C02739 * C00013)/(${Variables:E2_4_2_17_km} + (E2_4_2_17 * C02739 * C00013))</v>
      </c>
    </row>
    <row r="409">
      <c r="A409" s="2" t="s">
        <v>3882</v>
      </c>
      <c r="B409" s="2" t="s">
        <v>3883</v>
      </c>
      <c r="C409" s="2" t="s">
        <v>25087</v>
      </c>
      <c r="D409" s="18">
        <v>408.0</v>
      </c>
      <c r="E409" s="2" t="str">
        <f t="shared" si="1"/>
        <v>E2_4_2_18</v>
      </c>
      <c r="F409" s="19" t="s">
        <v>26926</v>
      </c>
      <c r="G409" s="19" t="s">
        <v>26927</v>
      </c>
      <c r="H409" s="19" t="s">
        <v>26928</v>
      </c>
      <c r="I409" s="19" t="s">
        <v>26929</v>
      </c>
      <c r="J409" s="2" t="str">
        <f t="shared" si="2"/>
        <v>(${Variables:E2_4_2_18_kcat} * E2_4_2_18 * C04302 * C00013)/(${Variables:E2_4_2_18_km} + (E2_4_2_18 * C04302 * C00013))</v>
      </c>
      <c r="K409" s="2" t="str">
        <f t="shared" si="3"/>
        <v>r408: C04302 + C00013 -&gt; C00108 + C00119 | (${Variables:E2_4_2_18_kcat} * E2_4_2_18 * C04302 * C00013)/(${Variables:E2_4_2_18_km} + (E2_4_2_18 * C04302 * C00013))</v>
      </c>
    </row>
    <row r="410">
      <c r="A410" s="2" t="s">
        <v>10077</v>
      </c>
      <c r="B410" s="2" t="s">
        <v>10078</v>
      </c>
      <c r="C410" s="2" t="s">
        <v>25088</v>
      </c>
      <c r="D410" s="18">
        <v>409.0</v>
      </c>
      <c r="E410" s="2" t="str">
        <f t="shared" si="1"/>
        <v>E2_4_2_19</v>
      </c>
      <c r="F410" s="19" t="s">
        <v>26930</v>
      </c>
      <c r="G410" s="19" t="s">
        <v>26931</v>
      </c>
      <c r="H410" s="19" t="s">
        <v>26932</v>
      </c>
      <c r="I410" s="19" t="s">
        <v>26933</v>
      </c>
      <c r="J410" s="2" t="str">
        <f t="shared" si="2"/>
        <v>(${Variables:E2_4_2_19_kcat} * E2_4_2_19 * C01185 * C00013 * C00011)/(${Variables:E2_4_2_19_km} + (E2_4_2_19 * C01185 * C00013 * C00011))</v>
      </c>
      <c r="K410" s="2" t="str">
        <f t="shared" si="3"/>
        <v>r409: C01185 + C00013 + C00011 -&gt; C03722 + C00119 | (${Variables:E2_4_2_19_kcat} * E2_4_2_19 * C01185 * C00013 * C00011)/(${Variables:E2_4_2_19_km} + (E2_4_2_19 * C01185 * C00013 * C00011))</v>
      </c>
    </row>
    <row r="411">
      <c r="A411" s="2" t="s">
        <v>2185</v>
      </c>
      <c r="B411" s="2" t="s">
        <v>2186</v>
      </c>
      <c r="C411" s="2" t="s">
        <v>25089</v>
      </c>
      <c r="D411" s="18">
        <v>410.0</v>
      </c>
      <c r="E411" s="2" t="str">
        <f t="shared" si="1"/>
        <v>E2_4_2_2</v>
      </c>
      <c r="F411" s="19" t="s">
        <v>26934</v>
      </c>
      <c r="G411" s="19" t="s">
        <v>26935</v>
      </c>
      <c r="H411" s="19" t="s">
        <v>26936</v>
      </c>
      <c r="I411" s="19" t="s">
        <v>26937</v>
      </c>
      <c r="J411" s="2" t="str">
        <f t="shared" si="2"/>
        <v>(${Variables:E2_4_2_2_kcat} * E2_4_2_2 * C00214 * C00009)/(${Variables:E2_4_2_2_km} + (E2_4_2_2 * C00214 * C00009))</v>
      </c>
      <c r="K411" s="2" t="str">
        <f t="shared" si="3"/>
        <v>r410: C00214 + C00009 -&gt; C00178 + C00672 | (${Variables:E2_4_2_2_kcat} * E2_4_2_2 * C00214 * C00009)/(${Variables:E2_4_2_2_km} + (E2_4_2_2 * C00214 * C00009))</v>
      </c>
    </row>
    <row r="412">
      <c r="A412" s="2" t="s">
        <v>2185</v>
      </c>
      <c r="B412" s="2" t="s">
        <v>2186</v>
      </c>
      <c r="C412" s="2" t="s">
        <v>25089</v>
      </c>
      <c r="D412" s="18">
        <v>411.0</v>
      </c>
      <c r="E412" s="2" t="str">
        <f t="shared" si="1"/>
        <v>E2_4_2_2</v>
      </c>
      <c r="F412" s="19" t="s">
        <v>26938</v>
      </c>
      <c r="G412" s="19" t="s">
        <v>26939</v>
      </c>
      <c r="H412" s="19" t="s">
        <v>26940</v>
      </c>
      <c r="I412" s="19" t="s">
        <v>26941</v>
      </c>
      <c r="J412" s="2" t="str">
        <f t="shared" si="2"/>
        <v>(${Variables:E2_4_2_2_kcat} * E2_4_2_2 * C00299 * C00009)/(${Variables:E2_4_2_2_km} + (E2_4_2_2 * C00299 * C00009))</v>
      </c>
      <c r="K412" s="2" t="str">
        <f t="shared" si="3"/>
        <v>r411: C00299 + C00009 -&gt; C00106 + C00620 | (${Variables:E2_4_2_2_kcat} * E2_4_2_2 * C00299 * C00009)/(${Variables:E2_4_2_2_km} + (E2_4_2_2 * C00299 * C00009))</v>
      </c>
    </row>
    <row r="413">
      <c r="A413" s="2" t="s">
        <v>2185</v>
      </c>
      <c r="B413" s="2" t="s">
        <v>2186</v>
      </c>
      <c r="C413" s="2" t="s">
        <v>25089</v>
      </c>
      <c r="D413" s="18">
        <v>412.0</v>
      </c>
      <c r="E413" s="2" t="str">
        <f t="shared" si="1"/>
        <v>E2_4_2_2</v>
      </c>
      <c r="F413" s="19" t="s">
        <v>26942</v>
      </c>
      <c r="G413" s="19" t="s">
        <v>26943</v>
      </c>
      <c r="H413" s="19" t="s">
        <v>26944</v>
      </c>
      <c r="I413" s="19" t="s">
        <v>26945</v>
      </c>
      <c r="J413" s="2" t="str">
        <f t="shared" si="2"/>
        <v>(${Variables:E2_4_2_2_kcat} * E2_4_2_2 * C00475 * C00009)/(${Variables:E2_4_2_2_km} + (E2_4_2_2 * C00475 * C00009))</v>
      </c>
      <c r="K413" s="2" t="str">
        <f t="shared" si="3"/>
        <v>r412: C00475 + C00009 -&gt; C00380 + C00620 | (${Variables:E2_4_2_2_kcat} * E2_4_2_2 * C00475 * C00009)/(${Variables:E2_4_2_2_km} + (E2_4_2_2 * C00475 * C00009))</v>
      </c>
    </row>
    <row r="414">
      <c r="A414" s="2" t="s">
        <v>2185</v>
      </c>
      <c r="B414" s="2" t="s">
        <v>2186</v>
      </c>
      <c r="C414" s="2" t="s">
        <v>25089</v>
      </c>
      <c r="D414" s="18">
        <v>413.0</v>
      </c>
      <c r="E414" s="2" t="str">
        <f t="shared" si="1"/>
        <v>E2_4_2_2</v>
      </c>
      <c r="F414" s="19" t="s">
        <v>26946</v>
      </c>
      <c r="G414" s="19" t="s">
        <v>26947</v>
      </c>
      <c r="H414" s="19" t="s">
        <v>26948</v>
      </c>
      <c r="I414" s="19" t="s">
        <v>26949</v>
      </c>
      <c r="J414" s="2" t="str">
        <f t="shared" si="2"/>
        <v>(${Variables:E2_4_2_2_kcat} * E2_4_2_2 * C03169 * C00009)/(${Variables:E2_4_2_2_km} + (E2_4_2_2 * C03169 * C00009))</v>
      </c>
      <c r="K414" s="2" t="str">
        <f t="shared" si="3"/>
        <v>r413: C03169 + C00009 -&gt; C00396 + C00620 + C00080 | (${Variables:E2_4_2_2_kcat} * E2_4_2_2 * C03169 * C00009)/(${Variables:E2_4_2_2_km} + (E2_4_2_2 * C03169 * C00009))</v>
      </c>
    </row>
    <row r="415">
      <c r="A415" s="2" t="s">
        <v>2185</v>
      </c>
      <c r="B415" s="2" t="s">
        <v>2186</v>
      </c>
      <c r="C415" s="2" t="s">
        <v>25089</v>
      </c>
      <c r="D415" s="18">
        <v>414.0</v>
      </c>
      <c r="E415" s="2" t="str">
        <f t="shared" si="1"/>
        <v>E2_4_2_2</v>
      </c>
      <c r="F415" s="19" t="s">
        <v>26950</v>
      </c>
      <c r="G415" s="19" t="s">
        <v>26951</v>
      </c>
      <c r="H415" s="19" t="s">
        <v>26952</v>
      </c>
      <c r="I415" s="19" t="s">
        <v>26953</v>
      </c>
      <c r="J415" s="2" t="str">
        <f t="shared" si="2"/>
        <v>(${Variables:E2_4_2_2_kcat} * E2_4_2_2 * C00526 * C00009)/(${Variables:E2_4_2_2_km} + (E2_4_2_2 * C00526 * C00009))</v>
      </c>
      <c r="K415" s="2" t="str">
        <f t="shared" si="3"/>
        <v>r414: C00526 + C00009 -&gt; C00106 + C00672 | (${Variables:E2_4_2_2_kcat} * E2_4_2_2 * C00526 * C00009)/(${Variables:E2_4_2_2_km} + (E2_4_2_2 * C00526 * C00009))</v>
      </c>
    </row>
    <row r="416">
      <c r="A416" s="2" t="s">
        <v>2905</v>
      </c>
      <c r="B416" s="2" t="s">
        <v>2906</v>
      </c>
      <c r="C416" s="2" t="s">
        <v>25090</v>
      </c>
      <c r="D416" s="18">
        <v>415.0</v>
      </c>
      <c r="E416" s="2" t="str">
        <f t="shared" si="1"/>
        <v>E2_4_2_22</v>
      </c>
      <c r="F416" s="19" t="s">
        <v>26954</v>
      </c>
      <c r="G416" s="19" t="s">
        <v>26955</v>
      </c>
      <c r="H416" s="19" t="s">
        <v>26956</v>
      </c>
      <c r="I416" s="19" t="s">
        <v>26957</v>
      </c>
      <c r="J416" s="2" t="str">
        <f t="shared" si="2"/>
        <v>(${Variables:E2_4_2_22_kcat} * E2_4_2_22 * C00144 * C00013)/(${Variables:E2_4_2_22_km} + (E2_4_2_22 * C00144 * C00013))</v>
      </c>
      <c r="K416" s="2" t="str">
        <f t="shared" si="3"/>
        <v>r415: C00144 + C00013 -&gt; C00242 + C00119 | (${Variables:E2_4_2_22_kcat} * E2_4_2_22 * C00144 * C00013)/(${Variables:E2_4_2_22_km} + (E2_4_2_22 * C00144 * C00013))</v>
      </c>
    </row>
    <row r="417">
      <c r="A417" s="2" t="s">
        <v>2905</v>
      </c>
      <c r="B417" s="2" t="s">
        <v>2906</v>
      </c>
      <c r="C417" s="2" t="s">
        <v>25090</v>
      </c>
      <c r="D417" s="18">
        <v>416.0</v>
      </c>
      <c r="E417" s="2" t="str">
        <f t="shared" si="1"/>
        <v>E2_4_2_22</v>
      </c>
      <c r="F417" s="19" t="s">
        <v>26958</v>
      </c>
      <c r="G417" s="19" t="s">
        <v>26959</v>
      </c>
      <c r="H417" s="19" t="s">
        <v>26960</v>
      </c>
      <c r="I417" s="19" t="s">
        <v>26961</v>
      </c>
      <c r="J417" s="2" t="str">
        <f t="shared" si="2"/>
        <v>(${Variables:E2_4_2_22_kcat} * E2_4_2_22 * C00655 * C00013)/(${Variables:E2_4_2_22_km} + (E2_4_2_22 * C00655 * C00013))</v>
      </c>
      <c r="K417" s="2" t="str">
        <f t="shared" si="3"/>
        <v>r416: C00655 + C00013 -&gt; C00385 + C00119 | (${Variables:E2_4_2_22_kcat} * E2_4_2_22 * C00655 * C00013)/(${Variables:E2_4_2_22_km} + (E2_4_2_22 * C00655 * C00013))</v>
      </c>
    </row>
    <row r="418">
      <c r="A418" s="2" t="s">
        <v>10111</v>
      </c>
      <c r="B418" s="2" t="s">
        <v>10112</v>
      </c>
      <c r="C418" s="2" t="s">
        <v>25091</v>
      </c>
      <c r="D418" s="18">
        <v>417.0</v>
      </c>
      <c r="E418" s="2" t="str">
        <f t="shared" si="1"/>
        <v>E2_4_2_29</v>
      </c>
      <c r="F418" s="19" t="s">
        <v>26962</v>
      </c>
      <c r="G418" s="19" t="s">
        <v>26963</v>
      </c>
      <c r="H418" s="19" t="s">
        <v>26964</v>
      </c>
      <c r="I418" s="19" t="s">
        <v>26965</v>
      </c>
      <c r="J418" s="2" t="str">
        <f t="shared" si="2"/>
        <v>(${Variables:E2_4_2_29_kcat} * E2_4_2_29 * C01977 * C16675)/(${Variables:E2_4_2_29_km} + (E2_4_2_29 * C01977 * C16675))</v>
      </c>
      <c r="K418" s="2" t="str">
        <f t="shared" si="3"/>
        <v>r417: C01977 + C16675 -&gt; C20446 + C00242 | (${Variables:E2_4_2_29_kcat} * E2_4_2_29 * C01977 * C16675)/(${Variables:E2_4_2_29_km} + (E2_4_2_29 * C01977 * C16675))</v>
      </c>
    </row>
    <row r="419">
      <c r="A419" s="2" t="s">
        <v>10142</v>
      </c>
      <c r="B419" s="2" t="s">
        <v>10143</v>
      </c>
      <c r="C419" s="2" t="s">
        <v>25092</v>
      </c>
      <c r="D419" s="18">
        <v>418.0</v>
      </c>
      <c r="E419" s="2" t="str">
        <f t="shared" si="1"/>
        <v>E2_4_2_7</v>
      </c>
      <c r="F419" s="19" t="s">
        <v>26966</v>
      </c>
      <c r="G419" s="19" t="s">
        <v>26967</v>
      </c>
      <c r="H419" s="19" t="s">
        <v>26968</v>
      </c>
      <c r="I419" s="19" t="s">
        <v>26969</v>
      </c>
      <c r="J419" s="2" t="str">
        <f t="shared" si="2"/>
        <v>(${Variables:E2_4_2_7_kcat} * E2_4_2_7 * C00020 * C00013)/(${Variables:E2_4_2_7_km} + (E2_4_2_7 * C00020 * C00013))</v>
      </c>
      <c r="K419" s="2" t="str">
        <f t="shared" si="3"/>
        <v>r418: C00020 + C00013 -&gt; C00147 + C00119 | (${Variables:E2_4_2_7_kcat} * E2_4_2_7 * C00020 * C00013)/(${Variables:E2_4_2_7_km} + (E2_4_2_7 * C00020 * C00013))</v>
      </c>
    </row>
    <row r="420">
      <c r="A420" s="2" t="s">
        <v>10142</v>
      </c>
      <c r="B420" s="2" t="s">
        <v>10143</v>
      </c>
      <c r="C420" s="2" t="s">
        <v>25092</v>
      </c>
      <c r="D420" s="18">
        <v>419.0</v>
      </c>
      <c r="E420" s="2" t="str">
        <f t="shared" si="1"/>
        <v>E2_4_2_7</v>
      </c>
      <c r="F420" s="19" t="s">
        <v>26970</v>
      </c>
      <c r="G420" s="19" t="s">
        <v>26971</v>
      </c>
      <c r="H420" s="19" t="s">
        <v>26972</v>
      </c>
      <c r="I420" s="19" t="s">
        <v>26973</v>
      </c>
      <c r="J420" s="2" t="str">
        <f t="shared" si="2"/>
        <v>(${Variables:E2_4_2_7_kcat} * E2_4_2_7 * C04677 * C00013)/(${Variables:E2_4_2_7_km} + (E2_4_2_7 * C04677 * C00013))</v>
      </c>
      <c r="K420" s="2" t="str">
        <f t="shared" si="3"/>
        <v>r419: C04677 + C00013 -&gt; C04051 + C00119 | (${Variables:E2_4_2_7_kcat} * E2_4_2_7 * C04677 * C00013)/(${Variables:E2_4_2_7_km} + (E2_4_2_7 * C04677 * C00013))</v>
      </c>
    </row>
    <row r="421">
      <c r="A421" s="2" t="s">
        <v>6980</v>
      </c>
      <c r="B421" s="2" t="s">
        <v>6981</v>
      </c>
      <c r="C421" s="2" t="s">
        <v>25093</v>
      </c>
      <c r="D421" s="18">
        <v>420.0</v>
      </c>
      <c r="E421" s="2" t="str">
        <f t="shared" si="1"/>
        <v>E2_4_2_8</v>
      </c>
      <c r="F421" s="19" t="s">
        <v>26974</v>
      </c>
      <c r="G421" s="19" t="s">
        <v>26975</v>
      </c>
      <c r="H421" s="19" t="s">
        <v>26976</v>
      </c>
      <c r="I421" s="19" t="s">
        <v>26977</v>
      </c>
      <c r="J421" s="2" t="str">
        <f t="shared" si="2"/>
        <v>(${Variables:E2_4_2_8_kcat} * E2_4_2_8 * C00130 * C00013)/(${Variables:E2_4_2_8_km} + (E2_4_2_8 * C00130 * C00013))</v>
      </c>
      <c r="K421" s="2" t="str">
        <f t="shared" si="3"/>
        <v>r420: C00130 + C00013 -&gt; C00262 + C00119 | (${Variables:E2_4_2_8_kcat} * E2_4_2_8 * C00130 * C00013)/(${Variables:E2_4_2_8_km} + (E2_4_2_8 * C00130 * C00013))</v>
      </c>
    </row>
    <row r="422">
      <c r="A422" s="2" t="s">
        <v>6980</v>
      </c>
      <c r="B422" s="2" t="s">
        <v>6981</v>
      </c>
      <c r="C422" s="2" t="s">
        <v>25093</v>
      </c>
      <c r="D422" s="18">
        <v>421.0</v>
      </c>
      <c r="E422" s="2" t="str">
        <f t="shared" si="1"/>
        <v>E2_4_2_8</v>
      </c>
      <c r="F422" s="19" t="s">
        <v>26954</v>
      </c>
      <c r="G422" s="19" t="s">
        <v>26955</v>
      </c>
      <c r="H422" s="19" t="s">
        <v>26956</v>
      </c>
      <c r="I422" s="19" t="s">
        <v>26957</v>
      </c>
      <c r="J422" s="2" t="str">
        <f t="shared" si="2"/>
        <v>(${Variables:E2_4_2_8_kcat} * E2_4_2_8 * C00144 * C00013)/(${Variables:E2_4_2_8_km} + (E2_4_2_8 * C00144 * C00013))</v>
      </c>
      <c r="K422" s="2" t="str">
        <f t="shared" si="3"/>
        <v>r421: C00144 + C00013 -&gt; C00242 + C00119 | (${Variables:E2_4_2_8_kcat} * E2_4_2_8 * C00144 * C00013)/(${Variables:E2_4_2_8_km} + (E2_4_2_8 * C00144 * C00013))</v>
      </c>
    </row>
    <row r="423">
      <c r="A423" s="2" t="s">
        <v>6980</v>
      </c>
      <c r="B423" s="2" t="s">
        <v>6981</v>
      </c>
      <c r="C423" s="2" t="s">
        <v>25093</v>
      </c>
      <c r="D423" s="18">
        <v>422.0</v>
      </c>
      <c r="E423" s="2" t="str">
        <f t="shared" si="1"/>
        <v>E2_4_2_8</v>
      </c>
      <c r="F423" s="19" t="s">
        <v>26958</v>
      </c>
      <c r="G423" s="19" t="s">
        <v>26959</v>
      </c>
      <c r="H423" s="19" t="s">
        <v>26960</v>
      </c>
      <c r="I423" s="19" t="s">
        <v>26961</v>
      </c>
      <c r="J423" s="2" t="str">
        <f t="shared" si="2"/>
        <v>(${Variables:E2_4_2_8_kcat} * E2_4_2_8 * C00655 * C00013)/(${Variables:E2_4_2_8_km} + (E2_4_2_8 * C00655 * C00013))</v>
      </c>
      <c r="K423" s="2" t="str">
        <f t="shared" si="3"/>
        <v>r422: C00655 + C00013 -&gt; C00385 + C00119 | (${Variables:E2_4_2_8_kcat} * E2_4_2_8 * C00655 * C00013)/(${Variables:E2_4_2_8_km} + (E2_4_2_8 * C00655 * C00013))</v>
      </c>
    </row>
    <row r="424">
      <c r="A424" s="2" t="s">
        <v>6980</v>
      </c>
      <c r="B424" s="2" t="s">
        <v>6981</v>
      </c>
      <c r="C424" s="2" t="s">
        <v>25093</v>
      </c>
      <c r="D424" s="18">
        <v>423.0</v>
      </c>
      <c r="E424" s="2" t="str">
        <f t="shared" si="1"/>
        <v>E2_4_2_8</v>
      </c>
      <c r="F424" s="19" t="s">
        <v>26978</v>
      </c>
      <c r="G424" s="19" t="s">
        <v>26979</v>
      </c>
      <c r="H424" s="19" t="s">
        <v>26980</v>
      </c>
      <c r="I424" s="19" t="s">
        <v>26981</v>
      </c>
      <c r="J424" s="2" t="str">
        <f t="shared" si="2"/>
        <v>(${Variables:E2_4_2_8_kcat} * E2_4_2_8 * C02380 * C00119)/(${Variables:E2_4_2_8_km} + (E2_4_2_8 * C02380 * C00119))</v>
      </c>
      <c r="K424" s="2" t="str">
        <f t="shared" si="3"/>
        <v>r423: C02380 + C00119 -&gt; C04646 + C00013 | (${Variables:E2_4_2_8_kcat} * E2_4_2_8 * C02380 * C00119)/(${Variables:E2_4_2_8_km} + (E2_4_2_8 * C02380 * C00119))</v>
      </c>
    </row>
    <row r="425">
      <c r="A425" s="2" t="s">
        <v>6980</v>
      </c>
      <c r="B425" s="2" t="s">
        <v>6981</v>
      </c>
      <c r="C425" s="2" t="s">
        <v>25093</v>
      </c>
      <c r="D425" s="18">
        <v>424.0</v>
      </c>
      <c r="E425" s="2" t="str">
        <f t="shared" si="1"/>
        <v>E2_4_2_8</v>
      </c>
      <c r="F425" s="19" t="s">
        <v>26982</v>
      </c>
      <c r="G425" s="19" t="s">
        <v>26983</v>
      </c>
      <c r="H425" s="19" t="s">
        <v>26984</v>
      </c>
      <c r="I425" s="19" t="s">
        <v>26985</v>
      </c>
      <c r="J425" s="2" t="str">
        <f t="shared" si="2"/>
        <v>(${Variables:E2_4_2_8_kcat} * E2_4_2_8 * C16614 * C00119)/(${Variables:E2_4_2_8_km} + (E2_4_2_8 * C16614 * C00119))</v>
      </c>
      <c r="K425" s="2" t="str">
        <f t="shared" si="3"/>
        <v>r424: C16614 + C00119 -&gt; C16615 + C00013 | (${Variables:E2_4_2_8_kcat} * E2_4_2_8 * C16614 * C00119)/(${Variables:E2_4_2_8_km} + (E2_4_2_8 * C16614 * C00119))</v>
      </c>
    </row>
    <row r="426">
      <c r="A426" s="2" t="s">
        <v>6980</v>
      </c>
      <c r="B426" s="2" t="s">
        <v>6981</v>
      </c>
      <c r="C426" s="2" t="s">
        <v>25093</v>
      </c>
      <c r="D426" s="18">
        <v>425.0</v>
      </c>
      <c r="E426" s="2" t="str">
        <f t="shared" si="1"/>
        <v>E2_4_2_8</v>
      </c>
      <c r="F426" s="19" t="s">
        <v>26986</v>
      </c>
      <c r="G426" s="19" t="s">
        <v>26987</v>
      </c>
      <c r="H426" s="19" t="s">
        <v>26988</v>
      </c>
      <c r="I426" s="19" t="s">
        <v>26989</v>
      </c>
      <c r="J426" s="2" t="str">
        <f t="shared" si="2"/>
        <v>(${Variables:E2_4_2_8_kcat} * E2_4_2_8 * C07648 * C00119)/(${Variables:E2_4_2_8_km} + (E2_4_2_8 * C07648 * C00119))</v>
      </c>
      <c r="K426" s="2" t="str">
        <f t="shared" si="3"/>
        <v>r425: C07648 + C00119 -&gt; C16619 + C00013 | (${Variables:E2_4_2_8_kcat} * E2_4_2_8 * C07648 * C00119)/(${Variables:E2_4_2_8_km} + (E2_4_2_8 * C07648 * C00119))</v>
      </c>
    </row>
    <row r="427">
      <c r="A427" s="2" t="s">
        <v>7694</v>
      </c>
      <c r="B427" s="2" t="s">
        <v>7695</v>
      </c>
      <c r="C427" s="2" t="s">
        <v>25094</v>
      </c>
      <c r="D427" s="18">
        <v>426.0</v>
      </c>
      <c r="E427" s="2" t="str">
        <f t="shared" si="1"/>
        <v>E2_4_2_9</v>
      </c>
      <c r="F427" s="19" t="s">
        <v>26990</v>
      </c>
      <c r="G427" s="19" t="s">
        <v>26991</v>
      </c>
      <c r="H427" s="19" t="s">
        <v>26992</v>
      </c>
      <c r="I427" s="19" t="s">
        <v>26993</v>
      </c>
      <c r="J427" s="2" t="str">
        <f t="shared" si="2"/>
        <v>(${Variables:E2_4_2_9_kcat} * E2_4_2_9 * C00105 * C00013)/(${Variables:E2_4_2_9_km} + (E2_4_2_9 * C00105 * C00013))</v>
      </c>
      <c r="K427" s="2" t="str">
        <f t="shared" si="3"/>
        <v>r426: C00105 + C00013 -&gt; C00106 + C00119 | (${Variables:E2_4_2_9_kcat} * E2_4_2_9 * C00105 * C00013)/(${Variables:E2_4_2_9_km} + (E2_4_2_9 * C00105 * C00013))</v>
      </c>
    </row>
    <row r="428">
      <c r="A428" s="2" t="s">
        <v>10107</v>
      </c>
      <c r="B428" s="2" t="s">
        <v>10108</v>
      </c>
      <c r="C428" s="2" t="s">
        <v>25095</v>
      </c>
      <c r="D428" s="18">
        <v>427.0</v>
      </c>
      <c r="E428" s="2" t="str">
        <f t="shared" si="1"/>
        <v>E2_4_99_17</v>
      </c>
      <c r="F428" s="19" t="s">
        <v>26994</v>
      </c>
      <c r="G428" s="19" t="s">
        <v>26995</v>
      </c>
      <c r="H428" s="19" t="s">
        <v>26996</v>
      </c>
      <c r="I428" s="19" t="s">
        <v>26997</v>
      </c>
      <c r="J428" s="2" t="str">
        <f t="shared" si="2"/>
        <v>(${Variables:E2_4_99_17_kcat} * E2_4_99_17 * C00019 * C20446)/(${Variables:E2_4_99_17_km} + (E2_4_99_17 * C00019 * C20446))</v>
      </c>
      <c r="K428" s="2" t="str">
        <f t="shared" si="3"/>
        <v>r427: C00019 + C20446 -&gt; C00073 + C00147 + C19647 | (${Variables:E2_4_99_17_kcat} * E2_4_99_17 * C00019 * C20446)/(${Variables:E2_4_99_17_km} + (E2_4_99_17 * C00019 * C20446))</v>
      </c>
    </row>
    <row r="429">
      <c r="A429" s="2" t="s">
        <v>10818</v>
      </c>
      <c r="B429" s="2" t="s">
        <v>10819</v>
      </c>
      <c r="C429" s="2" t="s">
        <v>25096</v>
      </c>
      <c r="D429" s="18">
        <v>428.0</v>
      </c>
      <c r="E429" s="2" t="str">
        <f t="shared" si="1"/>
        <v>E2_5_1_10</v>
      </c>
      <c r="F429" s="19" t="s">
        <v>26998</v>
      </c>
      <c r="G429" s="19" t="s">
        <v>26999</v>
      </c>
      <c r="H429" s="19" t="s">
        <v>27000</v>
      </c>
      <c r="I429" s="19" t="s">
        <v>27001</v>
      </c>
      <c r="J429" s="2" t="str">
        <f t="shared" si="2"/>
        <v>(${Variables:E2_5_1_10_kcat} * E2_5_1_10 * C00341 * C00129)/(${Variables:E2_5_1_10_km} + (E2_5_1_10 * C00341 * C00129))</v>
      </c>
      <c r="K429" s="2" t="str">
        <f t="shared" si="3"/>
        <v>r428: C00341 + C00129 -&gt; C00013 + C00448 | (${Variables:E2_5_1_10_kcat} * E2_5_1_10 * C00341 * C00129)/(${Variables:E2_5_1_10_km} + (E2_5_1_10 * C00341 * C00129))</v>
      </c>
    </row>
    <row r="430">
      <c r="A430" s="2" t="s">
        <v>10245</v>
      </c>
      <c r="B430" s="2" t="s">
        <v>10246</v>
      </c>
      <c r="C430" s="2" t="s">
        <v>25097</v>
      </c>
      <c r="D430" s="18">
        <v>429.0</v>
      </c>
      <c r="E430" s="2" t="str">
        <f t="shared" si="1"/>
        <v>E2_5_1_134</v>
      </c>
      <c r="F430" s="19" t="s">
        <v>27002</v>
      </c>
      <c r="G430" s="19" t="s">
        <v>27003</v>
      </c>
      <c r="H430" s="19" t="s">
        <v>27004</v>
      </c>
      <c r="I430" s="19" t="s">
        <v>27005</v>
      </c>
      <c r="J430" s="2" t="str">
        <f t="shared" si="2"/>
        <v>(${Variables:E2_5_1_134_kcat} * E2_5_1_134 * C00979 * C00155)/(${Variables:E2_5_1_134_km} + (E2_5_1_134 * C00979 * C00155))</v>
      </c>
      <c r="K430" s="2" t="str">
        <f t="shared" si="3"/>
        <v>r429: C00979 + C00155 -&gt; C02291 + C00033 | (${Variables:E2_5_1_134_kcat} * E2_5_1_134 * C00979 * C00155)/(${Variables:E2_5_1_134_km} + (E2_5_1_134 * C00979 * C00155))</v>
      </c>
    </row>
    <row r="431">
      <c r="A431" s="2" t="s">
        <v>6952</v>
      </c>
      <c r="B431" s="2" t="s">
        <v>6953</v>
      </c>
      <c r="C431" s="2" t="s">
        <v>25099</v>
      </c>
      <c r="D431" s="18">
        <v>430.0</v>
      </c>
      <c r="E431" s="2" t="str">
        <f t="shared" si="1"/>
        <v>E2_5_1_15</v>
      </c>
      <c r="F431" s="19" t="s">
        <v>27006</v>
      </c>
      <c r="G431" s="19" t="s">
        <v>27007</v>
      </c>
      <c r="H431" s="19" t="s">
        <v>27008</v>
      </c>
      <c r="I431" s="19" t="s">
        <v>27009</v>
      </c>
      <c r="J431" s="2" t="str">
        <f t="shared" si="2"/>
        <v>(${Variables:E2_5_1_15_kcat} * E2_5_1_15 * C01300 * C00568)/(${Variables:E2_5_1_15_km} + (E2_5_1_15 * C01300 * C00568))</v>
      </c>
      <c r="K431" s="2" t="str">
        <f t="shared" si="3"/>
        <v>r430: C01300 + C00568 -&gt; C00921 + C00001 | (${Variables:E2_5_1_15_kcat} * E2_5_1_15 * C01300 * C00568)/(${Variables:E2_5_1_15_km} + (E2_5_1_15 * C01300 * C00568))</v>
      </c>
    </row>
    <row r="432">
      <c r="A432" s="2" t="s">
        <v>6952</v>
      </c>
      <c r="B432" s="2" t="s">
        <v>6953</v>
      </c>
      <c r="C432" s="2" t="s">
        <v>25099</v>
      </c>
      <c r="D432" s="18">
        <v>431.0</v>
      </c>
      <c r="E432" s="2" t="str">
        <f t="shared" si="1"/>
        <v>E2_5_1_15</v>
      </c>
      <c r="F432" s="19" t="s">
        <v>27010</v>
      </c>
      <c r="G432" s="19" t="s">
        <v>27011</v>
      </c>
      <c r="H432" s="19" t="s">
        <v>27012</v>
      </c>
      <c r="I432" s="19" t="s">
        <v>27013</v>
      </c>
      <c r="J432" s="2" t="str">
        <f t="shared" si="2"/>
        <v>(${Variables:E2_5_1_15_kcat} * E2_5_1_15 * C04807 * C00568)/(${Variables:E2_5_1_15_km} + (E2_5_1_15 * C04807 * C00568))</v>
      </c>
      <c r="K432" s="2" t="str">
        <f t="shared" si="3"/>
        <v>r431: C04807 + C00568 -&gt; C00013 + C00921 | (${Variables:E2_5_1_15_kcat} * E2_5_1_15 * C04807 * C00568)/(${Variables:E2_5_1_15_km} + (E2_5_1_15 * C04807 * C00568))</v>
      </c>
    </row>
    <row r="433">
      <c r="A433" s="2" t="s">
        <v>7982</v>
      </c>
      <c r="B433" s="2" t="s">
        <v>7983</v>
      </c>
      <c r="C433" s="2" t="s">
        <v>25100</v>
      </c>
      <c r="D433" s="18">
        <v>432.0</v>
      </c>
      <c r="E433" s="2" t="str">
        <f t="shared" si="1"/>
        <v>E2_5_1_16</v>
      </c>
      <c r="F433" s="19" t="s">
        <v>27014</v>
      </c>
      <c r="G433" s="19" t="s">
        <v>27015</v>
      </c>
      <c r="H433" s="19" t="s">
        <v>27016</v>
      </c>
      <c r="I433" s="19" t="s">
        <v>27017</v>
      </c>
      <c r="J433" s="2" t="str">
        <f t="shared" si="2"/>
        <v>(${Variables:E2_5_1_16_kcat} * E2_5_1_16 * C01137 * C00134)/(${Variables:E2_5_1_16_km} + (E2_5_1_16 * C01137 * C00134))</v>
      </c>
      <c r="K433" s="2" t="str">
        <f t="shared" si="3"/>
        <v>r432: C01137 + C00134 -&gt; C00170 + C00315 | (${Variables:E2_5_1_16_kcat} * E2_5_1_16 * C01137 * C00134)/(${Variables:E2_5_1_16_km} + (E2_5_1_16 * C01137 * C00134))</v>
      </c>
    </row>
    <row r="434">
      <c r="A434" s="2" t="s">
        <v>7982</v>
      </c>
      <c r="B434" s="2" t="s">
        <v>7983</v>
      </c>
      <c r="C434" s="2" t="s">
        <v>25100</v>
      </c>
      <c r="D434" s="18">
        <v>433.0</v>
      </c>
      <c r="E434" s="2" t="str">
        <f t="shared" si="1"/>
        <v>E2_5_1_16</v>
      </c>
      <c r="F434" s="19" t="s">
        <v>27018</v>
      </c>
      <c r="G434" s="19" t="s">
        <v>27019</v>
      </c>
      <c r="H434" s="19" t="s">
        <v>27020</v>
      </c>
      <c r="I434" s="19" t="s">
        <v>27021</v>
      </c>
      <c r="J434" s="2" t="str">
        <f t="shared" si="2"/>
        <v>(${Variables:E2_5_1_16_kcat} * E2_5_1_16 * C01137 * C01672)/(${Variables:E2_5_1_16_km} + (E2_5_1_16 * C01137 * C01672))</v>
      </c>
      <c r="K434" s="2" t="str">
        <f t="shared" si="3"/>
        <v>r433: C01137 + C01672 -&gt; C00170 + C16565 | (${Variables:E2_5_1_16_kcat} * E2_5_1_16 * C01137 * C01672)/(${Variables:E2_5_1_16_km} + (E2_5_1_16 * C01137 * C01672))</v>
      </c>
    </row>
    <row r="435">
      <c r="A435" s="2" t="s">
        <v>3192</v>
      </c>
      <c r="B435" s="2" t="s">
        <v>3193</v>
      </c>
      <c r="C435" s="2" t="s">
        <v>25101</v>
      </c>
      <c r="D435" s="18">
        <v>434.0</v>
      </c>
      <c r="E435" s="2" t="str">
        <f t="shared" si="1"/>
        <v>E2_5_1_17</v>
      </c>
      <c r="F435" s="19" t="s">
        <v>27022</v>
      </c>
      <c r="G435" s="19" t="s">
        <v>27023</v>
      </c>
      <c r="H435" s="19" t="s">
        <v>27024</v>
      </c>
      <c r="I435" s="19" t="s">
        <v>27025</v>
      </c>
      <c r="J435" s="2" t="str">
        <f t="shared" si="2"/>
        <v>(${Variables:E2_5_1_17_kcat} * E2_5_1_17 * C00002 * C00853)/(${Variables:E2_5_1_17_km} + (E2_5_1_17 * C00002 * C00853))</v>
      </c>
      <c r="K435" s="2" t="str">
        <f t="shared" si="3"/>
        <v>r434: C00002 + C00853 -&gt; C00536 + C00194 | (${Variables:E2_5_1_17_kcat} * E2_5_1_17 * C00002 * C00853)/(${Variables:E2_5_1_17_km} + (E2_5_1_17 * C00002 * C00853))</v>
      </c>
    </row>
    <row r="436">
      <c r="A436" s="2" t="s">
        <v>3192</v>
      </c>
      <c r="B436" s="2" t="s">
        <v>3193</v>
      </c>
      <c r="C436" s="2" t="s">
        <v>25101</v>
      </c>
      <c r="D436" s="18">
        <v>435.0</v>
      </c>
      <c r="E436" s="2" t="str">
        <f t="shared" si="1"/>
        <v>E2_5_1_17</v>
      </c>
      <c r="F436" s="19" t="s">
        <v>27026</v>
      </c>
      <c r="G436" s="19" t="s">
        <v>27027</v>
      </c>
      <c r="H436" s="19" t="s">
        <v>27028</v>
      </c>
      <c r="I436" s="19" t="s">
        <v>27029</v>
      </c>
      <c r="J436" s="2" t="str">
        <f t="shared" si="2"/>
        <v>(${Variables:E2_5_1_17_kcat} * E2_5_1_17 * C06505 * C00002)/(${Variables:E2_5_1_17_km} + (E2_5_1_17 * C06505 * C00002))</v>
      </c>
      <c r="K436" s="2" t="str">
        <f t="shared" si="3"/>
        <v>r435: C06505 + C00002 -&gt; C06506 + C00536 | (${Variables:E2_5_1_17_kcat} * E2_5_1_17 * C06505 * C00002)/(${Variables:E2_5_1_17_km} + (E2_5_1_17 * C06505 * C00002))</v>
      </c>
    </row>
    <row r="437">
      <c r="A437" s="2" t="s">
        <v>3192</v>
      </c>
      <c r="B437" s="2" t="s">
        <v>3193</v>
      </c>
      <c r="C437" s="2" t="s">
        <v>25101</v>
      </c>
      <c r="D437" s="18">
        <v>436.0</v>
      </c>
      <c r="E437" s="2" t="str">
        <f t="shared" si="1"/>
        <v>E2_5_1_17</v>
      </c>
      <c r="F437" s="19" t="s">
        <v>27030</v>
      </c>
      <c r="G437" s="19" t="s">
        <v>27031</v>
      </c>
      <c r="H437" s="19" t="s">
        <v>27032</v>
      </c>
      <c r="I437" s="19" t="s">
        <v>27033</v>
      </c>
      <c r="J437" s="2" t="str">
        <f t="shared" si="2"/>
        <v>(${Variables:E2_5_1_17_kcat} * E2_5_1_17 * C00002 * C05774)/(${Variables:E2_5_1_17_km} + (E2_5_1_17 * C00002 * C05774))</v>
      </c>
      <c r="K437" s="2" t="str">
        <f t="shared" si="3"/>
        <v>r436: C00002 + C05774 -&gt; C00536 + C06508 | (${Variables:E2_5_1_17_kcat} * E2_5_1_17 * C00002 * C05774)/(${Variables:E2_5_1_17_km} + (E2_5_1_17 * C00002 * C05774))</v>
      </c>
    </row>
    <row r="438">
      <c r="A438" s="2" t="s">
        <v>3192</v>
      </c>
      <c r="B438" s="2" t="s">
        <v>3193</v>
      </c>
      <c r="C438" s="2" t="s">
        <v>25101</v>
      </c>
      <c r="D438" s="18">
        <v>437.0</v>
      </c>
      <c r="E438" s="2" t="str">
        <f t="shared" si="1"/>
        <v>E2_5_1_17</v>
      </c>
      <c r="F438" s="19" t="s">
        <v>27034</v>
      </c>
      <c r="G438" s="19" t="s">
        <v>27035</v>
      </c>
      <c r="H438" s="19" t="s">
        <v>27036</v>
      </c>
      <c r="I438" s="19" t="s">
        <v>27037</v>
      </c>
      <c r="J438" s="2" t="str">
        <f t="shared" si="2"/>
        <v>(${Variables:E2_5_1_17_kcat} * E2_5_1_17 * C00002 * C00541 * C03024)/(${Variables:E2_5_1_17_km} + (E2_5_1_17 * C00002 * C00541 * C03024))</v>
      </c>
      <c r="K438" s="2" t="str">
        <f t="shared" si="3"/>
        <v>r437: C00002 + C00541 + C03024 -&gt; C00536 + C00194 + C03161 | (${Variables:E2_5_1_17_kcat} * E2_5_1_17 * C00002 * C00541 * C03024)/(${Variables:E2_5_1_17_km} + (E2_5_1_17 * C00002 * C00541 * C03024))</v>
      </c>
    </row>
    <row r="439">
      <c r="A439" s="2" t="s">
        <v>3192</v>
      </c>
      <c r="B439" s="2" t="s">
        <v>3193</v>
      </c>
      <c r="C439" s="2" t="s">
        <v>25101</v>
      </c>
      <c r="D439" s="18">
        <v>438.0</v>
      </c>
      <c r="E439" s="2" t="str">
        <f t="shared" si="1"/>
        <v>E2_5_1_17</v>
      </c>
      <c r="F439" s="19" t="s">
        <v>27038</v>
      </c>
      <c r="G439" s="19" t="s">
        <v>27039</v>
      </c>
      <c r="H439" s="19" t="s">
        <v>27040</v>
      </c>
      <c r="I439" s="19" t="s">
        <v>27041</v>
      </c>
      <c r="J439" s="2" t="str">
        <f t="shared" si="2"/>
        <v>(${Variables:E2_5_1_17_kcat} * E2_5_1_17 * C00002 * C06504 * C03024)/(${Variables:E2_5_1_17_km} + (E2_5_1_17 * C00002 * C06504 * C03024))</v>
      </c>
      <c r="K439" s="2" t="str">
        <f t="shared" si="3"/>
        <v>r438: C00002 + C06504 + C03024 -&gt; C00536 + C06506 + C03161 | (${Variables:E2_5_1_17_kcat} * E2_5_1_17 * C00002 * C06504 * C03024)/(${Variables:E2_5_1_17_km} + (E2_5_1_17 * C00002 * C06504 * C03024))</v>
      </c>
    </row>
    <row r="440">
      <c r="A440" s="2" t="s">
        <v>14071</v>
      </c>
      <c r="B440" s="2" t="s">
        <v>14072</v>
      </c>
      <c r="C440" s="2" t="s">
        <v>25102</v>
      </c>
      <c r="D440" s="18">
        <v>439.0</v>
      </c>
      <c r="E440" s="2" t="str">
        <f t="shared" si="1"/>
        <v>E2_5_1_19</v>
      </c>
      <c r="F440" s="19" t="s">
        <v>27042</v>
      </c>
      <c r="G440" s="19" t="s">
        <v>27043</v>
      </c>
      <c r="H440" s="19" t="s">
        <v>27044</v>
      </c>
      <c r="I440" s="19" t="s">
        <v>27045</v>
      </c>
      <c r="J440" s="2" t="str">
        <f t="shared" si="2"/>
        <v>(${Variables:E2_5_1_19_kcat} * E2_5_1_19 * C00074 * C03175)/(${Variables:E2_5_1_19_km} + (E2_5_1_19 * C00074 * C03175))</v>
      </c>
      <c r="K440" s="2" t="str">
        <f t="shared" si="3"/>
        <v>r439: C00074 + C03175 -&gt; C00009 + C01269 | (${Variables:E2_5_1_19_kcat} * E2_5_1_19 * C00074 * C03175)/(${Variables:E2_5_1_19_km} + (E2_5_1_19 * C00074 * C03175))</v>
      </c>
    </row>
    <row r="441">
      <c r="A441" s="2" t="s">
        <v>6036</v>
      </c>
      <c r="B441" s="2" t="s">
        <v>6037</v>
      </c>
      <c r="C441" s="2" t="s">
        <v>25103</v>
      </c>
      <c r="D441" s="18">
        <v>440.0</v>
      </c>
      <c r="E441" s="2" t="str">
        <f t="shared" si="1"/>
        <v>E2_5_1_3</v>
      </c>
      <c r="F441" s="19" t="s">
        <v>27046</v>
      </c>
      <c r="G441" s="19" t="s">
        <v>27047</v>
      </c>
      <c r="H441" s="19" t="s">
        <v>27048</v>
      </c>
      <c r="I441" s="19" t="s">
        <v>27049</v>
      </c>
      <c r="J441" s="2" t="str">
        <f t="shared" si="2"/>
        <v>(${Variables:E2_5_1_3_kcat} * E2_5_1_3 * C04752 * C04327)/(${Variables:E2_5_1_3_km} + (E2_5_1_3 * C04752 * C04327))</v>
      </c>
      <c r="K441" s="2" t="str">
        <f t="shared" si="3"/>
        <v>r440: C04752 + C04327 -&gt; C00013 + C01081 | (${Variables:E2_5_1_3_kcat} * E2_5_1_3 * C04752 * C04327)/(${Variables:E2_5_1_3_km} + (E2_5_1_3 * C04752 * C04327))</v>
      </c>
    </row>
    <row r="442">
      <c r="A442" s="2" t="s">
        <v>6036</v>
      </c>
      <c r="B442" s="2" t="s">
        <v>6037</v>
      </c>
      <c r="C442" s="2" t="s">
        <v>25103</v>
      </c>
      <c r="D442" s="18">
        <v>441.0</v>
      </c>
      <c r="E442" s="2" t="str">
        <f t="shared" si="1"/>
        <v>E2_5_1_3</v>
      </c>
      <c r="F442" s="19" t="s">
        <v>27050</v>
      </c>
      <c r="G442" s="19" t="s">
        <v>27051</v>
      </c>
      <c r="H442" s="19" t="s">
        <v>27052</v>
      </c>
      <c r="I442" s="19" t="s">
        <v>27053</v>
      </c>
      <c r="J442" s="2" t="str">
        <f t="shared" si="2"/>
        <v>(${Variables:E2_5_1_3_kcat} * E2_5_1_3 * C04752 * C20247)/(${Variables:E2_5_1_3_km} + (E2_5_1_3 * C04752 * C20247))</v>
      </c>
      <c r="K442" s="2" t="str">
        <f t="shared" si="3"/>
        <v>r441: C04752 + C20247 -&gt; C01081 + C00013 + C00011 | (${Variables:E2_5_1_3_kcat} * E2_5_1_3 * C04752 * C20247)/(${Variables:E2_5_1_3_km} + (E2_5_1_3 * C04752 * C20247))</v>
      </c>
    </row>
    <row r="443">
      <c r="A443" s="2" t="s">
        <v>6036</v>
      </c>
      <c r="B443" s="2" t="s">
        <v>6037</v>
      </c>
      <c r="C443" s="2" t="s">
        <v>25103</v>
      </c>
      <c r="D443" s="18">
        <v>442.0</v>
      </c>
      <c r="E443" s="2" t="str">
        <f t="shared" si="1"/>
        <v>E2_5_1_3</v>
      </c>
      <c r="F443" s="19" t="s">
        <v>27054</v>
      </c>
      <c r="G443" s="19" t="s">
        <v>27055</v>
      </c>
      <c r="H443" s="19" t="s">
        <v>27056</v>
      </c>
      <c r="I443" s="19" t="s">
        <v>27057</v>
      </c>
      <c r="J443" s="2" t="str">
        <f t="shared" si="2"/>
        <v>(${Variables:E2_5_1_3_kcat} * E2_5_1_3 * C04752 * C20246)/(${Variables:E2_5_1_3_km} + (E2_5_1_3 * C04752 * C20246))</v>
      </c>
      <c r="K443" s="2" t="str">
        <f t="shared" si="3"/>
        <v>r442: C04752 + C20246 -&gt; C00013 + C01081 + C00011 | (${Variables:E2_5_1_3_kcat} * E2_5_1_3 * C04752 * C20246)/(${Variables:E2_5_1_3_km} + (E2_5_1_3 * C04752 * C20246))</v>
      </c>
    </row>
    <row r="444">
      <c r="A444" s="2" t="s">
        <v>2350</v>
      </c>
      <c r="B444" s="2" t="s">
        <v>2351</v>
      </c>
      <c r="C444" s="2" t="s">
        <v>25104</v>
      </c>
      <c r="D444" s="18">
        <v>443.0</v>
      </c>
      <c r="E444" s="2" t="str">
        <f t="shared" si="1"/>
        <v>E2_5_1_47</v>
      </c>
      <c r="F444" s="19" t="s">
        <v>27058</v>
      </c>
      <c r="G444" s="19" t="s">
        <v>27059</v>
      </c>
      <c r="H444" s="19" t="s">
        <v>27060</v>
      </c>
      <c r="I444" s="19" t="s">
        <v>27061</v>
      </c>
      <c r="J444" s="2" t="str">
        <f t="shared" si="2"/>
        <v>(${Variables:E2_5_1_47_kcat} * E2_5_1_47 * C00979 * C00283)/(${Variables:E2_5_1_47_km} + (E2_5_1_47 * C00979 * C00283))</v>
      </c>
      <c r="K444" s="2" t="str">
        <f t="shared" si="3"/>
        <v>r443: C00979 + C00283 -&gt; C00097 + C00033 | (${Variables:E2_5_1_47_kcat} * E2_5_1_47 * C00979 * C00283)/(${Variables:E2_5_1_47_km} + (E2_5_1_47 * C00979 * C00283))</v>
      </c>
    </row>
    <row r="445">
      <c r="A445" s="2" t="s">
        <v>2350</v>
      </c>
      <c r="B445" s="2" t="s">
        <v>2351</v>
      </c>
      <c r="C445" s="2" t="s">
        <v>25104</v>
      </c>
      <c r="D445" s="18">
        <v>444.0</v>
      </c>
      <c r="E445" s="2" t="str">
        <f t="shared" si="1"/>
        <v>E2_5_1_47</v>
      </c>
      <c r="F445" s="19" t="s">
        <v>27062</v>
      </c>
      <c r="G445" s="19" t="s">
        <v>27063</v>
      </c>
      <c r="H445" s="19" t="s">
        <v>27064</v>
      </c>
      <c r="I445" s="19" t="s">
        <v>27065</v>
      </c>
      <c r="J445" s="2" t="str">
        <f t="shared" si="2"/>
        <v>(${Variables:E2_5_1_47_kcat} * E2_5_1_47 * C00979 * C01528)/(${Variables:E2_5_1_47_km} + (E2_5_1_47 * C00979 * C01528))</v>
      </c>
      <c r="K445" s="2" t="str">
        <f t="shared" si="3"/>
        <v>r444: C00979 + C01528 -&gt; C05688 + C00033 | (${Variables:E2_5_1_47_kcat} * E2_5_1_47 * C00979 * C01528)/(${Variables:E2_5_1_47_km} + (E2_5_1_47 * C00979 * C01528))</v>
      </c>
    </row>
    <row r="446">
      <c r="A446" s="2" t="s">
        <v>2350</v>
      </c>
      <c r="B446" s="2" t="s">
        <v>2351</v>
      </c>
      <c r="C446" s="2" t="s">
        <v>25104</v>
      </c>
      <c r="D446" s="18">
        <v>445.0</v>
      </c>
      <c r="E446" s="2" t="str">
        <f t="shared" si="1"/>
        <v>E2_5_1_47</v>
      </c>
      <c r="F446" s="19" t="s">
        <v>27066</v>
      </c>
      <c r="G446" s="19" t="s">
        <v>27067</v>
      </c>
      <c r="H446" s="19" t="s">
        <v>27068</v>
      </c>
      <c r="I446" s="19" t="s">
        <v>27069</v>
      </c>
      <c r="J446" s="2" t="str">
        <f t="shared" si="2"/>
        <v>(${Variables:E2_5_1_47_kcat} * E2_5_1_47 * C00979 * C00320 * C00342 * C00080)/(${Variables:E2_5_1_47_km} + (E2_5_1_47 * C00979 * C00320 * C00342 * C00080))</v>
      </c>
      <c r="K446" s="2" t="str">
        <f t="shared" si="3"/>
        <v>r445: C00979 + C00320 + C00342 + C00080 -&gt; C00097 + C00094 + C00343 + C00033 | (${Variables:E2_5_1_47_kcat} * E2_5_1_47 * C00979 * C00320 * C00342 * C00080)/(${Variables:E2_5_1_47_km} + (E2_5_1_47 * C00979 * C00320 * C00342 * C00080))</v>
      </c>
    </row>
    <row r="447">
      <c r="A447" s="2" t="s">
        <v>2350</v>
      </c>
      <c r="B447" s="2" t="s">
        <v>2351</v>
      </c>
      <c r="C447" s="2" t="s">
        <v>25104</v>
      </c>
      <c r="D447" s="18">
        <v>446.0</v>
      </c>
      <c r="E447" s="2" t="str">
        <f t="shared" si="1"/>
        <v>E2_5_1_47</v>
      </c>
      <c r="F447" s="19" t="s">
        <v>27070</v>
      </c>
      <c r="G447" s="19" t="s">
        <v>27071</v>
      </c>
      <c r="H447" s="19" t="s">
        <v>27072</v>
      </c>
      <c r="I447" s="19" t="s">
        <v>27073</v>
      </c>
      <c r="J447" s="2" t="str">
        <f t="shared" si="2"/>
        <v>(${Variables:E2_5_1_47_kcat} * E2_5_1_47 * C01005 * C00283)/(${Variables:E2_5_1_47_km} + (E2_5_1_47 * C01005 * C00283))</v>
      </c>
      <c r="K447" s="2" t="str">
        <f t="shared" si="3"/>
        <v>r446: C01005 + C00283 -&gt; C00097 + C00009 | (${Variables:E2_5_1_47_kcat} * E2_5_1_47 * C01005 * C00283)/(${Variables:E2_5_1_47_km} + (E2_5_1_47 * C01005 * C00283))</v>
      </c>
    </row>
    <row r="448">
      <c r="A448" s="2" t="s">
        <v>9117</v>
      </c>
      <c r="B448" s="2" t="s">
        <v>9118</v>
      </c>
      <c r="C448" s="2" t="s">
        <v>25105</v>
      </c>
      <c r="D448" s="18">
        <v>447.0</v>
      </c>
      <c r="E448" s="2" t="str">
        <f t="shared" si="1"/>
        <v>E2_5_1_6</v>
      </c>
      <c r="F448" s="19" t="s">
        <v>27074</v>
      </c>
      <c r="G448" s="19" t="s">
        <v>27075</v>
      </c>
      <c r="H448" s="19" t="s">
        <v>27076</v>
      </c>
      <c r="I448" s="19" t="s">
        <v>27077</v>
      </c>
      <c r="J448" s="2" t="str">
        <f t="shared" si="2"/>
        <v>(${Variables:E2_5_1_6_kcat} * E2_5_1_6 * C00009 * C00013 * C00019)/(${Variables:E2_5_1_6_km} + (E2_5_1_6 * C00009 * C00013 * C00019))</v>
      </c>
      <c r="K448" s="2" t="str">
        <f t="shared" si="3"/>
        <v>r447: C00009 + C00013 + C00019 -&gt; C00002 + C00073 + C00001 | (${Variables:E2_5_1_6_kcat} * E2_5_1_6 * C00009 * C00013 * C00019)/(${Variables:E2_5_1_6_km} + (E2_5_1_6 * C00009 * C00013 * C00019))</v>
      </c>
    </row>
    <row r="449">
      <c r="A449" s="2" t="s">
        <v>9117</v>
      </c>
      <c r="B449" s="2" t="s">
        <v>9118</v>
      </c>
      <c r="C449" s="2" t="s">
        <v>25105</v>
      </c>
      <c r="D449" s="18">
        <v>448.0</v>
      </c>
      <c r="E449" s="2" t="str">
        <f t="shared" si="1"/>
        <v>E2_5_1_6</v>
      </c>
      <c r="F449" s="19" t="s">
        <v>27078</v>
      </c>
      <c r="G449" s="19" t="s">
        <v>27079</v>
      </c>
      <c r="H449" s="19" t="s">
        <v>27080</v>
      </c>
      <c r="I449" s="19" t="s">
        <v>27081</v>
      </c>
      <c r="J449" s="2" t="str">
        <f t="shared" si="2"/>
        <v>(${Variables:E2_5_1_6_kcat} * E2_5_1_6 * C00002 * C05335 * C00001)/(${Variables:E2_5_1_6_km} + (E2_5_1_6 * C00002 * C05335 * C00001))</v>
      </c>
      <c r="K449" s="2" t="str">
        <f t="shared" si="3"/>
        <v>r448: C00002 + C05335 + C00001 -&gt; C00009 + C00013 + C05691 | (${Variables:E2_5_1_6_kcat} * E2_5_1_6 * C00002 * C05335 * C00001)/(${Variables:E2_5_1_6_km} + (E2_5_1_6 * C00002 * C05335 * C00001))</v>
      </c>
    </row>
    <row r="450">
      <c r="A450" s="2" t="s">
        <v>9935</v>
      </c>
      <c r="B450" s="2" t="s">
        <v>9936</v>
      </c>
      <c r="C450" s="2" t="s">
        <v>25106</v>
      </c>
      <c r="D450" s="18">
        <v>449.0</v>
      </c>
      <c r="E450" s="2" t="str">
        <f t="shared" si="1"/>
        <v>E2_5_1_61</v>
      </c>
      <c r="F450" s="19" t="s">
        <v>27082</v>
      </c>
      <c r="G450" s="19" t="s">
        <v>27083</v>
      </c>
      <c r="H450" s="19" t="s">
        <v>27084</v>
      </c>
      <c r="I450" s="19" t="s">
        <v>27085</v>
      </c>
      <c r="J450" s="2" t="str">
        <f t="shared" si="2"/>
        <v>(${Variables:E2_5_1_61_kcat} * E2_5_1_61 * C00931 * C00001)/(${Variables:E2_5_1_61_km} + (E2_5_1_61 * C00931 * C00001))</v>
      </c>
      <c r="K450" s="2" t="str">
        <f t="shared" si="3"/>
        <v>r449: C00931 + C00001 -&gt; C01024 + C00014 | (${Variables:E2_5_1_61_kcat} * E2_5_1_61 * C00931 * C00001)/(${Variables:E2_5_1_61_km} + (E2_5_1_61 * C00931 * C00001))</v>
      </c>
    </row>
    <row r="451">
      <c r="A451" s="2" t="s">
        <v>7629</v>
      </c>
      <c r="B451" s="2" t="s">
        <v>7630</v>
      </c>
      <c r="C451" s="2" t="s">
        <v>25107</v>
      </c>
      <c r="D451" s="18">
        <v>450.0</v>
      </c>
      <c r="E451" s="2" t="str">
        <f t="shared" si="1"/>
        <v>E2_5_1_7</v>
      </c>
      <c r="F451" s="19" t="s">
        <v>27086</v>
      </c>
      <c r="G451" s="19" t="s">
        <v>27087</v>
      </c>
      <c r="H451" s="19" t="s">
        <v>27088</v>
      </c>
      <c r="I451" s="19" t="s">
        <v>27089</v>
      </c>
      <c r="J451" s="2" t="str">
        <f t="shared" si="2"/>
        <v>(${Variables:E2_5_1_7_kcat} * E2_5_1_7 * C00074 * C00043)/(${Variables:E2_5_1_7_km} + (E2_5_1_7 * C00074 * C00043))</v>
      </c>
      <c r="K451" s="2" t="str">
        <f t="shared" si="3"/>
        <v>r450: C00074 + C00043 -&gt; C04631 + C00009 | (${Variables:E2_5_1_7_kcat} * E2_5_1_7 * C00074 * C00043)/(${Variables:E2_5_1_7_km} + (E2_5_1_7 * C00074 * C00043))</v>
      </c>
    </row>
    <row r="452">
      <c r="A452" s="2" t="s">
        <v>10080</v>
      </c>
      <c r="B452" s="2" t="s">
        <v>10081</v>
      </c>
      <c r="C452" s="2" t="s">
        <v>25108</v>
      </c>
      <c r="D452" s="18">
        <v>451.0</v>
      </c>
      <c r="E452" s="2" t="str">
        <f t="shared" si="1"/>
        <v>E2_5_1_72</v>
      </c>
      <c r="F452" s="19" t="s">
        <v>27090</v>
      </c>
      <c r="G452" s="19" t="s">
        <v>27091</v>
      </c>
      <c r="H452" s="19" t="s">
        <v>27092</v>
      </c>
      <c r="I452" s="19" t="s">
        <v>27093</v>
      </c>
      <c r="J452" s="2" t="str">
        <f t="shared" si="2"/>
        <v>(${Variables:E2_5_1_72_kcat} * E2_5_1_72 * C03722 * C00001 * C00009)/(${Variables:E2_5_1_72_km} + (E2_5_1_72 * C03722 * C00001 * C00009))</v>
      </c>
      <c r="K452" s="2" t="str">
        <f t="shared" si="3"/>
        <v>r451: C03722 + C00001 + C00009 -&gt; C05840 + C00111 | (${Variables:E2_5_1_72_kcat} * E2_5_1_72 * C03722 * C00001 * C00009)/(${Variables:E2_5_1_72_km} + (E2_5_1_72 * C03722 * C00001 * C00009))</v>
      </c>
    </row>
    <row r="453">
      <c r="A453" s="2" t="s">
        <v>8881</v>
      </c>
      <c r="B453" s="2" t="s">
        <v>8882</v>
      </c>
      <c r="C453" s="2" t="s">
        <v>25109</v>
      </c>
      <c r="D453" s="18">
        <v>452.0</v>
      </c>
      <c r="E453" s="2" t="str">
        <f t="shared" si="1"/>
        <v>E2_5_1_74</v>
      </c>
      <c r="F453" s="19" t="s">
        <v>27094</v>
      </c>
      <c r="G453" s="19" t="s">
        <v>27095</v>
      </c>
      <c r="H453" s="19" t="s">
        <v>27096</v>
      </c>
      <c r="I453" s="19" t="s">
        <v>27097</v>
      </c>
      <c r="J453" s="2" t="str">
        <f t="shared" si="2"/>
        <v>(${Variables:E2_5_1_74_kcat} * E2_5_1_74 * C05847 * C03657)/(${Variables:E2_5_1_74_km} + (E2_5_1_74 * C05847 * C03657))</v>
      </c>
      <c r="K453" s="2" t="str">
        <f t="shared" si="3"/>
        <v>r452: C05847 + C03657 -&gt; C19847 + C00013 + C00011 | (${Variables:E2_5_1_74_kcat} * E2_5_1_74 * C05847 * C03657)/(${Variables:E2_5_1_74_km} + (E2_5_1_74 * C05847 * C03657))</v>
      </c>
    </row>
    <row r="454">
      <c r="A454" s="2" t="s">
        <v>12242</v>
      </c>
      <c r="B454" s="2" t="s">
        <v>12243</v>
      </c>
      <c r="C454" s="2" t="s">
        <v>25110</v>
      </c>
      <c r="D454" s="18">
        <v>453.0</v>
      </c>
      <c r="E454" s="2" t="str">
        <f t="shared" si="1"/>
        <v>E2_5_1_75</v>
      </c>
      <c r="F454" s="19" t="s">
        <v>27098</v>
      </c>
      <c r="G454" s="19" t="s">
        <v>27099</v>
      </c>
      <c r="H454" s="19" t="s">
        <v>27100</v>
      </c>
      <c r="I454" s="19" t="s">
        <v>27101</v>
      </c>
      <c r="J454" s="2" t="str">
        <f t="shared" si="2"/>
        <v>(${Variables:E2_5_1_75_kcat} * E2_5_1_75 * C00235 * C17324)/(${Variables:E2_5_1_75_km} + (E2_5_1_75 * C00235 * C17324))</v>
      </c>
      <c r="K454" s="2" t="str">
        <f t="shared" si="3"/>
        <v>r453: C00235 + C17324 -&gt; C00013 + C04432 | (${Variables:E2_5_1_75_kcat} * E2_5_1_75 * C00235 * C17324)/(${Variables:E2_5_1_75_km} + (E2_5_1_75 * C00235 * C17324))</v>
      </c>
    </row>
    <row r="455">
      <c r="A455" s="2" t="s">
        <v>11016</v>
      </c>
      <c r="B455" s="2" t="s">
        <v>11017</v>
      </c>
      <c r="C455" s="2" t="s">
        <v>25111</v>
      </c>
      <c r="D455" s="18">
        <v>454.0</v>
      </c>
      <c r="E455" s="2" t="str">
        <f t="shared" si="1"/>
        <v>E2_5_1_78</v>
      </c>
      <c r="F455" s="19" t="s">
        <v>27102</v>
      </c>
      <c r="G455" s="19" t="s">
        <v>27103</v>
      </c>
      <c r="H455" s="19" t="s">
        <v>27104</v>
      </c>
      <c r="I455" s="19" t="s">
        <v>27105</v>
      </c>
      <c r="J455" s="2" t="str">
        <f t="shared" si="2"/>
        <v>(${Variables:E2_5_1_78_kcat} * E2_5_1_78 * C04732 * C15556)/(${Variables:E2_5_1_78_km} + (E2_5_1_78 * C04732 * C15556))</v>
      </c>
      <c r="K455" s="2" t="str">
        <f t="shared" si="3"/>
        <v>r454: C04732 + C15556 -&gt; C04332 + C00001 + C00009 | (${Variables:E2_5_1_78_kcat} * E2_5_1_78 * C04732 * C15556)/(${Variables:E2_5_1_78_km} + (E2_5_1_78 * C04732 * C15556))</v>
      </c>
    </row>
    <row r="456">
      <c r="A456" s="2" t="s">
        <v>11022</v>
      </c>
      <c r="B456" s="2" t="s">
        <v>11023</v>
      </c>
      <c r="C456" s="2" t="s">
        <v>25112</v>
      </c>
      <c r="D456" s="18">
        <v>455.0</v>
      </c>
      <c r="E456" s="2" t="str">
        <f t="shared" si="1"/>
        <v>E2_5_1_9</v>
      </c>
      <c r="F456" s="19" t="s">
        <v>16613</v>
      </c>
      <c r="G456" s="19" t="s">
        <v>16613</v>
      </c>
      <c r="H456" s="19" t="s">
        <v>27106</v>
      </c>
      <c r="I456" s="19" t="s">
        <v>27107</v>
      </c>
      <c r="J456" s="2" t="str">
        <f t="shared" si="2"/>
        <v>(${Variables:E2_5_1_9_kcat} * E2_5_1_9 * C04332)/(${Variables:E2_5_1_9_km} + (E2_5_1_9 * C04332))</v>
      </c>
      <c r="K456" s="2" t="str">
        <f t="shared" si="3"/>
        <v>r455: C04332 -&gt; C00255 + C04732 | (${Variables:E2_5_1_9_kcat} * E2_5_1_9 * C04332)/(${Variables:E2_5_1_9_km} + (E2_5_1_9 * C04332))</v>
      </c>
    </row>
    <row r="457">
      <c r="A457" s="2" t="s">
        <v>2976</v>
      </c>
      <c r="B457" s="2" t="s">
        <v>2977</v>
      </c>
      <c r="C457" s="2" t="s">
        <v>25113</v>
      </c>
      <c r="D457" s="18">
        <v>456.0</v>
      </c>
      <c r="E457" s="2" t="str">
        <f t="shared" si="1"/>
        <v>E2_6_1_1</v>
      </c>
      <c r="F457" s="19" t="s">
        <v>27108</v>
      </c>
      <c r="G457" s="19" t="s">
        <v>27109</v>
      </c>
      <c r="H457" s="19" t="s">
        <v>27110</v>
      </c>
      <c r="I457" s="19" t="s">
        <v>27111</v>
      </c>
      <c r="J457" s="2" t="str">
        <f t="shared" si="2"/>
        <v>(${Variables:E2_6_1_1_kcat} * E2_6_1_1 * C00049 * C00026)/(${Variables:E2_6_1_1_km} + (E2_6_1_1 * C00049 * C00026))</v>
      </c>
      <c r="K457" s="2" t="str">
        <f t="shared" si="3"/>
        <v>r456: C00049 + C00026 -&gt; C00036 + C00025 | (${Variables:E2_6_1_1_kcat} * E2_6_1_1 * C00049 * C00026)/(${Variables:E2_6_1_1_km} + (E2_6_1_1 * C00049 * C00026))</v>
      </c>
    </row>
    <row r="458">
      <c r="A458" s="2" t="s">
        <v>2976</v>
      </c>
      <c r="B458" s="2" t="s">
        <v>2977</v>
      </c>
      <c r="C458" s="2" t="s">
        <v>25113</v>
      </c>
      <c r="D458" s="18">
        <v>457.0</v>
      </c>
      <c r="E458" s="2" t="str">
        <f t="shared" si="1"/>
        <v>E2_6_1_1</v>
      </c>
      <c r="F458" s="19" t="s">
        <v>27112</v>
      </c>
      <c r="G458" s="19" t="s">
        <v>27113</v>
      </c>
      <c r="H458" s="19" t="s">
        <v>27114</v>
      </c>
      <c r="I458" s="19" t="s">
        <v>27115</v>
      </c>
      <c r="J458" s="2" t="str">
        <f t="shared" si="2"/>
        <v>(${Variables:E2_6_1_1_kcat} * E2_6_1_1 * C00079 * C00026)/(${Variables:E2_6_1_1_km} + (E2_6_1_1 * C00079 * C00026))</v>
      </c>
      <c r="K458" s="2" t="str">
        <f t="shared" si="3"/>
        <v>r457: C00079 + C00026 -&gt; C00166 + C00025 | (${Variables:E2_6_1_1_kcat} * E2_6_1_1 * C00079 * C00026)/(${Variables:E2_6_1_1_km} + (E2_6_1_1 * C00079 * C00026))</v>
      </c>
    </row>
    <row r="459">
      <c r="A459" s="2" t="s">
        <v>2976</v>
      </c>
      <c r="B459" s="2" t="s">
        <v>2977</v>
      </c>
      <c r="C459" s="2" t="s">
        <v>25113</v>
      </c>
      <c r="D459" s="18">
        <v>458.0</v>
      </c>
      <c r="E459" s="2" t="str">
        <f t="shared" si="1"/>
        <v>E2_6_1_1</v>
      </c>
      <c r="F459" s="19" t="s">
        <v>27116</v>
      </c>
      <c r="G459" s="19" t="s">
        <v>27117</v>
      </c>
      <c r="H459" s="19" t="s">
        <v>27118</v>
      </c>
      <c r="I459" s="19" t="s">
        <v>27119</v>
      </c>
      <c r="J459" s="2" t="str">
        <f t="shared" si="2"/>
        <v>(${Variables:E2_6_1_1_kcat} * E2_6_1_1 * C00082 * C00026)/(${Variables:E2_6_1_1_km} + (E2_6_1_1 * C00082 * C00026))</v>
      </c>
      <c r="K459" s="2" t="str">
        <f t="shared" si="3"/>
        <v>r458: C00082 + C00026 -&gt; C01179 + C00025 | (${Variables:E2_6_1_1_kcat} * E2_6_1_1 * C00082 * C00026)/(${Variables:E2_6_1_1_km} + (E2_6_1_1 * C00082 * C00026))</v>
      </c>
    </row>
    <row r="460">
      <c r="A460" s="2" t="s">
        <v>2976</v>
      </c>
      <c r="B460" s="2" t="s">
        <v>2977</v>
      </c>
      <c r="C460" s="2" t="s">
        <v>25113</v>
      </c>
      <c r="D460" s="18">
        <v>459.0</v>
      </c>
      <c r="E460" s="2" t="str">
        <f t="shared" si="1"/>
        <v>E2_6_1_1</v>
      </c>
      <c r="F460" s="19" t="s">
        <v>27120</v>
      </c>
      <c r="G460" s="19" t="s">
        <v>27121</v>
      </c>
      <c r="H460" s="19" t="s">
        <v>27122</v>
      </c>
      <c r="I460" s="19" t="s">
        <v>27123</v>
      </c>
      <c r="J460" s="2" t="str">
        <f t="shared" si="2"/>
        <v>(${Variables:E2_6_1_1_kcat} * E2_6_1_1 * C00097 * C00026)/(${Variables:E2_6_1_1_km} + (E2_6_1_1 * C00097 * C00026))</v>
      </c>
      <c r="K460" s="2" t="str">
        <f t="shared" si="3"/>
        <v>r459: C00097 + C00026 -&gt; C00957 + C00025 | (${Variables:E2_6_1_1_kcat} * E2_6_1_1 * C00097 * C00026)/(${Variables:E2_6_1_1_km} + (E2_6_1_1 * C00097 * C00026))</v>
      </c>
    </row>
    <row r="461">
      <c r="A461" s="2" t="s">
        <v>2976</v>
      </c>
      <c r="B461" s="2" t="s">
        <v>2977</v>
      </c>
      <c r="C461" s="2" t="s">
        <v>25113</v>
      </c>
      <c r="D461" s="18">
        <v>460.0</v>
      </c>
      <c r="E461" s="2" t="str">
        <f t="shared" si="1"/>
        <v>E2_6_1_1</v>
      </c>
      <c r="F461" s="19" t="s">
        <v>27120</v>
      </c>
      <c r="G461" s="19" t="s">
        <v>27121</v>
      </c>
      <c r="H461" s="19" t="s">
        <v>27124</v>
      </c>
      <c r="I461" s="19" t="s">
        <v>27125</v>
      </c>
      <c r="J461" s="2" t="str">
        <f t="shared" si="2"/>
        <v>(${Variables:E2_6_1_1_kcat} * E2_6_1_1 * C00097 * C00026)/(${Variables:E2_6_1_1_km} + (E2_6_1_1 * C00097 * C00026))</v>
      </c>
      <c r="K461" s="2" t="str">
        <f t="shared" si="3"/>
        <v>r460: C00097 + C00026 -&gt; C00957 + C00302 | (${Variables:E2_6_1_1_kcat} * E2_6_1_1 * C00097 * C00026)/(${Variables:E2_6_1_1_km} + (E2_6_1_1 * C00097 * C00026))</v>
      </c>
    </row>
    <row r="462">
      <c r="A462" s="2" t="s">
        <v>2976</v>
      </c>
      <c r="B462" s="2" t="s">
        <v>2977</v>
      </c>
      <c r="C462" s="2" t="s">
        <v>25113</v>
      </c>
      <c r="D462" s="18">
        <v>461.0</v>
      </c>
      <c r="E462" s="2" t="str">
        <f t="shared" si="1"/>
        <v>E2_6_1_1</v>
      </c>
      <c r="F462" s="19" t="s">
        <v>27126</v>
      </c>
      <c r="G462" s="19" t="s">
        <v>27127</v>
      </c>
      <c r="H462" s="19" t="s">
        <v>27128</v>
      </c>
      <c r="I462" s="19" t="s">
        <v>27129</v>
      </c>
      <c r="J462" s="2" t="str">
        <f t="shared" si="2"/>
        <v>(${Variables:E2_6_1_1_kcat} * E2_6_1_1 * C00506 * C00026)/(${Variables:E2_6_1_1_km} + (E2_6_1_1 * C00506 * C00026))</v>
      </c>
      <c r="K462" s="2" t="str">
        <f t="shared" si="3"/>
        <v>r461: C00506 + C00026 -&gt; C05528 + C00025 | (${Variables:E2_6_1_1_kcat} * E2_6_1_1 * C00506 * C00026)/(${Variables:E2_6_1_1_km} + (E2_6_1_1 * C00506 * C00026))</v>
      </c>
    </row>
    <row r="463">
      <c r="A463" s="2" t="s">
        <v>2976</v>
      </c>
      <c r="B463" s="2" t="s">
        <v>2977</v>
      </c>
      <c r="C463" s="2" t="s">
        <v>25113</v>
      </c>
      <c r="D463" s="18">
        <v>462.0</v>
      </c>
      <c r="E463" s="2" t="str">
        <f t="shared" si="1"/>
        <v>E2_6_1_1</v>
      </c>
      <c r="F463" s="19" t="s">
        <v>27130</v>
      </c>
      <c r="G463" s="19" t="s">
        <v>27131</v>
      </c>
      <c r="H463" s="19" t="s">
        <v>27132</v>
      </c>
      <c r="I463" s="19" t="s">
        <v>27133</v>
      </c>
      <c r="J463" s="2" t="str">
        <f t="shared" si="2"/>
        <v>(${Variables:E2_6_1_1_kcat} * E2_6_1_1 * C00606 * C00026)/(${Variables:E2_6_1_1_km} + (E2_6_1_1 * C00606 * C00026))</v>
      </c>
      <c r="K463" s="2" t="str">
        <f t="shared" si="3"/>
        <v>r462: C00606 + C00026 -&gt; C05527 + C00025 | (${Variables:E2_6_1_1_kcat} * E2_6_1_1 * C00606 * C00026)/(${Variables:E2_6_1_1_km} + (E2_6_1_1 * C00606 * C00026))</v>
      </c>
    </row>
    <row r="464">
      <c r="A464" s="2" t="s">
        <v>2976</v>
      </c>
      <c r="B464" s="2" t="s">
        <v>2977</v>
      </c>
      <c r="C464" s="2" t="s">
        <v>25113</v>
      </c>
      <c r="D464" s="18">
        <v>463.0</v>
      </c>
      <c r="E464" s="2" t="str">
        <f t="shared" si="1"/>
        <v>E2_6_1_1</v>
      </c>
      <c r="F464" s="19" t="s">
        <v>27134</v>
      </c>
      <c r="G464" s="19" t="s">
        <v>27135</v>
      </c>
      <c r="H464" s="19" t="s">
        <v>27136</v>
      </c>
      <c r="I464" s="19" t="s">
        <v>27137</v>
      </c>
      <c r="J464" s="2" t="str">
        <f t="shared" si="2"/>
        <v>(${Variables:E2_6_1_1_kcat} * E2_6_1_1 * C05947 * C00026)/(${Variables:E2_6_1_1_km} + (E2_6_1_1 * C05947 * C00026))</v>
      </c>
      <c r="K464" s="2" t="str">
        <f t="shared" si="3"/>
        <v>r463: C05947 + C00026 -&gt; C05946 + C00025 | (${Variables:E2_6_1_1_kcat} * E2_6_1_1 * C05947 * C00026)/(${Variables:E2_6_1_1_km} + (E2_6_1_1 * C05947 * C00026))</v>
      </c>
    </row>
    <row r="465">
      <c r="A465" s="2" t="s">
        <v>10967</v>
      </c>
      <c r="B465" s="2" t="s">
        <v>10968</v>
      </c>
      <c r="C465" s="2" t="s">
        <v>25114</v>
      </c>
      <c r="D465" s="18">
        <v>464.0</v>
      </c>
      <c r="E465" s="2" t="str">
        <f t="shared" si="1"/>
        <v>E2_6_1_11</v>
      </c>
      <c r="F465" s="19" t="s">
        <v>27138</v>
      </c>
      <c r="G465" s="19" t="s">
        <v>27139</v>
      </c>
      <c r="H465" s="19" t="s">
        <v>27140</v>
      </c>
      <c r="I465" s="19" t="s">
        <v>27141</v>
      </c>
      <c r="J465" s="2" t="str">
        <f t="shared" si="2"/>
        <v>(${Variables:E2_6_1_11_kcat} * E2_6_1_11 * C00437 * C00026)/(${Variables:E2_6_1_11_km} + (E2_6_1_11 * C00437 * C00026))</v>
      </c>
      <c r="K465" s="2" t="str">
        <f t="shared" si="3"/>
        <v>r464: C00437 + C00026 -&gt; C01250 + C00025 | (${Variables:E2_6_1_11_kcat} * E2_6_1_11 * C00437 * C00026)/(${Variables:E2_6_1_11_km} + (E2_6_1_11 * C00437 * C00026))</v>
      </c>
    </row>
    <row r="466">
      <c r="A466" s="2" t="s">
        <v>4125</v>
      </c>
      <c r="B466" s="2" t="s">
        <v>4126</v>
      </c>
      <c r="C466" s="2" t="s">
        <v>25115</v>
      </c>
      <c r="D466" s="18">
        <v>465.0</v>
      </c>
      <c r="E466" s="2" t="str">
        <f t="shared" si="1"/>
        <v>E2_6_1_13</v>
      </c>
      <c r="F466" s="19" t="s">
        <v>27142</v>
      </c>
      <c r="G466" s="19" t="s">
        <v>27143</v>
      </c>
      <c r="H466" s="19" t="s">
        <v>27144</v>
      </c>
      <c r="I466" s="19" t="s">
        <v>27145</v>
      </c>
      <c r="J466" s="2" t="str">
        <f t="shared" si="2"/>
        <v>(${Variables:E2_6_1_13_kcat} * E2_6_1_13 * C00077 * C00026)/(${Variables:E2_6_1_13_km} + (E2_6_1_13 * C00077 * C00026))</v>
      </c>
      <c r="K466" s="2" t="str">
        <f t="shared" si="3"/>
        <v>r465: C00077 + C00026 -&gt; C01165 + C00025 | (${Variables:E2_6_1_13_kcat} * E2_6_1_13 * C00077 * C00026)/(${Variables:E2_6_1_13_km} + (E2_6_1_13 * C00077 * C00026))</v>
      </c>
    </row>
    <row r="467">
      <c r="A467" s="2" t="s">
        <v>4125</v>
      </c>
      <c r="B467" s="2" t="s">
        <v>4126</v>
      </c>
      <c r="C467" s="2" t="s">
        <v>25115</v>
      </c>
      <c r="D467" s="18">
        <v>466.0</v>
      </c>
      <c r="E467" s="2" t="str">
        <f t="shared" si="1"/>
        <v>E2_6_1_13</v>
      </c>
      <c r="F467" s="19" t="s">
        <v>27142</v>
      </c>
      <c r="G467" s="19" t="s">
        <v>27143</v>
      </c>
      <c r="H467" s="19" t="s">
        <v>27146</v>
      </c>
      <c r="I467" s="19" t="s">
        <v>27147</v>
      </c>
      <c r="J467" s="2" t="str">
        <f t="shared" si="2"/>
        <v>(${Variables:E2_6_1_13_kcat} * E2_6_1_13 * C00077 * C00026)/(${Variables:E2_6_1_13_km} + (E2_6_1_13 * C00077 * C00026))</v>
      </c>
      <c r="K467" s="2" t="str">
        <f t="shared" si="3"/>
        <v>r466: C00077 + C00026 -&gt; C04322 + C00025 + C00001 | (${Variables:E2_6_1_13_kcat} * E2_6_1_13 * C00077 * C00026)/(${Variables:E2_6_1_13_km} + (E2_6_1_13 * C00077 * C00026))</v>
      </c>
    </row>
    <row r="468">
      <c r="A468" s="2" t="s">
        <v>4125</v>
      </c>
      <c r="B468" s="2" t="s">
        <v>4126</v>
      </c>
      <c r="C468" s="2" t="s">
        <v>25115</v>
      </c>
      <c r="D468" s="18">
        <v>467.0</v>
      </c>
      <c r="E468" s="2" t="str">
        <f t="shared" si="1"/>
        <v>E2_6_1_13</v>
      </c>
      <c r="F468" s="19" t="s">
        <v>27148</v>
      </c>
      <c r="G468" s="19" t="s">
        <v>27149</v>
      </c>
      <c r="H468" s="19" t="s">
        <v>27150</v>
      </c>
      <c r="I468" s="19" t="s">
        <v>27151</v>
      </c>
      <c r="J468" s="2" t="str">
        <f t="shared" si="2"/>
        <v>(${Variables:E2_6_1_13_kcat} * E2_6_1_13 * C00077 * C00161)/(${Variables:E2_6_1_13_km} + (E2_6_1_13 * C00077 * C00161))</v>
      </c>
      <c r="K468" s="2" t="str">
        <f t="shared" si="3"/>
        <v>r467: C00077 + C00161 -&gt; C01165 + C00151 | (${Variables:E2_6_1_13_kcat} * E2_6_1_13 * C00077 * C00161)/(${Variables:E2_6_1_13_km} + (E2_6_1_13 * C00077 * C00161))</v>
      </c>
    </row>
    <row r="469">
      <c r="A469" s="2" t="s">
        <v>6611</v>
      </c>
      <c r="B469" s="2" t="s">
        <v>6612</v>
      </c>
      <c r="C469" s="2" t="s">
        <v>25116</v>
      </c>
      <c r="D469" s="18">
        <v>468.0</v>
      </c>
      <c r="E469" s="2" t="str">
        <f t="shared" si="1"/>
        <v>E2_6_1_16</v>
      </c>
      <c r="F469" s="19" t="s">
        <v>27152</v>
      </c>
      <c r="G469" s="19" t="s">
        <v>27153</v>
      </c>
      <c r="H469" s="19" t="s">
        <v>27154</v>
      </c>
      <c r="I469" s="19" t="s">
        <v>27155</v>
      </c>
      <c r="J469" s="2" t="str">
        <f t="shared" si="2"/>
        <v>(${Variables:E2_6_1_16_kcat} * E2_6_1_16 * C00064 * C00085)/(${Variables:E2_6_1_16_km} + (E2_6_1_16 * C00064 * C00085))</v>
      </c>
      <c r="K469" s="2" t="str">
        <f t="shared" si="3"/>
        <v>r468: C00064 + C00085 -&gt; C00025 + C00352 | (${Variables:E2_6_1_16_kcat} * E2_6_1_16 * C00064 * C00085)/(${Variables:E2_6_1_16_km} + (E2_6_1_16 * C00064 * C00085))</v>
      </c>
    </row>
    <row r="470">
      <c r="A470" s="2" t="s">
        <v>6199</v>
      </c>
      <c r="B470" s="2" t="s">
        <v>6200</v>
      </c>
      <c r="C470" s="2" t="s">
        <v>25117</v>
      </c>
      <c r="D470" s="18">
        <v>469.0</v>
      </c>
      <c r="E470" s="2" t="str">
        <f t="shared" si="1"/>
        <v>E2_6_1_19</v>
      </c>
      <c r="F470" s="19" t="s">
        <v>27156</v>
      </c>
      <c r="G470" s="19" t="s">
        <v>27157</v>
      </c>
      <c r="H470" s="19" t="s">
        <v>27158</v>
      </c>
      <c r="I470" s="19" t="s">
        <v>27159</v>
      </c>
      <c r="J470" s="2" t="str">
        <f t="shared" si="2"/>
        <v>(${Variables:E2_6_1_19_kcat} * E2_6_1_19 * C00099 * C00026)/(${Variables:E2_6_1_19_km} + (E2_6_1_19 * C00099 * C00026))</v>
      </c>
      <c r="K470" s="2" t="str">
        <f t="shared" si="3"/>
        <v>r469: C00099 + C00026 -&gt; C00222 + C00025 | (${Variables:E2_6_1_19_kcat} * E2_6_1_19 * C00099 * C00026)/(${Variables:E2_6_1_19_km} + (E2_6_1_19 * C00099 * C00026))</v>
      </c>
    </row>
    <row r="471">
      <c r="A471" s="2" t="s">
        <v>6199</v>
      </c>
      <c r="B471" s="2" t="s">
        <v>6200</v>
      </c>
      <c r="C471" s="2" t="s">
        <v>25117</v>
      </c>
      <c r="D471" s="18">
        <v>470.0</v>
      </c>
      <c r="E471" s="2" t="str">
        <f t="shared" si="1"/>
        <v>E2_6_1_19</v>
      </c>
      <c r="F471" s="19" t="s">
        <v>27160</v>
      </c>
      <c r="G471" s="19" t="s">
        <v>27161</v>
      </c>
      <c r="H471" s="19" t="s">
        <v>27162</v>
      </c>
      <c r="I471" s="19" t="s">
        <v>27163</v>
      </c>
      <c r="J471" s="2" t="str">
        <f t="shared" si="2"/>
        <v>(${Variables:E2_6_1_19_kcat} * E2_6_1_19 * C00334 * C00026)/(${Variables:E2_6_1_19_km} + (E2_6_1_19 * C00334 * C00026))</v>
      </c>
      <c r="K471" s="2" t="str">
        <f t="shared" si="3"/>
        <v>r470: C00334 + C00026 -&gt; C00232 + C00025 | (${Variables:E2_6_1_19_kcat} * E2_6_1_19 * C00334 * C00026)/(${Variables:E2_6_1_19_km} + (E2_6_1_19 * C00334 * C00026))</v>
      </c>
    </row>
    <row r="472">
      <c r="A472" s="2" t="s">
        <v>1119</v>
      </c>
      <c r="B472" s="2" t="s">
        <v>1120</v>
      </c>
      <c r="C472" s="2" t="s">
        <v>25118</v>
      </c>
      <c r="D472" s="18">
        <v>471.0</v>
      </c>
      <c r="E472" s="2" t="str">
        <f t="shared" si="1"/>
        <v>E2_6_1_21</v>
      </c>
      <c r="F472" s="19" t="s">
        <v>27164</v>
      </c>
      <c r="G472" s="19" t="s">
        <v>27165</v>
      </c>
      <c r="H472" s="19" t="s">
        <v>27166</v>
      </c>
      <c r="I472" s="19" t="s">
        <v>27167</v>
      </c>
      <c r="J472" s="2" t="str">
        <f t="shared" si="2"/>
        <v>(${Variables:E2_6_1_21_kcat} * E2_6_1_21 * C00133 * C00026)/(${Variables:E2_6_1_21_km} + (E2_6_1_21 * C00133 * C00026))</v>
      </c>
      <c r="K472" s="2" t="str">
        <f t="shared" si="3"/>
        <v>r471: C00133 + C00026 -&gt; C00022 + C00217 | (${Variables:E2_6_1_21_kcat} * E2_6_1_21 * C00133 * C00026)/(${Variables:E2_6_1_21_km} + (E2_6_1_21 * C00133 * C00026))</v>
      </c>
    </row>
    <row r="473">
      <c r="A473" s="2" t="s">
        <v>1119</v>
      </c>
      <c r="B473" s="2" t="s">
        <v>1120</v>
      </c>
      <c r="C473" s="2" t="s">
        <v>25118</v>
      </c>
      <c r="D473" s="18">
        <v>472.0</v>
      </c>
      <c r="E473" s="2" t="str">
        <f t="shared" si="1"/>
        <v>E2_6_1_21</v>
      </c>
      <c r="F473" s="19" t="s">
        <v>27168</v>
      </c>
      <c r="G473" s="19" t="s">
        <v>27169</v>
      </c>
      <c r="H473" s="19" t="s">
        <v>27170</v>
      </c>
      <c r="I473" s="19" t="s">
        <v>27171</v>
      </c>
      <c r="J473" s="2" t="str">
        <f t="shared" si="2"/>
        <v>(${Variables:E2_6_1_21_kcat} * E2_6_1_21 * C00405 * C00022)/(${Variables:E2_6_1_21_km} + (E2_6_1_21 * C00405 * C00022))</v>
      </c>
      <c r="K473" s="2" t="str">
        <f t="shared" si="3"/>
        <v>r472: C00405 + C00022 -&gt; C00161 + C00133 | (${Variables:E2_6_1_21_kcat} * E2_6_1_21 * C00405 * C00022)/(${Variables:E2_6_1_21_km} + (E2_6_1_21 * C00405 * C00022))</v>
      </c>
    </row>
    <row r="474">
      <c r="A474" s="2" t="s">
        <v>1119</v>
      </c>
      <c r="B474" s="2" t="s">
        <v>1120</v>
      </c>
      <c r="C474" s="2" t="s">
        <v>25118</v>
      </c>
      <c r="D474" s="18">
        <v>473.0</v>
      </c>
      <c r="E474" s="2" t="str">
        <f t="shared" si="1"/>
        <v>E2_6_1_21</v>
      </c>
      <c r="F474" s="19" t="s">
        <v>27172</v>
      </c>
      <c r="G474" s="19" t="s">
        <v>27173</v>
      </c>
      <c r="H474" s="19" t="s">
        <v>27174</v>
      </c>
      <c r="I474" s="19" t="s">
        <v>27175</v>
      </c>
      <c r="J474" s="2" t="str">
        <f t="shared" si="2"/>
        <v>(${Variables:E2_6_1_21_kcat} * E2_6_1_21 * C02265 * C00026)/(${Variables:E2_6_1_21_km} + (E2_6_1_21 * C02265 * C00026))</v>
      </c>
      <c r="K474" s="2" t="str">
        <f t="shared" si="3"/>
        <v>r473: C02265 + C00026 -&gt; C00166 + C00217 | (${Variables:E2_6_1_21_kcat} * E2_6_1_21 * C02265 * C00026)/(${Variables:E2_6_1_21_km} + (E2_6_1_21 * C02265 * C00026))</v>
      </c>
    </row>
    <row r="475">
      <c r="A475" s="2" t="s">
        <v>1119</v>
      </c>
      <c r="B475" s="2" t="s">
        <v>1120</v>
      </c>
      <c r="C475" s="2" t="s">
        <v>25118</v>
      </c>
      <c r="D475" s="18">
        <v>474.0</v>
      </c>
      <c r="E475" s="2" t="str">
        <f t="shared" si="1"/>
        <v>E2_6_1_21</v>
      </c>
      <c r="F475" s="19" t="s">
        <v>27176</v>
      </c>
      <c r="G475" s="19" t="s">
        <v>27177</v>
      </c>
      <c r="H475" s="19" t="s">
        <v>27178</v>
      </c>
      <c r="I475" s="19" t="s">
        <v>27179</v>
      </c>
      <c r="J475" s="2" t="str">
        <f t="shared" si="2"/>
        <v>(${Variables:E2_6_1_21_kcat} * E2_6_1_21 * C00515 * C00161)/(${Variables:E2_6_1_21_km} + (E2_6_1_21 * C00515 * C00161))</v>
      </c>
      <c r="K475" s="2" t="str">
        <f t="shared" si="3"/>
        <v>r474: C00515 + C00161 -&gt; C01110 + C00405 | (${Variables:E2_6_1_21_kcat} * E2_6_1_21 * C00515 * C00161)/(${Variables:E2_6_1_21_km} + (E2_6_1_21 * C00515 * C00161))</v>
      </c>
    </row>
    <row r="476">
      <c r="A476" s="2" t="s">
        <v>1119</v>
      </c>
      <c r="B476" s="2" t="s">
        <v>1120</v>
      </c>
      <c r="C476" s="2" t="s">
        <v>25118</v>
      </c>
      <c r="D476" s="18">
        <v>475.0</v>
      </c>
      <c r="E476" s="2" t="str">
        <f t="shared" si="1"/>
        <v>E2_6_1_21</v>
      </c>
      <c r="F476" s="19" t="s">
        <v>27180</v>
      </c>
      <c r="G476" s="19" t="s">
        <v>27181</v>
      </c>
      <c r="H476" s="19" t="s">
        <v>27182</v>
      </c>
      <c r="I476" s="19" t="s">
        <v>27183</v>
      </c>
      <c r="J476" s="2" t="str">
        <f t="shared" si="2"/>
        <v>(${Variables:E2_6_1_21_kcat} * E2_6_1_21 * C00739 * C00161)/(${Variables:E2_6_1_21_km} + (E2_6_1_21 * C00739 * C00161))</v>
      </c>
      <c r="K476" s="2" t="str">
        <f t="shared" si="3"/>
        <v>r475: C00739 + C00161 -&gt; C03239 + C00405 | (${Variables:E2_6_1_21_kcat} * E2_6_1_21 * C00739 * C00161)/(${Variables:E2_6_1_21_km} + (E2_6_1_21 * C00739 * C00161))</v>
      </c>
    </row>
    <row r="477">
      <c r="A477" s="2" t="s">
        <v>1119</v>
      </c>
      <c r="B477" s="2" t="s">
        <v>1120</v>
      </c>
      <c r="C477" s="2" t="s">
        <v>25118</v>
      </c>
      <c r="D477" s="18">
        <v>476.0</v>
      </c>
      <c r="E477" s="2" t="str">
        <f t="shared" si="1"/>
        <v>E2_6_1_21</v>
      </c>
      <c r="F477" s="19" t="s">
        <v>27184</v>
      </c>
      <c r="G477" s="19" t="s">
        <v>27185</v>
      </c>
      <c r="H477" s="19" t="s">
        <v>27186</v>
      </c>
      <c r="I477" s="19" t="s">
        <v>27187</v>
      </c>
      <c r="J477" s="2" t="str">
        <f t="shared" si="2"/>
        <v>(${Variables:E2_6_1_21_kcat} * E2_6_1_21 * C00792 * C00161)/(${Variables:E2_6_1_21_km} + (E2_6_1_21 * C00792 * C00161))</v>
      </c>
      <c r="K477" s="2" t="str">
        <f t="shared" si="3"/>
        <v>r476: C00792 + C00161 -&gt; C03771 + C00405 | (${Variables:E2_6_1_21_kcat} * E2_6_1_21 * C00792 * C00161)/(${Variables:E2_6_1_21_km} + (E2_6_1_21 * C00792 * C00161))</v>
      </c>
    </row>
    <row r="478">
      <c r="A478" s="2" t="s">
        <v>1119</v>
      </c>
      <c r="B478" s="2" t="s">
        <v>1120</v>
      </c>
      <c r="C478" s="2" t="s">
        <v>25118</v>
      </c>
      <c r="D478" s="18">
        <v>477.0</v>
      </c>
      <c r="E478" s="2" t="str">
        <f t="shared" si="1"/>
        <v>E2_6_1_21</v>
      </c>
      <c r="F478" s="19" t="s">
        <v>27188</v>
      </c>
      <c r="G478" s="19" t="s">
        <v>27189</v>
      </c>
      <c r="H478" s="19" t="s">
        <v>27190</v>
      </c>
      <c r="I478" s="19" t="s">
        <v>27191</v>
      </c>
      <c r="J478" s="2" t="str">
        <f t="shared" si="2"/>
        <v>(${Variables:E2_6_1_21_kcat} * E2_6_1_21 * C00402 * C05946)/(${Variables:E2_6_1_21_km} + (E2_6_1_21 * C00402 * C05946))</v>
      </c>
      <c r="K478" s="2" t="str">
        <f t="shared" si="3"/>
        <v>r477: C00402 + C05946 -&gt; C00036 + C05947 | (${Variables:E2_6_1_21_kcat} * E2_6_1_21 * C00402 * C05946)/(${Variables:E2_6_1_21_km} + (E2_6_1_21 * C00402 * C05946))</v>
      </c>
    </row>
    <row r="479">
      <c r="A479" s="2" t="s">
        <v>3629</v>
      </c>
      <c r="B479" s="2" t="s">
        <v>3630</v>
      </c>
      <c r="C479" s="2" t="s">
        <v>25119</v>
      </c>
      <c r="D479" s="18">
        <v>478.0</v>
      </c>
      <c r="E479" s="2" t="str">
        <f t="shared" si="1"/>
        <v>E2_6_1_37</v>
      </c>
      <c r="F479" s="19" t="s">
        <v>27192</v>
      </c>
      <c r="G479" s="19" t="s">
        <v>27193</v>
      </c>
      <c r="H479" s="19" t="s">
        <v>27194</v>
      </c>
      <c r="I479" s="19" t="s">
        <v>27195</v>
      </c>
      <c r="J479" s="2" t="str">
        <f t="shared" si="2"/>
        <v>(${Variables:E2_6_1_37_kcat} * E2_6_1_37 * C03557 * C00022)/(${Variables:E2_6_1_37_km} + (E2_6_1_37 * C03557 * C00022))</v>
      </c>
      <c r="K479" s="2" t="str">
        <f t="shared" si="3"/>
        <v>r478: C03557 + C00022 -&gt; C03167 + C00041 | (${Variables:E2_6_1_37_kcat} * E2_6_1_37 * C03557 * C00022)/(${Variables:E2_6_1_37_km} + (E2_6_1_37 * C03557 * C00022))</v>
      </c>
    </row>
    <row r="480">
      <c r="A480" s="2" t="s">
        <v>2315</v>
      </c>
      <c r="B480" s="2" t="s">
        <v>2316</v>
      </c>
      <c r="C480" s="2" t="s">
        <v>25120</v>
      </c>
      <c r="D480" s="18">
        <v>479.0</v>
      </c>
      <c r="E480" s="2" t="str">
        <f t="shared" si="1"/>
        <v>E2_6_1_42</v>
      </c>
      <c r="F480" s="19" t="s">
        <v>27196</v>
      </c>
      <c r="G480" s="19" t="s">
        <v>27197</v>
      </c>
      <c r="H480" s="19" t="s">
        <v>27198</v>
      </c>
      <c r="I480" s="19" t="s">
        <v>27199</v>
      </c>
      <c r="J480" s="2" t="str">
        <f t="shared" si="2"/>
        <v>(${Variables:E2_6_1_42_kcat} * E2_6_1_42 * C00123 * C00026)/(${Variables:E2_6_1_42_km} + (E2_6_1_42 * C00123 * C00026))</v>
      </c>
      <c r="K480" s="2" t="str">
        <f t="shared" si="3"/>
        <v>r479: C00123 + C00026 -&gt; C00233 + C00025 | (${Variables:E2_6_1_42_kcat} * E2_6_1_42 * C00123 * C00026)/(${Variables:E2_6_1_42_km} + (E2_6_1_42 * C00123 * C00026))</v>
      </c>
    </row>
    <row r="481">
      <c r="A481" s="2" t="s">
        <v>2315</v>
      </c>
      <c r="B481" s="2" t="s">
        <v>2316</v>
      </c>
      <c r="C481" s="2" t="s">
        <v>25120</v>
      </c>
      <c r="D481" s="18">
        <v>480.0</v>
      </c>
      <c r="E481" s="2" t="str">
        <f t="shared" si="1"/>
        <v>E2_6_1_42</v>
      </c>
      <c r="F481" s="19" t="s">
        <v>27200</v>
      </c>
      <c r="G481" s="19" t="s">
        <v>27201</v>
      </c>
      <c r="H481" s="19" t="s">
        <v>27202</v>
      </c>
      <c r="I481" s="19" t="s">
        <v>27203</v>
      </c>
      <c r="J481" s="2" t="str">
        <f t="shared" si="2"/>
        <v>(${Variables:E2_6_1_42_kcat} * E2_6_1_42 * C00183 * C00026)/(${Variables:E2_6_1_42_km} + (E2_6_1_42 * C00183 * C00026))</v>
      </c>
      <c r="K481" s="2" t="str">
        <f t="shared" si="3"/>
        <v>r480: C00183 + C00026 -&gt; C00141 + C00025 | (${Variables:E2_6_1_42_kcat} * E2_6_1_42 * C00183 * C00026)/(${Variables:E2_6_1_42_km} + (E2_6_1_42 * C00183 * C00026))</v>
      </c>
    </row>
    <row r="482">
      <c r="A482" s="2" t="s">
        <v>2315</v>
      </c>
      <c r="B482" s="2" t="s">
        <v>2316</v>
      </c>
      <c r="C482" s="2" t="s">
        <v>25120</v>
      </c>
      <c r="D482" s="18">
        <v>481.0</v>
      </c>
      <c r="E482" s="2" t="str">
        <f t="shared" si="1"/>
        <v>E2_6_1_42</v>
      </c>
      <c r="F482" s="19" t="s">
        <v>27204</v>
      </c>
      <c r="G482" s="19" t="s">
        <v>27205</v>
      </c>
      <c r="H482" s="19" t="s">
        <v>27206</v>
      </c>
      <c r="I482" s="19" t="s">
        <v>27207</v>
      </c>
      <c r="J482" s="2" t="str">
        <f t="shared" si="2"/>
        <v>(${Variables:E2_6_1_42_kcat} * E2_6_1_42 * C00407 * C00026)/(${Variables:E2_6_1_42_km} + (E2_6_1_42 * C00407 * C00026))</v>
      </c>
      <c r="K482" s="2" t="str">
        <f t="shared" si="3"/>
        <v>r481: C00407 + C00026 -&gt; C00671 + C00025 | (${Variables:E2_6_1_42_kcat} * E2_6_1_42 * C00407 * C00026)/(${Variables:E2_6_1_42_km} + (E2_6_1_42 * C00407 * C00026))</v>
      </c>
    </row>
    <row r="483">
      <c r="A483" s="2" t="s">
        <v>2315</v>
      </c>
      <c r="B483" s="2" t="s">
        <v>2316</v>
      </c>
      <c r="C483" s="2" t="s">
        <v>25120</v>
      </c>
      <c r="D483" s="18">
        <v>482.0</v>
      </c>
      <c r="E483" s="2" t="str">
        <f t="shared" si="1"/>
        <v>E2_6_1_42</v>
      </c>
      <c r="F483" s="19" t="s">
        <v>27208</v>
      </c>
      <c r="G483" s="19" t="s">
        <v>27209</v>
      </c>
      <c r="H483" s="19" t="s">
        <v>27210</v>
      </c>
      <c r="I483" s="19" t="s">
        <v>27211</v>
      </c>
      <c r="J483" s="2" t="str">
        <f t="shared" si="2"/>
        <v>(${Variables:E2_6_1_42_kcat} * E2_6_1_42 * C02356 * C00026)/(${Variables:E2_6_1_42_km} + (E2_6_1_42 * C02356 * C00026))</v>
      </c>
      <c r="K483" s="2" t="str">
        <f t="shared" si="3"/>
        <v>r482: C02356 + C00026 -&gt; C00109 + C00025 | (${Variables:E2_6_1_42_kcat} * E2_6_1_42 * C02356 * C00026)/(${Variables:E2_6_1_42_km} + (E2_6_1_42 * C02356 * C00026))</v>
      </c>
    </row>
    <row r="484">
      <c r="A484" s="2" t="s">
        <v>13359</v>
      </c>
      <c r="B484" s="2" t="s">
        <v>13360</v>
      </c>
      <c r="C484" s="2" t="s">
        <v>25121</v>
      </c>
      <c r="D484" s="18">
        <v>483.0</v>
      </c>
      <c r="E484" s="2" t="str">
        <f t="shared" si="1"/>
        <v>E2_6_1_52</v>
      </c>
      <c r="F484" s="19" t="s">
        <v>27212</v>
      </c>
      <c r="G484" s="19" t="s">
        <v>27213</v>
      </c>
      <c r="H484" s="19" t="s">
        <v>27214</v>
      </c>
      <c r="I484" s="19" t="s">
        <v>27215</v>
      </c>
      <c r="J484" s="2" t="str">
        <f t="shared" si="2"/>
        <v>(${Variables:E2_6_1_52_kcat} * E2_6_1_52 * C01005 * C00026)/(${Variables:E2_6_1_52_km} + (E2_6_1_52 * C01005 * C00026))</v>
      </c>
      <c r="K484" s="2" t="str">
        <f t="shared" si="3"/>
        <v>r483: C01005 + C00026 -&gt; C03232 + C00025 | (${Variables:E2_6_1_52_kcat} * E2_6_1_52 * C01005 * C00026)/(${Variables:E2_6_1_52_km} + (E2_6_1_52 * C01005 * C00026))</v>
      </c>
    </row>
    <row r="485">
      <c r="A485" s="2" t="s">
        <v>13359</v>
      </c>
      <c r="B485" s="2" t="s">
        <v>13360</v>
      </c>
      <c r="C485" s="2" t="s">
        <v>25121</v>
      </c>
      <c r="D485" s="18">
        <v>484.0</v>
      </c>
      <c r="E485" s="2" t="str">
        <f t="shared" si="1"/>
        <v>E2_6_1_52</v>
      </c>
      <c r="F485" s="19" t="s">
        <v>27216</v>
      </c>
      <c r="G485" s="19" t="s">
        <v>27217</v>
      </c>
      <c r="H485" s="19" t="s">
        <v>27218</v>
      </c>
      <c r="I485" s="19" t="s">
        <v>27219</v>
      </c>
      <c r="J485" s="2" t="str">
        <f t="shared" si="2"/>
        <v>(${Variables:E2_6_1_52_kcat} * E2_6_1_52 * C06055 * C00026)/(${Variables:E2_6_1_52_km} + (E2_6_1_52 * C06055 * C00026))</v>
      </c>
      <c r="K485" s="2" t="str">
        <f t="shared" si="3"/>
        <v>r484: C06055 + C00026 -&gt; C06054 + C00025 | (${Variables:E2_6_1_52_kcat} * E2_6_1_52 * C06055 * C00026)/(${Variables:E2_6_1_52_km} + (E2_6_1_52 * C06055 * C00026))</v>
      </c>
    </row>
    <row r="486">
      <c r="A486" s="2" t="s">
        <v>10992</v>
      </c>
      <c r="B486" s="2" t="s">
        <v>10993</v>
      </c>
      <c r="C486" s="2" t="s">
        <v>25122</v>
      </c>
      <c r="D486" s="18">
        <v>485.0</v>
      </c>
      <c r="E486" s="2" t="str">
        <f t="shared" si="1"/>
        <v>E2_6_1_62</v>
      </c>
      <c r="F486" s="19" t="s">
        <v>27220</v>
      </c>
      <c r="G486" s="19" t="s">
        <v>27221</v>
      </c>
      <c r="H486" s="19" t="s">
        <v>27222</v>
      </c>
      <c r="I486" s="19" t="s">
        <v>27223</v>
      </c>
      <c r="J486" s="2" t="str">
        <f t="shared" si="2"/>
        <v>(${Variables:E2_6_1_62_kcat} * E2_6_1_62 * C00019 * C01092)/(${Variables:E2_6_1_62_km} + (E2_6_1_62 * C00019 * C01092))</v>
      </c>
      <c r="K486" s="2" t="str">
        <f t="shared" si="3"/>
        <v>r485: C00019 + C01092 -&gt; C04425 + C01037 | (${Variables:E2_6_1_62_kcat} * E2_6_1_62 * C00019 * C01092)/(${Variables:E2_6_1_62_km} + (E2_6_1_62 * C00019 * C01092))</v>
      </c>
    </row>
    <row r="487">
      <c r="A487" s="2" t="s">
        <v>14181</v>
      </c>
      <c r="B487" s="2" t="s">
        <v>14182</v>
      </c>
      <c r="C487" s="2" t="s">
        <v>25123</v>
      </c>
      <c r="D487" s="18">
        <v>486.0</v>
      </c>
      <c r="E487" s="2" t="str">
        <f t="shared" si="1"/>
        <v>E2_6_1_83</v>
      </c>
      <c r="F487" s="19" t="s">
        <v>27224</v>
      </c>
      <c r="G487" s="19" t="s">
        <v>27225</v>
      </c>
      <c r="H487" s="19" t="s">
        <v>27226</v>
      </c>
      <c r="I487" s="19" t="s">
        <v>27227</v>
      </c>
      <c r="J487" s="2" t="str">
        <f t="shared" si="2"/>
        <v>(${Variables:E2_6_1_83_kcat} * E2_6_1_83 * C00666 * C00026)/(${Variables:E2_6_1_83_km} + (E2_6_1_83 * C00666 * C00026))</v>
      </c>
      <c r="K487" s="2" t="str">
        <f t="shared" si="3"/>
        <v>r486: C00666 + C00026 -&gt; C03972 + C00025 + C00001 | (${Variables:E2_6_1_83_kcat} * E2_6_1_83 * C00666 * C00026)/(${Variables:E2_6_1_83_km} + (E2_6_1_83 * C00666 * C00026))</v>
      </c>
    </row>
    <row r="488">
      <c r="A488" s="2" t="s">
        <v>6963</v>
      </c>
      <c r="B488" s="2" t="s">
        <v>6964</v>
      </c>
      <c r="C488" s="2" t="s">
        <v>25124</v>
      </c>
      <c r="D488" s="18">
        <v>487.0</v>
      </c>
      <c r="E488" s="2" t="str">
        <f t="shared" si="1"/>
        <v>E2_6_1_85</v>
      </c>
      <c r="F488" s="19" t="s">
        <v>27228</v>
      </c>
      <c r="G488" s="19" t="s">
        <v>27229</v>
      </c>
      <c r="H488" s="19" t="s">
        <v>27230</v>
      </c>
      <c r="I488" s="19" t="s">
        <v>27231</v>
      </c>
      <c r="J488" s="2" t="str">
        <f t="shared" si="2"/>
        <v>(${Variables:E2_6_1_85_kcat} * E2_6_1_85 * C00064 * C00001)/(${Variables:E2_6_1_85_km} + (E2_6_1_85 * C00064 * C00001))</v>
      </c>
      <c r="K488" s="2" t="str">
        <f t="shared" si="3"/>
        <v>r487: C00064 + C00001 -&gt; C00025 + C00014 | (${Variables:E2_6_1_85_kcat} * E2_6_1_85 * C00064 * C00001)/(${Variables:E2_6_1_85_km} + (E2_6_1_85 * C00064 * C00001))</v>
      </c>
    </row>
    <row r="489">
      <c r="A489" s="2" t="s">
        <v>6963</v>
      </c>
      <c r="B489" s="2" t="s">
        <v>6964</v>
      </c>
      <c r="C489" s="2" t="s">
        <v>25124</v>
      </c>
      <c r="D489" s="18">
        <v>488.0</v>
      </c>
      <c r="E489" s="2" t="str">
        <f t="shared" si="1"/>
        <v>E2_6_1_85</v>
      </c>
      <c r="F489" s="19" t="s">
        <v>27232</v>
      </c>
      <c r="G489" s="19" t="s">
        <v>27233</v>
      </c>
      <c r="H489" s="19" t="s">
        <v>27234</v>
      </c>
      <c r="I489" s="19" t="s">
        <v>27235</v>
      </c>
      <c r="J489" s="2" t="str">
        <f t="shared" si="2"/>
        <v>(${Variables:E2_6_1_85_kcat} * E2_6_1_85 * C00251 * C00064)/(${Variables:E2_6_1_85_km} + (E2_6_1_85 * C00251 * C00064))</v>
      </c>
      <c r="K489" s="2" t="str">
        <f t="shared" si="3"/>
        <v>r488: C00251 + C00064 -&gt; C11355 + C00025 | (${Variables:E2_6_1_85_kcat} * E2_6_1_85 * C00251 * C00064)/(${Variables:E2_6_1_85_km} + (E2_6_1_85 * C00251 * C00064))</v>
      </c>
    </row>
    <row r="490">
      <c r="A490" s="2" t="s">
        <v>6963</v>
      </c>
      <c r="B490" s="2" t="s">
        <v>6964</v>
      </c>
      <c r="C490" s="2" t="s">
        <v>25124</v>
      </c>
      <c r="D490" s="18">
        <v>489.0</v>
      </c>
      <c r="E490" s="2" t="str">
        <f t="shared" si="1"/>
        <v>E2_6_1_85</v>
      </c>
      <c r="F490" s="19" t="s">
        <v>27236</v>
      </c>
      <c r="G490" s="19" t="s">
        <v>27237</v>
      </c>
      <c r="H490" s="19" t="s">
        <v>27238</v>
      </c>
      <c r="I490" s="19" t="s">
        <v>27239</v>
      </c>
      <c r="J490" s="2" t="str">
        <f t="shared" si="2"/>
        <v>(${Variables:E2_6_1_85_kcat} * E2_6_1_85 * C00251 * C00014)/(${Variables:E2_6_1_85_km} + (E2_6_1_85 * C00251 * C00014))</v>
      </c>
      <c r="K490" s="2" t="str">
        <f t="shared" si="3"/>
        <v>r489: C00251 + C00014 -&gt; C11355 + C00001 | (${Variables:E2_6_1_85_kcat} * E2_6_1_85 * C00251 * C00014)/(${Variables:E2_6_1_85_km} + (E2_6_1_85 * C00251 * C00014))</v>
      </c>
    </row>
    <row r="491">
      <c r="A491" s="2" t="s">
        <v>3069</v>
      </c>
      <c r="B491" s="2" t="s">
        <v>3070</v>
      </c>
      <c r="C491" s="2" t="s">
        <v>25125</v>
      </c>
      <c r="D491" s="18">
        <v>490.0</v>
      </c>
      <c r="E491" s="2" t="str">
        <f t="shared" si="1"/>
        <v>E2_6_1_9</v>
      </c>
      <c r="F491" s="19" t="s">
        <v>27112</v>
      </c>
      <c r="G491" s="19" t="s">
        <v>27113</v>
      </c>
      <c r="H491" s="19" t="s">
        <v>27114</v>
      </c>
      <c r="I491" s="19" t="s">
        <v>27115</v>
      </c>
      <c r="J491" s="2" t="str">
        <f t="shared" si="2"/>
        <v>(${Variables:E2_6_1_9_kcat} * E2_6_1_9 * C00079 * C00026)/(${Variables:E2_6_1_9_km} + (E2_6_1_9 * C00079 * C00026))</v>
      </c>
      <c r="K491" s="2" t="str">
        <f t="shared" si="3"/>
        <v>r490: C00079 + C00026 -&gt; C00166 + C00025 | (${Variables:E2_6_1_9_kcat} * E2_6_1_9 * C00079 * C00026)/(${Variables:E2_6_1_9_km} + (E2_6_1_9 * C00079 * C00026))</v>
      </c>
    </row>
    <row r="492">
      <c r="A492" s="2" t="s">
        <v>3069</v>
      </c>
      <c r="B492" s="2" t="s">
        <v>3070</v>
      </c>
      <c r="C492" s="2" t="s">
        <v>25125</v>
      </c>
      <c r="D492" s="18">
        <v>491.0</v>
      </c>
      <c r="E492" s="2" t="str">
        <f t="shared" si="1"/>
        <v>E2_6_1_9</v>
      </c>
      <c r="F492" s="19" t="s">
        <v>27116</v>
      </c>
      <c r="G492" s="19" t="s">
        <v>27117</v>
      </c>
      <c r="H492" s="19" t="s">
        <v>27118</v>
      </c>
      <c r="I492" s="19" t="s">
        <v>27119</v>
      </c>
      <c r="J492" s="2" t="str">
        <f t="shared" si="2"/>
        <v>(${Variables:E2_6_1_9_kcat} * E2_6_1_9 * C00082 * C00026)/(${Variables:E2_6_1_9_km} + (E2_6_1_9 * C00082 * C00026))</v>
      </c>
      <c r="K492" s="2" t="str">
        <f t="shared" si="3"/>
        <v>r491: C00082 + C00026 -&gt; C01179 + C00025 | (${Variables:E2_6_1_9_kcat} * E2_6_1_9 * C00082 * C00026)/(${Variables:E2_6_1_9_km} + (E2_6_1_9 * C00082 * C00026))</v>
      </c>
    </row>
    <row r="493">
      <c r="A493" s="2" t="s">
        <v>3069</v>
      </c>
      <c r="B493" s="2" t="s">
        <v>3070</v>
      </c>
      <c r="C493" s="2" t="s">
        <v>25125</v>
      </c>
      <c r="D493" s="18">
        <v>492.0</v>
      </c>
      <c r="E493" s="2" t="str">
        <f t="shared" si="1"/>
        <v>E2_6_1_9</v>
      </c>
      <c r="F493" s="19" t="s">
        <v>27240</v>
      </c>
      <c r="G493" s="19" t="s">
        <v>27241</v>
      </c>
      <c r="H493" s="19" t="s">
        <v>27242</v>
      </c>
      <c r="I493" s="19" t="s">
        <v>27243</v>
      </c>
      <c r="J493" s="2" t="str">
        <f t="shared" si="2"/>
        <v>(${Variables:E2_6_1_9_kcat} * E2_6_1_9 * C01100 * C00026)/(${Variables:E2_6_1_9_km} + (E2_6_1_9 * C01100 * C00026))</v>
      </c>
      <c r="K493" s="2" t="str">
        <f t="shared" si="3"/>
        <v>r492: C01100 + C00026 -&gt; C01267 + C00025 | (${Variables:E2_6_1_9_kcat} * E2_6_1_9 * C01100 * C00026)/(${Variables:E2_6_1_9_km} + (E2_6_1_9 * C01100 * C00026))</v>
      </c>
    </row>
    <row r="494">
      <c r="A494" s="2" t="s">
        <v>6138</v>
      </c>
      <c r="B494" s="2" t="s">
        <v>6139</v>
      </c>
      <c r="C494" s="2" t="s">
        <v>25126</v>
      </c>
      <c r="D494" s="18">
        <v>493.0</v>
      </c>
      <c r="E494" s="2" t="str">
        <f t="shared" si="1"/>
        <v>E2_7_1_100</v>
      </c>
      <c r="F494" s="19" t="s">
        <v>27244</v>
      </c>
      <c r="G494" s="19" t="s">
        <v>27245</v>
      </c>
      <c r="H494" s="19" t="s">
        <v>27246</v>
      </c>
      <c r="I494" s="19" t="s">
        <v>27247</v>
      </c>
      <c r="J494" s="2" t="str">
        <f t="shared" si="2"/>
        <v>(${Variables:E2_7_1_100_kcat} * E2_7_1_100 * C00002 * C03089)/(${Variables:E2_7_1_100_km} + (E2_7_1_100 * C00002 * C03089))</v>
      </c>
      <c r="K494" s="2" t="str">
        <f t="shared" si="3"/>
        <v>r493: C00002 + C03089 -&gt; C00008 + C04188 | (${Variables:E2_7_1_100_kcat} * E2_7_1_100 * C00002 * C03089)/(${Variables:E2_7_1_100_km} + (E2_7_1_100 * C00002 * C03089))</v>
      </c>
    </row>
    <row r="495">
      <c r="A495" s="2" t="s">
        <v>6205</v>
      </c>
      <c r="B495" s="2" t="s">
        <v>6206</v>
      </c>
      <c r="C495" s="2" t="s">
        <v>25127</v>
      </c>
      <c r="D495" s="18">
        <v>494.0</v>
      </c>
      <c r="E495" s="2" t="str">
        <f t="shared" si="1"/>
        <v>E2_7_1_107</v>
      </c>
      <c r="F495" s="19" t="s">
        <v>27248</v>
      </c>
      <c r="G495" s="19" t="s">
        <v>27249</v>
      </c>
      <c r="H495" s="19" t="s">
        <v>27250</v>
      </c>
      <c r="I495" s="19" t="s">
        <v>27251</v>
      </c>
      <c r="J495" s="2" t="str">
        <f t="shared" si="2"/>
        <v>(${Variables:E2_7_1_107_kcat} * E2_7_1_107 * C00002 * C00641)/(${Variables:E2_7_1_107_km} + (E2_7_1_107 * C00002 * C00641))</v>
      </c>
      <c r="K495" s="2" t="str">
        <f t="shared" si="3"/>
        <v>r494: C00002 + C00641 -&gt; C00008 + C00416 | (${Variables:E2_7_1_107_kcat} * E2_7_1_107 * C00002 * C00641)/(${Variables:E2_7_1_107_km} + (E2_7_1_107 * C00002 * C00641))</v>
      </c>
    </row>
    <row r="496">
      <c r="A496" s="2" t="s">
        <v>9548</v>
      </c>
      <c r="B496" s="2" t="s">
        <v>9549</v>
      </c>
      <c r="C496" s="2" t="s">
        <v>25128</v>
      </c>
      <c r="D496" s="18">
        <v>495.0</v>
      </c>
      <c r="E496" s="2" t="str">
        <f t="shared" si="1"/>
        <v>E2_7_1_11</v>
      </c>
      <c r="F496" s="19" t="s">
        <v>27252</v>
      </c>
      <c r="G496" s="19" t="s">
        <v>27253</v>
      </c>
      <c r="H496" s="19" t="s">
        <v>27254</v>
      </c>
      <c r="I496" s="19" t="s">
        <v>27255</v>
      </c>
      <c r="J496" s="2" t="str">
        <f t="shared" si="2"/>
        <v>(${Variables:E2_7_1_11_kcat} * E2_7_1_11 * C00002 * C00085)/(${Variables:E2_7_1_11_km} + (E2_7_1_11 * C00002 * C00085))</v>
      </c>
      <c r="K496" s="2" t="str">
        <f t="shared" si="3"/>
        <v>r495: C00002 + C00085 -&gt; C00008 + C00354 | (${Variables:E2_7_1_11_kcat} * E2_7_1_11 * C00002 * C00085)/(${Variables:E2_7_1_11_km} + (E2_7_1_11 * C00002 * C00085))</v>
      </c>
    </row>
    <row r="497">
      <c r="A497" s="2" t="s">
        <v>9548</v>
      </c>
      <c r="B497" s="2" t="s">
        <v>9549</v>
      </c>
      <c r="C497" s="2" t="s">
        <v>25128</v>
      </c>
      <c r="D497" s="18">
        <v>496.0</v>
      </c>
      <c r="E497" s="2" t="str">
        <f t="shared" si="1"/>
        <v>E2_7_1_11</v>
      </c>
      <c r="F497" s="19" t="s">
        <v>27256</v>
      </c>
      <c r="G497" s="19" t="s">
        <v>27257</v>
      </c>
      <c r="H497" s="19" t="s">
        <v>27258</v>
      </c>
      <c r="I497" s="19" t="s">
        <v>27259</v>
      </c>
      <c r="J497" s="2" t="str">
        <f t="shared" si="2"/>
        <v>(${Variables:E2_7_1_11_kcat} * E2_7_1_11 * C00063 * C00085)/(${Variables:E2_7_1_11_km} + (E2_7_1_11 * C00063 * C00085))</v>
      </c>
      <c r="K497" s="2" t="str">
        <f t="shared" si="3"/>
        <v>r496: C00063 + C00085 -&gt; C00112 + C00354 | (${Variables:E2_7_1_11_kcat} * E2_7_1_11 * C00063 * C00085)/(${Variables:E2_7_1_11_km} + (E2_7_1_11 * C00063 * C00085))</v>
      </c>
    </row>
    <row r="498">
      <c r="A498" s="2" t="s">
        <v>9548</v>
      </c>
      <c r="B498" s="2" t="s">
        <v>9549</v>
      </c>
      <c r="C498" s="2" t="s">
        <v>25128</v>
      </c>
      <c r="D498" s="18">
        <v>497.0</v>
      </c>
      <c r="E498" s="2" t="str">
        <f t="shared" si="1"/>
        <v>E2_7_1_11</v>
      </c>
      <c r="F498" s="19" t="s">
        <v>27260</v>
      </c>
      <c r="G498" s="19" t="s">
        <v>27261</v>
      </c>
      <c r="H498" s="19" t="s">
        <v>27262</v>
      </c>
      <c r="I498" s="19" t="s">
        <v>27263</v>
      </c>
      <c r="J498" s="2" t="str">
        <f t="shared" si="2"/>
        <v>(${Variables:E2_7_1_11_kcat} * E2_7_1_11 * C00075 * C00085)/(${Variables:E2_7_1_11_km} + (E2_7_1_11 * C00075 * C00085))</v>
      </c>
      <c r="K498" s="2" t="str">
        <f t="shared" si="3"/>
        <v>r497: C00075 + C00085 -&gt; C00015 + C00354 | (${Variables:E2_7_1_11_kcat} * E2_7_1_11 * C00075 * C00085)/(${Variables:E2_7_1_11_km} + (E2_7_1_11 * C00075 * C00085))</v>
      </c>
    </row>
    <row r="499">
      <c r="A499" s="2" t="s">
        <v>9548</v>
      </c>
      <c r="B499" s="2" t="s">
        <v>9549</v>
      </c>
      <c r="C499" s="2" t="s">
        <v>25128</v>
      </c>
      <c r="D499" s="18">
        <v>498.0</v>
      </c>
      <c r="E499" s="2" t="str">
        <f t="shared" si="1"/>
        <v>E2_7_1_11</v>
      </c>
      <c r="F499" s="19" t="s">
        <v>27264</v>
      </c>
      <c r="G499" s="19" t="s">
        <v>27265</v>
      </c>
      <c r="H499" s="19" t="s">
        <v>27266</v>
      </c>
      <c r="I499" s="19" t="s">
        <v>27267</v>
      </c>
      <c r="J499" s="2" t="str">
        <f t="shared" si="2"/>
        <v>(${Variables:E2_7_1_11_kcat} * E2_7_1_11 * C00081 * C00085)/(${Variables:E2_7_1_11_km} + (E2_7_1_11 * C00081 * C00085))</v>
      </c>
      <c r="K499" s="2" t="str">
        <f t="shared" si="3"/>
        <v>r498: C00081 + C00085 -&gt; C00104 + C00354 | (${Variables:E2_7_1_11_kcat} * E2_7_1_11 * C00081 * C00085)/(${Variables:E2_7_1_11_km} + (E2_7_1_11 * C00081 * C00085))</v>
      </c>
    </row>
    <row r="500">
      <c r="A500" s="2" t="s">
        <v>9548</v>
      </c>
      <c r="B500" s="2" t="s">
        <v>9549</v>
      </c>
      <c r="C500" s="2" t="s">
        <v>25128</v>
      </c>
      <c r="D500" s="18">
        <v>499.0</v>
      </c>
      <c r="E500" s="2" t="str">
        <f t="shared" si="1"/>
        <v>E2_7_1_11</v>
      </c>
      <c r="F500" s="19" t="s">
        <v>27268</v>
      </c>
      <c r="G500" s="19" t="s">
        <v>27269</v>
      </c>
      <c r="H500" s="19" t="s">
        <v>27270</v>
      </c>
      <c r="I500" s="19" t="s">
        <v>27271</v>
      </c>
      <c r="J500" s="2" t="str">
        <f t="shared" si="2"/>
        <v>(${Variables:E2_7_1_11_kcat} * E2_7_1_11 * C00002 * C05382)/(${Variables:E2_7_1_11_km} + (E2_7_1_11 * C00002 * C05382))</v>
      </c>
      <c r="K500" s="2" t="str">
        <f t="shared" si="3"/>
        <v>r499: C00002 + C05382 -&gt; C00008 + C00447 | (${Variables:E2_7_1_11_kcat} * E2_7_1_11 * C00002 * C05382)/(${Variables:E2_7_1_11_km} + (E2_7_1_11 * C00002 * C05382))</v>
      </c>
    </row>
    <row r="501">
      <c r="A501" s="2" t="s">
        <v>9548</v>
      </c>
      <c r="B501" s="2" t="s">
        <v>9549</v>
      </c>
      <c r="C501" s="2" t="s">
        <v>25128</v>
      </c>
      <c r="D501" s="18">
        <v>500.0</v>
      </c>
      <c r="E501" s="2" t="str">
        <f t="shared" si="1"/>
        <v>E2_7_1_11</v>
      </c>
      <c r="F501" s="19" t="s">
        <v>27272</v>
      </c>
      <c r="G501" s="19" t="s">
        <v>27273</v>
      </c>
      <c r="H501" s="19" t="s">
        <v>27274</v>
      </c>
      <c r="I501" s="19" t="s">
        <v>27275</v>
      </c>
      <c r="J501" s="2" t="str">
        <f t="shared" si="2"/>
        <v>(${Variables:E2_7_1_11_kcat} * E2_7_1_11 * C01097 * C00002)/(${Variables:E2_7_1_11_km} + (E2_7_1_11 * C01097 * C00002))</v>
      </c>
      <c r="K501" s="2" t="str">
        <f t="shared" si="3"/>
        <v>r500: C01097 + C00002 -&gt; C03785 + C00008 | (${Variables:E2_7_1_11_kcat} * E2_7_1_11 * C01097 * C00002)/(${Variables:E2_7_1_11_km} + (E2_7_1_11 * C01097 * C00002))</v>
      </c>
    </row>
    <row r="502">
      <c r="A502" s="2" t="s">
        <v>9548</v>
      </c>
      <c r="B502" s="2" t="s">
        <v>9549</v>
      </c>
      <c r="C502" s="2" t="s">
        <v>25128</v>
      </c>
      <c r="D502" s="18">
        <v>501.0</v>
      </c>
      <c r="E502" s="2" t="str">
        <f t="shared" si="1"/>
        <v>E2_7_1_11</v>
      </c>
      <c r="F502" s="19" t="s">
        <v>27276</v>
      </c>
      <c r="G502" s="19" t="s">
        <v>27277</v>
      </c>
      <c r="H502" s="19" t="s">
        <v>27278</v>
      </c>
      <c r="I502" s="19" t="s">
        <v>27279</v>
      </c>
      <c r="J502" s="2" t="str">
        <f t="shared" si="2"/>
        <v>(${Variables:E2_7_1_11_kcat} * E2_7_1_11 * C00063 * C01097)/(${Variables:E2_7_1_11_km} + (E2_7_1_11 * C00063 * C01097))</v>
      </c>
      <c r="K502" s="2" t="str">
        <f t="shared" si="3"/>
        <v>r501: C00063 + C01097 -&gt; C00112 + C03785 | (${Variables:E2_7_1_11_kcat} * E2_7_1_11 * C00063 * C01097)/(${Variables:E2_7_1_11_km} + (E2_7_1_11 * C00063 * C01097))</v>
      </c>
    </row>
    <row r="503">
      <c r="A503" s="2" t="s">
        <v>9548</v>
      </c>
      <c r="B503" s="2" t="s">
        <v>9549</v>
      </c>
      <c r="C503" s="2" t="s">
        <v>25128</v>
      </c>
      <c r="D503" s="18">
        <v>502.0</v>
      </c>
      <c r="E503" s="2" t="str">
        <f t="shared" si="1"/>
        <v>E2_7_1_11</v>
      </c>
      <c r="F503" s="19" t="s">
        <v>27280</v>
      </c>
      <c r="G503" s="19" t="s">
        <v>27281</v>
      </c>
      <c r="H503" s="19" t="s">
        <v>27282</v>
      </c>
      <c r="I503" s="19" t="s">
        <v>27283</v>
      </c>
      <c r="J503" s="2" t="str">
        <f t="shared" si="2"/>
        <v>(${Variables:E2_7_1_11_kcat} * E2_7_1_11 * C00075 * C01097)/(${Variables:E2_7_1_11_km} + (E2_7_1_11 * C00075 * C01097))</v>
      </c>
      <c r="K503" s="2" t="str">
        <f t="shared" si="3"/>
        <v>r502: C00075 + C01097 -&gt; C00015 + C03785 | (${Variables:E2_7_1_11_kcat} * E2_7_1_11 * C00075 * C01097)/(${Variables:E2_7_1_11_km} + (E2_7_1_11 * C00075 * C01097))</v>
      </c>
    </row>
    <row r="504">
      <c r="A504" s="2" t="s">
        <v>9548</v>
      </c>
      <c r="B504" s="2" t="s">
        <v>9549</v>
      </c>
      <c r="C504" s="2" t="s">
        <v>25128</v>
      </c>
      <c r="D504" s="18">
        <v>503.0</v>
      </c>
      <c r="E504" s="2" t="str">
        <f t="shared" si="1"/>
        <v>E2_7_1_11</v>
      </c>
      <c r="F504" s="19" t="s">
        <v>27284</v>
      </c>
      <c r="G504" s="19" t="s">
        <v>27285</v>
      </c>
      <c r="H504" s="19" t="s">
        <v>27286</v>
      </c>
      <c r="I504" s="19" t="s">
        <v>27287</v>
      </c>
      <c r="J504" s="2" t="str">
        <f t="shared" si="2"/>
        <v>(${Variables:E2_7_1_11_kcat} * E2_7_1_11 * C00081 * C01097)/(${Variables:E2_7_1_11_km} + (E2_7_1_11 * C00081 * C01097))</v>
      </c>
      <c r="K504" s="2" t="str">
        <f t="shared" si="3"/>
        <v>r503: C00081 + C01097 -&gt; C00104 + C03785 | (${Variables:E2_7_1_11_kcat} * E2_7_1_11 * C00081 * C01097)/(${Variables:E2_7_1_11_km} + (E2_7_1_11 * C00081 * C01097))</v>
      </c>
    </row>
    <row r="505">
      <c r="A505" s="2" t="s">
        <v>9548</v>
      </c>
      <c r="B505" s="2" t="s">
        <v>9549</v>
      </c>
      <c r="C505" s="2" t="s">
        <v>25128</v>
      </c>
      <c r="D505" s="18">
        <v>504.0</v>
      </c>
      <c r="E505" s="2" t="str">
        <f t="shared" si="1"/>
        <v>E2_7_1_11</v>
      </c>
      <c r="F505" s="19" t="s">
        <v>27288</v>
      </c>
      <c r="G505" s="19" t="s">
        <v>27289</v>
      </c>
      <c r="H505" s="19" t="s">
        <v>27290</v>
      </c>
      <c r="I505" s="19" t="s">
        <v>27291</v>
      </c>
      <c r="J505" s="2" t="str">
        <f t="shared" si="2"/>
        <v>(${Variables:E2_7_1_11_kcat} * E2_7_1_11 * C00002 * C05345)/(${Variables:E2_7_1_11_km} + (E2_7_1_11 * C00002 * C05345))</v>
      </c>
      <c r="K505" s="2" t="str">
        <f t="shared" si="3"/>
        <v>r504: C00002 + C05345 -&gt; C00008 + C05378 | (${Variables:E2_7_1_11_kcat} * E2_7_1_11 * C00002 * C05345)/(${Variables:E2_7_1_11_km} + (E2_7_1_11 * C00002 * C05345))</v>
      </c>
    </row>
    <row r="506">
      <c r="A506" s="2" t="s">
        <v>4578</v>
      </c>
      <c r="B506" s="2" t="s">
        <v>4579</v>
      </c>
      <c r="C506" s="2" t="s">
        <v>25130</v>
      </c>
      <c r="D506" s="18">
        <v>505.0</v>
      </c>
      <c r="E506" s="2" t="str">
        <f t="shared" si="1"/>
        <v>E2_7_1_121</v>
      </c>
      <c r="F506" s="19" t="s">
        <v>27292</v>
      </c>
      <c r="G506" s="19" t="s">
        <v>27293</v>
      </c>
      <c r="H506" s="19" t="s">
        <v>27294</v>
      </c>
      <c r="I506" s="19" t="s">
        <v>27295</v>
      </c>
      <c r="J506" s="2" t="str">
        <f t="shared" si="2"/>
        <v>(${Variables:E2_7_1_121_kcat} * E2_7_1_121 * C00074 * C00184)/(${Variables:E2_7_1_121_km} + (E2_7_1_121 * C00074 * C00184))</v>
      </c>
      <c r="K506" s="2" t="str">
        <f t="shared" si="3"/>
        <v>r505: C00074 + C00184 -&gt; C00022 + C00111 | (${Variables:E2_7_1_121_kcat} * E2_7_1_121 * C00074 * C00184)/(${Variables:E2_7_1_121_km} + (E2_7_1_121 * C00074 * C00184))</v>
      </c>
    </row>
    <row r="507">
      <c r="A507" s="2" t="s">
        <v>7050</v>
      </c>
      <c r="B507" s="2" t="s">
        <v>7051</v>
      </c>
      <c r="C507" s="2" t="s">
        <v>25131</v>
      </c>
      <c r="D507" s="18">
        <v>506.0</v>
      </c>
      <c r="E507" s="2" t="str">
        <f t="shared" si="1"/>
        <v>E2_7_1_148</v>
      </c>
      <c r="F507" s="19" t="s">
        <v>27296</v>
      </c>
      <c r="G507" s="19" t="s">
        <v>27297</v>
      </c>
      <c r="H507" s="19" t="s">
        <v>27298</v>
      </c>
      <c r="I507" s="19" t="s">
        <v>27299</v>
      </c>
      <c r="J507" s="2" t="str">
        <f t="shared" si="2"/>
        <v>(${Variables:E2_7_1_148_kcat} * E2_7_1_148 * C11435 * C00002)/(${Variables:E2_7_1_148_km} + (E2_7_1_148 * C11435 * C00002))</v>
      </c>
      <c r="K507" s="2" t="str">
        <f t="shared" si="3"/>
        <v>r506: C11435 + C00002 -&gt; C11436 + C00008 | (${Variables:E2_7_1_148_kcat} * E2_7_1_148 * C11435 * C00002)/(${Variables:E2_7_1_148_km} + (E2_7_1_148 * C11435 * C00002))</v>
      </c>
    </row>
    <row r="508">
      <c r="A508" s="2" t="s">
        <v>5438</v>
      </c>
      <c r="B508" s="2" t="s">
        <v>5439</v>
      </c>
      <c r="C508" s="2" t="s">
        <v>25132</v>
      </c>
      <c r="D508" s="18">
        <v>507.0</v>
      </c>
      <c r="E508" s="2" t="str">
        <f t="shared" si="1"/>
        <v>E2_7_1_15</v>
      </c>
      <c r="F508" s="19" t="s">
        <v>27300</v>
      </c>
      <c r="G508" s="19" t="s">
        <v>27301</v>
      </c>
      <c r="H508" s="19" t="s">
        <v>27302</v>
      </c>
      <c r="I508" s="19" t="s">
        <v>27303</v>
      </c>
      <c r="J508" s="2" t="str">
        <f t="shared" si="2"/>
        <v>(${Variables:E2_7_1_15_kcat} * E2_7_1_15 * C00002 * C00121)/(${Variables:E2_7_1_15_km} + (E2_7_1_15 * C00002 * C00121))</v>
      </c>
      <c r="K508" s="2" t="str">
        <f t="shared" si="3"/>
        <v>r507: C00002 + C00121 -&gt; C00008 + C00117 | (${Variables:E2_7_1_15_kcat} * E2_7_1_15 * C00002 * C00121)/(${Variables:E2_7_1_15_km} + (E2_7_1_15 * C00002 * C00121))</v>
      </c>
    </row>
    <row r="509">
      <c r="A509" s="2" t="s">
        <v>5438</v>
      </c>
      <c r="B509" s="2" t="s">
        <v>5439</v>
      </c>
      <c r="C509" s="2" t="s">
        <v>25132</v>
      </c>
      <c r="D509" s="18">
        <v>508.0</v>
      </c>
      <c r="E509" s="2" t="str">
        <f t="shared" si="1"/>
        <v>E2_7_1_15</v>
      </c>
      <c r="F509" s="19" t="s">
        <v>27304</v>
      </c>
      <c r="G509" s="19" t="s">
        <v>27305</v>
      </c>
      <c r="H509" s="19" t="s">
        <v>27306</v>
      </c>
      <c r="I509" s="19" t="s">
        <v>27307</v>
      </c>
      <c r="J509" s="2" t="str">
        <f t="shared" si="2"/>
        <v>(${Variables:E2_7_1_15_kcat} * E2_7_1_15 * C00673 * C00008)/(${Variables:E2_7_1_15_km} + (E2_7_1_15 * C00673 * C00008))</v>
      </c>
      <c r="K509" s="2" t="str">
        <f t="shared" si="3"/>
        <v>r508: C00673 + C00008 -&gt; C01801 + C00002 | (${Variables:E2_7_1_15_kcat} * E2_7_1_15 * C00673 * C00008)/(${Variables:E2_7_1_15_km} + (E2_7_1_15 * C00673 * C00008))</v>
      </c>
    </row>
    <row r="510">
      <c r="A510" s="2" t="s">
        <v>634</v>
      </c>
      <c r="B510" s="2" t="s">
        <v>635</v>
      </c>
      <c r="C510" s="2" t="s">
        <v>25133</v>
      </c>
      <c r="D510" s="18">
        <v>509.0</v>
      </c>
      <c r="E510" s="2" t="str">
        <f t="shared" si="1"/>
        <v>E2_7_1_170</v>
      </c>
      <c r="F510" s="19" t="s">
        <v>27308</v>
      </c>
      <c r="G510" s="19" t="s">
        <v>27309</v>
      </c>
      <c r="H510" s="19" t="s">
        <v>27310</v>
      </c>
      <c r="I510" s="19" t="s">
        <v>27311</v>
      </c>
      <c r="J510" s="2" t="str">
        <f t="shared" si="2"/>
        <v>(${Variables:E2_7_1_170_kcat} * E2_7_1_170 * C00002 * C19769 * C00001)/(${Variables:E2_7_1_170_km} + (E2_7_1_170 * C00002 * C19769 * C00001))</v>
      </c>
      <c r="K510" s="2" t="str">
        <f t="shared" si="3"/>
        <v>r509: C00002 + C19769 + C00001 -&gt; C00008 + C19770 | (${Variables:E2_7_1_170_kcat} * E2_7_1_170 * C00002 * C19769 * C00001)/(${Variables:E2_7_1_170_km} + (E2_7_1_170 * C00002 * C19769 * C00001))</v>
      </c>
    </row>
    <row r="511">
      <c r="A511" s="2" t="s">
        <v>634</v>
      </c>
      <c r="B511" s="2" t="s">
        <v>635</v>
      </c>
      <c r="C511" s="2" t="s">
        <v>25133</v>
      </c>
      <c r="D511" s="18">
        <v>510.0</v>
      </c>
      <c r="E511" s="2" t="str">
        <f t="shared" si="1"/>
        <v>E2_7_1_170</v>
      </c>
      <c r="F511" s="19" t="s">
        <v>27308</v>
      </c>
      <c r="G511" s="19" t="s">
        <v>27309</v>
      </c>
      <c r="H511" s="19" t="s">
        <v>27312</v>
      </c>
      <c r="I511" s="19" t="s">
        <v>27313</v>
      </c>
      <c r="J511" s="2" t="str">
        <f t="shared" si="2"/>
        <v>(${Variables:E2_7_1_170_kcat} * E2_7_1_170 * C00002 * C19769 * C00001)/(${Variables:E2_7_1_170_km} + (E2_7_1_170 * C00002 * C19769 * C00001))</v>
      </c>
      <c r="K511" s="2" t="str">
        <f t="shared" si="3"/>
        <v>r510: C00002 + C19769 + C00001 -&gt; C00008 + C16698 | (${Variables:E2_7_1_170_kcat} * E2_7_1_170 * C00002 * C19769 * C00001)/(${Variables:E2_7_1_170_km} + (E2_7_1_170 * C00002 * C19769 * C00001))</v>
      </c>
    </row>
    <row r="512">
      <c r="A512" s="2" t="s">
        <v>14011</v>
      </c>
      <c r="B512" s="2" t="s">
        <v>14012</v>
      </c>
      <c r="C512" s="2" t="s">
        <v>25134</v>
      </c>
      <c r="D512" s="18">
        <v>511.0</v>
      </c>
      <c r="E512" s="2" t="str">
        <f t="shared" si="1"/>
        <v>E2_7_1_189</v>
      </c>
      <c r="F512" s="19" t="s">
        <v>27314</v>
      </c>
      <c r="G512" s="19" t="s">
        <v>27315</v>
      </c>
      <c r="H512" s="19" t="s">
        <v>27316</v>
      </c>
      <c r="I512" s="19" t="s">
        <v>27317</v>
      </c>
      <c r="J512" s="2" t="str">
        <f t="shared" si="2"/>
        <v>(${Variables:E2_7_1_189_kcat} * E2_7_1_189 * C00002 * C11838)/(${Variables:E2_7_1_189_km} + (E2_7_1_189 * C00002 * C11838))</v>
      </c>
      <c r="K512" s="2" t="str">
        <f t="shared" si="3"/>
        <v>r511: C00002 + C11838 -&gt; C00008 + C20959 | (${Variables:E2_7_1_189_kcat} * E2_7_1_189 * C00002 * C11838)/(${Variables:E2_7_1_189_km} + (E2_7_1_189 * C00002 * C11838))</v>
      </c>
    </row>
    <row r="513">
      <c r="A513" s="2" t="s">
        <v>5867</v>
      </c>
      <c r="B513" s="2" t="s">
        <v>5868</v>
      </c>
      <c r="C513" s="2" t="s">
        <v>25135</v>
      </c>
      <c r="D513" s="18">
        <v>512.0</v>
      </c>
      <c r="E513" s="2" t="str">
        <f t="shared" si="1"/>
        <v>E2_7_1_193</v>
      </c>
      <c r="F513" s="19" t="s">
        <v>27318</v>
      </c>
      <c r="G513" s="19" t="s">
        <v>27319</v>
      </c>
      <c r="H513" s="19" t="s">
        <v>27320</v>
      </c>
      <c r="I513" s="19" t="s">
        <v>27321</v>
      </c>
      <c r="J513" s="2" t="str">
        <f t="shared" si="2"/>
        <v>(${Variables:E2_7_1_193_kcat} * E2_7_1_193 * C04261 * C00140)/(${Variables:E2_7_1_193_km} + (E2_7_1_193 * C04261 * C00140))</v>
      </c>
      <c r="K513" s="2" t="str">
        <f t="shared" si="3"/>
        <v>r512: C04261 + C00140 -&gt; C00615 + C00357 | (${Variables:E2_7_1_193_kcat} * E2_7_1_193 * C04261 * C00140)/(${Variables:E2_7_1_193_km} + (E2_7_1_193 * C04261 * C00140))</v>
      </c>
    </row>
    <row r="514">
      <c r="A514" s="2" t="s">
        <v>11199</v>
      </c>
      <c r="B514" s="2" t="s">
        <v>11200</v>
      </c>
      <c r="C514" s="2" t="s">
        <v>25136</v>
      </c>
      <c r="D514" s="18">
        <v>513.0</v>
      </c>
      <c r="E514" s="2" t="str">
        <f t="shared" si="1"/>
        <v>E2_7_1_199</v>
      </c>
      <c r="F514" s="19" t="s">
        <v>27322</v>
      </c>
      <c r="G514" s="19" t="s">
        <v>27323</v>
      </c>
      <c r="H514" s="19" t="s">
        <v>27324</v>
      </c>
      <c r="I514" s="19" t="s">
        <v>27325</v>
      </c>
      <c r="J514" s="2" t="str">
        <f t="shared" si="2"/>
        <v>(${Variables:E2_7_1_199_kcat} * E2_7_1_199 * C04261 * C00031)/(${Variables:E2_7_1_199_km} + (E2_7_1_199 * C04261 * C00031))</v>
      </c>
      <c r="K514" s="2" t="str">
        <f t="shared" si="3"/>
        <v>r513: C04261 + C00031 -&gt; C00615 + C00668 | (${Variables:E2_7_1_199_kcat} * E2_7_1_199 * C04261 * C00031)/(${Variables:E2_7_1_199_km} + (E2_7_1_199 * C04261 * C00031))</v>
      </c>
    </row>
    <row r="515">
      <c r="A515" s="2" t="s">
        <v>10563</v>
      </c>
      <c r="B515" s="2" t="s">
        <v>10564</v>
      </c>
      <c r="C515" s="2" t="s">
        <v>25137</v>
      </c>
      <c r="D515" s="18">
        <v>514.0</v>
      </c>
      <c r="E515" s="2" t="str">
        <f t="shared" si="1"/>
        <v>E2_7_1_2</v>
      </c>
      <c r="F515" s="19" t="s">
        <v>27326</v>
      </c>
      <c r="G515" s="19" t="s">
        <v>27327</v>
      </c>
      <c r="H515" s="19" t="s">
        <v>27328</v>
      </c>
      <c r="I515" s="19" t="s">
        <v>27329</v>
      </c>
      <c r="J515" s="2" t="str">
        <f t="shared" si="2"/>
        <v>(${Variables:E2_7_1_2_kcat} * E2_7_1_2 * C00002 * C00031)/(${Variables:E2_7_1_2_km} + (E2_7_1_2 * C00002 * C00031))</v>
      </c>
      <c r="K515" s="2" t="str">
        <f t="shared" si="3"/>
        <v>r514: C00002 + C00031 -&gt; C00008 + C00092 | (${Variables:E2_7_1_2_kcat} * E2_7_1_2 * C00002 * C00031)/(${Variables:E2_7_1_2_km} + (E2_7_1_2 * C00002 * C00031))</v>
      </c>
    </row>
    <row r="516">
      <c r="A516" s="2" t="s">
        <v>10563</v>
      </c>
      <c r="B516" s="2" t="s">
        <v>10564</v>
      </c>
      <c r="C516" s="2" t="s">
        <v>25137</v>
      </c>
      <c r="D516" s="18">
        <v>515.0</v>
      </c>
      <c r="E516" s="2" t="str">
        <f t="shared" si="1"/>
        <v>E2_7_1_2</v>
      </c>
      <c r="F516" s="19" t="s">
        <v>27330</v>
      </c>
      <c r="G516" s="19" t="s">
        <v>27331</v>
      </c>
      <c r="H516" s="19" t="s">
        <v>27332</v>
      </c>
      <c r="I516" s="19" t="s">
        <v>27333</v>
      </c>
      <c r="J516" s="2" t="str">
        <f t="shared" si="2"/>
        <v>(${Variables:E2_7_1_2_kcat} * E2_7_1_2 * C00002 * C00221)/(${Variables:E2_7_1_2_km} + (E2_7_1_2 * C00002 * C00221))</v>
      </c>
      <c r="K516" s="2" t="str">
        <f t="shared" si="3"/>
        <v>r515: C00002 + C00221 -&gt; C00008 + C01172 | (${Variables:E2_7_1_2_kcat} * E2_7_1_2 * C00002 * C00221)/(${Variables:E2_7_1_2_km} + (E2_7_1_2 * C00002 * C00221))</v>
      </c>
    </row>
    <row r="517">
      <c r="A517" s="2" t="s">
        <v>10563</v>
      </c>
      <c r="B517" s="2" t="s">
        <v>10564</v>
      </c>
      <c r="C517" s="2" t="s">
        <v>25137</v>
      </c>
      <c r="D517" s="18">
        <v>516.0</v>
      </c>
      <c r="E517" s="2" t="str">
        <f t="shared" si="1"/>
        <v>E2_7_1_2</v>
      </c>
      <c r="F517" s="19" t="s">
        <v>27334</v>
      </c>
      <c r="G517" s="19" t="s">
        <v>27335</v>
      </c>
      <c r="H517" s="19" t="s">
        <v>27336</v>
      </c>
      <c r="I517" s="19" t="s">
        <v>27337</v>
      </c>
      <c r="J517" s="2" t="str">
        <f t="shared" si="2"/>
        <v>(${Variables:E2_7_1_2_kcat} * E2_7_1_2 * C00002 * C00267)/(${Variables:E2_7_1_2_km} + (E2_7_1_2 * C00002 * C00267))</v>
      </c>
      <c r="K517" s="2" t="str">
        <f t="shared" si="3"/>
        <v>r516: C00002 + C00267 -&gt; C00008 + C00668 | (${Variables:E2_7_1_2_kcat} * E2_7_1_2 * C00002 * C00267)/(${Variables:E2_7_1_2_km} + (E2_7_1_2 * C00002 * C00267))</v>
      </c>
    </row>
    <row r="518">
      <c r="A518" s="2" t="s">
        <v>5517</v>
      </c>
      <c r="B518" s="2" t="s">
        <v>5518</v>
      </c>
      <c r="C518" s="2" t="s">
        <v>25138</v>
      </c>
      <c r="D518" s="18">
        <v>517.0</v>
      </c>
      <c r="E518" s="2" t="str">
        <f t="shared" si="1"/>
        <v>E2_7_1_201</v>
      </c>
      <c r="F518" s="19" t="s">
        <v>27338</v>
      </c>
      <c r="G518" s="19" t="s">
        <v>27339</v>
      </c>
      <c r="H518" s="19" t="s">
        <v>27340</v>
      </c>
      <c r="I518" s="19" t="s">
        <v>27341</v>
      </c>
      <c r="J518" s="2" t="str">
        <f t="shared" si="2"/>
        <v>(${Variables:E2_7_1_201_kcat} * E2_7_1_201 * C01083 * C04261)/(${Variables:E2_7_1_201_km} + (E2_7_1_201 * C01083 * C04261))</v>
      </c>
      <c r="K518" s="2" t="str">
        <f t="shared" si="3"/>
        <v>r517: C01083 + C04261 -&gt; C00689 + C00615 | (${Variables:E2_7_1_201_kcat} * E2_7_1_201 * C01083 * C04261)/(${Variables:E2_7_1_201_km} + (E2_7_1_201 * C01083 * C04261))</v>
      </c>
    </row>
    <row r="519">
      <c r="A519" s="2" t="s">
        <v>5517</v>
      </c>
      <c r="B519" s="2" t="s">
        <v>5518</v>
      </c>
      <c r="C519" s="2" t="s">
        <v>25138</v>
      </c>
      <c r="D519" s="18">
        <v>518.0</v>
      </c>
      <c r="E519" s="2" t="str">
        <f t="shared" si="1"/>
        <v>E2_7_1_201</v>
      </c>
      <c r="F519" s="19" t="s">
        <v>27342</v>
      </c>
      <c r="G519" s="19" t="s">
        <v>27343</v>
      </c>
      <c r="H519" s="19" t="s">
        <v>27344</v>
      </c>
      <c r="I519" s="19" t="s">
        <v>27345</v>
      </c>
      <c r="J519" s="2" t="str">
        <f t="shared" si="2"/>
        <v>(${Variables:E2_7_1_201_kcat} * E2_7_1_201 * G00293 * C04261)/(${Variables:E2_7_1_201_km} + (E2_7_1_201 * G00293 * C04261))</v>
      </c>
      <c r="K519" s="2" t="str">
        <f t="shared" si="3"/>
        <v>r518: G00293 + C04261 -&gt; G09795 + C00615 | (${Variables:E2_7_1_201_kcat} * E2_7_1_201 * G00293 * C04261)/(${Variables:E2_7_1_201_km} + (E2_7_1_201 * G00293 * C04261))</v>
      </c>
    </row>
    <row r="520">
      <c r="A520" s="2" t="s">
        <v>7974</v>
      </c>
      <c r="B520" s="2" t="s">
        <v>7975</v>
      </c>
      <c r="C520" s="2" t="s">
        <v>25139</v>
      </c>
      <c r="D520" s="18">
        <v>519.0</v>
      </c>
      <c r="E520" s="2" t="str">
        <f t="shared" si="1"/>
        <v>E2_7_1_205</v>
      </c>
      <c r="F520" s="19" t="s">
        <v>27346</v>
      </c>
      <c r="G520" s="19" t="s">
        <v>27347</v>
      </c>
      <c r="H520" s="19" t="s">
        <v>27348</v>
      </c>
      <c r="I520" s="19" t="s">
        <v>27349</v>
      </c>
      <c r="J520" s="2" t="str">
        <f t="shared" si="2"/>
        <v>(${Variables:E2_7_1_205_kcat} * E2_7_1_205 * C04261 * C00185)/(${Variables:E2_7_1_205_km} + (E2_7_1_205 * C04261 * C00185))</v>
      </c>
      <c r="K520" s="2" t="str">
        <f t="shared" si="3"/>
        <v>r519: C04261 + C00185 -&gt; C00615 + C04534 | (${Variables:E2_7_1_205_kcat} * E2_7_1_205 * C04261 * C00185)/(${Variables:E2_7_1_205_km} + (E2_7_1_205 * C04261 * C00185))</v>
      </c>
    </row>
    <row r="521">
      <c r="A521" s="2" t="s">
        <v>7644</v>
      </c>
      <c r="B521" s="2" t="s">
        <v>7645</v>
      </c>
      <c r="C521" s="2" t="s">
        <v>25140</v>
      </c>
      <c r="D521" s="18">
        <v>520.0</v>
      </c>
      <c r="E521" s="2" t="str">
        <f t="shared" si="1"/>
        <v>E2_7_1_21</v>
      </c>
      <c r="F521" s="19" t="s">
        <v>27350</v>
      </c>
      <c r="G521" s="19" t="s">
        <v>27351</v>
      </c>
      <c r="H521" s="19" t="s">
        <v>27352</v>
      </c>
      <c r="I521" s="19" t="s">
        <v>27353</v>
      </c>
      <c r="J521" s="2" t="str">
        <f t="shared" si="2"/>
        <v>(${Variables:E2_7_1_21_kcat} * E2_7_1_21 * C00002 * C00214)/(${Variables:E2_7_1_21_km} + (E2_7_1_21 * C00002 * C00214))</v>
      </c>
      <c r="K521" s="2" t="str">
        <f t="shared" si="3"/>
        <v>r520: C00002 + C00214 -&gt; C00008 + C00364 | (${Variables:E2_7_1_21_kcat} * E2_7_1_21 * C00002 * C00214)/(${Variables:E2_7_1_21_km} + (E2_7_1_21 * C00002 * C00214))</v>
      </c>
    </row>
    <row r="522">
      <c r="A522" s="2" t="s">
        <v>7644</v>
      </c>
      <c r="B522" s="2" t="s">
        <v>7645</v>
      </c>
      <c r="C522" s="2" t="s">
        <v>25140</v>
      </c>
      <c r="D522" s="18">
        <v>521.0</v>
      </c>
      <c r="E522" s="2" t="str">
        <f t="shared" si="1"/>
        <v>E2_7_1_21</v>
      </c>
      <c r="F522" s="19" t="s">
        <v>27354</v>
      </c>
      <c r="G522" s="19" t="s">
        <v>27355</v>
      </c>
      <c r="H522" s="19" t="s">
        <v>27356</v>
      </c>
      <c r="I522" s="19" t="s">
        <v>27357</v>
      </c>
      <c r="J522" s="2" t="str">
        <f t="shared" si="2"/>
        <v>(${Variables:E2_7_1_21_kcat} * E2_7_1_21 * C00002 * C00526)/(${Variables:E2_7_1_21_km} + (E2_7_1_21 * C00002 * C00526))</v>
      </c>
      <c r="K522" s="2" t="str">
        <f t="shared" si="3"/>
        <v>r521: C00002 + C00526 -&gt; C00008 + C00365 | (${Variables:E2_7_1_21_kcat} * E2_7_1_21 * C00002 * C00526)/(${Variables:E2_7_1_21_km} + (E2_7_1_21 * C00002 * C00526))</v>
      </c>
    </row>
    <row r="523">
      <c r="A523" s="2" t="s">
        <v>7644</v>
      </c>
      <c r="B523" s="2" t="s">
        <v>7645</v>
      </c>
      <c r="C523" s="2" t="s">
        <v>25140</v>
      </c>
      <c r="D523" s="18">
        <v>522.0</v>
      </c>
      <c r="E523" s="2" t="str">
        <f t="shared" si="1"/>
        <v>E2_7_1_21</v>
      </c>
      <c r="F523" s="19" t="s">
        <v>27358</v>
      </c>
      <c r="G523" s="19" t="s">
        <v>27359</v>
      </c>
      <c r="H523" s="19" t="s">
        <v>27360</v>
      </c>
      <c r="I523" s="19" t="s">
        <v>27361</v>
      </c>
      <c r="J523" s="2" t="str">
        <f t="shared" si="2"/>
        <v>(${Variables:E2_7_1_21_kcat} * E2_7_1_21 * C11736 * C00002)/(${Variables:E2_7_1_21_km} + (E2_7_1_21 * C11736 * C00002))</v>
      </c>
      <c r="K523" s="2" t="str">
        <f t="shared" si="3"/>
        <v>r522: C11736 + C00002 -&gt; C04242 + C00008 | (${Variables:E2_7_1_21_kcat} * E2_7_1_21 * C11736 * C00002)/(${Variables:E2_7_1_21_km} + (E2_7_1_21 * C11736 * C00002))</v>
      </c>
    </row>
    <row r="524">
      <c r="A524" s="2" t="s">
        <v>5110</v>
      </c>
      <c r="B524" s="2" t="s">
        <v>5111</v>
      </c>
      <c r="C524" s="2" t="s">
        <v>25141</v>
      </c>
      <c r="D524" s="18">
        <v>523.0</v>
      </c>
      <c r="E524" s="2" t="str">
        <f t="shared" si="1"/>
        <v>E2_7_1_211</v>
      </c>
      <c r="F524" s="19" t="s">
        <v>27362</v>
      </c>
      <c r="G524" s="19" t="s">
        <v>27363</v>
      </c>
      <c r="H524" s="19" t="s">
        <v>27364</v>
      </c>
      <c r="I524" s="19" t="s">
        <v>27365</v>
      </c>
      <c r="J524" s="2" t="str">
        <f t="shared" si="2"/>
        <v>(${Variables:E2_7_1_211_kcat} * E2_7_1_211 * C00089 * C04261)/(${Variables:E2_7_1_211_km} + (E2_7_1_211 * C00089 * C04261))</v>
      </c>
      <c r="K524" s="2" t="str">
        <f t="shared" si="3"/>
        <v>r523: C00089 + C04261 -&gt; C16688 + C00615 | (${Variables:E2_7_1_211_kcat} * E2_7_1_211 * C00089 * C04261)/(${Variables:E2_7_1_211_km} + (E2_7_1_211 * C00089 * C04261))</v>
      </c>
    </row>
    <row r="525">
      <c r="A525" s="2" t="s">
        <v>3983</v>
      </c>
      <c r="B525" s="2" t="s">
        <v>3984</v>
      </c>
      <c r="C525" s="2" t="s">
        <v>25142</v>
      </c>
      <c r="D525" s="18">
        <v>524.0</v>
      </c>
      <c r="E525" s="2" t="str">
        <f t="shared" si="1"/>
        <v>E2_7_1_23</v>
      </c>
      <c r="F525" s="19" t="s">
        <v>27366</v>
      </c>
      <c r="G525" s="19" t="s">
        <v>27367</v>
      </c>
      <c r="H525" s="19" t="s">
        <v>27368</v>
      </c>
      <c r="I525" s="19" t="s">
        <v>27369</v>
      </c>
      <c r="J525" s="2" t="str">
        <f t="shared" si="2"/>
        <v>(${Variables:E2_7_1_23_kcat} * E2_7_1_23 * C00002 * C00003)/(${Variables:E2_7_1_23_km} + (E2_7_1_23 * C00002 * C00003))</v>
      </c>
      <c r="K525" s="2" t="str">
        <f t="shared" si="3"/>
        <v>r524: C00002 + C00003 -&gt; C00008 + C00006 | (${Variables:E2_7_1_23_kcat} * E2_7_1_23 * C00002 * C00003)/(${Variables:E2_7_1_23_km} + (E2_7_1_23 * C00002 * C00003))</v>
      </c>
    </row>
    <row r="526">
      <c r="A526" s="2" t="s">
        <v>9605</v>
      </c>
      <c r="B526" s="2" t="s">
        <v>9606</v>
      </c>
      <c r="C526" s="2" t="s">
        <v>25143</v>
      </c>
      <c r="D526" s="18">
        <v>525.0</v>
      </c>
      <c r="E526" s="2" t="str">
        <f t="shared" si="1"/>
        <v>E2_7_1_24</v>
      </c>
      <c r="F526" s="19" t="s">
        <v>27370</v>
      </c>
      <c r="G526" s="19" t="s">
        <v>27371</v>
      </c>
      <c r="H526" s="19" t="s">
        <v>27372</v>
      </c>
      <c r="I526" s="19" t="s">
        <v>27373</v>
      </c>
      <c r="J526" s="2" t="str">
        <f t="shared" si="2"/>
        <v>(${Variables:E2_7_1_24_kcat} * E2_7_1_24 * C00002 * C00882)/(${Variables:E2_7_1_24_km} + (E2_7_1_24 * C00002 * C00882))</v>
      </c>
      <c r="K526" s="2" t="str">
        <f t="shared" si="3"/>
        <v>r525: C00002 + C00882 -&gt; C00008 + C00010 | (${Variables:E2_7_1_24_kcat} * E2_7_1_24 * C00002 * C00882)/(${Variables:E2_7_1_24_km} + (E2_7_1_24 * C00002 * C00882))</v>
      </c>
    </row>
    <row r="527">
      <c r="A527" s="2" t="s">
        <v>3350</v>
      </c>
      <c r="B527" s="2" t="s">
        <v>3351</v>
      </c>
      <c r="C527" s="2" t="s">
        <v>25144</v>
      </c>
      <c r="D527" s="18">
        <v>526.0</v>
      </c>
      <c r="E527" s="2" t="str">
        <f t="shared" si="1"/>
        <v>E2_7_1_25</v>
      </c>
      <c r="F527" s="19" t="s">
        <v>27374</v>
      </c>
      <c r="G527" s="19" t="s">
        <v>27375</v>
      </c>
      <c r="H527" s="19" t="s">
        <v>27376</v>
      </c>
      <c r="I527" s="19" t="s">
        <v>27377</v>
      </c>
      <c r="J527" s="2" t="str">
        <f t="shared" si="2"/>
        <v>(${Variables:E2_7_1_25_kcat} * E2_7_1_25 * C00002 * C00224)/(${Variables:E2_7_1_25_km} + (E2_7_1_25 * C00002 * C00224))</v>
      </c>
      <c r="K527" s="2" t="str">
        <f t="shared" si="3"/>
        <v>r526: C00002 + C00224 -&gt; C00008 + C00053 | (${Variables:E2_7_1_25_kcat} * E2_7_1_25 * C00002 * C00224)/(${Variables:E2_7_1_25_km} + (E2_7_1_25 * C00002 * C00224))</v>
      </c>
    </row>
    <row r="528">
      <c r="A528" s="2" t="s">
        <v>3350</v>
      </c>
      <c r="B528" s="2" t="s">
        <v>3351</v>
      </c>
      <c r="C528" s="2" t="s">
        <v>25144</v>
      </c>
      <c r="D528" s="18">
        <v>527.0</v>
      </c>
      <c r="E528" s="2" t="str">
        <f t="shared" si="1"/>
        <v>E2_7_1_25</v>
      </c>
      <c r="F528" s="19" t="s">
        <v>27378</v>
      </c>
      <c r="G528" s="19" t="s">
        <v>27379</v>
      </c>
      <c r="H528" s="19" t="s">
        <v>27380</v>
      </c>
      <c r="I528" s="19" t="s">
        <v>27381</v>
      </c>
      <c r="J528" s="2" t="str">
        <f t="shared" si="2"/>
        <v>(${Variables:E2_7_1_25_kcat} * E2_7_1_25 * C00002 * C05686)/(${Variables:E2_7_1_25_km} + (E2_7_1_25 * C00002 * C05686))</v>
      </c>
      <c r="K528" s="2" t="str">
        <f t="shared" si="3"/>
        <v>r527: C00002 + C05686 -&gt; C00008 + C05696 | (${Variables:E2_7_1_25_kcat} * E2_7_1_25 * C00002 * C05686)/(${Variables:E2_7_1_25_km} + (E2_7_1_25 * C00002 * C05686))</v>
      </c>
    </row>
    <row r="529">
      <c r="A529" s="2" t="s">
        <v>11982</v>
      </c>
      <c r="B529" s="2" t="s">
        <v>11983</v>
      </c>
      <c r="C529" s="2" t="s">
        <v>25145</v>
      </c>
      <c r="D529" s="18">
        <v>528.0</v>
      </c>
      <c r="E529" s="2" t="str">
        <f t="shared" si="1"/>
        <v>E2_7_1_26</v>
      </c>
      <c r="F529" s="19" t="s">
        <v>27382</v>
      </c>
      <c r="G529" s="19" t="s">
        <v>27383</v>
      </c>
      <c r="H529" s="19" t="s">
        <v>27384</v>
      </c>
      <c r="I529" s="19" t="s">
        <v>27385</v>
      </c>
      <c r="J529" s="2" t="str">
        <f t="shared" si="2"/>
        <v>(${Variables:E2_7_1_26_kcat} * E2_7_1_26 * C00002 * C00255)/(${Variables:E2_7_1_26_km} + (E2_7_1_26 * C00002 * C00255))</v>
      </c>
      <c r="K529" s="2" t="str">
        <f t="shared" si="3"/>
        <v>r528: C00002 + C00255 -&gt; C00008 + C00061 | (${Variables:E2_7_1_26_kcat} * E2_7_1_26 * C00002 * C00255)/(${Variables:E2_7_1_26_km} + (E2_7_1_26 * C00002 * C00255))</v>
      </c>
    </row>
    <row r="530">
      <c r="A530" s="2" t="s">
        <v>4433</v>
      </c>
      <c r="B530" s="2" t="s">
        <v>4434</v>
      </c>
      <c r="C530" s="2" t="s">
        <v>25146</v>
      </c>
      <c r="D530" s="18">
        <v>529.0</v>
      </c>
      <c r="E530" s="2" t="str">
        <f t="shared" si="1"/>
        <v>E2_7_1_30</v>
      </c>
      <c r="F530" s="19" t="s">
        <v>27386</v>
      </c>
      <c r="G530" s="19" t="s">
        <v>27387</v>
      </c>
      <c r="H530" s="19" t="s">
        <v>27388</v>
      </c>
      <c r="I530" s="19" t="s">
        <v>27389</v>
      </c>
      <c r="J530" s="2" t="str">
        <f t="shared" si="2"/>
        <v>(${Variables:E2_7_1_30_kcat} * E2_7_1_30 * C00002 * C00116)/(${Variables:E2_7_1_30_km} + (E2_7_1_30 * C00002 * C00116))</v>
      </c>
      <c r="K530" s="2" t="str">
        <f t="shared" si="3"/>
        <v>r529: C00002 + C00116 -&gt; C00008 + C00093 | (${Variables:E2_7_1_30_kcat} * E2_7_1_30 * C00002 * C00116)/(${Variables:E2_7_1_30_km} + (E2_7_1_30 * C00002 * C00116))</v>
      </c>
    </row>
    <row r="531">
      <c r="A531" s="2" t="s">
        <v>6632</v>
      </c>
      <c r="B531" s="2" t="s">
        <v>6633</v>
      </c>
      <c r="C531" s="2" t="s">
        <v>25147</v>
      </c>
      <c r="D531" s="18">
        <v>530.0</v>
      </c>
      <c r="E531" s="2" t="str">
        <f t="shared" si="1"/>
        <v>E2_7_1_31</v>
      </c>
      <c r="F531" s="19" t="s">
        <v>27390</v>
      </c>
      <c r="G531" s="19" t="s">
        <v>27391</v>
      </c>
      <c r="H531" s="19" t="s">
        <v>27392</v>
      </c>
      <c r="I531" s="19" t="s">
        <v>27393</v>
      </c>
      <c r="J531" s="2" t="str">
        <f t="shared" si="2"/>
        <v>(${Variables:E2_7_1_31_kcat} * E2_7_1_31 * C00002 * C00258)/(${Variables:E2_7_1_31_km} + (E2_7_1_31 * C00002 * C00258))</v>
      </c>
      <c r="K531" s="2" t="str">
        <f t="shared" si="3"/>
        <v>r530: C00002 + C00258 -&gt; C00008 + C00197 | (${Variables:E2_7_1_31_kcat} * E2_7_1_31 * C00002 * C00258)/(${Variables:E2_7_1_31_km} + (E2_7_1_31 * C00002 * C00258))</v>
      </c>
    </row>
    <row r="532">
      <c r="A532" s="2" t="s">
        <v>6973</v>
      </c>
      <c r="B532" s="2" t="s">
        <v>6974</v>
      </c>
      <c r="C532" s="2" t="s">
        <v>25148</v>
      </c>
      <c r="D532" s="18">
        <v>531.0</v>
      </c>
      <c r="E532" s="2" t="str">
        <f t="shared" si="1"/>
        <v>E2_7_1_33</v>
      </c>
      <c r="F532" s="19" t="s">
        <v>27394</v>
      </c>
      <c r="G532" s="19" t="s">
        <v>27395</v>
      </c>
      <c r="H532" s="19" t="s">
        <v>27396</v>
      </c>
      <c r="I532" s="19" t="s">
        <v>27397</v>
      </c>
      <c r="J532" s="2" t="str">
        <f t="shared" si="2"/>
        <v>(${Variables:E2_7_1_33_kcat} * E2_7_1_33 * C00002 * C00831)/(${Variables:E2_7_1_33_km} + (E2_7_1_33 * C00002 * C00831))</v>
      </c>
      <c r="K532" s="2" t="str">
        <f t="shared" si="3"/>
        <v>r531: C00002 + C00831 -&gt; C00008 + C01134 | (${Variables:E2_7_1_33_kcat} * E2_7_1_33 * C00002 * C00831)/(${Variables:E2_7_1_33_km} + (E2_7_1_33 * C00002 * C00831))</v>
      </c>
    </row>
    <row r="533">
      <c r="A533" s="2" t="s">
        <v>6973</v>
      </c>
      <c r="B533" s="2" t="s">
        <v>6974</v>
      </c>
      <c r="C533" s="2" t="s">
        <v>25148</v>
      </c>
      <c r="D533" s="18">
        <v>532.0</v>
      </c>
      <c r="E533" s="2" t="str">
        <f t="shared" si="1"/>
        <v>E2_7_1_33</v>
      </c>
      <c r="F533" s="19" t="s">
        <v>27398</v>
      </c>
      <c r="G533" s="19" t="s">
        <v>27399</v>
      </c>
      <c r="H533" s="19" t="s">
        <v>27400</v>
      </c>
      <c r="I533" s="19" t="s">
        <v>27401</v>
      </c>
      <c r="J533" s="2" t="str">
        <f t="shared" si="2"/>
        <v>(${Variables:E2_7_1_33_kcat} * E2_7_1_33 * C00002 * C00864)/(${Variables:E2_7_1_33_km} + (E2_7_1_33 * C00002 * C00864))</v>
      </c>
      <c r="K533" s="2" t="str">
        <f t="shared" si="3"/>
        <v>r532: C00002 + C00864 -&gt; C00008 + C03492 | (${Variables:E2_7_1_33_kcat} * E2_7_1_33 * C00002 * C00864)/(${Variables:E2_7_1_33_km} + (E2_7_1_33 * C00002 * C00864))</v>
      </c>
    </row>
    <row r="534">
      <c r="A534" s="2" t="s">
        <v>6973</v>
      </c>
      <c r="B534" s="2" t="s">
        <v>6974</v>
      </c>
      <c r="C534" s="2" t="s">
        <v>25148</v>
      </c>
      <c r="D534" s="18">
        <v>533.0</v>
      </c>
      <c r="E534" s="2" t="str">
        <f t="shared" si="1"/>
        <v>E2_7_1_33</v>
      </c>
      <c r="F534" s="19" t="s">
        <v>27402</v>
      </c>
      <c r="G534" s="19" t="s">
        <v>27403</v>
      </c>
      <c r="H534" s="19" t="s">
        <v>27404</v>
      </c>
      <c r="I534" s="19" t="s">
        <v>27405</v>
      </c>
      <c r="J534" s="2" t="str">
        <f t="shared" si="2"/>
        <v>(${Variables:E2_7_1_33_kcat} * E2_7_1_33 * C00002 * C04079)/(${Variables:E2_7_1_33_km} + (E2_7_1_33 * C00002 * C04079))</v>
      </c>
      <c r="K534" s="2" t="str">
        <f t="shared" si="3"/>
        <v>r533: C00002 + C04079 -&gt; C00008 + C04352 | (${Variables:E2_7_1_33_kcat} * E2_7_1_33 * C00002 * C04079)/(${Variables:E2_7_1_33_km} + (E2_7_1_33 * C00002 * C04079))</v>
      </c>
    </row>
    <row r="535">
      <c r="A535" s="2" t="s">
        <v>1806</v>
      </c>
      <c r="B535" s="2" t="s">
        <v>1807</v>
      </c>
      <c r="C535" s="2" t="s">
        <v>25149</v>
      </c>
      <c r="D535" s="18">
        <v>534.0</v>
      </c>
      <c r="E535" s="2" t="str">
        <f t="shared" si="1"/>
        <v>E2_7_1_39</v>
      </c>
      <c r="F535" s="19" t="s">
        <v>27406</v>
      </c>
      <c r="G535" s="19" t="s">
        <v>27407</v>
      </c>
      <c r="H535" s="19" t="s">
        <v>27408</v>
      </c>
      <c r="I535" s="19" t="s">
        <v>27409</v>
      </c>
      <c r="J535" s="2" t="str">
        <f t="shared" si="2"/>
        <v>(${Variables:E2_7_1_39_kcat} * E2_7_1_39 * C00002 * C00263)/(${Variables:E2_7_1_39_km} + (E2_7_1_39 * C00002 * C00263))</v>
      </c>
      <c r="K535" s="2" t="str">
        <f t="shared" si="3"/>
        <v>r534: C00002 + C00263 -&gt; C00008 + C01102 | (${Variables:E2_7_1_39_kcat} * E2_7_1_39 * C00002 * C00263)/(${Variables:E2_7_1_39_km} + (E2_7_1_39 * C00002 * C00263))</v>
      </c>
    </row>
    <row r="536">
      <c r="A536" s="2" t="s">
        <v>9552</v>
      </c>
      <c r="B536" s="2" t="s">
        <v>9553</v>
      </c>
      <c r="C536" s="2" t="s">
        <v>25150</v>
      </c>
      <c r="D536" s="18">
        <v>535.0</v>
      </c>
      <c r="E536" s="2" t="str">
        <f t="shared" si="1"/>
        <v>E2_7_1_40</v>
      </c>
      <c r="F536" s="19" t="s">
        <v>27410</v>
      </c>
      <c r="G536" s="19" t="s">
        <v>27411</v>
      </c>
      <c r="H536" s="19" t="s">
        <v>27412</v>
      </c>
      <c r="I536" s="19" t="s">
        <v>27413</v>
      </c>
      <c r="J536" s="2" t="str">
        <f t="shared" si="2"/>
        <v>(${Variables:E2_7_1_40_kcat} * E2_7_1_40 * C00002 * C00022)/(${Variables:E2_7_1_40_km} + (E2_7_1_40 * C00002 * C00022))</v>
      </c>
      <c r="K536" s="2" t="str">
        <f t="shared" si="3"/>
        <v>r535: C00002 + C00022 -&gt; C00008 + C00074 | (${Variables:E2_7_1_40_kcat} * E2_7_1_40 * C00002 * C00022)/(${Variables:E2_7_1_40_km} + (E2_7_1_40 * C00002 * C00022))</v>
      </c>
    </row>
    <row r="537">
      <c r="A537" s="2" t="s">
        <v>9552</v>
      </c>
      <c r="B537" s="2" t="s">
        <v>9553</v>
      </c>
      <c r="C537" s="2" t="s">
        <v>25150</v>
      </c>
      <c r="D537" s="18">
        <v>536.0</v>
      </c>
      <c r="E537" s="2" t="str">
        <f t="shared" si="1"/>
        <v>E2_7_1_40</v>
      </c>
      <c r="F537" s="19" t="s">
        <v>27414</v>
      </c>
      <c r="G537" s="19" t="s">
        <v>27415</v>
      </c>
      <c r="H537" s="19" t="s">
        <v>27416</v>
      </c>
      <c r="I537" s="19" t="s">
        <v>27417</v>
      </c>
      <c r="J537" s="2" t="str">
        <f t="shared" si="2"/>
        <v>(${Variables:E2_7_1_40_kcat} * E2_7_1_40 * C00044 * C00022)/(${Variables:E2_7_1_40_km} + (E2_7_1_40 * C00044 * C00022))</v>
      </c>
      <c r="K537" s="2" t="str">
        <f t="shared" si="3"/>
        <v>r536: C00044 + C00022 -&gt; C00035 + C00074 | (${Variables:E2_7_1_40_kcat} * E2_7_1_40 * C00044 * C00022)/(${Variables:E2_7_1_40_km} + (E2_7_1_40 * C00044 * C00022))</v>
      </c>
    </row>
    <row r="538">
      <c r="A538" s="2" t="s">
        <v>9552</v>
      </c>
      <c r="B538" s="2" t="s">
        <v>9553</v>
      </c>
      <c r="C538" s="2" t="s">
        <v>25150</v>
      </c>
      <c r="D538" s="18">
        <v>537.0</v>
      </c>
      <c r="E538" s="2" t="str">
        <f t="shared" si="1"/>
        <v>E2_7_1_40</v>
      </c>
      <c r="F538" s="19" t="s">
        <v>27418</v>
      </c>
      <c r="G538" s="19" t="s">
        <v>27419</v>
      </c>
      <c r="H538" s="19" t="s">
        <v>27420</v>
      </c>
      <c r="I538" s="19" t="s">
        <v>27421</v>
      </c>
      <c r="J538" s="2" t="str">
        <f t="shared" si="2"/>
        <v>(${Variables:E2_7_1_40_kcat} * E2_7_1_40 * C00063 * C00022)/(${Variables:E2_7_1_40_km} + (E2_7_1_40 * C00063 * C00022))</v>
      </c>
      <c r="K538" s="2" t="str">
        <f t="shared" si="3"/>
        <v>r537: C00063 + C00022 -&gt; C00112 + C00074 | (${Variables:E2_7_1_40_kcat} * E2_7_1_40 * C00063 * C00022)/(${Variables:E2_7_1_40_km} + (E2_7_1_40 * C00063 * C00022))</v>
      </c>
    </row>
    <row r="539">
      <c r="A539" s="2" t="s">
        <v>9552</v>
      </c>
      <c r="B539" s="2" t="s">
        <v>9553</v>
      </c>
      <c r="C539" s="2" t="s">
        <v>25150</v>
      </c>
      <c r="D539" s="18">
        <v>538.0</v>
      </c>
      <c r="E539" s="2" t="str">
        <f t="shared" si="1"/>
        <v>E2_7_1_40</v>
      </c>
      <c r="F539" s="19" t="s">
        <v>27422</v>
      </c>
      <c r="G539" s="19" t="s">
        <v>27423</v>
      </c>
      <c r="H539" s="19" t="s">
        <v>27424</v>
      </c>
      <c r="I539" s="19" t="s">
        <v>27425</v>
      </c>
      <c r="J539" s="2" t="str">
        <f t="shared" si="2"/>
        <v>(${Variables:E2_7_1_40_kcat} * E2_7_1_40 * C00075 * C00022)/(${Variables:E2_7_1_40_km} + (E2_7_1_40 * C00075 * C00022))</v>
      </c>
      <c r="K539" s="2" t="str">
        <f t="shared" si="3"/>
        <v>r538: C00075 + C00022 -&gt; C00015 + C00074 | (${Variables:E2_7_1_40_kcat} * E2_7_1_40 * C00075 * C00022)/(${Variables:E2_7_1_40_km} + (E2_7_1_40 * C00075 * C00022))</v>
      </c>
    </row>
    <row r="540">
      <c r="A540" s="2" t="s">
        <v>9552</v>
      </c>
      <c r="B540" s="2" t="s">
        <v>9553</v>
      </c>
      <c r="C540" s="2" t="s">
        <v>25150</v>
      </c>
      <c r="D540" s="18">
        <v>539.0</v>
      </c>
      <c r="E540" s="2" t="str">
        <f t="shared" si="1"/>
        <v>E2_7_1_40</v>
      </c>
      <c r="F540" s="19" t="s">
        <v>27426</v>
      </c>
      <c r="G540" s="19" t="s">
        <v>27427</v>
      </c>
      <c r="H540" s="19" t="s">
        <v>27428</v>
      </c>
      <c r="I540" s="19" t="s">
        <v>27429</v>
      </c>
      <c r="J540" s="2" t="str">
        <f t="shared" si="2"/>
        <v>(${Variables:E2_7_1_40_kcat} * E2_7_1_40 * C00081 * C00022)/(${Variables:E2_7_1_40_km} + (E2_7_1_40 * C00081 * C00022))</v>
      </c>
      <c r="K540" s="2" t="str">
        <f t="shared" si="3"/>
        <v>r539: C00081 + C00022 -&gt; C00104 + C00074 | (${Variables:E2_7_1_40_kcat} * E2_7_1_40 * C00081 * C00022)/(${Variables:E2_7_1_40_km} + (E2_7_1_40 * C00081 * C00022))</v>
      </c>
    </row>
    <row r="541">
      <c r="A541" s="2" t="s">
        <v>9552</v>
      </c>
      <c r="B541" s="2" t="s">
        <v>9553</v>
      </c>
      <c r="C541" s="2" t="s">
        <v>25150</v>
      </c>
      <c r="D541" s="18">
        <v>540.0</v>
      </c>
      <c r="E541" s="2" t="str">
        <f t="shared" si="1"/>
        <v>E2_7_1_40</v>
      </c>
      <c r="F541" s="19" t="s">
        <v>27430</v>
      </c>
      <c r="G541" s="19" t="s">
        <v>27431</v>
      </c>
      <c r="H541" s="19" t="s">
        <v>27432</v>
      </c>
      <c r="I541" s="19" t="s">
        <v>27433</v>
      </c>
      <c r="J541" s="2" t="str">
        <f t="shared" si="2"/>
        <v>(${Variables:E2_7_1_40_kcat} * E2_7_1_40 * C00131 * C00022)/(${Variables:E2_7_1_40_km} + (E2_7_1_40 * C00131 * C00022))</v>
      </c>
      <c r="K541" s="2" t="str">
        <f t="shared" si="3"/>
        <v>r540: C00131 + C00022 -&gt; C00206 + C00074 | (${Variables:E2_7_1_40_kcat} * E2_7_1_40 * C00131 * C00022)/(${Variables:E2_7_1_40_km} + (E2_7_1_40 * C00131 * C00022))</v>
      </c>
    </row>
    <row r="542">
      <c r="A542" s="2" t="s">
        <v>9552</v>
      </c>
      <c r="B542" s="2" t="s">
        <v>9553</v>
      </c>
      <c r="C542" s="2" t="s">
        <v>25150</v>
      </c>
      <c r="D542" s="18">
        <v>541.0</v>
      </c>
      <c r="E542" s="2" t="str">
        <f t="shared" si="1"/>
        <v>E2_7_1_40</v>
      </c>
      <c r="F542" s="19" t="s">
        <v>27434</v>
      </c>
      <c r="G542" s="19" t="s">
        <v>27435</v>
      </c>
      <c r="H542" s="19" t="s">
        <v>27436</v>
      </c>
      <c r="I542" s="19" t="s">
        <v>27437</v>
      </c>
      <c r="J542" s="2" t="str">
        <f t="shared" si="2"/>
        <v>(${Variables:E2_7_1_40_kcat} * E2_7_1_40 * C00286 * C00022)/(${Variables:E2_7_1_40_km} + (E2_7_1_40 * C00286 * C00022))</v>
      </c>
      <c r="K542" s="2" t="str">
        <f t="shared" si="3"/>
        <v>r541: C00286 + C00022 -&gt; C00361 + C00074 | (${Variables:E2_7_1_40_kcat} * E2_7_1_40 * C00286 * C00022)/(${Variables:E2_7_1_40_km} + (E2_7_1_40 * C00286 * C00022))</v>
      </c>
    </row>
    <row r="543">
      <c r="A543" s="2" t="s">
        <v>9552</v>
      </c>
      <c r="B543" s="2" t="s">
        <v>9553</v>
      </c>
      <c r="C543" s="2" t="s">
        <v>25150</v>
      </c>
      <c r="D543" s="18">
        <v>542.0</v>
      </c>
      <c r="E543" s="2" t="str">
        <f t="shared" si="1"/>
        <v>E2_7_1_40</v>
      </c>
      <c r="F543" s="19" t="s">
        <v>27438</v>
      </c>
      <c r="G543" s="19" t="s">
        <v>27439</v>
      </c>
      <c r="H543" s="19" t="s">
        <v>27440</v>
      </c>
      <c r="I543" s="19" t="s">
        <v>27441</v>
      </c>
      <c r="J543" s="2" t="str">
        <f t="shared" si="2"/>
        <v>(${Variables:E2_7_1_40_kcat} * E2_7_1_40 * C00201 * C00022)/(${Variables:E2_7_1_40_km} + (E2_7_1_40 * C00201 * C00022))</v>
      </c>
      <c r="K543" s="2" t="str">
        <f t="shared" si="3"/>
        <v>r542: C00201 + C00022 -&gt; C00454 + C00074 | (${Variables:E2_7_1_40_kcat} * E2_7_1_40 * C00201 * C00022)/(${Variables:E2_7_1_40_km} + (E2_7_1_40 * C00201 * C00022))</v>
      </c>
    </row>
    <row r="544">
      <c r="A544" s="2" t="s">
        <v>10221</v>
      </c>
      <c r="B544" s="2" t="s">
        <v>10222</v>
      </c>
      <c r="C544" s="2" t="s">
        <v>25151</v>
      </c>
      <c r="D544" s="18">
        <v>543.0</v>
      </c>
      <c r="E544" s="2" t="str">
        <f t="shared" si="1"/>
        <v>E2_7_1_48</v>
      </c>
      <c r="F544" s="19" t="s">
        <v>27442</v>
      </c>
      <c r="G544" s="19" t="s">
        <v>27443</v>
      </c>
      <c r="H544" s="19" t="s">
        <v>27444</v>
      </c>
      <c r="I544" s="19" t="s">
        <v>27445</v>
      </c>
      <c r="J544" s="2" t="str">
        <f t="shared" si="2"/>
        <v>(${Variables:E2_7_1_48_kcat} * E2_7_1_48 * C00002 * C00475)/(${Variables:E2_7_1_48_km} + (E2_7_1_48 * C00002 * C00475))</v>
      </c>
      <c r="K544" s="2" t="str">
        <f t="shared" si="3"/>
        <v>r543: C00002 + C00475 -&gt; C00008 + C00055 | (${Variables:E2_7_1_48_kcat} * E2_7_1_48 * C00002 * C00475)/(${Variables:E2_7_1_48_km} + (E2_7_1_48 * C00002 * C00475))</v>
      </c>
    </row>
    <row r="545">
      <c r="A545" s="2" t="s">
        <v>10221</v>
      </c>
      <c r="B545" s="2" t="s">
        <v>10222</v>
      </c>
      <c r="C545" s="2" t="s">
        <v>25151</v>
      </c>
      <c r="D545" s="18">
        <v>544.0</v>
      </c>
      <c r="E545" s="2" t="str">
        <f t="shared" si="1"/>
        <v>E2_7_1_48</v>
      </c>
      <c r="F545" s="19" t="s">
        <v>27446</v>
      </c>
      <c r="G545" s="19" t="s">
        <v>27447</v>
      </c>
      <c r="H545" s="19" t="s">
        <v>27448</v>
      </c>
      <c r="I545" s="19" t="s">
        <v>27449</v>
      </c>
      <c r="J545" s="2" t="str">
        <f t="shared" si="2"/>
        <v>(${Variables:E2_7_1_48_kcat} * E2_7_1_48 * C00044 * C00475)/(${Variables:E2_7_1_48_km} + (E2_7_1_48 * C00044 * C00475))</v>
      </c>
      <c r="K545" s="2" t="str">
        <f t="shared" si="3"/>
        <v>r544: C00044 + C00475 -&gt; C00035 + C00055 | (${Variables:E2_7_1_48_kcat} * E2_7_1_48 * C00044 * C00475)/(${Variables:E2_7_1_48_km} + (E2_7_1_48 * C00044 * C00475))</v>
      </c>
    </row>
    <row r="546">
      <c r="A546" s="2" t="s">
        <v>10221</v>
      </c>
      <c r="B546" s="2" t="s">
        <v>10222</v>
      </c>
      <c r="C546" s="2" t="s">
        <v>25151</v>
      </c>
      <c r="D546" s="18">
        <v>545.0</v>
      </c>
      <c r="E546" s="2" t="str">
        <f t="shared" si="1"/>
        <v>E2_7_1_48</v>
      </c>
      <c r="F546" s="19" t="s">
        <v>27450</v>
      </c>
      <c r="G546" s="19" t="s">
        <v>27451</v>
      </c>
      <c r="H546" s="19" t="s">
        <v>27452</v>
      </c>
      <c r="I546" s="19" t="s">
        <v>27453</v>
      </c>
      <c r="J546" s="2" t="str">
        <f t="shared" si="2"/>
        <v>(${Variables:E2_7_1_48_kcat} * E2_7_1_48 * C00002 * C00299)/(${Variables:E2_7_1_48_km} + (E2_7_1_48 * C00002 * C00299))</v>
      </c>
      <c r="K546" s="2" t="str">
        <f t="shared" si="3"/>
        <v>r545: C00002 + C00299 -&gt; C00008 + C00105 | (${Variables:E2_7_1_48_kcat} * E2_7_1_48 * C00002 * C00299)/(${Variables:E2_7_1_48_km} + (E2_7_1_48 * C00002 * C00299))</v>
      </c>
    </row>
    <row r="547">
      <c r="A547" s="2" t="s">
        <v>10221</v>
      </c>
      <c r="B547" s="2" t="s">
        <v>10222</v>
      </c>
      <c r="C547" s="2" t="s">
        <v>25151</v>
      </c>
      <c r="D547" s="18">
        <v>546.0</v>
      </c>
      <c r="E547" s="2" t="str">
        <f t="shared" si="1"/>
        <v>E2_7_1_48</v>
      </c>
      <c r="F547" s="19" t="s">
        <v>27454</v>
      </c>
      <c r="G547" s="19" t="s">
        <v>27455</v>
      </c>
      <c r="H547" s="19" t="s">
        <v>27456</v>
      </c>
      <c r="I547" s="19" t="s">
        <v>27457</v>
      </c>
      <c r="J547" s="2" t="str">
        <f t="shared" si="2"/>
        <v>(${Variables:E2_7_1_48_kcat} * E2_7_1_48 * C00044 * C00299)/(${Variables:E2_7_1_48_km} + (E2_7_1_48 * C00044 * C00299))</v>
      </c>
      <c r="K547" s="2" t="str">
        <f t="shared" si="3"/>
        <v>r546: C00044 + C00299 -&gt; C00035 + C00105 | (${Variables:E2_7_1_48_kcat} * E2_7_1_48 * C00044 * C00299)/(${Variables:E2_7_1_48_km} + (E2_7_1_48 * C00044 * C00299))</v>
      </c>
    </row>
    <row r="548">
      <c r="A548" s="2" t="s">
        <v>10221</v>
      </c>
      <c r="B548" s="2" t="s">
        <v>10222</v>
      </c>
      <c r="C548" s="2" t="s">
        <v>25151</v>
      </c>
      <c r="D548" s="18">
        <v>547.0</v>
      </c>
      <c r="E548" s="2" t="str">
        <f t="shared" si="1"/>
        <v>E2_7_1_48</v>
      </c>
      <c r="F548" s="19" t="s">
        <v>27458</v>
      </c>
      <c r="G548" s="19" t="s">
        <v>27459</v>
      </c>
      <c r="H548" s="19" t="s">
        <v>27460</v>
      </c>
      <c r="I548" s="19" t="s">
        <v>27461</v>
      </c>
      <c r="J548" s="2" t="str">
        <f t="shared" si="2"/>
        <v>(${Variables:E2_7_1_48_kcat} * E2_7_1_48 * C16633 * C00002)/(${Variables:E2_7_1_48_km} + (E2_7_1_48 * C16633 * C00002))</v>
      </c>
      <c r="K548" s="2" t="str">
        <f t="shared" si="3"/>
        <v>r547: C16633 + C00002 -&gt; C16634 + C00008 | (${Variables:E2_7_1_48_kcat} * E2_7_1_48 * C16633 * C00002)/(${Variables:E2_7_1_48_km} + (E2_7_1_48 * C16633 * C00002))</v>
      </c>
    </row>
    <row r="549">
      <c r="A549" s="2" t="s">
        <v>5185</v>
      </c>
      <c r="B549" s="2" t="s">
        <v>5186</v>
      </c>
      <c r="C549" s="2" t="s">
        <v>25152</v>
      </c>
      <c r="D549" s="18">
        <v>548.0</v>
      </c>
      <c r="E549" s="2" t="str">
        <f t="shared" si="1"/>
        <v>E2_7_1_49</v>
      </c>
      <c r="F549" s="19" t="s">
        <v>27462</v>
      </c>
      <c r="G549" s="19" t="s">
        <v>27463</v>
      </c>
      <c r="H549" s="19" t="s">
        <v>27464</v>
      </c>
      <c r="I549" s="19" t="s">
        <v>27465</v>
      </c>
      <c r="J549" s="2" t="str">
        <f t="shared" si="2"/>
        <v>(${Variables:E2_7_1_49_kcat} * E2_7_1_49 * C00002 * C01279)/(${Variables:E2_7_1_49_km} + (E2_7_1_49 * C00002 * C01279))</v>
      </c>
      <c r="K549" s="2" t="str">
        <f t="shared" si="3"/>
        <v>r548: C00002 + C01279 -&gt; C00008 + C04556 | (${Variables:E2_7_1_49_kcat} * E2_7_1_49 * C00002 * C01279)/(${Variables:E2_7_1_49_km} + (E2_7_1_49 * C00002 * C01279))</v>
      </c>
    </row>
    <row r="550">
      <c r="A550" s="2" t="s">
        <v>6040</v>
      </c>
      <c r="B550" s="2" t="s">
        <v>6041</v>
      </c>
      <c r="C550" s="2" t="s">
        <v>25153</v>
      </c>
      <c r="D550" s="18">
        <v>549.0</v>
      </c>
      <c r="E550" s="2" t="str">
        <f t="shared" si="1"/>
        <v>E2_7_1_50</v>
      </c>
      <c r="F550" s="19" t="s">
        <v>27466</v>
      </c>
      <c r="G550" s="19" t="s">
        <v>27467</v>
      </c>
      <c r="H550" s="19" t="s">
        <v>27468</v>
      </c>
      <c r="I550" s="19" t="s">
        <v>27469</v>
      </c>
      <c r="J550" s="2" t="str">
        <f t="shared" si="2"/>
        <v>(${Variables:E2_7_1_50_kcat} * E2_7_1_50 * C00002 * C04294)/(${Variables:E2_7_1_50_km} + (E2_7_1_50 * C00002 * C04294))</v>
      </c>
      <c r="K550" s="2" t="str">
        <f t="shared" si="3"/>
        <v>r549: C00002 + C04294 -&gt; C00008 + C04327 | (${Variables:E2_7_1_50_kcat} * E2_7_1_50 * C00002 * C04294)/(${Variables:E2_7_1_50_km} + (E2_7_1_50 * C00002 * C04294))</v>
      </c>
    </row>
    <row r="551">
      <c r="A551" s="2" t="s">
        <v>12229</v>
      </c>
      <c r="B551" s="2" t="s">
        <v>12230</v>
      </c>
      <c r="C551" s="2" t="s">
        <v>25154</v>
      </c>
      <c r="D551" s="18">
        <v>550.0</v>
      </c>
      <c r="E551" s="2" t="str">
        <f t="shared" si="1"/>
        <v>E2_7_1_56</v>
      </c>
      <c r="F551" s="19" t="s">
        <v>27470</v>
      </c>
      <c r="G551" s="19" t="s">
        <v>27471</v>
      </c>
      <c r="H551" s="19" t="s">
        <v>27290</v>
      </c>
      <c r="I551" s="19" t="s">
        <v>27291</v>
      </c>
      <c r="J551" s="2" t="str">
        <f t="shared" si="2"/>
        <v>(${Variables:E2_7_1_56_kcat} * E2_7_1_56 * C00002 * C01094)/(${Variables:E2_7_1_56_km} + (E2_7_1_56 * C00002 * C01094))</v>
      </c>
      <c r="K551" s="2" t="str">
        <f t="shared" si="3"/>
        <v>r550: C00002 + C01094 -&gt; C00008 + C05378 | (${Variables:E2_7_1_56_kcat} * E2_7_1_56 * C00002 * C01094)/(${Variables:E2_7_1_56_km} + (E2_7_1_56 * C00002 * C01094))</v>
      </c>
    </row>
    <row r="552">
      <c r="A552" s="2" t="s">
        <v>12229</v>
      </c>
      <c r="B552" s="2" t="s">
        <v>12230</v>
      </c>
      <c r="C552" s="2" t="s">
        <v>25154</v>
      </c>
      <c r="D552" s="18">
        <v>551.0</v>
      </c>
      <c r="E552" s="2" t="str">
        <f t="shared" si="1"/>
        <v>E2_7_1_56</v>
      </c>
      <c r="F552" s="19" t="s">
        <v>27272</v>
      </c>
      <c r="G552" s="19" t="s">
        <v>27273</v>
      </c>
      <c r="H552" s="19" t="s">
        <v>27274</v>
      </c>
      <c r="I552" s="19" t="s">
        <v>27275</v>
      </c>
      <c r="J552" s="2" t="str">
        <f t="shared" si="2"/>
        <v>(${Variables:E2_7_1_56_kcat} * E2_7_1_56 * C01097 * C00002)/(${Variables:E2_7_1_56_km} + (E2_7_1_56 * C01097 * C00002))</v>
      </c>
      <c r="K552" s="2" t="str">
        <f t="shared" si="3"/>
        <v>r551: C01097 + C00002 -&gt; C03785 + C00008 | (${Variables:E2_7_1_56_kcat} * E2_7_1_56 * C01097 * C00002)/(${Variables:E2_7_1_56_km} + (E2_7_1_56 * C01097 * C00002))</v>
      </c>
    </row>
    <row r="553">
      <c r="A553" s="2" t="s">
        <v>12229</v>
      </c>
      <c r="B553" s="2" t="s">
        <v>12230</v>
      </c>
      <c r="C553" s="2" t="s">
        <v>25154</v>
      </c>
      <c r="D553" s="18">
        <v>552.0</v>
      </c>
      <c r="E553" s="2" t="str">
        <f t="shared" si="1"/>
        <v>E2_7_1_56</v>
      </c>
      <c r="F553" s="19" t="s">
        <v>27470</v>
      </c>
      <c r="G553" s="19" t="s">
        <v>27471</v>
      </c>
      <c r="H553" s="19" t="s">
        <v>27254</v>
      </c>
      <c r="I553" s="19" t="s">
        <v>27255</v>
      </c>
      <c r="J553" s="2" t="str">
        <f t="shared" si="2"/>
        <v>(${Variables:E2_7_1_56_kcat} * E2_7_1_56 * C00002 * C01094)/(${Variables:E2_7_1_56_km} + (E2_7_1_56 * C00002 * C01094))</v>
      </c>
      <c r="K553" s="2" t="str">
        <f t="shared" si="3"/>
        <v>r552: C00002 + C01094 -&gt; C00008 + C00354 | (${Variables:E2_7_1_56_kcat} * E2_7_1_56 * C00002 * C01094)/(${Variables:E2_7_1_56_km} + (E2_7_1_56 * C00002 * C01094))</v>
      </c>
    </row>
    <row r="554">
      <c r="A554" s="2" t="s">
        <v>3473</v>
      </c>
      <c r="B554" s="2" t="s">
        <v>3474</v>
      </c>
      <c r="C554" s="2" t="s">
        <v>25155</v>
      </c>
      <c r="D554" s="18">
        <v>553.0</v>
      </c>
      <c r="E554" s="2" t="str">
        <f t="shared" si="1"/>
        <v>E2_7_1_66</v>
      </c>
      <c r="F554" s="19" t="s">
        <v>27472</v>
      </c>
      <c r="G554" s="19" t="s">
        <v>27473</v>
      </c>
      <c r="H554" s="19" t="s">
        <v>27474</v>
      </c>
      <c r="I554" s="19" t="s">
        <v>27475</v>
      </c>
      <c r="J554" s="2" t="str">
        <f t="shared" si="2"/>
        <v>(${Variables:E2_7_1_66_kcat} * E2_7_1_66 * C00002 * C17558)/(${Variables:E2_7_1_66_km} + (E2_7_1_66 * C00002 * C17558))</v>
      </c>
      <c r="K554" s="2" t="str">
        <f t="shared" si="3"/>
        <v>r553: C00002 + C17558 -&gt; C00008 + C17556 | (${Variables:E2_7_1_66_kcat} * E2_7_1_66 * C00002 * C17558)/(${Variables:E2_7_1_66_km} + (E2_7_1_66 * C00002 * C17558))</v>
      </c>
    </row>
    <row r="555">
      <c r="A555" s="2" t="s">
        <v>10649</v>
      </c>
      <c r="B555" s="2" t="s">
        <v>10650</v>
      </c>
      <c r="C555" s="2" t="s">
        <v>25156</v>
      </c>
      <c r="D555" s="18">
        <v>554.0</v>
      </c>
      <c r="E555" s="2" t="str">
        <f t="shared" si="1"/>
        <v>E2_7_1_71</v>
      </c>
      <c r="F555" s="19" t="s">
        <v>27476</v>
      </c>
      <c r="G555" s="19" t="s">
        <v>27477</v>
      </c>
      <c r="H555" s="19" t="s">
        <v>27478</v>
      </c>
      <c r="I555" s="19" t="s">
        <v>27479</v>
      </c>
      <c r="J555" s="2" t="str">
        <f t="shared" si="2"/>
        <v>(${Variables:E2_7_1_71_kcat} * E2_7_1_71 * C00002 * C00493)/(${Variables:E2_7_1_71_km} + (E2_7_1_71 * C00002 * C00493))</v>
      </c>
      <c r="K555" s="2" t="str">
        <f t="shared" si="3"/>
        <v>r554: C00002 + C00493 -&gt; C00008 + C03175 | (${Variables:E2_7_1_71_kcat} * E2_7_1_71 * C00002 * C00493)/(${Variables:E2_7_1_71_km} + (E2_7_1_71 * C00002 * C00493))</v>
      </c>
    </row>
    <row r="556">
      <c r="A556" s="2" t="s">
        <v>2850</v>
      </c>
      <c r="B556" s="2" t="s">
        <v>2851</v>
      </c>
      <c r="C556" s="2" t="s">
        <v>25157</v>
      </c>
      <c r="D556" s="18">
        <v>555.0</v>
      </c>
      <c r="E556" s="2" t="str">
        <f t="shared" si="1"/>
        <v>E2_7_10_2</v>
      </c>
      <c r="F556" s="19" t="s">
        <v>27480</v>
      </c>
      <c r="G556" s="19" t="s">
        <v>27481</v>
      </c>
      <c r="H556" s="19" t="s">
        <v>27482</v>
      </c>
      <c r="I556" s="19" t="s">
        <v>27483</v>
      </c>
      <c r="J556" s="2" t="str">
        <f t="shared" si="2"/>
        <v>(${Variables:E2_7_10_2_kcat} * E2_7_10_2 * C00002 * C00585)/(${Variables:E2_7_10_2_km} + (E2_7_10_2 * C00002 * C00585))</v>
      </c>
      <c r="K556" s="2" t="str">
        <f t="shared" si="3"/>
        <v>r555: C00002 + C00585 -&gt; C00008 + C01167 | (${Variables:E2_7_10_2_kcat} * E2_7_10_2 * C00002 * C00585)/(${Variables:E2_7_10_2_km} + (E2_7_10_2 * C00002 * C00585))</v>
      </c>
    </row>
    <row r="557">
      <c r="A557" s="2" t="s">
        <v>11123</v>
      </c>
      <c r="B557" s="2" t="s">
        <v>11124</v>
      </c>
      <c r="C557" s="2" t="s">
        <v>25158</v>
      </c>
      <c r="D557" s="18">
        <v>556.0</v>
      </c>
      <c r="E557" s="2" t="str">
        <f t="shared" si="1"/>
        <v>E2_7_11_1</v>
      </c>
      <c r="F557" s="19" t="s">
        <v>27484</v>
      </c>
      <c r="G557" s="19" t="s">
        <v>27485</v>
      </c>
      <c r="H557" s="19" t="s">
        <v>27486</v>
      </c>
      <c r="I557" s="19" t="s">
        <v>27487</v>
      </c>
      <c r="J557" s="2" t="str">
        <f t="shared" si="2"/>
        <v>(${Variables:E2_7_11_1_kcat} * E2_7_11_1 * C00002 * C00017)/(${Variables:E2_7_11_1_km} + (E2_7_11_1 * C00002 * C00017))</v>
      </c>
      <c r="K557" s="2" t="str">
        <f t="shared" si="3"/>
        <v>r556: C00002 + C00017 -&gt; C00008 + C00562 | (${Variables:E2_7_11_1_kcat} * E2_7_11_1 * C00002 * C00017)/(${Variables:E2_7_11_1_km} + (E2_7_11_1 * C00002 * C00017))</v>
      </c>
    </row>
    <row r="558">
      <c r="A558" s="2" t="s">
        <v>11123</v>
      </c>
      <c r="B558" s="2" t="s">
        <v>11124</v>
      </c>
      <c r="C558" s="2" t="s">
        <v>25158</v>
      </c>
      <c r="D558" s="18">
        <v>557.0</v>
      </c>
      <c r="E558" s="2" t="str">
        <f t="shared" si="1"/>
        <v>E2_7_11_1</v>
      </c>
      <c r="F558" s="19" t="s">
        <v>27488</v>
      </c>
      <c r="G558" s="19" t="s">
        <v>27489</v>
      </c>
      <c r="H558" s="19" t="s">
        <v>27490</v>
      </c>
      <c r="I558" s="19" t="s">
        <v>27491</v>
      </c>
      <c r="J558" s="2" t="str">
        <f t="shared" si="2"/>
        <v>(${Variables:E2_7_11_1_kcat} * E2_7_11_1 * C00002 * C01609)/(${Variables:E2_7_11_1_km} + (E2_7_11_1 * C00002 * C01609))</v>
      </c>
      <c r="K558" s="2" t="str">
        <f t="shared" si="3"/>
        <v>r557: C00002 + C01609 -&gt; C00008 + C02729 | (${Variables:E2_7_11_1_kcat} * E2_7_11_1 * C00002 * C01609)/(${Variables:E2_7_11_1_km} + (E2_7_11_1 * C00002 * C01609))</v>
      </c>
    </row>
    <row r="559">
      <c r="A559" s="2" t="s">
        <v>6911</v>
      </c>
      <c r="B559" s="2" t="s">
        <v>6912</v>
      </c>
      <c r="C559" s="2" t="s">
        <v>25161</v>
      </c>
      <c r="D559" s="18">
        <v>558.0</v>
      </c>
      <c r="E559" s="2" t="str">
        <f t="shared" si="1"/>
        <v>E2_7_14_1</v>
      </c>
      <c r="F559" s="19" t="s">
        <v>27492</v>
      </c>
      <c r="G559" s="19" t="s">
        <v>27493</v>
      </c>
      <c r="H559" s="19" t="s">
        <v>27494</v>
      </c>
      <c r="I559" s="19" t="s">
        <v>27495</v>
      </c>
      <c r="J559" s="2" t="str">
        <f t="shared" si="2"/>
        <v>(${Variables:E2_7_14_1_kcat} * E2_7_14_1 * C00002 * C00613)/(${Variables:E2_7_14_1_km} + (E2_7_14_1 * C00002 * C00613))</v>
      </c>
      <c r="K559" s="2" t="str">
        <f t="shared" si="3"/>
        <v>r558: C00002 + C00613 -&gt; C00008 + C21101 | (${Variables:E2_7_14_1_kcat} * E2_7_14_1 * C00002 * C00613)/(${Variables:E2_7_14_1_km} + (E2_7_14_1 * C00002 * C00613))</v>
      </c>
    </row>
    <row r="560">
      <c r="A560" s="2" t="s">
        <v>13984</v>
      </c>
      <c r="B560" s="2" t="s">
        <v>13985</v>
      </c>
      <c r="C560" s="2" t="s">
        <v>25162</v>
      </c>
      <c r="D560" s="18">
        <v>559.0</v>
      </c>
      <c r="E560" s="2" t="str">
        <f t="shared" si="1"/>
        <v>E2_7_2_11</v>
      </c>
      <c r="F560" s="19" t="s">
        <v>27496</v>
      </c>
      <c r="G560" s="19" t="s">
        <v>27497</v>
      </c>
      <c r="H560" s="19" t="s">
        <v>27498</v>
      </c>
      <c r="I560" s="19" t="s">
        <v>27499</v>
      </c>
      <c r="J560" s="2" t="str">
        <f t="shared" si="2"/>
        <v>(${Variables:E2_7_2_11_kcat} * E2_7_2_11 * C00002 * C00025)/(${Variables:E2_7_2_11_km} + (E2_7_2_11 * C00002 * C00025))</v>
      </c>
      <c r="K560" s="2" t="str">
        <f t="shared" si="3"/>
        <v>r559: C00002 + C00025 -&gt; C00008 + C03287 | (${Variables:E2_7_2_11_kcat} * E2_7_2_11 * C00002 * C00025)/(${Variables:E2_7_2_11_km} + (E2_7_2_11 * C00002 * C00025))</v>
      </c>
    </row>
    <row r="561">
      <c r="A561" s="2" t="s">
        <v>6064</v>
      </c>
      <c r="B561" s="2" t="s">
        <v>6065</v>
      </c>
      <c r="C561" s="2" t="s">
        <v>25163</v>
      </c>
      <c r="D561" s="18">
        <v>560.0</v>
      </c>
      <c r="E561" s="2" t="str">
        <f t="shared" si="1"/>
        <v>E2_7_2_2</v>
      </c>
      <c r="F561" s="19" t="s">
        <v>27500</v>
      </c>
      <c r="G561" s="19" t="s">
        <v>27501</v>
      </c>
      <c r="H561" s="19" t="s">
        <v>27502</v>
      </c>
      <c r="I561" s="19" t="s">
        <v>27503</v>
      </c>
      <c r="J561" s="2" t="str">
        <f t="shared" si="2"/>
        <v>(${Variables:E2_7_2_2_kcat} * E2_7_2_2 * C00002 * C00014 * C00288)/(${Variables:E2_7_2_2_km} + (E2_7_2_2 * C00002 * C00014 * C00288))</v>
      </c>
      <c r="K561" s="2" t="str">
        <f t="shared" si="3"/>
        <v>r560: C00002 + C00014 + C00288 -&gt; C00008 + C00169 + C00001 | (${Variables:E2_7_2_2_kcat} * E2_7_2_2 * C00002 * C00014 * C00288)/(${Variables:E2_7_2_2_km} + (E2_7_2_2 * C00002 * C00014 * C00288))</v>
      </c>
    </row>
    <row r="562">
      <c r="A562" s="2" t="s">
        <v>6064</v>
      </c>
      <c r="B562" s="2" t="s">
        <v>6065</v>
      </c>
      <c r="C562" s="2" t="s">
        <v>25163</v>
      </c>
      <c r="D562" s="18">
        <v>561.0</v>
      </c>
      <c r="E562" s="2" t="str">
        <f t="shared" si="1"/>
        <v>E2_7_2_2</v>
      </c>
      <c r="F562" s="19" t="s">
        <v>27504</v>
      </c>
      <c r="G562" s="19" t="s">
        <v>27505</v>
      </c>
      <c r="H562" s="19" t="s">
        <v>27506</v>
      </c>
      <c r="I562" s="19" t="s">
        <v>27507</v>
      </c>
      <c r="J562" s="2" t="str">
        <f t="shared" si="2"/>
        <v>(${Variables:E2_7_2_2_kcat} * E2_7_2_2 * C00002 * C01563)/(${Variables:E2_7_2_2_km} + (E2_7_2_2 * C00002 * C01563))</v>
      </c>
      <c r="K562" s="2" t="str">
        <f t="shared" si="3"/>
        <v>r561: C00002 + C01563 -&gt; C00008 + C00169 | (${Variables:E2_7_2_2_kcat} * E2_7_2_2 * C00002 * C01563)/(${Variables:E2_7_2_2_km} + (E2_7_2_2 * C00002 * C01563))</v>
      </c>
    </row>
    <row r="563">
      <c r="A563" s="2" t="s">
        <v>6064</v>
      </c>
      <c r="B563" s="2" t="s">
        <v>6065</v>
      </c>
      <c r="C563" s="2" t="s">
        <v>25163</v>
      </c>
      <c r="D563" s="18">
        <v>562.0</v>
      </c>
      <c r="E563" s="2" t="str">
        <f t="shared" si="1"/>
        <v>E2_7_2_2</v>
      </c>
      <c r="F563" s="19" t="s">
        <v>27508</v>
      </c>
      <c r="G563" s="19" t="s">
        <v>27509</v>
      </c>
      <c r="H563" s="19" t="s">
        <v>27510</v>
      </c>
      <c r="I563" s="19" t="s">
        <v>27511</v>
      </c>
      <c r="J563" s="2" t="str">
        <f t="shared" si="2"/>
        <v>(${Variables:E2_7_2_2_kcat} * E2_7_2_2 * C00014 * C00288)/(${Variables:E2_7_2_2_km} + (E2_7_2_2 * C00014 * C00288))</v>
      </c>
      <c r="K563" s="2" t="str">
        <f t="shared" si="3"/>
        <v>r562: C00014 + C00288 -&gt; C01563 + C00001 | (${Variables:E2_7_2_2_kcat} * E2_7_2_2 * C00014 * C00288)/(${Variables:E2_7_2_2_km} + (E2_7_2_2 * C00014 * C00288))</v>
      </c>
    </row>
    <row r="564">
      <c r="A564" s="2" t="s">
        <v>8198</v>
      </c>
      <c r="B564" s="2" t="s">
        <v>8199</v>
      </c>
      <c r="C564" s="2" t="s">
        <v>25164</v>
      </c>
      <c r="D564" s="18">
        <v>563.0</v>
      </c>
      <c r="E564" s="2" t="str">
        <f t="shared" si="1"/>
        <v>E2_7_2_3</v>
      </c>
      <c r="F564" s="19" t="s">
        <v>27512</v>
      </c>
      <c r="G564" s="19" t="s">
        <v>27513</v>
      </c>
      <c r="H564" s="19" t="s">
        <v>27514</v>
      </c>
      <c r="I564" s="19" t="s">
        <v>27515</v>
      </c>
      <c r="J564" s="2" t="str">
        <f t="shared" si="2"/>
        <v>(${Variables:E2_7_2_3_kcat} * E2_7_2_3 * C00002 * C00197)/(${Variables:E2_7_2_3_km} + (E2_7_2_3 * C00002 * C00197))</v>
      </c>
      <c r="K564" s="2" t="str">
        <f t="shared" si="3"/>
        <v>r563: C00002 + C00197 -&gt; C00008 + C00236 | (${Variables:E2_7_2_3_kcat} * E2_7_2_3 * C00002 * C00197)/(${Variables:E2_7_2_3_km} + (E2_7_2_3 * C00002 * C00197))</v>
      </c>
    </row>
    <row r="565">
      <c r="A565" s="2" t="s">
        <v>2390</v>
      </c>
      <c r="B565" s="2" t="s">
        <v>2391</v>
      </c>
      <c r="C565" s="2" t="s">
        <v>25165</v>
      </c>
      <c r="D565" s="18">
        <v>564.0</v>
      </c>
      <c r="E565" s="2" t="str">
        <f t="shared" si="1"/>
        <v>E2_7_2_4</v>
      </c>
      <c r="F565" s="19" t="s">
        <v>27516</v>
      </c>
      <c r="G565" s="19" t="s">
        <v>27517</v>
      </c>
      <c r="H565" s="19" t="s">
        <v>27518</v>
      </c>
      <c r="I565" s="19" t="s">
        <v>27519</v>
      </c>
      <c r="J565" s="2" t="str">
        <f t="shared" si="2"/>
        <v>(${Variables:E2_7_2_4_kcat} * E2_7_2_4 * C00002 * C00049)/(${Variables:E2_7_2_4_km} + (E2_7_2_4 * C00002 * C00049))</v>
      </c>
      <c r="K565" s="2" t="str">
        <f t="shared" si="3"/>
        <v>r564: C00002 + C00049 -&gt; C00008 + C03082 | (${Variables:E2_7_2_4_kcat} * E2_7_2_4 * C00002 * C00049)/(${Variables:E2_7_2_4_km} + (E2_7_2_4 * C00002 * C00049))</v>
      </c>
    </row>
    <row r="566">
      <c r="A566" s="2" t="s">
        <v>10864</v>
      </c>
      <c r="B566" s="2" t="s">
        <v>10865</v>
      </c>
      <c r="C566" s="2" t="s">
        <v>25166</v>
      </c>
      <c r="D566" s="18">
        <v>565.0</v>
      </c>
      <c r="E566" s="2" t="str">
        <f t="shared" si="1"/>
        <v>E2_7_2_7</v>
      </c>
      <c r="F566" s="19" t="s">
        <v>27520</v>
      </c>
      <c r="G566" s="19" t="s">
        <v>27521</v>
      </c>
      <c r="H566" s="19" t="s">
        <v>27522</v>
      </c>
      <c r="I566" s="19" t="s">
        <v>27523</v>
      </c>
      <c r="J566" s="2" t="str">
        <f t="shared" si="2"/>
        <v>(${Variables:E2_7_2_7_kcat} * E2_7_2_7 * C00002 * C00246)/(${Variables:E2_7_2_7_km} + (E2_7_2_7 * C00002 * C00246))</v>
      </c>
      <c r="K566" s="2" t="str">
        <f t="shared" si="3"/>
        <v>r565: C00002 + C00246 -&gt; C00008 + C02527 | (${Variables:E2_7_2_7_kcat} * E2_7_2_7 * C00002 * C00246)/(${Variables:E2_7_2_7_km} + (E2_7_2_7 * C00002 * C00246))</v>
      </c>
    </row>
    <row r="567">
      <c r="A567" s="2" t="s">
        <v>10963</v>
      </c>
      <c r="B567" s="2" t="s">
        <v>10964</v>
      </c>
      <c r="C567" s="2" t="s">
        <v>25167</v>
      </c>
      <c r="D567" s="18">
        <v>566.0</v>
      </c>
      <c r="E567" s="2" t="str">
        <f t="shared" si="1"/>
        <v>E2_7_2_8</v>
      </c>
      <c r="F567" s="19" t="s">
        <v>27524</v>
      </c>
      <c r="G567" s="19" t="s">
        <v>27525</v>
      </c>
      <c r="H567" s="19" t="s">
        <v>27526</v>
      </c>
      <c r="I567" s="19" t="s">
        <v>27527</v>
      </c>
      <c r="J567" s="2" t="str">
        <f t="shared" si="2"/>
        <v>(${Variables:E2_7_2_8_kcat} * E2_7_2_8 * C00002 * C00624)/(${Variables:E2_7_2_8_km} + (E2_7_2_8 * C00002 * C00624))</v>
      </c>
      <c r="K567" s="2" t="str">
        <f t="shared" si="3"/>
        <v>r566: C00002 + C00624 -&gt; C00008 + C04133 | (${Variables:E2_7_2_8_kcat} * E2_7_2_8 * C00002 * C00624)/(${Variables:E2_7_2_8_km} + (E2_7_2_8 * C00002 * C00624))</v>
      </c>
    </row>
    <row r="568">
      <c r="A568" s="2" t="s">
        <v>11207</v>
      </c>
      <c r="B568" s="2" t="s">
        <v>11208</v>
      </c>
      <c r="C568" s="2" t="s">
        <v>25168</v>
      </c>
      <c r="D568" s="18">
        <v>567.0</v>
      </c>
      <c r="E568" s="2" t="str">
        <f t="shared" si="1"/>
        <v>E2_7_3_9</v>
      </c>
      <c r="F568" s="19" t="s">
        <v>27528</v>
      </c>
      <c r="G568" s="19" t="s">
        <v>27529</v>
      </c>
      <c r="H568" s="19" t="s">
        <v>27530</v>
      </c>
      <c r="I568" s="19" t="s">
        <v>27531</v>
      </c>
      <c r="J568" s="2" t="str">
        <f t="shared" si="2"/>
        <v>(${Variables:E2_7_3_9_kcat} * E2_7_3_9 * C00074 * C00615)/(${Variables:E2_7_3_9_km} + (E2_7_3_9 * C00074 * C00615))</v>
      </c>
      <c r="K568" s="2" t="str">
        <f t="shared" si="3"/>
        <v>r567: C00074 + C00615 -&gt; C00022 + C04261 | (${Variables:E2_7_3_9_kcat} * E2_7_3_9 * C00074 * C00615)/(${Variables:E2_7_3_9_km} + (E2_7_3_9 * C00074 * C00615))</v>
      </c>
    </row>
    <row r="569">
      <c r="A569" s="2" t="s">
        <v>11360</v>
      </c>
      <c r="B569" s="2" t="s">
        <v>11361</v>
      </c>
      <c r="C569" s="2" t="s">
        <v>25169</v>
      </c>
      <c r="D569" s="18">
        <v>568.0</v>
      </c>
      <c r="E569" s="2" t="str">
        <f t="shared" si="1"/>
        <v>E2_7_4_1</v>
      </c>
      <c r="F569" s="19" t="s">
        <v>27532</v>
      </c>
      <c r="G569" s="19" t="s">
        <v>27533</v>
      </c>
      <c r="H569" s="19" t="s">
        <v>27534</v>
      </c>
      <c r="I569" s="19" t="s">
        <v>27535</v>
      </c>
      <c r="J569" s="2" t="str">
        <f t="shared" si="2"/>
        <v>(${Variables:E2_7_4_1_kcat} * E2_7_4_1 * C00002 * C00404)/(${Variables:E2_7_4_1_km} + (E2_7_4_1 * C00002 * C00404))</v>
      </c>
      <c r="K569" s="2" t="str">
        <f t="shared" si="3"/>
        <v>r568: C00002 + C00404 -&gt; C00008 + C00404 | (${Variables:E2_7_4_1_kcat} * E2_7_4_1 * C00002 * C00404)/(${Variables:E2_7_4_1_km} + (E2_7_4_1 * C00002 * C00404))</v>
      </c>
    </row>
    <row r="570">
      <c r="A570" s="2" t="s">
        <v>2423</v>
      </c>
      <c r="B570" s="2" t="s">
        <v>2424</v>
      </c>
      <c r="C570" s="2" t="s">
        <v>25170</v>
      </c>
      <c r="D570" s="18">
        <v>569.0</v>
      </c>
      <c r="E570" s="2" t="str">
        <f t="shared" si="1"/>
        <v>E2_7_4_22</v>
      </c>
      <c r="F570" s="19" t="s">
        <v>27536</v>
      </c>
      <c r="G570" s="19" t="s">
        <v>27537</v>
      </c>
      <c r="H570" s="19" t="s">
        <v>27538</v>
      </c>
      <c r="I570" s="19" t="s">
        <v>27539</v>
      </c>
      <c r="J570" s="2" t="str">
        <f t="shared" si="2"/>
        <v>(${Variables:E2_7_4_22_kcat} * E2_7_4_22 * C00002 * C00105)/(${Variables:E2_7_4_22_km} + (E2_7_4_22 * C00002 * C00105))</v>
      </c>
      <c r="K570" s="2" t="str">
        <f t="shared" si="3"/>
        <v>r569: C00002 + C00105 -&gt; C00008 + C00015 | (${Variables:E2_7_4_22_kcat} * E2_7_4_22 * C00002 * C00105)/(${Variables:E2_7_4_22_km} + (E2_7_4_22 * C00002 * C00105))</v>
      </c>
    </row>
    <row r="571">
      <c r="A571" s="2" t="s">
        <v>3138</v>
      </c>
      <c r="B571" s="2" t="s">
        <v>3139</v>
      </c>
      <c r="C571" s="2" t="s">
        <v>25171</v>
      </c>
      <c r="D571" s="18">
        <v>570.0</v>
      </c>
      <c r="E571" s="2" t="str">
        <f t="shared" si="1"/>
        <v>E2_7_4_25</v>
      </c>
      <c r="F571" s="19" t="s">
        <v>27540</v>
      </c>
      <c r="G571" s="19" t="s">
        <v>27541</v>
      </c>
      <c r="H571" s="19" t="s">
        <v>27542</v>
      </c>
      <c r="I571" s="19" t="s">
        <v>27543</v>
      </c>
      <c r="J571" s="2" t="str">
        <f t="shared" si="2"/>
        <v>(${Variables:E2_7_4_25_kcat} * E2_7_4_25 * C00002 * C00055)/(${Variables:E2_7_4_25_km} + (E2_7_4_25 * C00002 * C00055))</v>
      </c>
      <c r="K571" s="2" t="str">
        <f t="shared" si="3"/>
        <v>r570: C00002 + C00055 -&gt; C00008 + C00112 | (${Variables:E2_7_4_25_kcat} * E2_7_4_25 * C00002 * C00055)/(${Variables:E2_7_4_25_km} + (E2_7_4_25 * C00002 * C00055))</v>
      </c>
    </row>
    <row r="572">
      <c r="A572" s="2" t="s">
        <v>3138</v>
      </c>
      <c r="B572" s="2" t="s">
        <v>3139</v>
      </c>
      <c r="C572" s="2" t="s">
        <v>25171</v>
      </c>
      <c r="D572" s="18">
        <v>571.0</v>
      </c>
      <c r="E572" s="2" t="str">
        <f t="shared" si="1"/>
        <v>E2_7_4_25</v>
      </c>
      <c r="F572" s="19" t="s">
        <v>27544</v>
      </c>
      <c r="G572" s="19" t="s">
        <v>27545</v>
      </c>
      <c r="H572" s="19" t="s">
        <v>27546</v>
      </c>
      <c r="I572" s="19" t="s">
        <v>27547</v>
      </c>
      <c r="J572" s="2" t="str">
        <f t="shared" si="2"/>
        <v>(${Variables:E2_7_4_25_kcat} * E2_7_4_25 * C00002 * C00239)/(${Variables:E2_7_4_25_km} + (E2_7_4_25 * C00002 * C00239))</v>
      </c>
      <c r="K572" s="2" t="str">
        <f t="shared" si="3"/>
        <v>r571: C00002 + C00239 -&gt; C00008 + C00705 | (${Variables:E2_7_4_25_kcat} * E2_7_4_25 * C00002 * C00239)/(${Variables:E2_7_4_25_km} + (E2_7_4_25 * C00002 * C00239))</v>
      </c>
    </row>
    <row r="573">
      <c r="A573" s="2" t="s">
        <v>6715</v>
      </c>
      <c r="B573" s="2" t="s">
        <v>6716</v>
      </c>
      <c r="C573" s="2" t="s">
        <v>25173</v>
      </c>
      <c r="D573" s="18">
        <v>572.0</v>
      </c>
      <c r="E573" s="2" t="str">
        <f t="shared" si="1"/>
        <v>E2_7_4_3</v>
      </c>
      <c r="F573" s="19" t="s">
        <v>27548</v>
      </c>
      <c r="G573" s="19" t="s">
        <v>27549</v>
      </c>
      <c r="H573" s="19" t="s">
        <v>17075</v>
      </c>
      <c r="I573" s="19" t="s">
        <v>17075</v>
      </c>
      <c r="J573" s="2" t="str">
        <f t="shared" si="2"/>
        <v>(${Variables:E2_7_4_3_kcat} * E2_7_4_3 * C00002 * C00020)/(${Variables:E2_7_4_3_km} + (E2_7_4_3 * C00002 * C00020))</v>
      </c>
      <c r="K573" s="2" t="str">
        <f t="shared" si="3"/>
        <v>r572: C00002 + C00020 -&gt; C00008 | (${Variables:E2_7_4_3_kcat} * E2_7_4_3 * C00002 * C00020)/(${Variables:E2_7_4_3_km} + (E2_7_4_3 * C00002 * C00020))</v>
      </c>
    </row>
    <row r="574">
      <c r="A574" s="2" t="s">
        <v>6715</v>
      </c>
      <c r="B574" s="2" t="s">
        <v>6716</v>
      </c>
      <c r="C574" s="2" t="s">
        <v>25173</v>
      </c>
      <c r="D574" s="18">
        <v>573.0</v>
      </c>
      <c r="E574" s="2" t="str">
        <f t="shared" si="1"/>
        <v>E2_7_4_3</v>
      </c>
      <c r="F574" s="19" t="s">
        <v>27550</v>
      </c>
      <c r="G574" s="19" t="s">
        <v>27551</v>
      </c>
      <c r="H574" s="19" t="s">
        <v>27552</v>
      </c>
      <c r="I574" s="19" t="s">
        <v>27553</v>
      </c>
      <c r="J574" s="2" t="str">
        <f t="shared" si="2"/>
        <v>(${Variables:E2_7_4_3_kcat} * E2_7_4_3 * C00002 * C00360)/(${Variables:E2_7_4_3_km} + (E2_7_4_3 * C00002 * C00360))</v>
      </c>
      <c r="K574" s="2" t="str">
        <f t="shared" si="3"/>
        <v>r573: C00002 + C00360 -&gt; C00008 + C00206 | (${Variables:E2_7_4_3_kcat} * E2_7_4_3 * C00002 * C00360)/(${Variables:E2_7_4_3_km} + (E2_7_4_3 * C00002 * C00360))</v>
      </c>
    </row>
    <row r="575">
      <c r="A575" s="2" t="s">
        <v>6715</v>
      </c>
      <c r="B575" s="2" t="s">
        <v>6716</v>
      </c>
      <c r="C575" s="2" t="s">
        <v>25173</v>
      </c>
      <c r="D575" s="18">
        <v>574.0</v>
      </c>
      <c r="E575" s="2" t="str">
        <f t="shared" si="1"/>
        <v>E2_7_4_3</v>
      </c>
      <c r="F575" s="19" t="s">
        <v>27554</v>
      </c>
      <c r="G575" s="19" t="s">
        <v>27555</v>
      </c>
      <c r="H575" s="19" t="s">
        <v>27556</v>
      </c>
      <c r="I575" s="19" t="s">
        <v>27557</v>
      </c>
      <c r="J575" s="2" t="str">
        <f t="shared" si="2"/>
        <v>(${Variables:E2_7_4_3_kcat} * E2_7_4_3 * C00068 * C00008)/(${Variables:E2_7_4_3_km} + (E2_7_4_3 * C00068 * C00008))</v>
      </c>
      <c r="K575" s="2" t="str">
        <f t="shared" si="3"/>
        <v>r574: C00068 + C00008 -&gt; C03028 + C00020 | (${Variables:E2_7_4_3_kcat} * E2_7_4_3 * C00068 * C00008)/(${Variables:E2_7_4_3_km} + (E2_7_4_3 * C00068 * C00008))</v>
      </c>
    </row>
    <row r="576">
      <c r="A576" s="2" t="s">
        <v>3081</v>
      </c>
      <c r="B576" s="2" t="s">
        <v>3082</v>
      </c>
      <c r="C576" s="2" t="s">
        <v>25174</v>
      </c>
      <c r="D576" s="18">
        <v>575.0</v>
      </c>
      <c r="E576" s="2" t="str">
        <f t="shared" si="1"/>
        <v>E2_7_4_6</v>
      </c>
      <c r="F576" s="19" t="s">
        <v>27558</v>
      </c>
      <c r="G576" s="19" t="s">
        <v>27559</v>
      </c>
      <c r="H576" s="19" t="s">
        <v>27560</v>
      </c>
      <c r="I576" s="19" t="s">
        <v>27561</v>
      </c>
      <c r="J576" s="2" t="str">
        <f t="shared" si="2"/>
        <v>(${Variables:E2_7_4_6_kcat} * E2_7_4_6 * C00002 * C00008)/(${Variables:E2_7_4_6_km} + (E2_7_4_6 * C00002 * C00008))</v>
      </c>
      <c r="K576" s="2" t="str">
        <f t="shared" si="3"/>
        <v>r575: C00002 + C00008 -&gt; C00008 + C00002 | (${Variables:E2_7_4_6_kcat} * E2_7_4_6 * C00002 * C00008)/(${Variables:E2_7_4_6_km} + (E2_7_4_6 * C00002 * C00008))</v>
      </c>
    </row>
    <row r="577">
      <c r="A577" s="2" t="s">
        <v>3081</v>
      </c>
      <c r="B577" s="2" t="s">
        <v>3082</v>
      </c>
      <c r="C577" s="2" t="s">
        <v>25174</v>
      </c>
      <c r="D577" s="18">
        <v>576.0</v>
      </c>
      <c r="E577" s="2" t="str">
        <f t="shared" si="1"/>
        <v>E2_7_4_6</v>
      </c>
      <c r="F577" s="19" t="s">
        <v>27562</v>
      </c>
      <c r="G577" s="19" t="s">
        <v>27563</v>
      </c>
      <c r="H577" s="19" t="s">
        <v>27564</v>
      </c>
      <c r="I577" s="19" t="s">
        <v>27565</v>
      </c>
      <c r="J577" s="2" t="str">
        <f t="shared" si="2"/>
        <v>(${Variables:E2_7_4_6_kcat} * E2_7_4_6 * C11038 * C00002)/(${Variables:E2_7_4_6_km} + (E2_7_4_6 * C11038 * C00002))</v>
      </c>
      <c r="K577" s="2" t="str">
        <f t="shared" si="3"/>
        <v>r576: C11038 + C00002 -&gt; C11039 + C00008 | (${Variables:E2_7_4_6_kcat} * E2_7_4_6 * C11038 * C00002)/(${Variables:E2_7_4_6_km} + (E2_7_4_6 * C11038 * C00002))</v>
      </c>
    </row>
    <row r="578">
      <c r="A578" s="2" t="s">
        <v>3081</v>
      </c>
      <c r="B578" s="2" t="s">
        <v>3082</v>
      </c>
      <c r="C578" s="2" t="s">
        <v>25174</v>
      </c>
      <c r="D578" s="18">
        <v>577.0</v>
      </c>
      <c r="E578" s="2" t="str">
        <f t="shared" si="1"/>
        <v>E2_7_4_6</v>
      </c>
      <c r="F578" s="19" t="s">
        <v>27566</v>
      </c>
      <c r="G578" s="19" t="s">
        <v>27567</v>
      </c>
      <c r="H578" s="19" t="s">
        <v>27568</v>
      </c>
      <c r="I578" s="19" t="s">
        <v>27569</v>
      </c>
      <c r="J578" s="2" t="str">
        <f t="shared" si="2"/>
        <v>(${Variables:E2_7_4_6_kcat} * E2_7_4_6 * C00002 * C00015)/(${Variables:E2_7_4_6_km} + (E2_7_4_6 * C00002 * C00015))</v>
      </c>
      <c r="K578" s="2" t="str">
        <f t="shared" si="3"/>
        <v>r577: C00002 + C00015 -&gt; C00008 + C00075 | (${Variables:E2_7_4_6_kcat} * E2_7_4_6 * C00002 * C00015)/(${Variables:E2_7_4_6_km} + (E2_7_4_6 * C00002 * C00015))</v>
      </c>
    </row>
    <row r="579">
      <c r="A579" s="2" t="s">
        <v>3081</v>
      </c>
      <c r="B579" s="2" t="s">
        <v>3082</v>
      </c>
      <c r="C579" s="2" t="s">
        <v>25174</v>
      </c>
      <c r="D579" s="18">
        <v>578.0</v>
      </c>
      <c r="E579" s="2" t="str">
        <f t="shared" si="1"/>
        <v>E2_7_4_6</v>
      </c>
      <c r="F579" s="19" t="s">
        <v>27570</v>
      </c>
      <c r="G579" s="19" t="s">
        <v>27571</v>
      </c>
      <c r="H579" s="19" t="s">
        <v>27572</v>
      </c>
      <c r="I579" s="19" t="s">
        <v>27573</v>
      </c>
      <c r="J579" s="2" t="str">
        <f t="shared" si="2"/>
        <v>(${Variables:E2_7_4_6_kcat} * E2_7_4_6 * C00002 * C00035)/(${Variables:E2_7_4_6_km} + (E2_7_4_6 * C00002 * C00035))</v>
      </c>
      <c r="K579" s="2" t="str">
        <f t="shared" si="3"/>
        <v>r578: C00002 + C00035 -&gt; C00008 + C00044 | (${Variables:E2_7_4_6_kcat} * E2_7_4_6 * C00002 * C00035)/(${Variables:E2_7_4_6_km} + (E2_7_4_6 * C00002 * C00035))</v>
      </c>
    </row>
    <row r="580">
      <c r="A580" s="2" t="s">
        <v>3081</v>
      </c>
      <c r="B580" s="2" t="s">
        <v>3082</v>
      </c>
      <c r="C580" s="2" t="s">
        <v>25174</v>
      </c>
      <c r="D580" s="18">
        <v>579.0</v>
      </c>
      <c r="E580" s="2" t="str">
        <f t="shared" si="1"/>
        <v>E2_7_4_6</v>
      </c>
      <c r="F580" s="19" t="s">
        <v>27574</v>
      </c>
      <c r="G580" s="19" t="s">
        <v>27575</v>
      </c>
      <c r="H580" s="19" t="s">
        <v>27576</v>
      </c>
      <c r="I580" s="19" t="s">
        <v>27577</v>
      </c>
      <c r="J580" s="2" t="str">
        <f t="shared" si="2"/>
        <v>(${Variables:E2_7_4_6_kcat} * E2_7_4_6 * C00002 * C00454)/(${Variables:E2_7_4_6_km} + (E2_7_4_6 * C00002 * C00454))</v>
      </c>
      <c r="K580" s="2" t="str">
        <f t="shared" si="3"/>
        <v>r579: C00002 + C00454 -&gt; C00008 + C00201 | (${Variables:E2_7_4_6_kcat} * E2_7_4_6 * C00002 * C00454)/(${Variables:E2_7_4_6_km} + (E2_7_4_6 * C00002 * C00454))</v>
      </c>
    </row>
    <row r="581">
      <c r="A581" s="2" t="s">
        <v>3081</v>
      </c>
      <c r="B581" s="2" t="s">
        <v>3082</v>
      </c>
      <c r="C581" s="2" t="s">
        <v>25174</v>
      </c>
      <c r="D581" s="18">
        <v>580.0</v>
      </c>
      <c r="E581" s="2" t="str">
        <f t="shared" si="1"/>
        <v>E2_7_4_6</v>
      </c>
      <c r="F581" s="19" t="s">
        <v>27578</v>
      </c>
      <c r="G581" s="19" t="s">
        <v>27579</v>
      </c>
      <c r="H581" s="19" t="s">
        <v>27580</v>
      </c>
      <c r="I581" s="19" t="s">
        <v>27581</v>
      </c>
      <c r="J581" s="2" t="str">
        <f t="shared" si="2"/>
        <v>(${Variables:E2_7_4_6_kcat} * E2_7_4_6 * C00002 * C00112)/(${Variables:E2_7_4_6_km} + (E2_7_4_6 * C00002 * C00112))</v>
      </c>
      <c r="K581" s="2" t="str">
        <f t="shared" si="3"/>
        <v>r580: C00002 + C00112 -&gt; C00008 + C00063 | (${Variables:E2_7_4_6_kcat} * E2_7_4_6 * C00002 * C00112)/(${Variables:E2_7_4_6_km} + (E2_7_4_6 * C00002 * C00112))</v>
      </c>
    </row>
    <row r="582">
      <c r="A582" s="2" t="s">
        <v>3081</v>
      </c>
      <c r="B582" s="2" t="s">
        <v>3082</v>
      </c>
      <c r="C582" s="2" t="s">
        <v>25174</v>
      </c>
      <c r="D582" s="18">
        <v>581.0</v>
      </c>
      <c r="E582" s="2" t="str">
        <f t="shared" si="1"/>
        <v>E2_7_4_6</v>
      </c>
      <c r="F582" s="19" t="s">
        <v>27582</v>
      </c>
      <c r="G582" s="19" t="s">
        <v>27583</v>
      </c>
      <c r="H582" s="19" t="s">
        <v>27584</v>
      </c>
      <c r="I582" s="19" t="s">
        <v>27585</v>
      </c>
      <c r="J582" s="2" t="str">
        <f t="shared" si="2"/>
        <v>(${Variables:E2_7_4_6_kcat} * E2_7_4_6 * C00002 * C00104)/(${Variables:E2_7_4_6_km} + (E2_7_4_6 * C00002 * C00104))</v>
      </c>
      <c r="K582" s="2" t="str">
        <f t="shared" si="3"/>
        <v>r581: C00002 + C00104 -&gt; C00008 + C00081 | (${Variables:E2_7_4_6_kcat} * E2_7_4_6 * C00002 * C00104)/(${Variables:E2_7_4_6_km} + (E2_7_4_6 * C00002 * C00104))</v>
      </c>
    </row>
    <row r="583">
      <c r="A583" s="2" t="s">
        <v>3081</v>
      </c>
      <c r="B583" s="2" t="s">
        <v>3082</v>
      </c>
      <c r="C583" s="2" t="s">
        <v>25174</v>
      </c>
      <c r="D583" s="18">
        <v>582.0</v>
      </c>
      <c r="E583" s="2" t="str">
        <f t="shared" si="1"/>
        <v>E2_7_4_6</v>
      </c>
      <c r="F583" s="19" t="s">
        <v>27586</v>
      </c>
      <c r="G583" s="19" t="s">
        <v>27587</v>
      </c>
      <c r="H583" s="19" t="s">
        <v>27588</v>
      </c>
      <c r="I583" s="19" t="s">
        <v>27589</v>
      </c>
      <c r="J583" s="2" t="str">
        <f t="shared" si="2"/>
        <v>(${Variables:E2_7_4_6_kcat} * E2_7_4_6 * C00002 * C00206)/(${Variables:E2_7_4_6_km} + (E2_7_4_6 * C00002 * C00206))</v>
      </c>
      <c r="K583" s="2" t="str">
        <f t="shared" si="3"/>
        <v>r582: C00002 + C00206 -&gt; C00008 + C00131 | (${Variables:E2_7_4_6_kcat} * E2_7_4_6 * C00002 * C00206)/(${Variables:E2_7_4_6_km} + (E2_7_4_6 * C00002 * C00206))</v>
      </c>
    </row>
    <row r="584">
      <c r="A584" s="2" t="s">
        <v>3081</v>
      </c>
      <c r="B584" s="2" t="s">
        <v>3082</v>
      </c>
      <c r="C584" s="2" t="s">
        <v>25174</v>
      </c>
      <c r="D584" s="18">
        <v>583.0</v>
      </c>
      <c r="E584" s="2" t="str">
        <f t="shared" si="1"/>
        <v>E2_7_4_6</v>
      </c>
      <c r="F584" s="19" t="s">
        <v>27590</v>
      </c>
      <c r="G584" s="19" t="s">
        <v>27591</v>
      </c>
      <c r="H584" s="19" t="s">
        <v>27592</v>
      </c>
      <c r="I584" s="19" t="s">
        <v>27593</v>
      </c>
      <c r="J584" s="2" t="str">
        <f t="shared" si="2"/>
        <v>(${Variables:E2_7_4_6_kcat} * E2_7_4_6 * C00002 * C00361)/(${Variables:E2_7_4_6_km} + (E2_7_4_6 * C00002 * C00361))</v>
      </c>
      <c r="K584" s="2" t="str">
        <f t="shared" si="3"/>
        <v>r583: C00002 + C00361 -&gt; C00008 + C00286 | (${Variables:E2_7_4_6_kcat} * E2_7_4_6 * C00002 * C00361)/(${Variables:E2_7_4_6_km} + (E2_7_4_6 * C00002 * C00361))</v>
      </c>
    </row>
    <row r="585">
      <c r="A585" s="2" t="s">
        <v>3081</v>
      </c>
      <c r="B585" s="2" t="s">
        <v>3082</v>
      </c>
      <c r="C585" s="2" t="s">
        <v>25174</v>
      </c>
      <c r="D585" s="18">
        <v>584.0</v>
      </c>
      <c r="E585" s="2" t="str">
        <f t="shared" si="1"/>
        <v>E2_7_4_6</v>
      </c>
      <c r="F585" s="19" t="s">
        <v>27594</v>
      </c>
      <c r="G585" s="19" t="s">
        <v>27595</v>
      </c>
      <c r="H585" s="19" t="s">
        <v>27596</v>
      </c>
      <c r="I585" s="19" t="s">
        <v>27597</v>
      </c>
      <c r="J585" s="2" t="str">
        <f t="shared" si="2"/>
        <v>(${Variables:E2_7_4_6_kcat} * E2_7_4_6 * C00002 * C00363)/(${Variables:E2_7_4_6_km} + (E2_7_4_6 * C00002 * C00363))</v>
      </c>
      <c r="K585" s="2" t="str">
        <f t="shared" si="3"/>
        <v>r584: C00002 + C00363 -&gt; C00008 + C00459 | (${Variables:E2_7_4_6_kcat} * E2_7_4_6 * C00002 * C00363)/(${Variables:E2_7_4_6_km} + (E2_7_4_6 * C00002 * C00363))</v>
      </c>
    </row>
    <row r="586">
      <c r="A586" s="2" t="s">
        <v>3081</v>
      </c>
      <c r="B586" s="2" t="s">
        <v>3082</v>
      </c>
      <c r="C586" s="2" t="s">
        <v>25174</v>
      </c>
      <c r="D586" s="18">
        <v>585.0</v>
      </c>
      <c r="E586" s="2" t="str">
        <f t="shared" si="1"/>
        <v>E2_7_4_6</v>
      </c>
      <c r="F586" s="19" t="s">
        <v>27598</v>
      </c>
      <c r="G586" s="19" t="s">
        <v>27599</v>
      </c>
      <c r="H586" s="19" t="s">
        <v>27600</v>
      </c>
      <c r="I586" s="19" t="s">
        <v>27601</v>
      </c>
      <c r="J586" s="2" t="str">
        <f t="shared" si="2"/>
        <v>(${Variables:E2_7_4_6_kcat} * E2_7_4_6 * C00002 * C00705)/(${Variables:E2_7_4_6_km} + (E2_7_4_6 * C00002 * C00705))</v>
      </c>
      <c r="K586" s="2" t="str">
        <f t="shared" si="3"/>
        <v>r585: C00002 + C00705 -&gt; C00008 + C00458 | (${Variables:E2_7_4_6_kcat} * E2_7_4_6 * C00002 * C00705)/(${Variables:E2_7_4_6_km} + (E2_7_4_6 * C00002 * C00705))</v>
      </c>
    </row>
    <row r="587">
      <c r="A587" s="2" t="s">
        <v>3081</v>
      </c>
      <c r="B587" s="2" t="s">
        <v>3082</v>
      </c>
      <c r="C587" s="2" t="s">
        <v>25174</v>
      </c>
      <c r="D587" s="18">
        <v>586.0</v>
      </c>
      <c r="E587" s="2" t="str">
        <f t="shared" si="1"/>
        <v>E2_7_4_6</v>
      </c>
      <c r="F587" s="19" t="s">
        <v>27602</v>
      </c>
      <c r="G587" s="19" t="s">
        <v>27603</v>
      </c>
      <c r="H587" s="19" t="s">
        <v>27604</v>
      </c>
      <c r="I587" s="19" t="s">
        <v>27605</v>
      </c>
      <c r="J587" s="2" t="str">
        <f t="shared" si="2"/>
        <v>(${Variables:E2_7_4_6_kcat} * E2_7_4_6 * C00002 * C01346)/(${Variables:E2_7_4_6_km} + (E2_7_4_6 * C00002 * C01346))</v>
      </c>
      <c r="K587" s="2" t="str">
        <f t="shared" si="3"/>
        <v>r586: C00002 + C01346 -&gt; C00008 + C00460 | (${Variables:E2_7_4_6_kcat} * E2_7_4_6 * C00002 * C01346)/(${Variables:E2_7_4_6_km} + (E2_7_4_6 * C00002 * C01346))</v>
      </c>
    </row>
    <row r="588">
      <c r="A588" s="2" t="s">
        <v>3081</v>
      </c>
      <c r="B588" s="2" t="s">
        <v>3082</v>
      </c>
      <c r="C588" s="2" t="s">
        <v>25174</v>
      </c>
      <c r="D588" s="18">
        <v>587.0</v>
      </c>
      <c r="E588" s="2" t="str">
        <f t="shared" si="1"/>
        <v>E2_7_4_6</v>
      </c>
      <c r="F588" s="19" t="s">
        <v>27606</v>
      </c>
      <c r="G588" s="19" t="s">
        <v>27607</v>
      </c>
      <c r="H588" s="19" t="s">
        <v>27608</v>
      </c>
      <c r="I588" s="19" t="s">
        <v>27609</v>
      </c>
      <c r="J588" s="2" t="str">
        <f t="shared" si="2"/>
        <v>(${Variables:E2_7_4_6_kcat} * E2_7_4_6 * C00002 * C01344)/(${Variables:E2_7_4_6_km} + (E2_7_4_6 * C00002 * C01344))</v>
      </c>
      <c r="K588" s="2" t="str">
        <f t="shared" si="3"/>
        <v>r587: C00002 + C01344 -&gt; C00008 + C01345 | (${Variables:E2_7_4_6_kcat} * E2_7_4_6 * C00002 * C01344)/(${Variables:E2_7_4_6_km} + (E2_7_4_6 * C00002 * C01344))</v>
      </c>
    </row>
    <row r="589">
      <c r="A589" s="2" t="s">
        <v>3081</v>
      </c>
      <c r="B589" s="2" t="s">
        <v>3082</v>
      </c>
      <c r="C589" s="2" t="s">
        <v>25174</v>
      </c>
      <c r="D589" s="18">
        <v>588.0</v>
      </c>
      <c r="E589" s="2" t="str">
        <f t="shared" si="1"/>
        <v>E2_7_4_6</v>
      </c>
      <c r="F589" s="19" t="s">
        <v>27610</v>
      </c>
      <c r="G589" s="19" t="s">
        <v>27611</v>
      </c>
      <c r="H589" s="19" t="s">
        <v>27612</v>
      </c>
      <c r="I589" s="19" t="s">
        <v>27613</v>
      </c>
      <c r="J589" s="2" t="str">
        <f t="shared" si="2"/>
        <v>(${Variables:E2_7_4_6_kcat} * E2_7_4_6 * C00002 * C21748)/(${Variables:E2_7_4_6_km} + (E2_7_4_6 * C00002 * C21748))</v>
      </c>
      <c r="K589" s="2" t="str">
        <f t="shared" si="3"/>
        <v>r588: C00002 + C21748 -&gt; C00008 + C21749 | (${Variables:E2_7_4_6_kcat} * E2_7_4_6 * C00002 * C21748)/(${Variables:E2_7_4_6_km} + (E2_7_4_6 * C00002 * C21748))</v>
      </c>
    </row>
    <row r="590">
      <c r="A590" s="2" t="s">
        <v>3081</v>
      </c>
      <c r="B590" s="2" t="s">
        <v>3082</v>
      </c>
      <c r="C590" s="2" t="s">
        <v>25174</v>
      </c>
      <c r="D590" s="18">
        <v>589.0</v>
      </c>
      <c r="E590" s="2" t="str">
        <f t="shared" si="1"/>
        <v>E2_7_4_6</v>
      </c>
      <c r="F590" s="19" t="s">
        <v>27614</v>
      </c>
      <c r="G590" s="19" t="s">
        <v>27615</v>
      </c>
      <c r="H590" s="19" t="s">
        <v>27616</v>
      </c>
      <c r="I590" s="19" t="s">
        <v>27617</v>
      </c>
      <c r="J590" s="2" t="str">
        <f t="shared" si="2"/>
        <v>(${Variables:E2_7_4_6_kcat} * E2_7_4_6 * C00002 * C21750)/(${Variables:E2_7_4_6_km} + (E2_7_4_6 * C00002 * C21750))</v>
      </c>
      <c r="K590" s="2" t="str">
        <f t="shared" si="3"/>
        <v>r589: C00002 + C21750 -&gt; C00008 + C21751 | (${Variables:E2_7_4_6_kcat} * E2_7_4_6 * C00002 * C21750)/(${Variables:E2_7_4_6_km} + (E2_7_4_6 * C00002 * C21750))</v>
      </c>
    </row>
    <row r="591">
      <c r="A591" s="2" t="s">
        <v>3081</v>
      </c>
      <c r="B591" s="2" t="s">
        <v>3082</v>
      </c>
      <c r="C591" s="2" t="s">
        <v>25174</v>
      </c>
      <c r="D591" s="18">
        <v>590.0</v>
      </c>
      <c r="E591" s="2" t="str">
        <f t="shared" si="1"/>
        <v>E2_7_4_6</v>
      </c>
      <c r="F591" s="19" t="s">
        <v>27618</v>
      </c>
      <c r="G591" s="19" t="s">
        <v>27619</v>
      </c>
      <c r="H591" s="19" t="s">
        <v>27620</v>
      </c>
      <c r="I591" s="19" t="s">
        <v>27621</v>
      </c>
      <c r="J591" s="2" t="str">
        <f t="shared" si="2"/>
        <v>(${Variables:E2_7_4_6_kcat} * E2_7_4_6 * C22442 * C00002)/(${Variables:E2_7_4_6_km} + (E2_7_4_6 * C22442 * C00002))</v>
      </c>
      <c r="K591" s="2" t="str">
        <f t="shared" si="3"/>
        <v>r590: C22442 + C00002 -&gt; C22443 + C00008 | (${Variables:E2_7_4_6_kcat} * E2_7_4_6 * C22442 * C00002)/(${Variables:E2_7_4_6_km} + (E2_7_4_6 * C22442 * C00002))</v>
      </c>
    </row>
    <row r="592">
      <c r="A592" s="2" t="s">
        <v>11751</v>
      </c>
      <c r="B592" s="2" t="s">
        <v>11752</v>
      </c>
      <c r="C592" s="2" t="s">
        <v>25176</v>
      </c>
      <c r="D592" s="18">
        <v>591.0</v>
      </c>
      <c r="E592" s="2" t="str">
        <f t="shared" si="1"/>
        <v>E2_7_4_8</v>
      </c>
      <c r="F592" s="19" t="s">
        <v>27622</v>
      </c>
      <c r="G592" s="19" t="s">
        <v>27623</v>
      </c>
      <c r="H592" s="19" t="s">
        <v>27624</v>
      </c>
      <c r="I592" s="19" t="s">
        <v>27625</v>
      </c>
      <c r="J592" s="2" t="str">
        <f t="shared" si="2"/>
        <v>(${Variables:E2_7_4_8_kcat} * E2_7_4_8 * C00002 * C00144)/(${Variables:E2_7_4_8_km} + (E2_7_4_8 * C00002 * C00144))</v>
      </c>
      <c r="K592" s="2" t="str">
        <f t="shared" si="3"/>
        <v>r591: C00002 + C00144 -&gt; C00008 + C00035 | (${Variables:E2_7_4_8_kcat} * E2_7_4_8 * C00002 * C00144)/(${Variables:E2_7_4_8_km} + (E2_7_4_8 * C00002 * C00144))</v>
      </c>
    </row>
    <row r="593">
      <c r="A593" s="2" t="s">
        <v>11751</v>
      </c>
      <c r="B593" s="2" t="s">
        <v>11752</v>
      </c>
      <c r="C593" s="2" t="s">
        <v>25176</v>
      </c>
      <c r="D593" s="18">
        <v>592.0</v>
      </c>
      <c r="E593" s="2" t="str">
        <f t="shared" si="1"/>
        <v>E2_7_4_8</v>
      </c>
      <c r="F593" s="19" t="s">
        <v>27626</v>
      </c>
      <c r="G593" s="19" t="s">
        <v>27627</v>
      </c>
      <c r="H593" s="19" t="s">
        <v>27628</v>
      </c>
      <c r="I593" s="19" t="s">
        <v>27629</v>
      </c>
      <c r="J593" s="2" t="str">
        <f t="shared" si="2"/>
        <v>(${Variables:E2_7_4_8_kcat} * E2_7_4_8 * C00002 * C00362)/(${Variables:E2_7_4_8_km} + (E2_7_4_8 * C00002 * C00362))</v>
      </c>
      <c r="K593" s="2" t="str">
        <f t="shared" si="3"/>
        <v>r592: C00002 + C00362 -&gt; C00008 + C00361 | (${Variables:E2_7_4_8_kcat} * E2_7_4_8 * C00002 * C00362)/(${Variables:E2_7_4_8_km} + (E2_7_4_8 * C00002 * C00362))</v>
      </c>
    </row>
    <row r="594">
      <c r="A594" s="2" t="s">
        <v>11751</v>
      </c>
      <c r="B594" s="2" t="s">
        <v>11752</v>
      </c>
      <c r="C594" s="2" t="s">
        <v>25176</v>
      </c>
      <c r="D594" s="18">
        <v>593.0</v>
      </c>
      <c r="E594" s="2" t="str">
        <f t="shared" si="1"/>
        <v>E2_7_4_8</v>
      </c>
      <c r="F594" s="19" t="s">
        <v>27630</v>
      </c>
      <c r="G594" s="19" t="s">
        <v>27631</v>
      </c>
      <c r="H594" s="19" t="s">
        <v>27632</v>
      </c>
      <c r="I594" s="19" t="s">
        <v>27633</v>
      </c>
      <c r="J594" s="2" t="str">
        <f t="shared" si="2"/>
        <v>(${Variables:E2_7_4_8_kcat} * E2_7_4_8 * C22441 * C00002)/(${Variables:E2_7_4_8_km} + (E2_7_4_8 * C22441 * C00002))</v>
      </c>
      <c r="K594" s="2" t="str">
        <f t="shared" si="3"/>
        <v>r593: C22441 + C00002 -&gt; C22442 + C00008 | (${Variables:E2_7_4_8_kcat} * E2_7_4_8 * C22441 * C00002)/(${Variables:E2_7_4_8_km} + (E2_7_4_8 * C22441 * C00002))</v>
      </c>
    </row>
    <row r="595">
      <c r="A595" s="2" t="s">
        <v>7103</v>
      </c>
      <c r="B595" s="2" t="s">
        <v>7104</v>
      </c>
      <c r="C595" s="2" t="s">
        <v>25177</v>
      </c>
      <c r="D595" s="18">
        <v>594.0</v>
      </c>
      <c r="E595" s="2" t="str">
        <f t="shared" si="1"/>
        <v>E2_7_4_9</v>
      </c>
      <c r="F595" s="19" t="s">
        <v>27634</v>
      </c>
      <c r="G595" s="19" t="s">
        <v>27635</v>
      </c>
      <c r="H595" s="19" t="s">
        <v>27636</v>
      </c>
      <c r="I595" s="19" t="s">
        <v>27637</v>
      </c>
      <c r="J595" s="2" t="str">
        <f t="shared" si="2"/>
        <v>(${Variables:E2_7_4_9_kcat} * E2_7_4_9 * C00002 * C00364)/(${Variables:E2_7_4_9_km} + (E2_7_4_9 * C00002 * C00364))</v>
      </c>
      <c r="K595" s="2" t="str">
        <f t="shared" si="3"/>
        <v>r594: C00002 + C00364 -&gt; C00008 + C00363 | (${Variables:E2_7_4_9_kcat} * E2_7_4_9 * C00002 * C00364)/(${Variables:E2_7_4_9_km} + (E2_7_4_9 * C00002 * C00364))</v>
      </c>
    </row>
    <row r="596">
      <c r="A596" s="2" t="s">
        <v>7103</v>
      </c>
      <c r="B596" s="2" t="s">
        <v>7104</v>
      </c>
      <c r="C596" s="2" t="s">
        <v>25177</v>
      </c>
      <c r="D596" s="18">
        <v>595.0</v>
      </c>
      <c r="E596" s="2" t="str">
        <f t="shared" si="1"/>
        <v>E2_7_4_9</v>
      </c>
      <c r="F596" s="19" t="s">
        <v>27638</v>
      </c>
      <c r="G596" s="19" t="s">
        <v>27639</v>
      </c>
      <c r="H596" s="19" t="s">
        <v>27640</v>
      </c>
      <c r="I596" s="19" t="s">
        <v>27641</v>
      </c>
      <c r="J596" s="2" t="str">
        <f t="shared" si="2"/>
        <v>(${Variables:E2_7_4_9_kcat} * E2_7_4_9 * C00002 * C00365)/(${Variables:E2_7_4_9_km} + (E2_7_4_9 * C00002 * C00365))</v>
      </c>
      <c r="K596" s="2" t="str">
        <f t="shared" si="3"/>
        <v>r595: C00002 + C00365 -&gt; C00008 + C01346 | (${Variables:E2_7_4_9_kcat} * E2_7_4_9 * C00002 * C00365)/(${Variables:E2_7_4_9_km} + (E2_7_4_9 * C00002 * C00365))</v>
      </c>
    </row>
    <row r="597">
      <c r="A597" s="2" t="s">
        <v>7032</v>
      </c>
      <c r="B597" s="2" t="s">
        <v>7033</v>
      </c>
      <c r="C597" s="2" t="s">
        <v>25178</v>
      </c>
      <c r="D597" s="18">
        <v>596.0</v>
      </c>
      <c r="E597" s="2" t="str">
        <f t="shared" si="1"/>
        <v>E2_7_6_1</v>
      </c>
      <c r="F597" s="19" t="s">
        <v>27642</v>
      </c>
      <c r="G597" s="19" t="s">
        <v>27643</v>
      </c>
      <c r="H597" s="19" t="s">
        <v>27644</v>
      </c>
      <c r="I597" s="19" t="s">
        <v>27645</v>
      </c>
      <c r="J597" s="2" t="str">
        <f t="shared" si="2"/>
        <v>(${Variables:E2_7_6_1_kcat} * E2_7_6_1 * C00002 * C00117)/(${Variables:E2_7_6_1_km} + (E2_7_6_1 * C00002 * C00117))</v>
      </c>
      <c r="K597" s="2" t="str">
        <f t="shared" si="3"/>
        <v>r596: C00002 + C00117 -&gt; C00020 + C00119 | (${Variables:E2_7_6_1_kcat} * E2_7_6_1 * C00002 * C00117)/(${Variables:E2_7_6_1_km} + (E2_7_6_1 * C00002 * C00117))</v>
      </c>
    </row>
    <row r="598">
      <c r="A598" s="2" t="s">
        <v>11794</v>
      </c>
      <c r="B598" s="2" t="s">
        <v>11795</v>
      </c>
      <c r="C598" s="2" t="s">
        <v>25179</v>
      </c>
      <c r="D598" s="18">
        <v>597.0</v>
      </c>
      <c r="E598" s="2" t="str">
        <f t="shared" si="1"/>
        <v>E2_7_6_2</v>
      </c>
      <c r="F598" s="19" t="s">
        <v>27646</v>
      </c>
      <c r="G598" s="19" t="s">
        <v>27647</v>
      </c>
      <c r="H598" s="19" t="s">
        <v>27648</v>
      </c>
      <c r="I598" s="19" t="s">
        <v>27649</v>
      </c>
      <c r="J598" s="2" t="str">
        <f t="shared" si="2"/>
        <v>(${Variables:E2_7_6_2_kcat} * E2_7_6_2 * C00002 * C00378)/(${Variables:E2_7_6_2_km} + (E2_7_6_2 * C00002 * C00378))</v>
      </c>
      <c r="K598" s="2" t="str">
        <f t="shared" si="3"/>
        <v>r597: C00002 + C00378 -&gt; C00020 + C00068 | (${Variables:E2_7_6_2_kcat} * E2_7_6_2 * C00002 * C00378)/(${Variables:E2_7_6_2_km} + (E2_7_6_2 * C00002 * C00378))</v>
      </c>
    </row>
    <row r="599">
      <c r="A599" s="2" t="s">
        <v>6944</v>
      </c>
      <c r="B599" s="2" t="s">
        <v>6945</v>
      </c>
      <c r="C599" s="2" t="s">
        <v>25180</v>
      </c>
      <c r="D599" s="18">
        <v>598.0</v>
      </c>
      <c r="E599" s="2" t="str">
        <f t="shared" si="1"/>
        <v>E2_7_6_3</v>
      </c>
      <c r="F599" s="19" t="s">
        <v>27650</v>
      </c>
      <c r="G599" s="19" t="s">
        <v>27651</v>
      </c>
      <c r="H599" s="19" t="s">
        <v>27652</v>
      </c>
      <c r="I599" s="19" t="s">
        <v>27653</v>
      </c>
      <c r="J599" s="2" t="str">
        <f t="shared" si="2"/>
        <v>(${Variables:E2_7_6_3_kcat} * E2_7_6_3 * C00002 * C01300)/(${Variables:E2_7_6_3_km} + (E2_7_6_3 * C00002 * C01300))</v>
      </c>
      <c r="K599" s="2" t="str">
        <f t="shared" si="3"/>
        <v>r598: C00002 + C01300 -&gt; C00020 + C04807 | (${Variables:E2_7_6_3_kcat} * E2_7_6_3 * C00002 * C01300)/(${Variables:E2_7_6_3_km} + (E2_7_6_3 * C00002 * C01300))</v>
      </c>
    </row>
    <row r="600">
      <c r="A600" s="2" t="s">
        <v>10144</v>
      </c>
      <c r="B600" s="2" t="s">
        <v>10145</v>
      </c>
      <c r="C600" s="2" t="s">
        <v>25181</v>
      </c>
      <c r="D600" s="18">
        <v>599.0</v>
      </c>
      <c r="E600" s="2" t="str">
        <f t="shared" si="1"/>
        <v>E2_7_6_5</v>
      </c>
      <c r="F600" s="19" t="s">
        <v>27654</v>
      </c>
      <c r="G600" s="19" t="s">
        <v>27655</v>
      </c>
      <c r="H600" s="19" t="s">
        <v>27656</v>
      </c>
      <c r="I600" s="19" t="s">
        <v>27657</v>
      </c>
      <c r="J600" s="2" t="str">
        <f t="shared" si="2"/>
        <v>(${Variables:E2_7_6_5_kcat} * E2_7_6_5 * C00002 * C00044)/(${Variables:E2_7_6_5_km} + (E2_7_6_5 * C00002 * C00044))</v>
      </c>
      <c r="K600" s="2" t="str">
        <f t="shared" si="3"/>
        <v>r599: C00002 + C00044 -&gt; C00020 + C04494 | (${Variables:E2_7_6_5_kcat} * E2_7_6_5 * C00002 * C00044)/(${Variables:E2_7_6_5_km} + (E2_7_6_5 * C00002 * C00044))</v>
      </c>
    </row>
    <row r="601">
      <c r="A601" s="2" t="s">
        <v>8850</v>
      </c>
      <c r="B601" s="2" t="s">
        <v>8851</v>
      </c>
      <c r="C601" s="2" t="s">
        <v>25184</v>
      </c>
      <c r="D601" s="18">
        <v>600.0</v>
      </c>
      <c r="E601" s="2" t="str">
        <f t="shared" si="1"/>
        <v>E2_7_7_27</v>
      </c>
      <c r="F601" s="19" t="s">
        <v>27658</v>
      </c>
      <c r="G601" s="19" t="s">
        <v>27659</v>
      </c>
      <c r="H601" s="19" t="s">
        <v>27660</v>
      </c>
      <c r="I601" s="19" t="s">
        <v>27661</v>
      </c>
      <c r="J601" s="2" t="str">
        <f t="shared" si="2"/>
        <v>(${Variables:E2_7_7_27_kcat} * E2_7_7_27 * C00002 * C00103)/(${Variables:E2_7_7_27_km} + (E2_7_7_27 * C00002 * C00103))</v>
      </c>
      <c r="K601" s="2" t="str">
        <f t="shared" si="3"/>
        <v>r600: C00002 + C00103 -&gt; C00013 + C00498 | (${Variables:E2_7_7_27_kcat} * E2_7_7_27 * C00002 * C00103)/(${Variables:E2_7_7_27_km} + (E2_7_7_27 * C00002 * C00103))</v>
      </c>
    </row>
    <row r="602">
      <c r="A602" s="2" t="s">
        <v>11554</v>
      </c>
      <c r="B602" s="2" t="s">
        <v>11555</v>
      </c>
      <c r="C602" s="2" t="s">
        <v>25185</v>
      </c>
      <c r="D602" s="18">
        <v>601.0</v>
      </c>
      <c r="E602" s="2" t="str">
        <f t="shared" si="1"/>
        <v>E2_7_7_3</v>
      </c>
      <c r="F602" s="19" t="s">
        <v>27662</v>
      </c>
      <c r="G602" s="19" t="s">
        <v>27663</v>
      </c>
      <c r="H602" s="19" t="s">
        <v>27664</v>
      </c>
      <c r="I602" s="19" t="s">
        <v>27665</v>
      </c>
      <c r="J602" s="2" t="str">
        <f t="shared" si="2"/>
        <v>(${Variables:E2_7_7_3_kcat} * E2_7_7_3 * C00002 * C01134)/(${Variables:E2_7_7_3_km} + (E2_7_7_3 * C00002 * C01134))</v>
      </c>
      <c r="K602" s="2" t="str">
        <f t="shared" si="3"/>
        <v>r601: C00002 + C01134 -&gt; C00013 + C00882 | (${Variables:E2_7_7_3_kcat} * E2_7_7_3 * C00002 * C01134)/(${Variables:E2_7_7_3_km} + (E2_7_7_3 * C00002 * C01134))</v>
      </c>
    </row>
    <row r="603">
      <c r="A603" s="2" t="s">
        <v>13111</v>
      </c>
      <c r="B603" s="2" t="s">
        <v>13112</v>
      </c>
      <c r="C603" s="2" t="s">
        <v>25186</v>
      </c>
      <c r="D603" s="18">
        <v>602.0</v>
      </c>
      <c r="E603" s="2" t="str">
        <f t="shared" si="1"/>
        <v>E2_7_7_33</v>
      </c>
      <c r="F603" s="19" t="s">
        <v>27666</v>
      </c>
      <c r="G603" s="19" t="s">
        <v>27667</v>
      </c>
      <c r="H603" s="19" t="s">
        <v>27668</v>
      </c>
      <c r="I603" s="19" t="s">
        <v>27669</v>
      </c>
      <c r="J603" s="2" t="str">
        <f t="shared" si="2"/>
        <v>(${Variables:E2_7_7_33_kcat} * E2_7_7_33 * C00063 * C00103)/(${Variables:E2_7_7_33_km} + (E2_7_7_33 * C00063 * C00103))</v>
      </c>
      <c r="K603" s="2" t="str">
        <f t="shared" si="3"/>
        <v>r602: C00063 + C00103 -&gt; C00013 + C00501 | (${Variables:E2_7_7_33_kcat} * E2_7_7_33 * C00063 * C00103)/(${Variables:E2_7_7_33_km} + (E2_7_7_33 * C00063 * C00103))</v>
      </c>
    </row>
    <row r="604">
      <c r="A604" s="2" t="s">
        <v>3353</v>
      </c>
      <c r="B604" s="2" t="s">
        <v>3354</v>
      </c>
      <c r="C604" s="2" t="s">
        <v>25187</v>
      </c>
      <c r="D604" s="18">
        <v>603.0</v>
      </c>
      <c r="E604" s="2" t="str">
        <f t="shared" si="1"/>
        <v>E2_7_7_4</v>
      </c>
      <c r="F604" s="19" t="s">
        <v>27670</v>
      </c>
      <c r="G604" s="19" t="s">
        <v>27671</v>
      </c>
      <c r="H604" s="19" t="s">
        <v>27672</v>
      </c>
      <c r="I604" s="19" t="s">
        <v>27673</v>
      </c>
      <c r="J604" s="2" t="str">
        <f t="shared" si="2"/>
        <v>(${Variables:E2_7_7_4_kcat} * E2_7_7_4 * C00002 * C00059)/(${Variables:E2_7_7_4_km} + (E2_7_7_4 * C00002 * C00059))</v>
      </c>
      <c r="K604" s="2" t="str">
        <f t="shared" si="3"/>
        <v>r603: C00002 + C00059 -&gt; C00013 + C00224 | (${Variables:E2_7_7_4_kcat} * E2_7_7_4 * C00002 * C00059)/(${Variables:E2_7_7_4_km} + (E2_7_7_4 * C00002 * C00059))</v>
      </c>
    </row>
    <row r="605">
      <c r="A605" s="2" t="s">
        <v>3353</v>
      </c>
      <c r="B605" s="2" t="s">
        <v>3354</v>
      </c>
      <c r="C605" s="2" t="s">
        <v>25187</v>
      </c>
      <c r="D605" s="18">
        <v>604.0</v>
      </c>
      <c r="E605" s="2" t="str">
        <f t="shared" si="1"/>
        <v>E2_7_7_4</v>
      </c>
      <c r="F605" s="19" t="s">
        <v>27674</v>
      </c>
      <c r="G605" s="19" t="s">
        <v>27675</v>
      </c>
      <c r="H605" s="19" t="s">
        <v>27676</v>
      </c>
      <c r="I605" s="19" t="s">
        <v>27677</v>
      </c>
      <c r="J605" s="2" t="str">
        <f t="shared" si="2"/>
        <v>(${Variables:E2_7_7_4_kcat} * E2_7_7_4 * C00002 * C05697)/(${Variables:E2_7_7_4_km} + (E2_7_7_4 * C00002 * C05697))</v>
      </c>
      <c r="K605" s="2" t="str">
        <f t="shared" si="3"/>
        <v>r604: C00002 + C05697 -&gt; C00013 + C05686 | (${Variables:E2_7_7_4_kcat} * E2_7_7_4 * C00002 * C05697)/(${Variables:E2_7_7_4_km} + (E2_7_7_4 * C00002 * C05697))</v>
      </c>
    </row>
    <row r="606">
      <c r="A606" s="2" t="s">
        <v>11935</v>
      </c>
      <c r="B606" s="2" t="s">
        <v>11936</v>
      </c>
      <c r="C606" s="2" t="s">
        <v>25188</v>
      </c>
      <c r="D606" s="18">
        <v>605.0</v>
      </c>
      <c r="E606" s="2" t="str">
        <f t="shared" si="1"/>
        <v>E2_7_7_41</v>
      </c>
      <c r="F606" s="19" t="s">
        <v>27678</v>
      </c>
      <c r="G606" s="19" t="s">
        <v>27679</v>
      </c>
      <c r="H606" s="19" t="s">
        <v>27680</v>
      </c>
      <c r="I606" s="19" t="s">
        <v>27681</v>
      </c>
      <c r="J606" s="2" t="str">
        <f t="shared" si="2"/>
        <v>(${Variables:E2_7_7_41_kcat} * E2_7_7_41 * C00063 * C00416)/(${Variables:E2_7_7_41_km} + (E2_7_7_41 * C00063 * C00416))</v>
      </c>
      <c r="K606" s="2" t="str">
        <f t="shared" si="3"/>
        <v>r605: C00063 + C00416 -&gt; C00013 + C00269 | (${Variables:E2_7_7_41_kcat} * E2_7_7_41 * C00063 * C00416)/(${Variables:E2_7_7_41_km} + (E2_7_7_41 * C00063 * C00416))</v>
      </c>
    </row>
    <row r="607">
      <c r="A607" s="2" t="s">
        <v>14754</v>
      </c>
      <c r="B607" s="2" t="s">
        <v>14755</v>
      </c>
      <c r="C607" s="2" t="s">
        <v>25189</v>
      </c>
      <c r="D607" s="18">
        <v>606.0</v>
      </c>
      <c r="E607" s="2" t="str">
        <f t="shared" si="1"/>
        <v>E2_7_7_49</v>
      </c>
      <c r="F607" s="19" t="s">
        <v>27682</v>
      </c>
      <c r="G607" s="19" t="s">
        <v>27683</v>
      </c>
      <c r="H607" s="19" t="s">
        <v>27684</v>
      </c>
      <c r="I607" s="19" t="s">
        <v>27685</v>
      </c>
      <c r="J607" s="2" t="str">
        <f t="shared" si="2"/>
        <v>(${Variables:E2_7_7_49_kcat} * E2_7_7_49 * C00677 * C00039)/(${Variables:E2_7_7_49_km} + (E2_7_7_49 * C00677 * C00039))</v>
      </c>
      <c r="K607" s="2" t="str">
        <f t="shared" si="3"/>
        <v>r606: C00677 + C00039 -&gt; C00013 + C00039 | (${Variables:E2_7_7_49_kcat} * E2_7_7_49 * C00677 * C00039)/(${Variables:E2_7_7_49_km} + (E2_7_7_49 * C00677 * C00039))</v>
      </c>
    </row>
    <row r="608">
      <c r="A608" s="2" t="s">
        <v>9873</v>
      </c>
      <c r="B608" s="2" t="s">
        <v>9874</v>
      </c>
      <c r="C608" s="2" t="s">
        <v>25190</v>
      </c>
      <c r="D608" s="18">
        <v>607.0</v>
      </c>
      <c r="E608" s="2" t="str">
        <f t="shared" si="1"/>
        <v>E2_7_7_56</v>
      </c>
      <c r="F608" s="19" t="s">
        <v>27686</v>
      </c>
      <c r="G608" s="19" t="s">
        <v>27687</v>
      </c>
      <c r="H608" s="19" t="s">
        <v>27688</v>
      </c>
      <c r="I608" s="19" t="s">
        <v>27689</v>
      </c>
      <c r="J608" s="2" t="str">
        <f t="shared" si="2"/>
        <v>(${Variables:E2_7_7_56_kcat} * E2_7_7_56 * C00066 * C00009)/(${Variables:E2_7_7_56_km} + (E2_7_7_56 * C00066 * C00009))</v>
      </c>
      <c r="K608" s="2" t="str">
        <f t="shared" si="3"/>
        <v>r607: C00066 + C00009 -&gt; C00066 + C00454 | (${Variables:E2_7_7_56_kcat} * E2_7_7_56 * C00066 * C00009)/(${Variables:E2_7_7_56_km} + (E2_7_7_56 * C00066 * C00009))</v>
      </c>
    </row>
    <row r="609">
      <c r="A609" s="2" t="s">
        <v>6825</v>
      </c>
      <c r="B609" s="2" t="s">
        <v>6826</v>
      </c>
      <c r="C609" s="2" t="s">
        <v>25191</v>
      </c>
      <c r="D609" s="18">
        <v>608.0</v>
      </c>
      <c r="E609" s="2" t="str">
        <f t="shared" si="1"/>
        <v>E2_7_7_6</v>
      </c>
      <c r="F609" s="19" t="s">
        <v>27690</v>
      </c>
      <c r="G609" s="19" t="s">
        <v>27691</v>
      </c>
      <c r="H609" s="19" t="s">
        <v>27692</v>
      </c>
      <c r="I609" s="19" t="s">
        <v>27693</v>
      </c>
      <c r="J609" s="2" t="str">
        <f t="shared" si="2"/>
        <v>(${Variables:E2_7_7_6_kcat} * E2_7_7_6 * C00002 * C00046)/(${Variables:E2_7_7_6_km} + (E2_7_7_6 * C00002 * C00046))</v>
      </c>
      <c r="K609" s="2" t="str">
        <f t="shared" si="3"/>
        <v>r608: C00002 + C00046 -&gt; C00013 + C00046 | (${Variables:E2_7_7_6_kcat} * E2_7_7_6 * C00002 * C00046)/(${Variables:E2_7_7_6_km} + (E2_7_7_6 * C00002 * C00046))</v>
      </c>
    </row>
    <row r="610">
      <c r="A610" s="2" t="s">
        <v>6825</v>
      </c>
      <c r="B610" s="2" t="s">
        <v>6826</v>
      </c>
      <c r="C610" s="2" t="s">
        <v>25191</v>
      </c>
      <c r="D610" s="18">
        <v>609.0</v>
      </c>
      <c r="E610" s="2" t="str">
        <f t="shared" si="1"/>
        <v>E2_7_7_6</v>
      </c>
      <c r="F610" s="19" t="s">
        <v>27694</v>
      </c>
      <c r="G610" s="19" t="s">
        <v>27695</v>
      </c>
      <c r="H610" s="19" t="s">
        <v>27692</v>
      </c>
      <c r="I610" s="19" t="s">
        <v>27693</v>
      </c>
      <c r="J610" s="2" t="str">
        <f t="shared" si="2"/>
        <v>(${Variables:E2_7_7_6_kcat} * E2_7_7_6 * C00044 * C00046)/(${Variables:E2_7_7_6_km} + (E2_7_7_6 * C00044 * C00046))</v>
      </c>
      <c r="K610" s="2" t="str">
        <f t="shared" si="3"/>
        <v>r609: C00044 + C00046 -&gt; C00013 + C00046 | (${Variables:E2_7_7_6_kcat} * E2_7_7_6 * C00044 * C00046)/(${Variables:E2_7_7_6_km} + (E2_7_7_6 * C00044 * C00046))</v>
      </c>
    </row>
    <row r="611">
      <c r="A611" s="2" t="s">
        <v>6825</v>
      </c>
      <c r="B611" s="2" t="s">
        <v>6826</v>
      </c>
      <c r="C611" s="2" t="s">
        <v>25191</v>
      </c>
      <c r="D611" s="18">
        <v>610.0</v>
      </c>
      <c r="E611" s="2" t="str">
        <f t="shared" si="1"/>
        <v>E2_7_7_6</v>
      </c>
      <c r="F611" s="19" t="s">
        <v>27696</v>
      </c>
      <c r="G611" s="19" t="s">
        <v>27697</v>
      </c>
      <c r="H611" s="19" t="s">
        <v>27692</v>
      </c>
      <c r="I611" s="19" t="s">
        <v>27693</v>
      </c>
      <c r="J611" s="2" t="str">
        <f t="shared" si="2"/>
        <v>(${Variables:E2_7_7_6_kcat} * E2_7_7_6 * C00063 * C00046)/(${Variables:E2_7_7_6_km} + (E2_7_7_6 * C00063 * C00046))</v>
      </c>
      <c r="K611" s="2" t="str">
        <f t="shared" si="3"/>
        <v>r610: C00063 + C00046 -&gt; C00013 + C00046 | (${Variables:E2_7_7_6_kcat} * E2_7_7_6 * C00063 * C00046)/(${Variables:E2_7_7_6_km} + (E2_7_7_6 * C00063 * C00046))</v>
      </c>
    </row>
    <row r="612">
      <c r="A612" s="2" t="s">
        <v>6825</v>
      </c>
      <c r="B612" s="2" t="s">
        <v>6826</v>
      </c>
      <c r="C612" s="2" t="s">
        <v>25191</v>
      </c>
      <c r="D612" s="18">
        <v>611.0</v>
      </c>
      <c r="E612" s="2" t="str">
        <f t="shared" si="1"/>
        <v>E2_7_7_6</v>
      </c>
      <c r="F612" s="19" t="s">
        <v>27698</v>
      </c>
      <c r="G612" s="19" t="s">
        <v>27699</v>
      </c>
      <c r="H612" s="19" t="s">
        <v>27692</v>
      </c>
      <c r="I612" s="19" t="s">
        <v>27693</v>
      </c>
      <c r="J612" s="2" t="str">
        <f t="shared" si="2"/>
        <v>(${Variables:E2_7_7_6_kcat} * E2_7_7_6 * C00075 * C00046)/(${Variables:E2_7_7_6_km} + (E2_7_7_6 * C00075 * C00046))</v>
      </c>
      <c r="K612" s="2" t="str">
        <f t="shared" si="3"/>
        <v>r611: C00075 + C00046 -&gt; C00013 + C00046 | (${Variables:E2_7_7_6_kcat} * E2_7_7_6 * C00075 * C00046)/(${Variables:E2_7_7_6_km} + (E2_7_7_6 * C00075 * C00046))</v>
      </c>
    </row>
    <row r="613">
      <c r="A613" s="2" t="s">
        <v>6825</v>
      </c>
      <c r="B613" s="2" t="s">
        <v>6826</v>
      </c>
      <c r="C613" s="2" t="s">
        <v>25191</v>
      </c>
      <c r="D613" s="18">
        <v>612.0</v>
      </c>
      <c r="E613" s="2" t="str">
        <f t="shared" si="1"/>
        <v>E2_7_7_6</v>
      </c>
      <c r="F613" s="19" t="s">
        <v>27700</v>
      </c>
      <c r="G613" s="19" t="s">
        <v>27701</v>
      </c>
      <c r="H613" s="19" t="s">
        <v>27692</v>
      </c>
      <c r="I613" s="19" t="s">
        <v>27693</v>
      </c>
      <c r="J613" s="2" t="str">
        <f t="shared" si="2"/>
        <v>(${Variables:E2_7_7_6_kcat} * E2_7_7_6 * C00201 * C00046)/(${Variables:E2_7_7_6_km} + (E2_7_7_6 * C00201 * C00046))</v>
      </c>
      <c r="K613" s="2" t="str">
        <f t="shared" si="3"/>
        <v>r612: C00201 + C00046 -&gt; C00013 + C00046 | (${Variables:E2_7_7_6_kcat} * E2_7_7_6 * C00201 * C00046)/(${Variables:E2_7_7_6_km} + (E2_7_7_6 * C00201 * C00046))</v>
      </c>
    </row>
    <row r="614">
      <c r="A614" s="2" t="s">
        <v>6825</v>
      </c>
      <c r="B614" s="2" t="s">
        <v>6826</v>
      </c>
      <c r="C614" s="2" t="s">
        <v>25191</v>
      </c>
      <c r="D614" s="18">
        <v>613.0</v>
      </c>
      <c r="E614" s="2" t="str">
        <f t="shared" si="1"/>
        <v>E2_7_7_6</v>
      </c>
      <c r="F614" s="19" t="s">
        <v>17238</v>
      </c>
      <c r="G614" s="19" t="s">
        <v>17238</v>
      </c>
      <c r="H614" s="19" t="s">
        <v>27702</v>
      </c>
      <c r="I614" s="19" t="s">
        <v>27703</v>
      </c>
      <c r="J614" s="2" t="str">
        <f t="shared" si="2"/>
        <v>(${Variables:E2_7_7_6_kcat} * E2_7_7_6 * C00201)/(${Variables:E2_7_7_6_km} + (E2_7_7_6 * C00201))</v>
      </c>
      <c r="K614" s="2" t="str">
        <f t="shared" si="3"/>
        <v>r613: C00201 -&gt; C20864 + C00013 | (${Variables:E2_7_7_6_kcat} * E2_7_7_6 * C00201)/(${Variables:E2_7_7_6_km} + (E2_7_7_6 * C00201))</v>
      </c>
    </row>
    <row r="615">
      <c r="A615" s="2" t="s">
        <v>6892</v>
      </c>
      <c r="B615" s="2" t="s">
        <v>6893</v>
      </c>
      <c r="C615" s="2" t="s">
        <v>25192</v>
      </c>
      <c r="D615" s="18">
        <v>614.0</v>
      </c>
      <c r="E615" s="2" t="str">
        <f t="shared" si="1"/>
        <v>E2_7_7_60</v>
      </c>
      <c r="F615" s="19" t="s">
        <v>27704</v>
      </c>
      <c r="G615" s="19" t="s">
        <v>27705</v>
      </c>
      <c r="H615" s="19" t="s">
        <v>27706</v>
      </c>
      <c r="I615" s="19" t="s">
        <v>27707</v>
      </c>
      <c r="J615" s="2" t="str">
        <f t="shared" si="2"/>
        <v>(${Variables:E2_7_7_60_kcat} * E2_7_7_60 * C11434 * C00063)/(${Variables:E2_7_7_60_km} + (E2_7_7_60 * C11434 * C00063))</v>
      </c>
      <c r="K615" s="2" t="str">
        <f t="shared" si="3"/>
        <v>r614: C11434 + C00063 -&gt; C11435 + C00013 | (${Variables:E2_7_7_60_kcat} * E2_7_7_60 * C11434 * C00063)/(${Variables:E2_7_7_60_km} + (E2_7_7_60 * C11434 * C00063))</v>
      </c>
    </row>
    <row r="616">
      <c r="A616" s="2" t="s">
        <v>7423</v>
      </c>
      <c r="B616" s="2" t="s">
        <v>7424</v>
      </c>
      <c r="C616" s="2" t="s">
        <v>25193</v>
      </c>
      <c r="D616" s="18">
        <v>615.0</v>
      </c>
      <c r="E616" s="2" t="str">
        <f t="shared" si="1"/>
        <v>E2_7_7_65</v>
      </c>
      <c r="F616" s="19" t="s">
        <v>17248</v>
      </c>
      <c r="G616" s="19" t="s">
        <v>17248</v>
      </c>
      <c r="H616" s="19" t="s">
        <v>27708</v>
      </c>
      <c r="I616" s="19" t="s">
        <v>27709</v>
      </c>
      <c r="J616" s="2" t="str">
        <f t="shared" si="2"/>
        <v>(${Variables:E2_7_7_65_kcat} * E2_7_7_65 * C00044)/(${Variables:E2_7_7_65_km} + (E2_7_7_65 * C00044))</v>
      </c>
      <c r="K616" s="2" t="str">
        <f t="shared" si="3"/>
        <v>r615: C00044 -&gt; C16463 + C00013 | (${Variables:E2_7_7_65_kcat} * E2_7_7_65 * C00044)/(${Variables:E2_7_7_65_km} + (E2_7_7_65 * C00044))</v>
      </c>
    </row>
    <row r="617">
      <c r="A617" s="2" t="s">
        <v>7099</v>
      </c>
      <c r="B617" s="2" t="s">
        <v>7100</v>
      </c>
      <c r="C617" s="2" t="s">
        <v>25194</v>
      </c>
      <c r="D617" s="18">
        <v>616.0</v>
      </c>
      <c r="E617" s="2" t="str">
        <f t="shared" si="1"/>
        <v>E2_7_7_7</v>
      </c>
      <c r="F617" s="19" t="s">
        <v>27710</v>
      </c>
      <c r="G617" s="19" t="s">
        <v>27711</v>
      </c>
      <c r="H617" s="19" t="s">
        <v>27684</v>
      </c>
      <c r="I617" s="19" t="s">
        <v>27685</v>
      </c>
      <c r="J617" s="2" t="str">
        <f t="shared" si="2"/>
        <v>(${Variables:E2_7_7_7_kcat} * E2_7_7_7 * C00131 * C00039)/(${Variables:E2_7_7_7_km} + (E2_7_7_7 * C00131 * C00039))</v>
      </c>
      <c r="K617" s="2" t="str">
        <f t="shared" si="3"/>
        <v>r616: C00131 + C00039 -&gt; C00013 + C00039 | (${Variables:E2_7_7_7_kcat} * E2_7_7_7 * C00131 * C00039)/(${Variables:E2_7_7_7_km} + (E2_7_7_7 * C00131 * C00039))</v>
      </c>
    </row>
    <row r="618">
      <c r="A618" s="2" t="s">
        <v>7099</v>
      </c>
      <c r="B618" s="2" t="s">
        <v>7100</v>
      </c>
      <c r="C618" s="2" t="s">
        <v>25194</v>
      </c>
      <c r="D618" s="18">
        <v>617.0</v>
      </c>
      <c r="E618" s="2" t="str">
        <f t="shared" si="1"/>
        <v>E2_7_7_7</v>
      </c>
      <c r="F618" s="19" t="s">
        <v>27712</v>
      </c>
      <c r="G618" s="19" t="s">
        <v>27713</v>
      </c>
      <c r="H618" s="19" t="s">
        <v>27684</v>
      </c>
      <c r="I618" s="19" t="s">
        <v>27685</v>
      </c>
      <c r="J618" s="2" t="str">
        <f t="shared" si="2"/>
        <v>(${Variables:E2_7_7_7_kcat} * E2_7_7_7 * C00286 * C00039)/(${Variables:E2_7_7_7_km} + (E2_7_7_7 * C00286 * C00039))</v>
      </c>
      <c r="K618" s="2" t="str">
        <f t="shared" si="3"/>
        <v>r617: C00286 + C00039 -&gt; C00013 + C00039 | (${Variables:E2_7_7_7_kcat} * E2_7_7_7 * C00286 * C00039)/(${Variables:E2_7_7_7_km} + (E2_7_7_7 * C00286 * C00039))</v>
      </c>
    </row>
    <row r="619">
      <c r="A619" s="2" t="s">
        <v>7099</v>
      </c>
      <c r="B619" s="2" t="s">
        <v>7100</v>
      </c>
      <c r="C619" s="2" t="s">
        <v>25194</v>
      </c>
      <c r="D619" s="18">
        <v>618.0</v>
      </c>
      <c r="E619" s="2" t="str">
        <f t="shared" si="1"/>
        <v>E2_7_7_7</v>
      </c>
      <c r="F619" s="19" t="s">
        <v>27714</v>
      </c>
      <c r="G619" s="19" t="s">
        <v>27715</v>
      </c>
      <c r="H619" s="19" t="s">
        <v>27684</v>
      </c>
      <c r="I619" s="19" t="s">
        <v>27685</v>
      </c>
      <c r="J619" s="2" t="str">
        <f t="shared" si="2"/>
        <v>(${Variables:E2_7_7_7_kcat} * E2_7_7_7 * C00458 * C00039)/(${Variables:E2_7_7_7_km} + (E2_7_7_7 * C00458 * C00039))</v>
      </c>
      <c r="K619" s="2" t="str">
        <f t="shared" si="3"/>
        <v>r618: C00458 + C00039 -&gt; C00013 + C00039 | (${Variables:E2_7_7_7_kcat} * E2_7_7_7 * C00458 * C00039)/(${Variables:E2_7_7_7_km} + (E2_7_7_7 * C00458 * C00039))</v>
      </c>
    </row>
    <row r="620">
      <c r="A620" s="2" t="s">
        <v>7099</v>
      </c>
      <c r="B620" s="2" t="s">
        <v>7100</v>
      </c>
      <c r="C620" s="2" t="s">
        <v>25194</v>
      </c>
      <c r="D620" s="18">
        <v>619.0</v>
      </c>
      <c r="E620" s="2" t="str">
        <f t="shared" si="1"/>
        <v>E2_7_7_7</v>
      </c>
      <c r="F620" s="19" t="s">
        <v>27716</v>
      </c>
      <c r="G620" s="19" t="s">
        <v>27717</v>
      </c>
      <c r="H620" s="19" t="s">
        <v>27684</v>
      </c>
      <c r="I620" s="19" t="s">
        <v>27685</v>
      </c>
      <c r="J620" s="2" t="str">
        <f t="shared" si="2"/>
        <v>(${Variables:E2_7_7_7_kcat} * E2_7_7_7 * C00459 * C00039)/(${Variables:E2_7_7_7_km} + (E2_7_7_7 * C00459 * C00039))</v>
      </c>
      <c r="K620" s="2" t="str">
        <f t="shared" si="3"/>
        <v>r619: C00459 + C00039 -&gt; C00013 + C00039 | (${Variables:E2_7_7_7_kcat} * E2_7_7_7 * C00459 * C00039)/(${Variables:E2_7_7_7_km} + (E2_7_7_7 * C00459 * C00039))</v>
      </c>
    </row>
    <row r="621">
      <c r="A621" s="2" t="s">
        <v>7099</v>
      </c>
      <c r="B621" s="2" t="s">
        <v>7100</v>
      </c>
      <c r="C621" s="2" t="s">
        <v>25194</v>
      </c>
      <c r="D621" s="18">
        <v>620.0</v>
      </c>
      <c r="E621" s="2" t="str">
        <f t="shared" si="1"/>
        <v>E2_7_7_7</v>
      </c>
      <c r="F621" s="19" t="s">
        <v>27682</v>
      </c>
      <c r="G621" s="19" t="s">
        <v>27683</v>
      </c>
      <c r="H621" s="19" t="s">
        <v>27684</v>
      </c>
      <c r="I621" s="19" t="s">
        <v>27685</v>
      </c>
      <c r="J621" s="2" t="str">
        <f t="shared" si="2"/>
        <v>(${Variables:E2_7_7_7_kcat} * E2_7_7_7 * C00677 * C00039)/(${Variables:E2_7_7_7_km} + (E2_7_7_7 * C00677 * C00039))</v>
      </c>
      <c r="K621" s="2" t="str">
        <f t="shared" si="3"/>
        <v>r620: C00677 + C00039 -&gt; C00013 + C00039 | (${Variables:E2_7_7_7_kcat} * E2_7_7_7 * C00677 * C00039)/(${Variables:E2_7_7_7_km} + (E2_7_7_7 * C00677 * C00039))</v>
      </c>
    </row>
    <row r="622">
      <c r="A622" s="2" t="s">
        <v>7099</v>
      </c>
      <c r="B622" s="2" t="s">
        <v>7100</v>
      </c>
      <c r="C622" s="2" t="s">
        <v>25194</v>
      </c>
      <c r="D622" s="18">
        <v>621.0</v>
      </c>
      <c r="E622" s="2" t="str">
        <f t="shared" si="1"/>
        <v>E2_7_7_7</v>
      </c>
      <c r="F622" s="19" t="s">
        <v>17261</v>
      </c>
      <c r="G622" s="19" t="s">
        <v>17261</v>
      </c>
      <c r="H622" s="19" t="s">
        <v>17262</v>
      </c>
      <c r="I622" s="19" t="s">
        <v>17262</v>
      </c>
      <c r="J622" s="2" t="str">
        <f t="shared" si="2"/>
        <v>(${Variables:E2_7_7_7_kcat} * E2_7_7_7 * C11039)/(${Variables:E2_7_7_7_km} + (E2_7_7_7 * C11039))</v>
      </c>
      <c r="K622" s="2" t="str">
        <f t="shared" si="3"/>
        <v>r621: C11039 -&gt; C21031 | (${Variables:E2_7_7_7_kcat} * E2_7_7_7 * C11039)/(${Variables:E2_7_7_7_km} + (E2_7_7_7 * C11039))</v>
      </c>
    </row>
    <row r="623">
      <c r="A623" s="2" t="s">
        <v>3008</v>
      </c>
      <c r="B623" s="2" t="s">
        <v>3009</v>
      </c>
      <c r="C623" s="2" t="s">
        <v>25195</v>
      </c>
      <c r="D623" s="18">
        <v>622.0</v>
      </c>
      <c r="E623" s="2" t="str">
        <f t="shared" si="1"/>
        <v>E2_7_7_72</v>
      </c>
      <c r="F623" s="19" t="s">
        <v>27718</v>
      </c>
      <c r="G623" s="19" t="s">
        <v>27719</v>
      </c>
      <c r="H623" s="19" t="s">
        <v>27720</v>
      </c>
      <c r="I623" s="19" t="s">
        <v>27721</v>
      </c>
      <c r="J623" s="2" t="str">
        <f t="shared" si="2"/>
        <v>(${Variables:E2_7_7_72_kcat} * E2_7_7_72 * C02211 * C00063 * C00002)/(${Variables:E2_7_7_72_km} + (E2_7_7_72 * C02211 * C00063 * C00002))</v>
      </c>
      <c r="K623" s="2" t="str">
        <f t="shared" si="3"/>
        <v>r622: C02211 + C00063 + C00002 -&gt; C19085 + C00013 | (${Variables:E2_7_7_72_kcat} * E2_7_7_72 * C02211 * C00063 * C00002)/(${Variables:E2_7_7_72_km} + (E2_7_7_72 * C02211 * C00063 * C00002))</v>
      </c>
    </row>
    <row r="624">
      <c r="A624" s="2" t="s">
        <v>3008</v>
      </c>
      <c r="B624" s="2" t="s">
        <v>3009</v>
      </c>
      <c r="C624" s="2" t="s">
        <v>25195</v>
      </c>
      <c r="D624" s="18">
        <v>623.0</v>
      </c>
      <c r="E624" s="2" t="str">
        <f t="shared" si="1"/>
        <v>E2_7_7_72</v>
      </c>
      <c r="F624" s="19" t="s">
        <v>27722</v>
      </c>
      <c r="G624" s="19" t="s">
        <v>27723</v>
      </c>
      <c r="H624" s="19" t="s">
        <v>27724</v>
      </c>
      <c r="I624" s="19" t="s">
        <v>27725</v>
      </c>
      <c r="J624" s="2" t="str">
        <f t="shared" si="2"/>
        <v>(${Variables:E2_7_7_72_kcat} * E2_7_7_72 * C02211 * C00063)/(${Variables:E2_7_7_72_km} + (E2_7_7_72 * C02211 * C00063))</v>
      </c>
      <c r="K624" s="2" t="str">
        <f t="shared" si="3"/>
        <v>r623: C02211 + C00063 -&gt; C19078 + C00013 | (${Variables:E2_7_7_72_kcat} * E2_7_7_72 * C02211 * C00063)/(${Variables:E2_7_7_72_km} + (E2_7_7_72 * C02211 * C00063))</v>
      </c>
    </row>
    <row r="625">
      <c r="A625" s="2" t="s">
        <v>3008</v>
      </c>
      <c r="B625" s="2" t="s">
        <v>3009</v>
      </c>
      <c r="C625" s="2" t="s">
        <v>25195</v>
      </c>
      <c r="D625" s="18">
        <v>624.0</v>
      </c>
      <c r="E625" s="2" t="str">
        <f t="shared" si="1"/>
        <v>E2_7_7_72</v>
      </c>
      <c r="F625" s="19" t="s">
        <v>27726</v>
      </c>
      <c r="G625" s="19" t="s">
        <v>27727</v>
      </c>
      <c r="H625" s="19" t="s">
        <v>27728</v>
      </c>
      <c r="I625" s="19" t="s">
        <v>27729</v>
      </c>
      <c r="J625" s="2" t="str">
        <f t="shared" si="2"/>
        <v>(${Variables:E2_7_7_72_kcat} * E2_7_7_72 * C19078 * C00063)/(${Variables:E2_7_7_72_km} + (E2_7_7_72 * C19078 * C00063))</v>
      </c>
      <c r="K625" s="2" t="str">
        <f t="shared" si="3"/>
        <v>r624: C19078 + C00063 -&gt; C19080 + C00013 | (${Variables:E2_7_7_72_kcat} * E2_7_7_72 * C19078 * C00063)/(${Variables:E2_7_7_72_km} + (E2_7_7_72 * C19078 * C00063))</v>
      </c>
    </row>
    <row r="626">
      <c r="A626" s="2" t="s">
        <v>3008</v>
      </c>
      <c r="B626" s="2" t="s">
        <v>3009</v>
      </c>
      <c r="C626" s="2" t="s">
        <v>25195</v>
      </c>
      <c r="D626" s="18">
        <v>625.0</v>
      </c>
      <c r="E626" s="2" t="str">
        <f t="shared" si="1"/>
        <v>E2_7_7_72</v>
      </c>
      <c r="F626" s="19" t="s">
        <v>27730</v>
      </c>
      <c r="G626" s="19" t="s">
        <v>27731</v>
      </c>
      <c r="H626" s="19" t="s">
        <v>27720</v>
      </c>
      <c r="I626" s="19" t="s">
        <v>27721</v>
      </c>
      <c r="J626" s="2" t="str">
        <f t="shared" si="2"/>
        <v>(${Variables:E2_7_7_72_kcat} * E2_7_7_72 * C19080 * C00002)/(${Variables:E2_7_7_72_km} + (E2_7_7_72 * C19080 * C00002))</v>
      </c>
      <c r="K626" s="2" t="str">
        <f t="shared" si="3"/>
        <v>r625: C19080 + C00002 -&gt; C19085 + C00013 | (${Variables:E2_7_7_72_kcat} * E2_7_7_72 * C19080 * C00002)/(${Variables:E2_7_7_72_km} + (E2_7_7_72 * C19080 * C00002))</v>
      </c>
    </row>
    <row r="627">
      <c r="A627" s="2" t="s">
        <v>9129</v>
      </c>
      <c r="B627" s="2" t="s">
        <v>9130</v>
      </c>
      <c r="C627" s="2" t="s">
        <v>25196</v>
      </c>
      <c r="D627" s="18">
        <v>626.0</v>
      </c>
      <c r="E627" s="2" t="str">
        <f t="shared" si="1"/>
        <v>E2_7_7_77</v>
      </c>
      <c r="F627" s="19" t="s">
        <v>27732</v>
      </c>
      <c r="G627" s="19" t="s">
        <v>27733</v>
      </c>
      <c r="H627" s="19" t="s">
        <v>27734</v>
      </c>
      <c r="I627" s="19" t="s">
        <v>27735</v>
      </c>
      <c r="J627" s="2" t="str">
        <f t="shared" si="2"/>
        <v>(${Variables:E2_7_7_77_kcat} * E2_7_7_77 * C18237 * C00044)/(${Variables:E2_7_7_77_km} + (E2_7_7_77 * C18237 * C00044))</v>
      </c>
      <c r="K627" s="2" t="str">
        <f t="shared" si="3"/>
        <v>r626: C18237 + C00044 -&gt; C19871 + C00013 | (${Variables:E2_7_7_77_kcat} * E2_7_7_77 * C18237 * C00044)/(${Variables:E2_7_7_77_km} + (E2_7_7_77 * C18237 * C00044))</v>
      </c>
    </row>
    <row r="628">
      <c r="A628" s="2" t="s">
        <v>11990</v>
      </c>
      <c r="B628" s="2" t="s">
        <v>11991</v>
      </c>
      <c r="C628" s="2" t="s">
        <v>25197</v>
      </c>
      <c r="D628" s="18">
        <v>627.0</v>
      </c>
      <c r="E628" s="2" t="str">
        <f t="shared" si="1"/>
        <v>E2_7_7_8</v>
      </c>
      <c r="F628" s="19" t="s">
        <v>27736</v>
      </c>
      <c r="G628" s="19" t="s">
        <v>27737</v>
      </c>
      <c r="H628" s="19" t="s">
        <v>27738</v>
      </c>
      <c r="I628" s="19" t="s">
        <v>27739</v>
      </c>
      <c r="J628" s="2" t="str">
        <f t="shared" si="2"/>
        <v>(${Variables:E2_7_7_8_kcat} * E2_7_7_8 * C00046 * C00009)/(${Variables:E2_7_7_8_km} + (E2_7_7_8 * C00046 * C00009))</v>
      </c>
      <c r="K628" s="2" t="str">
        <f t="shared" si="3"/>
        <v>r627: C00046 + C00009 -&gt; C00046 + C00008 | (${Variables:E2_7_7_8_kcat} * E2_7_7_8 * C00046 * C00009)/(${Variables:E2_7_7_8_km} + (E2_7_7_8 * C00046 * C00009))</v>
      </c>
    </row>
    <row r="629">
      <c r="A629" s="2" t="s">
        <v>11990</v>
      </c>
      <c r="B629" s="2" t="s">
        <v>11991</v>
      </c>
      <c r="C629" s="2" t="s">
        <v>25197</v>
      </c>
      <c r="D629" s="18">
        <v>628.0</v>
      </c>
      <c r="E629" s="2" t="str">
        <f t="shared" si="1"/>
        <v>E2_7_7_8</v>
      </c>
      <c r="F629" s="19" t="s">
        <v>27736</v>
      </c>
      <c r="G629" s="19" t="s">
        <v>27737</v>
      </c>
      <c r="H629" s="19" t="s">
        <v>27740</v>
      </c>
      <c r="I629" s="19" t="s">
        <v>27741</v>
      </c>
      <c r="J629" s="2" t="str">
        <f t="shared" si="2"/>
        <v>(${Variables:E2_7_7_8_kcat} * E2_7_7_8 * C00046 * C00009)/(${Variables:E2_7_7_8_km} + (E2_7_7_8 * C00046 * C00009))</v>
      </c>
      <c r="K629" s="2" t="str">
        <f t="shared" si="3"/>
        <v>r628: C00046 + C00009 -&gt; C00046 + C00015 | (${Variables:E2_7_7_8_kcat} * E2_7_7_8 * C00046 * C00009)/(${Variables:E2_7_7_8_km} + (E2_7_7_8 * C00046 * C00009))</v>
      </c>
    </row>
    <row r="630">
      <c r="A630" s="2" t="s">
        <v>11990</v>
      </c>
      <c r="B630" s="2" t="s">
        <v>11991</v>
      </c>
      <c r="C630" s="2" t="s">
        <v>25197</v>
      </c>
      <c r="D630" s="18">
        <v>629.0</v>
      </c>
      <c r="E630" s="2" t="str">
        <f t="shared" si="1"/>
        <v>E2_7_7_8</v>
      </c>
      <c r="F630" s="19" t="s">
        <v>27736</v>
      </c>
      <c r="G630" s="19" t="s">
        <v>27737</v>
      </c>
      <c r="H630" s="19" t="s">
        <v>27742</v>
      </c>
      <c r="I630" s="19" t="s">
        <v>27743</v>
      </c>
      <c r="J630" s="2" t="str">
        <f t="shared" si="2"/>
        <v>(${Variables:E2_7_7_8_kcat} * E2_7_7_8 * C00046 * C00009)/(${Variables:E2_7_7_8_km} + (E2_7_7_8 * C00046 * C00009))</v>
      </c>
      <c r="K630" s="2" t="str">
        <f t="shared" si="3"/>
        <v>r629: C00046 + C00009 -&gt; C00046 + C00035 | (${Variables:E2_7_7_8_kcat} * E2_7_7_8 * C00046 * C00009)/(${Variables:E2_7_7_8_km} + (E2_7_7_8 * C00046 * C00009))</v>
      </c>
    </row>
    <row r="631">
      <c r="A631" s="2" t="s">
        <v>11990</v>
      </c>
      <c r="B631" s="2" t="s">
        <v>11991</v>
      </c>
      <c r="C631" s="2" t="s">
        <v>25197</v>
      </c>
      <c r="D631" s="18">
        <v>630.0</v>
      </c>
      <c r="E631" s="2" t="str">
        <f t="shared" si="1"/>
        <v>E2_7_7_8</v>
      </c>
      <c r="F631" s="19" t="s">
        <v>27736</v>
      </c>
      <c r="G631" s="19" t="s">
        <v>27737</v>
      </c>
      <c r="H631" s="19" t="s">
        <v>27744</v>
      </c>
      <c r="I631" s="19" t="s">
        <v>27745</v>
      </c>
      <c r="J631" s="2" t="str">
        <f t="shared" si="2"/>
        <v>(${Variables:E2_7_7_8_kcat} * E2_7_7_8 * C00046 * C00009)/(${Variables:E2_7_7_8_km} + (E2_7_7_8 * C00046 * C00009))</v>
      </c>
      <c r="K631" s="2" t="str">
        <f t="shared" si="3"/>
        <v>r630: C00046 + C00009 -&gt; C00046 + C00112 | (${Variables:E2_7_7_8_kcat} * E2_7_7_8 * C00046 * C00009)/(${Variables:E2_7_7_8_km} + (E2_7_7_8 * C00046 * C00009))</v>
      </c>
    </row>
    <row r="632">
      <c r="A632" s="2" t="s">
        <v>11990</v>
      </c>
      <c r="B632" s="2" t="s">
        <v>11991</v>
      </c>
      <c r="C632" s="2" t="s">
        <v>25197</v>
      </c>
      <c r="D632" s="18">
        <v>631.0</v>
      </c>
      <c r="E632" s="2" t="str">
        <f t="shared" si="1"/>
        <v>E2_7_7_8</v>
      </c>
      <c r="F632" s="19" t="s">
        <v>27736</v>
      </c>
      <c r="G632" s="19" t="s">
        <v>27737</v>
      </c>
      <c r="H632" s="19" t="s">
        <v>27746</v>
      </c>
      <c r="I632" s="19" t="s">
        <v>27747</v>
      </c>
      <c r="J632" s="2" t="str">
        <f t="shared" si="2"/>
        <v>(${Variables:E2_7_7_8_kcat} * E2_7_7_8 * C00046 * C00009)/(${Variables:E2_7_7_8_km} + (E2_7_7_8 * C00046 * C00009))</v>
      </c>
      <c r="K632" s="2" t="str">
        <f t="shared" si="3"/>
        <v>r631: C00046 + C00009 -&gt; C00046 + C00454 | (${Variables:E2_7_7_8_kcat} * E2_7_7_8 * C00046 * C00009)/(${Variables:E2_7_7_8_km} + (E2_7_7_8 * C00046 * C00009))</v>
      </c>
    </row>
    <row r="633">
      <c r="A633" s="2" t="s">
        <v>6624</v>
      </c>
      <c r="B633" s="2" t="s">
        <v>6625</v>
      </c>
      <c r="C633" s="2" t="s">
        <v>25198</v>
      </c>
      <c r="D633" s="18">
        <v>632.0</v>
      </c>
      <c r="E633" s="2" t="str">
        <f t="shared" si="1"/>
        <v>E2_7_7_85</v>
      </c>
      <c r="F633" s="19" t="s">
        <v>17297</v>
      </c>
      <c r="G633" s="19" t="s">
        <v>17297</v>
      </c>
      <c r="H633" s="19" t="s">
        <v>27748</v>
      </c>
      <c r="I633" s="19" t="s">
        <v>27749</v>
      </c>
      <c r="J633" s="2" t="str">
        <f t="shared" si="2"/>
        <v>(${Variables:E2_7_7_85_kcat} * E2_7_7_85 * C00002)/(${Variables:E2_7_7_85_km} + (E2_7_7_85 * C00002))</v>
      </c>
      <c r="K633" s="2" t="str">
        <f t="shared" si="3"/>
        <v>r632: C00002 -&gt; C00013 + C20565 | (${Variables:E2_7_7_85_kcat} * E2_7_7_85 * C00002)/(${Variables:E2_7_7_85_km} + (E2_7_7_85 * C00002))</v>
      </c>
    </row>
    <row r="634">
      <c r="A634" s="2" t="s">
        <v>7662</v>
      </c>
      <c r="B634" s="2" t="s">
        <v>7663</v>
      </c>
      <c r="C634" s="2" t="s">
        <v>25199</v>
      </c>
      <c r="D634" s="18">
        <v>633.0</v>
      </c>
      <c r="E634" s="2" t="str">
        <f t="shared" si="1"/>
        <v>E2_7_7_87</v>
      </c>
      <c r="F634" s="19" t="s">
        <v>27750</v>
      </c>
      <c r="G634" s="19" t="s">
        <v>27751</v>
      </c>
      <c r="H634" s="19" t="s">
        <v>27752</v>
      </c>
      <c r="I634" s="19" t="s">
        <v>27753</v>
      </c>
      <c r="J634" s="2" t="str">
        <f t="shared" si="2"/>
        <v>(${Variables:E2_7_7_87_kcat} * E2_7_7_87 * C00188 * C00002 * C00288 * C00080)/(${Variables:E2_7_7_87_km} + (E2_7_7_87 * C00188 * C00002 * C00288 * C00080))</v>
      </c>
      <c r="K634" s="2" t="str">
        <f t="shared" si="3"/>
        <v>r633: C00188 + C00002 + C00288 + C00080 -&gt; C20641 + C00013 + C00001 | (${Variables:E2_7_7_87_kcat} * E2_7_7_87 * C00188 * C00002 * C00288 * C00080)/(${Variables:E2_7_7_87_km} + (E2_7_7_87 * C00188 * C00002 * C00288 * C00080))</v>
      </c>
    </row>
    <row r="635">
      <c r="A635" s="2" t="s">
        <v>8745</v>
      </c>
      <c r="B635" s="2" t="s">
        <v>8746</v>
      </c>
      <c r="C635" s="2" t="s">
        <v>25200</v>
      </c>
      <c r="D635" s="18">
        <v>634.0</v>
      </c>
      <c r="E635" s="2" t="str">
        <f t="shared" si="1"/>
        <v>E2_7_7_9</v>
      </c>
      <c r="F635" s="19" t="s">
        <v>27754</v>
      </c>
      <c r="G635" s="19" t="s">
        <v>27755</v>
      </c>
      <c r="H635" s="19" t="s">
        <v>27756</v>
      </c>
      <c r="I635" s="19" t="s">
        <v>27757</v>
      </c>
      <c r="J635" s="2" t="str">
        <f t="shared" si="2"/>
        <v>(${Variables:E2_7_7_9_kcat} * E2_7_7_9 * C00075 * C00103)/(${Variables:E2_7_7_9_km} + (E2_7_7_9 * C00075 * C00103))</v>
      </c>
      <c r="K635" s="2" t="str">
        <f t="shared" si="3"/>
        <v>r634: C00075 + C00103 -&gt; C00013 + C00029 | (${Variables:E2_7_7_9_kcat} * E2_7_7_9 * C00075 * C00103)/(${Variables:E2_7_7_9_km} + (E2_7_7_9 * C00075 * C00103))</v>
      </c>
    </row>
    <row r="636">
      <c r="A636" s="2" t="s">
        <v>11605</v>
      </c>
      <c r="B636" s="2" t="s">
        <v>11606</v>
      </c>
      <c r="C636" s="2" t="s">
        <v>25201</v>
      </c>
      <c r="D636" s="18">
        <v>635.0</v>
      </c>
      <c r="E636" s="2" t="str">
        <f t="shared" si="1"/>
        <v>E2_7_8_13</v>
      </c>
      <c r="F636" s="19" t="s">
        <v>27758</v>
      </c>
      <c r="G636" s="19" t="s">
        <v>27759</v>
      </c>
      <c r="H636" s="19" t="s">
        <v>27760</v>
      </c>
      <c r="I636" s="19" t="s">
        <v>27761</v>
      </c>
      <c r="J636" s="2" t="str">
        <f t="shared" si="2"/>
        <v>(${Variables:E2_7_8_13_kcat} * E2_7_8_13 * C04702 * C17556)/(${Variables:E2_7_8_13_km} + (E2_7_8_13 * C04702 * C17556))</v>
      </c>
      <c r="K636" s="2" t="str">
        <f t="shared" si="3"/>
        <v>r635: C04702 + C17556 -&gt; C00105 + C04851 | (${Variables:E2_7_8_13_kcat} * E2_7_8_13 * C04702 * C17556)/(${Variables:E2_7_8_13_km} + (E2_7_8_13 * C04702 * C17556))</v>
      </c>
    </row>
    <row r="637">
      <c r="A637" s="2" t="s">
        <v>11605</v>
      </c>
      <c r="B637" s="2" t="s">
        <v>11606</v>
      </c>
      <c r="C637" s="2" t="s">
        <v>25201</v>
      </c>
      <c r="D637" s="18">
        <v>636.0</v>
      </c>
      <c r="E637" s="2" t="str">
        <f t="shared" si="1"/>
        <v>E2_7_8_13</v>
      </c>
      <c r="F637" s="19" t="s">
        <v>27762</v>
      </c>
      <c r="G637" s="19" t="s">
        <v>27763</v>
      </c>
      <c r="H637" s="19" t="s">
        <v>27764</v>
      </c>
      <c r="I637" s="19" t="s">
        <v>27765</v>
      </c>
      <c r="J637" s="2" t="str">
        <f t="shared" si="2"/>
        <v>(${Variables:E2_7_8_13_kcat} * E2_7_8_13 * C04882 * C17556)/(${Variables:E2_7_8_13_km} + (E2_7_8_13 * C04882 * C17556))</v>
      </c>
      <c r="K637" s="2" t="str">
        <f t="shared" si="3"/>
        <v>r636: C04882 + C17556 -&gt; C00105 + C05897 | (${Variables:E2_7_8_13_kcat} * E2_7_8_13 * C04882 * C17556)/(${Variables:E2_7_8_13_km} + (E2_7_8_13 * C04882 * C17556))</v>
      </c>
    </row>
    <row r="638">
      <c r="A638" s="2" t="s">
        <v>12063</v>
      </c>
      <c r="B638" s="2" t="s">
        <v>12064</v>
      </c>
      <c r="C638" s="2" t="s">
        <v>25202</v>
      </c>
      <c r="D638" s="18">
        <v>637.0</v>
      </c>
      <c r="E638" s="2" t="str">
        <f t="shared" si="1"/>
        <v>E2_7_8_5</v>
      </c>
      <c r="F638" s="19" t="s">
        <v>27766</v>
      </c>
      <c r="G638" s="19" t="s">
        <v>27767</v>
      </c>
      <c r="H638" s="19" t="s">
        <v>27768</v>
      </c>
      <c r="I638" s="19" t="s">
        <v>27769</v>
      </c>
      <c r="J638" s="2" t="str">
        <f t="shared" si="2"/>
        <v>(${Variables:E2_7_8_5_kcat} * E2_7_8_5 * C00269 * C00093)/(${Variables:E2_7_8_5_km} + (E2_7_8_5 * C00269 * C00093))</v>
      </c>
      <c r="K638" s="2" t="str">
        <f t="shared" si="3"/>
        <v>r637: C00269 + C00093 -&gt; C00055 + C03892 | (${Variables:E2_7_8_5_kcat} * E2_7_8_5 * C00269 * C00093)/(${Variables:E2_7_8_5_km} + (E2_7_8_5 * C00269 * C00093))</v>
      </c>
    </row>
    <row r="639">
      <c r="A639" s="2" t="s">
        <v>6428</v>
      </c>
      <c r="B639" s="2" t="s">
        <v>6429</v>
      </c>
      <c r="C639" s="2" t="s">
        <v>25203</v>
      </c>
      <c r="D639" s="18">
        <v>638.0</v>
      </c>
      <c r="E639" s="2" t="str">
        <f t="shared" si="1"/>
        <v>E2_7_8_7</v>
      </c>
      <c r="F639" s="19" t="s">
        <v>27770</v>
      </c>
      <c r="G639" s="19" t="s">
        <v>27771</v>
      </c>
      <c r="H639" s="19" t="s">
        <v>27772</v>
      </c>
      <c r="I639" s="19" t="s">
        <v>27773</v>
      </c>
      <c r="J639" s="2" t="str">
        <f t="shared" si="2"/>
        <v>(${Variables:E2_7_8_7_kcat} * E2_7_8_7 * C00010 * C03688)/(${Variables:E2_7_8_7_km} + (E2_7_8_7 * C00010 * C03688))</v>
      </c>
      <c r="K639" s="2" t="str">
        <f t="shared" si="3"/>
        <v>r638: C00010 + C03688 -&gt; C00054 + C00229 | (${Variables:E2_7_8_7_kcat} * E2_7_8_7 * C00010 * C03688)/(${Variables:E2_7_8_7_km} + (E2_7_8_7 * C00010 * C03688))</v>
      </c>
    </row>
    <row r="640">
      <c r="A640" s="2" t="s">
        <v>3372</v>
      </c>
      <c r="B640" s="2" t="s">
        <v>3373</v>
      </c>
      <c r="C640" s="2" t="s">
        <v>25204</v>
      </c>
      <c r="D640" s="18">
        <v>639.0</v>
      </c>
      <c r="E640" s="2" t="str">
        <f t="shared" si="1"/>
        <v>E2_7_8_8</v>
      </c>
      <c r="F640" s="19" t="s">
        <v>27774</v>
      </c>
      <c r="G640" s="19" t="s">
        <v>27775</v>
      </c>
      <c r="H640" s="19" t="s">
        <v>27776</v>
      </c>
      <c r="I640" s="19" t="s">
        <v>27777</v>
      </c>
      <c r="J640" s="2" t="str">
        <f t="shared" si="2"/>
        <v>(${Variables:E2_7_8_8_kcat} * E2_7_8_8 * C00269 * C00065)/(${Variables:E2_7_8_8_km} + (E2_7_8_8 * C00269 * C00065))</v>
      </c>
      <c r="K640" s="2" t="str">
        <f t="shared" si="3"/>
        <v>r639: C00269 + C00065 -&gt; C00055 + C02737 | (${Variables:E2_7_8_8_kcat} * E2_7_8_8 * C00269 * C00065)/(${Variables:E2_7_8_8_km} + (E2_7_8_8 * C00269 * C00065))</v>
      </c>
    </row>
    <row r="641">
      <c r="A641" s="2" t="s">
        <v>13735</v>
      </c>
      <c r="B641" s="2" t="s">
        <v>13736</v>
      </c>
      <c r="C641" s="2" t="s">
        <v>25205</v>
      </c>
      <c r="D641" s="18">
        <v>640.0</v>
      </c>
      <c r="E641" s="2" t="str">
        <f t="shared" si="1"/>
        <v>E2_7_9_2</v>
      </c>
      <c r="F641" s="19" t="s">
        <v>27778</v>
      </c>
      <c r="G641" s="19" t="s">
        <v>27779</v>
      </c>
      <c r="H641" s="19" t="s">
        <v>27780</v>
      </c>
      <c r="I641" s="19" t="s">
        <v>27781</v>
      </c>
      <c r="J641" s="2" t="str">
        <f t="shared" si="2"/>
        <v>(${Variables:E2_7_9_2_kcat} * E2_7_9_2 * C00002 * C00022 * C00001)/(${Variables:E2_7_9_2_km} + (E2_7_9_2 * C00002 * C00022 * C00001))</v>
      </c>
      <c r="K641" s="2" t="str">
        <f t="shared" si="3"/>
        <v>r640: C00002 + C00022 + C00001 -&gt; C00020 + C00074 + C00009 | (${Variables:E2_7_9_2_kcat} * E2_7_9_2 * C00002 * C00022 * C00001)/(${Variables:E2_7_9_2_km} + (E2_7_9_2 * C00002 * C00022 * C00001))</v>
      </c>
    </row>
    <row r="642">
      <c r="A642" s="2" t="s">
        <v>5193</v>
      </c>
      <c r="B642" s="2" t="s">
        <v>5194</v>
      </c>
      <c r="C642" s="2" t="s">
        <v>25206</v>
      </c>
      <c r="D642" s="18">
        <v>641.0</v>
      </c>
      <c r="E642" s="2" t="str">
        <f t="shared" si="1"/>
        <v>E2_8_1_10</v>
      </c>
      <c r="F642" s="19" t="s">
        <v>27782</v>
      </c>
      <c r="G642" s="19" t="s">
        <v>27783</v>
      </c>
      <c r="H642" s="19" t="s">
        <v>27784</v>
      </c>
      <c r="I642" s="19" t="s">
        <v>27785</v>
      </c>
      <c r="J642" s="2" t="str">
        <f t="shared" si="2"/>
        <v>(${Variables:E2_8_1_10_kcat} * E2_8_1_10 * C11437 * C15809 * C15814)/(${Variables:E2_8_1_10_km} + (E2_8_1_10 * C11437 * C15809 * C15814))</v>
      </c>
      <c r="K642" s="2" t="str">
        <f t="shared" si="3"/>
        <v>r641: C11437 + C15809 + C15814 -&gt; C20246 + C15810 + C00001 | (${Variables:E2_8_1_10_kcat} * E2_8_1_10 * C11437 * C15809 * C15814)/(${Variables:E2_8_1_10_km} + (E2_8_1_10 * C11437 * C15809 * C15814))</v>
      </c>
    </row>
    <row r="643">
      <c r="A643" s="2" t="s">
        <v>10175</v>
      </c>
      <c r="B643" s="2" t="s">
        <v>10176</v>
      </c>
      <c r="C643" s="2" t="s">
        <v>25207</v>
      </c>
      <c r="D643" s="18">
        <v>642.0</v>
      </c>
      <c r="E643" s="2" t="str">
        <f t="shared" si="1"/>
        <v>E2_8_1_13</v>
      </c>
      <c r="F643" s="19" t="s">
        <v>27786</v>
      </c>
      <c r="G643" s="19" t="s">
        <v>27787</v>
      </c>
      <c r="H643" s="19" t="s">
        <v>27788</v>
      </c>
      <c r="I643" s="19" t="s">
        <v>27789</v>
      </c>
      <c r="J643" s="2" t="str">
        <f t="shared" si="2"/>
        <v>(${Variables:E2_8_1_13_kcat} * E2_8_1_13 * C00868 * C15812 * C00002)/(${Variables:E2_8_1_13_km} + (E2_8_1_13 * C00868 * C15812 * C00002))</v>
      </c>
      <c r="K643" s="2" t="str">
        <f t="shared" si="3"/>
        <v>r642: C00868 + C15812 + C00002 -&gt; C17322 + C15811 + C00020 + C00013 | (${Variables:E2_8_1_13_kcat} * E2_8_1_13 * C00868 * C15812 * C00002)/(${Variables:E2_8_1_13_km} + (E2_8_1_13 * C00868 * C15812 * C00002))</v>
      </c>
    </row>
    <row r="644">
      <c r="A644" s="2" t="s">
        <v>9421</v>
      </c>
      <c r="B644" s="2" t="s">
        <v>9422</v>
      </c>
      <c r="C644" s="2" t="s">
        <v>25208</v>
      </c>
      <c r="D644" s="18">
        <v>643.0</v>
      </c>
      <c r="E644" s="2" t="str">
        <f t="shared" si="1"/>
        <v>E2_8_1_4</v>
      </c>
      <c r="F644" s="19" t="s">
        <v>27790</v>
      </c>
      <c r="G644" s="19" t="s">
        <v>27791</v>
      </c>
      <c r="H644" s="19" t="s">
        <v>27792</v>
      </c>
      <c r="I644" s="19" t="s">
        <v>27793</v>
      </c>
      <c r="J644" s="2" t="str">
        <f t="shared" si="2"/>
        <v>(${Variables:E2_8_1_4_kcat} * E2_8_1_4 * C00097 * C02342)/(${Variables:E2_8_1_4_km} + (E2_8_1_4 * C00097 * C02342))</v>
      </c>
      <c r="K644" s="2" t="str">
        <f t="shared" si="3"/>
        <v>r643: C00097 + C02342 -&gt; C00065 + C04161 | (${Variables:E2_8_1_4_kcat} * E2_8_1_4 * C00097 * C02342)/(${Variables:E2_8_1_4_km} + (E2_8_1_4 * C00097 * C02342))</v>
      </c>
    </row>
    <row r="645">
      <c r="A645" s="2" t="s">
        <v>9421</v>
      </c>
      <c r="B645" s="2" t="s">
        <v>9422</v>
      </c>
      <c r="C645" s="2" t="s">
        <v>25208</v>
      </c>
      <c r="D645" s="18">
        <v>644.0</v>
      </c>
      <c r="E645" s="2" t="str">
        <f t="shared" si="1"/>
        <v>E2_8_1_4</v>
      </c>
      <c r="F645" s="19" t="s">
        <v>27794</v>
      </c>
      <c r="G645" s="19" t="s">
        <v>27795</v>
      </c>
      <c r="H645" s="19" t="s">
        <v>27796</v>
      </c>
      <c r="I645" s="19" t="s">
        <v>27797</v>
      </c>
      <c r="J645" s="2" t="str">
        <f t="shared" si="2"/>
        <v>(${Variables:E2_8_1_4_kcat} * E2_8_1_4 * C15812 * C15813 * C00030)/(${Variables:E2_8_1_4_km} + (E2_8_1_4 * C15812 * C15813 * C00030))</v>
      </c>
      <c r="K645" s="2" t="str">
        <f t="shared" si="3"/>
        <v>r644: C15812 + C15813 + C00030 -&gt; C00020 + C15814 + C15811 + C00028 | (${Variables:E2_8_1_4_kcat} * E2_8_1_4 * C15812 * C15813 * C00030)/(${Variables:E2_8_1_4_km} + (E2_8_1_4 * C15812 * C15813 * C00030))</v>
      </c>
    </row>
    <row r="646">
      <c r="A646" s="2" t="s">
        <v>11008</v>
      </c>
      <c r="B646" s="2" t="s">
        <v>11009</v>
      </c>
      <c r="C646" s="2" t="s">
        <v>25209</v>
      </c>
      <c r="D646" s="18">
        <v>645.0</v>
      </c>
      <c r="E646" s="2" t="str">
        <f t="shared" si="1"/>
        <v>E2_8_1_6</v>
      </c>
      <c r="F646" s="19" t="s">
        <v>27798</v>
      </c>
      <c r="G646" s="19" t="s">
        <v>27799</v>
      </c>
      <c r="H646" s="19" t="s">
        <v>27800</v>
      </c>
      <c r="I646" s="19" t="s">
        <v>27801</v>
      </c>
      <c r="J646" s="2" t="str">
        <f t="shared" si="2"/>
        <v>(${Variables:E2_8_1_6_kcat} * E2_8_1_6 * C01909 * C17023 * C00019 * C05359 * C00080)/(${Variables:E2_8_1_6_km} + (E2_8_1_6 * C01909 * C17023 * C00019 * C05359 * C00080))</v>
      </c>
      <c r="K646" s="2" t="str">
        <f t="shared" si="3"/>
        <v>r645: C01909 + C17023 + C00019 + C05359 + C00080 -&gt; C00120 + C00073 + C05198 | (${Variables:E2_8_1_6_kcat} * E2_8_1_6 * C01909 * C17023 * C00019 * C05359 * C00080)/(${Variables:E2_8_1_6_km} + (E2_8_1_6 * C01909 * C17023 * C00019 * C05359 * C00080))</v>
      </c>
    </row>
    <row r="647">
      <c r="A647" s="2" t="s">
        <v>8584</v>
      </c>
      <c r="B647" s="2" t="s">
        <v>8585</v>
      </c>
      <c r="C647" s="2" t="s">
        <v>25210</v>
      </c>
      <c r="D647" s="18">
        <v>646.0</v>
      </c>
      <c r="E647" s="2" t="str">
        <f t="shared" si="1"/>
        <v>E2_8_1_7</v>
      </c>
      <c r="F647" s="19" t="s">
        <v>27802</v>
      </c>
      <c r="G647" s="19" t="s">
        <v>27803</v>
      </c>
      <c r="H647" s="19" t="s">
        <v>27804</v>
      </c>
      <c r="I647" s="19" t="s">
        <v>27805</v>
      </c>
      <c r="J647" s="2" t="str">
        <f t="shared" si="2"/>
        <v>(${Variables:E2_8_1_7_kcat} * E2_8_1_7 * C15811 * C00097)/(${Variables:E2_8_1_7_km} + (E2_8_1_7 * C15811 * C00097))</v>
      </c>
      <c r="K647" s="2" t="str">
        <f t="shared" si="3"/>
        <v>r646: C15811 + C00097 -&gt; C15812 + C00041 | (${Variables:E2_8_1_7_kcat} * E2_8_1_7 * C15811 * C00097)/(${Variables:E2_8_1_7_km} + (E2_8_1_7 * C15811 * C00097))</v>
      </c>
    </row>
    <row r="648">
      <c r="A648" s="2" t="s">
        <v>8584</v>
      </c>
      <c r="B648" s="2" t="s">
        <v>8585</v>
      </c>
      <c r="C648" s="2" t="s">
        <v>25210</v>
      </c>
      <c r="D648" s="18">
        <v>647.0</v>
      </c>
      <c r="E648" s="2" t="str">
        <f t="shared" si="1"/>
        <v>E2_8_1_7</v>
      </c>
      <c r="F648" s="19" t="s">
        <v>27806</v>
      </c>
      <c r="G648" s="19" t="s">
        <v>27807</v>
      </c>
      <c r="H648" s="19" t="s">
        <v>27808</v>
      </c>
      <c r="I648" s="19" t="s">
        <v>27809</v>
      </c>
      <c r="J648" s="2" t="str">
        <f t="shared" si="2"/>
        <v>(${Variables:E2_8_1_7_kcat} * E2_8_1_7 * C00097 * C02743)/(${Variables:E2_8_1_7_km} + (E2_8_1_7 * C00097 * C02743))</v>
      </c>
      <c r="K648" s="2" t="str">
        <f t="shared" si="3"/>
        <v>r647: C00097 + C02743 -&gt; C00041 + C21440 | (${Variables:E2_8_1_7_kcat} * E2_8_1_7 * C00097 * C02743)/(${Variables:E2_8_1_7_km} + (E2_8_1_7 * C00097 * C02743))</v>
      </c>
    </row>
    <row r="649">
      <c r="A649" s="2" t="s">
        <v>8584</v>
      </c>
      <c r="B649" s="2" t="s">
        <v>8585</v>
      </c>
      <c r="C649" s="2" t="s">
        <v>25210</v>
      </c>
      <c r="D649" s="18">
        <v>648.0</v>
      </c>
      <c r="E649" s="2" t="str">
        <f t="shared" si="1"/>
        <v>E2_8_1_7</v>
      </c>
      <c r="F649" s="19" t="s">
        <v>27810</v>
      </c>
      <c r="G649" s="19" t="s">
        <v>27811</v>
      </c>
      <c r="H649" s="19" t="s">
        <v>27812</v>
      </c>
      <c r="I649" s="19" t="s">
        <v>27813</v>
      </c>
      <c r="J649" s="2" t="str">
        <f t="shared" si="2"/>
        <v>(${Variables:E2_8_1_7_kcat} * E2_8_1_7 * C15812 * C02743)/(${Variables:E2_8_1_7_km} + (E2_8_1_7 * C15812 * C02743))</v>
      </c>
      <c r="K649" s="2" t="str">
        <f t="shared" si="3"/>
        <v>r648: C15812 + C02743 -&gt; C15811 + C21440 | (${Variables:E2_8_1_7_kcat} * E2_8_1_7 * C15812 * C02743)/(${Variables:E2_8_1_7_km} + (E2_8_1_7 * C15812 * C02743))</v>
      </c>
    </row>
    <row r="650">
      <c r="A650" s="2" t="s">
        <v>8610</v>
      </c>
      <c r="B650" s="2" t="s">
        <v>8611</v>
      </c>
      <c r="C650" s="2" t="s">
        <v>25211</v>
      </c>
      <c r="D650" s="18">
        <v>649.0</v>
      </c>
      <c r="E650" s="2" t="str">
        <f t="shared" si="1"/>
        <v>E2_8_1_8</v>
      </c>
      <c r="F650" s="19" t="s">
        <v>27814</v>
      </c>
      <c r="G650" s="19" t="s">
        <v>27815</v>
      </c>
      <c r="H650" s="19" t="s">
        <v>27816</v>
      </c>
      <c r="I650" s="19" t="s">
        <v>27817</v>
      </c>
      <c r="J650" s="2" t="str">
        <f t="shared" si="2"/>
        <v>(${Variables:E2_8_1_8_kcat} * E2_8_1_8 * C16236 * C22154 * C00019 * C22150 * C00080)/(${Variables:E2_8_1_8_km} + (E2_8_1_8 * C16236 * C22154 * C00019 * C22150 * C00080))</v>
      </c>
      <c r="K650" s="2" t="str">
        <f t="shared" si="3"/>
        <v>r649: C16236 + C22154 + C00019 + C22150 + C00080 -&gt; C16832 + C22155 + C00283 + C14818 + C00073 + C05198 + C22151 | (${Variables:E2_8_1_8_kcat} * E2_8_1_8 * C16236 * C22154 * C00019 * C22150 * C00080)/(${Variables:E2_8_1_8_km} + (E2_8_1_8 * C16236 * C22154 * C00019 * C22150 * C00080))</v>
      </c>
    </row>
    <row r="651">
      <c r="A651" s="2" t="s">
        <v>8610</v>
      </c>
      <c r="B651" s="2" t="s">
        <v>8611</v>
      </c>
      <c r="C651" s="2" t="s">
        <v>25211</v>
      </c>
      <c r="D651" s="18">
        <v>650.0</v>
      </c>
      <c r="E651" s="2" t="str">
        <f t="shared" si="1"/>
        <v>E2_8_1_8</v>
      </c>
      <c r="F651" s="19" t="s">
        <v>27818</v>
      </c>
      <c r="G651" s="19" t="s">
        <v>27819</v>
      </c>
      <c r="H651" s="19" t="s">
        <v>27820</v>
      </c>
      <c r="I651" s="19" t="s">
        <v>27821</v>
      </c>
      <c r="J651" s="2" t="str">
        <f t="shared" si="2"/>
        <v>(${Variables:E2_8_1_8_kcat} * E2_8_1_8 * C22160 * C22154 * C00019 * C22150 * C00080)/(${Variables:E2_8_1_8_km} + (E2_8_1_8 * C22160 * C22154 * C00019 * C22150 * C00080))</v>
      </c>
      <c r="K651" s="2" t="str">
        <f t="shared" si="3"/>
        <v>r650: C22160 + C22154 + C00019 + C22150 + C00080 -&gt; C15973 + C22155 + C00283 + C14818 + C00073 + C05198 + C22151 | (${Variables:E2_8_1_8_kcat} * E2_8_1_8 * C22160 * C22154 * C00019 * C22150 * C00080)/(${Variables:E2_8_1_8_km} + (E2_8_1_8 * C22160 * C22154 * C00019 * C22150 * C00080))</v>
      </c>
    </row>
    <row r="652">
      <c r="A652" s="2" t="s">
        <v>8610</v>
      </c>
      <c r="B652" s="2" t="s">
        <v>8611</v>
      </c>
      <c r="C652" s="2" t="s">
        <v>25211</v>
      </c>
      <c r="D652" s="18">
        <v>651.0</v>
      </c>
      <c r="E652" s="2" t="str">
        <f t="shared" si="1"/>
        <v>E2_8_1_8</v>
      </c>
      <c r="F652" s="19" t="s">
        <v>27822</v>
      </c>
      <c r="G652" s="19" t="s">
        <v>27823</v>
      </c>
      <c r="H652" s="19" t="s">
        <v>27824</v>
      </c>
      <c r="I652" s="19" t="s">
        <v>27825</v>
      </c>
      <c r="J652" s="2" t="str">
        <f t="shared" si="2"/>
        <v>(${Variables:E2_8_1_8_kcat} * E2_8_1_8 * C22159 * C22154 * C00019 * C22150 * C00080)/(${Variables:E2_8_1_8_km} + (E2_8_1_8 * C22159 * C22154 * C00019 * C22150 * C00080))</v>
      </c>
      <c r="K652" s="2" t="str">
        <f t="shared" si="3"/>
        <v>r651: C22159 + C22154 + C00019 + C22150 + C00080 -&gt; C02972 + C22155 + C00283 + C14818 + C00073 + C05198 + C22151 | (${Variables:E2_8_1_8_kcat} * E2_8_1_8 * C22159 * C22154 * C00019 * C22150 * C00080)/(${Variables:E2_8_1_8_km} + (E2_8_1_8 * C22159 * C22154 * C00019 * C22150 * C00080))</v>
      </c>
    </row>
    <row r="653">
      <c r="A653" s="2" t="s">
        <v>1017</v>
      </c>
      <c r="B653" s="2" t="s">
        <v>1018</v>
      </c>
      <c r="C653" s="2" t="s">
        <v>25212</v>
      </c>
      <c r="D653" s="18">
        <v>652.0</v>
      </c>
      <c r="E653" s="2" t="str">
        <f t="shared" si="1"/>
        <v>E2_8_3_8</v>
      </c>
      <c r="F653" s="19" t="s">
        <v>27826</v>
      </c>
      <c r="G653" s="19" t="s">
        <v>27827</v>
      </c>
      <c r="H653" s="19" t="s">
        <v>27828</v>
      </c>
      <c r="I653" s="19" t="s">
        <v>27829</v>
      </c>
      <c r="J653" s="2" t="str">
        <f t="shared" si="2"/>
        <v>(${Variables:E2_8_3_8_kcat} * E2_8_3_8 * C00040 * C00033)/(${Variables:E2_8_3_8_km} + (E2_8_3_8 * C00040 * C00033))</v>
      </c>
      <c r="K653" s="2" t="str">
        <f t="shared" si="3"/>
        <v>r652: C00040 + C00033 -&gt; C02403 + C00024 | (${Variables:E2_8_3_8_kcat} * E2_8_3_8 * C00040 * C00033)/(${Variables:E2_8_3_8_km} + (E2_8_3_8 * C00040 * C00033))</v>
      </c>
    </row>
    <row r="654">
      <c r="A654" s="2" t="s">
        <v>1017</v>
      </c>
      <c r="B654" s="2" t="s">
        <v>1018</v>
      </c>
      <c r="C654" s="2" t="s">
        <v>25212</v>
      </c>
      <c r="D654" s="18">
        <v>653.0</v>
      </c>
      <c r="E654" s="2" t="str">
        <f t="shared" si="1"/>
        <v>E2_8_3_8</v>
      </c>
      <c r="F654" s="19" t="s">
        <v>27830</v>
      </c>
      <c r="G654" s="19" t="s">
        <v>27831</v>
      </c>
      <c r="H654" s="19" t="s">
        <v>27832</v>
      </c>
      <c r="I654" s="19" t="s">
        <v>27833</v>
      </c>
      <c r="J654" s="2" t="str">
        <f t="shared" si="2"/>
        <v>(${Variables:E2_8_3_8_kcat} * E2_8_3_8 * C00136 * C00033)/(${Variables:E2_8_3_8_km} + (E2_8_3_8 * C00136 * C00033))</v>
      </c>
      <c r="K654" s="2" t="str">
        <f t="shared" si="3"/>
        <v>r653: C00136 + C00033 -&gt; C00246 + C00024 | (${Variables:E2_8_3_8_kcat} * E2_8_3_8 * C00136 * C00033)/(${Variables:E2_8_3_8_km} + (E2_8_3_8 * C00136 * C00033))</v>
      </c>
    </row>
    <row r="655">
      <c r="A655" s="2" t="s">
        <v>1017</v>
      </c>
      <c r="B655" s="2" t="s">
        <v>1018</v>
      </c>
      <c r="C655" s="2" t="s">
        <v>25212</v>
      </c>
      <c r="D655" s="18">
        <v>654.0</v>
      </c>
      <c r="E655" s="2" t="str">
        <f t="shared" si="1"/>
        <v>E2_8_3_8</v>
      </c>
      <c r="F655" s="19" t="s">
        <v>27834</v>
      </c>
      <c r="G655" s="19" t="s">
        <v>27835</v>
      </c>
      <c r="H655" s="19" t="s">
        <v>27836</v>
      </c>
      <c r="I655" s="19" t="s">
        <v>27837</v>
      </c>
      <c r="J655" s="2" t="str">
        <f t="shared" si="2"/>
        <v>(${Variables:E2_8_3_8_kcat} * E2_8_3_8 * C00332 * C00033)/(${Variables:E2_8_3_8_km} + (E2_8_3_8 * C00332 * C00033))</v>
      </c>
      <c r="K655" s="2" t="str">
        <f t="shared" si="3"/>
        <v>r654: C00332 + C00033 -&gt; C00164 + C00024 | (${Variables:E2_8_3_8_kcat} * E2_8_3_8 * C00332 * C00033)/(${Variables:E2_8_3_8_km} + (E2_8_3_8 * C00332 * C00033))</v>
      </c>
    </row>
    <row r="656">
      <c r="A656" s="2" t="s">
        <v>1017</v>
      </c>
      <c r="B656" s="2" t="s">
        <v>1018</v>
      </c>
      <c r="C656" s="2" t="s">
        <v>25212</v>
      </c>
      <c r="D656" s="18">
        <v>655.0</v>
      </c>
      <c r="E656" s="2" t="str">
        <f t="shared" si="1"/>
        <v>E2_8_3_8</v>
      </c>
      <c r="F656" s="19" t="s">
        <v>27838</v>
      </c>
      <c r="G656" s="19" t="s">
        <v>27839</v>
      </c>
      <c r="H656" s="19" t="s">
        <v>27840</v>
      </c>
      <c r="I656" s="19" t="s">
        <v>27841</v>
      </c>
      <c r="J656" s="2" t="str">
        <f t="shared" si="2"/>
        <v>(${Variables:E2_8_3_8_kcat} * E2_8_3_8 * C16272 * C00024)/(${Variables:E2_8_3_8_km} + (E2_8_3_8 * C16272 * C00024))</v>
      </c>
      <c r="K656" s="2" t="str">
        <f t="shared" si="3"/>
        <v>r655: C16272 + C00024 -&gt; C16273 + C00033 | (${Variables:E2_8_3_8_kcat} * E2_8_3_8 * C16272 * C00024)/(${Variables:E2_8_3_8_km} + (E2_8_3_8 * C16272 * C00024))</v>
      </c>
    </row>
    <row r="657">
      <c r="A657" s="2" t="s">
        <v>12095</v>
      </c>
      <c r="B657" s="2" t="s">
        <v>12096</v>
      </c>
      <c r="C657" s="2" t="s">
        <v>25213</v>
      </c>
      <c r="D657" s="18">
        <v>656.0</v>
      </c>
      <c r="E657" s="2" t="str">
        <f t="shared" si="1"/>
        <v>E2_8_4_3</v>
      </c>
      <c r="F657" s="19" t="s">
        <v>27842</v>
      </c>
      <c r="G657" s="19" t="s">
        <v>27843</v>
      </c>
      <c r="H657" s="19" t="s">
        <v>27844</v>
      </c>
      <c r="I657" s="19" t="s">
        <v>27845</v>
      </c>
      <c r="J657" s="2" t="str">
        <f t="shared" si="2"/>
        <v>(${Variables:E2_8_4_3_kcat} * E2_8_4_3 * C04432 * C17023 * C00019)/(${Variables:E2_8_4_3_km} + (E2_8_4_3 * C04432 * C17023 * C00019))</v>
      </c>
      <c r="K657" s="2" t="str">
        <f t="shared" si="3"/>
        <v>r656: C04432 + C17023 + C00019 -&gt; C20753 + C00021 + C00073 + C05198 | (${Variables:E2_8_4_3_kcat} * E2_8_4_3 * C04432 * C17023 * C00019)/(${Variables:E2_8_4_3_km} + (E2_8_4_3 * C04432 * C17023 * C00019))</v>
      </c>
    </row>
    <row r="658">
      <c r="A658" s="2" t="s">
        <v>12095</v>
      </c>
      <c r="B658" s="2" t="s">
        <v>12096</v>
      </c>
      <c r="C658" s="2" t="s">
        <v>25213</v>
      </c>
      <c r="D658" s="18">
        <v>657.0</v>
      </c>
      <c r="E658" s="2" t="str">
        <f t="shared" si="1"/>
        <v>E2_8_4_3</v>
      </c>
      <c r="F658" s="19" t="s">
        <v>27842</v>
      </c>
      <c r="G658" s="19" t="s">
        <v>27843</v>
      </c>
      <c r="H658" s="19" t="s">
        <v>27846</v>
      </c>
      <c r="I658" s="19" t="s">
        <v>27847</v>
      </c>
      <c r="J658" s="2" t="str">
        <f t="shared" si="2"/>
        <v>(${Variables:E2_8_4_3_kcat} * E2_8_4_3 * C04432 * C17023 * C00019)/(${Variables:E2_8_4_3_km} + (E2_8_4_3 * C04432 * C17023 * C00019))</v>
      </c>
      <c r="K658" s="2" t="str">
        <f t="shared" si="3"/>
        <v>r657: C04432 + C17023 + C00019 -&gt; C20755 + C00073 + C05198 | (${Variables:E2_8_4_3_kcat} * E2_8_4_3 * C04432 * C17023 * C00019)/(${Variables:E2_8_4_3_km} + (E2_8_4_3 * C04432 * C17023 * C00019))</v>
      </c>
    </row>
    <row r="659">
      <c r="A659" s="2" t="s">
        <v>12095</v>
      </c>
      <c r="B659" s="2" t="s">
        <v>12096</v>
      </c>
      <c r="C659" s="2" t="s">
        <v>25213</v>
      </c>
      <c r="D659" s="18">
        <v>658.0</v>
      </c>
      <c r="E659" s="2" t="str">
        <f t="shared" si="1"/>
        <v>E2_8_4_3</v>
      </c>
      <c r="F659" s="19" t="s">
        <v>27848</v>
      </c>
      <c r="G659" s="19" t="s">
        <v>27849</v>
      </c>
      <c r="H659" s="19" t="s">
        <v>27850</v>
      </c>
      <c r="I659" s="19" t="s">
        <v>27851</v>
      </c>
      <c r="J659" s="2" t="str">
        <f t="shared" si="2"/>
        <v>(${Variables:E2_8_4_3_kcat} * E2_8_4_3 * C20755 * C00019)/(${Variables:E2_8_4_3_km} + (E2_8_4_3 * C20755 * C00019))</v>
      </c>
      <c r="K659" s="2" t="str">
        <f t="shared" si="3"/>
        <v>r658: C20755 + C00019 -&gt; C20753 + C00021 | (${Variables:E2_8_4_3_kcat} * E2_8_4_3 * C20755 * C00019)/(${Variables:E2_8_4_3_km} + (E2_8_4_3 * C20755 * C00019))</v>
      </c>
    </row>
    <row r="660">
      <c r="A660" s="2" t="s">
        <v>8225</v>
      </c>
      <c r="B660" s="2" t="s">
        <v>8226</v>
      </c>
      <c r="C660" s="2" t="s">
        <v>25214</v>
      </c>
      <c r="D660" s="18">
        <v>659.0</v>
      </c>
      <c r="E660" s="2" t="str">
        <f t="shared" si="1"/>
        <v>E3_1_1_1</v>
      </c>
      <c r="F660" s="19" t="s">
        <v>27852</v>
      </c>
      <c r="G660" s="19" t="s">
        <v>27853</v>
      </c>
      <c r="H660" s="19" t="s">
        <v>27854</v>
      </c>
      <c r="I660" s="19" t="s">
        <v>27855</v>
      </c>
      <c r="J660" s="2" t="str">
        <f t="shared" si="2"/>
        <v>(${Variables:E3_1_1_1_kcat} * E3_1_1_1 * C02391 * C00001)/(${Variables:E3_1_1_1_km} + (E3_1_1_1 * C02391 * C00001))</v>
      </c>
      <c r="K660" s="2" t="str">
        <f t="shared" si="3"/>
        <v>r659: C02391 + C00001 -&gt; C00069 + C00060 | (${Variables:E3_1_1_1_kcat} * E3_1_1_1 * C02391 * C00001)/(${Variables:E3_1_1_1_km} + (E3_1_1_1 * C02391 * C00001))</v>
      </c>
    </row>
    <row r="661">
      <c r="A661" s="2" t="s">
        <v>8225</v>
      </c>
      <c r="B661" s="2" t="s">
        <v>8226</v>
      </c>
      <c r="C661" s="2" t="s">
        <v>25214</v>
      </c>
      <c r="D661" s="18">
        <v>660.0</v>
      </c>
      <c r="E661" s="2" t="str">
        <f t="shared" si="1"/>
        <v>E3_1_1_1</v>
      </c>
      <c r="F661" s="19" t="s">
        <v>27856</v>
      </c>
      <c r="G661" s="19" t="s">
        <v>27857</v>
      </c>
      <c r="H661" s="19" t="s">
        <v>27858</v>
      </c>
      <c r="I661" s="19" t="s">
        <v>27859</v>
      </c>
      <c r="J661" s="2" t="str">
        <f t="shared" si="2"/>
        <v>(${Variables:E3_1_1_1_kcat} * E3_1_1_1 * C01416 * C00001)/(${Variables:E3_1_1_1_km} + (E3_1_1_1 * C01416 * C00001))</v>
      </c>
      <c r="K661" s="2" t="str">
        <f t="shared" si="3"/>
        <v>r660: C01416 + C00001 -&gt; C12448 + C00180 | (${Variables:E3_1_1_1_kcat} * E3_1_1_1 * C01416 * C00001)/(${Variables:E3_1_1_1_km} + (E3_1_1_1 * C01416 * C00001))</v>
      </c>
    </row>
    <row r="662">
      <c r="A662" s="2" t="s">
        <v>8225</v>
      </c>
      <c r="B662" s="2" t="s">
        <v>8226</v>
      </c>
      <c r="C662" s="2" t="s">
        <v>25214</v>
      </c>
      <c r="D662" s="18">
        <v>661.0</v>
      </c>
      <c r="E662" s="2" t="str">
        <f t="shared" si="1"/>
        <v>E3_1_1_1</v>
      </c>
      <c r="F662" s="19" t="s">
        <v>27860</v>
      </c>
      <c r="G662" s="19" t="s">
        <v>27861</v>
      </c>
      <c r="H662" s="19" t="s">
        <v>27862</v>
      </c>
      <c r="I662" s="19" t="s">
        <v>27863</v>
      </c>
      <c r="J662" s="2" t="str">
        <f t="shared" si="2"/>
        <v>(${Variables:E3_1_1_1_kcat} * E3_1_1_1 * C12650 * C00001)/(${Variables:E3_1_1_1_km} + (E3_1_1_1 * C12650 * C00001))</v>
      </c>
      <c r="K662" s="2" t="str">
        <f t="shared" si="3"/>
        <v>r661: C12650 + C00001 -&gt; C16635 + C16834 + C00011 | (${Variables:E3_1_1_1_kcat} * E3_1_1_1 * C12650 * C00001)/(${Variables:E3_1_1_1_km} + (E3_1_1_1 * C12650 * C00001))</v>
      </c>
    </row>
    <row r="663">
      <c r="A663" s="2" t="s">
        <v>8225</v>
      </c>
      <c r="B663" s="2" t="s">
        <v>8226</v>
      </c>
      <c r="C663" s="2" t="s">
        <v>25214</v>
      </c>
      <c r="D663" s="18">
        <v>662.0</v>
      </c>
      <c r="E663" s="2" t="str">
        <f t="shared" si="1"/>
        <v>E3_1_1_1</v>
      </c>
      <c r="F663" s="19" t="s">
        <v>27864</v>
      </c>
      <c r="G663" s="19" t="s">
        <v>27865</v>
      </c>
      <c r="H663" s="19" t="s">
        <v>27866</v>
      </c>
      <c r="I663" s="19" t="s">
        <v>27867</v>
      </c>
      <c r="J663" s="2" t="str">
        <f t="shared" si="2"/>
        <v>(${Variables:E3_1_1_1_kcat} * E3_1_1_1 * C07585 * C00001)/(${Variables:E3_1_1_1_km} + (E3_1_1_1 * C07585 * C00001))</v>
      </c>
      <c r="K663" s="2" t="str">
        <f t="shared" si="3"/>
        <v>r662: C07585 + C00001 -&gt; C07447 + C07446 | (${Variables:E3_1_1_1_kcat} * E3_1_1_1 * C07585 * C00001)/(${Variables:E3_1_1_1_km} + (E3_1_1_1 * C07585 * C00001))</v>
      </c>
    </row>
    <row r="664">
      <c r="A664" s="2" t="s">
        <v>8225</v>
      </c>
      <c r="B664" s="2" t="s">
        <v>8226</v>
      </c>
      <c r="C664" s="2" t="s">
        <v>25214</v>
      </c>
      <c r="D664" s="18">
        <v>663.0</v>
      </c>
      <c r="E664" s="2" t="str">
        <f t="shared" si="1"/>
        <v>E3_1_1_1</v>
      </c>
      <c r="F664" s="19" t="s">
        <v>27868</v>
      </c>
      <c r="G664" s="19" t="s">
        <v>27869</v>
      </c>
      <c r="H664" s="19" t="s">
        <v>27870</v>
      </c>
      <c r="I664" s="19" t="s">
        <v>27871</v>
      </c>
      <c r="J664" s="2" t="str">
        <f t="shared" si="2"/>
        <v>(${Variables:E3_1_1_1_kcat} * E3_1_1_1 * C07054 * C00001)/(${Variables:E3_1_1_1_km} + (E3_1_1_1 * C07054 * C00001))</v>
      </c>
      <c r="K664" s="2" t="str">
        <f t="shared" si="3"/>
        <v>r663: C07054 + C00001 -&gt; C07446 + C05361 | (${Variables:E3_1_1_1_kcat} * E3_1_1_1 * C07054 * C00001)/(${Variables:E3_1_1_1_km} + (E3_1_1_1 * C07054 * C00001))</v>
      </c>
    </row>
    <row r="665">
      <c r="A665" s="2" t="s">
        <v>8225</v>
      </c>
      <c r="B665" s="2" t="s">
        <v>8226</v>
      </c>
      <c r="C665" s="2" t="s">
        <v>25214</v>
      </c>
      <c r="D665" s="18">
        <v>664.0</v>
      </c>
      <c r="E665" s="2" t="str">
        <f t="shared" si="1"/>
        <v>E3_1_1_1</v>
      </c>
      <c r="F665" s="19" t="s">
        <v>27872</v>
      </c>
      <c r="G665" s="19" t="s">
        <v>27873</v>
      </c>
      <c r="H665" s="19" t="s">
        <v>27874</v>
      </c>
      <c r="I665" s="19" t="s">
        <v>27875</v>
      </c>
      <c r="J665" s="2" t="str">
        <f t="shared" si="2"/>
        <v>(${Variables:E3_1_1_1_kcat} * E3_1_1_1 * C16641 * C00001)/(${Variables:E3_1_1_1_km} + (E3_1_1_1 * C16641 * C00001))</v>
      </c>
      <c r="K665" s="2" t="str">
        <f t="shared" si="3"/>
        <v>r664: C16641 + C00001 -&gt; C11173 + C16836 | (${Variables:E3_1_1_1_kcat} * E3_1_1_1 * C16641 * C00001)/(${Variables:E3_1_1_1_km} + (E3_1_1_1 * C16641 * C00001))</v>
      </c>
    </row>
    <row r="666">
      <c r="A666" s="2" t="s">
        <v>8225</v>
      </c>
      <c r="B666" s="2" t="s">
        <v>8226</v>
      </c>
      <c r="C666" s="2" t="s">
        <v>25214</v>
      </c>
      <c r="D666" s="18">
        <v>665.0</v>
      </c>
      <c r="E666" s="2" t="str">
        <f t="shared" si="1"/>
        <v>E3_1_1_1</v>
      </c>
      <c r="F666" s="19" t="s">
        <v>27876</v>
      </c>
      <c r="G666" s="19" t="s">
        <v>27877</v>
      </c>
      <c r="H666" s="19" t="s">
        <v>27878</v>
      </c>
      <c r="I666" s="19" t="s">
        <v>27879</v>
      </c>
      <c r="J666" s="2" t="str">
        <f t="shared" si="2"/>
        <v>(${Variables:E3_1_1_1_kcat} * E3_1_1_1 * C16543 * C00001)/(${Variables:E3_1_1_1_km} + (E3_1_1_1 * C16543 * C00001))</v>
      </c>
      <c r="K666" s="2" t="str">
        <f t="shared" si="3"/>
        <v>r665: C16543 + C00001 -&gt; C11173 + C16837 | (${Variables:E3_1_1_1_kcat} * E3_1_1_1 * C16543 * C00001)/(${Variables:E3_1_1_1_km} + (E3_1_1_1 * C16543 * C00001))</v>
      </c>
    </row>
    <row r="667">
      <c r="A667" s="2" t="s">
        <v>8225</v>
      </c>
      <c r="B667" s="2" t="s">
        <v>8226</v>
      </c>
      <c r="C667" s="2" t="s">
        <v>25214</v>
      </c>
      <c r="D667" s="18">
        <v>666.0</v>
      </c>
      <c r="E667" s="2" t="str">
        <f t="shared" si="1"/>
        <v>E3_1_1_1</v>
      </c>
      <c r="F667" s="19" t="s">
        <v>27880</v>
      </c>
      <c r="G667" s="19" t="s">
        <v>27881</v>
      </c>
      <c r="H667" s="19" t="s">
        <v>27882</v>
      </c>
      <c r="I667" s="19" t="s">
        <v>27883</v>
      </c>
      <c r="J667" s="2" t="str">
        <f t="shared" si="2"/>
        <v>(${Variables:E3_1_1_1_kcat} * E3_1_1_1 * C16561 * C00001)/(${Variables:E3_1_1_1_km} + (E3_1_1_1 * C16561 * C00001))</v>
      </c>
      <c r="K667" s="2" t="str">
        <f t="shared" si="3"/>
        <v>r666: C16561 + C00001 -&gt; C11004 + C11735 | (${Variables:E3_1_1_1_kcat} * E3_1_1_1 * C16561 * C00001)/(${Variables:E3_1_1_1_km} + (E3_1_1_1 * C16561 * C00001))</v>
      </c>
    </row>
    <row r="668">
      <c r="A668" s="2" t="s">
        <v>8225</v>
      </c>
      <c r="B668" s="2" t="s">
        <v>8226</v>
      </c>
      <c r="C668" s="2" t="s">
        <v>25214</v>
      </c>
      <c r="D668" s="18">
        <v>667.0</v>
      </c>
      <c r="E668" s="2" t="str">
        <f t="shared" si="1"/>
        <v>E3_1_1_1</v>
      </c>
      <c r="F668" s="19" t="s">
        <v>27884</v>
      </c>
      <c r="G668" s="19" t="s">
        <v>27885</v>
      </c>
      <c r="H668" s="19" t="s">
        <v>27886</v>
      </c>
      <c r="I668" s="19" t="s">
        <v>27887</v>
      </c>
      <c r="J668" s="2" t="str">
        <f t="shared" si="2"/>
        <v>(${Variables:E3_1_1_1_kcat} * E3_1_1_1 * C07073 * C00001)/(${Variables:E3_1_1_1_km} + (E3_1_1_1 * C07073 * C00001))</v>
      </c>
      <c r="K668" s="2" t="str">
        <f t="shared" si="3"/>
        <v>r667: C07073 + C00001 -&gt; C11004 + C16647 | (${Variables:E3_1_1_1_kcat} * E3_1_1_1 * C07073 * C00001)/(${Variables:E3_1_1_1_km} + (E3_1_1_1 * C07073 * C00001))</v>
      </c>
    </row>
    <row r="669">
      <c r="A669" s="2" t="s">
        <v>7028</v>
      </c>
      <c r="B669" s="2" t="s">
        <v>7029</v>
      </c>
      <c r="C669" s="2" t="s">
        <v>25216</v>
      </c>
      <c r="D669" s="18">
        <v>668.0</v>
      </c>
      <c r="E669" s="2" t="str">
        <f t="shared" si="1"/>
        <v>E3_1_1_29</v>
      </c>
      <c r="F669" s="19" t="s">
        <v>27888</v>
      </c>
      <c r="G669" s="19" t="s">
        <v>27889</v>
      </c>
      <c r="H669" s="19" t="s">
        <v>27890</v>
      </c>
      <c r="I669" s="19" t="s">
        <v>27891</v>
      </c>
      <c r="J669" s="2" t="str">
        <f t="shared" si="2"/>
        <v>(${Variables:E3_1_1_29_kcat} * E3_1_1_29 * C03880 * C00001)/(${Variables:E3_1_1_29_km} + (E3_1_1_29 * C03880 * C00001))</v>
      </c>
      <c r="K669" s="2" t="str">
        <f t="shared" si="3"/>
        <v>r668: C03880 + C00001 -&gt; C03523 + C00066 | (${Variables:E3_1_1_29_kcat} * E3_1_1_29 * C03880 * C00001)/(${Variables:E3_1_1_29_km} + (E3_1_1_29 * C03880 * C00001))</v>
      </c>
    </row>
    <row r="670">
      <c r="A670" s="2" t="s">
        <v>287</v>
      </c>
      <c r="B670" s="2" t="s">
        <v>288</v>
      </c>
      <c r="C670" s="2" t="s">
        <v>25218</v>
      </c>
      <c r="D670" s="18">
        <v>669.0</v>
      </c>
      <c r="E670" s="2" t="str">
        <f t="shared" si="1"/>
        <v>E3_1_1_99</v>
      </c>
      <c r="F670" s="19" t="s">
        <v>27892</v>
      </c>
      <c r="G670" s="19" t="s">
        <v>27893</v>
      </c>
      <c r="H670" s="19" t="s">
        <v>17451</v>
      </c>
      <c r="I670" s="19" t="s">
        <v>17451</v>
      </c>
      <c r="J670" s="2" t="str">
        <f t="shared" si="2"/>
        <v>(${Variables:E3_1_1_99_kcat} * E3_1_1_99 * C21064 * C00001)/(${Variables:E3_1_1_99_km} + (E3_1_1_99 * C21064 * C00001))</v>
      </c>
      <c r="K670" s="2" t="str">
        <f t="shared" si="3"/>
        <v>r669: C21064 + C00001 -&gt; C21182 | (${Variables:E3_1_1_99_kcat} * E3_1_1_99 * C21064 * C00001)/(${Variables:E3_1_1_99_km} + (E3_1_1_99 * C21064 * C00001))</v>
      </c>
    </row>
    <row r="671">
      <c r="A671" s="2" t="s">
        <v>1603</v>
      </c>
      <c r="B671" s="2" t="s">
        <v>1604</v>
      </c>
      <c r="C671" s="2" t="s">
        <v>25220</v>
      </c>
      <c r="D671" s="18">
        <v>670.0</v>
      </c>
      <c r="E671" s="2" t="str">
        <f t="shared" si="1"/>
        <v>E3_1_2_20</v>
      </c>
      <c r="F671" s="19" t="s">
        <v>27894</v>
      </c>
      <c r="G671" s="19" t="s">
        <v>27895</v>
      </c>
      <c r="H671" s="19" t="s">
        <v>27896</v>
      </c>
      <c r="I671" s="19" t="s">
        <v>27897</v>
      </c>
      <c r="J671" s="2" t="str">
        <f t="shared" si="2"/>
        <v>(${Variables:E3_1_2_20_kcat} * E3_1_2_20 * C00040 * C00001)/(${Variables:E3_1_2_20_km} + (E3_1_2_20 * C00040 * C00001))</v>
      </c>
      <c r="K671" s="2" t="str">
        <f t="shared" si="3"/>
        <v>r670: C00040 + C00001 -&gt; C00010 + C00060 | (${Variables:E3_1_2_20_kcat} * E3_1_2_20 * C00040 * C00001)/(${Variables:E3_1_2_20_km} + (E3_1_2_20 * C00040 * C00001))</v>
      </c>
    </row>
    <row r="672">
      <c r="A672" s="2" t="s">
        <v>10306</v>
      </c>
      <c r="B672" s="2" t="s">
        <v>10307</v>
      </c>
      <c r="C672" s="2" t="s">
        <v>25227</v>
      </c>
      <c r="D672" s="18">
        <v>671.0</v>
      </c>
      <c r="E672" s="2" t="str">
        <f t="shared" si="1"/>
        <v>E3_1_3_1</v>
      </c>
      <c r="F672" s="19" t="s">
        <v>27898</v>
      </c>
      <c r="G672" s="19" t="s">
        <v>27899</v>
      </c>
      <c r="H672" s="19" t="s">
        <v>27900</v>
      </c>
      <c r="I672" s="19" t="s">
        <v>27901</v>
      </c>
      <c r="J672" s="2" t="str">
        <f t="shared" si="2"/>
        <v>(${Variables:E3_1_3_1_kcat} * E3_1_3_1 * C01153 * C00001)/(${Variables:E3_1_3_1_km} + (E3_1_3_1 * C01153 * C00001))</v>
      </c>
      <c r="K672" s="2" t="str">
        <f t="shared" si="3"/>
        <v>r671: C01153 + C00001 -&gt; C00069 + C00009 | (${Variables:E3_1_3_1_kcat} * E3_1_3_1 * C01153 * C00001)/(${Variables:E3_1_3_1_km} + (E3_1_3_1 * C01153 * C00001))</v>
      </c>
    </row>
    <row r="673">
      <c r="A673" s="2" t="s">
        <v>10306</v>
      </c>
      <c r="B673" s="2" t="s">
        <v>10307</v>
      </c>
      <c r="C673" s="2" t="s">
        <v>25227</v>
      </c>
      <c r="D673" s="18">
        <v>672.0</v>
      </c>
      <c r="E673" s="2" t="str">
        <f t="shared" si="1"/>
        <v>E3_1_3_1</v>
      </c>
      <c r="F673" s="19" t="s">
        <v>27902</v>
      </c>
      <c r="G673" s="19" t="s">
        <v>27903</v>
      </c>
      <c r="H673" s="19" t="s">
        <v>27904</v>
      </c>
      <c r="I673" s="19" t="s">
        <v>27905</v>
      </c>
      <c r="J673" s="2" t="str">
        <f t="shared" si="2"/>
        <v>(${Variables:E3_1_3_1_kcat} * E3_1_3_1 * C00111 * C00001)/(${Variables:E3_1_3_1_km} + (E3_1_3_1 * C00111 * C00001))</v>
      </c>
      <c r="K673" s="2" t="str">
        <f t="shared" si="3"/>
        <v>r672: C00111 + C00001 -&gt; C00184 + C00009 | (${Variables:E3_1_3_1_kcat} * E3_1_3_1 * C00111 * C00001)/(${Variables:E3_1_3_1_km} + (E3_1_3_1 * C00111 * C00001))</v>
      </c>
    </row>
    <row r="674">
      <c r="A674" s="2" t="s">
        <v>10306</v>
      </c>
      <c r="B674" s="2" t="s">
        <v>10307</v>
      </c>
      <c r="C674" s="2" t="s">
        <v>25227</v>
      </c>
      <c r="D674" s="18">
        <v>673.0</v>
      </c>
      <c r="E674" s="2" t="str">
        <f t="shared" si="1"/>
        <v>E3_1_3_1</v>
      </c>
      <c r="F674" s="19" t="s">
        <v>27906</v>
      </c>
      <c r="G674" s="19" t="s">
        <v>27907</v>
      </c>
      <c r="H674" s="19" t="s">
        <v>27908</v>
      </c>
      <c r="I674" s="19" t="s">
        <v>27909</v>
      </c>
      <c r="J674" s="2" t="str">
        <f t="shared" si="2"/>
        <v>(${Variables:E3_1_3_1_kcat} * E3_1_3_1 * C01081 * C00001)/(${Variables:E3_1_3_1_km} + (E3_1_3_1 * C01081 * C00001))</v>
      </c>
      <c r="K674" s="2" t="str">
        <f t="shared" si="3"/>
        <v>r673: C01081 + C00001 -&gt; C00378 + C00009 | (${Variables:E3_1_3_1_kcat} * E3_1_3_1 * C01081 * C00001)/(${Variables:E3_1_3_1_km} + (E3_1_3_1 * C01081 * C00001))</v>
      </c>
    </row>
    <row r="675">
      <c r="A675" s="2" t="s">
        <v>10306</v>
      </c>
      <c r="B675" s="2" t="s">
        <v>10307</v>
      </c>
      <c r="C675" s="2" t="s">
        <v>25227</v>
      </c>
      <c r="D675" s="18">
        <v>674.0</v>
      </c>
      <c r="E675" s="2" t="str">
        <f t="shared" si="1"/>
        <v>E3_1_3_1</v>
      </c>
      <c r="F675" s="19" t="s">
        <v>27910</v>
      </c>
      <c r="G675" s="19" t="s">
        <v>27911</v>
      </c>
      <c r="H675" s="19" t="s">
        <v>27912</v>
      </c>
      <c r="I675" s="19" t="s">
        <v>27913</v>
      </c>
      <c r="J675" s="2" t="str">
        <f t="shared" si="2"/>
        <v>(${Variables:E3_1_3_1_kcat} * E3_1_3_1 * C03360 * C00001)/(${Variables:E3_1_3_1_km} + (E3_1_3_1 * C03360 * C00001))</v>
      </c>
      <c r="K675" s="2" t="str">
        <f t="shared" si="3"/>
        <v>r674: C03360 + C00001 -&gt; C00870 + C00009 | (${Variables:E3_1_3_1_kcat} * E3_1_3_1 * C03360 * C00001)/(${Variables:E3_1_3_1_km} + (E3_1_3_1 * C03360 * C00001))</v>
      </c>
    </row>
    <row r="676">
      <c r="A676" s="2" t="s">
        <v>10306</v>
      </c>
      <c r="B676" s="2" t="s">
        <v>10307</v>
      </c>
      <c r="C676" s="2" t="s">
        <v>25227</v>
      </c>
      <c r="D676" s="18">
        <v>675.0</v>
      </c>
      <c r="E676" s="2" t="str">
        <f t="shared" si="1"/>
        <v>E3_1_3_1</v>
      </c>
      <c r="F676" s="19" t="s">
        <v>27914</v>
      </c>
      <c r="G676" s="19" t="s">
        <v>27915</v>
      </c>
      <c r="H676" s="19" t="s">
        <v>27916</v>
      </c>
      <c r="I676" s="19" t="s">
        <v>27917</v>
      </c>
      <c r="J676" s="2" t="str">
        <f t="shared" si="2"/>
        <v>(${Variables:E3_1_3_1_kcat} * E3_1_3_1 * C04895 * C00001)/(${Variables:E3_1_3_1_km} + (E3_1_3_1 * C04895 * C00001))</v>
      </c>
      <c r="K676" s="2" t="str">
        <f t="shared" si="3"/>
        <v>r675: C04895 + C00001 -&gt; C04874 + C00009 | (${Variables:E3_1_3_1_kcat} * E3_1_3_1 * C04895 * C00001)/(${Variables:E3_1_3_1_km} + (E3_1_3_1 * C04895 * C00001))</v>
      </c>
    </row>
    <row r="677">
      <c r="A677" s="2" t="s">
        <v>7632</v>
      </c>
      <c r="B677" s="2" t="s">
        <v>7633</v>
      </c>
      <c r="C677" s="2" t="s">
        <v>25228</v>
      </c>
      <c r="D677" s="18">
        <v>676.0</v>
      </c>
      <c r="E677" s="2" t="str">
        <f t="shared" si="1"/>
        <v>E3_1_3_11</v>
      </c>
      <c r="F677" s="19" t="s">
        <v>27918</v>
      </c>
      <c r="G677" s="19" t="s">
        <v>27919</v>
      </c>
      <c r="H677" s="19" t="s">
        <v>27920</v>
      </c>
      <c r="I677" s="19" t="s">
        <v>27921</v>
      </c>
      <c r="J677" s="2" t="str">
        <f t="shared" si="2"/>
        <v>(${Variables:E3_1_3_11_kcat} * E3_1_3_11 * C00354 * C00001)/(${Variables:E3_1_3_11_km} + (E3_1_3_11 * C00354 * C00001))</v>
      </c>
      <c r="K677" s="2" t="str">
        <f t="shared" si="3"/>
        <v>r676: C00354 + C00001 -&gt; C00085 + C00009 | (${Variables:E3_1_3_11_kcat} * E3_1_3_11 * C00354 * C00001)/(${Variables:E3_1_3_11_km} + (E3_1_3_11 * C00354 * C00001))</v>
      </c>
    </row>
    <row r="678">
      <c r="A678" s="2" t="s">
        <v>7632</v>
      </c>
      <c r="B678" s="2" t="s">
        <v>7633</v>
      </c>
      <c r="C678" s="2" t="s">
        <v>25228</v>
      </c>
      <c r="D678" s="18">
        <v>677.0</v>
      </c>
      <c r="E678" s="2" t="str">
        <f t="shared" si="1"/>
        <v>E3_1_3_11</v>
      </c>
      <c r="F678" s="19" t="s">
        <v>27922</v>
      </c>
      <c r="G678" s="19" t="s">
        <v>27923</v>
      </c>
      <c r="H678" s="19" t="s">
        <v>27924</v>
      </c>
      <c r="I678" s="19" t="s">
        <v>27925</v>
      </c>
      <c r="J678" s="2" t="str">
        <f t="shared" si="2"/>
        <v>(${Variables:E3_1_3_11_kcat} * E3_1_3_11 * C00447 * C00001)/(${Variables:E3_1_3_11_km} + (E3_1_3_11 * C00447 * C00001))</v>
      </c>
      <c r="K678" s="2" t="str">
        <f t="shared" si="3"/>
        <v>r677: C00447 + C00001 -&gt; C05382 + C00009 | (${Variables:E3_1_3_11_kcat} * E3_1_3_11 * C00447 * C00001)/(${Variables:E3_1_3_11_km} + (E3_1_3_11 * C00447 * C00001))</v>
      </c>
    </row>
    <row r="679">
      <c r="A679" s="2" t="s">
        <v>7632</v>
      </c>
      <c r="B679" s="2" t="s">
        <v>7633</v>
      </c>
      <c r="C679" s="2" t="s">
        <v>25228</v>
      </c>
      <c r="D679" s="18">
        <v>678.0</v>
      </c>
      <c r="E679" s="2" t="str">
        <f t="shared" si="1"/>
        <v>E3_1_3_11</v>
      </c>
      <c r="F679" s="19" t="s">
        <v>27926</v>
      </c>
      <c r="G679" s="19" t="s">
        <v>27927</v>
      </c>
      <c r="H679" s="19" t="s">
        <v>27928</v>
      </c>
      <c r="I679" s="19" t="s">
        <v>27929</v>
      </c>
      <c r="J679" s="2" t="str">
        <f t="shared" si="2"/>
        <v>(${Variables:E3_1_3_11_kcat} * E3_1_3_11 * C05378 * C00001)/(${Variables:E3_1_3_11_km} + (E3_1_3_11 * C05378 * C00001))</v>
      </c>
      <c r="K679" s="2" t="str">
        <f t="shared" si="3"/>
        <v>r678: C05378 + C00001 -&gt; C05345 + C00009 | (${Variables:E3_1_3_11_kcat} * E3_1_3_11 * C05378 * C00001)/(${Variables:E3_1_3_11_km} + (E3_1_3_11 * C05378 * C00001))</v>
      </c>
    </row>
    <row r="680">
      <c r="A680" s="2" t="s">
        <v>6988</v>
      </c>
      <c r="B680" s="2" t="s">
        <v>6989</v>
      </c>
      <c r="C680" s="2" t="s">
        <v>25229</v>
      </c>
      <c r="D680" s="18">
        <v>679.0</v>
      </c>
      <c r="E680" s="2" t="str">
        <f t="shared" si="1"/>
        <v>E3_1_3_16</v>
      </c>
      <c r="F680" s="19" t="s">
        <v>27930</v>
      </c>
      <c r="G680" s="19" t="s">
        <v>27931</v>
      </c>
      <c r="H680" s="19" t="s">
        <v>27932</v>
      </c>
      <c r="I680" s="19" t="s">
        <v>27933</v>
      </c>
      <c r="J680" s="2" t="str">
        <f t="shared" si="2"/>
        <v>(${Variables:E3_1_3_16_kcat} * E3_1_3_16 * C00562 * C00001)/(${Variables:E3_1_3_16_km} + (E3_1_3_16 * C00562 * C00001))</v>
      </c>
      <c r="K680" s="2" t="str">
        <f t="shared" si="3"/>
        <v>r679: C00562 + C00001 -&gt; C00017 + C00009 | (${Variables:E3_1_3_16_kcat} * E3_1_3_16 * C00562 * C00001)/(${Variables:E3_1_3_16_km} + (E3_1_3_16 * C00562 * C00001))</v>
      </c>
    </row>
    <row r="681">
      <c r="A681" s="2" t="s">
        <v>1633</v>
      </c>
      <c r="B681" s="2" t="s">
        <v>1634</v>
      </c>
      <c r="C681" s="2" t="s">
        <v>25230</v>
      </c>
      <c r="D681" s="18">
        <v>680.0</v>
      </c>
      <c r="E681" s="2" t="str">
        <f t="shared" si="1"/>
        <v>E3_1_3_3</v>
      </c>
      <c r="F681" s="19" t="s">
        <v>27934</v>
      </c>
      <c r="G681" s="19" t="s">
        <v>27935</v>
      </c>
      <c r="H681" s="19" t="s">
        <v>27936</v>
      </c>
      <c r="I681" s="19" t="s">
        <v>27937</v>
      </c>
      <c r="J681" s="2" t="str">
        <f t="shared" si="2"/>
        <v>(${Variables:E3_1_3_3_kcat} * E3_1_3_3 * C01005 * C00001)/(${Variables:E3_1_3_3_km} + (E3_1_3_3 * C01005 * C00001))</v>
      </c>
      <c r="K681" s="2" t="str">
        <f t="shared" si="3"/>
        <v>r680: C01005 + C00001 -&gt; C00065 + C00009 | (${Variables:E3_1_3_3_kcat} * E3_1_3_3 * C01005 * C00001)/(${Variables:E3_1_3_3_km} + (E3_1_3_3 * C01005 * C00001))</v>
      </c>
    </row>
    <row r="682">
      <c r="A682" s="2" t="s">
        <v>1633</v>
      </c>
      <c r="B682" s="2" t="s">
        <v>1634</v>
      </c>
      <c r="C682" s="2" t="s">
        <v>25230</v>
      </c>
      <c r="D682" s="18">
        <v>681.0</v>
      </c>
      <c r="E682" s="2" t="str">
        <f t="shared" si="1"/>
        <v>E3_1_3_3</v>
      </c>
      <c r="F682" s="19" t="s">
        <v>27938</v>
      </c>
      <c r="G682" s="19" t="s">
        <v>27939</v>
      </c>
      <c r="H682" s="19" t="s">
        <v>27940</v>
      </c>
      <c r="I682" s="19" t="s">
        <v>27941</v>
      </c>
      <c r="J682" s="2" t="str">
        <f t="shared" si="2"/>
        <v>(${Variables:E3_1_3_3_kcat} * E3_1_3_3 * C02532 * C00001)/(${Variables:E3_1_3_3_km} + (E3_1_3_3 * C02532 * C00001))</v>
      </c>
      <c r="K682" s="2" t="str">
        <f t="shared" si="3"/>
        <v>r681: C02532 + C00001 -&gt; C00740 + C00009 | (${Variables:E3_1_3_3_kcat} * E3_1_3_3 * C02532 * C00001)/(${Variables:E3_1_3_3_km} + (E3_1_3_3 * C02532 * C00001))</v>
      </c>
    </row>
    <row r="683">
      <c r="A683" s="2" t="s">
        <v>5960</v>
      </c>
      <c r="B683" s="2" t="s">
        <v>5961</v>
      </c>
      <c r="C683" s="2" t="s">
        <v>25231</v>
      </c>
      <c r="D683" s="18">
        <v>682.0</v>
      </c>
      <c r="E683" s="2" t="str">
        <f t="shared" si="1"/>
        <v>E3_1_3_48</v>
      </c>
      <c r="F683" s="19" t="s">
        <v>27942</v>
      </c>
      <c r="G683" s="19" t="s">
        <v>27943</v>
      </c>
      <c r="H683" s="19" t="s">
        <v>27944</v>
      </c>
      <c r="I683" s="19" t="s">
        <v>27945</v>
      </c>
      <c r="J683" s="2" t="str">
        <f t="shared" si="2"/>
        <v>(${Variables:E3_1_3_48_kcat} * E3_1_3_48 * C01167 * C00001)/(${Variables:E3_1_3_48_km} + (E3_1_3_48 * C01167 * C00001))</v>
      </c>
      <c r="K683" s="2" t="str">
        <f t="shared" si="3"/>
        <v>r682: C01167 + C00001 -&gt; C00585 + C00009 | (${Variables:E3_1_3_48_kcat} * E3_1_3_48 * C01167 * C00001)/(${Variables:E3_1_3_48_km} + (E3_1_3_48 * C01167 * C00001))</v>
      </c>
    </row>
    <row r="684">
      <c r="A684" s="2" t="s">
        <v>12319</v>
      </c>
      <c r="B684" s="2" t="s">
        <v>12320</v>
      </c>
      <c r="C684" s="2" t="s">
        <v>25232</v>
      </c>
      <c r="D684" s="18">
        <v>683.0</v>
      </c>
      <c r="E684" s="2" t="str">
        <f t="shared" si="1"/>
        <v>E3_1_3_5</v>
      </c>
      <c r="F684" s="19" t="s">
        <v>27946</v>
      </c>
      <c r="G684" s="19" t="s">
        <v>27947</v>
      </c>
      <c r="H684" s="19" t="s">
        <v>26866</v>
      </c>
      <c r="I684" s="19" t="s">
        <v>26867</v>
      </c>
      <c r="J684" s="2" t="str">
        <f t="shared" si="2"/>
        <v>(${Variables:E3_1_3_5_kcat} * E3_1_3_5 * C00020 * C00001)/(${Variables:E3_1_3_5_km} + (E3_1_3_5 * C00020 * C00001))</v>
      </c>
      <c r="K684" s="2" t="str">
        <f t="shared" si="3"/>
        <v>r683: C00020 + C00001 -&gt; C00212 + C00009 | (${Variables:E3_1_3_5_kcat} * E3_1_3_5 * C00020 * C00001)/(${Variables:E3_1_3_5_km} + (E3_1_3_5 * C00020 * C00001))</v>
      </c>
    </row>
    <row r="685">
      <c r="A685" s="2" t="s">
        <v>12319</v>
      </c>
      <c r="B685" s="2" t="s">
        <v>12320</v>
      </c>
      <c r="C685" s="2" t="s">
        <v>25232</v>
      </c>
      <c r="D685" s="18">
        <v>684.0</v>
      </c>
      <c r="E685" s="2" t="str">
        <f t="shared" si="1"/>
        <v>E3_1_3_5</v>
      </c>
      <c r="F685" s="19" t="s">
        <v>27948</v>
      </c>
      <c r="G685" s="19" t="s">
        <v>27949</v>
      </c>
      <c r="H685" s="19" t="s">
        <v>26942</v>
      </c>
      <c r="I685" s="19" t="s">
        <v>26943</v>
      </c>
      <c r="J685" s="2" t="str">
        <f t="shared" si="2"/>
        <v>(${Variables:E3_1_3_5_kcat} * E3_1_3_5 * C00055 * C00001)/(${Variables:E3_1_3_5_km} + (E3_1_3_5 * C00055 * C00001))</v>
      </c>
      <c r="K685" s="2" t="str">
        <f t="shared" si="3"/>
        <v>r684: C00055 + C00001 -&gt; C00475 + C00009 | (${Variables:E3_1_3_5_kcat} * E3_1_3_5 * C00055 * C00001)/(${Variables:E3_1_3_5_km} + (E3_1_3_5 * C00055 * C00001))</v>
      </c>
    </row>
    <row r="686">
      <c r="A686" s="2" t="s">
        <v>12319</v>
      </c>
      <c r="B686" s="2" t="s">
        <v>12320</v>
      </c>
      <c r="C686" s="2" t="s">
        <v>25232</v>
      </c>
      <c r="D686" s="18">
        <v>685.0</v>
      </c>
      <c r="E686" s="2" t="str">
        <f t="shared" si="1"/>
        <v>E3_1_3_5</v>
      </c>
      <c r="F686" s="19" t="s">
        <v>27950</v>
      </c>
      <c r="G686" s="19" t="s">
        <v>27951</v>
      </c>
      <c r="H686" s="19" t="s">
        <v>26938</v>
      </c>
      <c r="I686" s="19" t="s">
        <v>26939</v>
      </c>
      <c r="J686" s="2" t="str">
        <f t="shared" si="2"/>
        <v>(${Variables:E3_1_3_5_kcat} * E3_1_3_5 * C00105 * C00001)/(${Variables:E3_1_3_5_km} + (E3_1_3_5 * C00105 * C00001))</v>
      </c>
      <c r="K686" s="2" t="str">
        <f t="shared" si="3"/>
        <v>r685: C00105 + C00001 -&gt; C00299 + C00009 | (${Variables:E3_1_3_5_kcat} * E3_1_3_5 * C00105 * C00001)/(${Variables:E3_1_3_5_km} + (E3_1_3_5 * C00105 * C00001))</v>
      </c>
    </row>
    <row r="687">
      <c r="A687" s="2" t="s">
        <v>12319</v>
      </c>
      <c r="B687" s="2" t="s">
        <v>12320</v>
      </c>
      <c r="C687" s="2" t="s">
        <v>25232</v>
      </c>
      <c r="D687" s="18">
        <v>686.0</v>
      </c>
      <c r="E687" s="2" t="str">
        <f t="shared" si="1"/>
        <v>E3_1_3_5</v>
      </c>
      <c r="F687" s="19" t="s">
        <v>27952</v>
      </c>
      <c r="G687" s="19" t="s">
        <v>27953</v>
      </c>
      <c r="H687" s="19" t="s">
        <v>26870</v>
      </c>
      <c r="I687" s="19" t="s">
        <v>26871</v>
      </c>
      <c r="J687" s="2" t="str">
        <f t="shared" si="2"/>
        <v>(${Variables:E3_1_3_5_kcat} * E3_1_3_5 * C00130 * C00001)/(${Variables:E3_1_3_5_km} + (E3_1_3_5 * C00130 * C00001))</v>
      </c>
      <c r="K687" s="2" t="str">
        <f t="shared" si="3"/>
        <v>r686: C00130 + C00001 -&gt; C00294 + C00009 | (${Variables:E3_1_3_5_kcat} * E3_1_3_5 * C00130 * C00001)/(${Variables:E3_1_3_5_km} + (E3_1_3_5 * C00130 * C00001))</v>
      </c>
    </row>
    <row r="688">
      <c r="A688" s="2" t="s">
        <v>12319</v>
      </c>
      <c r="B688" s="2" t="s">
        <v>12320</v>
      </c>
      <c r="C688" s="2" t="s">
        <v>25232</v>
      </c>
      <c r="D688" s="18">
        <v>687.0</v>
      </c>
      <c r="E688" s="2" t="str">
        <f t="shared" si="1"/>
        <v>E3_1_3_5</v>
      </c>
      <c r="F688" s="19" t="s">
        <v>27954</v>
      </c>
      <c r="G688" s="19" t="s">
        <v>27955</v>
      </c>
      <c r="H688" s="19" t="s">
        <v>26878</v>
      </c>
      <c r="I688" s="19" t="s">
        <v>26879</v>
      </c>
      <c r="J688" s="2" t="str">
        <f t="shared" si="2"/>
        <v>(${Variables:E3_1_3_5_kcat} * E3_1_3_5 * C00144 * C00001)/(${Variables:E3_1_3_5_km} + (E3_1_3_5 * C00144 * C00001))</v>
      </c>
      <c r="K688" s="2" t="str">
        <f t="shared" si="3"/>
        <v>r687: C00144 + C00001 -&gt; C00387 + C00009 | (${Variables:E3_1_3_5_kcat} * E3_1_3_5 * C00144 * C00001)/(${Variables:E3_1_3_5_km} + (E3_1_3_5 * C00144 * C00001))</v>
      </c>
    </row>
    <row r="689">
      <c r="A689" s="2" t="s">
        <v>12319</v>
      </c>
      <c r="B689" s="2" t="s">
        <v>12320</v>
      </c>
      <c r="C689" s="2" t="s">
        <v>25232</v>
      </c>
      <c r="D689" s="18">
        <v>688.0</v>
      </c>
      <c r="E689" s="2" t="str">
        <f t="shared" si="1"/>
        <v>E3_1_3_5</v>
      </c>
      <c r="F689" s="19" t="s">
        <v>27956</v>
      </c>
      <c r="G689" s="19" t="s">
        <v>27957</v>
      </c>
      <c r="H689" s="19" t="s">
        <v>26934</v>
      </c>
      <c r="I689" s="19" t="s">
        <v>26935</v>
      </c>
      <c r="J689" s="2" t="str">
        <f t="shared" si="2"/>
        <v>(${Variables:E3_1_3_5_kcat} * E3_1_3_5 * C00364 * C00001)/(${Variables:E3_1_3_5_km} + (E3_1_3_5 * C00364 * C00001))</v>
      </c>
      <c r="K689" s="2" t="str">
        <f t="shared" si="3"/>
        <v>r688: C00364 + C00001 -&gt; C00214 + C00009 | (${Variables:E3_1_3_5_kcat} * E3_1_3_5 * C00364 * C00001)/(${Variables:E3_1_3_5_km} + (E3_1_3_5 * C00364 * C00001))</v>
      </c>
    </row>
    <row r="690">
      <c r="A690" s="2" t="s">
        <v>12319</v>
      </c>
      <c r="B690" s="2" t="s">
        <v>12320</v>
      </c>
      <c r="C690" s="2" t="s">
        <v>25232</v>
      </c>
      <c r="D690" s="18">
        <v>689.0</v>
      </c>
      <c r="E690" s="2" t="str">
        <f t="shared" si="1"/>
        <v>E3_1_3_5</v>
      </c>
      <c r="F690" s="19" t="s">
        <v>27958</v>
      </c>
      <c r="G690" s="19" t="s">
        <v>27959</v>
      </c>
      <c r="H690" s="19" t="s">
        <v>27960</v>
      </c>
      <c r="I690" s="19" t="s">
        <v>27961</v>
      </c>
      <c r="J690" s="2" t="str">
        <f t="shared" si="2"/>
        <v>(${Variables:E3_1_3_5_kcat} * E3_1_3_5 * C00239 * C00001)/(${Variables:E3_1_3_5_km} + (E3_1_3_5 * C00239 * C00001))</v>
      </c>
      <c r="K690" s="2" t="str">
        <f t="shared" si="3"/>
        <v>r689: C00239 + C00001 -&gt; C00881 + C00009 | (${Variables:E3_1_3_5_kcat} * E3_1_3_5 * C00239 * C00001)/(${Variables:E3_1_3_5_km} + (E3_1_3_5 * C00239 * C00001))</v>
      </c>
    </row>
    <row r="691">
      <c r="A691" s="2" t="s">
        <v>12319</v>
      </c>
      <c r="B691" s="2" t="s">
        <v>12320</v>
      </c>
      <c r="C691" s="2" t="s">
        <v>25232</v>
      </c>
      <c r="D691" s="18">
        <v>690.0</v>
      </c>
      <c r="E691" s="2" t="str">
        <f t="shared" si="1"/>
        <v>E3_1_3_5</v>
      </c>
      <c r="F691" s="19" t="s">
        <v>27962</v>
      </c>
      <c r="G691" s="19" t="s">
        <v>27963</v>
      </c>
      <c r="H691" s="19" t="s">
        <v>26874</v>
      </c>
      <c r="I691" s="19" t="s">
        <v>26875</v>
      </c>
      <c r="J691" s="2" t="str">
        <f t="shared" si="2"/>
        <v>(${Variables:E3_1_3_5_kcat} * E3_1_3_5 * C00362 * C00001)/(${Variables:E3_1_3_5_km} + (E3_1_3_5 * C00362 * C00001))</v>
      </c>
      <c r="K691" s="2" t="str">
        <f t="shared" si="3"/>
        <v>r690: C00362 + C00001 -&gt; C00330 + C00009 | (${Variables:E3_1_3_5_kcat} * E3_1_3_5 * C00362 * C00001)/(${Variables:E3_1_3_5_km} + (E3_1_3_5 * C00362 * C00001))</v>
      </c>
    </row>
    <row r="692">
      <c r="A692" s="2" t="s">
        <v>12319</v>
      </c>
      <c r="B692" s="2" t="s">
        <v>12320</v>
      </c>
      <c r="C692" s="2" t="s">
        <v>25232</v>
      </c>
      <c r="D692" s="18">
        <v>691.0</v>
      </c>
      <c r="E692" s="2" t="str">
        <f t="shared" si="1"/>
        <v>E3_1_3_5</v>
      </c>
      <c r="F692" s="19" t="s">
        <v>27964</v>
      </c>
      <c r="G692" s="19" t="s">
        <v>27965</v>
      </c>
      <c r="H692" s="19" t="s">
        <v>26894</v>
      </c>
      <c r="I692" s="19" t="s">
        <v>26895</v>
      </c>
      <c r="J692" s="2" t="str">
        <f t="shared" si="2"/>
        <v>(${Variables:E3_1_3_5_kcat} * E3_1_3_5 * C00360 * C00001)/(${Variables:E3_1_3_5_km} + (E3_1_3_5 * C00360 * C00001))</v>
      </c>
      <c r="K692" s="2" t="str">
        <f t="shared" si="3"/>
        <v>r691: C00360 + C00001 -&gt; C00559 + C00009 | (${Variables:E3_1_3_5_kcat} * E3_1_3_5 * C00360 * C00001)/(${Variables:E3_1_3_5_km} + (E3_1_3_5 * C00360 * C00001))</v>
      </c>
    </row>
    <row r="693">
      <c r="A693" s="2" t="s">
        <v>12319</v>
      </c>
      <c r="B693" s="2" t="s">
        <v>12320</v>
      </c>
      <c r="C693" s="2" t="s">
        <v>25232</v>
      </c>
      <c r="D693" s="18">
        <v>692.0</v>
      </c>
      <c r="E693" s="2" t="str">
        <f t="shared" si="1"/>
        <v>E3_1_3_5</v>
      </c>
      <c r="F693" s="19" t="s">
        <v>27966</v>
      </c>
      <c r="G693" s="19" t="s">
        <v>27967</v>
      </c>
      <c r="H693" s="19" t="s">
        <v>26950</v>
      </c>
      <c r="I693" s="19" t="s">
        <v>26951</v>
      </c>
      <c r="J693" s="2" t="str">
        <f t="shared" si="2"/>
        <v>(${Variables:E3_1_3_5_kcat} * E3_1_3_5 * C00365 * C00001)/(${Variables:E3_1_3_5_km} + (E3_1_3_5 * C00365 * C00001))</v>
      </c>
      <c r="K693" s="2" t="str">
        <f t="shared" si="3"/>
        <v>r692: C00365 + C00001 -&gt; C00526 + C00009 | (${Variables:E3_1_3_5_kcat} * E3_1_3_5 * C00365 * C00001)/(${Variables:E3_1_3_5_km} + (E3_1_3_5 * C00365 * C00001))</v>
      </c>
    </row>
    <row r="694">
      <c r="A694" s="2" t="s">
        <v>12319</v>
      </c>
      <c r="B694" s="2" t="s">
        <v>12320</v>
      </c>
      <c r="C694" s="2" t="s">
        <v>25232</v>
      </c>
      <c r="D694" s="18">
        <v>693.0</v>
      </c>
      <c r="E694" s="2" t="str">
        <f t="shared" si="1"/>
        <v>E3_1_3_5</v>
      </c>
      <c r="F694" s="19" t="s">
        <v>27968</v>
      </c>
      <c r="G694" s="19" t="s">
        <v>27969</v>
      </c>
      <c r="H694" s="19" t="s">
        <v>26882</v>
      </c>
      <c r="I694" s="19" t="s">
        <v>26883</v>
      </c>
      <c r="J694" s="2" t="str">
        <f t="shared" si="2"/>
        <v>(${Variables:E3_1_3_5_kcat} * E3_1_3_5 * C00455 * C00001)/(${Variables:E3_1_3_5_km} + (E3_1_3_5 * C00455 * C00001))</v>
      </c>
      <c r="K694" s="2" t="str">
        <f t="shared" si="3"/>
        <v>r693: C00455 + C00001 -&gt; C03150 + C00009 | (${Variables:E3_1_3_5_kcat} * E3_1_3_5 * C00455 * C00001)/(${Variables:E3_1_3_5_km} + (E3_1_3_5 * C00455 * C00001))</v>
      </c>
    </row>
    <row r="695">
      <c r="A695" s="2" t="s">
        <v>12319</v>
      </c>
      <c r="B695" s="2" t="s">
        <v>12320</v>
      </c>
      <c r="C695" s="2" t="s">
        <v>25232</v>
      </c>
      <c r="D695" s="18">
        <v>694.0</v>
      </c>
      <c r="E695" s="2" t="str">
        <f t="shared" si="1"/>
        <v>E3_1_3_5</v>
      </c>
      <c r="F695" s="19" t="s">
        <v>27970</v>
      </c>
      <c r="G695" s="19" t="s">
        <v>27971</v>
      </c>
      <c r="H695" s="19" t="s">
        <v>26890</v>
      </c>
      <c r="I695" s="19" t="s">
        <v>26891</v>
      </c>
      <c r="J695" s="2" t="str">
        <f t="shared" si="2"/>
        <v>(${Variables:E3_1_3_5_kcat} * E3_1_3_5 * C00655 * C00001)/(${Variables:E3_1_3_5_km} + (E3_1_3_5 * C00655 * C00001))</v>
      </c>
      <c r="K695" s="2" t="str">
        <f t="shared" si="3"/>
        <v>r694: C00655 + C00001 -&gt; C01762 + C00009 | (${Variables:E3_1_3_5_kcat} * E3_1_3_5 * C00655 * C00001)/(${Variables:E3_1_3_5_km} + (E3_1_3_5 * C00655 * C00001))</v>
      </c>
    </row>
    <row r="696">
      <c r="A696" s="2" t="s">
        <v>12319</v>
      </c>
      <c r="B696" s="2" t="s">
        <v>12320</v>
      </c>
      <c r="C696" s="2" t="s">
        <v>25232</v>
      </c>
      <c r="D696" s="18">
        <v>695.0</v>
      </c>
      <c r="E696" s="2" t="str">
        <f t="shared" si="1"/>
        <v>E3_1_3_5</v>
      </c>
      <c r="F696" s="19" t="s">
        <v>27972</v>
      </c>
      <c r="G696" s="19" t="s">
        <v>27973</v>
      </c>
      <c r="H696" s="19" t="s">
        <v>26886</v>
      </c>
      <c r="I696" s="19" t="s">
        <v>26887</v>
      </c>
      <c r="J696" s="2" t="str">
        <f t="shared" si="2"/>
        <v>(${Variables:E3_1_3_5_kcat} * E3_1_3_5 * C01185 * C00001)/(${Variables:E3_1_3_5_km} + (E3_1_3_5 * C01185 * C00001))</v>
      </c>
      <c r="K696" s="2" t="str">
        <f t="shared" si="3"/>
        <v>r695: C01185 + C00001 -&gt; C05841 + C00009 | (${Variables:E3_1_3_5_kcat} * E3_1_3_5 * C01185 * C00001)/(${Variables:E3_1_3_5_km} + (E3_1_3_5 * C01185 * C00001))</v>
      </c>
    </row>
    <row r="697">
      <c r="A697" s="2" t="s">
        <v>12319</v>
      </c>
      <c r="B697" s="2" t="s">
        <v>12320</v>
      </c>
      <c r="C697" s="2" t="s">
        <v>25232</v>
      </c>
      <c r="D697" s="18">
        <v>696.0</v>
      </c>
      <c r="E697" s="2" t="str">
        <f t="shared" si="1"/>
        <v>E3_1_3_5</v>
      </c>
      <c r="F697" s="19" t="s">
        <v>27974</v>
      </c>
      <c r="G697" s="19" t="s">
        <v>27975</v>
      </c>
      <c r="H697" s="19" t="s">
        <v>27976</v>
      </c>
      <c r="I697" s="19" t="s">
        <v>27977</v>
      </c>
      <c r="J697" s="2" t="str">
        <f t="shared" si="2"/>
        <v>(${Variables:E3_1_3_5_kcat} * E3_1_3_5 * C02520 * C00001)/(${Variables:E3_1_3_5_km} + (E3_1_3_5 * C02520 * C00001))</v>
      </c>
      <c r="K697" s="2" t="str">
        <f t="shared" si="3"/>
        <v>r696: C02520 + C00001 -&gt; C00911 + C00009 | (${Variables:E3_1_3_5_kcat} * E3_1_3_5 * C02520 * C00001)/(${Variables:E3_1_3_5_km} + (E3_1_3_5 * C02520 * C00001))</v>
      </c>
    </row>
    <row r="698">
      <c r="A698" s="2" t="s">
        <v>12319</v>
      </c>
      <c r="B698" s="2" t="s">
        <v>12320</v>
      </c>
      <c r="C698" s="2" t="s">
        <v>25232</v>
      </c>
      <c r="D698" s="18">
        <v>697.0</v>
      </c>
      <c r="E698" s="2" t="str">
        <f t="shared" si="1"/>
        <v>E3_1_3_5</v>
      </c>
      <c r="F698" s="19" t="s">
        <v>27978</v>
      </c>
      <c r="G698" s="19" t="s">
        <v>27979</v>
      </c>
      <c r="H698" s="19" t="s">
        <v>26898</v>
      </c>
      <c r="I698" s="19" t="s">
        <v>26899</v>
      </c>
      <c r="J698" s="2" t="str">
        <f t="shared" si="2"/>
        <v>(${Variables:E3_1_3_5_kcat} * E3_1_3_5 * C06196 * C00001)/(${Variables:E3_1_3_5_km} + (E3_1_3_5 * C06196 * C00001))</v>
      </c>
      <c r="K698" s="2" t="str">
        <f t="shared" si="3"/>
        <v>r697: C06196 + C00001 -&gt; C05512 + C00009 | (${Variables:E3_1_3_5_kcat} * E3_1_3_5 * C06196 * C00001)/(${Variables:E3_1_3_5_km} + (E3_1_3_5 * C06196 * C00001))</v>
      </c>
    </row>
    <row r="699">
      <c r="A699" s="2" t="s">
        <v>9524</v>
      </c>
      <c r="B699" s="2" t="s">
        <v>9525</v>
      </c>
      <c r="C699" s="2" t="s">
        <v>25233</v>
      </c>
      <c r="D699" s="18">
        <v>698.0</v>
      </c>
      <c r="E699" s="2" t="str">
        <f t="shared" si="1"/>
        <v>E3_1_3_7</v>
      </c>
      <c r="F699" s="19" t="s">
        <v>27980</v>
      </c>
      <c r="G699" s="19" t="s">
        <v>27981</v>
      </c>
      <c r="H699" s="19" t="s">
        <v>27982</v>
      </c>
      <c r="I699" s="19" t="s">
        <v>27983</v>
      </c>
      <c r="J699" s="2" t="str">
        <f t="shared" si="2"/>
        <v>(${Variables:E3_1_3_7_kcat} * E3_1_3_7 * C00054 * C00001)/(${Variables:E3_1_3_7_km} + (E3_1_3_7 * C00054 * C00001))</v>
      </c>
      <c r="K699" s="2" t="str">
        <f t="shared" si="3"/>
        <v>r698: C00054 + C00001 -&gt; C00020 + C00009 | (${Variables:E3_1_3_7_kcat} * E3_1_3_7 * C00054 * C00001)/(${Variables:E3_1_3_7_km} + (E3_1_3_7 * C00054 * C00001))</v>
      </c>
    </row>
    <row r="700">
      <c r="A700" s="2" t="s">
        <v>9524</v>
      </c>
      <c r="B700" s="2" t="s">
        <v>9525</v>
      </c>
      <c r="C700" s="2" t="s">
        <v>25233</v>
      </c>
      <c r="D700" s="18">
        <v>699.0</v>
      </c>
      <c r="E700" s="2" t="str">
        <f t="shared" si="1"/>
        <v>E3_1_3_7</v>
      </c>
      <c r="F700" s="19" t="s">
        <v>27984</v>
      </c>
      <c r="G700" s="19" t="s">
        <v>27985</v>
      </c>
      <c r="H700" s="19" t="s">
        <v>27986</v>
      </c>
      <c r="I700" s="19" t="s">
        <v>27987</v>
      </c>
      <c r="J700" s="2" t="str">
        <f t="shared" si="2"/>
        <v>(${Variables:E3_1_3_7_kcat} * E3_1_3_7 * C00053 * C00001)/(${Variables:E3_1_3_7_km} + (E3_1_3_7 * C00053 * C00001))</v>
      </c>
      <c r="K700" s="2" t="str">
        <f t="shared" si="3"/>
        <v>r699: C00053 + C00001 -&gt; C00224 + C00009 | (${Variables:E3_1_3_7_kcat} * E3_1_3_7 * C00053 * C00001)/(${Variables:E3_1_3_7_km} + (E3_1_3_7 * C00053 * C00001))</v>
      </c>
    </row>
    <row r="701">
      <c r="A701" s="2" t="s">
        <v>11237</v>
      </c>
      <c r="B701" s="2" t="s">
        <v>11238</v>
      </c>
      <c r="C701" s="2" t="s">
        <v>25234</v>
      </c>
      <c r="D701" s="18">
        <v>700.0</v>
      </c>
      <c r="E701" s="2" t="str">
        <f t="shared" si="1"/>
        <v>E3_1_3_87</v>
      </c>
      <c r="F701" s="19" t="s">
        <v>27988</v>
      </c>
      <c r="G701" s="19" t="s">
        <v>27989</v>
      </c>
      <c r="H701" s="19" t="s">
        <v>27990</v>
      </c>
      <c r="I701" s="19" t="s">
        <v>27991</v>
      </c>
      <c r="J701" s="2" t="str">
        <f t="shared" si="2"/>
        <v>(${Variables:E3_1_3_87_kcat} * E3_1_3_87 * C15651 * C00001)/(${Variables:E3_1_3_87_km} + (E3_1_3_87 * C15651 * C00001))</v>
      </c>
      <c r="K701" s="2" t="str">
        <f t="shared" si="3"/>
        <v>r700: C15651 + C00001 -&gt; C15606 + C00009 | (${Variables:E3_1_3_87_kcat} * E3_1_3_87 * C15651 * C00001)/(${Variables:E3_1_3_87_km} + (E3_1_3_87 * C15651 * C00001))</v>
      </c>
    </row>
    <row r="702">
      <c r="A702" s="2" t="s">
        <v>3632</v>
      </c>
      <c r="B702" s="2" t="s">
        <v>3633</v>
      </c>
      <c r="C702" s="2" t="s">
        <v>25235</v>
      </c>
      <c r="D702" s="18">
        <v>701.0</v>
      </c>
      <c r="E702" s="2" t="str">
        <f t="shared" si="1"/>
        <v>E3_11_1_1</v>
      </c>
      <c r="F702" s="19" t="s">
        <v>27992</v>
      </c>
      <c r="G702" s="19" t="s">
        <v>27993</v>
      </c>
      <c r="H702" s="19" t="s">
        <v>27994</v>
      </c>
      <c r="I702" s="19" t="s">
        <v>27995</v>
      </c>
      <c r="J702" s="2" t="str">
        <f t="shared" si="2"/>
        <v>(${Variables:E3_11_1_1_kcat} * E3_11_1_1 * C03167 * C00001)/(${Variables:E3_11_1_1_km} + (E3_11_1_1 * C03167 * C00001))</v>
      </c>
      <c r="K702" s="2" t="str">
        <f t="shared" si="3"/>
        <v>r701: C03167 + C00001 -&gt; C00084 + C00009 | (${Variables:E3_11_1_1_kcat} * E3_11_1_1 * C03167 * C00001)/(${Variables:E3_11_1_1_km} + (E3_11_1_1 * C03167 * C00001))</v>
      </c>
    </row>
    <row r="703">
      <c r="A703" s="2" t="s">
        <v>12830</v>
      </c>
      <c r="B703" s="2" t="s">
        <v>12831</v>
      </c>
      <c r="C703" s="2" t="s">
        <v>25236</v>
      </c>
      <c r="D703" s="18">
        <v>702.0</v>
      </c>
      <c r="E703" s="2" t="str">
        <f t="shared" si="1"/>
        <v>E3_2_1_1</v>
      </c>
      <c r="F703" s="19" t="s">
        <v>27996</v>
      </c>
      <c r="G703" s="19" t="s">
        <v>27997</v>
      </c>
      <c r="H703" s="19" t="s">
        <v>27998</v>
      </c>
      <c r="I703" s="19" t="s">
        <v>27999</v>
      </c>
      <c r="J703" s="2" t="str">
        <f t="shared" si="2"/>
        <v>(${Variables:E3_2_1_1_kcat} * E3_2_1_1 * C00369 * C00001)/(${Variables:E3_2_1_1_km} + (E3_2_1_1 * C00369 * C00001))</v>
      </c>
      <c r="K703" s="2" t="str">
        <f t="shared" si="3"/>
        <v>r702: C00369 + C00001 -&gt; C00721 + C00369 | (${Variables:E3_2_1_1_kcat} * E3_2_1_1 * C00369 * C00001)/(${Variables:E3_2_1_1_km} + (E3_2_1_1 * C00369 * C00001))</v>
      </c>
    </row>
    <row r="704">
      <c r="A704" s="2" t="s">
        <v>12830</v>
      </c>
      <c r="B704" s="2" t="s">
        <v>12831</v>
      </c>
      <c r="C704" s="2" t="s">
        <v>25236</v>
      </c>
      <c r="D704" s="18">
        <v>703.0</v>
      </c>
      <c r="E704" s="2" t="str">
        <f t="shared" si="1"/>
        <v>E3_2_1_1</v>
      </c>
      <c r="F704" s="19" t="s">
        <v>16351</v>
      </c>
      <c r="G704" s="19" t="s">
        <v>16351</v>
      </c>
      <c r="H704" s="19" t="s">
        <v>28000</v>
      </c>
      <c r="I704" s="19" t="s">
        <v>28001</v>
      </c>
      <c r="J704" s="2" t="str">
        <f t="shared" si="2"/>
        <v>(${Variables:E3_2_1_1_kcat} * E3_2_1_1 * C00369)/(${Variables:E3_2_1_1_km} + (E3_2_1_1 * C00369))</v>
      </c>
      <c r="K704" s="2" t="str">
        <f t="shared" si="3"/>
        <v>r703: C00369 -&gt; C00721 + C00208 | (${Variables:E3_2_1_1_kcat} * E3_2_1_1 * C00369)/(${Variables:E3_2_1_1_km} + (E3_2_1_1 * C00369))</v>
      </c>
    </row>
    <row r="705">
      <c r="A705" s="2" t="s">
        <v>12830</v>
      </c>
      <c r="B705" s="2" t="s">
        <v>12831</v>
      </c>
      <c r="C705" s="2" t="s">
        <v>25236</v>
      </c>
      <c r="D705" s="18">
        <v>704.0</v>
      </c>
      <c r="E705" s="2" t="str">
        <f t="shared" si="1"/>
        <v>E3_2_1_1</v>
      </c>
      <c r="F705" s="19" t="s">
        <v>28002</v>
      </c>
      <c r="G705" s="19" t="s">
        <v>28003</v>
      </c>
      <c r="H705" s="19" t="s">
        <v>28004</v>
      </c>
      <c r="I705" s="19" t="s">
        <v>28005</v>
      </c>
      <c r="J705" s="2" t="str">
        <f t="shared" si="2"/>
        <v>(${Variables:E3_2_1_1_kcat} * E3_2_1_1 * G10545 * C00001)/(${Variables:E3_2_1_1_km} + (E3_2_1_1 * G10545 * C00001))</v>
      </c>
      <c r="K705" s="2" t="str">
        <f t="shared" si="3"/>
        <v>r704: G10545 + C00001 -&gt; G10545 + G10545 | (${Variables:E3_2_1_1_kcat} * E3_2_1_1 * G10545 * C00001)/(${Variables:E3_2_1_1_km} + (E3_2_1_1 * G10545 * C00001))</v>
      </c>
    </row>
    <row r="706">
      <c r="A706" s="2" t="s">
        <v>12830</v>
      </c>
      <c r="B706" s="2" t="s">
        <v>12831</v>
      </c>
      <c r="C706" s="2" t="s">
        <v>25236</v>
      </c>
      <c r="D706" s="18">
        <v>705.0</v>
      </c>
      <c r="E706" s="2" t="str">
        <f t="shared" si="1"/>
        <v>E3_2_1_1</v>
      </c>
      <c r="F706" s="19" t="s">
        <v>28006</v>
      </c>
      <c r="G706" s="19" t="s">
        <v>28007</v>
      </c>
      <c r="H706" s="19" t="s">
        <v>17581</v>
      </c>
      <c r="I706" s="19" t="s">
        <v>17581</v>
      </c>
      <c r="J706" s="2" t="str">
        <f t="shared" si="2"/>
        <v>(${Variables:E3_2_1_1_kcat} * E3_2_1_1 * C01935 * C00001)/(${Variables:E3_2_1_1_km} + (E3_2_1_1 * C01935 * C00001))</v>
      </c>
      <c r="K706" s="2" t="str">
        <f t="shared" si="3"/>
        <v>r705: C01935 + C00001 -&gt; C00208 | (${Variables:E3_2_1_1_kcat} * E3_2_1_1 * C01935 * C00001)/(${Variables:E3_2_1_1_km} + (E3_2_1_1 * C01935 * C00001))</v>
      </c>
    </row>
    <row r="707">
      <c r="A707" s="2" t="s">
        <v>11298</v>
      </c>
      <c r="B707" s="2" t="s">
        <v>11299</v>
      </c>
      <c r="C707" s="2" t="s">
        <v>25237</v>
      </c>
      <c r="D707" s="18">
        <v>706.0</v>
      </c>
      <c r="E707" s="2" t="str">
        <f t="shared" si="1"/>
        <v>E3_2_1_10</v>
      </c>
      <c r="F707" s="19" t="s">
        <v>28008</v>
      </c>
      <c r="G707" s="19" t="s">
        <v>28009</v>
      </c>
      <c r="H707" s="19" t="s">
        <v>28010</v>
      </c>
      <c r="I707" s="19" t="s">
        <v>28011</v>
      </c>
      <c r="J707" s="2" t="str">
        <f t="shared" si="2"/>
        <v>(${Variables:E3_2_1_10_kcat} * E3_2_1_10 * C00089 * C00001)/(${Variables:E3_2_1_10_km} + (E3_2_1_10 * C00089 * C00001))</v>
      </c>
      <c r="K707" s="2" t="str">
        <f t="shared" si="3"/>
        <v>r706: C00089 + C00001 -&gt; C00095 + C00031 | (${Variables:E3_2_1_10_kcat} * E3_2_1_10 * C00089 * C00001)/(${Variables:E3_2_1_10_km} + (E3_2_1_10 * C00089 * C00001))</v>
      </c>
    </row>
    <row r="708">
      <c r="A708" s="2" t="s">
        <v>11298</v>
      </c>
      <c r="B708" s="2" t="s">
        <v>11299</v>
      </c>
      <c r="C708" s="2" t="s">
        <v>25237</v>
      </c>
      <c r="D708" s="18">
        <v>707.0</v>
      </c>
      <c r="E708" s="2" t="str">
        <f t="shared" si="1"/>
        <v>E3_2_1_10</v>
      </c>
      <c r="F708" s="19" t="s">
        <v>28012</v>
      </c>
      <c r="G708" s="19" t="s">
        <v>28013</v>
      </c>
      <c r="H708" s="19" t="s">
        <v>28014</v>
      </c>
      <c r="I708" s="19" t="s">
        <v>28015</v>
      </c>
      <c r="J708" s="2" t="str">
        <f t="shared" si="2"/>
        <v>(${Variables:E3_2_1_10_kcat} * E3_2_1_10 * C00252 * C00001)/(${Variables:E3_2_1_10_km} + (E3_2_1_10 * C00252 * C00001))</v>
      </c>
      <c r="K708" s="2" t="str">
        <f t="shared" si="3"/>
        <v>r707: C00252 + C00001 -&gt; C00267 + C00031 | (${Variables:E3_2_1_10_kcat} * E3_2_1_10 * C00252 * C00001)/(${Variables:E3_2_1_10_km} + (E3_2_1_10 * C00252 * C00001))</v>
      </c>
    </row>
    <row r="709">
      <c r="A709" s="2" t="s">
        <v>11298</v>
      </c>
      <c r="B709" s="2" t="s">
        <v>11299</v>
      </c>
      <c r="C709" s="2" t="s">
        <v>25237</v>
      </c>
      <c r="D709" s="18">
        <v>708.0</v>
      </c>
      <c r="E709" s="2" t="str">
        <f t="shared" si="1"/>
        <v>E3_2_1_10</v>
      </c>
      <c r="F709" s="19" t="s">
        <v>28016</v>
      </c>
      <c r="G709" s="19" t="s">
        <v>28017</v>
      </c>
      <c r="H709" s="19" t="s">
        <v>28018</v>
      </c>
      <c r="I709" s="19" t="s">
        <v>28019</v>
      </c>
      <c r="J709" s="2" t="str">
        <f t="shared" si="2"/>
        <v>(${Variables:E3_2_1_10_kcat} * E3_2_1_10 * C00721 * C00001)/(${Variables:E3_2_1_10_km} + (E3_2_1_10 * C00721 * C00001))</v>
      </c>
      <c r="K709" s="2" t="str">
        <f t="shared" si="3"/>
        <v>r708: C00721 + C00001 -&gt; C00031 + C00721 | (${Variables:E3_2_1_10_kcat} * E3_2_1_10 * C00721 * C00001)/(${Variables:E3_2_1_10_km} + (E3_2_1_10 * C00721 * C00001))</v>
      </c>
    </row>
    <row r="710">
      <c r="A710" s="2" t="s">
        <v>11298</v>
      </c>
      <c r="B710" s="2" t="s">
        <v>11299</v>
      </c>
      <c r="C710" s="2" t="s">
        <v>25237</v>
      </c>
      <c r="D710" s="18">
        <v>709.0</v>
      </c>
      <c r="E710" s="2" t="str">
        <f t="shared" si="1"/>
        <v>E3_2_1_10</v>
      </c>
      <c r="F710" s="19" t="s">
        <v>28020</v>
      </c>
      <c r="G710" s="19" t="s">
        <v>28021</v>
      </c>
      <c r="H710" s="19" t="s">
        <v>28014</v>
      </c>
      <c r="I710" s="19" t="s">
        <v>28015</v>
      </c>
      <c r="J710" s="2" t="str">
        <f t="shared" si="2"/>
        <v>(${Variables:E3_2_1_10_kcat} * E3_2_1_10 * G01318 * C00001)/(${Variables:E3_2_1_10_km} + (E3_2_1_10 * G01318 * C00001))</v>
      </c>
      <c r="K710" s="2" t="str">
        <f t="shared" si="3"/>
        <v>r709: G01318 + C00001 -&gt; C00267 + C00031 | (${Variables:E3_2_1_10_kcat} * E3_2_1_10 * G01318 * C00001)/(${Variables:E3_2_1_10_km} + (E3_2_1_10 * G01318 * C00001))</v>
      </c>
    </row>
    <row r="711">
      <c r="A711" s="2" t="s">
        <v>11298</v>
      </c>
      <c r="B711" s="2" t="s">
        <v>11299</v>
      </c>
      <c r="C711" s="2" t="s">
        <v>25237</v>
      </c>
      <c r="D711" s="18">
        <v>710.0</v>
      </c>
      <c r="E711" s="2" t="str">
        <f t="shared" si="1"/>
        <v>E3_2_1_10</v>
      </c>
      <c r="F711" s="19" t="s">
        <v>28022</v>
      </c>
      <c r="G711" s="19" t="s">
        <v>28023</v>
      </c>
      <c r="H711" s="19" t="s">
        <v>28010</v>
      </c>
      <c r="I711" s="19" t="s">
        <v>28011</v>
      </c>
      <c r="J711" s="2" t="str">
        <f t="shared" si="2"/>
        <v>(${Variables:E3_2_1_10_kcat} * E3_2_1_10 * G00370 * C00001)/(${Variables:E3_2_1_10_km} + (E3_2_1_10 * G00370 * C00001))</v>
      </c>
      <c r="K711" s="2" t="str">
        <f t="shared" si="3"/>
        <v>r710: G00370 + C00001 -&gt; C00095 + C00031 | (${Variables:E3_2_1_10_kcat} * E3_2_1_10 * G00370 * C00001)/(${Variables:E3_2_1_10_km} + (E3_2_1_10 * G00370 * C00001))</v>
      </c>
    </row>
    <row r="712">
      <c r="A712" s="2" t="s">
        <v>11298</v>
      </c>
      <c r="B712" s="2" t="s">
        <v>11299</v>
      </c>
      <c r="C712" s="2" t="s">
        <v>25237</v>
      </c>
      <c r="D712" s="18">
        <v>711.0</v>
      </c>
      <c r="E712" s="2" t="str">
        <f t="shared" si="1"/>
        <v>E3_2_1_10</v>
      </c>
      <c r="F712" s="19" t="s">
        <v>28002</v>
      </c>
      <c r="G712" s="19" t="s">
        <v>28003</v>
      </c>
      <c r="H712" s="19" t="s">
        <v>28024</v>
      </c>
      <c r="I712" s="19" t="s">
        <v>28025</v>
      </c>
      <c r="J712" s="2" t="str">
        <f t="shared" si="2"/>
        <v>(${Variables:E3_2_1_10_kcat} * E3_2_1_10 * G10545 * C00001)/(${Variables:E3_2_1_10_km} + (E3_2_1_10 * G10545 * C00001))</v>
      </c>
      <c r="K712" s="2" t="str">
        <f t="shared" si="3"/>
        <v>r711: G10545 + C00001 -&gt; C00267 + G10545 | (${Variables:E3_2_1_10_kcat} * E3_2_1_10 * G10545 * C00001)/(${Variables:E3_2_1_10_km} + (E3_2_1_10 * G10545 * C00001))</v>
      </c>
    </row>
    <row r="713">
      <c r="A713" s="2" t="s">
        <v>5113</v>
      </c>
      <c r="B713" s="2" t="s">
        <v>5114</v>
      </c>
      <c r="C713" s="2" t="s">
        <v>25238</v>
      </c>
      <c r="D713" s="18">
        <v>712.0</v>
      </c>
      <c r="E713" s="2" t="str">
        <f t="shared" si="1"/>
        <v>E3_2_1_26</v>
      </c>
      <c r="F713" s="19" t="s">
        <v>28008</v>
      </c>
      <c r="G713" s="19" t="s">
        <v>28009</v>
      </c>
      <c r="H713" s="19" t="s">
        <v>28010</v>
      </c>
      <c r="I713" s="19" t="s">
        <v>28011</v>
      </c>
      <c r="J713" s="2" t="str">
        <f t="shared" si="2"/>
        <v>(${Variables:E3_2_1_26_kcat} * E3_2_1_26 * C00089 * C00001)/(${Variables:E3_2_1_26_km} + (E3_2_1_26 * C00089 * C00001))</v>
      </c>
      <c r="K713" s="2" t="str">
        <f t="shared" si="3"/>
        <v>r712: C00089 + C00001 -&gt; C00095 + C00031 | (${Variables:E3_2_1_26_kcat} * E3_2_1_26 * C00089 * C00001)/(${Variables:E3_2_1_26_km} + (E3_2_1_26 * C00089 * C00001))</v>
      </c>
    </row>
    <row r="714">
      <c r="A714" s="2" t="s">
        <v>5113</v>
      </c>
      <c r="B714" s="2" t="s">
        <v>5114</v>
      </c>
      <c r="C714" s="2" t="s">
        <v>25238</v>
      </c>
      <c r="D714" s="18">
        <v>713.0</v>
      </c>
      <c r="E714" s="2" t="str">
        <f t="shared" si="1"/>
        <v>E3_2_1_26</v>
      </c>
      <c r="F714" s="19" t="s">
        <v>28008</v>
      </c>
      <c r="G714" s="19" t="s">
        <v>28009</v>
      </c>
      <c r="H714" s="19" t="s">
        <v>28026</v>
      </c>
      <c r="I714" s="19" t="s">
        <v>28027</v>
      </c>
      <c r="J714" s="2" t="str">
        <f t="shared" si="2"/>
        <v>(${Variables:E3_2_1_26_kcat} * E3_2_1_26 * C00089 * C00001)/(${Variables:E3_2_1_26_km} + (E3_2_1_26 * C00089 * C00001))</v>
      </c>
      <c r="K714" s="2" t="str">
        <f t="shared" si="3"/>
        <v>r713: C00089 + C00001 -&gt; C02336 + C00267 | (${Variables:E3_2_1_26_kcat} * E3_2_1_26 * C00089 * C00001)/(${Variables:E3_2_1_26_km} + (E3_2_1_26 * C00089 * C00001))</v>
      </c>
    </row>
    <row r="715">
      <c r="A715" s="2" t="s">
        <v>5113</v>
      </c>
      <c r="B715" s="2" t="s">
        <v>5114</v>
      </c>
      <c r="C715" s="2" t="s">
        <v>25238</v>
      </c>
      <c r="D715" s="18">
        <v>714.0</v>
      </c>
      <c r="E715" s="2" t="str">
        <f t="shared" si="1"/>
        <v>E3_2_1_26</v>
      </c>
      <c r="F715" s="19" t="s">
        <v>28028</v>
      </c>
      <c r="G715" s="19" t="s">
        <v>28029</v>
      </c>
      <c r="H715" s="19" t="s">
        <v>28030</v>
      </c>
      <c r="I715" s="19" t="s">
        <v>28031</v>
      </c>
      <c r="J715" s="2" t="str">
        <f t="shared" si="2"/>
        <v>(${Variables:E3_2_1_26_kcat} * E3_2_1_26 * C00492 * C00001)/(${Variables:E3_2_1_26_km} + (E3_2_1_26 * C00492 * C00001))</v>
      </c>
      <c r="K715" s="2" t="str">
        <f t="shared" si="3"/>
        <v>r714: C00492 + C00001 -&gt; C05402 + C00095 | (${Variables:E3_2_1_26_kcat} * E3_2_1_26 * C00492 * C00001)/(${Variables:E3_2_1_26_km} + (E3_2_1_26 * C00492 * C00001))</v>
      </c>
    </row>
    <row r="716">
      <c r="A716" s="2" t="s">
        <v>5113</v>
      </c>
      <c r="B716" s="2" t="s">
        <v>5114</v>
      </c>
      <c r="C716" s="2" t="s">
        <v>25238</v>
      </c>
      <c r="D716" s="18">
        <v>715.0</v>
      </c>
      <c r="E716" s="2" t="str">
        <f t="shared" si="1"/>
        <v>E3_2_1_26</v>
      </c>
      <c r="F716" s="19" t="s">
        <v>28032</v>
      </c>
      <c r="G716" s="19" t="s">
        <v>28033</v>
      </c>
      <c r="H716" s="19" t="s">
        <v>28034</v>
      </c>
      <c r="I716" s="19" t="s">
        <v>28035</v>
      </c>
      <c r="J716" s="2" t="str">
        <f t="shared" si="2"/>
        <v>(${Variables:E3_2_1_26_kcat} * E3_2_1_26 * C01613 * C00001)/(${Variables:E3_2_1_26_km} + (E3_2_1_26 * C01613 * C00001))</v>
      </c>
      <c r="K716" s="2" t="str">
        <f t="shared" si="3"/>
        <v>r715: C01613 + C00001 -&gt; C05404 + C00095 | (${Variables:E3_2_1_26_kcat} * E3_2_1_26 * C01613 * C00001)/(${Variables:E3_2_1_26_km} + (E3_2_1_26 * C01613 * C00001))</v>
      </c>
    </row>
    <row r="717">
      <c r="A717" s="2" t="s">
        <v>5113</v>
      </c>
      <c r="B717" s="2" t="s">
        <v>5114</v>
      </c>
      <c r="C717" s="2" t="s">
        <v>25238</v>
      </c>
      <c r="D717" s="18">
        <v>716.0</v>
      </c>
      <c r="E717" s="2" t="str">
        <f t="shared" si="1"/>
        <v>E3_2_1_26</v>
      </c>
      <c r="F717" s="19" t="s">
        <v>28036</v>
      </c>
      <c r="G717" s="19" t="s">
        <v>28037</v>
      </c>
      <c r="H717" s="19" t="s">
        <v>28038</v>
      </c>
      <c r="I717" s="19" t="s">
        <v>28039</v>
      </c>
      <c r="J717" s="2" t="str">
        <f t="shared" si="2"/>
        <v>(${Variables:E3_2_1_26_kcat} * E3_2_1_26 * C16688 * C00001)/(${Variables:E3_2_1_26_km} + (E3_2_1_26 * C16688 * C00001))</v>
      </c>
      <c r="K717" s="2" t="str">
        <f t="shared" si="3"/>
        <v>r716: C16688 + C00001 -&gt; C00095 + C00092 | (${Variables:E3_2_1_26_kcat} * E3_2_1_26 * C16688 * C00001)/(${Variables:E3_2_1_26_km} + (E3_2_1_26 * C16688 * C00001))</v>
      </c>
    </row>
    <row r="718">
      <c r="A718" s="2" t="s">
        <v>5113</v>
      </c>
      <c r="B718" s="2" t="s">
        <v>5114</v>
      </c>
      <c r="C718" s="2" t="s">
        <v>25238</v>
      </c>
      <c r="D718" s="18">
        <v>717.0</v>
      </c>
      <c r="E718" s="2" t="str">
        <f t="shared" si="1"/>
        <v>E3_2_1_26</v>
      </c>
      <c r="F718" s="19" t="s">
        <v>28022</v>
      </c>
      <c r="G718" s="19" t="s">
        <v>28023</v>
      </c>
      <c r="H718" s="19" t="s">
        <v>28010</v>
      </c>
      <c r="I718" s="19" t="s">
        <v>28011</v>
      </c>
      <c r="J718" s="2" t="str">
        <f t="shared" si="2"/>
        <v>(${Variables:E3_2_1_26_kcat} * E3_2_1_26 * G00370 * C00001)/(${Variables:E3_2_1_26_km} + (E3_2_1_26 * G00370 * C00001))</v>
      </c>
      <c r="K718" s="2" t="str">
        <f t="shared" si="3"/>
        <v>r717: G00370 + C00001 -&gt; C00095 + C00031 | (${Variables:E3_2_1_26_kcat} * E3_2_1_26 * G00370 * C00001)/(${Variables:E3_2_1_26_km} + (E3_2_1_26 * G00370 * C00001))</v>
      </c>
    </row>
    <row r="719">
      <c r="A719" s="2" t="s">
        <v>5113</v>
      </c>
      <c r="B719" s="2" t="s">
        <v>5114</v>
      </c>
      <c r="C719" s="2" t="s">
        <v>25238</v>
      </c>
      <c r="D719" s="18">
        <v>718.0</v>
      </c>
      <c r="E719" s="2" t="str">
        <f t="shared" si="1"/>
        <v>E3_2_1_26</v>
      </c>
      <c r="F719" s="19" t="s">
        <v>28022</v>
      </c>
      <c r="G719" s="19" t="s">
        <v>28023</v>
      </c>
      <c r="H719" s="19" t="s">
        <v>28026</v>
      </c>
      <c r="I719" s="19" t="s">
        <v>28027</v>
      </c>
      <c r="J719" s="2" t="str">
        <f t="shared" si="2"/>
        <v>(${Variables:E3_2_1_26_kcat} * E3_2_1_26 * G00370 * C00001)/(${Variables:E3_2_1_26_km} + (E3_2_1_26 * G00370 * C00001))</v>
      </c>
      <c r="K719" s="2" t="str">
        <f t="shared" si="3"/>
        <v>r718: G00370 + C00001 -&gt; C02336 + C00267 | (${Variables:E3_2_1_26_kcat} * E3_2_1_26 * G00370 * C00001)/(${Variables:E3_2_1_26_km} + (E3_2_1_26 * G00370 * C00001))</v>
      </c>
    </row>
    <row r="720">
      <c r="A720" s="2" t="s">
        <v>5113</v>
      </c>
      <c r="B720" s="2" t="s">
        <v>5114</v>
      </c>
      <c r="C720" s="2" t="s">
        <v>25238</v>
      </c>
      <c r="D720" s="18">
        <v>719.0</v>
      </c>
      <c r="E720" s="2" t="str">
        <f t="shared" si="1"/>
        <v>E3_2_1_26</v>
      </c>
      <c r="F720" s="19" t="s">
        <v>28040</v>
      </c>
      <c r="G720" s="19" t="s">
        <v>28041</v>
      </c>
      <c r="H720" s="19" t="s">
        <v>28042</v>
      </c>
      <c r="I720" s="19" t="s">
        <v>28043</v>
      </c>
      <c r="J720" s="2" t="str">
        <f t="shared" si="2"/>
        <v>(${Variables:E3_2_1_26_kcat} * E3_2_1_26 * G00249 * C00001)/(${Variables:E3_2_1_26_km} + (E3_2_1_26 * G00249 * C00001))</v>
      </c>
      <c r="K720" s="2" t="str">
        <f t="shared" si="3"/>
        <v>r719: G00249 + C00001 -&gt; G01275 + C00095 | (${Variables:E3_2_1_26_kcat} * E3_2_1_26 * G00249 * C00001)/(${Variables:E3_2_1_26_km} + (E3_2_1_26 * G00249 * C00001))</v>
      </c>
    </row>
    <row r="721">
      <c r="A721" s="2" t="s">
        <v>5113</v>
      </c>
      <c r="B721" s="2" t="s">
        <v>5114</v>
      </c>
      <c r="C721" s="2" t="s">
        <v>25238</v>
      </c>
      <c r="D721" s="18">
        <v>720.0</v>
      </c>
      <c r="E721" s="2" t="str">
        <f t="shared" si="1"/>
        <v>E3_2_1_26</v>
      </c>
      <c r="F721" s="19" t="s">
        <v>28044</v>
      </c>
      <c r="G721" s="19" t="s">
        <v>28045</v>
      </c>
      <c r="H721" s="19" t="s">
        <v>28046</v>
      </c>
      <c r="I721" s="19" t="s">
        <v>28047</v>
      </c>
      <c r="J721" s="2" t="str">
        <f t="shared" si="2"/>
        <v>(${Variables:E3_2_1_26_kcat} * E3_2_1_26 * G00278 * C00001)/(${Variables:E3_2_1_26_km} + (E3_2_1_26 * G00278 * C00001))</v>
      </c>
      <c r="K721" s="2" t="str">
        <f t="shared" si="3"/>
        <v>r720: G00278 + C00001 -&gt; G00501 + C00095 | (${Variables:E3_2_1_26_kcat} * E3_2_1_26 * G00278 * C00001)/(${Variables:E3_2_1_26_km} + (E3_2_1_26 * G00278 * C00001))</v>
      </c>
    </row>
    <row r="722">
      <c r="A722" s="2" t="s">
        <v>5113</v>
      </c>
      <c r="B722" s="2" t="s">
        <v>5114</v>
      </c>
      <c r="C722" s="2" t="s">
        <v>25238</v>
      </c>
      <c r="D722" s="18">
        <v>721.0</v>
      </c>
      <c r="E722" s="2" t="str">
        <f t="shared" si="1"/>
        <v>E3_2_1_26</v>
      </c>
      <c r="F722" s="19" t="s">
        <v>28048</v>
      </c>
      <c r="G722" s="19" t="s">
        <v>28049</v>
      </c>
      <c r="H722" s="19" t="s">
        <v>28050</v>
      </c>
      <c r="I722" s="19" t="s">
        <v>28051</v>
      </c>
      <c r="J722" s="2" t="str">
        <f t="shared" si="2"/>
        <v>(${Variables:E3_2_1_26_kcat} * E3_2_1_26 * G10508 * C00001)/(${Variables:E3_2_1_26_km} + (E3_2_1_26 * G10508 * C00001))</v>
      </c>
      <c r="K722" s="2" t="str">
        <f t="shared" si="3"/>
        <v>r721: G10508 + C00001 -&gt; C02336 + C00668 | (${Variables:E3_2_1_26_kcat} * E3_2_1_26 * G10508 * C00001)/(${Variables:E3_2_1_26_km} + (E3_2_1_26 * G10508 * C00001))</v>
      </c>
    </row>
    <row r="723">
      <c r="A723" s="2" t="s">
        <v>7992</v>
      </c>
      <c r="B723" s="2" t="s">
        <v>7993</v>
      </c>
      <c r="C723" s="2" t="s">
        <v>25240</v>
      </c>
      <c r="D723" s="18">
        <v>722.0</v>
      </c>
      <c r="E723" s="2" t="str">
        <f t="shared" si="1"/>
        <v>E3_2_1_86</v>
      </c>
      <c r="F723" s="19" t="s">
        <v>28052</v>
      </c>
      <c r="G723" s="19" t="s">
        <v>28053</v>
      </c>
      <c r="H723" s="19" t="s">
        <v>28054</v>
      </c>
      <c r="I723" s="19" t="s">
        <v>28055</v>
      </c>
      <c r="J723" s="2" t="str">
        <f t="shared" si="2"/>
        <v>(${Variables:E3_2_1_86_kcat} * E3_2_1_86 * C04534 * C00001)/(${Variables:E3_2_1_86_km} + (E3_2_1_86 * C04534 * C00001))</v>
      </c>
      <c r="K723" s="2" t="str">
        <f t="shared" si="3"/>
        <v>r722: C04534 + C00001 -&gt; C00031 + C00092 | (${Variables:E3_2_1_86_kcat} * E3_2_1_86 * C04534 * C00001)/(${Variables:E3_2_1_86_km} + (E3_2_1_86 * C04534 * C00001))</v>
      </c>
    </row>
    <row r="724">
      <c r="A724" s="2" t="s">
        <v>7992</v>
      </c>
      <c r="B724" s="2" t="s">
        <v>7993</v>
      </c>
      <c r="C724" s="2" t="s">
        <v>25240</v>
      </c>
      <c r="D724" s="18">
        <v>723.0</v>
      </c>
      <c r="E724" s="2" t="str">
        <f t="shared" si="1"/>
        <v>E3_2_1_86</v>
      </c>
      <c r="F724" s="19" t="s">
        <v>28056</v>
      </c>
      <c r="G724" s="19" t="s">
        <v>28057</v>
      </c>
      <c r="H724" s="19" t="s">
        <v>28058</v>
      </c>
      <c r="I724" s="19" t="s">
        <v>28059</v>
      </c>
      <c r="J724" s="2" t="str">
        <f t="shared" si="2"/>
        <v>(${Variables:E3_2_1_86_kcat} * E3_2_1_86 * C06187 * C00001)/(${Variables:E3_2_1_86_km} + (E3_2_1_86 * C06187 * C00001))</v>
      </c>
      <c r="K724" s="2" t="str">
        <f t="shared" si="3"/>
        <v>r723: C06187 + C00001 -&gt; C00530 + C01172 | (${Variables:E3_2_1_86_kcat} * E3_2_1_86 * C06187 * C00001)/(${Variables:E3_2_1_86_km} + (E3_2_1_86 * C06187 * C00001))</v>
      </c>
    </row>
    <row r="725">
      <c r="A725" s="2" t="s">
        <v>7992</v>
      </c>
      <c r="B725" s="2" t="s">
        <v>7993</v>
      </c>
      <c r="C725" s="2" t="s">
        <v>25240</v>
      </c>
      <c r="D725" s="18">
        <v>724.0</v>
      </c>
      <c r="E725" s="2" t="str">
        <f t="shared" si="1"/>
        <v>E3_2_1_86</v>
      </c>
      <c r="F725" s="19" t="s">
        <v>28060</v>
      </c>
      <c r="G725" s="19" t="s">
        <v>28061</v>
      </c>
      <c r="H725" s="19" t="s">
        <v>28062</v>
      </c>
      <c r="I725" s="19" t="s">
        <v>28063</v>
      </c>
      <c r="J725" s="2" t="str">
        <f t="shared" si="2"/>
        <v>(${Variables:E3_2_1_86_kcat} * E3_2_1_86 * C06188 * C00001)/(${Variables:E3_2_1_86_km} + (E3_2_1_86 * C06188 * C00001))</v>
      </c>
      <c r="K725" s="2" t="str">
        <f t="shared" si="3"/>
        <v>r724: C06188 + C00001 -&gt; C02323 + C01172 | (${Variables:E3_2_1_86_kcat} * E3_2_1_86 * C06188 * C00001)/(${Variables:E3_2_1_86_km} + (E3_2_1_86 * C06188 * C00001))</v>
      </c>
    </row>
    <row r="726">
      <c r="A726" s="2" t="s">
        <v>7992</v>
      </c>
      <c r="B726" s="2" t="s">
        <v>7993</v>
      </c>
      <c r="C726" s="2" t="s">
        <v>25240</v>
      </c>
      <c r="D726" s="18">
        <v>725.0</v>
      </c>
      <c r="E726" s="2" t="str">
        <f t="shared" si="1"/>
        <v>E3_2_1_86</v>
      </c>
      <c r="F726" s="19" t="s">
        <v>28064</v>
      </c>
      <c r="G726" s="19" t="s">
        <v>28065</v>
      </c>
      <c r="H726" s="19" t="s">
        <v>28054</v>
      </c>
      <c r="I726" s="19" t="s">
        <v>28055</v>
      </c>
      <c r="J726" s="2" t="str">
        <f t="shared" si="2"/>
        <v>(${Variables:E3_2_1_86_kcat} * E3_2_1_86 * G10518 * C00001)/(${Variables:E3_2_1_86_km} + (E3_2_1_86 * G10518 * C00001))</v>
      </c>
      <c r="K726" s="2" t="str">
        <f t="shared" si="3"/>
        <v>r725: G10518 + C00001 -&gt; C00031 + C00092 | (${Variables:E3_2_1_86_kcat} * E3_2_1_86 * G10518 * C00001)/(${Variables:E3_2_1_86_km} + (E3_2_1_86 * G10518 * C00001))</v>
      </c>
    </row>
    <row r="727">
      <c r="A727" s="2" t="s">
        <v>5513</v>
      </c>
      <c r="B727" s="2" t="s">
        <v>5514</v>
      </c>
      <c r="C727" s="2" t="s">
        <v>25241</v>
      </c>
      <c r="D727" s="18">
        <v>726.0</v>
      </c>
      <c r="E727" s="2" t="str">
        <f t="shared" si="1"/>
        <v>E3_2_1_93</v>
      </c>
      <c r="F727" s="19" t="s">
        <v>28066</v>
      </c>
      <c r="G727" s="19" t="s">
        <v>28067</v>
      </c>
      <c r="H727" s="19" t="s">
        <v>28054</v>
      </c>
      <c r="I727" s="19" t="s">
        <v>28055</v>
      </c>
      <c r="J727" s="2" t="str">
        <f t="shared" si="2"/>
        <v>(${Variables:E3_2_1_93_kcat} * E3_2_1_93 * C00001 * C00689)/(${Variables:E3_2_1_93_km} + (E3_2_1_93 * C00001 * C00689))</v>
      </c>
      <c r="K727" s="2" t="str">
        <f t="shared" si="3"/>
        <v>r726: C00001 + C00689 -&gt; C00031 + C00092 | (${Variables:E3_2_1_93_kcat} * E3_2_1_93 * C00001 * C00689)/(${Variables:E3_2_1_93_km} + (E3_2_1_93 * C00001 * C00689))</v>
      </c>
    </row>
    <row r="728">
      <c r="A728" s="2" t="s">
        <v>5513</v>
      </c>
      <c r="B728" s="2" t="s">
        <v>5514</v>
      </c>
      <c r="C728" s="2" t="s">
        <v>25241</v>
      </c>
      <c r="D728" s="18">
        <v>727.0</v>
      </c>
      <c r="E728" s="2" t="str">
        <f t="shared" si="1"/>
        <v>E3_2_1_93</v>
      </c>
      <c r="F728" s="19" t="s">
        <v>28068</v>
      </c>
      <c r="G728" s="19" t="s">
        <v>28069</v>
      </c>
      <c r="H728" s="19" t="s">
        <v>28054</v>
      </c>
      <c r="I728" s="19" t="s">
        <v>28055</v>
      </c>
      <c r="J728" s="2" t="str">
        <f t="shared" si="2"/>
        <v>(${Variables:E3_2_1_93_kcat} * E3_2_1_93 * C00001 * G09795)/(${Variables:E3_2_1_93_km} + (E3_2_1_93 * C00001 * G09795))</v>
      </c>
      <c r="K728" s="2" t="str">
        <f t="shared" si="3"/>
        <v>r727: C00001 + G09795 -&gt; C00031 + C00092 | (${Variables:E3_2_1_93_kcat} * E3_2_1_93 * C00001 * G09795)/(${Variables:E3_2_1_93_km} + (E3_2_1_93 * C00001 * G09795))</v>
      </c>
    </row>
    <row r="729">
      <c r="A729" s="2" t="s">
        <v>3145</v>
      </c>
      <c r="B729" s="2" t="s">
        <v>3146</v>
      </c>
      <c r="C729" s="2" t="s">
        <v>25263</v>
      </c>
      <c r="D729" s="18">
        <v>728.0</v>
      </c>
      <c r="E729" s="2" t="str">
        <f t="shared" si="1"/>
        <v>E3_5_1_1</v>
      </c>
      <c r="F729" s="19" t="s">
        <v>28070</v>
      </c>
      <c r="G729" s="19" t="s">
        <v>28071</v>
      </c>
      <c r="H729" s="19" t="s">
        <v>28072</v>
      </c>
      <c r="I729" s="19" t="s">
        <v>28073</v>
      </c>
      <c r="J729" s="2" t="str">
        <f t="shared" si="2"/>
        <v>(${Variables:E3_5_1_1_kcat} * E3_5_1_1 * C00152 * C00001)/(${Variables:E3_5_1_1_km} + (E3_5_1_1 * C00152 * C00001))</v>
      </c>
      <c r="K729" s="2" t="str">
        <f t="shared" si="3"/>
        <v>r728: C00152 + C00001 -&gt; C00049 + C00014 | (${Variables:E3_5_1_1_kcat} * E3_5_1_1 * C00152 * C00001)/(${Variables:E3_5_1_1_km} + (E3_5_1_1 * C00152 * C00001))</v>
      </c>
    </row>
    <row r="730">
      <c r="A730" s="2" t="s">
        <v>3145</v>
      </c>
      <c r="B730" s="2" t="s">
        <v>3146</v>
      </c>
      <c r="C730" s="2" t="s">
        <v>25263</v>
      </c>
      <c r="D730" s="18">
        <v>729.0</v>
      </c>
      <c r="E730" s="2" t="str">
        <f t="shared" si="1"/>
        <v>E3_5_1_1</v>
      </c>
      <c r="F730" s="19" t="s">
        <v>28074</v>
      </c>
      <c r="G730" s="19" t="s">
        <v>28075</v>
      </c>
      <c r="H730" s="19" t="s">
        <v>28076</v>
      </c>
      <c r="I730" s="19" t="s">
        <v>28077</v>
      </c>
      <c r="J730" s="2" t="str">
        <f t="shared" si="2"/>
        <v>(${Variables:E3_5_1_1_kcat} * E3_5_1_1 * C00241 * C00001)/(${Variables:E3_5_1_1_km} + (E3_5_1_1 * C00241 * C00001))</v>
      </c>
      <c r="K730" s="2" t="str">
        <f t="shared" si="3"/>
        <v>r729: C00241 + C00001 -&gt; C00060 + C00014 | (${Variables:E3_5_1_1_kcat} * E3_5_1_1 * C00241 * C00001)/(${Variables:E3_5_1_1_km} + (E3_5_1_1 * C00241 * C00001))</v>
      </c>
    </row>
    <row r="731">
      <c r="A731" s="2" t="s">
        <v>7994</v>
      </c>
      <c r="B731" s="2" t="s">
        <v>7995</v>
      </c>
      <c r="C731" s="2" t="s">
        <v>25264</v>
      </c>
      <c r="D731" s="18">
        <v>730.0</v>
      </c>
      <c r="E731" s="2" t="str">
        <f t="shared" si="1"/>
        <v>E3_5_1_105</v>
      </c>
      <c r="F731" s="19" t="s">
        <v>28078</v>
      </c>
      <c r="G731" s="19" t="s">
        <v>28079</v>
      </c>
      <c r="H731" s="19" t="s">
        <v>28080</v>
      </c>
      <c r="I731" s="19" t="s">
        <v>28081</v>
      </c>
      <c r="J731" s="2" t="str">
        <f t="shared" si="2"/>
        <v>(${Variables:E3_5_1_105_kcat} * E3_5_1_105 * C01674 * C00001)/(${Variables:E3_5_1_105_km} + (E3_5_1_105 * C01674 * C00001))</v>
      </c>
      <c r="K731" s="2" t="str">
        <f t="shared" si="3"/>
        <v>r730: C01674 + C00001 -&gt; C21747 + C00033 | (${Variables:E3_5_1_105_kcat} * E3_5_1_105 * C01674 * C00001)/(${Variables:E3_5_1_105_km} + (E3_5_1_105 * C01674 * C00001))</v>
      </c>
    </row>
    <row r="732">
      <c r="A732" s="2" t="s">
        <v>3497</v>
      </c>
      <c r="B732" s="2" t="s">
        <v>3498</v>
      </c>
      <c r="C732" s="2" t="s">
        <v>25265</v>
      </c>
      <c r="D732" s="18">
        <v>731.0</v>
      </c>
      <c r="E732" s="2" t="str">
        <f t="shared" si="1"/>
        <v>E3_5_1_14</v>
      </c>
      <c r="F732" s="19" t="s">
        <v>28082</v>
      </c>
      <c r="G732" s="19" t="s">
        <v>28083</v>
      </c>
      <c r="H732" s="19" t="s">
        <v>28084</v>
      </c>
      <c r="I732" s="19" t="s">
        <v>28085</v>
      </c>
      <c r="J732" s="2" t="str">
        <f t="shared" si="2"/>
        <v>(${Variables:E3_5_1_14_kcat} * E3_5_1_14 * C00437 * C00001)/(${Variables:E3_5_1_14_km} + (E3_5_1_14 * C00437 * C00001))</v>
      </c>
      <c r="K732" s="2" t="str">
        <f t="shared" si="3"/>
        <v>r731: C00437 + C00001 -&gt; C00033 + C00077 | (${Variables:E3_5_1_14_kcat} * E3_5_1_14 * C00437 * C00001)/(${Variables:E3_5_1_14_km} + (E3_5_1_14 * C00437 * C00001))</v>
      </c>
    </row>
    <row r="733">
      <c r="A733" s="2" t="s">
        <v>3497</v>
      </c>
      <c r="B733" s="2" t="s">
        <v>3498</v>
      </c>
      <c r="C733" s="2" t="s">
        <v>25265</v>
      </c>
      <c r="D733" s="18">
        <v>732.0</v>
      </c>
      <c r="E733" s="2" t="str">
        <f t="shared" si="1"/>
        <v>E3_5_1_14</v>
      </c>
      <c r="F733" s="19" t="s">
        <v>28086</v>
      </c>
      <c r="G733" s="19" t="s">
        <v>28087</v>
      </c>
      <c r="H733" s="19" t="s">
        <v>28088</v>
      </c>
      <c r="I733" s="19" t="s">
        <v>28089</v>
      </c>
      <c r="J733" s="2" t="str">
        <f t="shared" si="2"/>
        <v>(${Variables:E3_5_1_14_kcat} * E3_5_1_14 * C02850 * C00001)/(${Variables:E3_5_1_14_km} + (E3_5_1_14 * C02850 * C00001))</v>
      </c>
      <c r="K733" s="2" t="str">
        <f t="shared" si="3"/>
        <v>r732: C02850 + C00001 -&gt; C00060 + C00151 | (${Variables:E3_5_1_14_kcat} * E3_5_1_14 * C02850 * C00001)/(${Variables:E3_5_1_14_km} + (E3_5_1_14 * C02850 * C00001))</v>
      </c>
    </row>
    <row r="734">
      <c r="A734" s="2" t="s">
        <v>3497</v>
      </c>
      <c r="B734" s="2" t="s">
        <v>3498</v>
      </c>
      <c r="C734" s="2" t="s">
        <v>25265</v>
      </c>
      <c r="D734" s="18">
        <v>733.0</v>
      </c>
      <c r="E734" s="2" t="str">
        <f t="shared" si="1"/>
        <v>E3_5_1_14</v>
      </c>
      <c r="F734" s="19" t="s">
        <v>28090</v>
      </c>
      <c r="G734" s="19" t="s">
        <v>28091</v>
      </c>
      <c r="H734" s="19" t="s">
        <v>28092</v>
      </c>
      <c r="I734" s="19" t="s">
        <v>28093</v>
      </c>
      <c r="J734" s="2" t="str">
        <f t="shared" si="2"/>
        <v>(${Variables:E3_5_1_14_kcat} * E3_5_1_14 * C05727 * C00001)/(${Variables:E3_5_1_14_km} + (E3_5_1_14 * C05727 * C00001))</v>
      </c>
      <c r="K734" s="2" t="str">
        <f t="shared" si="3"/>
        <v>r733: C05727 + C00001 -&gt; C05726 + C00033 | (${Variables:E3_5_1_14_kcat} * E3_5_1_14 * C05727 * C00001)/(${Variables:E3_5_1_14_km} + (E3_5_1_14 * C05727 * C00001))</v>
      </c>
    </row>
    <row r="735">
      <c r="A735" s="2" t="s">
        <v>5885</v>
      </c>
      <c r="B735" s="2" t="s">
        <v>5886</v>
      </c>
      <c r="C735" s="2" t="s">
        <v>25266</v>
      </c>
      <c r="D735" s="18">
        <v>734.0</v>
      </c>
      <c r="E735" s="2" t="str">
        <f t="shared" si="1"/>
        <v>E3_5_1_16</v>
      </c>
      <c r="F735" s="19" t="s">
        <v>28082</v>
      </c>
      <c r="G735" s="19" t="s">
        <v>28083</v>
      </c>
      <c r="H735" s="19" t="s">
        <v>28084</v>
      </c>
      <c r="I735" s="19" t="s">
        <v>28085</v>
      </c>
      <c r="J735" s="2" t="str">
        <f t="shared" si="2"/>
        <v>(${Variables:E3_5_1_16_kcat} * E3_5_1_16 * C00437 * C00001)/(${Variables:E3_5_1_16_km} + (E3_5_1_16 * C00437 * C00001))</v>
      </c>
      <c r="K735" s="2" t="str">
        <f t="shared" si="3"/>
        <v>r734: C00437 + C00001 -&gt; C00033 + C00077 | (${Variables:E3_5_1_16_kcat} * E3_5_1_16 * C00437 * C00001)/(${Variables:E3_5_1_16_km} + (E3_5_1_16 * C00437 * C00001))</v>
      </c>
    </row>
    <row r="736">
      <c r="A736" s="2" t="s">
        <v>5885</v>
      </c>
      <c r="B736" s="2" t="s">
        <v>5886</v>
      </c>
      <c r="C736" s="2" t="s">
        <v>25266</v>
      </c>
      <c r="D736" s="18">
        <v>735.0</v>
      </c>
      <c r="E736" s="2" t="str">
        <f t="shared" si="1"/>
        <v>E3_5_1_16</v>
      </c>
      <c r="F736" s="19" t="s">
        <v>28094</v>
      </c>
      <c r="G736" s="19" t="s">
        <v>28095</v>
      </c>
      <c r="H736" s="19" t="s">
        <v>28096</v>
      </c>
      <c r="I736" s="19" t="s">
        <v>28097</v>
      </c>
      <c r="J736" s="2" t="str">
        <f t="shared" si="2"/>
        <v>(${Variables:E3_5_1_16_kcat} * E3_5_1_16 * C15532 * C00001)/(${Variables:E3_5_1_16_km} + (E3_5_1_16 * C15532 * C00001))</v>
      </c>
      <c r="K736" s="2" t="str">
        <f t="shared" si="3"/>
        <v>r735: C15532 + C00001 -&gt; C00033 + C00327 | (${Variables:E3_5_1_16_kcat} * E3_5_1_16 * C15532 * C00001)/(${Variables:E3_5_1_16_km} + (E3_5_1_16 * C15532 * C00001))</v>
      </c>
    </row>
    <row r="737">
      <c r="A737" s="2" t="s">
        <v>5872</v>
      </c>
      <c r="B737" s="2" t="s">
        <v>5873</v>
      </c>
      <c r="C737" s="2" t="s">
        <v>25267</v>
      </c>
      <c r="D737" s="18">
        <v>736.0</v>
      </c>
      <c r="E737" s="2" t="str">
        <f t="shared" si="1"/>
        <v>E3_5_1_2</v>
      </c>
      <c r="F737" s="19" t="s">
        <v>27228</v>
      </c>
      <c r="G737" s="19" t="s">
        <v>27229</v>
      </c>
      <c r="H737" s="19" t="s">
        <v>27230</v>
      </c>
      <c r="I737" s="19" t="s">
        <v>27231</v>
      </c>
      <c r="J737" s="2" t="str">
        <f t="shared" si="2"/>
        <v>(${Variables:E3_5_1_2_kcat} * E3_5_1_2 * C00064 * C00001)/(${Variables:E3_5_1_2_km} + (E3_5_1_2 * C00064 * C00001))</v>
      </c>
      <c r="K737" s="2" t="str">
        <f t="shared" si="3"/>
        <v>r736: C00064 + C00001 -&gt; C00025 + C00014 | (${Variables:E3_5_1_2_kcat} * E3_5_1_2 * C00064 * C00001)/(${Variables:E3_5_1_2_km} + (E3_5_1_2 * C00064 * C00001))</v>
      </c>
    </row>
    <row r="738">
      <c r="A738" s="2" t="s">
        <v>5872</v>
      </c>
      <c r="B738" s="2" t="s">
        <v>5873</v>
      </c>
      <c r="C738" s="2" t="s">
        <v>25267</v>
      </c>
      <c r="D738" s="18">
        <v>737.0</v>
      </c>
      <c r="E738" s="2" t="str">
        <f t="shared" si="1"/>
        <v>E3_5_1_2</v>
      </c>
      <c r="F738" s="19" t="s">
        <v>28098</v>
      </c>
      <c r="G738" s="19" t="s">
        <v>28099</v>
      </c>
      <c r="H738" s="19" t="s">
        <v>28100</v>
      </c>
      <c r="I738" s="19" t="s">
        <v>28101</v>
      </c>
      <c r="J738" s="2" t="str">
        <f t="shared" si="2"/>
        <v>(${Variables:E3_5_1_2_kcat} * E3_5_1_2 * C00819 * C00001)/(${Variables:E3_5_1_2_km} + (E3_5_1_2 * C00819 * C00001))</v>
      </c>
      <c r="K738" s="2" t="str">
        <f t="shared" si="3"/>
        <v>r737: C00819 + C00001 -&gt; C00217 + C00014 | (${Variables:E3_5_1_2_kcat} * E3_5_1_2 * C00819 * C00001)/(${Variables:E3_5_1_2_km} + (E3_5_1_2 * C00819 * C00001))</v>
      </c>
    </row>
    <row r="739">
      <c r="A739" s="2" t="s">
        <v>5872</v>
      </c>
      <c r="B739" s="2" t="s">
        <v>5873</v>
      </c>
      <c r="C739" s="2" t="s">
        <v>25267</v>
      </c>
      <c r="D739" s="18">
        <v>738.0</v>
      </c>
      <c r="E739" s="2" t="str">
        <f t="shared" si="1"/>
        <v>E3_5_1_2</v>
      </c>
      <c r="F739" s="19" t="s">
        <v>28074</v>
      </c>
      <c r="G739" s="19" t="s">
        <v>28075</v>
      </c>
      <c r="H739" s="19" t="s">
        <v>28076</v>
      </c>
      <c r="I739" s="19" t="s">
        <v>28077</v>
      </c>
      <c r="J739" s="2" t="str">
        <f t="shared" si="2"/>
        <v>(${Variables:E3_5_1_2_kcat} * E3_5_1_2 * C00241 * C00001)/(${Variables:E3_5_1_2_km} + (E3_5_1_2 * C00241 * C00001))</v>
      </c>
      <c r="K739" s="2" t="str">
        <f t="shared" si="3"/>
        <v>r738: C00241 + C00001 -&gt; C00060 + C00014 | (${Variables:E3_5_1_2_kcat} * E3_5_1_2 * C00241 * C00001)/(${Variables:E3_5_1_2_km} + (E3_5_1_2 * C00241 * C00001))</v>
      </c>
    </row>
    <row r="740">
      <c r="A740" s="2" t="s">
        <v>4493</v>
      </c>
      <c r="B740" s="2" t="s">
        <v>4494</v>
      </c>
      <c r="C740" s="2" t="s">
        <v>25268</v>
      </c>
      <c r="D740" s="18">
        <v>739.0</v>
      </c>
      <c r="E740" s="2" t="str">
        <f t="shared" si="1"/>
        <v>E3_5_1_24</v>
      </c>
      <c r="F740" s="19" t="s">
        <v>28102</v>
      </c>
      <c r="G740" s="19" t="s">
        <v>28103</v>
      </c>
      <c r="H740" s="19" t="s">
        <v>28104</v>
      </c>
      <c r="I740" s="19" t="s">
        <v>28105</v>
      </c>
      <c r="J740" s="2" t="str">
        <f t="shared" si="2"/>
        <v>(${Variables:E3_5_1_24_kcat} * E3_5_1_24 * C05122 * C00001)/(${Variables:E3_5_1_24_km} + (E3_5_1_24 * C05122 * C00001))</v>
      </c>
      <c r="K740" s="2" t="str">
        <f t="shared" si="3"/>
        <v>r739: C05122 + C00001 -&gt; C00695 + C00245 | (${Variables:E3_5_1_24_kcat} * E3_5_1_24 * C05122 * C00001)/(${Variables:E3_5_1_24_km} + (E3_5_1_24 * C05122 * C00001))</v>
      </c>
    </row>
    <row r="741">
      <c r="A741" s="2" t="s">
        <v>4493</v>
      </c>
      <c r="B741" s="2" t="s">
        <v>4494</v>
      </c>
      <c r="C741" s="2" t="s">
        <v>25268</v>
      </c>
      <c r="D741" s="18">
        <v>740.0</v>
      </c>
      <c r="E741" s="2" t="str">
        <f t="shared" si="1"/>
        <v>E3_5_1_24</v>
      </c>
      <c r="F741" s="19" t="s">
        <v>28106</v>
      </c>
      <c r="G741" s="19" t="s">
        <v>28107</v>
      </c>
      <c r="H741" s="19" t="s">
        <v>28108</v>
      </c>
      <c r="I741" s="19" t="s">
        <v>28109</v>
      </c>
      <c r="J741" s="2" t="str">
        <f t="shared" si="2"/>
        <v>(${Variables:E3_5_1_24_kcat} * E3_5_1_24 * C05466 * C00001)/(${Variables:E3_5_1_24_km} + (E3_5_1_24 * C05466 * C00001))</v>
      </c>
      <c r="K741" s="2" t="str">
        <f t="shared" si="3"/>
        <v>r740: C05466 + C00001 -&gt; C02528 + C00037 | (${Variables:E3_5_1_24_kcat} * E3_5_1_24 * C05466 * C00001)/(${Variables:E3_5_1_24_km} + (E3_5_1_24 * C05466 * C00001))</v>
      </c>
    </row>
    <row r="742">
      <c r="A742" s="2" t="s">
        <v>4493</v>
      </c>
      <c r="B742" s="2" t="s">
        <v>4494</v>
      </c>
      <c r="C742" s="2" t="s">
        <v>25268</v>
      </c>
      <c r="D742" s="18">
        <v>741.0</v>
      </c>
      <c r="E742" s="2" t="str">
        <f t="shared" si="1"/>
        <v>E3_5_1_24</v>
      </c>
      <c r="F742" s="19" t="s">
        <v>28110</v>
      </c>
      <c r="G742" s="19" t="s">
        <v>28111</v>
      </c>
      <c r="H742" s="19" t="s">
        <v>28112</v>
      </c>
      <c r="I742" s="19" t="s">
        <v>28113</v>
      </c>
      <c r="J742" s="2" t="str">
        <f t="shared" si="2"/>
        <v>(${Variables:E3_5_1_24_kcat} * E3_5_1_24 * C05465 * C00001)/(${Variables:E3_5_1_24_km} + (E3_5_1_24 * C05465 * C00001))</v>
      </c>
      <c r="K742" s="2" t="str">
        <f t="shared" si="3"/>
        <v>r741: C05465 + C00001 -&gt; C02528 + C00245 | (${Variables:E3_5_1_24_kcat} * E3_5_1_24 * C05465 * C00001)/(${Variables:E3_5_1_24_km} + (E3_5_1_24 * C05465 * C00001))</v>
      </c>
    </row>
    <row r="743">
      <c r="A743" s="2" t="s">
        <v>4493</v>
      </c>
      <c r="B743" s="2" t="s">
        <v>4494</v>
      </c>
      <c r="C743" s="2" t="s">
        <v>25268</v>
      </c>
      <c r="D743" s="18">
        <v>742.0</v>
      </c>
      <c r="E743" s="2" t="str">
        <f t="shared" si="1"/>
        <v>E3_5_1_24</v>
      </c>
      <c r="F743" s="19" t="s">
        <v>28114</v>
      </c>
      <c r="G743" s="19" t="s">
        <v>28115</v>
      </c>
      <c r="H743" s="19" t="s">
        <v>28116</v>
      </c>
      <c r="I743" s="19" t="s">
        <v>28117</v>
      </c>
      <c r="J743" s="2" t="str">
        <f t="shared" si="2"/>
        <v>(${Variables:E3_5_1_24_kcat} * E3_5_1_24 * C05464 * C00001)/(${Variables:E3_5_1_24_km} + (E3_5_1_24 * C05464 * C00001))</v>
      </c>
      <c r="K743" s="2" t="str">
        <f t="shared" si="3"/>
        <v>r742: C05464 + C00001 -&gt; C04483 + C00037 | (${Variables:E3_5_1_24_kcat} * E3_5_1_24 * C05464 * C00001)/(${Variables:E3_5_1_24_km} + (E3_5_1_24 * C05464 * C00001))</v>
      </c>
    </row>
    <row r="744">
      <c r="A744" s="2" t="s">
        <v>4493</v>
      </c>
      <c r="B744" s="2" t="s">
        <v>4494</v>
      </c>
      <c r="C744" s="2" t="s">
        <v>25268</v>
      </c>
      <c r="D744" s="18">
        <v>743.0</v>
      </c>
      <c r="E744" s="2" t="str">
        <f t="shared" si="1"/>
        <v>E3_5_1_24</v>
      </c>
      <c r="F744" s="19" t="s">
        <v>28118</v>
      </c>
      <c r="G744" s="19" t="s">
        <v>28119</v>
      </c>
      <c r="H744" s="19" t="s">
        <v>28120</v>
      </c>
      <c r="I744" s="19" t="s">
        <v>28121</v>
      </c>
      <c r="J744" s="2" t="str">
        <f t="shared" si="2"/>
        <v>(${Variables:E3_5_1_24_kcat} * E3_5_1_24 * C05463 * C00001)/(${Variables:E3_5_1_24_km} + (E3_5_1_24 * C05463 * C00001))</v>
      </c>
      <c r="K744" s="2" t="str">
        <f t="shared" si="3"/>
        <v>r743: C05463 + C00001 -&gt; C04483 + C00245 | (${Variables:E3_5_1_24_kcat} * E3_5_1_24 * C05463 * C00001)/(${Variables:E3_5_1_24_km} + (E3_5_1_24 * C05463 * C00001))</v>
      </c>
    </row>
    <row r="745">
      <c r="A745" s="2" t="s">
        <v>4493</v>
      </c>
      <c r="B745" s="2" t="s">
        <v>4494</v>
      </c>
      <c r="C745" s="2" t="s">
        <v>25268</v>
      </c>
      <c r="D745" s="18">
        <v>744.0</v>
      </c>
      <c r="E745" s="2" t="str">
        <f t="shared" si="1"/>
        <v>E3_5_1_24</v>
      </c>
      <c r="F745" s="19" t="s">
        <v>28122</v>
      </c>
      <c r="G745" s="19" t="s">
        <v>28123</v>
      </c>
      <c r="H745" s="19" t="s">
        <v>28124</v>
      </c>
      <c r="I745" s="19" t="s">
        <v>28125</v>
      </c>
      <c r="J745" s="2" t="str">
        <f t="shared" si="2"/>
        <v>(${Variables:E3_5_1_24_kcat} * E3_5_1_24 * C01921 * C00001)/(${Variables:E3_5_1_24_km} + (E3_5_1_24 * C01921 * C00001))</v>
      </c>
      <c r="K745" s="2" t="str">
        <f t="shared" si="3"/>
        <v>r744: C01921 + C00001 -&gt; C00695 + C00037 | (${Variables:E3_5_1_24_kcat} * E3_5_1_24 * C01921 * C00001)/(${Variables:E3_5_1_24_km} + (E3_5_1_24 * C01921 * C00001))</v>
      </c>
    </row>
    <row r="746">
      <c r="A746" s="2" t="s">
        <v>11184</v>
      </c>
      <c r="B746" s="2" t="s">
        <v>11185</v>
      </c>
      <c r="C746" s="2" t="s">
        <v>25269</v>
      </c>
      <c r="D746" s="18">
        <v>745.0</v>
      </c>
      <c r="E746" s="2" t="str">
        <f t="shared" si="1"/>
        <v>E3_5_1_25</v>
      </c>
      <c r="F746" s="19" t="s">
        <v>28126</v>
      </c>
      <c r="G746" s="19" t="s">
        <v>28127</v>
      </c>
      <c r="H746" s="19" t="s">
        <v>28128</v>
      </c>
      <c r="I746" s="19" t="s">
        <v>28129</v>
      </c>
      <c r="J746" s="2" t="str">
        <f t="shared" si="2"/>
        <v>(${Variables:E3_5_1_25_kcat} * E3_5_1_25 * C00357 * C00001)/(${Variables:E3_5_1_25_km} + (E3_5_1_25 * C00357 * C00001))</v>
      </c>
      <c r="K746" s="2" t="str">
        <f t="shared" si="3"/>
        <v>r745: C00357 + C00001 -&gt; C00352 + C00033 | (${Variables:E3_5_1_25_kcat} * E3_5_1_25 * C00357 * C00001)/(${Variables:E3_5_1_25_km} + (E3_5_1_25 * C00357 * C00001))</v>
      </c>
    </row>
    <row r="747">
      <c r="A747" s="2" t="s">
        <v>1125</v>
      </c>
      <c r="B747" s="2" t="s">
        <v>1126</v>
      </c>
      <c r="C747" s="2" t="s">
        <v>25270</v>
      </c>
      <c r="D747" s="18">
        <v>746.0</v>
      </c>
      <c r="E747" s="2" t="str">
        <f t="shared" si="1"/>
        <v>E3_5_1_28</v>
      </c>
      <c r="F747" s="19" t="s">
        <v>28130</v>
      </c>
      <c r="G747" s="19" t="s">
        <v>28131</v>
      </c>
      <c r="H747" s="19" t="s">
        <v>28132</v>
      </c>
      <c r="I747" s="19" t="s">
        <v>28133</v>
      </c>
      <c r="J747" s="2" t="str">
        <f t="shared" si="2"/>
        <v>(${Variables:E3_5_1_28_kcat} * E3_5_1_28 * C02999 * C00001)/(${Variables:E3_5_1_28_km} + (E3_5_1_28 * C02999 * C00001))</v>
      </c>
      <c r="K747" s="2" t="str">
        <f t="shared" si="3"/>
        <v>r746: C02999 + C00001 -&gt; C02713 + C00041 | (${Variables:E3_5_1_28_kcat} * E3_5_1_28 * C02999 * C00001)/(${Variables:E3_5_1_28_km} + (E3_5_1_28 * C02999 * C00001))</v>
      </c>
    </row>
    <row r="748">
      <c r="A748" s="2" t="s">
        <v>11526</v>
      </c>
      <c r="B748" s="2" t="s">
        <v>11527</v>
      </c>
      <c r="C748" s="2" t="s">
        <v>25271</v>
      </c>
      <c r="D748" s="18">
        <v>747.0</v>
      </c>
      <c r="E748" s="2" t="str">
        <f t="shared" si="1"/>
        <v>E3_5_1_49</v>
      </c>
      <c r="F748" s="19" t="s">
        <v>28134</v>
      </c>
      <c r="G748" s="19" t="s">
        <v>28135</v>
      </c>
      <c r="H748" s="19" t="s">
        <v>28136</v>
      </c>
      <c r="I748" s="19" t="s">
        <v>28137</v>
      </c>
      <c r="J748" s="2" t="str">
        <f t="shared" si="2"/>
        <v>(${Variables:E3_5_1_49_kcat} * E3_5_1_49 * C00488 * C00001)/(${Variables:E3_5_1_49_km} + (E3_5_1_49 * C00488 * C00001))</v>
      </c>
      <c r="K748" s="2" t="str">
        <f t="shared" si="3"/>
        <v>r747: C00488 + C00001 -&gt; C00058 + C00014 | (${Variables:E3_5_1_49_kcat} * E3_5_1_49 * C00488 * C00001)/(${Variables:E3_5_1_49_km} + (E3_5_1_49 * C00488 * C00001))</v>
      </c>
    </row>
    <row r="749">
      <c r="A749" s="2" t="s">
        <v>11419</v>
      </c>
      <c r="B749" s="2" t="s">
        <v>11420</v>
      </c>
      <c r="C749" s="2" t="s">
        <v>25272</v>
      </c>
      <c r="D749" s="18">
        <v>748.0</v>
      </c>
      <c r="E749" s="2" t="str">
        <f t="shared" si="1"/>
        <v>E3_5_1_88</v>
      </c>
      <c r="F749" s="19" t="s">
        <v>28138</v>
      </c>
      <c r="G749" s="19" t="s">
        <v>28139</v>
      </c>
      <c r="H749" s="19" t="s">
        <v>28140</v>
      </c>
      <c r="I749" s="19" t="s">
        <v>28141</v>
      </c>
      <c r="J749" s="2" t="str">
        <f t="shared" si="2"/>
        <v>(${Variables:E3_5_1_88_kcat} * E3_5_1_88 * C04258 * C00001)/(${Variables:E3_5_1_88_km} + (E3_5_1_88 * C04258 * C00001))</v>
      </c>
      <c r="K749" s="2" t="str">
        <f t="shared" si="3"/>
        <v>r748: C04258 + C00001 -&gt; C00058 + C03617 | (${Variables:E3_5_1_88_kcat} * E3_5_1_88 * C04258 * C00001)/(${Variables:E3_5_1_88_km} + (E3_5_1_88 * C04258 * C00001))</v>
      </c>
    </row>
    <row r="750">
      <c r="A750" s="2" t="s">
        <v>11419</v>
      </c>
      <c r="B750" s="2" t="s">
        <v>11420</v>
      </c>
      <c r="C750" s="2" t="s">
        <v>25272</v>
      </c>
      <c r="D750" s="18">
        <v>749.0</v>
      </c>
      <c r="E750" s="2" t="str">
        <f t="shared" si="1"/>
        <v>E3_5_1_88</v>
      </c>
      <c r="F750" s="19" t="s">
        <v>28142</v>
      </c>
      <c r="G750" s="19" t="s">
        <v>28143</v>
      </c>
      <c r="H750" s="19" t="s">
        <v>28144</v>
      </c>
      <c r="I750" s="19" t="s">
        <v>28145</v>
      </c>
      <c r="J750" s="2" t="str">
        <f t="shared" si="2"/>
        <v>(${Variables:E3_5_1_88_kcat} * E3_5_1_88 * C11439 * C00001)/(${Variables:E3_5_1_88_km} + (E3_5_1_88 * C11439 * C00001))</v>
      </c>
      <c r="K750" s="2" t="str">
        <f t="shared" si="3"/>
        <v>r749: C11439 + C00001 -&gt; C11440 + C00058 | (${Variables:E3_5_1_88_kcat} * E3_5_1_88 * C11439 * C00001)/(${Variables:E3_5_1_88_km} + (E3_5_1_88 * C11439 * C00001))</v>
      </c>
    </row>
    <row r="751">
      <c r="A751" s="2" t="s">
        <v>14506</v>
      </c>
      <c r="B751" s="2" t="s">
        <v>14507</v>
      </c>
      <c r="C751" s="2" t="s">
        <v>25273</v>
      </c>
      <c r="D751" s="18">
        <v>750.0</v>
      </c>
      <c r="E751" s="2" t="str">
        <f t="shared" si="1"/>
        <v>E3_5_1_9</v>
      </c>
      <c r="F751" s="19" t="s">
        <v>28146</v>
      </c>
      <c r="G751" s="19" t="s">
        <v>28147</v>
      </c>
      <c r="H751" s="19" t="s">
        <v>28148</v>
      </c>
      <c r="I751" s="19" t="s">
        <v>28149</v>
      </c>
      <c r="J751" s="2" t="str">
        <f t="shared" si="2"/>
        <v>(${Variables:E3_5_1_9_kcat} * E3_5_1_9 * C05653 * C00001)/(${Variables:E3_5_1_9_km} + (E3_5_1_9 * C05653 * C00001))</v>
      </c>
      <c r="K751" s="2" t="str">
        <f t="shared" si="3"/>
        <v>r750: C05653 + C00001 -&gt; C00058 + C00108 | (${Variables:E3_5_1_9_kcat} * E3_5_1_9 * C05653 * C00001)/(${Variables:E3_5_1_9_km} + (E3_5_1_9 * C05653 * C00001))</v>
      </c>
    </row>
    <row r="752">
      <c r="A752" s="2" t="s">
        <v>14506</v>
      </c>
      <c r="B752" s="2" t="s">
        <v>14507</v>
      </c>
      <c r="C752" s="2" t="s">
        <v>25273</v>
      </c>
      <c r="D752" s="18">
        <v>751.0</v>
      </c>
      <c r="E752" s="2" t="str">
        <f t="shared" si="1"/>
        <v>E3_5_1_9</v>
      </c>
      <c r="F752" s="19" t="s">
        <v>28150</v>
      </c>
      <c r="G752" s="19" t="s">
        <v>28151</v>
      </c>
      <c r="H752" s="19" t="s">
        <v>28152</v>
      </c>
      <c r="I752" s="19" t="s">
        <v>28153</v>
      </c>
      <c r="J752" s="2" t="str">
        <f t="shared" si="2"/>
        <v>(${Variables:E3_5_1_9_kcat} * E3_5_1_9 * C02700 * C00001)/(${Variables:E3_5_1_9_km} + (E3_5_1_9 * C02700 * C00001))</v>
      </c>
      <c r="K752" s="2" t="str">
        <f t="shared" si="3"/>
        <v>r751: C02700 + C00001 -&gt; C00058 + C00328 | (${Variables:E3_5_1_9_kcat} * E3_5_1_9 * C02700 * C00001)/(${Variables:E3_5_1_9_km} + (E3_5_1_9 * C02700 * C00001))</v>
      </c>
    </row>
    <row r="753">
      <c r="A753" s="2" t="s">
        <v>14506</v>
      </c>
      <c r="B753" s="2" t="s">
        <v>14507</v>
      </c>
      <c r="C753" s="2" t="s">
        <v>25273</v>
      </c>
      <c r="D753" s="18">
        <v>752.0</v>
      </c>
      <c r="E753" s="2" t="str">
        <f t="shared" si="1"/>
        <v>E3_5_1_9</v>
      </c>
      <c r="F753" s="19" t="s">
        <v>28154</v>
      </c>
      <c r="G753" s="19" t="s">
        <v>28155</v>
      </c>
      <c r="H753" s="19" t="s">
        <v>28156</v>
      </c>
      <c r="I753" s="19" t="s">
        <v>28157</v>
      </c>
      <c r="J753" s="2" t="str">
        <f t="shared" si="2"/>
        <v>(${Variables:E3_5_1_9_kcat} * E3_5_1_9 * C05648 * C00001)/(${Variables:E3_5_1_9_km} + (E3_5_1_9 * C05648 * C00001))</v>
      </c>
      <c r="K753" s="2" t="str">
        <f t="shared" si="3"/>
        <v>r752: C05648 + C00001 -&gt; C05651 + C00058 | (${Variables:E3_5_1_9_kcat} * E3_5_1_9 * C05648 * C00001)/(${Variables:E3_5_1_9_km} + (E3_5_1_9 * C05648 * C00001))</v>
      </c>
    </row>
    <row r="754">
      <c r="A754" s="2" t="s">
        <v>8913</v>
      </c>
      <c r="B754" s="2" t="s">
        <v>8914</v>
      </c>
      <c r="C754" s="2" t="s">
        <v>25274</v>
      </c>
      <c r="D754" s="18">
        <v>753.0</v>
      </c>
      <c r="E754" s="2" t="str">
        <f t="shared" si="1"/>
        <v>E3_5_2_3</v>
      </c>
      <c r="F754" s="19" t="s">
        <v>28158</v>
      </c>
      <c r="G754" s="19" t="s">
        <v>28159</v>
      </c>
      <c r="H754" s="19" t="s">
        <v>17786</v>
      </c>
      <c r="I754" s="19" t="s">
        <v>17786</v>
      </c>
      <c r="J754" s="2" t="str">
        <f t="shared" si="2"/>
        <v>(${Variables:E3_5_2_3_kcat} * E3_5_2_3 * C00337 * C00001)/(${Variables:E3_5_2_3_km} + (E3_5_2_3 * C00337 * C00001))</v>
      </c>
      <c r="K754" s="2" t="str">
        <f t="shared" si="3"/>
        <v>r753: C00337 + C00001 -&gt; C00438 | (${Variables:E3_5_2_3_kcat} * E3_5_2_3 * C00337 * C00001)/(${Variables:E3_5_2_3_km} + (E3_5_2_3 * C00337 * C00001))</v>
      </c>
    </row>
    <row r="755">
      <c r="A755" s="2" t="s">
        <v>447</v>
      </c>
      <c r="B755" s="2" t="s">
        <v>448</v>
      </c>
      <c r="C755" s="2" t="s">
        <v>25275</v>
      </c>
      <c r="D755" s="18">
        <v>754.0</v>
      </c>
      <c r="E755" s="2" t="str">
        <f t="shared" si="1"/>
        <v>E3_5_2_6</v>
      </c>
      <c r="F755" s="19" t="s">
        <v>28160</v>
      </c>
      <c r="G755" s="19" t="s">
        <v>28161</v>
      </c>
      <c r="H755" s="19" t="s">
        <v>17791</v>
      </c>
      <c r="I755" s="19" t="s">
        <v>17791</v>
      </c>
      <c r="J755" s="2" t="str">
        <f t="shared" si="2"/>
        <v>(${Variables:E3_5_2_6_kcat} * E3_5_2_6 * C01866 * C00001)/(${Variables:E3_5_2_6_km} + (E3_5_2_6 * C01866 * C00001))</v>
      </c>
      <c r="K755" s="2" t="str">
        <f t="shared" si="3"/>
        <v>r754: C01866 + C00001 -&gt; C03806 | (${Variables:E3_5_2_6_kcat} * E3_5_2_6 * C01866 * C00001)/(${Variables:E3_5_2_6_km} + (E3_5_2_6 * C01866 * C00001))</v>
      </c>
    </row>
    <row r="756">
      <c r="A756" s="2" t="s">
        <v>447</v>
      </c>
      <c r="B756" s="2" t="s">
        <v>448</v>
      </c>
      <c r="C756" s="2" t="s">
        <v>25275</v>
      </c>
      <c r="D756" s="18">
        <v>755.0</v>
      </c>
      <c r="E756" s="2" t="str">
        <f t="shared" si="1"/>
        <v>E3_5_2_6</v>
      </c>
      <c r="F756" s="19" t="s">
        <v>28162</v>
      </c>
      <c r="G756" s="19" t="s">
        <v>28163</v>
      </c>
      <c r="H756" s="19" t="s">
        <v>17794</v>
      </c>
      <c r="I756" s="19" t="s">
        <v>17794</v>
      </c>
      <c r="J756" s="2" t="str">
        <f t="shared" si="2"/>
        <v>(${Variables:E3_5_2_6_kcat} * E3_5_2_6 * C05551 * C00001)/(${Variables:E3_5_2_6_km} + (E3_5_2_6 * C05551 * C00001))</v>
      </c>
      <c r="K756" s="2" t="str">
        <f t="shared" si="3"/>
        <v>r755: C05551 + C00001 -&gt; C16672 | (${Variables:E3_5_2_6_kcat} * E3_5_2_6 * C05551 * C00001)/(${Variables:E3_5_2_6_km} + (E3_5_2_6 * C05551 * C00001))</v>
      </c>
    </row>
    <row r="757">
      <c r="A757" s="2" t="s">
        <v>447</v>
      </c>
      <c r="B757" s="2" t="s">
        <v>448</v>
      </c>
      <c r="C757" s="2" t="s">
        <v>25275</v>
      </c>
      <c r="D757" s="18">
        <v>756.0</v>
      </c>
      <c r="E757" s="2" t="str">
        <f t="shared" si="1"/>
        <v>E3_5_2_6</v>
      </c>
      <c r="F757" s="19" t="s">
        <v>28164</v>
      </c>
      <c r="G757" s="19" t="s">
        <v>28165</v>
      </c>
      <c r="H757" s="19" t="s">
        <v>17797</v>
      </c>
      <c r="I757" s="19" t="s">
        <v>17797</v>
      </c>
      <c r="J757" s="2" t="str">
        <f t="shared" si="2"/>
        <v>(${Variables:E3_5_2_6_kcat} * E3_5_2_6 * C00395 * C00001)/(${Variables:E3_5_2_6_km} + (E3_5_2_6 * C00395 * C00001))</v>
      </c>
      <c r="K757" s="2" t="str">
        <f t="shared" si="3"/>
        <v>r756: C00395 + C00001 -&gt; C06567 | (${Variables:E3_5_2_6_kcat} * E3_5_2_6 * C00395 * C00001)/(${Variables:E3_5_2_6_km} + (E3_5_2_6 * C00395 * C00001))</v>
      </c>
    </row>
    <row r="758">
      <c r="A758" s="2" t="s">
        <v>12414</v>
      </c>
      <c r="B758" s="2" t="s">
        <v>12415</v>
      </c>
      <c r="C758" s="2" t="s">
        <v>25276</v>
      </c>
      <c r="D758" s="18">
        <v>757.0</v>
      </c>
      <c r="E758" s="2" t="str">
        <f t="shared" si="1"/>
        <v>E3_5_2_7</v>
      </c>
      <c r="F758" s="19" t="s">
        <v>28166</v>
      </c>
      <c r="G758" s="19" t="s">
        <v>28167</v>
      </c>
      <c r="H758" s="19" t="s">
        <v>17802</v>
      </c>
      <c r="I758" s="19" t="s">
        <v>17802</v>
      </c>
      <c r="J758" s="2" t="str">
        <f t="shared" si="2"/>
        <v>(${Variables:E3_5_2_7_kcat} * E3_5_2_7 * C03680 * C00001)/(${Variables:E3_5_2_7_km} + (E3_5_2_7 * C03680 * C00001))</v>
      </c>
      <c r="K758" s="2" t="str">
        <f t="shared" si="3"/>
        <v>r757: C03680 + C00001 -&gt; C00439 | (${Variables:E3_5_2_7_kcat} * E3_5_2_7 * C03680 * C00001)/(${Variables:E3_5_2_7_km} + (E3_5_2_7 * C03680 * C00001))</v>
      </c>
    </row>
    <row r="759">
      <c r="A759" s="2" t="s">
        <v>13777</v>
      </c>
      <c r="B759" s="2" t="s">
        <v>13778</v>
      </c>
      <c r="C759" s="2" t="s">
        <v>25277</v>
      </c>
      <c r="D759" s="18">
        <v>758.0</v>
      </c>
      <c r="E759" s="2" t="str">
        <f t="shared" si="1"/>
        <v>E3_5_2_9</v>
      </c>
      <c r="F759" s="19" t="s">
        <v>28168</v>
      </c>
      <c r="G759" s="19" t="s">
        <v>28169</v>
      </c>
      <c r="H759" s="19" t="s">
        <v>28170</v>
      </c>
      <c r="I759" s="19" t="s">
        <v>28171</v>
      </c>
      <c r="J759" s="2" t="str">
        <f t="shared" si="2"/>
        <v>(${Variables:E3_5_2_9_kcat} * E3_5_2_9 * C00002 * C01879 * C00001)/(${Variables:E3_5_2_9_km} + (E3_5_2_9 * C00002 * C01879 * C00001))</v>
      </c>
      <c r="K759" s="2" t="str">
        <f t="shared" si="3"/>
        <v>r758: C00002 + C01879 + C00001 -&gt; C00008 + C00009 + C00025 | (${Variables:E3_5_2_9_kcat} * E3_5_2_9 * C00002 * C01879 * C00001)/(${Variables:E3_5_2_9_km} + (E3_5_2_9 * C00002 * C01879 * C00001))</v>
      </c>
    </row>
    <row r="760">
      <c r="A760" s="2" t="s">
        <v>6628</v>
      </c>
      <c r="B760" s="2" t="s">
        <v>6629</v>
      </c>
      <c r="C760" s="2" t="s">
        <v>25278</v>
      </c>
      <c r="D760" s="18">
        <v>759.0</v>
      </c>
      <c r="E760" s="2" t="str">
        <f t="shared" si="1"/>
        <v>E3_5_3_1</v>
      </c>
      <c r="F760" s="19" t="s">
        <v>28172</v>
      </c>
      <c r="G760" s="19" t="s">
        <v>28173</v>
      </c>
      <c r="H760" s="19" t="s">
        <v>28174</v>
      </c>
      <c r="I760" s="19" t="s">
        <v>28175</v>
      </c>
      <c r="J760" s="2" t="str">
        <f t="shared" si="2"/>
        <v>(${Variables:E3_5_3_1_kcat} * E3_5_3_1 * C00062 * C00001)/(${Variables:E3_5_3_1_km} + (E3_5_3_1 * C00062 * C00001))</v>
      </c>
      <c r="K760" s="2" t="str">
        <f t="shared" si="3"/>
        <v>r759: C00062 + C00001 -&gt; C00077 + C00086 | (${Variables:E3_5_3_1_kcat} * E3_5_3_1 * C00062 * C00001)/(${Variables:E3_5_3_1_km} + (E3_5_3_1 * C00062 * C00001))</v>
      </c>
    </row>
    <row r="761">
      <c r="A761" s="2" t="s">
        <v>7540</v>
      </c>
      <c r="B761" s="2" t="s">
        <v>7541</v>
      </c>
      <c r="C761" s="2" t="s">
        <v>25279</v>
      </c>
      <c r="D761" s="18">
        <v>760.0</v>
      </c>
      <c r="E761" s="2" t="str">
        <f t="shared" si="1"/>
        <v>E3_5_3_11</v>
      </c>
      <c r="F761" s="19" t="s">
        <v>28176</v>
      </c>
      <c r="G761" s="19" t="s">
        <v>28177</v>
      </c>
      <c r="H761" s="19" t="s">
        <v>28178</v>
      </c>
      <c r="I761" s="19" t="s">
        <v>28179</v>
      </c>
      <c r="J761" s="2" t="str">
        <f t="shared" si="2"/>
        <v>(${Variables:E3_5_3_11_kcat} * E3_5_3_11 * C00179 * C00001)/(${Variables:E3_5_3_11_km} + (E3_5_3_11 * C00179 * C00001))</v>
      </c>
      <c r="K761" s="2" t="str">
        <f t="shared" si="3"/>
        <v>r760: C00179 + C00001 -&gt; C00134 + C00086 | (${Variables:E3_5_3_11_kcat} * E3_5_3_11 * C00179 * C00001)/(${Variables:E3_5_3_11_km} + (E3_5_3_11 * C00179 * C00001))</v>
      </c>
    </row>
    <row r="762">
      <c r="A762" s="2" t="s">
        <v>6076</v>
      </c>
      <c r="B762" s="2" t="s">
        <v>6077</v>
      </c>
      <c r="C762" s="2" t="s">
        <v>25280</v>
      </c>
      <c r="D762" s="18">
        <v>761.0</v>
      </c>
      <c r="E762" s="2" t="str">
        <f t="shared" si="1"/>
        <v>E3_5_3_6</v>
      </c>
      <c r="F762" s="19" t="s">
        <v>28172</v>
      </c>
      <c r="G762" s="19" t="s">
        <v>28173</v>
      </c>
      <c r="H762" s="19" t="s">
        <v>28180</v>
      </c>
      <c r="I762" s="19" t="s">
        <v>28181</v>
      </c>
      <c r="J762" s="2" t="str">
        <f t="shared" si="2"/>
        <v>(${Variables:E3_5_3_6_kcat} * E3_5_3_6 * C00062 * C00001)/(${Variables:E3_5_3_6_km} + (E3_5_3_6 * C00062 * C00001))</v>
      </c>
      <c r="K762" s="2" t="str">
        <f t="shared" si="3"/>
        <v>r761: C00062 + C00001 -&gt; C00327 + C00014 | (${Variables:E3_5_3_6_kcat} * E3_5_3_6 * C00062 * C00001)/(${Variables:E3_5_3_6_km} + (E3_5_3_6 * C00062 * C00001))</v>
      </c>
    </row>
    <row r="763">
      <c r="A763" s="2" t="s">
        <v>6076</v>
      </c>
      <c r="B763" s="2" t="s">
        <v>6077</v>
      </c>
      <c r="C763" s="2" t="s">
        <v>25280</v>
      </c>
      <c r="D763" s="18">
        <v>762.0</v>
      </c>
      <c r="E763" s="2" t="str">
        <f t="shared" si="1"/>
        <v>E3_5_3_6</v>
      </c>
      <c r="F763" s="19" t="s">
        <v>28182</v>
      </c>
      <c r="G763" s="19" t="s">
        <v>28183</v>
      </c>
      <c r="H763" s="19" t="s">
        <v>28184</v>
      </c>
      <c r="I763" s="19" t="s">
        <v>28185</v>
      </c>
      <c r="J763" s="2" t="str">
        <f t="shared" si="2"/>
        <v>(${Variables:E3_5_3_6_kcat} * E3_5_3_6 * C06060 * C00001)/(${Variables:E3_5_3_6_km} + (E3_5_3_6 * C06060 * C00001))</v>
      </c>
      <c r="K763" s="2" t="str">
        <f t="shared" si="3"/>
        <v>r762: C06060 + C00001 -&gt; C00241 + C00014 | (${Variables:E3_5_3_6_kcat} * E3_5_3_6 * C06060 * C00001)/(${Variables:E3_5_3_6_km} + (E3_5_3_6 * C06060 * C00001))</v>
      </c>
    </row>
    <row r="764">
      <c r="A764" s="2" t="s">
        <v>12418</v>
      </c>
      <c r="B764" s="2" t="s">
        <v>12419</v>
      </c>
      <c r="C764" s="2" t="s">
        <v>25281</v>
      </c>
      <c r="D764" s="18">
        <v>763.0</v>
      </c>
      <c r="E764" s="2" t="str">
        <f t="shared" si="1"/>
        <v>E3_5_3_8</v>
      </c>
      <c r="F764" s="19" t="s">
        <v>28186</v>
      </c>
      <c r="G764" s="19" t="s">
        <v>28187</v>
      </c>
      <c r="H764" s="19" t="s">
        <v>28188</v>
      </c>
      <c r="I764" s="19" t="s">
        <v>28189</v>
      </c>
      <c r="J764" s="2" t="str">
        <f t="shared" si="2"/>
        <v>(${Variables:E3_5_3_8_kcat} * E3_5_3_8 * C00439 * C00001)/(${Variables:E3_5_3_8_km} + (E3_5_3_8 * C00439 * C00001))</v>
      </c>
      <c r="K764" s="2" t="str">
        <f t="shared" si="3"/>
        <v>r763: C00439 + C00001 -&gt; C00025 + C00488 | (${Variables:E3_5_3_8_kcat} * E3_5_3_8 * C00439 * C00001)/(${Variables:E3_5_3_8_km} + (E3_5_3_8 * C00439 * C00001))</v>
      </c>
    </row>
    <row r="765">
      <c r="A765" s="2" t="s">
        <v>3094</v>
      </c>
      <c r="B765" s="2" t="s">
        <v>3095</v>
      </c>
      <c r="C765" s="2" t="s">
        <v>25283</v>
      </c>
      <c r="D765" s="18">
        <v>764.0</v>
      </c>
      <c r="E765" s="2" t="str">
        <f t="shared" si="1"/>
        <v>E3_5_4_16</v>
      </c>
      <c r="F765" s="19" t="s">
        <v>28190</v>
      </c>
      <c r="G765" s="19" t="s">
        <v>28191</v>
      </c>
      <c r="H765" s="19" t="s">
        <v>28192</v>
      </c>
      <c r="I765" s="19" t="s">
        <v>28193</v>
      </c>
      <c r="J765" s="2" t="str">
        <f t="shared" si="2"/>
        <v>(${Variables:E3_5_4_16_kcat} * E3_5_4_16 * C00044 * C00001)/(${Variables:E3_5_4_16_km} + (E3_5_4_16 * C00044 * C00001))</v>
      </c>
      <c r="K765" s="2" t="str">
        <f t="shared" si="3"/>
        <v>r764: C00044 + C00001 -&gt; C04895 + C00058 | (${Variables:E3_5_4_16_kcat} * E3_5_4_16 * C00044 * C00001)/(${Variables:E3_5_4_16_km} + (E3_5_4_16 * C00044 * C00001))</v>
      </c>
    </row>
    <row r="766">
      <c r="A766" s="2" t="s">
        <v>3094</v>
      </c>
      <c r="B766" s="2" t="s">
        <v>3095</v>
      </c>
      <c r="C766" s="2" t="s">
        <v>25283</v>
      </c>
      <c r="D766" s="18">
        <v>765.0</v>
      </c>
      <c r="E766" s="2" t="str">
        <f t="shared" si="1"/>
        <v>E3_5_4_16</v>
      </c>
      <c r="F766" s="19" t="s">
        <v>28190</v>
      </c>
      <c r="G766" s="19" t="s">
        <v>28191</v>
      </c>
      <c r="H766" s="19" t="s">
        <v>17840</v>
      </c>
      <c r="I766" s="19" t="s">
        <v>17840</v>
      </c>
      <c r="J766" s="2" t="str">
        <f t="shared" si="2"/>
        <v>(${Variables:E3_5_4_16_kcat} * E3_5_4_16 * C00044 * C00001)/(${Variables:E3_5_4_16_km} + (E3_5_4_16 * C00044 * C00001))</v>
      </c>
      <c r="K766" s="2" t="str">
        <f t="shared" si="3"/>
        <v>r765: C00044 + C00001 -&gt; C05922 | (${Variables:E3_5_4_16_kcat} * E3_5_4_16 * C00044 * C00001)/(${Variables:E3_5_4_16_km} + (E3_5_4_16 * C00044 * C00001))</v>
      </c>
    </row>
    <row r="767">
      <c r="A767" s="2" t="s">
        <v>3094</v>
      </c>
      <c r="B767" s="2" t="s">
        <v>3095</v>
      </c>
      <c r="C767" s="2" t="s">
        <v>25283</v>
      </c>
      <c r="D767" s="18">
        <v>766.0</v>
      </c>
      <c r="E767" s="2" t="str">
        <f t="shared" si="1"/>
        <v>E3_5_4_16</v>
      </c>
      <c r="F767" s="19" t="s">
        <v>27914</v>
      </c>
      <c r="G767" s="19" t="s">
        <v>27915</v>
      </c>
      <c r="H767" s="19" t="s">
        <v>17842</v>
      </c>
      <c r="I767" s="19" t="s">
        <v>17842</v>
      </c>
      <c r="J767" s="2" t="str">
        <f t="shared" si="2"/>
        <v>(${Variables:E3_5_4_16_kcat} * E3_5_4_16 * C04895 * C00001)/(${Variables:E3_5_4_16_km} + (E3_5_4_16 * C04895 * C00001))</v>
      </c>
      <c r="K767" s="2" t="str">
        <f t="shared" si="3"/>
        <v>r766: C04895 + C00001 -&gt; C06148 | (${Variables:E3_5_4_16_kcat} * E3_5_4_16 * C04895 * C00001)/(${Variables:E3_5_4_16_km} + (E3_5_4_16 * C04895 * C00001))</v>
      </c>
    </row>
    <row r="768">
      <c r="A768" s="2" t="s">
        <v>3094</v>
      </c>
      <c r="B768" s="2" t="s">
        <v>3095</v>
      </c>
      <c r="C768" s="2" t="s">
        <v>25283</v>
      </c>
      <c r="D768" s="18">
        <v>767.0</v>
      </c>
      <c r="E768" s="2" t="str">
        <f t="shared" si="1"/>
        <v>E3_5_4_16</v>
      </c>
      <c r="F768" s="19" t="s">
        <v>28194</v>
      </c>
      <c r="G768" s="19" t="s">
        <v>28195</v>
      </c>
      <c r="H768" s="19" t="s">
        <v>28196</v>
      </c>
      <c r="I768" s="19" t="s">
        <v>28197</v>
      </c>
      <c r="J768" s="2" t="str">
        <f t="shared" si="2"/>
        <v>(${Variables:E3_5_4_16_kcat} * E3_5_4_16 * C05922 * C00001)/(${Variables:E3_5_4_16_km} + (E3_5_4_16 * C05922 * C00001))</v>
      </c>
      <c r="K768" s="2" t="str">
        <f t="shared" si="3"/>
        <v>r767: C05922 + C00001 -&gt; C05923 + C00058 | (${Variables:E3_5_4_16_kcat} * E3_5_4_16 * C05922 * C00001)/(${Variables:E3_5_4_16_km} + (E3_5_4_16 * C05922 * C00001))</v>
      </c>
    </row>
    <row r="769">
      <c r="A769" s="2" t="s">
        <v>3094</v>
      </c>
      <c r="B769" s="2" t="s">
        <v>3095</v>
      </c>
      <c r="C769" s="2" t="s">
        <v>25283</v>
      </c>
      <c r="D769" s="18">
        <v>768.0</v>
      </c>
      <c r="E769" s="2" t="str">
        <f t="shared" si="1"/>
        <v>E3_5_4_16</v>
      </c>
      <c r="F769" s="19" t="s">
        <v>17847</v>
      </c>
      <c r="G769" s="19" t="s">
        <v>17847</v>
      </c>
      <c r="H769" s="19" t="s">
        <v>17842</v>
      </c>
      <c r="I769" s="19" t="s">
        <v>17842</v>
      </c>
      <c r="J769" s="2" t="str">
        <f t="shared" si="2"/>
        <v>(${Variables:E3_5_4_16_kcat} * E3_5_4_16 * C05923)/(${Variables:E3_5_4_16_km} + (E3_5_4_16 * C05923))</v>
      </c>
      <c r="K769" s="2" t="str">
        <f t="shared" si="3"/>
        <v>r768: C05923 -&gt; C06148 | (${Variables:E3_5_4_16_kcat} * E3_5_4_16 * C05923)/(${Variables:E3_5_4_16_km} + (E3_5_4_16 * C05923))</v>
      </c>
    </row>
    <row r="770">
      <c r="A770" s="2" t="s">
        <v>3390</v>
      </c>
      <c r="B770" s="2" t="s">
        <v>3391</v>
      </c>
      <c r="C770" s="2" t="s">
        <v>25284</v>
      </c>
      <c r="D770" s="18">
        <v>769.0</v>
      </c>
      <c r="E770" s="2" t="str">
        <f t="shared" si="1"/>
        <v>E3_5_4_19</v>
      </c>
      <c r="F770" s="19" t="s">
        <v>28198</v>
      </c>
      <c r="G770" s="19" t="s">
        <v>28199</v>
      </c>
      <c r="H770" s="19" t="s">
        <v>17852</v>
      </c>
      <c r="I770" s="19" t="s">
        <v>17852</v>
      </c>
      <c r="J770" s="2" t="str">
        <f t="shared" si="2"/>
        <v>(${Variables:E3_5_4_19_kcat} * E3_5_4_19 * C02741 * C00001)/(${Variables:E3_5_4_19_km} + (E3_5_4_19 * C02741 * C00001))</v>
      </c>
      <c r="K770" s="2" t="str">
        <f t="shared" si="3"/>
        <v>r769: C02741 + C00001 -&gt; C04896 | (${Variables:E3_5_4_19_kcat} * E3_5_4_19 * C02741 * C00001)/(${Variables:E3_5_4_19_km} + (E3_5_4_19 * C02741 * C00001))</v>
      </c>
    </row>
    <row r="771">
      <c r="A771" s="2" t="s">
        <v>11018</v>
      </c>
      <c r="B771" s="2" t="s">
        <v>11019</v>
      </c>
      <c r="C771" s="2" t="s">
        <v>25285</v>
      </c>
      <c r="D771" s="18">
        <v>770.0</v>
      </c>
      <c r="E771" s="2" t="str">
        <f t="shared" si="1"/>
        <v>E3_5_4_25</v>
      </c>
      <c r="F771" s="19" t="s">
        <v>28190</v>
      </c>
      <c r="G771" s="19" t="s">
        <v>28191</v>
      </c>
      <c r="H771" s="19" t="s">
        <v>28200</v>
      </c>
      <c r="I771" s="19" t="s">
        <v>28201</v>
      </c>
      <c r="J771" s="2" t="str">
        <f t="shared" si="2"/>
        <v>(${Variables:E3_5_4_25_kcat} * E3_5_4_25 * C00044 * C00001)/(${Variables:E3_5_4_25_km} + (E3_5_4_25 * C00044 * C00001))</v>
      </c>
      <c r="K771" s="2" t="str">
        <f t="shared" si="3"/>
        <v>r770: C00044 + C00001 -&gt; C00058 + C01304 + C00009 | (${Variables:E3_5_4_25_kcat} * E3_5_4_25 * C00044 * C00001)/(${Variables:E3_5_4_25_km} + (E3_5_4_25 * C00044 * C00001))</v>
      </c>
    </row>
    <row r="772">
      <c r="A772" s="2" t="s">
        <v>2182</v>
      </c>
      <c r="B772" s="2" t="s">
        <v>2183</v>
      </c>
      <c r="C772" s="2" t="s">
        <v>25288</v>
      </c>
      <c r="D772" s="18">
        <v>771.0</v>
      </c>
      <c r="E772" s="2" t="str">
        <f t="shared" si="1"/>
        <v>E3_5_4_5</v>
      </c>
      <c r="F772" s="19" t="s">
        <v>28202</v>
      </c>
      <c r="G772" s="19" t="s">
        <v>28203</v>
      </c>
      <c r="H772" s="19" t="s">
        <v>28204</v>
      </c>
      <c r="I772" s="19" t="s">
        <v>28205</v>
      </c>
      <c r="J772" s="2" t="str">
        <f t="shared" si="2"/>
        <v>(${Variables:E3_5_4_5_kcat} * E3_5_4_5 * C00475 * C00001)/(${Variables:E3_5_4_5_km} + (E3_5_4_5 * C00475 * C00001))</v>
      </c>
      <c r="K772" s="2" t="str">
        <f t="shared" si="3"/>
        <v>r771: C00475 + C00001 -&gt; C00299 + C00014 | (${Variables:E3_5_4_5_kcat} * E3_5_4_5 * C00475 * C00001)/(${Variables:E3_5_4_5_km} + (E3_5_4_5 * C00475 * C00001))</v>
      </c>
    </row>
    <row r="773">
      <c r="A773" s="2" t="s">
        <v>2182</v>
      </c>
      <c r="B773" s="2" t="s">
        <v>2183</v>
      </c>
      <c r="C773" s="2" t="s">
        <v>25288</v>
      </c>
      <c r="D773" s="18">
        <v>772.0</v>
      </c>
      <c r="E773" s="2" t="str">
        <f t="shared" si="1"/>
        <v>E3_5_4_5</v>
      </c>
      <c r="F773" s="19" t="s">
        <v>28206</v>
      </c>
      <c r="G773" s="19" t="s">
        <v>28207</v>
      </c>
      <c r="H773" s="19" t="s">
        <v>28208</v>
      </c>
      <c r="I773" s="19" t="s">
        <v>28209</v>
      </c>
      <c r="J773" s="2" t="str">
        <f t="shared" si="2"/>
        <v>(${Variables:E3_5_4_5_kcat} * E3_5_4_5 * C00881 * C00001)/(${Variables:E3_5_4_5_km} + (E3_5_4_5 * C00881 * C00001))</v>
      </c>
      <c r="K773" s="2" t="str">
        <f t="shared" si="3"/>
        <v>r772: C00881 + C00001 -&gt; C00526 + C00014 | (${Variables:E3_5_4_5_kcat} * E3_5_4_5 * C00881 * C00001)/(${Variables:E3_5_4_5_km} + (E3_5_4_5 * C00881 * C00001))</v>
      </c>
    </row>
    <row r="774">
      <c r="A774" s="2" t="s">
        <v>2182</v>
      </c>
      <c r="B774" s="2" t="s">
        <v>2183</v>
      </c>
      <c r="C774" s="2" t="s">
        <v>25288</v>
      </c>
      <c r="D774" s="18">
        <v>773.0</v>
      </c>
      <c r="E774" s="2" t="str">
        <f t="shared" si="1"/>
        <v>E3_5_4_5</v>
      </c>
      <c r="F774" s="19" t="s">
        <v>28210</v>
      </c>
      <c r="G774" s="19" t="s">
        <v>28211</v>
      </c>
      <c r="H774" s="19" t="s">
        <v>28212</v>
      </c>
      <c r="I774" s="19" t="s">
        <v>28213</v>
      </c>
      <c r="J774" s="2" t="str">
        <f t="shared" si="2"/>
        <v>(${Variables:E3_5_4_5_kcat} * E3_5_4_5 * C16635 * C00001)/(${Variables:E3_5_4_5_km} + (E3_5_4_5 * C16635 * C00001))</v>
      </c>
      <c r="K774" s="2" t="str">
        <f t="shared" si="3"/>
        <v>r773: C16635 + C00001 -&gt; C12739 + C00014 | (${Variables:E3_5_4_5_kcat} * E3_5_4_5 * C16635 * C00001)/(${Variables:E3_5_4_5_km} + (E3_5_4_5 * C16635 * C00001))</v>
      </c>
    </row>
    <row r="775">
      <c r="A775" s="2" t="s">
        <v>11187</v>
      </c>
      <c r="B775" s="2" t="s">
        <v>11188</v>
      </c>
      <c r="C775" s="2" t="s">
        <v>25290</v>
      </c>
      <c r="D775" s="18">
        <v>774.0</v>
      </c>
      <c r="E775" s="2" t="str">
        <f t="shared" si="1"/>
        <v>E3_5_99_6</v>
      </c>
      <c r="F775" s="19" t="s">
        <v>28214</v>
      </c>
      <c r="G775" s="19" t="s">
        <v>28215</v>
      </c>
      <c r="H775" s="19" t="s">
        <v>28216</v>
      </c>
      <c r="I775" s="19" t="s">
        <v>28217</v>
      </c>
      <c r="J775" s="2" t="str">
        <f t="shared" si="2"/>
        <v>(${Variables:E3_5_99_6_kcat} * E3_5_99_6 * C00352 * C00001)/(${Variables:E3_5_99_6_km} + (E3_5_99_6 * C00352 * C00001))</v>
      </c>
      <c r="K775" s="2" t="str">
        <f t="shared" si="3"/>
        <v>r774: C00352 + C00001 -&gt; C00085 + C00014 | (${Variables:E3_5_99_6_kcat} * E3_5_99_6 * C00352 * C00001)/(${Variables:E3_5_99_6_km} + (E3_5_99_6 * C00352 * C00001))</v>
      </c>
    </row>
    <row r="776">
      <c r="A776" s="2" t="s">
        <v>8123</v>
      </c>
      <c r="B776" s="2" t="s">
        <v>8124</v>
      </c>
      <c r="C776" s="2" t="s">
        <v>25291</v>
      </c>
      <c r="D776" s="18">
        <v>775.0</v>
      </c>
      <c r="E776" s="2" t="str">
        <f t="shared" si="1"/>
        <v>E3_6_1_1</v>
      </c>
      <c r="F776" s="19" t="s">
        <v>28218</v>
      </c>
      <c r="G776" s="19" t="s">
        <v>28219</v>
      </c>
      <c r="H776" s="19" t="s">
        <v>17891</v>
      </c>
      <c r="I776" s="19" t="s">
        <v>17891</v>
      </c>
      <c r="J776" s="2" t="str">
        <f t="shared" si="2"/>
        <v>(${Variables:E3_6_1_1_kcat} * E3_6_1_1 * C00013 * C00001)/(${Variables:E3_6_1_1_km} + (E3_6_1_1 * C00013 * C00001))</v>
      </c>
      <c r="K776" s="2" t="str">
        <f t="shared" si="3"/>
        <v>r775: C00013 + C00001 -&gt; C00009 | (${Variables:E3_6_1_1_kcat} * E3_6_1_1 * C00013 * C00001)/(${Variables:E3_6_1_1_km} + (E3_6_1_1 * C00013 * C00001))</v>
      </c>
    </row>
    <row r="777">
      <c r="A777" s="2" t="s">
        <v>14617</v>
      </c>
      <c r="B777" s="2" t="s">
        <v>14618</v>
      </c>
      <c r="C777" s="2" t="s">
        <v>25292</v>
      </c>
      <c r="D777" s="18">
        <v>776.0</v>
      </c>
      <c r="E777" s="2" t="str">
        <f t="shared" si="1"/>
        <v>E3_6_1_27</v>
      </c>
      <c r="F777" s="19" t="s">
        <v>28220</v>
      </c>
      <c r="G777" s="19" t="s">
        <v>28221</v>
      </c>
      <c r="H777" s="19" t="s">
        <v>28222</v>
      </c>
      <c r="I777" s="19" t="s">
        <v>28223</v>
      </c>
      <c r="J777" s="2" t="str">
        <f t="shared" si="2"/>
        <v>(${Variables:E3_6_1_27_kcat} * E3_6_1_27 * C04574 * C00001)/(${Variables:E3_6_1_27_km} + (E3_6_1_27 * C04574 * C00001))</v>
      </c>
      <c r="K777" s="2" t="str">
        <f t="shared" si="3"/>
        <v>r776: C04574 + C00001 -&gt; C17556 + C00009 | (${Variables:E3_6_1_27_kcat} * E3_6_1_27 * C04574 * C00001)/(${Variables:E3_6_1_27_km} + (E3_6_1_27 * C04574 * C00001))</v>
      </c>
    </row>
    <row r="778">
      <c r="A778" s="2" t="s">
        <v>3386</v>
      </c>
      <c r="B778" s="2" t="s">
        <v>3387</v>
      </c>
      <c r="C778" s="2" t="s">
        <v>25293</v>
      </c>
      <c r="D778" s="18">
        <v>777.0</v>
      </c>
      <c r="E778" s="2" t="str">
        <f t="shared" si="1"/>
        <v>E3_6_1_31</v>
      </c>
      <c r="F778" s="19" t="s">
        <v>28224</v>
      </c>
      <c r="G778" s="19" t="s">
        <v>28225</v>
      </c>
      <c r="H778" s="19" t="s">
        <v>28226</v>
      </c>
      <c r="I778" s="19" t="s">
        <v>28227</v>
      </c>
      <c r="J778" s="2" t="str">
        <f t="shared" si="2"/>
        <v>(${Variables:E3_6_1_31_kcat} * E3_6_1_31 * C02739 * C00001)/(${Variables:E3_6_1_31_km} + (E3_6_1_31 * C02739 * C00001))</v>
      </c>
      <c r="K778" s="2" t="str">
        <f t="shared" si="3"/>
        <v>r777: C02739 + C00001 -&gt; C02741 + C00013 | (${Variables:E3_6_1_31_kcat} * E3_6_1_31 * C02739 * C00001)/(${Variables:E3_6_1_31_km} + (E3_6_1_31 * C02739 * C00001))</v>
      </c>
    </row>
    <row r="779">
      <c r="A779" s="2" t="s">
        <v>380</v>
      </c>
      <c r="B779" s="2" t="s">
        <v>381</v>
      </c>
      <c r="C779" s="2" t="s">
        <v>25294</v>
      </c>
      <c r="D779" s="18">
        <v>778.0</v>
      </c>
      <c r="E779" s="2" t="str">
        <f t="shared" si="1"/>
        <v>E3_6_1_41</v>
      </c>
      <c r="F779" s="19" t="s">
        <v>28228</v>
      </c>
      <c r="G779" s="19" t="s">
        <v>28229</v>
      </c>
      <c r="H779" s="19" t="s">
        <v>17075</v>
      </c>
      <c r="I779" s="19" t="s">
        <v>17075</v>
      </c>
      <c r="J779" s="2" t="str">
        <f t="shared" si="2"/>
        <v>(${Variables:E3_6_1_41_kcat} * E3_6_1_41 * C01260 * C00001)/(${Variables:E3_6_1_41_km} + (E3_6_1_41 * C01260 * C00001))</v>
      </c>
      <c r="K779" s="2" t="str">
        <f t="shared" si="3"/>
        <v>r778: C01260 + C00001 -&gt; C00008 | (${Variables:E3_6_1_41_kcat} * E3_6_1_41 * C01260 * C00001)/(${Variables:E3_6_1_41_km} + (E3_6_1_41 * C01260 * C00001))</v>
      </c>
    </row>
    <row r="780">
      <c r="A780" s="2" t="s">
        <v>9875</v>
      </c>
      <c r="B780" s="2" t="s">
        <v>9876</v>
      </c>
      <c r="C780" s="2" t="s">
        <v>25295</v>
      </c>
      <c r="D780" s="18">
        <v>779.0</v>
      </c>
      <c r="E780" s="2" t="str">
        <f t="shared" si="1"/>
        <v>E3_6_1_66</v>
      </c>
      <c r="F780" s="19" t="s">
        <v>28230</v>
      </c>
      <c r="G780" s="19" t="s">
        <v>28231</v>
      </c>
      <c r="H780" s="19" t="s">
        <v>26974</v>
      </c>
      <c r="I780" s="19" t="s">
        <v>26975</v>
      </c>
      <c r="J780" s="2" t="str">
        <f t="shared" si="2"/>
        <v>(${Variables:E3_6_1_66_kcat} * E3_6_1_66 * C00081 * C00001)/(${Variables:E3_6_1_66_km} + (E3_6_1_66 * C00081 * C00001))</v>
      </c>
      <c r="K780" s="2" t="str">
        <f t="shared" si="3"/>
        <v>r779: C00081 + C00001 -&gt; C00130 + C00013 | (${Variables:E3_6_1_66_kcat} * E3_6_1_66 * C00081 * C00001)/(${Variables:E3_6_1_66_km} + (E3_6_1_66 * C00081 * C00001))</v>
      </c>
    </row>
    <row r="781">
      <c r="A781" s="2" t="s">
        <v>9875</v>
      </c>
      <c r="B781" s="2" t="s">
        <v>9876</v>
      </c>
      <c r="C781" s="2" t="s">
        <v>25295</v>
      </c>
      <c r="D781" s="18">
        <v>780.0</v>
      </c>
      <c r="E781" s="2" t="str">
        <f t="shared" si="1"/>
        <v>E3_6_1_66</v>
      </c>
      <c r="F781" s="19" t="s">
        <v>28232</v>
      </c>
      <c r="G781" s="19" t="s">
        <v>28233</v>
      </c>
      <c r="H781" s="19" t="s">
        <v>26958</v>
      </c>
      <c r="I781" s="19" t="s">
        <v>26959</v>
      </c>
      <c r="J781" s="2" t="str">
        <f t="shared" si="2"/>
        <v>(${Variables:E3_6_1_66_kcat} * E3_6_1_66 * C00700 * C00001)/(${Variables:E3_6_1_66_km} + (E3_6_1_66 * C00700 * C00001))</v>
      </c>
      <c r="K781" s="2" t="str">
        <f t="shared" si="3"/>
        <v>r780: C00700 + C00001 -&gt; C00655 + C00013 | (${Variables:E3_6_1_66_kcat} * E3_6_1_66 * C00700 * C00001)/(${Variables:E3_6_1_66_km} + (E3_6_1_66 * C00700 * C00001))</v>
      </c>
    </row>
    <row r="782">
      <c r="A782" s="2" t="s">
        <v>9875</v>
      </c>
      <c r="B782" s="2" t="s">
        <v>9876</v>
      </c>
      <c r="C782" s="2" t="s">
        <v>25295</v>
      </c>
      <c r="D782" s="18">
        <v>781.0</v>
      </c>
      <c r="E782" s="2" t="str">
        <f t="shared" si="1"/>
        <v>E3_6_1_66</v>
      </c>
      <c r="F782" s="19" t="s">
        <v>28234</v>
      </c>
      <c r="G782" s="19" t="s">
        <v>28235</v>
      </c>
      <c r="H782" s="19" t="s">
        <v>28236</v>
      </c>
      <c r="I782" s="19" t="s">
        <v>28237</v>
      </c>
      <c r="J782" s="2" t="str">
        <f t="shared" si="2"/>
        <v>(${Variables:E3_6_1_66_kcat} * E3_6_1_66 * C01345 * C00001)/(${Variables:E3_6_1_66_km} + (E3_6_1_66 * C01345 * C00001))</v>
      </c>
      <c r="K782" s="2" t="str">
        <f t="shared" si="3"/>
        <v>r781: C01345 + C00001 -&gt; C06196 + C00013 | (${Variables:E3_6_1_66_kcat} * E3_6_1_66 * C01345 * C00001)/(${Variables:E3_6_1_66_km} + (E3_6_1_66 * C01345 * C00001))</v>
      </c>
    </row>
    <row r="783">
      <c r="A783" s="2" t="s">
        <v>9875</v>
      </c>
      <c r="B783" s="2" t="s">
        <v>9876</v>
      </c>
      <c r="C783" s="2" t="s">
        <v>25295</v>
      </c>
      <c r="D783" s="18">
        <v>782.0</v>
      </c>
      <c r="E783" s="2" t="str">
        <f t="shared" si="1"/>
        <v>E3_6_1_66</v>
      </c>
      <c r="F783" s="19" t="s">
        <v>28238</v>
      </c>
      <c r="G783" s="19" t="s">
        <v>28239</v>
      </c>
      <c r="H783" s="19" t="s">
        <v>26980</v>
      </c>
      <c r="I783" s="19" t="s">
        <v>26981</v>
      </c>
      <c r="J783" s="2" t="str">
        <f t="shared" si="2"/>
        <v>(${Variables:E3_6_1_66_kcat} * E3_6_1_66 * C16617 * C00001)/(${Variables:E3_6_1_66_km} + (E3_6_1_66 * C16617 * C00001))</v>
      </c>
      <c r="K783" s="2" t="str">
        <f t="shared" si="3"/>
        <v>r782: C16617 + C00001 -&gt; C04646 + C00013 | (${Variables:E3_6_1_66_kcat} * E3_6_1_66 * C16617 * C00001)/(${Variables:E3_6_1_66_km} + (E3_6_1_66 * C16617 * C00001))</v>
      </c>
    </row>
    <row r="784">
      <c r="A784" s="2" t="s">
        <v>7012</v>
      </c>
      <c r="B784" s="2" t="s">
        <v>7013</v>
      </c>
      <c r="C784" s="2" t="s">
        <v>25296</v>
      </c>
      <c r="D784" s="18">
        <v>783.0</v>
      </c>
      <c r="E784" s="2" t="str">
        <f t="shared" si="1"/>
        <v>E3_6_1_9</v>
      </c>
      <c r="F784" s="19" t="s">
        <v>28240</v>
      </c>
      <c r="G784" s="19" t="s">
        <v>28241</v>
      </c>
      <c r="H784" s="19" t="s">
        <v>26966</v>
      </c>
      <c r="I784" s="19" t="s">
        <v>26967</v>
      </c>
      <c r="J784" s="2" t="str">
        <f t="shared" si="2"/>
        <v>(${Variables:E3_6_1_9_kcat} * E3_6_1_9 * C00002 * C00001)/(${Variables:E3_6_1_9_km} + (E3_6_1_9 * C00002 * C00001))</v>
      </c>
      <c r="K784" s="2" t="str">
        <f t="shared" si="3"/>
        <v>r783: C00002 + C00001 -&gt; C00020 + C00013 | (${Variables:E3_6_1_9_kcat} * E3_6_1_9 * C00002 * C00001)/(${Variables:E3_6_1_9_km} + (E3_6_1_9 * C00002 * C00001))</v>
      </c>
    </row>
    <row r="785">
      <c r="A785" s="2" t="s">
        <v>7012</v>
      </c>
      <c r="B785" s="2" t="s">
        <v>7013</v>
      </c>
      <c r="C785" s="2" t="s">
        <v>25296</v>
      </c>
      <c r="D785" s="18">
        <v>784.0</v>
      </c>
      <c r="E785" s="2" t="str">
        <f t="shared" si="1"/>
        <v>E3_6_1_9</v>
      </c>
      <c r="F785" s="19" t="s">
        <v>28242</v>
      </c>
      <c r="G785" s="19" t="s">
        <v>28243</v>
      </c>
      <c r="H785" s="19" t="s">
        <v>28244</v>
      </c>
      <c r="I785" s="19" t="s">
        <v>28245</v>
      </c>
      <c r="J785" s="2" t="str">
        <f t="shared" si="2"/>
        <v>(${Variables:E3_6_1_9_kcat} * E3_6_1_9 * C00003 * C00001)/(${Variables:E3_6_1_9_km} + (E3_6_1_9 * C00003 * C00001))</v>
      </c>
      <c r="K785" s="2" t="str">
        <f t="shared" si="3"/>
        <v>r784: C00003 + C00001 -&gt; C00020 + C00455 | (${Variables:E3_6_1_9_kcat} * E3_6_1_9 * C00003 * C00001)/(${Variables:E3_6_1_9_km} + (E3_6_1_9 * C00003 * C00001))</v>
      </c>
    </row>
    <row r="786">
      <c r="A786" s="2" t="s">
        <v>7012</v>
      </c>
      <c r="B786" s="2" t="s">
        <v>7013</v>
      </c>
      <c r="C786" s="2" t="s">
        <v>25296</v>
      </c>
      <c r="D786" s="18">
        <v>785.0</v>
      </c>
      <c r="E786" s="2" t="str">
        <f t="shared" si="1"/>
        <v>E3_6_1_9</v>
      </c>
      <c r="F786" s="19" t="s">
        <v>28246</v>
      </c>
      <c r="G786" s="19" t="s">
        <v>28247</v>
      </c>
      <c r="H786" s="19" t="s">
        <v>28248</v>
      </c>
      <c r="I786" s="19" t="s">
        <v>28249</v>
      </c>
      <c r="J786" s="2" t="str">
        <f t="shared" si="2"/>
        <v>(${Variables:E3_6_1_9_kcat} * E3_6_1_9 * C00016 * C00001)/(${Variables:E3_6_1_9_km} + (E3_6_1_9 * C00016 * C00001))</v>
      </c>
      <c r="K786" s="2" t="str">
        <f t="shared" si="3"/>
        <v>r785: C00016 + C00001 -&gt; C00020 + C00061 | (${Variables:E3_6_1_9_kcat} * E3_6_1_9 * C00016 * C00001)/(${Variables:E3_6_1_9_km} + (E3_6_1_9 * C00016 * C00001))</v>
      </c>
    </row>
    <row r="787">
      <c r="A787" s="2" t="s">
        <v>7012</v>
      </c>
      <c r="B787" s="2" t="s">
        <v>7013</v>
      </c>
      <c r="C787" s="2" t="s">
        <v>25296</v>
      </c>
      <c r="D787" s="18">
        <v>786.0</v>
      </c>
      <c r="E787" s="2" t="str">
        <f t="shared" si="1"/>
        <v>E3_6_1_9</v>
      </c>
      <c r="F787" s="19" t="s">
        <v>28250</v>
      </c>
      <c r="G787" s="19" t="s">
        <v>28251</v>
      </c>
      <c r="H787" s="19" t="s">
        <v>28252</v>
      </c>
      <c r="I787" s="19" t="s">
        <v>28253</v>
      </c>
      <c r="J787" s="2" t="str">
        <f t="shared" si="2"/>
        <v>(${Variables:E3_6_1_9_kcat} * E3_6_1_9 * C00029 * C00001)/(${Variables:E3_6_1_9_km} + (E3_6_1_9 * C00029 * C00001))</v>
      </c>
      <c r="K787" s="2" t="str">
        <f t="shared" si="3"/>
        <v>r786: C00029 + C00001 -&gt; C00105 + C00103 | (${Variables:E3_6_1_9_kcat} * E3_6_1_9 * C00029 * C00001)/(${Variables:E3_6_1_9_km} + (E3_6_1_9 * C00029 * C00001))</v>
      </c>
    </row>
    <row r="788">
      <c r="A788" s="2" t="s">
        <v>7012</v>
      </c>
      <c r="B788" s="2" t="s">
        <v>7013</v>
      </c>
      <c r="C788" s="2" t="s">
        <v>25296</v>
      </c>
      <c r="D788" s="18">
        <v>787.0</v>
      </c>
      <c r="E788" s="2" t="str">
        <f t="shared" si="1"/>
        <v>E3_6_1_9</v>
      </c>
      <c r="F788" s="19" t="s">
        <v>28190</v>
      </c>
      <c r="G788" s="19" t="s">
        <v>28191</v>
      </c>
      <c r="H788" s="19" t="s">
        <v>26954</v>
      </c>
      <c r="I788" s="19" t="s">
        <v>26955</v>
      </c>
      <c r="J788" s="2" t="str">
        <f t="shared" si="2"/>
        <v>(${Variables:E3_6_1_9_kcat} * E3_6_1_9 * C00044 * C00001)/(${Variables:E3_6_1_9_km} + (E3_6_1_9 * C00044 * C00001))</v>
      </c>
      <c r="K788" s="2" t="str">
        <f t="shared" si="3"/>
        <v>r787: C00044 + C00001 -&gt; C00144 + C00013 | (${Variables:E3_6_1_9_kcat} * E3_6_1_9 * C00044 * C00001)/(${Variables:E3_6_1_9_km} + (E3_6_1_9 * C00044 * C00001))</v>
      </c>
    </row>
    <row r="789">
      <c r="A789" s="2" t="s">
        <v>7012</v>
      </c>
      <c r="B789" s="2" t="s">
        <v>7013</v>
      </c>
      <c r="C789" s="2" t="s">
        <v>25296</v>
      </c>
      <c r="D789" s="18">
        <v>788.0</v>
      </c>
      <c r="E789" s="2" t="str">
        <f t="shared" si="1"/>
        <v>E3_6_1_9</v>
      </c>
      <c r="F789" s="19" t="s">
        <v>28254</v>
      </c>
      <c r="G789" s="19" t="s">
        <v>28255</v>
      </c>
      <c r="H789" s="19" t="s">
        <v>28256</v>
      </c>
      <c r="I789" s="19" t="s">
        <v>28257</v>
      </c>
      <c r="J789" s="2" t="str">
        <f t="shared" si="2"/>
        <v>(${Variables:E3_6_1_9_kcat} * E3_6_1_9 * C00063 * C00001)/(${Variables:E3_6_1_9_km} + (E3_6_1_9 * C00063 * C00001))</v>
      </c>
      <c r="K789" s="2" t="str">
        <f t="shared" si="3"/>
        <v>r788: C00063 + C00001 -&gt; C00055 + C00013 | (${Variables:E3_6_1_9_kcat} * E3_6_1_9 * C00063 * C00001)/(${Variables:E3_6_1_9_km} + (E3_6_1_9 * C00063 * C00001))</v>
      </c>
    </row>
    <row r="790">
      <c r="A790" s="2" t="s">
        <v>7012</v>
      </c>
      <c r="B790" s="2" t="s">
        <v>7013</v>
      </c>
      <c r="C790" s="2" t="s">
        <v>25296</v>
      </c>
      <c r="D790" s="18">
        <v>789.0</v>
      </c>
      <c r="E790" s="2" t="str">
        <f t="shared" si="1"/>
        <v>E3_6_1_9</v>
      </c>
      <c r="F790" s="19" t="s">
        <v>28258</v>
      </c>
      <c r="G790" s="19" t="s">
        <v>28259</v>
      </c>
      <c r="H790" s="19" t="s">
        <v>26990</v>
      </c>
      <c r="I790" s="19" t="s">
        <v>26991</v>
      </c>
      <c r="J790" s="2" t="str">
        <f t="shared" si="2"/>
        <v>(${Variables:E3_6_1_9_kcat} * E3_6_1_9 * C00075 * C00001)/(${Variables:E3_6_1_9_km} + (E3_6_1_9 * C00075 * C00001))</v>
      </c>
      <c r="K790" s="2" t="str">
        <f t="shared" si="3"/>
        <v>r789: C00075 + C00001 -&gt; C00105 + C00013 | (${Variables:E3_6_1_9_kcat} * E3_6_1_9 * C00075 * C00001)/(${Variables:E3_6_1_9_km} + (E3_6_1_9 * C00075 * C00001))</v>
      </c>
    </row>
    <row r="791">
      <c r="A791" s="2" t="s">
        <v>7012</v>
      </c>
      <c r="B791" s="2" t="s">
        <v>7013</v>
      </c>
      <c r="C791" s="2" t="s">
        <v>25296</v>
      </c>
      <c r="D791" s="18">
        <v>790.0</v>
      </c>
      <c r="E791" s="2" t="str">
        <f t="shared" si="1"/>
        <v>E3_6_1_9</v>
      </c>
      <c r="F791" s="19" t="s">
        <v>28260</v>
      </c>
      <c r="G791" s="19" t="s">
        <v>28261</v>
      </c>
      <c r="H791" s="19" t="s">
        <v>28262</v>
      </c>
      <c r="I791" s="19" t="s">
        <v>28263</v>
      </c>
      <c r="J791" s="2" t="str">
        <f t="shared" si="2"/>
        <v>(${Variables:E3_6_1_9_kcat} * E3_6_1_9 * C00201 * C00001)/(${Variables:E3_6_1_9_km} + (E3_6_1_9 * C00201 * C00001))</v>
      </c>
      <c r="K791" s="2" t="str">
        <f t="shared" si="3"/>
        <v>r790: C00201 + C00001 -&gt; C00215 + C00013 | (${Variables:E3_6_1_9_kcat} * E3_6_1_9 * C00201 * C00001)/(${Variables:E3_6_1_9_km} + (E3_6_1_9 * C00201 * C00001))</v>
      </c>
    </row>
    <row r="792">
      <c r="A792" s="2" t="s">
        <v>7012</v>
      </c>
      <c r="B792" s="2" t="s">
        <v>7013</v>
      </c>
      <c r="C792" s="2" t="s">
        <v>25296</v>
      </c>
      <c r="D792" s="18">
        <v>791.0</v>
      </c>
      <c r="E792" s="2" t="str">
        <f t="shared" si="1"/>
        <v>E3_6_1_9</v>
      </c>
      <c r="F792" s="19" t="s">
        <v>28264</v>
      </c>
      <c r="G792" s="19" t="s">
        <v>28265</v>
      </c>
      <c r="H792" s="19" t="s">
        <v>28266</v>
      </c>
      <c r="I792" s="19" t="s">
        <v>28267</v>
      </c>
      <c r="J792" s="2" t="str">
        <f t="shared" si="2"/>
        <v>(${Variables:E3_6_1_9_kcat} * E3_6_1_9 * C00857 * C00001)/(${Variables:E3_6_1_9_km} + (E3_6_1_9 * C00857 * C00001))</v>
      </c>
      <c r="K792" s="2" t="str">
        <f t="shared" si="3"/>
        <v>r791: C00857 + C00001 -&gt; C00020 + C01185 | (${Variables:E3_6_1_9_kcat} * E3_6_1_9 * C00857 * C00001)/(${Variables:E3_6_1_9_km} + (E3_6_1_9 * C00857 * C00001))</v>
      </c>
    </row>
    <row r="793">
      <c r="A793" s="2" t="s">
        <v>7012</v>
      </c>
      <c r="B793" s="2" t="s">
        <v>7013</v>
      </c>
      <c r="C793" s="2" t="s">
        <v>25296</v>
      </c>
      <c r="D793" s="18">
        <v>792.0</v>
      </c>
      <c r="E793" s="2" t="str">
        <f t="shared" si="1"/>
        <v>E3_6_1_9</v>
      </c>
      <c r="F793" s="19" t="s">
        <v>28268</v>
      </c>
      <c r="G793" s="19" t="s">
        <v>28269</v>
      </c>
      <c r="H793" s="19" t="s">
        <v>28270</v>
      </c>
      <c r="I793" s="19" t="s">
        <v>28271</v>
      </c>
      <c r="J793" s="2" t="str">
        <f t="shared" si="2"/>
        <v>(${Variables:E3_6_1_9_kcat} * E3_6_1_9 * C00882 * C00001)/(${Variables:E3_6_1_9_km} + (E3_6_1_9 * C00882 * C00001))</v>
      </c>
      <c r="K793" s="2" t="str">
        <f t="shared" si="3"/>
        <v>r792: C00882 + C00001 -&gt; C01134 + C00020 | (${Variables:E3_6_1_9_kcat} * E3_6_1_9 * C00882 * C00001)/(${Variables:E3_6_1_9_km} + (E3_6_1_9 * C00882 * C00001))</v>
      </c>
    </row>
    <row r="794">
      <c r="A794" s="2" t="s">
        <v>7012</v>
      </c>
      <c r="B794" s="2" t="s">
        <v>7013</v>
      </c>
      <c r="C794" s="2" t="s">
        <v>25296</v>
      </c>
      <c r="D794" s="18">
        <v>793.0</v>
      </c>
      <c r="E794" s="2" t="str">
        <f t="shared" si="1"/>
        <v>E3_6_1_9</v>
      </c>
      <c r="F794" s="19" t="s">
        <v>28272</v>
      </c>
      <c r="G794" s="19" t="s">
        <v>28273</v>
      </c>
      <c r="H794" s="19" t="s">
        <v>28274</v>
      </c>
      <c r="I794" s="19" t="s">
        <v>28275</v>
      </c>
      <c r="J794" s="2" t="str">
        <f t="shared" si="2"/>
        <v>(${Variables:E3_6_1_9_kcat} * E3_6_1_9 * C00459 * C00001)/(${Variables:E3_6_1_9_km} + (E3_6_1_9 * C00459 * C00001))</v>
      </c>
      <c r="K794" s="2" t="str">
        <f t="shared" si="3"/>
        <v>r793: C00459 + C00001 -&gt; C00364 + C00013 | (${Variables:E3_6_1_9_kcat} * E3_6_1_9 * C00459 * C00001)/(${Variables:E3_6_1_9_km} + (E3_6_1_9 * C00459 * C00001))</v>
      </c>
    </row>
    <row r="795">
      <c r="A795" s="2" t="s">
        <v>14502</v>
      </c>
      <c r="B795" s="2" t="s">
        <v>14503</v>
      </c>
      <c r="C795" s="2" t="s">
        <v>25298</v>
      </c>
      <c r="D795" s="18">
        <v>794.0</v>
      </c>
      <c r="E795" s="2" t="str">
        <f t="shared" si="1"/>
        <v>E3_7_1_3</v>
      </c>
      <c r="F795" s="19" t="s">
        <v>28276</v>
      </c>
      <c r="G795" s="19" t="s">
        <v>28277</v>
      </c>
      <c r="H795" s="19" t="s">
        <v>28278</v>
      </c>
      <c r="I795" s="19" t="s">
        <v>28279</v>
      </c>
      <c r="J795" s="2" t="str">
        <f t="shared" si="2"/>
        <v>(${Variables:E3_7_1_3_kcat} * E3_7_1_3 * C00328 * C00001)/(${Variables:E3_7_1_3_km} + (E3_7_1_3 * C00328 * C00001))</v>
      </c>
      <c r="K795" s="2" t="str">
        <f t="shared" si="3"/>
        <v>r794: C00328 + C00001 -&gt; C00108 + C00041 | (${Variables:E3_7_1_3_kcat} * E3_7_1_3 * C00328 * C00001)/(${Variables:E3_7_1_3_km} + (E3_7_1_3 * C00328 * C00001))</v>
      </c>
    </row>
    <row r="796">
      <c r="A796" s="2" t="s">
        <v>14502</v>
      </c>
      <c r="B796" s="2" t="s">
        <v>14503</v>
      </c>
      <c r="C796" s="2" t="s">
        <v>25298</v>
      </c>
      <c r="D796" s="18">
        <v>795.0</v>
      </c>
      <c r="E796" s="2" t="str">
        <f t="shared" si="1"/>
        <v>E3_7_1_3</v>
      </c>
      <c r="F796" s="19" t="s">
        <v>28280</v>
      </c>
      <c r="G796" s="19" t="s">
        <v>28281</v>
      </c>
      <c r="H796" s="19" t="s">
        <v>28282</v>
      </c>
      <c r="I796" s="19" t="s">
        <v>28283</v>
      </c>
      <c r="J796" s="2" t="str">
        <f t="shared" si="2"/>
        <v>(${Variables:E3_7_1_3_kcat} * E3_7_1_3 * C03227 * C00001)/(${Variables:E3_7_1_3_km} + (E3_7_1_3 * C03227 * C00001))</v>
      </c>
      <c r="K796" s="2" t="str">
        <f t="shared" si="3"/>
        <v>r795: C03227 + C00001 -&gt; C00632 + C00041 | (${Variables:E3_7_1_3_kcat} * E3_7_1_3 * C03227 * C00001)/(${Variables:E3_7_1_3_km} + (E3_7_1_3 * C03227 * C00001))</v>
      </c>
    </row>
    <row r="797">
      <c r="A797" s="2" t="s">
        <v>14502</v>
      </c>
      <c r="B797" s="2" t="s">
        <v>14503</v>
      </c>
      <c r="C797" s="2" t="s">
        <v>25298</v>
      </c>
      <c r="D797" s="18">
        <v>796.0</v>
      </c>
      <c r="E797" s="2" t="str">
        <f t="shared" si="1"/>
        <v>E3_7_1_3</v>
      </c>
      <c r="F797" s="19" t="s">
        <v>28150</v>
      </c>
      <c r="G797" s="19" t="s">
        <v>28151</v>
      </c>
      <c r="H797" s="19" t="s">
        <v>28284</v>
      </c>
      <c r="I797" s="19" t="s">
        <v>28285</v>
      </c>
      <c r="J797" s="2" t="str">
        <f t="shared" si="2"/>
        <v>(${Variables:E3_7_1_3_kcat} * E3_7_1_3 * C02700 * C00001)/(${Variables:E3_7_1_3_km} + (E3_7_1_3 * C02700 * C00001))</v>
      </c>
      <c r="K797" s="2" t="str">
        <f t="shared" si="3"/>
        <v>r796: C02700 + C00001 -&gt; C05653 + C00041 | (${Variables:E3_7_1_3_kcat} * E3_7_1_3 * C02700 * C00001)/(${Variables:E3_7_1_3_km} + (E3_7_1_3 * C02700 * C00001))</v>
      </c>
    </row>
    <row r="798">
      <c r="A798" s="2" t="s">
        <v>2991</v>
      </c>
      <c r="B798" s="2" t="s">
        <v>2992</v>
      </c>
      <c r="C798" s="2" t="s">
        <v>25299</v>
      </c>
      <c r="D798" s="18">
        <v>797.0</v>
      </c>
      <c r="E798" s="2" t="str">
        <f t="shared" si="1"/>
        <v>E4_1_1_11</v>
      </c>
      <c r="F798" s="19" t="s">
        <v>17963</v>
      </c>
      <c r="G798" s="19" t="s">
        <v>17963</v>
      </c>
      <c r="H798" s="19" t="s">
        <v>28286</v>
      </c>
      <c r="I798" s="19" t="s">
        <v>28287</v>
      </c>
      <c r="J798" s="2" t="str">
        <f t="shared" si="2"/>
        <v>(${Variables:E4_1_1_11_kcat} * E4_1_1_11 * C00049)/(${Variables:E4_1_1_11_km} + (E4_1_1_11 * C00049))</v>
      </c>
      <c r="K798" s="2" t="str">
        <f t="shared" si="3"/>
        <v>r797: C00049 -&gt; C00099 + C00011 | (${Variables:E4_1_1_11_kcat} * E4_1_1_11 * C00049)/(${Variables:E4_1_1_11_km} + (E4_1_1_11 * C00049))</v>
      </c>
    </row>
    <row r="799">
      <c r="A799" s="2" t="s">
        <v>11455</v>
      </c>
      <c r="B799" s="2" t="s">
        <v>11456</v>
      </c>
      <c r="C799" s="2" t="s">
        <v>25300</v>
      </c>
      <c r="D799" s="18">
        <v>798.0</v>
      </c>
      <c r="E799" s="2" t="str">
        <f t="shared" si="1"/>
        <v>E4_1_1_19</v>
      </c>
      <c r="F799" s="19" t="s">
        <v>17968</v>
      </c>
      <c r="G799" s="19" t="s">
        <v>17968</v>
      </c>
      <c r="H799" s="19" t="s">
        <v>28288</v>
      </c>
      <c r="I799" s="19" t="s">
        <v>28289</v>
      </c>
      <c r="J799" s="2" t="str">
        <f t="shared" si="2"/>
        <v>(${Variables:E4_1_1_19_kcat} * E4_1_1_19 * C00062)/(${Variables:E4_1_1_19_km} + (E4_1_1_19 * C00062))</v>
      </c>
      <c r="K799" s="2" t="str">
        <f t="shared" si="3"/>
        <v>r798: C00062 -&gt; C00179 + C00011 | (${Variables:E4_1_1_19_kcat} * E4_1_1_19 * C00062)/(${Variables:E4_1_1_19_km} + (E4_1_1_19 * C00062))</v>
      </c>
    </row>
    <row r="800">
      <c r="A800" s="2" t="s">
        <v>3363</v>
      </c>
      <c r="B800" s="2" t="s">
        <v>3364</v>
      </c>
      <c r="C800" s="2" t="s">
        <v>25301</v>
      </c>
      <c r="D800" s="18">
        <v>799.0</v>
      </c>
      <c r="E800" s="2" t="str">
        <f t="shared" si="1"/>
        <v>E4_1_1_20</v>
      </c>
      <c r="F800" s="19" t="s">
        <v>17973</v>
      </c>
      <c r="G800" s="19" t="s">
        <v>17973</v>
      </c>
      <c r="H800" s="19" t="s">
        <v>28290</v>
      </c>
      <c r="I800" s="19" t="s">
        <v>28291</v>
      </c>
      <c r="J800" s="2" t="str">
        <f t="shared" si="2"/>
        <v>(${Variables:E4_1_1_20_kcat} * E4_1_1_20 * C00680)/(${Variables:E4_1_1_20_km} + (E4_1_1_20 * C00680))</v>
      </c>
      <c r="K800" s="2" t="str">
        <f t="shared" si="3"/>
        <v>r799: C00680 -&gt; C00047 + C00011 | (${Variables:E4_1_1_20_kcat} * E4_1_1_20 * C00680)/(${Variables:E4_1_1_20_km} + (E4_1_1_20 * C00680))</v>
      </c>
    </row>
    <row r="801">
      <c r="A801" s="2" t="s">
        <v>6305</v>
      </c>
      <c r="B801" s="2" t="s">
        <v>6306</v>
      </c>
      <c r="C801" s="2" t="s">
        <v>25302</v>
      </c>
      <c r="D801" s="18">
        <v>800.0</v>
      </c>
      <c r="E801" s="2" t="str">
        <f t="shared" si="1"/>
        <v>E4_1_1_21</v>
      </c>
      <c r="F801" s="19" t="s">
        <v>17978</v>
      </c>
      <c r="G801" s="19" t="s">
        <v>17978</v>
      </c>
      <c r="H801" s="19" t="s">
        <v>28292</v>
      </c>
      <c r="I801" s="19" t="s">
        <v>28293</v>
      </c>
      <c r="J801" s="2" t="str">
        <f t="shared" si="2"/>
        <v>(${Variables:E4_1_1_21_kcat} * E4_1_1_21 * C04751)/(${Variables:E4_1_1_21_km} + (E4_1_1_21 * C04751))</v>
      </c>
      <c r="K801" s="2" t="str">
        <f t="shared" si="3"/>
        <v>r800: C04751 -&gt; C03373 + C00011 | (${Variables:E4_1_1_21_kcat} * E4_1_1_21 * C04751)/(${Variables:E4_1_1_21_km} + (E4_1_1_21 * C04751))</v>
      </c>
    </row>
    <row r="802">
      <c r="A802" s="2" t="s">
        <v>11712</v>
      </c>
      <c r="B802" s="2" t="s">
        <v>11713</v>
      </c>
      <c r="C802" s="2" t="s">
        <v>25303</v>
      </c>
      <c r="D802" s="18">
        <v>801.0</v>
      </c>
      <c r="E802" s="2" t="str">
        <f t="shared" si="1"/>
        <v>E4_1_1_23</v>
      </c>
      <c r="F802" s="19" t="s">
        <v>17983</v>
      </c>
      <c r="G802" s="19" t="s">
        <v>17983</v>
      </c>
      <c r="H802" s="19" t="s">
        <v>28294</v>
      </c>
      <c r="I802" s="19" t="s">
        <v>28295</v>
      </c>
      <c r="J802" s="2" t="str">
        <f t="shared" si="2"/>
        <v>(${Variables:E4_1_1_23_kcat} * E4_1_1_23 * C01103)/(${Variables:E4_1_1_23_km} + (E4_1_1_23 * C01103))</v>
      </c>
      <c r="K802" s="2" t="str">
        <f t="shared" si="3"/>
        <v>r801: C01103 -&gt; C00105 + C00011 | (${Variables:E4_1_1_23_kcat} * E4_1_1_23 * C01103)/(${Variables:E4_1_1_23_km} + (E4_1_1_23 * C01103))</v>
      </c>
    </row>
    <row r="803">
      <c r="A803" s="2" t="s">
        <v>11759</v>
      </c>
      <c r="B803" s="2" t="s">
        <v>11760</v>
      </c>
      <c r="C803" s="2" t="s">
        <v>25304</v>
      </c>
      <c r="D803" s="18">
        <v>802.0</v>
      </c>
      <c r="E803" s="2" t="str">
        <f t="shared" si="1"/>
        <v>E4_1_1_36</v>
      </c>
      <c r="F803" s="19" t="s">
        <v>17988</v>
      </c>
      <c r="G803" s="19" t="s">
        <v>17988</v>
      </c>
      <c r="H803" s="19" t="s">
        <v>28296</v>
      </c>
      <c r="I803" s="19" t="s">
        <v>28297</v>
      </c>
      <c r="J803" s="2" t="str">
        <f t="shared" si="2"/>
        <v>(${Variables:E4_1_1_36_kcat} * E4_1_1_36 * C04352)/(${Variables:E4_1_1_36_km} + (E4_1_1_36 * C04352))</v>
      </c>
      <c r="K803" s="2" t="str">
        <f t="shared" si="3"/>
        <v>r802: C04352 -&gt; C01134 + C00011 | (${Variables:E4_1_1_36_kcat} * E4_1_1_36 * C04352)/(${Variables:E4_1_1_36_km} + (E4_1_1_36 * C04352))</v>
      </c>
    </row>
    <row r="804">
      <c r="A804" s="2" t="s">
        <v>4342</v>
      </c>
      <c r="B804" s="2" t="s">
        <v>4343</v>
      </c>
      <c r="C804" s="2" t="s">
        <v>25305</v>
      </c>
      <c r="D804" s="18">
        <v>803.0</v>
      </c>
      <c r="E804" s="2" t="str">
        <f t="shared" si="1"/>
        <v>E4_1_1_37</v>
      </c>
      <c r="F804" s="19" t="s">
        <v>17993</v>
      </c>
      <c r="G804" s="19" t="s">
        <v>17993</v>
      </c>
      <c r="H804" s="19" t="s">
        <v>28298</v>
      </c>
      <c r="I804" s="19" t="s">
        <v>28299</v>
      </c>
      <c r="J804" s="2" t="str">
        <f t="shared" si="2"/>
        <v>(${Variables:E4_1_1_37_kcat} * E4_1_1_37 * C01051)/(${Variables:E4_1_1_37_km} + (E4_1_1_37 * C01051))</v>
      </c>
      <c r="K804" s="2" t="str">
        <f t="shared" si="3"/>
        <v>r803: C01051 -&gt; C03263 + C00011 | (${Variables:E4_1_1_37_kcat} * E4_1_1_37 * C01051)/(${Variables:E4_1_1_37_km} + (E4_1_1_37 * C01051))</v>
      </c>
    </row>
    <row r="805">
      <c r="A805" s="2" t="s">
        <v>4342</v>
      </c>
      <c r="B805" s="2" t="s">
        <v>4343</v>
      </c>
      <c r="C805" s="2" t="s">
        <v>25305</v>
      </c>
      <c r="D805" s="18">
        <v>804.0</v>
      </c>
      <c r="E805" s="2" t="str">
        <f t="shared" si="1"/>
        <v>E4_1_1_37</v>
      </c>
      <c r="F805" s="19" t="s">
        <v>17996</v>
      </c>
      <c r="G805" s="19" t="s">
        <v>17996</v>
      </c>
      <c r="H805" s="19" t="s">
        <v>28300</v>
      </c>
      <c r="I805" s="19" t="s">
        <v>28301</v>
      </c>
      <c r="J805" s="2" t="str">
        <f t="shared" si="2"/>
        <v>(${Variables:E4_1_1_37_kcat} * E4_1_1_37 * C05766)/(${Variables:E4_1_1_37_km} + (E4_1_1_37 * C05766))</v>
      </c>
      <c r="K805" s="2" t="str">
        <f t="shared" si="3"/>
        <v>r804: C05766 -&gt; C05768 + C00011 | (${Variables:E4_1_1_37_kcat} * E4_1_1_37 * C05766)/(${Variables:E4_1_1_37_km} + (E4_1_1_37 * C05766))</v>
      </c>
    </row>
    <row r="806">
      <c r="A806" s="2" t="s">
        <v>3879</v>
      </c>
      <c r="B806" s="2" t="s">
        <v>3880</v>
      </c>
      <c r="C806" s="2" t="s">
        <v>25306</v>
      </c>
      <c r="D806" s="18">
        <v>805.0</v>
      </c>
      <c r="E806" s="2" t="str">
        <f t="shared" si="1"/>
        <v>E4_1_1_48</v>
      </c>
      <c r="F806" s="19" t="s">
        <v>18001</v>
      </c>
      <c r="G806" s="19" t="s">
        <v>18001</v>
      </c>
      <c r="H806" s="19" t="s">
        <v>28302</v>
      </c>
      <c r="I806" s="19" t="s">
        <v>28303</v>
      </c>
      <c r="J806" s="2" t="str">
        <f t="shared" si="2"/>
        <v>(${Variables:E4_1_1_48_kcat} * E4_1_1_48 * C01302)/(${Variables:E4_1_1_48_km} + (E4_1_1_48 * C01302))</v>
      </c>
      <c r="K806" s="2" t="str">
        <f t="shared" si="3"/>
        <v>r805: C01302 -&gt; C03506 + C00011 + C00001 | (${Variables:E4_1_1_48_kcat} * E4_1_1_48 * C01302)/(${Variables:E4_1_1_48_km} + (E4_1_1_48 * C01302))</v>
      </c>
    </row>
    <row r="807">
      <c r="A807" s="2" t="s">
        <v>9115</v>
      </c>
      <c r="B807" s="2" t="s">
        <v>9116</v>
      </c>
      <c r="C807" s="2" t="s">
        <v>25307</v>
      </c>
      <c r="D807" s="18">
        <v>806.0</v>
      </c>
      <c r="E807" s="2" t="str">
        <f t="shared" si="1"/>
        <v>E4_1_1_49</v>
      </c>
      <c r="F807" s="19" t="s">
        <v>28304</v>
      </c>
      <c r="G807" s="19" t="s">
        <v>28305</v>
      </c>
      <c r="H807" s="19" t="s">
        <v>28306</v>
      </c>
      <c r="I807" s="19" t="s">
        <v>28307</v>
      </c>
      <c r="J807" s="2" t="str">
        <f t="shared" si="2"/>
        <v>(${Variables:E4_1_1_49_kcat} * E4_1_1_49 * C00002 * C00036)/(${Variables:E4_1_1_49_km} + (E4_1_1_49 * C00002 * C00036))</v>
      </c>
      <c r="K807" s="2" t="str">
        <f t="shared" si="3"/>
        <v>r806: C00002 + C00036 -&gt; C00008 + C00074 + C00011 | (${Variables:E4_1_1_49_kcat} * E4_1_1_49 * C00002 * C00036)/(${Variables:E4_1_1_49_km} + (E4_1_1_49 * C00002 * C00036))</v>
      </c>
    </row>
    <row r="808">
      <c r="A808" s="2" t="s">
        <v>4829</v>
      </c>
      <c r="B808" s="2" t="s">
        <v>4830</v>
      </c>
      <c r="C808" s="2" t="s">
        <v>25308</v>
      </c>
      <c r="D808" s="18">
        <v>807.0</v>
      </c>
      <c r="E808" s="2" t="str">
        <f t="shared" si="1"/>
        <v>E4_1_1_5</v>
      </c>
      <c r="F808" s="19" t="s">
        <v>15096</v>
      </c>
      <c r="G808" s="19" t="s">
        <v>15096</v>
      </c>
      <c r="H808" s="19" t="s">
        <v>28308</v>
      </c>
      <c r="I808" s="19" t="s">
        <v>28309</v>
      </c>
      <c r="J808" s="2" t="str">
        <f t="shared" si="2"/>
        <v>(${Variables:E4_1_1_5_kcat} * E4_1_1_5 * C06010)/(${Variables:E4_1_1_5_km} + (E4_1_1_5 * C06010))</v>
      </c>
      <c r="K808" s="2" t="str">
        <f t="shared" si="3"/>
        <v>r807: C06010 -&gt; C00810 + C00011 | (${Variables:E4_1_1_5_kcat} * E4_1_1_5 * C06010)/(${Variables:E4_1_1_5_km} + (E4_1_1_5 * C06010))</v>
      </c>
    </row>
    <row r="809">
      <c r="A809" s="2" t="s">
        <v>7980</v>
      </c>
      <c r="B809" s="2" t="s">
        <v>7981</v>
      </c>
      <c r="C809" s="2" t="s">
        <v>25309</v>
      </c>
      <c r="D809" s="18">
        <v>808.0</v>
      </c>
      <c r="E809" s="2" t="str">
        <f t="shared" si="1"/>
        <v>E4_1_1_50</v>
      </c>
      <c r="F809" s="19" t="s">
        <v>28310</v>
      </c>
      <c r="G809" s="19" t="s">
        <v>28311</v>
      </c>
      <c r="H809" s="19" t="s">
        <v>28312</v>
      </c>
      <c r="I809" s="19" t="s">
        <v>28313</v>
      </c>
      <c r="J809" s="2" t="str">
        <f t="shared" si="2"/>
        <v>(${Variables:E4_1_1_50_kcat} * E4_1_1_50 * C00019 * C00080)/(${Variables:E4_1_1_50_km} + (E4_1_1_50 * C00019 * C00080))</v>
      </c>
      <c r="K809" s="2" t="str">
        <f t="shared" si="3"/>
        <v>r808: C00019 + C00080 -&gt; C01137 + C00011 | (${Variables:E4_1_1_50_kcat} * E4_1_1_50 * C00019 * C00080)/(${Variables:E4_1_1_50_km} + (E4_1_1_50 * C00019 * C00080))</v>
      </c>
    </row>
    <row r="810">
      <c r="A810" s="2" t="s">
        <v>10324</v>
      </c>
      <c r="B810" s="2" t="s">
        <v>10325</v>
      </c>
      <c r="C810" s="2" t="s">
        <v>25310</v>
      </c>
      <c r="D810" s="18">
        <v>809.0</v>
      </c>
      <c r="E810" s="2" t="str">
        <f t="shared" si="1"/>
        <v>E4_1_1_65</v>
      </c>
      <c r="F810" s="19" t="s">
        <v>18020</v>
      </c>
      <c r="G810" s="19" t="s">
        <v>18020</v>
      </c>
      <c r="H810" s="19" t="s">
        <v>28314</v>
      </c>
      <c r="I810" s="19" t="s">
        <v>28315</v>
      </c>
      <c r="J810" s="2" t="str">
        <f t="shared" si="2"/>
        <v>(${Variables:E4_1_1_65_kcat} * E4_1_1_65 * C02737)/(${Variables:E4_1_1_65_km} + (E4_1_1_65 * C02737))</v>
      </c>
      <c r="K810" s="2" t="str">
        <f t="shared" si="3"/>
        <v>r809: C02737 -&gt; C00350 + C00011 | (${Variables:E4_1_1_65_kcat} * E4_1_1_65 * C02737)/(${Variables:E4_1_1_65_km} + (E4_1_1_65 * C02737))</v>
      </c>
    </row>
    <row r="811">
      <c r="A811" s="2" t="s">
        <v>7625</v>
      </c>
      <c r="B811" s="2" t="s">
        <v>7626</v>
      </c>
      <c r="C811" s="2" t="s">
        <v>25311</v>
      </c>
      <c r="D811" s="18">
        <v>810.0</v>
      </c>
      <c r="E811" s="2" t="str">
        <f t="shared" si="1"/>
        <v>E4_1_2_13</v>
      </c>
      <c r="F811" s="19" t="s">
        <v>18025</v>
      </c>
      <c r="G811" s="19" t="s">
        <v>18025</v>
      </c>
      <c r="H811" s="19" t="s">
        <v>28316</v>
      </c>
      <c r="I811" s="19" t="s">
        <v>28317</v>
      </c>
      <c r="J811" s="2" t="str">
        <f t="shared" si="2"/>
        <v>(${Variables:E4_1_2_13_kcat} * E4_1_2_13 * C00354)/(${Variables:E4_1_2_13_km} + (E4_1_2_13 * C00354))</v>
      </c>
      <c r="K811" s="2" t="str">
        <f t="shared" si="3"/>
        <v>r810: C00354 -&gt; C00111 + C00118 | (${Variables:E4_1_2_13_kcat} * E4_1_2_13 * C00354)/(${Variables:E4_1_2_13_km} + (E4_1_2_13 * C00354))</v>
      </c>
    </row>
    <row r="812">
      <c r="A812" s="2" t="s">
        <v>7625</v>
      </c>
      <c r="B812" s="2" t="s">
        <v>7626</v>
      </c>
      <c r="C812" s="2" t="s">
        <v>25311</v>
      </c>
      <c r="D812" s="18">
        <v>811.0</v>
      </c>
      <c r="E812" s="2" t="str">
        <f t="shared" si="1"/>
        <v>E4_1_2_13</v>
      </c>
      <c r="F812" s="19" t="s">
        <v>18028</v>
      </c>
      <c r="G812" s="19" t="s">
        <v>18028</v>
      </c>
      <c r="H812" s="19" t="s">
        <v>28316</v>
      </c>
      <c r="I812" s="19" t="s">
        <v>28317</v>
      </c>
      <c r="J812" s="2" t="str">
        <f t="shared" si="2"/>
        <v>(${Variables:E4_1_2_13_kcat} * E4_1_2_13 * C05378)/(${Variables:E4_1_2_13_km} + (E4_1_2_13 * C05378))</v>
      </c>
      <c r="K812" s="2" t="str">
        <f t="shared" si="3"/>
        <v>r811: C05378 -&gt; C00111 + C00118 | (${Variables:E4_1_2_13_kcat} * E4_1_2_13 * C05378)/(${Variables:E4_1_2_13_km} + (E4_1_2_13 * C05378))</v>
      </c>
    </row>
    <row r="813">
      <c r="A813" s="2" t="s">
        <v>7625</v>
      </c>
      <c r="B813" s="2" t="s">
        <v>7626</v>
      </c>
      <c r="C813" s="2" t="s">
        <v>25311</v>
      </c>
      <c r="D813" s="18">
        <v>812.0</v>
      </c>
      <c r="E813" s="2" t="str">
        <f t="shared" si="1"/>
        <v>E4_1_2_13</v>
      </c>
      <c r="F813" s="19" t="s">
        <v>18030</v>
      </c>
      <c r="G813" s="19" t="s">
        <v>18030</v>
      </c>
      <c r="H813" s="19" t="s">
        <v>28318</v>
      </c>
      <c r="I813" s="19" t="s">
        <v>28319</v>
      </c>
      <c r="J813" s="2" t="str">
        <f t="shared" si="2"/>
        <v>(${Variables:E4_1_2_13_kcat} * E4_1_2_13 * C00447)/(${Variables:E4_1_2_13_km} + (E4_1_2_13 * C00447))</v>
      </c>
      <c r="K813" s="2" t="str">
        <f t="shared" si="3"/>
        <v>r812: C00447 -&gt; C00111 + C00279 | (${Variables:E4_1_2_13_kcat} * E4_1_2_13 * C00447)/(${Variables:E4_1_2_13_km} + (E4_1_2_13 * C00447))</v>
      </c>
    </row>
    <row r="814">
      <c r="A814" s="2" t="s">
        <v>7625</v>
      </c>
      <c r="B814" s="2" t="s">
        <v>7626</v>
      </c>
      <c r="C814" s="2" t="s">
        <v>25311</v>
      </c>
      <c r="D814" s="18">
        <v>813.0</v>
      </c>
      <c r="E814" s="2" t="str">
        <f t="shared" si="1"/>
        <v>E4_1_2_13</v>
      </c>
      <c r="F814" s="19" t="s">
        <v>18033</v>
      </c>
      <c r="G814" s="19" t="s">
        <v>18033</v>
      </c>
      <c r="H814" s="19" t="s">
        <v>28320</v>
      </c>
      <c r="I814" s="19" t="s">
        <v>28321</v>
      </c>
      <c r="J814" s="2" t="str">
        <f t="shared" si="2"/>
        <v>(${Variables:E4_1_2_13_kcat} * E4_1_2_13 * C01094)/(${Variables:E4_1_2_13_km} + (E4_1_2_13 * C01094))</v>
      </c>
      <c r="K814" s="2" t="str">
        <f t="shared" si="3"/>
        <v>r813: C01094 -&gt; C00111 + C00577 | (${Variables:E4_1_2_13_kcat} * E4_1_2_13 * C01094)/(${Variables:E4_1_2_13_km} + (E4_1_2_13 * C01094))</v>
      </c>
    </row>
    <row r="815">
      <c r="A815" s="2" t="s">
        <v>6131</v>
      </c>
      <c r="B815" s="2" t="s">
        <v>6132</v>
      </c>
      <c r="C815" s="2" t="s">
        <v>25312</v>
      </c>
      <c r="D815" s="18">
        <v>814.0</v>
      </c>
      <c r="E815" s="2" t="str">
        <f t="shared" si="1"/>
        <v>E4_1_2_17</v>
      </c>
      <c r="F815" s="19" t="s">
        <v>18038</v>
      </c>
      <c r="G815" s="19" t="s">
        <v>18038</v>
      </c>
      <c r="H815" s="19" t="s">
        <v>28322</v>
      </c>
      <c r="I815" s="19" t="s">
        <v>28323</v>
      </c>
      <c r="J815" s="2" t="str">
        <f t="shared" si="2"/>
        <v>(${Variables:E4_1_2_17_kcat} * E4_1_2_17 * C01099)/(${Variables:E4_1_2_17_km} + (E4_1_2_17 * C01099))</v>
      </c>
      <c r="K815" s="2" t="str">
        <f t="shared" si="3"/>
        <v>r814: C01099 -&gt; C00111 + C00424 | (${Variables:E4_1_2_17_kcat} * E4_1_2_17 * C01099)/(${Variables:E4_1_2_17_km} + (E4_1_2_17 * C01099))</v>
      </c>
    </row>
    <row r="816">
      <c r="A816" s="2" t="s">
        <v>6131</v>
      </c>
      <c r="B816" s="2" t="s">
        <v>6132</v>
      </c>
      <c r="C816" s="2" t="s">
        <v>25312</v>
      </c>
      <c r="D816" s="18">
        <v>815.0</v>
      </c>
      <c r="E816" s="2" t="str">
        <f t="shared" si="1"/>
        <v>E4_1_2_17</v>
      </c>
      <c r="F816" s="19" t="s">
        <v>18041</v>
      </c>
      <c r="G816" s="19" t="s">
        <v>18041</v>
      </c>
      <c r="H816" s="19" t="s">
        <v>28324</v>
      </c>
      <c r="I816" s="19" t="s">
        <v>28325</v>
      </c>
      <c r="J816" s="2" t="str">
        <f t="shared" si="2"/>
        <v>(${Variables:E4_1_2_17_kcat} * E4_1_2_17 * C22337)/(${Variables:E4_1_2_17_km} + (E4_1_2_17 * C22337))</v>
      </c>
      <c r="K816" s="2" t="str">
        <f t="shared" si="3"/>
        <v>r815: C22337 -&gt; C00111 + C00266 | (${Variables:E4_1_2_17_kcat} * E4_1_2_17 * C22337)/(${Variables:E4_1_2_17_km} + (E4_1_2_17 * C22337))</v>
      </c>
    </row>
    <row r="817">
      <c r="A817" s="2" t="s">
        <v>6948</v>
      </c>
      <c r="B817" s="2" t="s">
        <v>6949</v>
      </c>
      <c r="C817" s="2" t="s">
        <v>25313</v>
      </c>
      <c r="D817" s="18">
        <v>816.0</v>
      </c>
      <c r="E817" s="2" t="str">
        <f t="shared" si="1"/>
        <v>E4_1_2_25</v>
      </c>
      <c r="F817" s="19" t="s">
        <v>18046</v>
      </c>
      <c r="G817" s="19" t="s">
        <v>18046</v>
      </c>
      <c r="H817" s="19" t="s">
        <v>28326</v>
      </c>
      <c r="I817" s="19" t="s">
        <v>28327</v>
      </c>
      <c r="J817" s="2" t="str">
        <f t="shared" si="2"/>
        <v>(${Variables:E4_1_2_25_kcat} * E4_1_2_25 * C04874)/(${Variables:E4_1_2_25_km} + (E4_1_2_25 * C04874))</v>
      </c>
      <c r="K817" s="2" t="str">
        <f t="shared" si="3"/>
        <v>r816: C04874 -&gt; C00266 + C01300 | (${Variables:E4_1_2_25_kcat} * E4_1_2_25 * C04874)/(${Variables:E4_1_2_25_km} + (E4_1_2_25 * C04874))</v>
      </c>
    </row>
    <row r="818">
      <c r="A818" s="2" t="s">
        <v>2192</v>
      </c>
      <c r="B818" s="2" t="s">
        <v>2193</v>
      </c>
      <c r="C818" s="2" t="s">
        <v>25314</v>
      </c>
      <c r="D818" s="18">
        <v>817.0</v>
      </c>
      <c r="E818" s="2" t="str">
        <f t="shared" si="1"/>
        <v>E4_1_2_4</v>
      </c>
      <c r="F818" s="19" t="s">
        <v>18051</v>
      </c>
      <c r="G818" s="19" t="s">
        <v>18051</v>
      </c>
      <c r="H818" s="19" t="s">
        <v>28328</v>
      </c>
      <c r="I818" s="19" t="s">
        <v>28329</v>
      </c>
      <c r="J818" s="2" t="str">
        <f t="shared" si="2"/>
        <v>(${Variables:E4_1_2_4_kcat} * E4_1_2_4 * C00673)/(${Variables:E4_1_2_4_km} + (E4_1_2_4 * C00673))</v>
      </c>
      <c r="K818" s="2" t="str">
        <f t="shared" si="3"/>
        <v>r817: C00673 -&gt; C00118 + C00084 | (${Variables:E4_1_2_4_kcat} * E4_1_2_4 * C00673)/(${Variables:E4_1_2_4_km} + (E4_1_2_4 * C00673))</v>
      </c>
    </row>
    <row r="819">
      <c r="A819" s="2" t="s">
        <v>3588</v>
      </c>
      <c r="B819" s="2" t="s">
        <v>3589</v>
      </c>
      <c r="C819" s="2" t="s">
        <v>25315</v>
      </c>
      <c r="D819" s="18">
        <v>818.0</v>
      </c>
      <c r="E819" s="2" t="str">
        <f t="shared" si="1"/>
        <v>E4_1_2_50</v>
      </c>
      <c r="F819" s="19" t="s">
        <v>27914</v>
      </c>
      <c r="G819" s="19" t="s">
        <v>27915</v>
      </c>
      <c r="H819" s="19" t="s">
        <v>28330</v>
      </c>
      <c r="I819" s="19" t="s">
        <v>28331</v>
      </c>
      <c r="J819" s="2" t="str">
        <f t="shared" si="2"/>
        <v>(${Variables:E4_1_2_50_kcat} * E4_1_2_50 * C04895 * C00001)/(${Variables:E4_1_2_50_km} + (E4_1_2_50 * C04895 * C00001))</v>
      </c>
      <c r="K819" s="2" t="str">
        <f t="shared" si="3"/>
        <v>r818: C04895 + C00001 -&gt; C20239 + C00084 + C00536 | (${Variables:E4_1_2_50_kcat} * E4_1_2_50 * C04895 * C00001)/(${Variables:E4_1_2_50_km} + (E4_1_2_50 * C04895 * C00001))</v>
      </c>
    </row>
    <row r="820">
      <c r="A820" s="2" t="s">
        <v>4193</v>
      </c>
      <c r="B820" s="2" t="s">
        <v>4194</v>
      </c>
      <c r="C820" s="2" t="s">
        <v>25316</v>
      </c>
      <c r="D820" s="18">
        <v>819.0</v>
      </c>
      <c r="E820" s="2" t="str">
        <f t="shared" si="1"/>
        <v>E4_1_3_1</v>
      </c>
      <c r="F820" s="19" t="s">
        <v>18060</v>
      </c>
      <c r="G820" s="19" t="s">
        <v>18060</v>
      </c>
      <c r="H820" s="19" t="s">
        <v>28332</v>
      </c>
      <c r="I820" s="19" t="s">
        <v>28333</v>
      </c>
      <c r="J820" s="2" t="str">
        <f t="shared" si="2"/>
        <v>(${Variables:E4_1_3_1_kcat} * E4_1_3_1 * C00311)/(${Variables:E4_1_3_1_km} + (E4_1_3_1 * C00311))</v>
      </c>
      <c r="K820" s="2" t="str">
        <f t="shared" si="3"/>
        <v>r819: C00311 -&gt; C00042 + C00048 | (${Variables:E4_1_3_1_kcat} * E4_1_3_1 * C00311)/(${Variables:E4_1_3_1_km} + (E4_1_3_1 * C00311))</v>
      </c>
    </row>
    <row r="821">
      <c r="A821" s="2" t="s">
        <v>3886</v>
      </c>
      <c r="B821" s="2" t="s">
        <v>3887</v>
      </c>
      <c r="C821" s="2" t="s">
        <v>25317</v>
      </c>
      <c r="D821" s="18">
        <v>820.0</v>
      </c>
      <c r="E821" s="2" t="str">
        <f t="shared" si="1"/>
        <v>E4_1_3_27</v>
      </c>
      <c r="F821" s="19" t="s">
        <v>27236</v>
      </c>
      <c r="G821" s="19" t="s">
        <v>27237</v>
      </c>
      <c r="H821" s="19" t="s">
        <v>28334</v>
      </c>
      <c r="I821" s="19" t="s">
        <v>28335</v>
      </c>
      <c r="J821" s="2" t="str">
        <f t="shared" si="2"/>
        <v>(${Variables:E4_1_3_27_kcat} * E4_1_3_27 * C00251 * C00014)/(${Variables:E4_1_3_27_km} + (E4_1_3_27 * C00251 * C00014))</v>
      </c>
      <c r="K821" s="2" t="str">
        <f t="shared" si="3"/>
        <v>r820: C00251 + C00014 -&gt; C00108 + C00022 + C00001 | (${Variables:E4_1_3_27_kcat} * E4_1_3_27 * C00251 * C00014)/(${Variables:E4_1_3_27_km} + (E4_1_3_27 * C00251 * C00014))</v>
      </c>
    </row>
    <row r="822">
      <c r="A822" s="2" t="s">
        <v>3886</v>
      </c>
      <c r="B822" s="2" t="s">
        <v>3887</v>
      </c>
      <c r="C822" s="2" t="s">
        <v>25317</v>
      </c>
      <c r="D822" s="18">
        <v>821.0</v>
      </c>
      <c r="E822" s="2" t="str">
        <f t="shared" si="1"/>
        <v>E4_1_3_27</v>
      </c>
      <c r="F822" s="19" t="s">
        <v>27232</v>
      </c>
      <c r="G822" s="19" t="s">
        <v>27233</v>
      </c>
      <c r="H822" s="19" t="s">
        <v>28336</v>
      </c>
      <c r="I822" s="19" t="s">
        <v>28337</v>
      </c>
      <c r="J822" s="2" t="str">
        <f t="shared" si="2"/>
        <v>(${Variables:E4_1_3_27_kcat} * E4_1_3_27 * C00251 * C00064)/(${Variables:E4_1_3_27_km} + (E4_1_3_27 * C00251 * C00064))</v>
      </c>
      <c r="K822" s="2" t="str">
        <f t="shared" si="3"/>
        <v>r821: C00251 + C00064 -&gt; C00108 + C00022 + C00025 | (${Variables:E4_1_3_27_kcat} * E4_1_3_27 * C00251 * C00064)/(${Variables:E4_1_3_27_km} + (E4_1_3_27 * C00251 * C00064))</v>
      </c>
    </row>
    <row r="823">
      <c r="A823" s="2" t="s">
        <v>902</v>
      </c>
      <c r="B823" s="2" t="s">
        <v>903</v>
      </c>
      <c r="C823" s="2" t="s">
        <v>25318</v>
      </c>
      <c r="D823" s="18">
        <v>822.0</v>
      </c>
      <c r="E823" s="2" t="str">
        <f t="shared" si="1"/>
        <v>E4_1_3_30</v>
      </c>
      <c r="F823" s="19" t="s">
        <v>18071</v>
      </c>
      <c r="G823" s="19" t="s">
        <v>18071</v>
      </c>
      <c r="H823" s="19" t="s">
        <v>28338</v>
      </c>
      <c r="I823" s="19" t="s">
        <v>28339</v>
      </c>
      <c r="J823" s="2" t="str">
        <f t="shared" si="2"/>
        <v>(${Variables:E4_1_3_30_kcat} * E4_1_3_30 * C04593)/(${Variables:E4_1_3_30_km} + (E4_1_3_30 * C04593))</v>
      </c>
      <c r="K823" s="2" t="str">
        <f t="shared" si="3"/>
        <v>r822: C04593 -&gt; C00022 + C00042 | (${Variables:E4_1_3_30_kcat} * E4_1_3_30 * C04593)/(${Variables:E4_1_3_30_km} + (E4_1_3_30 * C04593))</v>
      </c>
    </row>
    <row r="824">
      <c r="A824" s="2" t="s">
        <v>8894</v>
      </c>
      <c r="B824" s="2" t="s">
        <v>8895</v>
      </c>
      <c r="C824" s="2" t="s">
        <v>25319</v>
      </c>
      <c r="D824" s="18">
        <v>823.0</v>
      </c>
      <c r="E824" s="2" t="str">
        <f t="shared" si="1"/>
        <v>E4_1_3_36</v>
      </c>
      <c r="F824" s="19" t="s">
        <v>18076</v>
      </c>
      <c r="G824" s="19" t="s">
        <v>18076</v>
      </c>
      <c r="H824" s="19" t="s">
        <v>28340</v>
      </c>
      <c r="I824" s="19" t="s">
        <v>28341</v>
      </c>
      <c r="J824" s="2" t="str">
        <f t="shared" si="2"/>
        <v>(${Variables:E4_1_3_36_kcat} * E4_1_3_36 * C03160)/(${Variables:E4_1_3_36_km} + (E4_1_3_36 * C03160))</v>
      </c>
      <c r="K824" s="2" t="str">
        <f t="shared" si="3"/>
        <v>r823: C03160 -&gt; C03657 + C00010 | (${Variables:E4_1_3_36_kcat} * E4_1_3_36 * C03160)/(${Variables:E4_1_3_36_km} + (E4_1_3_36 * C03160))</v>
      </c>
    </row>
    <row r="825">
      <c r="A825" s="2" t="s">
        <v>8894</v>
      </c>
      <c r="B825" s="2" t="s">
        <v>8895</v>
      </c>
      <c r="C825" s="2" t="s">
        <v>25319</v>
      </c>
      <c r="D825" s="18">
        <v>824.0</v>
      </c>
      <c r="E825" s="2" t="str">
        <f t="shared" si="1"/>
        <v>E4_1_3_36</v>
      </c>
      <c r="F825" s="19" t="s">
        <v>18076</v>
      </c>
      <c r="G825" s="19" t="s">
        <v>18076</v>
      </c>
      <c r="H825" s="19" t="s">
        <v>28342</v>
      </c>
      <c r="I825" s="19" t="s">
        <v>28343</v>
      </c>
      <c r="J825" s="2" t="str">
        <f t="shared" si="2"/>
        <v>(${Variables:E4_1_3_36_kcat} * E4_1_3_36 * C03160)/(${Variables:E4_1_3_36_km} + (E4_1_3_36 * C03160))</v>
      </c>
      <c r="K825" s="2" t="str">
        <f t="shared" si="3"/>
        <v>r824: C03160 -&gt; C15547 + C00001 | (${Variables:E4_1_3_36_kcat} * E4_1_3_36 * C03160)/(${Variables:E4_1_3_36_km} + (E4_1_3_36 * C03160))</v>
      </c>
    </row>
    <row r="826">
      <c r="A826" s="2" t="s">
        <v>6956</v>
      </c>
      <c r="B826" s="2" t="s">
        <v>6957</v>
      </c>
      <c r="C826" s="2" t="s">
        <v>25320</v>
      </c>
      <c r="D826" s="18">
        <v>825.0</v>
      </c>
      <c r="E826" s="2" t="str">
        <f t="shared" si="1"/>
        <v>E4_1_3_38</v>
      </c>
      <c r="F826" s="19" t="s">
        <v>18083</v>
      </c>
      <c r="G826" s="19" t="s">
        <v>18083</v>
      </c>
      <c r="H826" s="19" t="s">
        <v>28344</v>
      </c>
      <c r="I826" s="19" t="s">
        <v>28345</v>
      </c>
      <c r="J826" s="2" t="str">
        <f t="shared" si="2"/>
        <v>(${Variables:E4_1_3_38_kcat} * E4_1_3_38 * C11355)/(${Variables:E4_1_3_38_km} + (E4_1_3_38 * C11355))</v>
      </c>
      <c r="K826" s="2" t="str">
        <f t="shared" si="3"/>
        <v>r825: C11355 -&gt; C00568 + C00022 | (${Variables:E4_1_3_38_kcat} * E4_1_3_38 * C11355)/(${Variables:E4_1_3_38_km} + (E4_1_3_38 * C11355))</v>
      </c>
    </row>
    <row r="827">
      <c r="A827" s="2" t="s">
        <v>413</v>
      </c>
      <c r="B827" s="2" t="s">
        <v>414</v>
      </c>
      <c r="C827" s="2" t="s">
        <v>25321</v>
      </c>
      <c r="D827" s="18">
        <v>826.0</v>
      </c>
      <c r="E827" s="2" t="str">
        <f t="shared" si="1"/>
        <v>E4_1_3_4</v>
      </c>
      <c r="F827" s="19" t="s">
        <v>18088</v>
      </c>
      <c r="G827" s="19" t="s">
        <v>18088</v>
      </c>
      <c r="H827" s="19" t="s">
        <v>28346</v>
      </c>
      <c r="I827" s="19" t="s">
        <v>28347</v>
      </c>
      <c r="J827" s="2" t="str">
        <f t="shared" si="2"/>
        <v>(${Variables:E4_1_3_4_kcat} * E4_1_3_4 * C00356)/(${Variables:E4_1_3_4_km} + (E4_1_3_4 * C00356))</v>
      </c>
      <c r="K827" s="2" t="str">
        <f t="shared" si="3"/>
        <v>r826: C00356 -&gt; C00024 + C00164 | (${Variables:E4_1_3_4_kcat} * E4_1_3_4 * C00356)/(${Variables:E4_1_3_4_km} + (E4_1_3_4 * C00356))</v>
      </c>
    </row>
    <row r="828">
      <c r="A828" s="2" t="s">
        <v>413</v>
      </c>
      <c r="B828" s="2" t="s">
        <v>414</v>
      </c>
      <c r="C828" s="2" t="s">
        <v>25321</v>
      </c>
      <c r="D828" s="18">
        <v>827.0</v>
      </c>
      <c r="E828" s="2" t="str">
        <f t="shared" si="1"/>
        <v>E4_1_3_4</v>
      </c>
      <c r="F828" s="19" t="s">
        <v>18091</v>
      </c>
      <c r="G828" s="19" t="s">
        <v>18091</v>
      </c>
      <c r="H828" s="19" t="s">
        <v>28348</v>
      </c>
      <c r="I828" s="19" t="s">
        <v>28349</v>
      </c>
      <c r="J828" s="2" t="str">
        <f t="shared" si="2"/>
        <v>(${Variables:E4_1_3_4_kcat} * E4_1_3_4 * C04675)/(${Variables:E4_1_3_4_km} + (E4_1_3_4 * C04675))</v>
      </c>
      <c r="K828" s="2" t="str">
        <f t="shared" si="3"/>
        <v>r827: C04675 -&gt; C16466 + C00033 | (${Variables:E4_1_3_4_kcat} * E4_1_3_4 * C04675)/(${Variables:E4_1_3_4_km} + (E4_1_3_4 * C04675))</v>
      </c>
    </row>
    <row r="829">
      <c r="A829" s="2" t="s">
        <v>7946</v>
      </c>
      <c r="B829" s="2" t="s">
        <v>7947</v>
      </c>
      <c r="C829" s="2" t="s">
        <v>25324</v>
      </c>
      <c r="D829" s="18">
        <v>828.0</v>
      </c>
      <c r="E829" s="2" t="str">
        <f t="shared" si="1"/>
        <v>E4_1_99_17</v>
      </c>
      <c r="F829" s="19" t="s">
        <v>28350</v>
      </c>
      <c r="G829" s="19" t="s">
        <v>28351</v>
      </c>
      <c r="H829" s="19" t="s">
        <v>28352</v>
      </c>
      <c r="I829" s="19" t="s">
        <v>28353</v>
      </c>
      <c r="J829" s="2" t="str">
        <f t="shared" si="2"/>
        <v>(${Variables:E4_1_99_17_kcat} * E4_1_99_17 * C03373 * C00019)/(${Variables:E4_1_99_17_km} + (E4_1_99_17 * C03373 * C00019))</v>
      </c>
      <c r="K829" s="2" t="str">
        <f t="shared" si="3"/>
        <v>r828: C03373 + C00019 -&gt; C04556 + C05198 + C00073 + C00058 + C00237 | (${Variables:E4_1_99_17_kcat} * E4_1_99_17 * C03373 * C00019)/(${Variables:E4_1_99_17_km} + (E4_1_99_17 * C03373 * C00019))</v>
      </c>
    </row>
    <row r="830">
      <c r="A830" s="2" t="s">
        <v>1366</v>
      </c>
      <c r="B830" s="2" t="s">
        <v>1367</v>
      </c>
      <c r="C830" s="2" t="s">
        <v>25325</v>
      </c>
      <c r="D830" s="18">
        <v>829.0</v>
      </c>
      <c r="E830" s="2" t="str">
        <f t="shared" si="1"/>
        <v>E4_1_99_22</v>
      </c>
      <c r="F830" s="19" t="s">
        <v>28354</v>
      </c>
      <c r="G830" s="19" t="s">
        <v>28355</v>
      </c>
      <c r="H830" s="19" t="s">
        <v>28356</v>
      </c>
      <c r="I830" s="19" t="s">
        <v>28357</v>
      </c>
      <c r="J830" s="2" t="str">
        <f t="shared" si="2"/>
        <v>(${Variables:E4_1_99_22_kcat} * E4_1_99_22 * C00044 * C00019 * C00030)/(${Variables:E4_1_99_22_km} + (E4_1_99_22 * C00044 * C00019 * C00030))</v>
      </c>
      <c r="K830" s="2" t="str">
        <f t="shared" si="3"/>
        <v>r829: C00044 + C00019 + C00030 -&gt; C21310 + C05198 + C00073 + C00028 | (${Variables:E4_1_99_22_kcat} * E4_1_99_22 * C00044 * C00019 * C00030)/(${Variables:E4_1_99_22_km} + (E4_1_99_22 * C00044 * C00019 * C00030))</v>
      </c>
    </row>
    <row r="831">
      <c r="A831" s="2" t="s">
        <v>13610</v>
      </c>
      <c r="B831" s="2" t="s">
        <v>13611</v>
      </c>
      <c r="C831" s="2" t="s">
        <v>25326</v>
      </c>
      <c r="D831" s="18">
        <v>830.0</v>
      </c>
      <c r="E831" s="2" t="str">
        <f t="shared" si="1"/>
        <v>E4_1_99_3</v>
      </c>
      <c r="F831" s="19" t="s">
        <v>18113</v>
      </c>
      <c r="G831" s="19" t="s">
        <v>18113</v>
      </c>
      <c r="H831" s="19" t="s">
        <v>18114</v>
      </c>
      <c r="I831" s="19" t="s">
        <v>18114</v>
      </c>
      <c r="J831" s="2" t="str">
        <f t="shared" si="2"/>
        <v>(${Variables:E4_1_99_3_kcat} * E4_1_99_3 * C03103)/(${Variables:E4_1_99_3_km} + (E4_1_99_3 * C03103))</v>
      </c>
      <c r="K831" s="2" t="str">
        <f t="shared" si="3"/>
        <v>r830: C03103 -&gt; C08249 | (${Variables:E4_1_99_3_kcat} * E4_1_99_3 * C03103)/(${Variables:E4_1_99_3_km} + (E4_1_99_3 * C03103))</v>
      </c>
    </row>
    <row r="832">
      <c r="A832" s="2" t="s">
        <v>13610</v>
      </c>
      <c r="B832" s="2" t="s">
        <v>13611</v>
      </c>
      <c r="C832" s="2" t="s">
        <v>25326</v>
      </c>
      <c r="D832" s="18">
        <v>831.0</v>
      </c>
      <c r="E832" s="2" t="str">
        <f t="shared" si="1"/>
        <v>E4_1_99_3</v>
      </c>
      <c r="F832" s="19" t="s">
        <v>18116</v>
      </c>
      <c r="G832" s="19" t="s">
        <v>18116</v>
      </c>
      <c r="H832" s="19" t="s">
        <v>18117</v>
      </c>
      <c r="I832" s="19" t="s">
        <v>18117</v>
      </c>
      <c r="J832" s="2" t="str">
        <f t="shared" si="2"/>
        <v>(${Variables:E4_1_99_3_kcat} * E4_1_99_3 * C17509)/(${Variables:E4_1_99_3_km} + (E4_1_99_3 * C17509))</v>
      </c>
      <c r="K832" s="2" t="str">
        <f t="shared" si="3"/>
        <v>r831: C17509 -&gt; C17510 | (${Variables:E4_1_99_3_kcat} * E4_1_99_3 * C17509)/(${Variables:E4_1_99_3_km} + (E4_1_99_3 * C17509))</v>
      </c>
    </row>
    <row r="833">
      <c r="A833" s="2" t="s">
        <v>10743</v>
      </c>
      <c r="B833" s="2" t="s">
        <v>10744</v>
      </c>
      <c r="C833" s="2" t="s">
        <v>25327</v>
      </c>
      <c r="D833" s="18">
        <v>832.0</v>
      </c>
      <c r="E833" s="2" t="str">
        <f t="shared" si="1"/>
        <v>E4_2_1_10</v>
      </c>
      <c r="F833" s="19" t="s">
        <v>18121</v>
      </c>
      <c r="G833" s="19" t="s">
        <v>18121</v>
      </c>
      <c r="H833" s="19" t="s">
        <v>28358</v>
      </c>
      <c r="I833" s="19" t="s">
        <v>28359</v>
      </c>
      <c r="J833" s="2" t="str">
        <f t="shared" si="2"/>
        <v>(${Variables:E4_2_1_10_kcat} * E4_2_1_10 * C00944)/(${Variables:E4_2_1_10_km} + (E4_2_1_10 * C00944))</v>
      </c>
      <c r="K833" s="2" t="str">
        <f t="shared" si="3"/>
        <v>r832: C00944 -&gt; C02637 + C00001 | (${Variables:E4_2_1_10_kcat} * E4_2_1_10 * C00944)/(${Variables:E4_2_1_10_km} + (E4_2_1_10 * C00944))</v>
      </c>
    </row>
    <row r="834">
      <c r="A834" s="2" t="s">
        <v>11234</v>
      </c>
      <c r="B834" s="2" t="s">
        <v>11235</v>
      </c>
      <c r="C834" s="2" t="s">
        <v>25328</v>
      </c>
      <c r="D834" s="18">
        <v>833.0</v>
      </c>
      <c r="E834" s="2" t="str">
        <f t="shared" si="1"/>
        <v>E4_2_1_109</v>
      </c>
      <c r="F834" s="19" t="s">
        <v>18126</v>
      </c>
      <c r="G834" s="19" t="s">
        <v>18126</v>
      </c>
      <c r="H834" s="19" t="s">
        <v>28360</v>
      </c>
      <c r="I834" s="19" t="s">
        <v>28361</v>
      </c>
      <c r="J834" s="2" t="str">
        <f t="shared" si="2"/>
        <v>(${Variables:E4_2_1_109_kcat} * E4_2_1_109 * C04582)/(${Variables:E4_2_1_109_km} + (E4_2_1_109 * C04582))</v>
      </c>
      <c r="K834" s="2" t="str">
        <f t="shared" si="3"/>
        <v>r833: C04582 -&gt; C15650 + C00001 | (${Variables:E4_2_1_109_kcat} * E4_2_1_109 * C04582)/(${Variables:E4_2_1_109_km} + (E4_2_1_109 * C04582))</v>
      </c>
    </row>
    <row r="835">
      <c r="A835" s="2" t="s">
        <v>8209</v>
      </c>
      <c r="B835" s="2" t="s">
        <v>8210</v>
      </c>
      <c r="C835" s="2" t="s">
        <v>25329</v>
      </c>
      <c r="D835" s="18">
        <v>834.0</v>
      </c>
      <c r="E835" s="2" t="str">
        <f t="shared" si="1"/>
        <v>E4_2_1_11</v>
      </c>
      <c r="F835" s="19" t="s">
        <v>18131</v>
      </c>
      <c r="G835" s="19" t="s">
        <v>18131</v>
      </c>
      <c r="H835" s="19" t="s">
        <v>28362</v>
      </c>
      <c r="I835" s="19" t="s">
        <v>28363</v>
      </c>
      <c r="J835" s="2" t="str">
        <f t="shared" si="2"/>
        <v>(${Variables:E4_2_1_11_kcat} * E4_2_1_11 * C00631)/(${Variables:E4_2_1_11_km} + (E4_2_1_11 * C00631))</v>
      </c>
      <c r="K835" s="2" t="str">
        <f t="shared" si="3"/>
        <v>r834: C00631 -&gt; C00074 + C00001 | (${Variables:E4_2_1_11_kcat} * E4_2_1_11 * C00631)/(${Variables:E4_2_1_11_km} + (E4_2_1_11 * C00631))</v>
      </c>
    </row>
    <row r="836">
      <c r="A836" s="2" t="s">
        <v>8209</v>
      </c>
      <c r="B836" s="2" t="s">
        <v>8210</v>
      </c>
      <c r="C836" s="2" t="s">
        <v>25329</v>
      </c>
      <c r="D836" s="18">
        <v>835.0</v>
      </c>
      <c r="E836" s="2" t="str">
        <f t="shared" si="1"/>
        <v>E4_2_1_11</v>
      </c>
      <c r="F836" s="19" t="s">
        <v>18134</v>
      </c>
      <c r="G836" s="19" t="s">
        <v>18134</v>
      </c>
      <c r="H836" s="19" t="s">
        <v>28364</v>
      </c>
      <c r="I836" s="19" t="s">
        <v>28365</v>
      </c>
      <c r="J836" s="2" t="str">
        <f t="shared" si="2"/>
        <v>(${Variables:E4_2_1_11_kcat} * E4_2_1_11 * C03356)/(${Variables:E4_2_1_11_km} + (E4_2_1_11 * C03356))</v>
      </c>
      <c r="K836" s="2" t="str">
        <f t="shared" si="3"/>
        <v>r835: C03356 -&gt; C04309 + C00001 | (${Variables:E4_2_1_11_kcat} * E4_2_1_11 * C03356)/(${Variables:E4_2_1_11_km} + (E4_2_1_11 * C03356))</v>
      </c>
    </row>
    <row r="837">
      <c r="A837" s="2" t="s">
        <v>8902</v>
      </c>
      <c r="B837" s="2" t="s">
        <v>8903</v>
      </c>
      <c r="C837" s="2" t="s">
        <v>25330</v>
      </c>
      <c r="D837" s="18">
        <v>836.0</v>
      </c>
      <c r="E837" s="2" t="str">
        <f t="shared" si="1"/>
        <v>E4_2_1_113</v>
      </c>
      <c r="F837" s="19" t="s">
        <v>28366</v>
      </c>
      <c r="G837" s="19" t="s">
        <v>28367</v>
      </c>
      <c r="H837" s="19" t="s">
        <v>18140</v>
      </c>
      <c r="I837" s="19" t="s">
        <v>18140</v>
      </c>
      <c r="J837" s="2" t="str">
        <f t="shared" si="2"/>
        <v>(${Variables:E4_2_1_113_kcat} * E4_2_1_113 * C02730 * C00001)/(${Variables:E4_2_1_113_km} + (E4_2_1_113 * C02730 * C00001))</v>
      </c>
      <c r="K837" s="2" t="str">
        <f t="shared" si="3"/>
        <v>r836: C02730 + C00001 -&gt; C05817 | (${Variables:E4_2_1_113_kcat} * E4_2_1_113 * C02730 * C00001)/(${Variables:E4_2_1_113_km} + (E4_2_1_113 * C02730 * C00001))</v>
      </c>
    </row>
    <row r="838">
      <c r="A838" s="2" t="s">
        <v>4941</v>
      </c>
      <c r="B838" s="2" t="s">
        <v>4942</v>
      </c>
      <c r="C838" s="2" t="s">
        <v>25331</v>
      </c>
      <c r="D838" s="18">
        <v>837.0</v>
      </c>
      <c r="E838" s="2" t="str">
        <f t="shared" si="1"/>
        <v>E4_2_1_126</v>
      </c>
      <c r="F838" s="19" t="s">
        <v>28368</v>
      </c>
      <c r="G838" s="19" t="s">
        <v>28369</v>
      </c>
      <c r="H838" s="19" t="s">
        <v>28370</v>
      </c>
      <c r="I838" s="19" t="s">
        <v>28371</v>
      </c>
      <c r="J838" s="2" t="str">
        <f t="shared" si="2"/>
        <v>(${Variables:E4_2_1_126_kcat} * E4_2_1_126 * C00256 * C00357)/(${Variables:E4_2_1_126_km} + (E4_2_1_126 * C00256 * C00357))</v>
      </c>
      <c r="K838" s="2" t="str">
        <f t="shared" si="3"/>
        <v>r837: C00256 + C00357 -&gt; C16698 + C00001 | (${Variables:E4_2_1_126_kcat} * E4_2_1_126 * C00256 * C00357)/(${Variables:E4_2_1_126_km} + (E4_2_1_126 * C00256 * C00357))</v>
      </c>
    </row>
    <row r="839">
      <c r="A839" s="2" t="s">
        <v>410</v>
      </c>
      <c r="B839" s="2" t="s">
        <v>411</v>
      </c>
      <c r="C839" s="2" t="s">
        <v>25332</v>
      </c>
      <c r="D839" s="18">
        <v>838.0</v>
      </c>
      <c r="E839" s="2" t="str">
        <f t="shared" si="1"/>
        <v>E4_2_1_17</v>
      </c>
      <c r="F839" s="19" t="s">
        <v>18149</v>
      </c>
      <c r="G839" s="19" t="s">
        <v>18149</v>
      </c>
      <c r="H839" s="19" t="s">
        <v>28372</v>
      </c>
      <c r="I839" s="19" t="s">
        <v>28373</v>
      </c>
      <c r="J839" s="2" t="str">
        <f t="shared" si="2"/>
        <v>(${Variables:E4_2_1_17_kcat} * E4_2_1_17 * C00640)/(${Variables:E4_2_1_17_km} + (E4_2_1_17 * C00640))</v>
      </c>
      <c r="K839" s="2" t="str">
        <f t="shared" si="3"/>
        <v>r838: C00640 -&gt; C00658 + C00001 | (${Variables:E4_2_1_17_kcat} * E4_2_1_17 * C00640)/(${Variables:E4_2_1_17_km} + (E4_2_1_17 * C00640))</v>
      </c>
    </row>
    <row r="840">
      <c r="A840" s="2" t="s">
        <v>410</v>
      </c>
      <c r="B840" s="2" t="s">
        <v>411</v>
      </c>
      <c r="C840" s="2" t="s">
        <v>25332</v>
      </c>
      <c r="D840" s="18">
        <v>839.0</v>
      </c>
      <c r="E840" s="2" t="str">
        <f t="shared" si="1"/>
        <v>E4_2_1_17</v>
      </c>
      <c r="F840" s="19" t="s">
        <v>18152</v>
      </c>
      <c r="G840" s="19" t="s">
        <v>18152</v>
      </c>
      <c r="H840" s="19" t="s">
        <v>28374</v>
      </c>
      <c r="I840" s="19" t="s">
        <v>28375</v>
      </c>
      <c r="J840" s="2" t="str">
        <f t="shared" si="2"/>
        <v>(${Variables:E4_2_1_17_kcat} * E4_2_1_17 * C01144)/(${Variables:E4_2_1_17_km} + (E4_2_1_17 * C01144))</v>
      </c>
      <c r="K840" s="2" t="str">
        <f t="shared" si="3"/>
        <v>r839: C01144 -&gt; C00877 + C00001 | (${Variables:E4_2_1_17_kcat} * E4_2_1_17 * C01144)/(${Variables:E4_2_1_17_km} + (E4_2_1_17 * C01144))</v>
      </c>
    </row>
    <row r="841">
      <c r="A841" s="2" t="s">
        <v>410</v>
      </c>
      <c r="B841" s="2" t="s">
        <v>411</v>
      </c>
      <c r="C841" s="2" t="s">
        <v>25332</v>
      </c>
      <c r="D841" s="18">
        <v>840.0</v>
      </c>
      <c r="E841" s="2" t="str">
        <f t="shared" si="1"/>
        <v>E4_2_1_17</v>
      </c>
      <c r="F841" s="19" t="s">
        <v>18155</v>
      </c>
      <c r="G841" s="19" t="s">
        <v>18155</v>
      </c>
      <c r="H841" s="19" t="s">
        <v>28376</v>
      </c>
      <c r="I841" s="19" t="s">
        <v>28377</v>
      </c>
      <c r="J841" s="2" t="str">
        <f t="shared" si="2"/>
        <v>(${Variables:E4_2_1_17_kcat} * E4_2_1_17 * C05668)/(${Variables:E4_2_1_17_km} + (E4_2_1_17 * C05668))</v>
      </c>
      <c r="K841" s="2" t="str">
        <f t="shared" si="3"/>
        <v>r840: C05668 -&gt; C00894 + C00001 | (${Variables:E4_2_1_17_kcat} * E4_2_1_17 * C05668)/(${Variables:E4_2_1_17_km} + (E4_2_1_17 * C05668))</v>
      </c>
    </row>
    <row r="842">
      <c r="A842" s="2" t="s">
        <v>410</v>
      </c>
      <c r="B842" s="2" t="s">
        <v>411</v>
      </c>
      <c r="C842" s="2" t="s">
        <v>25332</v>
      </c>
      <c r="D842" s="18">
        <v>841.0</v>
      </c>
      <c r="E842" s="2" t="str">
        <f t="shared" si="1"/>
        <v>E4_2_1_17</v>
      </c>
      <c r="F842" s="19" t="s">
        <v>18158</v>
      </c>
      <c r="G842" s="19" t="s">
        <v>18158</v>
      </c>
      <c r="H842" s="19" t="s">
        <v>28378</v>
      </c>
      <c r="I842" s="19" t="s">
        <v>28379</v>
      </c>
      <c r="J842" s="2" t="str">
        <f t="shared" si="2"/>
        <v>(${Variables:E4_2_1_17_kcat} * E4_2_1_17 * C01086)/(${Variables:E4_2_1_17_km} + (E4_2_1_17 * C01086))</v>
      </c>
      <c r="K842" s="2" t="str">
        <f t="shared" si="3"/>
        <v>r841: C01086 -&gt; C01122 + C00001 | (${Variables:E4_2_1_17_kcat} * E4_2_1_17 * C01086)/(${Variables:E4_2_1_17_km} + (E4_2_1_17 * C01086))</v>
      </c>
    </row>
    <row r="843">
      <c r="A843" s="2" t="s">
        <v>410</v>
      </c>
      <c r="B843" s="2" t="s">
        <v>411</v>
      </c>
      <c r="C843" s="2" t="s">
        <v>25332</v>
      </c>
      <c r="D843" s="18">
        <v>842.0</v>
      </c>
      <c r="E843" s="2" t="str">
        <f t="shared" si="1"/>
        <v>E4_2_1_17</v>
      </c>
      <c r="F843" s="19" t="s">
        <v>18161</v>
      </c>
      <c r="G843" s="19" t="s">
        <v>18161</v>
      </c>
      <c r="H843" s="19" t="s">
        <v>28380</v>
      </c>
      <c r="I843" s="19" t="s">
        <v>28381</v>
      </c>
      <c r="J843" s="2" t="str">
        <f t="shared" si="2"/>
        <v>(${Variables:E4_2_1_17_kcat} * E4_2_1_17 * C05998)/(${Variables:E4_2_1_17_km} + (E4_2_1_17 * C05998))</v>
      </c>
      <c r="K843" s="2" t="str">
        <f t="shared" si="3"/>
        <v>r842: C05998 -&gt; C03069 + C00001 | (${Variables:E4_2_1_17_kcat} * E4_2_1_17 * C05998)/(${Variables:E4_2_1_17_km} + (E4_2_1_17 * C05998))</v>
      </c>
    </row>
    <row r="844">
      <c r="A844" s="2" t="s">
        <v>410</v>
      </c>
      <c r="B844" s="2" t="s">
        <v>411</v>
      </c>
      <c r="C844" s="2" t="s">
        <v>25332</v>
      </c>
      <c r="D844" s="18">
        <v>843.0</v>
      </c>
      <c r="E844" s="2" t="str">
        <f t="shared" si="1"/>
        <v>E4_2_1_17</v>
      </c>
      <c r="F844" s="19" t="s">
        <v>18164</v>
      </c>
      <c r="G844" s="19" t="s">
        <v>18164</v>
      </c>
      <c r="H844" s="19" t="s">
        <v>28382</v>
      </c>
      <c r="I844" s="19" t="s">
        <v>28383</v>
      </c>
      <c r="J844" s="2" t="str">
        <f t="shared" si="2"/>
        <v>(${Variables:E4_2_1_17_kcat} * E4_2_1_17 * C05262)/(${Variables:E4_2_1_17_km} + (E4_2_1_17 * C05262))</v>
      </c>
      <c r="K844" s="2" t="str">
        <f t="shared" si="3"/>
        <v>r843: C05262 -&gt; C03221 + C00001 | (${Variables:E4_2_1_17_kcat} * E4_2_1_17 * C05262)/(${Variables:E4_2_1_17_km} + (E4_2_1_17 * C05262))</v>
      </c>
    </row>
    <row r="845">
      <c r="A845" s="2" t="s">
        <v>410</v>
      </c>
      <c r="B845" s="2" t="s">
        <v>411</v>
      </c>
      <c r="C845" s="2" t="s">
        <v>25332</v>
      </c>
      <c r="D845" s="18">
        <v>844.0</v>
      </c>
      <c r="E845" s="2" t="str">
        <f t="shared" si="1"/>
        <v>E4_2_1_17</v>
      </c>
      <c r="F845" s="19" t="s">
        <v>18167</v>
      </c>
      <c r="G845" s="19" t="s">
        <v>18167</v>
      </c>
      <c r="H845" s="19" t="s">
        <v>28384</v>
      </c>
      <c r="I845" s="19" t="s">
        <v>28385</v>
      </c>
      <c r="J845" s="2" t="str">
        <f t="shared" si="2"/>
        <v>(${Variables:E4_2_1_17_kcat} * E4_2_1_17 * C04405)/(${Variables:E4_2_1_17_km} + (E4_2_1_17 * C04405))</v>
      </c>
      <c r="K845" s="2" t="str">
        <f t="shared" si="3"/>
        <v>r844: C04405 -&gt; C03345 + C00001 | (${Variables:E4_2_1_17_kcat} * E4_2_1_17 * C04405)/(${Variables:E4_2_1_17_km} + (E4_2_1_17 * C04405))</v>
      </c>
    </row>
    <row r="846">
      <c r="A846" s="2" t="s">
        <v>410</v>
      </c>
      <c r="B846" s="2" t="s">
        <v>411</v>
      </c>
      <c r="C846" s="2" t="s">
        <v>25332</v>
      </c>
      <c r="D846" s="18">
        <v>845.0</v>
      </c>
      <c r="E846" s="2" t="str">
        <f t="shared" si="1"/>
        <v>E4_2_1_17</v>
      </c>
      <c r="F846" s="19" t="s">
        <v>28386</v>
      </c>
      <c r="G846" s="19" t="s">
        <v>28387</v>
      </c>
      <c r="H846" s="19" t="s">
        <v>18171</v>
      </c>
      <c r="I846" s="19" t="s">
        <v>18171</v>
      </c>
      <c r="J846" s="2" t="str">
        <f t="shared" si="2"/>
        <v>(${Variables:E4_2_1_17_kcat} * E4_2_1_17 * C03460 * C00001)/(${Variables:E4_2_1_17_km} + (E4_2_1_17 * C03460 * C00001))</v>
      </c>
      <c r="K846" s="2" t="str">
        <f t="shared" si="3"/>
        <v>r845: C03460 + C00001 -&gt; C06000 | (${Variables:E4_2_1_17_kcat} * E4_2_1_17 * C03460 * C00001)/(${Variables:E4_2_1_17_km} + (E4_2_1_17 * C03460 * C00001))</v>
      </c>
    </row>
    <row r="847">
      <c r="A847" s="2" t="s">
        <v>410</v>
      </c>
      <c r="B847" s="2" t="s">
        <v>411</v>
      </c>
      <c r="C847" s="2" t="s">
        <v>25332</v>
      </c>
      <c r="D847" s="18">
        <v>846.0</v>
      </c>
      <c r="E847" s="2" t="str">
        <f t="shared" si="1"/>
        <v>E4_2_1_17</v>
      </c>
      <c r="F847" s="19" t="s">
        <v>18173</v>
      </c>
      <c r="G847" s="19" t="s">
        <v>18173</v>
      </c>
      <c r="H847" s="19" t="s">
        <v>28388</v>
      </c>
      <c r="I847" s="19" t="s">
        <v>28389</v>
      </c>
      <c r="J847" s="2" t="str">
        <f t="shared" si="2"/>
        <v>(${Variables:E4_2_1_17_kcat} * E4_2_1_17 * C05258)/(${Variables:E4_2_1_17_km} + (E4_2_1_17 * C05258))</v>
      </c>
      <c r="K847" s="2" t="str">
        <f t="shared" si="3"/>
        <v>r846: C05258 -&gt; C05272 + C00001 | (${Variables:E4_2_1_17_kcat} * E4_2_1_17 * C05258)/(${Variables:E4_2_1_17_km} + (E4_2_1_17 * C05258))</v>
      </c>
    </row>
    <row r="848">
      <c r="A848" s="2" t="s">
        <v>410</v>
      </c>
      <c r="B848" s="2" t="s">
        <v>411</v>
      </c>
      <c r="C848" s="2" t="s">
        <v>25332</v>
      </c>
      <c r="D848" s="18">
        <v>847.0</v>
      </c>
      <c r="E848" s="2" t="str">
        <f t="shared" si="1"/>
        <v>E4_2_1_17</v>
      </c>
      <c r="F848" s="19" t="s">
        <v>18176</v>
      </c>
      <c r="G848" s="19" t="s">
        <v>18176</v>
      </c>
      <c r="H848" s="19" t="s">
        <v>28390</v>
      </c>
      <c r="I848" s="19" t="s">
        <v>28391</v>
      </c>
      <c r="J848" s="2" t="str">
        <f t="shared" si="2"/>
        <v>(${Variables:E4_2_1_17_kcat} * E4_2_1_17 * C05260)/(${Variables:E4_2_1_17_km} + (E4_2_1_17 * C05260))</v>
      </c>
      <c r="K848" s="2" t="str">
        <f t="shared" si="3"/>
        <v>r847: C05260 -&gt; C05273 + C00001 | (${Variables:E4_2_1_17_kcat} * E4_2_1_17 * C05260)/(${Variables:E4_2_1_17_km} + (E4_2_1_17 * C05260))</v>
      </c>
    </row>
    <row r="849">
      <c r="A849" s="2" t="s">
        <v>410</v>
      </c>
      <c r="B849" s="2" t="s">
        <v>411</v>
      </c>
      <c r="C849" s="2" t="s">
        <v>25332</v>
      </c>
      <c r="D849" s="18">
        <v>848.0</v>
      </c>
      <c r="E849" s="2" t="str">
        <f t="shared" si="1"/>
        <v>E4_2_1_17</v>
      </c>
      <c r="F849" s="19" t="s">
        <v>18179</v>
      </c>
      <c r="G849" s="19" t="s">
        <v>18179</v>
      </c>
      <c r="H849" s="19" t="s">
        <v>28392</v>
      </c>
      <c r="I849" s="19" t="s">
        <v>28393</v>
      </c>
      <c r="J849" s="2" t="str">
        <f t="shared" si="2"/>
        <v>(${Variables:E4_2_1_17_kcat} * E4_2_1_17 * C05264)/(${Variables:E4_2_1_17_km} + (E4_2_1_17 * C05264))</v>
      </c>
      <c r="K849" s="2" t="str">
        <f t="shared" si="3"/>
        <v>r848: C05264 -&gt; C05275 + C00001 | (${Variables:E4_2_1_17_kcat} * E4_2_1_17 * C05264)/(${Variables:E4_2_1_17_km} + (E4_2_1_17 * C05264))</v>
      </c>
    </row>
    <row r="850">
      <c r="A850" s="2" t="s">
        <v>410</v>
      </c>
      <c r="B850" s="2" t="s">
        <v>411</v>
      </c>
      <c r="C850" s="2" t="s">
        <v>25332</v>
      </c>
      <c r="D850" s="18">
        <v>849.0</v>
      </c>
      <c r="E850" s="2" t="str">
        <f t="shared" si="1"/>
        <v>E4_2_1_17</v>
      </c>
      <c r="F850" s="19" t="s">
        <v>18182</v>
      </c>
      <c r="G850" s="19" t="s">
        <v>18182</v>
      </c>
      <c r="H850" s="19" t="s">
        <v>28394</v>
      </c>
      <c r="I850" s="19" t="s">
        <v>28395</v>
      </c>
      <c r="J850" s="2" t="str">
        <f t="shared" si="2"/>
        <v>(${Variables:E4_2_1_17_kcat} * E4_2_1_17 * C05266)/(${Variables:E4_2_1_17_km} + (E4_2_1_17 * C05266))</v>
      </c>
      <c r="K850" s="2" t="str">
        <f t="shared" si="3"/>
        <v>r849: C05266 -&gt; C05276 + C00001 | (${Variables:E4_2_1_17_kcat} * E4_2_1_17 * C05266)/(${Variables:E4_2_1_17_km} + (E4_2_1_17 * C05266))</v>
      </c>
    </row>
    <row r="851">
      <c r="A851" s="2" t="s">
        <v>410</v>
      </c>
      <c r="B851" s="2" t="s">
        <v>411</v>
      </c>
      <c r="C851" s="2" t="s">
        <v>25332</v>
      </c>
      <c r="D851" s="18">
        <v>850.0</v>
      </c>
      <c r="E851" s="2" t="str">
        <f t="shared" si="1"/>
        <v>E4_2_1_17</v>
      </c>
      <c r="F851" s="19" t="s">
        <v>18185</v>
      </c>
      <c r="G851" s="19" t="s">
        <v>18185</v>
      </c>
      <c r="H851" s="19" t="s">
        <v>28396</v>
      </c>
      <c r="I851" s="19" t="s">
        <v>28397</v>
      </c>
      <c r="J851" s="2" t="str">
        <f t="shared" si="2"/>
        <v>(${Variables:E4_2_1_17_kcat} * E4_2_1_17 * C05268)/(${Variables:E4_2_1_17_km} + (E4_2_1_17 * C05268))</v>
      </c>
      <c r="K851" s="2" t="str">
        <f t="shared" si="3"/>
        <v>r850: C05268 -&gt; C05271 + C00001 | (${Variables:E4_2_1_17_kcat} * E4_2_1_17 * C05268)/(${Variables:E4_2_1_17_km} + (E4_2_1_17 * C05268))</v>
      </c>
    </row>
    <row r="852">
      <c r="A852" s="2" t="s">
        <v>410</v>
      </c>
      <c r="B852" s="2" t="s">
        <v>411</v>
      </c>
      <c r="C852" s="2" t="s">
        <v>25332</v>
      </c>
      <c r="D852" s="18">
        <v>851.0</v>
      </c>
      <c r="E852" s="2" t="str">
        <f t="shared" si="1"/>
        <v>E4_2_1_17</v>
      </c>
      <c r="F852" s="19" t="s">
        <v>28374</v>
      </c>
      <c r="G852" s="19" t="s">
        <v>28375</v>
      </c>
      <c r="H852" s="19" t="s">
        <v>18188</v>
      </c>
      <c r="I852" s="19" t="s">
        <v>18188</v>
      </c>
      <c r="J852" s="2" t="str">
        <f t="shared" si="2"/>
        <v>(${Variables:E4_2_1_17_kcat} * E4_2_1_17 * C00877 * C00001)/(${Variables:E4_2_1_17_km} + (E4_2_1_17 * C00877 * C00001))</v>
      </c>
      <c r="K852" s="2" t="str">
        <f t="shared" si="3"/>
        <v>r851: C00877 + C00001 -&gt; C05116 | (${Variables:E4_2_1_17_kcat} * E4_2_1_17 * C00877 * C00001)/(${Variables:E4_2_1_17_km} + (E4_2_1_17 * C00877 * C00001))</v>
      </c>
    </row>
    <row r="853">
      <c r="A853" s="2" t="s">
        <v>410</v>
      </c>
      <c r="B853" s="2" t="s">
        <v>411</v>
      </c>
      <c r="C853" s="2" t="s">
        <v>25332</v>
      </c>
      <c r="D853" s="18">
        <v>852.0</v>
      </c>
      <c r="E853" s="2" t="str">
        <f t="shared" si="1"/>
        <v>E4_2_1_17</v>
      </c>
      <c r="F853" s="19" t="s">
        <v>28398</v>
      </c>
      <c r="G853" s="19" t="s">
        <v>28399</v>
      </c>
      <c r="H853" s="19" t="s">
        <v>18191</v>
      </c>
      <c r="I853" s="19" t="s">
        <v>18191</v>
      </c>
      <c r="J853" s="2" t="str">
        <f t="shared" si="2"/>
        <v>(${Variables:E4_2_1_17_kcat} * E4_2_1_17 * C11946 * C00001)/(${Variables:E4_2_1_17_km} + (E4_2_1_17 * C11946 * C00001))</v>
      </c>
      <c r="K853" s="2" t="str">
        <f t="shared" si="3"/>
        <v>r852: C11946 + C00001 -&gt; C11947 | (${Variables:E4_2_1_17_kcat} * E4_2_1_17 * C11946 * C00001)/(${Variables:E4_2_1_17_km} + (E4_2_1_17 * C11946 * C00001))</v>
      </c>
    </row>
    <row r="854">
      <c r="A854" s="2" t="s">
        <v>410</v>
      </c>
      <c r="B854" s="2" t="s">
        <v>411</v>
      </c>
      <c r="C854" s="2" t="s">
        <v>25332</v>
      </c>
      <c r="D854" s="18">
        <v>853.0</v>
      </c>
      <c r="E854" s="2" t="str">
        <f t="shared" si="1"/>
        <v>E4_2_1_17</v>
      </c>
      <c r="F854" s="19" t="s">
        <v>28400</v>
      </c>
      <c r="G854" s="19" t="s">
        <v>28401</v>
      </c>
      <c r="H854" s="19" t="s">
        <v>18191</v>
      </c>
      <c r="I854" s="19" t="s">
        <v>18191</v>
      </c>
      <c r="J854" s="2" t="str">
        <f t="shared" si="2"/>
        <v>(${Variables:E4_2_1_17_kcat} * E4_2_1_17 * C11945 * C00001)/(${Variables:E4_2_1_17_km} + (E4_2_1_17 * C11945 * C00001))</v>
      </c>
      <c r="K854" s="2" t="str">
        <f t="shared" si="3"/>
        <v>r853: C11945 + C00001 -&gt; C11947 | (${Variables:E4_2_1_17_kcat} * E4_2_1_17 * C11945 * C00001)/(${Variables:E4_2_1_17_km} + (E4_2_1_17 * C11945 * C00001))</v>
      </c>
    </row>
    <row r="855">
      <c r="A855" s="2" t="s">
        <v>410</v>
      </c>
      <c r="B855" s="2" t="s">
        <v>411</v>
      </c>
      <c r="C855" s="2" t="s">
        <v>25332</v>
      </c>
      <c r="D855" s="18">
        <v>854.0</v>
      </c>
      <c r="E855" s="2" t="str">
        <f t="shared" si="1"/>
        <v>E4_2_1_17</v>
      </c>
      <c r="F855" s="19" t="s">
        <v>28402</v>
      </c>
      <c r="G855" s="19" t="s">
        <v>28403</v>
      </c>
      <c r="H855" s="19" t="s">
        <v>18196</v>
      </c>
      <c r="I855" s="19" t="s">
        <v>18196</v>
      </c>
      <c r="J855" s="2" t="str">
        <f t="shared" si="2"/>
        <v>(${Variables:E4_2_1_17_kcat} * E4_2_1_17 * C14144 * C00001)/(${Variables:E4_2_1_17_km} + (E4_2_1_17 * C14144 * C00001))</v>
      </c>
      <c r="K855" s="2" t="str">
        <f t="shared" si="3"/>
        <v>r854: C14144 + C00001 -&gt; C14145 | (${Variables:E4_2_1_17_kcat} * E4_2_1_17 * C14144 * C00001)/(${Variables:E4_2_1_17_km} + (E4_2_1_17 * C14144 * C00001))</v>
      </c>
    </row>
    <row r="856">
      <c r="A856" s="2" t="s">
        <v>410</v>
      </c>
      <c r="B856" s="2" t="s">
        <v>411</v>
      </c>
      <c r="C856" s="2" t="s">
        <v>25332</v>
      </c>
      <c r="D856" s="18">
        <v>855.0</v>
      </c>
      <c r="E856" s="2" t="str">
        <f t="shared" si="1"/>
        <v>E4_2_1_17</v>
      </c>
      <c r="F856" s="19" t="s">
        <v>18149</v>
      </c>
      <c r="G856" s="19" t="s">
        <v>18149</v>
      </c>
      <c r="H856" s="19" t="s">
        <v>28404</v>
      </c>
      <c r="I856" s="19" t="s">
        <v>28405</v>
      </c>
      <c r="J856" s="2" t="str">
        <f t="shared" si="2"/>
        <v>(${Variables:E4_2_1_17_kcat} * E4_2_1_17 * C00640)/(${Variables:E4_2_1_17_km} + (E4_2_1_17 * C00640))</v>
      </c>
      <c r="K856" s="2" t="str">
        <f t="shared" si="3"/>
        <v>r855: C00640 -&gt; C05067 + C00001 | (${Variables:E4_2_1_17_kcat} * E4_2_1_17 * C00640)/(${Variables:E4_2_1_17_km} + (E4_2_1_17 * C00640))</v>
      </c>
    </row>
    <row r="857">
      <c r="A857" s="2" t="s">
        <v>410</v>
      </c>
      <c r="B857" s="2" t="s">
        <v>411</v>
      </c>
      <c r="C857" s="2" t="s">
        <v>25332</v>
      </c>
      <c r="D857" s="18">
        <v>856.0</v>
      </c>
      <c r="E857" s="2" t="str">
        <f t="shared" si="1"/>
        <v>E4_2_1_17</v>
      </c>
      <c r="F857" s="19" t="s">
        <v>18200</v>
      </c>
      <c r="G857" s="19" t="s">
        <v>18200</v>
      </c>
      <c r="H857" s="19" t="s">
        <v>28406</v>
      </c>
      <c r="I857" s="19" t="s">
        <v>28407</v>
      </c>
      <c r="J857" s="2" t="str">
        <f t="shared" si="2"/>
        <v>(${Variables:E4_2_1_17_kcat} * E4_2_1_17 * C16329)/(${Variables:E4_2_1_17_km} + (E4_2_1_17 * C16329))</v>
      </c>
      <c r="K857" s="2" t="str">
        <f t="shared" si="3"/>
        <v>r856: C16329 -&gt; C16328 + C00001 | (${Variables:E4_2_1_17_kcat} * E4_2_1_17 * C16329)/(${Variables:E4_2_1_17_km} + (E4_2_1_17 * C16329))</v>
      </c>
    </row>
    <row r="858">
      <c r="A858" s="2" t="s">
        <v>410</v>
      </c>
      <c r="B858" s="2" t="s">
        <v>411</v>
      </c>
      <c r="C858" s="2" t="s">
        <v>25332</v>
      </c>
      <c r="D858" s="18">
        <v>857.0</v>
      </c>
      <c r="E858" s="2" t="str">
        <f t="shared" si="1"/>
        <v>E4_2_1_17</v>
      </c>
      <c r="F858" s="19" t="s">
        <v>18203</v>
      </c>
      <c r="G858" s="19" t="s">
        <v>18203</v>
      </c>
      <c r="H858" s="19" t="s">
        <v>28408</v>
      </c>
      <c r="I858" s="19" t="s">
        <v>28409</v>
      </c>
      <c r="J858" s="2" t="str">
        <f t="shared" si="2"/>
        <v>(${Variables:E4_2_1_17_kcat} * E4_2_1_17 * C16333)/(${Variables:E4_2_1_17_km} + (E4_2_1_17 * C16333))</v>
      </c>
      <c r="K858" s="2" t="str">
        <f t="shared" si="3"/>
        <v>r857: C16333 -&gt; C16332 + C00001 | (${Variables:E4_2_1_17_kcat} * E4_2_1_17 * C16333)/(${Variables:E4_2_1_17_km} + (E4_2_1_17 * C16333))</v>
      </c>
    </row>
    <row r="859">
      <c r="A859" s="2" t="s">
        <v>410</v>
      </c>
      <c r="B859" s="2" t="s">
        <v>411</v>
      </c>
      <c r="C859" s="2" t="s">
        <v>25332</v>
      </c>
      <c r="D859" s="18">
        <v>858.0</v>
      </c>
      <c r="E859" s="2" t="str">
        <f t="shared" si="1"/>
        <v>E4_2_1_17</v>
      </c>
      <c r="F859" s="19" t="s">
        <v>18206</v>
      </c>
      <c r="G859" s="19" t="s">
        <v>18206</v>
      </c>
      <c r="H859" s="19" t="s">
        <v>28410</v>
      </c>
      <c r="I859" s="19" t="s">
        <v>28411</v>
      </c>
      <c r="J859" s="2" t="str">
        <f t="shared" si="2"/>
        <v>(${Variables:E4_2_1_17_kcat} * E4_2_1_17 * C16337)/(${Variables:E4_2_1_17_km} + (E4_2_1_17 * C16337))</v>
      </c>
      <c r="K859" s="2" t="str">
        <f t="shared" si="3"/>
        <v>r858: C16337 -&gt; C16336 + C00001 | (${Variables:E4_2_1_17_kcat} * E4_2_1_17 * C16337)/(${Variables:E4_2_1_17_km} + (E4_2_1_17 * C16337))</v>
      </c>
    </row>
    <row r="860">
      <c r="A860" s="2" t="s">
        <v>410</v>
      </c>
      <c r="B860" s="2" t="s">
        <v>411</v>
      </c>
      <c r="C860" s="2" t="s">
        <v>25332</v>
      </c>
      <c r="D860" s="18">
        <v>859.0</v>
      </c>
      <c r="E860" s="2" t="str">
        <f t="shared" si="1"/>
        <v>E4_2_1_17</v>
      </c>
      <c r="F860" s="19" t="s">
        <v>28412</v>
      </c>
      <c r="G860" s="19" t="s">
        <v>28413</v>
      </c>
      <c r="H860" s="19" t="s">
        <v>18210</v>
      </c>
      <c r="I860" s="19" t="s">
        <v>18210</v>
      </c>
      <c r="J860" s="2" t="str">
        <f t="shared" si="2"/>
        <v>(${Variables:E4_2_1_17_kcat} * E4_2_1_17 * C16468 * C00001)/(${Variables:E4_2_1_17_km} + (E4_2_1_17 * C16468 * C00001))</v>
      </c>
      <c r="K860" s="2" t="str">
        <f t="shared" si="3"/>
        <v>r859: C16468 + C00001 -&gt; C16469 | (${Variables:E4_2_1_17_kcat} * E4_2_1_17 * C16468 * C00001)/(${Variables:E4_2_1_17_km} + (E4_2_1_17 * C16468 * C00001))</v>
      </c>
    </row>
    <row r="861">
      <c r="A861" s="2" t="s">
        <v>3406</v>
      </c>
      <c r="B861" s="2" t="s">
        <v>3407</v>
      </c>
      <c r="C861" s="2" t="s">
        <v>25333</v>
      </c>
      <c r="D861" s="18">
        <v>860.0</v>
      </c>
      <c r="E861" s="2" t="str">
        <f t="shared" si="1"/>
        <v>E4_2_1_19</v>
      </c>
      <c r="F861" s="19" t="s">
        <v>18214</v>
      </c>
      <c r="G861" s="19" t="s">
        <v>18214</v>
      </c>
      <c r="H861" s="19" t="s">
        <v>28414</v>
      </c>
      <c r="I861" s="19" t="s">
        <v>28415</v>
      </c>
      <c r="J861" s="2" t="str">
        <f t="shared" si="2"/>
        <v>(${Variables:E4_2_1_19_kcat} * E4_2_1_19 * C04666)/(${Variables:E4_2_1_19_km} + (E4_2_1_19 * C04666))</v>
      </c>
      <c r="K861" s="2" t="str">
        <f t="shared" si="3"/>
        <v>r860: C04666 -&gt; C01267 + C00001 | (${Variables:E4_2_1_19_kcat} * E4_2_1_19 * C04666)/(${Variables:E4_2_1_19_km} + (E4_2_1_19 * C04666))</v>
      </c>
    </row>
    <row r="862">
      <c r="A862" s="2" t="s">
        <v>2488</v>
      </c>
      <c r="B862" s="2" t="s">
        <v>2489</v>
      </c>
      <c r="C862" s="2" t="s">
        <v>25334</v>
      </c>
      <c r="D862" s="18">
        <v>861.0</v>
      </c>
      <c r="E862" s="2" t="str">
        <f t="shared" si="1"/>
        <v>E4_2_1_2</v>
      </c>
      <c r="F862" s="19" t="s">
        <v>18219</v>
      </c>
      <c r="G862" s="19" t="s">
        <v>18219</v>
      </c>
      <c r="H862" s="19" t="s">
        <v>28416</v>
      </c>
      <c r="I862" s="19" t="s">
        <v>28417</v>
      </c>
      <c r="J862" s="2" t="str">
        <f t="shared" si="2"/>
        <v>(${Variables:E4_2_1_2_kcat} * E4_2_1_2 * C00149)/(${Variables:E4_2_1_2_km} + (E4_2_1_2 * C00149))</v>
      </c>
      <c r="K862" s="2" t="str">
        <f t="shared" si="3"/>
        <v>r861: C00149 -&gt; C00122 + C00001 | (${Variables:E4_2_1_2_kcat} * E4_2_1_2 * C00149)/(${Variables:E4_2_1_2_km} + (E4_2_1_2 * C00149))</v>
      </c>
    </row>
    <row r="863">
      <c r="A863" s="2" t="s">
        <v>3868</v>
      </c>
      <c r="B863" s="2" t="s">
        <v>3869</v>
      </c>
      <c r="C863" s="2" t="s">
        <v>25335</v>
      </c>
      <c r="D863" s="18">
        <v>862.0</v>
      </c>
      <c r="E863" s="2" t="str">
        <f t="shared" si="1"/>
        <v>E4_2_1_20</v>
      </c>
      <c r="F863" s="19" t="s">
        <v>28418</v>
      </c>
      <c r="G863" s="19" t="s">
        <v>28419</v>
      </c>
      <c r="H863" s="19" t="s">
        <v>28420</v>
      </c>
      <c r="I863" s="19" t="s">
        <v>28421</v>
      </c>
      <c r="J863" s="2" t="str">
        <f t="shared" si="2"/>
        <v>(${Variables:E4_2_1_20_kcat} * E4_2_1_20 * C00065 * C00463)/(${Variables:E4_2_1_20_km} + (E4_2_1_20 * C00065 * C00463))</v>
      </c>
      <c r="K863" s="2" t="str">
        <f t="shared" si="3"/>
        <v>r862: C00065 + C00463 -&gt; C00078 + C00001 | (${Variables:E4_2_1_20_kcat} * E4_2_1_20 * C00065 * C00463)/(${Variables:E4_2_1_20_km} + (E4_2_1_20 * C00065 * C00463))</v>
      </c>
    </row>
    <row r="864">
      <c r="A864" s="2" t="s">
        <v>3868</v>
      </c>
      <c r="B864" s="2" t="s">
        <v>3869</v>
      </c>
      <c r="C864" s="2" t="s">
        <v>25335</v>
      </c>
      <c r="D864" s="18">
        <v>863.0</v>
      </c>
      <c r="E864" s="2" t="str">
        <f t="shared" si="1"/>
        <v>E4_2_1_20</v>
      </c>
      <c r="F864" s="19" t="s">
        <v>18227</v>
      </c>
      <c r="G864" s="19" t="s">
        <v>18227</v>
      </c>
      <c r="H864" s="19" t="s">
        <v>28422</v>
      </c>
      <c r="I864" s="19" t="s">
        <v>28423</v>
      </c>
      <c r="J864" s="2" t="str">
        <f t="shared" si="2"/>
        <v>(${Variables:E4_2_1_20_kcat} * E4_2_1_20 * C03506)/(${Variables:E4_2_1_20_km} + (E4_2_1_20 * C03506))</v>
      </c>
      <c r="K864" s="2" t="str">
        <f t="shared" si="3"/>
        <v>r863: C03506 -&gt; C00463 + C00118 | (${Variables:E4_2_1_20_kcat} * E4_2_1_20 * C03506)/(${Variables:E4_2_1_20_km} + (E4_2_1_20 * C03506))</v>
      </c>
    </row>
    <row r="865">
      <c r="A865" s="2" t="s">
        <v>3868</v>
      </c>
      <c r="B865" s="2" t="s">
        <v>3869</v>
      </c>
      <c r="C865" s="2" t="s">
        <v>25335</v>
      </c>
      <c r="D865" s="18">
        <v>864.0</v>
      </c>
      <c r="E865" s="2" t="str">
        <f t="shared" si="1"/>
        <v>E4_2_1_20</v>
      </c>
      <c r="F865" s="19" t="s">
        <v>28424</v>
      </c>
      <c r="G865" s="19" t="s">
        <v>28425</v>
      </c>
      <c r="H865" s="19" t="s">
        <v>28426</v>
      </c>
      <c r="I865" s="19" t="s">
        <v>28427</v>
      </c>
      <c r="J865" s="2" t="str">
        <f t="shared" si="2"/>
        <v>(${Variables:E4_2_1_20_kcat} * E4_2_1_20 * C00065 * C03506)/(${Variables:E4_2_1_20_km} + (E4_2_1_20 * C00065 * C03506))</v>
      </c>
      <c r="K865" s="2" t="str">
        <f t="shared" si="3"/>
        <v>r864: C00065 + C03506 -&gt; C00078 + C00118 + C00001 | (${Variables:E4_2_1_20_kcat} * E4_2_1_20 * C00065 * C03506)/(${Variables:E4_2_1_20_km} + (E4_2_1_20 * C00065 * C03506))</v>
      </c>
    </row>
    <row r="866">
      <c r="A866" s="2" t="s">
        <v>9942</v>
      </c>
      <c r="B866" s="2" t="s">
        <v>9943</v>
      </c>
      <c r="C866" s="2" t="s">
        <v>25336</v>
      </c>
      <c r="D866" s="18">
        <v>865.0</v>
      </c>
      <c r="E866" s="2" t="str">
        <f t="shared" si="1"/>
        <v>E4_2_1_24</v>
      </c>
      <c r="F866" s="19" t="s">
        <v>18235</v>
      </c>
      <c r="G866" s="19" t="s">
        <v>18235</v>
      </c>
      <c r="H866" s="19" t="s">
        <v>27082</v>
      </c>
      <c r="I866" s="19" t="s">
        <v>27083</v>
      </c>
      <c r="J866" s="2" t="str">
        <f t="shared" si="2"/>
        <v>(${Variables:E4_2_1_24_kcat} * E4_2_1_24 * C00430)/(${Variables:E4_2_1_24_km} + (E4_2_1_24 * C00430))</v>
      </c>
      <c r="K866" s="2" t="str">
        <f t="shared" si="3"/>
        <v>r865: C00430 -&gt; C00931 + C00001 | (${Variables:E4_2_1_24_kcat} * E4_2_1_24 * C00430)/(${Variables:E4_2_1_24_km} + (E4_2_1_24 * C00430))</v>
      </c>
    </row>
    <row r="867">
      <c r="A867" s="2" t="s">
        <v>12500</v>
      </c>
      <c r="B867" s="2" t="s">
        <v>12501</v>
      </c>
      <c r="C867" s="2" t="s">
        <v>25337</v>
      </c>
      <c r="D867" s="18">
        <v>866.0</v>
      </c>
      <c r="E867" s="2" t="str">
        <f t="shared" si="1"/>
        <v>E4_2_1_3</v>
      </c>
      <c r="F867" s="19" t="s">
        <v>18239</v>
      </c>
      <c r="G867" s="19" t="s">
        <v>18239</v>
      </c>
      <c r="H867" s="19" t="s">
        <v>18060</v>
      </c>
      <c r="I867" s="19" t="s">
        <v>18060</v>
      </c>
      <c r="J867" s="2" t="str">
        <f t="shared" si="2"/>
        <v>(${Variables:E4_2_1_3_kcat} * E4_2_1_3 * C00158)/(${Variables:E4_2_1_3_km} + (E4_2_1_3 * C00158))</v>
      </c>
      <c r="K867" s="2" t="str">
        <f t="shared" si="3"/>
        <v>r866: C00158 -&gt; C00311 | (${Variables:E4_2_1_3_kcat} * E4_2_1_3 * C00158)/(${Variables:E4_2_1_3_km} + (E4_2_1_3 * C00158))</v>
      </c>
    </row>
    <row r="868">
      <c r="A868" s="2" t="s">
        <v>12500</v>
      </c>
      <c r="B868" s="2" t="s">
        <v>12501</v>
      </c>
      <c r="C868" s="2" t="s">
        <v>25337</v>
      </c>
      <c r="D868" s="18">
        <v>867.0</v>
      </c>
      <c r="E868" s="2" t="str">
        <f t="shared" si="1"/>
        <v>E4_2_1_3</v>
      </c>
      <c r="F868" s="19" t="s">
        <v>18239</v>
      </c>
      <c r="G868" s="19" t="s">
        <v>18239</v>
      </c>
      <c r="H868" s="19" t="s">
        <v>28428</v>
      </c>
      <c r="I868" s="19" t="s">
        <v>28429</v>
      </c>
      <c r="J868" s="2" t="str">
        <f t="shared" si="2"/>
        <v>(${Variables:E4_2_1_3_kcat} * E4_2_1_3 * C00158)/(${Variables:E4_2_1_3_km} + (E4_2_1_3 * C00158))</v>
      </c>
      <c r="K868" s="2" t="str">
        <f t="shared" si="3"/>
        <v>r867: C00158 -&gt; C00417 + C00001 | (${Variables:E4_2_1_3_kcat} * E4_2_1_3 * C00158)/(${Variables:E4_2_1_3_km} + (E4_2_1_3 * C00158))</v>
      </c>
    </row>
    <row r="869">
      <c r="A869" s="2" t="s">
        <v>12500</v>
      </c>
      <c r="B869" s="2" t="s">
        <v>12501</v>
      </c>
      <c r="C869" s="2" t="s">
        <v>25337</v>
      </c>
      <c r="D869" s="18">
        <v>868.0</v>
      </c>
      <c r="E869" s="2" t="str">
        <f t="shared" si="1"/>
        <v>E4_2_1_3</v>
      </c>
      <c r="F869" s="19" t="s">
        <v>18060</v>
      </c>
      <c r="G869" s="19" t="s">
        <v>18060</v>
      </c>
      <c r="H869" s="19" t="s">
        <v>28428</v>
      </c>
      <c r="I869" s="19" t="s">
        <v>28429</v>
      </c>
      <c r="J869" s="2" t="str">
        <f t="shared" si="2"/>
        <v>(${Variables:E4_2_1_3_kcat} * E4_2_1_3 * C00311)/(${Variables:E4_2_1_3_km} + (E4_2_1_3 * C00311))</v>
      </c>
      <c r="K869" s="2" t="str">
        <f t="shared" si="3"/>
        <v>r868: C00311 -&gt; C00417 + C00001 | (${Variables:E4_2_1_3_kcat} * E4_2_1_3 * C00311)/(${Variables:E4_2_1_3_km} + (E4_2_1_3 * C00311))</v>
      </c>
    </row>
    <row r="870">
      <c r="A870" s="2" t="s">
        <v>3421</v>
      </c>
      <c r="B870" s="2" t="s">
        <v>3422</v>
      </c>
      <c r="C870" s="2" t="s">
        <v>25338</v>
      </c>
      <c r="D870" s="18">
        <v>869.0</v>
      </c>
      <c r="E870" s="2" t="str">
        <f t="shared" si="1"/>
        <v>E4_2_1_33</v>
      </c>
      <c r="F870" s="19" t="s">
        <v>18246</v>
      </c>
      <c r="G870" s="19" t="s">
        <v>18246</v>
      </c>
      <c r="H870" s="19" t="s">
        <v>28430</v>
      </c>
      <c r="I870" s="19" t="s">
        <v>28431</v>
      </c>
      <c r="J870" s="2" t="str">
        <f t="shared" si="2"/>
        <v>(${Variables:E4_2_1_33_kcat} * E4_2_1_33 * C02504)/(${Variables:E4_2_1_33_km} + (E4_2_1_33 * C02504))</v>
      </c>
      <c r="K870" s="2" t="str">
        <f t="shared" si="3"/>
        <v>r869: C02504 -&gt; C02631 + C00001 | (${Variables:E4_2_1_33_kcat} * E4_2_1_33 * C02504)/(${Variables:E4_2_1_33_km} + (E4_2_1_33 * C02504))</v>
      </c>
    </row>
    <row r="871">
      <c r="A871" s="2" t="s">
        <v>3421</v>
      </c>
      <c r="B871" s="2" t="s">
        <v>3422</v>
      </c>
      <c r="C871" s="2" t="s">
        <v>25338</v>
      </c>
      <c r="D871" s="18">
        <v>870.0</v>
      </c>
      <c r="E871" s="2" t="str">
        <f t="shared" si="1"/>
        <v>E4_2_1_33</v>
      </c>
      <c r="F871" s="19" t="s">
        <v>18249</v>
      </c>
      <c r="G871" s="19" t="s">
        <v>18249</v>
      </c>
      <c r="H871" s="19" t="s">
        <v>28430</v>
      </c>
      <c r="I871" s="19" t="s">
        <v>28431</v>
      </c>
      <c r="J871" s="2" t="str">
        <f t="shared" si="2"/>
        <v>(${Variables:E4_2_1_33_kcat} * E4_2_1_33 * C04411)/(${Variables:E4_2_1_33_km} + (E4_2_1_33 * C04411))</v>
      </c>
      <c r="K871" s="2" t="str">
        <f t="shared" si="3"/>
        <v>r870: C04411 -&gt; C02631 + C00001 | (${Variables:E4_2_1_33_kcat} * E4_2_1_33 * C04411)/(${Variables:E4_2_1_33_km} + (E4_2_1_33 * C04411))</v>
      </c>
    </row>
    <row r="872">
      <c r="A872" s="2" t="s">
        <v>3421</v>
      </c>
      <c r="B872" s="2" t="s">
        <v>3422</v>
      </c>
      <c r="C872" s="2" t="s">
        <v>25338</v>
      </c>
      <c r="D872" s="18">
        <v>871.0</v>
      </c>
      <c r="E872" s="2" t="str">
        <f t="shared" si="1"/>
        <v>E4_2_1_33</v>
      </c>
      <c r="F872" s="19" t="s">
        <v>18249</v>
      </c>
      <c r="G872" s="19" t="s">
        <v>18249</v>
      </c>
      <c r="H872" s="19" t="s">
        <v>18246</v>
      </c>
      <c r="I872" s="19" t="s">
        <v>18246</v>
      </c>
      <c r="J872" s="2" t="str">
        <f t="shared" si="2"/>
        <v>(${Variables:E4_2_1_33_kcat} * E4_2_1_33 * C04411)/(${Variables:E4_2_1_33_km} + (E4_2_1_33 * C04411))</v>
      </c>
      <c r="K872" s="2" t="str">
        <f t="shared" si="3"/>
        <v>r871: C04411 -&gt; C02504 | (${Variables:E4_2_1_33_kcat} * E4_2_1_33 * C04411)/(${Variables:E4_2_1_33_km} + (E4_2_1_33 * C04411))</v>
      </c>
    </row>
    <row r="873">
      <c r="A873" s="2" t="s">
        <v>12743</v>
      </c>
      <c r="B873" s="2" t="s">
        <v>12744</v>
      </c>
      <c r="C873" s="2" t="s">
        <v>25339</v>
      </c>
      <c r="D873" s="18">
        <v>872.0</v>
      </c>
      <c r="E873" s="2" t="str">
        <f t="shared" si="1"/>
        <v>E4_2_1_45</v>
      </c>
      <c r="F873" s="19" t="s">
        <v>18254</v>
      </c>
      <c r="G873" s="19" t="s">
        <v>18254</v>
      </c>
      <c r="H873" s="19" t="s">
        <v>28432</v>
      </c>
      <c r="I873" s="19" t="s">
        <v>28433</v>
      </c>
      <c r="J873" s="2" t="str">
        <f t="shared" si="2"/>
        <v>(${Variables:E4_2_1_45_kcat} * E4_2_1_45 * C00501)/(${Variables:E4_2_1_45_km} + (E4_2_1_45 * C00501))</v>
      </c>
      <c r="K873" s="2" t="str">
        <f t="shared" si="3"/>
        <v>r872: C00501 -&gt; C01219 + C00001 | (${Variables:E4_2_1_45_kcat} * E4_2_1_45 * C00501)/(${Variables:E4_2_1_45_km} + (E4_2_1_45 * C00501))</v>
      </c>
    </row>
    <row r="874">
      <c r="A874" s="2" t="s">
        <v>3941</v>
      </c>
      <c r="B874" s="2" t="s">
        <v>3942</v>
      </c>
      <c r="C874" s="2" t="s">
        <v>25340</v>
      </c>
      <c r="D874" s="18">
        <v>873.0</v>
      </c>
      <c r="E874" s="2" t="str">
        <f t="shared" si="1"/>
        <v>E4_2_1_46</v>
      </c>
      <c r="F874" s="19" t="s">
        <v>18259</v>
      </c>
      <c r="G874" s="19" t="s">
        <v>18259</v>
      </c>
      <c r="H874" s="19" t="s">
        <v>28434</v>
      </c>
      <c r="I874" s="19" t="s">
        <v>28435</v>
      </c>
      <c r="J874" s="2" t="str">
        <f t="shared" si="2"/>
        <v>(${Variables:E4_2_1_46_kcat} * E4_2_1_46 * C00842)/(${Variables:E4_2_1_46_km} + (E4_2_1_46 * C00842))</v>
      </c>
      <c r="K874" s="2" t="str">
        <f t="shared" si="3"/>
        <v>r873: C00842 -&gt; C11907 + C00001 | (${Variables:E4_2_1_46_kcat} * E4_2_1_46 * C00842)/(${Variables:E4_2_1_46_km} + (E4_2_1_46 * C00842))</v>
      </c>
    </row>
    <row r="875">
      <c r="A875" s="2" t="s">
        <v>12410</v>
      </c>
      <c r="B875" s="2" t="s">
        <v>12411</v>
      </c>
      <c r="C875" s="2" t="s">
        <v>25341</v>
      </c>
      <c r="D875" s="18">
        <v>874.0</v>
      </c>
      <c r="E875" s="2" t="str">
        <f t="shared" si="1"/>
        <v>E4_2_1_49</v>
      </c>
      <c r="F875" s="19" t="s">
        <v>18264</v>
      </c>
      <c r="G875" s="19" t="s">
        <v>18264</v>
      </c>
      <c r="H875" s="19" t="s">
        <v>28436</v>
      </c>
      <c r="I875" s="19" t="s">
        <v>28437</v>
      </c>
      <c r="J875" s="2" t="str">
        <f t="shared" si="2"/>
        <v>(${Variables:E4_2_1_49_kcat} * E4_2_1_49 * C03680)/(${Variables:E4_2_1_49_km} + (E4_2_1_49 * C03680))</v>
      </c>
      <c r="K875" s="2" t="str">
        <f t="shared" si="3"/>
        <v>r874: C03680 -&gt; C00785 + C00001 | (${Variables:E4_2_1_49_kcat} * E4_2_1_49 * C03680)/(${Variables:E4_2_1_49_km} + (E4_2_1_49 * C03680))</v>
      </c>
    </row>
    <row r="876">
      <c r="A876" s="2" t="s">
        <v>10064</v>
      </c>
      <c r="B876" s="2" t="s">
        <v>10065</v>
      </c>
      <c r="C876" s="2" t="s">
        <v>25342</v>
      </c>
      <c r="D876" s="18">
        <v>875.0</v>
      </c>
      <c r="E876" s="2" t="str">
        <f t="shared" si="1"/>
        <v>E4_2_1_51</v>
      </c>
      <c r="F876" s="19" t="s">
        <v>18269</v>
      </c>
      <c r="G876" s="19" t="s">
        <v>18269</v>
      </c>
      <c r="H876" s="19" t="s">
        <v>28438</v>
      </c>
      <c r="I876" s="19" t="s">
        <v>28439</v>
      </c>
      <c r="J876" s="2" t="str">
        <f t="shared" si="2"/>
        <v>(${Variables:E4_2_1_51_kcat} * E4_2_1_51 * C00826)/(${Variables:E4_2_1_51_km} + (E4_2_1_51 * C00826))</v>
      </c>
      <c r="K876" s="2" t="str">
        <f t="shared" si="3"/>
        <v>r875: C00826 -&gt; C00079 + C00001 + C00011 | (${Variables:E4_2_1_51_kcat} * E4_2_1_51 * C00826)/(${Variables:E4_2_1_51_km} + (E4_2_1_51 * C00826))</v>
      </c>
    </row>
    <row r="877">
      <c r="A877" s="2" t="s">
        <v>10064</v>
      </c>
      <c r="B877" s="2" t="s">
        <v>10065</v>
      </c>
      <c r="C877" s="2" t="s">
        <v>25342</v>
      </c>
      <c r="D877" s="18">
        <v>876.0</v>
      </c>
      <c r="E877" s="2" t="str">
        <f t="shared" si="1"/>
        <v>E4_2_1_51</v>
      </c>
      <c r="F877" s="19" t="s">
        <v>18272</v>
      </c>
      <c r="G877" s="19" t="s">
        <v>18272</v>
      </c>
      <c r="H877" s="19" t="s">
        <v>28440</v>
      </c>
      <c r="I877" s="19" t="s">
        <v>28441</v>
      </c>
      <c r="J877" s="2" t="str">
        <f t="shared" si="2"/>
        <v>(${Variables:E4_2_1_51_kcat} * E4_2_1_51 * C00254)/(${Variables:E4_2_1_51_km} + (E4_2_1_51 * C00254))</v>
      </c>
      <c r="K877" s="2" t="str">
        <f t="shared" si="3"/>
        <v>r876: C00254 -&gt; C00166 + C00001 + C00011 | (${Variables:E4_2_1_51_kcat} * E4_2_1_51 * C00254)/(${Variables:E4_2_1_51_km} + (E4_2_1_51 * C00254))</v>
      </c>
    </row>
    <row r="878">
      <c r="A878" s="2" t="s">
        <v>7817</v>
      </c>
      <c r="B878" s="2" t="s">
        <v>7818</v>
      </c>
      <c r="C878" s="2" t="s">
        <v>25343</v>
      </c>
      <c r="D878" s="18">
        <v>877.0</v>
      </c>
      <c r="E878" s="2" t="str">
        <f t="shared" si="1"/>
        <v>E4_2_1_59</v>
      </c>
      <c r="F878" s="19" t="s">
        <v>18277</v>
      </c>
      <c r="G878" s="19" t="s">
        <v>18277</v>
      </c>
      <c r="H878" s="19" t="s">
        <v>28442</v>
      </c>
      <c r="I878" s="19" t="s">
        <v>28443</v>
      </c>
      <c r="J878" s="2" t="str">
        <f t="shared" si="2"/>
        <v>(${Variables:E4_2_1_59_kcat} * E4_2_1_59 * C04618)/(${Variables:E4_2_1_59_km} + (E4_2_1_59 * C04618))</v>
      </c>
      <c r="K878" s="2" t="str">
        <f t="shared" si="3"/>
        <v>r877: C04618 -&gt; C04246 + C00001 | (${Variables:E4_2_1_59_kcat} * E4_2_1_59 * C04618)/(${Variables:E4_2_1_59_km} + (E4_2_1_59 * C04618))</v>
      </c>
    </row>
    <row r="879">
      <c r="A879" s="2" t="s">
        <v>7817</v>
      </c>
      <c r="B879" s="2" t="s">
        <v>7818</v>
      </c>
      <c r="C879" s="2" t="s">
        <v>25343</v>
      </c>
      <c r="D879" s="18">
        <v>878.0</v>
      </c>
      <c r="E879" s="2" t="str">
        <f t="shared" si="1"/>
        <v>E4_2_1_59</v>
      </c>
      <c r="F879" s="19" t="s">
        <v>18280</v>
      </c>
      <c r="G879" s="19" t="s">
        <v>18280</v>
      </c>
      <c r="H879" s="19" t="s">
        <v>28444</v>
      </c>
      <c r="I879" s="19" t="s">
        <v>28445</v>
      </c>
      <c r="J879" s="2" t="str">
        <f t="shared" si="2"/>
        <v>(${Variables:E4_2_1_59_kcat} * E4_2_1_59 * C04619)/(${Variables:E4_2_1_59_km} + (E4_2_1_59 * C04619))</v>
      </c>
      <c r="K879" s="2" t="str">
        <f t="shared" si="3"/>
        <v>r878: C04619 -&gt; C05754 + C00001 | (${Variables:E4_2_1_59_kcat} * E4_2_1_59 * C04619)/(${Variables:E4_2_1_59_km} + (E4_2_1_59 * C04619))</v>
      </c>
    </row>
    <row r="880">
      <c r="A880" s="2" t="s">
        <v>7817</v>
      </c>
      <c r="B880" s="2" t="s">
        <v>7818</v>
      </c>
      <c r="C880" s="2" t="s">
        <v>25343</v>
      </c>
      <c r="D880" s="18">
        <v>879.0</v>
      </c>
      <c r="E880" s="2" t="str">
        <f t="shared" si="1"/>
        <v>E4_2_1_59</v>
      </c>
      <c r="F880" s="19" t="s">
        <v>18283</v>
      </c>
      <c r="G880" s="19" t="s">
        <v>18283</v>
      </c>
      <c r="H880" s="19" t="s">
        <v>28446</v>
      </c>
      <c r="I880" s="19" t="s">
        <v>28447</v>
      </c>
      <c r="J880" s="2" t="str">
        <f t="shared" si="2"/>
        <v>(${Variables:E4_2_1_59_kcat} * E4_2_1_59 * C04620)/(${Variables:E4_2_1_59_km} + (E4_2_1_59 * C04620))</v>
      </c>
      <c r="K880" s="2" t="str">
        <f t="shared" si="3"/>
        <v>r879: C04620 -&gt; C05751 + C00001 | (${Variables:E4_2_1_59_kcat} * E4_2_1_59 * C04620)/(${Variables:E4_2_1_59_km} + (E4_2_1_59 * C04620))</v>
      </c>
    </row>
    <row r="881">
      <c r="A881" s="2" t="s">
        <v>7817</v>
      </c>
      <c r="B881" s="2" t="s">
        <v>7818</v>
      </c>
      <c r="C881" s="2" t="s">
        <v>25343</v>
      </c>
      <c r="D881" s="18">
        <v>880.0</v>
      </c>
      <c r="E881" s="2" t="str">
        <f t="shared" si="1"/>
        <v>E4_2_1_59</v>
      </c>
      <c r="F881" s="19" t="s">
        <v>18286</v>
      </c>
      <c r="G881" s="19" t="s">
        <v>18286</v>
      </c>
      <c r="H881" s="19" t="s">
        <v>28448</v>
      </c>
      <c r="I881" s="19" t="s">
        <v>28449</v>
      </c>
      <c r="J881" s="2" t="str">
        <f t="shared" si="2"/>
        <v>(${Variables:E4_2_1_59_kcat} * E4_2_1_59 * C04633)/(${Variables:E4_2_1_59_km} + (E4_2_1_59 * C04633))</v>
      </c>
      <c r="K881" s="2" t="str">
        <f t="shared" si="3"/>
        <v>r880: C04633 -&gt; C05763 + C00001 | (${Variables:E4_2_1_59_kcat} * E4_2_1_59 * C04633)/(${Variables:E4_2_1_59_km} + (E4_2_1_59 * C04633))</v>
      </c>
    </row>
    <row r="882">
      <c r="A882" s="2" t="s">
        <v>7817</v>
      </c>
      <c r="B882" s="2" t="s">
        <v>7818</v>
      </c>
      <c r="C882" s="2" t="s">
        <v>25343</v>
      </c>
      <c r="D882" s="18">
        <v>881.0</v>
      </c>
      <c r="E882" s="2" t="str">
        <f t="shared" si="1"/>
        <v>E4_2_1_59</v>
      </c>
      <c r="F882" s="19" t="s">
        <v>18289</v>
      </c>
      <c r="G882" s="19" t="s">
        <v>18289</v>
      </c>
      <c r="H882" s="19" t="s">
        <v>28450</v>
      </c>
      <c r="I882" s="19" t="s">
        <v>28451</v>
      </c>
      <c r="J882" s="2" t="str">
        <f t="shared" si="2"/>
        <v>(${Variables:E4_2_1_59_kcat} * E4_2_1_59 * C04688)/(${Variables:E4_2_1_59_km} + (E4_2_1_59 * C04688))</v>
      </c>
      <c r="K882" s="2" t="str">
        <f t="shared" si="3"/>
        <v>r881: C04688 -&gt; C05760 + C00001 | (${Variables:E4_2_1_59_kcat} * E4_2_1_59 * C04688)/(${Variables:E4_2_1_59_km} + (E4_2_1_59 * C04688))</v>
      </c>
    </row>
    <row r="883">
      <c r="A883" s="2" t="s">
        <v>7817</v>
      </c>
      <c r="B883" s="2" t="s">
        <v>7818</v>
      </c>
      <c r="C883" s="2" t="s">
        <v>25343</v>
      </c>
      <c r="D883" s="18">
        <v>882.0</v>
      </c>
      <c r="E883" s="2" t="str">
        <f t="shared" si="1"/>
        <v>E4_2_1_59</v>
      </c>
      <c r="F883" s="19" t="s">
        <v>18292</v>
      </c>
      <c r="G883" s="19" t="s">
        <v>18292</v>
      </c>
      <c r="H883" s="19" t="s">
        <v>28452</v>
      </c>
      <c r="I883" s="19" t="s">
        <v>28453</v>
      </c>
      <c r="J883" s="2" t="str">
        <f t="shared" si="2"/>
        <v>(${Variables:E4_2_1_59_kcat} * E4_2_1_59 * C05747)/(${Variables:E4_2_1_59_km} + (E4_2_1_59 * C05747))</v>
      </c>
      <c r="K883" s="2" t="str">
        <f t="shared" si="3"/>
        <v>r882: C05747 -&gt; C05748 + C00001 | (${Variables:E4_2_1_59_kcat} * E4_2_1_59 * C05747)/(${Variables:E4_2_1_59_km} + (E4_2_1_59 * C05747))</v>
      </c>
    </row>
    <row r="884">
      <c r="A884" s="2" t="s">
        <v>7817</v>
      </c>
      <c r="B884" s="2" t="s">
        <v>7818</v>
      </c>
      <c r="C884" s="2" t="s">
        <v>25343</v>
      </c>
      <c r="D884" s="18">
        <v>883.0</v>
      </c>
      <c r="E884" s="2" t="str">
        <f t="shared" si="1"/>
        <v>E4_2_1_59</v>
      </c>
      <c r="F884" s="19" t="s">
        <v>18295</v>
      </c>
      <c r="G884" s="19" t="s">
        <v>18295</v>
      </c>
      <c r="H884" s="19" t="s">
        <v>28454</v>
      </c>
      <c r="I884" s="19" t="s">
        <v>28455</v>
      </c>
      <c r="J884" s="2" t="str">
        <f t="shared" si="2"/>
        <v>(${Variables:E4_2_1_59_kcat} * E4_2_1_59 * C05757)/(${Variables:E4_2_1_59_km} + (E4_2_1_59 * C05757))</v>
      </c>
      <c r="K884" s="2" t="str">
        <f t="shared" si="3"/>
        <v>r883: C05757 -&gt; C05758 + C00001 | (${Variables:E4_2_1_59_kcat} * E4_2_1_59 * C05757)/(${Variables:E4_2_1_59_km} + (E4_2_1_59 * C05757))</v>
      </c>
    </row>
    <row r="885">
      <c r="A885" s="2" t="s">
        <v>7817</v>
      </c>
      <c r="B885" s="2" t="s">
        <v>7818</v>
      </c>
      <c r="C885" s="2" t="s">
        <v>25343</v>
      </c>
      <c r="D885" s="18">
        <v>884.0</v>
      </c>
      <c r="E885" s="2" t="str">
        <f t="shared" si="1"/>
        <v>E4_2_1_59</v>
      </c>
      <c r="F885" s="19" t="s">
        <v>18298</v>
      </c>
      <c r="G885" s="19" t="s">
        <v>18298</v>
      </c>
      <c r="H885" s="19" t="s">
        <v>28456</v>
      </c>
      <c r="I885" s="19" t="s">
        <v>28457</v>
      </c>
      <c r="J885" s="2" t="str">
        <f t="shared" si="2"/>
        <v>(${Variables:E4_2_1_59_kcat} * E4_2_1_59 * C20373)/(${Variables:E4_2_1_59_km} + (E4_2_1_59 * C20373))</v>
      </c>
      <c r="K885" s="2" t="str">
        <f t="shared" si="3"/>
        <v>r884: C20373 -&gt; C20374 + C00001 | (${Variables:E4_2_1_59_kcat} * E4_2_1_59 * C20373)/(${Variables:E4_2_1_59_km} + (E4_2_1_59 * C20373))</v>
      </c>
    </row>
    <row r="886">
      <c r="A886" s="2" t="s">
        <v>7817</v>
      </c>
      <c r="B886" s="2" t="s">
        <v>7818</v>
      </c>
      <c r="C886" s="2" t="s">
        <v>25343</v>
      </c>
      <c r="D886" s="18">
        <v>885.0</v>
      </c>
      <c r="E886" s="2" t="str">
        <f t="shared" si="1"/>
        <v>E4_2_1_59</v>
      </c>
      <c r="F886" s="19" t="s">
        <v>18301</v>
      </c>
      <c r="G886" s="19" t="s">
        <v>18301</v>
      </c>
      <c r="H886" s="19" t="s">
        <v>28458</v>
      </c>
      <c r="I886" s="19" t="s">
        <v>28459</v>
      </c>
      <c r="J886" s="2" t="str">
        <f t="shared" si="2"/>
        <v>(${Variables:E4_2_1_59_kcat} * E4_2_1_59 * C20377)/(${Variables:E4_2_1_59_km} + (E4_2_1_59 * C20377))</v>
      </c>
      <c r="K886" s="2" t="str">
        <f t="shared" si="3"/>
        <v>r885: C20377 -&gt; C20378 + C00001 | (${Variables:E4_2_1_59_kcat} * E4_2_1_59 * C20377)/(${Variables:E4_2_1_59_km} + (E4_2_1_59 * C20377))</v>
      </c>
    </row>
    <row r="887">
      <c r="A887" s="2" t="s">
        <v>7817</v>
      </c>
      <c r="B887" s="2" t="s">
        <v>7818</v>
      </c>
      <c r="C887" s="2" t="s">
        <v>25343</v>
      </c>
      <c r="D887" s="18">
        <v>886.0</v>
      </c>
      <c r="E887" s="2" t="str">
        <f t="shared" si="1"/>
        <v>E4_2_1_59</v>
      </c>
      <c r="F887" s="19" t="s">
        <v>18304</v>
      </c>
      <c r="G887" s="19" t="s">
        <v>18304</v>
      </c>
      <c r="H887" s="19" t="s">
        <v>28460</v>
      </c>
      <c r="I887" s="19" t="s">
        <v>28461</v>
      </c>
      <c r="J887" s="2" t="str">
        <f t="shared" si="2"/>
        <v>(${Variables:E4_2_1_59_kcat} * E4_2_1_59 * C01271)/(${Variables:E4_2_1_59_km} + (E4_2_1_59 * C01271))</v>
      </c>
      <c r="K887" s="2" t="str">
        <f t="shared" si="3"/>
        <v>r886: C01271 -&gt; C00693 + C00001 | (${Variables:E4_2_1_59_kcat} * E4_2_1_59 * C01271)/(${Variables:E4_2_1_59_km} + (E4_2_1_59 * C01271))</v>
      </c>
    </row>
    <row r="888">
      <c r="A888" s="2" t="s">
        <v>9939</v>
      </c>
      <c r="B888" s="2" t="s">
        <v>9940</v>
      </c>
      <c r="C888" s="2" t="s">
        <v>25344</v>
      </c>
      <c r="D888" s="18">
        <v>887.0</v>
      </c>
      <c r="E888" s="2" t="str">
        <f t="shared" si="1"/>
        <v>E4_2_1_75</v>
      </c>
      <c r="F888" s="19" t="s">
        <v>18309</v>
      </c>
      <c r="G888" s="19" t="s">
        <v>18309</v>
      </c>
      <c r="H888" s="19" t="s">
        <v>28462</v>
      </c>
      <c r="I888" s="19" t="s">
        <v>28463</v>
      </c>
      <c r="J888" s="2" t="str">
        <f t="shared" si="2"/>
        <v>(${Variables:E4_2_1_75_kcat} * E4_2_1_75 * C01024)/(${Variables:E4_2_1_75_km} + (E4_2_1_75 * C01024))</v>
      </c>
      <c r="K888" s="2" t="str">
        <f t="shared" si="3"/>
        <v>r887: C01024 -&gt; C01051 + C00001 | (${Variables:E4_2_1_75_kcat} * E4_2_1_75 * C01024)/(${Variables:E4_2_1_75_km} + (E4_2_1_75 * C01024))</v>
      </c>
    </row>
    <row r="889">
      <c r="A889" s="2" t="s">
        <v>904</v>
      </c>
      <c r="B889" s="2" t="s">
        <v>905</v>
      </c>
      <c r="C889" s="2" t="s">
        <v>25345</v>
      </c>
      <c r="D889" s="18">
        <v>888.0</v>
      </c>
      <c r="E889" s="2" t="str">
        <f t="shared" si="1"/>
        <v>E4_2_1_79</v>
      </c>
      <c r="F889" s="19" t="s">
        <v>18314</v>
      </c>
      <c r="G889" s="19" t="s">
        <v>18314</v>
      </c>
      <c r="H889" s="19" t="s">
        <v>28464</v>
      </c>
      <c r="I889" s="19" t="s">
        <v>28465</v>
      </c>
      <c r="J889" s="2" t="str">
        <f t="shared" si="2"/>
        <v>(${Variables:E4_2_1_79_kcat} * E4_2_1_79 * C02225)/(${Variables:E4_2_1_79_km} + (E4_2_1_79 * C02225))</v>
      </c>
      <c r="K889" s="2" t="str">
        <f t="shared" si="3"/>
        <v>r888: C02225 -&gt; C04225 + C00001 | (${Variables:E4_2_1_79_kcat} * E4_2_1_79 * C02225)/(${Variables:E4_2_1_79_km} + (E4_2_1_79 * C02225))</v>
      </c>
    </row>
    <row r="890">
      <c r="A890" s="2" t="s">
        <v>2302</v>
      </c>
      <c r="B890" s="2" t="s">
        <v>2303</v>
      </c>
      <c r="C890" s="2" t="s">
        <v>25346</v>
      </c>
      <c r="D890" s="18">
        <v>889.0</v>
      </c>
      <c r="E890" s="2" t="str">
        <f t="shared" si="1"/>
        <v>E4_2_1_9</v>
      </c>
      <c r="F890" s="19" t="s">
        <v>18319</v>
      </c>
      <c r="G890" s="19" t="s">
        <v>18319</v>
      </c>
      <c r="H890" s="19" t="s">
        <v>28466</v>
      </c>
      <c r="I890" s="19" t="s">
        <v>28467</v>
      </c>
      <c r="J890" s="2" t="str">
        <f t="shared" si="2"/>
        <v>(${Variables:E4_2_1_9_kcat} * E4_2_1_9 * C04039)/(${Variables:E4_2_1_9_km} + (E4_2_1_9 * C04039))</v>
      </c>
      <c r="K890" s="2" t="str">
        <f t="shared" si="3"/>
        <v>r889: C04039 -&gt; C00141 + C00001 | (${Variables:E4_2_1_9_kcat} * E4_2_1_9 * C04039)/(${Variables:E4_2_1_9_km} + (E4_2_1_9 * C04039))</v>
      </c>
    </row>
    <row r="891">
      <c r="A891" s="2" t="s">
        <v>2302</v>
      </c>
      <c r="B891" s="2" t="s">
        <v>2303</v>
      </c>
      <c r="C891" s="2" t="s">
        <v>25346</v>
      </c>
      <c r="D891" s="18">
        <v>890.0</v>
      </c>
      <c r="E891" s="2" t="str">
        <f t="shared" si="1"/>
        <v>E4_2_1_9</v>
      </c>
      <c r="F891" s="19" t="s">
        <v>18322</v>
      </c>
      <c r="G891" s="19" t="s">
        <v>18322</v>
      </c>
      <c r="H891" s="19" t="s">
        <v>28466</v>
      </c>
      <c r="I891" s="19" t="s">
        <v>28467</v>
      </c>
      <c r="J891" s="2" t="str">
        <f t="shared" si="2"/>
        <v>(${Variables:E4_2_1_9_kcat} * E4_2_1_9 * C04272)/(${Variables:E4_2_1_9_km} + (E4_2_1_9 * C04272))</v>
      </c>
      <c r="K891" s="2" t="str">
        <f t="shared" si="3"/>
        <v>r890: C04272 -&gt; C00141 + C00001 | (${Variables:E4_2_1_9_kcat} * E4_2_1_9 * C04272)/(${Variables:E4_2_1_9_km} + (E4_2_1_9 * C04272))</v>
      </c>
    </row>
    <row r="892">
      <c r="A892" s="2" t="s">
        <v>2302</v>
      </c>
      <c r="B892" s="2" t="s">
        <v>2303</v>
      </c>
      <c r="C892" s="2" t="s">
        <v>25346</v>
      </c>
      <c r="D892" s="18">
        <v>891.0</v>
      </c>
      <c r="E892" s="2" t="str">
        <f t="shared" si="1"/>
        <v>E4_2_1_9</v>
      </c>
      <c r="F892" s="19" t="s">
        <v>18324</v>
      </c>
      <c r="G892" s="19" t="s">
        <v>18324</v>
      </c>
      <c r="H892" s="19" t="s">
        <v>28468</v>
      </c>
      <c r="I892" s="19" t="s">
        <v>28469</v>
      </c>
      <c r="J892" s="2" t="str">
        <f t="shared" si="2"/>
        <v>(${Variables:E4_2_1_9_kcat} * E4_2_1_9 * C06007)/(${Variables:E4_2_1_9_km} + (E4_2_1_9 * C06007))</v>
      </c>
      <c r="K892" s="2" t="str">
        <f t="shared" si="3"/>
        <v>r891: C06007 -&gt; C00671 + C00001 | (${Variables:E4_2_1_9_kcat} * E4_2_1_9 * C06007)/(${Variables:E4_2_1_9_km} + (E4_2_1_9 * C06007))</v>
      </c>
    </row>
    <row r="893">
      <c r="A893" s="2" t="s">
        <v>10278</v>
      </c>
      <c r="B893" s="2" t="s">
        <v>10279</v>
      </c>
      <c r="C893" s="2" t="s">
        <v>25347</v>
      </c>
      <c r="D893" s="18">
        <v>892.0</v>
      </c>
      <c r="E893" s="2" t="str">
        <f t="shared" si="1"/>
        <v>E4_2_1_96</v>
      </c>
      <c r="F893" s="19" t="s">
        <v>18329</v>
      </c>
      <c r="G893" s="19" t="s">
        <v>18329</v>
      </c>
      <c r="H893" s="19" t="s">
        <v>28470</v>
      </c>
      <c r="I893" s="19" t="s">
        <v>28471</v>
      </c>
      <c r="J893" s="2" t="str">
        <f t="shared" si="2"/>
        <v>(${Variables:E4_2_1_96_kcat} * E4_2_1_96 * C15522)/(${Variables:E4_2_1_96_km} + (E4_2_1_96 * C15522))</v>
      </c>
      <c r="K893" s="2" t="str">
        <f t="shared" si="3"/>
        <v>r892: C15522 -&gt; C00268 + C00001 | (${Variables:E4_2_1_96_kcat} * E4_2_1_96 * C15522)/(${Variables:E4_2_1_96_km} + (E4_2_1_96 * C15522))</v>
      </c>
    </row>
    <row r="894">
      <c r="A894" s="2" t="s">
        <v>1809</v>
      </c>
      <c r="B894" s="2" t="s">
        <v>1810</v>
      </c>
      <c r="C894" s="2" t="s">
        <v>25348</v>
      </c>
      <c r="D894" s="18">
        <v>893.0</v>
      </c>
      <c r="E894" s="2" t="str">
        <f t="shared" si="1"/>
        <v>E4_2_3_1</v>
      </c>
      <c r="F894" s="19" t="s">
        <v>28472</v>
      </c>
      <c r="G894" s="19" t="s">
        <v>28473</v>
      </c>
      <c r="H894" s="19" t="s">
        <v>28474</v>
      </c>
      <c r="I894" s="19" t="s">
        <v>28475</v>
      </c>
      <c r="J894" s="2" t="str">
        <f t="shared" si="2"/>
        <v>(${Variables:E4_2_3_1_kcat} * E4_2_3_1 * C01102 * C00001)/(${Variables:E4_2_3_1_km} + (E4_2_3_1 * C01102 * C00001))</v>
      </c>
      <c r="K894" s="2" t="str">
        <f t="shared" si="3"/>
        <v>r893: C01102 + C00001 -&gt; C00188 + C00009 | (${Variables:E4_2_3_1_kcat} * E4_2_3_1 * C01102 * C00001)/(${Variables:E4_2_3_1_km} + (E4_2_3_1 * C01102 * C00001))</v>
      </c>
    </row>
    <row r="895">
      <c r="A895" s="2" t="s">
        <v>1809</v>
      </c>
      <c r="B895" s="2" t="s">
        <v>1810</v>
      </c>
      <c r="C895" s="2" t="s">
        <v>25348</v>
      </c>
      <c r="D895" s="18">
        <v>894.0</v>
      </c>
      <c r="E895" s="2" t="str">
        <f t="shared" si="1"/>
        <v>E4_2_3_1</v>
      </c>
      <c r="F895" s="19" t="s">
        <v>28476</v>
      </c>
      <c r="G895" s="19" t="s">
        <v>28477</v>
      </c>
      <c r="H895" s="19" t="s">
        <v>28478</v>
      </c>
      <c r="I895" s="19" t="s">
        <v>28479</v>
      </c>
      <c r="J895" s="2" t="str">
        <f t="shared" si="2"/>
        <v>(${Variables:E4_2_3_1_kcat} * E4_2_3_1 * C06055 * C00001)/(${Variables:E4_2_3_1_km} + (E4_2_3_1 * C06055 * C00001))</v>
      </c>
      <c r="K895" s="2" t="str">
        <f t="shared" si="3"/>
        <v>r894: C06055 + C00001 -&gt; C06056 + C00009 | (${Variables:E4_2_3_1_kcat} * E4_2_3_1 * C06055 * C00001)/(${Variables:E4_2_3_1_km} + (E4_2_3_1 * C06055 * C00001))</v>
      </c>
    </row>
    <row r="896">
      <c r="A896" s="2" t="s">
        <v>3020</v>
      </c>
      <c r="B896" s="2" t="s">
        <v>3021</v>
      </c>
      <c r="C896" s="2" t="s">
        <v>25349</v>
      </c>
      <c r="D896" s="18">
        <v>895.0</v>
      </c>
      <c r="E896" s="2" t="str">
        <f t="shared" si="1"/>
        <v>E4_2_3_3</v>
      </c>
      <c r="F896" s="19" t="s">
        <v>18342</v>
      </c>
      <c r="G896" s="19" t="s">
        <v>18342</v>
      </c>
      <c r="H896" s="19" t="s">
        <v>28480</v>
      </c>
      <c r="I896" s="19" t="s">
        <v>28481</v>
      </c>
      <c r="J896" s="2" t="str">
        <f t="shared" si="2"/>
        <v>(${Variables:E4_2_3_3_kcat} * E4_2_3_3 * C00111)/(${Variables:E4_2_3_3_km} + (E4_2_3_3 * C00111))</v>
      </c>
      <c r="K896" s="2" t="str">
        <f t="shared" si="3"/>
        <v>r895: C00111 -&gt; C00546 + C00009 | (${Variables:E4_2_3_3_kcat} * E4_2_3_3 * C00111)/(${Variables:E4_2_3_3_km} + (E4_2_3_3 * C00111))</v>
      </c>
    </row>
    <row r="897">
      <c r="A897" s="2" t="s">
        <v>3073</v>
      </c>
      <c r="B897" s="2" t="s">
        <v>3074</v>
      </c>
      <c r="C897" s="2" t="s">
        <v>25350</v>
      </c>
      <c r="D897" s="18">
        <v>896.0</v>
      </c>
      <c r="E897" s="2" t="str">
        <f t="shared" si="1"/>
        <v>E4_2_3_4</v>
      </c>
      <c r="F897" s="19" t="s">
        <v>18347</v>
      </c>
      <c r="G897" s="19" t="s">
        <v>18347</v>
      </c>
      <c r="H897" s="19" t="s">
        <v>28482</v>
      </c>
      <c r="I897" s="19" t="s">
        <v>28483</v>
      </c>
      <c r="J897" s="2" t="str">
        <f t="shared" si="2"/>
        <v>(${Variables:E4_2_3_4_kcat} * E4_2_3_4 * C04691)/(${Variables:E4_2_3_4_km} + (E4_2_3_4 * C04691))</v>
      </c>
      <c r="K897" s="2" t="str">
        <f t="shared" si="3"/>
        <v>r896: C04691 -&gt; C00944 + C00009 | (${Variables:E4_2_3_4_kcat} * E4_2_3_4 * C04691)/(${Variables:E4_2_3_4_km} + (E4_2_3_4 * C04691))</v>
      </c>
    </row>
    <row r="898">
      <c r="A898" s="2" t="s">
        <v>3077</v>
      </c>
      <c r="B898" s="2" t="s">
        <v>3078</v>
      </c>
      <c r="C898" s="2" t="s">
        <v>25351</v>
      </c>
      <c r="D898" s="18">
        <v>897.0</v>
      </c>
      <c r="E898" s="2" t="str">
        <f t="shared" si="1"/>
        <v>E4_2_3_5</v>
      </c>
      <c r="F898" s="19" t="s">
        <v>18352</v>
      </c>
      <c r="G898" s="19" t="s">
        <v>18352</v>
      </c>
      <c r="H898" s="19" t="s">
        <v>28484</v>
      </c>
      <c r="I898" s="19" t="s">
        <v>28485</v>
      </c>
      <c r="J898" s="2" t="str">
        <f t="shared" si="2"/>
        <v>(${Variables:E4_2_3_5_kcat} * E4_2_3_5 * C01269)/(${Variables:E4_2_3_5_km} + (E4_2_3_5 * C01269))</v>
      </c>
      <c r="K898" s="2" t="str">
        <f t="shared" si="3"/>
        <v>r897: C01269 -&gt; C00251 + C00009 | (${Variables:E4_2_3_5_kcat} * E4_2_3_5 * C01269)/(${Variables:E4_2_3_5_km} + (E4_2_3_5 * C01269))</v>
      </c>
    </row>
    <row r="899">
      <c r="A899" s="2" t="s">
        <v>8890</v>
      </c>
      <c r="B899" s="2" t="s">
        <v>8891</v>
      </c>
      <c r="C899" s="2" t="s">
        <v>25352</v>
      </c>
      <c r="D899" s="18">
        <v>898.0</v>
      </c>
      <c r="E899" s="2" t="str">
        <f t="shared" si="1"/>
        <v>E4_2_99_20</v>
      </c>
      <c r="F899" s="19" t="s">
        <v>18357</v>
      </c>
      <c r="G899" s="19" t="s">
        <v>18357</v>
      </c>
      <c r="H899" s="19" t="s">
        <v>28486</v>
      </c>
      <c r="I899" s="19" t="s">
        <v>28487</v>
      </c>
      <c r="J899" s="2" t="str">
        <f t="shared" si="2"/>
        <v>(${Variables:E4_2_99_20_kcat} * E4_2_99_20 * C16519)/(${Variables:E4_2_99_20_km} + (E4_2_99_20 * C16519))</v>
      </c>
      <c r="K899" s="2" t="str">
        <f t="shared" si="3"/>
        <v>r898: C16519 -&gt; C05817 + C00022 | (${Variables:E4_2_99_20_kcat} * E4_2_99_20 * C16519)/(${Variables:E4_2_99_20_km} + (E4_2_99_20 * C16519))</v>
      </c>
    </row>
    <row r="900">
      <c r="A900" s="2" t="s">
        <v>2416</v>
      </c>
      <c r="B900" s="2" t="s">
        <v>2417</v>
      </c>
      <c r="C900" s="2" t="s">
        <v>25353</v>
      </c>
      <c r="D900" s="18">
        <v>899.0</v>
      </c>
      <c r="E900" s="2" t="str">
        <f t="shared" si="1"/>
        <v>E4_3_1_1</v>
      </c>
      <c r="F900" s="19" t="s">
        <v>17963</v>
      </c>
      <c r="G900" s="19" t="s">
        <v>17963</v>
      </c>
      <c r="H900" s="19" t="s">
        <v>28488</v>
      </c>
      <c r="I900" s="19" t="s">
        <v>28489</v>
      </c>
      <c r="J900" s="2" t="str">
        <f t="shared" si="2"/>
        <v>(${Variables:E4_3_1_1_kcat} * E4_3_1_1 * C00049)/(${Variables:E4_3_1_1_km} + (E4_3_1_1 * C00049))</v>
      </c>
      <c r="K900" s="2" t="str">
        <f t="shared" si="3"/>
        <v>r899: C00049 -&gt; C00122 + C00014 | (${Variables:E4_3_1_1_kcat} * E4_3_1_1 * C00049)/(${Variables:E4_3_1_1_km} + (E4_3_1_1 * C00049))</v>
      </c>
    </row>
    <row r="901">
      <c r="A901" s="2" t="s">
        <v>10938</v>
      </c>
      <c r="B901" s="2" t="s">
        <v>10939</v>
      </c>
      <c r="C901" s="2" t="s">
        <v>25354</v>
      </c>
      <c r="D901" s="18">
        <v>900.0</v>
      </c>
      <c r="E901" s="2" t="str">
        <f t="shared" si="1"/>
        <v>E4_3_1_17</v>
      </c>
      <c r="F901" s="19" t="s">
        <v>18366</v>
      </c>
      <c r="G901" s="19" t="s">
        <v>18366</v>
      </c>
      <c r="H901" s="19" t="s">
        <v>28490</v>
      </c>
      <c r="I901" s="19" t="s">
        <v>28491</v>
      </c>
      <c r="J901" s="2" t="str">
        <f t="shared" si="2"/>
        <v>(${Variables:E4_3_1_17_kcat} * E4_3_1_17 * C00065)/(${Variables:E4_3_1_17_km} + (E4_3_1_17 * C00065))</v>
      </c>
      <c r="K901" s="2" t="str">
        <f t="shared" si="3"/>
        <v>r900: C00065 -&gt; C00022 + C00014 | (${Variables:E4_3_1_17_kcat} * E4_3_1_17 * C00065)/(${Variables:E4_3_1_17_km} + (E4_3_1_17 * C00065))</v>
      </c>
    </row>
    <row r="902">
      <c r="A902" s="2" t="s">
        <v>10938</v>
      </c>
      <c r="B902" s="2" t="s">
        <v>10939</v>
      </c>
      <c r="C902" s="2" t="s">
        <v>25354</v>
      </c>
      <c r="D902" s="18">
        <v>901.0</v>
      </c>
      <c r="E902" s="2" t="str">
        <f t="shared" si="1"/>
        <v>E4_3_1_17</v>
      </c>
      <c r="F902" s="19" t="s">
        <v>18366</v>
      </c>
      <c r="G902" s="19" t="s">
        <v>18366</v>
      </c>
      <c r="H902" s="19" t="s">
        <v>28492</v>
      </c>
      <c r="I902" s="19" t="s">
        <v>28493</v>
      </c>
      <c r="J902" s="2" t="str">
        <f t="shared" si="2"/>
        <v>(${Variables:E4_3_1_17_kcat} * E4_3_1_17 * C00065)/(${Variables:E4_3_1_17_km} + (E4_3_1_17 * C00065))</v>
      </c>
      <c r="K902" s="2" t="str">
        <f t="shared" si="3"/>
        <v>r901: C00065 -&gt; C02218 + C00001 | (${Variables:E4_3_1_17_kcat} * E4_3_1_17 * C00065)/(${Variables:E4_3_1_17_km} + (E4_3_1_17 * C00065))</v>
      </c>
    </row>
    <row r="903">
      <c r="A903" s="2" t="s">
        <v>10938</v>
      </c>
      <c r="B903" s="2" t="s">
        <v>10939</v>
      </c>
      <c r="C903" s="2" t="s">
        <v>25354</v>
      </c>
      <c r="D903" s="18">
        <v>902.0</v>
      </c>
      <c r="E903" s="2" t="str">
        <f t="shared" si="1"/>
        <v>E4_3_1_17</v>
      </c>
      <c r="F903" s="19" t="s">
        <v>18371</v>
      </c>
      <c r="G903" s="19" t="s">
        <v>18371</v>
      </c>
      <c r="H903" s="19" t="s">
        <v>28494</v>
      </c>
      <c r="I903" s="19" t="s">
        <v>28495</v>
      </c>
      <c r="J903" s="2" t="str">
        <f t="shared" si="2"/>
        <v>(${Variables:E4_3_1_17_kcat} * E4_3_1_17 * C05167)/(${Variables:E4_3_1_17_km} + (E4_3_1_17 * C05167))</v>
      </c>
      <c r="K903" s="2" t="str">
        <f t="shared" si="3"/>
        <v>r902: C05167 -&gt; C00161 + C00014 | (${Variables:E4_3_1_17_kcat} * E4_3_1_17 * C05167)/(${Variables:E4_3_1_17_km} + (E4_3_1_17 * C05167))</v>
      </c>
    </row>
    <row r="904">
      <c r="A904" s="2" t="s">
        <v>10938</v>
      </c>
      <c r="B904" s="2" t="s">
        <v>10939</v>
      </c>
      <c r="C904" s="2" t="s">
        <v>25354</v>
      </c>
      <c r="D904" s="18">
        <v>903.0</v>
      </c>
      <c r="E904" s="2" t="str">
        <f t="shared" si="1"/>
        <v>E4_3_1_17</v>
      </c>
      <c r="F904" s="19" t="s">
        <v>28496</v>
      </c>
      <c r="G904" s="19" t="s">
        <v>28497</v>
      </c>
      <c r="H904" s="19" t="s">
        <v>28490</v>
      </c>
      <c r="I904" s="19" t="s">
        <v>28491</v>
      </c>
      <c r="J904" s="2" t="str">
        <f t="shared" si="2"/>
        <v>(${Variables:E4_3_1_17_kcat} * E4_3_1_17 * C20904 * C00001)/(${Variables:E4_3_1_17_km} + (E4_3_1_17 * C20904 * C00001))</v>
      </c>
      <c r="K904" s="2" t="str">
        <f t="shared" si="3"/>
        <v>r903: C20904 + C00001 -&gt; C00022 + C00014 | (${Variables:E4_3_1_17_kcat} * E4_3_1_17 * C20904 * C00001)/(${Variables:E4_3_1_17_km} + (E4_3_1_17 * C20904 * C00001))</v>
      </c>
    </row>
    <row r="905">
      <c r="A905" s="2" t="s">
        <v>10938</v>
      </c>
      <c r="B905" s="2" t="s">
        <v>10939</v>
      </c>
      <c r="C905" s="2" t="s">
        <v>25354</v>
      </c>
      <c r="D905" s="18">
        <v>904.0</v>
      </c>
      <c r="E905" s="2" t="str">
        <f t="shared" si="1"/>
        <v>E4_3_1_17</v>
      </c>
      <c r="F905" s="19" t="s">
        <v>18376</v>
      </c>
      <c r="G905" s="19" t="s">
        <v>18376</v>
      </c>
      <c r="H905" s="19" t="s">
        <v>18377</v>
      </c>
      <c r="I905" s="19" t="s">
        <v>18377</v>
      </c>
      <c r="J905" s="2" t="str">
        <f t="shared" si="2"/>
        <v>(${Variables:E4_3_1_17_kcat} * E4_3_1_17 * C02218)/(${Variables:E4_3_1_17_km} + (E4_3_1_17 * C02218))</v>
      </c>
      <c r="K905" s="2" t="str">
        <f t="shared" si="3"/>
        <v>r904: C02218 -&gt; C20904 | (${Variables:E4_3_1_17_kcat} * E4_3_1_17 * C02218)/(${Variables:E4_3_1_17_km} + (E4_3_1_17 * C02218))</v>
      </c>
    </row>
    <row r="906">
      <c r="A906" s="2" t="s">
        <v>2298</v>
      </c>
      <c r="B906" s="2" t="s">
        <v>2299</v>
      </c>
      <c r="C906" s="2" t="s">
        <v>25355</v>
      </c>
      <c r="D906" s="18">
        <v>905.0</v>
      </c>
      <c r="E906" s="2" t="str">
        <f t="shared" si="1"/>
        <v>E4_3_1_19</v>
      </c>
      <c r="F906" s="19" t="s">
        <v>18366</v>
      </c>
      <c r="G906" s="19" t="s">
        <v>18366</v>
      </c>
      <c r="H906" s="19" t="s">
        <v>28490</v>
      </c>
      <c r="I906" s="19" t="s">
        <v>28491</v>
      </c>
      <c r="J906" s="2" t="str">
        <f t="shared" si="2"/>
        <v>(${Variables:E4_3_1_19_kcat} * E4_3_1_19 * C00065)/(${Variables:E4_3_1_19_km} + (E4_3_1_19 * C00065))</v>
      </c>
      <c r="K906" s="2" t="str">
        <f t="shared" si="3"/>
        <v>r905: C00065 -&gt; C00022 + C00014 | (${Variables:E4_3_1_19_kcat} * E4_3_1_19 * C00065)/(${Variables:E4_3_1_19_km} + (E4_3_1_19 * C00065))</v>
      </c>
    </row>
    <row r="907">
      <c r="A907" s="2" t="s">
        <v>2298</v>
      </c>
      <c r="B907" s="2" t="s">
        <v>2299</v>
      </c>
      <c r="C907" s="2" t="s">
        <v>25355</v>
      </c>
      <c r="D907" s="18">
        <v>906.0</v>
      </c>
      <c r="E907" s="2" t="str">
        <f t="shared" si="1"/>
        <v>E4_3_1_19</v>
      </c>
      <c r="F907" s="19" t="s">
        <v>18381</v>
      </c>
      <c r="G907" s="19" t="s">
        <v>18381</v>
      </c>
      <c r="H907" s="19" t="s">
        <v>28498</v>
      </c>
      <c r="I907" s="19" t="s">
        <v>28499</v>
      </c>
      <c r="J907" s="2" t="str">
        <f t="shared" si="2"/>
        <v>(${Variables:E4_3_1_19_kcat} * E4_3_1_19 * C00188)/(${Variables:E4_3_1_19_km} + (E4_3_1_19 * C00188))</v>
      </c>
      <c r="K907" s="2" t="str">
        <f t="shared" si="3"/>
        <v>r906: C00188 -&gt; C00109 + C00014 | (${Variables:E4_3_1_19_kcat} * E4_3_1_19 * C00188)/(${Variables:E4_3_1_19_km} + (E4_3_1_19 * C00188))</v>
      </c>
    </row>
    <row r="908">
      <c r="A908" s="2" t="s">
        <v>2298</v>
      </c>
      <c r="B908" s="2" t="s">
        <v>2299</v>
      </c>
      <c r="C908" s="2" t="s">
        <v>25355</v>
      </c>
      <c r="D908" s="18">
        <v>907.0</v>
      </c>
      <c r="E908" s="2" t="str">
        <f t="shared" si="1"/>
        <v>E4_3_1_19</v>
      </c>
      <c r="F908" s="19" t="s">
        <v>18371</v>
      </c>
      <c r="G908" s="19" t="s">
        <v>18371</v>
      </c>
      <c r="H908" s="19" t="s">
        <v>28494</v>
      </c>
      <c r="I908" s="19" t="s">
        <v>28495</v>
      </c>
      <c r="J908" s="2" t="str">
        <f t="shared" si="2"/>
        <v>(${Variables:E4_3_1_19_kcat} * E4_3_1_19 * C05167)/(${Variables:E4_3_1_19_km} + (E4_3_1_19 * C05167))</v>
      </c>
      <c r="K908" s="2" t="str">
        <f t="shared" si="3"/>
        <v>r907: C05167 -&gt; C00161 + C00014 | (${Variables:E4_3_1_19_kcat} * E4_3_1_19 * C05167)/(${Variables:E4_3_1_19_km} + (E4_3_1_19 * C05167))</v>
      </c>
    </row>
    <row r="909">
      <c r="A909" s="2" t="s">
        <v>2298</v>
      </c>
      <c r="B909" s="2" t="s">
        <v>2299</v>
      </c>
      <c r="C909" s="2" t="s">
        <v>25355</v>
      </c>
      <c r="D909" s="18">
        <v>908.0</v>
      </c>
      <c r="E909" s="2" t="str">
        <f t="shared" si="1"/>
        <v>E4_3_1_19</v>
      </c>
      <c r="F909" s="19" t="s">
        <v>28500</v>
      </c>
      <c r="G909" s="19" t="s">
        <v>28501</v>
      </c>
      <c r="H909" s="19" t="s">
        <v>28498</v>
      </c>
      <c r="I909" s="19" t="s">
        <v>28499</v>
      </c>
      <c r="J909" s="2" t="str">
        <f t="shared" si="2"/>
        <v>(${Variables:E4_3_1_19_kcat} * E4_3_1_19 * C20905 * C00001)/(${Variables:E4_3_1_19_km} + (E4_3_1_19 * C20905 * C00001))</v>
      </c>
      <c r="K909" s="2" t="str">
        <f t="shared" si="3"/>
        <v>r908: C20905 + C00001 -&gt; C00109 + C00014 | (${Variables:E4_3_1_19_kcat} * E4_3_1_19 * C20905 * C00001)/(${Variables:E4_3_1_19_km} + (E4_3_1_19 * C20905 * C00001))</v>
      </c>
    </row>
    <row r="910">
      <c r="A910" s="2" t="s">
        <v>2298</v>
      </c>
      <c r="B910" s="2" t="s">
        <v>2299</v>
      </c>
      <c r="C910" s="2" t="s">
        <v>25355</v>
      </c>
      <c r="D910" s="18">
        <v>909.0</v>
      </c>
      <c r="E910" s="2" t="str">
        <f t="shared" si="1"/>
        <v>E4_3_1_19</v>
      </c>
      <c r="F910" s="19" t="s">
        <v>18386</v>
      </c>
      <c r="G910" s="19" t="s">
        <v>18386</v>
      </c>
      <c r="H910" s="19" t="s">
        <v>18387</v>
      </c>
      <c r="I910" s="19" t="s">
        <v>18387</v>
      </c>
      <c r="J910" s="2" t="str">
        <f t="shared" si="2"/>
        <v>(${Variables:E4_3_1_19_kcat} * E4_3_1_19 * C17234)/(${Variables:E4_3_1_19_km} + (E4_3_1_19 * C17234))</v>
      </c>
      <c r="K910" s="2" t="str">
        <f t="shared" si="3"/>
        <v>r909: C17234 -&gt; C20905 | (${Variables:E4_3_1_19_kcat} * E4_3_1_19 * C17234)/(${Variables:E4_3_1_19_km} + (E4_3_1_19 * C17234))</v>
      </c>
    </row>
    <row r="911">
      <c r="A911" s="2" t="s">
        <v>12406</v>
      </c>
      <c r="B911" s="2" t="s">
        <v>12407</v>
      </c>
      <c r="C911" s="2" t="s">
        <v>25356</v>
      </c>
      <c r="D911" s="18">
        <v>910.0</v>
      </c>
      <c r="E911" s="2" t="str">
        <f t="shared" si="1"/>
        <v>E4_3_1_3</v>
      </c>
      <c r="F911" s="19" t="s">
        <v>18391</v>
      </c>
      <c r="G911" s="19" t="s">
        <v>18391</v>
      </c>
      <c r="H911" s="19" t="s">
        <v>28502</v>
      </c>
      <c r="I911" s="19" t="s">
        <v>28503</v>
      </c>
      <c r="J911" s="2" t="str">
        <f t="shared" si="2"/>
        <v>(${Variables:E4_3_1_3_kcat} * E4_3_1_3 * C00135)/(${Variables:E4_3_1_3_km} + (E4_3_1_3 * C00135))</v>
      </c>
      <c r="K911" s="2" t="str">
        <f t="shared" si="3"/>
        <v>r910: C00135 -&gt; C00785 + C00014 | (${Variables:E4_3_1_3_kcat} * E4_3_1_3 * C00135)/(${Variables:E4_3_1_3_km} + (E4_3_1_3 * C00135))</v>
      </c>
    </row>
    <row r="912">
      <c r="A912" s="2" t="s">
        <v>12406</v>
      </c>
      <c r="B912" s="2" t="s">
        <v>12407</v>
      </c>
      <c r="C912" s="2" t="s">
        <v>25356</v>
      </c>
      <c r="D912" s="18">
        <v>911.0</v>
      </c>
      <c r="E912" s="2" t="str">
        <f t="shared" si="1"/>
        <v>E4_3_1_3</v>
      </c>
      <c r="F912" s="19" t="s">
        <v>18371</v>
      </c>
      <c r="G912" s="19" t="s">
        <v>18371</v>
      </c>
      <c r="H912" s="19" t="s">
        <v>28504</v>
      </c>
      <c r="I912" s="19" t="s">
        <v>28505</v>
      </c>
      <c r="J912" s="2" t="str">
        <f t="shared" si="2"/>
        <v>(${Variables:E4_3_1_3_kcat} * E4_3_1_3 * C05167)/(${Variables:E4_3_1_3_km} + (E4_3_1_3 * C05167))</v>
      </c>
      <c r="K912" s="2" t="str">
        <f t="shared" si="3"/>
        <v>r911: C05167 -&gt; C11823 + C00014 | (${Variables:E4_3_1_3_kcat} * E4_3_1_3 * C05167)/(${Variables:E4_3_1_3_km} + (E4_3_1_3 * C05167))</v>
      </c>
    </row>
    <row r="913">
      <c r="A913" s="2" t="s">
        <v>9471</v>
      </c>
      <c r="B913" s="2" t="s">
        <v>9472</v>
      </c>
      <c r="C913" s="2" t="s">
        <v>25357</v>
      </c>
      <c r="D913" s="18">
        <v>912.0</v>
      </c>
      <c r="E913" s="2" t="str">
        <f t="shared" si="1"/>
        <v>E4_3_2_1</v>
      </c>
      <c r="F913" s="19" t="s">
        <v>18398</v>
      </c>
      <c r="G913" s="19" t="s">
        <v>18398</v>
      </c>
      <c r="H913" s="19" t="s">
        <v>28506</v>
      </c>
      <c r="I913" s="19" t="s">
        <v>28507</v>
      </c>
      <c r="J913" s="2" t="str">
        <f t="shared" si="2"/>
        <v>(${Variables:E4_3_2_1_kcat} * E4_3_2_1 * C03406)/(${Variables:E4_3_2_1_km} + (E4_3_2_1 * C03406))</v>
      </c>
      <c r="K913" s="2" t="str">
        <f t="shared" si="3"/>
        <v>r912: C03406 -&gt; C00122 + C00062 | (${Variables:E4_3_2_1_kcat} * E4_3_2_1 * C03406)/(${Variables:E4_3_2_1_km} + (E4_3_2_1 * C03406))</v>
      </c>
    </row>
    <row r="914">
      <c r="A914" s="2" t="s">
        <v>3402</v>
      </c>
      <c r="B914" s="2" t="s">
        <v>3403</v>
      </c>
      <c r="C914" s="2" t="s">
        <v>25358</v>
      </c>
      <c r="D914" s="18">
        <v>913.0</v>
      </c>
      <c r="E914" s="2" t="str">
        <f t="shared" si="1"/>
        <v>E4_3_2_10</v>
      </c>
      <c r="F914" s="19" t="s">
        <v>27228</v>
      </c>
      <c r="G914" s="19" t="s">
        <v>27229</v>
      </c>
      <c r="H914" s="19" t="s">
        <v>27230</v>
      </c>
      <c r="I914" s="19" t="s">
        <v>27231</v>
      </c>
      <c r="J914" s="2" t="str">
        <f t="shared" si="2"/>
        <v>(${Variables:E4_3_2_10_kcat} * E4_3_2_10 * C00064 * C00001)/(${Variables:E4_3_2_10_km} + (E4_3_2_10 * C00064 * C00001))</v>
      </c>
      <c r="K914" s="2" t="str">
        <f t="shared" si="3"/>
        <v>r913: C00064 + C00001 -&gt; C00025 + C00014 | (${Variables:E4_3_2_10_kcat} * E4_3_2_10 * C00064 * C00001)/(${Variables:E4_3_2_10_km} + (E4_3_2_10 * C00064 * C00001))</v>
      </c>
    </row>
    <row r="915">
      <c r="A915" s="2" t="s">
        <v>3402</v>
      </c>
      <c r="B915" s="2" t="s">
        <v>3403</v>
      </c>
      <c r="C915" s="2" t="s">
        <v>25358</v>
      </c>
      <c r="D915" s="18">
        <v>914.0</v>
      </c>
      <c r="E915" s="2" t="str">
        <f t="shared" si="1"/>
        <v>E4_3_2_10</v>
      </c>
      <c r="F915" s="19" t="s">
        <v>28508</v>
      </c>
      <c r="G915" s="19" t="s">
        <v>28509</v>
      </c>
      <c r="H915" s="19" t="s">
        <v>28510</v>
      </c>
      <c r="I915" s="19" t="s">
        <v>28511</v>
      </c>
      <c r="J915" s="2" t="str">
        <f t="shared" si="2"/>
        <v>(${Variables:E4_3_2_10_kcat} * E4_3_2_10 * C04916 * C00064)/(${Variables:E4_3_2_10_km} + (E4_3_2_10 * C04916 * C00064))</v>
      </c>
      <c r="K915" s="2" t="str">
        <f t="shared" si="3"/>
        <v>r914: C04916 + C00064 -&gt; C04666 + C04677 + C00025 | (${Variables:E4_3_2_10_kcat} * E4_3_2_10 * C04916 * C00064)/(${Variables:E4_3_2_10_km} + (E4_3_2_10 * C04916 * C00064))</v>
      </c>
    </row>
    <row r="916">
      <c r="A916" s="2" t="s">
        <v>3402</v>
      </c>
      <c r="B916" s="2" t="s">
        <v>3403</v>
      </c>
      <c r="C916" s="2" t="s">
        <v>25358</v>
      </c>
      <c r="D916" s="18">
        <v>915.0</v>
      </c>
      <c r="E916" s="2" t="str">
        <f t="shared" si="1"/>
        <v>E4_3_2_10</v>
      </c>
      <c r="F916" s="19" t="s">
        <v>28512</v>
      </c>
      <c r="G916" s="19" t="s">
        <v>28513</v>
      </c>
      <c r="H916" s="19" t="s">
        <v>28514</v>
      </c>
      <c r="I916" s="19" t="s">
        <v>28515</v>
      </c>
      <c r="J916" s="2" t="str">
        <f t="shared" si="2"/>
        <v>(${Variables:E4_3_2_10_kcat} * E4_3_2_10 * C04916 * C00014)/(${Variables:E4_3_2_10_km} + (E4_3_2_10 * C04916 * C00014))</v>
      </c>
      <c r="K916" s="2" t="str">
        <f t="shared" si="3"/>
        <v>r915: C04916 + C00014 -&gt; C04677 + C04666 + C00001 | (${Variables:E4_3_2_10_kcat} * E4_3_2_10 * C04916 * C00014)/(${Variables:E4_3_2_10_km} + (E4_3_2_10 * C04916 * C00014))</v>
      </c>
    </row>
    <row r="917">
      <c r="A917" s="2" t="s">
        <v>6297</v>
      </c>
      <c r="B917" s="2" t="s">
        <v>6298</v>
      </c>
      <c r="C917" s="2" t="s">
        <v>25359</v>
      </c>
      <c r="D917" s="18">
        <v>916.0</v>
      </c>
      <c r="E917" s="2" t="str">
        <f t="shared" si="1"/>
        <v>E4_3_2_2</v>
      </c>
      <c r="F917" s="19" t="s">
        <v>18411</v>
      </c>
      <c r="G917" s="19" t="s">
        <v>18411</v>
      </c>
      <c r="H917" s="19" t="s">
        <v>28516</v>
      </c>
      <c r="I917" s="19" t="s">
        <v>28517</v>
      </c>
      <c r="J917" s="2" t="str">
        <f t="shared" si="2"/>
        <v>(${Variables:E4_3_2_2_kcat} * E4_3_2_2 * C03794)/(${Variables:E4_3_2_2_km} + (E4_3_2_2 * C03794))</v>
      </c>
      <c r="K917" s="2" t="str">
        <f t="shared" si="3"/>
        <v>r916: C03794 -&gt; C00122 + C00020 | (${Variables:E4_3_2_2_kcat} * E4_3_2_2 * C03794)/(${Variables:E4_3_2_2_km} + (E4_3_2_2 * C03794))</v>
      </c>
    </row>
    <row r="918">
      <c r="A918" s="2" t="s">
        <v>6297</v>
      </c>
      <c r="B918" s="2" t="s">
        <v>6298</v>
      </c>
      <c r="C918" s="2" t="s">
        <v>25359</v>
      </c>
      <c r="D918" s="18">
        <v>917.0</v>
      </c>
      <c r="E918" s="2" t="str">
        <f t="shared" si="1"/>
        <v>E4_3_2_2</v>
      </c>
      <c r="F918" s="19" t="s">
        <v>18414</v>
      </c>
      <c r="G918" s="19" t="s">
        <v>18414</v>
      </c>
      <c r="H918" s="19" t="s">
        <v>28518</v>
      </c>
      <c r="I918" s="19" t="s">
        <v>28519</v>
      </c>
      <c r="J918" s="2" t="str">
        <f t="shared" si="2"/>
        <v>(${Variables:E4_3_2_2_kcat} * E4_3_2_2 * C04823)/(${Variables:E4_3_2_2_km} + (E4_3_2_2 * C04823))</v>
      </c>
      <c r="K918" s="2" t="str">
        <f t="shared" si="3"/>
        <v>r917: C04823 -&gt; C00122 + C04677 | (${Variables:E4_3_2_2_kcat} * E4_3_2_2 * C04823)/(${Variables:E4_3_2_2_km} + (E4_3_2_2 * C04823))</v>
      </c>
    </row>
    <row r="919">
      <c r="A919" s="2" t="s">
        <v>6297</v>
      </c>
      <c r="B919" s="2" t="s">
        <v>6298</v>
      </c>
      <c r="C919" s="2" t="s">
        <v>25359</v>
      </c>
      <c r="D919" s="18">
        <v>918.0</v>
      </c>
      <c r="E919" s="2" t="str">
        <f t="shared" si="1"/>
        <v>E4_3_2_2</v>
      </c>
      <c r="F919" s="19" t="s">
        <v>18417</v>
      </c>
      <c r="G919" s="19" t="s">
        <v>18417</v>
      </c>
      <c r="H919" s="19" t="s">
        <v>28520</v>
      </c>
      <c r="I919" s="19" t="s">
        <v>28521</v>
      </c>
      <c r="J919" s="2" t="str">
        <f t="shared" si="2"/>
        <v>(${Variables:E4_3_2_2_kcat} * E4_3_2_2 * C22395)/(${Variables:E4_3_2_2_km} + (E4_3_2_2 * C22395))</v>
      </c>
      <c r="K919" s="2" t="str">
        <f t="shared" si="3"/>
        <v>r918: C22395 -&gt; C22441 + C00122 | (${Variables:E4_3_2_2_kcat} * E4_3_2_2 * C22395)/(${Variables:E4_3_2_2_km} + (E4_3_2_2 * C22395))</v>
      </c>
    </row>
    <row r="920">
      <c r="A920" s="2" t="s">
        <v>7159</v>
      </c>
      <c r="B920" s="2" t="s">
        <v>7160</v>
      </c>
      <c r="C920" s="2" t="s">
        <v>25360</v>
      </c>
      <c r="D920" s="18">
        <v>919.0</v>
      </c>
      <c r="E920" s="2" t="str">
        <f t="shared" si="1"/>
        <v>E4_3_3_6</v>
      </c>
      <c r="F920" s="19" t="s">
        <v>27228</v>
      </c>
      <c r="G920" s="19" t="s">
        <v>27229</v>
      </c>
      <c r="H920" s="19" t="s">
        <v>27230</v>
      </c>
      <c r="I920" s="19" t="s">
        <v>27231</v>
      </c>
      <c r="J920" s="2" t="str">
        <f t="shared" si="2"/>
        <v>(${Variables:E4_3_3_6_kcat} * E4_3_3_6 * C00064 * C00001)/(${Variables:E4_3_3_6_km} + (E4_3_3_6 * C00064 * C00001))</v>
      </c>
      <c r="K920" s="2" t="str">
        <f t="shared" si="3"/>
        <v>r919: C00064 + C00001 -&gt; C00025 + C00014 | (${Variables:E4_3_3_6_kcat} * E4_3_3_6 * C00064 * C00001)/(${Variables:E4_3_3_6_km} + (E4_3_3_6 * C00064 * C00001))</v>
      </c>
    </row>
    <row r="921">
      <c r="A921" s="2" t="s">
        <v>7159</v>
      </c>
      <c r="B921" s="2" t="s">
        <v>7160</v>
      </c>
      <c r="C921" s="2" t="s">
        <v>25360</v>
      </c>
      <c r="D921" s="18">
        <v>920.0</v>
      </c>
      <c r="E921" s="2" t="str">
        <f t="shared" si="1"/>
        <v>E4_3_3_6</v>
      </c>
      <c r="F921" s="19" t="s">
        <v>28522</v>
      </c>
      <c r="G921" s="19" t="s">
        <v>28523</v>
      </c>
      <c r="H921" s="19" t="s">
        <v>28524</v>
      </c>
      <c r="I921" s="19" t="s">
        <v>28525</v>
      </c>
      <c r="J921" s="2" t="str">
        <f t="shared" si="2"/>
        <v>(${Variables:E4_3_3_6_kcat} * E4_3_3_6 * C00118 * C00199 * C00064)/(${Variables:E4_3_3_6_km} + (E4_3_3_6 * C00118 * C00199 * C00064))</v>
      </c>
      <c r="K921" s="2" t="str">
        <f t="shared" si="3"/>
        <v>r920: C00118 + C00199 + C00064 -&gt; C00018 + C00025 + C00009 + C00001 | (${Variables:E4_3_3_6_kcat} * E4_3_3_6 * C00118 * C00199 * C00064)/(${Variables:E4_3_3_6_km} + (E4_3_3_6 * C00118 * C00199 * C00064))</v>
      </c>
    </row>
    <row r="922">
      <c r="A922" s="2" t="s">
        <v>7159</v>
      </c>
      <c r="B922" s="2" t="s">
        <v>7160</v>
      </c>
      <c r="C922" s="2" t="s">
        <v>25360</v>
      </c>
      <c r="D922" s="18">
        <v>921.0</v>
      </c>
      <c r="E922" s="2" t="str">
        <f t="shared" si="1"/>
        <v>E4_3_3_6</v>
      </c>
      <c r="F922" s="19" t="s">
        <v>28526</v>
      </c>
      <c r="G922" s="19" t="s">
        <v>28527</v>
      </c>
      <c r="H922" s="19" t="s">
        <v>28528</v>
      </c>
      <c r="I922" s="19" t="s">
        <v>28529</v>
      </c>
      <c r="J922" s="2" t="str">
        <f t="shared" si="2"/>
        <v>(${Variables:E4_3_3_6_kcat} * E4_3_3_6 * C00117 * C00118 * C00014)/(${Variables:E4_3_3_6_km} + (E4_3_3_6 * C00117 * C00118 * C00014))</v>
      </c>
      <c r="K922" s="2" t="str">
        <f t="shared" si="3"/>
        <v>r921: C00117 + C00118 + C00014 -&gt; C00018 + C00001 + C00009 | (${Variables:E4_3_3_6_kcat} * E4_3_3_6 * C00117 * C00118 * C00014)/(${Variables:E4_3_3_6_km} + (E4_3_3_6 * C00117 * C00118 * C00014))</v>
      </c>
    </row>
    <row r="923">
      <c r="A923" s="2" t="s">
        <v>7159</v>
      </c>
      <c r="B923" s="2" t="s">
        <v>7160</v>
      </c>
      <c r="C923" s="2" t="s">
        <v>25360</v>
      </c>
      <c r="D923" s="18">
        <v>922.0</v>
      </c>
      <c r="E923" s="2" t="str">
        <f t="shared" si="1"/>
        <v>E4_3_3_6</v>
      </c>
      <c r="F923" s="19" t="s">
        <v>28530</v>
      </c>
      <c r="G923" s="19" t="s">
        <v>28531</v>
      </c>
      <c r="H923" s="19" t="s">
        <v>28532</v>
      </c>
      <c r="I923" s="19" t="s">
        <v>28533</v>
      </c>
      <c r="J923" s="2" t="str">
        <f t="shared" si="2"/>
        <v>(${Variables:E4_3_3_6_kcat} * E4_3_3_6 * C00117 * C00118 * C00064)/(${Variables:E4_3_3_6_km} + (E4_3_3_6 * C00117 * C00118 * C00064))</v>
      </c>
      <c r="K923" s="2" t="str">
        <f t="shared" si="3"/>
        <v>r922: C00117 + C00118 + C00064 -&gt; C00018 + C00025 + C00001 + C00009 | (${Variables:E4_3_3_6_kcat} * E4_3_3_6 * C00117 * C00118 * C00064)/(${Variables:E4_3_3_6_km} + (E4_3_3_6 * C00117 * C00118 * C00064))</v>
      </c>
    </row>
    <row r="924">
      <c r="A924" s="2" t="s">
        <v>12016</v>
      </c>
      <c r="B924" s="2" t="s">
        <v>12017</v>
      </c>
      <c r="C924" s="2" t="s">
        <v>25361</v>
      </c>
      <c r="D924" s="18">
        <v>923.0</v>
      </c>
      <c r="E924" s="2" t="str">
        <f t="shared" si="1"/>
        <v>E4_3_3_7</v>
      </c>
      <c r="F924" s="19" t="s">
        <v>28534</v>
      </c>
      <c r="G924" s="19" t="s">
        <v>28535</v>
      </c>
      <c r="H924" s="19" t="s">
        <v>28536</v>
      </c>
      <c r="I924" s="19" t="s">
        <v>28537</v>
      </c>
      <c r="J924" s="2" t="str">
        <f t="shared" si="2"/>
        <v>(${Variables:E4_3_3_7_kcat} * E4_3_3_7 * C00441 * C00022)/(${Variables:E4_3_3_7_km} + (E4_3_3_7 * C00441 * C00022))</v>
      </c>
      <c r="K924" s="2" t="str">
        <f t="shared" si="3"/>
        <v>r923: C00441 + C00022 -&gt; C20258 + C00001 | (${Variables:E4_3_3_7_kcat} * E4_3_3_7 * C00441 * C00022)/(${Variables:E4_3_3_7_km} + (E4_3_3_7 * C00441 * C00022))</v>
      </c>
    </row>
    <row r="925">
      <c r="A925" s="2" t="s">
        <v>3584</v>
      </c>
      <c r="B925" s="2" t="s">
        <v>3585</v>
      </c>
      <c r="C925" s="2" t="s">
        <v>25362</v>
      </c>
      <c r="D925" s="18">
        <v>924.0</v>
      </c>
      <c r="E925" s="2" t="str">
        <f t="shared" si="1"/>
        <v>E4_3_99_3</v>
      </c>
      <c r="F925" s="19" t="s">
        <v>18438</v>
      </c>
      <c r="G925" s="19" t="s">
        <v>18438</v>
      </c>
      <c r="H925" s="19" t="s">
        <v>28538</v>
      </c>
      <c r="I925" s="19" t="s">
        <v>28539</v>
      </c>
      <c r="J925" s="2" t="str">
        <f t="shared" si="2"/>
        <v>(${Variables:E4_3_99_3_kcat} * E4_3_99_3 * C20239)/(${Variables:E4_3_99_3_km} + (E4_3_99_3 * C20239))</v>
      </c>
      <c r="K925" s="2" t="str">
        <f t="shared" si="3"/>
        <v>r924: C20239 -&gt; C20248 + C00014 | (${Variables:E4_3_99_3_kcat} * E4_3_99_3 * C20239)/(${Variables:E4_3_99_3_km} + (E4_3_99_3 * C20239))</v>
      </c>
    </row>
    <row r="926">
      <c r="A926" s="2" t="s">
        <v>9400</v>
      </c>
      <c r="B926" s="2" t="s">
        <v>9401</v>
      </c>
      <c r="C926" s="2" t="s">
        <v>25363</v>
      </c>
      <c r="D926" s="18">
        <v>925.0</v>
      </c>
      <c r="E926" s="2" t="str">
        <f t="shared" si="1"/>
        <v>E4_4_1_11</v>
      </c>
      <c r="F926" s="19" t="s">
        <v>28540</v>
      </c>
      <c r="G926" s="19" t="s">
        <v>28541</v>
      </c>
      <c r="H926" s="19" t="s">
        <v>28542</v>
      </c>
      <c r="I926" s="19" t="s">
        <v>28543</v>
      </c>
      <c r="J926" s="2" t="str">
        <f t="shared" si="2"/>
        <v>(${Variables:E4_4_1_11_kcat} * E4_4_1_11 * C00073 * C00001)/(${Variables:E4_4_1_11_km} + (E4_4_1_11 * C00073 * C00001))</v>
      </c>
      <c r="K926" s="2" t="str">
        <f t="shared" si="3"/>
        <v>r925: C00073 + C00001 -&gt; C00409 + C00014 + C00109 | (${Variables:E4_4_1_11_kcat} * E4_4_1_11 * C00073 * C00001)/(${Variables:E4_4_1_11_km} + (E4_4_1_11 * C00073 * C00001))</v>
      </c>
    </row>
    <row r="927">
      <c r="A927" s="2" t="s">
        <v>9400</v>
      </c>
      <c r="B927" s="2" t="s">
        <v>9401</v>
      </c>
      <c r="C927" s="2" t="s">
        <v>25363</v>
      </c>
      <c r="D927" s="18">
        <v>926.0</v>
      </c>
      <c r="E927" s="2" t="str">
        <f t="shared" si="1"/>
        <v>E4_4_1_11</v>
      </c>
      <c r="F927" s="19" t="s">
        <v>28544</v>
      </c>
      <c r="G927" s="19" t="s">
        <v>28545</v>
      </c>
      <c r="H927" s="19" t="s">
        <v>28546</v>
      </c>
      <c r="I927" s="19" t="s">
        <v>28547</v>
      </c>
      <c r="J927" s="2" t="str">
        <f t="shared" si="2"/>
        <v>(${Variables:E4_4_1_11_kcat} * E4_4_1_11 * C05335 * C00001)/(${Variables:E4_4_1_11_km} + (E4_4_1_11 * C05335 * C00001))</v>
      </c>
      <c r="K927" s="2" t="str">
        <f t="shared" si="3"/>
        <v>r926: C05335 + C00001 -&gt; C05703 + C00014 + C00109 | (${Variables:E4_4_1_11_kcat} * E4_4_1_11 * C05335 * C00001)/(${Variables:E4_4_1_11_km} + (E4_4_1_11 * C05335 * C00001))</v>
      </c>
    </row>
    <row r="928">
      <c r="A928" s="2" t="s">
        <v>9400</v>
      </c>
      <c r="B928" s="2" t="s">
        <v>9401</v>
      </c>
      <c r="C928" s="2" t="s">
        <v>25363</v>
      </c>
      <c r="D928" s="18">
        <v>927.0</v>
      </c>
      <c r="E928" s="2" t="str">
        <f t="shared" si="1"/>
        <v>E4_4_1_11</v>
      </c>
      <c r="F928" s="19" t="s">
        <v>15915</v>
      </c>
      <c r="G928" s="19" t="s">
        <v>15915</v>
      </c>
      <c r="H928" s="19" t="s">
        <v>28548</v>
      </c>
      <c r="I928" s="19" t="s">
        <v>28549</v>
      </c>
      <c r="J928" s="2" t="str">
        <f t="shared" si="2"/>
        <v>(${Variables:E4_4_1_11_kcat} * E4_4_1_11 * C00073)/(${Variables:E4_4_1_11_km} + (E4_4_1_11 * C00073))</v>
      </c>
      <c r="K928" s="2" t="str">
        <f t="shared" si="3"/>
        <v>r927: C00073 -&gt; C00409 + C17234 | (${Variables:E4_4_1_11_kcat} * E4_4_1_11 * C00073)/(${Variables:E4_4_1_11_km} + (E4_4_1_11 * C00073))</v>
      </c>
    </row>
    <row r="929">
      <c r="A929" s="2" t="s">
        <v>8781</v>
      </c>
      <c r="B929" s="2" t="s">
        <v>8782</v>
      </c>
      <c r="C929" s="2" t="s">
        <v>25364</v>
      </c>
      <c r="D929" s="18">
        <v>928.0</v>
      </c>
      <c r="E929" s="2" t="str">
        <f t="shared" si="1"/>
        <v>E4_4_1_13</v>
      </c>
      <c r="F929" s="19" t="s">
        <v>28550</v>
      </c>
      <c r="G929" s="19" t="s">
        <v>28551</v>
      </c>
      <c r="H929" s="19" t="s">
        <v>28552</v>
      </c>
      <c r="I929" s="19" t="s">
        <v>28553</v>
      </c>
      <c r="J929" s="2" t="str">
        <f t="shared" si="2"/>
        <v>(${Variables:E4_4_1_13_kcat} * E4_4_1_13 * C00097 * C00001)/(${Variables:E4_4_1_13_km} + (E4_4_1_13 * C00097 * C00001))</v>
      </c>
      <c r="K929" s="2" t="str">
        <f t="shared" si="3"/>
        <v>r928: C00097 + C00001 -&gt; C00283 + C00022 + C00014 | (${Variables:E4_4_1_13_kcat} * E4_4_1_13 * C00097 * C00001)/(${Variables:E4_4_1_13_km} + (E4_4_1_13 * C00097 * C00001))</v>
      </c>
    </row>
    <row r="930">
      <c r="A930" s="2" t="s">
        <v>8781</v>
      </c>
      <c r="B930" s="2" t="s">
        <v>8782</v>
      </c>
      <c r="C930" s="2" t="s">
        <v>25364</v>
      </c>
      <c r="D930" s="18">
        <v>929.0</v>
      </c>
      <c r="E930" s="2" t="str">
        <f t="shared" si="1"/>
        <v>E4_4_1_13</v>
      </c>
      <c r="F930" s="19" t="s">
        <v>28554</v>
      </c>
      <c r="G930" s="19" t="s">
        <v>28555</v>
      </c>
      <c r="H930" s="19" t="s">
        <v>28556</v>
      </c>
      <c r="I930" s="19" t="s">
        <v>28557</v>
      </c>
      <c r="J930" s="2" t="str">
        <f t="shared" si="2"/>
        <v>(${Variables:E4_4_1_13_kcat} * E4_4_1_13 * C02291 * C00001)/(${Variables:E4_4_1_13_km} + (E4_4_1_13 * C02291 * C00001))</v>
      </c>
      <c r="K930" s="2" t="str">
        <f t="shared" si="3"/>
        <v>r929: C02291 + C00001 -&gt; C00155 + C00014 + C00022 | (${Variables:E4_4_1_13_kcat} * E4_4_1_13 * C02291 * C00001)/(${Variables:E4_4_1_13_km} + (E4_4_1_13 * C02291 * C00001))</v>
      </c>
    </row>
    <row r="931">
      <c r="A931" s="2" t="s">
        <v>8781</v>
      </c>
      <c r="B931" s="2" t="s">
        <v>8782</v>
      </c>
      <c r="C931" s="2" t="s">
        <v>25364</v>
      </c>
      <c r="D931" s="18">
        <v>930.0</v>
      </c>
      <c r="E931" s="2" t="str">
        <f t="shared" si="1"/>
        <v>E4_4_1_13</v>
      </c>
      <c r="F931" s="19" t="s">
        <v>28558</v>
      </c>
      <c r="G931" s="19" t="s">
        <v>28559</v>
      </c>
      <c r="H931" s="19" t="s">
        <v>28560</v>
      </c>
      <c r="I931" s="19" t="s">
        <v>28561</v>
      </c>
      <c r="J931" s="2" t="str">
        <f t="shared" si="2"/>
        <v>(${Variables:E4_4_1_13_kcat} * E4_4_1_13 * C00491 * C00001)/(${Variables:E4_4_1_13_km} + (E4_4_1_13 * C00491 * C00001))</v>
      </c>
      <c r="K931" s="2" t="str">
        <f t="shared" si="3"/>
        <v>r930: C00491 + C00001 -&gt; C00022 + C00014 + C01962 | (${Variables:E4_4_1_13_kcat} * E4_4_1_13 * C00491 * C00001)/(${Variables:E4_4_1_13_km} + (E4_4_1_13 * C00491 * C00001))</v>
      </c>
    </row>
    <row r="932">
      <c r="A932" s="2" t="s">
        <v>8781</v>
      </c>
      <c r="B932" s="2" t="s">
        <v>8782</v>
      </c>
      <c r="C932" s="2" t="s">
        <v>25364</v>
      </c>
      <c r="D932" s="18">
        <v>931.0</v>
      </c>
      <c r="E932" s="2" t="str">
        <f t="shared" si="1"/>
        <v>E4_4_1_13</v>
      </c>
      <c r="F932" s="19" t="s">
        <v>28562</v>
      </c>
      <c r="G932" s="19" t="s">
        <v>28563</v>
      </c>
      <c r="H932" s="19" t="s">
        <v>28564</v>
      </c>
      <c r="I932" s="19" t="s">
        <v>28565</v>
      </c>
      <c r="J932" s="2" t="str">
        <f t="shared" si="2"/>
        <v>(${Variables:E4_4_1_13_kcat} * E4_4_1_13 * C02749 * C00001)/(${Variables:E4_4_1_13_km} + (E4_4_1_13 * C02749 * C00001))</v>
      </c>
      <c r="K932" s="2" t="str">
        <f t="shared" si="3"/>
        <v>r931: C02749 + C00001 -&gt; C00812 + C00014 + C00022 | (${Variables:E4_4_1_13_kcat} * E4_4_1_13 * C02749 * C00001)/(${Variables:E4_4_1_13_km} + (E4_4_1_13 * C02749 * C00001))</v>
      </c>
    </row>
    <row r="933">
      <c r="A933" s="2" t="s">
        <v>8781</v>
      </c>
      <c r="B933" s="2" t="s">
        <v>8782</v>
      </c>
      <c r="C933" s="2" t="s">
        <v>25364</v>
      </c>
      <c r="D933" s="18">
        <v>932.0</v>
      </c>
      <c r="E933" s="2" t="str">
        <f t="shared" si="1"/>
        <v>E4_4_1_13</v>
      </c>
      <c r="F933" s="19" t="s">
        <v>28566</v>
      </c>
      <c r="G933" s="19" t="s">
        <v>28567</v>
      </c>
      <c r="H933" s="19" t="s">
        <v>28568</v>
      </c>
      <c r="I933" s="19" t="s">
        <v>28569</v>
      </c>
      <c r="J933" s="2" t="str">
        <f t="shared" si="2"/>
        <v>(${Variables:E4_4_1_13_kcat} * E4_4_1_13 * C02882 * C00001)/(${Variables:E4_4_1_13_km} + (E4_4_1_13 * C02882 * C00001))</v>
      </c>
      <c r="K933" s="2" t="str">
        <f t="shared" si="3"/>
        <v>r932: C02882 + C00001 -&gt; C01336 + C00014 + C00022 | (${Variables:E4_4_1_13_kcat} * E4_4_1_13 * C02882 * C00001)/(${Variables:E4_4_1_13_km} + (E4_4_1_13 * C02882 * C00001))</v>
      </c>
    </row>
    <row r="934">
      <c r="A934" s="2" t="s">
        <v>8781</v>
      </c>
      <c r="B934" s="2" t="s">
        <v>8782</v>
      </c>
      <c r="C934" s="2" t="s">
        <v>25364</v>
      </c>
      <c r="D934" s="18">
        <v>933.0</v>
      </c>
      <c r="E934" s="2" t="str">
        <f t="shared" si="1"/>
        <v>E4_4_1_13</v>
      </c>
      <c r="F934" s="19" t="s">
        <v>28570</v>
      </c>
      <c r="G934" s="19" t="s">
        <v>28571</v>
      </c>
      <c r="H934" s="19" t="s">
        <v>28572</v>
      </c>
      <c r="I934" s="19" t="s">
        <v>28573</v>
      </c>
      <c r="J934" s="2" t="str">
        <f t="shared" si="2"/>
        <v>(${Variables:E4_4_1_13_kcat} * E4_4_1_13 * C05699 * C00001)/(${Variables:E4_4_1_13_km} + (E4_4_1_13 * C05699 * C00001))</v>
      </c>
      <c r="K934" s="2" t="str">
        <f t="shared" si="3"/>
        <v>r933: C05699 + C00001 -&gt; C05698 + C00014 + C00022 | (${Variables:E4_4_1_13_kcat} * E4_4_1_13 * C05699 * C00001)/(${Variables:E4_4_1_13_km} + (E4_4_1_13 * C05699 * C00001))</v>
      </c>
    </row>
    <row r="935">
      <c r="A935" s="2" t="s">
        <v>8781</v>
      </c>
      <c r="B935" s="2" t="s">
        <v>8782</v>
      </c>
      <c r="C935" s="2" t="s">
        <v>25364</v>
      </c>
      <c r="D935" s="18">
        <v>934.0</v>
      </c>
      <c r="E935" s="2" t="str">
        <f t="shared" si="1"/>
        <v>E4_4_1_13</v>
      </c>
      <c r="F935" s="19" t="s">
        <v>28574</v>
      </c>
      <c r="G935" s="19" t="s">
        <v>28575</v>
      </c>
      <c r="H935" s="19" t="s">
        <v>28576</v>
      </c>
      <c r="I935" s="19" t="s">
        <v>28577</v>
      </c>
      <c r="J935" s="2" t="str">
        <f t="shared" si="2"/>
        <v>(${Variables:E4_4_1_13_kcat} * E4_4_1_13 * C05689 * C00001)/(${Variables:E4_4_1_13_km} + (E4_4_1_13 * C05689 * C00001))</v>
      </c>
      <c r="K935" s="2" t="str">
        <f t="shared" si="3"/>
        <v>r934: C05689 + C00001 -&gt; C00022 + C00014 + C05703 | (${Variables:E4_4_1_13_kcat} * E4_4_1_13 * C05689 * C00001)/(${Variables:E4_4_1_13_km} + (E4_4_1_13 * C05689 * C00001))</v>
      </c>
    </row>
    <row r="936">
      <c r="A936" s="2" t="s">
        <v>8781</v>
      </c>
      <c r="B936" s="2" t="s">
        <v>8782</v>
      </c>
      <c r="C936" s="2" t="s">
        <v>25364</v>
      </c>
      <c r="D936" s="18">
        <v>935.0</v>
      </c>
      <c r="E936" s="2" t="str">
        <f t="shared" si="1"/>
        <v>E4_4_1_13</v>
      </c>
      <c r="F936" s="19" t="s">
        <v>28566</v>
      </c>
      <c r="G936" s="19" t="s">
        <v>28567</v>
      </c>
      <c r="H936" s="19" t="s">
        <v>28578</v>
      </c>
      <c r="I936" s="19" t="s">
        <v>28579</v>
      </c>
      <c r="J936" s="2" t="str">
        <f t="shared" si="2"/>
        <v>(${Variables:E4_4_1_13_kcat} * E4_4_1_13 * C02882 * C00001)/(${Variables:E4_4_1_13_km} + (E4_4_1_13 * C02882 * C00001))</v>
      </c>
      <c r="K936" s="2" t="str">
        <f t="shared" si="3"/>
        <v>r935: C02882 + C00001 -&gt; C00145 + C00014 + C00022 | (${Variables:E4_4_1_13_kcat} * E4_4_1_13 * C02882 * C00001)/(${Variables:E4_4_1_13_km} + (E4_4_1_13 * C02882 * C00001))</v>
      </c>
    </row>
    <row r="937">
      <c r="A937" s="2" t="s">
        <v>13433</v>
      </c>
      <c r="B937" s="2" t="s">
        <v>13434</v>
      </c>
      <c r="C937" s="2" t="s">
        <v>25365</v>
      </c>
      <c r="D937" s="18">
        <v>936.0</v>
      </c>
      <c r="E937" s="2" t="str">
        <f t="shared" si="1"/>
        <v>E4_4_1_15</v>
      </c>
      <c r="F937" s="19" t="s">
        <v>28580</v>
      </c>
      <c r="G937" s="19" t="s">
        <v>28581</v>
      </c>
      <c r="H937" s="19" t="s">
        <v>28582</v>
      </c>
      <c r="I937" s="19" t="s">
        <v>28583</v>
      </c>
      <c r="J937" s="2" t="str">
        <f t="shared" si="2"/>
        <v>(${Variables:E4_4_1_15_kcat} * E4_4_1_15 * C00793 * C00001)/(${Variables:E4_4_1_15_km} + (E4_4_1_15 * C00793 * C00001))</v>
      </c>
      <c r="K937" s="2" t="str">
        <f t="shared" si="3"/>
        <v>r936: C00793 + C00001 -&gt; C00283 + C00014 + C00022 | (${Variables:E4_4_1_15_kcat} * E4_4_1_15 * C00793 * C00001)/(${Variables:E4_4_1_15_km} + (E4_4_1_15 * C00793 * C00001))</v>
      </c>
    </row>
    <row r="938">
      <c r="A938" s="2" t="s">
        <v>9046</v>
      </c>
      <c r="B938" s="2" t="s">
        <v>9047</v>
      </c>
      <c r="C938" s="2" t="s">
        <v>25366</v>
      </c>
      <c r="D938" s="18">
        <v>937.0</v>
      </c>
      <c r="E938" s="2" t="str">
        <f t="shared" si="1"/>
        <v>E4_4_1_21</v>
      </c>
      <c r="F938" s="19" t="s">
        <v>18483</v>
      </c>
      <c r="G938" s="19" t="s">
        <v>18483</v>
      </c>
      <c r="H938" s="19" t="s">
        <v>28584</v>
      </c>
      <c r="I938" s="19" t="s">
        <v>28585</v>
      </c>
      <c r="J938" s="2" t="str">
        <f t="shared" si="2"/>
        <v>(${Variables:E4_4_1_21_kcat} * E4_4_1_21 * C03539)/(${Variables:E4_4_1_21_km} + (E4_4_1_21 * C03539))</v>
      </c>
      <c r="K938" s="2" t="str">
        <f t="shared" si="3"/>
        <v>r937: C03539 -&gt; C11838 + C00155 | (${Variables:E4_4_1_21_kcat} * E4_4_1_21 * C03539)/(${Variables:E4_4_1_21_km} + (E4_4_1_21 * C03539))</v>
      </c>
    </row>
    <row r="939">
      <c r="A939" s="2" t="s">
        <v>6888</v>
      </c>
      <c r="B939" s="2" t="s">
        <v>6889</v>
      </c>
      <c r="C939" s="2" t="s">
        <v>25367</v>
      </c>
      <c r="D939" s="18">
        <v>938.0</v>
      </c>
      <c r="E939" s="2" t="str">
        <f t="shared" si="1"/>
        <v>E4_6_1_12</v>
      </c>
      <c r="F939" s="19" t="s">
        <v>18488</v>
      </c>
      <c r="G939" s="19" t="s">
        <v>18488</v>
      </c>
      <c r="H939" s="19" t="s">
        <v>28586</v>
      </c>
      <c r="I939" s="19" t="s">
        <v>28587</v>
      </c>
      <c r="J939" s="2" t="str">
        <f t="shared" si="2"/>
        <v>(${Variables:E4_6_1_12_kcat} * E4_6_1_12 * C11436)/(${Variables:E4_6_1_12_km} + (E4_6_1_12 * C11436))</v>
      </c>
      <c r="K939" s="2" t="str">
        <f t="shared" si="3"/>
        <v>r938: C11436 -&gt; C11453 + C00055 | (${Variables:E4_6_1_12_kcat} * E4_6_1_12 * C11436)/(${Variables:E4_6_1_12_km} + (E4_6_1_12 * C11436))</v>
      </c>
    </row>
    <row r="940">
      <c r="A940" s="2" t="s">
        <v>12127</v>
      </c>
      <c r="B940" s="2" t="s">
        <v>12128</v>
      </c>
      <c r="C940" s="2" t="s">
        <v>25368</v>
      </c>
      <c r="D940" s="18">
        <v>939.0</v>
      </c>
      <c r="E940" s="2" t="str">
        <f t="shared" si="1"/>
        <v>E4_6_1_13</v>
      </c>
      <c r="F940" s="19" t="s">
        <v>28588</v>
      </c>
      <c r="G940" s="19" t="s">
        <v>28589</v>
      </c>
      <c r="H940" s="19" t="s">
        <v>28590</v>
      </c>
      <c r="I940" s="19" t="s">
        <v>28591</v>
      </c>
      <c r="J940" s="2" t="str">
        <f t="shared" si="2"/>
        <v>(${Variables:E4_6_1_13_kcat} * E4_6_1_13 * C01194 * C00001)/(${Variables:E4_6_1_13_km} + (E4_6_1_13 * C01194 * C00001))</v>
      </c>
      <c r="K940" s="2" t="str">
        <f t="shared" si="3"/>
        <v>r939: C01194 + C00001 -&gt; C01177 + C00641 | (${Variables:E4_6_1_13_kcat} * E4_6_1_13 * C01194 * C00001)/(${Variables:E4_6_1_13_km} + (E4_6_1_13 * C01194 * C00001))</v>
      </c>
    </row>
    <row r="941">
      <c r="A941" s="2" t="s">
        <v>12127</v>
      </c>
      <c r="B941" s="2" t="s">
        <v>12128</v>
      </c>
      <c r="C941" s="2" t="s">
        <v>25368</v>
      </c>
      <c r="D941" s="18">
        <v>940.0</v>
      </c>
      <c r="E941" s="2" t="str">
        <f t="shared" si="1"/>
        <v>E4_6_1_13</v>
      </c>
      <c r="F941" s="19" t="s">
        <v>18496</v>
      </c>
      <c r="G941" s="19" t="s">
        <v>18496</v>
      </c>
      <c r="H941" s="19" t="s">
        <v>28592</v>
      </c>
      <c r="I941" s="19" t="s">
        <v>28593</v>
      </c>
      <c r="J941" s="2" t="str">
        <f t="shared" si="2"/>
        <v>(${Variables:E4_6_1_13_kcat} * E4_6_1_13 * C01194)/(${Variables:E4_6_1_13_km} + (E4_6_1_13 * C01194))</v>
      </c>
      <c r="K941" s="2" t="str">
        <f t="shared" si="3"/>
        <v>r940: C01194 -&gt; C04299 + C00641 | (${Variables:E4_6_1_13_kcat} * E4_6_1_13 * C01194)/(${Variables:E4_6_1_13_km} + (E4_6_1_13 * C01194))</v>
      </c>
    </row>
    <row r="942">
      <c r="A942" s="2" t="s">
        <v>9216</v>
      </c>
      <c r="B942" s="2" t="s">
        <v>9217</v>
      </c>
      <c r="C942" s="2" t="s">
        <v>25369</v>
      </c>
      <c r="D942" s="18">
        <v>941.0</v>
      </c>
      <c r="E942" s="2" t="str">
        <f t="shared" si="1"/>
        <v>E4_6_1_17</v>
      </c>
      <c r="F942" s="19" t="s">
        <v>28594</v>
      </c>
      <c r="G942" s="19" t="s">
        <v>28595</v>
      </c>
      <c r="H942" s="19" t="s">
        <v>28596</v>
      </c>
      <c r="I942" s="19" t="s">
        <v>28597</v>
      </c>
      <c r="J942" s="2" t="str">
        <f t="shared" si="2"/>
        <v>(${Variables:E4_6_1_17_kcat} * E4_6_1_17 * C21310 * C00001)/(${Variables:E4_6_1_17_km} + (E4_6_1_17 * C21310 * C00001))</v>
      </c>
      <c r="K942" s="2" t="str">
        <f t="shared" si="3"/>
        <v>r941: C21310 + C00001 -&gt; C18239 + C00013 | (${Variables:E4_6_1_17_kcat} * E4_6_1_17 * C21310 * C00001)/(${Variables:E4_6_1_17_km} + (E4_6_1_17 * C21310 * C00001))</v>
      </c>
    </row>
    <row r="943">
      <c r="A943" s="2" t="s">
        <v>1526</v>
      </c>
      <c r="B943" s="2" t="s">
        <v>1527</v>
      </c>
      <c r="C943" s="2" t="s">
        <v>25370</v>
      </c>
      <c r="D943" s="18">
        <v>942.0</v>
      </c>
      <c r="E943" s="2" t="str">
        <f t="shared" si="1"/>
        <v>E5_1_1_1</v>
      </c>
      <c r="F943" s="19" t="s">
        <v>18506</v>
      </c>
      <c r="G943" s="19" t="s">
        <v>18506</v>
      </c>
      <c r="H943" s="19" t="s">
        <v>18507</v>
      </c>
      <c r="I943" s="19" t="s">
        <v>18507</v>
      </c>
      <c r="J943" s="2" t="str">
        <f t="shared" si="2"/>
        <v>(${Variables:E5_1_1_1_kcat} * E5_1_1_1 * C00041)/(${Variables:E5_1_1_1_km} + (E5_1_1_1 * C00041))</v>
      </c>
      <c r="K943" s="2" t="str">
        <f t="shared" si="3"/>
        <v>r942: C00041 -&gt; C00133 | (${Variables:E5_1_1_1_kcat} * E5_1_1_1 * C00041)/(${Variables:E5_1_1_1_km} + (E5_1_1_1 * C00041))</v>
      </c>
    </row>
    <row r="944">
      <c r="A944" s="2" t="s">
        <v>4877</v>
      </c>
      <c r="B944" s="2" t="s">
        <v>4878</v>
      </c>
      <c r="C944" s="2" t="s">
        <v>25371</v>
      </c>
      <c r="D944" s="18">
        <v>943.0</v>
      </c>
      <c r="E944" s="2" t="str">
        <f t="shared" si="1"/>
        <v>E5_1_1_3</v>
      </c>
      <c r="F944" s="19" t="s">
        <v>18511</v>
      </c>
      <c r="G944" s="19" t="s">
        <v>18511</v>
      </c>
      <c r="H944" s="19" t="s">
        <v>18512</v>
      </c>
      <c r="I944" s="19" t="s">
        <v>18512</v>
      </c>
      <c r="J944" s="2" t="str">
        <f t="shared" si="2"/>
        <v>(${Variables:E5_1_1_3_kcat} * E5_1_1_3 * C00025)/(${Variables:E5_1_1_3_km} + (E5_1_1_3 * C00025))</v>
      </c>
      <c r="K944" s="2" t="str">
        <f t="shared" si="3"/>
        <v>r943: C00025 -&gt; C00217 | (${Variables:E5_1_1_3_kcat} * E5_1_1_3 * C00025)/(${Variables:E5_1_1_3_km} + (E5_1_1_3 * C00025))</v>
      </c>
    </row>
    <row r="945">
      <c r="A945" s="2" t="s">
        <v>8697</v>
      </c>
      <c r="B945" s="2" t="s">
        <v>8698</v>
      </c>
      <c r="C945" s="2" t="s">
        <v>25372</v>
      </c>
      <c r="D945" s="18">
        <v>944.0</v>
      </c>
      <c r="E945" s="2" t="str">
        <f t="shared" si="1"/>
        <v>E5_1_1_7</v>
      </c>
      <c r="F945" s="19" t="s">
        <v>18516</v>
      </c>
      <c r="G945" s="19" t="s">
        <v>18516</v>
      </c>
      <c r="H945" s="19" t="s">
        <v>17973</v>
      </c>
      <c r="I945" s="19" t="s">
        <v>17973</v>
      </c>
      <c r="J945" s="2" t="str">
        <f t="shared" si="2"/>
        <v>(${Variables:E5_1_1_7_kcat} * E5_1_1_7 * C00666)/(${Variables:E5_1_1_7_km} + (E5_1_1_7 * C00666))</v>
      </c>
      <c r="K945" s="2" t="str">
        <f t="shared" si="3"/>
        <v>r944: C00666 -&gt; C00680 | (${Variables:E5_1_1_7_kcat} * E5_1_1_7 * C00666)/(${Variables:E5_1_1_7_km} + (E5_1_1_7 * C00666))</v>
      </c>
    </row>
    <row r="946">
      <c r="A946" s="2" t="s">
        <v>11792</v>
      </c>
      <c r="B946" s="2" t="s">
        <v>11793</v>
      </c>
      <c r="C946" s="2" t="s">
        <v>25373</v>
      </c>
      <c r="D946" s="18">
        <v>945.0</v>
      </c>
      <c r="E946" s="2" t="str">
        <f t="shared" si="1"/>
        <v>E5_1_3_1</v>
      </c>
      <c r="F946" s="19" t="s">
        <v>18096</v>
      </c>
      <c r="G946" s="19" t="s">
        <v>18096</v>
      </c>
      <c r="H946" s="19" t="s">
        <v>18520</v>
      </c>
      <c r="I946" s="19" t="s">
        <v>18520</v>
      </c>
      <c r="J946" s="2" t="str">
        <f t="shared" si="2"/>
        <v>(${Variables:E5_1_3_1_kcat} * E5_1_3_1 * C00199)/(${Variables:E5_1_3_1_km} + (E5_1_3_1 * C00199))</v>
      </c>
      <c r="K946" s="2" t="str">
        <f t="shared" si="3"/>
        <v>r945: C00199 -&gt; C00231 | (${Variables:E5_1_3_1_kcat} * E5_1_3_1 * C00199)/(${Variables:E5_1_3_1_km} + (E5_1_3_1 * C00199))</v>
      </c>
    </row>
    <row r="947">
      <c r="A947" s="2" t="s">
        <v>3944</v>
      </c>
      <c r="B947" s="2" t="s">
        <v>3945</v>
      </c>
      <c r="C947" s="2" t="s">
        <v>25374</v>
      </c>
      <c r="D947" s="18">
        <v>946.0</v>
      </c>
      <c r="E947" s="2" t="str">
        <f t="shared" si="1"/>
        <v>E5_1_3_13</v>
      </c>
      <c r="F947" s="19" t="s">
        <v>18524</v>
      </c>
      <c r="G947" s="19" t="s">
        <v>18524</v>
      </c>
      <c r="H947" s="19" t="s">
        <v>18525</v>
      </c>
      <c r="I947" s="19" t="s">
        <v>18525</v>
      </c>
      <c r="J947" s="2" t="str">
        <f t="shared" si="2"/>
        <v>(${Variables:E5_1_3_13_kcat} * E5_1_3_13 * C11907)/(${Variables:E5_1_3_13_km} + (E5_1_3_13 * C11907))</v>
      </c>
      <c r="K947" s="2" t="str">
        <f t="shared" si="3"/>
        <v>r946: C11907 -&gt; C00688 | (${Variables:E5_1_3_13_kcat} * E5_1_3_13 * C11907)/(${Variables:E5_1_3_13_km} + (E5_1_3_13 * C11907))</v>
      </c>
    </row>
    <row r="948">
      <c r="A948" s="2" t="s">
        <v>8016</v>
      </c>
      <c r="B948" s="2" t="s">
        <v>8017</v>
      </c>
      <c r="C948" s="2" t="s">
        <v>25375</v>
      </c>
      <c r="D948" s="18">
        <v>947.0</v>
      </c>
      <c r="E948" s="2" t="str">
        <f t="shared" si="1"/>
        <v>E5_1_3_14</v>
      </c>
      <c r="F948" s="19" t="s">
        <v>28598</v>
      </c>
      <c r="G948" s="19" t="s">
        <v>28599</v>
      </c>
      <c r="H948" s="19" t="s">
        <v>28600</v>
      </c>
      <c r="I948" s="19" t="s">
        <v>28601</v>
      </c>
      <c r="J948" s="2" t="str">
        <f t="shared" si="2"/>
        <v>(${Variables:E5_1_3_14_kcat} * E5_1_3_14 * C00043 * C00001)/(${Variables:E5_1_3_14_km} + (E5_1_3_14 * C00043 * C00001))</v>
      </c>
      <c r="K948" s="2" t="str">
        <f t="shared" si="3"/>
        <v>r947: C00043 + C00001 -&gt; C00645 + C00015 | (${Variables:E5_1_3_14_kcat} * E5_1_3_14 * C00043 * C00001)/(${Variables:E5_1_3_14_km} + (E5_1_3_14 * C00043 * C00001))</v>
      </c>
    </row>
    <row r="949">
      <c r="A949" s="2" t="s">
        <v>8016</v>
      </c>
      <c r="B949" s="2" t="s">
        <v>8017</v>
      </c>
      <c r="C949" s="2" t="s">
        <v>25375</v>
      </c>
      <c r="D949" s="18">
        <v>948.0</v>
      </c>
      <c r="E949" s="2" t="str">
        <f t="shared" si="1"/>
        <v>E5_1_3_14</v>
      </c>
      <c r="F949" s="19" t="s">
        <v>18532</v>
      </c>
      <c r="G949" s="19" t="s">
        <v>18532</v>
      </c>
      <c r="H949" s="19" t="s">
        <v>18533</v>
      </c>
      <c r="I949" s="19" t="s">
        <v>18533</v>
      </c>
      <c r="J949" s="2" t="str">
        <f t="shared" si="2"/>
        <v>(${Variables:E5_1_3_14_kcat} * E5_1_3_14 * C00043)/(${Variables:E5_1_3_14_km} + (E5_1_3_14 * C00043))</v>
      </c>
      <c r="K949" s="2" t="str">
        <f t="shared" si="3"/>
        <v>r948: C00043 -&gt; C01170 | (${Variables:E5_1_3_14_kcat} * E5_1_3_14 * C00043)/(${Variables:E5_1_3_14_km} + (E5_1_3_14 * C00043))</v>
      </c>
    </row>
    <row r="950">
      <c r="A950" s="2" t="s">
        <v>8016</v>
      </c>
      <c r="B950" s="2" t="s">
        <v>8017</v>
      </c>
      <c r="C950" s="2" t="s">
        <v>25375</v>
      </c>
      <c r="D950" s="18">
        <v>949.0</v>
      </c>
      <c r="E950" s="2" t="str">
        <f t="shared" si="1"/>
        <v>E5_1_3_14</v>
      </c>
      <c r="F950" s="19" t="s">
        <v>28600</v>
      </c>
      <c r="G950" s="19" t="s">
        <v>28601</v>
      </c>
      <c r="H950" s="19" t="s">
        <v>28602</v>
      </c>
      <c r="I950" s="19" t="s">
        <v>28603</v>
      </c>
      <c r="J950" s="2" t="str">
        <f t="shared" si="2"/>
        <v>(${Variables:E5_1_3_14_kcat} * E5_1_3_14 * C00645 * C00015)/(${Variables:E5_1_3_14_km} + (E5_1_3_14 * C00645 * C00015))</v>
      </c>
      <c r="K950" s="2" t="str">
        <f t="shared" si="3"/>
        <v>r949: C00645 + C00015 -&gt; C01170 + C00001 | (${Variables:E5_1_3_14_kcat} * E5_1_3_14 * C00645 * C00015)/(${Variables:E5_1_3_14_km} + (E5_1_3_14 * C00645 * C00015))</v>
      </c>
    </row>
    <row r="951">
      <c r="A951" s="2" t="s">
        <v>7333</v>
      </c>
      <c r="B951" s="2" t="s">
        <v>7334</v>
      </c>
      <c r="C951" s="2" t="s">
        <v>25376</v>
      </c>
      <c r="D951" s="18">
        <v>950.0</v>
      </c>
      <c r="E951" s="2" t="str">
        <f t="shared" si="1"/>
        <v>E5_1_3_2</v>
      </c>
      <c r="F951" s="19" t="s">
        <v>18539</v>
      </c>
      <c r="G951" s="19" t="s">
        <v>18539</v>
      </c>
      <c r="H951" s="19" t="s">
        <v>18540</v>
      </c>
      <c r="I951" s="19" t="s">
        <v>18540</v>
      </c>
      <c r="J951" s="2" t="str">
        <f t="shared" si="2"/>
        <v>(${Variables:E5_1_3_2_kcat} * E5_1_3_2 * C00029)/(${Variables:E5_1_3_2_km} + (E5_1_3_2 * C00029))</v>
      </c>
      <c r="K951" s="2" t="str">
        <f t="shared" si="3"/>
        <v>r950: C00029 -&gt; C00052 | (${Variables:E5_1_3_2_kcat} * E5_1_3_2 * C00029)/(${Variables:E5_1_3_2_km} + (E5_1_3_2 * C00029))</v>
      </c>
    </row>
    <row r="952">
      <c r="A952" s="2" t="s">
        <v>7333</v>
      </c>
      <c r="B952" s="2" t="s">
        <v>7334</v>
      </c>
      <c r="C952" s="2" t="s">
        <v>25376</v>
      </c>
      <c r="D952" s="18">
        <v>951.0</v>
      </c>
      <c r="E952" s="2" t="str">
        <f t="shared" si="1"/>
        <v>E5_1_3_2</v>
      </c>
      <c r="F952" s="19" t="s">
        <v>18532</v>
      </c>
      <c r="G952" s="19" t="s">
        <v>18532</v>
      </c>
      <c r="H952" s="19" t="s">
        <v>18542</v>
      </c>
      <c r="I952" s="19" t="s">
        <v>18542</v>
      </c>
      <c r="J952" s="2" t="str">
        <f t="shared" si="2"/>
        <v>(${Variables:E5_1_3_2_kcat} * E5_1_3_2 * C00043)/(${Variables:E5_1_3_2_km} + (E5_1_3_2 * C00043))</v>
      </c>
      <c r="K952" s="2" t="str">
        <f t="shared" si="3"/>
        <v>r951: C00043 -&gt; C00203 | (${Variables:E5_1_3_2_kcat} * E5_1_3_2 * C00043)/(${Variables:E5_1_3_2_km} + (E5_1_3_2 * C00043))</v>
      </c>
    </row>
    <row r="953">
      <c r="A953" s="2" t="s">
        <v>7333</v>
      </c>
      <c r="B953" s="2" t="s">
        <v>7334</v>
      </c>
      <c r="C953" s="2" t="s">
        <v>25376</v>
      </c>
      <c r="D953" s="18">
        <v>952.0</v>
      </c>
      <c r="E953" s="2" t="str">
        <f t="shared" si="1"/>
        <v>E5_1_3_2</v>
      </c>
      <c r="F953" s="19" t="s">
        <v>18259</v>
      </c>
      <c r="G953" s="19" t="s">
        <v>18259</v>
      </c>
      <c r="H953" s="19" t="s">
        <v>18544</v>
      </c>
      <c r="I953" s="19" t="s">
        <v>18544</v>
      </c>
      <c r="J953" s="2" t="str">
        <f t="shared" si="2"/>
        <v>(${Variables:E5_1_3_2_kcat} * E5_1_3_2 * C00842)/(${Variables:E5_1_3_2_km} + (E5_1_3_2 * C00842))</v>
      </c>
      <c r="K953" s="2" t="str">
        <f t="shared" si="3"/>
        <v>r952: C00842 -&gt; C02097 | (${Variables:E5_1_3_2_kcat} * E5_1_3_2 * C00842)/(${Variables:E5_1_3_2_km} + (E5_1_3_2 * C00842))</v>
      </c>
    </row>
    <row r="954">
      <c r="A954" s="2" t="s">
        <v>9906</v>
      </c>
      <c r="B954" s="2" t="s">
        <v>9907</v>
      </c>
      <c r="C954" s="2" t="s">
        <v>25377</v>
      </c>
      <c r="D954" s="18">
        <v>953.0</v>
      </c>
      <c r="E954" s="2" t="str">
        <f t="shared" si="1"/>
        <v>E5_2_1_8</v>
      </c>
      <c r="F954" s="19" t="s">
        <v>18548</v>
      </c>
      <c r="G954" s="19" t="s">
        <v>18548</v>
      </c>
      <c r="H954" s="19" t="s">
        <v>18549</v>
      </c>
      <c r="I954" s="19" t="s">
        <v>18549</v>
      </c>
      <c r="J954" s="2" t="str">
        <f t="shared" si="2"/>
        <v>(${Variables:E5_2_1_8_kcat} * E5_2_1_8 * C03798)/(${Variables:E5_2_1_8_km} + (E5_2_1_8 * C03798))</v>
      </c>
      <c r="K954" s="2" t="str">
        <f t="shared" si="3"/>
        <v>r953: C03798 -&gt; C03633 | (${Variables:E5_2_1_8_kcat} * E5_2_1_8 * C03798)/(${Variables:E5_2_1_8_km} + (E5_2_1_8 * C03798))</v>
      </c>
    </row>
    <row r="955">
      <c r="A955" s="2" t="s">
        <v>8202</v>
      </c>
      <c r="B955" s="2" t="s">
        <v>8203</v>
      </c>
      <c r="C955" s="2" t="s">
        <v>25378</v>
      </c>
      <c r="D955" s="18">
        <v>954.0</v>
      </c>
      <c r="E955" s="2" t="str">
        <f t="shared" si="1"/>
        <v>E5_3_1_1</v>
      </c>
      <c r="F955" s="19" t="s">
        <v>18553</v>
      </c>
      <c r="G955" s="19" t="s">
        <v>18553</v>
      </c>
      <c r="H955" s="19" t="s">
        <v>18342</v>
      </c>
      <c r="I955" s="19" t="s">
        <v>18342</v>
      </c>
      <c r="J955" s="2" t="str">
        <f t="shared" si="2"/>
        <v>(${Variables:E5_3_1_1_kcat} * E5_3_1_1 * C00118)/(${Variables:E5_3_1_1_km} + (E5_3_1_1 * C00118))</v>
      </c>
      <c r="K955" s="2" t="str">
        <f t="shared" si="3"/>
        <v>r954: C00118 -&gt; C00111 | (${Variables:E5_3_1_1_kcat} * E5_3_1_1 * C00118)/(${Variables:E5_3_1_1_km} + (E5_3_1_1 * C00118))</v>
      </c>
    </row>
    <row r="956">
      <c r="A956" s="2" t="s">
        <v>3398</v>
      </c>
      <c r="B956" s="2" t="s">
        <v>3399</v>
      </c>
      <c r="C956" s="2" t="s">
        <v>25379</v>
      </c>
      <c r="D956" s="18">
        <v>955.0</v>
      </c>
      <c r="E956" s="2" t="str">
        <f t="shared" si="1"/>
        <v>E5_3_1_16</v>
      </c>
      <c r="F956" s="19" t="s">
        <v>17852</v>
      </c>
      <c r="G956" s="19" t="s">
        <v>17852</v>
      </c>
      <c r="H956" s="19" t="s">
        <v>18557</v>
      </c>
      <c r="I956" s="19" t="s">
        <v>18557</v>
      </c>
      <c r="J956" s="2" t="str">
        <f t="shared" si="2"/>
        <v>(${Variables:E5_3_1_16_kcat} * E5_3_1_16 * C04896)/(${Variables:E5_3_1_16_km} + (E5_3_1_16 * C04896))</v>
      </c>
      <c r="K956" s="2" t="str">
        <f t="shared" si="3"/>
        <v>r955: C04896 -&gt; C04916 | (${Variables:E5_3_1_16_kcat} * E5_3_1_16 * C04896)/(${Variables:E5_3_1_16_km} + (E5_3_1_16 * C04896))</v>
      </c>
    </row>
    <row r="957">
      <c r="A957" s="2" t="s">
        <v>6134</v>
      </c>
      <c r="B957" s="2" t="s">
        <v>6135</v>
      </c>
      <c r="C957" s="2" t="s">
        <v>25380</v>
      </c>
      <c r="D957" s="18">
        <v>956.0</v>
      </c>
      <c r="E957" s="2" t="str">
        <f t="shared" si="1"/>
        <v>E5_3_1_23</v>
      </c>
      <c r="F957" s="19" t="s">
        <v>18561</v>
      </c>
      <c r="G957" s="19" t="s">
        <v>18561</v>
      </c>
      <c r="H957" s="19" t="s">
        <v>18126</v>
      </c>
      <c r="I957" s="19" t="s">
        <v>18126</v>
      </c>
      <c r="J957" s="2" t="str">
        <f t="shared" si="2"/>
        <v>(${Variables:E5_3_1_23_kcat} * E5_3_1_23 * C04188)/(${Variables:E5_3_1_23_km} + (E5_3_1_23 * C04188))</v>
      </c>
      <c r="K957" s="2" t="str">
        <f t="shared" si="3"/>
        <v>r956: C04188 -&gt; C04582 | (${Variables:E5_3_1_23_kcat} * E5_3_1_23 * C04188)/(${Variables:E5_3_1_23_km} + (E5_3_1_23 * C04188))</v>
      </c>
    </row>
    <row r="958">
      <c r="A958" s="2" t="s">
        <v>3875</v>
      </c>
      <c r="B958" s="2" t="s">
        <v>3876</v>
      </c>
      <c r="C958" s="2" t="s">
        <v>25381</v>
      </c>
      <c r="D958" s="18">
        <v>957.0</v>
      </c>
      <c r="E958" s="2" t="str">
        <f t="shared" si="1"/>
        <v>E5_3_1_24</v>
      </c>
      <c r="F958" s="19" t="s">
        <v>18565</v>
      </c>
      <c r="G958" s="19" t="s">
        <v>18565</v>
      </c>
      <c r="H958" s="19" t="s">
        <v>18001</v>
      </c>
      <c r="I958" s="19" t="s">
        <v>18001</v>
      </c>
      <c r="J958" s="2" t="str">
        <f t="shared" si="2"/>
        <v>(${Variables:E5_3_1_24_kcat} * E5_3_1_24 * C04302)/(${Variables:E5_3_1_24_km} + (E5_3_1_24 * C04302))</v>
      </c>
      <c r="K958" s="2" t="str">
        <f t="shared" si="3"/>
        <v>r957: C04302 -&gt; C01302 | (${Variables:E5_3_1_24_kcat} * E5_3_1_24 * C04302)/(${Variables:E5_3_1_24_km} + (E5_3_1_24 * C04302))</v>
      </c>
    </row>
    <row r="959">
      <c r="A959" s="2" t="s">
        <v>7684</v>
      </c>
      <c r="B959" s="2" t="s">
        <v>7685</v>
      </c>
      <c r="C959" s="2" t="s">
        <v>25382</v>
      </c>
      <c r="D959" s="18">
        <v>958.0</v>
      </c>
      <c r="E959" s="2" t="str">
        <f t="shared" si="1"/>
        <v>E5_3_1_6</v>
      </c>
      <c r="F959" s="19" t="s">
        <v>18569</v>
      </c>
      <c r="G959" s="19" t="s">
        <v>18569</v>
      </c>
      <c r="H959" s="19" t="s">
        <v>18096</v>
      </c>
      <c r="I959" s="19" t="s">
        <v>18096</v>
      </c>
      <c r="J959" s="2" t="str">
        <f t="shared" si="2"/>
        <v>(${Variables:E5_3_1_6_kcat} * E5_3_1_6 * C00117)/(${Variables:E5_3_1_6_km} + (E5_3_1_6 * C00117))</v>
      </c>
      <c r="K959" s="2" t="str">
        <f t="shared" si="3"/>
        <v>r958: C00117 -&gt; C00199 | (${Variables:E5_3_1_6_kcat} * E5_3_1_6 * C00117)/(${Variables:E5_3_1_6_km} + (E5_3_1_6 * C00117))</v>
      </c>
    </row>
    <row r="960">
      <c r="A960" s="2" t="s">
        <v>7684</v>
      </c>
      <c r="B960" s="2" t="s">
        <v>7685</v>
      </c>
      <c r="C960" s="2" t="s">
        <v>25382</v>
      </c>
      <c r="D960" s="18">
        <v>959.0</v>
      </c>
      <c r="E960" s="2" t="str">
        <f t="shared" si="1"/>
        <v>E5_3_1_6</v>
      </c>
      <c r="F960" s="19" t="s">
        <v>18571</v>
      </c>
      <c r="G960" s="19" t="s">
        <v>18571</v>
      </c>
      <c r="H960" s="19" t="s">
        <v>18572</v>
      </c>
      <c r="I960" s="19" t="s">
        <v>18572</v>
      </c>
      <c r="J960" s="2" t="str">
        <f t="shared" si="2"/>
        <v>(${Variables:E5_3_1_6_kcat} * E5_3_1_6 * C02962)/(${Variables:E5_3_1_6_km} + (E5_3_1_6 * C02962))</v>
      </c>
      <c r="K960" s="2" t="str">
        <f t="shared" si="3"/>
        <v>r959: C02962 -&gt; C18096 | (${Variables:E5_3_1_6_kcat} * E5_3_1_6 * C02962)/(${Variables:E5_3_1_6_km} + (E5_3_1_6 * C02962))</v>
      </c>
    </row>
    <row r="961">
      <c r="A961" s="2" t="s">
        <v>8805</v>
      </c>
      <c r="B961" s="2" t="s">
        <v>8806</v>
      </c>
      <c r="C961" s="2" t="s">
        <v>25383</v>
      </c>
      <c r="D961" s="18">
        <v>960.0</v>
      </c>
      <c r="E961" s="2" t="str">
        <f t="shared" si="1"/>
        <v>E5_3_1_9</v>
      </c>
      <c r="F961" s="19" t="s">
        <v>18576</v>
      </c>
      <c r="G961" s="19" t="s">
        <v>18576</v>
      </c>
      <c r="H961" s="19" t="s">
        <v>18577</v>
      </c>
      <c r="I961" s="19" t="s">
        <v>18577</v>
      </c>
      <c r="J961" s="2" t="str">
        <f t="shared" si="2"/>
        <v>(${Variables:E5_3_1_9_kcat} * E5_3_1_9 * C00092)/(${Variables:E5_3_1_9_km} + (E5_3_1_9 * C00092))</v>
      </c>
      <c r="K961" s="2" t="str">
        <f t="shared" si="3"/>
        <v>r960: C00092 -&gt; C00085 | (${Variables:E5_3_1_9_kcat} * E5_3_1_9 * C00092)/(${Variables:E5_3_1_9_km} + (E5_3_1_9 * C00092))</v>
      </c>
    </row>
    <row r="962">
      <c r="A962" s="2" t="s">
        <v>8805</v>
      </c>
      <c r="B962" s="2" t="s">
        <v>8806</v>
      </c>
      <c r="C962" s="2" t="s">
        <v>25383</v>
      </c>
      <c r="D962" s="18">
        <v>961.0</v>
      </c>
      <c r="E962" s="2" t="str">
        <f t="shared" si="1"/>
        <v>E5_3_1_9</v>
      </c>
      <c r="F962" s="19" t="s">
        <v>18579</v>
      </c>
      <c r="G962" s="19" t="s">
        <v>18579</v>
      </c>
      <c r="H962" s="19" t="s">
        <v>18580</v>
      </c>
      <c r="I962" s="19" t="s">
        <v>18580</v>
      </c>
      <c r="J962" s="2" t="str">
        <f t="shared" si="2"/>
        <v>(${Variables:E5_3_1_9_kcat} * E5_3_1_9 * C00668)/(${Variables:E5_3_1_9_km} + (E5_3_1_9 * C00668))</v>
      </c>
      <c r="K962" s="2" t="str">
        <f t="shared" si="3"/>
        <v>r961: C00668 -&gt; C01172 | (${Variables:E5_3_1_9_kcat} * E5_3_1_9 * C00668)/(${Variables:E5_3_1_9_km} + (E5_3_1_9 * C00668))</v>
      </c>
    </row>
    <row r="963">
      <c r="A963" s="2" t="s">
        <v>8805</v>
      </c>
      <c r="B963" s="2" t="s">
        <v>8806</v>
      </c>
      <c r="C963" s="2" t="s">
        <v>25383</v>
      </c>
      <c r="D963" s="18">
        <v>962.0</v>
      </c>
      <c r="E963" s="2" t="str">
        <f t="shared" si="1"/>
        <v>E5_3_1_9</v>
      </c>
      <c r="F963" s="19" t="s">
        <v>18579</v>
      </c>
      <c r="G963" s="19" t="s">
        <v>18579</v>
      </c>
      <c r="H963" s="19" t="s">
        <v>18582</v>
      </c>
      <c r="I963" s="19" t="s">
        <v>18582</v>
      </c>
      <c r="J963" s="2" t="str">
        <f t="shared" si="2"/>
        <v>(${Variables:E5_3_1_9_kcat} * E5_3_1_9 * C00668)/(${Variables:E5_3_1_9_km} + (E5_3_1_9 * C00668))</v>
      </c>
      <c r="K963" s="2" t="str">
        <f t="shared" si="3"/>
        <v>r962: C00668 -&gt; C05345 | (${Variables:E5_3_1_9_kcat} * E5_3_1_9 * C00668)/(${Variables:E5_3_1_9_km} + (E5_3_1_9 * C00668))</v>
      </c>
    </row>
    <row r="964">
      <c r="A964" s="2" t="s">
        <v>8805</v>
      </c>
      <c r="B964" s="2" t="s">
        <v>8806</v>
      </c>
      <c r="C964" s="2" t="s">
        <v>25383</v>
      </c>
      <c r="D964" s="18">
        <v>963.0</v>
      </c>
      <c r="E964" s="2" t="str">
        <f t="shared" si="1"/>
        <v>E5_3_1_9</v>
      </c>
      <c r="F964" s="19" t="s">
        <v>18580</v>
      </c>
      <c r="G964" s="19" t="s">
        <v>18580</v>
      </c>
      <c r="H964" s="19" t="s">
        <v>18582</v>
      </c>
      <c r="I964" s="19" t="s">
        <v>18582</v>
      </c>
      <c r="J964" s="2" t="str">
        <f t="shared" si="2"/>
        <v>(${Variables:E5_3_1_9_kcat} * E5_3_1_9 * C01172)/(${Variables:E5_3_1_9_km} + (E5_3_1_9 * C01172))</v>
      </c>
      <c r="K964" s="2" t="str">
        <f t="shared" si="3"/>
        <v>r963: C01172 -&gt; C05345 | (${Variables:E5_3_1_9_kcat} * E5_3_1_9 * C01172)/(${Variables:E5_3_1_9_km} + (E5_3_1_9 * C01172))</v>
      </c>
    </row>
    <row r="965">
      <c r="A965" s="2" t="s">
        <v>8805</v>
      </c>
      <c r="B965" s="2" t="s">
        <v>8806</v>
      </c>
      <c r="C965" s="2" t="s">
        <v>25383</v>
      </c>
      <c r="D965" s="18">
        <v>964.0</v>
      </c>
      <c r="E965" s="2" t="str">
        <f t="shared" si="1"/>
        <v>E5_3_1_9</v>
      </c>
      <c r="F965" s="19" t="s">
        <v>18579</v>
      </c>
      <c r="G965" s="19" t="s">
        <v>18579</v>
      </c>
      <c r="H965" s="19" t="s">
        <v>18577</v>
      </c>
      <c r="I965" s="19" t="s">
        <v>18577</v>
      </c>
      <c r="J965" s="2" t="str">
        <f t="shared" si="2"/>
        <v>(${Variables:E5_3_1_9_kcat} * E5_3_1_9 * C00668)/(${Variables:E5_3_1_9_km} + (E5_3_1_9 * C00668))</v>
      </c>
      <c r="K965" s="2" t="str">
        <f t="shared" si="3"/>
        <v>r964: C00668 -&gt; C00085 | (${Variables:E5_3_1_9_kcat} * E5_3_1_9 * C00668)/(${Variables:E5_3_1_9_km} + (E5_3_1_9 * C00668))</v>
      </c>
    </row>
    <row r="966">
      <c r="A966" s="2" t="s">
        <v>11240</v>
      </c>
      <c r="B966" s="2" t="s">
        <v>11241</v>
      </c>
      <c r="C966" s="2" t="s">
        <v>25384</v>
      </c>
      <c r="D966" s="18">
        <v>965.0</v>
      </c>
      <c r="E966" s="2" t="str">
        <f t="shared" si="1"/>
        <v>E5_3_2_5</v>
      </c>
      <c r="F966" s="19" t="s">
        <v>18588</v>
      </c>
      <c r="G966" s="19" t="s">
        <v>18588</v>
      </c>
      <c r="H966" s="19" t="s">
        <v>18589</v>
      </c>
      <c r="I966" s="19" t="s">
        <v>18589</v>
      </c>
      <c r="J966" s="2" t="str">
        <f t="shared" si="2"/>
        <v>(${Variables:E5_3_2_5_kcat} * E5_3_2_5 * C15650)/(${Variables:E5_3_2_5_km} + (E5_3_2_5 * C15650))</v>
      </c>
      <c r="K966" s="2" t="str">
        <f t="shared" si="3"/>
        <v>r965: C15650 -&gt; C15651 | (${Variables:E5_3_2_5_kcat} * E5_3_2_5 * C15650)/(${Variables:E5_3_2_5_km} + (E5_3_2_5 * C15650))</v>
      </c>
    </row>
    <row r="967">
      <c r="A967" s="2" t="s">
        <v>7522</v>
      </c>
      <c r="B967" s="2" t="s">
        <v>7523</v>
      </c>
      <c r="C967" s="2" t="s">
        <v>25385</v>
      </c>
      <c r="D967" s="18">
        <v>966.0</v>
      </c>
      <c r="E967" s="2" t="str">
        <f t="shared" si="1"/>
        <v>E5_3_2_6</v>
      </c>
      <c r="F967" s="19" t="s">
        <v>18593</v>
      </c>
      <c r="G967" s="19" t="s">
        <v>18593</v>
      </c>
      <c r="H967" s="19" t="s">
        <v>18594</v>
      </c>
      <c r="I967" s="19" t="s">
        <v>18594</v>
      </c>
      <c r="J967" s="2" t="str">
        <f t="shared" si="2"/>
        <v>(${Variables:E5_3_2_6_kcat} * E5_3_2_6 * C02501)/(${Variables:E5_3_2_6_km} + (E5_3_2_6 * C02501))</v>
      </c>
      <c r="K967" s="2" t="str">
        <f t="shared" si="3"/>
        <v>r966: C02501 -&gt; C03453 | (${Variables:E5_3_2_6_kcat} * E5_3_2_6 * C02501)/(${Variables:E5_3_2_6_km} + (E5_3_2_6 * C02501))</v>
      </c>
    </row>
    <row r="968">
      <c r="A968" s="2" t="s">
        <v>7522</v>
      </c>
      <c r="B968" s="2" t="s">
        <v>7523</v>
      </c>
      <c r="C968" s="2" t="s">
        <v>25385</v>
      </c>
      <c r="D968" s="18">
        <v>967.0</v>
      </c>
      <c r="E968" s="2" t="str">
        <f t="shared" si="1"/>
        <v>E5_3_2_6</v>
      </c>
      <c r="F968" s="19" t="s">
        <v>18596</v>
      </c>
      <c r="G968" s="19" t="s">
        <v>18596</v>
      </c>
      <c r="H968" s="19" t="s">
        <v>18597</v>
      </c>
      <c r="I968" s="19" t="s">
        <v>18597</v>
      </c>
      <c r="J968" s="2" t="str">
        <f t="shared" si="2"/>
        <v>(${Variables:E5_3_2_6_kcat} * E5_3_2_6 * C07478)/(${Variables:E5_3_2_6_km} + (E5_3_2_6 * C07478))</v>
      </c>
      <c r="K968" s="2" t="str">
        <f t="shared" si="3"/>
        <v>r967: C07478 -&gt; C07479 | (${Variables:E5_3_2_6_kcat} * E5_3_2_6 * C07478)/(${Variables:E5_3_2_6_km} + (E5_3_2_6 * C07478))</v>
      </c>
    </row>
    <row r="969">
      <c r="A969" s="2" t="s">
        <v>3131</v>
      </c>
      <c r="B969" s="2" t="s">
        <v>3132</v>
      </c>
      <c r="C969" s="2" t="s">
        <v>25386</v>
      </c>
      <c r="D969" s="18">
        <v>968.0</v>
      </c>
      <c r="E969" s="2" t="str">
        <f t="shared" si="1"/>
        <v>E5_3_3_2</v>
      </c>
      <c r="F969" s="19" t="s">
        <v>18601</v>
      </c>
      <c r="G969" s="19" t="s">
        <v>18601</v>
      </c>
      <c r="H969" s="19" t="s">
        <v>18602</v>
      </c>
      <c r="I969" s="19" t="s">
        <v>18602</v>
      </c>
      <c r="J969" s="2" t="str">
        <f t="shared" si="2"/>
        <v>(${Variables:E5_3_3_2_kcat} * E5_3_3_2 * C00129)/(${Variables:E5_3_3_2_km} + (E5_3_3_2 * C00129))</v>
      </c>
      <c r="K969" s="2" t="str">
        <f t="shared" si="3"/>
        <v>r968: C00129 -&gt; C00235 | (${Variables:E5_3_3_2_kcat} * E5_3_3_2 * C00129)/(${Variables:E5_3_3_2_km} + (E5_3_3_2 * C00129))</v>
      </c>
    </row>
    <row r="970">
      <c r="A970" s="2" t="s">
        <v>6617</v>
      </c>
      <c r="B970" s="2" t="s">
        <v>6618</v>
      </c>
      <c r="C970" s="2" t="s">
        <v>25387</v>
      </c>
      <c r="D970" s="18">
        <v>969.0</v>
      </c>
      <c r="E970" s="2" t="str">
        <f t="shared" si="1"/>
        <v>E5_4_2_10</v>
      </c>
      <c r="F970" s="19" t="s">
        <v>18606</v>
      </c>
      <c r="G970" s="19" t="s">
        <v>18606</v>
      </c>
      <c r="H970" s="19" t="s">
        <v>18607</v>
      </c>
      <c r="I970" s="19" t="s">
        <v>18607</v>
      </c>
      <c r="J970" s="2" t="str">
        <f t="shared" si="2"/>
        <v>(${Variables:E5_4_2_10_kcat} * E5_4_2_10 * C06156)/(${Variables:E5_4_2_10_km} + (E5_4_2_10 * C06156))</v>
      </c>
      <c r="K970" s="2" t="str">
        <f t="shared" si="3"/>
        <v>r969: C06156 -&gt; C00352 | (${Variables:E5_4_2_10_kcat} * E5_4_2_10 * C06156)/(${Variables:E5_4_2_10_km} + (E5_4_2_10 * C06156))</v>
      </c>
    </row>
    <row r="971">
      <c r="A971" s="2" t="s">
        <v>538</v>
      </c>
      <c r="B971" s="2" t="s">
        <v>539</v>
      </c>
      <c r="C971" s="2" t="s">
        <v>25388</v>
      </c>
      <c r="D971" s="18">
        <v>970.0</v>
      </c>
      <c r="E971" s="2" t="str">
        <f t="shared" si="1"/>
        <v>E5_4_2_11</v>
      </c>
      <c r="F971" s="19" t="s">
        <v>28604</v>
      </c>
      <c r="G971" s="19" t="s">
        <v>28605</v>
      </c>
      <c r="H971" s="19" t="s">
        <v>28606</v>
      </c>
      <c r="I971" s="19" t="s">
        <v>28607</v>
      </c>
      <c r="J971" s="2" t="str">
        <f t="shared" si="2"/>
        <v>(${Variables:E5_4_2_11_kcat} * E5_4_2_11 * C01159 * C00615)/(${Variables:E5_4_2_11_km} + (E5_4_2_11 * C01159 * C00615))</v>
      </c>
      <c r="K971" s="2" t="str">
        <f t="shared" si="3"/>
        <v>r970: C01159 + C00615 -&gt; C00197 + C04262 | (${Variables:E5_4_2_11_kcat} * E5_4_2_11 * C01159 * C00615)/(${Variables:E5_4_2_11_km} + (E5_4_2_11 * C01159 * C00615))</v>
      </c>
    </row>
    <row r="972">
      <c r="A972" s="2" t="s">
        <v>538</v>
      </c>
      <c r="B972" s="2" t="s">
        <v>539</v>
      </c>
      <c r="C972" s="2" t="s">
        <v>25388</v>
      </c>
      <c r="D972" s="18">
        <v>971.0</v>
      </c>
      <c r="E972" s="2" t="str">
        <f t="shared" si="1"/>
        <v>E5_4_2_11</v>
      </c>
      <c r="F972" s="19" t="s">
        <v>18131</v>
      </c>
      <c r="G972" s="19" t="s">
        <v>18131</v>
      </c>
      <c r="H972" s="19" t="s">
        <v>18614</v>
      </c>
      <c r="I972" s="19" t="s">
        <v>18614</v>
      </c>
      <c r="J972" s="2" t="str">
        <f t="shared" si="2"/>
        <v>(${Variables:E5_4_2_11_kcat} * E5_4_2_11 * C00631)/(${Variables:E5_4_2_11_km} + (E5_4_2_11 * C00631))</v>
      </c>
      <c r="K972" s="2" t="str">
        <f t="shared" si="3"/>
        <v>r971: C00631 -&gt; C00197 | (${Variables:E5_4_2_11_kcat} * E5_4_2_11 * C00631)/(${Variables:E5_4_2_11_km} + (E5_4_2_11 * C00631))</v>
      </c>
    </row>
    <row r="973">
      <c r="A973" s="2" t="s">
        <v>8205</v>
      </c>
      <c r="B973" s="2" t="s">
        <v>8206</v>
      </c>
      <c r="C973" s="2" t="s">
        <v>25389</v>
      </c>
      <c r="D973" s="18">
        <v>972.0</v>
      </c>
      <c r="E973" s="2" t="str">
        <f t="shared" si="1"/>
        <v>E5_4_2_12</v>
      </c>
      <c r="F973" s="19" t="s">
        <v>18131</v>
      </c>
      <c r="G973" s="19" t="s">
        <v>18131</v>
      </c>
      <c r="H973" s="19" t="s">
        <v>18614</v>
      </c>
      <c r="I973" s="19" t="s">
        <v>18614</v>
      </c>
      <c r="J973" s="2" t="str">
        <f t="shared" si="2"/>
        <v>(${Variables:E5_4_2_12_kcat} * E5_4_2_12 * C00631)/(${Variables:E5_4_2_12_km} + (E5_4_2_12 * C00631))</v>
      </c>
      <c r="K973" s="2" t="str">
        <f t="shared" si="3"/>
        <v>r972: C00631 -&gt; C00197 | (${Variables:E5_4_2_12_kcat} * E5_4_2_12 * C00631)/(${Variables:E5_4_2_12_km} + (E5_4_2_12 * C00631))</v>
      </c>
    </row>
    <row r="974">
      <c r="A974" s="2" t="s">
        <v>11087</v>
      </c>
      <c r="B974" s="2" t="s">
        <v>11088</v>
      </c>
      <c r="C974" s="2" t="s">
        <v>25390</v>
      </c>
      <c r="D974" s="18">
        <v>973.0</v>
      </c>
      <c r="E974" s="2" t="str">
        <f t="shared" si="1"/>
        <v>E5_4_2_7</v>
      </c>
      <c r="F974" s="19" t="s">
        <v>18620</v>
      </c>
      <c r="G974" s="19" t="s">
        <v>18620</v>
      </c>
      <c r="H974" s="19" t="s">
        <v>18569</v>
      </c>
      <c r="I974" s="19" t="s">
        <v>18569</v>
      </c>
      <c r="J974" s="2" t="str">
        <f t="shared" si="2"/>
        <v>(${Variables:E5_4_2_7_kcat} * E5_4_2_7 * C00620)/(${Variables:E5_4_2_7_km} + (E5_4_2_7 * C00620))</v>
      </c>
      <c r="K974" s="2" t="str">
        <f t="shared" si="3"/>
        <v>r973: C00620 -&gt; C00117 | (${Variables:E5_4_2_7_kcat} * E5_4_2_7 * C00620)/(${Variables:E5_4_2_7_km} + (E5_4_2_7 * C00620))</v>
      </c>
    </row>
    <row r="975">
      <c r="A975" s="2" t="s">
        <v>11087</v>
      </c>
      <c r="B975" s="2" t="s">
        <v>11088</v>
      </c>
      <c r="C975" s="2" t="s">
        <v>25390</v>
      </c>
      <c r="D975" s="18">
        <v>974.0</v>
      </c>
      <c r="E975" s="2" t="str">
        <f t="shared" si="1"/>
        <v>E5_4_2_7</v>
      </c>
      <c r="F975" s="19" t="s">
        <v>18622</v>
      </c>
      <c r="G975" s="19" t="s">
        <v>18622</v>
      </c>
      <c r="H975" s="19" t="s">
        <v>18051</v>
      </c>
      <c r="I975" s="19" t="s">
        <v>18051</v>
      </c>
      <c r="J975" s="2" t="str">
        <f t="shared" si="2"/>
        <v>(${Variables:E5_4_2_7_kcat} * E5_4_2_7 * C00672)/(${Variables:E5_4_2_7_km} + (E5_4_2_7 * C00672))</v>
      </c>
      <c r="K975" s="2" t="str">
        <f t="shared" si="3"/>
        <v>r974: C00672 -&gt; C00673 | (${Variables:E5_4_2_7_kcat} * E5_4_2_7 * C00672)/(${Variables:E5_4_2_7_km} + (E5_4_2_7 * C00672))</v>
      </c>
    </row>
    <row r="976">
      <c r="A976" s="2" t="s">
        <v>1001</v>
      </c>
      <c r="B976" s="2" t="s">
        <v>1002</v>
      </c>
      <c r="C976" s="2" t="s">
        <v>25391</v>
      </c>
      <c r="D976" s="18">
        <v>975.0</v>
      </c>
      <c r="E976" s="2" t="str">
        <f t="shared" si="1"/>
        <v>E5_4_3_2</v>
      </c>
      <c r="F976" s="19" t="s">
        <v>18626</v>
      </c>
      <c r="G976" s="19" t="s">
        <v>18626</v>
      </c>
      <c r="H976" s="19" t="s">
        <v>18627</v>
      </c>
      <c r="I976" s="19" t="s">
        <v>18627</v>
      </c>
      <c r="J976" s="2" t="str">
        <f t="shared" si="2"/>
        <v>(${Variables:E5_4_3_2_kcat} * E5_4_3_2 * C00047)/(${Variables:E5_4_3_2_km} + (E5_4_3_2 * C00047))</v>
      </c>
      <c r="K976" s="2" t="str">
        <f t="shared" si="3"/>
        <v>r975: C00047 -&gt; C01142 | (${Variables:E5_4_3_2_kcat} * E5_4_3_2 * C00047)/(${Variables:E5_4_3_2_km} + (E5_4_3_2 * C00047))</v>
      </c>
    </row>
    <row r="977">
      <c r="A977" s="2" t="s">
        <v>5784</v>
      </c>
      <c r="B977" s="2" t="s">
        <v>5785</v>
      </c>
      <c r="C977" s="2" t="s">
        <v>25392</v>
      </c>
      <c r="D977" s="18">
        <v>976.0</v>
      </c>
      <c r="E977" s="2" t="str">
        <f t="shared" si="1"/>
        <v>E5_4_3_8</v>
      </c>
      <c r="F977" s="19" t="s">
        <v>18235</v>
      </c>
      <c r="G977" s="19" t="s">
        <v>18235</v>
      </c>
      <c r="H977" s="19" t="s">
        <v>18631</v>
      </c>
      <c r="I977" s="19" t="s">
        <v>18631</v>
      </c>
      <c r="J977" s="2" t="str">
        <f t="shared" si="2"/>
        <v>(${Variables:E5_4_3_8_kcat} * E5_4_3_8 * C00430)/(${Variables:E5_4_3_8_km} + (E5_4_3_8 * C00430))</v>
      </c>
      <c r="K977" s="2" t="str">
        <f t="shared" si="3"/>
        <v>r976: C00430 -&gt; C03741 | (${Variables:E5_4_3_8_kcat} * E5_4_3_8 * C00430)/(${Variables:E5_4_3_8_km} + (E5_4_3_8 * C00430))</v>
      </c>
    </row>
    <row r="978">
      <c r="A978" s="2" t="s">
        <v>8884</v>
      </c>
      <c r="B978" s="2" t="s">
        <v>8885</v>
      </c>
      <c r="C978" s="2" t="s">
        <v>25393</v>
      </c>
      <c r="D978" s="18">
        <v>977.0</v>
      </c>
      <c r="E978" s="2" t="str">
        <f t="shared" si="1"/>
        <v>E5_4_4_2</v>
      </c>
      <c r="F978" s="19" t="s">
        <v>18635</v>
      </c>
      <c r="G978" s="19" t="s">
        <v>18635</v>
      </c>
      <c r="H978" s="19" t="s">
        <v>18636</v>
      </c>
      <c r="I978" s="19" t="s">
        <v>18636</v>
      </c>
      <c r="J978" s="2" t="str">
        <f t="shared" si="2"/>
        <v>(${Variables:E5_4_4_2_kcat} * E5_4_4_2 * C00251)/(${Variables:E5_4_4_2_km} + (E5_4_4_2 * C00251))</v>
      </c>
      <c r="K978" s="2" t="str">
        <f t="shared" si="3"/>
        <v>r977: C00251 -&gt; C00885 | (${Variables:E5_4_4_2_kcat} * E5_4_4_2 * C00251)/(${Variables:E5_4_4_2_km} + (E5_4_4_2 * C00251))</v>
      </c>
    </row>
    <row r="979">
      <c r="A979" s="2" t="s">
        <v>5899</v>
      </c>
      <c r="B979" s="2" t="s">
        <v>5900</v>
      </c>
      <c r="C979" s="2" t="s">
        <v>25394</v>
      </c>
      <c r="D979" s="18">
        <v>978.0</v>
      </c>
      <c r="E979" s="2" t="str">
        <f t="shared" si="1"/>
        <v>E5_4_99_12</v>
      </c>
      <c r="F979" s="19" t="s">
        <v>18640</v>
      </c>
      <c r="G979" s="19" t="s">
        <v>18640</v>
      </c>
      <c r="H979" s="19" t="s">
        <v>18641</v>
      </c>
      <c r="I979" s="19" t="s">
        <v>18641</v>
      </c>
      <c r="J979" s="2" t="str">
        <f t="shared" si="2"/>
        <v>(${Variables:E5_4_99_12_kcat} * E5_4_99_12 * C00868)/(${Variables:E5_4_99_12_km} + (E5_4_99_12 * C00868))</v>
      </c>
      <c r="K979" s="2" t="str">
        <f t="shared" si="3"/>
        <v>r978: C00868 -&gt; C02764 | (${Variables:E5_4_99_12_kcat} * E5_4_99_12 * C00868)/(${Variables:E5_4_99_12_km} + (E5_4_99_12 * C00868))</v>
      </c>
    </row>
    <row r="980">
      <c r="A980" s="2" t="s">
        <v>5434</v>
      </c>
      <c r="B980" s="2" t="s">
        <v>5435</v>
      </c>
      <c r="C980" s="2" t="s">
        <v>25399</v>
      </c>
      <c r="D980" s="18">
        <v>979.0</v>
      </c>
      <c r="E980" s="2" t="str">
        <f t="shared" si="1"/>
        <v>E5_4_99_62</v>
      </c>
      <c r="F980" s="19" t="s">
        <v>18655</v>
      </c>
      <c r="G980" s="19" t="s">
        <v>18655</v>
      </c>
      <c r="H980" s="19" t="s">
        <v>18656</v>
      </c>
      <c r="I980" s="19" t="s">
        <v>18656</v>
      </c>
      <c r="J980" s="2" t="str">
        <f t="shared" si="2"/>
        <v>(${Variables:E5_4_99_62_kcat} * E5_4_99_62 * C08353)/(${Variables:E5_4_99_62_km} + (E5_4_99_62 * C08353))</v>
      </c>
      <c r="K980" s="2" t="str">
        <f t="shared" si="3"/>
        <v>r979: C08353 -&gt; C16639 | (${Variables:E5_4_99_62_kcat} * E5_4_99_62 * C08353)/(${Variables:E5_4_99_62_km} + (E5_4_99_62 * C08353))</v>
      </c>
    </row>
    <row r="981">
      <c r="A981" s="2" t="s">
        <v>8384</v>
      </c>
      <c r="B981" s="2" t="s">
        <v>8385</v>
      </c>
      <c r="C981" s="2" t="s">
        <v>25402</v>
      </c>
      <c r="D981" s="18">
        <v>980.0</v>
      </c>
      <c r="E981" s="2" t="str">
        <f t="shared" si="1"/>
        <v>E6_1_1_1</v>
      </c>
      <c r="F981" s="19" t="s">
        <v>28608</v>
      </c>
      <c r="G981" s="19" t="s">
        <v>28609</v>
      </c>
      <c r="H981" s="19" t="s">
        <v>28610</v>
      </c>
      <c r="I981" s="19" t="s">
        <v>28611</v>
      </c>
      <c r="J981" s="2" t="str">
        <f t="shared" si="2"/>
        <v>(${Variables:E6_1_1_1_kcat} * E6_1_1_1 * C00002 * C00082 * C00787)/(${Variables:E6_1_1_1_km} + (E6_1_1_1 * C00002 * C00082 * C00787))</v>
      </c>
      <c r="K981" s="2" t="str">
        <f t="shared" si="3"/>
        <v>r980: C00002 + C00082 + C00787 -&gt; C00020 + C00013 + C02839 | (${Variables:E6_1_1_1_kcat} * E6_1_1_1 * C00002 * C00082 * C00787)/(${Variables:E6_1_1_1_km} + (E6_1_1_1 * C00002 * C00082 * C00787))</v>
      </c>
    </row>
    <row r="982">
      <c r="A982" s="2" t="s">
        <v>7076</v>
      </c>
      <c r="B982" s="2" t="s">
        <v>7077</v>
      </c>
      <c r="C982" s="2" t="s">
        <v>25403</v>
      </c>
      <c r="D982" s="18">
        <v>981.0</v>
      </c>
      <c r="E982" s="2" t="str">
        <f t="shared" si="1"/>
        <v>E6_1_1_10</v>
      </c>
      <c r="F982" s="19" t="s">
        <v>28612</v>
      </c>
      <c r="G982" s="19" t="s">
        <v>28613</v>
      </c>
      <c r="H982" s="19" t="s">
        <v>28614</v>
      </c>
      <c r="I982" s="19" t="s">
        <v>28615</v>
      </c>
      <c r="J982" s="2" t="str">
        <f t="shared" si="2"/>
        <v>(${Variables:E6_1_1_10_kcat} * E6_1_1_10 * C00002 * C00073 * C01647)/(${Variables:E6_1_1_10_km} + (E6_1_1_10 * C00002 * C00073 * C01647))</v>
      </c>
      <c r="K982" s="2" t="str">
        <f t="shared" si="3"/>
        <v>r981: C00002 + C00073 + C01647 -&gt; C00020 + C00013 + C02430 | (${Variables:E6_1_1_10_kcat} * E6_1_1_10 * C00002 * C00073 * C01647)/(${Variables:E6_1_1_10_km} + (E6_1_1_10 * C00002 * C00073 * C01647))</v>
      </c>
    </row>
    <row r="983">
      <c r="A983" s="2" t="s">
        <v>7076</v>
      </c>
      <c r="B983" s="2" t="s">
        <v>7077</v>
      </c>
      <c r="C983" s="2" t="s">
        <v>25403</v>
      </c>
      <c r="D983" s="18">
        <v>982.0</v>
      </c>
      <c r="E983" s="2" t="str">
        <f t="shared" si="1"/>
        <v>E6_1_1_10</v>
      </c>
      <c r="F983" s="19" t="s">
        <v>28616</v>
      </c>
      <c r="G983" s="19" t="s">
        <v>28617</v>
      </c>
      <c r="H983" s="19" t="s">
        <v>28618</v>
      </c>
      <c r="I983" s="19" t="s">
        <v>28619</v>
      </c>
      <c r="J983" s="2" t="str">
        <f t="shared" si="2"/>
        <v>(${Variables:E6_1_1_10_kcat} * E6_1_1_10 * C00002 * C05335 * C01647)/(${Variables:E6_1_1_10_km} + (E6_1_1_10 * C00002 * C05335 * C01647))</v>
      </c>
      <c r="K983" s="2" t="str">
        <f t="shared" si="3"/>
        <v>r982: C00002 + C05335 + C01647 -&gt; C00020 + C00013 + C05336 | (${Variables:E6_1_1_10_kcat} * E6_1_1_10 * C00002 * C05335 * C01647)/(${Variables:E6_1_1_10_km} + (E6_1_1_10 * C00002 * C05335 * C01647))</v>
      </c>
    </row>
    <row r="984">
      <c r="A984" s="2" t="s">
        <v>10158</v>
      </c>
      <c r="B984" s="2" t="s">
        <v>10159</v>
      </c>
      <c r="C984" s="2" t="s">
        <v>25404</v>
      </c>
      <c r="D984" s="18">
        <v>983.0</v>
      </c>
      <c r="E984" s="2" t="str">
        <f t="shared" si="1"/>
        <v>E6_1_1_12</v>
      </c>
      <c r="F984" s="19" t="s">
        <v>28620</v>
      </c>
      <c r="G984" s="19" t="s">
        <v>28621</v>
      </c>
      <c r="H984" s="19" t="s">
        <v>28622</v>
      </c>
      <c r="I984" s="19" t="s">
        <v>28623</v>
      </c>
      <c r="J984" s="2" t="str">
        <f t="shared" si="2"/>
        <v>(${Variables:E6_1_1_12_kcat} * E6_1_1_12 * C01638 * C00049 * C00002)/(${Variables:E6_1_1_12_km} + (E6_1_1_12 * C01638 * C00049 * C00002))</v>
      </c>
      <c r="K984" s="2" t="str">
        <f t="shared" si="3"/>
        <v>r983: C01638 + C00049 + C00002 -&gt; C02984 + C00013 + C00020 | (${Variables:E6_1_1_12_kcat} * E6_1_1_12 * C01638 * C00049 * C00002)/(${Variables:E6_1_1_12_km} + (E6_1_1_12 * C01638 * C00049 * C00002))</v>
      </c>
    </row>
    <row r="985">
      <c r="A985" s="2" t="s">
        <v>3505</v>
      </c>
      <c r="B985" s="2" t="s">
        <v>3506</v>
      </c>
      <c r="C985" s="2" t="s">
        <v>25405</v>
      </c>
      <c r="D985" s="18">
        <v>984.0</v>
      </c>
      <c r="E985" s="2" t="str">
        <f t="shared" si="1"/>
        <v>E6_1_1_13</v>
      </c>
      <c r="F985" s="19" t="s">
        <v>28624</v>
      </c>
      <c r="G985" s="19" t="s">
        <v>28625</v>
      </c>
      <c r="H985" s="19" t="s">
        <v>28626</v>
      </c>
      <c r="I985" s="19" t="s">
        <v>28627</v>
      </c>
      <c r="J985" s="2" t="str">
        <f t="shared" si="2"/>
        <v>(${Variables:E6_1_1_13_kcat} * E6_1_1_13 * C00002 * C00133 * C00653)/(${Variables:E6_1_1_13_km} + (E6_1_1_13 * C00002 * C00133 * C00653))</v>
      </c>
      <c r="K985" s="2" t="str">
        <f t="shared" si="3"/>
        <v>r984: C00002 + C00133 + C00653 -&gt; C00020 + C00013 + C04260 | (${Variables:E6_1_1_13_kcat} * E6_1_1_13 * C00002 * C00133 * C00653)/(${Variables:E6_1_1_13_km} + (E6_1_1_13 * C00002 * C00133 * C00653))</v>
      </c>
    </row>
    <row r="986">
      <c r="A986" s="2" t="s">
        <v>3505</v>
      </c>
      <c r="B986" s="2" t="s">
        <v>3506</v>
      </c>
      <c r="C986" s="2" t="s">
        <v>25405</v>
      </c>
      <c r="D986" s="18">
        <v>985.0</v>
      </c>
      <c r="E986" s="2" t="str">
        <f t="shared" si="1"/>
        <v>E6_1_1_13</v>
      </c>
      <c r="F986" s="19" t="s">
        <v>28628</v>
      </c>
      <c r="G986" s="19" t="s">
        <v>28629</v>
      </c>
      <c r="H986" s="19" t="s">
        <v>28630</v>
      </c>
      <c r="I986" s="19" t="s">
        <v>28631</v>
      </c>
      <c r="J986" s="2" t="str">
        <f t="shared" si="2"/>
        <v>(${Variables:E6_1_1_13_kcat} * E6_1_1_13 * C00002 * C00133 * G13185)/(${Variables:E6_1_1_13_km} + (E6_1_1_13 * C00002 * C00133 * G13185))</v>
      </c>
      <c r="K986" s="2" t="str">
        <f t="shared" si="3"/>
        <v>r985: C00002 + C00133 + G13185 -&gt; C00020 + C00013 + G13186 | (${Variables:E6_1_1_13_kcat} * E6_1_1_13 * C00002 * C00133 * G13185)/(${Variables:E6_1_1_13_km} + (E6_1_1_13 * C00002 * C00133 * G13185))</v>
      </c>
    </row>
    <row r="987">
      <c r="A987" s="2" t="s">
        <v>3505</v>
      </c>
      <c r="B987" s="2" t="s">
        <v>3506</v>
      </c>
      <c r="C987" s="2" t="s">
        <v>25405</v>
      </c>
      <c r="D987" s="18">
        <v>986.0</v>
      </c>
      <c r="E987" s="2" t="str">
        <f t="shared" si="1"/>
        <v>E6_1_1_13</v>
      </c>
      <c r="F987" s="19" t="s">
        <v>28632</v>
      </c>
      <c r="G987" s="19" t="s">
        <v>28633</v>
      </c>
      <c r="H987" s="19" t="s">
        <v>28634</v>
      </c>
      <c r="I987" s="19" t="s">
        <v>28635</v>
      </c>
      <c r="J987" s="2" t="str">
        <f t="shared" si="2"/>
        <v>(${Variables:E6_1_1_13_kcat} * E6_1_1_13 * C00002 * C00133 * G13167)/(${Variables:E6_1_1_13_km} + (E6_1_1_13 * C00002 * C00133 * G13167))</v>
      </c>
      <c r="K987" s="2" t="str">
        <f t="shared" si="3"/>
        <v>r986: C00002 + C00133 + G13167 -&gt; C00020 + C00013 + G13180 | (${Variables:E6_1_1_13_kcat} * E6_1_1_13 * C00002 * C00133 * G13167)/(${Variables:E6_1_1_13_km} + (E6_1_1_13 * C00002 * C00133 * G13167))</v>
      </c>
    </row>
    <row r="988">
      <c r="A988" s="2" t="s">
        <v>3505</v>
      </c>
      <c r="B988" s="2" t="s">
        <v>3506</v>
      </c>
      <c r="C988" s="2" t="s">
        <v>25405</v>
      </c>
      <c r="D988" s="18">
        <v>987.0</v>
      </c>
      <c r="E988" s="2" t="str">
        <f t="shared" si="1"/>
        <v>E6_1_1_13</v>
      </c>
      <c r="F988" s="19" t="s">
        <v>28636</v>
      </c>
      <c r="G988" s="19" t="s">
        <v>28637</v>
      </c>
      <c r="H988" s="19" t="s">
        <v>28638</v>
      </c>
      <c r="I988" s="19" t="s">
        <v>28639</v>
      </c>
      <c r="J988" s="2" t="str">
        <f t="shared" si="2"/>
        <v>(${Variables:E6_1_1_13_kcat} * E6_1_1_13 * C00002 * C00133 * G13170)/(${Variables:E6_1_1_13_km} + (E6_1_1_13 * C00002 * C00133 * G13170))</v>
      </c>
      <c r="K988" s="2" t="str">
        <f t="shared" si="3"/>
        <v>r987: C00002 + C00133 + G13170 -&gt; C00020 + C00013 + G13171 | (${Variables:E6_1_1_13_kcat} * E6_1_1_13 * C00002 * C00133 * G13170)/(${Variables:E6_1_1_13_km} + (E6_1_1_13 * C00002 * C00133 * G13170))</v>
      </c>
    </row>
    <row r="989">
      <c r="A989" s="2" t="s">
        <v>3505</v>
      </c>
      <c r="B989" s="2" t="s">
        <v>3506</v>
      </c>
      <c r="C989" s="2" t="s">
        <v>25405</v>
      </c>
      <c r="D989" s="18">
        <v>988.0</v>
      </c>
      <c r="E989" s="2" t="str">
        <f t="shared" si="1"/>
        <v>E6_1_1_13</v>
      </c>
      <c r="F989" s="19" t="s">
        <v>28640</v>
      </c>
      <c r="G989" s="19" t="s">
        <v>28641</v>
      </c>
      <c r="H989" s="19" t="s">
        <v>28642</v>
      </c>
      <c r="I989" s="19" t="s">
        <v>28643</v>
      </c>
      <c r="J989" s="2" t="str">
        <f t="shared" si="2"/>
        <v>(${Variables:E6_1_1_13_kcat} * E6_1_1_13 * C00002 * C00133 * G13174)/(${Variables:E6_1_1_13_km} + (E6_1_1_13 * C00002 * C00133 * G13174))</v>
      </c>
      <c r="K989" s="2" t="str">
        <f t="shared" si="3"/>
        <v>r988: C00002 + C00133 + G13174 -&gt; C00020 + C00013 + G13175 | (${Variables:E6_1_1_13_kcat} * E6_1_1_13 * C00002 * C00133 * G13174)/(${Variables:E6_1_1_13_km} + (E6_1_1_13 * C00002 * C00133 * G13174))</v>
      </c>
    </row>
    <row r="990">
      <c r="A990" s="2" t="s">
        <v>3505</v>
      </c>
      <c r="B990" s="2" t="s">
        <v>3506</v>
      </c>
      <c r="C990" s="2" t="s">
        <v>25405</v>
      </c>
      <c r="D990" s="18">
        <v>989.0</v>
      </c>
      <c r="E990" s="2" t="str">
        <f t="shared" si="1"/>
        <v>E6_1_1_13</v>
      </c>
      <c r="F990" s="19" t="s">
        <v>28644</v>
      </c>
      <c r="G990" s="19" t="s">
        <v>28645</v>
      </c>
      <c r="H990" s="19" t="s">
        <v>28646</v>
      </c>
      <c r="I990" s="19" t="s">
        <v>28647</v>
      </c>
      <c r="J990" s="2" t="str">
        <f t="shared" si="2"/>
        <v>(${Variables:E6_1_1_13_kcat} * E6_1_1_13 * C00002 * C00133 * G13176)/(${Variables:E6_1_1_13_km} + (E6_1_1_13 * C00002 * C00133 * G13176))</v>
      </c>
      <c r="K990" s="2" t="str">
        <f t="shared" si="3"/>
        <v>r989: C00002 + C00133 + G13176 -&gt; C00020 + C00013 + G13177 | (${Variables:E6_1_1_13_kcat} * E6_1_1_13 * C00002 * C00133 * G13176)/(${Variables:E6_1_1_13_km} + (E6_1_1_13 * C00002 * C00133 * G13176))</v>
      </c>
    </row>
    <row r="991">
      <c r="A991" s="2" t="s">
        <v>3505</v>
      </c>
      <c r="B991" s="2" t="s">
        <v>3506</v>
      </c>
      <c r="C991" s="2" t="s">
        <v>25405</v>
      </c>
      <c r="D991" s="18">
        <v>990.0</v>
      </c>
      <c r="E991" s="2" t="str">
        <f t="shared" si="1"/>
        <v>E6_1_1_13</v>
      </c>
      <c r="F991" s="19" t="s">
        <v>28648</v>
      </c>
      <c r="G991" s="19" t="s">
        <v>28649</v>
      </c>
      <c r="H991" s="19" t="s">
        <v>28650</v>
      </c>
      <c r="I991" s="19" t="s">
        <v>28651</v>
      </c>
      <c r="J991" s="2" t="str">
        <f t="shared" si="2"/>
        <v>(${Variables:E6_1_1_13_kcat} * E6_1_1_13 * C00002 * C00133 * G13178)/(${Variables:E6_1_1_13_km} + (E6_1_1_13 * C00002 * C00133 * G13178))</v>
      </c>
      <c r="K991" s="2" t="str">
        <f t="shared" si="3"/>
        <v>r990: C00002 + C00133 + G13178 -&gt; C00020 + C00013 + G13179 | (${Variables:E6_1_1_13_kcat} * E6_1_1_13 * C00002 * C00133 * G13178)/(${Variables:E6_1_1_13_km} + (E6_1_1_13 * C00002 * C00133 * G13178))</v>
      </c>
    </row>
    <row r="992">
      <c r="A992" s="2" t="s">
        <v>3505</v>
      </c>
      <c r="B992" s="2" t="s">
        <v>3506</v>
      </c>
      <c r="C992" s="2" t="s">
        <v>25405</v>
      </c>
      <c r="D992" s="18">
        <v>991.0</v>
      </c>
      <c r="E992" s="2" t="str">
        <f t="shared" si="1"/>
        <v>E6_1_1_13</v>
      </c>
      <c r="F992" s="19" t="s">
        <v>28652</v>
      </c>
      <c r="G992" s="19" t="s">
        <v>28653</v>
      </c>
      <c r="H992" s="19" t="s">
        <v>28654</v>
      </c>
      <c r="I992" s="19" t="s">
        <v>28655</v>
      </c>
      <c r="J992" s="2" t="str">
        <f t="shared" si="2"/>
        <v>(${Variables:E6_1_1_13_kcat} * E6_1_1_13 * C00002 * C00133 * G13192)/(${Variables:E6_1_1_13_km} + (E6_1_1_13 * C00002 * C00133 * G13192))</v>
      </c>
      <c r="K992" s="2" t="str">
        <f t="shared" si="3"/>
        <v>r991: C00002 + C00133 + G13192 -&gt; C00020 + C00013 + G13193 | (${Variables:E6_1_1_13_kcat} * E6_1_1_13 * C00002 * C00133 * G13192)/(${Variables:E6_1_1_13_km} + (E6_1_1_13 * C00002 * C00133 * G13192))</v>
      </c>
    </row>
    <row r="993">
      <c r="A993" s="2" t="s">
        <v>5989</v>
      </c>
      <c r="B993" s="2" t="s">
        <v>5990</v>
      </c>
      <c r="C993" s="2" t="s">
        <v>25406</v>
      </c>
      <c r="D993" s="18">
        <v>992.0</v>
      </c>
      <c r="E993" s="2" t="str">
        <f t="shared" si="1"/>
        <v>E6_1_1_15</v>
      </c>
      <c r="F993" s="19" t="s">
        <v>28656</v>
      </c>
      <c r="G993" s="19" t="s">
        <v>28657</v>
      </c>
      <c r="H993" s="19" t="s">
        <v>28658</v>
      </c>
      <c r="I993" s="19" t="s">
        <v>28659</v>
      </c>
      <c r="J993" s="2" t="str">
        <f t="shared" si="2"/>
        <v>(${Variables:E6_1_1_15_kcat} * E6_1_1_15 * C00002 * C00148 * C01649)/(${Variables:E6_1_1_15_km} + (E6_1_1_15 * C00002 * C00148 * C01649))</v>
      </c>
      <c r="K993" s="2" t="str">
        <f t="shared" si="3"/>
        <v>r992: C00002 + C00148 + C01649 -&gt; C00020 + C00013 + C02702 | (${Variables:E6_1_1_15_kcat} * E6_1_1_15 * C00002 * C00148 * C01649)/(${Variables:E6_1_1_15_km} + (E6_1_1_15 * C00002 * C00148 * C01649))</v>
      </c>
    </row>
    <row r="994">
      <c r="A994" s="2" t="s">
        <v>6876</v>
      </c>
      <c r="B994" s="2" t="s">
        <v>6877</v>
      </c>
      <c r="C994" s="2" t="s">
        <v>25407</v>
      </c>
      <c r="D994" s="18">
        <v>993.0</v>
      </c>
      <c r="E994" s="2" t="str">
        <f t="shared" si="1"/>
        <v>E6_1_1_16</v>
      </c>
      <c r="F994" s="19" t="s">
        <v>28660</v>
      </c>
      <c r="G994" s="19" t="s">
        <v>28661</v>
      </c>
      <c r="H994" s="19" t="s">
        <v>28662</v>
      </c>
      <c r="I994" s="19" t="s">
        <v>28663</v>
      </c>
      <c r="J994" s="2" t="str">
        <f t="shared" si="2"/>
        <v>(${Variables:E6_1_1_16_kcat} * E6_1_1_16 * C00002 * C00097 * C01639)/(${Variables:E6_1_1_16_km} + (E6_1_1_16 * C00002 * C00097 * C01639))</v>
      </c>
      <c r="K994" s="2" t="str">
        <f t="shared" si="3"/>
        <v>r993: C00002 + C00097 + C01639 -&gt; C00020 + C00013 + C03125 | (${Variables:E6_1_1_16_kcat} * E6_1_1_16 * C00002 * C00097 * C01639)/(${Variables:E6_1_1_16_km} + (E6_1_1_16 * C00002 * C00097 * C01639))</v>
      </c>
    </row>
    <row r="995">
      <c r="A995" s="2" t="s">
        <v>6884</v>
      </c>
      <c r="B995" s="2" t="s">
        <v>6885</v>
      </c>
      <c r="C995" s="2" t="s">
        <v>25408</v>
      </c>
      <c r="D995" s="18">
        <v>994.0</v>
      </c>
      <c r="E995" s="2" t="str">
        <f t="shared" si="1"/>
        <v>E6_1_1_17</v>
      </c>
      <c r="F995" s="19" t="s">
        <v>28664</v>
      </c>
      <c r="G995" s="19" t="s">
        <v>28665</v>
      </c>
      <c r="H995" s="19" t="s">
        <v>28666</v>
      </c>
      <c r="I995" s="19" t="s">
        <v>28667</v>
      </c>
      <c r="J995" s="2" t="str">
        <f t="shared" si="2"/>
        <v>(${Variables:E6_1_1_17_kcat} * E6_1_1_17 * C01641 * C00025 * C00002)/(${Variables:E6_1_1_17_km} + (E6_1_1_17 * C01641 * C00025 * C00002))</v>
      </c>
      <c r="K995" s="2" t="str">
        <f t="shared" si="3"/>
        <v>r994: C01641 + C00025 + C00002 -&gt; C02987 + C00013 + C00020 | (${Variables:E6_1_1_17_kcat} * E6_1_1_17 * C01641 * C00025 * C00002)/(${Variables:E6_1_1_17_km} + (E6_1_1_17 * C01641 * C00025 * C00002))</v>
      </c>
    </row>
    <row r="996">
      <c r="A996" s="2" t="s">
        <v>1251</v>
      </c>
      <c r="B996" s="2" t="s">
        <v>1252</v>
      </c>
      <c r="C996" s="2" t="s">
        <v>25409</v>
      </c>
      <c r="D996" s="18">
        <v>995.0</v>
      </c>
      <c r="E996" s="2" t="str">
        <f t="shared" si="1"/>
        <v>E6_1_1_19</v>
      </c>
      <c r="F996" s="19" t="s">
        <v>28668</v>
      </c>
      <c r="G996" s="19" t="s">
        <v>28669</v>
      </c>
      <c r="H996" s="19" t="s">
        <v>28670</v>
      </c>
      <c r="I996" s="19" t="s">
        <v>28671</v>
      </c>
      <c r="J996" s="2" t="str">
        <f t="shared" si="2"/>
        <v>(${Variables:E6_1_1_19_kcat} * E6_1_1_19 * C00002 * C00062 * C01636)/(${Variables:E6_1_1_19_km} + (E6_1_1_19 * C00002 * C00062 * C01636))</v>
      </c>
      <c r="K996" s="2" t="str">
        <f t="shared" si="3"/>
        <v>r995: C00002 + C00062 + C01636 -&gt; C00020 + C00013 + C02163 | (${Variables:E6_1_1_19_kcat} * E6_1_1_19 * C00002 * C00062 * C01636)/(${Variables:E6_1_1_19_km} + (E6_1_1_19 * C00002 * C00062 * C01636))</v>
      </c>
    </row>
    <row r="997">
      <c r="A997" s="2" t="s">
        <v>4042</v>
      </c>
      <c r="B997" s="2" t="s">
        <v>4043</v>
      </c>
      <c r="C997" s="2" t="s">
        <v>25410</v>
      </c>
      <c r="D997" s="18">
        <v>996.0</v>
      </c>
      <c r="E997" s="2" t="str">
        <f t="shared" si="1"/>
        <v>E6_1_1_2</v>
      </c>
      <c r="F997" s="19" t="s">
        <v>28672</v>
      </c>
      <c r="G997" s="19" t="s">
        <v>28673</v>
      </c>
      <c r="H997" s="19" t="s">
        <v>28674</v>
      </c>
      <c r="I997" s="19" t="s">
        <v>28675</v>
      </c>
      <c r="J997" s="2" t="str">
        <f t="shared" si="2"/>
        <v>(${Variables:E6_1_1_2_kcat} * E6_1_1_2 * C00002 * C00078 * C01652)/(${Variables:E6_1_1_2_km} + (E6_1_1_2 * C00002 * C00078 * C01652))</v>
      </c>
      <c r="K997" s="2" t="str">
        <f t="shared" si="3"/>
        <v>r996: C00002 + C00078 + C01652 -&gt; C00020 + C00013 + C03512 | (${Variables:E6_1_1_2_kcat} * E6_1_1_2 * C00002 * C00078 * C01652)/(${Variables:E6_1_1_2_km} + (E6_1_1_2 * C00002 * C00078 * C01652))</v>
      </c>
    </row>
    <row r="998">
      <c r="A998" s="2" t="s">
        <v>9674</v>
      </c>
      <c r="B998" s="2" t="s">
        <v>9675</v>
      </c>
      <c r="C998" s="2" t="s">
        <v>25411</v>
      </c>
      <c r="D998" s="18">
        <v>997.0</v>
      </c>
      <c r="E998" s="2" t="str">
        <f t="shared" si="1"/>
        <v>E6_1_1_20</v>
      </c>
      <c r="F998" s="19" t="s">
        <v>28676</v>
      </c>
      <c r="G998" s="19" t="s">
        <v>28677</v>
      </c>
      <c r="H998" s="19" t="s">
        <v>28678</v>
      </c>
      <c r="I998" s="19" t="s">
        <v>28679</v>
      </c>
      <c r="J998" s="2" t="str">
        <f t="shared" si="2"/>
        <v>(${Variables:E6_1_1_20_kcat} * E6_1_1_20 * C00002 * C00079 * C01648)/(${Variables:E6_1_1_20_km} + (E6_1_1_20 * C00002 * C00079 * C01648))</v>
      </c>
      <c r="K998" s="2" t="str">
        <f t="shared" si="3"/>
        <v>r997: C00002 + C00079 + C01648 -&gt; C00020 + C00013 + C03511 | (${Variables:E6_1_1_20_kcat} * E6_1_1_20 * C00002 * C00079 * C01648)/(${Variables:E6_1_1_20_km} + (E6_1_1_20 * C00002 * C00079 * C01648))</v>
      </c>
    </row>
    <row r="999">
      <c r="A999" s="2" t="s">
        <v>10155</v>
      </c>
      <c r="B999" s="2" t="s">
        <v>10156</v>
      </c>
      <c r="C999" s="2" t="s">
        <v>25412</v>
      </c>
      <c r="D999" s="18">
        <v>998.0</v>
      </c>
      <c r="E999" s="2" t="str">
        <f t="shared" si="1"/>
        <v>E6_1_1_21</v>
      </c>
      <c r="F999" s="19" t="s">
        <v>28680</v>
      </c>
      <c r="G999" s="19" t="s">
        <v>28681</v>
      </c>
      <c r="H999" s="19" t="s">
        <v>28682</v>
      </c>
      <c r="I999" s="19" t="s">
        <v>28683</v>
      </c>
      <c r="J999" s="2" t="str">
        <f t="shared" si="2"/>
        <v>(${Variables:E6_1_1_21_kcat} * E6_1_1_21 * C00002 * C00135 * C01643)/(${Variables:E6_1_1_21_km} + (E6_1_1_21 * C00002 * C00135 * C01643))</v>
      </c>
      <c r="K999" s="2" t="str">
        <f t="shared" si="3"/>
        <v>r998: C00002 + C00135 + C01643 -&gt; C00020 + C00013 + C02988 | (${Variables:E6_1_1_21_kcat} * E6_1_1_21 * C00002 * C00135 * C01643)/(${Variables:E6_1_1_21_km} + (E6_1_1_21 * C00002 * C00135 * C01643))</v>
      </c>
    </row>
    <row r="1000">
      <c r="A1000" s="2" t="s">
        <v>9681</v>
      </c>
      <c r="B1000" s="2" t="s">
        <v>9682</v>
      </c>
      <c r="C1000" s="2" t="s">
        <v>25413</v>
      </c>
      <c r="D1000" s="18">
        <v>999.0</v>
      </c>
      <c r="E1000" s="2" t="str">
        <f t="shared" si="1"/>
        <v>E6_1_1_22</v>
      </c>
      <c r="F1000" s="19" t="s">
        <v>28684</v>
      </c>
      <c r="G1000" s="19" t="s">
        <v>28685</v>
      </c>
      <c r="H1000" s="19" t="s">
        <v>28686</v>
      </c>
      <c r="I1000" s="19" t="s">
        <v>28687</v>
      </c>
      <c r="J1000" s="2" t="str">
        <f t="shared" si="2"/>
        <v>(${Variables:E6_1_1_22_kcat} * E6_1_1_22 * C00002 * C00152 * C01637)/(${Variables:E6_1_1_22_km} + (E6_1_1_22 * C00002 * C00152 * C01637))</v>
      </c>
      <c r="K1000" s="2" t="str">
        <f t="shared" si="3"/>
        <v>r999: C00002 + C00152 + C01637 -&gt; C00020 + C00013 + C03402 | (${Variables:E6_1_1_22_kcat} * E6_1_1_22 * C00002 * C00152 * C01637)/(${Variables:E6_1_1_22_km} + (E6_1_1_22 * C00002 * C00152 * C01637))</v>
      </c>
    </row>
    <row r="1001">
      <c r="A1001" s="2" t="s">
        <v>1226</v>
      </c>
      <c r="B1001" s="2" t="s">
        <v>1227</v>
      </c>
      <c r="C1001" s="2" t="s">
        <v>25414</v>
      </c>
      <c r="D1001" s="18">
        <v>1000.0</v>
      </c>
      <c r="E1001" s="2" t="str">
        <f t="shared" si="1"/>
        <v>E6_1_1_23</v>
      </c>
      <c r="F1001" s="19" t="s">
        <v>28688</v>
      </c>
      <c r="G1001" s="19" t="s">
        <v>28689</v>
      </c>
      <c r="H1001" s="19" t="s">
        <v>28690</v>
      </c>
      <c r="I1001" s="19" t="s">
        <v>28691</v>
      </c>
      <c r="J1001" s="2" t="str">
        <f t="shared" si="2"/>
        <v>(${Variables:E6_1_1_23_kcat} * E6_1_1_23 * C00002 * C00049 * C01637)/(${Variables:E6_1_1_23_km} + (E6_1_1_23 * C00002 * C00049 * C01637))</v>
      </c>
      <c r="K1001" s="2" t="str">
        <f t="shared" si="3"/>
        <v>r1000: C00002 + C00049 + C01637 -&gt; C00020 + C00013 + C06113 | (${Variables:E6_1_1_23_kcat} * E6_1_1_23 * C00002 * C00049 * C01637)/(${Variables:E6_1_1_23_km} + (E6_1_1_23 * C00002 * C00049 * C01637))</v>
      </c>
    </row>
    <row r="1002">
      <c r="A1002" s="2" t="s">
        <v>1226</v>
      </c>
      <c r="B1002" s="2" t="s">
        <v>1227</v>
      </c>
      <c r="C1002" s="2" t="s">
        <v>25414</v>
      </c>
      <c r="D1002" s="18">
        <v>1001.0</v>
      </c>
      <c r="E1002" s="2" t="str">
        <f t="shared" si="1"/>
        <v>E6_1_1_23</v>
      </c>
      <c r="F1002" s="19" t="s">
        <v>28620</v>
      </c>
      <c r="G1002" s="19" t="s">
        <v>28621</v>
      </c>
      <c r="H1002" s="19" t="s">
        <v>28622</v>
      </c>
      <c r="I1002" s="19" t="s">
        <v>28623</v>
      </c>
      <c r="J1002" s="2" t="str">
        <f t="shared" si="2"/>
        <v>(${Variables:E6_1_1_23_kcat} * E6_1_1_23 * C01638 * C00049 * C00002)/(${Variables:E6_1_1_23_km} + (E6_1_1_23 * C01638 * C00049 * C00002))</v>
      </c>
      <c r="K1002" s="2" t="str">
        <f t="shared" si="3"/>
        <v>r1001: C01638 + C00049 + C00002 -&gt; C02984 + C00013 + C00020 | (${Variables:E6_1_1_23_kcat} * E6_1_1_23 * C01638 * C00049 * C00002)/(${Variables:E6_1_1_23_km} + (E6_1_1_23 * C01638 * C00049 * C00002))</v>
      </c>
    </row>
    <row r="1003">
      <c r="A1003" s="2" t="s">
        <v>807</v>
      </c>
      <c r="B1003" s="2" t="s">
        <v>808</v>
      </c>
      <c r="C1003" s="2" t="s">
        <v>25415</v>
      </c>
      <c r="D1003" s="18">
        <v>1002.0</v>
      </c>
      <c r="E1003" s="2" t="str">
        <f t="shared" si="1"/>
        <v>E6_1_1_3</v>
      </c>
      <c r="F1003" s="19" t="s">
        <v>28692</v>
      </c>
      <c r="G1003" s="19" t="s">
        <v>28693</v>
      </c>
      <c r="H1003" s="19" t="s">
        <v>28694</v>
      </c>
      <c r="I1003" s="19" t="s">
        <v>28695</v>
      </c>
      <c r="J1003" s="2" t="str">
        <f t="shared" si="2"/>
        <v>(${Variables:E6_1_1_3_kcat} * E6_1_1_3 * C00002 * C00188 * C01651)/(${Variables:E6_1_1_3_km} + (E6_1_1_3 * C00002 * C00188 * C01651))</v>
      </c>
      <c r="K1003" s="2" t="str">
        <f t="shared" si="3"/>
        <v>r1002: C00002 + C00188 + C01651 -&gt; C00020 + C00013 + C02992 | (${Variables:E6_1_1_3_kcat} * E6_1_1_3 * C00002 * C00188 * C01651)/(${Variables:E6_1_1_3_km} + (E6_1_1_3 * C00002 * C00188 * C01651))</v>
      </c>
    </row>
    <row r="1004">
      <c r="A1004" s="2" t="s">
        <v>9179</v>
      </c>
      <c r="B1004" s="2" t="s">
        <v>9180</v>
      </c>
      <c r="C1004" s="2" t="s">
        <v>25416</v>
      </c>
      <c r="D1004" s="18">
        <v>1003.0</v>
      </c>
      <c r="E1004" s="2" t="str">
        <f t="shared" si="1"/>
        <v>E6_1_1_4</v>
      </c>
      <c r="F1004" s="19" t="s">
        <v>28696</v>
      </c>
      <c r="G1004" s="19" t="s">
        <v>28697</v>
      </c>
      <c r="H1004" s="19" t="s">
        <v>28698</v>
      </c>
      <c r="I1004" s="19" t="s">
        <v>28699</v>
      </c>
      <c r="J1004" s="2" t="str">
        <f t="shared" si="2"/>
        <v>(${Variables:E6_1_1_4_kcat} * E6_1_1_4 * C00002 * C00123 * C01645)/(${Variables:E6_1_1_4_km} + (E6_1_1_4 * C00002 * C00123 * C01645))</v>
      </c>
      <c r="K1004" s="2" t="str">
        <f t="shared" si="3"/>
        <v>r1003: C00002 + C00123 + C01645 -&gt; C00020 + C00013 + C02047 | (${Variables:E6_1_1_4_kcat} * E6_1_1_4 * C00002 * C00123 * C01645)/(${Variables:E6_1_1_4_km} + (E6_1_1_4 * C00002 * C00123 * C01645))</v>
      </c>
    </row>
    <row r="1005">
      <c r="A1005" s="2" t="s">
        <v>11668</v>
      </c>
      <c r="B1005" s="2" t="s">
        <v>11669</v>
      </c>
      <c r="C1005" s="2" t="s">
        <v>25417</v>
      </c>
      <c r="D1005" s="18">
        <v>1004.0</v>
      </c>
      <c r="E1005" s="2" t="str">
        <f t="shared" si="1"/>
        <v>E6_1_1_5</v>
      </c>
      <c r="F1005" s="19" t="s">
        <v>28700</v>
      </c>
      <c r="G1005" s="19" t="s">
        <v>28701</v>
      </c>
      <c r="H1005" s="19" t="s">
        <v>28702</v>
      </c>
      <c r="I1005" s="19" t="s">
        <v>28703</v>
      </c>
      <c r="J1005" s="2" t="str">
        <f t="shared" si="2"/>
        <v>(${Variables:E6_1_1_5_kcat} * E6_1_1_5 * C00002 * C00407 * C01644)/(${Variables:E6_1_1_5_km} + (E6_1_1_5 * C00002 * C00407 * C01644))</v>
      </c>
      <c r="K1005" s="2" t="str">
        <f t="shared" si="3"/>
        <v>r1004: C00002 + C00407 + C01644 -&gt; C00020 + C00013 + C03127 | (${Variables:E6_1_1_5_kcat} * E6_1_1_5 * C00002 * C00407 * C01644)/(${Variables:E6_1_1_5_km} + (E6_1_1_5 * C00002 * C00407 * C01644))</v>
      </c>
    </row>
    <row r="1006">
      <c r="A1006" s="2" t="s">
        <v>281</v>
      </c>
      <c r="B1006" s="2" t="s">
        <v>282</v>
      </c>
      <c r="C1006" s="2" t="s">
        <v>25418</v>
      </c>
      <c r="D1006" s="18">
        <v>1005.0</v>
      </c>
      <c r="E1006" s="2" t="str">
        <f t="shared" si="1"/>
        <v>E6_1_1_6</v>
      </c>
      <c r="F1006" s="19" t="s">
        <v>28704</v>
      </c>
      <c r="G1006" s="19" t="s">
        <v>28705</v>
      </c>
      <c r="H1006" s="19" t="s">
        <v>28706</v>
      </c>
      <c r="I1006" s="19" t="s">
        <v>28707</v>
      </c>
      <c r="J1006" s="2" t="str">
        <f t="shared" si="2"/>
        <v>(${Variables:E6_1_1_6_kcat} * E6_1_1_6 * C00002 * C00047 * C01646)/(${Variables:E6_1_1_6_km} + (E6_1_1_6 * C00002 * C00047 * C01646))</v>
      </c>
      <c r="K1006" s="2" t="str">
        <f t="shared" si="3"/>
        <v>r1005: C00002 + C00047 + C01646 -&gt; C00020 + C00013 + C01931 | (${Variables:E6_1_1_6_kcat} * E6_1_1_6 * C00002 * C00047 * C01646)/(${Variables:E6_1_1_6_km} + (E6_1_1_6 * C00002 * C00047 * C01646))</v>
      </c>
    </row>
    <row r="1007">
      <c r="A1007" s="2" t="s">
        <v>10197</v>
      </c>
      <c r="B1007" s="2" t="s">
        <v>10198</v>
      </c>
      <c r="C1007" s="2" t="s">
        <v>25419</v>
      </c>
      <c r="D1007" s="18">
        <v>1006.0</v>
      </c>
      <c r="E1007" s="2" t="str">
        <f t="shared" si="1"/>
        <v>E6_1_1_7</v>
      </c>
      <c r="F1007" s="19" t="s">
        <v>28708</v>
      </c>
      <c r="G1007" s="19" t="s">
        <v>28709</v>
      </c>
      <c r="H1007" s="19" t="s">
        <v>28710</v>
      </c>
      <c r="I1007" s="19" t="s">
        <v>28711</v>
      </c>
      <c r="J1007" s="2" t="str">
        <f t="shared" si="2"/>
        <v>(${Variables:E6_1_1_7_kcat} * E6_1_1_7 * C00002 * C00041 * C01635)/(${Variables:E6_1_1_7_km} + (E6_1_1_7 * C00002 * C00041 * C01635))</v>
      </c>
      <c r="K1007" s="2" t="str">
        <f t="shared" si="3"/>
        <v>r1006: C00002 + C00041 + C01635 -&gt; C00020 + C00013 + C00886 | (${Variables:E6_1_1_7_kcat} * E6_1_1_7 * C00002 * C00041 * C01635)/(${Variables:E6_1_1_7_km} + (E6_1_1_7 * C00002 * C00041 * C01635))</v>
      </c>
    </row>
    <row r="1008">
      <c r="A1008" s="2" t="s">
        <v>9957</v>
      </c>
      <c r="B1008" s="2" t="s">
        <v>9958</v>
      </c>
      <c r="C1008" s="2" t="s">
        <v>25420</v>
      </c>
      <c r="D1008" s="18">
        <v>1007.0</v>
      </c>
      <c r="E1008" s="2" t="str">
        <f t="shared" si="1"/>
        <v>E6_1_1_9</v>
      </c>
      <c r="F1008" s="19" t="s">
        <v>28712</v>
      </c>
      <c r="G1008" s="19" t="s">
        <v>28713</v>
      </c>
      <c r="H1008" s="19" t="s">
        <v>28714</v>
      </c>
      <c r="I1008" s="19" t="s">
        <v>28715</v>
      </c>
      <c r="J1008" s="2" t="str">
        <f t="shared" si="2"/>
        <v>(${Variables:E6_1_1_9_kcat} * E6_1_1_9 * C00002 * C00183 * C01653)/(${Variables:E6_1_1_9_km} + (E6_1_1_9 * C00002 * C00183 * C01653))</v>
      </c>
      <c r="K1008" s="2" t="str">
        <f t="shared" si="3"/>
        <v>r1007: C00002 + C00183 + C01653 -&gt; C00020 + C00013 + C02554 | (${Variables:E6_1_1_9_kcat} * E6_1_1_9 * C00002 * C00183 * C01653)/(${Variables:E6_1_1_9_km} + (E6_1_1_9 * C00002 * C00183 * C01653))</v>
      </c>
    </row>
    <row r="1009">
      <c r="A1009" s="2" t="s">
        <v>9381</v>
      </c>
      <c r="B1009" s="2" t="s">
        <v>9382</v>
      </c>
      <c r="C1009" s="2" t="s">
        <v>25421</v>
      </c>
      <c r="D1009" s="18">
        <v>1008.0</v>
      </c>
      <c r="E1009" s="2" t="str">
        <f t="shared" si="1"/>
        <v>E6_2_1_1</v>
      </c>
      <c r="F1009" s="19" t="s">
        <v>28716</v>
      </c>
      <c r="G1009" s="19" t="s">
        <v>28717</v>
      </c>
      <c r="H1009" s="19" t="s">
        <v>28718</v>
      </c>
      <c r="I1009" s="19" t="s">
        <v>28719</v>
      </c>
      <c r="J1009" s="2" t="str">
        <f t="shared" si="2"/>
        <v>(${Variables:E6_2_1_1_kcat} * E6_2_1_1 * C00002 * C00033 * C00010)/(${Variables:E6_2_1_1_km} + (E6_2_1_1 * C00002 * C00033 * C00010))</v>
      </c>
      <c r="K1009" s="2" t="str">
        <f t="shared" si="3"/>
        <v>r1008: C00002 + C00033 + C00010 -&gt; C00020 + C00013 + C00024 | (${Variables:E6_2_1_1_kcat} * E6_2_1_1 * C00002 * C00033 * C00010)/(${Variables:E6_2_1_1_km} + (E6_2_1_1 * C00002 * C00033 * C00010))</v>
      </c>
    </row>
    <row r="1010">
      <c r="A1010" s="2" t="s">
        <v>9381</v>
      </c>
      <c r="B1010" s="2" t="s">
        <v>9382</v>
      </c>
      <c r="C1010" s="2" t="s">
        <v>25421</v>
      </c>
      <c r="D1010" s="18">
        <v>1009.0</v>
      </c>
      <c r="E1010" s="2" t="str">
        <f t="shared" si="1"/>
        <v>E6_2_1_1</v>
      </c>
      <c r="F1010" s="19" t="s">
        <v>28720</v>
      </c>
      <c r="G1010" s="19" t="s">
        <v>28721</v>
      </c>
      <c r="H1010" s="19" t="s">
        <v>28722</v>
      </c>
      <c r="I1010" s="19" t="s">
        <v>28723</v>
      </c>
      <c r="J1010" s="2" t="str">
        <f t="shared" si="2"/>
        <v>(${Variables:E6_2_1_1_kcat} * E6_2_1_1 * C05993 * C00010)/(${Variables:E6_2_1_1_km} + (E6_2_1_1 * C05993 * C00010))</v>
      </c>
      <c r="K1010" s="2" t="str">
        <f t="shared" si="3"/>
        <v>r1009: C05993 + C00010 -&gt; C00020 + C00024 | (${Variables:E6_2_1_1_kcat} * E6_2_1_1 * C05993 * C00010)/(${Variables:E6_2_1_1_km} + (E6_2_1_1 * C05993 * C00010))</v>
      </c>
    </row>
    <row r="1011">
      <c r="A1011" s="2" t="s">
        <v>9381</v>
      </c>
      <c r="B1011" s="2" t="s">
        <v>9382</v>
      </c>
      <c r="C1011" s="2" t="s">
        <v>25421</v>
      </c>
      <c r="D1011" s="18">
        <v>1010.0</v>
      </c>
      <c r="E1011" s="2" t="str">
        <f t="shared" si="1"/>
        <v>E6_2_1_1</v>
      </c>
      <c r="F1011" s="19" t="s">
        <v>28724</v>
      </c>
      <c r="G1011" s="19" t="s">
        <v>28725</v>
      </c>
      <c r="H1011" s="19" t="s">
        <v>28726</v>
      </c>
      <c r="I1011" s="19" t="s">
        <v>28727</v>
      </c>
      <c r="J1011" s="2" t="str">
        <f t="shared" si="2"/>
        <v>(${Variables:E6_2_1_1_kcat} * E6_2_1_1 * C00002 * C00033)/(${Variables:E6_2_1_1_km} + (E6_2_1_1 * C00002 * C00033))</v>
      </c>
      <c r="K1011" s="2" t="str">
        <f t="shared" si="3"/>
        <v>r1010: C00002 + C00033 -&gt; C00013 + C05993 | (${Variables:E6_2_1_1_kcat} * E6_2_1_1 * C00002 * C00033)/(${Variables:E6_2_1_1_km} + (E6_2_1_1 * C00002 * C00033))</v>
      </c>
    </row>
    <row r="1012">
      <c r="A1012" s="2" t="s">
        <v>9381</v>
      </c>
      <c r="B1012" s="2" t="s">
        <v>9382</v>
      </c>
      <c r="C1012" s="2" t="s">
        <v>25421</v>
      </c>
      <c r="D1012" s="18">
        <v>1011.0</v>
      </c>
      <c r="E1012" s="2" t="str">
        <f t="shared" si="1"/>
        <v>E6_2_1_1</v>
      </c>
      <c r="F1012" s="19" t="s">
        <v>28728</v>
      </c>
      <c r="G1012" s="19" t="s">
        <v>28729</v>
      </c>
      <c r="H1012" s="19" t="s">
        <v>28730</v>
      </c>
      <c r="I1012" s="19" t="s">
        <v>28731</v>
      </c>
      <c r="J1012" s="2" t="str">
        <f t="shared" si="2"/>
        <v>(${Variables:E6_2_1_1_kcat} * E6_2_1_1 * C00002 * C00163 * C00010)/(${Variables:E6_2_1_1_km} + (E6_2_1_1 * C00002 * C00163 * C00010))</v>
      </c>
      <c r="K1012" s="2" t="str">
        <f t="shared" si="3"/>
        <v>r1011: C00002 + C00163 + C00010 -&gt; C00020 + C00013 + C00100 | (${Variables:E6_2_1_1_kcat} * E6_2_1_1 * C00002 * C00163 * C00010)/(${Variables:E6_2_1_1_km} + (E6_2_1_1 * C00002 * C00163 * C00010))</v>
      </c>
    </row>
    <row r="1013">
      <c r="A1013" s="2" t="s">
        <v>9381</v>
      </c>
      <c r="B1013" s="2" t="s">
        <v>9382</v>
      </c>
      <c r="C1013" s="2" t="s">
        <v>25421</v>
      </c>
      <c r="D1013" s="18">
        <v>1012.0</v>
      </c>
      <c r="E1013" s="2" t="str">
        <f t="shared" si="1"/>
        <v>E6_2_1_1</v>
      </c>
      <c r="F1013" s="19" t="s">
        <v>28732</v>
      </c>
      <c r="G1013" s="19" t="s">
        <v>28733</v>
      </c>
      <c r="H1013" s="19" t="s">
        <v>28734</v>
      </c>
      <c r="I1013" s="19" t="s">
        <v>28735</v>
      </c>
      <c r="J1013" s="2" t="str">
        <f t="shared" si="2"/>
        <v>(${Variables:E6_2_1_1_kcat} * E6_2_1_1 * C05983 * C00010)/(${Variables:E6_2_1_1_km} + (E6_2_1_1 * C05983 * C00010))</v>
      </c>
      <c r="K1013" s="2" t="str">
        <f t="shared" si="3"/>
        <v>r1012: C05983 + C00010 -&gt; C00020 + C00100 | (${Variables:E6_2_1_1_kcat} * E6_2_1_1 * C05983 * C00010)/(${Variables:E6_2_1_1_km} + (E6_2_1_1 * C05983 * C00010))</v>
      </c>
    </row>
    <row r="1014">
      <c r="A1014" s="2" t="s">
        <v>9381</v>
      </c>
      <c r="B1014" s="2" t="s">
        <v>9382</v>
      </c>
      <c r="C1014" s="2" t="s">
        <v>25421</v>
      </c>
      <c r="D1014" s="18">
        <v>1013.0</v>
      </c>
      <c r="E1014" s="2" t="str">
        <f t="shared" si="1"/>
        <v>E6_2_1_1</v>
      </c>
      <c r="F1014" s="19" t="s">
        <v>28736</v>
      </c>
      <c r="G1014" s="19" t="s">
        <v>28737</v>
      </c>
      <c r="H1014" s="19" t="s">
        <v>28738</v>
      </c>
      <c r="I1014" s="19" t="s">
        <v>28739</v>
      </c>
      <c r="J1014" s="2" t="str">
        <f t="shared" si="2"/>
        <v>(${Variables:E6_2_1_1_kcat} * E6_2_1_1 * C00002 * C00163)/(${Variables:E6_2_1_1_km} + (E6_2_1_1 * C00002 * C00163))</v>
      </c>
      <c r="K1014" s="2" t="str">
        <f t="shared" si="3"/>
        <v>r1013: C00002 + C00163 -&gt; C00013 + C05983 | (${Variables:E6_2_1_1_kcat} * E6_2_1_1 * C00002 * C00163)/(${Variables:E6_2_1_1_km} + (E6_2_1_1 * C00002 * C00163))</v>
      </c>
    </row>
    <row r="1015">
      <c r="A1015" s="2" t="s">
        <v>8898</v>
      </c>
      <c r="B1015" s="2" t="s">
        <v>8899</v>
      </c>
      <c r="C1015" s="2" t="s">
        <v>25422</v>
      </c>
      <c r="D1015" s="18">
        <v>1014.0</v>
      </c>
      <c r="E1015" s="2" t="str">
        <f t="shared" si="1"/>
        <v>E6_2_1_26</v>
      </c>
      <c r="F1015" s="19" t="s">
        <v>28740</v>
      </c>
      <c r="G1015" s="19" t="s">
        <v>28741</v>
      </c>
      <c r="H1015" s="19" t="s">
        <v>28742</v>
      </c>
      <c r="I1015" s="19" t="s">
        <v>28743</v>
      </c>
      <c r="J1015" s="2" t="str">
        <f t="shared" si="2"/>
        <v>(${Variables:E6_2_1_26_kcat} * E6_2_1_26 * C00002 * C02730 * C00010)/(${Variables:E6_2_1_26_km} + (E6_2_1_26 * C00002 * C02730 * C00010))</v>
      </c>
      <c r="K1015" s="2" t="str">
        <f t="shared" si="3"/>
        <v>r1014: C00002 + C02730 + C00010 -&gt; C00020 + C00013 + C03160 | (${Variables:E6_2_1_26_kcat} * E6_2_1_26 * C00002 * C02730 * C00010)/(${Variables:E6_2_1_26_km} + (E6_2_1_26 * C00002 * C02730 * C00010))</v>
      </c>
    </row>
    <row r="1016">
      <c r="A1016" s="2" t="s">
        <v>9781</v>
      </c>
      <c r="B1016" s="2" t="s">
        <v>9782</v>
      </c>
      <c r="C1016" s="2" t="s">
        <v>25423</v>
      </c>
      <c r="D1016" s="18">
        <v>1015.0</v>
      </c>
      <c r="E1016" s="2" t="str">
        <f t="shared" si="1"/>
        <v>E6_2_1_3</v>
      </c>
      <c r="F1016" s="19" t="s">
        <v>28744</v>
      </c>
      <c r="G1016" s="19" t="s">
        <v>28745</v>
      </c>
      <c r="H1016" s="19" t="s">
        <v>28746</v>
      </c>
      <c r="I1016" s="19" t="s">
        <v>28747</v>
      </c>
      <c r="J1016" s="2" t="str">
        <f t="shared" si="2"/>
        <v>(${Variables:E6_2_1_3_kcat} * E6_2_1_3 * C00002 * C00638 * C00010)/(${Variables:E6_2_1_3_km} + (E6_2_1_3 * C00002 * C00638 * C00010))</v>
      </c>
      <c r="K1016" s="2" t="str">
        <f t="shared" si="3"/>
        <v>r1015: C00002 + C00638 + C00010 -&gt; C00020 + C00013 + C02843 | (${Variables:E6_2_1_3_kcat} * E6_2_1_3 * C00002 * C00638 * C00010)/(${Variables:E6_2_1_3_km} + (E6_2_1_3 * C00002 * C00638 * C00010))</v>
      </c>
    </row>
    <row r="1017">
      <c r="A1017" s="2" t="s">
        <v>9781</v>
      </c>
      <c r="B1017" s="2" t="s">
        <v>9782</v>
      </c>
      <c r="C1017" s="2" t="s">
        <v>25423</v>
      </c>
      <c r="D1017" s="18">
        <v>1016.0</v>
      </c>
      <c r="E1017" s="2" t="str">
        <f t="shared" si="1"/>
        <v>E6_2_1_3</v>
      </c>
      <c r="F1017" s="19" t="s">
        <v>28748</v>
      </c>
      <c r="G1017" s="19" t="s">
        <v>28749</v>
      </c>
      <c r="H1017" s="19" t="s">
        <v>28750</v>
      </c>
      <c r="I1017" s="19" t="s">
        <v>28751</v>
      </c>
      <c r="J1017" s="2" t="str">
        <f t="shared" si="2"/>
        <v>(${Variables:E6_2_1_3_kcat} * E6_2_1_3 * C00002 * C00249 * C00010)/(${Variables:E6_2_1_3_km} + (E6_2_1_3 * C00002 * C00249 * C00010))</v>
      </c>
      <c r="K1017" s="2" t="str">
        <f t="shared" si="3"/>
        <v>r1016: C00002 + C00249 + C00010 -&gt; C00020 + C00154 + C00013 | (${Variables:E6_2_1_3_kcat} * E6_2_1_3 * C00002 * C00249 * C00010)/(${Variables:E6_2_1_3_km} + (E6_2_1_3 * C00002 * C00249 * C00010))</v>
      </c>
    </row>
    <row r="1018">
      <c r="A1018" s="2" t="s">
        <v>11882</v>
      </c>
      <c r="B1018" s="2" t="s">
        <v>11883</v>
      </c>
      <c r="C1018" s="2" t="s">
        <v>25424</v>
      </c>
      <c r="D1018" s="18">
        <v>1017.0</v>
      </c>
      <c r="E1018" s="2" t="str">
        <f t="shared" si="1"/>
        <v>E6_2_1_5</v>
      </c>
      <c r="F1018" s="19" t="s">
        <v>28752</v>
      </c>
      <c r="G1018" s="19" t="s">
        <v>28753</v>
      </c>
      <c r="H1018" s="19" t="s">
        <v>28754</v>
      </c>
      <c r="I1018" s="19" t="s">
        <v>28755</v>
      </c>
      <c r="J1018" s="2" t="str">
        <f t="shared" si="2"/>
        <v>(${Variables:E6_2_1_5_kcat} * E6_2_1_5 * C00002 * C00042 * C00010)/(${Variables:E6_2_1_5_km} + (E6_2_1_5 * C00002 * C00042 * C00010))</v>
      </c>
      <c r="K1018" s="2" t="str">
        <f t="shared" si="3"/>
        <v>r1017: C00002 + C00042 + C00010 -&gt; C00008 + C00009 + C00091 | (${Variables:E6_2_1_5_kcat} * E6_2_1_5 * C00002 * C00042 * C00010)/(${Variables:E6_2_1_5_km} + (E6_2_1_5 * C00002 * C00042 * C00010))</v>
      </c>
    </row>
    <row r="1019">
      <c r="A1019" s="2" t="s">
        <v>11882</v>
      </c>
      <c r="B1019" s="2" t="s">
        <v>11883</v>
      </c>
      <c r="C1019" s="2" t="s">
        <v>25424</v>
      </c>
      <c r="D1019" s="18">
        <v>1018.0</v>
      </c>
      <c r="E1019" s="2" t="str">
        <f t="shared" si="1"/>
        <v>E6_2_1_5</v>
      </c>
      <c r="F1019" s="19" t="s">
        <v>28756</v>
      </c>
      <c r="G1019" s="19" t="s">
        <v>28757</v>
      </c>
      <c r="H1019" s="19" t="s">
        <v>28758</v>
      </c>
      <c r="I1019" s="19" t="s">
        <v>28759</v>
      </c>
      <c r="J1019" s="2" t="str">
        <f t="shared" si="2"/>
        <v>(${Variables:E6_2_1_5_kcat} * E6_2_1_5 * C00002 * C00490 * C00010)/(${Variables:E6_2_1_5_km} + (E6_2_1_5 * C00002 * C00490 * C00010))</v>
      </c>
      <c r="K1019" s="2" t="str">
        <f t="shared" si="3"/>
        <v>r1018: C00002 + C00490 + C00010 -&gt; C00008 + C00009 + C00531 | (${Variables:E6_2_1_5_kcat} * E6_2_1_5 * C00002 * C00490 * C00010)/(${Variables:E6_2_1_5_km} + (E6_2_1_5 * C00002 * C00490 * C00010))</v>
      </c>
    </row>
    <row r="1020">
      <c r="A1020" s="2" t="s">
        <v>2397</v>
      </c>
      <c r="B1020" s="2" t="s">
        <v>2398</v>
      </c>
      <c r="C1020" s="2" t="s">
        <v>25425</v>
      </c>
      <c r="D1020" s="18">
        <v>1019.0</v>
      </c>
      <c r="E1020" s="2" t="str">
        <f t="shared" si="1"/>
        <v>E6_3_1_1</v>
      </c>
      <c r="F1020" s="19" t="s">
        <v>28760</v>
      </c>
      <c r="G1020" s="19" t="s">
        <v>28761</v>
      </c>
      <c r="H1020" s="19" t="s">
        <v>28762</v>
      </c>
      <c r="I1020" s="19" t="s">
        <v>28763</v>
      </c>
      <c r="J1020" s="2" t="str">
        <f t="shared" si="2"/>
        <v>(${Variables:E6_3_1_1_kcat} * E6_3_1_1 * C00002 * C00049 * C00014)/(${Variables:E6_3_1_1_km} + (E6_3_1_1 * C00002 * C00049 * C00014))</v>
      </c>
      <c r="K1020" s="2" t="str">
        <f t="shared" si="3"/>
        <v>r1019: C00002 + C00049 + C00014 -&gt; C00020 + C00013 + C00152 | (${Variables:E6_3_1_1_kcat} * E6_3_1_1 * C00002 * C00049 * C00014)/(${Variables:E6_3_1_1_km} + (E6_3_1_1 * C00002 * C00049 * C00014))</v>
      </c>
    </row>
    <row r="1021">
      <c r="A1021" s="2" t="s">
        <v>12268</v>
      </c>
      <c r="B1021" s="2" t="s">
        <v>12269</v>
      </c>
      <c r="C1021" s="2" t="s">
        <v>25426</v>
      </c>
      <c r="D1021" s="18">
        <v>1020.0</v>
      </c>
      <c r="E1021" s="2" t="str">
        <f t="shared" si="1"/>
        <v>E6_3_1_2</v>
      </c>
      <c r="F1021" s="19" t="s">
        <v>28764</v>
      </c>
      <c r="G1021" s="19" t="s">
        <v>28765</v>
      </c>
      <c r="H1021" s="19" t="s">
        <v>28766</v>
      </c>
      <c r="I1021" s="19" t="s">
        <v>28767</v>
      </c>
      <c r="J1021" s="2" t="str">
        <f t="shared" si="2"/>
        <v>(${Variables:E6_3_1_2_kcat} * E6_3_1_2 * C00002 * C00025 * C00014)/(${Variables:E6_3_1_2_km} + (E6_3_1_2 * C00002 * C00025 * C00014))</v>
      </c>
      <c r="K1021" s="2" t="str">
        <f t="shared" si="3"/>
        <v>r1020: C00002 + C00025 + C00014 -&gt; C00008 + C00009 + C00064 | (${Variables:E6_3_1_2_kcat} * E6_3_1_2 * C00002 * C00025 * C00014)/(${Variables:E6_3_1_2_km} + (E6_3_1_2 * C00002 * C00025 * C00014))</v>
      </c>
    </row>
    <row r="1022">
      <c r="A1022" s="2" t="s">
        <v>4297</v>
      </c>
      <c r="B1022" s="2" t="s">
        <v>4298</v>
      </c>
      <c r="C1022" s="2" t="s">
        <v>25427</v>
      </c>
      <c r="D1022" s="18">
        <v>1021.0</v>
      </c>
      <c r="E1022" s="2" t="str">
        <f t="shared" si="1"/>
        <v>E6_3_1_20</v>
      </c>
      <c r="F1022" s="19" t="s">
        <v>28768</v>
      </c>
      <c r="G1022" s="19" t="s">
        <v>28769</v>
      </c>
      <c r="H1022" s="19" t="s">
        <v>28770</v>
      </c>
      <c r="I1022" s="19" t="s">
        <v>28771</v>
      </c>
      <c r="J1022" s="2" t="str">
        <f t="shared" si="2"/>
        <v>(${Variables:E6_3_1_20_kcat} * E6_3_1_20 * C00002 * C16241)/(${Variables:E6_3_1_20_km} + (E6_3_1_20 * C00002 * C16241))</v>
      </c>
      <c r="K1022" s="2" t="str">
        <f t="shared" si="3"/>
        <v>r1021: C00002 + C16241 -&gt; C00013 + C16238 | (${Variables:E6_3_1_20_kcat} * E6_3_1_20 * C00002 * C16241)/(${Variables:E6_3_1_20_km} + (E6_3_1_20 * C00002 * C16241))</v>
      </c>
    </row>
    <row r="1023">
      <c r="A1023" s="2" t="s">
        <v>4297</v>
      </c>
      <c r="B1023" s="2" t="s">
        <v>4298</v>
      </c>
      <c r="C1023" s="2" t="s">
        <v>25427</v>
      </c>
      <c r="D1023" s="18">
        <v>1022.0</v>
      </c>
      <c r="E1023" s="2" t="str">
        <f t="shared" si="1"/>
        <v>E6_3_1_20</v>
      </c>
      <c r="F1023" s="19" t="s">
        <v>28772</v>
      </c>
      <c r="G1023" s="19" t="s">
        <v>28773</v>
      </c>
      <c r="H1023" s="19" t="s">
        <v>28774</v>
      </c>
      <c r="I1023" s="19" t="s">
        <v>28775</v>
      </c>
      <c r="J1023" s="2" t="str">
        <f t="shared" si="2"/>
        <v>(${Variables:E6_3_1_20_kcat} * E6_3_1_20 * C16238 * C16240)/(${Variables:E6_3_1_20_km} + (E6_3_1_20 * C16238 * C16240))</v>
      </c>
      <c r="K1023" s="2" t="str">
        <f t="shared" si="3"/>
        <v>r1022: C16238 + C16240 -&gt; C16237 + C00020 | (${Variables:E6_3_1_20_kcat} * E6_3_1_20 * C16238 * C16240)/(${Variables:E6_3_1_20_km} + (E6_3_1_20 * C16238 * C16240))</v>
      </c>
    </row>
    <row r="1024">
      <c r="A1024" s="2" t="s">
        <v>4297</v>
      </c>
      <c r="B1024" s="2" t="s">
        <v>4298</v>
      </c>
      <c r="C1024" s="2" t="s">
        <v>25427</v>
      </c>
      <c r="D1024" s="18">
        <v>1023.0</v>
      </c>
      <c r="E1024" s="2" t="str">
        <f t="shared" si="1"/>
        <v>E6_3_1_20</v>
      </c>
      <c r="F1024" s="19" t="s">
        <v>28776</v>
      </c>
      <c r="G1024" s="19" t="s">
        <v>28777</v>
      </c>
      <c r="H1024" s="19" t="s">
        <v>28778</v>
      </c>
      <c r="I1024" s="19" t="s">
        <v>28779</v>
      </c>
      <c r="J1024" s="2" t="str">
        <f t="shared" si="2"/>
        <v>(${Variables:E6_3_1_20_kcat} * E6_3_1_20 * C00002 * C16241 * C16240)/(${Variables:E6_3_1_20_km} + (E6_3_1_20 * C00002 * C16241 * C16240))</v>
      </c>
      <c r="K1024" s="2" t="str">
        <f t="shared" si="3"/>
        <v>r1023: C00002 + C16241 + C16240 -&gt; C16237 + C00020 + C00013 | (${Variables:E6_3_1_20_kcat} * E6_3_1_20 * C00002 * C16241 * C16240)/(${Variables:E6_3_1_20_km} + (E6_3_1_20 * C00002 * C16241 * C16240))</v>
      </c>
    </row>
    <row r="1025">
      <c r="A1025" s="2" t="s">
        <v>4297</v>
      </c>
      <c r="B1025" s="2" t="s">
        <v>4298</v>
      </c>
      <c r="C1025" s="2" t="s">
        <v>25427</v>
      </c>
      <c r="D1025" s="18">
        <v>1024.0</v>
      </c>
      <c r="E1025" s="2" t="str">
        <f t="shared" si="1"/>
        <v>E6_3_1_20</v>
      </c>
      <c r="F1025" s="19" t="s">
        <v>28780</v>
      </c>
      <c r="G1025" s="19" t="s">
        <v>28781</v>
      </c>
      <c r="H1025" s="19" t="s">
        <v>28782</v>
      </c>
      <c r="I1025" s="19" t="s">
        <v>28783</v>
      </c>
      <c r="J1025" s="2" t="str">
        <f t="shared" si="2"/>
        <v>(${Variables:E6_3_1_20_kcat} * E6_3_1_20 * C00002 * C06423 * C22158)/(${Variables:E6_3_1_20_km} + (E6_3_1_20 * C00002 * C06423 * C22158))</v>
      </c>
      <c r="K1025" s="2" t="str">
        <f t="shared" si="3"/>
        <v>r1024: C00002 + C06423 + C22158 -&gt; C22160 + C00020 + C00013 | (${Variables:E6_3_1_20_kcat} * E6_3_1_20 * C00002 * C06423 * C22158)/(${Variables:E6_3_1_20_km} + (E6_3_1_20 * C00002 * C06423 * C22158))</v>
      </c>
    </row>
    <row r="1026">
      <c r="A1026" s="2" t="s">
        <v>4297</v>
      </c>
      <c r="B1026" s="2" t="s">
        <v>4298</v>
      </c>
      <c r="C1026" s="2" t="s">
        <v>25427</v>
      </c>
      <c r="D1026" s="18">
        <v>1025.0</v>
      </c>
      <c r="E1026" s="2" t="str">
        <f t="shared" si="1"/>
        <v>E6_3_1_20</v>
      </c>
      <c r="F1026" s="19" t="s">
        <v>28784</v>
      </c>
      <c r="G1026" s="19" t="s">
        <v>28785</v>
      </c>
      <c r="H1026" s="19" t="s">
        <v>28786</v>
      </c>
      <c r="I1026" s="19" t="s">
        <v>28787</v>
      </c>
      <c r="J1026" s="2" t="str">
        <f t="shared" si="2"/>
        <v>(${Variables:E6_3_1_20_kcat} * E6_3_1_20 * C00002 * C16241 * C22157)/(${Variables:E6_3_1_20_km} + (E6_3_1_20 * C00002 * C16241 * C22157))</v>
      </c>
      <c r="K1026" s="2" t="str">
        <f t="shared" si="3"/>
        <v>r1025: C00002 + C16241 + C22157 -&gt; C02051 + C00020 + C00013 | (${Variables:E6_3_1_20_kcat} * E6_3_1_20 * C00002 * C16241 * C22157)/(${Variables:E6_3_1_20_km} + (E6_3_1_20 * C00002 * C16241 * C22157))</v>
      </c>
    </row>
    <row r="1027">
      <c r="A1027" s="2" t="s">
        <v>4297</v>
      </c>
      <c r="B1027" s="2" t="s">
        <v>4298</v>
      </c>
      <c r="C1027" s="2" t="s">
        <v>25427</v>
      </c>
      <c r="D1027" s="18">
        <v>1026.0</v>
      </c>
      <c r="E1027" s="2" t="str">
        <f t="shared" si="1"/>
        <v>E6_3_1_20</v>
      </c>
      <c r="F1027" s="19" t="s">
        <v>28788</v>
      </c>
      <c r="G1027" s="19" t="s">
        <v>28789</v>
      </c>
      <c r="H1027" s="19" t="s">
        <v>28790</v>
      </c>
      <c r="I1027" s="19" t="s">
        <v>28791</v>
      </c>
      <c r="J1027" s="2" t="str">
        <f t="shared" si="2"/>
        <v>(${Variables:E6_3_1_20_kcat} * E6_3_1_20 * C00002 * C16241 * C22158)/(${Variables:E6_3_1_20_km} + (E6_3_1_20 * C00002 * C16241 * C22158))</v>
      </c>
      <c r="K1027" s="2" t="str">
        <f t="shared" si="3"/>
        <v>r1026: C00002 + C16241 + C22158 -&gt; C15972 + C00020 + C00013 | (${Variables:E6_3_1_20_kcat} * E6_3_1_20 * C00002 * C16241 * C22158)/(${Variables:E6_3_1_20_km} + (E6_3_1_20 * C00002 * C16241 * C22158))</v>
      </c>
    </row>
    <row r="1028">
      <c r="A1028" s="2" t="s">
        <v>1729</v>
      </c>
      <c r="B1028" s="2" t="s">
        <v>1730</v>
      </c>
      <c r="C1028" s="2" t="s">
        <v>25428</v>
      </c>
      <c r="D1028" s="18">
        <v>1027.0</v>
      </c>
      <c r="E1028" s="2" t="str">
        <f t="shared" si="1"/>
        <v>E6_3_1_5</v>
      </c>
      <c r="F1028" s="19" t="s">
        <v>28792</v>
      </c>
      <c r="G1028" s="19" t="s">
        <v>28793</v>
      </c>
      <c r="H1028" s="19" t="s">
        <v>28794</v>
      </c>
      <c r="I1028" s="19" t="s">
        <v>28795</v>
      </c>
      <c r="J1028" s="2" t="str">
        <f t="shared" si="2"/>
        <v>(${Variables:E6_3_1_5_kcat} * E6_3_1_5 * C00002 * C00857 * C00014)/(${Variables:E6_3_1_5_km} + (E6_3_1_5 * C00002 * C00857 * C00014))</v>
      </c>
      <c r="K1028" s="2" t="str">
        <f t="shared" si="3"/>
        <v>r1027: C00002 + C00857 + C00014 -&gt; C00020 + C00013 + C00003 | (${Variables:E6_3_1_5_kcat} * E6_3_1_5 * C00002 * C00857 * C00014)/(${Variables:E6_3_1_5_km} + (E6_3_1_5 * C00002 * C00857 * C00014))</v>
      </c>
    </row>
    <row r="1029">
      <c r="A1029" s="2" t="s">
        <v>6441</v>
      </c>
      <c r="B1029" s="2" t="s">
        <v>6442</v>
      </c>
      <c r="C1029" s="2" t="s">
        <v>25429</v>
      </c>
      <c r="D1029" s="18">
        <v>1028.0</v>
      </c>
      <c r="E1029" s="2" t="str">
        <f t="shared" si="1"/>
        <v>E6_3_2_10</v>
      </c>
      <c r="F1029" s="19" t="s">
        <v>28796</v>
      </c>
      <c r="G1029" s="19" t="s">
        <v>28797</v>
      </c>
      <c r="H1029" s="19" t="s">
        <v>28798</v>
      </c>
      <c r="I1029" s="19" t="s">
        <v>28799</v>
      </c>
      <c r="J1029" s="2" t="str">
        <f t="shared" si="2"/>
        <v>(${Variables:E6_3_2_10_kcat} * E6_3_2_10 * C00002 * C05892 * C00993)/(${Variables:E6_3_2_10_km} + (E6_3_2_10 * C00002 * C05892 * C00993))</v>
      </c>
      <c r="K1029" s="2" t="str">
        <f t="shared" si="3"/>
        <v>r1028: C00002 + C05892 + C00993 -&gt; C00008 + C00009 + C04702 | (${Variables:E6_3_2_10_kcat} * E6_3_2_10 * C00002 * C05892 * C00993)/(${Variables:E6_3_2_10_km} + (E6_3_2_10 * C00002 * C05892 * C00993))</v>
      </c>
    </row>
    <row r="1030">
      <c r="A1030" s="2" t="s">
        <v>6441</v>
      </c>
      <c r="B1030" s="2" t="s">
        <v>6442</v>
      </c>
      <c r="C1030" s="2" t="s">
        <v>25429</v>
      </c>
      <c r="D1030" s="18">
        <v>1029.0</v>
      </c>
      <c r="E1030" s="2" t="str">
        <f t="shared" si="1"/>
        <v>E6_3_2_10</v>
      </c>
      <c r="F1030" s="19" t="s">
        <v>28800</v>
      </c>
      <c r="G1030" s="19" t="s">
        <v>28801</v>
      </c>
      <c r="H1030" s="19" t="s">
        <v>28802</v>
      </c>
      <c r="I1030" s="19" t="s">
        <v>28803</v>
      </c>
      <c r="J1030" s="2" t="str">
        <f t="shared" si="2"/>
        <v>(${Variables:E6_3_2_10_kcat} * E6_3_2_10 * C00002 * C04877 * C00993)/(${Variables:E6_3_2_10_km} + (E6_3_2_10 * C00002 * C04877 * C00993))</v>
      </c>
      <c r="K1030" s="2" t="str">
        <f t="shared" si="3"/>
        <v>r1029: C00002 + C04877 + C00993 -&gt; C00008 + C00009 + C04882 | (${Variables:E6_3_2_10_kcat} * E6_3_2_10 * C00002 * C04877 * C00993)/(${Variables:E6_3_2_10_km} + (E6_3_2_10 * C00002 * C04877 * C00993))</v>
      </c>
    </row>
    <row r="1031">
      <c r="A1031" s="2" t="s">
        <v>9961</v>
      </c>
      <c r="B1031" s="2" t="s">
        <v>9962</v>
      </c>
      <c r="C1031" s="2" t="s">
        <v>25430</v>
      </c>
      <c r="D1031" s="18">
        <v>1030.0</v>
      </c>
      <c r="E1031" s="2" t="str">
        <f t="shared" si="1"/>
        <v>E6_3_2_12</v>
      </c>
      <c r="F1031" s="19" t="s">
        <v>28804</v>
      </c>
      <c r="G1031" s="19" t="s">
        <v>28805</v>
      </c>
      <c r="H1031" s="19" t="s">
        <v>28806</v>
      </c>
      <c r="I1031" s="19" t="s">
        <v>28807</v>
      </c>
      <c r="J1031" s="2" t="str">
        <f t="shared" si="2"/>
        <v>(${Variables:E6_3_2_12_kcat} * E6_3_2_12 * C00002 * C00234 * C00025)/(${Variables:E6_3_2_12_km} + (E6_3_2_12 * C00002 * C00234 * C00025))</v>
      </c>
      <c r="K1031" s="2" t="str">
        <f t="shared" si="3"/>
        <v>r1030: C00002 + C00234 + C00025 -&gt; C00008 + C00009 + C05928 | (${Variables:E6_3_2_12_kcat} * E6_3_2_12 * C00002 * C00234 * C00025)/(${Variables:E6_3_2_12_km} + (E6_3_2_12 * C00002 * C00234 * C00025))</v>
      </c>
    </row>
    <row r="1032">
      <c r="A1032" s="2" t="s">
        <v>9961</v>
      </c>
      <c r="B1032" s="2" t="s">
        <v>9962</v>
      </c>
      <c r="C1032" s="2" t="s">
        <v>25430</v>
      </c>
      <c r="D1032" s="18">
        <v>1031.0</v>
      </c>
      <c r="E1032" s="2" t="str">
        <f t="shared" si="1"/>
        <v>E6_3_2_12</v>
      </c>
      <c r="F1032" s="19" t="s">
        <v>28808</v>
      </c>
      <c r="G1032" s="19" t="s">
        <v>28809</v>
      </c>
      <c r="H1032" s="19" t="s">
        <v>28810</v>
      </c>
      <c r="I1032" s="19" t="s">
        <v>28811</v>
      </c>
      <c r="J1032" s="2" t="str">
        <f t="shared" si="2"/>
        <v>(${Variables:E6_3_2_12_kcat} * E6_3_2_12 * C00002 * C00921 * C00025)/(${Variables:E6_3_2_12_km} + (E6_3_2_12 * C00002 * C00921 * C00025))</v>
      </c>
      <c r="K1032" s="2" t="str">
        <f t="shared" si="3"/>
        <v>r1031: C00002 + C00921 + C00025 -&gt; C00008 + C00009 + C00415 | (${Variables:E6_3_2_12_kcat} * E6_3_2_12 * C00002 * C00921 * C00025)/(${Variables:E6_3_2_12_km} + (E6_3_2_12 * C00002 * C00921 * C00025))</v>
      </c>
    </row>
    <row r="1033">
      <c r="A1033" s="2" t="s">
        <v>11602</v>
      </c>
      <c r="B1033" s="2" t="s">
        <v>11603</v>
      </c>
      <c r="C1033" s="2" t="s">
        <v>25431</v>
      </c>
      <c r="D1033" s="18">
        <v>1032.0</v>
      </c>
      <c r="E1033" s="2" t="str">
        <f t="shared" si="1"/>
        <v>E6_3_2_13</v>
      </c>
      <c r="F1033" s="19" t="s">
        <v>28812</v>
      </c>
      <c r="G1033" s="19" t="s">
        <v>28813</v>
      </c>
      <c r="H1033" s="19" t="s">
        <v>28814</v>
      </c>
      <c r="I1033" s="19" t="s">
        <v>28815</v>
      </c>
      <c r="J1033" s="2" t="str">
        <f t="shared" si="2"/>
        <v>(${Variables:E6_3_2_13_kcat} * E6_3_2_13 * C00002 * C00692 * C00680)/(${Variables:E6_3_2_13_km} + (E6_3_2_13 * C00002 * C00692 * C00680))</v>
      </c>
      <c r="K1033" s="2" t="str">
        <f t="shared" si="3"/>
        <v>r1032: C00002 + C00692 + C00680 -&gt; C00008 + C00009 + C04877 | (${Variables:E6_3_2_13_kcat} * E6_3_2_13 * C00002 * C00692 * C00680)/(${Variables:E6_3_2_13_km} + (E6_3_2_13 * C00002 * C00692 * C00680))</v>
      </c>
    </row>
    <row r="1034">
      <c r="A1034" s="2" t="s">
        <v>248</v>
      </c>
      <c r="B1034" s="2" t="s">
        <v>249</v>
      </c>
      <c r="C1034" s="2" t="s">
        <v>25433</v>
      </c>
      <c r="D1034" s="18">
        <v>1033.0</v>
      </c>
      <c r="E1034" s="2" t="str">
        <f t="shared" si="1"/>
        <v>E6_3_2_4</v>
      </c>
      <c r="F1034" s="19" t="s">
        <v>28816</v>
      </c>
      <c r="G1034" s="19" t="s">
        <v>28817</v>
      </c>
      <c r="H1034" s="19" t="s">
        <v>28818</v>
      </c>
      <c r="I1034" s="19" t="s">
        <v>28819</v>
      </c>
      <c r="J1034" s="2" t="str">
        <f t="shared" si="2"/>
        <v>(${Variables:E6_3_2_4_kcat} * E6_3_2_4 * C00002 * C00133)/(${Variables:E6_3_2_4_km} + (E6_3_2_4 * C00002 * C00133))</v>
      </c>
      <c r="K1034" s="2" t="str">
        <f t="shared" si="3"/>
        <v>r1033: C00002 + C00133 -&gt; C00008 + C00009 + C00993 | (${Variables:E6_3_2_4_kcat} * E6_3_2_4 * C00002 * C00133)/(${Variables:E6_3_2_4_km} + (E6_3_2_4 * C00002 * C00133))</v>
      </c>
    </row>
    <row r="1035">
      <c r="A1035" s="2" t="s">
        <v>6293</v>
      </c>
      <c r="B1035" s="2" t="s">
        <v>6294</v>
      </c>
      <c r="C1035" s="2" t="s">
        <v>25435</v>
      </c>
      <c r="D1035" s="18">
        <v>1034.0</v>
      </c>
      <c r="E1035" s="2" t="str">
        <f t="shared" si="1"/>
        <v>E6_3_2_6</v>
      </c>
      <c r="F1035" s="19" t="s">
        <v>28820</v>
      </c>
      <c r="G1035" s="19" t="s">
        <v>28821</v>
      </c>
      <c r="H1035" s="19" t="s">
        <v>28822</v>
      </c>
      <c r="I1035" s="19" t="s">
        <v>28823</v>
      </c>
      <c r="J1035" s="2" t="str">
        <f t="shared" si="2"/>
        <v>(${Variables:E6_3_2_6_kcat} * E6_3_2_6 * C00002 * C04751 * C00049)/(${Variables:E6_3_2_6_km} + (E6_3_2_6 * C00002 * C04751 * C00049))</v>
      </c>
      <c r="K1035" s="2" t="str">
        <f t="shared" si="3"/>
        <v>r1034: C00002 + C04751 + C00049 -&gt; C00008 + C00009 + C04823 | (${Variables:E6_3_2_6_kcat} * E6_3_2_6 * C00002 * C04751 * C00049)/(${Variables:E6_3_2_6_km} + (E6_3_2_6 * C00002 * C04751 * C00049))</v>
      </c>
    </row>
    <row r="1036">
      <c r="A1036" s="2" t="s">
        <v>9318</v>
      </c>
      <c r="B1036" s="2" t="s">
        <v>9319</v>
      </c>
      <c r="C1036" s="2" t="s">
        <v>25436</v>
      </c>
      <c r="D1036" s="18">
        <v>1035.0</v>
      </c>
      <c r="E1036" s="2" t="str">
        <f t="shared" si="1"/>
        <v>E6_3_2_8</v>
      </c>
      <c r="F1036" s="19" t="s">
        <v>28824</v>
      </c>
      <c r="G1036" s="19" t="s">
        <v>28825</v>
      </c>
      <c r="H1036" s="19" t="s">
        <v>28826</v>
      </c>
      <c r="I1036" s="19" t="s">
        <v>28827</v>
      </c>
      <c r="J1036" s="2" t="str">
        <f t="shared" si="2"/>
        <v>(${Variables:E6_3_2_8_kcat} * E6_3_2_8 * C00002 * C01050 * C00041)/(${Variables:E6_3_2_8_km} + (E6_3_2_8 * C00002 * C01050 * C00041))</v>
      </c>
      <c r="K1036" s="2" t="str">
        <f t="shared" si="3"/>
        <v>r1035: C00002 + C01050 + C00041 -&gt; C00008 + C00009 + C01212 | (${Variables:E6_3_2_8_kcat} * E6_3_2_8 * C00002 * C01050 * C00041)/(${Variables:E6_3_2_8_km} + (E6_3_2_8 * C00002 * C01050 * C00041))</v>
      </c>
    </row>
    <row r="1037">
      <c r="A1037" s="2" t="s">
        <v>11609</v>
      </c>
      <c r="B1037" s="2" t="s">
        <v>11610</v>
      </c>
      <c r="C1037" s="2" t="s">
        <v>25437</v>
      </c>
      <c r="D1037" s="18">
        <v>1036.0</v>
      </c>
      <c r="E1037" s="2" t="str">
        <f t="shared" si="1"/>
        <v>E6_3_2_9</v>
      </c>
      <c r="F1037" s="19" t="s">
        <v>28828</v>
      </c>
      <c r="G1037" s="19" t="s">
        <v>28829</v>
      </c>
      <c r="H1037" s="19" t="s">
        <v>28830</v>
      </c>
      <c r="I1037" s="19" t="s">
        <v>28831</v>
      </c>
      <c r="J1037" s="2" t="str">
        <f t="shared" si="2"/>
        <v>(${Variables:E6_3_2_9_kcat} * E6_3_2_9 * C00002 * C01212 * C00217)/(${Variables:E6_3_2_9_km} + (E6_3_2_9 * C00002 * C01212 * C00217))</v>
      </c>
      <c r="K1037" s="2" t="str">
        <f t="shared" si="3"/>
        <v>r1036: C00002 + C01212 + C00217 -&gt; C00008 + C00009 + C00692 | (${Variables:E6_3_2_9_kcat} * E6_3_2_9 * C00002 * C01212 * C00217)/(${Variables:E6_3_2_9_km} + (E6_3_2_9 * C00002 * C01212 * C00217))</v>
      </c>
    </row>
    <row r="1038">
      <c r="A1038" s="2" t="s">
        <v>6273</v>
      </c>
      <c r="B1038" s="2" t="s">
        <v>6274</v>
      </c>
      <c r="C1038" s="2" t="s">
        <v>25438</v>
      </c>
      <c r="D1038" s="18">
        <v>1037.0</v>
      </c>
      <c r="E1038" s="2" t="str">
        <f t="shared" si="1"/>
        <v>E6_3_3_1</v>
      </c>
      <c r="F1038" s="19" t="s">
        <v>28832</v>
      </c>
      <c r="G1038" s="19" t="s">
        <v>28833</v>
      </c>
      <c r="H1038" s="19" t="s">
        <v>28834</v>
      </c>
      <c r="I1038" s="19" t="s">
        <v>28835</v>
      </c>
      <c r="J1038" s="2" t="str">
        <f t="shared" si="2"/>
        <v>(${Variables:E6_3_3_1_kcat} * E6_3_3_1 * C00002 * C04640)/(${Variables:E6_3_3_1_km} + (E6_3_3_1 * C00002 * C04640))</v>
      </c>
      <c r="K1038" s="2" t="str">
        <f t="shared" si="3"/>
        <v>r1037: C00002 + C04640 -&gt; C00008 + C00009 + C03373 | (${Variables:E6_3_3_1_kcat} * E6_3_3_1 * C00002 * C04640)/(${Variables:E6_3_3_1_km} + (E6_3_3_1 * C00002 * C04640))</v>
      </c>
    </row>
    <row r="1039">
      <c r="A1039" s="2" t="s">
        <v>10558</v>
      </c>
      <c r="B1039" s="2" t="s">
        <v>10559</v>
      </c>
      <c r="C1039" s="2" t="s">
        <v>25439</v>
      </c>
      <c r="D1039" s="18">
        <v>1038.0</v>
      </c>
      <c r="E1039" s="2" t="str">
        <f t="shared" si="1"/>
        <v>E6_3_3_2</v>
      </c>
      <c r="F1039" s="19" t="s">
        <v>28836</v>
      </c>
      <c r="G1039" s="19" t="s">
        <v>28837</v>
      </c>
      <c r="H1039" s="19" t="s">
        <v>28838</v>
      </c>
      <c r="I1039" s="19" t="s">
        <v>28839</v>
      </c>
      <c r="J1039" s="2" t="str">
        <f t="shared" si="2"/>
        <v>(${Variables:E6_3_3_2_kcat} * E6_3_3_2 * C00002 * C03479 * C00080)/(${Variables:E6_3_3_2_km} + (E6_3_3_2 * C00002 * C03479 * C00080))</v>
      </c>
      <c r="K1039" s="2" t="str">
        <f t="shared" si="3"/>
        <v>r1038: C00002 + C03479 + C00080 -&gt; C00008 + C00009 + C00445 | (${Variables:E6_3_3_2_kcat} * E6_3_3_2 * C00002 * C03479 * C00080)/(${Variables:E6_3_3_2_km} + (E6_3_3_2 * C00002 * C03479 * C00080))</v>
      </c>
    </row>
    <row r="1040">
      <c r="A1040" s="2" t="s">
        <v>10994</v>
      </c>
      <c r="B1040" s="2" t="s">
        <v>10995</v>
      </c>
      <c r="C1040" s="2" t="s">
        <v>25440</v>
      </c>
      <c r="D1040" s="18">
        <v>1039.0</v>
      </c>
      <c r="E1040" s="2" t="str">
        <f t="shared" si="1"/>
        <v>E6_3_3_3</v>
      </c>
      <c r="F1040" s="19" t="s">
        <v>28840</v>
      </c>
      <c r="G1040" s="19" t="s">
        <v>28841</v>
      </c>
      <c r="H1040" s="19" t="s">
        <v>28842</v>
      </c>
      <c r="I1040" s="19" t="s">
        <v>28843</v>
      </c>
      <c r="J1040" s="2" t="str">
        <f t="shared" si="2"/>
        <v>(${Variables:E6_3_3_3_kcat} * E6_3_3_3 * C00002 * C01037 * C00011)/(${Variables:E6_3_3_3_km} + (E6_3_3_3 * C00002 * C01037 * C00011))</v>
      </c>
      <c r="K1040" s="2" t="str">
        <f t="shared" si="3"/>
        <v>r1039: C00002 + C01037 + C00011 -&gt; C00008 + C00009 + C01909 | (${Variables:E6_3_3_3_kcat} * E6_3_3_3 * C00002 * C01037 * C00011)/(${Variables:E6_3_3_3_km} + (E6_3_3_3 * C00002 * C01037 * C00011))</v>
      </c>
    </row>
    <row r="1041">
      <c r="A1041" s="2" t="s">
        <v>10994</v>
      </c>
      <c r="B1041" s="2" t="s">
        <v>10995</v>
      </c>
      <c r="C1041" s="2" t="s">
        <v>25440</v>
      </c>
      <c r="D1041" s="18">
        <v>1040.0</v>
      </c>
      <c r="E1041" s="2" t="str">
        <f t="shared" si="1"/>
        <v>E6_3_3_3</v>
      </c>
      <c r="F1041" s="19" t="s">
        <v>28844</v>
      </c>
      <c r="G1041" s="19" t="s">
        <v>28845</v>
      </c>
      <c r="H1041" s="19" t="s">
        <v>18930</v>
      </c>
      <c r="I1041" s="19" t="s">
        <v>18930</v>
      </c>
      <c r="J1041" s="2" t="str">
        <f t="shared" si="2"/>
        <v>(${Variables:E6_3_3_3_kcat} * E6_3_3_3 * C01037 * C00011)/(${Variables:E6_3_3_3_km} + (E6_3_3_3 * C01037 * C00011))</v>
      </c>
      <c r="K1041" s="2" t="str">
        <f t="shared" si="3"/>
        <v>r1040: C01037 + C00011 -&gt; C22458 | (${Variables:E6_3_3_3_kcat} * E6_3_3_3 * C01037 * C00011)/(${Variables:E6_3_3_3_km} + (E6_3_3_3 * C01037 * C00011))</v>
      </c>
    </row>
    <row r="1042">
      <c r="A1042" s="2" t="s">
        <v>10994</v>
      </c>
      <c r="B1042" s="2" t="s">
        <v>10995</v>
      </c>
      <c r="C1042" s="2" t="s">
        <v>25440</v>
      </c>
      <c r="D1042" s="18">
        <v>1041.0</v>
      </c>
      <c r="E1042" s="2" t="str">
        <f t="shared" si="1"/>
        <v>E6_3_3_3</v>
      </c>
      <c r="F1042" s="19" t="s">
        <v>28846</v>
      </c>
      <c r="G1042" s="19" t="s">
        <v>28847</v>
      </c>
      <c r="H1042" s="19" t="s">
        <v>28848</v>
      </c>
      <c r="I1042" s="19" t="s">
        <v>28849</v>
      </c>
      <c r="J1042" s="2" t="str">
        <f t="shared" si="2"/>
        <v>(${Variables:E6_3_3_3_kcat} * E6_3_3_3 * C22458 * C00002)/(${Variables:E6_3_3_3_km} + (E6_3_3_3 * C22458 * C00002))</v>
      </c>
      <c r="K1042" s="2" t="str">
        <f t="shared" si="3"/>
        <v>r1041: C22458 + C00002 -&gt; C01909 + C00008 + C00009 | (${Variables:E6_3_3_3_kcat} * E6_3_3_3 * C22458 * C00002)/(${Variables:E6_3_3_3_km} + (E6_3_3_3 * C22458 * C00002))</v>
      </c>
    </row>
    <row r="1043">
      <c r="A1043" s="2" t="s">
        <v>6261</v>
      </c>
      <c r="B1043" s="2" t="s">
        <v>6262</v>
      </c>
      <c r="C1043" s="2" t="s">
        <v>25441</v>
      </c>
      <c r="D1043" s="18">
        <v>1042.0</v>
      </c>
      <c r="E1043" s="2" t="str">
        <f t="shared" si="1"/>
        <v>E6_3_4_13</v>
      </c>
      <c r="F1043" s="19" t="s">
        <v>28850</v>
      </c>
      <c r="G1043" s="19" t="s">
        <v>28851</v>
      </c>
      <c r="H1043" s="19" t="s">
        <v>28852</v>
      </c>
      <c r="I1043" s="19" t="s">
        <v>28853</v>
      </c>
      <c r="J1043" s="2" t="str">
        <f t="shared" si="2"/>
        <v>(${Variables:E6_3_4_13_kcat} * E6_3_4_13 * C00002 * C03090 * C00037)/(${Variables:E6_3_4_13_km} + (E6_3_4_13 * C00002 * C03090 * C00037))</v>
      </c>
      <c r="K1043" s="2" t="str">
        <f t="shared" si="3"/>
        <v>r1042: C00002 + C03090 + C00037 -&gt; C00008 + C00009 + C03838 | (${Variables:E6_3_4_13_kcat} * E6_3_4_13 * C00002 * C03090 * C00037)/(${Variables:E6_3_4_13_km} + (E6_3_4_13 * C00002 * C03090 * C00037))</v>
      </c>
    </row>
    <row r="1044">
      <c r="A1044" s="2" t="s">
        <v>10796</v>
      </c>
      <c r="B1044" s="2" t="s">
        <v>10797</v>
      </c>
      <c r="C1044" s="2" t="s">
        <v>25442</v>
      </c>
      <c r="D1044" s="18">
        <v>1043.0</v>
      </c>
      <c r="E1044" s="2" t="str">
        <f t="shared" si="1"/>
        <v>E6_3_4_14</v>
      </c>
      <c r="F1044" s="19" t="s">
        <v>28854</v>
      </c>
      <c r="G1044" s="19" t="s">
        <v>28855</v>
      </c>
      <c r="H1044" s="19" t="s">
        <v>28856</v>
      </c>
      <c r="I1044" s="19" t="s">
        <v>28857</v>
      </c>
      <c r="J1044" s="2" t="str">
        <f t="shared" si="2"/>
        <v>(${Variables:E6_3_4_14_kcat} * E6_3_4_14 * C00002 * C06250 * C00288)/(${Variables:E6_3_4_14_km} + (E6_3_4_14 * C00002 * C06250 * C00288))</v>
      </c>
      <c r="K1044" s="2" t="str">
        <f t="shared" si="3"/>
        <v>r1043: C00002 + C06250 + C00288 -&gt; C00008 + C00009 + C04419 | (${Variables:E6_3_4_14_kcat} * E6_3_4_14 * C00002 * C06250 * C00288)/(${Variables:E6_3_4_14_km} + (E6_3_4_14 * C00002 * C06250 * C00288))</v>
      </c>
    </row>
    <row r="1045">
      <c r="A1045" s="2" t="s">
        <v>3004</v>
      </c>
      <c r="B1045" s="2" t="s">
        <v>3005</v>
      </c>
      <c r="C1045" s="2" t="s">
        <v>25443</v>
      </c>
      <c r="D1045" s="18">
        <v>1044.0</v>
      </c>
      <c r="E1045" s="2" t="str">
        <f t="shared" si="1"/>
        <v>E6_3_4_15</v>
      </c>
      <c r="F1045" s="19" t="s">
        <v>28858</v>
      </c>
      <c r="G1045" s="19" t="s">
        <v>28859</v>
      </c>
      <c r="H1045" s="19" t="s">
        <v>28860</v>
      </c>
      <c r="I1045" s="19" t="s">
        <v>28861</v>
      </c>
      <c r="J1045" s="2" t="str">
        <f t="shared" si="2"/>
        <v>(${Variables:E6_3_4_15_kcat} * E6_3_4_15 * C00002 * C00120)/(${Variables:E6_3_4_15_km} + (E6_3_4_15 * C00002 * C00120))</v>
      </c>
      <c r="K1045" s="2" t="str">
        <f t="shared" si="3"/>
        <v>r1044: C00002 + C00120 -&gt; C00013 + C05921 | (${Variables:E6_3_4_15_kcat} * E6_3_4_15 * C00002 * C00120)/(${Variables:E6_3_4_15_km} + (E6_3_4_15 * C00002 * C00120))</v>
      </c>
    </row>
    <row r="1046">
      <c r="A1046" s="2" t="s">
        <v>3004</v>
      </c>
      <c r="B1046" s="2" t="s">
        <v>3005</v>
      </c>
      <c r="C1046" s="2" t="s">
        <v>25443</v>
      </c>
      <c r="D1046" s="18">
        <v>1045.0</v>
      </c>
      <c r="E1046" s="2" t="str">
        <f t="shared" si="1"/>
        <v>E6_3_4_15</v>
      </c>
      <c r="F1046" s="19" t="s">
        <v>28862</v>
      </c>
      <c r="G1046" s="19" t="s">
        <v>28863</v>
      </c>
      <c r="H1046" s="19" t="s">
        <v>28864</v>
      </c>
      <c r="I1046" s="19" t="s">
        <v>28865</v>
      </c>
      <c r="J1046" s="2" t="str">
        <f t="shared" si="2"/>
        <v>(${Variables:E6_3_4_15_kcat} * E6_3_4_15 * C00002 * C00120 * C04735)/(${Variables:E6_3_4_15_km} + (E6_3_4_15 * C00002 * C00120 * C04735))</v>
      </c>
      <c r="K1046" s="2" t="str">
        <f t="shared" si="3"/>
        <v>r1045: C00002 + C00120 + C04735 -&gt; C00020 + C00013 + C04681 | (${Variables:E6_3_4_15_kcat} * E6_3_4_15 * C00002 * C00120 * C04735)/(${Variables:E6_3_4_15_km} + (E6_3_4_15 * C00002 * C00120 * C04735))</v>
      </c>
    </row>
    <row r="1047">
      <c r="A1047" s="2" t="s">
        <v>3004</v>
      </c>
      <c r="B1047" s="2" t="s">
        <v>3005</v>
      </c>
      <c r="C1047" s="2" t="s">
        <v>25443</v>
      </c>
      <c r="D1047" s="18">
        <v>1046.0</v>
      </c>
      <c r="E1047" s="2" t="str">
        <f t="shared" si="1"/>
        <v>E6_3_4_15</v>
      </c>
      <c r="F1047" s="19" t="s">
        <v>28866</v>
      </c>
      <c r="G1047" s="19" t="s">
        <v>28867</v>
      </c>
      <c r="H1047" s="19" t="s">
        <v>28868</v>
      </c>
      <c r="I1047" s="19" t="s">
        <v>28869</v>
      </c>
      <c r="J1047" s="2" t="str">
        <f t="shared" si="2"/>
        <v>(${Variables:E6_3_4_15_kcat} * E6_3_4_15 * C05921 * C06249)/(${Variables:E6_3_4_15_km} + (E6_3_4_15 * C05921 * C06249))</v>
      </c>
      <c r="K1047" s="2" t="str">
        <f t="shared" si="3"/>
        <v>r1046: C05921 + C06249 -&gt; C00020 + C06250 | (${Variables:E6_3_4_15_kcat} * E6_3_4_15 * C05921 * C06249)/(${Variables:E6_3_4_15_km} + (E6_3_4_15 * C05921 * C06249))</v>
      </c>
    </row>
    <row r="1048">
      <c r="A1048" s="2" t="s">
        <v>6301</v>
      </c>
      <c r="B1048" s="2" t="s">
        <v>6302</v>
      </c>
      <c r="C1048" s="2" t="s">
        <v>25444</v>
      </c>
      <c r="D1048" s="18">
        <v>1047.0</v>
      </c>
      <c r="E1048" s="2" t="str">
        <f t="shared" si="1"/>
        <v>E6_3_4_18</v>
      </c>
      <c r="F1048" s="19" t="s">
        <v>28870</v>
      </c>
      <c r="G1048" s="19" t="s">
        <v>28871</v>
      </c>
      <c r="H1048" s="19" t="s">
        <v>28872</v>
      </c>
      <c r="I1048" s="19" t="s">
        <v>28873</v>
      </c>
      <c r="J1048" s="2" t="str">
        <f t="shared" si="2"/>
        <v>(${Variables:E6_3_4_18_kcat} * E6_3_4_18 * C00002 * C03373 * C00288)/(${Variables:E6_3_4_18_km} + (E6_3_4_18 * C00002 * C03373 * C00288))</v>
      </c>
      <c r="K1048" s="2" t="str">
        <f t="shared" si="3"/>
        <v>r1047: C00002 + C03373 + C00288 -&gt; C00008 + C00009 + C15667 | (${Variables:E6_3_4_18_kcat} * E6_3_4_18 * C00002 * C03373 * C00288)/(${Variables:E6_3_4_18_km} + (E6_3_4_18 * C00002 * C03373 * C00288))</v>
      </c>
    </row>
    <row r="1049">
      <c r="A1049" s="2" t="s">
        <v>6984</v>
      </c>
      <c r="B1049" s="2" t="s">
        <v>6985</v>
      </c>
      <c r="C1049" s="2" t="s">
        <v>25445</v>
      </c>
      <c r="D1049" s="18">
        <v>1048.0</v>
      </c>
      <c r="E1049" s="2" t="str">
        <f t="shared" si="1"/>
        <v>E6_3_4_19</v>
      </c>
      <c r="F1049" s="19" t="s">
        <v>28874</v>
      </c>
      <c r="G1049" s="19" t="s">
        <v>28875</v>
      </c>
      <c r="H1049" s="19" t="s">
        <v>28876</v>
      </c>
      <c r="I1049" s="19" t="s">
        <v>28877</v>
      </c>
      <c r="J1049" s="2" t="str">
        <f t="shared" si="2"/>
        <v>(${Variables:E6_3_4_19_kcat} * E6_3_4_19 * C19722 * C00047 * C00002)/(${Variables:E6_3_4_19_km} + (E6_3_4_19 * C19722 * C00047 * C00002))</v>
      </c>
      <c r="K1049" s="2" t="str">
        <f t="shared" si="3"/>
        <v>r1048: C19722 + C00047 + C00002 -&gt; C19723 + C00020 + C00013 + C00001 | (${Variables:E6_3_4_19_kcat} * E6_3_4_19 * C19722 * C00047 * C00002)/(${Variables:E6_3_4_19_km} + (E6_3_4_19 * C19722 * C00047 * C00002))</v>
      </c>
    </row>
    <row r="1050">
      <c r="A1050" s="2" t="s">
        <v>7614</v>
      </c>
      <c r="B1050" s="2" t="s">
        <v>7615</v>
      </c>
      <c r="C1050" s="2" t="s">
        <v>25446</v>
      </c>
      <c r="D1050" s="18">
        <v>1049.0</v>
      </c>
      <c r="E1050" s="2" t="str">
        <f t="shared" si="1"/>
        <v>E6_3_4_2</v>
      </c>
      <c r="F1050" s="19" t="s">
        <v>27228</v>
      </c>
      <c r="G1050" s="19" t="s">
        <v>27229</v>
      </c>
      <c r="H1050" s="19" t="s">
        <v>27230</v>
      </c>
      <c r="I1050" s="19" t="s">
        <v>27231</v>
      </c>
      <c r="J1050" s="2" t="str">
        <f t="shared" si="2"/>
        <v>(${Variables:E6_3_4_2_kcat} * E6_3_4_2 * C00064 * C00001)/(${Variables:E6_3_4_2_km} + (E6_3_4_2 * C00064 * C00001))</v>
      </c>
      <c r="K1050" s="2" t="str">
        <f t="shared" si="3"/>
        <v>r1049: C00064 + C00001 -&gt; C00025 + C00014 | (${Variables:E6_3_4_2_kcat} * E6_3_4_2 * C00064 * C00001)/(${Variables:E6_3_4_2_km} + (E6_3_4_2 * C00064 * C00001))</v>
      </c>
    </row>
    <row r="1051">
      <c r="A1051" s="2" t="s">
        <v>7614</v>
      </c>
      <c r="B1051" s="2" t="s">
        <v>7615</v>
      </c>
      <c r="C1051" s="2" t="s">
        <v>25446</v>
      </c>
      <c r="D1051" s="18">
        <v>1050.0</v>
      </c>
      <c r="E1051" s="2" t="str">
        <f t="shared" si="1"/>
        <v>E6_3_4_2</v>
      </c>
      <c r="F1051" s="19" t="s">
        <v>28878</v>
      </c>
      <c r="G1051" s="19" t="s">
        <v>28879</v>
      </c>
      <c r="H1051" s="19" t="s">
        <v>28880</v>
      </c>
      <c r="I1051" s="19" t="s">
        <v>28881</v>
      </c>
      <c r="J1051" s="2" t="str">
        <f t="shared" si="2"/>
        <v>(${Variables:E6_3_4_2_kcat} * E6_3_4_2 * C00002 * C00075 * C00014)/(${Variables:E6_3_4_2_km} + (E6_3_4_2 * C00002 * C00075 * C00014))</v>
      </c>
      <c r="K1051" s="2" t="str">
        <f t="shared" si="3"/>
        <v>r1050: C00002 + C00075 + C00014 -&gt; C00008 + C00009 + C00063 | (${Variables:E6_3_4_2_kcat} * E6_3_4_2 * C00002 * C00075 * C00014)/(${Variables:E6_3_4_2_km} + (E6_3_4_2 * C00002 * C00075 * C00014))</v>
      </c>
    </row>
    <row r="1052">
      <c r="A1052" s="2" t="s">
        <v>7614</v>
      </c>
      <c r="B1052" s="2" t="s">
        <v>7615</v>
      </c>
      <c r="C1052" s="2" t="s">
        <v>25446</v>
      </c>
      <c r="D1052" s="18">
        <v>1051.0</v>
      </c>
      <c r="E1052" s="2" t="str">
        <f t="shared" si="1"/>
        <v>E6_3_4_2</v>
      </c>
      <c r="F1052" s="19" t="s">
        <v>28882</v>
      </c>
      <c r="G1052" s="19" t="s">
        <v>28883</v>
      </c>
      <c r="H1052" s="19" t="s">
        <v>28884</v>
      </c>
      <c r="I1052" s="19" t="s">
        <v>28885</v>
      </c>
      <c r="J1052" s="2" t="str">
        <f t="shared" si="2"/>
        <v>(${Variables:E6_3_4_2_kcat} * E6_3_4_2 * C00002 * C00075 * C00064 * C00001)/(${Variables:E6_3_4_2_km} + (E6_3_4_2 * C00002 * C00075 * C00064 * C00001))</v>
      </c>
      <c r="K1052" s="2" t="str">
        <f t="shared" si="3"/>
        <v>r1051: C00002 + C00075 + C00064 + C00001 -&gt; C00008 + C00009 + C00063 + C00025 | (${Variables:E6_3_4_2_kcat} * E6_3_4_2 * C00002 * C00075 * C00064 * C00001)/(${Variables:E6_3_4_2_km} + (E6_3_4_2 * C00002 * C00075 * C00064 * C00001))</v>
      </c>
    </row>
    <row r="1053">
      <c r="A1053" s="2" t="s">
        <v>3592</v>
      </c>
      <c r="B1053" s="2" t="s">
        <v>3593</v>
      </c>
      <c r="C1053" s="2" t="s">
        <v>25447</v>
      </c>
      <c r="D1053" s="18">
        <v>1052.0</v>
      </c>
      <c r="E1053" s="2" t="str">
        <f t="shared" si="1"/>
        <v>E6_3_4_20</v>
      </c>
      <c r="F1053" s="19" t="s">
        <v>28886</v>
      </c>
      <c r="G1053" s="19" t="s">
        <v>28887</v>
      </c>
      <c r="H1053" s="19" t="s">
        <v>28888</v>
      </c>
      <c r="I1053" s="19" t="s">
        <v>28889</v>
      </c>
      <c r="J1053" s="2" t="str">
        <f t="shared" si="2"/>
        <v>(${Variables:E6_3_4_20_kcat} * E6_3_4_20 * C20248 * C00014 * C00002)/(${Variables:E6_3_4_20_km} + (E6_3_4_20 * C20248 * C00014 * C00002))</v>
      </c>
      <c r="K1053" s="2" t="str">
        <f t="shared" si="3"/>
        <v>r1052: C20248 + C00014 + C00002 -&gt; C15996 + C00008 + C00009 + C00001 | (${Variables:E6_3_4_20_kcat} * E6_3_4_20 * C20248 * C00014 * C00002)/(${Variables:E6_3_4_20_km} + (E6_3_4_20 * C20248 * C00014 * C00002))</v>
      </c>
    </row>
    <row r="1054">
      <c r="A1054" s="2" t="s">
        <v>5594</v>
      </c>
      <c r="B1054" s="2" t="s">
        <v>5595</v>
      </c>
      <c r="C1054" s="2" t="s">
        <v>25448</v>
      </c>
      <c r="D1054" s="18">
        <v>1053.0</v>
      </c>
      <c r="E1054" s="2" t="str">
        <f t="shared" si="1"/>
        <v>E6_3_4_21</v>
      </c>
      <c r="F1054" s="19" t="s">
        <v>28890</v>
      </c>
      <c r="G1054" s="19" t="s">
        <v>28891</v>
      </c>
      <c r="H1054" s="19" t="s">
        <v>28892</v>
      </c>
      <c r="I1054" s="19" t="s">
        <v>28893</v>
      </c>
      <c r="J1054" s="2" t="str">
        <f t="shared" si="2"/>
        <v>(${Variables:E6_3_4_21_kcat} * E6_3_4_21 * C01185 * C00013 * C00008 * C00009)/(${Variables:E6_3_4_21_km} + (E6_3_4_21 * C01185 * C00013 * C00008 * C00009))</v>
      </c>
      <c r="K1054" s="2" t="str">
        <f t="shared" si="3"/>
        <v>r1053: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1055">
      <c r="A1055" s="2" t="s">
        <v>1423</v>
      </c>
      <c r="B1055" s="2" t="s">
        <v>1424</v>
      </c>
      <c r="C1055" s="2" t="s">
        <v>25449</v>
      </c>
      <c r="D1055" s="18">
        <v>1054.0</v>
      </c>
      <c r="E1055" s="2" t="str">
        <f t="shared" si="1"/>
        <v>E6_3_4_3</v>
      </c>
      <c r="F1055" s="19" t="s">
        <v>28894</v>
      </c>
      <c r="G1055" s="19" t="s">
        <v>28895</v>
      </c>
      <c r="H1055" s="19" t="s">
        <v>28896</v>
      </c>
      <c r="I1055" s="19" t="s">
        <v>28897</v>
      </c>
      <c r="J1055" s="2" t="str">
        <f t="shared" si="2"/>
        <v>(${Variables:E6_3_4_3_kcat} * E6_3_4_3 * C00101 * C00058 * C00002)/(${Variables:E6_3_4_3_km} + (E6_3_4_3 * C00101 * C00058 * C00002))</v>
      </c>
      <c r="K1055" s="2" t="str">
        <f t="shared" si="3"/>
        <v>r1054: C00101 + C00058 + C00002 -&gt; C00008 + C00009 + C00234 | (${Variables:E6_3_4_3_kcat} * E6_3_4_3 * C00101 * C00058 * C00002)/(${Variables:E6_3_4_3_km} + (E6_3_4_3 * C00101 * C00058 * C00002))</v>
      </c>
    </row>
    <row r="1056">
      <c r="A1056" s="2" t="s">
        <v>7283</v>
      </c>
      <c r="B1056" s="2" t="s">
        <v>7284</v>
      </c>
      <c r="C1056" s="2" t="s">
        <v>25450</v>
      </c>
      <c r="D1056" s="18">
        <v>1055.0</v>
      </c>
      <c r="E1056" s="2" t="str">
        <f t="shared" si="1"/>
        <v>E6_3_4_4</v>
      </c>
      <c r="F1056" s="19" t="s">
        <v>28898</v>
      </c>
      <c r="G1056" s="19" t="s">
        <v>28899</v>
      </c>
      <c r="H1056" s="19" t="s">
        <v>28900</v>
      </c>
      <c r="I1056" s="19" t="s">
        <v>28901</v>
      </c>
      <c r="J1056" s="2" t="str">
        <f t="shared" si="2"/>
        <v>(${Variables:E6_3_4_4_kcat} * E6_3_4_4 * C00044 * C00130 * C00049)/(${Variables:E6_3_4_4_km} + (E6_3_4_4 * C00044 * C00130 * C00049))</v>
      </c>
      <c r="K1056" s="2" t="str">
        <f t="shared" si="3"/>
        <v>r1055: C00044 + C00130 + C00049 -&gt; C00035 + C00009 + C03794 | (${Variables:E6_3_4_4_kcat} * E6_3_4_4 * C00044 * C00130 * C00049)/(${Variables:E6_3_4_4_km} + (E6_3_4_4 * C00044 * C00130 * C00049))</v>
      </c>
    </row>
    <row r="1057">
      <c r="A1057" s="2" t="s">
        <v>9469</v>
      </c>
      <c r="B1057" s="2" t="s">
        <v>9470</v>
      </c>
      <c r="C1057" s="2" t="s">
        <v>25451</v>
      </c>
      <c r="D1057" s="18">
        <v>1056.0</v>
      </c>
      <c r="E1057" s="2" t="str">
        <f t="shared" si="1"/>
        <v>E6_3_4_5</v>
      </c>
      <c r="F1057" s="19" t="s">
        <v>28902</v>
      </c>
      <c r="G1057" s="19" t="s">
        <v>28903</v>
      </c>
      <c r="H1057" s="19" t="s">
        <v>28904</v>
      </c>
      <c r="I1057" s="19" t="s">
        <v>28905</v>
      </c>
      <c r="J1057" s="2" t="str">
        <f t="shared" si="2"/>
        <v>(${Variables:E6_3_4_5_kcat} * E6_3_4_5 * C00002 * C00327 * C00049)/(${Variables:E6_3_4_5_km} + (E6_3_4_5 * C00002 * C00327 * C00049))</v>
      </c>
      <c r="K1057" s="2" t="str">
        <f t="shared" si="3"/>
        <v>r1056: C00002 + C00327 + C00049 -&gt; C00020 + C00013 + C03406 | (${Variables:E6_3_4_5_kcat} * E6_3_4_5 * C00002 * C00327 * C00049)/(${Variables:E6_3_4_5_km} + (E6_3_4_5 * C00002 * C00327 * C00049))</v>
      </c>
    </row>
    <row r="1058">
      <c r="A1058" s="2" t="s">
        <v>6281</v>
      </c>
      <c r="B1058" s="2" t="s">
        <v>6282</v>
      </c>
      <c r="C1058" s="2" t="s">
        <v>25453</v>
      </c>
      <c r="D1058" s="18">
        <v>1057.0</v>
      </c>
      <c r="E1058" s="2" t="str">
        <f t="shared" si="1"/>
        <v>E6_3_5_3</v>
      </c>
      <c r="F1058" s="19" t="s">
        <v>28906</v>
      </c>
      <c r="G1058" s="19" t="s">
        <v>28907</v>
      </c>
      <c r="H1058" s="19" t="s">
        <v>28908</v>
      </c>
      <c r="I1058" s="19" t="s">
        <v>28909</v>
      </c>
      <c r="J1058" s="2" t="str">
        <f t="shared" si="2"/>
        <v>(${Variables:E6_3_5_3_kcat} * E6_3_5_3 * C00002 * C04376 * C00064 * C00001)/(${Variables:E6_3_5_3_km} + (E6_3_5_3 * C00002 * C04376 * C00064 * C00001))</v>
      </c>
      <c r="K1058" s="2" t="str">
        <f t="shared" si="3"/>
        <v>r1057: C00002 + C04376 + C00064 + C00001 -&gt; C00008 + C00009 + C04640 + C00025 | (${Variables:E6_3_5_3_kcat} * E6_3_5_3 * C00002 * C04376 * C00064 * C00001)/(${Variables:E6_3_5_3_km} + (E6_3_5_3 * C00002 * C04376 * C00064 * C00001))</v>
      </c>
    </row>
    <row r="1059">
      <c r="A1059" s="2" t="s">
        <v>1132</v>
      </c>
      <c r="B1059" s="2" t="s">
        <v>1133</v>
      </c>
      <c r="C1059" s="2" t="s">
        <v>25454</v>
      </c>
      <c r="D1059" s="18">
        <v>1058.0</v>
      </c>
      <c r="E1059" s="2" t="str">
        <f t="shared" si="1"/>
        <v>E6_3_5_4</v>
      </c>
      <c r="F1059" s="19" t="s">
        <v>27228</v>
      </c>
      <c r="G1059" s="19" t="s">
        <v>27229</v>
      </c>
      <c r="H1059" s="19" t="s">
        <v>27230</v>
      </c>
      <c r="I1059" s="19" t="s">
        <v>27231</v>
      </c>
      <c r="J1059" s="2" t="str">
        <f t="shared" si="2"/>
        <v>(${Variables:E6_3_5_4_kcat} * E6_3_5_4 * C00064 * C00001)/(${Variables:E6_3_5_4_km} + (E6_3_5_4 * C00064 * C00001))</v>
      </c>
      <c r="K1059" s="2" t="str">
        <f t="shared" si="3"/>
        <v>r1058: C00064 + C00001 -&gt; C00025 + C00014 | (${Variables:E6_3_5_4_kcat} * E6_3_5_4 * C00064 * C00001)/(${Variables:E6_3_5_4_km} + (E6_3_5_4 * C00064 * C00001))</v>
      </c>
    </row>
    <row r="1060">
      <c r="A1060" s="2" t="s">
        <v>1132</v>
      </c>
      <c r="B1060" s="2" t="s">
        <v>1133</v>
      </c>
      <c r="C1060" s="2" t="s">
        <v>25454</v>
      </c>
      <c r="D1060" s="18">
        <v>1059.0</v>
      </c>
      <c r="E1060" s="2" t="str">
        <f t="shared" si="1"/>
        <v>E6_3_5_4</v>
      </c>
      <c r="F1060" s="19" t="s">
        <v>28760</v>
      </c>
      <c r="G1060" s="19" t="s">
        <v>28761</v>
      </c>
      <c r="H1060" s="19" t="s">
        <v>28762</v>
      </c>
      <c r="I1060" s="19" t="s">
        <v>28763</v>
      </c>
      <c r="J1060" s="2" t="str">
        <f t="shared" si="2"/>
        <v>(${Variables:E6_3_5_4_kcat} * E6_3_5_4 * C00002 * C00049 * C00014)/(${Variables:E6_3_5_4_km} + (E6_3_5_4 * C00002 * C00049 * C00014))</v>
      </c>
      <c r="K1060" s="2" t="str">
        <f t="shared" si="3"/>
        <v>r1059: C00002 + C00049 + C00014 -&gt; C00020 + C00013 + C00152 | (${Variables:E6_3_5_4_kcat} * E6_3_5_4 * C00002 * C00049 * C00014)/(${Variables:E6_3_5_4_km} + (E6_3_5_4 * C00002 * C00049 * C00014))</v>
      </c>
    </row>
    <row r="1061">
      <c r="A1061" s="2" t="s">
        <v>1132</v>
      </c>
      <c r="B1061" s="2" t="s">
        <v>1133</v>
      </c>
      <c r="C1061" s="2" t="s">
        <v>25454</v>
      </c>
      <c r="D1061" s="18">
        <v>1060.0</v>
      </c>
      <c r="E1061" s="2" t="str">
        <f t="shared" si="1"/>
        <v>E6_3_5_4</v>
      </c>
      <c r="F1061" s="19" t="s">
        <v>28910</v>
      </c>
      <c r="G1061" s="19" t="s">
        <v>28911</v>
      </c>
      <c r="H1061" s="19" t="s">
        <v>28912</v>
      </c>
      <c r="I1061" s="19" t="s">
        <v>28913</v>
      </c>
      <c r="J1061" s="2" t="str">
        <f t="shared" si="2"/>
        <v>(${Variables:E6_3_5_4_kcat} * E6_3_5_4 * C00002 * C00049 * C00064 * C00001)/(${Variables:E6_3_5_4_km} + (E6_3_5_4 * C00002 * C00049 * C00064 * C00001))</v>
      </c>
      <c r="K1061" s="2" t="str">
        <f t="shared" si="3"/>
        <v>r1060: C00002 + C00049 + C00064 + C00001 -&gt; C00020 + C00013 + C00152 + C00025 | (${Variables:E6_3_5_4_kcat} * E6_3_5_4 * C00002 * C00049 * C00064 * C00001)/(${Variables:E6_3_5_4_km} + (E6_3_5_4 * C00002 * C00049 * C00064 * C00001))</v>
      </c>
    </row>
    <row r="1062">
      <c r="A1062" s="2" t="s">
        <v>11701</v>
      </c>
      <c r="B1062" s="2" t="s">
        <v>11702</v>
      </c>
      <c r="C1062" s="2" t="s">
        <v>25455</v>
      </c>
      <c r="D1062" s="18">
        <v>1061.0</v>
      </c>
      <c r="E1062" s="2" t="str">
        <f t="shared" si="1"/>
        <v>E6_3_5_5</v>
      </c>
      <c r="F1062" s="19" t="s">
        <v>27228</v>
      </c>
      <c r="G1062" s="19" t="s">
        <v>27229</v>
      </c>
      <c r="H1062" s="19" t="s">
        <v>27230</v>
      </c>
      <c r="I1062" s="19" t="s">
        <v>27231</v>
      </c>
      <c r="J1062" s="2" t="str">
        <f t="shared" si="2"/>
        <v>(${Variables:E6_3_5_5_kcat} * E6_3_5_5 * C00064 * C00001)/(${Variables:E6_3_5_5_km} + (E6_3_5_5 * C00064 * C00001))</v>
      </c>
      <c r="K1062" s="2" t="str">
        <f t="shared" si="3"/>
        <v>r1061: C00064 + C00001 -&gt; C00025 + C00014 | (${Variables:E6_3_5_5_kcat} * E6_3_5_5 * C00064 * C00001)/(${Variables:E6_3_5_5_km} + (E6_3_5_5 * C00064 * C00001))</v>
      </c>
    </row>
    <row r="1063">
      <c r="A1063" s="2" t="s">
        <v>11701</v>
      </c>
      <c r="B1063" s="2" t="s">
        <v>11702</v>
      </c>
      <c r="C1063" s="2" t="s">
        <v>25455</v>
      </c>
      <c r="D1063" s="18">
        <v>1062.0</v>
      </c>
      <c r="E1063" s="2" t="str">
        <f t="shared" si="1"/>
        <v>E6_3_5_5</v>
      </c>
      <c r="F1063" s="19" t="s">
        <v>28914</v>
      </c>
      <c r="G1063" s="19" t="s">
        <v>28915</v>
      </c>
      <c r="H1063" s="19" t="s">
        <v>28916</v>
      </c>
      <c r="I1063" s="19" t="s">
        <v>28917</v>
      </c>
      <c r="J1063" s="2" t="str">
        <f t="shared" si="2"/>
        <v>(${Variables:E6_3_5_5_kcat} * E6_3_5_5 * C00002 * C00064 * C00288 * C00001)/(${Variables:E6_3_5_5_km} + (E6_3_5_5 * C00002 * C00064 * C00288 * C00001))</v>
      </c>
      <c r="K1063" s="2" t="str">
        <f t="shared" si="3"/>
        <v>r1062: C00002 + C00064 + C00288 + C00001 -&gt; C00008 + C00009 + C00025 + C00169 | (${Variables:E6_3_5_5_kcat} * E6_3_5_5 * C00002 * C00064 * C00288 * C00001)/(${Variables:E6_3_5_5_km} + (E6_3_5_5 * C00002 * C00064 * C00288 * C00001))</v>
      </c>
    </row>
    <row r="1064">
      <c r="A1064" s="2" t="s">
        <v>11701</v>
      </c>
      <c r="B1064" s="2" t="s">
        <v>11702</v>
      </c>
      <c r="C1064" s="2" t="s">
        <v>25455</v>
      </c>
      <c r="D1064" s="18">
        <v>1063.0</v>
      </c>
      <c r="E1064" s="2" t="str">
        <f t="shared" si="1"/>
        <v>E6_3_5_5</v>
      </c>
      <c r="F1064" s="19" t="s">
        <v>27504</v>
      </c>
      <c r="G1064" s="19" t="s">
        <v>27505</v>
      </c>
      <c r="H1064" s="19" t="s">
        <v>27506</v>
      </c>
      <c r="I1064" s="19" t="s">
        <v>27507</v>
      </c>
      <c r="J1064" s="2" t="str">
        <f t="shared" si="2"/>
        <v>(${Variables:E6_3_5_5_kcat} * E6_3_5_5 * C00002 * C01563)/(${Variables:E6_3_5_5_km} + (E6_3_5_5 * C00002 * C01563))</v>
      </c>
      <c r="K1064" s="2" t="str">
        <f t="shared" si="3"/>
        <v>r1063: C00002 + C01563 -&gt; C00008 + C00169 | (${Variables:E6_3_5_5_kcat} * E6_3_5_5 * C00002 * C01563)/(${Variables:E6_3_5_5_km} + (E6_3_5_5 * C00002 * C01563))</v>
      </c>
    </row>
    <row r="1065">
      <c r="A1065" s="2" t="s">
        <v>11701</v>
      </c>
      <c r="B1065" s="2" t="s">
        <v>11702</v>
      </c>
      <c r="C1065" s="2" t="s">
        <v>25455</v>
      </c>
      <c r="D1065" s="18">
        <v>1064.0</v>
      </c>
      <c r="E1065" s="2" t="str">
        <f t="shared" si="1"/>
        <v>E6_3_5_5</v>
      </c>
      <c r="F1065" s="19" t="s">
        <v>28918</v>
      </c>
      <c r="G1065" s="19" t="s">
        <v>28919</v>
      </c>
      <c r="H1065" s="19" t="s">
        <v>28920</v>
      </c>
      <c r="I1065" s="19" t="s">
        <v>28921</v>
      </c>
      <c r="J1065" s="2" t="str">
        <f t="shared" si="2"/>
        <v>(${Variables:E6_3_5_5_kcat} * E6_3_5_5 * C00002 * C00288 * C00014)/(${Variables:E6_3_5_5_km} + (E6_3_5_5 * C00002 * C00288 * C00014))</v>
      </c>
      <c r="K1065" s="2" t="str">
        <f t="shared" si="3"/>
        <v>r1064: C00002 + C00288 + C00014 -&gt; C00008 + C00009 + C00169 | (${Variables:E6_3_5_5_kcat} * E6_3_5_5 * C00002 * C00288 * C00014)/(${Variables:E6_3_5_5_km} + (E6_3_5_5 * C00002 * C00288 * C00014))</v>
      </c>
    </row>
    <row r="1066">
      <c r="A1066" s="2" t="s">
        <v>11701</v>
      </c>
      <c r="B1066" s="2" t="s">
        <v>11702</v>
      </c>
      <c r="C1066" s="2" t="s">
        <v>25455</v>
      </c>
      <c r="D1066" s="18">
        <v>1065.0</v>
      </c>
      <c r="E1066" s="2" t="str">
        <f t="shared" si="1"/>
        <v>E6_3_5_5</v>
      </c>
      <c r="F1066" s="19" t="s">
        <v>28922</v>
      </c>
      <c r="G1066" s="19" t="s">
        <v>28923</v>
      </c>
      <c r="H1066" s="19" t="s">
        <v>28924</v>
      </c>
      <c r="I1066" s="19" t="s">
        <v>28925</v>
      </c>
      <c r="J1066" s="2" t="str">
        <f t="shared" si="2"/>
        <v>(${Variables:E6_3_5_5_kcat} * E6_3_5_5 * C00002 * C00288)/(${Variables:E6_3_5_5_km} + (E6_3_5_5 * C00002 * C00288))</v>
      </c>
      <c r="K1066" s="2" t="str">
        <f t="shared" si="3"/>
        <v>r1065: C00002 + C00288 -&gt; C00008 + C20969 | (${Variables:E6_3_5_5_kcat} * E6_3_5_5 * C00002 * C00288)/(${Variables:E6_3_5_5_km} + (E6_3_5_5 * C00002 * C00288))</v>
      </c>
    </row>
    <row r="1067">
      <c r="A1067" s="2" t="s">
        <v>11701</v>
      </c>
      <c r="B1067" s="2" t="s">
        <v>11702</v>
      </c>
      <c r="C1067" s="2" t="s">
        <v>25455</v>
      </c>
      <c r="D1067" s="18">
        <v>1066.0</v>
      </c>
      <c r="E1067" s="2" t="str">
        <f t="shared" si="1"/>
        <v>E6_3_5_5</v>
      </c>
      <c r="F1067" s="19" t="s">
        <v>28926</v>
      </c>
      <c r="G1067" s="19" t="s">
        <v>28927</v>
      </c>
      <c r="H1067" s="19" t="s">
        <v>28928</v>
      </c>
      <c r="I1067" s="19" t="s">
        <v>28929</v>
      </c>
      <c r="J1067" s="2" t="str">
        <f t="shared" si="2"/>
        <v>(${Variables:E6_3_5_5_kcat} * E6_3_5_5 * C00014 * C20969)/(${Variables:E6_3_5_5_km} + (E6_3_5_5 * C00014 * C20969))</v>
      </c>
      <c r="K1067" s="2" t="str">
        <f t="shared" si="3"/>
        <v>r1066: C00014 + C20969 -&gt; C01563 + C00009 | (${Variables:E6_3_5_5_kcat} * E6_3_5_5 * C00014 * C20969)/(${Variables:E6_3_5_5_km} + (E6_3_5_5 * C00014 * C20969))</v>
      </c>
    </row>
    <row r="1068">
      <c r="A1068" s="2" t="s">
        <v>11497</v>
      </c>
      <c r="B1068" s="2" t="s">
        <v>11498</v>
      </c>
      <c r="C1068" s="2" t="s">
        <v>25456</v>
      </c>
      <c r="D1068" s="18">
        <v>1067.0</v>
      </c>
      <c r="E1068" s="2" t="str">
        <f t="shared" si="1"/>
        <v>E6_4_1_1</v>
      </c>
      <c r="F1068" s="19" t="s">
        <v>28930</v>
      </c>
      <c r="G1068" s="19" t="s">
        <v>28931</v>
      </c>
      <c r="H1068" s="19" t="s">
        <v>28932</v>
      </c>
      <c r="I1068" s="19" t="s">
        <v>28933</v>
      </c>
      <c r="J1068" s="2" t="str">
        <f t="shared" si="2"/>
        <v>(${Variables:E6_4_1_1_kcat} * E6_4_1_1 * C00002 * C00022 * C00288)/(${Variables:E6_4_1_1_km} + (E6_4_1_1 * C00002 * C00022 * C00288))</v>
      </c>
      <c r="K1068" s="2" t="str">
        <f t="shared" si="3"/>
        <v>r1067: C00002 + C00022 + C00288 -&gt; C00008 + C00009 + C00036 | (${Variables:E6_4_1_1_kcat} * E6_4_1_1 * C00002 * C00022 * C00288)/(${Variables:E6_4_1_1_km} + (E6_4_1_1 * C00002 * C00022 * C00288))</v>
      </c>
    </row>
    <row r="1069">
      <c r="A1069" s="2" t="s">
        <v>9544</v>
      </c>
      <c r="B1069" s="2" t="s">
        <v>9545</v>
      </c>
      <c r="C1069" s="2" t="s">
        <v>25457</v>
      </c>
      <c r="D1069" s="18">
        <v>1068.0</v>
      </c>
      <c r="E1069" s="2" t="str">
        <f t="shared" si="1"/>
        <v>E6_4_1_2</v>
      </c>
      <c r="F1069" s="19" t="s">
        <v>28934</v>
      </c>
      <c r="G1069" s="19" t="s">
        <v>28935</v>
      </c>
      <c r="H1069" s="19" t="s">
        <v>28936</v>
      </c>
      <c r="I1069" s="19" t="s">
        <v>28937</v>
      </c>
      <c r="J1069" s="2" t="str">
        <f t="shared" si="2"/>
        <v>(${Variables:E6_4_1_2_kcat} * E6_4_1_2 * C00002 * C00024 * C00288)/(${Variables:E6_4_1_2_km} + (E6_4_1_2 * C00002 * C00024 * C00288))</v>
      </c>
      <c r="K1069" s="2" t="str">
        <f t="shared" si="3"/>
        <v>r1068: C00002 + C00024 + C00288 -&gt; C00008 + C00009 + C00083 | (${Variables:E6_4_1_2_kcat} * E6_4_1_2 * C00002 * C00024 * C00288)/(${Variables:E6_4_1_2_km} + (E6_4_1_2 * C00002 * C00024 * C00288))</v>
      </c>
    </row>
    <row r="1070">
      <c r="A1070" s="2" t="s">
        <v>6242</v>
      </c>
      <c r="B1070" s="2" t="s">
        <v>6243</v>
      </c>
      <c r="C1070" s="2" t="s">
        <v>25458</v>
      </c>
      <c r="D1070" s="18">
        <v>1069.0</v>
      </c>
      <c r="E1070" s="2" t="str">
        <f t="shared" si="1"/>
        <v>E6_5_1_2</v>
      </c>
      <c r="F1070" s="19" t="s">
        <v>28938</v>
      </c>
      <c r="G1070" s="19" t="s">
        <v>28939</v>
      </c>
      <c r="H1070" s="19" t="s">
        <v>28940</v>
      </c>
      <c r="I1070" s="19" t="s">
        <v>28941</v>
      </c>
      <c r="J1070" s="2" t="str">
        <f t="shared" si="2"/>
        <v>(${Variables:E6_5_1_2_kcat} * E6_5_1_2 * C00003 * C00039 * C02128)/(${Variables:E6_5_1_2_km} + (E6_5_1_2 * C00003 * C00039 * C02128))</v>
      </c>
      <c r="K1070" s="2" t="str">
        <f t="shared" si="3"/>
        <v>r1069: C00003 + C00039 + C02128 -&gt; C00020 + C00455 + C00039 | (${Variables:E6_5_1_2_kcat} * E6_5_1_2 * C00003 * C00039 * C02128)/(${Variables:E6_5_1_2_km} + (E6_5_1_2 * C00003 * C00039 * C02128))</v>
      </c>
    </row>
    <row r="1071">
      <c r="A1071" s="2" t="s">
        <v>7747</v>
      </c>
      <c r="B1071" s="2" t="s">
        <v>7748</v>
      </c>
      <c r="C1071" s="2" t="s">
        <v>25459</v>
      </c>
      <c r="D1071" s="18">
        <v>1070.0</v>
      </c>
      <c r="E1071" s="2" t="str">
        <f t="shared" si="1"/>
        <v>E7_1_1_2</v>
      </c>
      <c r="F1071" s="19" t="s">
        <v>28942</v>
      </c>
      <c r="G1071" s="19" t="s">
        <v>28943</v>
      </c>
      <c r="H1071" s="19" t="s">
        <v>28944</v>
      </c>
      <c r="I1071" s="19" t="s">
        <v>28945</v>
      </c>
      <c r="J1071" s="2" t="str">
        <f t="shared" si="2"/>
        <v>(${Variables:E7_1_1_2_kcat} * E7_1_1_2 * C00399 * C00004 * C00080 * C00080)/(${Variables:E7_1_1_2_km} + (E7_1_1_2 * C00399 * C00004 * C00080 * C00080))</v>
      </c>
      <c r="K1071" s="2" t="str">
        <f t="shared" si="3"/>
        <v>r1070: C00399 + C00004 + C00080 + C00080 -&gt; C00390 + C00003 + C00080 | (${Variables:E7_1_1_2_kcat} * E7_1_1_2 * C00399 * C00004 * C00080 * C00080)/(${Variables:E7_1_1_2_km} + (E7_1_1_2 * C00399 * C00004 * C00080 * C00080))</v>
      </c>
    </row>
    <row r="1072">
      <c r="A1072" s="2" t="s">
        <v>11507</v>
      </c>
      <c r="B1072" s="2" t="s">
        <v>11508</v>
      </c>
      <c r="C1072" s="2" t="s">
        <v>25460</v>
      </c>
      <c r="D1072" s="18">
        <v>1071.0</v>
      </c>
      <c r="E1072" s="2" t="str">
        <f t="shared" si="1"/>
        <v>E7_1_1_9</v>
      </c>
      <c r="F1072" s="19" t="s">
        <v>28946</v>
      </c>
      <c r="G1072" s="19" t="s">
        <v>28947</v>
      </c>
      <c r="H1072" s="19" t="s">
        <v>28948</v>
      </c>
      <c r="I1072" s="19" t="s">
        <v>28949</v>
      </c>
      <c r="J1072" s="2" t="str">
        <f t="shared" si="2"/>
        <v>(${Variables:E7_1_1_9_kcat} * E7_1_1_9 * C00007 * C00126 * C00080)/(${Variables:E7_1_1_9_km} + (E7_1_1_9 * C00007 * C00126 * C00080))</v>
      </c>
      <c r="K1072" s="2" t="str">
        <f t="shared" si="3"/>
        <v>r1071: C00007 + C00126 + C00080 -&gt; C00125 + C00001 + C00080 | (${Variables:E7_1_1_9_kcat} * E7_1_1_9 * C00007 * C00126 * C00080)/(${Variables:E7_1_1_9_km} + (E7_1_1_9 * C00007 * C00126 * C00080))</v>
      </c>
    </row>
    <row r="1073">
      <c r="A1073" s="2" t="s">
        <v>11507</v>
      </c>
      <c r="B1073" s="2" t="s">
        <v>11508</v>
      </c>
      <c r="C1073" s="2" t="s">
        <v>25460</v>
      </c>
      <c r="D1073" s="18">
        <v>1072.0</v>
      </c>
      <c r="E1073" s="2" t="str">
        <f t="shared" si="1"/>
        <v>E7_1_1_9</v>
      </c>
      <c r="F1073" s="19" t="s">
        <v>28950</v>
      </c>
      <c r="G1073" s="19" t="s">
        <v>28951</v>
      </c>
      <c r="H1073" s="19" t="s">
        <v>28952</v>
      </c>
      <c r="I1073" s="19" t="s">
        <v>28953</v>
      </c>
      <c r="J1073" s="2" t="str">
        <f t="shared" si="2"/>
        <v>(${Variables:E7_1_1_9_kcat} * E7_1_1_9 * C00007 * C01000)/(${Variables:E7_1_1_9_km} + (E7_1_1_9 * C00007 * C01000))</v>
      </c>
      <c r="K1073" s="2" t="str">
        <f t="shared" si="3"/>
        <v>r1072: C00007 + C01000 -&gt; C00997 + C00001 | (${Variables:E7_1_1_9_kcat} * E7_1_1_9 * C00007 * C01000)/(${Variables:E7_1_1_9_km} + (E7_1_1_9 * C00007 * C01000))</v>
      </c>
    </row>
    <row r="1074">
      <c r="A1074" s="2" t="s">
        <v>7708</v>
      </c>
      <c r="B1074" s="2" t="s">
        <v>7709</v>
      </c>
      <c r="C1074" s="2" t="s">
        <v>25461</v>
      </c>
      <c r="D1074" s="18">
        <v>1073.0</v>
      </c>
      <c r="E1074" s="2" t="str">
        <f t="shared" si="1"/>
        <v>E7_1_2_2</v>
      </c>
      <c r="F1074" s="19" t="s">
        <v>28240</v>
      </c>
      <c r="G1074" s="19" t="s">
        <v>28241</v>
      </c>
      <c r="H1074" s="19" t="s">
        <v>28954</v>
      </c>
      <c r="I1074" s="19" t="s">
        <v>28955</v>
      </c>
      <c r="J1074" s="2" t="str">
        <f t="shared" si="2"/>
        <v>(${Variables:E7_1_2_2_kcat} * E7_1_2_2 * C00002 * C00001)/(${Variables:E7_1_2_2_km} + (E7_1_2_2 * C00002 * C00001))</v>
      </c>
      <c r="K1074" s="2" t="str">
        <f t="shared" si="3"/>
        <v>r1073: C00002 + C00001 -&gt; C00008 + C00009 | (${Variables:E7_1_2_2_kcat} * E7_1_2_2 * C00002 * C00001)/(${Variables:E7_1_2_2_km} + (E7_1_2_2 * C00002 * C00001))</v>
      </c>
    </row>
  </sheetData>
  <drawing r:id="rId1"/>
</worksheet>
</file>